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uayastecadmin-my.sharepoint.com/personal/jose-mejia-ener_guayastec_edu_ec/Documents/Inventario2025/OTROS/sisinventario/"/>
    </mc:Choice>
  </mc:AlternateContent>
  <xr:revisionPtr revIDLastSave="223" documentId="13_ncr:1_{47C7F559-5479-431C-926F-642FBF046D84}" xr6:coauthVersionLast="47" xr6:coauthVersionMax="47" xr10:uidLastSave="{684E51C8-4BE0-410C-AFF9-FDAA32B3CF57}"/>
  <bookViews>
    <workbookView xWindow="-120" yWindow="-120" windowWidth="29040" windowHeight="15720" xr2:uid="{00000000-000D-0000-FFFF-FFFF00000000}"/>
  </bookViews>
  <sheets>
    <sheet name="CONDI" sheetId="1" r:id="rId1"/>
    <sheet name="MAQUI" sheetId="2" r:id="rId2"/>
    <sheet name="ASCINTEC" sheetId="3" r:id="rId3"/>
    <sheet name="PRODUCTOS" sheetId="5" r:id="rId4"/>
    <sheet name="EQUIPOS" sheetId="13" r:id="rId5"/>
  </sheets>
  <externalReferences>
    <externalReference r:id="rId6"/>
  </externalReferences>
  <definedNames>
    <definedName name="_xlnm._FilterDatabase" localSheetId="3" hidden="1">PRODUCTOS!$A$2:$I$4303</definedName>
    <definedName name="ascint" localSheetId="4">[1]ASCINTEC!$C:$W</definedName>
    <definedName name="ascint">ASCINTEC!$C:$W</definedName>
    <definedName name="cantGuias">#REF!</definedName>
    <definedName name="codGuias">#REF!</definedName>
    <definedName name="condi" localSheetId="4">[1]CONDI!$C:$W</definedName>
    <definedName name="condi">CONDI!$C:$W</definedName>
    <definedName name="maqui" localSheetId="4">[1]MAQUI!$C:$W</definedName>
    <definedName name="maqui">MAQUI!$C:$W</definedName>
    <definedName name="PRODUCTOS">PRODUCTOS!$A:$I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88" i="5" l="1"/>
  <c r="G4288" i="5"/>
  <c r="H4288" i="5"/>
  <c r="F4289" i="5"/>
  <c r="G4289" i="5"/>
  <c r="H4289" i="5"/>
  <c r="F4290" i="5"/>
  <c r="G4290" i="5"/>
  <c r="H4290" i="5"/>
  <c r="F4291" i="5"/>
  <c r="G4291" i="5"/>
  <c r="H4291" i="5"/>
  <c r="F4292" i="5"/>
  <c r="G4292" i="5"/>
  <c r="H4292" i="5"/>
  <c r="F4293" i="5"/>
  <c r="G4293" i="5"/>
  <c r="H4293" i="5"/>
  <c r="F4294" i="5"/>
  <c r="G4294" i="5"/>
  <c r="H4294" i="5"/>
  <c r="F4295" i="5"/>
  <c r="G4295" i="5"/>
  <c r="H4295" i="5"/>
  <c r="F4296" i="5"/>
  <c r="G4296" i="5"/>
  <c r="H4296" i="5"/>
  <c r="F4297" i="5"/>
  <c r="G4297" i="5"/>
  <c r="H4297" i="5"/>
  <c r="F4298" i="5"/>
  <c r="G4298" i="5"/>
  <c r="H4298" i="5"/>
  <c r="F4299" i="5"/>
  <c r="G4299" i="5"/>
  <c r="H4299" i="5"/>
  <c r="F4300" i="5"/>
  <c r="G4300" i="5"/>
  <c r="H4300" i="5"/>
  <c r="F4301" i="5"/>
  <c r="G4301" i="5"/>
  <c r="H4301" i="5"/>
  <c r="F4302" i="5"/>
  <c r="G4302" i="5"/>
  <c r="H4302" i="5"/>
  <c r="F4303" i="5"/>
  <c r="G4303" i="5"/>
  <c r="H4303" i="5"/>
  <c r="F1874" i="5"/>
  <c r="G1874" i="5"/>
  <c r="H1874" i="5"/>
  <c r="F1875" i="5"/>
  <c r="G1875" i="5"/>
  <c r="H1875" i="5"/>
  <c r="F1876" i="5"/>
  <c r="G1876" i="5"/>
  <c r="H1876" i="5"/>
  <c r="F1877" i="5"/>
  <c r="G1877" i="5"/>
  <c r="H1877" i="5"/>
  <c r="F1878" i="5"/>
  <c r="G1878" i="5"/>
  <c r="H1878" i="5"/>
  <c r="F1879" i="5"/>
  <c r="G1879" i="5"/>
  <c r="H1879" i="5"/>
  <c r="F1880" i="5"/>
  <c r="G1880" i="5"/>
  <c r="H1880" i="5"/>
  <c r="F1881" i="5"/>
  <c r="G1881" i="5"/>
  <c r="H1881" i="5"/>
  <c r="F1882" i="5"/>
  <c r="G1882" i="5"/>
  <c r="H1882" i="5"/>
  <c r="F1883" i="5"/>
  <c r="G1883" i="5"/>
  <c r="H1883" i="5"/>
  <c r="F1884" i="5"/>
  <c r="G1884" i="5"/>
  <c r="H1884" i="5"/>
  <c r="F1885" i="5"/>
  <c r="G1885" i="5"/>
  <c r="H1885" i="5"/>
  <c r="F1886" i="5"/>
  <c r="G1886" i="5"/>
  <c r="H1886" i="5"/>
  <c r="F1887" i="5"/>
  <c r="G1887" i="5"/>
  <c r="H1887" i="5"/>
  <c r="F1888" i="5"/>
  <c r="G1888" i="5"/>
  <c r="H1888" i="5"/>
  <c r="F1889" i="5"/>
  <c r="G1889" i="5"/>
  <c r="H1889" i="5"/>
  <c r="F1890" i="5"/>
  <c r="G1890" i="5"/>
  <c r="H1890" i="5"/>
  <c r="F1891" i="5"/>
  <c r="G1891" i="5"/>
  <c r="H1891" i="5"/>
  <c r="F1892" i="5"/>
  <c r="G1892" i="5"/>
  <c r="H1892" i="5"/>
  <c r="F1893" i="5"/>
  <c r="G1893" i="5"/>
  <c r="H1893" i="5"/>
  <c r="F1894" i="5"/>
  <c r="G1894" i="5"/>
  <c r="H1894" i="5"/>
  <c r="F1895" i="5"/>
  <c r="G1895" i="5"/>
  <c r="H1895" i="5"/>
  <c r="F1896" i="5"/>
  <c r="G1896" i="5"/>
  <c r="H1896" i="5"/>
  <c r="F1897" i="5"/>
  <c r="G1897" i="5"/>
  <c r="H1897" i="5"/>
  <c r="F1898" i="5"/>
  <c r="G1898" i="5"/>
  <c r="H1898" i="5"/>
  <c r="F1899" i="5"/>
  <c r="G1899" i="5"/>
  <c r="H1899" i="5"/>
  <c r="F1900" i="5"/>
  <c r="G1900" i="5"/>
  <c r="H1900" i="5"/>
  <c r="F1901" i="5"/>
  <c r="G1901" i="5"/>
  <c r="H1901" i="5"/>
  <c r="F1902" i="5"/>
  <c r="G1902" i="5"/>
  <c r="H1902" i="5"/>
  <c r="F1903" i="5"/>
  <c r="G1903" i="5"/>
  <c r="H1903" i="5"/>
  <c r="F1904" i="5"/>
  <c r="G1904" i="5"/>
  <c r="H1904" i="5"/>
  <c r="F1905" i="5"/>
  <c r="G1905" i="5"/>
  <c r="H1905" i="5"/>
  <c r="F1906" i="5"/>
  <c r="G1906" i="5"/>
  <c r="H1906" i="5"/>
  <c r="F1907" i="5"/>
  <c r="G1907" i="5"/>
  <c r="H1907" i="5"/>
  <c r="F1908" i="5"/>
  <c r="G1908" i="5"/>
  <c r="H1908" i="5"/>
  <c r="F1909" i="5"/>
  <c r="G1909" i="5"/>
  <c r="H1909" i="5"/>
  <c r="F1910" i="5"/>
  <c r="G1910" i="5"/>
  <c r="H1910" i="5"/>
  <c r="F1911" i="5"/>
  <c r="G1911" i="5"/>
  <c r="H1911" i="5"/>
  <c r="F1912" i="5"/>
  <c r="G1912" i="5"/>
  <c r="H1912" i="5"/>
  <c r="F1913" i="5"/>
  <c r="G1913" i="5"/>
  <c r="H1913" i="5"/>
  <c r="F1914" i="5"/>
  <c r="G1914" i="5"/>
  <c r="H1914" i="5"/>
  <c r="F1915" i="5"/>
  <c r="G1915" i="5"/>
  <c r="H1915" i="5"/>
  <c r="F1916" i="5"/>
  <c r="G1916" i="5"/>
  <c r="H1916" i="5"/>
  <c r="F1917" i="5"/>
  <c r="G1917" i="5"/>
  <c r="H1917" i="5"/>
  <c r="F1918" i="5"/>
  <c r="G1918" i="5"/>
  <c r="H1918" i="5"/>
  <c r="F1919" i="5"/>
  <c r="G1919" i="5"/>
  <c r="H1919" i="5"/>
  <c r="F1920" i="5"/>
  <c r="G1920" i="5"/>
  <c r="H1920" i="5"/>
  <c r="F1921" i="5"/>
  <c r="G1921" i="5"/>
  <c r="H1921" i="5"/>
  <c r="F1922" i="5"/>
  <c r="G1922" i="5"/>
  <c r="H1922" i="5"/>
  <c r="F1923" i="5"/>
  <c r="G1923" i="5"/>
  <c r="H1923" i="5"/>
  <c r="F1924" i="5"/>
  <c r="G1924" i="5"/>
  <c r="H1924" i="5"/>
  <c r="F1925" i="5"/>
  <c r="G1925" i="5"/>
  <c r="H1925" i="5"/>
  <c r="F1926" i="5"/>
  <c r="G1926" i="5"/>
  <c r="H1926" i="5"/>
  <c r="F1927" i="5"/>
  <c r="G1927" i="5"/>
  <c r="H1927" i="5"/>
  <c r="F1928" i="5"/>
  <c r="G1928" i="5"/>
  <c r="H1928" i="5"/>
  <c r="F1929" i="5"/>
  <c r="G1929" i="5"/>
  <c r="H1929" i="5"/>
  <c r="F1930" i="5"/>
  <c r="G1930" i="5"/>
  <c r="H1930" i="5"/>
  <c r="F1931" i="5"/>
  <c r="G1931" i="5"/>
  <c r="H1931" i="5"/>
  <c r="F1932" i="5"/>
  <c r="G1932" i="5"/>
  <c r="H1932" i="5"/>
  <c r="F1933" i="5"/>
  <c r="G1933" i="5"/>
  <c r="H1933" i="5"/>
  <c r="F1934" i="5"/>
  <c r="G1934" i="5"/>
  <c r="H1934" i="5"/>
  <c r="F1935" i="5"/>
  <c r="G1935" i="5"/>
  <c r="H1935" i="5"/>
  <c r="F1936" i="5"/>
  <c r="G1936" i="5"/>
  <c r="H1936" i="5"/>
  <c r="F1937" i="5"/>
  <c r="G1937" i="5"/>
  <c r="H1937" i="5"/>
  <c r="F1938" i="5"/>
  <c r="G1938" i="5"/>
  <c r="H1938" i="5"/>
  <c r="F1939" i="5"/>
  <c r="G1939" i="5"/>
  <c r="H1939" i="5"/>
  <c r="F1940" i="5"/>
  <c r="G1940" i="5"/>
  <c r="H1940" i="5"/>
  <c r="F1941" i="5"/>
  <c r="G1941" i="5"/>
  <c r="H1941" i="5"/>
  <c r="F1942" i="5"/>
  <c r="G1942" i="5"/>
  <c r="H1942" i="5"/>
  <c r="F1943" i="5"/>
  <c r="G1943" i="5"/>
  <c r="H1943" i="5"/>
  <c r="F1944" i="5"/>
  <c r="G1944" i="5"/>
  <c r="H1944" i="5"/>
  <c r="F1945" i="5"/>
  <c r="G1945" i="5"/>
  <c r="H1945" i="5"/>
  <c r="F1946" i="5"/>
  <c r="G1946" i="5"/>
  <c r="H1946" i="5"/>
  <c r="F1947" i="5"/>
  <c r="G1947" i="5"/>
  <c r="H1947" i="5"/>
  <c r="F1948" i="5"/>
  <c r="G1948" i="5"/>
  <c r="H1948" i="5"/>
  <c r="F1949" i="5"/>
  <c r="G1949" i="5"/>
  <c r="H1949" i="5"/>
  <c r="F1950" i="5"/>
  <c r="G1950" i="5"/>
  <c r="H1950" i="5"/>
  <c r="F1951" i="5"/>
  <c r="G1951" i="5"/>
  <c r="H1951" i="5"/>
  <c r="F1952" i="5"/>
  <c r="G1952" i="5"/>
  <c r="H1952" i="5"/>
  <c r="F1953" i="5"/>
  <c r="G1953" i="5"/>
  <c r="H1953" i="5"/>
  <c r="F1954" i="5"/>
  <c r="G1954" i="5"/>
  <c r="H1954" i="5"/>
  <c r="F1955" i="5"/>
  <c r="G1955" i="5"/>
  <c r="H1955" i="5"/>
  <c r="F1956" i="5"/>
  <c r="G1956" i="5"/>
  <c r="H1956" i="5"/>
  <c r="F1957" i="5"/>
  <c r="G1957" i="5"/>
  <c r="H1957" i="5"/>
  <c r="F1958" i="5"/>
  <c r="G1958" i="5"/>
  <c r="H1958" i="5"/>
  <c r="F1959" i="5"/>
  <c r="G1959" i="5"/>
  <c r="H1959" i="5"/>
  <c r="F1960" i="5"/>
  <c r="G1960" i="5"/>
  <c r="H1960" i="5"/>
  <c r="F1961" i="5"/>
  <c r="G1961" i="5"/>
  <c r="H1961" i="5"/>
  <c r="F1962" i="5"/>
  <c r="G1962" i="5"/>
  <c r="H1962" i="5"/>
  <c r="F1963" i="5"/>
  <c r="G1963" i="5"/>
  <c r="H1963" i="5"/>
  <c r="F1964" i="5"/>
  <c r="G1964" i="5"/>
  <c r="H1964" i="5"/>
  <c r="F1965" i="5"/>
  <c r="G1965" i="5"/>
  <c r="H1965" i="5"/>
  <c r="F1966" i="5"/>
  <c r="G1966" i="5"/>
  <c r="H1966" i="5"/>
  <c r="F1967" i="5"/>
  <c r="G1967" i="5"/>
  <c r="H1967" i="5"/>
  <c r="F1968" i="5"/>
  <c r="G1968" i="5"/>
  <c r="H1968" i="5"/>
  <c r="F1969" i="5"/>
  <c r="G1969" i="5"/>
  <c r="H1969" i="5"/>
  <c r="F1970" i="5"/>
  <c r="G1970" i="5"/>
  <c r="H1970" i="5"/>
  <c r="F1971" i="5"/>
  <c r="G1971" i="5"/>
  <c r="H1971" i="5"/>
  <c r="F1972" i="5"/>
  <c r="G1972" i="5"/>
  <c r="H1972" i="5"/>
  <c r="F1973" i="5"/>
  <c r="G1973" i="5"/>
  <c r="H1973" i="5"/>
  <c r="F1974" i="5"/>
  <c r="G1974" i="5"/>
  <c r="H1974" i="5"/>
  <c r="F1975" i="5"/>
  <c r="G1975" i="5"/>
  <c r="H1975" i="5"/>
  <c r="F1976" i="5"/>
  <c r="G1976" i="5"/>
  <c r="H1976" i="5"/>
  <c r="F1977" i="5"/>
  <c r="G1977" i="5"/>
  <c r="H1977" i="5"/>
  <c r="F1978" i="5"/>
  <c r="G1978" i="5"/>
  <c r="H1978" i="5"/>
  <c r="F1979" i="5"/>
  <c r="G1979" i="5"/>
  <c r="H1979" i="5"/>
  <c r="F1980" i="5"/>
  <c r="G1980" i="5"/>
  <c r="H1980" i="5"/>
  <c r="F1981" i="5"/>
  <c r="G1981" i="5"/>
  <c r="H1981" i="5"/>
  <c r="F1982" i="5"/>
  <c r="G1982" i="5"/>
  <c r="H1982" i="5"/>
  <c r="F1983" i="5"/>
  <c r="G1983" i="5"/>
  <c r="H1983" i="5"/>
  <c r="F1984" i="5"/>
  <c r="G1984" i="5"/>
  <c r="H1984" i="5"/>
  <c r="F1985" i="5"/>
  <c r="G1985" i="5"/>
  <c r="H1985" i="5"/>
  <c r="F1986" i="5"/>
  <c r="G1986" i="5"/>
  <c r="H1986" i="5"/>
  <c r="F1987" i="5"/>
  <c r="G1987" i="5"/>
  <c r="H1987" i="5"/>
  <c r="F1988" i="5"/>
  <c r="G1988" i="5"/>
  <c r="H1988" i="5"/>
  <c r="F1989" i="5"/>
  <c r="G1989" i="5"/>
  <c r="H1989" i="5"/>
  <c r="F1990" i="5"/>
  <c r="G1990" i="5"/>
  <c r="H1990" i="5"/>
  <c r="F1991" i="5"/>
  <c r="G1991" i="5"/>
  <c r="H1991" i="5"/>
  <c r="F1992" i="5"/>
  <c r="G1992" i="5"/>
  <c r="H1992" i="5"/>
  <c r="F1993" i="5"/>
  <c r="G1993" i="5"/>
  <c r="H1993" i="5"/>
  <c r="F1994" i="5"/>
  <c r="G1994" i="5"/>
  <c r="H1994" i="5"/>
  <c r="F1995" i="5"/>
  <c r="G1995" i="5"/>
  <c r="H1995" i="5"/>
  <c r="F1996" i="5"/>
  <c r="G1996" i="5"/>
  <c r="H1996" i="5"/>
  <c r="F1997" i="5"/>
  <c r="G1997" i="5"/>
  <c r="H1997" i="5"/>
  <c r="F1998" i="5"/>
  <c r="G1998" i="5"/>
  <c r="H1998" i="5"/>
  <c r="F1999" i="5"/>
  <c r="G1999" i="5"/>
  <c r="H1999" i="5"/>
  <c r="F2000" i="5"/>
  <c r="G2000" i="5"/>
  <c r="H2000" i="5"/>
  <c r="F2001" i="5"/>
  <c r="G2001" i="5"/>
  <c r="H2001" i="5"/>
  <c r="F2002" i="5"/>
  <c r="G2002" i="5"/>
  <c r="H2002" i="5"/>
  <c r="F2003" i="5"/>
  <c r="G2003" i="5"/>
  <c r="H2003" i="5"/>
  <c r="F2004" i="5"/>
  <c r="G2004" i="5"/>
  <c r="H2004" i="5"/>
  <c r="F2005" i="5"/>
  <c r="G2005" i="5"/>
  <c r="H2005" i="5"/>
  <c r="F2006" i="5"/>
  <c r="G2006" i="5"/>
  <c r="H2006" i="5"/>
  <c r="F2007" i="5"/>
  <c r="G2007" i="5"/>
  <c r="H2007" i="5"/>
  <c r="F2008" i="5"/>
  <c r="G2008" i="5"/>
  <c r="H2008" i="5"/>
  <c r="F2009" i="5"/>
  <c r="G2009" i="5"/>
  <c r="H2009" i="5"/>
  <c r="F2010" i="5"/>
  <c r="G2010" i="5"/>
  <c r="H2010" i="5"/>
  <c r="F2011" i="5"/>
  <c r="G2011" i="5"/>
  <c r="H2011" i="5"/>
  <c r="F2012" i="5"/>
  <c r="G2012" i="5"/>
  <c r="H2012" i="5"/>
  <c r="F2013" i="5"/>
  <c r="G2013" i="5"/>
  <c r="H2013" i="5"/>
  <c r="F2014" i="5"/>
  <c r="G2014" i="5"/>
  <c r="H2014" i="5"/>
  <c r="F2015" i="5"/>
  <c r="G2015" i="5"/>
  <c r="H2015" i="5"/>
  <c r="F2016" i="5"/>
  <c r="G2016" i="5"/>
  <c r="H2016" i="5"/>
  <c r="F2017" i="5"/>
  <c r="G2017" i="5"/>
  <c r="H2017" i="5"/>
  <c r="F2018" i="5"/>
  <c r="G2018" i="5"/>
  <c r="H2018" i="5"/>
  <c r="F2019" i="5"/>
  <c r="G2019" i="5"/>
  <c r="H2019" i="5"/>
  <c r="F2020" i="5"/>
  <c r="G2020" i="5"/>
  <c r="H2020" i="5"/>
  <c r="F2021" i="5"/>
  <c r="G2021" i="5"/>
  <c r="H2021" i="5"/>
  <c r="F2022" i="5"/>
  <c r="G2022" i="5"/>
  <c r="H2022" i="5"/>
  <c r="F2023" i="5"/>
  <c r="G2023" i="5"/>
  <c r="H2023" i="5"/>
  <c r="F2024" i="5"/>
  <c r="G2024" i="5"/>
  <c r="H2024" i="5"/>
  <c r="F2025" i="5"/>
  <c r="G2025" i="5"/>
  <c r="H2025" i="5"/>
  <c r="F2026" i="5"/>
  <c r="G2026" i="5"/>
  <c r="H2026" i="5"/>
  <c r="F2027" i="5"/>
  <c r="G2027" i="5"/>
  <c r="H2027" i="5"/>
  <c r="F2028" i="5"/>
  <c r="G2028" i="5"/>
  <c r="H2028" i="5"/>
  <c r="F2029" i="5"/>
  <c r="G2029" i="5"/>
  <c r="H2029" i="5"/>
  <c r="F2030" i="5"/>
  <c r="G2030" i="5"/>
  <c r="H2030" i="5"/>
  <c r="F2031" i="5"/>
  <c r="G2031" i="5"/>
  <c r="H2031" i="5"/>
  <c r="F2032" i="5"/>
  <c r="G2032" i="5"/>
  <c r="H2032" i="5"/>
  <c r="F2033" i="5"/>
  <c r="G2033" i="5"/>
  <c r="H2033" i="5"/>
  <c r="F2034" i="5"/>
  <c r="G2034" i="5"/>
  <c r="H2034" i="5"/>
  <c r="F2035" i="5"/>
  <c r="G2035" i="5"/>
  <c r="H2035" i="5"/>
  <c r="F2036" i="5"/>
  <c r="G2036" i="5"/>
  <c r="H2036" i="5"/>
  <c r="F2037" i="5"/>
  <c r="G2037" i="5"/>
  <c r="H2037" i="5"/>
  <c r="F2038" i="5"/>
  <c r="G2038" i="5"/>
  <c r="H2038" i="5"/>
  <c r="F2039" i="5"/>
  <c r="G2039" i="5"/>
  <c r="H2039" i="5"/>
  <c r="F2040" i="5"/>
  <c r="G2040" i="5"/>
  <c r="H2040" i="5"/>
  <c r="F2041" i="5"/>
  <c r="G2041" i="5"/>
  <c r="H2041" i="5"/>
  <c r="F2042" i="5"/>
  <c r="G2042" i="5"/>
  <c r="H2042" i="5"/>
  <c r="F2043" i="5"/>
  <c r="G2043" i="5"/>
  <c r="H2043" i="5"/>
  <c r="F2044" i="5"/>
  <c r="G2044" i="5"/>
  <c r="H2044" i="5"/>
  <c r="F2045" i="5"/>
  <c r="G2045" i="5"/>
  <c r="H2045" i="5"/>
  <c r="F2046" i="5"/>
  <c r="G2046" i="5"/>
  <c r="H2046" i="5"/>
  <c r="F2047" i="5"/>
  <c r="G2047" i="5"/>
  <c r="H2047" i="5"/>
  <c r="F2048" i="5"/>
  <c r="G2048" i="5"/>
  <c r="H2048" i="5"/>
  <c r="F2049" i="5"/>
  <c r="G2049" i="5"/>
  <c r="H2049" i="5"/>
  <c r="F2050" i="5"/>
  <c r="G2050" i="5"/>
  <c r="H2050" i="5"/>
  <c r="F2051" i="5"/>
  <c r="G2051" i="5"/>
  <c r="H2051" i="5"/>
  <c r="F2052" i="5"/>
  <c r="G2052" i="5"/>
  <c r="H2052" i="5"/>
  <c r="F2053" i="5"/>
  <c r="G2053" i="5"/>
  <c r="H2053" i="5"/>
  <c r="F2054" i="5"/>
  <c r="G2054" i="5"/>
  <c r="H2054" i="5"/>
  <c r="F2055" i="5"/>
  <c r="G2055" i="5"/>
  <c r="H2055" i="5"/>
  <c r="F2056" i="5"/>
  <c r="G2056" i="5"/>
  <c r="H2056" i="5"/>
  <c r="F2057" i="5"/>
  <c r="G2057" i="5"/>
  <c r="H2057" i="5"/>
  <c r="F2058" i="5"/>
  <c r="G2058" i="5"/>
  <c r="H2058" i="5"/>
  <c r="F2059" i="5"/>
  <c r="G2059" i="5"/>
  <c r="H2059" i="5"/>
  <c r="F2060" i="5"/>
  <c r="G2060" i="5"/>
  <c r="H2060" i="5"/>
  <c r="F2061" i="5"/>
  <c r="G2061" i="5"/>
  <c r="H2061" i="5"/>
  <c r="F2062" i="5"/>
  <c r="G2062" i="5"/>
  <c r="H2062" i="5"/>
  <c r="F2063" i="5"/>
  <c r="G2063" i="5"/>
  <c r="H2063" i="5"/>
  <c r="F2064" i="5"/>
  <c r="G2064" i="5"/>
  <c r="H2064" i="5"/>
  <c r="F2065" i="5"/>
  <c r="G2065" i="5"/>
  <c r="H2065" i="5"/>
  <c r="F2066" i="5"/>
  <c r="G2066" i="5"/>
  <c r="H2066" i="5"/>
  <c r="F2067" i="5"/>
  <c r="G2067" i="5"/>
  <c r="H2067" i="5"/>
  <c r="F2068" i="5"/>
  <c r="G2068" i="5"/>
  <c r="H2068" i="5"/>
  <c r="F2069" i="5"/>
  <c r="G2069" i="5"/>
  <c r="H2069" i="5"/>
  <c r="F2070" i="5"/>
  <c r="G2070" i="5"/>
  <c r="H2070" i="5"/>
  <c r="F2071" i="5"/>
  <c r="G2071" i="5"/>
  <c r="H2071" i="5"/>
  <c r="F2072" i="5"/>
  <c r="G2072" i="5"/>
  <c r="H2072" i="5"/>
  <c r="F2073" i="5"/>
  <c r="G2073" i="5"/>
  <c r="H2073" i="5"/>
  <c r="F2074" i="5"/>
  <c r="G2074" i="5"/>
  <c r="H2074" i="5"/>
  <c r="F2075" i="5"/>
  <c r="G2075" i="5"/>
  <c r="H2075" i="5"/>
  <c r="F2076" i="5"/>
  <c r="G2076" i="5"/>
  <c r="H2076" i="5"/>
  <c r="F2077" i="5"/>
  <c r="G2077" i="5"/>
  <c r="H2077" i="5"/>
  <c r="F2078" i="5"/>
  <c r="G2078" i="5"/>
  <c r="H2078" i="5"/>
  <c r="F2079" i="5"/>
  <c r="G2079" i="5"/>
  <c r="H2079" i="5"/>
  <c r="F2080" i="5"/>
  <c r="G2080" i="5"/>
  <c r="H2080" i="5"/>
  <c r="F2081" i="5"/>
  <c r="G2081" i="5"/>
  <c r="H2081" i="5"/>
  <c r="F2082" i="5"/>
  <c r="G2082" i="5"/>
  <c r="H2082" i="5"/>
  <c r="F2083" i="5"/>
  <c r="G2083" i="5"/>
  <c r="H2083" i="5"/>
  <c r="F2084" i="5"/>
  <c r="G2084" i="5"/>
  <c r="H2084" i="5"/>
  <c r="F2085" i="5"/>
  <c r="G2085" i="5"/>
  <c r="H2085" i="5"/>
  <c r="F2086" i="5"/>
  <c r="G2086" i="5"/>
  <c r="H2086" i="5"/>
  <c r="F2087" i="5"/>
  <c r="G2087" i="5"/>
  <c r="H2087" i="5"/>
  <c r="F2088" i="5"/>
  <c r="G2088" i="5"/>
  <c r="H2088" i="5"/>
  <c r="F2089" i="5"/>
  <c r="G2089" i="5"/>
  <c r="H2089" i="5"/>
  <c r="F2090" i="5"/>
  <c r="G2090" i="5"/>
  <c r="H2090" i="5"/>
  <c r="F2091" i="5"/>
  <c r="G2091" i="5"/>
  <c r="H2091" i="5"/>
  <c r="F2092" i="5"/>
  <c r="G2092" i="5"/>
  <c r="H2092" i="5"/>
  <c r="F2093" i="5"/>
  <c r="G2093" i="5"/>
  <c r="H2093" i="5"/>
  <c r="F2094" i="5"/>
  <c r="G2094" i="5"/>
  <c r="H2094" i="5"/>
  <c r="F2095" i="5"/>
  <c r="G2095" i="5"/>
  <c r="H2095" i="5"/>
  <c r="F2096" i="5"/>
  <c r="G2096" i="5"/>
  <c r="H2096" i="5"/>
  <c r="F2097" i="5"/>
  <c r="G2097" i="5"/>
  <c r="H2097" i="5"/>
  <c r="F2098" i="5"/>
  <c r="G2098" i="5"/>
  <c r="H2098" i="5"/>
  <c r="F2099" i="5"/>
  <c r="G2099" i="5"/>
  <c r="H2099" i="5"/>
  <c r="F2100" i="5"/>
  <c r="G2100" i="5"/>
  <c r="H2100" i="5"/>
  <c r="F2101" i="5"/>
  <c r="G2101" i="5"/>
  <c r="H2101" i="5"/>
  <c r="F2102" i="5"/>
  <c r="G2102" i="5"/>
  <c r="H2102" i="5"/>
  <c r="F2103" i="5"/>
  <c r="G2103" i="5"/>
  <c r="H2103" i="5"/>
  <c r="F2104" i="5"/>
  <c r="G2104" i="5"/>
  <c r="H2104" i="5"/>
  <c r="F2105" i="5"/>
  <c r="G2105" i="5"/>
  <c r="H2105" i="5"/>
  <c r="F2106" i="5"/>
  <c r="G2106" i="5"/>
  <c r="H2106" i="5"/>
  <c r="F2107" i="5"/>
  <c r="G2107" i="5"/>
  <c r="H2107" i="5"/>
  <c r="F2108" i="5"/>
  <c r="G2108" i="5"/>
  <c r="H2108" i="5"/>
  <c r="F2109" i="5"/>
  <c r="G2109" i="5"/>
  <c r="H2109" i="5"/>
  <c r="F2110" i="5"/>
  <c r="G2110" i="5"/>
  <c r="H2110" i="5"/>
  <c r="F2111" i="5"/>
  <c r="G2111" i="5"/>
  <c r="H2111" i="5"/>
  <c r="F2112" i="5"/>
  <c r="G2112" i="5"/>
  <c r="H2112" i="5"/>
  <c r="F2113" i="5"/>
  <c r="G2113" i="5"/>
  <c r="H2113" i="5"/>
  <c r="F2114" i="5"/>
  <c r="G2114" i="5"/>
  <c r="H2114" i="5"/>
  <c r="F2115" i="5"/>
  <c r="G2115" i="5"/>
  <c r="H2115" i="5"/>
  <c r="F2116" i="5"/>
  <c r="G2116" i="5"/>
  <c r="H2116" i="5"/>
  <c r="F2117" i="5"/>
  <c r="G2117" i="5"/>
  <c r="H2117" i="5"/>
  <c r="F2118" i="5"/>
  <c r="G2118" i="5"/>
  <c r="H2118" i="5"/>
  <c r="F2119" i="5"/>
  <c r="G2119" i="5"/>
  <c r="H2119" i="5"/>
  <c r="F2120" i="5"/>
  <c r="G2120" i="5"/>
  <c r="H2120" i="5"/>
  <c r="F2121" i="5"/>
  <c r="G2121" i="5"/>
  <c r="H2121" i="5"/>
  <c r="F2122" i="5"/>
  <c r="G2122" i="5"/>
  <c r="H2122" i="5"/>
  <c r="F2123" i="5"/>
  <c r="G2123" i="5"/>
  <c r="H2123" i="5"/>
  <c r="F2124" i="5"/>
  <c r="G2124" i="5"/>
  <c r="H2124" i="5"/>
  <c r="F2125" i="5"/>
  <c r="G2125" i="5"/>
  <c r="H2125" i="5"/>
  <c r="F2126" i="5"/>
  <c r="G2126" i="5"/>
  <c r="H2126" i="5"/>
  <c r="F2127" i="5"/>
  <c r="G2127" i="5"/>
  <c r="H2127" i="5"/>
  <c r="F2128" i="5"/>
  <c r="G2128" i="5"/>
  <c r="H2128" i="5"/>
  <c r="F2129" i="5"/>
  <c r="G2129" i="5"/>
  <c r="H2129" i="5"/>
  <c r="F2130" i="5"/>
  <c r="G2130" i="5"/>
  <c r="H2130" i="5"/>
  <c r="F2131" i="5"/>
  <c r="G2131" i="5"/>
  <c r="H2131" i="5"/>
  <c r="F2132" i="5"/>
  <c r="G2132" i="5"/>
  <c r="H2132" i="5"/>
  <c r="F2133" i="5"/>
  <c r="G2133" i="5"/>
  <c r="H2133" i="5"/>
  <c r="F2134" i="5"/>
  <c r="G2134" i="5"/>
  <c r="H2134" i="5"/>
  <c r="F2135" i="5"/>
  <c r="G2135" i="5"/>
  <c r="H2135" i="5"/>
  <c r="F2136" i="5"/>
  <c r="G2136" i="5"/>
  <c r="H2136" i="5"/>
  <c r="F2137" i="5"/>
  <c r="G2137" i="5"/>
  <c r="H2137" i="5"/>
  <c r="F2138" i="5"/>
  <c r="G2138" i="5"/>
  <c r="H2138" i="5"/>
  <c r="F2139" i="5"/>
  <c r="G2139" i="5"/>
  <c r="H2139" i="5"/>
  <c r="F2140" i="5"/>
  <c r="G2140" i="5"/>
  <c r="H2140" i="5"/>
  <c r="F2141" i="5"/>
  <c r="G2141" i="5"/>
  <c r="H2141" i="5"/>
  <c r="F2142" i="5"/>
  <c r="G2142" i="5"/>
  <c r="H2142" i="5"/>
  <c r="F2143" i="5"/>
  <c r="G2143" i="5"/>
  <c r="H2143" i="5"/>
  <c r="F2144" i="5"/>
  <c r="G2144" i="5"/>
  <c r="H2144" i="5"/>
  <c r="F2145" i="5"/>
  <c r="G2145" i="5"/>
  <c r="H2145" i="5"/>
  <c r="F2146" i="5"/>
  <c r="G2146" i="5"/>
  <c r="H2146" i="5"/>
  <c r="F2147" i="5"/>
  <c r="G2147" i="5"/>
  <c r="H2147" i="5"/>
  <c r="F2148" i="5"/>
  <c r="G2148" i="5"/>
  <c r="H2148" i="5"/>
  <c r="F2149" i="5"/>
  <c r="G2149" i="5"/>
  <c r="H2149" i="5"/>
  <c r="F2150" i="5"/>
  <c r="G2150" i="5"/>
  <c r="H2150" i="5"/>
  <c r="F2151" i="5"/>
  <c r="G2151" i="5"/>
  <c r="H2151" i="5"/>
  <c r="F2152" i="5"/>
  <c r="G2152" i="5"/>
  <c r="H2152" i="5"/>
  <c r="F2153" i="5"/>
  <c r="G2153" i="5"/>
  <c r="H2153" i="5"/>
  <c r="F2154" i="5"/>
  <c r="G2154" i="5"/>
  <c r="H2154" i="5"/>
  <c r="F2155" i="5"/>
  <c r="G2155" i="5"/>
  <c r="H2155" i="5"/>
  <c r="F2156" i="5"/>
  <c r="G2156" i="5"/>
  <c r="H2156" i="5"/>
  <c r="F2157" i="5"/>
  <c r="G2157" i="5"/>
  <c r="H2157" i="5"/>
  <c r="F2158" i="5"/>
  <c r="G2158" i="5"/>
  <c r="H2158" i="5"/>
  <c r="F2159" i="5"/>
  <c r="G2159" i="5"/>
  <c r="H2159" i="5"/>
  <c r="F2160" i="5"/>
  <c r="G2160" i="5"/>
  <c r="H2160" i="5"/>
  <c r="F2161" i="5"/>
  <c r="G2161" i="5"/>
  <c r="H2161" i="5"/>
  <c r="F2162" i="5"/>
  <c r="G2162" i="5"/>
  <c r="H2162" i="5"/>
  <c r="F2163" i="5"/>
  <c r="G2163" i="5"/>
  <c r="H2163" i="5"/>
  <c r="F2164" i="5"/>
  <c r="G2164" i="5"/>
  <c r="H2164" i="5"/>
  <c r="F2165" i="5"/>
  <c r="G2165" i="5"/>
  <c r="H2165" i="5"/>
  <c r="F2166" i="5"/>
  <c r="G2166" i="5"/>
  <c r="H2166" i="5"/>
  <c r="F2167" i="5"/>
  <c r="G2167" i="5"/>
  <c r="H2167" i="5"/>
  <c r="F2168" i="5"/>
  <c r="G2168" i="5"/>
  <c r="H2168" i="5"/>
  <c r="F2169" i="5"/>
  <c r="G2169" i="5"/>
  <c r="H2169" i="5"/>
  <c r="F2170" i="5"/>
  <c r="G2170" i="5"/>
  <c r="H2170" i="5"/>
  <c r="F2171" i="5"/>
  <c r="G2171" i="5"/>
  <c r="H2171" i="5"/>
  <c r="F2172" i="5"/>
  <c r="G2172" i="5"/>
  <c r="H2172" i="5"/>
  <c r="F2173" i="5"/>
  <c r="G2173" i="5"/>
  <c r="H2173" i="5"/>
  <c r="F2174" i="5"/>
  <c r="G2174" i="5"/>
  <c r="H2174" i="5"/>
  <c r="F2175" i="5"/>
  <c r="G2175" i="5"/>
  <c r="H2175" i="5"/>
  <c r="F2176" i="5"/>
  <c r="G2176" i="5"/>
  <c r="H2176" i="5"/>
  <c r="F2177" i="5"/>
  <c r="G2177" i="5"/>
  <c r="H2177" i="5"/>
  <c r="F2178" i="5"/>
  <c r="G2178" i="5"/>
  <c r="H2178" i="5"/>
  <c r="F2179" i="5"/>
  <c r="G2179" i="5"/>
  <c r="H2179" i="5"/>
  <c r="F2180" i="5"/>
  <c r="G2180" i="5"/>
  <c r="H2180" i="5"/>
  <c r="F2181" i="5"/>
  <c r="G2181" i="5"/>
  <c r="H2181" i="5"/>
  <c r="F2182" i="5"/>
  <c r="G2182" i="5"/>
  <c r="H2182" i="5"/>
  <c r="F2183" i="5"/>
  <c r="G2183" i="5"/>
  <c r="H2183" i="5"/>
  <c r="F2184" i="5"/>
  <c r="G2184" i="5"/>
  <c r="H2184" i="5"/>
  <c r="F2185" i="5"/>
  <c r="G2185" i="5"/>
  <c r="H2185" i="5"/>
  <c r="F2186" i="5"/>
  <c r="G2186" i="5"/>
  <c r="H2186" i="5"/>
  <c r="F2187" i="5"/>
  <c r="G2187" i="5"/>
  <c r="H2187" i="5"/>
  <c r="F2188" i="5"/>
  <c r="G2188" i="5"/>
  <c r="H2188" i="5"/>
  <c r="F2189" i="5"/>
  <c r="G2189" i="5"/>
  <c r="H2189" i="5"/>
  <c r="F2190" i="5"/>
  <c r="G2190" i="5"/>
  <c r="H2190" i="5"/>
  <c r="F2191" i="5"/>
  <c r="G2191" i="5"/>
  <c r="H2191" i="5"/>
  <c r="F2192" i="5"/>
  <c r="G2192" i="5"/>
  <c r="H2192" i="5"/>
  <c r="F2193" i="5"/>
  <c r="G2193" i="5"/>
  <c r="H2193" i="5"/>
  <c r="F2194" i="5"/>
  <c r="G2194" i="5"/>
  <c r="H2194" i="5"/>
  <c r="F2195" i="5"/>
  <c r="G2195" i="5"/>
  <c r="H2195" i="5"/>
  <c r="F2196" i="5"/>
  <c r="G2196" i="5"/>
  <c r="H2196" i="5"/>
  <c r="F2197" i="5"/>
  <c r="G2197" i="5"/>
  <c r="H2197" i="5"/>
  <c r="F2198" i="5"/>
  <c r="G2198" i="5"/>
  <c r="H2198" i="5"/>
  <c r="F2199" i="5"/>
  <c r="G2199" i="5"/>
  <c r="H2199" i="5"/>
  <c r="F2200" i="5"/>
  <c r="G2200" i="5"/>
  <c r="H2200" i="5"/>
  <c r="F2201" i="5"/>
  <c r="G2201" i="5"/>
  <c r="H2201" i="5"/>
  <c r="F2202" i="5"/>
  <c r="G2202" i="5"/>
  <c r="H2202" i="5"/>
  <c r="F2203" i="5"/>
  <c r="G2203" i="5"/>
  <c r="H2203" i="5"/>
  <c r="F2204" i="5"/>
  <c r="G2204" i="5"/>
  <c r="H2204" i="5"/>
  <c r="F2205" i="5"/>
  <c r="G2205" i="5"/>
  <c r="H2205" i="5"/>
  <c r="F2206" i="5"/>
  <c r="G2206" i="5"/>
  <c r="H2206" i="5"/>
  <c r="F2207" i="5"/>
  <c r="G2207" i="5"/>
  <c r="H2207" i="5"/>
  <c r="F2208" i="5"/>
  <c r="G2208" i="5"/>
  <c r="H2208" i="5"/>
  <c r="F2209" i="5"/>
  <c r="G2209" i="5"/>
  <c r="H2209" i="5"/>
  <c r="F2210" i="5"/>
  <c r="G2210" i="5"/>
  <c r="H2210" i="5"/>
  <c r="F2211" i="5"/>
  <c r="G2211" i="5"/>
  <c r="H2211" i="5"/>
  <c r="F2212" i="5"/>
  <c r="G2212" i="5"/>
  <c r="H2212" i="5"/>
  <c r="F2213" i="5"/>
  <c r="G2213" i="5"/>
  <c r="H2213" i="5"/>
  <c r="F2214" i="5"/>
  <c r="G2214" i="5"/>
  <c r="H2214" i="5"/>
  <c r="F2215" i="5"/>
  <c r="G2215" i="5"/>
  <c r="H2215" i="5"/>
  <c r="F2216" i="5"/>
  <c r="G2216" i="5"/>
  <c r="H2216" i="5"/>
  <c r="F2217" i="5"/>
  <c r="G2217" i="5"/>
  <c r="H2217" i="5"/>
  <c r="F2218" i="5"/>
  <c r="G2218" i="5"/>
  <c r="H2218" i="5"/>
  <c r="F2219" i="5"/>
  <c r="G2219" i="5"/>
  <c r="H2219" i="5"/>
  <c r="F2220" i="5"/>
  <c r="G2220" i="5"/>
  <c r="H2220" i="5"/>
  <c r="F2221" i="5"/>
  <c r="G2221" i="5"/>
  <c r="H2221" i="5"/>
  <c r="F2222" i="5"/>
  <c r="G2222" i="5"/>
  <c r="H2222" i="5"/>
  <c r="F2223" i="5"/>
  <c r="G2223" i="5"/>
  <c r="H2223" i="5"/>
  <c r="F2224" i="5"/>
  <c r="G2224" i="5"/>
  <c r="H2224" i="5"/>
  <c r="F2225" i="5"/>
  <c r="G2225" i="5"/>
  <c r="H2225" i="5"/>
  <c r="F2226" i="5"/>
  <c r="G2226" i="5"/>
  <c r="H2226" i="5"/>
  <c r="F2227" i="5"/>
  <c r="G2227" i="5"/>
  <c r="H2227" i="5"/>
  <c r="F2228" i="5"/>
  <c r="G2228" i="5"/>
  <c r="H2228" i="5"/>
  <c r="F2229" i="5"/>
  <c r="G2229" i="5"/>
  <c r="H2229" i="5"/>
  <c r="F2230" i="5"/>
  <c r="G2230" i="5"/>
  <c r="H2230" i="5"/>
  <c r="F2231" i="5"/>
  <c r="G2231" i="5"/>
  <c r="H2231" i="5"/>
  <c r="F2232" i="5"/>
  <c r="G2232" i="5"/>
  <c r="H2232" i="5"/>
  <c r="F2233" i="5"/>
  <c r="G2233" i="5"/>
  <c r="H2233" i="5"/>
  <c r="F2234" i="5"/>
  <c r="G2234" i="5"/>
  <c r="H2234" i="5"/>
  <c r="F2235" i="5"/>
  <c r="G2235" i="5"/>
  <c r="H2235" i="5"/>
  <c r="F2236" i="5"/>
  <c r="G2236" i="5"/>
  <c r="H2236" i="5"/>
  <c r="F2237" i="5"/>
  <c r="G2237" i="5"/>
  <c r="H2237" i="5"/>
  <c r="F2238" i="5"/>
  <c r="G2238" i="5"/>
  <c r="H2238" i="5"/>
  <c r="F2239" i="5"/>
  <c r="G2239" i="5"/>
  <c r="H2239" i="5"/>
  <c r="F2240" i="5"/>
  <c r="G2240" i="5"/>
  <c r="H2240" i="5"/>
  <c r="F2241" i="5"/>
  <c r="G2241" i="5"/>
  <c r="H2241" i="5"/>
  <c r="F2242" i="5"/>
  <c r="G2242" i="5"/>
  <c r="H2242" i="5"/>
  <c r="F2243" i="5"/>
  <c r="G2243" i="5"/>
  <c r="H2243" i="5"/>
  <c r="F2244" i="5"/>
  <c r="G2244" i="5"/>
  <c r="H2244" i="5"/>
  <c r="F2245" i="5"/>
  <c r="G2245" i="5"/>
  <c r="H2245" i="5"/>
  <c r="F2246" i="5"/>
  <c r="G2246" i="5"/>
  <c r="H2246" i="5"/>
  <c r="F2247" i="5"/>
  <c r="G2247" i="5"/>
  <c r="H2247" i="5"/>
  <c r="F2248" i="5"/>
  <c r="G2248" i="5"/>
  <c r="H2248" i="5"/>
  <c r="F2249" i="5"/>
  <c r="G2249" i="5"/>
  <c r="H2249" i="5"/>
  <c r="F2250" i="5"/>
  <c r="G2250" i="5"/>
  <c r="H2250" i="5"/>
  <c r="F2251" i="5"/>
  <c r="G2251" i="5"/>
  <c r="H2251" i="5"/>
  <c r="F2252" i="5"/>
  <c r="G2252" i="5"/>
  <c r="H2252" i="5"/>
  <c r="F2253" i="5"/>
  <c r="G2253" i="5"/>
  <c r="H2253" i="5"/>
  <c r="F2254" i="5"/>
  <c r="G2254" i="5"/>
  <c r="H2254" i="5"/>
  <c r="F2255" i="5"/>
  <c r="G2255" i="5"/>
  <c r="H2255" i="5"/>
  <c r="F2256" i="5"/>
  <c r="G2256" i="5"/>
  <c r="H2256" i="5"/>
  <c r="F2257" i="5"/>
  <c r="G2257" i="5"/>
  <c r="H2257" i="5"/>
  <c r="F2258" i="5"/>
  <c r="G2258" i="5"/>
  <c r="H2258" i="5"/>
  <c r="F2259" i="5"/>
  <c r="G2259" i="5"/>
  <c r="H2259" i="5"/>
  <c r="F2260" i="5"/>
  <c r="G2260" i="5"/>
  <c r="H2260" i="5"/>
  <c r="F2261" i="5"/>
  <c r="G2261" i="5"/>
  <c r="H2261" i="5"/>
  <c r="F2262" i="5"/>
  <c r="G2262" i="5"/>
  <c r="H2262" i="5"/>
  <c r="F2263" i="5"/>
  <c r="G2263" i="5"/>
  <c r="H2263" i="5"/>
  <c r="F2264" i="5"/>
  <c r="G2264" i="5"/>
  <c r="H2264" i="5"/>
  <c r="F2265" i="5"/>
  <c r="G2265" i="5"/>
  <c r="H2265" i="5"/>
  <c r="F2266" i="5"/>
  <c r="G2266" i="5"/>
  <c r="H2266" i="5"/>
  <c r="F2267" i="5"/>
  <c r="G2267" i="5"/>
  <c r="H2267" i="5"/>
  <c r="F2268" i="5"/>
  <c r="G2268" i="5"/>
  <c r="H2268" i="5"/>
  <c r="F2269" i="5"/>
  <c r="G2269" i="5"/>
  <c r="H2269" i="5"/>
  <c r="F2270" i="5"/>
  <c r="G2270" i="5"/>
  <c r="H2270" i="5"/>
  <c r="F2271" i="5"/>
  <c r="G2271" i="5"/>
  <c r="H2271" i="5"/>
  <c r="F2272" i="5"/>
  <c r="G2272" i="5"/>
  <c r="H2272" i="5"/>
  <c r="F2273" i="5"/>
  <c r="G2273" i="5"/>
  <c r="H2273" i="5"/>
  <c r="F2274" i="5"/>
  <c r="G2274" i="5"/>
  <c r="H2274" i="5"/>
  <c r="F2275" i="5"/>
  <c r="G2275" i="5"/>
  <c r="H2275" i="5"/>
  <c r="F2276" i="5"/>
  <c r="G2276" i="5"/>
  <c r="H2276" i="5"/>
  <c r="F2277" i="5"/>
  <c r="G2277" i="5"/>
  <c r="H2277" i="5"/>
  <c r="F2278" i="5"/>
  <c r="G2278" i="5"/>
  <c r="H2278" i="5"/>
  <c r="F2279" i="5"/>
  <c r="G2279" i="5"/>
  <c r="H2279" i="5"/>
  <c r="F2280" i="5"/>
  <c r="G2280" i="5"/>
  <c r="H2280" i="5"/>
  <c r="F2281" i="5"/>
  <c r="G2281" i="5"/>
  <c r="H2281" i="5"/>
  <c r="F2282" i="5"/>
  <c r="G2282" i="5"/>
  <c r="H2282" i="5"/>
  <c r="F2283" i="5"/>
  <c r="G2283" i="5"/>
  <c r="H2283" i="5"/>
  <c r="F2284" i="5"/>
  <c r="G2284" i="5"/>
  <c r="H2284" i="5"/>
  <c r="F2285" i="5"/>
  <c r="G2285" i="5"/>
  <c r="H2285" i="5"/>
  <c r="F2286" i="5"/>
  <c r="G2286" i="5"/>
  <c r="H2286" i="5"/>
  <c r="F2287" i="5"/>
  <c r="G2287" i="5"/>
  <c r="H2287" i="5"/>
  <c r="F2288" i="5"/>
  <c r="G2288" i="5"/>
  <c r="H2288" i="5"/>
  <c r="F2289" i="5"/>
  <c r="G2289" i="5"/>
  <c r="H2289" i="5"/>
  <c r="F2290" i="5"/>
  <c r="G2290" i="5"/>
  <c r="H2290" i="5"/>
  <c r="F2291" i="5"/>
  <c r="G2291" i="5"/>
  <c r="H2291" i="5"/>
  <c r="F2292" i="5"/>
  <c r="G2292" i="5"/>
  <c r="H2292" i="5"/>
  <c r="F2293" i="5"/>
  <c r="G2293" i="5"/>
  <c r="H2293" i="5"/>
  <c r="F2294" i="5"/>
  <c r="G2294" i="5"/>
  <c r="H2294" i="5"/>
  <c r="F2295" i="5"/>
  <c r="G2295" i="5"/>
  <c r="H2295" i="5"/>
  <c r="F2296" i="5"/>
  <c r="G2296" i="5"/>
  <c r="H2296" i="5"/>
  <c r="F2297" i="5"/>
  <c r="G2297" i="5"/>
  <c r="H2297" i="5"/>
  <c r="F2298" i="5"/>
  <c r="G2298" i="5"/>
  <c r="H2298" i="5"/>
  <c r="F2299" i="5"/>
  <c r="G2299" i="5"/>
  <c r="H2299" i="5"/>
  <c r="F2300" i="5"/>
  <c r="G2300" i="5"/>
  <c r="H2300" i="5"/>
  <c r="F2301" i="5"/>
  <c r="G2301" i="5"/>
  <c r="H2301" i="5"/>
  <c r="F2302" i="5"/>
  <c r="G2302" i="5"/>
  <c r="H2302" i="5"/>
  <c r="F2303" i="5"/>
  <c r="G2303" i="5"/>
  <c r="H2303" i="5"/>
  <c r="F2304" i="5"/>
  <c r="G2304" i="5"/>
  <c r="H2304" i="5"/>
  <c r="F2305" i="5"/>
  <c r="G2305" i="5"/>
  <c r="H2305" i="5"/>
  <c r="F2306" i="5"/>
  <c r="G2306" i="5"/>
  <c r="H2306" i="5"/>
  <c r="F2307" i="5"/>
  <c r="G2307" i="5"/>
  <c r="H2307" i="5"/>
  <c r="F2308" i="5"/>
  <c r="G2308" i="5"/>
  <c r="H2308" i="5"/>
  <c r="F2309" i="5"/>
  <c r="G2309" i="5"/>
  <c r="H2309" i="5"/>
  <c r="F2310" i="5"/>
  <c r="G2310" i="5"/>
  <c r="H2310" i="5"/>
  <c r="F2311" i="5"/>
  <c r="G2311" i="5"/>
  <c r="H2311" i="5"/>
  <c r="F2312" i="5"/>
  <c r="G2312" i="5"/>
  <c r="H2312" i="5"/>
  <c r="F2313" i="5"/>
  <c r="G2313" i="5"/>
  <c r="H2313" i="5"/>
  <c r="F2314" i="5"/>
  <c r="G2314" i="5"/>
  <c r="H2314" i="5"/>
  <c r="F2315" i="5"/>
  <c r="G2315" i="5"/>
  <c r="H2315" i="5"/>
  <c r="F2316" i="5"/>
  <c r="G2316" i="5"/>
  <c r="H2316" i="5"/>
  <c r="F2317" i="5"/>
  <c r="G2317" i="5"/>
  <c r="H2317" i="5"/>
  <c r="F2318" i="5"/>
  <c r="G2318" i="5"/>
  <c r="H2318" i="5"/>
  <c r="F2319" i="5"/>
  <c r="G2319" i="5"/>
  <c r="H2319" i="5"/>
  <c r="F2320" i="5"/>
  <c r="G2320" i="5"/>
  <c r="H2320" i="5"/>
  <c r="F2321" i="5"/>
  <c r="G2321" i="5"/>
  <c r="H2321" i="5"/>
  <c r="F2322" i="5"/>
  <c r="G2322" i="5"/>
  <c r="H2322" i="5"/>
  <c r="F2323" i="5"/>
  <c r="G2323" i="5"/>
  <c r="H2323" i="5"/>
  <c r="F2324" i="5"/>
  <c r="G2324" i="5"/>
  <c r="H2324" i="5"/>
  <c r="F2325" i="5"/>
  <c r="G2325" i="5"/>
  <c r="H2325" i="5"/>
  <c r="F2326" i="5"/>
  <c r="G2326" i="5"/>
  <c r="H2326" i="5"/>
  <c r="F2327" i="5"/>
  <c r="G2327" i="5"/>
  <c r="H2327" i="5"/>
  <c r="F2328" i="5"/>
  <c r="G2328" i="5"/>
  <c r="H2328" i="5"/>
  <c r="F2329" i="5"/>
  <c r="G2329" i="5"/>
  <c r="H2329" i="5"/>
  <c r="F2330" i="5"/>
  <c r="G2330" i="5"/>
  <c r="H2330" i="5"/>
  <c r="F2331" i="5"/>
  <c r="G2331" i="5"/>
  <c r="H2331" i="5"/>
  <c r="F2332" i="5"/>
  <c r="G2332" i="5"/>
  <c r="H2332" i="5"/>
  <c r="F2333" i="5"/>
  <c r="G2333" i="5"/>
  <c r="H2333" i="5"/>
  <c r="F2334" i="5"/>
  <c r="G2334" i="5"/>
  <c r="H2334" i="5"/>
  <c r="F2335" i="5"/>
  <c r="G2335" i="5"/>
  <c r="H2335" i="5"/>
  <c r="F2336" i="5"/>
  <c r="G2336" i="5"/>
  <c r="H2336" i="5"/>
  <c r="F2337" i="5"/>
  <c r="G2337" i="5"/>
  <c r="H2337" i="5"/>
  <c r="F2338" i="5"/>
  <c r="G2338" i="5"/>
  <c r="H2338" i="5"/>
  <c r="F2339" i="5"/>
  <c r="G2339" i="5"/>
  <c r="H2339" i="5"/>
  <c r="F2340" i="5"/>
  <c r="G2340" i="5"/>
  <c r="H2340" i="5"/>
  <c r="F2341" i="5"/>
  <c r="G2341" i="5"/>
  <c r="H2341" i="5"/>
  <c r="F2342" i="5"/>
  <c r="G2342" i="5"/>
  <c r="H2342" i="5"/>
  <c r="F2343" i="5"/>
  <c r="G2343" i="5"/>
  <c r="H2343" i="5"/>
  <c r="F2344" i="5"/>
  <c r="G2344" i="5"/>
  <c r="H2344" i="5"/>
  <c r="F2345" i="5"/>
  <c r="G2345" i="5"/>
  <c r="H2345" i="5"/>
  <c r="F2346" i="5"/>
  <c r="G2346" i="5"/>
  <c r="H2346" i="5"/>
  <c r="F2347" i="5"/>
  <c r="G2347" i="5"/>
  <c r="H2347" i="5"/>
  <c r="F2348" i="5"/>
  <c r="G2348" i="5"/>
  <c r="H2348" i="5"/>
  <c r="F2349" i="5"/>
  <c r="G2349" i="5"/>
  <c r="H2349" i="5"/>
  <c r="F2350" i="5"/>
  <c r="G2350" i="5"/>
  <c r="H2350" i="5"/>
  <c r="F2351" i="5"/>
  <c r="G2351" i="5"/>
  <c r="H2351" i="5"/>
  <c r="F2352" i="5"/>
  <c r="G2352" i="5"/>
  <c r="H2352" i="5"/>
  <c r="F2353" i="5"/>
  <c r="G2353" i="5"/>
  <c r="H2353" i="5"/>
  <c r="F2354" i="5"/>
  <c r="G2354" i="5"/>
  <c r="H2354" i="5"/>
  <c r="F2355" i="5"/>
  <c r="G2355" i="5"/>
  <c r="H2355" i="5"/>
  <c r="F2356" i="5"/>
  <c r="G2356" i="5"/>
  <c r="H2356" i="5"/>
  <c r="F2357" i="5"/>
  <c r="G2357" i="5"/>
  <c r="H2357" i="5"/>
  <c r="F2358" i="5"/>
  <c r="G2358" i="5"/>
  <c r="H2358" i="5"/>
  <c r="F2359" i="5"/>
  <c r="G2359" i="5"/>
  <c r="H2359" i="5"/>
  <c r="F2360" i="5"/>
  <c r="G2360" i="5"/>
  <c r="H2360" i="5"/>
  <c r="F2361" i="5"/>
  <c r="G2361" i="5"/>
  <c r="H2361" i="5"/>
  <c r="F2362" i="5"/>
  <c r="G2362" i="5"/>
  <c r="H2362" i="5"/>
  <c r="F2363" i="5"/>
  <c r="G2363" i="5"/>
  <c r="H2363" i="5"/>
  <c r="F2364" i="5"/>
  <c r="G2364" i="5"/>
  <c r="H2364" i="5"/>
  <c r="F2365" i="5"/>
  <c r="G2365" i="5"/>
  <c r="H2365" i="5"/>
  <c r="F2366" i="5"/>
  <c r="G2366" i="5"/>
  <c r="H2366" i="5"/>
  <c r="F2367" i="5"/>
  <c r="G2367" i="5"/>
  <c r="H2367" i="5"/>
  <c r="F2368" i="5"/>
  <c r="G2368" i="5"/>
  <c r="H2368" i="5"/>
  <c r="F2369" i="5"/>
  <c r="G2369" i="5"/>
  <c r="H2369" i="5"/>
  <c r="F2370" i="5"/>
  <c r="G2370" i="5"/>
  <c r="H2370" i="5"/>
  <c r="F2371" i="5"/>
  <c r="G2371" i="5"/>
  <c r="H2371" i="5"/>
  <c r="F2372" i="5"/>
  <c r="G2372" i="5"/>
  <c r="H2372" i="5"/>
  <c r="F2373" i="5"/>
  <c r="G2373" i="5"/>
  <c r="H2373" i="5"/>
  <c r="F2374" i="5"/>
  <c r="G2374" i="5"/>
  <c r="H2374" i="5"/>
  <c r="F2375" i="5"/>
  <c r="G2375" i="5"/>
  <c r="H2375" i="5"/>
  <c r="F2376" i="5"/>
  <c r="G2376" i="5"/>
  <c r="H2376" i="5"/>
  <c r="F2377" i="5"/>
  <c r="G2377" i="5"/>
  <c r="H2377" i="5"/>
  <c r="F2378" i="5"/>
  <c r="G2378" i="5"/>
  <c r="H2378" i="5"/>
  <c r="F2379" i="5"/>
  <c r="G2379" i="5"/>
  <c r="H2379" i="5"/>
  <c r="F2380" i="5"/>
  <c r="G2380" i="5"/>
  <c r="H2380" i="5"/>
  <c r="F2381" i="5"/>
  <c r="G2381" i="5"/>
  <c r="H2381" i="5"/>
  <c r="F2382" i="5"/>
  <c r="G2382" i="5"/>
  <c r="H2382" i="5"/>
  <c r="F2383" i="5"/>
  <c r="G2383" i="5"/>
  <c r="H2383" i="5"/>
  <c r="F2384" i="5"/>
  <c r="G2384" i="5"/>
  <c r="H2384" i="5"/>
  <c r="F2385" i="5"/>
  <c r="G2385" i="5"/>
  <c r="H2385" i="5"/>
  <c r="F2386" i="5"/>
  <c r="G2386" i="5"/>
  <c r="H2386" i="5"/>
  <c r="F2387" i="5"/>
  <c r="G2387" i="5"/>
  <c r="H2387" i="5"/>
  <c r="F2388" i="5"/>
  <c r="G2388" i="5"/>
  <c r="H2388" i="5"/>
  <c r="F2389" i="5"/>
  <c r="G2389" i="5"/>
  <c r="H2389" i="5"/>
  <c r="F2390" i="5"/>
  <c r="G2390" i="5"/>
  <c r="H2390" i="5"/>
  <c r="F2391" i="5"/>
  <c r="G2391" i="5"/>
  <c r="H2391" i="5"/>
  <c r="F2392" i="5"/>
  <c r="G2392" i="5"/>
  <c r="H2392" i="5"/>
  <c r="F2393" i="5"/>
  <c r="G2393" i="5"/>
  <c r="H2393" i="5"/>
  <c r="F2394" i="5"/>
  <c r="G2394" i="5"/>
  <c r="H2394" i="5"/>
  <c r="F2395" i="5"/>
  <c r="G2395" i="5"/>
  <c r="H2395" i="5"/>
  <c r="F2396" i="5"/>
  <c r="G2396" i="5"/>
  <c r="H2396" i="5"/>
  <c r="F2397" i="5"/>
  <c r="G2397" i="5"/>
  <c r="H2397" i="5"/>
  <c r="F2398" i="5"/>
  <c r="G2398" i="5"/>
  <c r="H2398" i="5"/>
  <c r="F2399" i="5"/>
  <c r="G2399" i="5"/>
  <c r="H2399" i="5"/>
  <c r="F2400" i="5"/>
  <c r="G2400" i="5"/>
  <c r="H2400" i="5"/>
  <c r="F2401" i="5"/>
  <c r="G2401" i="5"/>
  <c r="H2401" i="5"/>
  <c r="F2402" i="5"/>
  <c r="G2402" i="5"/>
  <c r="H2402" i="5"/>
  <c r="F2403" i="5"/>
  <c r="G2403" i="5"/>
  <c r="H2403" i="5"/>
  <c r="F2404" i="5"/>
  <c r="G2404" i="5"/>
  <c r="H2404" i="5"/>
  <c r="F2405" i="5"/>
  <c r="G2405" i="5"/>
  <c r="H2405" i="5"/>
  <c r="F2406" i="5"/>
  <c r="G2406" i="5"/>
  <c r="H2406" i="5"/>
  <c r="F2407" i="5"/>
  <c r="G2407" i="5"/>
  <c r="H2407" i="5"/>
  <c r="F2408" i="5"/>
  <c r="G2408" i="5"/>
  <c r="H2408" i="5"/>
  <c r="F2409" i="5"/>
  <c r="G2409" i="5"/>
  <c r="H2409" i="5"/>
  <c r="F2410" i="5"/>
  <c r="G2410" i="5"/>
  <c r="H2410" i="5"/>
  <c r="F2411" i="5"/>
  <c r="G2411" i="5"/>
  <c r="H2411" i="5"/>
  <c r="F2412" i="5"/>
  <c r="G2412" i="5"/>
  <c r="H2412" i="5"/>
  <c r="F2413" i="5"/>
  <c r="G2413" i="5"/>
  <c r="H2413" i="5"/>
  <c r="F2414" i="5"/>
  <c r="G2414" i="5"/>
  <c r="H2414" i="5"/>
  <c r="F2415" i="5"/>
  <c r="G2415" i="5"/>
  <c r="H2415" i="5"/>
  <c r="F2416" i="5"/>
  <c r="G2416" i="5"/>
  <c r="H2416" i="5"/>
  <c r="F2417" i="5"/>
  <c r="G2417" i="5"/>
  <c r="H2417" i="5"/>
  <c r="F2418" i="5"/>
  <c r="G2418" i="5"/>
  <c r="H2418" i="5"/>
  <c r="F2419" i="5"/>
  <c r="G2419" i="5"/>
  <c r="H2419" i="5"/>
  <c r="F2420" i="5"/>
  <c r="G2420" i="5"/>
  <c r="H2420" i="5"/>
  <c r="F2421" i="5"/>
  <c r="G2421" i="5"/>
  <c r="H2421" i="5"/>
  <c r="F2422" i="5"/>
  <c r="G2422" i="5"/>
  <c r="H2422" i="5"/>
  <c r="F2423" i="5"/>
  <c r="G2423" i="5"/>
  <c r="H2423" i="5"/>
  <c r="F2424" i="5"/>
  <c r="G2424" i="5"/>
  <c r="H2424" i="5"/>
  <c r="F2425" i="5"/>
  <c r="G2425" i="5"/>
  <c r="H2425" i="5"/>
  <c r="F2426" i="5"/>
  <c r="G2426" i="5"/>
  <c r="H2426" i="5"/>
  <c r="F2427" i="5"/>
  <c r="G2427" i="5"/>
  <c r="H2427" i="5"/>
  <c r="F2428" i="5"/>
  <c r="G2428" i="5"/>
  <c r="H2428" i="5"/>
  <c r="F2429" i="5"/>
  <c r="G2429" i="5"/>
  <c r="H2429" i="5"/>
  <c r="F2430" i="5"/>
  <c r="G2430" i="5"/>
  <c r="H2430" i="5"/>
  <c r="F2431" i="5"/>
  <c r="G2431" i="5"/>
  <c r="H2431" i="5"/>
  <c r="F2432" i="5"/>
  <c r="G2432" i="5"/>
  <c r="H2432" i="5"/>
  <c r="F2433" i="5"/>
  <c r="G2433" i="5"/>
  <c r="H2433" i="5"/>
  <c r="F2434" i="5"/>
  <c r="G2434" i="5"/>
  <c r="H2434" i="5"/>
  <c r="F2435" i="5"/>
  <c r="G2435" i="5"/>
  <c r="H2435" i="5"/>
  <c r="F2436" i="5"/>
  <c r="G2436" i="5"/>
  <c r="H2436" i="5"/>
  <c r="F2437" i="5"/>
  <c r="G2437" i="5"/>
  <c r="H2437" i="5"/>
  <c r="F2438" i="5"/>
  <c r="G2438" i="5"/>
  <c r="H2438" i="5"/>
  <c r="F2439" i="5"/>
  <c r="G2439" i="5"/>
  <c r="H2439" i="5"/>
  <c r="F2440" i="5"/>
  <c r="G2440" i="5"/>
  <c r="H2440" i="5"/>
  <c r="F2441" i="5"/>
  <c r="G2441" i="5"/>
  <c r="H2441" i="5"/>
  <c r="F2442" i="5"/>
  <c r="G2442" i="5"/>
  <c r="H2442" i="5"/>
  <c r="F2443" i="5"/>
  <c r="G2443" i="5"/>
  <c r="H2443" i="5"/>
  <c r="F2444" i="5"/>
  <c r="G2444" i="5"/>
  <c r="H2444" i="5"/>
  <c r="F2445" i="5"/>
  <c r="G2445" i="5"/>
  <c r="H2445" i="5"/>
  <c r="F2446" i="5"/>
  <c r="G2446" i="5"/>
  <c r="H2446" i="5"/>
  <c r="F2447" i="5"/>
  <c r="G2447" i="5"/>
  <c r="H2447" i="5"/>
  <c r="F2448" i="5"/>
  <c r="G2448" i="5"/>
  <c r="H2448" i="5"/>
  <c r="F2449" i="5"/>
  <c r="G2449" i="5"/>
  <c r="H2449" i="5"/>
  <c r="F2450" i="5"/>
  <c r="G2450" i="5"/>
  <c r="H2450" i="5"/>
  <c r="F2451" i="5"/>
  <c r="G2451" i="5"/>
  <c r="H2451" i="5"/>
  <c r="F2452" i="5"/>
  <c r="G2452" i="5"/>
  <c r="H2452" i="5"/>
  <c r="F2453" i="5"/>
  <c r="G2453" i="5"/>
  <c r="H2453" i="5"/>
  <c r="F2454" i="5"/>
  <c r="G2454" i="5"/>
  <c r="H2454" i="5"/>
  <c r="F2455" i="5"/>
  <c r="G2455" i="5"/>
  <c r="H2455" i="5"/>
  <c r="F2456" i="5"/>
  <c r="G2456" i="5"/>
  <c r="H2456" i="5"/>
  <c r="F2457" i="5"/>
  <c r="G2457" i="5"/>
  <c r="H2457" i="5"/>
  <c r="F2458" i="5"/>
  <c r="G2458" i="5"/>
  <c r="H2458" i="5"/>
  <c r="F2459" i="5"/>
  <c r="G2459" i="5"/>
  <c r="H2459" i="5"/>
  <c r="F2460" i="5"/>
  <c r="G2460" i="5"/>
  <c r="H2460" i="5"/>
  <c r="F2461" i="5"/>
  <c r="G2461" i="5"/>
  <c r="H2461" i="5"/>
  <c r="F2462" i="5"/>
  <c r="G2462" i="5"/>
  <c r="H2462" i="5"/>
  <c r="F2463" i="5"/>
  <c r="G2463" i="5"/>
  <c r="H2463" i="5"/>
  <c r="F2464" i="5"/>
  <c r="G2464" i="5"/>
  <c r="H2464" i="5"/>
  <c r="F2465" i="5"/>
  <c r="G2465" i="5"/>
  <c r="H2465" i="5"/>
  <c r="F2466" i="5"/>
  <c r="G2466" i="5"/>
  <c r="H2466" i="5"/>
  <c r="F2467" i="5"/>
  <c r="G2467" i="5"/>
  <c r="H2467" i="5"/>
  <c r="F2468" i="5"/>
  <c r="G2468" i="5"/>
  <c r="H2468" i="5"/>
  <c r="F2469" i="5"/>
  <c r="G2469" i="5"/>
  <c r="H2469" i="5"/>
  <c r="F2470" i="5"/>
  <c r="G2470" i="5"/>
  <c r="H2470" i="5"/>
  <c r="F2471" i="5"/>
  <c r="G2471" i="5"/>
  <c r="H2471" i="5"/>
  <c r="F2472" i="5"/>
  <c r="G2472" i="5"/>
  <c r="H2472" i="5"/>
  <c r="F2473" i="5"/>
  <c r="G2473" i="5"/>
  <c r="H2473" i="5"/>
  <c r="F2474" i="5"/>
  <c r="G2474" i="5"/>
  <c r="H2474" i="5"/>
  <c r="F2475" i="5"/>
  <c r="G2475" i="5"/>
  <c r="H2475" i="5"/>
  <c r="F2476" i="5"/>
  <c r="G2476" i="5"/>
  <c r="H2476" i="5"/>
  <c r="F2477" i="5"/>
  <c r="G2477" i="5"/>
  <c r="H2477" i="5"/>
  <c r="F2478" i="5"/>
  <c r="G2478" i="5"/>
  <c r="H2478" i="5"/>
  <c r="F2479" i="5"/>
  <c r="G2479" i="5"/>
  <c r="H2479" i="5"/>
  <c r="F2480" i="5"/>
  <c r="G2480" i="5"/>
  <c r="H2480" i="5"/>
  <c r="F2481" i="5"/>
  <c r="G2481" i="5"/>
  <c r="H2481" i="5"/>
  <c r="F2482" i="5"/>
  <c r="G2482" i="5"/>
  <c r="H2482" i="5"/>
  <c r="F2483" i="5"/>
  <c r="G2483" i="5"/>
  <c r="H2483" i="5"/>
  <c r="F2484" i="5"/>
  <c r="G2484" i="5"/>
  <c r="H2484" i="5"/>
  <c r="F2485" i="5"/>
  <c r="G2485" i="5"/>
  <c r="H2485" i="5"/>
  <c r="F2486" i="5"/>
  <c r="G2486" i="5"/>
  <c r="H2486" i="5"/>
  <c r="F2487" i="5"/>
  <c r="G2487" i="5"/>
  <c r="H2487" i="5"/>
  <c r="F2488" i="5"/>
  <c r="G2488" i="5"/>
  <c r="H2488" i="5"/>
  <c r="F2489" i="5"/>
  <c r="G2489" i="5"/>
  <c r="H2489" i="5"/>
  <c r="F2490" i="5"/>
  <c r="G2490" i="5"/>
  <c r="H2490" i="5"/>
  <c r="F2491" i="5"/>
  <c r="G2491" i="5"/>
  <c r="H2491" i="5"/>
  <c r="F2492" i="5"/>
  <c r="G2492" i="5"/>
  <c r="H2492" i="5"/>
  <c r="F2493" i="5"/>
  <c r="G2493" i="5"/>
  <c r="H2493" i="5"/>
  <c r="F2494" i="5"/>
  <c r="G2494" i="5"/>
  <c r="H2494" i="5"/>
  <c r="F2495" i="5"/>
  <c r="G2495" i="5"/>
  <c r="H2495" i="5"/>
  <c r="F2496" i="5"/>
  <c r="G2496" i="5"/>
  <c r="H2496" i="5"/>
  <c r="F2497" i="5"/>
  <c r="G2497" i="5"/>
  <c r="H2497" i="5"/>
  <c r="F2498" i="5"/>
  <c r="G2498" i="5"/>
  <c r="H2498" i="5"/>
  <c r="F2499" i="5"/>
  <c r="G2499" i="5"/>
  <c r="H2499" i="5"/>
  <c r="F2500" i="5"/>
  <c r="G2500" i="5"/>
  <c r="H2500" i="5"/>
  <c r="F2501" i="5"/>
  <c r="G2501" i="5"/>
  <c r="H2501" i="5"/>
  <c r="F2502" i="5"/>
  <c r="G2502" i="5"/>
  <c r="H2502" i="5"/>
  <c r="F2503" i="5"/>
  <c r="G2503" i="5"/>
  <c r="H2503" i="5"/>
  <c r="F2504" i="5"/>
  <c r="G2504" i="5"/>
  <c r="H2504" i="5"/>
  <c r="F2505" i="5"/>
  <c r="G2505" i="5"/>
  <c r="H2505" i="5"/>
  <c r="F2506" i="5"/>
  <c r="G2506" i="5"/>
  <c r="H2506" i="5"/>
  <c r="F2507" i="5"/>
  <c r="G2507" i="5"/>
  <c r="H2507" i="5"/>
  <c r="F2508" i="5"/>
  <c r="G2508" i="5"/>
  <c r="H2508" i="5"/>
  <c r="F2509" i="5"/>
  <c r="G2509" i="5"/>
  <c r="H2509" i="5"/>
  <c r="F2510" i="5"/>
  <c r="G2510" i="5"/>
  <c r="H2510" i="5"/>
  <c r="F2511" i="5"/>
  <c r="G2511" i="5"/>
  <c r="H2511" i="5"/>
  <c r="F2512" i="5"/>
  <c r="G2512" i="5"/>
  <c r="H2512" i="5"/>
  <c r="F2513" i="5"/>
  <c r="G2513" i="5"/>
  <c r="H2513" i="5"/>
  <c r="F2514" i="5"/>
  <c r="G2514" i="5"/>
  <c r="H2514" i="5"/>
  <c r="F2515" i="5"/>
  <c r="G2515" i="5"/>
  <c r="H2515" i="5"/>
  <c r="F2516" i="5"/>
  <c r="G2516" i="5"/>
  <c r="H2516" i="5"/>
  <c r="F2517" i="5"/>
  <c r="G2517" i="5"/>
  <c r="H2517" i="5"/>
  <c r="F2518" i="5"/>
  <c r="G2518" i="5"/>
  <c r="H2518" i="5"/>
  <c r="F2519" i="5"/>
  <c r="G2519" i="5"/>
  <c r="H2519" i="5"/>
  <c r="F2520" i="5"/>
  <c r="G2520" i="5"/>
  <c r="H2520" i="5"/>
  <c r="F2521" i="5"/>
  <c r="G2521" i="5"/>
  <c r="H2521" i="5"/>
  <c r="F2522" i="5"/>
  <c r="G2522" i="5"/>
  <c r="H2522" i="5"/>
  <c r="F2523" i="5"/>
  <c r="G2523" i="5"/>
  <c r="H2523" i="5"/>
  <c r="F2524" i="5"/>
  <c r="G2524" i="5"/>
  <c r="H2524" i="5"/>
  <c r="F2525" i="5"/>
  <c r="G2525" i="5"/>
  <c r="H2525" i="5"/>
  <c r="F2526" i="5"/>
  <c r="G2526" i="5"/>
  <c r="H2526" i="5"/>
  <c r="F2527" i="5"/>
  <c r="G2527" i="5"/>
  <c r="H2527" i="5"/>
  <c r="F2528" i="5"/>
  <c r="G2528" i="5"/>
  <c r="H2528" i="5"/>
  <c r="F2529" i="5"/>
  <c r="G2529" i="5"/>
  <c r="H2529" i="5"/>
  <c r="F2530" i="5"/>
  <c r="G2530" i="5"/>
  <c r="H2530" i="5"/>
  <c r="F2531" i="5"/>
  <c r="G2531" i="5"/>
  <c r="H2531" i="5"/>
  <c r="F2532" i="5"/>
  <c r="G2532" i="5"/>
  <c r="H2532" i="5"/>
  <c r="F2533" i="5"/>
  <c r="G2533" i="5"/>
  <c r="H2533" i="5"/>
  <c r="F2534" i="5"/>
  <c r="G2534" i="5"/>
  <c r="H2534" i="5"/>
  <c r="F2535" i="5"/>
  <c r="G2535" i="5"/>
  <c r="H2535" i="5"/>
  <c r="F2536" i="5"/>
  <c r="G2536" i="5"/>
  <c r="H2536" i="5"/>
  <c r="F2537" i="5"/>
  <c r="G2537" i="5"/>
  <c r="H2537" i="5"/>
  <c r="F2538" i="5"/>
  <c r="G2538" i="5"/>
  <c r="H2538" i="5"/>
  <c r="F2539" i="5"/>
  <c r="G2539" i="5"/>
  <c r="H2539" i="5"/>
  <c r="F2540" i="5"/>
  <c r="G2540" i="5"/>
  <c r="H2540" i="5"/>
  <c r="F2541" i="5"/>
  <c r="G2541" i="5"/>
  <c r="H2541" i="5"/>
  <c r="F2542" i="5"/>
  <c r="G2542" i="5"/>
  <c r="H2542" i="5"/>
  <c r="F2543" i="5"/>
  <c r="G2543" i="5"/>
  <c r="H2543" i="5"/>
  <c r="F2544" i="5"/>
  <c r="G2544" i="5"/>
  <c r="H2544" i="5"/>
  <c r="F2545" i="5"/>
  <c r="G2545" i="5"/>
  <c r="H2545" i="5"/>
  <c r="F2546" i="5"/>
  <c r="G2546" i="5"/>
  <c r="H2546" i="5"/>
  <c r="F2547" i="5"/>
  <c r="G2547" i="5"/>
  <c r="H2547" i="5"/>
  <c r="F2548" i="5"/>
  <c r="G2548" i="5"/>
  <c r="H2548" i="5"/>
  <c r="F2549" i="5"/>
  <c r="G2549" i="5"/>
  <c r="H2549" i="5"/>
  <c r="F2550" i="5"/>
  <c r="G2550" i="5"/>
  <c r="H2550" i="5"/>
  <c r="F2551" i="5"/>
  <c r="G2551" i="5"/>
  <c r="H2551" i="5"/>
  <c r="F2552" i="5"/>
  <c r="G2552" i="5"/>
  <c r="H2552" i="5"/>
  <c r="F2553" i="5"/>
  <c r="G2553" i="5"/>
  <c r="H2553" i="5"/>
  <c r="F2554" i="5"/>
  <c r="G2554" i="5"/>
  <c r="H2554" i="5"/>
  <c r="F2555" i="5"/>
  <c r="G2555" i="5"/>
  <c r="H2555" i="5"/>
  <c r="F2556" i="5"/>
  <c r="G2556" i="5"/>
  <c r="H2556" i="5"/>
  <c r="F2557" i="5"/>
  <c r="G2557" i="5"/>
  <c r="H2557" i="5"/>
  <c r="F2558" i="5"/>
  <c r="G2558" i="5"/>
  <c r="H2558" i="5"/>
  <c r="F2559" i="5"/>
  <c r="G2559" i="5"/>
  <c r="H2559" i="5"/>
  <c r="F2560" i="5"/>
  <c r="G2560" i="5"/>
  <c r="H2560" i="5"/>
  <c r="F2561" i="5"/>
  <c r="G2561" i="5"/>
  <c r="H2561" i="5"/>
  <c r="F2562" i="5"/>
  <c r="G2562" i="5"/>
  <c r="H2562" i="5"/>
  <c r="F2563" i="5"/>
  <c r="G2563" i="5"/>
  <c r="H2563" i="5"/>
  <c r="F2564" i="5"/>
  <c r="G2564" i="5"/>
  <c r="H2564" i="5"/>
  <c r="F2565" i="5"/>
  <c r="G2565" i="5"/>
  <c r="H2565" i="5"/>
  <c r="F2566" i="5"/>
  <c r="G2566" i="5"/>
  <c r="H2566" i="5"/>
  <c r="F2567" i="5"/>
  <c r="G2567" i="5"/>
  <c r="H2567" i="5"/>
  <c r="F2568" i="5"/>
  <c r="G2568" i="5"/>
  <c r="H2568" i="5"/>
  <c r="F2569" i="5"/>
  <c r="G2569" i="5"/>
  <c r="H2569" i="5"/>
  <c r="F2570" i="5"/>
  <c r="G2570" i="5"/>
  <c r="H2570" i="5"/>
  <c r="F2571" i="5"/>
  <c r="G2571" i="5"/>
  <c r="H2571" i="5"/>
  <c r="F2572" i="5"/>
  <c r="G2572" i="5"/>
  <c r="H2572" i="5"/>
  <c r="F2573" i="5"/>
  <c r="G2573" i="5"/>
  <c r="H2573" i="5"/>
  <c r="F2574" i="5"/>
  <c r="G2574" i="5"/>
  <c r="H2574" i="5"/>
  <c r="F2575" i="5"/>
  <c r="G2575" i="5"/>
  <c r="H2575" i="5"/>
  <c r="F2576" i="5"/>
  <c r="G2576" i="5"/>
  <c r="H2576" i="5"/>
  <c r="F2577" i="5"/>
  <c r="G2577" i="5"/>
  <c r="H2577" i="5"/>
  <c r="F2578" i="5"/>
  <c r="G2578" i="5"/>
  <c r="H2578" i="5"/>
  <c r="F2579" i="5"/>
  <c r="G2579" i="5"/>
  <c r="H2579" i="5"/>
  <c r="F2580" i="5"/>
  <c r="G2580" i="5"/>
  <c r="H2580" i="5"/>
  <c r="F2581" i="5"/>
  <c r="G2581" i="5"/>
  <c r="H2581" i="5"/>
  <c r="F2582" i="5"/>
  <c r="G2582" i="5"/>
  <c r="H2582" i="5"/>
  <c r="F2583" i="5"/>
  <c r="G2583" i="5"/>
  <c r="H2583" i="5"/>
  <c r="F2584" i="5"/>
  <c r="G2584" i="5"/>
  <c r="H2584" i="5"/>
  <c r="F2585" i="5"/>
  <c r="G2585" i="5"/>
  <c r="H2585" i="5"/>
  <c r="F2586" i="5"/>
  <c r="G2586" i="5"/>
  <c r="H2586" i="5"/>
  <c r="F2587" i="5"/>
  <c r="G2587" i="5"/>
  <c r="H2587" i="5"/>
  <c r="F2588" i="5"/>
  <c r="G2588" i="5"/>
  <c r="H2588" i="5"/>
  <c r="F2589" i="5"/>
  <c r="G2589" i="5"/>
  <c r="H2589" i="5"/>
  <c r="F2590" i="5"/>
  <c r="G2590" i="5"/>
  <c r="H2590" i="5"/>
  <c r="F2591" i="5"/>
  <c r="G2591" i="5"/>
  <c r="H2591" i="5"/>
  <c r="F2592" i="5"/>
  <c r="G2592" i="5"/>
  <c r="H2592" i="5"/>
  <c r="F2593" i="5"/>
  <c r="G2593" i="5"/>
  <c r="H2593" i="5"/>
  <c r="F2594" i="5"/>
  <c r="G2594" i="5"/>
  <c r="H2594" i="5"/>
  <c r="F2595" i="5"/>
  <c r="G2595" i="5"/>
  <c r="H2595" i="5"/>
  <c r="F2596" i="5"/>
  <c r="G2596" i="5"/>
  <c r="H2596" i="5"/>
  <c r="F2597" i="5"/>
  <c r="G2597" i="5"/>
  <c r="H2597" i="5"/>
  <c r="F2598" i="5"/>
  <c r="G2598" i="5"/>
  <c r="H2598" i="5"/>
  <c r="F2599" i="5"/>
  <c r="G2599" i="5"/>
  <c r="H2599" i="5"/>
  <c r="F2600" i="5"/>
  <c r="G2600" i="5"/>
  <c r="H2600" i="5"/>
  <c r="F2601" i="5"/>
  <c r="G2601" i="5"/>
  <c r="H2601" i="5"/>
  <c r="F2602" i="5"/>
  <c r="G2602" i="5"/>
  <c r="H2602" i="5"/>
  <c r="F2603" i="5"/>
  <c r="G2603" i="5"/>
  <c r="H2603" i="5"/>
  <c r="F2604" i="5"/>
  <c r="G2604" i="5"/>
  <c r="H2604" i="5"/>
  <c r="F2605" i="5"/>
  <c r="G2605" i="5"/>
  <c r="H2605" i="5"/>
  <c r="F2606" i="5"/>
  <c r="G2606" i="5"/>
  <c r="H2606" i="5"/>
  <c r="F2607" i="5"/>
  <c r="G2607" i="5"/>
  <c r="H2607" i="5"/>
  <c r="F2608" i="5"/>
  <c r="G2608" i="5"/>
  <c r="H2608" i="5"/>
  <c r="F2609" i="5"/>
  <c r="G2609" i="5"/>
  <c r="H2609" i="5"/>
  <c r="F2610" i="5"/>
  <c r="G2610" i="5"/>
  <c r="H2610" i="5"/>
  <c r="F2611" i="5"/>
  <c r="G2611" i="5"/>
  <c r="H2611" i="5"/>
  <c r="F2612" i="5"/>
  <c r="G2612" i="5"/>
  <c r="H2612" i="5"/>
  <c r="F2613" i="5"/>
  <c r="G2613" i="5"/>
  <c r="H2613" i="5"/>
  <c r="F2614" i="5"/>
  <c r="G2614" i="5"/>
  <c r="H2614" i="5"/>
  <c r="F2615" i="5"/>
  <c r="G2615" i="5"/>
  <c r="H2615" i="5"/>
  <c r="F2616" i="5"/>
  <c r="G2616" i="5"/>
  <c r="H2616" i="5"/>
  <c r="F2617" i="5"/>
  <c r="G2617" i="5"/>
  <c r="H2617" i="5"/>
  <c r="F2618" i="5"/>
  <c r="G2618" i="5"/>
  <c r="H2618" i="5"/>
  <c r="F2619" i="5"/>
  <c r="G2619" i="5"/>
  <c r="H2619" i="5"/>
  <c r="F2620" i="5"/>
  <c r="G2620" i="5"/>
  <c r="H2620" i="5"/>
  <c r="F2621" i="5"/>
  <c r="G2621" i="5"/>
  <c r="H2621" i="5"/>
  <c r="F2622" i="5"/>
  <c r="G2622" i="5"/>
  <c r="H2622" i="5"/>
  <c r="F2623" i="5"/>
  <c r="G2623" i="5"/>
  <c r="H2623" i="5"/>
  <c r="F2624" i="5"/>
  <c r="G2624" i="5"/>
  <c r="H2624" i="5"/>
  <c r="F2625" i="5"/>
  <c r="G2625" i="5"/>
  <c r="H2625" i="5"/>
  <c r="F2626" i="5"/>
  <c r="G2626" i="5"/>
  <c r="H2626" i="5"/>
  <c r="F2627" i="5"/>
  <c r="G2627" i="5"/>
  <c r="H2627" i="5"/>
  <c r="F2628" i="5"/>
  <c r="G2628" i="5"/>
  <c r="H2628" i="5"/>
  <c r="F2629" i="5"/>
  <c r="G2629" i="5"/>
  <c r="H2629" i="5"/>
  <c r="F2630" i="5"/>
  <c r="G2630" i="5"/>
  <c r="H2630" i="5"/>
  <c r="F2631" i="5"/>
  <c r="G2631" i="5"/>
  <c r="H2631" i="5"/>
  <c r="F2632" i="5"/>
  <c r="G2632" i="5"/>
  <c r="H2632" i="5"/>
  <c r="F2633" i="5"/>
  <c r="G2633" i="5"/>
  <c r="H2633" i="5"/>
  <c r="F2634" i="5"/>
  <c r="G2634" i="5"/>
  <c r="H2634" i="5"/>
  <c r="F2635" i="5"/>
  <c r="G2635" i="5"/>
  <c r="H2635" i="5"/>
  <c r="F2636" i="5"/>
  <c r="G2636" i="5"/>
  <c r="H2636" i="5"/>
  <c r="F2637" i="5"/>
  <c r="G2637" i="5"/>
  <c r="H2637" i="5"/>
  <c r="F2638" i="5"/>
  <c r="G2638" i="5"/>
  <c r="H2638" i="5"/>
  <c r="F2639" i="5"/>
  <c r="G2639" i="5"/>
  <c r="H2639" i="5"/>
  <c r="F2640" i="5"/>
  <c r="G2640" i="5"/>
  <c r="H2640" i="5"/>
  <c r="F2641" i="5"/>
  <c r="G2641" i="5"/>
  <c r="H2641" i="5"/>
  <c r="F2642" i="5"/>
  <c r="G2642" i="5"/>
  <c r="H2642" i="5"/>
  <c r="F2643" i="5"/>
  <c r="G2643" i="5"/>
  <c r="H2643" i="5"/>
  <c r="F2644" i="5"/>
  <c r="G2644" i="5"/>
  <c r="H2644" i="5"/>
  <c r="F2645" i="5"/>
  <c r="G2645" i="5"/>
  <c r="H2645" i="5"/>
  <c r="F2646" i="5"/>
  <c r="G2646" i="5"/>
  <c r="H2646" i="5"/>
  <c r="F2647" i="5"/>
  <c r="G2647" i="5"/>
  <c r="H2647" i="5"/>
  <c r="F2648" i="5"/>
  <c r="G2648" i="5"/>
  <c r="H2648" i="5"/>
  <c r="F2649" i="5"/>
  <c r="G2649" i="5"/>
  <c r="H2649" i="5"/>
  <c r="F2650" i="5"/>
  <c r="G2650" i="5"/>
  <c r="H2650" i="5"/>
  <c r="F2651" i="5"/>
  <c r="G2651" i="5"/>
  <c r="H2651" i="5"/>
  <c r="F2652" i="5"/>
  <c r="G2652" i="5"/>
  <c r="H2652" i="5"/>
  <c r="F2653" i="5"/>
  <c r="G2653" i="5"/>
  <c r="H2653" i="5"/>
  <c r="F2654" i="5"/>
  <c r="G2654" i="5"/>
  <c r="H2654" i="5"/>
  <c r="F2655" i="5"/>
  <c r="G2655" i="5"/>
  <c r="H2655" i="5"/>
  <c r="F2656" i="5"/>
  <c r="G2656" i="5"/>
  <c r="H2656" i="5"/>
  <c r="F2657" i="5"/>
  <c r="G2657" i="5"/>
  <c r="H2657" i="5"/>
  <c r="F2658" i="5"/>
  <c r="G2658" i="5"/>
  <c r="H2658" i="5"/>
  <c r="F2659" i="5"/>
  <c r="G2659" i="5"/>
  <c r="H2659" i="5"/>
  <c r="F2660" i="5"/>
  <c r="G2660" i="5"/>
  <c r="H2660" i="5"/>
  <c r="F2661" i="5"/>
  <c r="G2661" i="5"/>
  <c r="H2661" i="5"/>
  <c r="F2662" i="5"/>
  <c r="G2662" i="5"/>
  <c r="H2662" i="5"/>
  <c r="F2663" i="5"/>
  <c r="G2663" i="5"/>
  <c r="H2663" i="5"/>
  <c r="F2664" i="5"/>
  <c r="G2664" i="5"/>
  <c r="H2664" i="5"/>
  <c r="F2665" i="5"/>
  <c r="G2665" i="5"/>
  <c r="H2665" i="5"/>
  <c r="F2666" i="5"/>
  <c r="G2666" i="5"/>
  <c r="H2666" i="5"/>
  <c r="F2667" i="5"/>
  <c r="G2667" i="5"/>
  <c r="H2667" i="5"/>
  <c r="F2668" i="5"/>
  <c r="G2668" i="5"/>
  <c r="H2668" i="5"/>
  <c r="F2669" i="5"/>
  <c r="G2669" i="5"/>
  <c r="H2669" i="5"/>
  <c r="F2670" i="5"/>
  <c r="G2670" i="5"/>
  <c r="H2670" i="5"/>
  <c r="F2671" i="5"/>
  <c r="G2671" i="5"/>
  <c r="H2671" i="5"/>
  <c r="F2672" i="5"/>
  <c r="G2672" i="5"/>
  <c r="H2672" i="5"/>
  <c r="F2673" i="5"/>
  <c r="G2673" i="5"/>
  <c r="H2673" i="5"/>
  <c r="F2674" i="5"/>
  <c r="G2674" i="5"/>
  <c r="H2674" i="5"/>
  <c r="F2675" i="5"/>
  <c r="G2675" i="5"/>
  <c r="H2675" i="5"/>
  <c r="F2676" i="5"/>
  <c r="G2676" i="5"/>
  <c r="H2676" i="5"/>
  <c r="F2677" i="5"/>
  <c r="G2677" i="5"/>
  <c r="H2677" i="5"/>
  <c r="F2678" i="5"/>
  <c r="G2678" i="5"/>
  <c r="H2678" i="5"/>
  <c r="F2679" i="5"/>
  <c r="G2679" i="5"/>
  <c r="H2679" i="5"/>
  <c r="F2680" i="5"/>
  <c r="G2680" i="5"/>
  <c r="H2680" i="5"/>
  <c r="F2681" i="5"/>
  <c r="G2681" i="5"/>
  <c r="H2681" i="5"/>
  <c r="F2682" i="5"/>
  <c r="G2682" i="5"/>
  <c r="H2682" i="5"/>
  <c r="F2683" i="5"/>
  <c r="G2683" i="5"/>
  <c r="H2683" i="5"/>
  <c r="F2684" i="5"/>
  <c r="G2684" i="5"/>
  <c r="H2684" i="5"/>
  <c r="F2685" i="5"/>
  <c r="G2685" i="5"/>
  <c r="H2685" i="5"/>
  <c r="F2686" i="5"/>
  <c r="G2686" i="5"/>
  <c r="H2686" i="5"/>
  <c r="F2687" i="5"/>
  <c r="G2687" i="5"/>
  <c r="H2687" i="5"/>
  <c r="F2688" i="5"/>
  <c r="G2688" i="5"/>
  <c r="H2688" i="5"/>
  <c r="F2689" i="5"/>
  <c r="G2689" i="5"/>
  <c r="H2689" i="5"/>
  <c r="F2690" i="5"/>
  <c r="G2690" i="5"/>
  <c r="H2690" i="5"/>
  <c r="F2691" i="5"/>
  <c r="G2691" i="5"/>
  <c r="H2691" i="5"/>
  <c r="F2692" i="5"/>
  <c r="G2692" i="5"/>
  <c r="H2692" i="5"/>
  <c r="F2693" i="5"/>
  <c r="G2693" i="5"/>
  <c r="H2693" i="5"/>
  <c r="F2694" i="5"/>
  <c r="G2694" i="5"/>
  <c r="H2694" i="5"/>
  <c r="F2695" i="5"/>
  <c r="G2695" i="5"/>
  <c r="H2695" i="5"/>
  <c r="F2696" i="5"/>
  <c r="G2696" i="5"/>
  <c r="H2696" i="5"/>
  <c r="F2697" i="5"/>
  <c r="G2697" i="5"/>
  <c r="H2697" i="5"/>
  <c r="F2698" i="5"/>
  <c r="G2698" i="5"/>
  <c r="H2698" i="5"/>
  <c r="F2699" i="5"/>
  <c r="G2699" i="5"/>
  <c r="H2699" i="5"/>
  <c r="F2700" i="5"/>
  <c r="G2700" i="5"/>
  <c r="H2700" i="5"/>
  <c r="F2701" i="5"/>
  <c r="G2701" i="5"/>
  <c r="H2701" i="5"/>
  <c r="F2702" i="5"/>
  <c r="G2702" i="5"/>
  <c r="H2702" i="5"/>
  <c r="F2703" i="5"/>
  <c r="G2703" i="5"/>
  <c r="H2703" i="5"/>
  <c r="F2704" i="5"/>
  <c r="G2704" i="5"/>
  <c r="H2704" i="5"/>
  <c r="F2705" i="5"/>
  <c r="G2705" i="5"/>
  <c r="H2705" i="5"/>
  <c r="F2706" i="5"/>
  <c r="G2706" i="5"/>
  <c r="H2706" i="5"/>
  <c r="F2707" i="5"/>
  <c r="G2707" i="5"/>
  <c r="H2707" i="5"/>
  <c r="F2708" i="5"/>
  <c r="G2708" i="5"/>
  <c r="H2708" i="5"/>
  <c r="F2709" i="5"/>
  <c r="G2709" i="5"/>
  <c r="H2709" i="5"/>
  <c r="F2710" i="5"/>
  <c r="G2710" i="5"/>
  <c r="H2710" i="5"/>
  <c r="F2711" i="5"/>
  <c r="G2711" i="5"/>
  <c r="H2711" i="5"/>
  <c r="F2712" i="5"/>
  <c r="G2712" i="5"/>
  <c r="H2712" i="5"/>
  <c r="F2713" i="5"/>
  <c r="G2713" i="5"/>
  <c r="H2713" i="5"/>
  <c r="F2714" i="5"/>
  <c r="G2714" i="5"/>
  <c r="H2714" i="5"/>
  <c r="F2715" i="5"/>
  <c r="G2715" i="5"/>
  <c r="H2715" i="5"/>
  <c r="F2716" i="5"/>
  <c r="G2716" i="5"/>
  <c r="H2716" i="5"/>
  <c r="F2717" i="5"/>
  <c r="G2717" i="5"/>
  <c r="H2717" i="5"/>
  <c r="F2718" i="5"/>
  <c r="G2718" i="5"/>
  <c r="H2718" i="5"/>
  <c r="F2719" i="5"/>
  <c r="G2719" i="5"/>
  <c r="H2719" i="5"/>
  <c r="F2720" i="5"/>
  <c r="G2720" i="5"/>
  <c r="H2720" i="5"/>
  <c r="F2721" i="5"/>
  <c r="G2721" i="5"/>
  <c r="H2721" i="5"/>
  <c r="F2722" i="5"/>
  <c r="G2722" i="5"/>
  <c r="H2722" i="5"/>
  <c r="F2723" i="5"/>
  <c r="G2723" i="5"/>
  <c r="H2723" i="5"/>
  <c r="F2724" i="5"/>
  <c r="G2724" i="5"/>
  <c r="H2724" i="5"/>
  <c r="F2725" i="5"/>
  <c r="G2725" i="5"/>
  <c r="H2725" i="5"/>
  <c r="F2726" i="5"/>
  <c r="G2726" i="5"/>
  <c r="H2726" i="5"/>
  <c r="F2727" i="5"/>
  <c r="G2727" i="5"/>
  <c r="H2727" i="5"/>
  <c r="F2728" i="5"/>
  <c r="G2728" i="5"/>
  <c r="H2728" i="5"/>
  <c r="F2729" i="5"/>
  <c r="G2729" i="5"/>
  <c r="H2729" i="5"/>
  <c r="F2730" i="5"/>
  <c r="G2730" i="5"/>
  <c r="H2730" i="5"/>
  <c r="F2731" i="5"/>
  <c r="G2731" i="5"/>
  <c r="H2731" i="5"/>
  <c r="F2732" i="5"/>
  <c r="G2732" i="5"/>
  <c r="H2732" i="5"/>
  <c r="F2733" i="5"/>
  <c r="G2733" i="5"/>
  <c r="H2733" i="5"/>
  <c r="F2734" i="5"/>
  <c r="G2734" i="5"/>
  <c r="H2734" i="5"/>
  <c r="F2735" i="5"/>
  <c r="G2735" i="5"/>
  <c r="H2735" i="5"/>
  <c r="F2736" i="5"/>
  <c r="G2736" i="5"/>
  <c r="H2736" i="5"/>
  <c r="F2737" i="5"/>
  <c r="G2737" i="5"/>
  <c r="H2737" i="5"/>
  <c r="F2738" i="5"/>
  <c r="G2738" i="5"/>
  <c r="H2738" i="5"/>
  <c r="F2739" i="5"/>
  <c r="G2739" i="5"/>
  <c r="H2739" i="5"/>
  <c r="F2740" i="5"/>
  <c r="G2740" i="5"/>
  <c r="H2740" i="5"/>
  <c r="F2741" i="5"/>
  <c r="G2741" i="5"/>
  <c r="H2741" i="5"/>
  <c r="F2742" i="5"/>
  <c r="G2742" i="5"/>
  <c r="H2742" i="5"/>
  <c r="F2743" i="5"/>
  <c r="G2743" i="5"/>
  <c r="H2743" i="5"/>
  <c r="F2744" i="5"/>
  <c r="G2744" i="5"/>
  <c r="H2744" i="5"/>
  <c r="F2745" i="5"/>
  <c r="G2745" i="5"/>
  <c r="H2745" i="5"/>
  <c r="F2746" i="5"/>
  <c r="G2746" i="5"/>
  <c r="H2746" i="5"/>
  <c r="F2747" i="5"/>
  <c r="G2747" i="5"/>
  <c r="H2747" i="5"/>
  <c r="F2748" i="5"/>
  <c r="G2748" i="5"/>
  <c r="H2748" i="5"/>
  <c r="F2749" i="5"/>
  <c r="G2749" i="5"/>
  <c r="H2749" i="5"/>
  <c r="F2750" i="5"/>
  <c r="G2750" i="5"/>
  <c r="H2750" i="5"/>
  <c r="F2751" i="5"/>
  <c r="G2751" i="5"/>
  <c r="H2751" i="5"/>
  <c r="F2752" i="5"/>
  <c r="G2752" i="5"/>
  <c r="H2752" i="5"/>
  <c r="F2753" i="5"/>
  <c r="G2753" i="5"/>
  <c r="H2753" i="5"/>
  <c r="F2754" i="5"/>
  <c r="G2754" i="5"/>
  <c r="H2754" i="5"/>
  <c r="F2755" i="5"/>
  <c r="G2755" i="5"/>
  <c r="H2755" i="5"/>
  <c r="F2756" i="5"/>
  <c r="G2756" i="5"/>
  <c r="H2756" i="5"/>
  <c r="F2757" i="5"/>
  <c r="G2757" i="5"/>
  <c r="H2757" i="5"/>
  <c r="F2758" i="5"/>
  <c r="G2758" i="5"/>
  <c r="H2758" i="5"/>
  <c r="F2759" i="5"/>
  <c r="G2759" i="5"/>
  <c r="H2759" i="5"/>
  <c r="F2760" i="5"/>
  <c r="G2760" i="5"/>
  <c r="H2760" i="5"/>
  <c r="F2761" i="5"/>
  <c r="G2761" i="5"/>
  <c r="H2761" i="5"/>
  <c r="F2762" i="5"/>
  <c r="G2762" i="5"/>
  <c r="H2762" i="5"/>
  <c r="F2763" i="5"/>
  <c r="G2763" i="5"/>
  <c r="H2763" i="5"/>
  <c r="F2764" i="5"/>
  <c r="G2764" i="5"/>
  <c r="H2764" i="5"/>
  <c r="F2765" i="5"/>
  <c r="G2765" i="5"/>
  <c r="H2765" i="5"/>
  <c r="F2766" i="5"/>
  <c r="G2766" i="5"/>
  <c r="H2766" i="5"/>
  <c r="F2767" i="5"/>
  <c r="G2767" i="5"/>
  <c r="H2767" i="5"/>
  <c r="F2768" i="5"/>
  <c r="G2768" i="5"/>
  <c r="H2768" i="5"/>
  <c r="F2769" i="5"/>
  <c r="G2769" i="5"/>
  <c r="H2769" i="5"/>
  <c r="F2770" i="5"/>
  <c r="G2770" i="5"/>
  <c r="H2770" i="5"/>
  <c r="F2771" i="5"/>
  <c r="G2771" i="5"/>
  <c r="H2771" i="5"/>
  <c r="F2772" i="5"/>
  <c r="G2772" i="5"/>
  <c r="H2772" i="5"/>
  <c r="F2773" i="5"/>
  <c r="G2773" i="5"/>
  <c r="H2773" i="5"/>
  <c r="F2774" i="5"/>
  <c r="G2774" i="5"/>
  <c r="H2774" i="5"/>
  <c r="F2775" i="5"/>
  <c r="G2775" i="5"/>
  <c r="H2775" i="5"/>
  <c r="F2776" i="5"/>
  <c r="G2776" i="5"/>
  <c r="H2776" i="5"/>
  <c r="F2777" i="5"/>
  <c r="G2777" i="5"/>
  <c r="H2777" i="5"/>
  <c r="F2778" i="5"/>
  <c r="G2778" i="5"/>
  <c r="H2778" i="5"/>
  <c r="F2779" i="5"/>
  <c r="G2779" i="5"/>
  <c r="H2779" i="5"/>
  <c r="F2780" i="5"/>
  <c r="G2780" i="5"/>
  <c r="H2780" i="5"/>
  <c r="F2781" i="5"/>
  <c r="G2781" i="5"/>
  <c r="H2781" i="5"/>
  <c r="F2782" i="5"/>
  <c r="G2782" i="5"/>
  <c r="H2782" i="5"/>
  <c r="F2783" i="5"/>
  <c r="G2783" i="5"/>
  <c r="H2783" i="5"/>
  <c r="F2784" i="5"/>
  <c r="G2784" i="5"/>
  <c r="H2784" i="5"/>
  <c r="F2785" i="5"/>
  <c r="G2785" i="5"/>
  <c r="H2785" i="5"/>
  <c r="F2786" i="5"/>
  <c r="G2786" i="5"/>
  <c r="H2786" i="5"/>
  <c r="F2787" i="5"/>
  <c r="G2787" i="5"/>
  <c r="H2787" i="5"/>
  <c r="F2788" i="5"/>
  <c r="G2788" i="5"/>
  <c r="H2788" i="5"/>
  <c r="F2789" i="5"/>
  <c r="G2789" i="5"/>
  <c r="H2789" i="5"/>
  <c r="F2790" i="5"/>
  <c r="G2790" i="5"/>
  <c r="H2790" i="5"/>
  <c r="F2791" i="5"/>
  <c r="G2791" i="5"/>
  <c r="H2791" i="5"/>
  <c r="F2792" i="5"/>
  <c r="G2792" i="5"/>
  <c r="H2792" i="5"/>
  <c r="F2793" i="5"/>
  <c r="G2793" i="5"/>
  <c r="H2793" i="5"/>
  <c r="F2794" i="5"/>
  <c r="G2794" i="5"/>
  <c r="H2794" i="5"/>
  <c r="F2795" i="5"/>
  <c r="G2795" i="5"/>
  <c r="H2795" i="5"/>
  <c r="F2796" i="5"/>
  <c r="G2796" i="5"/>
  <c r="H2796" i="5"/>
  <c r="F2797" i="5"/>
  <c r="G2797" i="5"/>
  <c r="H2797" i="5"/>
  <c r="F2798" i="5"/>
  <c r="G2798" i="5"/>
  <c r="H2798" i="5"/>
  <c r="F2799" i="5"/>
  <c r="G2799" i="5"/>
  <c r="H2799" i="5"/>
  <c r="F2800" i="5"/>
  <c r="G2800" i="5"/>
  <c r="H2800" i="5"/>
  <c r="F2801" i="5"/>
  <c r="G2801" i="5"/>
  <c r="H2801" i="5"/>
  <c r="F2802" i="5"/>
  <c r="G2802" i="5"/>
  <c r="H2802" i="5"/>
  <c r="F2803" i="5"/>
  <c r="G2803" i="5"/>
  <c r="H2803" i="5"/>
  <c r="F2804" i="5"/>
  <c r="G2804" i="5"/>
  <c r="H2804" i="5"/>
  <c r="F2805" i="5"/>
  <c r="G2805" i="5"/>
  <c r="H2805" i="5"/>
  <c r="F2806" i="5"/>
  <c r="G2806" i="5"/>
  <c r="H2806" i="5"/>
  <c r="F2807" i="5"/>
  <c r="G2807" i="5"/>
  <c r="H2807" i="5"/>
  <c r="F2808" i="5"/>
  <c r="G2808" i="5"/>
  <c r="H2808" i="5"/>
  <c r="F2809" i="5"/>
  <c r="G2809" i="5"/>
  <c r="H2809" i="5"/>
  <c r="F2810" i="5"/>
  <c r="G2810" i="5"/>
  <c r="H2810" i="5"/>
  <c r="F2811" i="5"/>
  <c r="G2811" i="5"/>
  <c r="H2811" i="5"/>
  <c r="F2812" i="5"/>
  <c r="G2812" i="5"/>
  <c r="H2812" i="5"/>
  <c r="F2813" i="5"/>
  <c r="G2813" i="5"/>
  <c r="H2813" i="5"/>
  <c r="F2814" i="5"/>
  <c r="G2814" i="5"/>
  <c r="H2814" i="5"/>
  <c r="F2815" i="5"/>
  <c r="G2815" i="5"/>
  <c r="H2815" i="5"/>
  <c r="F2816" i="5"/>
  <c r="G2816" i="5"/>
  <c r="H2816" i="5"/>
  <c r="F2817" i="5"/>
  <c r="G2817" i="5"/>
  <c r="H2817" i="5"/>
  <c r="F2818" i="5"/>
  <c r="G2818" i="5"/>
  <c r="H2818" i="5"/>
  <c r="F2819" i="5"/>
  <c r="G2819" i="5"/>
  <c r="H2819" i="5"/>
  <c r="F2820" i="5"/>
  <c r="G2820" i="5"/>
  <c r="H2820" i="5"/>
  <c r="F2821" i="5"/>
  <c r="G2821" i="5"/>
  <c r="H2821" i="5"/>
  <c r="F2822" i="5"/>
  <c r="G2822" i="5"/>
  <c r="H2822" i="5"/>
  <c r="F2823" i="5"/>
  <c r="G2823" i="5"/>
  <c r="H2823" i="5"/>
  <c r="F2824" i="5"/>
  <c r="G2824" i="5"/>
  <c r="H2824" i="5"/>
  <c r="F2825" i="5"/>
  <c r="G2825" i="5"/>
  <c r="H2825" i="5"/>
  <c r="F2826" i="5"/>
  <c r="G2826" i="5"/>
  <c r="H2826" i="5"/>
  <c r="F2827" i="5"/>
  <c r="G2827" i="5"/>
  <c r="H2827" i="5"/>
  <c r="F2828" i="5"/>
  <c r="G2828" i="5"/>
  <c r="H2828" i="5"/>
  <c r="F2829" i="5"/>
  <c r="G2829" i="5"/>
  <c r="H2829" i="5"/>
  <c r="F2830" i="5"/>
  <c r="G2830" i="5"/>
  <c r="H2830" i="5"/>
  <c r="F2831" i="5"/>
  <c r="G2831" i="5"/>
  <c r="H2831" i="5"/>
  <c r="F2832" i="5"/>
  <c r="G2832" i="5"/>
  <c r="H2832" i="5"/>
  <c r="F2833" i="5"/>
  <c r="G2833" i="5"/>
  <c r="H2833" i="5"/>
  <c r="F2834" i="5"/>
  <c r="G2834" i="5"/>
  <c r="H2834" i="5"/>
  <c r="F2835" i="5"/>
  <c r="G2835" i="5"/>
  <c r="H2835" i="5"/>
  <c r="F2836" i="5"/>
  <c r="G2836" i="5"/>
  <c r="H2836" i="5"/>
  <c r="F2837" i="5"/>
  <c r="G2837" i="5"/>
  <c r="H2837" i="5"/>
  <c r="F2838" i="5"/>
  <c r="G2838" i="5"/>
  <c r="H2838" i="5"/>
  <c r="F2839" i="5"/>
  <c r="G2839" i="5"/>
  <c r="H2839" i="5"/>
  <c r="F2840" i="5"/>
  <c r="G2840" i="5"/>
  <c r="H2840" i="5"/>
  <c r="F2841" i="5"/>
  <c r="G2841" i="5"/>
  <c r="H2841" i="5"/>
  <c r="F2842" i="5"/>
  <c r="G2842" i="5"/>
  <c r="H2842" i="5"/>
  <c r="F2843" i="5"/>
  <c r="G2843" i="5"/>
  <c r="H2843" i="5"/>
  <c r="F2844" i="5"/>
  <c r="G2844" i="5"/>
  <c r="H2844" i="5"/>
  <c r="F2845" i="5"/>
  <c r="G2845" i="5"/>
  <c r="H2845" i="5"/>
  <c r="F2846" i="5"/>
  <c r="G2846" i="5"/>
  <c r="H2846" i="5"/>
  <c r="F2847" i="5"/>
  <c r="G2847" i="5"/>
  <c r="H2847" i="5"/>
  <c r="F2848" i="5"/>
  <c r="G2848" i="5"/>
  <c r="H2848" i="5"/>
  <c r="F2849" i="5"/>
  <c r="G2849" i="5"/>
  <c r="H2849" i="5"/>
  <c r="F2850" i="5"/>
  <c r="G2850" i="5"/>
  <c r="H2850" i="5"/>
  <c r="F2851" i="5"/>
  <c r="G2851" i="5"/>
  <c r="H2851" i="5"/>
  <c r="F2852" i="5"/>
  <c r="G2852" i="5"/>
  <c r="H2852" i="5"/>
  <c r="F2853" i="5"/>
  <c r="G2853" i="5"/>
  <c r="H2853" i="5"/>
  <c r="F2854" i="5"/>
  <c r="G2854" i="5"/>
  <c r="H2854" i="5"/>
  <c r="F2855" i="5"/>
  <c r="G2855" i="5"/>
  <c r="H2855" i="5"/>
  <c r="F2856" i="5"/>
  <c r="G2856" i="5"/>
  <c r="H2856" i="5"/>
  <c r="F2857" i="5"/>
  <c r="G2857" i="5"/>
  <c r="H2857" i="5"/>
  <c r="F2858" i="5"/>
  <c r="G2858" i="5"/>
  <c r="H2858" i="5"/>
  <c r="F2859" i="5"/>
  <c r="G2859" i="5"/>
  <c r="H2859" i="5"/>
  <c r="F2860" i="5"/>
  <c r="G2860" i="5"/>
  <c r="H2860" i="5"/>
  <c r="F2861" i="5"/>
  <c r="G2861" i="5"/>
  <c r="H2861" i="5"/>
  <c r="F2862" i="5"/>
  <c r="G2862" i="5"/>
  <c r="H2862" i="5"/>
  <c r="F2863" i="5"/>
  <c r="G2863" i="5"/>
  <c r="H2863" i="5"/>
  <c r="F2864" i="5"/>
  <c r="G2864" i="5"/>
  <c r="H2864" i="5"/>
  <c r="F2865" i="5"/>
  <c r="G2865" i="5"/>
  <c r="H2865" i="5"/>
  <c r="F2866" i="5"/>
  <c r="G2866" i="5"/>
  <c r="H2866" i="5"/>
  <c r="F2867" i="5"/>
  <c r="G2867" i="5"/>
  <c r="H2867" i="5"/>
  <c r="F2868" i="5"/>
  <c r="G2868" i="5"/>
  <c r="H2868" i="5"/>
  <c r="F2869" i="5"/>
  <c r="G2869" i="5"/>
  <c r="H2869" i="5"/>
  <c r="F2870" i="5"/>
  <c r="G2870" i="5"/>
  <c r="H2870" i="5"/>
  <c r="F2871" i="5"/>
  <c r="G2871" i="5"/>
  <c r="H2871" i="5"/>
  <c r="F2872" i="5"/>
  <c r="G2872" i="5"/>
  <c r="H2872" i="5"/>
  <c r="F2873" i="5"/>
  <c r="G2873" i="5"/>
  <c r="H2873" i="5"/>
  <c r="F2874" i="5"/>
  <c r="G2874" i="5"/>
  <c r="H2874" i="5"/>
  <c r="F2875" i="5"/>
  <c r="G2875" i="5"/>
  <c r="H2875" i="5"/>
  <c r="F2876" i="5"/>
  <c r="G2876" i="5"/>
  <c r="H2876" i="5"/>
  <c r="F2877" i="5"/>
  <c r="G2877" i="5"/>
  <c r="H2877" i="5"/>
  <c r="F2878" i="5"/>
  <c r="G2878" i="5"/>
  <c r="H2878" i="5"/>
  <c r="F2879" i="5"/>
  <c r="G2879" i="5"/>
  <c r="H2879" i="5"/>
  <c r="F2880" i="5"/>
  <c r="G2880" i="5"/>
  <c r="H2880" i="5"/>
  <c r="F2881" i="5"/>
  <c r="G2881" i="5"/>
  <c r="H2881" i="5"/>
  <c r="F2882" i="5"/>
  <c r="G2882" i="5"/>
  <c r="H2882" i="5"/>
  <c r="F2883" i="5"/>
  <c r="G2883" i="5"/>
  <c r="H2883" i="5"/>
  <c r="F2884" i="5"/>
  <c r="G2884" i="5"/>
  <c r="H2884" i="5"/>
  <c r="F2885" i="5"/>
  <c r="G2885" i="5"/>
  <c r="H2885" i="5"/>
  <c r="F2886" i="5"/>
  <c r="G2886" i="5"/>
  <c r="H2886" i="5"/>
  <c r="F2887" i="5"/>
  <c r="G2887" i="5"/>
  <c r="H2887" i="5"/>
  <c r="F2888" i="5"/>
  <c r="G2888" i="5"/>
  <c r="H2888" i="5"/>
  <c r="F2889" i="5"/>
  <c r="G2889" i="5"/>
  <c r="H2889" i="5"/>
  <c r="F2890" i="5"/>
  <c r="G2890" i="5"/>
  <c r="H2890" i="5"/>
  <c r="F2891" i="5"/>
  <c r="G2891" i="5"/>
  <c r="H2891" i="5"/>
  <c r="F2892" i="5"/>
  <c r="G2892" i="5"/>
  <c r="H2892" i="5"/>
  <c r="F2893" i="5"/>
  <c r="G2893" i="5"/>
  <c r="H2893" i="5"/>
  <c r="F2894" i="5"/>
  <c r="G2894" i="5"/>
  <c r="H2894" i="5"/>
  <c r="F2895" i="5"/>
  <c r="G2895" i="5"/>
  <c r="H2895" i="5"/>
  <c r="F2896" i="5"/>
  <c r="G2896" i="5"/>
  <c r="H2896" i="5"/>
  <c r="F2897" i="5"/>
  <c r="G2897" i="5"/>
  <c r="H2897" i="5"/>
  <c r="F2898" i="5"/>
  <c r="G2898" i="5"/>
  <c r="H2898" i="5"/>
  <c r="F2899" i="5"/>
  <c r="G2899" i="5"/>
  <c r="H2899" i="5"/>
  <c r="F2900" i="5"/>
  <c r="G2900" i="5"/>
  <c r="H2900" i="5"/>
  <c r="F2901" i="5"/>
  <c r="G2901" i="5"/>
  <c r="H2901" i="5"/>
  <c r="F2902" i="5"/>
  <c r="G2902" i="5"/>
  <c r="H2902" i="5"/>
  <c r="F2903" i="5"/>
  <c r="G2903" i="5"/>
  <c r="H2903" i="5"/>
  <c r="F2904" i="5"/>
  <c r="G2904" i="5"/>
  <c r="H2904" i="5"/>
  <c r="F2905" i="5"/>
  <c r="G2905" i="5"/>
  <c r="H2905" i="5"/>
  <c r="F2906" i="5"/>
  <c r="G2906" i="5"/>
  <c r="H2906" i="5"/>
  <c r="F2907" i="5"/>
  <c r="G2907" i="5"/>
  <c r="H2907" i="5"/>
  <c r="F2908" i="5"/>
  <c r="G2908" i="5"/>
  <c r="H2908" i="5"/>
  <c r="F2909" i="5"/>
  <c r="G2909" i="5"/>
  <c r="H2909" i="5"/>
  <c r="F2910" i="5"/>
  <c r="G2910" i="5"/>
  <c r="H2910" i="5"/>
  <c r="F2911" i="5"/>
  <c r="G2911" i="5"/>
  <c r="H2911" i="5"/>
  <c r="F2912" i="5"/>
  <c r="G2912" i="5"/>
  <c r="H2912" i="5"/>
  <c r="F2913" i="5"/>
  <c r="G2913" i="5"/>
  <c r="H2913" i="5"/>
  <c r="F2914" i="5"/>
  <c r="G2914" i="5"/>
  <c r="H2914" i="5"/>
  <c r="F2915" i="5"/>
  <c r="G2915" i="5"/>
  <c r="H2915" i="5"/>
  <c r="F2916" i="5"/>
  <c r="G2916" i="5"/>
  <c r="H2916" i="5"/>
  <c r="F2917" i="5"/>
  <c r="G2917" i="5"/>
  <c r="H2917" i="5"/>
  <c r="F2918" i="5"/>
  <c r="G2918" i="5"/>
  <c r="H2918" i="5"/>
  <c r="F2919" i="5"/>
  <c r="G2919" i="5"/>
  <c r="H2919" i="5"/>
  <c r="F2920" i="5"/>
  <c r="G2920" i="5"/>
  <c r="H2920" i="5"/>
  <c r="F2921" i="5"/>
  <c r="G2921" i="5"/>
  <c r="H2921" i="5"/>
  <c r="F2922" i="5"/>
  <c r="G2922" i="5"/>
  <c r="H2922" i="5"/>
  <c r="F2923" i="5"/>
  <c r="G2923" i="5"/>
  <c r="H2923" i="5"/>
  <c r="F2924" i="5"/>
  <c r="G2924" i="5"/>
  <c r="H2924" i="5"/>
  <c r="F2925" i="5"/>
  <c r="G2925" i="5"/>
  <c r="H2925" i="5"/>
  <c r="F2926" i="5"/>
  <c r="G2926" i="5"/>
  <c r="H2926" i="5"/>
  <c r="F2927" i="5"/>
  <c r="G2927" i="5"/>
  <c r="H2927" i="5"/>
  <c r="F2928" i="5"/>
  <c r="G2928" i="5"/>
  <c r="H2928" i="5"/>
  <c r="F2929" i="5"/>
  <c r="G2929" i="5"/>
  <c r="H2929" i="5"/>
  <c r="F2930" i="5"/>
  <c r="G2930" i="5"/>
  <c r="H2930" i="5"/>
  <c r="F2931" i="5"/>
  <c r="G2931" i="5"/>
  <c r="H2931" i="5"/>
  <c r="F2932" i="5"/>
  <c r="G2932" i="5"/>
  <c r="H2932" i="5"/>
  <c r="F2933" i="5"/>
  <c r="G2933" i="5"/>
  <c r="H2933" i="5"/>
  <c r="F2934" i="5"/>
  <c r="G2934" i="5"/>
  <c r="H2934" i="5"/>
  <c r="F2935" i="5"/>
  <c r="G2935" i="5"/>
  <c r="H2935" i="5"/>
  <c r="F2936" i="5"/>
  <c r="G2936" i="5"/>
  <c r="H2936" i="5"/>
  <c r="F2937" i="5"/>
  <c r="G2937" i="5"/>
  <c r="H2937" i="5"/>
  <c r="F2938" i="5"/>
  <c r="G2938" i="5"/>
  <c r="H2938" i="5"/>
  <c r="F2939" i="5"/>
  <c r="G2939" i="5"/>
  <c r="H2939" i="5"/>
  <c r="F2940" i="5"/>
  <c r="G2940" i="5"/>
  <c r="H2940" i="5"/>
  <c r="F2941" i="5"/>
  <c r="G2941" i="5"/>
  <c r="H2941" i="5"/>
  <c r="F2942" i="5"/>
  <c r="G2942" i="5"/>
  <c r="H2942" i="5"/>
  <c r="F2943" i="5"/>
  <c r="G2943" i="5"/>
  <c r="H2943" i="5"/>
  <c r="F2944" i="5"/>
  <c r="G2944" i="5"/>
  <c r="H2944" i="5"/>
  <c r="F2945" i="5"/>
  <c r="G2945" i="5"/>
  <c r="H2945" i="5"/>
  <c r="F2946" i="5"/>
  <c r="G2946" i="5"/>
  <c r="H2946" i="5"/>
  <c r="F2947" i="5"/>
  <c r="G2947" i="5"/>
  <c r="H2947" i="5"/>
  <c r="F2948" i="5"/>
  <c r="G2948" i="5"/>
  <c r="H2948" i="5"/>
  <c r="F2949" i="5"/>
  <c r="G2949" i="5"/>
  <c r="H2949" i="5"/>
  <c r="F2950" i="5"/>
  <c r="G2950" i="5"/>
  <c r="H2950" i="5"/>
  <c r="F2951" i="5"/>
  <c r="G2951" i="5"/>
  <c r="H2951" i="5"/>
  <c r="F2952" i="5"/>
  <c r="G2952" i="5"/>
  <c r="H2952" i="5"/>
  <c r="F2953" i="5"/>
  <c r="G2953" i="5"/>
  <c r="H2953" i="5"/>
  <c r="F2954" i="5"/>
  <c r="G2954" i="5"/>
  <c r="H2954" i="5"/>
  <c r="F2955" i="5"/>
  <c r="G2955" i="5"/>
  <c r="H2955" i="5"/>
  <c r="F2956" i="5"/>
  <c r="G2956" i="5"/>
  <c r="H2956" i="5"/>
  <c r="F2957" i="5"/>
  <c r="G2957" i="5"/>
  <c r="H2957" i="5"/>
  <c r="F2958" i="5"/>
  <c r="G2958" i="5"/>
  <c r="H2958" i="5"/>
  <c r="F2959" i="5"/>
  <c r="G2959" i="5"/>
  <c r="H2959" i="5"/>
  <c r="F2960" i="5"/>
  <c r="G2960" i="5"/>
  <c r="H2960" i="5"/>
  <c r="F2961" i="5"/>
  <c r="G2961" i="5"/>
  <c r="H2961" i="5"/>
  <c r="F2962" i="5"/>
  <c r="G2962" i="5"/>
  <c r="H2962" i="5"/>
  <c r="F2963" i="5"/>
  <c r="G2963" i="5"/>
  <c r="H2963" i="5"/>
  <c r="F2964" i="5"/>
  <c r="G2964" i="5"/>
  <c r="H2964" i="5"/>
  <c r="F2965" i="5"/>
  <c r="G2965" i="5"/>
  <c r="H2965" i="5"/>
  <c r="F2966" i="5"/>
  <c r="G2966" i="5"/>
  <c r="H2966" i="5"/>
  <c r="F2967" i="5"/>
  <c r="G2967" i="5"/>
  <c r="H2967" i="5"/>
  <c r="F2968" i="5"/>
  <c r="G2968" i="5"/>
  <c r="H2968" i="5"/>
  <c r="F2969" i="5"/>
  <c r="G2969" i="5"/>
  <c r="H2969" i="5"/>
  <c r="F2970" i="5"/>
  <c r="G2970" i="5"/>
  <c r="H2970" i="5"/>
  <c r="F2971" i="5"/>
  <c r="G2971" i="5"/>
  <c r="H2971" i="5"/>
  <c r="F2972" i="5"/>
  <c r="G2972" i="5"/>
  <c r="H2972" i="5"/>
  <c r="F2973" i="5"/>
  <c r="G2973" i="5"/>
  <c r="H2973" i="5"/>
  <c r="F2974" i="5"/>
  <c r="G2974" i="5"/>
  <c r="H2974" i="5"/>
  <c r="F2975" i="5"/>
  <c r="G2975" i="5"/>
  <c r="H2975" i="5"/>
  <c r="F2976" i="5"/>
  <c r="G2976" i="5"/>
  <c r="H2976" i="5"/>
  <c r="F2977" i="5"/>
  <c r="G2977" i="5"/>
  <c r="H2977" i="5"/>
  <c r="F2978" i="5"/>
  <c r="G2978" i="5"/>
  <c r="H2978" i="5"/>
  <c r="F2979" i="5"/>
  <c r="G2979" i="5"/>
  <c r="H2979" i="5"/>
  <c r="F2980" i="5"/>
  <c r="G2980" i="5"/>
  <c r="H2980" i="5"/>
  <c r="F2981" i="5"/>
  <c r="G2981" i="5"/>
  <c r="H2981" i="5"/>
  <c r="F2982" i="5"/>
  <c r="G2982" i="5"/>
  <c r="H2982" i="5"/>
  <c r="F2983" i="5"/>
  <c r="G2983" i="5"/>
  <c r="H2983" i="5"/>
  <c r="F2984" i="5"/>
  <c r="G2984" i="5"/>
  <c r="H2984" i="5"/>
  <c r="F2985" i="5"/>
  <c r="G2985" i="5"/>
  <c r="H2985" i="5"/>
  <c r="F2986" i="5"/>
  <c r="G2986" i="5"/>
  <c r="H2986" i="5"/>
  <c r="F2987" i="5"/>
  <c r="G2987" i="5"/>
  <c r="H2987" i="5"/>
  <c r="F2988" i="5"/>
  <c r="G2988" i="5"/>
  <c r="H2988" i="5"/>
  <c r="F2989" i="5"/>
  <c r="G2989" i="5"/>
  <c r="H2989" i="5"/>
  <c r="F2990" i="5"/>
  <c r="G2990" i="5"/>
  <c r="H2990" i="5"/>
  <c r="F2991" i="5"/>
  <c r="G2991" i="5"/>
  <c r="H2991" i="5"/>
  <c r="F2992" i="5"/>
  <c r="G2992" i="5"/>
  <c r="H2992" i="5"/>
  <c r="F2993" i="5"/>
  <c r="G2993" i="5"/>
  <c r="H2993" i="5"/>
  <c r="F2994" i="5"/>
  <c r="G2994" i="5"/>
  <c r="H2994" i="5"/>
  <c r="F2995" i="5"/>
  <c r="G2995" i="5"/>
  <c r="H2995" i="5"/>
  <c r="F2996" i="5"/>
  <c r="G2996" i="5"/>
  <c r="H2996" i="5"/>
  <c r="F2997" i="5"/>
  <c r="G2997" i="5"/>
  <c r="H2997" i="5"/>
  <c r="F2998" i="5"/>
  <c r="G2998" i="5"/>
  <c r="H2998" i="5"/>
  <c r="F2999" i="5"/>
  <c r="G2999" i="5"/>
  <c r="H2999" i="5"/>
  <c r="F3000" i="5"/>
  <c r="G3000" i="5"/>
  <c r="H3000" i="5"/>
  <c r="F3001" i="5"/>
  <c r="G3001" i="5"/>
  <c r="H3001" i="5"/>
  <c r="F3002" i="5"/>
  <c r="G3002" i="5"/>
  <c r="H3002" i="5"/>
  <c r="F3003" i="5"/>
  <c r="G3003" i="5"/>
  <c r="H3003" i="5"/>
  <c r="F3004" i="5"/>
  <c r="G3004" i="5"/>
  <c r="H3004" i="5"/>
  <c r="F3005" i="5"/>
  <c r="G3005" i="5"/>
  <c r="H3005" i="5"/>
  <c r="F3006" i="5"/>
  <c r="G3006" i="5"/>
  <c r="H3006" i="5"/>
  <c r="F3007" i="5"/>
  <c r="G3007" i="5"/>
  <c r="H3007" i="5"/>
  <c r="F3008" i="5"/>
  <c r="G3008" i="5"/>
  <c r="H3008" i="5"/>
  <c r="F3009" i="5"/>
  <c r="G3009" i="5"/>
  <c r="H3009" i="5"/>
  <c r="F3010" i="5"/>
  <c r="G3010" i="5"/>
  <c r="H3010" i="5"/>
  <c r="F3011" i="5"/>
  <c r="G3011" i="5"/>
  <c r="H3011" i="5"/>
  <c r="F3012" i="5"/>
  <c r="G3012" i="5"/>
  <c r="H3012" i="5"/>
  <c r="F3013" i="5"/>
  <c r="G3013" i="5"/>
  <c r="H3013" i="5"/>
  <c r="F3014" i="5"/>
  <c r="G3014" i="5"/>
  <c r="H3014" i="5"/>
  <c r="F3015" i="5"/>
  <c r="G3015" i="5"/>
  <c r="H3015" i="5"/>
  <c r="F3016" i="5"/>
  <c r="G3016" i="5"/>
  <c r="H3016" i="5"/>
  <c r="F3017" i="5"/>
  <c r="G3017" i="5"/>
  <c r="H3017" i="5"/>
  <c r="F3018" i="5"/>
  <c r="G3018" i="5"/>
  <c r="H3018" i="5"/>
  <c r="F3019" i="5"/>
  <c r="G3019" i="5"/>
  <c r="H3019" i="5"/>
  <c r="F3020" i="5"/>
  <c r="G3020" i="5"/>
  <c r="H3020" i="5"/>
  <c r="F3021" i="5"/>
  <c r="G3021" i="5"/>
  <c r="H3021" i="5"/>
  <c r="F3022" i="5"/>
  <c r="G3022" i="5"/>
  <c r="H3022" i="5"/>
  <c r="F3023" i="5"/>
  <c r="G3023" i="5"/>
  <c r="H3023" i="5"/>
  <c r="F3024" i="5"/>
  <c r="G3024" i="5"/>
  <c r="H3024" i="5"/>
  <c r="F3025" i="5"/>
  <c r="G3025" i="5"/>
  <c r="H3025" i="5"/>
  <c r="F3026" i="5"/>
  <c r="G3026" i="5"/>
  <c r="H3026" i="5"/>
  <c r="F3027" i="5"/>
  <c r="G3027" i="5"/>
  <c r="H3027" i="5"/>
  <c r="F3028" i="5"/>
  <c r="G3028" i="5"/>
  <c r="H3028" i="5"/>
  <c r="F3029" i="5"/>
  <c r="G3029" i="5"/>
  <c r="H3029" i="5"/>
  <c r="F3030" i="5"/>
  <c r="G3030" i="5"/>
  <c r="H3030" i="5"/>
  <c r="F3031" i="5"/>
  <c r="G3031" i="5"/>
  <c r="H3031" i="5"/>
  <c r="F3032" i="5"/>
  <c r="G3032" i="5"/>
  <c r="H3032" i="5"/>
  <c r="F3033" i="5"/>
  <c r="G3033" i="5"/>
  <c r="H3033" i="5"/>
  <c r="F3034" i="5"/>
  <c r="G3034" i="5"/>
  <c r="H3034" i="5"/>
  <c r="F3035" i="5"/>
  <c r="G3035" i="5"/>
  <c r="H3035" i="5"/>
  <c r="F3036" i="5"/>
  <c r="G3036" i="5"/>
  <c r="H3036" i="5"/>
  <c r="F3037" i="5"/>
  <c r="G3037" i="5"/>
  <c r="H3037" i="5"/>
  <c r="F3038" i="5"/>
  <c r="G3038" i="5"/>
  <c r="H3038" i="5"/>
  <c r="F3039" i="5"/>
  <c r="G3039" i="5"/>
  <c r="H3039" i="5"/>
  <c r="F3040" i="5"/>
  <c r="G3040" i="5"/>
  <c r="H3040" i="5"/>
  <c r="F3041" i="5"/>
  <c r="G3041" i="5"/>
  <c r="H3041" i="5"/>
  <c r="F3042" i="5"/>
  <c r="G3042" i="5"/>
  <c r="H3042" i="5"/>
  <c r="F3043" i="5"/>
  <c r="G3043" i="5"/>
  <c r="H3043" i="5"/>
  <c r="F3044" i="5"/>
  <c r="G3044" i="5"/>
  <c r="H3044" i="5"/>
  <c r="F3045" i="5"/>
  <c r="G3045" i="5"/>
  <c r="H3045" i="5"/>
  <c r="F3046" i="5"/>
  <c r="G3046" i="5"/>
  <c r="H3046" i="5"/>
  <c r="F3047" i="5"/>
  <c r="G3047" i="5"/>
  <c r="H3047" i="5"/>
  <c r="F3048" i="5"/>
  <c r="G3048" i="5"/>
  <c r="H3048" i="5"/>
  <c r="F3049" i="5"/>
  <c r="G3049" i="5"/>
  <c r="H3049" i="5"/>
  <c r="F3050" i="5"/>
  <c r="G3050" i="5"/>
  <c r="H3050" i="5"/>
  <c r="F3051" i="5"/>
  <c r="G3051" i="5"/>
  <c r="H3051" i="5"/>
  <c r="F3052" i="5"/>
  <c r="G3052" i="5"/>
  <c r="H3052" i="5"/>
  <c r="F3053" i="5"/>
  <c r="G3053" i="5"/>
  <c r="H3053" i="5"/>
  <c r="F3054" i="5"/>
  <c r="G3054" i="5"/>
  <c r="H3054" i="5"/>
  <c r="F3055" i="5"/>
  <c r="G3055" i="5"/>
  <c r="H3055" i="5"/>
  <c r="F3056" i="5"/>
  <c r="G3056" i="5"/>
  <c r="H3056" i="5"/>
  <c r="F3057" i="5"/>
  <c r="G3057" i="5"/>
  <c r="H3057" i="5"/>
  <c r="F3058" i="5"/>
  <c r="G3058" i="5"/>
  <c r="H3058" i="5"/>
  <c r="F3059" i="5"/>
  <c r="G3059" i="5"/>
  <c r="H3059" i="5"/>
  <c r="F3060" i="5"/>
  <c r="G3060" i="5"/>
  <c r="H3060" i="5"/>
  <c r="F3061" i="5"/>
  <c r="G3061" i="5"/>
  <c r="H3061" i="5"/>
  <c r="F3062" i="5"/>
  <c r="G3062" i="5"/>
  <c r="H3062" i="5"/>
  <c r="F3063" i="5"/>
  <c r="G3063" i="5"/>
  <c r="H3063" i="5"/>
  <c r="F3064" i="5"/>
  <c r="G3064" i="5"/>
  <c r="H3064" i="5"/>
  <c r="F3065" i="5"/>
  <c r="G3065" i="5"/>
  <c r="H3065" i="5"/>
  <c r="F3066" i="5"/>
  <c r="G3066" i="5"/>
  <c r="H3066" i="5"/>
  <c r="F3067" i="5"/>
  <c r="G3067" i="5"/>
  <c r="H3067" i="5"/>
  <c r="F3068" i="5"/>
  <c r="G3068" i="5"/>
  <c r="H3068" i="5"/>
  <c r="F3069" i="5"/>
  <c r="G3069" i="5"/>
  <c r="H3069" i="5"/>
  <c r="F3070" i="5"/>
  <c r="G3070" i="5"/>
  <c r="H3070" i="5"/>
  <c r="F3071" i="5"/>
  <c r="G3071" i="5"/>
  <c r="H3071" i="5"/>
  <c r="F3072" i="5"/>
  <c r="G3072" i="5"/>
  <c r="H3072" i="5"/>
  <c r="F3073" i="5"/>
  <c r="G3073" i="5"/>
  <c r="H3073" i="5"/>
  <c r="F3074" i="5"/>
  <c r="G3074" i="5"/>
  <c r="H3074" i="5"/>
  <c r="F3075" i="5"/>
  <c r="G3075" i="5"/>
  <c r="H3075" i="5"/>
  <c r="F3076" i="5"/>
  <c r="G3076" i="5"/>
  <c r="H3076" i="5"/>
  <c r="F3077" i="5"/>
  <c r="G3077" i="5"/>
  <c r="H3077" i="5"/>
  <c r="F3078" i="5"/>
  <c r="G3078" i="5"/>
  <c r="H3078" i="5"/>
  <c r="F3079" i="5"/>
  <c r="G3079" i="5"/>
  <c r="H3079" i="5"/>
  <c r="F3080" i="5"/>
  <c r="G3080" i="5"/>
  <c r="H3080" i="5"/>
  <c r="F3081" i="5"/>
  <c r="G3081" i="5"/>
  <c r="H3081" i="5"/>
  <c r="F3082" i="5"/>
  <c r="G3082" i="5"/>
  <c r="H3082" i="5"/>
  <c r="F3083" i="5"/>
  <c r="G3083" i="5"/>
  <c r="H3083" i="5"/>
  <c r="F3084" i="5"/>
  <c r="G3084" i="5"/>
  <c r="H3084" i="5"/>
  <c r="F3085" i="5"/>
  <c r="G3085" i="5"/>
  <c r="H3085" i="5"/>
  <c r="F3086" i="5"/>
  <c r="G3086" i="5"/>
  <c r="H3086" i="5"/>
  <c r="F3087" i="5"/>
  <c r="G3087" i="5"/>
  <c r="H3087" i="5"/>
  <c r="F3088" i="5"/>
  <c r="G3088" i="5"/>
  <c r="H3088" i="5"/>
  <c r="F3089" i="5"/>
  <c r="G3089" i="5"/>
  <c r="H3089" i="5"/>
  <c r="F3090" i="5"/>
  <c r="G3090" i="5"/>
  <c r="H3090" i="5"/>
  <c r="F3091" i="5"/>
  <c r="G3091" i="5"/>
  <c r="H3091" i="5"/>
  <c r="F3092" i="5"/>
  <c r="G3092" i="5"/>
  <c r="H3092" i="5"/>
  <c r="F3093" i="5"/>
  <c r="G3093" i="5"/>
  <c r="H3093" i="5"/>
  <c r="F3094" i="5"/>
  <c r="G3094" i="5"/>
  <c r="H3094" i="5"/>
  <c r="F3095" i="5"/>
  <c r="G3095" i="5"/>
  <c r="H3095" i="5"/>
  <c r="F3096" i="5"/>
  <c r="G3096" i="5"/>
  <c r="H3096" i="5"/>
  <c r="F3097" i="5"/>
  <c r="G3097" i="5"/>
  <c r="H3097" i="5"/>
  <c r="F3098" i="5"/>
  <c r="G3098" i="5"/>
  <c r="H3098" i="5"/>
  <c r="F3099" i="5"/>
  <c r="G3099" i="5"/>
  <c r="H3099" i="5"/>
  <c r="F3100" i="5"/>
  <c r="G3100" i="5"/>
  <c r="H3100" i="5"/>
  <c r="F3101" i="5"/>
  <c r="G3101" i="5"/>
  <c r="H3101" i="5"/>
  <c r="F3102" i="5"/>
  <c r="G3102" i="5"/>
  <c r="H3102" i="5"/>
  <c r="F3103" i="5"/>
  <c r="G3103" i="5"/>
  <c r="H3103" i="5"/>
  <c r="F3104" i="5"/>
  <c r="G3104" i="5"/>
  <c r="H3104" i="5"/>
  <c r="F3105" i="5"/>
  <c r="G3105" i="5"/>
  <c r="H3105" i="5"/>
  <c r="F3106" i="5"/>
  <c r="G3106" i="5"/>
  <c r="H3106" i="5"/>
  <c r="F3107" i="5"/>
  <c r="G3107" i="5"/>
  <c r="H3107" i="5"/>
  <c r="F3108" i="5"/>
  <c r="G3108" i="5"/>
  <c r="H3108" i="5"/>
  <c r="F3109" i="5"/>
  <c r="G3109" i="5"/>
  <c r="H3109" i="5"/>
  <c r="F3110" i="5"/>
  <c r="G3110" i="5"/>
  <c r="H3110" i="5"/>
  <c r="F3111" i="5"/>
  <c r="G3111" i="5"/>
  <c r="H3111" i="5"/>
  <c r="F3112" i="5"/>
  <c r="G3112" i="5"/>
  <c r="H3112" i="5"/>
  <c r="F3113" i="5"/>
  <c r="G3113" i="5"/>
  <c r="H3113" i="5"/>
  <c r="F3114" i="5"/>
  <c r="G3114" i="5"/>
  <c r="H3114" i="5"/>
  <c r="F3115" i="5"/>
  <c r="G3115" i="5"/>
  <c r="H3115" i="5"/>
  <c r="F3116" i="5"/>
  <c r="G3116" i="5"/>
  <c r="H3116" i="5"/>
  <c r="F3117" i="5"/>
  <c r="G3117" i="5"/>
  <c r="H3117" i="5"/>
  <c r="F3118" i="5"/>
  <c r="G3118" i="5"/>
  <c r="H3118" i="5"/>
  <c r="F3119" i="5"/>
  <c r="G3119" i="5"/>
  <c r="H3119" i="5"/>
  <c r="F3120" i="5"/>
  <c r="G3120" i="5"/>
  <c r="H3120" i="5"/>
  <c r="F3121" i="5"/>
  <c r="G3121" i="5"/>
  <c r="H3121" i="5"/>
  <c r="F3122" i="5"/>
  <c r="G3122" i="5"/>
  <c r="H3122" i="5"/>
  <c r="F3123" i="5"/>
  <c r="G3123" i="5"/>
  <c r="H3123" i="5"/>
  <c r="F3124" i="5"/>
  <c r="G3124" i="5"/>
  <c r="H3124" i="5"/>
  <c r="F3125" i="5"/>
  <c r="G3125" i="5"/>
  <c r="H3125" i="5"/>
  <c r="F3126" i="5"/>
  <c r="G3126" i="5"/>
  <c r="H3126" i="5"/>
  <c r="F3127" i="5"/>
  <c r="G3127" i="5"/>
  <c r="H3127" i="5"/>
  <c r="F3128" i="5"/>
  <c r="G3128" i="5"/>
  <c r="H3128" i="5"/>
  <c r="F3129" i="5"/>
  <c r="G3129" i="5"/>
  <c r="H3129" i="5"/>
  <c r="F3130" i="5"/>
  <c r="G3130" i="5"/>
  <c r="H3130" i="5"/>
  <c r="F3131" i="5"/>
  <c r="G3131" i="5"/>
  <c r="H3131" i="5"/>
  <c r="F3132" i="5"/>
  <c r="G3132" i="5"/>
  <c r="H3132" i="5"/>
  <c r="F3133" i="5"/>
  <c r="G3133" i="5"/>
  <c r="H3133" i="5"/>
  <c r="F3134" i="5"/>
  <c r="G3134" i="5"/>
  <c r="H3134" i="5"/>
  <c r="F3135" i="5"/>
  <c r="G3135" i="5"/>
  <c r="H3135" i="5"/>
  <c r="F3136" i="5"/>
  <c r="G3136" i="5"/>
  <c r="H3136" i="5"/>
  <c r="F3137" i="5"/>
  <c r="G3137" i="5"/>
  <c r="H3137" i="5"/>
  <c r="F3138" i="5"/>
  <c r="G3138" i="5"/>
  <c r="H3138" i="5"/>
  <c r="F3139" i="5"/>
  <c r="G3139" i="5"/>
  <c r="H3139" i="5"/>
  <c r="F3140" i="5"/>
  <c r="G3140" i="5"/>
  <c r="H3140" i="5"/>
  <c r="F3141" i="5"/>
  <c r="G3141" i="5"/>
  <c r="H3141" i="5"/>
  <c r="F3142" i="5"/>
  <c r="G3142" i="5"/>
  <c r="H3142" i="5"/>
  <c r="F3143" i="5"/>
  <c r="G3143" i="5"/>
  <c r="H3143" i="5"/>
  <c r="F3144" i="5"/>
  <c r="G3144" i="5"/>
  <c r="H3144" i="5"/>
  <c r="F3145" i="5"/>
  <c r="G3145" i="5"/>
  <c r="H3145" i="5"/>
  <c r="F3146" i="5"/>
  <c r="G3146" i="5"/>
  <c r="H3146" i="5"/>
  <c r="F3147" i="5"/>
  <c r="G3147" i="5"/>
  <c r="H3147" i="5"/>
  <c r="F3148" i="5"/>
  <c r="G3148" i="5"/>
  <c r="H3148" i="5"/>
  <c r="F3149" i="5"/>
  <c r="G3149" i="5"/>
  <c r="H3149" i="5"/>
  <c r="F3150" i="5"/>
  <c r="G3150" i="5"/>
  <c r="H3150" i="5"/>
  <c r="F3151" i="5"/>
  <c r="G3151" i="5"/>
  <c r="H3151" i="5"/>
  <c r="F3152" i="5"/>
  <c r="G3152" i="5"/>
  <c r="H3152" i="5"/>
  <c r="F3153" i="5"/>
  <c r="G3153" i="5"/>
  <c r="H3153" i="5"/>
  <c r="F3154" i="5"/>
  <c r="G3154" i="5"/>
  <c r="H3154" i="5"/>
  <c r="F3155" i="5"/>
  <c r="G3155" i="5"/>
  <c r="H3155" i="5"/>
  <c r="F3156" i="5"/>
  <c r="G3156" i="5"/>
  <c r="H3156" i="5"/>
  <c r="F3157" i="5"/>
  <c r="G3157" i="5"/>
  <c r="H3157" i="5"/>
  <c r="F3158" i="5"/>
  <c r="G3158" i="5"/>
  <c r="H3158" i="5"/>
  <c r="F3159" i="5"/>
  <c r="G3159" i="5"/>
  <c r="H3159" i="5"/>
  <c r="F3160" i="5"/>
  <c r="G3160" i="5"/>
  <c r="H3160" i="5"/>
  <c r="F3161" i="5"/>
  <c r="G3161" i="5"/>
  <c r="H3161" i="5"/>
  <c r="F3162" i="5"/>
  <c r="G3162" i="5"/>
  <c r="H3162" i="5"/>
  <c r="F3163" i="5"/>
  <c r="G3163" i="5"/>
  <c r="H3163" i="5"/>
  <c r="F3164" i="5"/>
  <c r="G3164" i="5"/>
  <c r="H3164" i="5"/>
  <c r="F3165" i="5"/>
  <c r="G3165" i="5"/>
  <c r="H3165" i="5"/>
  <c r="F3166" i="5"/>
  <c r="G3166" i="5"/>
  <c r="H3166" i="5"/>
  <c r="F3167" i="5"/>
  <c r="G3167" i="5"/>
  <c r="H3167" i="5"/>
  <c r="F3168" i="5"/>
  <c r="G3168" i="5"/>
  <c r="H3168" i="5"/>
  <c r="F3169" i="5"/>
  <c r="G3169" i="5"/>
  <c r="H3169" i="5"/>
  <c r="F3170" i="5"/>
  <c r="G3170" i="5"/>
  <c r="H3170" i="5"/>
  <c r="F3171" i="5"/>
  <c r="G3171" i="5"/>
  <c r="H3171" i="5"/>
  <c r="F3172" i="5"/>
  <c r="G3172" i="5"/>
  <c r="H3172" i="5"/>
  <c r="F3173" i="5"/>
  <c r="G3173" i="5"/>
  <c r="H3173" i="5"/>
  <c r="F3174" i="5"/>
  <c r="G3174" i="5"/>
  <c r="H3174" i="5"/>
  <c r="F3175" i="5"/>
  <c r="G3175" i="5"/>
  <c r="H3175" i="5"/>
  <c r="F3176" i="5"/>
  <c r="G3176" i="5"/>
  <c r="H3176" i="5"/>
  <c r="F3177" i="5"/>
  <c r="G3177" i="5"/>
  <c r="H3177" i="5"/>
  <c r="F3178" i="5"/>
  <c r="G3178" i="5"/>
  <c r="H3178" i="5"/>
  <c r="F3179" i="5"/>
  <c r="G3179" i="5"/>
  <c r="H3179" i="5"/>
  <c r="F3180" i="5"/>
  <c r="G3180" i="5"/>
  <c r="H3180" i="5"/>
  <c r="F3181" i="5"/>
  <c r="G3181" i="5"/>
  <c r="H3181" i="5"/>
  <c r="F3182" i="5"/>
  <c r="G3182" i="5"/>
  <c r="H3182" i="5"/>
  <c r="F3183" i="5"/>
  <c r="G3183" i="5"/>
  <c r="H3183" i="5"/>
  <c r="F3184" i="5"/>
  <c r="G3184" i="5"/>
  <c r="H3184" i="5"/>
  <c r="F3185" i="5"/>
  <c r="G3185" i="5"/>
  <c r="H3185" i="5"/>
  <c r="F3186" i="5"/>
  <c r="G3186" i="5"/>
  <c r="H3186" i="5"/>
  <c r="F3187" i="5"/>
  <c r="G3187" i="5"/>
  <c r="H3187" i="5"/>
  <c r="F3188" i="5"/>
  <c r="G3188" i="5"/>
  <c r="H3188" i="5"/>
  <c r="F3189" i="5"/>
  <c r="G3189" i="5"/>
  <c r="H3189" i="5"/>
  <c r="F3190" i="5"/>
  <c r="G3190" i="5"/>
  <c r="H3190" i="5"/>
  <c r="F3191" i="5"/>
  <c r="G3191" i="5"/>
  <c r="H3191" i="5"/>
  <c r="F3192" i="5"/>
  <c r="G3192" i="5"/>
  <c r="H3192" i="5"/>
  <c r="F3193" i="5"/>
  <c r="G3193" i="5"/>
  <c r="H3193" i="5"/>
  <c r="F3194" i="5"/>
  <c r="G3194" i="5"/>
  <c r="H3194" i="5"/>
  <c r="F3195" i="5"/>
  <c r="G3195" i="5"/>
  <c r="H3195" i="5"/>
  <c r="F3196" i="5"/>
  <c r="G3196" i="5"/>
  <c r="H3196" i="5"/>
  <c r="F3197" i="5"/>
  <c r="G3197" i="5"/>
  <c r="H3197" i="5"/>
  <c r="F3198" i="5"/>
  <c r="G3198" i="5"/>
  <c r="H3198" i="5"/>
  <c r="F3199" i="5"/>
  <c r="G3199" i="5"/>
  <c r="H3199" i="5"/>
  <c r="F3200" i="5"/>
  <c r="G3200" i="5"/>
  <c r="H3200" i="5"/>
  <c r="F3201" i="5"/>
  <c r="G3201" i="5"/>
  <c r="H3201" i="5"/>
  <c r="F3202" i="5"/>
  <c r="G3202" i="5"/>
  <c r="H3202" i="5"/>
  <c r="F3203" i="5"/>
  <c r="G3203" i="5"/>
  <c r="H3203" i="5"/>
  <c r="F3204" i="5"/>
  <c r="G3204" i="5"/>
  <c r="H3204" i="5"/>
  <c r="F3205" i="5"/>
  <c r="G3205" i="5"/>
  <c r="H3205" i="5"/>
  <c r="F3206" i="5"/>
  <c r="G3206" i="5"/>
  <c r="H3206" i="5"/>
  <c r="F3207" i="5"/>
  <c r="G3207" i="5"/>
  <c r="H3207" i="5"/>
  <c r="F3208" i="5"/>
  <c r="G3208" i="5"/>
  <c r="H3208" i="5"/>
  <c r="F3209" i="5"/>
  <c r="G3209" i="5"/>
  <c r="H3209" i="5"/>
  <c r="F3210" i="5"/>
  <c r="G3210" i="5"/>
  <c r="H3210" i="5"/>
  <c r="F3211" i="5"/>
  <c r="G3211" i="5"/>
  <c r="H3211" i="5"/>
  <c r="F3212" i="5"/>
  <c r="G3212" i="5"/>
  <c r="H3212" i="5"/>
  <c r="F3213" i="5"/>
  <c r="G3213" i="5"/>
  <c r="H3213" i="5"/>
  <c r="F3214" i="5"/>
  <c r="G3214" i="5"/>
  <c r="H3214" i="5"/>
  <c r="F3215" i="5"/>
  <c r="G3215" i="5"/>
  <c r="H3215" i="5"/>
  <c r="F3216" i="5"/>
  <c r="G3216" i="5"/>
  <c r="H3216" i="5"/>
  <c r="F3217" i="5"/>
  <c r="G3217" i="5"/>
  <c r="H3217" i="5"/>
  <c r="F3218" i="5"/>
  <c r="G3218" i="5"/>
  <c r="H3218" i="5"/>
  <c r="F3219" i="5"/>
  <c r="G3219" i="5"/>
  <c r="H3219" i="5"/>
  <c r="F3220" i="5"/>
  <c r="G3220" i="5"/>
  <c r="H3220" i="5"/>
  <c r="F3221" i="5"/>
  <c r="G3221" i="5"/>
  <c r="H3221" i="5"/>
  <c r="F3222" i="5"/>
  <c r="G3222" i="5"/>
  <c r="H3222" i="5"/>
  <c r="F3223" i="5"/>
  <c r="G3223" i="5"/>
  <c r="H3223" i="5"/>
  <c r="F3224" i="5"/>
  <c r="G3224" i="5"/>
  <c r="H3224" i="5"/>
  <c r="F3225" i="5"/>
  <c r="G3225" i="5"/>
  <c r="H3225" i="5"/>
  <c r="F3226" i="5"/>
  <c r="G3226" i="5"/>
  <c r="H3226" i="5"/>
  <c r="F3227" i="5"/>
  <c r="G3227" i="5"/>
  <c r="H3227" i="5"/>
  <c r="F3228" i="5"/>
  <c r="G3228" i="5"/>
  <c r="H3228" i="5"/>
  <c r="F3229" i="5"/>
  <c r="G3229" i="5"/>
  <c r="H3229" i="5"/>
  <c r="F3230" i="5"/>
  <c r="G3230" i="5"/>
  <c r="H3230" i="5"/>
  <c r="F3231" i="5"/>
  <c r="G3231" i="5"/>
  <c r="H3231" i="5"/>
  <c r="F3232" i="5"/>
  <c r="G3232" i="5"/>
  <c r="H3232" i="5"/>
  <c r="F3233" i="5"/>
  <c r="G3233" i="5"/>
  <c r="H3233" i="5"/>
  <c r="F3234" i="5"/>
  <c r="G3234" i="5"/>
  <c r="H3234" i="5"/>
  <c r="F3235" i="5"/>
  <c r="G3235" i="5"/>
  <c r="H3235" i="5"/>
  <c r="F3236" i="5"/>
  <c r="G3236" i="5"/>
  <c r="H3236" i="5"/>
  <c r="F3237" i="5"/>
  <c r="G3237" i="5"/>
  <c r="H3237" i="5"/>
  <c r="F3238" i="5"/>
  <c r="G3238" i="5"/>
  <c r="H3238" i="5"/>
  <c r="F3239" i="5"/>
  <c r="G3239" i="5"/>
  <c r="H3239" i="5"/>
  <c r="F3240" i="5"/>
  <c r="G3240" i="5"/>
  <c r="H3240" i="5"/>
  <c r="F3241" i="5"/>
  <c r="G3241" i="5"/>
  <c r="H3241" i="5"/>
  <c r="F3242" i="5"/>
  <c r="G3242" i="5"/>
  <c r="H3242" i="5"/>
  <c r="F3243" i="5"/>
  <c r="G3243" i="5"/>
  <c r="H3243" i="5"/>
  <c r="F3244" i="5"/>
  <c r="G3244" i="5"/>
  <c r="H3244" i="5"/>
  <c r="F3245" i="5"/>
  <c r="G3245" i="5"/>
  <c r="H3245" i="5"/>
  <c r="F3246" i="5"/>
  <c r="G3246" i="5"/>
  <c r="H3246" i="5"/>
  <c r="F3247" i="5"/>
  <c r="G3247" i="5"/>
  <c r="H3247" i="5"/>
  <c r="F3248" i="5"/>
  <c r="G3248" i="5"/>
  <c r="H3248" i="5"/>
  <c r="F3249" i="5"/>
  <c r="G3249" i="5"/>
  <c r="H3249" i="5"/>
  <c r="F3250" i="5"/>
  <c r="G3250" i="5"/>
  <c r="H3250" i="5"/>
  <c r="F3251" i="5"/>
  <c r="G3251" i="5"/>
  <c r="H3251" i="5"/>
  <c r="F3252" i="5"/>
  <c r="G3252" i="5"/>
  <c r="H3252" i="5"/>
  <c r="F3253" i="5"/>
  <c r="G3253" i="5"/>
  <c r="H3253" i="5"/>
  <c r="F3254" i="5"/>
  <c r="G3254" i="5"/>
  <c r="H3254" i="5"/>
  <c r="F3255" i="5"/>
  <c r="G3255" i="5"/>
  <c r="H3255" i="5"/>
  <c r="F3256" i="5"/>
  <c r="G3256" i="5"/>
  <c r="H3256" i="5"/>
  <c r="F3257" i="5"/>
  <c r="G3257" i="5"/>
  <c r="H3257" i="5"/>
  <c r="F3258" i="5"/>
  <c r="G3258" i="5"/>
  <c r="H3258" i="5"/>
  <c r="F3259" i="5"/>
  <c r="G3259" i="5"/>
  <c r="H3259" i="5"/>
  <c r="F3260" i="5"/>
  <c r="G3260" i="5"/>
  <c r="H3260" i="5"/>
  <c r="F3261" i="5"/>
  <c r="G3261" i="5"/>
  <c r="H3261" i="5"/>
  <c r="F3262" i="5"/>
  <c r="G3262" i="5"/>
  <c r="H3262" i="5"/>
  <c r="F3263" i="5"/>
  <c r="G3263" i="5"/>
  <c r="H3263" i="5"/>
  <c r="F3264" i="5"/>
  <c r="G3264" i="5"/>
  <c r="H3264" i="5"/>
  <c r="F3265" i="5"/>
  <c r="G3265" i="5"/>
  <c r="H3265" i="5"/>
  <c r="F3266" i="5"/>
  <c r="G3266" i="5"/>
  <c r="H3266" i="5"/>
  <c r="F3267" i="5"/>
  <c r="G3267" i="5"/>
  <c r="H3267" i="5"/>
  <c r="F3268" i="5"/>
  <c r="G3268" i="5"/>
  <c r="H3268" i="5"/>
  <c r="F3269" i="5"/>
  <c r="G3269" i="5"/>
  <c r="H3269" i="5"/>
  <c r="F3270" i="5"/>
  <c r="G3270" i="5"/>
  <c r="H3270" i="5"/>
  <c r="F3271" i="5"/>
  <c r="G3271" i="5"/>
  <c r="H3271" i="5"/>
  <c r="F3272" i="5"/>
  <c r="G3272" i="5"/>
  <c r="H3272" i="5"/>
  <c r="F3273" i="5"/>
  <c r="G3273" i="5"/>
  <c r="H3273" i="5"/>
  <c r="F3274" i="5"/>
  <c r="G3274" i="5"/>
  <c r="H3274" i="5"/>
  <c r="F3275" i="5"/>
  <c r="G3275" i="5"/>
  <c r="H3275" i="5"/>
  <c r="F3276" i="5"/>
  <c r="G3276" i="5"/>
  <c r="H3276" i="5"/>
  <c r="F3277" i="5"/>
  <c r="G3277" i="5"/>
  <c r="H3277" i="5"/>
  <c r="F3278" i="5"/>
  <c r="G3278" i="5"/>
  <c r="H3278" i="5"/>
  <c r="F3279" i="5"/>
  <c r="G3279" i="5"/>
  <c r="H3279" i="5"/>
  <c r="F3280" i="5"/>
  <c r="G3280" i="5"/>
  <c r="H3280" i="5"/>
  <c r="F3281" i="5"/>
  <c r="G3281" i="5"/>
  <c r="H3281" i="5"/>
  <c r="F3282" i="5"/>
  <c r="G3282" i="5"/>
  <c r="H3282" i="5"/>
  <c r="F3283" i="5"/>
  <c r="G3283" i="5"/>
  <c r="H3283" i="5"/>
  <c r="F3284" i="5"/>
  <c r="G3284" i="5"/>
  <c r="H3284" i="5"/>
  <c r="F3285" i="5"/>
  <c r="G3285" i="5"/>
  <c r="H3285" i="5"/>
  <c r="F3286" i="5"/>
  <c r="G3286" i="5"/>
  <c r="H3286" i="5"/>
  <c r="F3287" i="5"/>
  <c r="G3287" i="5"/>
  <c r="H3287" i="5"/>
  <c r="F3288" i="5"/>
  <c r="G3288" i="5"/>
  <c r="H3288" i="5"/>
  <c r="F3289" i="5"/>
  <c r="G3289" i="5"/>
  <c r="H3289" i="5"/>
  <c r="F3290" i="5"/>
  <c r="G3290" i="5"/>
  <c r="H3290" i="5"/>
  <c r="F3291" i="5"/>
  <c r="G3291" i="5"/>
  <c r="H3291" i="5"/>
  <c r="F3292" i="5"/>
  <c r="G3292" i="5"/>
  <c r="H3292" i="5"/>
  <c r="F3293" i="5"/>
  <c r="G3293" i="5"/>
  <c r="H3293" i="5"/>
  <c r="F3294" i="5"/>
  <c r="G3294" i="5"/>
  <c r="H3294" i="5"/>
  <c r="F3295" i="5"/>
  <c r="G3295" i="5"/>
  <c r="H3295" i="5"/>
  <c r="F3296" i="5"/>
  <c r="G3296" i="5"/>
  <c r="H3296" i="5"/>
  <c r="F3297" i="5"/>
  <c r="G3297" i="5"/>
  <c r="H3297" i="5"/>
  <c r="F3298" i="5"/>
  <c r="G3298" i="5"/>
  <c r="H3298" i="5"/>
  <c r="F3299" i="5"/>
  <c r="G3299" i="5"/>
  <c r="H3299" i="5"/>
  <c r="F3300" i="5"/>
  <c r="G3300" i="5"/>
  <c r="H3300" i="5"/>
  <c r="F3301" i="5"/>
  <c r="G3301" i="5"/>
  <c r="H3301" i="5"/>
  <c r="F3302" i="5"/>
  <c r="G3302" i="5"/>
  <c r="H3302" i="5"/>
  <c r="F3303" i="5"/>
  <c r="G3303" i="5"/>
  <c r="H3303" i="5"/>
  <c r="F3304" i="5"/>
  <c r="G3304" i="5"/>
  <c r="H3304" i="5"/>
  <c r="F3305" i="5"/>
  <c r="G3305" i="5"/>
  <c r="H3305" i="5"/>
  <c r="F3306" i="5"/>
  <c r="G3306" i="5"/>
  <c r="H3306" i="5"/>
  <c r="F3307" i="5"/>
  <c r="G3307" i="5"/>
  <c r="H3307" i="5"/>
  <c r="F3308" i="5"/>
  <c r="G3308" i="5"/>
  <c r="H3308" i="5"/>
  <c r="F3309" i="5"/>
  <c r="G3309" i="5"/>
  <c r="H3309" i="5"/>
  <c r="F3310" i="5"/>
  <c r="G3310" i="5"/>
  <c r="H3310" i="5"/>
  <c r="F3311" i="5"/>
  <c r="G3311" i="5"/>
  <c r="H3311" i="5"/>
  <c r="F3312" i="5"/>
  <c r="G3312" i="5"/>
  <c r="H3312" i="5"/>
  <c r="F3313" i="5"/>
  <c r="G3313" i="5"/>
  <c r="H3313" i="5"/>
  <c r="F3314" i="5"/>
  <c r="G3314" i="5"/>
  <c r="H3314" i="5"/>
  <c r="F3315" i="5"/>
  <c r="G3315" i="5"/>
  <c r="H3315" i="5"/>
  <c r="F3316" i="5"/>
  <c r="G3316" i="5"/>
  <c r="H3316" i="5"/>
  <c r="F3317" i="5"/>
  <c r="G3317" i="5"/>
  <c r="H3317" i="5"/>
  <c r="F3318" i="5"/>
  <c r="G3318" i="5"/>
  <c r="H3318" i="5"/>
  <c r="F3319" i="5"/>
  <c r="G3319" i="5"/>
  <c r="H3319" i="5"/>
  <c r="F3320" i="5"/>
  <c r="G3320" i="5"/>
  <c r="H3320" i="5"/>
  <c r="F3321" i="5"/>
  <c r="G3321" i="5"/>
  <c r="H3321" i="5"/>
  <c r="F3322" i="5"/>
  <c r="G3322" i="5"/>
  <c r="H3322" i="5"/>
  <c r="F3323" i="5"/>
  <c r="G3323" i="5"/>
  <c r="H3323" i="5"/>
  <c r="F3324" i="5"/>
  <c r="G3324" i="5"/>
  <c r="H3324" i="5"/>
  <c r="F3325" i="5"/>
  <c r="G3325" i="5"/>
  <c r="H3325" i="5"/>
  <c r="F3326" i="5"/>
  <c r="G3326" i="5"/>
  <c r="H3326" i="5"/>
  <c r="F3327" i="5"/>
  <c r="G3327" i="5"/>
  <c r="H3327" i="5"/>
  <c r="F3328" i="5"/>
  <c r="G3328" i="5"/>
  <c r="H3328" i="5"/>
  <c r="F3329" i="5"/>
  <c r="G3329" i="5"/>
  <c r="H3329" i="5"/>
  <c r="F3330" i="5"/>
  <c r="G3330" i="5"/>
  <c r="H3330" i="5"/>
  <c r="F3331" i="5"/>
  <c r="G3331" i="5"/>
  <c r="H3331" i="5"/>
  <c r="F3332" i="5"/>
  <c r="G3332" i="5"/>
  <c r="H3332" i="5"/>
  <c r="F3333" i="5"/>
  <c r="G3333" i="5"/>
  <c r="H3333" i="5"/>
  <c r="F3334" i="5"/>
  <c r="G3334" i="5"/>
  <c r="H3334" i="5"/>
  <c r="F3335" i="5"/>
  <c r="G3335" i="5"/>
  <c r="H3335" i="5"/>
  <c r="F3336" i="5"/>
  <c r="G3336" i="5"/>
  <c r="H3336" i="5"/>
  <c r="F3337" i="5"/>
  <c r="G3337" i="5"/>
  <c r="H3337" i="5"/>
  <c r="F3338" i="5"/>
  <c r="G3338" i="5"/>
  <c r="H3338" i="5"/>
  <c r="F3339" i="5"/>
  <c r="G3339" i="5"/>
  <c r="H3339" i="5"/>
  <c r="F3340" i="5"/>
  <c r="G3340" i="5"/>
  <c r="H3340" i="5"/>
  <c r="F3341" i="5"/>
  <c r="G3341" i="5"/>
  <c r="H3341" i="5"/>
  <c r="F3342" i="5"/>
  <c r="G3342" i="5"/>
  <c r="H3342" i="5"/>
  <c r="F3343" i="5"/>
  <c r="G3343" i="5"/>
  <c r="H3343" i="5"/>
  <c r="F3344" i="5"/>
  <c r="G3344" i="5"/>
  <c r="H3344" i="5"/>
  <c r="F3345" i="5"/>
  <c r="G3345" i="5"/>
  <c r="H3345" i="5"/>
  <c r="F3346" i="5"/>
  <c r="G3346" i="5"/>
  <c r="H3346" i="5"/>
  <c r="F3347" i="5"/>
  <c r="G3347" i="5"/>
  <c r="H3347" i="5"/>
  <c r="F3348" i="5"/>
  <c r="G3348" i="5"/>
  <c r="H3348" i="5"/>
  <c r="F3349" i="5"/>
  <c r="G3349" i="5"/>
  <c r="H3349" i="5"/>
  <c r="F3350" i="5"/>
  <c r="G3350" i="5"/>
  <c r="H3350" i="5"/>
  <c r="F3351" i="5"/>
  <c r="G3351" i="5"/>
  <c r="H3351" i="5"/>
  <c r="F3352" i="5"/>
  <c r="G3352" i="5"/>
  <c r="H3352" i="5"/>
  <c r="F3353" i="5"/>
  <c r="G3353" i="5"/>
  <c r="H3353" i="5"/>
  <c r="F3354" i="5"/>
  <c r="G3354" i="5"/>
  <c r="H3354" i="5"/>
  <c r="F3355" i="5"/>
  <c r="G3355" i="5"/>
  <c r="H3355" i="5"/>
  <c r="F3356" i="5"/>
  <c r="G3356" i="5"/>
  <c r="H3356" i="5"/>
  <c r="F3357" i="5"/>
  <c r="G3357" i="5"/>
  <c r="H3357" i="5"/>
  <c r="F3358" i="5"/>
  <c r="G3358" i="5"/>
  <c r="H3358" i="5"/>
  <c r="F3359" i="5"/>
  <c r="G3359" i="5"/>
  <c r="H3359" i="5"/>
  <c r="F3360" i="5"/>
  <c r="G3360" i="5"/>
  <c r="H3360" i="5"/>
  <c r="F3361" i="5"/>
  <c r="G3361" i="5"/>
  <c r="H3361" i="5"/>
  <c r="F3362" i="5"/>
  <c r="G3362" i="5"/>
  <c r="H3362" i="5"/>
  <c r="F3363" i="5"/>
  <c r="G3363" i="5"/>
  <c r="H3363" i="5"/>
  <c r="F3364" i="5"/>
  <c r="G3364" i="5"/>
  <c r="H3364" i="5"/>
  <c r="F3365" i="5"/>
  <c r="G3365" i="5"/>
  <c r="H3365" i="5"/>
  <c r="F3366" i="5"/>
  <c r="G3366" i="5"/>
  <c r="H3366" i="5"/>
  <c r="F3367" i="5"/>
  <c r="G3367" i="5"/>
  <c r="H3367" i="5"/>
  <c r="F3368" i="5"/>
  <c r="G3368" i="5"/>
  <c r="H3368" i="5"/>
  <c r="F3369" i="5"/>
  <c r="G3369" i="5"/>
  <c r="H3369" i="5"/>
  <c r="F3370" i="5"/>
  <c r="G3370" i="5"/>
  <c r="H3370" i="5"/>
  <c r="F3371" i="5"/>
  <c r="G3371" i="5"/>
  <c r="H3371" i="5"/>
  <c r="F3372" i="5"/>
  <c r="G3372" i="5"/>
  <c r="H3372" i="5"/>
  <c r="F3373" i="5"/>
  <c r="G3373" i="5"/>
  <c r="H3373" i="5"/>
  <c r="F3374" i="5"/>
  <c r="G3374" i="5"/>
  <c r="H3374" i="5"/>
  <c r="F3375" i="5"/>
  <c r="G3375" i="5"/>
  <c r="H3375" i="5"/>
  <c r="F3376" i="5"/>
  <c r="G3376" i="5"/>
  <c r="H3376" i="5"/>
  <c r="F3377" i="5"/>
  <c r="G3377" i="5"/>
  <c r="H3377" i="5"/>
  <c r="F3378" i="5"/>
  <c r="G3378" i="5"/>
  <c r="H3378" i="5"/>
  <c r="F3379" i="5"/>
  <c r="G3379" i="5"/>
  <c r="H3379" i="5"/>
  <c r="F3380" i="5"/>
  <c r="G3380" i="5"/>
  <c r="H3380" i="5"/>
  <c r="F3381" i="5"/>
  <c r="G3381" i="5"/>
  <c r="H3381" i="5"/>
  <c r="F3382" i="5"/>
  <c r="G3382" i="5"/>
  <c r="H3382" i="5"/>
  <c r="F3383" i="5"/>
  <c r="G3383" i="5"/>
  <c r="H3383" i="5"/>
  <c r="F3384" i="5"/>
  <c r="G3384" i="5"/>
  <c r="H3384" i="5"/>
  <c r="F3385" i="5"/>
  <c r="G3385" i="5"/>
  <c r="H3385" i="5"/>
  <c r="F3386" i="5"/>
  <c r="G3386" i="5"/>
  <c r="H3386" i="5"/>
  <c r="F3387" i="5"/>
  <c r="G3387" i="5"/>
  <c r="H3387" i="5"/>
  <c r="F3388" i="5"/>
  <c r="G3388" i="5"/>
  <c r="H3388" i="5"/>
  <c r="F3389" i="5"/>
  <c r="G3389" i="5"/>
  <c r="H3389" i="5"/>
  <c r="F3390" i="5"/>
  <c r="G3390" i="5"/>
  <c r="H3390" i="5"/>
  <c r="F3391" i="5"/>
  <c r="G3391" i="5"/>
  <c r="H3391" i="5"/>
  <c r="F3392" i="5"/>
  <c r="G3392" i="5"/>
  <c r="H3392" i="5"/>
  <c r="F3393" i="5"/>
  <c r="G3393" i="5"/>
  <c r="H3393" i="5"/>
  <c r="F3394" i="5"/>
  <c r="G3394" i="5"/>
  <c r="H3394" i="5"/>
  <c r="F3395" i="5"/>
  <c r="G3395" i="5"/>
  <c r="H3395" i="5"/>
  <c r="F3396" i="5"/>
  <c r="G3396" i="5"/>
  <c r="H3396" i="5"/>
  <c r="F3397" i="5"/>
  <c r="G3397" i="5"/>
  <c r="H3397" i="5"/>
  <c r="F3398" i="5"/>
  <c r="G3398" i="5"/>
  <c r="H3398" i="5"/>
  <c r="F3399" i="5"/>
  <c r="G3399" i="5"/>
  <c r="H3399" i="5"/>
  <c r="F3400" i="5"/>
  <c r="G3400" i="5"/>
  <c r="H3400" i="5"/>
  <c r="F3401" i="5"/>
  <c r="G3401" i="5"/>
  <c r="H3401" i="5"/>
  <c r="F3402" i="5"/>
  <c r="G3402" i="5"/>
  <c r="H3402" i="5"/>
  <c r="F3403" i="5"/>
  <c r="G3403" i="5"/>
  <c r="H3403" i="5"/>
  <c r="F3404" i="5"/>
  <c r="G3404" i="5"/>
  <c r="H3404" i="5"/>
  <c r="F3405" i="5"/>
  <c r="G3405" i="5"/>
  <c r="H3405" i="5"/>
  <c r="F3406" i="5"/>
  <c r="G3406" i="5"/>
  <c r="H3406" i="5"/>
  <c r="F3407" i="5"/>
  <c r="G3407" i="5"/>
  <c r="H3407" i="5"/>
  <c r="F3408" i="5"/>
  <c r="G3408" i="5"/>
  <c r="H3408" i="5"/>
  <c r="F3409" i="5"/>
  <c r="G3409" i="5"/>
  <c r="H3409" i="5"/>
  <c r="F3410" i="5"/>
  <c r="G3410" i="5"/>
  <c r="H3410" i="5"/>
  <c r="F3411" i="5"/>
  <c r="G3411" i="5"/>
  <c r="H3411" i="5"/>
  <c r="F3412" i="5"/>
  <c r="G3412" i="5"/>
  <c r="H3412" i="5"/>
  <c r="F3413" i="5"/>
  <c r="G3413" i="5"/>
  <c r="H3413" i="5"/>
  <c r="F3414" i="5"/>
  <c r="G3414" i="5"/>
  <c r="H3414" i="5"/>
  <c r="F3415" i="5"/>
  <c r="G3415" i="5"/>
  <c r="H3415" i="5"/>
  <c r="F3416" i="5"/>
  <c r="G3416" i="5"/>
  <c r="H3416" i="5"/>
  <c r="F3417" i="5"/>
  <c r="G3417" i="5"/>
  <c r="H3417" i="5"/>
  <c r="F3418" i="5"/>
  <c r="G3418" i="5"/>
  <c r="H3418" i="5"/>
  <c r="F3419" i="5"/>
  <c r="G3419" i="5"/>
  <c r="H3419" i="5"/>
  <c r="F3420" i="5"/>
  <c r="G3420" i="5"/>
  <c r="H3420" i="5"/>
  <c r="F3421" i="5"/>
  <c r="G3421" i="5"/>
  <c r="H3421" i="5"/>
  <c r="F3422" i="5"/>
  <c r="G3422" i="5"/>
  <c r="H3422" i="5"/>
  <c r="F3423" i="5"/>
  <c r="G3423" i="5"/>
  <c r="H3423" i="5"/>
  <c r="F3424" i="5"/>
  <c r="G3424" i="5"/>
  <c r="H3424" i="5"/>
  <c r="F3425" i="5"/>
  <c r="G3425" i="5"/>
  <c r="H3425" i="5"/>
  <c r="F3426" i="5"/>
  <c r="G3426" i="5"/>
  <c r="H3426" i="5"/>
  <c r="F3427" i="5"/>
  <c r="G3427" i="5"/>
  <c r="H3427" i="5"/>
  <c r="F3428" i="5"/>
  <c r="G3428" i="5"/>
  <c r="H3428" i="5"/>
  <c r="F3429" i="5"/>
  <c r="G3429" i="5"/>
  <c r="H3429" i="5"/>
  <c r="F3430" i="5"/>
  <c r="G3430" i="5"/>
  <c r="H3430" i="5"/>
  <c r="F3431" i="5"/>
  <c r="G3431" i="5"/>
  <c r="H3431" i="5"/>
  <c r="F3432" i="5"/>
  <c r="G3432" i="5"/>
  <c r="H3432" i="5"/>
  <c r="F3433" i="5"/>
  <c r="G3433" i="5"/>
  <c r="H3433" i="5"/>
  <c r="F3434" i="5"/>
  <c r="G3434" i="5"/>
  <c r="H3434" i="5"/>
  <c r="F3435" i="5"/>
  <c r="G3435" i="5"/>
  <c r="H3435" i="5"/>
  <c r="F3436" i="5"/>
  <c r="G3436" i="5"/>
  <c r="H3436" i="5"/>
  <c r="F3437" i="5"/>
  <c r="G3437" i="5"/>
  <c r="H3437" i="5"/>
  <c r="F3438" i="5"/>
  <c r="G3438" i="5"/>
  <c r="H3438" i="5"/>
  <c r="F3439" i="5"/>
  <c r="G3439" i="5"/>
  <c r="H3439" i="5"/>
  <c r="F3440" i="5"/>
  <c r="G3440" i="5"/>
  <c r="H3440" i="5"/>
  <c r="F3441" i="5"/>
  <c r="G3441" i="5"/>
  <c r="H3441" i="5"/>
  <c r="F3442" i="5"/>
  <c r="G3442" i="5"/>
  <c r="H3442" i="5"/>
  <c r="F3443" i="5"/>
  <c r="G3443" i="5"/>
  <c r="H3443" i="5"/>
  <c r="F3444" i="5"/>
  <c r="G3444" i="5"/>
  <c r="H3444" i="5"/>
  <c r="F3445" i="5"/>
  <c r="G3445" i="5"/>
  <c r="H3445" i="5"/>
  <c r="F3446" i="5"/>
  <c r="G3446" i="5"/>
  <c r="H3446" i="5"/>
  <c r="F3447" i="5"/>
  <c r="G3447" i="5"/>
  <c r="H3447" i="5"/>
  <c r="F3448" i="5"/>
  <c r="G3448" i="5"/>
  <c r="H3448" i="5"/>
  <c r="F3449" i="5"/>
  <c r="G3449" i="5"/>
  <c r="H3449" i="5"/>
  <c r="F3450" i="5"/>
  <c r="G3450" i="5"/>
  <c r="H3450" i="5"/>
  <c r="F3451" i="5"/>
  <c r="G3451" i="5"/>
  <c r="H3451" i="5"/>
  <c r="F3452" i="5"/>
  <c r="G3452" i="5"/>
  <c r="H3452" i="5"/>
  <c r="F3453" i="5"/>
  <c r="G3453" i="5"/>
  <c r="H3453" i="5"/>
  <c r="F3454" i="5"/>
  <c r="G3454" i="5"/>
  <c r="H3454" i="5"/>
  <c r="F3455" i="5"/>
  <c r="G3455" i="5"/>
  <c r="H3455" i="5"/>
  <c r="F3456" i="5"/>
  <c r="G3456" i="5"/>
  <c r="H3456" i="5"/>
  <c r="F3457" i="5"/>
  <c r="G3457" i="5"/>
  <c r="H3457" i="5"/>
  <c r="F3458" i="5"/>
  <c r="G3458" i="5"/>
  <c r="H3458" i="5"/>
  <c r="F3459" i="5"/>
  <c r="G3459" i="5"/>
  <c r="H3459" i="5"/>
  <c r="F3460" i="5"/>
  <c r="G3460" i="5"/>
  <c r="H3460" i="5"/>
  <c r="F3461" i="5"/>
  <c r="G3461" i="5"/>
  <c r="H3461" i="5"/>
  <c r="F3462" i="5"/>
  <c r="G3462" i="5"/>
  <c r="H3462" i="5"/>
  <c r="F3463" i="5"/>
  <c r="G3463" i="5"/>
  <c r="H3463" i="5"/>
  <c r="F3464" i="5"/>
  <c r="G3464" i="5"/>
  <c r="H3464" i="5"/>
  <c r="F3465" i="5"/>
  <c r="G3465" i="5"/>
  <c r="H3465" i="5"/>
  <c r="F3466" i="5"/>
  <c r="G3466" i="5"/>
  <c r="H3466" i="5"/>
  <c r="F3467" i="5"/>
  <c r="G3467" i="5"/>
  <c r="H3467" i="5"/>
  <c r="F3468" i="5"/>
  <c r="G3468" i="5"/>
  <c r="H3468" i="5"/>
  <c r="F3469" i="5"/>
  <c r="G3469" i="5"/>
  <c r="H3469" i="5"/>
  <c r="F3470" i="5"/>
  <c r="G3470" i="5"/>
  <c r="H3470" i="5"/>
  <c r="F3471" i="5"/>
  <c r="G3471" i="5"/>
  <c r="H3471" i="5"/>
  <c r="F3472" i="5"/>
  <c r="G3472" i="5"/>
  <c r="H3472" i="5"/>
  <c r="F3473" i="5"/>
  <c r="G3473" i="5"/>
  <c r="H3473" i="5"/>
  <c r="F3474" i="5"/>
  <c r="G3474" i="5"/>
  <c r="H3474" i="5"/>
  <c r="F3475" i="5"/>
  <c r="G3475" i="5"/>
  <c r="H3475" i="5"/>
  <c r="F3476" i="5"/>
  <c r="G3476" i="5"/>
  <c r="H3476" i="5"/>
  <c r="F3477" i="5"/>
  <c r="G3477" i="5"/>
  <c r="H3477" i="5"/>
  <c r="F3478" i="5"/>
  <c r="G3478" i="5"/>
  <c r="H3478" i="5"/>
  <c r="F3479" i="5"/>
  <c r="G3479" i="5"/>
  <c r="H3479" i="5"/>
  <c r="F3480" i="5"/>
  <c r="G3480" i="5"/>
  <c r="H3480" i="5"/>
  <c r="F3481" i="5"/>
  <c r="G3481" i="5"/>
  <c r="H3481" i="5"/>
  <c r="F3482" i="5"/>
  <c r="G3482" i="5"/>
  <c r="H3482" i="5"/>
  <c r="F3483" i="5"/>
  <c r="G3483" i="5"/>
  <c r="H3483" i="5"/>
  <c r="F3484" i="5"/>
  <c r="G3484" i="5"/>
  <c r="H3484" i="5"/>
  <c r="F3485" i="5"/>
  <c r="G3485" i="5"/>
  <c r="H3485" i="5"/>
  <c r="F3486" i="5"/>
  <c r="G3486" i="5"/>
  <c r="H3486" i="5"/>
  <c r="F3487" i="5"/>
  <c r="G3487" i="5"/>
  <c r="H3487" i="5"/>
  <c r="F3488" i="5"/>
  <c r="G3488" i="5"/>
  <c r="H3488" i="5"/>
  <c r="F3489" i="5"/>
  <c r="G3489" i="5"/>
  <c r="H3489" i="5"/>
  <c r="F3490" i="5"/>
  <c r="G3490" i="5"/>
  <c r="H3490" i="5"/>
  <c r="F3491" i="5"/>
  <c r="G3491" i="5"/>
  <c r="H3491" i="5"/>
  <c r="F3492" i="5"/>
  <c r="G3492" i="5"/>
  <c r="H3492" i="5"/>
  <c r="F3493" i="5"/>
  <c r="G3493" i="5"/>
  <c r="H3493" i="5"/>
  <c r="F3494" i="5"/>
  <c r="G3494" i="5"/>
  <c r="H3494" i="5"/>
  <c r="F3495" i="5"/>
  <c r="G3495" i="5"/>
  <c r="H3495" i="5"/>
  <c r="F3496" i="5"/>
  <c r="G3496" i="5"/>
  <c r="H3496" i="5"/>
  <c r="F3497" i="5"/>
  <c r="G3497" i="5"/>
  <c r="H3497" i="5"/>
  <c r="F3498" i="5"/>
  <c r="G3498" i="5"/>
  <c r="H3498" i="5"/>
  <c r="F3499" i="5"/>
  <c r="G3499" i="5"/>
  <c r="H3499" i="5"/>
  <c r="F3500" i="5"/>
  <c r="G3500" i="5"/>
  <c r="H3500" i="5"/>
  <c r="F3501" i="5"/>
  <c r="G3501" i="5"/>
  <c r="H3501" i="5"/>
  <c r="F3502" i="5"/>
  <c r="G3502" i="5"/>
  <c r="H3502" i="5"/>
  <c r="F3503" i="5"/>
  <c r="G3503" i="5"/>
  <c r="H3503" i="5"/>
  <c r="F3504" i="5"/>
  <c r="G3504" i="5"/>
  <c r="H3504" i="5"/>
  <c r="F3505" i="5"/>
  <c r="G3505" i="5"/>
  <c r="H3505" i="5"/>
  <c r="F3506" i="5"/>
  <c r="G3506" i="5"/>
  <c r="H3506" i="5"/>
  <c r="F3507" i="5"/>
  <c r="G3507" i="5"/>
  <c r="H3507" i="5"/>
  <c r="F3508" i="5"/>
  <c r="G3508" i="5"/>
  <c r="H3508" i="5"/>
  <c r="F3509" i="5"/>
  <c r="G3509" i="5"/>
  <c r="H3509" i="5"/>
  <c r="F3510" i="5"/>
  <c r="G3510" i="5"/>
  <c r="H3510" i="5"/>
  <c r="F3511" i="5"/>
  <c r="G3511" i="5"/>
  <c r="H3511" i="5"/>
  <c r="F3512" i="5"/>
  <c r="G3512" i="5"/>
  <c r="H3512" i="5"/>
  <c r="F3513" i="5"/>
  <c r="G3513" i="5"/>
  <c r="H3513" i="5"/>
  <c r="F3514" i="5"/>
  <c r="G3514" i="5"/>
  <c r="H3514" i="5"/>
  <c r="F3515" i="5"/>
  <c r="G3515" i="5"/>
  <c r="H3515" i="5"/>
  <c r="F3516" i="5"/>
  <c r="G3516" i="5"/>
  <c r="H3516" i="5"/>
  <c r="F3517" i="5"/>
  <c r="G3517" i="5"/>
  <c r="H3517" i="5"/>
  <c r="F3518" i="5"/>
  <c r="G3518" i="5"/>
  <c r="H3518" i="5"/>
  <c r="F3519" i="5"/>
  <c r="G3519" i="5"/>
  <c r="H3519" i="5"/>
  <c r="F3520" i="5"/>
  <c r="G3520" i="5"/>
  <c r="H3520" i="5"/>
  <c r="F3521" i="5"/>
  <c r="G3521" i="5"/>
  <c r="H3521" i="5"/>
  <c r="F3522" i="5"/>
  <c r="G3522" i="5"/>
  <c r="H3522" i="5"/>
  <c r="F3523" i="5"/>
  <c r="G3523" i="5"/>
  <c r="H3523" i="5"/>
  <c r="F3524" i="5"/>
  <c r="G3524" i="5"/>
  <c r="H3524" i="5"/>
  <c r="F3525" i="5"/>
  <c r="G3525" i="5"/>
  <c r="H3525" i="5"/>
  <c r="F3526" i="5"/>
  <c r="G3526" i="5"/>
  <c r="H3526" i="5"/>
  <c r="F3527" i="5"/>
  <c r="G3527" i="5"/>
  <c r="H3527" i="5"/>
  <c r="F3528" i="5"/>
  <c r="G3528" i="5"/>
  <c r="H3528" i="5"/>
  <c r="F3529" i="5"/>
  <c r="G3529" i="5"/>
  <c r="H3529" i="5"/>
  <c r="F3530" i="5"/>
  <c r="G3530" i="5"/>
  <c r="H3530" i="5"/>
  <c r="F3531" i="5"/>
  <c r="G3531" i="5"/>
  <c r="H3531" i="5"/>
  <c r="F3532" i="5"/>
  <c r="G3532" i="5"/>
  <c r="H3532" i="5"/>
  <c r="F3533" i="5"/>
  <c r="G3533" i="5"/>
  <c r="H3533" i="5"/>
  <c r="F3534" i="5"/>
  <c r="G3534" i="5"/>
  <c r="H3534" i="5"/>
  <c r="F3535" i="5"/>
  <c r="G3535" i="5"/>
  <c r="H3535" i="5"/>
  <c r="F3536" i="5"/>
  <c r="G3536" i="5"/>
  <c r="H3536" i="5"/>
  <c r="F3537" i="5"/>
  <c r="G3537" i="5"/>
  <c r="H3537" i="5"/>
  <c r="F3538" i="5"/>
  <c r="G3538" i="5"/>
  <c r="H3538" i="5"/>
  <c r="F3539" i="5"/>
  <c r="G3539" i="5"/>
  <c r="H3539" i="5"/>
  <c r="F3540" i="5"/>
  <c r="G3540" i="5"/>
  <c r="H3540" i="5"/>
  <c r="F3541" i="5"/>
  <c r="G3541" i="5"/>
  <c r="H3541" i="5"/>
  <c r="F3542" i="5"/>
  <c r="G3542" i="5"/>
  <c r="H3542" i="5"/>
  <c r="F3543" i="5"/>
  <c r="G3543" i="5"/>
  <c r="H3543" i="5"/>
  <c r="F3544" i="5"/>
  <c r="G3544" i="5"/>
  <c r="H3544" i="5"/>
  <c r="F3545" i="5"/>
  <c r="G3545" i="5"/>
  <c r="H3545" i="5"/>
  <c r="F3546" i="5"/>
  <c r="G3546" i="5"/>
  <c r="H3546" i="5"/>
  <c r="F3547" i="5"/>
  <c r="G3547" i="5"/>
  <c r="H3547" i="5"/>
  <c r="F3548" i="5"/>
  <c r="G3548" i="5"/>
  <c r="H3548" i="5"/>
  <c r="F3549" i="5"/>
  <c r="G3549" i="5"/>
  <c r="H3549" i="5"/>
  <c r="F3550" i="5"/>
  <c r="G3550" i="5"/>
  <c r="H3550" i="5"/>
  <c r="F3551" i="5"/>
  <c r="G3551" i="5"/>
  <c r="H3551" i="5"/>
  <c r="F3552" i="5"/>
  <c r="G3552" i="5"/>
  <c r="H3552" i="5"/>
  <c r="F3553" i="5"/>
  <c r="G3553" i="5"/>
  <c r="H3553" i="5"/>
  <c r="F3554" i="5"/>
  <c r="G3554" i="5"/>
  <c r="H3554" i="5"/>
  <c r="F3555" i="5"/>
  <c r="G3555" i="5"/>
  <c r="H3555" i="5"/>
  <c r="F3556" i="5"/>
  <c r="G3556" i="5"/>
  <c r="H3556" i="5"/>
  <c r="F3557" i="5"/>
  <c r="G3557" i="5"/>
  <c r="H3557" i="5"/>
  <c r="F3558" i="5"/>
  <c r="G3558" i="5"/>
  <c r="H3558" i="5"/>
  <c r="F3559" i="5"/>
  <c r="G3559" i="5"/>
  <c r="H3559" i="5"/>
  <c r="F3560" i="5"/>
  <c r="G3560" i="5"/>
  <c r="H3560" i="5"/>
  <c r="F3561" i="5"/>
  <c r="G3561" i="5"/>
  <c r="H3561" i="5"/>
  <c r="F3562" i="5"/>
  <c r="G3562" i="5"/>
  <c r="H3562" i="5"/>
  <c r="F3563" i="5"/>
  <c r="G3563" i="5"/>
  <c r="H3563" i="5"/>
  <c r="F3564" i="5"/>
  <c r="G3564" i="5"/>
  <c r="H3564" i="5"/>
  <c r="F3565" i="5"/>
  <c r="G3565" i="5"/>
  <c r="H3565" i="5"/>
  <c r="F3566" i="5"/>
  <c r="G3566" i="5"/>
  <c r="H3566" i="5"/>
  <c r="F3567" i="5"/>
  <c r="G3567" i="5"/>
  <c r="H3567" i="5"/>
  <c r="F3568" i="5"/>
  <c r="G3568" i="5"/>
  <c r="H3568" i="5"/>
  <c r="F3569" i="5"/>
  <c r="G3569" i="5"/>
  <c r="H3569" i="5"/>
  <c r="F3570" i="5"/>
  <c r="G3570" i="5"/>
  <c r="H3570" i="5"/>
  <c r="F3571" i="5"/>
  <c r="G3571" i="5"/>
  <c r="H3571" i="5"/>
  <c r="F3572" i="5"/>
  <c r="G3572" i="5"/>
  <c r="H3572" i="5"/>
  <c r="F3573" i="5"/>
  <c r="G3573" i="5"/>
  <c r="H3573" i="5"/>
  <c r="F3574" i="5"/>
  <c r="G3574" i="5"/>
  <c r="H3574" i="5"/>
  <c r="F3575" i="5"/>
  <c r="G3575" i="5"/>
  <c r="H3575" i="5"/>
  <c r="F3576" i="5"/>
  <c r="G3576" i="5"/>
  <c r="H3576" i="5"/>
  <c r="F3577" i="5"/>
  <c r="G3577" i="5"/>
  <c r="H3577" i="5"/>
  <c r="F3578" i="5"/>
  <c r="G3578" i="5"/>
  <c r="H3578" i="5"/>
  <c r="F3579" i="5"/>
  <c r="G3579" i="5"/>
  <c r="H3579" i="5"/>
  <c r="F3580" i="5"/>
  <c r="G3580" i="5"/>
  <c r="H3580" i="5"/>
  <c r="F3581" i="5"/>
  <c r="G3581" i="5"/>
  <c r="H3581" i="5"/>
  <c r="F3582" i="5"/>
  <c r="G3582" i="5"/>
  <c r="H3582" i="5"/>
  <c r="F3583" i="5"/>
  <c r="G3583" i="5"/>
  <c r="H3583" i="5"/>
  <c r="F3584" i="5"/>
  <c r="G3584" i="5"/>
  <c r="H3584" i="5"/>
  <c r="F3585" i="5"/>
  <c r="G3585" i="5"/>
  <c r="H3585" i="5"/>
  <c r="F3586" i="5"/>
  <c r="G3586" i="5"/>
  <c r="H3586" i="5"/>
  <c r="F3587" i="5"/>
  <c r="G3587" i="5"/>
  <c r="H3587" i="5"/>
  <c r="F3588" i="5"/>
  <c r="G3588" i="5"/>
  <c r="H3588" i="5"/>
  <c r="F3589" i="5"/>
  <c r="G3589" i="5"/>
  <c r="H3589" i="5"/>
  <c r="F3590" i="5"/>
  <c r="G3590" i="5"/>
  <c r="H3590" i="5"/>
  <c r="F3591" i="5"/>
  <c r="G3591" i="5"/>
  <c r="H3591" i="5"/>
  <c r="F3592" i="5"/>
  <c r="G3592" i="5"/>
  <c r="H3592" i="5"/>
  <c r="F3593" i="5"/>
  <c r="G3593" i="5"/>
  <c r="H3593" i="5"/>
  <c r="F3594" i="5"/>
  <c r="G3594" i="5"/>
  <c r="H3594" i="5"/>
  <c r="F3595" i="5"/>
  <c r="G3595" i="5"/>
  <c r="H3595" i="5"/>
  <c r="F3596" i="5"/>
  <c r="G3596" i="5"/>
  <c r="H3596" i="5"/>
  <c r="F3597" i="5"/>
  <c r="G3597" i="5"/>
  <c r="H3597" i="5"/>
  <c r="F3598" i="5"/>
  <c r="G3598" i="5"/>
  <c r="H3598" i="5"/>
  <c r="F3599" i="5"/>
  <c r="G3599" i="5"/>
  <c r="H3599" i="5"/>
  <c r="F3600" i="5"/>
  <c r="G3600" i="5"/>
  <c r="H3600" i="5"/>
  <c r="F3601" i="5"/>
  <c r="G3601" i="5"/>
  <c r="H3601" i="5"/>
  <c r="F3602" i="5"/>
  <c r="G3602" i="5"/>
  <c r="H3602" i="5"/>
  <c r="F3603" i="5"/>
  <c r="G3603" i="5"/>
  <c r="H3603" i="5"/>
  <c r="F3604" i="5"/>
  <c r="G3604" i="5"/>
  <c r="H3604" i="5"/>
  <c r="F3605" i="5"/>
  <c r="G3605" i="5"/>
  <c r="H3605" i="5"/>
  <c r="F3606" i="5"/>
  <c r="G3606" i="5"/>
  <c r="H3606" i="5"/>
  <c r="F3607" i="5"/>
  <c r="G3607" i="5"/>
  <c r="H3607" i="5"/>
  <c r="F3608" i="5"/>
  <c r="G3608" i="5"/>
  <c r="H3608" i="5"/>
  <c r="F3609" i="5"/>
  <c r="G3609" i="5"/>
  <c r="H3609" i="5"/>
  <c r="F3610" i="5"/>
  <c r="G3610" i="5"/>
  <c r="H3610" i="5"/>
  <c r="F3611" i="5"/>
  <c r="G3611" i="5"/>
  <c r="H3611" i="5"/>
  <c r="F3612" i="5"/>
  <c r="G3612" i="5"/>
  <c r="H3612" i="5"/>
  <c r="F3613" i="5"/>
  <c r="G3613" i="5"/>
  <c r="H3613" i="5"/>
  <c r="F3614" i="5"/>
  <c r="G3614" i="5"/>
  <c r="H3614" i="5"/>
  <c r="F3615" i="5"/>
  <c r="G3615" i="5"/>
  <c r="H3615" i="5"/>
  <c r="F3616" i="5"/>
  <c r="G3616" i="5"/>
  <c r="H3616" i="5"/>
  <c r="F3617" i="5"/>
  <c r="G3617" i="5"/>
  <c r="H3617" i="5"/>
  <c r="F3618" i="5"/>
  <c r="G3618" i="5"/>
  <c r="H3618" i="5"/>
  <c r="F3619" i="5"/>
  <c r="G3619" i="5"/>
  <c r="H3619" i="5"/>
  <c r="F3620" i="5"/>
  <c r="G3620" i="5"/>
  <c r="H3620" i="5"/>
  <c r="F3621" i="5"/>
  <c r="G3621" i="5"/>
  <c r="H3621" i="5"/>
  <c r="F3622" i="5"/>
  <c r="G3622" i="5"/>
  <c r="H3622" i="5"/>
  <c r="F3623" i="5"/>
  <c r="G3623" i="5"/>
  <c r="H3623" i="5"/>
  <c r="F3624" i="5"/>
  <c r="G3624" i="5"/>
  <c r="H3624" i="5"/>
  <c r="F3625" i="5"/>
  <c r="G3625" i="5"/>
  <c r="H3625" i="5"/>
  <c r="F3626" i="5"/>
  <c r="G3626" i="5"/>
  <c r="H3626" i="5"/>
  <c r="F3627" i="5"/>
  <c r="G3627" i="5"/>
  <c r="H3627" i="5"/>
  <c r="F3628" i="5"/>
  <c r="G3628" i="5"/>
  <c r="H3628" i="5"/>
  <c r="F3629" i="5"/>
  <c r="G3629" i="5"/>
  <c r="H3629" i="5"/>
  <c r="F3630" i="5"/>
  <c r="G3630" i="5"/>
  <c r="H3630" i="5"/>
  <c r="F3631" i="5"/>
  <c r="G3631" i="5"/>
  <c r="H3631" i="5"/>
  <c r="F3632" i="5"/>
  <c r="G3632" i="5"/>
  <c r="H3632" i="5"/>
  <c r="F3633" i="5"/>
  <c r="G3633" i="5"/>
  <c r="H3633" i="5"/>
  <c r="F3634" i="5"/>
  <c r="G3634" i="5"/>
  <c r="H3634" i="5"/>
  <c r="F3635" i="5"/>
  <c r="G3635" i="5"/>
  <c r="H3635" i="5"/>
  <c r="F3636" i="5"/>
  <c r="G3636" i="5"/>
  <c r="H3636" i="5"/>
  <c r="F3637" i="5"/>
  <c r="G3637" i="5"/>
  <c r="H3637" i="5"/>
  <c r="F3638" i="5"/>
  <c r="G3638" i="5"/>
  <c r="H3638" i="5"/>
  <c r="F3639" i="5"/>
  <c r="G3639" i="5"/>
  <c r="H3639" i="5"/>
  <c r="F3640" i="5"/>
  <c r="G3640" i="5"/>
  <c r="H3640" i="5"/>
  <c r="F3641" i="5"/>
  <c r="G3641" i="5"/>
  <c r="H3641" i="5"/>
  <c r="F3642" i="5"/>
  <c r="G3642" i="5"/>
  <c r="H3642" i="5"/>
  <c r="F3643" i="5"/>
  <c r="G3643" i="5"/>
  <c r="H3643" i="5"/>
  <c r="F3644" i="5"/>
  <c r="G3644" i="5"/>
  <c r="H3644" i="5"/>
  <c r="F3645" i="5"/>
  <c r="G3645" i="5"/>
  <c r="H3645" i="5"/>
  <c r="F3646" i="5"/>
  <c r="G3646" i="5"/>
  <c r="H3646" i="5"/>
  <c r="F3647" i="5"/>
  <c r="G3647" i="5"/>
  <c r="H3647" i="5"/>
  <c r="F3648" i="5"/>
  <c r="G3648" i="5"/>
  <c r="H3648" i="5"/>
  <c r="F3649" i="5"/>
  <c r="G3649" i="5"/>
  <c r="H3649" i="5"/>
  <c r="F3650" i="5"/>
  <c r="G3650" i="5"/>
  <c r="H3650" i="5"/>
  <c r="F3651" i="5"/>
  <c r="G3651" i="5"/>
  <c r="H3651" i="5"/>
  <c r="F3652" i="5"/>
  <c r="G3652" i="5"/>
  <c r="H3652" i="5"/>
  <c r="F3653" i="5"/>
  <c r="G3653" i="5"/>
  <c r="H3653" i="5"/>
  <c r="F3654" i="5"/>
  <c r="G3654" i="5"/>
  <c r="H3654" i="5"/>
  <c r="F3655" i="5"/>
  <c r="G3655" i="5"/>
  <c r="H3655" i="5"/>
  <c r="F3656" i="5"/>
  <c r="G3656" i="5"/>
  <c r="H3656" i="5"/>
  <c r="F3657" i="5"/>
  <c r="G3657" i="5"/>
  <c r="H3657" i="5"/>
  <c r="F3658" i="5"/>
  <c r="G3658" i="5"/>
  <c r="H3658" i="5"/>
  <c r="F3659" i="5"/>
  <c r="G3659" i="5"/>
  <c r="H3659" i="5"/>
  <c r="F3660" i="5"/>
  <c r="G3660" i="5"/>
  <c r="H3660" i="5"/>
  <c r="F3661" i="5"/>
  <c r="G3661" i="5"/>
  <c r="H3661" i="5"/>
  <c r="F3662" i="5"/>
  <c r="G3662" i="5"/>
  <c r="H3662" i="5"/>
  <c r="F3663" i="5"/>
  <c r="G3663" i="5"/>
  <c r="H3663" i="5"/>
  <c r="F3664" i="5"/>
  <c r="G3664" i="5"/>
  <c r="H3664" i="5"/>
  <c r="F3665" i="5"/>
  <c r="G3665" i="5"/>
  <c r="H3665" i="5"/>
  <c r="F3666" i="5"/>
  <c r="G3666" i="5"/>
  <c r="H3666" i="5"/>
  <c r="F3667" i="5"/>
  <c r="G3667" i="5"/>
  <c r="H3667" i="5"/>
  <c r="F3668" i="5"/>
  <c r="G3668" i="5"/>
  <c r="H3668" i="5"/>
  <c r="F3669" i="5"/>
  <c r="G3669" i="5"/>
  <c r="H3669" i="5"/>
  <c r="F3670" i="5"/>
  <c r="G3670" i="5"/>
  <c r="H3670" i="5"/>
  <c r="F3671" i="5"/>
  <c r="G3671" i="5"/>
  <c r="H3671" i="5"/>
  <c r="F3672" i="5"/>
  <c r="G3672" i="5"/>
  <c r="H3672" i="5"/>
  <c r="F3673" i="5"/>
  <c r="G3673" i="5"/>
  <c r="H3673" i="5"/>
  <c r="F3674" i="5"/>
  <c r="G3674" i="5"/>
  <c r="H3674" i="5"/>
  <c r="F3675" i="5"/>
  <c r="G3675" i="5"/>
  <c r="H3675" i="5"/>
  <c r="F3676" i="5"/>
  <c r="G3676" i="5"/>
  <c r="H3676" i="5"/>
  <c r="F3677" i="5"/>
  <c r="G3677" i="5"/>
  <c r="H3677" i="5"/>
  <c r="F3678" i="5"/>
  <c r="G3678" i="5"/>
  <c r="H3678" i="5"/>
  <c r="F3679" i="5"/>
  <c r="G3679" i="5"/>
  <c r="H3679" i="5"/>
  <c r="F3680" i="5"/>
  <c r="G3680" i="5"/>
  <c r="H3680" i="5"/>
  <c r="F3681" i="5"/>
  <c r="G3681" i="5"/>
  <c r="H3681" i="5"/>
  <c r="F3682" i="5"/>
  <c r="G3682" i="5"/>
  <c r="H3682" i="5"/>
  <c r="F3683" i="5"/>
  <c r="G3683" i="5"/>
  <c r="H3683" i="5"/>
  <c r="F3684" i="5"/>
  <c r="G3684" i="5"/>
  <c r="H3684" i="5"/>
  <c r="F3685" i="5"/>
  <c r="G3685" i="5"/>
  <c r="H3685" i="5"/>
  <c r="F3686" i="5"/>
  <c r="G3686" i="5"/>
  <c r="H3686" i="5"/>
  <c r="F3687" i="5"/>
  <c r="G3687" i="5"/>
  <c r="H3687" i="5"/>
  <c r="F3688" i="5"/>
  <c r="G3688" i="5"/>
  <c r="H3688" i="5"/>
  <c r="F3689" i="5"/>
  <c r="G3689" i="5"/>
  <c r="H3689" i="5"/>
  <c r="F3690" i="5"/>
  <c r="G3690" i="5"/>
  <c r="H3690" i="5"/>
  <c r="F3691" i="5"/>
  <c r="G3691" i="5"/>
  <c r="H3691" i="5"/>
  <c r="F3692" i="5"/>
  <c r="G3692" i="5"/>
  <c r="H3692" i="5"/>
  <c r="F3693" i="5"/>
  <c r="G3693" i="5"/>
  <c r="H3693" i="5"/>
  <c r="F3694" i="5"/>
  <c r="G3694" i="5"/>
  <c r="H3694" i="5"/>
  <c r="F3695" i="5"/>
  <c r="G3695" i="5"/>
  <c r="H3695" i="5"/>
  <c r="F3696" i="5"/>
  <c r="G3696" i="5"/>
  <c r="H3696" i="5"/>
  <c r="F3697" i="5"/>
  <c r="G3697" i="5"/>
  <c r="H3697" i="5"/>
  <c r="F3698" i="5"/>
  <c r="G3698" i="5"/>
  <c r="H3698" i="5"/>
  <c r="F3699" i="5"/>
  <c r="G3699" i="5"/>
  <c r="H3699" i="5"/>
  <c r="F3700" i="5"/>
  <c r="G3700" i="5"/>
  <c r="H3700" i="5"/>
  <c r="F3701" i="5"/>
  <c r="G3701" i="5"/>
  <c r="H3701" i="5"/>
  <c r="F3702" i="5"/>
  <c r="G3702" i="5"/>
  <c r="H3702" i="5"/>
  <c r="F3703" i="5"/>
  <c r="G3703" i="5"/>
  <c r="H3703" i="5"/>
  <c r="F3704" i="5"/>
  <c r="G3704" i="5"/>
  <c r="H3704" i="5"/>
  <c r="F3705" i="5"/>
  <c r="G3705" i="5"/>
  <c r="H3705" i="5"/>
  <c r="F3706" i="5"/>
  <c r="G3706" i="5"/>
  <c r="H3706" i="5"/>
  <c r="F3707" i="5"/>
  <c r="G3707" i="5"/>
  <c r="H3707" i="5"/>
  <c r="F3708" i="5"/>
  <c r="G3708" i="5"/>
  <c r="H3708" i="5"/>
  <c r="F3709" i="5"/>
  <c r="G3709" i="5"/>
  <c r="H3709" i="5"/>
  <c r="F3710" i="5"/>
  <c r="G3710" i="5"/>
  <c r="H3710" i="5"/>
  <c r="F3711" i="5"/>
  <c r="G3711" i="5"/>
  <c r="H3711" i="5"/>
  <c r="F3712" i="5"/>
  <c r="G3712" i="5"/>
  <c r="H3712" i="5"/>
  <c r="F3713" i="5"/>
  <c r="G3713" i="5"/>
  <c r="H3713" i="5"/>
  <c r="F3714" i="5"/>
  <c r="G3714" i="5"/>
  <c r="H3714" i="5"/>
  <c r="F3715" i="5"/>
  <c r="G3715" i="5"/>
  <c r="H3715" i="5"/>
  <c r="F3716" i="5"/>
  <c r="G3716" i="5"/>
  <c r="H3716" i="5"/>
  <c r="F3717" i="5"/>
  <c r="G3717" i="5"/>
  <c r="H3717" i="5"/>
  <c r="F3718" i="5"/>
  <c r="G3718" i="5"/>
  <c r="H3718" i="5"/>
  <c r="F3719" i="5"/>
  <c r="G3719" i="5"/>
  <c r="H3719" i="5"/>
  <c r="F3720" i="5"/>
  <c r="G3720" i="5"/>
  <c r="H3720" i="5"/>
  <c r="F3721" i="5"/>
  <c r="G3721" i="5"/>
  <c r="H3721" i="5"/>
  <c r="F3722" i="5"/>
  <c r="G3722" i="5"/>
  <c r="H3722" i="5"/>
  <c r="F3723" i="5"/>
  <c r="G3723" i="5"/>
  <c r="H3723" i="5"/>
  <c r="F3724" i="5"/>
  <c r="G3724" i="5"/>
  <c r="H3724" i="5"/>
  <c r="F3725" i="5"/>
  <c r="G3725" i="5"/>
  <c r="H3725" i="5"/>
  <c r="F3726" i="5"/>
  <c r="G3726" i="5"/>
  <c r="H3726" i="5"/>
  <c r="F3727" i="5"/>
  <c r="G3727" i="5"/>
  <c r="H3727" i="5"/>
  <c r="F3728" i="5"/>
  <c r="G3728" i="5"/>
  <c r="H3728" i="5"/>
  <c r="F3729" i="5"/>
  <c r="G3729" i="5"/>
  <c r="H3729" i="5"/>
  <c r="F3730" i="5"/>
  <c r="G3730" i="5"/>
  <c r="H3730" i="5"/>
  <c r="F3731" i="5"/>
  <c r="G3731" i="5"/>
  <c r="H3731" i="5"/>
  <c r="F3732" i="5"/>
  <c r="G3732" i="5"/>
  <c r="H3732" i="5"/>
  <c r="F3733" i="5"/>
  <c r="G3733" i="5"/>
  <c r="H3733" i="5"/>
  <c r="F3734" i="5"/>
  <c r="G3734" i="5"/>
  <c r="H3734" i="5"/>
  <c r="F3735" i="5"/>
  <c r="G3735" i="5"/>
  <c r="H3735" i="5"/>
  <c r="F3736" i="5"/>
  <c r="G3736" i="5"/>
  <c r="H3736" i="5"/>
  <c r="F3737" i="5"/>
  <c r="G3737" i="5"/>
  <c r="H3737" i="5"/>
  <c r="F3738" i="5"/>
  <c r="G3738" i="5"/>
  <c r="H3738" i="5"/>
  <c r="F3739" i="5"/>
  <c r="G3739" i="5"/>
  <c r="H3739" i="5"/>
  <c r="F3740" i="5"/>
  <c r="G3740" i="5"/>
  <c r="H3740" i="5"/>
  <c r="F3741" i="5"/>
  <c r="G3741" i="5"/>
  <c r="H3741" i="5"/>
  <c r="F3742" i="5"/>
  <c r="G3742" i="5"/>
  <c r="H3742" i="5"/>
  <c r="F3743" i="5"/>
  <c r="G3743" i="5"/>
  <c r="H3743" i="5"/>
  <c r="F3744" i="5"/>
  <c r="G3744" i="5"/>
  <c r="H3744" i="5"/>
  <c r="F3745" i="5"/>
  <c r="G3745" i="5"/>
  <c r="H3745" i="5"/>
  <c r="F3746" i="5"/>
  <c r="G3746" i="5"/>
  <c r="H3746" i="5"/>
  <c r="F3747" i="5"/>
  <c r="G3747" i="5"/>
  <c r="H3747" i="5"/>
  <c r="F3748" i="5"/>
  <c r="G3748" i="5"/>
  <c r="H3748" i="5"/>
  <c r="F3749" i="5"/>
  <c r="G3749" i="5"/>
  <c r="H3749" i="5"/>
  <c r="F3750" i="5"/>
  <c r="G3750" i="5"/>
  <c r="H3750" i="5"/>
  <c r="F3751" i="5"/>
  <c r="G3751" i="5"/>
  <c r="H3751" i="5"/>
  <c r="F3752" i="5"/>
  <c r="G3752" i="5"/>
  <c r="H3752" i="5"/>
  <c r="F3753" i="5"/>
  <c r="G3753" i="5"/>
  <c r="H3753" i="5"/>
  <c r="F3754" i="5"/>
  <c r="G3754" i="5"/>
  <c r="H3754" i="5"/>
  <c r="F3755" i="5"/>
  <c r="G3755" i="5"/>
  <c r="H3755" i="5"/>
  <c r="F3756" i="5"/>
  <c r="G3756" i="5"/>
  <c r="H3756" i="5"/>
  <c r="F3757" i="5"/>
  <c r="G3757" i="5"/>
  <c r="H3757" i="5"/>
  <c r="F3758" i="5"/>
  <c r="G3758" i="5"/>
  <c r="H3758" i="5"/>
  <c r="F3759" i="5"/>
  <c r="G3759" i="5"/>
  <c r="H3759" i="5"/>
  <c r="F3760" i="5"/>
  <c r="G3760" i="5"/>
  <c r="H3760" i="5"/>
  <c r="F3761" i="5"/>
  <c r="G3761" i="5"/>
  <c r="H3761" i="5"/>
  <c r="F3762" i="5"/>
  <c r="G3762" i="5"/>
  <c r="H3762" i="5"/>
  <c r="F3763" i="5"/>
  <c r="G3763" i="5"/>
  <c r="H3763" i="5"/>
  <c r="F3764" i="5"/>
  <c r="G3764" i="5"/>
  <c r="H3764" i="5"/>
  <c r="F3765" i="5"/>
  <c r="G3765" i="5"/>
  <c r="H3765" i="5"/>
  <c r="F3766" i="5"/>
  <c r="G3766" i="5"/>
  <c r="H3766" i="5"/>
  <c r="F3767" i="5"/>
  <c r="G3767" i="5"/>
  <c r="H3767" i="5"/>
  <c r="F3768" i="5"/>
  <c r="G3768" i="5"/>
  <c r="H3768" i="5"/>
  <c r="F3769" i="5"/>
  <c r="G3769" i="5"/>
  <c r="H3769" i="5"/>
  <c r="F3770" i="5"/>
  <c r="G3770" i="5"/>
  <c r="H3770" i="5"/>
  <c r="F3771" i="5"/>
  <c r="G3771" i="5"/>
  <c r="H3771" i="5"/>
  <c r="F3772" i="5"/>
  <c r="G3772" i="5"/>
  <c r="H3772" i="5"/>
  <c r="F3773" i="5"/>
  <c r="G3773" i="5"/>
  <c r="H3773" i="5"/>
  <c r="F3774" i="5"/>
  <c r="G3774" i="5"/>
  <c r="H3774" i="5"/>
  <c r="F3775" i="5"/>
  <c r="G3775" i="5"/>
  <c r="H3775" i="5"/>
  <c r="F3776" i="5"/>
  <c r="G3776" i="5"/>
  <c r="H3776" i="5"/>
  <c r="F3777" i="5"/>
  <c r="G3777" i="5"/>
  <c r="H3777" i="5"/>
  <c r="F3778" i="5"/>
  <c r="G3778" i="5"/>
  <c r="H3778" i="5"/>
  <c r="F3779" i="5"/>
  <c r="G3779" i="5"/>
  <c r="H3779" i="5"/>
  <c r="F3780" i="5"/>
  <c r="G3780" i="5"/>
  <c r="H3780" i="5"/>
  <c r="F3781" i="5"/>
  <c r="G3781" i="5"/>
  <c r="H3781" i="5"/>
  <c r="F3782" i="5"/>
  <c r="G3782" i="5"/>
  <c r="H3782" i="5"/>
  <c r="F3783" i="5"/>
  <c r="G3783" i="5"/>
  <c r="H3783" i="5"/>
  <c r="F3784" i="5"/>
  <c r="G3784" i="5"/>
  <c r="H3784" i="5"/>
  <c r="F3785" i="5"/>
  <c r="G3785" i="5"/>
  <c r="H3785" i="5"/>
  <c r="F3786" i="5"/>
  <c r="G3786" i="5"/>
  <c r="H3786" i="5"/>
  <c r="F3787" i="5"/>
  <c r="G3787" i="5"/>
  <c r="H3787" i="5"/>
  <c r="F3788" i="5"/>
  <c r="G3788" i="5"/>
  <c r="H3788" i="5"/>
  <c r="F3789" i="5"/>
  <c r="G3789" i="5"/>
  <c r="H3789" i="5"/>
  <c r="F3790" i="5"/>
  <c r="G3790" i="5"/>
  <c r="H3790" i="5"/>
  <c r="F3791" i="5"/>
  <c r="G3791" i="5"/>
  <c r="H3791" i="5"/>
  <c r="F3792" i="5"/>
  <c r="G3792" i="5"/>
  <c r="H3792" i="5"/>
  <c r="F3793" i="5"/>
  <c r="G3793" i="5"/>
  <c r="H3793" i="5"/>
  <c r="F3794" i="5"/>
  <c r="G3794" i="5"/>
  <c r="H3794" i="5"/>
  <c r="F3795" i="5"/>
  <c r="G3795" i="5"/>
  <c r="H3795" i="5"/>
  <c r="F3796" i="5"/>
  <c r="G3796" i="5"/>
  <c r="H3796" i="5"/>
  <c r="F3797" i="5"/>
  <c r="G3797" i="5"/>
  <c r="H3797" i="5"/>
  <c r="F3798" i="5"/>
  <c r="G3798" i="5"/>
  <c r="H3798" i="5"/>
  <c r="F3799" i="5"/>
  <c r="G3799" i="5"/>
  <c r="H3799" i="5"/>
  <c r="F3800" i="5"/>
  <c r="G3800" i="5"/>
  <c r="H3800" i="5"/>
  <c r="F3801" i="5"/>
  <c r="G3801" i="5"/>
  <c r="H3801" i="5"/>
  <c r="F3802" i="5"/>
  <c r="G3802" i="5"/>
  <c r="H3802" i="5"/>
  <c r="F3803" i="5"/>
  <c r="G3803" i="5"/>
  <c r="H3803" i="5"/>
  <c r="F3804" i="5"/>
  <c r="G3804" i="5"/>
  <c r="H3804" i="5"/>
  <c r="F3805" i="5"/>
  <c r="G3805" i="5"/>
  <c r="H3805" i="5"/>
  <c r="F3806" i="5"/>
  <c r="G3806" i="5"/>
  <c r="H3806" i="5"/>
  <c r="F3807" i="5"/>
  <c r="G3807" i="5"/>
  <c r="H3807" i="5"/>
  <c r="F3808" i="5"/>
  <c r="G3808" i="5"/>
  <c r="H3808" i="5"/>
  <c r="F3809" i="5"/>
  <c r="G3809" i="5"/>
  <c r="H3809" i="5"/>
  <c r="F3810" i="5"/>
  <c r="G3810" i="5"/>
  <c r="H3810" i="5"/>
  <c r="F3811" i="5"/>
  <c r="G3811" i="5"/>
  <c r="H3811" i="5"/>
  <c r="F3812" i="5"/>
  <c r="G3812" i="5"/>
  <c r="H3812" i="5"/>
  <c r="F3813" i="5"/>
  <c r="G3813" i="5"/>
  <c r="H3813" i="5"/>
  <c r="F3814" i="5"/>
  <c r="G3814" i="5"/>
  <c r="H3814" i="5"/>
  <c r="F3815" i="5"/>
  <c r="G3815" i="5"/>
  <c r="H3815" i="5"/>
  <c r="F3816" i="5"/>
  <c r="G3816" i="5"/>
  <c r="H3816" i="5"/>
  <c r="F3817" i="5"/>
  <c r="G3817" i="5"/>
  <c r="H3817" i="5"/>
  <c r="F3818" i="5"/>
  <c r="G3818" i="5"/>
  <c r="H3818" i="5"/>
  <c r="F3819" i="5"/>
  <c r="G3819" i="5"/>
  <c r="H3819" i="5"/>
  <c r="F3820" i="5"/>
  <c r="G3820" i="5"/>
  <c r="H3820" i="5"/>
  <c r="F3821" i="5"/>
  <c r="G3821" i="5"/>
  <c r="H3821" i="5"/>
  <c r="F3822" i="5"/>
  <c r="G3822" i="5"/>
  <c r="H3822" i="5"/>
  <c r="F3823" i="5"/>
  <c r="G3823" i="5"/>
  <c r="H3823" i="5"/>
  <c r="F3824" i="5"/>
  <c r="G3824" i="5"/>
  <c r="H3824" i="5"/>
  <c r="F3825" i="5"/>
  <c r="G3825" i="5"/>
  <c r="H3825" i="5"/>
  <c r="F3826" i="5"/>
  <c r="G3826" i="5"/>
  <c r="H3826" i="5"/>
  <c r="F3827" i="5"/>
  <c r="G3827" i="5"/>
  <c r="H3827" i="5"/>
  <c r="F3828" i="5"/>
  <c r="G3828" i="5"/>
  <c r="H3828" i="5"/>
  <c r="F3829" i="5"/>
  <c r="G3829" i="5"/>
  <c r="H3829" i="5"/>
  <c r="F3830" i="5"/>
  <c r="G3830" i="5"/>
  <c r="H3830" i="5"/>
  <c r="F3831" i="5"/>
  <c r="G3831" i="5"/>
  <c r="H3831" i="5"/>
  <c r="F3832" i="5"/>
  <c r="G3832" i="5"/>
  <c r="H3832" i="5"/>
  <c r="F3833" i="5"/>
  <c r="G3833" i="5"/>
  <c r="H3833" i="5"/>
  <c r="F3834" i="5"/>
  <c r="G3834" i="5"/>
  <c r="H3834" i="5"/>
  <c r="F3835" i="5"/>
  <c r="G3835" i="5"/>
  <c r="H3835" i="5"/>
  <c r="F3836" i="5"/>
  <c r="G3836" i="5"/>
  <c r="H3836" i="5"/>
  <c r="F3837" i="5"/>
  <c r="G3837" i="5"/>
  <c r="H3837" i="5"/>
  <c r="F3838" i="5"/>
  <c r="G3838" i="5"/>
  <c r="H3838" i="5"/>
  <c r="F3839" i="5"/>
  <c r="G3839" i="5"/>
  <c r="H3839" i="5"/>
  <c r="F3840" i="5"/>
  <c r="G3840" i="5"/>
  <c r="H3840" i="5"/>
  <c r="F3841" i="5"/>
  <c r="G3841" i="5"/>
  <c r="H3841" i="5"/>
  <c r="F3842" i="5"/>
  <c r="G3842" i="5"/>
  <c r="H3842" i="5"/>
  <c r="F3843" i="5"/>
  <c r="G3843" i="5"/>
  <c r="H3843" i="5"/>
  <c r="F3844" i="5"/>
  <c r="G3844" i="5"/>
  <c r="H3844" i="5"/>
  <c r="F3845" i="5"/>
  <c r="G3845" i="5"/>
  <c r="H3845" i="5"/>
  <c r="F3846" i="5"/>
  <c r="G3846" i="5"/>
  <c r="H3846" i="5"/>
  <c r="F3847" i="5"/>
  <c r="G3847" i="5"/>
  <c r="H3847" i="5"/>
  <c r="F3848" i="5"/>
  <c r="G3848" i="5"/>
  <c r="H3848" i="5"/>
  <c r="F3849" i="5"/>
  <c r="G3849" i="5"/>
  <c r="H3849" i="5"/>
  <c r="F3850" i="5"/>
  <c r="G3850" i="5"/>
  <c r="H3850" i="5"/>
  <c r="F3851" i="5"/>
  <c r="G3851" i="5"/>
  <c r="H3851" i="5"/>
  <c r="F3852" i="5"/>
  <c r="G3852" i="5"/>
  <c r="H3852" i="5"/>
  <c r="F3853" i="5"/>
  <c r="G3853" i="5"/>
  <c r="H3853" i="5"/>
  <c r="F3854" i="5"/>
  <c r="G3854" i="5"/>
  <c r="H3854" i="5"/>
  <c r="F3855" i="5"/>
  <c r="G3855" i="5"/>
  <c r="H3855" i="5"/>
  <c r="F3856" i="5"/>
  <c r="G3856" i="5"/>
  <c r="H3856" i="5"/>
  <c r="F3857" i="5"/>
  <c r="G3857" i="5"/>
  <c r="H3857" i="5"/>
  <c r="F3858" i="5"/>
  <c r="G3858" i="5"/>
  <c r="H3858" i="5"/>
  <c r="F3859" i="5"/>
  <c r="G3859" i="5"/>
  <c r="H3859" i="5"/>
  <c r="F3860" i="5"/>
  <c r="G3860" i="5"/>
  <c r="H3860" i="5"/>
  <c r="F3861" i="5"/>
  <c r="G3861" i="5"/>
  <c r="H3861" i="5"/>
  <c r="F3862" i="5"/>
  <c r="G3862" i="5"/>
  <c r="H3862" i="5"/>
  <c r="F3863" i="5"/>
  <c r="G3863" i="5"/>
  <c r="H3863" i="5"/>
  <c r="F3864" i="5"/>
  <c r="G3864" i="5"/>
  <c r="H3864" i="5"/>
  <c r="F3865" i="5"/>
  <c r="G3865" i="5"/>
  <c r="H3865" i="5"/>
  <c r="F3866" i="5"/>
  <c r="G3866" i="5"/>
  <c r="H3866" i="5"/>
  <c r="F3867" i="5"/>
  <c r="G3867" i="5"/>
  <c r="H3867" i="5"/>
  <c r="F3868" i="5"/>
  <c r="G3868" i="5"/>
  <c r="H3868" i="5"/>
  <c r="F3869" i="5"/>
  <c r="G3869" i="5"/>
  <c r="H3869" i="5"/>
  <c r="F3870" i="5"/>
  <c r="G3870" i="5"/>
  <c r="H3870" i="5"/>
  <c r="F3871" i="5"/>
  <c r="G3871" i="5"/>
  <c r="H3871" i="5"/>
  <c r="F3872" i="5"/>
  <c r="G3872" i="5"/>
  <c r="H3872" i="5"/>
  <c r="F3873" i="5"/>
  <c r="G3873" i="5"/>
  <c r="H3873" i="5"/>
  <c r="F3874" i="5"/>
  <c r="G3874" i="5"/>
  <c r="H3874" i="5"/>
  <c r="F3875" i="5"/>
  <c r="G3875" i="5"/>
  <c r="H3875" i="5"/>
  <c r="F3876" i="5"/>
  <c r="G3876" i="5"/>
  <c r="H3876" i="5"/>
  <c r="F3877" i="5"/>
  <c r="G3877" i="5"/>
  <c r="H3877" i="5"/>
  <c r="F3878" i="5"/>
  <c r="G3878" i="5"/>
  <c r="H3878" i="5"/>
  <c r="F3879" i="5"/>
  <c r="G3879" i="5"/>
  <c r="H3879" i="5"/>
  <c r="F3880" i="5"/>
  <c r="G3880" i="5"/>
  <c r="H3880" i="5"/>
  <c r="F3881" i="5"/>
  <c r="G3881" i="5"/>
  <c r="H3881" i="5"/>
  <c r="F3882" i="5"/>
  <c r="G3882" i="5"/>
  <c r="H3882" i="5"/>
  <c r="F3883" i="5"/>
  <c r="G3883" i="5"/>
  <c r="H3883" i="5"/>
  <c r="F3884" i="5"/>
  <c r="G3884" i="5"/>
  <c r="H3884" i="5"/>
  <c r="F3885" i="5"/>
  <c r="G3885" i="5"/>
  <c r="H3885" i="5"/>
  <c r="F3886" i="5"/>
  <c r="G3886" i="5"/>
  <c r="H3886" i="5"/>
  <c r="F3887" i="5"/>
  <c r="G3887" i="5"/>
  <c r="H3887" i="5"/>
  <c r="F3888" i="5"/>
  <c r="G3888" i="5"/>
  <c r="H3888" i="5"/>
  <c r="F3889" i="5"/>
  <c r="G3889" i="5"/>
  <c r="H3889" i="5"/>
  <c r="F3890" i="5"/>
  <c r="G3890" i="5"/>
  <c r="H3890" i="5"/>
  <c r="F3891" i="5"/>
  <c r="G3891" i="5"/>
  <c r="H3891" i="5"/>
  <c r="F3892" i="5"/>
  <c r="G3892" i="5"/>
  <c r="H3892" i="5"/>
  <c r="F3893" i="5"/>
  <c r="G3893" i="5"/>
  <c r="H3893" i="5"/>
  <c r="F3894" i="5"/>
  <c r="G3894" i="5"/>
  <c r="H3894" i="5"/>
  <c r="F3895" i="5"/>
  <c r="G3895" i="5"/>
  <c r="H3895" i="5"/>
  <c r="F3896" i="5"/>
  <c r="G3896" i="5"/>
  <c r="H3896" i="5"/>
  <c r="F3897" i="5"/>
  <c r="G3897" i="5"/>
  <c r="H3897" i="5"/>
  <c r="F3898" i="5"/>
  <c r="G3898" i="5"/>
  <c r="H3898" i="5"/>
  <c r="F3899" i="5"/>
  <c r="G3899" i="5"/>
  <c r="H3899" i="5"/>
  <c r="F3900" i="5"/>
  <c r="G3900" i="5"/>
  <c r="H3900" i="5"/>
  <c r="F3901" i="5"/>
  <c r="G3901" i="5"/>
  <c r="H3901" i="5"/>
  <c r="F3902" i="5"/>
  <c r="G3902" i="5"/>
  <c r="H3902" i="5"/>
  <c r="F3903" i="5"/>
  <c r="G3903" i="5"/>
  <c r="H3903" i="5"/>
  <c r="F3904" i="5"/>
  <c r="G3904" i="5"/>
  <c r="H3904" i="5"/>
  <c r="F3905" i="5"/>
  <c r="G3905" i="5"/>
  <c r="H3905" i="5"/>
  <c r="F3906" i="5"/>
  <c r="G3906" i="5"/>
  <c r="H3906" i="5"/>
  <c r="F3907" i="5"/>
  <c r="G3907" i="5"/>
  <c r="H3907" i="5"/>
  <c r="F3908" i="5"/>
  <c r="G3908" i="5"/>
  <c r="H3908" i="5"/>
  <c r="F3909" i="5"/>
  <c r="G3909" i="5"/>
  <c r="H3909" i="5"/>
  <c r="F3910" i="5"/>
  <c r="G3910" i="5"/>
  <c r="H3910" i="5"/>
  <c r="F3911" i="5"/>
  <c r="G3911" i="5"/>
  <c r="H3911" i="5"/>
  <c r="F3912" i="5"/>
  <c r="G3912" i="5"/>
  <c r="H3912" i="5"/>
  <c r="F3913" i="5"/>
  <c r="G3913" i="5"/>
  <c r="H3913" i="5"/>
  <c r="F3914" i="5"/>
  <c r="G3914" i="5"/>
  <c r="H3914" i="5"/>
  <c r="F3915" i="5"/>
  <c r="G3915" i="5"/>
  <c r="H3915" i="5"/>
  <c r="F3916" i="5"/>
  <c r="G3916" i="5"/>
  <c r="H3916" i="5"/>
  <c r="F3917" i="5"/>
  <c r="G3917" i="5"/>
  <c r="H3917" i="5"/>
  <c r="F3918" i="5"/>
  <c r="G3918" i="5"/>
  <c r="H3918" i="5"/>
  <c r="F3919" i="5"/>
  <c r="G3919" i="5"/>
  <c r="H3919" i="5"/>
  <c r="F3920" i="5"/>
  <c r="G3920" i="5"/>
  <c r="H3920" i="5"/>
  <c r="F3921" i="5"/>
  <c r="G3921" i="5"/>
  <c r="H3921" i="5"/>
  <c r="F3922" i="5"/>
  <c r="G3922" i="5"/>
  <c r="H3922" i="5"/>
  <c r="F3923" i="5"/>
  <c r="G3923" i="5"/>
  <c r="H3923" i="5"/>
  <c r="F3924" i="5"/>
  <c r="G3924" i="5"/>
  <c r="H3924" i="5"/>
  <c r="F3925" i="5"/>
  <c r="G3925" i="5"/>
  <c r="H3925" i="5"/>
  <c r="F3926" i="5"/>
  <c r="G3926" i="5"/>
  <c r="H3926" i="5"/>
  <c r="F3927" i="5"/>
  <c r="G3927" i="5"/>
  <c r="H3927" i="5"/>
  <c r="F3928" i="5"/>
  <c r="G3928" i="5"/>
  <c r="H3928" i="5"/>
  <c r="F3929" i="5"/>
  <c r="G3929" i="5"/>
  <c r="H3929" i="5"/>
  <c r="F3930" i="5"/>
  <c r="G3930" i="5"/>
  <c r="H3930" i="5"/>
  <c r="F3931" i="5"/>
  <c r="G3931" i="5"/>
  <c r="H3931" i="5"/>
  <c r="F3932" i="5"/>
  <c r="G3932" i="5"/>
  <c r="H3932" i="5"/>
  <c r="F3933" i="5"/>
  <c r="G3933" i="5"/>
  <c r="H3933" i="5"/>
  <c r="F3934" i="5"/>
  <c r="G3934" i="5"/>
  <c r="H3934" i="5"/>
  <c r="F3935" i="5"/>
  <c r="G3935" i="5"/>
  <c r="H3935" i="5"/>
  <c r="F3936" i="5"/>
  <c r="G3936" i="5"/>
  <c r="H3936" i="5"/>
  <c r="F3937" i="5"/>
  <c r="G3937" i="5"/>
  <c r="H3937" i="5"/>
  <c r="F3938" i="5"/>
  <c r="G3938" i="5"/>
  <c r="H3938" i="5"/>
  <c r="F3939" i="5"/>
  <c r="G3939" i="5"/>
  <c r="H3939" i="5"/>
  <c r="F3940" i="5"/>
  <c r="G3940" i="5"/>
  <c r="H3940" i="5"/>
  <c r="F3941" i="5"/>
  <c r="G3941" i="5"/>
  <c r="H3941" i="5"/>
  <c r="F3942" i="5"/>
  <c r="G3942" i="5"/>
  <c r="H3942" i="5"/>
  <c r="F3943" i="5"/>
  <c r="G3943" i="5"/>
  <c r="H3943" i="5"/>
  <c r="F3944" i="5"/>
  <c r="G3944" i="5"/>
  <c r="H3944" i="5"/>
  <c r="F3945" i="5"/>
  <c r="G3945" i="5"/>
  <c r="H3945" i="5"/>
  <c r="F3946" i="5"/>
  <c r="G3946" i="5"/>
  <c r="H3946" i="5"/>
  <c r="F3947" i="5"/>
  <c r="G3947" i="5"/>
  <c r="H3947" i="5"/>
  <c r="F3948" i="5"/>
  <c r="G3948" i="5"/>
  <c r="H3948" i="5"/>
  <c r="F3949" i="5"/>
  <c r="G3949" i="5"/>
  <c r="H3949" i="5"/>
  <c r="F3950" i="5"/>
  <c r="G3950" i="5"/>
  <c r="H3950" i="5"/>
  <c r="F3951" i="5"/>
  <c r="G3951" i="5"/>
  <c r="H3951" i="5"/>
  <c r="F3952" i="5"/>
  <c r="G3952" i="5"/>
  <c r="H3952" i="5"/>
  <c r="F3953" i="5"/>
  <c r="G3953" i="5"/>
  <c r="H3953" i="5"/>
  <c r="F3954" i="5"/>
  <c r="G3954" i="5"/>
  <c r="H3954" i="5"/>
  <c r="F3955" i="5"/>
  <c r="G3955" i="5"/>
  <c r="H3955" i="5"/>
  <c r="F3956" i="5"/>
  <c r="G3956" i="5"/>
  <c r="H3956" i="5"/>
  <c r="F3957" i="5"/>
  <c r="G3957" i="5"/>
  <c r="H3957" i="5"/>
  <c r="F3958" i="5"/>
  <c r="G3958" i="5"/>
  <c r="H3958" i="5"/>
  <c r="F3959" i="5"/>
  <c r="G3959" i="5"/>
  <c r="H3959" i="5"/>
  <c r="F3960" i="5"/>
  <c r="G3960" i="5"/>
  <c r="H3960" i="5"/>
  <c r="F3961" i="5"/>
  <c r="G3961" i="5"/>
  <c r="H3961" i="5"/>
  <c r="F3962" i="5"/>
  <c r="G3962" i="5"/>
  <c r="H3962" i="5"/>
  <c r="F3963" i="5"/>
  <c r="G3963" i="5"/>
  <c r="H3963" i="5"/>
  <c r="F3964" i="5"/>
  <c r="G3964" i="5"/>
  <c r="H3964" i="5"/>
  <c r="F3965" i="5"/>
  <c r="G3965" i="5"/>
  <c r="H3965" i="5"/>
  <c r="F3966" i="5"/>
  <c r="G3966" i="5"/>
  <c r="H3966" i="5"/>
  <c r="F3967" i="5"/>
  <c r="G3967" i="5"/>
  <c r="H3967" i="5"/>
  <c r="F3968" i="5"/>
  <c r="G3968" i="5"/>
  <c r="H3968" i="5"/>
  <c r="F3969" i="5"/>
  <c r="G3969" i="5"/>
  <c r="H3969" i="5"/>
  <c r="F3970" i="5"/>
  <c r="G3970" i="5"/>
  <c r="H3970" i="5"/>
  <c r="F3971" i="5"/>
  <c r="G3971" i="5"/>
  <c r="H3971" i="5"/>
  <c r="F3972" i="5"/>
  <c r="G3972" i="5"/>
  <c r="H3972" i="5"/>
  <c r="F3973" i="5"/>
  <c r="G3973" i="5"/>
  <c r="H3973" i="5"/>
  <c r="F3974" i="5"/>
  <c r="G3974" i="5"/>
  <c r="H3974" i="5"/>
  <c r="F3975" i="5"/>
  <c r="G3975" i="5"/>
  <c r="H3975" i="5"/>
  <c r="F3976" i="5"/>
  <c r="G3976" i="5"/>
  <c r="H3976" i="5"/>
  <c r="F3977" i="5"/>
  <c r="G3977" i="5"/>
  <c r="H3977" i="5"/>
  <c r="F3978" i="5"/>
  <c r="G3978" i="5"/>
  <c r="H3978" i="5"/>
  <c r="F3979" i="5"/>
  <c r="G3979" i="5"/>
  <c r="H3979" i="5"/>
  <c r="F3980" i="5"/>
  <c r="G3980" i="5"/>
  <c r="H3980" i="5"/>
  <c r="F3981" i="5"/>
  <c r="G3981" i="5"/>
  <c r="H3981" i="5"/>
  <c r="F3982" i="5"/>
  <c r="G3982" i="5"/>
  <c r="H3982" i="5"/>
  <c r="F3983" i="5"/>
  <c r="G3983" i="5"/>
  <c r="H3983" i="5"/>
  <c r="F3984" i="5"/>
  <c r="G3984" i="5"/>
  <c r="H3984" i="5"/>
  <c r="F3985" i="5"/>
  <c r="G3985" i="5"/>
  <c r="H3985" i="5"/>
  <c r="F3986" i="5"/>
  <c r="G3986" i="5"/>
  <c r="H3986" i="5"/>
  <c r="F3987" i="5"/>
  <c r="G3987" i="5"/>
  <c r="H3987" i="5"/>
  <c r="F3988" i="5"/>
  <c r="G3988" i="5"/>
  <c r="H3988" i="5"/>
  <c r="F3989" i="5"/>
  <c r="G3989" i="5"/>
  <c r="H3989" i="5"/>
  <c r="F3990" i="5"/>
  <c r="G3990" i="5"/>
  <c r="H3990" i="5"/>
  <c r="F3991" i="5"/>
  <c r="G3991" i="5"/>
  <c r="H3991" i="5"/>
  <c r="F3992" i="5"/>
  <c r="G3992" i="5"/>
  <c r="H3992" i="5"/>
  <c r="F3993" i="5"/>
  <c r="G3993" i="5"/>
  <c r="H3993" i="5"/>
  <c r="F3994" i="5"/>
  <c r="G3994" i="5"/>
  <c r="H3994" i="5"/>
  <c r="F3995" i="5"/>
  <c r="G3995" i="5"/>
  <c r="H3995" i="5"/>
  <c r="F3996" i="5"/>
  <c r="G3996" i="5"/>
  <c r="H3996" i="5"/>
  <c r="F3997" i="5"/>
  <c r="G3997" i="5"/>
  <c r="H3997" i="5"/>
  <c r="F3998" i="5"/>
  <c r="G3998" i="5"/>
  <c r="H3998" i="5"/>
  <c r="F3999" i="5"/>
  <c r="G3999" i="5"/>
  <c r="H3999" i="5"/>
  <c r="F4000" i="5"/>
  <c r="G4000" i="5"/>
  <c r="H4000" i="5"/>
  <c r="F4001" i="5"/>
  <c r="G4001" i="5"/>
  <c r="H4001" i="5"/>
  <c r="F4002" i="5"/>
  <c r="G4002" i="5"/>
  <c r="H4002" i="5"/>
  <c r="F4003" i="5"/>
  <c r="G4003" i="5"/>
  <c r="H4003" i="5"/>
  <c r="F4004" i="5"/>
  <c r="G4004" i="5"/>
  <c r="H4004" i="5"/>
  <c r="F4005" i="5"/>
  <c r="G4005" i="5"/>
  <c r="H4005" i="5"/>
  <c r="F4006" i="5"/>
  <c r="G4006" i="5"/>
  <c r="H4006" i="5"/>
  <c r="F4007" i="5"/>
  <c r="G4007" i="5"/>
  <c r="H4007" i="5"/>
  <c r="F4008" i="5"/>
  <c r="G4008" i="5"/>
  <c r="H4008" i="5"/>
  <c r="F4009" i="5"/>
  <c r="G4009" i="5"/>
  <c r="H4009" i="5"/>
  <c r="F4010" i="5"/>
  <c r="G4010" i="5"/>
  <c r="H4010" i="5"/>
  <c r="F4011" i="5"/>
  <c r="G4011" i="5"/>
  <c r="H4011" i="5"/>
  <c r="F4012" i="5"/>
  <c r="G4012" i="5"/>
  <c r="H4012" i="5"/>
  <c r="F4013" i="5"/>
  <c r="G4013" i="5"/>
  <c r="H4013" i="5"/>
  <c r="F4014" i="5"/>
  <c r="G4014" i="5"/>
  <c r="H4014" i="5"/>
  <c r="F4015" i="5"/>
  <c r="G4015" i="5"/>
  <c r="H4015" i="5"/>
  <c r="F4016" i="5"/>
  <c r="G4016" i="5"/>
  <c r="H4016" i="5"/>
  <c r="F4017" i="5"/>
  <c r="G4017" i="5"/>
  <c r="H4017" i="5"/>
  <c r="F4018" i="5"/>
  <c r="G4018" i="5"/>
  <c r="H4018" i="5"/>
  <c r="F4019" i="5"/>
  <c r="G4019" i="5"/>
  <c r="H4019" i="5"/>
  <c r="F4020" i="5"/>
  <c r="G4020" i="5"/>
  <c r="H4020" i="5"/>
  <c r="F4021" i="5"/>
  <c r="G4021" i="5"/>
  <c r="H4021" i="5"/>
  <c r="F4022" i="5"/>
  <c r="G4022" i="5"/>
  <c r="H4022" i="5"/>
  <c r="F4023" i="5"/>
  <c r="G4023" i="5"/>
  <c r="H4023" i="5"/>
  <c r="F4024" i="5"/>
  <c r="G4024" i="5"/>
  <c r="H4024" i="5"/>
  <c r="F4025" i="5"/>
  <c r="G4025" i="5"/>
  <c r="H4025" i="5"/>
  <c r="F4026" i="5"/>
  <c r="G4026" i="5"/>
  <c r="H4026" i="5"/>
  <c r="F4027" i="5"/>
  <c r="G4027" i="5"/>
  <c r="H4027" i="5"/>
  <c r="F4028" i="5"/>
  <c r="G4028" i="5"/>
  <c r="H4028" i="5"/>
  <c r="F4029" i="5"/>
  <c r="G4029" i="5"/>
  <c r="H4029" i="5"/>
  <c r="F4030" i="5"/>
  <c r="G4030" i="5"/>
  <c r="H4030" i="5"/>
  <c r="F4031" i="5"/>
  <c r="G4031" i="5"/>
  <c r="H4031" i="5"/>
  <c r="F4032" i="5"/>
  <c r="G4032" i="5"/>
  <c r="H4032" i="5"/>
  <c r="F4033" i="5"/>
  <c r="G4033" i="5"/>
  <c r="H4033" i="5"/>
  <c r="F4034" i="5"/>
  <c r="G4034" i="5"/>
  <c r="H4034" i="5"/>
  <c r="F4035" i="5"/>
  <c r="G4035" i="5"/>
  <c r="H4035" i="5"/>
  <c r="F4036" i="5"/>
  <c r="G4036" i="5"/>
  <c r="H4036" i="5"/>
  <c r="F4037" i="5"/>
  <c r="G4037" i="5"/>
  <c r="H4037" i="5"/>
  <c r="F4038" i="5"/>
  <c r="G4038" i="5"/>
  <c r="H4038" i="5"/>
  <c r="F4039" i="5"/>
  <c r="G4039" i="5"/>
  <c r="H4039" i="5"/>
  <c r="F4040" i="5"/>
  <c r="G4040" i="5"/>
  <c r="H4040" i="5"/>
  <c r="F4041" i="5"/>
  <c r="G4041" i="5"/>
  <c r="H4041" i="5"/>
  <c r="F4042" i="5"/>
  <c r="G4042" i="5"/>
  <c r="H4042" i="5"/>
  <c r="F4043" i="5"/>
  <c r="G4043" i="5"/>
  <c r="H4043" i="5"/>
  <c r="F4044" i="5"/>
  <c r="G4044" i="5"/>
  <c r="H4044" i="5"/>
  <c r="F4045" i="5"/>
  <c r="G4045" i="5"/>
  <c r="H4045" i="5"/>
  <c r="F4046" i="5"/>
  <c r="G4046" i="5"/>
  <c r="H4046" i="5"/>
  <c r="F4047" i="5"/>
  <c r="G4047" i="5"/>
  <c r="H4047" i="5"/>
  <c r="F4048" i="5"/>
  <c r="G4048" i="5"/>
  <c r="H4048" i="5"/>
  <c r="F4049" i="5"/>
  <c r="G4049" i="5"/>
  <c r="H4049" i="5"/>
  <c r="F4050" i="5"/>
  <c r="G4050" i="5"/>
  <c r="H4050" i="5"/>
  <c r="F4051" i="5"/>
  <c r="G4051" i="5"/>
  <c r="H4051" i="5"/>
  <c r="F4052" i="5"/>
  <c r="G4052" i="5"/>
  <c r="H4052" i="5"/>
  <c r="F4053" i="5"/>
  <c r="G4053" i="5"/>
  <c r="H4053" i="5"/>
  <c r="F4054" i="5"/>
  <c r="G4054" i="5"/>
  <c r="H4054" i="5"/>
  <c r="F4055" i="5"/>
  <c r="G4055" i="5"/>
  <c r="H4055" i="5"/>
  <c r="F4056" i="5"/>
  <c r="G4056" i="5"/>
  <c r="H4056" i="5"/>
  <c r="F4057" i="5"/>
  <c r="G4057" i="5"/>
  <c r="H4057" i="5"/>
  <c r="F4058" i="5"/>
  <c r="G4058" i="5"/>
  <c r="H4058" i="5"/>
  <c r="F4059" i="5"/>
  <c r="G4059" i="5"/>
  <c r="H4059" i="5"/>
  <c r="F4060" i="5"/>
  <c r="G4060" i="5"/>
  <c r="H4060" i="5"/>
  <c r="F4061" i="5"/>
  <c r="G4061" i="5"/>
  <c r="H4061" i="5"/>
  <c r="F4062" i="5"/>
  <c r="G4062" i="5"/>
  <c r="H4062" i="5"/>
  <c r="F4063" i="5"/>
  <c r="G4063" i="5"/>
  <c r="H4063" i="5"/>
  <c r="F4064" i="5"/>
  <c r="G4064" i="5"/>
  <c r="H4064" i="5"/>
  <c r="F4065" i="5"/>
  <c r="G4065" i="5"/>
  <c r="H4065" i="5"/>
  <c r="F4066" i="5"/>
  <c r="G4066" i="5"/>
  <c r="H4066" i="5"/>
  <c r="F4067" i="5"/>
  <c r="G4067" i="5"/>
  <c r="H4067" i="5"/>
  <c r="F4068" i="5"/>
  <c r="G4068" i="5"/>
  <c r="H4068" i="5"/>
  <c r="F4069" i="5"/>
  <c r="G4069" i="5"/>
  <c r="H4069" i="5"/>
  <c r="F4070" i="5"/>
  <c r="G4070" i="5"/>
  <c r="H4070" i="5"/>
  <c r="F4071" i="5"/>
  <c r="G4071" i="5"/>
  <c r="H4071" i="5"/>
  <c r="F4072" i="5"/>
  <c r="G4072" i="5"/>
  <c r="H4072" i="5"/>
  <c r="F4073" i="5"/>
  <c r="G4073" i="5"/>
  <c r="H4073" i="5"/>
  <c r="F4074" i="5"/>
  <c r="G4074" i="5"/>
  <c r="H4074" i="5"/>
  <c r="F4075" i="5"/>
  <c r="G4075" i="5"/>
  <c r="H4075" i="5"/>
  <c r="F4076" i="5"/>
  <c r="G4076" i="5"/>
  <c r="H4076" i="5"/>
  <c r="F4077" i="5"/>
  <c r="G4077" i="5"/>
  <c r="H4077" i="5"/>
  <c r="F4078" i="5"/>
  <c r="G4078" i="5"/>
  <c r="H4078" i="5"/>
  <c r="F4079" i="5"/>
  <c r="G4079" i="5"/>
  <c r="H4079" i="5"/>
  <c r="F4080" i="5"/>
  <c r="G4080" i="5"/>
  <c r="H4080" i="5"/>
  <c r="F4081" i="5"/>
  <c r="G4081" i="5"/>
  <c r="H4081" i="5"/>
  <c r="F4082" i="5"/>
  <c r="G4082" i="5"/>
  <c r="H4082" i="5"/>
  <c r="F4083" i="5"/>
  <c r="G4083" i="5"/>
  <c r="H4083" i="5"/>
  <c r="F4084" i="5"/>
  <c r="G4084" i="5"/>
  <c r="H4084" i="5"/>
  <c r="F4085" i="5"/>
  <c r="G4085" i="5"/>
  <c r="H4085" i="5"/>
  <c r="F4086" i="5"/>
  <c r="G4086" i="5"/>
  <c r="H4086" i="5"/>
  <c r="F4087" i="5"/>
  <c r="G4087" i="5"/>
  <c r="H4087" i="5"/>
  <c r="F4088" i="5"/>
  <c r="G4088" i="5"/>
  <c r="H4088" i="5"/>
  <c r="F4089" i="5"/>
  <c r="G4089" i="5"/>
  <c r="H4089" i="5"/>
  <c r="F4090" i="5"/>
  <c r="G4090" i="5"/>
  <c r="H4090" i="5"/>
  <c r="F4091" i="5"/>
  <c r="G4091" i="5"/>
  <c r="H4091" i="5"/>
  <c r="F4092" i="5"/>
  <c r="G4092" i="5"/>
  <c r="H4092" i="5"/>
  <c r="F4093" i="5"/>
  <c r="G4093" i="5"/>
  <c r="H4093" i="5"/>
  <c r="F4094" i="5"/>
  <c r="G4094" i="5"/>
  <c r="H4094" i="5"/>
  <c r="F4095" i="5"/>
  <c r="G4095" i="5"/>
  <c r="H4095" i="5"/>
  <c r="F4096" i="5"/>
  <c r="G4096" i="5"/>
  <c r="H4096" i="5"/>
  <c r="F4097" i="5"/>
  <c r="G4097" i="5"/>
  <c r="H4097" i="5"/>
  <c r="F4098" i="5"/>
  <c r="G4098" i="5"/>
  <c r="H4098" i="5"/>
  <c r="F4099" i="5"/>
  <c r="G4099" i="5"/>
  <c r="H4099" i="5"/>
  <c r="F4100" i="5"/>
  <c r="G4100" i="5"/>
  <c r="H4100" i="5"/>
  <c r="F4101" i="5"/>
  <c r="G4101" i="5"/>
  <c r="H4101" i="5"/>
  <c r="F4102" i="5"/>
  <c r="G4102" i="5"/>
  <c r="H4102" i="5"/>
  <c r="F4103" i="5"/>
  <c r="G4103" i="5"/>
  <c r="H4103" i="5"/>
  <c r="F4104" i="5"/>
  <c r="G4104" i="5"/>
  <c r="H4104" i="5"/>
  <c r="F4105" i="5"/>
  <c r="G4105" i="5"/>
  <c r="H4105" i="5"/>
  <c r="F4106" i="5"/>
  <c r="G4106" i="5"/>
  <c r="H4106" i="5"/>
  <c r="F4107" i="5"/>
  <c r="G4107" i="5"/>
  <c r="H4107" i="5"/>
  <c r="F4108" i="5"/>
  <c r="G4108" i="5"/>
  <c r="H4108" i="5"/>
  <c r="F4109" i="5"/>
  <c r="G4109" i="5"/>
  <c r="H4109" i="5"/>
  <c r="F4110" i="5"/>
  <c r="G4110" i="5"/>
  <c r="H4110" i="5"/>
  <c r="F4111" i="5"/>
  <c r="G4111" i="5"/>
  <c r="H4111" i="5"/>
  <c r="F4112" i="5"/>
  <c r="G4112" i="5"/>
  <c r="H4112" i="5"/>
  <c r="F4113" i="5"/>
  <c r="G4113" i="5"/>
  <c r="H4113" i="5"/>
  <c r="F4114" i="5"/>
  <c r="G4114" i="5"/>
  <c r="H4114" i="5"/>
  <c r="F4115" i="5"/>
  <c r="G4115" i="5"/>
  <c r="H4115" i="5"/>
  <c r="F4116" i="5"/>
  <c r="G4116" i="5"/>
  <c r="H4116" i="5"/>
  <c r="F4117" i="5"/>
  <c r="G4117" i="5"/>
  <c r="H4117" i="5"/>
  <c r="F4118" i="5"/>
  <c r="G4118" i="5"/>
  <c r="H4118" i="5"/>
  <c r="F4119" i="5"/>
  <c r="G4119" i="5"/>
  <c r="H4119" i="5"/>
  <c r="F4120" i="5"/>
  <c r="G4120" i="5"/>
  <c r="H4120" i="5"/>
  <c r="F4121" i="5"/>
  <c r="G4121" i="5"/>
  <c r="H4121" i="5"/>
  <c r="F4122" i="5"/>
  <c r="G4122" i="5"/>
  <c r="H4122" i="5"/>
  <c r="F4123" i="5"/>
  <c r="G4123" i="5"/>
  <c r="H4123" i="5"/>
  <c r="F4124" i="5"/>
  <c r="G4124" i="5"/>
  <c r="H4124" i="5"/>
  <c r="F4125" i="5"/>
  <c r="G4125" i="5"/>
  <c r="H4125" i="5"/>
  <c r="F4126" i="5"/>
  <c r="G4126" i="5"/>
  <c r="H4126" i="5"/>
  <c r="F4127" i="5"/>
  <c r="G4127" i="5"/>
  <c r="H4127" i="5"/>
  <c r="F4128" i="5"/>
  <c r="G4128" i="5"/>
  <c r="H4128" i="5"/>
  <c r="F4129" i="5"/>
  <c r="G4129" i="5"/>
  <c r="H4129" i="5"/>
  <c r="F4130" i="5"/>
  <c r="G4130" i="5"/>
  <c r="H4130" i="5"/>
  <c r="F4131" i="5"/>
  <c r="G4131" i="5"/>
  <c r="H4131" i="5"/>
  <c r="F4132" i="5"/>
  <c r="G4132" i="5"/>
  <c r="H4132" i="5"/>
  <c r="F4133" i="5"/>
  <c r="G4133" i="5"/>
  <c r="H4133" i="5"/>
  <c r="F4134" i="5"/>
  <c r="G4134" i="5"/>
  <c r="H4134" i="5"/>
  <c r="F4135" i="5"/>
  <c r="G4135" i="5"/>
  <c r="H4135" i="5"/>
  <c r="F4136" i="5"/>
  <c r="G4136" i="5"/>
  <c r="H4136" i="5"/>
  <c r="F4137" i="5"/>
  <c r="G4137" i="5"/>
  <c r="H4137" i="5"/>
  <c r="F4138" i="5"/>
  <c r="G4138" i="5"/>
  <c r="H4138" i="5"/>
  <c r="F4139" i="5"/>
  <c r="G4139" i="5"/>
  <c r="H4139" i="5"/>
  <c r="F4140" i="5"/>
  <c r="G4140" i="5"/>
  <c r="H4140" i="5"/>
  <c r="F4141" i="5"/>
  <c r="G4141" i="5"/>
  <c r="H4141" i="5"/>
  <c r="F4142" i="5"/>
  <c r="G4142" i="5"/>
  <c r="H4142" i="5"/>
  <c r="F4143" i="5"/>
  <c r="G4143" i="5"/>
  <c r="H4143" i="5"/>
  <c r="F4144" i="5"/>
  <c r="G4144" i="5"/>
  <c r="H4144" i="5"/>
  <c r="F4145" i="5"/>
  <c r="G4145" i="5"/>
  <c r="H4145" i="5"/>
  <c r="F4146" i="5"/>
  <c r="G4146" i="5"/>
  <c r="H4146" i="5"/>
  <c r="F4147" i="5"/>
  <c r="G4147" i="5"/>
  <c r="H4147" i="5"/>
  <c r="F4148" i="5"/>
  <c r="G4148" i="5"/>
  <c r="H4148" i="5"/>
  <c r="F4149" i="5"/>
  <c r="G4149" i="5"/>
  <c r="H4149" i="5"/>
  <c r="F4150" i="5"/>
  <c r="G4150" i="5"/>
  <c r="H4150" i="5"/>
  <c r="F4151" i="5"/>
  <c r="G4151" i="5"/>
  <c r="H4151" i="5"/>
  <c r="F4152" i="5"/>
  <c r="G4152" i="5"/>
  <c r="H4152" i="5"/>
  <c r="F4153" i="5"/>
  <c r="G4153" i="5"/>
  <c r="H4153" i="5"/>
  <c r="F4154" i="5"/>
  <c r="G4154" i="5"/>
  <c r="H4154" i="5"/>
  <c r="F4155" i="5"/>
  <c r="G4155" i="5"/>
  <c r="H4155" i="5"/>
  <c r="F4156" i="5"/>
  <c r="G4156" i="5"/>
  <c r="H4156" i="5"/>
  <c r="F4157" i="5"/>
  <c r="G4157" i="5"/>
  <c r="H4157" i="5"/>
  <c r="F4158" i="5"/>
  <c r="G4158" i="5"/>
  <c r="H4158" i="5"/>
  <c r="F4159" i="5"/>
  <c r="G4159" i="5"/>
  <c r="H4159" i="5"/>
  <c r="F4160" i="5"/>
  <c r="G4160" i="5"/>
  <c r="H4160" i="5"/>
  <c r="F4161" i="5"/>
  <c r="G4161" i="5"/>
  <c r="H4161" i="5"/>
  <c r="F4162" i="5"/>
  <c r="G4162" i="5"/>
  <c r="H4162" i="5"/>
  <c r="F4163" i="5"/>
  <c r="G4163" i="5"/>
  <c r="H4163" i="5"/>
  <c r="F4164" i="5"/>
  <c r="G4164" i="5"/>
  <c r="H4164" i="5"/>
  <c r="F4165" i="5"/>
  <c r="G4165" i="5"/>
  <c r="H4165" i="5"/>
  <c r="F4166" i="5"/>
  <c r="G4166" i="5"/>
  <c r="H4166" i="5"/>
  <c r="F4167" i="5"/>
  <c r="G4167" i="5"/>
  <c r="H4167" i="5"/>
  <c r="F4168" i="5"/>
  <c r="G4168" i="5"/>
  <c r="H4168" i="5"/>
  <c r="F4169" i="5"/>
  <c r="G4169" i="5"/>
  <c r="H4169" i="5"/>
  <c r="F4170" i="5"/>
  <c r="G4170" i="5"/>
  <c r="H4170" i="5"/>
  <c r="F4171" i="5"/>
  <c r="G4171" i="5"/>
  <c r="H4171" i="5"/>
  <c r="F4172" i="5"/>
  <c r="G4172" i="5"/>
  <c r="H4172" i="5"/>
  <c r="F4173" i="5"/>
  <c r="G4173" i="5"/>
  <c r="H4173" i="5"/>
  <c r="F4174" i="5"/>
  <c r="G4174" i="5"/>
  <c r="H4174" i="5"/>
  <c r="F4175" i="5"/>
  <c r="G4175" i="5"/>
  <c r="H4175" i="5"/>
  <c r="F4176" i="5"/>
  <c r="G4176" i="5"/>
  <c r="H4176" i="5"/>
  <c r="F4177" i="5"/>
  <c r="G4177" i="5"/>
  <c r="H4177" i="5"/>
  <c r="F4178" i="5"/>
  <c r="G4178" i="5"/>
  <c r="H4178" i="5"/>
  <c r="F4179" i="5"/>
  <c r="G4179" i="5"/>
  <c r="H4179" i="5"/>
  <c r="F4180" i="5"/>
  <c r="G4180" i="5"/>
  <c r="H4180" i="5"/>
  <c r="F4181" i="5"/>
  <c r="G4181" i="5"/>
  <c r="H4181" i="5"/>
  <c r="F4182" i="5"/>
  <c r="G4182" i="5"/>
  <c r="H4182" i="5"/>
  <c r="F4183" i="5"/>
  <c r="G4183" i="5"/>
  <c r="H4183" i="5"/>
  <c r="F4184" i="5"/>
  <c r="G4184" i="5"/>
  <c r="H4184" i="5"/>
  <c r="F4185" i="5"/>
  <c r="G4185" i="5"/>
  <c r="H4185" i="5"/>
  <c r="F4186" i="5"/>
  <c r="G4186" i="5"/>
  <c r="H4186" i="5"/>
  <c r="F4187" i="5"/>
  <c r="G4187" i="5"/>
  <c r="H4187" i="5"/>
  <c r="F4188" i="5"/>
  <c r="G4188" i="5"/>
  <c r="H4188" i="5"/>
  <c r="F4189" i="5"/>
  <c r="G4189" i="5"/>
  <c r="H4189" i="5"/>
  <c r="F4190" i="5"/>
  <c r="G4190" i="5"/>
  <c r="H4190" i="5"/>
  <c r="F4191" i="5"/>
  <c r="G4191" i="5"/>
  <c r="H4191" i="5"/>
  <c r="F4192" i="5"/>
  <c r="G4192" i="5"/>
  <c r="H4192" i="5"/>
  <c r="F4193" i="5"/>
  <c r="G4193" i="5"/>
  <c r="H4193" i="5"/>
  <c r="F4194" i="5"/>
  <c r="G4194" i="5"/>
  <c r="H4194" i="5"/>
  <c r="F4195" i="5"/>
  <c r="G4195" i="5"/>
  <c r="H4195" i="5"/>
  <c r="F4196" i="5"/>
  <c r="G4196" i="5"/>
  <c r="H4196" i="5"/>
  <c r="F4197" i="5"/>
  <c r="G4197" i="5"/>
  <c r="H4197" i="5"/>
  <c r="F4198" i="5"/>
  <c r="G4198" i="5"/>
  <c r="H4198" i="5"/>
  <c r="F4199" i="5"/>
  <c r="G4199" i="5"/>
  <c r="H4199" i="5"/>
  <c r="F4200" i="5"/>
  <c r="G4200" i="5"/>
  <c r="H4200" i="5"/>
  <c r="F4201" i="5"/>
  <c r="G4201" i="5"/>
  <c r="H4201" i="5"/>
  <c r="F4202" i="5"/>
  <c r="G4202" i="5"/>
  <c r="H4202" i="5"/>
  <c r="F4203" i="5"/>
  <c r="G4203" i="5"/>
  <c r="H4203" i="5"/>
  <c r="F4204" i="5"/>
  <c r="G4204" i="5"/>
  <c r="H4204" i="5"/>
  <c r="F4205" i="5"/>
  <c r="G4205" i="5"/>
  <c r="H4205" i="5"/>
  <c r="F4206" i="5"/>
  <c r="G4206" i="5"/>
  <c r="H4206" i="5"/>
  <c r="F4207" i="5"/>
  <c r="G4207" i="5"/>
  <c r="H4207" i="5"/>
  <c r="F4208" i="5"/>
  <c r="G4208" i="5"/>
  <c r="H4208" i="5"/>
  <c r="F4209" i="5"/>
  <c r="G4209" i="5"/>
  <c r="H4209" i="5"/>
  <c r="F4210" i="5"/>
  <c r="G4210" i="5"/>
  <c r="H4210" i="5"/>
  <c r="F4211" i="5"/>
  <c r="G4211" i="5"/>
  <c r="H4211" i="5"/>
  <c r="F4212" i="5"/>
  <c r="G4212" i="5"/>
  <c r="H4212" i="5"/>
  <c r="F4213" i="5"/>
  <c r="G4213" i="5"/>
  <c r="H4213" i="5"/>
  <c r="F4214" i="5"/>
  <c r="G4214" i="5"/>
  <c r="H4214" i="5"/>
  <c r="F4215" i="5"/>
  <c r="G4215" i="5"/>
  <c r="H4215" i="5"/>
  <c r="F4216" i="5"/>
  <c r="G4216" i="5"/>
  <c r="H4216" i="5"/>
  <c r="F4217" i="5"/>
  <c r="G4217" i="5"/>
  <c r="H4217" i="5"/>
  <c r="F4218" i="5"/>
  <c r="G4218" i="5"/>
  <c r="H4218" i="5"/>
  <c r="F4219" i="5"/>
  <c r="G4219" i="5"/>
  <c r="H4219" i="5"/>
  <c r="F4220" i="5"/>
  <c r="G4220" i="5"/>
  <c r="H4220" i="5"/>
  <c r="F4221" i="5"/>
  <c r="G4221" i="5"/>
  <c r="H4221" i="5"/>
  <c r="F4222" i="5"/>
  <c r="G4222" i="5"/>
  <c r="H4222" i="5"/>
  <c r="F4223" i="5"/>
  <c r="G4223" i="5"/>
  <c r="H4223" i="5"/>
  <c r="F4224" i="5"/>
  <c r="G4224" i="5"/>
  <c r="H4224" i="5"/>
  <c r="F4225" i="5"/>
  <c r="G4225" i="5"/>
  <c r="H4225" i="5"/>
  <c r="F4226" i="5"/>
  <c r="G4226" i="5"/>
  <c r="H4226" i="5"/>
  <c r="F4227" i="5"/>
  <c r="G4227" i="5"/>
  <c r="H4227" i="5"/>
  <c r="F4228" i="5"/>
  <c r="G4228" i="5"/>
  <c r="H4228" i="5"/>
  <c r="F4229" i="5"/>
  <c r="G4229" i="5"/>
  <c r="H4229" i="5"/>
  <c r="F4230" i="5"/>
  <c r="G4230" i="5"/>
  <c r="H4230" i="5"/>
  <c r="F4231" i="5"/>
  <c r="G4231" i="5"/>
  <c r="H4231" i="5"/>
  <c r="F4232" i="5"/>
  <c r="G4232" i="5"/>
  <c r="H4232" i="5"/>
  <c r="F4233" i="5"/>
  <c r="G4233" i="5"/>
  <c r="H4233" i="5"/>
  <c r="F4234" i="5"/>
  <c r="G4234" i="5"/>
  <c r="H4234" i="5"/>
  <c r="F4235" i="5"/>
  <c r="G4235" i="5"/>
  <c r="H4235" i="5"/>
  <c r="F4236" i="5"/>
  <c r="G4236" i="5"/>
  <c r="H4236" i="5"/>
  <c r="F4237" i="5"/>
  <c r="G4237" i="5"/>
  <c r="H4237" i="5"/>
  <c r="F4238" i="5"/>
  <c r="G4238" i="5"/>
  <c r="H4238" i="5"/>
  <c r="F4239" i="5"/>
  <c r="G4239" i="5"/>
  <c r="H4239" i="5"/>
  <c r="F4240" i="5"/>
  <c r="G4240" i="5"/>
  <c r="H4240" i="5"/>
  <c r="F4241" i="5"/>
  <c r="G4241" i="5"/>
  <c r="H4241" i="5"/>
  <c r="F4242" i="5"/>
  <c r="G4242" i="5"/>
  <c r="H4242" i="5"/>
  <c r="F4243" i="5"/>
  <c r="G4243" i="5"/>
  <c r="H4243" i="5"/>
  <c r="F4244" i="5"/>
  <c r="G4244" i="5"/>
  <c r="H4244" i="5"/>
  <c r="F4245" i="5"/>
  <c r="G4245" i="5"/>
  <c r="H4245" i="5"/>
  <c r="F4246" i="5"/>
  <c r="G4246" i="5"/>
  <c r="H4246" i="5"/>
  <c r="F4247" i="5"/>
  <c r="G4247" i="5"/>
  <c r="H4247" i="5"/>
  <c r="F4248" i="5"/>
  <c r="G4248" i="5"/>
  <c r="H4248" i="5"/>
  <c r="F4249" i="5"/>
  <c r="G4249" i="5"/>
  <c r="H4249" i="5"/>
  <c r="F4250" i="5"/>
  <c r="G4250" i="5"/>
  <c r="H4250" i="5"/>
  <c r="F4251" i="5"/>
  <c r="G4251" i="5"/>
  <c r="H4251" i="5"/>
  <c r="F4252" i="5"/>
  <c r="G4252" i="5"/>
  <c r="H4252" i="5"/>
  <c r="F4253" i="5"/>
  <c r="G4253" i="5"/>
  <c r="H4253" i="5"/>
  <c r="F4254" i="5"/>
  <c r="G4254" i="5"/>
  <c r="H4254" i="5"/>
  <c r="F4255" i="5"/>
  <c r="G4255" i="5"/>
  <c r="H4255" i="5"/>
  <c r="F4256" i="5"/>
  <c r="G4256" i="5"/>
  <c r="H4256" i="5"/>
  <c r="F4257" i="5"/>
  <c r="G4257" i="5"/>
  <c r="H4257" i="5"/>
  <c r="F4258" i="5"/>
  <c r="G4258" i="5"/>
  <c r="H4258" i="5"/>
  <c r="F4259" i="5"/>
  <c r="G4259" i="5"/>
  <c r="H4259" i="5"/>
  <c r="F4260" i="5"/>
  <c r="G4260" i="5"/>
  <c r="H4260" i="5"/>
  <c r="F4261" i="5"/>
  <c r="G4261" i="5"/>
  <c r="H4261" i="5"/>
  <c r="F4262" i="5"/>
  <c r="G4262" i="5"/>
  <c r="H4262" i="5"/>
  <c r="F4263" i="5"/>
  <c r="G4263" i="5"/>
  <c r="H4263" i="5"/>
  <c r="F4264" i="5"/>
  <c r="G4264" i="5"/>
  <c r="H4264" i="5"/>
  <c r="F4265" i="5"/>
  <c r="G4265" i="5"/>
  <c r="H4265" i="5"/>
  <c r="F4266" i="5"/>
  <c r="G4266" i="5"/>
  <c r="H4266" i="5"/>
  <c r="F4267" i="5"/>
  <c r="G4267" i="5"/>
  <c r="H4267" i="5"/>
  <c r="F4268" i="5"/>
  <c r="G4268" i="5"/>
  <c r="H4268" i="5"/>
  <c r="F4269" i="5"/>
  <c r="G4269" i="5"/>
  <c r="H4269" i="5"/>
  <c r="F4270" i="5"/>
  <c r="G4270" i="5"/>
  <c r="H4270" i="5"/>
  <c r="F4271" i="5"/>
  <c r="G4271" i="5"/>
  <c r="H4271" i="5"/>
  <c r="F4272" i="5"/>
  <c r="G4272" i="5"/>
  <c r="H4272" i="5"/>
  <c r="F4273" i="5"/>
  <c r="G4273" i="5"/>
  <c r="H4273" i="5"/>
  <c r="F4274" i="5"/>
  <c r="G4274" i="5"/>
  <c r="H4274" i="5"/>
  <c r="F4275" i="5"/>
  <c r="G4275" i="5"/>
  <c r="H4275" i="5"/>
  <c r="F4276" i="5"/>
  <c r="G4276" i="5"/>
  <c r="H4276" i="5"/>
  <c r="F4277" i="5"/>
  <c r="G4277" i="5"/>
  <c r="H4277" i="5"/>
  <c r="F4278" i="5"/>
  <c r="G4278" i="5"/>
  <c r="H4278" i="5"/>
  <c r="F4279" i="5"/>
  <c r="G4279" i="5"/>
  <c r="H4279" i="5"/>
  <c r="F4280" i="5"/>
  <c r="G4280" i="5"/>
  <c r="H4280" i="5"/>
  <c r="F4281" i="5"/>
  <c r="G4281" i="5"/>
  <c r="H4281" i="5"/>
  <c r="F4282" i="5"/>
  <c r="G4282" i="5"/>
  <c r="H4282" i="5"/>
  <c r="F4283" i="5"/>
  <c r="G4283" i="5"/>
  <c r="H4283" i="5"/>
  <c r="F4284" i="5"/>
  <c r="G4284" i="5"/>
  <c r="H4284" i="5"/>
  <c r="F4285" i="5"/>
  <c r="G4285" i="5"/>
  <c r="H4285" i="5"/>
  <c r="F4286" i="5"/>
  <c r="G4286" i="5"/>
  <c r="H4286" i="5"/>
  <c r="F4287" i="5"/>
  <c r="G4287" i="5"/>
  <c r="H4287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F1873" i="5"/>
  <c r="F1872" i="5"/>
  <c r="F1871" i="5"/>
  <c r="F1870" i="5"/>
  <c r="F1869" i="5"/>
  <c r="F1868" i="5"/>
  <c r="F1867" i="5"/>
  <c r="F1866" i="5"/>
  <c r="F1865" i="5"/>
  <c r="F1864" i="5"/>
  <c r="F1863" i="5"/>
  <c r="F1862" i="5"/>
  <c r="F1861" i="5"/>
  <c r="F1860" i="5"/>
  <c r="F1859" i="5"/>
  <c r="F1858" i="5"/>
  <c r="F1857" i="5"/>
  <c r="F1856" i="5"/>
  <c r="F1855" i="5"/>
  <c r="F1854" i="5"/>
  <c r="F1853" i="5"/>
  <c r="F1852" i="5"/>
  <c r="F1851" i="5"/>
  <c r="F1850" i="5"/>
  <c r="F1849" i="5"/>
  <c r="F1848" i="5"/>
  <c r="F1847" i="5"/>
  <c r="F1846" i="5"/>
  <c r="F1845" i="5"/>
  <c r="F1844" i="5"/>
  <c r="F1843" i="5"/>
  <c r="F1842" i="5"/>
  <c r="F1841" i="5"/>
  <c r="F1840" i="5"/>
  <c r="F1839" i="5"/>
  <c r="F1838" i="5"/>
  <c r="F1837" i="5"/>
  <c r="F1836" i="5"/>
  <c r="F1835" i="5"/>
  <c r="F1834" i="5"/>
  <c r="F1833" i="5"/>
  <c r="F1832" i="5"/>
  <c r="F1831" i="5"/>
  <c r="F1830" i="5"/>
  <c r="F1829" i="5"/>
  <c r="F1828" i="5"/>
  <c r="F1827" i="5"/>
  <c r="F1826" i="5"/>
  <c r="F1825" i="5"/>
  <c r="F1824" i="5"/>
  <c r="F1823" i="5"/>
  <c r="F1822" i="5"/>
  <c r="F1821" i="5"/>
  <c r="F1820" i="5"/>
  <c r="F1819" i="5"/>
  <c r="F1818" i="5"/>
  <c r="F1817" i="5"/>
  <c r="F1816" i="5"/>
  <c r="F1815" i="5"/>
  <c r="F1814" i="5"/>
  <c r="F1813" i="5"/>
  <c r="F1812" i="5"/>
  <c r="F1811" i="5"/>
  <c r="F1810" i="5"/>
  <c r="F1809" i="5"/>
  <c r="F1808" i="5"/>
  <c r="F1807" i="5"/>
  <c r="F1806" i="5"/>
  <c r="F1805" i="5"/>
  <c r="F1804" i="5"/>
  <c r="F1803" i="5"/>
  <c r="F1802" i="5"/>
  <c r="F1801" i="5"/>
  <c r="F1800" i="5"/>
  <c r="F1799" i="5"/>
  <c r="F1798" i="5"/>
  <c r="F1797" i="5"/>
  <c r="F1796" i="5"/>
  <c r="F1795" i="5"/>
  <c r="F1794" i="5"/>
  <c r="F1793" i="5"/>
  <c r="F1792" i="5"/>
  <c r="F1791" i="5"/>
  <c r="F1790" i="5"/>
  <c r="F1789" i="5"/>
  <c r="F1788" i="5"/>
  <c r="F1787" i="5"/>
  <c r="F1786" i="5"/>
  <c r="F1785" i="5"/>
  <c r="F1784" i="5"/>
  <c r="F1783" i="5"/>
  <c r="F1782" i="5"/>
  <c r="F1781" i="5"/>
  <c r="F1780" i="5"/>
  <c r="F1779" i="5"/>
  <c r="F1778" i="5"/>
  <c r="F1777" i="5"/>
  <c r="F1776" i="5"/>
  <c r="F1775" i="5"/>
  <c r="F1774" i="5"/>
  <c r="F1773" i="5"/>
  <c r="F1772" i="5"/>
  <c r="F1771" i="5"/>
  <c r="F1770" i="5"/>
  <c r="F1769" i="5"/>
  <c r="F1768" i="5"/>
  <c r="F1767" i="5"/>
  <c r="F1766" i="5"/>
  <c r="F1765" i="5"/>
  <c r="F1764" i="5"/>
  <c r="F1763" i="5"/>
  <c r="F1762" i="5"/>
  <c r="F1761" i="5"/>
  <c r="F1760" i="5"/>
  <c r="F1759" i="5"/>
  <c r="F1758" i="5"/>
  <c r="F1757" i="5"/>
  <c r="F1756" i="5"/>
  <c r="F1755" i="5"/>
  <c r="F1754" i="5"/>
  <c r="F1753" i="5"/>
  <c r="F1752" i="5"/>
  <c r="F1751" i="5"/>
  <c r="F1750" i="5"/>
  <c r="F1749" i="5"/>
  <c r="F1748" i="5"/>
  <c r="F1747" i="5"/>
  <c r="F1746" i="5"/>
  <c r="F1745" i="5"/>
  <c r="F1744" i="5"/>
  <c r="F1743" i="5"/>
  <c r="F1742" i="5"/>
  <c r="F1741" i="5"/>
  <c r="F1740" i="5"/>
  <c r="F1739" i="5"/>
  <c r="F1738" i="5"/>
  <c r="F1737" i="5"/>
  <c r="F1736" i="5"/>
  <c r="F1735" i="5"/>
  <c r="F1734" i="5"/>
  <c r="F1733" i="5"/>
  <c r="F1732" i="5"/>
  <c r="F1731" i="5"/>
  <c r="F1730" i="5"/>
  <c r="F1729" i="5"/>
  <c r="F1728" i="5"/>
  <c r="F1727" i="5"/>
  <c r="F1726" i="5"/>
  <c r="F1725" i="5"/>
  <c r="F1724" i="5"/>
  <c r="F1723" i="5"/>
  <c r="F1722" i="5"/>
  <c r="F1721" i="5"/>
  <c r="F1720" i="5"/>
  <c r="F1719" i="5"/>
  <c r="F1718" i="5"/>
  <c r="F1717" i="5"/>
  <c r="F1716" i="5"/>
  <c r="F1715" i="5"/>
  <c r="F1714" i="5"/>
  <c r="F1713" i="5"/>
  <c r="F1712" i="5"/>
  <c r="F1711" i="5"/>
  <c r="F1710" i="5"/>
  <c r="F1709" i="5"/>
  <c r="F1708" i="5"/>
  <c r="F1707" i="5"/>
  <c r="F1706" i="5"/>
  <c r="F1705" i="5"/>
  <c r="F1704" i="5"/>
  <c r="F1703" i="5"/>
  <c r="F1702" i="5"/>
  <c r="F1701" i="5"/>
  <c r="F1700" i="5"/>
  <c r="F1699" i="5"/>
  <c r="F1698" i="5"/>
  <c r="F1697" i="5"/>
  <c r="F1696" i="5"/>
  <c r="F1695" i="5"/>
  <c r="F1694" i="5"/>
  <c r="F1693" i="5"/>
  <c r="F1692" i="5"/>
  <c r="F1691" i="5"/>
  <c r="F1690" i="5"/>
  <c r="F1689" i="5"/>
  <c r="F1688" i="5"/>
  <c r="F1687" i="5"/>
  <c r="F1686" i="5"/>
  <c r="F1685" i="5"/>
  <c r="F1684" i="5"/>
  <c r="F1683" i="5"/>
  <c r="F1682" i="5"/>
  <c r="F1681" i="5"/>
  <c r="F1680" i="5"/>
  <c r="F1679" i="5"/>
  <c r="F1678" i="5"/>
  <c r="F1677" i="5"/>
  <c r="F1676" i="5"/>
  <c r="F1675" i="5"/>
  <c r="F1674" i="5"/>
  <c r="F1673" i="5"/>
  <c r="F1672" i="5"/>
  <c r="F1671" i="5"/>
  <c r="F1670" i="5"/>
  <c r="F1669" i="5"/>
  <c r="F1668" i="5"/>
  <c r="F1667" i="5"/>
  <c r="F1666" i="5"/>
  <c r="F1665" i="5"/>
  <c r="F1664" i="5"/>
  <c r="F1663" i="5"/>
  <c r="F1662" i="5"/>
  <c r="F1661" i="5"/>
  <c r="F1660" i="5"/>
  <c r="F1659" i="5"/>
  <c r="F1658" i="5"/>
  <c r="F1657" i="5"/>
  <c r="F1656" i="5"/>
  <c r="F1655" i="5"/>
  <c r="F1654" i="5"/>
  <c r="F1653" i="5"/>
  <c r="F1652" i="5"/>
  <c r="F1651" i="5"/>
  <c r="F1650" i="5"/>
  <c r="F1649" i="5"/>
  <c r="F1648" i="5"/>
  <c r="F1647" i="5"/>
  <c r="F1646" i="5"/>
  <c r="F1645" i="5"/>
  <c r="F1644" i="5"/>
  <c r="F1643" i="5"/>
  <c r="F1642" i="5"/>
  <c r="F1641" i="5"/>
  <c r="F1640" i="5"/>
  <c r="F1639" i="5"/>
  <c r="F1638" i="5"/>
  <c r="F1637" i="5"/>
  <c r="F1636" i="5"/>
  <c r="F1635" i="5"/>
  <c r="F1634" i="5"/>
  <c r="F1633" i="5"/>
  <c r="F1632" i="5"/>
  <c r="F1631" i="5"/>
  <c r="F1630" i="5"/>
  <c r="F1629" i="5"/>
  <c r="F1628" i="5"/>
  <c r="F1627" i="5"/>
  <c r="F1626" i="5"/>
  <c r="F1625" i="5"/>
  <c r="F1624" i="5"/>
  <c r="F1623" i="5"/>
  <c r="F1622" i="5"/>
  <c r="F1621" i="5"/>
  <c r="F1620" i="5"/>
  <c r="F1619" i="5"/>
  <c r="F1618" i="5"/>
  <c r="F1617" i="5"/>
  <c r="F1616" i="5"/>
  <c r="F1615" i="5"/>
  <c r="F1614" i="5"/>
  <c r="F1613" i="5"/>
  <c r="F1612" i="5"/>
  <c r="F1611" i="5"/>
  <c r="F1610" i="5"/>
  <c r="F1609" i="5"/>
  <c r="F1608" i="5"/>
  <c r="F1607" i="5"/>
  <c r="F1606" i="5"/>
  <c r="F1605" i="5"/>
  <c r="F1604" i="5"/>
  <c r="F1603" i="5"/>
  <c r="F1602" i="5"/>
  <c r="F1601" i="5"/>
  <c r="F1600" i="5"/>
  <c r="F1599" i="5"/>
  <c r="F1598" i="5"/>
  <c r="F1597" i="5"/>
  <c r="F1596" i="5"/>
  <c r="F1595" i="5"/>
  <c r="F1594" i="5"/>
  <c r="F1593" i="5"/>
  <c r="F1592" i="5"/>
  <c r="F1591" i="5"/>
  <c r="F1590" i="5"/>
  <c r="F1589" i="5"/>
  <c r="F1588" i="5"/>
  <c r="F1587" i="5"/>
  <c r="F1586" i="5"/>
  <c r="F1585" i="5"/>
  <c r="F1584" i="5"/>
  <c r="F1583" i="5"/>
  <c r="F1582" i="5"/>
  <c r="F1581" i="5"/>
  <c r="F1580" i="5"/>
  <c r="F1579" i="5"/>
  <c r="F1578" i="5"/>
  <c r="F1577" i="5"/>
  <c r="F1576" i="5"/>
  <c r="F1575" i="5"/>
  <c r="F1574" i="5"/>
  <c r="F1573" i="5"/>
  <c r="F1572" i="5"/>
  <c r="F1571" i="5"/>
  <c r="F1570" i="5"/>
  <c r="F1569" i="5"/>
  <c r="F1568" i="5"/>
  <c r="F1567" i="5"/>
  <c r="F1566" i="5"/>
  <c r="F1565" i="5"/>
  <c r="F1564" i="5"/>
  <c r="F1563" i="5"/>
  <c r="F1562" i="5"/>
  <c r="F1561" i="5"/>
  <c r="F1560" i="5"/>
  <c r="F1559" i="5"/>
  <c r="F1558" i="5"/>
  <c r="F1557" i="5"/>
  <c r="F1556" i="5"/>
  <c r="F1555" i="5"/>
  <c r="F1554" i="5"/>
  <c r="F1553" i="5"/>
  <c r="F1552" i="5"/>
  <c r="F1551" i="5"/>
  <c r="F1550" i="5"/>
  <c r="F1549" i="5"/>
  <c r="F1548" i="5"/>
  <c r="F1547" i="5"/>
  <c r="F1546" i="5"/>
  <c r="F1545" i="5"/>
  <c r="F1544" i="5"/>
  <c r="F1543" i="5"/>
  <c r="F1542" i="5"/>
  <c r="F1541" i="5"/>
  <c r="F1540" i="5"/>
  <c r="F1539" i="5"/>
  <c r="F1538" i="5"/>
  <c r="F1537" i="5"/>
  <c r="F1536" i="5"/>
  <c r="F1535" i="5"/>
  <c r="F1534" i="5"/>
  <c r="F1533" i="5"/>
  <c r="F1532" i="5"/>
  <c r="F1531" i="5"/>
  <c r="F1530" i="5"/>
  <c r="F1529" i="5"/>
  <c r="F1528" i="5"/>
  <c r="F1527" i="5"/>
  <c r="F1526" i="5"/>
  <c r="F1525" i="5"/>
  <c r="F1524" i="5"/>
  <c r="F1523" i="5"/>
  <c r="F1522" i="5"/>
  <c r="F1521" i="5"/>
  <c r="F1520" i="5"/>
  <c r="F1519" i="5"/>
  <c r="F1518" i="5"/>
  <c r="F1517" i="5"/>
  <c r="F1516" i="5"/>
  <c r="F1515" i="5"/>
  <c r="F1514" i="5"/>
  <c r="F1513" i="5"/>
  <c r="F1512" i="5"/>
  <c r="F1511" i="5"/>
  <c r="F1510" i="5"/>
  <c r="F1509" i="5"/>
  <c r="F1508" i="5"/>
  <c r="F1507" i="5"/>
  <c r="F1506" i="5"/>
  <c r="F1505" i="5"/>
  <c r="F1504" i="5"/>
  <c r="F1503" i="5"/>
  <c r="F1502" i="5"/>
  <c r="F1501" i="5"/>
  <c r="F1500" i="5"/>
  <c r="F1499" i="5"/>
  <c r="F1498" i="5"/>
  <c r="F1497" i="5"/>
  <c r="F1496" i="5"/>
  <c r="F1495" i="5"/>
  <c r="F1494" i="5"/>
  <c r="F1493" i="5"/>
  <c r="F1492" i="5"/>
  <c r="F1491" i="5"/>
  <c r="F1490" i="5"/>
  <c r="F1489" i="5"/>
  <c r="F1488" i="5"/>
  <c r="F1487" i="5"/>
  <c r="F1486" i="5"/>
  <c r="F1485" i="5"/>
  <c r="F1484" i="5"/>
  <c r="F1483" i="5"/>
  <c r="F1482" i="5"/>
  <c r="F1481" i="5"/>
  <c r="F1480" i="5"/>
  <c r="F1479" i="5"/>
  <c r="F1478" i="5"/>
  <c r="F1477" i="5"/>
  <c r="F1476" i="5"/>
  <c r="F1475" i="5"/>
  <c r="F1474" i="5"/>
  <c r="F1473" i="5"/>
  <c r="F1472" i="5"/>
  <c r="F1471" i="5"/>
  <c r="F1470" i="5"/>
  <c r="F1469" i="5"/>
  <c r="F1468" i="5"/>
  <c r="F1467" i="5"/>
  <c r="F1466" i="5"/>
  <c r="F1465" i="5"/>
  <c r="F1464" i="5"/>
  <c r="F1463" i="5"/>
  <c r="F1462" i="5"/>
  <c r="F1461" i="5"/>
  <c r="F1460" i="5"/>
  <c r="F1459" i="5"/>
  <c r="F1458" i="5"/>
  <c r="F1457" i="5"/>
  <c r="F1456" i="5"/>
  <c r="F1455" i="5"/>
  <c r="F1454" i="5"/>
  <c r="F1453" i="5"/>
  <c r="F1452" i="5"/>
  <c r="F1451" i="5"/>
  <c r="F1450" i="5"/>
  <c r="F1449" i="5"/>
  <c r="F1448" i="5"/>
  <c r="F1447" i="5"/>
  <c r="F1446" i="5"/>
  <c r="F1445" i="5"/>
  <c r="F1444" i="5"/>
  <c r="F1443" i="5"/>
  <c r="F1442" i="5"/>
  <c r="F1441" i="5"/>
  <c r="F1440" i="5"/>
  <c r="F1439" i="5"/>
  <c r="F1438" i="5"/>
  <c r="F1437" i="5"/>
  <c r="F1436" i="5"/>
  <c r="F1435" i="5"/>
  <c r="F1434" i="5"/>
  <c r="F1433" i="5"/>
  <c r="F1432" i="5"/>
  <c r="F1431" i="5"/>
  <c r="F1430" i="5"/>
  <c r="F1429" i="5"/>
  <c r="F1428" i="5"/>
  <c r="F1427" i="5"/>
  <c r="F1426" i="5"/>
  <c r="F1425" i="5"/>
  <c r="F1424" i="5"/>
  <c r="F1423" i="5"/>
  <c r="F1422" i="5"/>
  <c r="F1421" i="5"/>
  <c r="F1420" i="5"/>
  <c r="F1419" i="5"/>
  <c r="F1418" i="5"/>
  <c r="F1417" i="5"/>
  <c r="F1416" i="5"/>
  <c r="F1415" i="5"/>
  <c r="F1414" i="5"/>
  <c r="F1413" i="5"/>
  <c r="F1412" i="5"/>
  <c r="F1411" i="5"/>
  <c r="F1410" i="5"/>
  <c r="F1409" i="5"/>
  <c r="F1408" i="5"/>
  <c r="F1407" i="5"/>
  <c r="F1406" i="5"/>
  <c r="F1405" i="5"/>
  <c r="F1404" i="5"/>
  <c r="F1403" i="5"/>
  <c r="F1402" i="5"/>
  <c r="F1401" i="5"/>
  <c r="F1400" i="5"/>
  <c r="F1399" i="5"/>
  <c r="F1398" i="5"/>
  <c r="F1397" i="5"/>
  <c r="F1396" i="5"/>
  <c r="F1395" i="5"/>
  <c r="F1394" i="5"/>
  <c r="F1393" i="5"/>
  <c r="F1392" i="5"/>
  <c r="F1391" i="5"/>
  <c r="F1390" i="5"/>
  <c r="F1389" i="5"/>
  <c r="F1388" i="5"/>
  <c r="F1387" i="5"/>
  <c r="F1386" i="5"/>
  <c r="F1385" i="5"/>
  <c r="F1384" i="5"/>
  <c r="F1383" i="5"/>
  <c r="F1382" i="5"/>
  <c r="F1381" i="5"/>
  <c r="F1380" i="5"/>
  <c r="F1379" i="5"/>
  <c r="F1378" i="5"/>
  <c r="F1377" i="5"/>
  <c r="F1376" i="5"/>
  <c r="F1375" i="5"/>
  <c r="F1374" i="5"/>
  <c r="F1373" i="5"/>
  <c r="F1372" i="5"/>
  <c r="F1371" i="5"/>
  <c r="F1370" i="5"/>
  <c r="F1369" i="5"/>
  <c r="F1368" i="5"/>
  <c r="F1367" i="5"/>
  <c r="F1366" i="5"/>
  <c r="F1365" i="5"/>
  <c r="F1364" i="5"/>
  <c r="F1363" i="5"/>
  <c r="F1362" i="5"/>
  <c r="F1361" i="5"/>
  <c r="F1360" i="5"/>
  <c r="F1359" i="5"/>
  <c r="F1358" i="5"/>
  <c r="F1357" i="5"/>
  <c r="F1356" i="5"/>
  <c r="F1355" i="5"/>
  <c r="F1354" i="5"/>
  <c r="F1353" i="5"/>
  <c r="F1352" i="5"/>
  <c r="F1351" i="5"/>
  <c r="F1350" i="5"/>
  <c r="F1349" i="5"/>
  <c r="F1348" i="5"/>
  <c r="F1347" i="5"/>
  <c r="F1346" i="5"/>
  <c r="F1345" i="5"/>
  <c r="F1344" i="5"/>
  <c r="F1343" i="5"/>
  <c r="F1342" i="5"/>
  <c r="F1341" i="5"/>
  <c r="F1340" i="5"/>
  <c r="F1339" i="5"/>
  <c r="F1338" i="5"/>
  <c r="F1337" i="5"/>
  <c r="F1336" i="5"/>
  <c r="F1335" i="5"/>
  <c r="F1334" i="5"/>
  <c r="F1333" i="5"/>
  <c r="F1332" i="5"/>
  <c r="F1331" i="5"/>
  <c r="F1330" i="5"/>
  <c r="F1329" i="5"/>
  <c r="F1328" i="5"/>
  <c r="F1327" i="5"/>
  <c r="F1326" i="5"/>
  <c r="F1325" i="5"/>
  <c r="F1324" i="5"/>
  <c r="F1323" i="5"/>
  <c r="F1322" i="5"/>
  <c r="F1321" i="5"/>
  <c r="F1320" i="5"/>
  <c r="F1319" i="5"/>
  <c r="F1318" i="5"/>
  <c r="F1317" i="5"/>
  <c r="F1316" i="5"/>
  <c r="F1315" i="5"/>
  <c r="F1314" i="5"/>
  <c r="F1313" i="5"/>
  <c r="F1312" i="5"/>
  <c r="F1311" i="5"/>
  <c r="F1310" i="5"/>
  <c r="F1309" i="5"/>
  <c r="F1308" i="5"/>
  <c r="F1307" i="5"/>
  <c r="F1306" i="5"/>
  <c r="F1305" i="5"/>
  <c r="F1304" i="5"/>
  <c r="F1303" i="5"/>
  <c r="F1302" i="5"/>
  <c r="F1301" i="5"/>
  <c r="F1300" i="5"/>
  <c r="F1299" i="5"/>
  <c r="F1298" i="5"/>
  <c r="F1297" i="5"/>
  <c r="F1296" i="5"/>
  <c r="F1295" i="5"/>
  <c r="F1294" i="5"/>
  <c r="F1293" i="5"/>
  <c r="F1292" i="5"/>
  <c r="F1291" i="5"/>
  <c r="F1290" i="5"/>
  <c r="F1289" i="5"/>
  <c r="F1288" i="5"/>
  <c r="F1287" i="5"/>
  <c r="F1286" i="5"/>
  <c r="F1285" i="5"/>
  <c r="F1284" i="5"/>
  <c r="F1283" i="5"/>
  <c r="F1282" i="5"/>
  <c r="F1281" i="5"/>
  <c r="F1280" i="5"/>
  <c r="F1279" i="5"/>
  <c r="F1278" i="5"/>
  <c r="F1277" i="5"/>
  <c r="F1276" i="5"/>
  <c r="F1275" i="5"/>
  <c r="F1274" i="5"/>
  <c r="F1273" i="5"/>
  <c r="F1272" i="5"/>
  <c r="F1271" i="5"/>
  <c r="F1270" i="5"/>
  <c r="F1269" i="5"/>
  <c r="F1268" i="5"/>
  <c r="F1267" i="5"/>
  <c r="F1266" i="5"/>
  <c r="F1265" i="5"/>
  <c r="F1264" i="5"/>
  <c r="F1263" i="5"/>
  <c r="F1262" i="5"/>
  <c r="F1261" i="5"/>
  <c r="F1260" i="5"/>
  <c r="F1259" i="5"/>
  <c r="F1258" i="5"/>
  <c r="F1257" i="5"/>
  <c r="F1256" i="5"/>
  <c r="F1255" i="5"/>
  <c r="F1254" i="5"/>
  <c r="F1253" i="5"/>
  <c r="F1252" i="5"/>
  <c r="F1251" i="5"/>
  <c r="F1250" i="5"/>
  <c r="F1249" i="5"/>
  <c r="F1248" i="5"/>
  <c r="F1247" i="5"/>
  <c r="F1246" i="5"/>
  <c r="F1245" i="5"/>
  <c r="F1244" i="5"/>
  <c r="F1243" i="5"/>
  <c r="F1242" i="5"/>
  <c r="F1241" i="5"/>
  <c r="F1240" i="5"/>
  <c r="F1239" i="5"/>
  <c r="F1238" i="5"/>
  <c r="F1237" i="5"/>
  <c r="F1236" i="5"/>
  <c r="F1235" i="5"/>
  <c r="F1234" i="5"/>
  <c r="F1233" i="5"/>
  <c r="F1232" i="5"/>
  <c r="F1231" i="5"/>
  <c r="F1230" i="5"/>
  <c r="F1229" i="5"/>
  <c r="F1228" i="5"/>
  <c r="F1227" i="5"/>
  <c r="F1226" i="5"/>
  <c r="F1225" i="5"/>
  <c r="F1224" i="5"/>
  <c r="F1223" i="5"/>
  <c r="F1222" i="5"/>
  <c r="F1221" i="5"/>
  <c r="F1220" i="5"/>
  <c r="F1219" i="5"/>
  <c r="F1218" i="5"/>
  <c r="F1217" i="5"/>
  <c r="F1216" i="5"/>
  <c r="F1215" i="5"/>
  <c r="F1214" i="5"/>
  <c r="F1213" i="5"/>
  <c r="F1212" i="5"/>
  <c r="F1211" i="5"/>
  <c r="F1210" i="5"/>
  <c r="F1209" i="5"/>
  <c r="F1208" i="5"/>
  <c r="F1207" i="5"/>
  <c r="F1206" i="5"/>
  <c r="F1205" i="5"/>
  <c r="F1204" i="5"/>
  <c r="F1203" i="5"/>
  <c r="F1202" i="5"/>
  <c r="F1201" i="5"/>
  <c r="F1200" i="5"/>
  <c r="F1199" i="5"/>
  <c r="F1198" i="5"/>
  <c r="F1197" i="5"/>
  <c r="F1196" i="5"/>
  <c r="F1195" i="5"/>
  <c r="F1194" i="5"/>
  <c r="F1193" i="5"/>
  <c r="F1192" i="5"/>
  <c r="F1191" i="5"/>
  <c r="F1190" i="5"/>
  <c r="F1189" i="5"/>
  <c r="F1188" i="5"/>
  <c r="F1187" i="5"/>
  <c r="F1186" i="5"/>
  <c r="F1185" i="5"/>
  <c r="F1184" i="5"/>
  <c r="F1183" i="5"/>
  <c r="F1182" i="5"/>
  <c r="F1181" i="5"/>
  <c r="F1180" i="5"/>
  <c r="F1179" i="5"/>
  <c r="F1178" i="5"/>
  <c r="F1177" i="5"/>
  <c r="F1176" i="5"/>
  <c r="F1175" i="5"/>
  <c r="F1174" i="5"/>
  <c r="F1173" i="5"/>
  <c r="F1172" i="5"/>
  <c r="F1171" i="5"/>
  <c r="F1170" i="5"/>
  <c r="F1169" i="5"/>
  <c r="F1168" i="5"/>
  <c r="F1167" i="5"/>
  <c r="F1166" i="5"/>
  <c r="F1165" i="5"/>
  <c r="F1164" i="5"/>
  <c r="F1163" i="5"/>
  <c r="F1162" i="5"/>
  <c r="F1161" i="5"/>
  <c r="F1160" i="5"/>
  <c r="F1159" i="5"/>
  <c r="F1158" i="5"/>
  <c r="F1157" i="5"/>
  <c r="F1156" i="5"/>
  <c r="F1155" i="5"/>
  <c r="F1154" i="5"/>
  <c r="F1153" i="5"/>
  <c r="F1152" i="5"/>
  <c r="F1151" i="5"/>
  <c r="F1150" i="5"/>
  <c r="F1149" i="5"/>
  <c r="F1148" i="5"/>
  <c r="F1147" i="5"/>
  <c r="F1146" i="5"/>
  <c r="F1145" i="5"/>
  <c r="F1144" i="5"/>
  <c r="F1143" i="5"/>
  <c r="F1142" i="5"/>
  <c r="F1141" i="5"/>
  <c r="F1140" i="5"/>
  <c r="F1139" i="5"/>
  <c r="F1138" i="5"/>
  <c r="F1137" i="5"/>
  <c r="F1136" i="5"/>
  <c r="F1135" i="5"/>
  <c r="F1134" i="5"/>
  <c r="F1133" i="5"/>
  <c r="F1132" i="5"/>
  <c r="F1131" i="5"/>
  <c r="F1130" i="5"/>
  <c r="F1129" i="5"/>
  <c r="F1128" i="5"/>
  <c r="F1127" i="5"/>
  <c r="F1126" i="5"/>
  <c r="F1125" i="5"/>
  <c r="F1124" i="5"/>
  <c r="F1123" i="5"/>
  <c r="F1122" i="5"/>
  <c r="F1121" i="5"/>
  <c r="F1120" i="5"/>
  <c r="F1119" i="5"/>
  <c r="F1118" i="5"/>
  <c r="F1117" i="5"/>
  <c r="F1116" i="5"/>
  <c r="F1115" i="5"/>
  <c r="F1114" i="5"/>
  <c r="F1113" i="5"/>
  <c r="F1112" i="5"/>
  <c r="F1111" i="5"/>
  <c r="F1110" i="5"/>
  <c r="F1109" i="5"/>
  <c r="F1108" i="5"/>
  <c r="F1107" i="5"/>
  <c r="F1106" i="5"/>
  <c r="F1105" i="5"/>
  <c r="F1104" i="5"/>
  <c r="F1103" i="5"/>
  <c r="F1102" i="5"/>
  <c r="F1101" i="5"/>
  <c r="F1100" i="5"/>
  <c r="F1099" i="5"/>
  <c r="F1098" i="5"/>
  <c r="F1097" i="5"/>
  <c r="F1096" i="5"/>
  <c r="F1095" i="5"/>
  <c r="F1094" i="5"/>
  <c r="F1093" i="5"/>
  <c r="F1092" i="5"/>
  <c r="F1091" i="5"/>
  <c r="F1090" i="5"/>
  <c r="F1089" i="5"/>
  <c r="F1088" i="5"/>
  <c r="F1087" i="5"/>
  <c r="F1086" i="5"/>
  <c r="F1085" i="5"/>
  <c r="F1084" i="5"/>
  <c r="F1083" i="5"/>
  <c r="F1082" i="5"/>
  <c r="F1081" i="5"/>
  <c r="F1080" i="5"/>
  <c r="F1079" i="5"/>
  <c r="F1078" i="5"/>
  <c r="F1077" i="5"/>
  <c r="F1076" i="5"/>
  <c r="F1075" i="5"/>
  <c r="F1074" i="5"/>
  <c r="F1073" i="5"/>
  <c r="F1072" i="5"/>
  <c r="F1071" i="5"/>
  <c r="F1070" i="5"/>
  <c r="F1069" i="5"/>
  <c r="F1068" i="5"/>
  <c r="F1067" i="5"/>
  <c r="F1066" i="5"/>
  <c r="F1065" i="5"/>
  <c r="F1064" i="5"/>
  <c r="F1063" i="5"/>
  <c r="F1062" i="5"/>
  <c r="F1061" i="5"/>
  <c r="F1060" i="5"/>
  <c r="F1059" i="5"/>
  <c r="F1058" i="5"/>
  <c r="F1057" i="5"/>
  <c r="F1056" i="5"/>
  <c r="F1055" i="5"/>
  <c r="F1054" i="5"/>
  <c r="F1053" i="5"/>
  <c r="F1052" i="5"/>
  <c r="F1051" i="5"/>
  <c r="F1050" i="5"/>
  <c r="F1049" i="5"/>
  <c r="F1048" i="5"/>
  <c r="F1047" i="5"/>
  <c r="F1046" i="5"/>
  <c r="F1045" i="5"/>
  <c r="F1044" i="5"/>
  <c r="F1043" i="5"/>
  <c r="F1042" i="5"/>
  <c r="F1041" i="5"/>
  <c r="F1040" i="5"/>
  <c r="F1039" i="5"/>
  <c r="F1038" i="5"/>
  <c r="F1037" i="5"/>
  <c r="F1036" i="5"/>
  <c r="F1035" i="5"/>
  <c r="F1034" i="5"/>
  <c r="F1033" i="5"/>
  <c r="F1032" i="5"/>
  <c r="F1031" i="5"/>
  <c r="F1030" i="5"/>
  <c r="F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9" i="5"/>
  <c r="F1008" i="5"/>
  <c r="F1007" i="5"/>
  <c r="F1006" i="5"/>
  <c r="F1005" i="5"/>
  <c r="F1004" i="5"/>
  <c r="F1003" i="5"/>
  <c r="F1002" i="5"/>
  <c r="F1001" i="5"/>
  <c r="F1000" i="5"/>
  <c r="F999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H3" i="5"/>
  <c r="G3" i="5"/>
  <c r="F3" i="5"/>
  <c r="I4303" i="5" l="1"/>
  <c r="I4295" i="5"/>
  <c r="I4291" i="5"/>
  <c r="I4298" i="5"/>
  <c r="I4294" i="5"/>
  <c r="I4290" i="5"/>
  <c r="I4301" i="5"/>
  <c r="I4297" i="5"/>
  <c r="I4293" i="5"/>
  <c r="I4289" i="5"/>
  <c r="I4300" i="5"/>
  <c r="I4292" i="5"/>
  <c r="I4296" i="5"/>
  <c r="I4288" i="5"/>
  <c r="I4299" i="5"/>
  <c r="I4302" i="5"/>
  <c r="I3991" i="5"/>
  <c r="I3951" i="5"/>
  <c r="I3575" i="5"/>
  <c r="I1877" i="5"/>
  <c r="I3564" i="5"/>
  <c r="I3121" i="5"/>
  <c r="I2122" i="5"/>
  <c r="I2723" i="5"/>
  <c r="I2691" i="5"/>
  <c r="I2683" i="5"/>
  <c r="I2059" i="5"/>
  <c r="I2678" i="5"/>
  <c r="I2670" i="5"/>
  <c r="I2622" i="5"/>
  <c r="I2198" i="5"/>
  <c r="I2182" i="5"/>
  <c r="I2174" i="5"/>
  <c r="I2166" i="5"/>
  <c r="I2158" i="5"/>
  <c r="I2150" i="5"/>
  <c r="I2112" i="5"/>
  <c r="I2072" i="5"/>
  <c r="I2583" i="5"/>
  <c r="I4233" i="5"/>
  <c r="I4225" i="5"/>
  <c r="I4169" i="5"/>
  <c r="I4145" i="5"/>
  <c r="I3425" i="5"/>
  <c r="I3086" i="5"/>
  <c r="I2761" i="5"/>
  <c r="I3568" i="5"/>
  <c r="I3504" i="5"/>
  <c r="I3501" i="5"/>
  <c r="I3496" i="5"/>
  <c r="I2792" i="5"/>
  <c r="I2784" i="5"/>
  <c r="I3357" i="5"/>
  <c r="I3277" i="5"/>
  <c r="I3189" i="5"/>
  <c r="I3181" i="5"/>
  <c r="I3141" i="5"/>
  <c r="I2568" i="5"/>
  <c r="I2528" i="5"/>
  <c r="I2277" i="5"/>
  <c r="I4122" i="5"/>
  <c r="I3906" i="5"/>
  <c r="I3850" i="5"/>
  <c r="I3802" i="5"/>
  <c r="I3786" i="5"/>
  <c r="I3319" i="5"/>
  <c r="I3074" i="5"/>
  <c r="I3066" i="5"/>
  <c r="I3050" i="5"/>
  <c r="I3015" i="5"/>
  <c r="I2919" i="5"/>
  <c r="I2890" i="5"/>
  <c r="I2887" i="5"/>
  <c r="I2882" i="5"/>
  <c r="I1949" i="5"/>
  <c r="I1901" i="5"/>
  <c r="I1893" i="5"/>
  <c r="I2721" i="5"/>
  <c r="I2543" i="5"/>
  <c r="I2439" i="5"/>
  <c r="I2431" i="5"/>
  <c r="I2415" i="5"/>
  <c r="I2407" i="5"/>
  <c r="I2255" i="5"/>
  <c r="I1938" i="5"/>
  <c r="I1930" i="5"/>
  <c r="I1914" i="5"/>
  <c r="I3652" i="5"/>
  <c r="I3636" i="5"/>
  <c r="I3588" i="5"/>
  <c r="I3580" i="5"/>
  <c r="I3556" i="5"/>
  <c r="I3553" i="5"/>
  <c r="I3548" i="5"/>
  <c r="I3532" i="5"/>
  <c r="I3484" i="5"/>
  <c r="I3476" i="5"/>
  <c r="I3460" i="5"/>
  <c r="I2893" i="5"/>
  <c r="I2845" i="5"/>
  <c r="I2807" i="5"/>
  <c r="I2751" i="5"/>
  <c r="I2743" i="5"/>
  <c r="I2012" i="5"/>
  <c r="I1889" i="5"/>
  <c r="I1876" i="5"/>
  <c r="I4246" i="5"/>
  <c r="I4160" i="5"/>
  <c r="I4155" i="5"/>
  <c r="I4110" i="5"/>
  <c r="I3899" i="5"/>
  <c r="I3838" i="5"/>
  <c r="I3822" i="5"/>
  <c r="I3726" i="5"/>
  <c r="I3390" i="5"/>
  <c r="I3345" i="5"/>
  <c r="I3337" i="5"/>
  <c r="I3273" i="5"/>
  <c r="I3265" i="5"/>
  <c r="I3257" i="5"/>
  <c r="I3249" i="5"/>
  <c r="I3243" i="5"/>
  <c r="I3241" i="5"/>
  <c r="I3155" i="5"/>
  <c r="I3147" i="5"/>
  <c r="I3100" i="5"/>
  <c r="I3084" i="5"/>
  <c r="I3076" i="5"/>
  <c r="I2631" i="5"/>
  <c r="I4280" i="5"/>
  <c r="I4267" i="5"/>
  <c r="I4251" i="5"/>
  <c r="I4008" i="5"/>
  <c r="I3939" i="5"/>
  <c r="I3912" i="5"/>
  <c r="I3904" i="5"/>
  <c r="I3707" i="5"/>
  <c r="I3563" i="5"/>
  <c r="I3451" i="5"/>
  <c r="I3302" i="5"/>
  <c r="I3299" i="5"/>
  <c r="I2679" i="5"/>
  <c r="I2647" i="5"/>
  <c r="I2204" i="5"/>
  <c r="I2199" i="5"/>
  <c r="I2024" i="5"/>
  <c r="I1987" i="5"/>
  <c r="I1955" i="5"/>
  <c r="I1926" i="5"/>
  <c r="I1878" i="5"/>
  <c r="I3386" i="5"/>
  <c r="I3333" i="5"/>
  <c r="I2763" i="5"/>
  <c r="I2209" i="5"/>
  <c r="I3813" i="5"/>
  <c r="I3757" i="5"/>
  <c r="I3144" i="5"/>
  <c r="I3014" i="5"/>
  <c r="I3003" i="5"/>
  <c r="I2990" i="5"/>
  <c r="I2982" i="5"/>
  <c r="I2974" i="5"/>
  <c r="I2971" i="5"/>
  <c r="I2963" i="5"/>
  <c r="I2939" i="5"/>
  <c r="I2918" i="5"/>
  <c r="I2910" i="5"/>
  <c r="I2902" i="5"/>
  <c r="I2899" i="5"/>
  <c r="I2641" i="5"/>
  <c r="I2595" i="5"/>
  <c r="I2556" i="5"/>
  <c r="I2484" i="5"/>
  <c r="I2465" i="5"/>
  <c r="I2361" i="5"/>
  <c r="I2348" i="5"/>
  <c r="I2337" i="5"/>
  <c r="I2276" i="5"/>
  <c r="I2265" i="5"/>
  <c r="I4143" i="5"/>
  <c r="I4127" i="5"/>
  <c r="I4119" i="5"/>
  <c r="I3900" i="5"/>
  <c r="I3298" i="5"/>
  <c r="I3279" i="5"/>
  <c r="I3130" i="5"/>
  <c r="I3127" i="5"/>
  <c r="I2619" i="5"/>
  <c r="I3393" i="5"/>
  <c r="I4205" i="5"/>
  <c r="I4141" i="5"/>
  <c r="I4125" i="5"/>
  <c r="I4117" i="5"/>
  <c r="I4088" i="5"/>
  <c r="I4080" i="5"/>
  <c r="I4064" i="5"/>
  <c r="I4056" i="5"/>
  <c r="I4041" i="5"/>
  <c r="I4033" i="5"/>
  <c r="I4006" i="5"/>
  <c r="I3910" i="5"/>
  <c r="I3905" i="5"/>
  <c r="I3902" i="5"/>
  <c r="I3774" i="5"/>
  <c r="I3756" i="5"/>
  <c r="I3750" i="5"/>
  <c r="I3630" i="5"/>
  <c r="I3576" i="5"/>
  <c r="I3482" i="5"/>
  <c r="I3447" i="5"/>
  <c r="I3413" i="5"/>
  <c r="I3405" i="5"/>
  <c r="I3344" i="5"/>
  <c r="I3336" i="5"/>
  <c r="I3244" i="5"/>
  <c r="I3215" i="5"/>
  <c r="I3212" i="5"/>
  <c r="I3191" i="5"/>
  <c r="I2961" i="5"/>
  <c r="I2937" i="5"/>
  <c r="I2865" i="5"/>
  <c r="I2852" i="5"/>
  <c r="I2828" i="5"/>
  <c r="I2820" i="5"/>
  <c r="I2799" i="5"/>
  <c r="I2727" i="5"/>
  <c r="I2722" i="5"/>
  <c r="I2698" i="5"/>
  <c r="I2613" i="5"/>
  <c r="I2539" i="5"/>
  <c r="I2518" i="5"/>
  <c r="I2462" i="5"/>
  <c r="I2454" i="5"/>
  <c r="I2387" i="5"/>
  <c r="I2379" i="5"/>
  <c r="I2360" i="5"/>
  <c r="I2126" i="5"/>
  <c r="I2116" i="5"/>
  <c r="I2111" i="5"/>
  <c r="I2063" i="5"/>
  <c r="I2058" i="5"/>
  <c r="I4278" i="5"/>
  <c r="I4226" i="5"/>
  <c r="I4157" i="5"/>
  <c r="I4109" i="5"/>
  <c r="I4019" i="5"/>
  <c r="I4014" i="5"/>
  <c r="I3995" i="5"/>
  <c r="I3990" i="5"/>
  <c r="I3886" i="5"/>
  <c r="I3878" i="5"/>
  <c r="I3801" i="5"/>
  <c r="I3793" i="5"/>
  <c r="I3686" i="5"/>
  <c r="I3675" i="5"/>
  <c r="I3603" i="5"/>
  <c r="I3595" i="5"/>
  <c r="I3584" i="5"/>
  <c r="I3487" i="5"/>
  <c r="I3439" i="5"/>
  <c r="I3433" i="5"/>
  <c r="I3142" i="5"/>
  <c r="I3104" i="5"/>
  <c r="I3038" i="5"/>
  <c r="I2891" i="5"/>
  <c r="I2711" i="5"/>
  <c r="I2703" i="5"/>
  <c r="I2547" i="5"/>
  <c r="I2512" i="5"/>
  <c r="I2440" i="5"/>
  <c r="I2435" i="5"/>
  <c r="I2419" i="5"/>
  <c r="I2256" i="5"/>
  <c r="I2168" i="5"/>
  <c r="I2152" i="5"/>
  <c r="I2144" i="5"/>
  <c r="I1991" i="5"/>
  <c r="I1978" i="5"/>
  <c r="I1932" i="5"/>
  <c r="I1908" i="5"/>
  <c r="I1894" i="5"/>
  <c r="I1902" i="5"/>
  <c r="I4241" i="5"/>
  <c r="I4175" i="5"/>
  <c r="I4151" i="5"/>
  <c r="I4087" i="5"/>
  <c r="I4079" i="5"/>
  <c r="I4040" i="5"/>
  <c r="I4032" i="5"/>
  <c r="I3861" i="5"/>
  <c r="I3763" i="5"/>
  <c r="I3747" i="5"/>
  <c r="I3736" i="5"/>
  <c r="I3650" i="5"/>
  <c r="I3634" i="5"/>
  <c r="I3505" i="5"/>
  <c r="I3489" i="5"/>
  <c r="I3412" i="5"/>
  <c r="I3398" i="5"/>
  <c r="I3286" i="5"/>
  <c r="I3275" i="5"/>
  <c r="I3238" i="5"/>
  <c r="I3214" i="5"/>
  <c r="I3206" i="5"/>
  <c r="I3098" i="5"/>
  <c r="I2867" i="5"/>
  <c r="I2843" i="5"/>
  <c r="I2835" i="5"/>
  <c r="I2819" i="5"/>
  <c r="I2811" i="5"/>
  <c r="I2806" i="5"/>
  <c r="I2699" i="5"/>
  <c r="I2615" i="5"/>
  <c r="I2607" i="5"/>
  <c r="I2511" i="5"/>
  <c r="I2253" i="5"/>
  <c r="I4196" i="5"/>
  <c r="I4185" i="5"/>
  <c r="I4177" i="5"/>
  <c r="I4156" i="5"/>
  <c r="I4140" i="5"/>
  <c r="I3888" i="5"/>
  <c r="I3792" i="5"/>
  <c r="I3687" i="5"/>
  <c r="I3594" i="5"/>
  <c r="I3570" i="5"/>
  <c r="I3562" i="5"/>
  <c r="I3542" i="5"/>
  <c r="I3531" i="5"/>
  <c r="I3507" i="5"/>
  <c r="I3382" i="5"/>
  <c r="I3361" i="5"/>
  <c r="I3332" i="5"/>
  <c r="I3318" i="5"/>
  <c r="I3316" i="5"/>
  <c r="I3296" i="5"/>
  <c r="I3227" i="5"/>
  <c r="I3131" i="5"/>
  <c r="I3128" i="5"/>
  <c r="I3120" i="5"/>
  <c r="I3112" i="5"/>
  <c r="I3109" i="5"/>
  <c r="I3037" i="5"/>
  <c r="I3029" i="5"/>
  <c r="I3026" i="5"/>
  <c r="I3023" i="5"/>
  <c r="I3021" i="5"/>
  <c r="I2978" i="5"/>
  <c r="I2928" i="5"/>
  <c r="I2888" i="5"/>
  <c r="I2880" i="5"/>
  <c r="I2625" i="5"/>
  <c r="I2551" i="5"/>
  <c r="I2538" i="5"/>
  <c r="I2530" i="5"/>
  <c r="I2391" i="5"/>
  <c r="I2362" i="5"/>
  <c r="I2338" i="5"/>
  <c r="I2274" i="5"/>
  <c r="I2266" i="5"/>
  <c r="I2127" i="5"/>
  <c r="I1939" i="5"/>
  <c r="I1888" i="5"/>
  <c r="I4279" i="5"/>
  <c r="I4214" i="5"/>
  <c r="I4067" i="5"/>
  <c r="I4031" i="5"/>
  <c r="I3911" i="5"/>
  <c r="I3898" i="5"/>
  <c r="I3890" i="5"/>
  <c r="I3738" i="5"/>
  <c r="I3695" i="5"/>
  <c r="I3612" i="5"/>
  <c r="I3572" i="5"/>
  <c r="I3485" i="5"/>
  <c r="I3461" i="5"/>
  <c r="I3387" i="5"/>
  <c r="I3334" i="5"/>
  <c r="I3274" i="5"/>
  <c r="I3039" i="5"/>
  <c r="I2975" i="5"/>
  <c r="I2951" i="5"/>
  <c r="I2839" i="5"/>
  <c r="I2805" i="5"/>
  <c r="I2757" i="5"/>
  <c r="I2452" i="5"/>
  <c r="I2428" i="5"/>
  <c r="I1969" i="5"/>
  <c r="I2101" i="5"/>
  <c r="I2000" i="5"/>
  <c r="I4249" i="5"/>
  <c r="I4227" i="5"/>
  <c r="I4115" i="5"/>
  <c r="I4091" i="5"/>
  <c r="I3996" i="5"/>
  <c r="I3948" i="5"/>
  <c r="I3879" i="5"/>
  <c r="I3844" i="5"/>
  <c r="I3807" i="5"/>
  <c r="I3716" i="5"/>
  <c r="I3673" i="5"/>
  <c r="I3660" i="5"/>
  <c r="I3541" i="5"/>
  <c r="I3533" i="5"/>
  <c r="I3509" i="5"/>
  <c r="I3445" i="5"/>
  <c r="I3429" i="5"/>
  <c r="I3421" i="5"/>
  <c r="I3323" i="5"/>
  <c r="I3290" i="5"/>
  <c r="I3178" i="5"/>
  <c r="I3167" i="5"/>
  <c r="I3162" i="5"/>
  <c r="I3154" i="5"/>
  <c r="I3146" i="5"/>
  <c r="I2924" i="5"/>
  <c r="I2911" i="5"/>
  <c r="I2903" i="5"/>
  <c r="I2895" i="5"/>
  <c r="I2791" i="5"/>
  <c r="I2767" i="5"/>
  <c r="I2759" i="5"/>
  <c r="I2664" i="5"/>
  <c r="I2661" i="5"/>
  <c r="I2188" i="5"/>
  <c r="I2169" i="5"/>
  <c r="I2140" i="5"/>
  <c r="I2132" i="5"/>
  <c r="I1911" i="5"/>
  <c r="I4268" i="5"/>
  <c r="I4266" i="5"/>
  <c r="I4244" i="5"/>
  <c r="I4181" i="5"/>
  <c r="I4173" i="5"/>
  <c r="I4100" i="5"/>
  <c r="I4092" i="5"/>
  <c r="I3907" i="5"/>
  <c r="I3894" i="5"/>
  <c r="I3881" i="5"/>
  <c r="I4281" i="5"/>
  <c r="I4276" i="5"/>
  <c r="I4255" i="5"/>
  <c r="I4250" i="5"/>
  <c r="I4217" i="5"/>
  <c r="I4202" i="5"/>
  <c r="I4026" i="5"/>
  <c r="I3992" i="5"/>
  <c r="I3960" i="5"/>
  <c r="I4260" i="5"/>
  <c r="I4107" i="5"/>
  <c r="I4070" i="5"/>
  <c r="I4039" i="5"/>
  <c r="I4036" i="5"/>
  <c r="I4020" i="5"/>
  <c r="I4015" i="5"/>
  <c r="I4012" i="5"/>
  <c r="I4007" i="5"/>
  <c r="I3997" i="5"/>
  <c r="I3933" i="5"/>
  <c r="I4275" i="5"/>
  <c r="I4259" i="5"/>
  <c r="I4240" i="5"/>
  <c r="I4235" i="5"/>
  <c r="I4211" i="5"/>
  <c r="I4193" i="5"/>
  <c r="I4133" i="5"/>
  <c r="I4112" i="5"/>
  <c r="I3988" i="5"/>
  <c r="I3924" i="5"/>
  <c r="I4287" i="5"/>
  <c r="I4103" i="5"/>
  <c r="I4055" i="5"/>
  <c r="I3972" i="5"/>
  <c r="I3730" i="5"/>
  <c r="I4232" i="5"/>
  <c r="I4221" i="5"/>
  <c r="I4203" i="5"/>
  <c r="I4163" i="5"/>
  <c r="I4135" i="5"/>
  <c r="I4106" i="5"/>
  <c r="I4027" i="5"/>
  <c r="I4024" i="5"/>
  <c r="I3982" i="5"/>
  <c r="I3977" i="5"/>
  <c r="I3974" i="5"/>
  <c r="I3847" i="5"/>
  <c r="I3823" i="5"/>
  <c r="I2627" i="5"/>
  <c r="I3936" i="5"/>
  <c r="I3853" i="5"/>
  <c r="I3840" i="5"/>
  <c r="I3832" i="5"/>
  <c r="I3816" i="5"/>
  <c r="I3810" i="5"/>
  <c r="I3800" i="5"/>
  <c r="I3787" i="5"/>
  <c r="I3776" i="5"/>
  <c r="I3766" i="5"/>
  <c r="I3742" i="5"/>
  <c r="I3729" i="5"/>
  <c r="I3718" i="5"/>
  <c r="I3713" i="5"/>
  <c r="I3671" i="5"/>
  <c r="I3663" i="5"/>
  <c r="I3647" i="5"/>
  <c r="I3644" i="5"/>
  <c r="I3628" i="5"/>
  <c r="I3589" i="5"/>
  <c r="I3578" i="5"/>
  <c r="I3571" i="5"/>
  <c r="I3558" i="5"/>
  <c r="I3545" i="5"/>
  <c r="I3503" i="5"/>
  <c r="I3477" i="5"/>
  <c r="I3437" i="5"/>
  <c r="I3411" i="5"/>
  <c r="I3385" i="5"/>
  <c r="I3369" i="5"/>
  <c r="I3343" i="5"/>
  <c r="I3310" i="5"/>
  <c r="I3239" i="5"/>
  <c r="I3237" i="5"/>
  <c r="I3223" i="5"/>
  <c r="I3221" i="5"/>
  <c r="I3202" i="5"/>
  <c r="I3200" i="5"/>
  <c r="I3192" i="5"/>
  <c r="I3176" i="5"/>
  <c r="I2905" i="5"/>
  <c r="I2889" i="5"/>
  <c r="I2847" i="5"/>
  <c r="I2831" i="5"/>
  <c r="I2802" i="5"/>
  <c r="I2794" i="5"/>
  <c r="I2770" i="5"/>
  <c r="I2741" i="5"/>
  <c r="I2390" i="5"/>
  <c r="I2382" i="5"/>
  <c r="I3604" i="5"/>
  <c r="I3350" i="5"/>
  <c r="I3291" i="5"/>
  <c r="I3183" i="5"/>
  <c r="I2944" i="5"/>
  <c r="I2493" i="5"/>
  <c r="I4075" i="5"/>
  <c r="I4052" i="5"/>
  <c r="I4044" i="5"/>
  <c r="I4028" i="5"/>
  <c r="I3983" i="5"/>
  <c r="I3978" i="5"/>
  <c r="I3970" i="5"/>
  <c r="I3962" i="5"/>
  <c r="I3918" i="5"/>
  <c r="I3876" i="5"/>
  <c r="I3860" i="5"/>
  <c r="I3834" i="5"/>
  <c r="I3826" i="5"/>
  <c r="I3797" i="5"/>
  <c r="I3794" i="5"/>
  <c r="I3778" i="5"/>
  <c r="I3768" i="5"/>
  <c r="I3754" i="5"/>
  <c r="I3728" i="5"/>
  <c r="I3709" i="5"/>
  <c r="I3702" i="5"/>
  <c r="I3665" i="5"/>
  <c r="I3638" i="5"/>
  <c r="I3625" i="5"/>
  <c r="I3614" i="5"/>
  <c r="I3607" i="5"/>
  <c r="I3565" i="5"/>
  <c r="I3537" i="5"/>
  <c r="I3529" i="5"/>
  <c r="I3521" i="5"/>
  <c r="I3497" i="5"/>
  <c r="I3473" i="5"/>
  <c r="I3434" i="5"/>
  <c r="I3283" i="5"/>
  <c r="I3236" i="5"/>
  <c r="I3186" i="5"/>
  <c r="I3063" i="5"/>
  <c r="I3045" i="5"/>
  <c r="I3008" i="5"/>
  <c r="I2979" i="5"/>
  <c r="I2955" i="5"/>
  <c r="I2931" i="5"/>
  <c r="I2915" i="5"/>
  <c r="I2562" i="5"/>
  <c r="I2554" i="5"/>
  <c r="I2488" i="5"/>
  <c r="I2472" i="5"/>
  <c r="I2461" i="5"/>
  <c r="I2453" i="5"/>
  <c r="I2448" i="5"/>
  <c r="I3930" i="5"/>
  <c r="I3922" i="5"/>
  <c r="I3849" i="5"/>
  <c r="I3828" i="5"/>
  <c r="I3814" i="5"/>
  <c r="I3783" i="5"/>
  <c r="I3762" i="5"/>
  <c r="I3725" i="5"/>
  <c r="I3722" i="5"/>
  <c r="I3693" i="5"/>
  <c r="I3683" i="5"/>
  <c r="I3659" i="5"/>
  <c r="I3651" i="5"/>
  <c r="I3640" i="5"/>
  <c r="I3624" i="5"/>
  <c r="I3601" i="5"/>
  <c r="I3585" i="5"/>
  <c r="I3547" i="5"/>
  <c r="I3494" i="5"/>
  <c r="I3481" i="5"/>
  <c r="I3457" i="5"/>
  <c r="I3415" i="5"/>
  <c r="I3410" i="5"/>
  <c r="I3394" i="5"/>
  <c r="I3172" i="5"/>
  <c r="I3105" i="5"/>
  <c r="I3097" i="5"/>
  <c r="I3044" i="5"/>
  <c r="I2933" i="5"/>
  <c r="I2708" i="5"/>
  <c r="I2695" i="5"/>
  <c r="I2692" i="5"/>
  <c r="I2690" i="5"/>
  <c r="I2669" i="5"/>
  <c r="I2653" i="5"/>
  <c r="I2332" i="5"/>
  <c r="I2324" i="5"/>
  <c r="I2260" i="5"/>
  <c r="I3867" i="5"/>
  <c r="I3833" i="5"/>
  <c r="I3817" i="5"/>
  <c r="I3790" i="5"/>
  <c r="I3772" i="5"/>
  <c r="I3751" i="5"/>
  <c r="I3711" i="5"/>
  <c r="I3706" i="5"/>
  <c r="I3703" i="5"/>
  <c r="I3701" i="5"/>
  <c r="I3685" i="5"/>
  <c r="I3669" i="5"/>
  <c r="I3648" i="5"/>
  <c r="I3616" i="5"/>
  <c r="I3611" i="5"/>
  <c r="I3608" i="5"/>
  <c r="I3606" i="5"/>
  <c r="I3592" i="5"/>
  <c r="I3574" i="5"/>
  <c r="I3528" i="5"/>
  <c r="I3525" i="5"/>
  <c r="I3517" i="5"/>
  <c r="I3499" i="5"/>
  <c r="I3493" i="5"/>
  <c r="I3483" i="5"/>
  <c r="I3467" i="5"/>
  <c r="I3381" i="5"/>
  <c r="I3370" i="5"/>
  <c r="I3352" i="5"/>
  <c r="I3331" i="5"/>
  <c r="I3272" i="5"/>
  <c r="I3256" i="5"/>
  <c r="I3230" i="5"/>
  <c r="I3209" i="5"/>
  <c r="I3203" i="5"/>
  <c r="I3195" i="5"/>
  <c r="I3185" i="5"/>
  <c r="I3156" i="5"/>
  <c r="I3140" i="5"/>
  <c r="I3102" i="5"/>
  <c r="I3099" i="5"/>
  <c r="I3036" i="5"/>
  <c r="I3028" i="5"/>
  <c r="I2795" i="5"/>
  <c r="I2787" i="5"/>
  <c r="I2750" i="5"/>
  <c r="I2739" i="5"/>
  <c r="I2713" i="5"/>
  <c r="I2705" i="5"/>
  <c r="I2697" i="5"/>
  <c r="I2684" i="5"/>
  <c r="I2674" i="5"/>
  <c r="I2663" i="5"/>
  <c r="I2658" i="5"/>
  <c r="I2655" i="5"/>
  <c r="I2629" i="5"/>
  <c r="I2611" i="5"/>
  <c r="I2587" i="5"/>
  <c r="I2561" i="5"/>
  <c r="I3190" i="5"/>
  <c r="I2731" i="5"/>
  <c r="I2718" i="5"/>
  <c r="I2710" i="5"/>
  <c r="I2671" i="5"/>
  <c r="I2634" i="5"/>
  <c r="I4209" i="5"/>
  <c r="I4199" i="5"/>
  <c r="I4191" i="5"/>
  <c r="I4178" i="5"/>
  <c r="I4147" i="5"/>
  <c r="I4139" i="5"/>
  <c r="I4097" i="5"/>
  <c r="I4089" i="5"/>
  <c r="I4081" i="5"/>
  <c r="I4076" i="5"/>
  <c r="I4053" i="5"/>
  <c r="I4045" i="5"/>
  <c r="I4018" i="5"/>
  <c r="I4010" i="5"/>
  <c r="I4003" i="5"/>
  <c r="I4000" i="5"/>
  <c r="I3984" i="5"/>
  <c r="I3979" i="5"/>
  <c r="I3976" i="5"/>
  <c r="I3971" i="5"/>
  <c r="I3966" i="5"/>
  <c r="I3958" i="5"/>
  <c r="I3953" i="5"/>
  <c r="I3950" i="5"/>
  <c r="I3926" i="5"/>
  <c r="I3919" i="5"/>
  <c r="I3916" i="5"/>
  <c r="I3811" i="5"/>
  <c r="I3798" i="5"/>
  <c r="I3753" i="5"/>
  <c r="I3705" i="5"/>
  <c r="I3682" i="5"/>
  <c r="I3679" i="5"/>
  <c r="I3658" i="5"/>
  <c r="I3655" i="5"/>
  <c r="I3610" i="5"/>
  <c r="I3561" i="5"/>
  <c r="I3538" i="5"/>
  <c r="I3514" i="5"/>
  <c r="I3464" i="5"/>
  <c r="I3432" i="5"/>
  <c r="I3419" i="5"/>
  <c r="I3409" i="5"/>
  <c r="I3359" i="5"/>
  <c r="I3330" i="5"/>
  <c r="I3300" i="5"/>
  <c r="I3287" i="5"/>
  <c r="I3282" i="5"/>
  <c r="I3250" i="5"/>
  <c r="I3245" i="5"/>
  <c r="I3216" i="5"/>
  <c r="I3179" i="5"/>
  <c r="I3174" i="5"/>
  <c r="I3166" i="5"/>
  <c r="I3158" i="5"/>
  <c r="I3110" i="5"/>
  <c r="I2900" i="5"/>
  <c r="I2884" i="5"/>
  <c r="I2871" i="5"/>
  <c r="I2866" i="5"/>
  <c r="I2863" i="5"/>
  <c r="I2855" i="5"/>
  <c r="I2850" i="5"/>
  <c r="I2842" i="5"/>
  <c r="I2823" i="5"/>
  <c r="I2815" i="5"/>
  <c r="I2797" i="5"/>
  <c r="I2789" i="5"/>
  <c r="I2783" i="5"/>
  <c r="I2715" i="5"/>
  <c r="I2499" i="5"/>
  <c r="I2427" i="5"/>
  <c r="I2403" i="5"/>
  <c r="I2353" i="5"/>
  <c r="I2567" i="5"/>
  <c r="I2559" i="5"/>
  <c r="I2533" i="5"/>
  <c r="I2451" i="5"/>
  <c r="I2446" i="5"/>
  <c r="I2438" i="5"/>
  <c r="I2414" i="5"/>
  <c r="I2406" i="5"/>
  <c r="I2369" i="5"/>
  <c r="I2363" i="5"/>
  <c r="I2221" i="5"/>
  <c r="I2210" i="5"/>
  <c r="I2179" i="5"/>
  <c r="I2176" i="5"/>
  <c r="I2128" i="5"/>
  <c r="I2068" i="5"/>
  <c r="I2018" i="5"/>
  <c r="I2010" i="5"/>
  <c r="I1974" i="5"/>
  <c r="I2118" i="5"/>
  <c r="I2081" i="5"/>
  <c r="I2073" i="5"/>
  <c r="I2065" i="5"/>
  <c r="I2052" i="5"/>
  <c r="I2036" i="5"/>
  <c r="I2023" i="5"/>
  <c r="I2004" i="5"/>
  <c r="I2002" i="5"/>
  <c r="I1997" i="5"/>
  <c r="I1961" i="5"/>
  <c r="I1933" i="5"/>
  <c r="I1928" i="5"/>
  <c r="I2424" i="5"/>
  <c r="I2350" i="5"/>
  <c r="I2297" i="5"/>
  <c r="I2289" i="5"/>
  <c r="I2270" i="5"/>
  <c r="I2247" i="5"/>
  <c r="I2236" i="5"/>
  <c r="I2207" i="5"/>
  <c r="I2189" i="5"/>
  <c r="I2186" i="5"/>
  <c r="I2149" i="5"/>
  <c r="I2120" i="5"/>
  <c r="I2099" i="5"/>
  <c r="I2046" i="5"/>
  <c r="I2033" i="5"/>
  <c r="I2025" i="5"/>
  <c r="I2020" i="5"/>
  <c r="I1988" i="5"/>
  <c r="I1986" i="5"/>
  <c r="I1971" i="5"/>
  <c r="I1958" i="5"/>
  <c r="I1943" i="5"/>
  <c r="I1920" i="5"/>
  <c r="I3096" i="5"/>
  <c r="I3059" i="5"/>
  <c r="I3057" i="5"/>
  <c r="I3049" i="5"/>
  <c r="I3043" i="5"/>
  <c r="I3041" i="5"/>
  <c r="I2959" i="5"/>
  <c r="I2954" i="5"/>
  <c r="I2938" i="5"/>
  <c r="I2935" i="5"/>
  <c r="I2907" i="5"/>
  <c r="I2859" i="5"/>
  <c r="I2833" i="5"/>
  <c r="I2827" i="5"/>
  <c r="I2809" i="5"/>
  <c r="I2788" i="5"/>
  <c r="I2775" i="5"/>
  <c r="I2725" i="5"/>
  <c r="I2720" i="5"/>
  <c r="I2704" i="5"/>
  <c r="I2681" i="5"/>
  <c r="I2676" i="5"/>
  <c r="I2639" i="5"/>
  <c r="I2599" i="5"/>
  <c r="I2597" i="5"/>
  <c r="I2592" i="5"/>
  <c r="I2571" i="5"/>
  <c r="I2566" i="5"/>
  <c r="I2563" i="5"/>
  <c r="I2521" i="5"/>
  <c r="I2495" i="5"/>
  <c r="I2482" i="5"/>
  <c r="I2463" i="5"/>
  <c r="I2458" i="5"/>
  <c r="I2389" i="5"/>
  <c r="I2381" i="5"/>
  <c r="I2342" i="5"/>
  <c r="I2339" i="5"/>
  <c r="I2326" i="5"/>
  <c r="I2318" i="5"/>
  <c r="I2315" i="5"/>
  <c r="I2312" i="5"/>
  <c r="I2302" i="5"/>
  <c r="I2296" i="5"/>
  <c r="I2294" i="5"/>
  <c r="I2288" i="5"/>
  <c r="I2286" i="5"/>
  <c r="I2275" i="5"/>
  <c r="I2214" i="5"/>
  <c r="I2212" i="5"/>
  <c r="I2194" i="5"/>
  <c r="I2191" i="5"/>
  <c r="I2183" i="5"/>
  <c r="I2180" i="5"/>
  <c r="I2178" i="5"/>
  <c r="I2170" i="5"/>
  <c r="I2130" i="5"/>
  <c r="I2091" i="5"/>
  <c r="I2040" i="5"/>
  <c r="I1925" i="5"/>
  <c r="I3126" i="5"/>
  <c r="I3103" i="5"/>
  <c r="I3101" i="5"/>
  <c r="I3075" i="5"/>
  <c r="I3070" i="5"/>
  <c r="I3025" i="5"/>
  <c r="I3019" i="5"/>
  <c r="I3017" i="5"/>
  <c r="I3012" i="5"/>
  <c r="I3004" i="5"/>
  <c r="I2991" i="5"/>
  <c r="I2943" i="5"/>
  <c r="I2883" i="5"/>
  <c r="I2838" i="5"/>
  <c r="I2814" i="5"/>
  <c r="I2793" i="5"/>
  <c r="I2769" i="5"/>
  <c r="I2756" i="5"/>
  <c r="I2735" i="5"/>
  <c r="I2732" i="5"/>
  <c r="I2730" i="5"/>
  <c r="I2709" i="5"/>
  <c r="I2686" i="5"/>
  <c r="I2667" i="5"/>
  <c r="I2665" i="5"/>
  <c r="I2623" i="5"/>
  <c r="I2602" i="5"/>
  <c r="I2579" i="5"/>
  <c r="I2555" i="5"/>
  <c r="I2552" i="5"/>
  <c r="I2531" i="5"/>
  <c r="I2508" i="5"/>
  <c r="I2500" i="5"/>
  <c r="I2476" i="5"/>
  <c r="I2471" i="5"/>
  <c r="I2457" i="5"/>
  <c r="I2434" i="5"/>
  <c r="I2426" i="5"/>
  <c r="I2404" i="5"/>
  <c r="I2347" i="5"/>
  <c r="I2344" i="5"/>
  <c r="I2331" i="5"/>
  <c r="I2225" i="5"/>
  <c r="I2219" i="5"/>
  <c r="I2217" i="5"/>
  <c r="I2201" i="5"/>
  <c r="I2164" i="5"/>
  <c r="I2135" i="5"/>
  <c r="I2114" i="5"/>
  <c r="I1968" i="5"/>
  <c r="I1960" i="5"/>
  <c r="I1957" i="5"/>
  <c r="I1945" i="5"/>
  <c r="I1940" i="5"/>
  <c r="I1927" i="5"/>
  <c r="I1875" i="5"/>
  <c r="I2433" i="5"/>
  <c r="I2409" i="5"/>
  <c r="I2351" i="5"/>
  <c r="I2224" i="5"/>
  <c r="I2216" i="5"/>
  <c r="I3376" i="5"/>
  <c r="I3368" i="5"/>
  <c r="I3362" i="5"/>
  <c r="I3347" i="5"/>
  <c r="I3339" i="5"/>
  <c r="I3321" i="5"/>
  <c r="I3303" i="5"/>
  <c r="I3280" i="5"/>
  <c r="I3262" i="5"/>
  <c r="I3251" i="5"/>
  <c r="I3225" i="5"/>
  <c r="I3219" i="5"/>
  <c r="I3217" i="5"/>
  <c r="I3090" i="5"/>
  <c r="I3032" i="5"/>
  <c r="I3027" i="5"/>
  <c r="I3024" i="5"/>
  <c r="I3016" i="5"/>
  <c r="I3001" i="5"/>
  <c r="I2995" i="5"/>
  <c r="I2898" i="5"/>
  <c r="I2885" i="5"/>
  <c r="I2879" i="5"/>
  <c r="I2853" i="5"/>
  <c r="I2840" i="5"/>
  <c r="I2803" i="5"/>
  <c r="I2771" i="5"/>
  <c r="I2766" i="5"/>
  <c r="I2719" i="5"/>
  <c r="I2706" i="5"/>
  <c r="I2693" i="5"/>
  <c r="I2688" i="5"/>
  <c r="I2675" i="5"/>
  <c r="I2672" i="5"/>
  <c r="I2651" i="5"/>
  <c r="I2646" i="5"/>
  <c r="I2617" i="5"/>
  <c r="I2591" i="5"/>
  <c r="I2575" i="5"/>
  <c r="I2573" i="5"/>
  <c r="I2557" i="5"/>
  <c r="I2549" i="5"/>
  <c r="I2544" i="5"/>
  <c r="I2523" i="5"/>
  <c r="I2510" i="5"/>
  <c r="I2502" i="5"/>
  <c r="I2449" i="5"/>
  <c r="I2441" i="5"/>
  <c r="I2420" i="5"/>
  <c r="I2417" i="5"/>
  <c r="I2385" i="5"/>
  <c r="I2383" i="5"/>
  <c r="I2356" i="5"/>
  <c r="I2327" i="5"/>
  <c r="I2317" i="5"/>
  <c r="I2311" i="5"/>
  <c r="I2293" i="5"/>
  <c r="I2282" i="5"/>
  <c r="I2269" i="5"/>
  <c r="I2248" i="5"/>
  <c r="I2203" i="5"/>
  <c r="I2193" i="5"/>
  <c r="I2153" i="5"/>
  <c r="I2145" i="5"/>
  <c r="I2131" i="5"/>
  <c r="I2129" i="5"/>
  <c r="I2055" i="5"/>
  <c r="I1990" i="5"/>
  <c r="I1970" i="5"/>
  <c r="I1967" i="5"/>
  <c r="I1962" i="5"/>
  <c r="I1959" i="5"/>
  <c r="I1937" i="5"/>
  <c r="I1921" i="5"/>
  <c r="I1898" i="5"/>
  <c r="I1890" i="5"/>
  <c r="I1951" i="5"/>
  <c r="I1913" i="5"/>
  <c r="I1897" i="5"/>
  <c r="I4285" i="5"/>
  <c r="I4270" i="5"/>
  <c r="I4265" i="5"/>
  <c r="I4257" i="5"/>
  <c r="I4252" i="5"/>
  <c r="I4239" i="5"/>
  <c r="I4236" i="5"/>
  <c r="I4229" i="5"/>
  <c r="I4222" i="5"/>
  <c r="I4212" i="5"/>
  <c r="I4210" i="5"/>
  <c r="I4208" i="5"/>
  <c r="I4161" i="5"/>
  <c r="I4154" i="5"/>
  <c r="I4149" i="5"/>
  <c r="I4142" i="5"/>
  <c r="I4137" i="5"/>
  <c r="I4101" i="5"/>
  <c r="I4262" i="5"/>
  <c r="I4124" i="5"/>
  <c r="I4282" i="5"/>
  <c r="I4277" i="5"/>
  <c r="I4272" i="5"/>
  <c r="I4256" i="5"/>
  <c r="I4254" i="5"/>
  <c r="I4224" i="5"/>
  <c r="I4131" i="5"/>
  <c r="I4121" i="5"/>
  <c r="I4111" i="5"/>
  <c r="I4066" i="5"/>
  <c r="I4061" i="5"/>
  <c r="I4269" i="5"/>
  <c r="I4264" i="5"/>
  <c r="I4197" i="5"/>
  <c r="I4190" i="5"/>
  <c r="I4180" i="5"/>
  <c r="I4165" i="5"/>
  <c r="I4118" i="5"/>
  <c r="I4113" i="5"/>
  <c r="I4074" i="5"/>
  <c r="I4071" i="5"/>
  <c r="I4058" i="5"/>
  <c r="I4187" i="5"/>
  <c r="I4148" i="5"/>
  <c r="I4136" i="5"/>
  <c r="I4123" i="5"/>
  <c r="I4258" i="5"/>
  <c r="I4253" i="5"/>
  <c r="I4248" i="5"/>
  <c r="I4223" i="5"/>
  <c r="I4204" i="5"/>
  <c r="I4192" i="5"/>
  <c r="I4167" i="5"/>
  <c r="I4286" i="5"/>
  <c r="I4283" i="5"/>
  <c r="I4273" i="5"/>
  <c r="I4263" i="5"/>
  <c r="I4247" i="5"/>
  <c r="I4237" i="5"/>
  <c r="I4234" i="5"/>
  <c r="I4220" i="5"/>
  <c r="I4218" i="5"/>
  <c r="I4215" i="5"/>
  <c r="I4201" i="5"/>
  <c r="I4184" i="5"/>
  <c r="I4179" i="5"/>
  <c r="I4172" i="5"/>
  <c r="I4130" i="5"/>
  <c r="I4094" i="5"/>
  <c r="I3855" i="5"/>
  <c r="I3560" i="5"/>
  <c r="I3551" i="5"/>
  <c r="I4054" i="5"/>
  <c r="I4049" i="5"/>
  <c r="I4046" i="5"/>
  <c r="I4023" i="5"/>
  <c r="I4005" i="5"/>
  <c r="I3987" i="5"/>
  <c r="I3969" i="5"/>
  <c r="I3961" i="5"/>
  <c r="I3956" i="5"/>
  <c r="I3943" i="5"/>
  <c r="I3940" i="5"/>
  <c r="I3935" i="5"/>
  <c r="I3925" i="5"/>
  <c r="I3920" i="5"/>
  <c r="I3915" i="5"/>
  <c r="I3897" i="5"/>
  <c r="I3889" i="5"/>
  <c r="I3884" i="5"/>
  <c r="I3871" i="5"/>
  <c r="I3868" i="5"/>
  <c r="I3863" i="5"/>
  <c r="I3858" i="5"/>
  <c r="I3843" i="5"/>
  <c r="I3831" i="5"/>
  <c r="I3821" i="5"/>
  <c r="I3818" i="5"/>
  <c r="I3808" i="5"/>
  <c r="I3788" i="5"/>
  <c r="I3781" i="5"/>
  <c r="I3771" i="5"/>
  <c r="I3761" i="5"/>
  <c r="I3758" i="5"/>
  <c r="I3748" i="5"/>
  <c r="I3741" i="5"/>
  <c r="I3721" i="5"/>
  <c r="I3708" i="5"/>
  <c r="I3698" i="5"/>
  <c r="I3678" i="5"/>
  <c r="I3668" i="5"/>
  <c r="I3590" i="5"/>
  <c r="I3543" i="5"/>
  <c r="I3491" i="5"/>
  <c r="I4284" i="5"/>
  <c r="I4274" i="5"/>
  <c r="I4271" i="5"/>
  <c r="I4261" i="5"/>
  <c r="I4245" i="5"/>
  <c r="I4238" i="5"/>
  <c r="I4183" i="5"/>
  <c r="I4176" i="5"/>
  <c r="I4171" i="5"/>
  <c r="I4166" i="5"/>
  <c r="I4144" i="5"/>
  <c r="I4129" i="5"/>
  <c r="I4099" i="5"/>
  <c r="I4086" i="5"/>
  <c r="I4083" i="5"/>
  <c r="I4078" i="5"/>
  <c r="I4068" i="5"/>
  <c r="I4063" i="5"/>
  <c r="I4051" i="5"/>
  <c r="I4048" i="5"/>
  <c r="I4043" i="5"/>
  <c r="I4038" i="5"/>
  <c r="I4030" i="5"/>
  <c r="I4025" i="5"/>
  <c r="I4022" i="5"/>
  <c r="I4002" i="5"/>
  <c r="I3994" i="5"/>
  <c r="I3989" i="5"/>
  <c r="I3986" i="5"/>
  <c r="I3963" i="5"/>
  <c r="I3945" i="5"/>
  <c r="I3937" i="5"/>
  <c r="I3932" i="5"/>
  <c r="I3927" i="5"/>
  <c r="I3917" i="5"/>
  <c r="I3914" i="5"/>
  <c r="I3891" i="5"/>
  <c r="I3873" i="5"/>
  <c r="I3865" i="5"/>
  <c r="I3852" i="5"/>
  <c r="I3845" i="5"/>
  <c r="I3820" i="5"/>
  <c r="I3805" i="5"/>
  <c r="I3795" i="5"/>
  <c r="I3773" i="5"/>
  <c r="I3770" i="5"/>
  <c r="I3760" i="5"/>
  <c r="I3740" i="5"/>
  <c r="I3733" i="5"/>
  <c r="I3723" i="5"/>
  <c r="I3710" i="5"/>
  <c r="I3645" i="5"/>
  <c r="I3635" i="5"/>
  <c r="I3632" i="5"/>
  <c r="I3622" i="5"/>
  <c r="I3615" i="5"/>
  <c r="I3600" i="5"/>
  <c r="I3582" i="5"/>
  <c r="I3577" i="5"/>
  <c r="I3567" i="5"/>
  <c r="I3511" i="5"/>
  <c r="I3506" i="5"/>
  <c r="I3449" i="5"/>
  <c r="I3436" i="5"/>
  <c r="I3338" i="5"/>
  <c r="I4093" i="5"/>
  <c r="I4073" i="5"/>
  <c r="I4065" i="5"/>
  <c r="I4060" i="5"/>
  <c r="I4057" i="5"/>
  <c r="I4035" i="5"/>
  <c r="I4017" i="5"/>
  <c r="I4009" i="5"/>
  <c r="I4004" i="5"/>
  <c r="I3999" i="5"/>
  <c r="I3981" i="5"/>
  <c r="I3973" i="5"/>
  <c r="I3968" i="5"/>
  <c r="I3955" i="5"/>
  <c r="I3952" i="5"/>
  <c r="I3947" i="5"/>
  <c r="I3942" i="5"/>
  <c r="I3934" i="5"/>
  <c r="I3909" i="5"/>
  <c r="I3901" i="5"/>
  <c r="I3896" i="5"/>
  <c r="I3883" i="5"/>
  <c r="I3880" i="5"/>
  <c r="I3875" i="5"/>
  <c r="I3870" i="5"/>
  <c r="I3862" i="5"/>
  <c r="I3837" i="5"/>
  <c r="I3825" i="5"/>
  <c r="I3812" i="5"/>
  <c r="I3785" i="5"/>
  <c r="I3782" i="5"/>
  <c r="I3780" i="5"/>
  <c r="I3775" i="5"/>
  <c r="I3765" i="5"/>
  <c r="I3752" i="5"/>
  <c r="I3745" i="5"/>
  <c r="I3735" i="5"/>
  <c r="I3720" i="5"/>
  <c r="I3715" i="5"/>
  <c r="I3692" i="5"/>
  <c r="I3677" i="5"/>
  <c r="I3672" i="5"/>
  <c r="I3662" i="5"/>
  <c r="I3654" i="5"/>
  <c r="I3642" i="5"/>
  <c r="I3637" i="5"/>
  <c r="I3627" i="5"/>
  <c r="I3602" i="5"/>
  <c r="I3597" i="5"/>
  <c r="I3587" i="5"/>
  <c r="I3524" i="5"/>
  <c r="I3516" i="5"/>
  <c r="I3513" i="5"/>
  <c r="I3459" i="5"/>
  <c r="I3454" i="5"/>
  <c r="I3446" i="5"/>
  <c r="I3441" i="5"/>
  <c r="I3346" i="5"/>
  <c r="I4098" i="5"/>
  <c r="I4095" i="5"/>
  <c r="I4090" i="5"/>
  <c r="I4085" i="5"/>
  <c r="I4077" i="5"/>
  <c r="I4062" i="5"/>
  <c r="I4059" i="5"/>
  <c r="I4050" i="5"/>
  <c r="I4042" i="5"/>
  <c r="I4034" i="5"/>
  <c r="I4011" i="5"/>
  <c r="I3998" i="5"/>
  <c r="I3975" i="5"/>
  <c r="I3957" i="5"/>
  <c r="I3949" i="5"/>
  <c r="I3944" i="5"/>
  <c r="I3921" i="5"/>
  <c r="I3903" i="5"/>
  <c r="I3885" i="5"/>
  <c r="I3877" i="5"/>
  <c r="I3872" i="5"/>
  <c r="I3864" i="5"/>
  <c r="I3859" i="5"/>
  <c r="I3856" i="5"/>
  <c r="I3846" i="5"/>
  <c r="I3836" i="5"/>
  <c r="I3824" i="5"/>
  <c r="I3804" i="5"/>
  <c r="I3799" i="5"/>
  <c r="I3784" i="5"/>
  <c r="I3777" i="5"/>
  <c r="I3764" i="5"/>
  <c r="I3737" i="5"/>
  <c r="I3734" i="5"/>
  <c r="I3732" i="5"/>
  <c r="I3727" i="5"/>
  <c r="I3717" i="5"/>
  <c r="I3704" i="5"/>
  <c r="I3699" i="5"/>
  <c r="I3694" i="5"/>
  <c r="I3691" i="5"/>
  <c r="I3689" i="5"/>
  <c r="I3684" i="5"/>
  <c r="I3674" i="5"/>
  <c r="I3661" i="5"/>
  <c r="I3656" i="5"/>
  <c r="I3649" i="5"/>
  <c r="I3639" i="5"/>
  <c r="I3626" i="5"/>
  <c r="I3619" i="5"/>
  <c r="I3609" i="5"/>
  <c r="I3599" i="5"/>
  <c r="I3596" i="5"/>
  <c r="I3586" i="5"/>
  <c r="I3526" i="5"/>
  <c r="I3518" i="5"/>
  <c r="I3469" i="5"/>
  <c r="I3358" i="5"/>
  <c r="I3348" i="5"/>
  <c r="I4108" i="5"/>
  <c r="I4105" i="5"/>
  <c r="I4082" i="5"/>
  <c r="I4069" i="5"/>
  <c r="I4047" i="5"/>
  <c r="I4029" i="5"/>
  <c r="I4021" i="5"/>
  <c r="I4016" i="5"/>
  <c r="I3993" i="5"/>
  <c r="I3985" i="5"/>
  <c r="I3980" i="5"/>
  <c r="I3967" i="5"/>
  <c r="I3964" i="5"/>
  <c r="I3959" i="5"/>
  <c r="I3954" i="5"/>
  <c r="I3946" i="5"/>
  <c r="I3938" i="5"/>
  <c r="I3931" i="5"/>
  <c r="I3928" i="5"/>
  <c r="I3923" i="5"/>
  <c r="I3913" i="5"/>
  <c r="I3908" i="5"/>
  <c r="I3895" i="5"/>
  <c r="I3892" i="5"/>
  <c r="I3887" i="5"/>
  <c r="I3882" i="5"/>
  <c r="I3874" i="5"/>
  <c r="I3866" i="5"/>
  <c r="I3841" i="5"/>
  <c r="I3829" i="5"/>
  <c r="I3809" i="5"/>
  <c r="I3806" i="5"/>
  <c r="I3796" i="5"/>
  <c r="I3789" i="5"/>
  <c r="I3769" i="5"/>
  <c r="I3759" i="5"/>
  <c r="I3749" i="5"/>
  <c r="I3746" i="5"/>
  <c r="I3744" i="5"/>
  <c r="I3739" i="5"/>
  <c r="I3724" i="5"/>
  <c r="I3714" i="5"/>
  <c r="I3696" i="5"/>
  <c r="I3681" i="5"/>
  <c r="I3666" i="5"/>
  <c r="I3653" i="5"/>
  <c r="I3646" i="5"/>
  <c r="I3631" i="5"/>
  <c r="I3621" i="5"/>
  <c r="I3591" i="5"/>
  <c r="I3554" i="5"/>
  <c r="I3549" i="5"/>
  <c r="I3544" i="5"/>
  <c r="I3536" i="5"/>
  <c r="I3523" i="5"/>
  <c r="I3471" i="5"/>
  <c r="I3466" i="5"/>
  <c r="I3396" i="5"/>
  <c r="I3031" i="5"/>
  <c r="I3444" i="5"/>
  <c r="I3431" i="5"/>
  <c r="I3424" i="5"/>
  <c r="I3414" i="5"/>
  <c r="I3404" i="5"/>
  <c r="I3401" i="5"/>
  <c r="I3392" i="5"/>
  <c r="I3373" i="5"/>
  <c r="I3356" i="5"/>
  <c r="I3341" i="5"/>
  <c r="I3313" i="5"/>
  <c r="I3304" i="5"/>
  <c r="I3297" i="5"/>
  <c r="I3289" i="5"/>
  <c r="I3284" i="5"/>
  <c r="I3264" i="5"/>
  <c r="I3196" i="5"/>
  <c r="I3163" i="5"/>
  <c r="I3161" i="5"/>
  <c r="I3148" i="5"/>
  <c r="I3143" i="5"/>
  <c r="I3138" i="5"/>
  <c r="I3135" i="5"/>
  <c r="I3133" i="5"/>
  <c r="I3122" i="5"/>
  <c r="I3114" i="5"/>
  <c r="I3488" i="5"/>
  <c r="I3478" i="5"/>
  <c r="I3456" i="5"/>
  <c r="I3443" i="5"/>
  <c r="I3423" i="5"/>
  <c r="I3416" i="5"/>
  <c r="I3406" i="5"/>
  <c r="I3403" i="5"/>
  <c r="I3389" i="5"/>
  <c r="I3380" i="5"/>
  <c r="I3360" i="5"/>
  <c r="I3355" i="5"/>
  <c r="I3353" i="5"/>
  <c r="I3306" i="5"/>
  <c r="I3301" i="5"/>
  <c r="I3276" i="5"/>
  <c r="I3266" i="5"/>
  <c r="I3261" i="5"/>
  <c r="I3246" i="5"/>
  <c r="I3226" i="5"/>
  <c r="I3218" i="5"/>
  <c r="I3208" i="5"/>
  <c r="I3201" i="5"/>
  <c r="I3193" i="5"/>
  <c r="I3168" i="5"/>
  <c r="I3160" i="5"/>
  <c r="I3153" i="5"/>
  <c r="I3145" i="5"/>
  <c r="I3124" i="5"/>
  <c r="I3072" i="5"/>
  <c r="I3062" i="5"/>
  <c r="I3054" i="5"/>
  <c r="I3046" i="5"/>
  <c r="I2643" i="5"/>
  <c r="I3579" i="5"/>
  <c r="I3555" i="5"/>
  <c r="I3535" i="5"/>
  <c r="I3530" i="5"/>
  <c r="I3515" i="5"/>
  <c r="I3508" i="5"/>
  <c r="I3495" i="5"/>
  <c r="I3468" i="5"/>
  <c r="I3463" i="5"/>
  <c r="I3458" i="5"/>
  <c r="I3453" i="5"/>
  <c r="I3448" i="5"/>
  <c r="I3435" i="5"/>
  <c r="I3428" i="5"/>
  <c r="I3418" i="5"/>
  <c r="I3408" i="5"/>
  <c r="I3374" i="5"/>
  <c r="I3372" i="5"/>
  <c r="I3367" i="5"/>
  <c r="I3365" i="5"/>
  <c r="I3342" i="5"/>
  <c r="I3340" i="5"/>
  <c r="I3325" i="5"/>
  <c r="I3320" i="5"/>
  <c r="I3314" i="5"/>
  <c r="I3312" i="5"/>
  <c r="I3308" i="5"/>
  <c r="I3288" i="5"/>
  <c r="I3281" i="5"/>
  <c r="I3268" i="5"/>
  <c r="I3263" i="5"/>
  <c r="I3258" i="5"/>
  <c r="I3255" i="5"/>
  <c r="I3253" i="5"/>
  <c r="I3248" i="5"/>
  <c r="I3235" i="5"/>
  <c r="I3228" i="5"/>
  <c r="I3220" i="5"/>
  <c r="I3213" i="5"/>
  <c r="I3198" i="5"/>
  <c r="I3175" i="5"/>
  <c r="I3173" i="5"/>
  <c r="I3150" i="5"/>
  <c r="I3139" i="5"/>
  <c r="I3132" i="5"/>
  <c r="I3107" i="5"/>
  <c r="I3085" i="5"/>
  <c r="I3079" i="5"/>
  <c r="I3077" i="5"/>
  <c r="I3064" i="5"/>
  <c r="I3056" i="5"/>
  <c r="I3051" i="5"/>
  <c r="I2999" i="5"/>
  <c r="I2930" i="5"/>
  <c r="I2857" i="5"/>
  <c r="I2825" i="5"/>
  <c r="I2578" i="5"/>
  <c r="I3566" i="5"/>
  <c r="I3559" i="5"/>
  <c r="I3550" i="5"/>
  <c r="I3540" i="5"/>
  <c r="I3527" i="5"/>
  <c r="I3520" i="5"/>
  <c r="I3500" i="5"/>
  <c r="I3490" i="5"/>
  <c r="I3480" i="5"/>
  <c r="I3475" i="5"/>
  <c r="I3470" i="5"/>
  <c r="I3465" i="5"/>
  <c r="I3455" i="5"/>
  <c r="I3440" i="5"/>
  <c r="I3430" i="5"/>
  <c r="I3420" i="5"/>
  <c r="I3400" i="5"/>
  <c r="I3377" i="5"/>
  <c r="I3354" i="5"/>
  <c r="I3327" i="5"/>
  <c r="I3322" i="5"/>
  <c r="I3317" i="5"/>
  <c r="I3295" i="5"/>
  <c r="I3293" i="5"/>
  <c r="I3278" i="5"/>
  <c r="I3260" i="5"/>
  <c r="I3240" i="5"/>
  <c r="I3233" i="5"/>
  <c r="I3210" i="5"/>
  <c r="I3207" i="5"/>
  <c r="I3205" i="5"/>
  <c r="I3187" i="5"/>
  <c r="I3180" i="5"/>
  <c r="I3170" i="5"/>
  <c r="I3165" i="5"/>
  <c r="I3159" i="5"/>
  <c r="I3157" i="5"/>
  <c r="I3152" i="5"/>
  <c r="I3092" i="5"/>
  <c r="I3087" i="5"/>
  <c r="I3082" i="5"/>
  <c r="I3071" i="5"/>
  <c r="I3069" i="5"/>
  <c r="I3002" i="5"/>
  <c r="I2994" i="5"/>
  <c r="I2986" i="5"/>
  <c r="I2927" i="5"/>
  <c r="I2862" i="5"/>
  <c r="I2830" i="5"/>
  <c r="I2786" i="5"/>
  <c r="I2736" i="5"/>
  <c r="I2687" i="5"/>
  <c r="I2370" i="5"/>
  <c r="I3366" i="5"/>
  <c r="I3307" i="5"/>
  <c r="I3267" i="5"/>
  <c r="I3247" i="5"/>
  <c r="I3712" i="5"/>
  <c r="I3697" i="5"/>
  <c r="I3690" i="5"/>
  <c r="I3680" i="5"/>
  <c r="I3670" i="5"/>
  <c r="I3667" i="5"/>
  <c r="I3657" i="5"/>
  <c r="I3643" i="5"/>
  <c r="I3633" i="5"/>
  <c r="I3623" i="5"/>
  <c r="I3620" i="5"/>
  <c r="I3618" i="5"/>
  <c r="I3613" i="5"/>
  <c r="I3598" i="5"/>
  <c r="I3583" i="5"/>
  <c r="I3573" i="5"/>
  <c r="I3552" i="5"/>
  <c r="I3539" i="5"/>
  <c r="I3519" i="5"/>
  <c r="I3512" i="5"/>
  <c r="I3502" i="5"/>
  <c r="I3492" i="5"/>
  <c r="I3479" i="5"/>
  <c r="I3472" i="5"/>
  <c r="I3452" i="5"/>
  <c r="I3442" i="5"/>
  <c r="I3427" i="5"/>
  <c r="I3422" i="5"/>
  <c r="I3417" i="5"/>
  <c r="I3407" i="5"/>
  <c r="I3402" i="5"/>
  <c r="I3399" i="5"/>
  <c r="I3397" i="5"/>
  <c r="I3378" i="5"/>
  <c r="I3371" i="5"/>
  <c r="I3364" i="5"/>
  <c r="I3349" i="5"/>
  <c r="I3329" i="5"/>
  <c r="I3326" i="5"/>
  <c r="I3324" i="5"/>
  <c r="I3311" i="5"/>
  <c r="I3305" i="5"/>
  <c r="I3292" i="5"/>
  <c r="I3285" i="5"/>
  <c r="I3270" i="5"/>
  <c r="I3259" i="5"/>
  <c r="I3252" i="5"/>
  <c r="I3242" i="5"/>
  <c r="I3232" i="5"/>
  <c r="I3222" i="5"/>
  <c r="I3199" i="5"/>
  <c r="I3197" i="5"/>
  <c r="I3182" i="5"/>
  <c r="I3117" i="5"/>
  <c r="I3115" i="5"/>
  <c r="I3094" i="5"/>
  <c r="I3091" i="5"/>
  <c r="I3089" i="5"/>
  <c r="I3011" i="5"/>
  <c r="I3009" i="5"/>
  <c r="I2962" i="5"/>
  <c r="I2952" i="5"/>
  <c r="I2746" i="5"/>
  <c r="I2707" i="5"/>
  <c r="I2535" i="5"/>
  <c r="I2380" i="5"/>
  <c r="I2142" i="5"/>
  <c r="I3042" i="5"/>
  <c r="I3022" i="5"/>
  <c r="I2997" i="5"/>
  <c r="I2984" i="5"/>
  <c r="I2977" i="5"/>
  <c r="I2950" i="5"/>
  <c r="I2947" i="5"/>
  <c r="I2945" i="5"/>
  <c r="I2940" i="5"/>
  <c r="I2932" i="5"/>
  <c r="I2925" i="5"/>
  <c r="I2878" i="5"/>
  <c r="I2875" i="5"/>
  <c r="I2873" i="5"/>
  <c r="I2868" i="5"/>
  <c r="I2858" i="5"/>
  <c r="I2826" i="5"/>
  <c r="I2821" i="5"/>
  <c r="I2816" i="5"/>
  <c r="I2782" i="5"/>
  <c r="I2779" i="5"/>
  <c r="I2777" i="5"/>
  <c r="I2772" i="5"/>
  <c r="I2762" i="5"/>
  <c r="I2747" i="5"/>
  <c r="I2744" i="5"/>
  <c r="I2742" i="5"/>
  <c r="I2737" i="5"/>
  <c r="I2700" i="5"/>
  <c r="I2685" i="5"/>
  <c r="I2673" i="5"/>
  <c r="I2668" i="5"/>
  <c r="I2666" i="5"/>
  <c r="I2648" i="5"/>
  <c r="I2636" i="5"/>
  <c r="I2576" i="5"/>
  <c r="I2574" i="5"/>
  <c r="I2569" i="5"/>
  <c r="I2464" i="5"/>
  <c r="I2459" i="5"/>
  <c r="I2436" i="5"/>
  <c r="I2271" i="5"/>
  <c r="I2205" i="5"/>
  <c r="I2086" i="5"/>
  <c r="I2078" i="5"/>
  <c r="I2070" i="5"/>
  <c r="I2015" i="5"/>
  <c r="I3034" i="5"/>
  <c r="I3006" i="5"/>
  <c r="I2996" i="5"/>
  <c r="I2989" i="5"/>
  <c r="I2983" i="5"/>
  <c r="I2981" i="5"/>
  <c r="I2976" i="5"/>
  <c r="I2968" i="5"/>
  <c r="I2956" i="5"/>
  <c r="I2949" i="5"/>
  <c r="I2942" i="5"/>
  <c r="I2922" i="5"/>
  <c r="I2917" i="5"/>
  <c r="I2912" i="5"/>
  <c r="I2897" i="5"/>
  <c r="I2892" i="5"/>
  <c r="I2877" i="5"/>
  <c r="I2872" i="5"/>
  <c r="I2870" i="5"/>
  <c r="I2818" i="5"/>
  <c r="I2813" i="5"/>
  <c r="I2808" i="5"/>
  <c r="I2801" i="5"/>
  <c r="I2796" i="5"/>
  <c r="I2781" i="5"/>
  <c r="I2774" i="5"/>
  <c r="I2754" i="5"/>
  <c r="I2749" i="5"/>
  <c r="I2734" i="5"/>
  <c r="I2729" i="5"/>
  <c r="I2724" i="5"/>
  <c r="I2717" i="5"/>
  <c r="I2712" i="5"/>
  <c r="I2702" i="5"/>
  <c r="I2660" i="5"/>
  <c r="I2588" i="5"/>
  <c r="I2586" i="5"/>
  <c r="I2581" i="5"/>
  <c r="I2540" i="5"/>
  <c r="I2525" i="5"/>
  <c r="I2520" i="5"/>
  <c r="I2517" i="5"/>
  <c r="I2515" i="5"/>
  <c r="I2497" i="5"/>
  <c r="I2489" i="5"/>
  <c r="I2487" i="5"/>
  <c r="I2481" i="5"/>
  <c r="I2479" i="5"/>
  <c r="I2474" i="5"/>
  <c r="I2466" i="5"/>
  <c r="I2401" i="5"/>
  <c r="I2393" i="5"/>
  <c r="I2291" i="5"/>
  <c r="I2281" i="5"/>
  <c r="I2231" i="5"/>
  <c r="I2226" i="5"/>
  <c r="I2218" i="5"/>
  <c r="I2215" i="5"/>
  <c r="I2171" i="5"/>
  <c r="I2147" i="5"/>
  <c r="I2137" i="5"/>
  <c r="I2096" i="5"/>
  <c r="I2038" i="5"/>
  <c r="I2043" i="5"/>
  <c r="I3137" i="5"/>
  <c r="I3119" i="5"/>
  <c r="I3106" i="5"/>
  <c r="I3083" i="5"/>
  <c r="I3081" i="5"/>
  <c r="I3068" i="5"/>
  <c r="I3061" i="5"/>
  <c r="I3055" i="5"/>
  <c r="I3053" i="5"/>
  <c r="I3048" i="5"/>
  <c r="I3018" i="5"/>
  <c r="I2998" i="5"/>
  <c r="I2993" i="5"/>
  <c r="I2988" i="5"/>
  <c r="I2980" i="5"/>
  <c r="I2973" i="5"/>
  <c r="I2936" i="5"/>
  <c r="I2934" i="5"/>
  <c r="I2929" i="5"/>
  <c r="I2914" i="5"/>
  <c r="I2909" i="5"/>
  <c r="I2904" i="5"/>
  <c r="I2896" i="5"/>
  <c r="I2894" i="5"/>
  <c r="I2849" i="5"/>
  <c r="I2844" i="5"/>
  <c r="I2837" i="5"/>
  <c r="I2832" i="5"/>
  <c r="I2817" i="5"/>
  <c r="I2812" i="5"/>
  <c r="I2810" i="5"/>
  <c r="I2798" i="5"/>
  <c r="I2733" i="5"/>
  <c r="I2728" i="5"/>
  <c r="I2726" i="5"/>
  <c r="I2714" i="5"/>
  <c r="I2657" i="5"/>
  <c r="I2652" i="5"/>
  <c r="I2645" i="5"/>
  <c r="I2640" i="5"/>
  <c r="I2635" i="5"/>
  <c r="I2632" i="5"/>
  <c r="I2630" i="5"/>
  <c r="I2620" i="5"/>
  <c r="I2618" i="5"/>
  <c r="I2603" i="5"/>
  <c r="I2600" i="5"/>
  <c r="I2598" i="5"/>
  <c r="I2593" i="5"/>
  <c r="I2550" i="5"/>
  <c r="I2545" i="5"/>
  <c r="I2532" i="5"/>
  <c r="I2527" i="5"/>
  <c r="I2507" i="5"/>
  <c r="I2494" i="5"/>
  <c r="I2468" i="5"/>
  <c r="I2455" i="5"/>
  <c r="I2421" i="5"/>
  <c r="I2411" i="5"/>
  <c r="I2377" i="5"/>
  <c r="I2259" i="5"/>
  <c r="I2244" i="5"/>
  <c r="I2241" i="5"/>
  <c r="I2184" i="5"/>
  <c r="I2108" i="5"/>
  <c r="I2106" i="5"/>
  <c r="I2098" i="5"/>
  <c r="I2048" i="5"/>
  <c r="I3335" i="5"/>
  <c r="I3328" i="5"/>
  <c r="I3315" i="5"/>
  <c r="I3309" i="5"/>
  <c r="I3294" i="5"/>
  <c r="I3271" i="5"/>
  <c r="I3269" i="5"/>
  <c r="I3254" i="5"/>
  <c r="I3234" i="5"/>
  <c r="I3231" i="5"/>
  <c r="I3229" i="5"/>
  <c r="I3224" i="5"/>
  <c r="I3211" i="5"/>
  <c r="I3204" i="5"/>
  <c r="I3194" i="5"/>
  <c r="I3184" i="5"/>
  <c r="I3177" i="5"/>
  <c r="I3171" i="5"/>
  <c r="I3169" i="5"/>
  <c r="I3164" i="5"/>
  <c r="I3151" i="5"/>
  <c r="I3149" i="5"/>
  <c r="I3134" i="5"/>
  <c r="I3116" i="5"/>
  <c r="I3113" i="5"/>
  <c r="I3111" i="5"/>
  <c r="I3108" i="5"/>
  <c r="I3095" i="5"/>
  <c r="I3088" i="5"/>
  <c r="I3078" i="5"/>
  <c r="I3058" i="5"/>
  <c r="I3040" i="5"/>
  <c r="I3035" i="5"/>
  <c r="I3033" i="5"/>
  <c r="I3020" i="5"/>
  <c r="I3013" i="5"/>
  <c r="I3007" i="5"/>
  <c r="I3005" i="5"/>
  <c r="I3000" i="5"/>
  <c r="I2967" i="5"/>
  <c r="I2948" i="5"/>
  <c r="I2946" i="5"/>
  <c r="I2941" i="5"/>
  <c r="I2921" i="5"/>
  <c r="I2916" i="5"/>
  <c r="I2901" i="5"/>
  <c r="I2874" i="5"/>
  <c r="I2869" i="5"/>
  <c r="I2864" i="5"/>
  <c r="I2854" i="5"/>
  <c r="I2851" i="5"/>
  <c r="I2841" i="5"/>
  <c r="I2829" i="5"/>
  <c r="I2824" i="5"/>
  <c r="I2822" i="5"/>
  <c r="I2778" i="5"/>
  <c r="I2773" i="5"/>
  <c r="I2768" i="5"/>
  <c r="I2758" i="5"/>
  <c r="I2755" i="5"/>
  <c r="I2753" i="5"/>
  <c r="I2748" i="5"/>
  <c r="I2701" i="5"/>
  <c r="I2662" i="5"/>
  <c r="I2649" i="5"/>
  <c r="I2637" i="5"/>
  <c r="I2590" i="5"/>
  <c r="I2585" i="5"/>
  <c r="I2580" i="5"/>
  <c r="I2542" i="5"/>
  <c r="I2537" i="5"/>
  <c r="I2524" i="5"/>
  <c r="I2519" i="5"/>
  <c r="I2514" i="5"/>
  <c r="I2509" i="5"/>
  <c r="I2501" i="5"/>
  <c r="I2491" i="5"/>
  <c r="I2416" i="5"/>
  <c r="I2397" i="5"/>
  <c r="I2395" i="5"/>
  <c r="I3136" i="5"/>
  <c r="I3129" i="5"/>
  <c r="I3125" i="5"/>
  <c r="I3123" i="5"/>
  <c r="I3118" i="5"/>
  <c r="I3093" i="5"/>
  <c r="I3080" i="5"/>
  <c r="I3073" i="5"/>
  <c r="I3067" i="5"/>
  <c r="I3065" i="5"/>
  <c r="I3060" i="5"/>
  <c r="I3052" i="5"/>
  <c r="I3047" i="5"/>
  <c r="I3030" i="5"/>
  <c r="I3010" i="5"/>
  <c r="I2992" i="5"/>
  <c r="I2987" i="5"/>
  <c r="I2985" i="5"/>
  <c r="I2972" i="5"/>
  <c r="I2970" i="5"/>
  <c r="I2964" i="5"/>
  <c r="I2958" i="5"/>
  <c r="I2953" i="5"/>
  <c r="I2926" i="5"/>
  <c r="I2923" i="5"/>
  <c r="I2913" i="5"/>
  <c r="I2906" i="5"/>
  <c r="I2886" i="5"/>
  <c r="I2881" i="5"/>
  <c r="I2876" i="5"/>
  <c r="I2861" i="5"/>
  <c r="I2856" i="5"/>
  <c r="I2848" i="5"/>
  <c r="I2846" i="5"/>
  <c r="I2834" i="5"/>
  <c r="I2804" i="5"/>
  <c r="I2790" i="5"/>
  <c r="I2659" i="5"/>
  <c r="I2656" i="5"/>
  <c r="I2654" i="5"/>
  <c r="I2642" i="5"/>
  <c r="I2624" i="5"/>
  <c r="I2612" i="5"/>
  <c r="I2610" i="5"/>
  <c r="I2605" i="5"/>
  <c r="I2564" i="5"/>
  <c r="I2534" i="5"/>
  <c r="I2529" i="5"/>
  <c r="I2196" i="5"/>
  <c r="I2113" i="5"/>
  <c r="I2060" i="5"/>
  <c r="I2367" i="5"/>
  <c r="I2359" i="5"/>
  <c r="I2354" i="5"/>
  <c r="I2352" i="5"/>
  <c r="I2345" i="5"/>
  <c r="I2340" i="5"/>
  <c r="I2335" i="5"/>
  <c r="I2333" i="5"/>
  <c r="I2328" i="5"/>
  <c r="I2323" i="5"/>
  <c r="I2320" i="5"/>
  <c r="I2307" i="5"/>
  <c r="I2301" i="5"/>
  <c r="I2299" i="5"/>
  <c r="I2283" i="5"/>
  <c r="I2278" i="5"/>
  <c r="I2263" i="5"/>
  <c r="I2261" i="5"/>
  <c r="I2254" i="5"/>
  <c r="I2228" i="5"/>
  <c r="I2223" i="5"/>
  <c r="I2200" i="5"/>
  <c r="I2181" i="5"/>
  <c r="I2163" i="5"/>
  <c r="I2157" i="5"/>
  <c r="I2155" i="5"/>
  <c r="I2125" i="5"/>
  <c r="I2103" i="5"/>
  <c r="I2088" i="5"/>
  <c r="I2083" i="5"/>
  <c r="I2075" i="5"/>
  <c r="I2050" i="5"/>
  <c r="I2047" i="5"/>
  <c r="I2045" i="5"/>
  <c r="I2030" i="5"/>
  <c r="I2022" i="5"/>
  <c r="I2430" i="5"/>
  <c r="I2425" i="5"/>
  <c r="I2410" i="5"/>
  <c r="I2400" i="5"/>
  <c r="I2392" i="5"/>
  <c r="I2372" i="5"/>
  <c r="I2364" i="5"/>
  <c r="I2349" i="5"/>
  <c r="I2330" i="5"/>
  <c r="I2325" i="5"/>
  <c r="I2306" i="5"/>
  <c r="I2304" i="5"/>
  <c r="I2273" i="5"/>
  <c r="I2268" i="5"/>
  <c r="I2258" i="5"/>
  <c r="I2251" i="5"/>
  <c r="I2246" i="5"/>
  <c r="I2243" i="5"/>
  <c r="I2240" i="5"/>
  <c r="I2233" i="5"/>
  <c r="I2220" i="5"/>
  <c r="I2195" i="5"/>
  <c r="I2173" i="5"/>
  <c r="I2160" i="5"/>
  <c r="I2139" i="5"/>
  <c r="I2134" i="5"/>
  <c r="I2115" i="5"/>
  <c r="I2100" i="5"/>
  <c r="I2080" i="5"/>
  <c r="I2067" i="5"/>
  <c r="I2062" i="5"/>
  <c r="I2017" i="5"/>
  <c r="I1999" i="5"/>
  <c r="I2037" i="5"/>
  <c r="I2016" i="5"/>
  <c r="I2626" i="5"/>
  <c r="I2614" i="5"/>
  <c r="I2609" i="5"/>
  <c r="I2604" i="5"/>
  <c r="I2589" i="5"/>
  <c r="I2577" i="5"/>
  <c r="I2565" i="5"/>
  <c r="I2553" i="5"/>
  <c r="I2541" i="5"/>
  <c r="I2536" i="5"/>
  <c r="I2526" i="5"/>
  <c r="I2483" i="5"/>
  <c r="I2470" i="5"/>
  <c r="I2460" i="5"/>
  <c r="I2450" i="5"/>
  <c r="I2442" i="5"/>
  <c r="I2437" i="5"/>
  <c r="I2429" i="5"/>
  <c r="I2412" i="5"/>
  <c r="I2402" i="5"/>
  <c r="I2399" i="5"/>
  <c r="I2394" i="5"/>
  <c r="I2374" i="5"/>
  <c r="I2368" i="5"/>
  <c r="I2366" i="5"/>
  <c r="I2322" i="5"/>
  <c r="I2314" i="5"/>
  <c r="I2303" i="5"/>
  <c r="I2298" i="5"/>
  <c r="I2290" i="5"/>
  <c r="I2287" i="5"/>
  <c r="I2272" i="5"/>
  <c r="I2267" i="5"/>
  <c r="I2235" i="5"/>
  <c r="I2230" i="5"/>
  <c r="I2222" i="5"/>
  <c r="I2202" i="5"/>
  <c r="I2190" i="5"/>
  <c r="I2107" i="5"/>
  <c r="I2102" i="5"/>
  <c r="I2092" i="5"/>
  <c r="I2087" i="5"/>
  <c r="I2082" i="5"/>
  <c r="I2061" i="5"/>
  <c r="I2049" i="5"/>
  <c r="I2044" i="5"/>
  <c r="I2042" i="5"/>
  <c r="I2034" i="5"/>
  <c r="I2029" i="5"/>
  <c r="I2019" i="5"/>
  <c r="I2006" i="5"/>
  <c r="I2785" i="5"/>
  <c r="I2780" i="5"/>
  <c r="I2765" i="5"/>
  <c r="I2760" i="5"/>
  <c r="I2745" i="5"/>
  <c r="I2740" i="5"/>
  <c r="I2738" i="5"/>
  <c r="I2696" i="5"/>
  <c r="I2694" i="5"/>
  <c r="I2689" i="5"/>
  <c r="I2682" i="5"/>
  <c r="I2677" i="5"/>
  <c r="I2650" i="5"/>
  <c r="I2638" i="5"/>
  <c r="I2633" i="5"/>
  <c r="I2628" i="5"/>
  <c r="I2621" i="5"/>
  <c r="I2616" i="5"/>
  <c r="I2601" i="5"/>
  <c r="I2596" i="5"/>
  <c r="I2594" i="5"/>
  <c r="I2584" i="5"/>
  <c r="I2582" i="5"/>
  <c r="I2570" i="5"/>
  <c r="I2558" i="5"/>
  <c r="I2548" i="5"/>
  <c r="I2546" i="5"/>
  <c r="I2505" i="5"/>
  <c r="I2503" i="5"/>
  <c r="I2498" i="5"/>
  <c r="I2490" i="5"/>
  <c r="I2485" i="5"/>
  <c r="I2477" i="5"/>
  <c r="I2475" i="5"/>
  <c r="I2469" i="5"/>
  <c r="I2467" i="5"/>
  <c r="I2447" i="5"/>
  <c r="I2422" i="5"/>
  <c r="I2386" i="5"/>
  <c r="I2376" i="5"/>
  <c r="I2373" i="5"/>
  <c r="I2371" i="5"/>
  <c r="I2358" i="5"/>
  <c r="I2334" i="5"/>
  <c r="I2319" i="5"/>
  <c r="I2308" i="5"/>
  <c r="I2300" i="5"/>
  <c r="I2172" i="5"/>
  <c r="I2167" i="5"/>
  <c r="I2159" i="5"/>
  <c r="I2151" i="5"/>
  <c r="I2143" i="5"/>
  <c r="I2109" i="5"/>
  <c r="I2104" i="5"/>
  <c r="I2084" i="5"/>
  <c r="I2079" i="5"/>
  <c r="I2071" i="5"/>
  <c r="I2066" i="5"/>
  <c r="I2054" i="5"/>
  <c r="I2039" i="5"/>
  <c r="I2028" i="5"/>
  <c r="I2026" i="5"/>
  <c r="I2021" i="5"/>
  <c r="I2346" i="5"/>
  <c r="I2341" i="5"/>
  <c r="I2336" i="5"/>
  <c r="I2329" i="5"/>
  <c r="I2264" i="5"/>
  <c r="I2257" i="5"/>
  <c r="I2250" i="5"/>
  <c r="I2242" i="5"/>
  <c r="I2211" i="5"/>
  <c r="I2206" i="5"/>
  <c r="I2187" i="5"/>
  <c r="I2148" i="5"/>
  <c r="I2123" i="5"/>
  <c r="I2121" i="5"/>
  <c r="I2094" i="5"/>
  <c r="I2076" i="5"/>
  <c r="I2056" i="5"/>
  <c r="I2053" i="5"/>
  <c r="I2051" i="5"/>
  <c r="I2031" i="5"/>
  <c r="I2013" i="5"/>
  <c r="I1995" i="5"/>
  <c r="I1985" i="5"/>
  <c r="I1982" i="5"/>
  <c r="I1975" i="5"/>
  <c r="I1953" i="5"/>
  <c r="I1918" i="5"/>
  <c r="I1916" i="5"/>
  <c r="I1891" i="5"/>
  <c r="I1881" i="5"/>
  <c r="I2606" i="5"/>
  <c r="I2513" i="5"/>
  <c r="I2506" i="5"/>
  <c r="I2496" i="5"/>
  <c r="I2486" i="5"/>
  <c r="I2478" i="5"/>
  <c r="I2473" i="5"/>
  <c r="I2445" i="5"/>
  <c r="I2443" i="5"/>
  <c r="I2423" i="5"/>
  <c r="I2418" i="5"/>
  <c r="I2413" i="5"/>
  <c r="I2405" i="5"/>
  <c r="I2398" i="5"/>
  <c r="I2388" i="5"/>
  <c r="I2378" i="5"/>
  <c r="I2375" i="5"/>
  <c r="I2365" i="5"/>
  <c r="I2355" i="5"/>
  <c r="I2343" i="5"/>
  <c r="I2316" i="5"/>
  <c r="I2313" i="5"/>
  <c r="I2292" i="5"/>
  <c r="I2284" i="5"/>
  <c r="I2279" i="5"/>
  <c r="I2262" i="5"/>
  <c r="I2252" i="5"/>
  <c r="I2245" i="5"/>
  <c r="I2239" i="5"/>
  <c r="I2234" i="5"/>
  <c r="I2232" i="5"/>
  <c r="I2229" i="5"/>
  <c r="I2227" i="5"/>
  <c r="I2197" i="5"/>
  <c r="I2192" i="5"/>
  <c r="I2185" i="5"/>
  <c r="I2175" i="5"/>
  <c r="I2162" i="5"/>
  <c r="I2154" i="5"/>
  <c r="I2146" i="5"/>
  <c r="I2138" i="5"/>
  <c r="I2133" i="5"/>
  <c r="I2124" i="5"/>
  <c r="I2119" i="5"/>
  <c r="I2117" i="5"/>
  <c r="I2110" i="5"/>
  <c r="I2097" i="5"/>
  <c r="I2095" i="5"/>
  <c r="I2090" i="5"/>
  <c r="I2085" i="5"/>
  <c r="I2077" i="5"/>
  <c r="I2074" i="5"/>
  <c r="I2064" i="5"/>
  <c r="I2057" i="5"/>
  <c r="I2035" i="5"/>
  <c r="I2032" i="5"/>
  <c r="I2027" i="5"/>
  <c r="I2007" i="5"/>
  <c r="I1965" i="5"/>
  <c r="I1963" i="5"/>
  <c r="I1956" i="5"/>
  <c r="I1947" i="5"/>
  <c r="I1942" i="5"/>
  <c r="I1935" i="5"/>
  <c r="I1923" i="5"/>
  <c r="I1903" i="5"/>
  <c r="I1896" i="5"/>
  <c r="I1886" i="5"/>
  <c r="I1989" i="5"/>
  <c r="I1984" i="5"/>
  <c r="I1979" i="5"/>
  <c r="I1977" i="5"/>
  <c r="I1885" i="5"/>
  <c r="I2014" i="5"/>
  <c r="I2009" i="5"/>
  <c r="I2001" i="5"/>
  <c r="I1996" i="5"/>
  <c r="I1994" i="5"/>
  <c r="I1950" i="5"/>
  <c r="I1946" i="5"/>
  <c r="I1944" i="5"/>
  <c r="I1934" i="5"/>
  <c r="I1922" i="5"/>
  <c r="I1915" i="5"/>
  <c r="I1910" i="5"/>
  <c r="I1905" i="5"/>
  <c r="I1880" i="5"/>
  <c r="I2011" i="5"/>
  <c r="I2008" i="5"/>
  <c r="I2003" i="5"/>
  <c r="I1998" i="5"/>
  <c r="I1980" i="5"/>
  <c r="I1952" i="5"/>
  <c r="I1948" i="5"/>
  <c r="I1941" i="5"/>
  <c r="I1936" i="5"/>
  <c r="I1929" i="5"/>
  <c r="I1924" i="5"/>
  <c r="I1917" i="5"/>
  <c r="I1907" i="5"/>
  <c r="I1892" i="5"/>
  <c r="I1882" i="5"/>
  <c r="I1983" i="5"/>
  <c r="I1976" i="5"/>
  <c r="I1964" i="5"/>
  <c r="I1906" i="5"/>
  <c r="I1904" i="5"/>
  <c r="I1899" i="5"/>
  <c r="I1887" i="5"/>
  <c r="I1879" i="5"/>
  <c r="I1992" i="5"/>
  <c r="I1973" i="5"/>
  <c r="I1909" i="5"/>
  <c r="I1884" i="5"/>
  <c r="I1874" i="5"/>
  <c r="I4231" i="5"/>
  <c r="I4186" i="5"/>
  <c r="I4170" i="5"/>
  <c r="I4150" i="5"/>
  <c r="I4134" i="5"/>
  <c r="I4228" i="5"/>
  <c r="I4189" i="5"/>
  <c r="I4153" i="5"/>
  <c r="I4037" i="5"/>
  <c r="I3965" i="5"/>
  <c r="I3893" i="5"/>
  <c r="I4120" i="5"/>
  <c r="I4096" i="5"/>
  <c r="I4243" i="5"/>
  <c r="I4230" i="5"/>
  <c r="I4213" i="5"/>
  <c r="I4198" i="5"/>
  <c r="I4195" i="5"/>
  <c r="I4182" i="5"/>
  <c r="I4162" i="5"/>
  <c r="I4159" i="5"/>
  <c r="I4146" i="5"/>
  <c r="I4126" i="5"/>
  <c r="I4116" i="5"/>
  <c r="I4102" i="5"/>
  <c r="I4219" i="5"/>
  <c r="I4216" i="5"/>
  <c r="I4084" i="5"/>
  <c r="I4013" i="5"/>
  <c r="I3941" i="5"/>
  <c r="I3869" i="5"/>
  <c r="I4207" i="5"/>
  <c r="I4188" i="5"/>
  <c r="I4152" i="5"/>
  <c r="I4168" i="5"/>
  <c r="I4132" i="5"/>
  <c r="I4072" i="5"/>
  <c r="I4001" i="5"/>
  <c r="I3929" i="5"/>
  <c r="I4242" i="5"/>
  <c r="I4194" i="5"/>
  <c r="I4174" i="5"/>
  <c r="I4158" i="5"/>
  <c r="I4138" i="5"/>
  <c r="I4206" i="5"/>
  <c r="I4200" i="5"/>
  <c r="I4164" i="5"/>
  <c r="I4128" i="5"/>
  <c r="I4114" i="5"/>
  <c r="I4104" i="5"/>
  <c r="I3842" i="5"/>
  <c r="I3839" i="5"/>
  <c r="I3779" i="5"/>
  <c r="I3731" i="5"/>
  <c r="I3688" i="5"/>
  <c r="I3605" i="5"/>
  <c r="I3557" i="5"/>
  <c r="I3510" i="5"/>
  <c r="I3462" i="5"/>
  <c r="I3819" i="5"/>
  <c r="I3835" i="5"/>
  <c r="I3815" i="5"/>
  <c r="I3767" i="5"/>
  <c r="I3719" i="5"/>
  <c r="I3676" i="5"/>
  <c r="I3641" i="5"/>
  <c r="I3593" i="5"/>
  <c r="I3546" i="5"/>
  <c r="I3498" i="5"/>
  <c r="I3450" i="5"/>
  <c r="I3857" i="5"/>
  <c r="I3854" i="5"/>
  <c r="I3803" i="5"/>
  <c r="I3755" i="5"/>
  <c r="I3664" i="5"/>
  <c r="I3629" i="5"/>
  <c r="I3581" i="5"/>
  <c r="I3534" i="5"/>
  <c r="I3486" i="5"/>
  <c r="I3438" i="5"/>
  <c r="I3851" i="5"/>
  <c r="I3848" i="5"/>
  <c r="I3830" i="5"/>
  <c r="I3827" i="5"/>
  <c r="I3791" i="5"/>
  <c r="I3743" i="5"/>
  <c r="I3700" i="5"/>
  <c r="I3617" i="5"/>
  <c r="I3569" i="5"/>
  <c r="I3522" i="5"/>
  <c r="I3474" i="5"/>
  <c r="I3426" i="5"/>
  <c r="I3388" i="5"/>
  <c r="I3375" i="5"/>
  <c r="I3384" i="5"/>
  <c r="I3188" i="5"/>
  <c r="I3395" i="5"/>
  <c r="I3363" i="5"/>
  <c r="I3383" i="5"/>
  <c r="I3391" i="5"/>
  <c r="I3379" i="5"/>
  <c r="I3351" i="5"/>
  <c r="I2560" i="5"/>
  <c r="I2965" i="5"/>
  <c r="I2908" i="5"/>
  <c r="I2860" i="5"/>
  <c r="I2776" i="5"/>
  <c r="I2764" i="5"/>
  <c r="I2960" i="5"/>
  <c r="I2957" i="5"/>
  <c r="I2836" i="5"/>
  <c r="I2800" i="5"/>
  <c r="I2752" i="5"/>
  <c r="I2716" i="5"/>
  <c r="I2680" i="5"/>
  <c r="I2644" i="5"/>
  <c r="I2608" i="5"/>
  <c r="I2572" i="5"/>
  <c r="I2969" i="5"/>
  <c r="I2920" i="5"/>
  <c r="I2966" i="5"/>
  <c r="I2480" i="5"/>
  <c r="I2432" i="5"/>
  <c r="I2384" i="5"/>
  <c r="I2295" i="5"/>
  <c r="I2310" i="5"/>
  <c r="I2161" i="5"/>
  <c r="I2516" i="5"/>
  <c r="I2208" i="5"/>
  <c r="I2522" i="5"/>
  <c r="I2238" i="5"/>
  <c r="I2156" i="5"/>
  <c r="I2305" i="5"/>
  <c r="I2504" i="5"/>
  <c r="I2456" i="5"/>
  <c r="I2408" i="5"/>
  <c r="I2136" i="5"/>
  <c r="I2089" i="5"/>
  <c r="I2492" i="5"/>
  <c r="I2444" i="5"/>
  <c r="I2396" i="5"/>
  <c r="I2280" i="5"/>
  <c r="I2357" i="5"/>
  <c r="I2285" i="5"/>
  <c r="I2213" i="5"/>
  <c r="I2141" i="5"/>
  <c r="I2069" i="5"/>
  <c r="I1972" i="5"/>
  <c r="I1895" i="5"/>
  <c r="I1966" i="5"/>
  <c r="I1931" i="5"/>
  <c r="I2309" i="5"/>
  <c r="I2237" i="5"/>
  <c r="I2165" i="5"/>
  <c r="I2093" i="5"/>
  <c r="I2005" i="5"/>
  <c r="I1883" i="5"/>
  <c r="I2321" i="5"/>
  <c r="I2249" i="5"/>
  <c r="I2177" i="5"/>
  <c r="I2105" i="5"/>
  <c r="I1954" i="5"/>
  <c r="I1912" i="5"/>
  <c r="I1993" i="5"/>
  <c r="I1919" i="5"/>
  <c r="I2041" i="5"/>
  <c r="I1981" i="5"/>
  <c r="I1900" i="5"/>
  <c r="I1817" i="5"/>
  <c r="I17" i="5"/>
  <c r="I25" i="5"/>
  <c r="I41" i="5"/>
  <c r="I49" i="5"/>
  <c r="I65" i="5"/>
  <c r="I73" i="5"/>
  <c r="I81" i="5"/>
  <c r="I89" i="5"/>
  <c r="I97" i="5"/>
  <c r="I105" i="5"/>
  <c r="I113" i="5"/>
  <c r="I121" i="5"/>
  <c r="I129" i="5"/>
  <c r="I137" i="5"/>
  <c r="I145" i="5"/>
  <c r="I153" i="5"/>
  <c r="I1746" i="5"/>
  <c r="I9" i="5"/>
  <c r="I33" i="5"/>
  <c r="I57" i="5"/>
  <c r="I1754" i="5"/>
  <c r="I1762" i="5"/>
  <c r="I1770" i="5"/>
  <c r="I1778" i="5"/>
  <c r="I1786" i="5"/>
  <c r="I1794" i="5"/>
  <c r="I1802" i="5"/>
  <c r="I1810" i="5"/>
  <c r="I1818" i="5"/>
  <c r="I1826" i="5"/>
  <c r="I719" i="5"/>
  <c r="I783" i="5"/>
  <c r="I847" i="5"/>
  <c r="I911" i="5"/>
  <c r="I975" i="5"/>
  <c r="I1039" i="5"/>
  <c r="I1103" i="5"/>
  <c r="I1167" i="5"/>
  <c r="I1231" i="5"/>
  <c r="I1287" i="5"/>
  <c r="I1584" i="5"/>
  <c r="I1753" i="5"/>
  <c r="I4" i="5"/>
  <c r="I12" i="5"/>
  <c r="I20" i="5"/>
  <c r="I28" i="5"/>
  <c r="I36" i="5"/>
  <c r="I44" i="5"/>
  <c r="I52" i="5"/>
  <c r="I60" i="5"/>
  <c r="I68" i="5"/>
  <c r="I76" i="5"/>
  <c r="I84" i="5"/>
  <c r="I92" i="5"/>
  <c r="I100" i="5"/>
  <c r="I108" i="5"/>
  <c r="I116" i="5"/>
  <c r="I124" i="5"/>
  <c r="I132" i="5"/>
  <c r="I140" i="5"/>
  <c r="I148" i="5"/>
  <c r="I156" i="5"/>
  <c r="I163" i="5"/>
  <c r="I171" i="5"/>
  <c r="I179" i="5"/>
  <c r="I187" i="5"/>
  <c r="I195" i="5"/>
  <c r="I203" i="5"/>
  <c r="I211" i="5"/>
  <c r="I219" i="5"/>
  <c r="I227" i="5"/>
  <c r="I235" i="5"/>
  <c r="I243" i="5"/>
  <c r="I251" i="5"/>
  <c r="I259" i="5"/>
  <c r="I267" i="5"/>
  <c r="I275" i="5"/>
  <c r="I283" i="5"/>
  <c r="I291" i="5"/>
  <c r="I299" i="5"/>
  <c r="I307" i="5"/>
  <c r="I315" i="5"/>
  <c r="I323" i="5"/>
  <c r="I331" i="5"/>
  <c r="I339" i="5"/>
  <c r="I347" i="5"/>
  <c r="I355" i="5"/>
  <c r="I363" i="5"/>
  <c r="I371" i="5"/>
  <c r="I379" i="5"/>
  <c r="I387" i="5"/>
  <c r="I395" i="5"/>
  <c r="I403" i="5"/>
  <c r="I411" i="5"/>
  <c r="I419" i="5"/>
  <c r="I427" i="5"/>
  <c r="I435" i="5"/>
  <c r="I443" i="5"/>
  <c r="I451" i="5"/>
  <c r="I459" i="5"/>
  <c r="I467" i="5"/>
  <c r="I7" i="5"/>
  <c r="I15" i="5"/>
  <c r="I23" i="5"/>
  <c r="I31" i="5"/>
  <c r="I39" i="5"/>
  <c r="I47" i="5"/>
  <c r="I55" i="5"/>
  <c r="I63" i="5"/>
  <c r="I71" i="5"/>
  <c r="I79" i="5"/>
  <c r="I87" i="5"/>
  <c r="I95" i="5"/>
  <c r="I103" i="5"/>
  <c r="I111" i="5"/>
  <c r="I119" i="5"/>
  <c r="I127" i="5"/>
  <c r="I135" i="5"/>
  <c r="I143" i="5"/>
  <c r="I151" i="5"/>
  <c r="I158" i="5"/>
  <c r="I166" i="5"/>
  <c r="I174" i="5"/>
  <c r="I182" i="5"/>
  <c r="I190" i="5"/>
  <c r="I198" i="5"/>
  <c r="I206" i="5"/>
  <c r="I214" i="5"/>
  <c r="I222" i="5"/>
  <c r="I230" i="5"/>
  <c r="I238" i="5"/>
  <c r="I246" i="5"/>
  <c r="I254" i="5"/>
  <c r="I262" i="5"/>
  <c r="I270" i="5"/>
  <c r="I278" i="5"/>
  <c r="I286" i="5"/>
  <c r="I294" i="5"/>
  <c r="I302" i="5"/>
  <c r="I310" i="5"/>
  <c r="I318" i="5"/>
  <c r="I326" i="5"/>
  <c r="I334" i="5"/>
  <c r="I342" i="5"/>
  <c r="I350" i="5"/>
  <c r="I358" i="5"/>
  <c r="I366" i="5"/>
  <c r="I374" i="5"/>
  <c r="I382" i="5"/>
  <c r="I390" i="5"/>
  <c r="I398" i="5"/>
  <c r="I406" i="5"/>
  <c r="I414" i="5"/>
  <c r="I422" i="5"/>
  <c r="I430" i="5"/>
  <c r="I438" i="5"/>
  <c r="I446" i="5"/>
  <c r="I454" i="5"/>
  <c r="I462" i="5"/>
  <c r="I470" i="5"/>
  <c r="I478" i="5"/>
  <c r="I486" i="5"/>
  <c r="I497" i="5"/>
  <c r="I809" i="5"/>
  <c r="I817" i="5"/>
  <c r="I825" i="5"/>
  <c r="I833" i="5"/>
  <c r="I841" i="5"/>
  <c r="I849" i="5"/>
  <c r="I857" i="5"/>
  <c r="I865" i="5"/>
  <c r="I873" i="5"/>
  <c r="I881" i="5"/>
  <c r="I889" i="5"/>
  <c r="I897" i="5"/>
  <c r="I905" i="5"/>
  <c r="I913" i="5"/>
  <c r="I921" i="5"/>
  <c r="I929" i="5"/>
  <c r="I937" i="5"/>
  <c r="I945" i="5"/>
  <c r="I953" i="5"/>
  <c r="I961" i="5"/>
  <c r="I969" i="5"/>
  <c r="I977" i="5"/>
  <c r="I985" i="5"/>
  <c r="I993" i="5"/>
  <c r="I1001" i="5"/>
  <c r="I1009" i="5"/>
  <c r="I1017" i="5"/>
  <c r="I1025" i="5"/>
  <c r="I1033" i="5"/>
  <c r="I1041" i="5"/>
  <c r="I1049" i="5"/>
  <c r="I1057" i="5"/>
  <c r="I1065" i="5"/>
  <c r="I1073" i="5"/>
  <c r="I1081" i="5"/>
  <c r="I1089" i="5"/>
  <c r="I1097" i="5"/>
  <c r="I475" i="5"/>
  <c r="I483" i="5"/>
  <c r="I491" i="5"/>
  <c r="I499" i="5"/>
  <c r="I507" i="5"/>
  <c r="I515" i="5"/>
  <c r="I523" i="5"/>
  <c r="I531" i="5"/>
  <c r="I539" i="5"/>
  <c r="I547" i="5"/>
  <c r="I555" i="5"/>
  <c r="I563" i="5"/>
  <c r="I571" i="5"/>
  <c r="I579" i="5"/>
  <c r="I587" i="5"/>
  <c r="I595" i="5"/>
  <c r="I603" i="5"/>
  <c r="I611" i="5"/>
  <c r="I619" i="5"/>
  <c r="I627" i="5"/>
  <c r="I635" i="5"/>
  <c r="I643" i="5"/>
  <c r="I651" i="5"/>
  <c r="I659" i="5"/>
  <c r="I667" i="5"/>
  <c r="I675" i="5"/>
  <c r="I680" i="5"/>
  <c r="I688" i="5"/>
  <c r="I696" i="5"/>
  <c r="I704" i="5"/>
  <c r="I712" i="5"/>
  <c r="I720" i="5"/>
  <c r="I728" i="5"/>
  <c r="I736" i="5"/>
  <c r="I744" i="5"/>
  <c r="I752" i="5"/>
  <c r="I760" i="5"/>
  <c r="I768" i="5"/>
  <c r="I776" i="5"/>
  <c r="I784" i="5"/>
  <c r="I792" i="5"/>
  <c r="I800" i="5"/>
  <c r="I808" i="5"/>
  <c r="I816" i="5"/>
  <c r="I824" i="5"/>
  <c r="I832" i="5"/>
  <c r="I840" i="5"/>
  <c r="I848" i="5"/>
  <c r="I856" i="5"/>
  <c r="I864" i="5"/>
  <c r="I872" i="5"/>
  <c r="I880" i="5"/>
  <c r="I888" i="5"/>
  <c r="I896" i="5"/>
  <c r="I904" i="5"/>
  <c r="I912" i="5"/>
  <c r="I920" i="5"/>
  <c r="I928" i="5"/>
  <c r="I936" i="5"/>
  <c r="I944" i="5"/>
  <c r="I952" i="5"/>
  <c r="I960" i="5"/>
  <c r="I968" i="5"/>
  <c r="I976" i="5"/>
  <c r="I984" i="5"/>
  <c r="I992" i="5"/>
  <c r="I1000" i="5"/>
  <c r="I1008" i="5"/>
  <c r="I1016" i="5"/>
  <c r="I1024" i="5"/>
  <c r="I1032" i="5"/>
  <c r="I1040" i="5"/>
  <c r="I1048" i="5"/>
  <c r="I1056" i="5"/>
  <c r="I1064" i="5"/>
  <c r="I1072" i="5"/>
  <c r="I1080" i="5"/>
  <c r="I1088" i="5"/>
  <c r="I1096" i="5"/>
  <c r="I1104" i="5"/>
  <c r="I1112" i="5"/>
  <c r="I1120" i="5"/>
  <c r="I1128" i="5"/>
  <c r="I1136" i="5"/>
  <c r="I1144" i="5"/>
  <c r="I494" i="5"/>
  <c r="I502" i="5"/>
  <c r="I510" i="5"/>
  <c r="I518" i="5"/>
  <c r="I526" i="5"/>
  <c r="I534" i="5"/>
  <c r="I542" i="5"/>
  <c r="I550" i="5"/>
  <c r="I558" i="5"/>
  <c r="I566" i="5"/>
  <c r="I574" i="5"/>
  <c r="I582" i="5"/>
  <c r="I590" i="5"/>
  <c r="I598" i="5"/>
  <c r="I606" i="5"/>
  <c r="I614" i="5"/>
  <c r="I622" i="5"/>
  <c r="I630" i="5"/>
  <c r="I638" i="5"/>
  <c r="I646" i="5"/>
  <c r="I654" i="5"/>
  <c r="I662" i="5"/>
  <c r="I670" i="5"/>
  <c r="I683" i="5"/>
  <c r="I691" i="5"/>
  <c r="I699" i="5"/>
  <c r="I707" i="5"/>
  <c r="I715" i="5"/>
  <c r="I723" i="5"/>
  <c r="I731" i="5"/>
  <c r="I739" i="5"/>
  <c r="I747" i="5"/>
  <c r="I1105" i="5"/>
  <c r="I1113" i="5"/>
  <c r="I1121" i="5"/>
  <c r="I1129" i="5"/>
  <c r="I1137" i="5"/>
  <c r="I1145" i="5"/>
  <c r="I1153" i="5"/>
  <c r="I1161" i="5"/>
  <c r="I1169" i="5"/>
  <c r="I1177" i="5"/>
  <c r="I1185" i="5"/>
  <c r="I1193" i="5"/>
  <c r="I1201" i="5"/>
  <c r="I1209" i="5"/>
  <c r="I1217" i="5"/>
  <c r="I1225" i="5"/>
  <c r="I1233" i="5"/>
  <c r="I1241" i="5"/>
  <c r="I1249" i="5"/>
  <c r="I1257" i="5"/>
  <c r="I1265" i="5"/>
  <c r="I1273" i="5"/>
  <c r="I1281" i="5"/>
  <c r="I1289" i="5"/>
  <c r="I1297" i="5"/>
  <c r="I1305" i="5"/>
  <c r="I1313" i="5"/>
  <c r="I1321" i="5"/>
  <c r="I1329" i="5"/>
  <c r="I1337" i="5"/>
  <c r="I1345" i="5"/>
  <c r="I1353" i="5"/>
  <c r="I1361" i="5"/>
  <c r="I1369" i="5"/>
  <c r="I1377" i="5"/>
  <c r="I1385" i="5"/>
  <c r="I1393" i="5"/>
  <c r="I1401" i="5"/>
  <c r="I1410" i="5"/>
  <c r="I1418" i="5"/>
  <c r="I1426" i="5"/>
  <c r="I1434" i="5"/>
  <c r="I1442" i="5"/>
  <c r="I1450" i="5"/>
  <c r="I1458" i="5"/>
  <c r="I1466" i="5"/>
  <c r="I1474" i="5"/>
  <c r="I1482" i="5"/>
  <c r="I1490" i="5"/>
  <c r="I1498" i="5"/>
  <c r="I1506" i="5"/>
  <c r="I1514" i="5"/>
  <c r="I1522" i="5"/>
  <c r="I1530" i="5"/>
  <c r="I1538" i="5"/>
  <c r="I1546" i="5"/>
  <c r="I1554" i="5"/>
  <c r="I1562" i="5"/>
  <c r="I1570" i="5"/>
  <c r="I1578" i="5"/>
  <c r="I1586" i="5"/>
  <c r="I1594" i="5"/>
  <c r="I1602" i="5"/>
  <c r="I1610" i="5"/>
  <c r="I1618" i="5"/>
  <c r="I1626" i="5"/>
  <c r="I1634" i="5"/>
  <c r="I1642" i="5"/>
  <c r="I1650" i="5"/>
  <c r="I1658" i="5"/>
  <c r="I1666" i="5"/>
  <c r="I1674" i="5"/>
  <c r="I1682" i="5"/>
  <c r="I1690" i="5"/>
  <c r="I1698" i="5"/>
  <c r="I1706" i="5"/>
  <c r="I1714" i="5"/>
  <c r="I1722" i="5"/>
  <c r="I1730" i="5"/>
  <c r="I1738" i="5"/>
  <c r="I1319" i="5"/>
  <c r="I1351" i="5"/>
  <c r="I1399" i="5"/>
  <c r="I1456" i="5"/>
  <c r="I1520" i="5"/>
  <c r="I1648" i="5"/>
  <c r="I1712" i="5"/>
  <c r="I1750" i="5"/>
  <c r="I1758" i="5"/>
  <c r="I1766" i="5"/>
  <c r="I1774" i="5"/>
  <c r="I1776" i="5"/>
  <c r="I1782" i="5"/>
  <c r="I1790" i="5"/>
  <c r="I1792" i="5"/>
  <c r="I1798" i="5"/>
  <c r="I1806" i="5"/>
  <c r="I1814" i="5"/>
  <c r="I1816" i="5"/>
  <c r="I1822" i="5"/>
  <c r="I1830" i="5"/>
  <c r="I1152" i="5"/>
  <c r="I1160" i="5"/>
  <c r="I1168" i="5"/>
  <c r="I1176" i="5"/>
  <c r="I1184" i="5"/>
  <c r="I1192" i="5"/>
  <c r="I1200" i="5"/>
  <c r="I1208" i="5"/>
  <c r="I1216" i="5"/>
  <c r="I1224" i="5"/>
  <c r="I1232" i="5"/>
  <c r="I1240" i="5"/>
  <c r="I1248" i="5"/>
  <c r="I1256" i="5"/>
  <c r="I1264" i="5"/>
  <c r="I1272" i="5"/>
  <c r="I1280" i="5"/>
  <c r="I1288" i="5"/>
  <c r="I1296" i="5"/>
  <c r="I1304" i="5"/>
  <c r="I1312" i="5"/>
  <c r="I1320" i="5"/>
  <c r="I1328" i="5"/>
  <c r="I1336" i="5"/>
  <c r="I1344" i="5"/>
  <c r="I1352" i="5"/>
  <c r="I1360" i="5"/>
  <c r="I1368" i="5"/>
  <c r="I1376" i="5"/>
  <c r="I1384" i="5"/>
  <c r="I1392" i="5"/>
  <c r="I1400" i="5"/>
  <c r="I1409" i="5"/>
  <c r="I1417" i="5"/>
  <c r="I1425" i="5"/>
  <c r="I1433" i="5"/>
  <c r="I1441" i="5"/>
  <c r="I1449" i="5"/>
  <c r="I1457" i="5"/>
  <c r="I1465" i="5"/>
  <c r="I1473" i="5"/>
  <c r="I1481" i="5"/>
  <c r="I1489" i="5"/>
  <c r="I1497" i="5"/>
  <c r="I1505" i="5"/>
  <c r="I1513" i="5"/>
  <c r="I1521" i="5"/>
  <c r="I1529" i="5"/>
  <c r="I1537" i="5"/>
  <c r="I1545" i="5"/>
  <c r="I1553" i="5"/>
  <c r="I1561" i="5"/>
  <c r="I1569" i="5"/>
  <c r="I1577" i="5"/>
  <c r="I1585" i="5"/>
  <c r="I1593" i="5"/>
  <c r="I1601" i="5"/>
  <c r="I1609" i="5"/>
  <c r="I1617" i="5"/>
  <c r="I1625" i="5"/>
  <c r="I1633" i="5"/>
  <c r="I1641" i="5"/>
  <c r="I1649" i="5"/>
  <c r="I1657" i="5"/>
  <c r="I1665" i="5"/>
  <c r="I1673" i="5"/>
  <c r="I1681" i="5"/>
  <c r="I1689" i="5"/>
  <c r="I1697" i="5"/>
  <c r="I1705" i="5"/>
  <c r="I1713" i="5"/>
  <c r="I1721" i="5"/>
  <c r="I1729" i="5"/>
  <c r="I1737" i="5"/>
  <c r="I1745" i="5"/>
  <c r="I1761" i="5"/>
  <c r="I1769" i="5"/>
  <c r="I1777" i="5"/>
  <c r="I1785" i="5"/>
  <c r="I1793" i="5"/>
  <c r="I1801" i="5"/>
  <c r="I1809" i="5"/>
  <c r="I1825" i="5"/>
  <c r="I1724" i="5"/>
  <c r="I1732" i="5"/>
  <c r="I1740" i="5"/>
  <c r="I1748" i="5"/>
  <c r="I1764" i="5"/>
  <c r="I1772" i="5"/>
  <c r="I1780" i="5"/>
  <c r="I1788" i="5"/>
  <c r="I1796" i="5"/>
  <c r="I1804" i="5"/>
  <c r="I1812" i="5"/>
  <c r="I1820" i="5"/>
  <c r="I1828" i="5"/>
  <c r="I1751" i="5"/>
  <c r="I1759" i="5"/>
  <c r="I1767" i="5"/>
  <c r="I1775" i="5"/>
  <c r="I1815" i="5"/>
  <c r="I1823" i="5"/>
  <c r="I1831" i="5"/>
  <c r="I141" i="5"/>
  <c r="I5" i="5"/>
  <c r="I13" i="5"/>
  <c r="I21" i="5"/>
  <c r="I29" i="5"/>
  <c r="I37" i="5"/>
  <c r="I45" i="5"/>
  <c r="I53" i="5"/>
  <c r="I61" i="5"/>
  <c r="I69" i="5"/>
  <c r="I77" i="5"/>
  <c r="I85" i="5"/>
  <c r="I93" i="5"/>
  <c r="I101" i="5"/>
  <c r="I109" i="5"/>
  <c r="I117" i="5"/>
  <c r="I125" i="5"/>
  <c r="I133" i="5"/>
  <c r="I43" i="5"/>
  <c r="I51" i="5"/>
  <c r="I59" i="5"/>
  <c r="I67" i="5"/>
  <c r="I99" i="5"/>
  <c r="I139" i="5"/>
  <c r="I147" i="5"/>
  <c r="I202" i="5"/>
  <c r="I210" i="5"/>
  <c r="I218" i="5"/>
  <c r="I242" i="5"/>
  <c r="I250" i="5"/>
  <c r="I258" i="5"/>
  <c r="I266" i="5"/>
  <c r="I274" i="5"/>
  <c r="I282" i="5"/>
  <c r="I290" i="5"/>
  <c r="I298" i="5"/>
  <c r="I306" i="5"/>
  <c r="I314" i="5"/>
  <c r="I322" i="5"/>
  <c r="I330" i="5"/>
  <c r="I338" i="5"/>
  <c r="I346" i="5"/>
  <c r="I354" i="5"/>
  <c r="I362" i="5"/>
  <c r="I370" i="5"/>
  <c r="I378" i="5"/>
  <c r="I386" i="5"/>
  <c r="I394" i="5"/>
  <c r="I402" i="5"/>
  <c r="I410" i="5"/>
  <c r="I418" i="5"/>
  <c r="I426" i="5"/>
  <c r="I434" i="5"/>
  <c r="I442" i="5"/>
  <c r="I450" i="5"/>
  <c r="I458" i="5"/>
  <c r="I466" i="5"/>
  <c r="I474" i="5"/>
  <c r="I3" i="5"/>
  <c r="I11" i="5"/>
  <c r="I19" i="5"/>
  <c r="I27" i="5"/>
  <c r="I35" i="5"/>
  <c r="I75" i="5"/>
  <c r="I83" i="5"/>
  <c r="I91" i="5"/>
  <c r="I107" i="5"/>
  <c r="I115" i="5"/>
  <c r="I123" i="5"/>
  <c r="I131" i="5"/>
  <c r="I155" i="5"/>
  <c r="I162" i="5"/>
  <c r="I170" i="5"/>
  <c r="I178" i="5"/>
  <c r="I186" i="5"/>
  <c r="I194" i="5"/>
  <c r="I226" i="5"/>
  <c r="I234" i="5"/>
  <c r="I6" i="5"/>
  <c r="I14" i="5"/>
  <c r="I22" i="5"/>
  <c r="I30" i="5"/>
  <c r="I38" i="5"/>
  <c r="I46" i="5"/>
  <c r="I54" i="5"/>
  <c r="I62" i="5"/>
  <c r="I70" i="5"/>
  <c r="I78" i="5"/>
  <c r="I86" i="5"/>
  <c r="I94" i="5"/>
  <c r="I102" i="5"/>
  <c r="I110" i="5"/>
  <c r="I118" i="5"/>
  <c r="I126" i="5"/>
  <c r="I134" i="5"/>
  <c r="I142" i="5"/>
  <c r="I150" i="5"/>
  <c r="I157" i="5"/>
  <c r="I165" i="5"/>
  <c r="I173" i="5"/>
  <c r="I181" i="5"/>
  <c r="I189" i="5"/>
  <c r="I197" i="5"/>
  <c r="I205" i="5"/>
  <c r="I213" i="5"/>
  <c r="I221" i="5"/>
  <c r="I229" i="5"/>
  <c r="I237" i="5"/>
  <c r="I245" i="5"/>
  <c r="I253" i="5"/>
  <c r="I261" i="5"/>
  <c r="I269" i="5"/>
  <c r="I277" i="5"/>
  <c r="I285" i="5"/>
  <c r="I293" i="5"/>
  <c r="I301" i="5"/>
  <c r="I309" i="5"/>
  <c r="I317" i="5"/>
  <c r="I325" i="5"/>
  <c r="I333" i="5"/>
  <c r="I341" i="5"/>
  <c r="I349" i="5"/>
  <c r="I357" i="5"/>
  <c r="I365" i="5"/>
  <c r="I373" i="5"/>
  <c r="I381" i="5"/>
  <c r="I389" i="5"/>
  <c r="I397" i="5"/>
  <c r="I405" i="5"/>
  <c r="I413" i="5"/>
  <c r="I421" i="5"/>
  <c r="I429" i="5"/>
  <c r="I160" i="5"/>
  <c r="I168" i="5"/>
  <c r="I176" i="5"/>
  <c r="I184" i="5"/>
  <c r="I192" i="5"/>
  <c r="I200" i="5"/>
  <c r="I208" i="5"/>
  <c r="I216" i="5"/>
  <c r="I224" i="5"/>
  <c r="I232" i="5"/>
  <c r="I240" i="5"/>
  <c r="I248" i="5"/>
  <c r="I256" i="5"/>
  <c r="I264" i="5"/>
  <c r="I272" i="5"/>
  <c r="I280" i="5"/>
  <c r="I288" i="5"/>
  <c r="I296" i="5"/>
  <c r="I304" i="5"/>
  <c r="I312" i="5"/>
  <c r="I320" i="5"/>
  <c r="I328" i="5"/>
  <c r="I336" i="5"/>
  <c r="I344" i="5"/>
  <c r="I352" i="5"/>
  <c r="I360" i="5"/>
  <c r="I368" i="5"/>
  <c r="I376" i="5"/>
  <c r="I384" i="5"/>
  <c r="I392" i="5"/>
  <c r="I400" i="5"/>
  <c r="I408" i="5"/>
  <c r="I416" i="5"/>
  <c r="I424" i="5"/>
  <c r="I432" i="5"/>
  <c r="I440" i="5"/>
  <c r="I448" i="5"/>
  <c r="I456" i="5"/>
  <c r="I464" i="5"/>
  <c r="I472" i="5"/>
  <c r="I480" i="5"/>
  <c r="I488" i="5"/>
  <c r="I496" i="5"/>
  <c r="I504" i="5"/>
  <c r="I512" i="5"/>
  <c r="I520" i="5"/>
  <c r="I528" i="5"/>
  <c r="I536" i="5"/>
  <c r="I544" i="5"/>
  <c r="I552" i="5"/>
  <c r="I560" i="5"/>
  <c r="I568" i="5"/>
  <c r="I576" i="5"/>
  <c r="I584" i="5"/>
  <c r="I592" i="5"/>
  <c r="I600" i="5"/>
  <c r="I608" i="5"/>
  <c r="I616" i="5"/>
  <c r="I624" i="5"/>
  <c r="I632" i="5"/>
  <c r="I640" i="5"/>
  <c r="I648" i="5"/>
  <c r="I656" i="5"/>
  <c r="I664" i="5"/>
  <c r="I672" i="5"/>
  <c r="I685" i="5"/>
  <c r="I693" i="5"/>
  <c r="I701" i="5"/>
  <c r="I709" i="5"/>
  <c r="I717" i="5"/>
  <c r="I725" i="5"/>
  <c r="I733" i="5"/>
  <c r="I741" i="5"/>
  <c r="I755" i="5"/>
  <c r="I763" i="5"/>
  <c r="I771" i="5"/>
  <c r="I779" i="5"/>
  <c r="I787" i="5"/>
  <c r="I795" i="5"/>
  <c r="I803" i="5"/>
  <c r="I811" i="5"/>
  <c r="I819" i="5"/>
  <c r="I827" i="5"/>
  <c r="I835" i="5"/>
  <c r="I843" i="5"/>
  <c r="I851" i="5"/>
  <c r="I859" i="5"/>
  <c r="I867" i="5"/>
  <c r="I875" i="5"/>
  <c r="I883" i="5"/>
  <c r="I891" i="5"/>
  <c r="I899" i="5"/>
  <c r="I907" i="5"/>
  <c r="I915" i="5"/>
  <c r="I923" i="5"/>
  <c r="I931" i="5"/>
  <c r="I939" i="5"/>
  <c r="I947" i="5"/>
  <c r="I955" i="5"/>
  <c r="I963" i="5"/>
  <c r="I971" i="5"/>
  <c r="I979" i="5"/>
  <c r="I987" i="5"/>
  <c r="I995" i="5"/>
  <c r="I1003" i="5"/>
  <c r="I1011" i="5"/>
  <c r="I1019" i="5"/>
  <c r="I1027" i="5"/>
  <c r="I1035" i="5"/>
  <c r="I1043" i="5"/>
  <c r="I1051" i="5"/>
  <c r="I1059" i="5"/>
  <c r="I1067" i="5"/>
  <c r="I1075" i="5"/>
  <c r="I1083" i="5"/>
  <c r="I1091" i="5"/>
  <c r="I1099" i="5"/>
  <c r="I1107" i="5"/>
  <c r="I1115" i="5"/>
  <c r="I1123" i="5"/>
  <c r="I1131" i="5"/>
  <c r="I1139" i="5"/>
  <c r="I1147" i="5"/>
  <c r="I1155" i="5"/>
  <c r="I1163" i="5"/>
  <c r="I1171" i="5"/>
  <c r="I1179" i="5"/>
  <c r="I1187" i="5"/>
  <c r="I1195" i="5"/>
  <c r="I1203" i="5"/>
  <c r="I1211" i="5"/>
  <c r="I1219" i="5"/>
  <c r="I1227" i="5"/>
  <c r="I1235" i="5"/>
  <c r="I1243" i="5"/>
  <c r="I1251" i="5"/>
  <c r="I1259" i="5"/>
  <c r="I1267" i="5"/>
  <c r="I1275" i="5"/>
  <c r="I1283" i="5"/>
  <c r="I1291" i="5"/>
  <c r="I1299" i="5"/>
  <c r="I1307" i="5"/>
  <c r="I1315" i="5"/>
  <c r="I1323" i="5"/>
  <c r="I1331" i="5"/>
  <c r="I1339" i="5"/>
  <c r="I1347" i="5"/>
  <c r="I1355" i="5"/>
  <c r="I1363" i="5"/>
  <c r="I1371" i="5"/>
  <c r="I1379" i="5"/>
  <c r="I1387" i="5"/>
  <c r="I1395" i="5"/>
  <c r="I1403" i="5"/>
  <c r="I1404" i="5"/>
  <c r="I1412" i="5"/>
  <c r="I1420" i="5"/>
  <c r="I1428" i="5"/>
  <c r="I1436" i="5"/>
  <c r="I1444" i="5"/>
  <c r="I1452" i="5"/>
  <c r="I1460" i="5"/>
  <c r="I1468" i="5"/>
  <c r="I1476" i="5"/>
  <c r="I1484" i="5"/>
  <c r="I1492" i="5"/>
  <c r="I1500" i="5"/>
  <c r="I1508" i="5"/>
  <c r="I1516" i="5"/>
  <c r="I1524" i="5"/>
  <c r="I1532" i="5"/>
  <c r="I1540" i="5"/>
  <c r="I1548" i="5"/>
  <c r="I1556" i="5"/>
  <c r="I1564" i="5"/>
  <c r="I1572" i="5"/>
  <c r="I1580" i="5"/>
  <c r="I1588" i="5"/>
  <c r="I1596" i="5"/>
  <c r="I1604" i="5"/>
  <c r="I1612" i="5"/>
  <c r="I1620" i="5"/>
  <c r="I1628" i="5"/>
  <c r="I1636" i="5"/>
  <c r="I1644" i="5"/>
  <c r="I1652" i="5"/>
  <c r="I1660" i="5"/>
  <c r="I1668" i="5"/>
  <c r="I1676" i="5"/>
  <c r="I1684" i="5"/>
  <c r="I1692" i="5"/>
  <c r="I1700" i="5"/>
  <c r="I1708" i="5"/>
  <c r="I1716" i="5"/>
  <c r="I10" i="5"/>
  <c r="I18" i="5"/>
  <c r="I26" i="5"/>
  <c r="I34" i="5"/>
  <c r="I42" i="5"/>
  <c r="I50" i="5"/>
  <c r="I58" i="5"/>
  <c r="I66" i="5"/>
  <c r="I74" i="5"/>
  <c r="I82" i="5"/>
  <c r="I90" i="5"/>
  <c r="I98" i="5"/>
  <c r="I106" i="5"/>
  <c r="I114" i="5"/>
  <c r="I122" i="5"/>
  <c r="I130" i="5"/>
  <c r="I138" i="5"/>
  <c r="I146" i="5"/>
  <c r="I154" i="5"/>
  <c r="I161" i="5"/>
  <c r="I169" i="5"/>
  <c r="I177" i="5"/>
  <c r="I185" i="5"/>
  <c r="I193" i="5"/>
  <c r="I201" i="5"/>
  <c r="I209" i="5"/>
  <c r="I217" i="5"/>
  <c r="I225" i="5"/>
  <c r="I233" i="5"/>
  <c r="I241" i="5"/>
  <c r="I249" i="5"/>
  <c r="I257" i="5"/>
  <c r="I265" i="5"/>
  <c r="I273" i="5"/>
  <c r="I281" i="5"/>
  <c r="I289" i="5"/>
  <c r="I297" i="5"/>
  <c r="I305" i="5"/>
  <c r="I313" i="5"/>
  <c r="I321" i="5"/>
  <c r="I329" i="5"/>
  <c r="I337" i="5"/>
  <c r="I345" i="5"/>
  <c r="I353" i="5"/>
  <c r="I361" i="5"/>
  <c r="I369" i="5"/>
  <c r="I377" i="5"/>
  <c r="I385" i="5"/>
  <c r="I393" i="5"/>
  <c r="I401" i="5"/>
  <c r="I409" i="5"/>
  <c r="I417" i="5"/>
  <c r="I425" i="5"/>
  <c r="I433" i="5"/>
  <c r="I441" i="5"/>
  <c r="I449" i="5"/>
  <c r="I457" i="5"/>
  <c r="I465" i="5"/>
  <c r="I473" i="5"/>
  <c r="I481" i="5"/>
  <c r="I489" i="5"/>
  <c r="I505" i="5"/>
  <c r="I513" i="5"/>
  <c r="I521" i="5"/>
  <c r="I529" i="5"/>
  <c r="I537" i="5"/>
  <c r="I545" i="5"/>
  <c r="I553" i="5"/>
  <c r="I561" i="5"/>
  <c r="I569" i="5"/>
  <c r="I577" i="5"/>
  <c r="I585" i="5"/>
  <c r="I593" i="5"/>
  <c r="I601" i="5"/>
  <c r="I609" i="5"/>
  <c r="I617" i="5"/>
  <c r="I625" i="5"/>
  <c r="I633" i="5"/>
  <c r="I641" i="5"/>
  <c r="I649" i="5"/>
  <c r="I657" i="5"/>
  <c r="I665" i="5"/>
  <c r="I673" i="5"/>
  <c r="I678" i="5"/>
  <c r="I686" i="5"/>
  <c r="I694" i="5"/>
  <c r="I702" i="5"/>
  <c r="I710" i="5"/>
  <c r="I718" i="5"/>
  <c r="I726" i="5"/>
  <c r="I734" i="5"/>
  <c r="I742" i="5"/>
  <c r="I750" i="5"/>
  <c r="I758" i="5"/>
  <c r="I766" i="5"/>
  <c r="I774" i="5"/>
  <c r="I782" i="5"/>
  <c r="I790" i="5"/>
  <c r="I798" i="5"/>
  <c r="I806" i="5"/>
  <c r="I814" i="5"/>
  <c r="I822" i="5"/>
  <c r="I830" i="5"/>
  <c r="I838" i="5"/>
  <c r="I846" i="5"/>
  <c r="I854" i="5"/>
  <c r="I862" i="5"/>
  <c r="I870" i="5"/>
  <c r="I878" i="5"/>
  <c r="I886" i="5"/>
  <c r="I894" i="5"/>
  <c r="I902" i="5"/>
  <c r="I910" i="5"/>
  <c r="I918" i="5"/>
  <c r="I926" i="5"/>
  <c r="I934" i="5"/>
  <c r="I942" i="5"/>
  <c r="I950" i="5"/>
  <c r="I958" i="5"/>
  <c r="I966" i="5"/>
  <c r="I974" i="5"/>
  <c r="I982" i="5"/>
  <c r="I990" i="5"/>
  <c r="I998" i="5"/>
  <c r="I1006" i="5"/>
  <c r="I1014" i="5"/>
  <c r="I1022" i="5"/>
  <c r="I1030" i="5"/>
  <c r="I1038" i="5"/>
  <c r="I1046" i="5"/>
  <c r="I1054" i="5"/>
  <c r="I1062" i="5"/>
  <c r="I1070" i="5"/>
  <c r="I1078" i="5"/>
  <c r="I1086" i="5"/>
  <c r="I196" i="5"/>
  <c r="I204" i="5"/>
  <c r="I212" i="5"/>
  <c r="I228" i="5"/>
  <c r="I260" i="5"/>
  <c r="I308" i="5"/>
  <c r="I324" i="5"/>
  <c r="I340" i="5"/>
  <c r="I356" i="5"/>
  <c r="I364" i="5"/>
  <c r="I372" i="5"/>
  <c r="I388" i="5"/>
  <c r="I396" i="5"/>
  <c r="I404" i="5"/>
  <c r="I412" i="5"/>
  <c r="I420" i="5"/>
  <c r="I428" i="5"/>
  <c r="I436" i="5"/>
  <c r="I444" i="5"/>
  <c r="I452" i="5"/>
  <c r="I460" i="5"/>
  <c r="I476" i="5"/>
  <c r="I500" i="5"/>
  <c r="I508" i="5"/>
  <c r="I516" i="5"/>
  <c r="I524" i="5"/>
  <c r="I548" i="5"/>
  <c r="I580" i="5"/>
  <c r="I588" i="5"/>
  <c r="I596" i="5"/>
  <c r="I604" i="5"/>
  <c r="I612" i="5"/>
  <c r="I620" i="5"/>
  <c r="I628" i="5"/>
  <c r="I652" i="5"/>
  <c r="I660" i="5"/>
  <c r="I668" i="5"/>
  <c r="I676" i="5"/>
  <c r="I689" i="5"/>
  <c r="I697" i="5"/>
  <c r="I705" i="5"/>
  <c r="I713" i="5"/>
  <c r="I729" i="5"/>
  <c r="I737" i="5"/>
  <c r="I745" i="5"/>
  <c r="I753" i="5"/>
  <c r="I761" i="5"/>
  <c r="I769" i="5"/>
  <c r="I777" i="5"/>
  <c r="I785" i="5"/>
  <c r="I793" i="5"/>
  <c r="I801" i="5"/>
  <c r="I149" i="5"/>
  <c r="I164" i="5"/>
  <c r="I172" i="5"/>
  <c r="I180" i="5"/>
  <c r="I188" i="5"/>
  <c r="I220" i="5"/>
  <c r="I236" i="5"/>
  <c r="I244" i="5"/>
  <c r="I252" i="5"/>
  <c r="I268" i="5"/>
  <c r="I276" i="5"/>
  <c r="I284" i="5"/>
  <c r="I292" i="5"/>
  <c r="I300" i="5"/>
  <c r="I316" i="5"/>
  <c r="I332" i="5"/>
  <c r="I348" i="5"/>
  <c r="I380" i="5"/>
  <c r="I468" i="5"/>
  <c r="I484" i="5"/>
  <c r="I492" i="5"/>
  <c r="I532" i="5"/>
  <c r="I540" i="5"/>
  <c r="I556" i="5"/>
  <c r="I564" i="5"/>
  <c r="I572" i="5"/>
  <c r="I636" i="5"/>
  <c r="I644" i="5"/>
  <c r="I681" i="5"/>
  <c r="I721" i="5"/>
  <c r="I8" i="5"/>
  <c r="I16" i="5"/>
  <c r="I24" i="5"/>
  <c r="I32" i="5"/>
  <c r="I40" i="5"/>
  <c r="I48" i="5"/>
  <c r="I56" i="5"/>
  <c r="I64" i="5"/>
  <c r="I72" i="5"/>
  <c r="I80" i="5"/>
  <c r="I88" i="5"/>
  <c r="I96" i="5"/>
  <c r="I104" i="5"/>
  <c r="I112" i="5"/>
  <c r="I120" i="5"/>
  <c r="I128" i="5"/>
  <c r="I136" i="5"/>
  <c r="I144" i="5"/>
  <c r="I152" i="5"/>
  <c r="I159" i="5"/>
  <c r="I167" i="5"/>
  <c r="I175" i="5"/>
  <c r="I183" i="5"/>
  <c r="I191" i="5"/>
  <c r="I199" i="5"/>
  <c r="I207" i="5"/>
  <c r="I215" i="5"/>
  <c r="I223" i="5"/>
  <c r="I231" i="5"/>
  <c r="I239" i="5"/>
  <c r="I247" i="5"/>
  <c r="I255" i="5"/>
  <c r="I263" i="5"/>
  <c r="I271" i="5"/>
  <c r="I279" i="5"/>
  <c r="I287" i="5"/>
  <c r="I295" i="5"/>
  <c r="I303" i="5"/>
  <c r="I311" i="5"/>
  <c r="I319" i="5"/>
  <c r="I327" i="5"/>
  <c r="I335" i="5"/>
  <c r="I343" i="5"/>
  <c r="I351" i="5"/>
  <c r="I359" i="5"/>
  <c r="I367" i="5"/>
  <c r="I375" i="5"/>
  <c r="I383" i="5"/>
  <c r="I391" i="5"/>
  <c r="I399" i="5"/>
  <c r="I407" i="5"/>
  <c r="I415" i="5"/>
  <c r="I423" i="5"/>
  <c r="I431" i="5"/>
  <c r="I439" i="5"/>
  <c r="I447" i="5"/>
  <c r="I455" i="5"/>
  <c r="I463" i="5"/>
  <c r="I471" i="5"/>
  <c r="I479" i="5"/>
  <c r="I487" i="5"/>
  <c r="I495" i="5"/>
  <c r="I503" i="5"/>
  <c r="I511" i="5"/>
  <c r="I519" i="5"/>
  <c r="I527" i="5"/>
  <c r="I535" i="5"/>
  <c r="I543" i="5"/>
  <c r="I551" i="5"/>
  <c r="I559" i="5"/>
  <c r="I567" i="5"/>
  <c r="I575" i="5"/>
  <c r="I583" i="5"/>
  <c r="I591" i="5"/>
  <c r="I599" i="5"/>
  <c r="I607" i="5"/>
  <c r="I615" i="5"/>
  <c r="I623" i="5"/>
  <c r="I631" i="5"/>
  <c r="I639" i="5"/>
  <c r="I647" i="5"/>
  <c r="I655" i="5"/>
  <c r="I663" i="5"/>
  <c r="I671" i="5"/>
  <c r="I684" i="5"/>
  <c r="I692" i="5"/>
  <c r="I700" i="5"/>
  <c r="I708" i="5"/>
  <c r="I716" i="5"/>
  <c r="I724" i="5"/>
  <c r="I732" i="5"/>
  <c r="I740" i="5"/>
  <c r="I748" i="5"/>
  <c r="I756" i="5"/>
  <c r="I764" i="5"/>
  <c r="I772" i="5"/>
  <c r="I780" i="5"/>
  <c r="I788" i="5"/>
  <c r="I796" i="5"/>
  <c r="I804" i="5"/>
  <c r="I482" i="5"/>
  <c r="I490" i="5"/>
  <c r="I498" i="5"/>
  <c r="I506" i="5"/>
  <c r="I514" i="5"/>
  <c r="I522" i="5"/>
  <c r="I530" i="5"/>
  <c r="I538" i="5"/>
  <c r="I546" i="5"/>
  <c r="I554" i="5"/>
  <c r="I562" i="5"/>
  <c r="I570" i="5"/>
  <c r="I578" i="5"/>
  <c r="I586" i="5"/>
  <c r="I594" i="5"/>
  <c r="I602" i="5"/>
  <c r="I610" i="5"/>
  <c r="I618" i="5"/>
  <c r="I626" i="5"/>
  <c r="I634" i="5"/>
  <c r="I642" i="5"/>
  <c r="I650" i="5"/>
  <c r="I658" i="5"/>
  <c r="I666" i="5"/>
  <c r="I674" i="5"/>
  <c r="I679" i="5"/>
  <c r="I687" i="5"/>
  <c r="I695" i="5"/>
  <c r="I703" i="5"/>
  <c r="I711" i="5"/>
  <c r="I727" i="5"/>
  <c r="I735" i="5"/>
  <c r="I743" i="5"/>
  <c r="I751" i="5"/>
  <c r="I759" i="5"/>
  <c r="I767" i="5"/>
  <c r="I775" i="5"/>
  <c r="I791" i="5"/>
  <c r="I799" i="5"/>
  <c r="I807" i="5"/>
  <c r="I815" i="5"/>
  <c r="I823" i="5"/>
  <c r="I831" i="5"/>
  <c r="I839" i="5"/>
  <c r="I855" i="5"/>
  <c r="I863" i="5"/>
  <c r="I871" i="5"/>
  <c r="I879" i="5"/>
  <c r="I887" i="5"/>
  <c r="I895" i="5"/>
  <c r="I903" i="5"/>
  <c r="I919" i="5"/>
  <c r="I927" i="5"/>
  <c r="I935" i="5"/>
  <c r="I943" i="5"/>
  <c r="I951" i="5"/>
  <c r="I959" i="5"/>
  <c r="I967" i="5"/>
  <c r="I983" i="5"/>
  <c r="I991" i="5"/>
  <c r="I999" i="5"/>
  <c r="I1007" i="5"/>
  <c r="I1015" i="5"/>
  <c r="I1023" i="5"/>
  <c r="I1031" i="5"/>
  <c r="I1047" i="5"/>
  <c r="I1055" i="5"/>
  <c r="I1063" i="5"/>
  <c r="I1071" i="5"/>
  <c r="I1079" i="5"/>
  <c r="I1087" i="5"/>
  <c r="I1095" i="5"/>
  <c r="I1111" i="5"/>
  <c r="I1119" i="5"/>
  <c r="I1127" i="5"/>
  <c r="I1135" i="5"/>
  <c r="I1143" i="5"/>
  <c r="I1151" i="5"/>
  <c r="I1159" i="5"/>
  <c r="I1175" i="5"/>
  <c r="I1183" i="5"/>
  <c r="I1191" i="5"/>
  <c r="I1199" i="5"/>
  <c r="I1207" i="5"/>
  <c r="I1215" i="5"/>
  <c r="I1223" i="5"/>
  <c r="I1239" i="5"/>
  <c r="I1247" i="5"/>
  <c r="I1255" i="5"/>
  <c r="I1263" i="5"/>
  <c r="I1271" i="5"/>
  <c r="I1279" i="5"/>
  <c r="I1295" i="5"/>
  <c r="I1303" i="5"/>
  <c r="I1311" i="5"/>
  <c r="I1327" i="5"/>
  <c r="I1335" i="5"/>
  <c r="I1343" i="5"/>
  <c r="I1359" i="5"/>
  <c r="I1367" i="5"/>
  <c r="I1375" i="5"/>
  <c r="I1383" i="5"/>
  <c r="I1391" i="5"/>
  <c r="I1408" i="5"/>
  <c r="I1416" i="5"/>
  <c r="I1424" i="5"/>
  <c r="I1432" i="5"/>
  <c r="I1440" i="5"/>
  <c r="I1448" i="5"/>
  <c r="I1464" i="5"/>
  <c r="I1472" i="5"/>
  <c r="I1480" i="5"/>
  <c r="I1488" i="5"/>
  <c r="I1496" i="5"/>
  <c r="I1504" i="5"/>
  <c r="I1512" i="5"/>
  <c r="I1528" i="5"/>
  <c r="I1536" i="5"/>
  <c r="I1544" i="5"/>
  <c r="I1552" i="5"/>
  <c r="I1560" i="5"/>
  <c r="I1568" i="5"/>
  <c r="I1576" i="5"/>
  <c r="I1592" i="5"/>
  <c r="I1600" i="5"/>
  <c r="I1608" i="5"/>
  <c r="I1616" i="5"/>
  <c r="I1624" i="5"/>
  <c r="I1632" i="5"/>
  <c r="I1640" i="5"/>
  <c r="I1656" i="5"/>
  <c r="I1664" i="5"/>
  <c r="I1672" i="5"/>
  <c r="I1680" i="5"/>
  <c r="I1688" i="5"/>
  <c r="I1696" i="5"/>
  <c r="I1704" i="5"/>
  <c r="I1720" i="5"/>
  <c r="I1728" i="5"/>
  <c r="I1736" i="5"/>
  <c r="I1744" i="5"/>
  <c r="I1752" i="5"/>
  <c r="I1760" i="5"/>
  <c r="I1768" i="5"/>
  <c r="I1784" i="5"/>
  <c r="I1800" i="5"/>
  <c r="I1808" i="5"/>
  <c r="I1824" i="5"/>
  <c r="I437" i="5"/>
  <c r="I445" i="5"/>
  <c r="I453" i="5"/>
  <c r="I461" i="5"/>
  <c r="I469" i="5"/>
  <c r="I477" i="5"/>
  <c r="I485" i="5"/>
  <c r="I493" i="5"/>
  <c r="I501" i="5"/>
  <c r="I509" i="5"/>
  <c r="I517" i="5"/>
  <c r="I525" i="5"/>
  <c r="I533" i="5"/>
  <c r="I541" i="5"/>
  <c r="I549" i="5"/>
  <c r="I557" i="5"/>
  <c r="I565" i="5"/>
  <c r="I573" i="5"/>
  <c r="I581" i="5"/>
  <c r="I589" i="5"/>
  <c r="I597" i="5"/>
  <c r="I605" i="5"/>
  <c r="I613" i="5"/>
  <c r="I621" i="5"/>
  <c r="I629" i="5"/>
  <c r="I637" i="5"/>
  <c r="I645" i="5"/>
  <c r="I653" i="5"/>
  <c r="I661" i="5"/>
  <c r="I669" i="5"/>
  <c r="I677" i="5"/>
  <c r="I682" i="5"/>
  <c r="I690" i="5"/>
  <c r="I698" i="5"/>
  <c r="I706" i="5"/>
  <c r="I714" i="5"/>
  <c r="I722" i="5"/>
  <c r="I730" i="5"/>
  <c r="I738" i="5"/>
  <c r="I746" i="5"/>
  <c r="I754" i="5"/>
  <c r="I762" i="5"/>
  <c r="I770" i="5"/>
  <c r="I778" i="5"/>
  <c r="I786" i="5"/>
  <c r="I794" i="5"/>
  <c r="I802" i="5"/>
  <c r="I810" i="5"/>
  <c r="I818" i="5"/>
  <c r="I826" i="5"/>
  <c r="I834" i="5"/>
  <c r="I842" i="5"/>
  <c r="I850" i="5"/>
  <c r="I858" i="5"/>
  <c r="I866" i="5"/>
  <c r="I874" i="5"/>
  <c r="I882" i="5"/>
  <c r="I890" i="5"/>
  <c r="I898" i="5"/>
  <c r="I906" i="5"/>
  <c r="I914" i="5"/>
  <c r="I922" i="5"/>
  <c r="I930" i="5"/>
  <c r="I938" i="5"/>
  <c r="I946" i="5"/>
  <c r="I954" i="5"/>
  <c r="I962" i="5"/>
  <c r="I970" i="5"/>
  <c r="I978" i="5"/>
  <c r="I986" i="5"/>
  <c r="I994" i="5"/>
  <c r="I1002" i="5"/>
  <c r="I1010" i="5"/>
  <c r="I1018" i="5"/>
  <c r="I1026" i="5"/>
  <c r="I1034" i="5"/>
  <c r="I1042" i="5"/>
  <c r="I1050" i="5"/>
  <c r="I1058" i="5"/>
  <c r="I1066" i="5"/>
  <c r="I1074" i="5"/>
  <c r="I1082" i="5"/>
  <c r="I1090" i="5"/>
  <c r="I1098" i="5"/>
  <c r="I1106" i="5"/>
  <c r="I1114" i="5"/>
  <c r="I1122" i="5"/>
  <c r="I1130" i="5"/>
  <c r="I1138" i="5"/>
  <c r="I1146" i="5"/>
  <c r="I1154" i="5"/>
  <c r="I1162" i="5"/>
  <c r="I1170" i="5"/>
  <c r="I1178" i="5"/>
  <c r="I1186" i="5"/>
  <c r="I1194" i="5"/>
  <c r="I1202" i="5"/>
  <c r="I1210" i="5"/>
  <c r="I1218" i="5"/>
  <c r="I1226" i="5"/>
  <c r="I1234" i="5"/>
  <c r="I1242" i="5"/>
  <c r="I1250" i="5"/>
  <c r="I1258" i="5"/>
  <c r="I1266" i="5"/>
  <c r="I1274" i="5"/>
  <c r="I1282" i="5"/>
  <c r="I1290" i="5"/>
  <c r="I1298" i="5"/>
  <c r="I1306" i="5"/>
  <c r="I1314" i="5"/>
  <c r="I1322" i="5"/>
  <c r="I1330" i="5"/>
  <c r="I1338" i="5"/>
  <c r="I1346" i="5"/>
  <c r="I1354" i="5"/>
  <c r="I1362" i="5"/>
  <c r="I1370" i="5"/>
  <c r="I1378" i="5"/>
  <c r="I1386" i="5"/>
  <c r="I1394" i="5"/>
  <c r="I1402" i="5"/>
  <c r="I1411" i="5"/>
  <c r="I1419" i="5"/>
  <c r="I1427" i="5"/>
  <c r="I1435" i="5"/>
  <c r="I1443" i="5"/>
  <c r="I1451" i="5"/>
  <c r="I1459" i="5"/>
  <c r="I1467" i="5"/>
  <c r="I1475" i="5"/>
  <c r="I1483" i="5"/>
  <c r="I1491" i="5"/>
  <c r="I1499" i="5"/>
  <c r="I1507" i="5"/>
  <c r="I1515" i="5"/>
  <c r="I1523" i="5"/>
  <c r="I1531" i="5"/>
  <c r="I1539" i="5"/>
  <c r="I1547" i="5"/>
  <c r="I1555" i="5"/>
  <c r="I1563" i="5"/>
  <c r="I1571" i="5"/>
  <c r="I1579" i="5"/>
  <c r="I1587" i="5"/>
  <c r="I1595" i="5"/>
  <c r="I1603" i="5"/>
  <c r="I1611" i="5"/>
  <c r="I1619" i="5"/>
  <c r="I1627" i="5"/>
  <c r="I1635" i="5"/>
  <c r="I1643" i="5"/>
  <c r="I1651" i="5"/>
  <c r="I1659" i="5"/>
  <c r="I1667" i="5"/>
  <c r="I1675" i="5"/>
  <c r="I1683" i="5"/>
  <c r="I1691" i="5"/>
  <c r="I1699" i="5"/>
  <c r="I1707" i="5"/>
  <c r="I1715" i="5"/>
  <c r="I1723" i="5"/>
  <c r="I1731" i="5"/>
  <c r="I1739" i="5"/>
  <c r="I749" i="5"/>
  <c r="I757" i="5"/>
  <c r="I765" i="5"/>
  <c r="I773" i="5"/>
  <c r="I781" i="5"/>
  <c r="I789" i="5"/>
  <c r="I797" i="5"/>
  <c r="I805" i="5"/>
  <c r="I813" i="5"/>
  <c r="I821" i="5"/>
  <c r="I829" i="5"/>
  <c r="I837" i="5"/>
  <c r="I845" i="5"/>
  <c r="I853" i="5"/>
  <c r="I861" i="5"/>
  <c r="I869" i="5"/>
  <c r="I877" i="5"/>
  <c r="I885" i="5"/>
  <c r="I893" i="5"/>
  <c r="I901" i="5"/>
  <c r="I909" i="5"/>
  <c r="I917" i="5"/>
  <c r="I925" i="5"/>
  <c r="I933" i="5"/>
  <c r="I941" i="5"/>
  <c r="I949" i="5"/>
  <c r="I957" i="5"/>
  <c r="I965" i="5"/>
  <c r="I973" i="5"/>
  <c r="I981" i="5"/>
  <c r="I989" i="5"/>
  <c r="I997" i="5"/>
  <c r="I1005" i="5"/>
  <c r="I1013" i="5"/>
  <c r="I1021" i="5"/>
  <c r="I1029" i="5"/>
  <c r="I1037" i="5"/>
  <c r="I1045" i="5"/>
  <c r="I1053" i="5"/>
  <c r="I1061" i="5"/>
  <c r="I1069" i="5"/>
  <c r="I1077" i="5"/>
  <c r="I1085" i="5"/>
  <c r="I1093" i="5"/>
  <c r="I1101" i="5"/>
  <c r="I1109" i="5"/>
  <c r="I1117" i="5"/>
  <c r="I1125" i="5"/>
  <c r="I1133" i="5"/>
  <c r="I1141" i="5"/>
  <c r="I1149" i="5"/>
  <c r="I1157" i="5"/>
  <c r="I1165" i="5"/>
  <c r="I1173" i="5"/>
  <c r="I1181" i="5"/>
  <c r="I1189" i="5"/>
  <c r="I1197" i="5"/>
  <c r="I1205" i="5"/>
  <c r="I1213" i="5"/>
  <c r="I1221" i="5"/>
  <c r="I1229" i="5"/>
  <c r="I1237" i="5"/>
  <c r="I1245" i="5"/>
  <c r="I1253" i="5"/>
  <c r="I1261" i="5"/>
  <c r="I1269" i="5"/>
  <c r="I1277" i="5"/>
  <c r="I1285" i="5"/>
  <c r="I1293" i="5"/>
  <c r="I1301" i="5"/>
  <c r="I1309" i="5"/>
  <c r="I1317" i="5"/>
  <c r="I1325" i="5"/>
  <c r="I1333" i="5"/>
  <c r="I1341" i="5"/>
  <c r="I1349" i="5"/>
  <c r="I1357" i="5"/>
  <c r="I1365" i="5"/>
  <c r="I1373" i="5"/>
  <c r="I1381" i="5"/>
  <c r="I1389" i="5"/>
  <c r="I1397" i="5"/>
  <c r="I1406" i="5"/>
  <c r="I1414" i="5"/>
  <c r="I1422" i="5"/>
  <c r="I1430" i="5"/>
  <c r="I1438" i="5"/>
  <c r="I1446" i="5"/>
  <c r="I1454" i="5"/>
  <c r="I1462" i="5"/>
  <c r="I1470" i="5"/>
  <c r="I1478" i="5"/>
  <c r="I1486" i="5"/>
  <c r="I1494" i="5"/>
  <c r="I1502" i="5"/>
  <c r="I1510" i="5"/>
  <c r="I1518" i="5"/>
  <c r="I1526" i="5"/>
  <c r="I1534" i="5"/>
  <c r="I1542" i="5"/>
  <c r="I1550" i="5"/>
  <c r="I1558" i="5"/>
  <c r="I1566" i="5"/>
  <c r="I1574" i="5"/>
  <c r="I1582" i="5"/>
  <c r="I1590" i="5"/>
  <c r="I1598" i="5"/>
  <c r="I1606" i="5"/>
  <c r="I1614" i="5"/>
  <c r="I1622" i="5"/>
  <c r="I1630" i="5"/>
  <c r="I1638" i="5"/>
  <c r="I1646" i="5"/>
  <c r="I1654" i="5"/>
  <c r="I1662" i="5"/>
  <c r="I1670" i="5"/>
  <c r="I1678" i="5"/>
  <c r="I1686" i="5"/>
  <c r="I1694" i="5"/>
  <c r="I1702" i="5"/>
  <c r="I1710" i="5"/>
  <c r="I1718" i="5"/>
  <c r="I1726" i="5"/>
  <c r="I1734" i="5"/>
  <c r="I1742" i="5"/>
  <c r="I1756" i="5"/>
  <c r="I1094" i="5"/>
  <c r="I1102" i="5"/>
  <c r="I1110" i="5"/>
  <c r="I1118" i="5"/>
  <c r="I1126" i="5"/>
  <c r="I1134" i="5"/>
  <c r="I1142" i="5"/>
  <c r="I1150" i="5"/>
  <c r="I1158" i="5"/>
  <c r="I1166" i="5"/>
  <c r="I1174" i="5"/>
  <c r="I1182" i="5"/>
  <c r="I1190" i="5"/>
  <c r="I1198" i="5"/>
  <c r="I1206" i="5"/>
  <c r="I1214" i="5"/>
  <c r="I1222" i="5"/>
  <c r="I1230" i="5"/>
  <c r="I1238" i="5"/>
  <c r="I1246" i="5"/>
  <c r="I1254" i="5"/>
  <c r="I1262" i="5"/>
  <c r="I1270" i="5"/>
  <c r="I1278" i="5"/>
  <c r="I1286" i="5"/>
  <c r="I1294" i="5"/>
  <c r="I1302" i="5"/>
  <c r="I1310" i="5"/>
  <c r="I1318" i="5"/>
  <c r="I1326" i="5"/>
  <c r="I1334" i="5"/>
  <c r="I1342" i="5"/>
  <c r="I1350" i="5"/>
  <c r="I1358" i="5"/>
  <c r="I1366" i="5"/>
  <c r="I1374" i="5"/>
  <c r="I1382" i="5"/>
  <c r="I1390" i="5"/>
  <c r="I1398" i="5"/>
  <c r="I1407" i="5"/>
  <c r="I1415" i="5"/>
  <c r="I1423" i="5"/>
  <c r="I1431" i="5"/>
  <c r="I1439" i="5"/>
  <c r="I1447" i="5"/>
  <c r="I1455" i="5"/>
  <c r="I1463" i="5"/>
  <c r="I1471" i="5"/>
  <c r="I1479" i="5"/>
  <c r="I1487" i="5"/>
  <c r="I1495" i="5"/>
  <c r="I1503" i="5"/>
  <c r="I1511" i="5"/>
  <c r="I1519" i="5"/>
  <c r="I1527" i="5"/>
  <c r="I1535" i="5"/>
  <c r="I1543" i="5"/>
  <c r="I1551" i="5"/>
  <c r="I1559" i="5"/>
  <c r="I1567" i="5"/>
  <c r="I1575" i="5"/>
  <c r="I1583" i="5"/>
  <c r="I1591" i="5"/>
  <c r="I1599" i="5"/>
  <c r="I1607" i="5"/>
  <c r="I1615" i="5"/>
  <c r="I1623" i="5"/>
  <c r="I1631" i="5"/>
  <c r="I1639" i="5"/>
  <c r="I1647" i="5"/>
  <c r="I1655" i="5"/>
  <c r="I1663" i="5"/>
  <c r="I1671" i="5"/>
  <c r="I1679" i="5"/>
  <c r="I1687" i="5"/>
  <c r="I1695" i="5"/>
  <c r="I1703" i="5"/>
  <c r="I1711" i="5"/>
  <c r="I1719" i="5"/>
  <c r="I1727" i="5"/>
  <c r="I1735" i="5"/>
  <c r="I1743" i="5"/>
  <c r="I1783" i="5"/>
  <c r="I1791" i="5"/>
  <c r="I1799" i="5"/>
  <c r="I1807" i="5"/>
  <c r="I1834" i="5"/>
  <c r="I1842" i="5"/>
  <c r="I1858" i="5"/>
  <c r="I1866" i="5"/>
  <c r="I812" i="5"/>
  <c r="I820" i="5"/>
  <c r="I828" i="5"/>
  <c r="I836" i="5"/>
  <c r="I844" i="5"/>
  <c r="I852" i="5"/>
  <c r="I860" i="5"/>
  <c r="I868" i="5"/>
  <c r="I876" i="5"/>
  <c r="I884" i="5"/>
  <c r="I892" i="5"/>
  <c r="I900" i="5"/>
  <c r="I908" i="5"/>
  <c r="I916" i="5"/>
  <c r="I924" i="5"/>
  <c r="I932" i="5"/>
  <c r="I940" i="5"/>
  <c r="I948" i="5"/>
  <c r="I956" i="5"/>
  <c r="I964" i="5"/>
  <c r="I972" i="5"/>
  <c r="I980" i="5"/>
  <c r="I988" i="5"/>
  <c r="I996" i="5"/>
  <c r="I1004" i="5"/>
  <c r="I1012" i="5"/>
  <c r="I1020" i="5"/>
  <c r="I1028" i="5"/>
  <c r="I1036" i="5"/>
  <c r="I1044" i="5"/>
  <c r="I1052" i="5"/>
  <c r="I1060" i="5"/>
  <c r="I1068" i="5"/>
  <c r="I1076" i="5"/>
  <c r="I1084" i="5"/>
  <c r="I1092" i="5"/>
  <c r="I1100" i="5"/>
  <c r="I1108" i="5"/>
  <c r="I1116" i="5"/>
  <c r="I1124" i="5"/>
  <c r="I1132" i="5"/>
  <c r="I1140" i="5"/>
  <c r="I1148" i="5"/>
  <c r="I1156" i="5"/>
  <c r="I1164" i="5"/>
  <c r="I1172" i="5"/>
  <c r="I1180" i="5"/>
  <c r="I1188" i="5"/>
  <c r="I1196" i="5"/>
  <c r="I1204" i="5"/>
  <c r="I1212" i="5"/>
  <c r="I1220" i="5"/>
  <c r="I1228" i="5"/>
  <c r="I1236" i="5"/>
  <c r="I1244" i="5"/>
  <c r="I1252" i="5"/>
  <c r="I1260" i="5"/>
  <c r="I1268" i="5"/>
  <c r="I1276" i="5"/>
  <c r="I1284" i="5"/>
  <c r="I1292" i="5"/>
  <c r="I1300" i="5"/>
  <c r="I1308" i="5"/>
  <c r="I1316" i="5"/>
  <c r="I1324" i="5"/>
  <c r="I1332" i="5"/>
  <c r="I1340" i="5"/>
  <c r="I1348" i="5"/>
  <c r="I1356" i="5"/>
  <c r="I1364" i="5"/>
  <c r="I1372" i="5"/>
  <c r="I1380" i="5"/>
  <c r="I1388" i="5"/>
  <c r="I1396" i="5"/>
  <c r="I1405" i="5"/>
  <c r="I1413" i="5"/>
  <c r="I1421" i="5"/>
  <c r="I1429" i="5"/>
  <c r="I1437" i="5"/>
  <c r="I1445" i="5"/>
  <c r="I1453" i="5"/>
  <c r="I1461" i="5"/>
  <c r="I1469" i="5"/>
  <c r="I1477" i="5"/>
  <c r="I1485" i="5"/>
  <c r="I1493" i="5"/>
  <c r="I1501" i="5"/>
  <c r="I1509" i="5"/>
  <c r="I1517" i="5"/>
  <c r="I1525" i="5"/>
  <c r="I1533" i="5"/>
  <c r="I1541" i="5"/>
  <c r="I1549" i="5"/>
  <c r="I1557" i="5"/>
  <c r="I1565" i="5"/>
  <c r="I1573" i="5"/>
  <c r="I1581" i="5"/>
  <c r="I1589" i="5"/>
  <c r="I1597" i="5"/>
  <c r="I1605" i="5"/>
  <c r="I1613" i="5"/>
  <c r="I1621" i="5"/>
  <c r="I1629" i="5"/>
  <c r="I1637" i="5"/>
  <c r="I1645" i="5"/>
  <c r="I1653" i="5"/>
  <c r="I1661" i="5"/>
  <c r="I1669" i="5"/>
  <c r="I1677" i="5"/>
  <c r="I1685" i="5"/>
  <c r="I1693" i="5"/>
  <c r="I1701" i="5"/>
  <c r="I1709" i="5"/>
  <c r="I1717" i="5"/>
  <c r="I1725" i="5"/>
  <c r="I1733" i="5"/>
  <c r="I1741" i="5"/>
  <c r="I1749" i="5"/>
  <c r="I1757" i="5"/>
  <c r="I1765" i="5"/>
  <c r="I1773" i="5"/>
  <c r="I1781" i="5"/>
  <c r="I1789" i="5"/>
  <c r="I1797" i="5"/>
  <c r="I1805" i="5"/>
  <c r="I1813" i="5"/>
  <c r="I1821" i="5"/>
  <c r="I1829" i="5"/>
  <c r="I1837" i="5"/>
  <c r="I1845" i="5"/>
  <c r="I1853" i="5"/>
  <c r="I1861" i="5"/>
  <c r="I1869" i="5"/>
  <c r="I1747" i="5"/>
  <c r="I1755" i="5"/>
  <c r="I1763" i="5"/>
  <c r="I1771" i="5"/>
  <c r="I1779" i="5"/>
  <c r="I1787" i="5"/>
  <c r="I1795" i="5"/>
  <c r="I1803" i="5"/>
  <c r="I1811" i="5"/>
  <c r="I1819" i="5"/>
  <c r="I1827" i="5"/>
  <c r="I1850" i="5"/>
  <c r="I1872" i="5"/>
  <c r="I1838" i="5"/>
  <c r="I1846" i="5"/>
  <c r="I1854" i="5"/>
  <c r="I1862" i="5"/>
  <c r="I1870" i="5"/>
  <c r="I1833" i="5"/>
  <c r="I1841" i="5"/>
  <c r="I1849" i="5"/>
  <c r="I1857" i="5"/>
  <c r="I1873" i="5"/>
  <c r="I1832" i="5"/>
  <c r="I1840" i="5"/>
  <c r="I1848" i="5"/>
  <c r="I1856" i="5"/>
  <c r="I1864" i="5"/>
  <c r="I1835" i="5"/>
  <c r="I1843" i="5"/>
  <c r="I1851" i="5"/>
  <c r="I1859" i="5"/>
  <c r="I1867" i="5"/>
  <c r="I1865" i="5"/>
  <c r="I1836" i="5"/>
  <c r="I1844" i="5"/>
  <c r="I1852" i="5"/>
  <c r="I1860" i="5"/>
  <c r="I1868" i="5"/>
  <c r="I1839" i="5"/>
  <c r="I1847" i="5"/>
  <c r="I1855" i="5"/>
  <c r="I1863" i="5"/>
  <c r="I1871" i="5"/>
</calcChain>
</file>

<file path=xl/sharedStrings.xml><?xml version="1.0" encoding="utf-8"?>
<sst xmlns="http://schemas.openxmlformats.org/spreadsheetml/2006/main" count="54405" uniqueCount="10366">
  <si>
    <t>ite_pk</t>
  </si>
  <si>
    <t>producto</t>
  </si>
  <si>
    <t>codproducto</t>
  </si>
  <si>
    <t>bod_pk</t>
  </si>
  <si>
    <t>lin_pk</t>
  </si>
  <si>
    <t>deslinea</t>
  </si>
  <si>
    <t>bodega</t>
  </si>
  <si>
    <t>fecha</t>
  </si>
  <si>
    <t>numcom</t>
  </si>
  <si>
    <t>sin_stock</t>
  </si>
  <si>
    <t>sin_costot</t>
  </si>
  <si>
    <t>sin_cosuni</t>
  </si>
  <si>
    <t>sin_ultcos</t>
  </si>
  <si>
    <t>referencia</t>
  </si>
  <si>
    <t>uso</t>
  </si>
  <si>
    <t>marca</t>
  </si>
  <si>
    <t>precio</t>
  </si>
  <si>
    <t>unidad</t>
  </si>
  <si>
    <t>conver</t>
  </si>
  <si>
    <t>stockconv</t>
  </si>
  <si>
    <t>uniconv</t>
  </si>
  <si>
    <t>tit_pk</t>
  </si>
  <si>
    <t>cosuniconv</t>
  </si>
  <si>
    <t>02595</t>
  </si>
  <si>
    <t>BRIDA TAPA DE MOTOR MAR/LEE ALUM B5 90-2.4 6P</t>
  </si>
  <si>
    <t>MLJB5A3</t>
  </si>
  <si>
    <t>00001</t>
  </si>
  <si>
    <t>00013</t>
  </si>
  <si>
    <t>MOTORES Y REDUCTORES Y ACCES.</t>
  </si>
  <si>
    <t>SALDO INICIAL</t>
  </si>
  <si>
    <t>UND</t>
  </si>
  <si>
    <t>PRO10</t>
  </si>
  <si>
    <t>BRIDA TAPA DE MOTOR MAR/LEE CAST IRON B5 100-2.4 6P</t>
  </si>
  <si>
    <t>MLJB5C4</t>
  </si>
  <si>
    <t>BRIDA TAPA DE MOTOR MAR/LEE CAST IRON B5 80-2.4 6P</t>
  </si>
  <si>
    <t>MLJB5C2</t>
  </si>
  <si>
    <t>02693</t>
  </si>
  <si>
    <t>BRIDA TAPA DE MOTOR MAR/LEE CAST IRON B5 90-2.4 6P</t>
  </si>
  <si>
    <t>MLJB5C3</t>
  </si>
  <si>
    <t>02591</t>
  </si>
  <si>
    <t>MOTOR MARATHON/LEESON ALUM IE2 0.18KW 1/4HP B14-4P-71-1.15SF-60 HZ 230</t>
  </si>
  <si>
    <t>MLMSE2P18263BST</t>
  </si>
  <si>
    <t>02597</t>
  </si>
  <si>
    <t>MOTOR MARATHON/LEESON ALUM IE2 0.37KW 1/2HP B14-4P-71-1.15SF-60 HZ 230</t>
  </si>
  <si>
    <t>MLMSE2P37271B5T</t>
  </si>
  <si>
    <t>MOTOR MARATHON/LEESON ALUM IE2 0.55KW 3/4HP B14-4P-80-1.15SF-60 HZ 230</t>
  </si>
  <si>
    <t>MLMSE2P55280B5T</t>
  </si>
  <si>
    <t>MOTOR MARATHON/LEESON ALUM IE2 0.75KW 1HP B14-4P-80-1.15SF-60 HZ 230/4</t>
  </si>
  <si>
    <t>MLMSE2P75280B5T</t>
  </si>
  <si>
    <t>02592</t>
  </si>
  <si>
    <t>MOTOR MARATHON/LEESON ALUM IE2 1.1KW 1.5HP B14-4P-80X-1.15SF-60 HZ 23</t>
  </si>
  <si>
    <t>MLMSE21P1280XB5</t>
  </si>
  <si>
    <t>02596</t>
  </si>
  <si>
    <t>MOTOR MARATHON/LEESON ALUM IE2 1.5KW 2HP B14-4P-90-1.15SF-60 HZ 230/46</t>
  </si>
  <si>
    <t>MLMSE21P5290B5T</t>
  </si>
  <si>
    <t>02695</t>
  </si>
  <si>
    <t>MOTOR MARATHON/LEESON CAST IRON IE2 YJM 0.75KW 1HP B3-4P-80M2-1.15SF-6</t>
  </si>
  <si>
    <t>MLJME2AP75280B1</t>
  </si>
  <si>
    <t>02697</t>
  </si>
  <si>
    <t>MOTOR MARATHON/LEESON CAST IRON IE2 YJM 1.1KW 1.5HP B3-4P 90S2-1.15S</t>
  </si>
  <si>
    <t>MLJME2A1P1290B1</t>
  </si>
  <si>
    <t>02698</t>
  </si>
  <si>
    <t>MOTOR MARATHON/LEESON CAST IRON IE2 YJM 1.5KW 2HP B3-4P 90L-1.15S-60</t>
  </si>
  <si>
    <t>MLJME2A1P5290B1</t>
  </si>
  <si>
    <t>MOTOR MARATHON/LEESON CAST IRON IE2 YJM 11KW 15HP B3-4P-160M-1.15SF-6</t>
  </si>
  <si>
    <t>MLJME2A112160B1</t>
  </si>
  <si>
    <t>MOTOR MARATHON/LEESON CAST IRON IE2 YJM 15KW 20HP B3-4P-160L-1.15SF-60</t>
  </si>
  <si>
    <t>MLJME2A152160B1</t>
  </si>
  <si>
    <t>02599</t>
  </si>
  <si>
    <t>MOTOR MARATHON/LEESON CAST IRON IE2 YJM 2.2KW 3HP B3-4P-100L1-1.15SF-6</t>
  </si>
  <si>
    <t>MLJME2A2P22100B</t>
  </si>
  <si>
    <t>MOTOR MARATHON/LEESON CAST IRON IE2 YJM 3KW 4HP B3-4P-100L2-1.15SF-60</t>
  </si>
  <si>
    <t>MLJME2A32100B1T</t>
  </si>
  <si>
    <t>02601</t>
  </si>
  <si>
    <t>MOTOR MARATHON/LEESON CAST IRON IE2 YJM 4KW 5HP B3-4P-112M-1.15SF-60 H</t>
  </si>
  <si>
    <t>MLJME2A42112B1T</t>
  </si>
  <si>
    <t>02691</t>
  </si>
  <si>
    <t>MOTOR MARATHON/LEESON CAST IRON IE2 YJM 7.5KW 10HP B3-4P-132M-1.15SF-6</t>
  </si>
  <si>
    <t>MLJME2A7P52132B</t>
  </si>
  <si>
    <t>BANDA REGINA 1500 RAISEB RIB UP 51CMS</t>
  </si>
  <si>
    <t>RERR1500BUP0510</t>
  </si>
  <si>
    <t>BANDAS MODULARES</t>
  </si>
  <si>
    <t>MTS</t>
  </si>
  <si>
    <t>CLIP P/PASADOR E93 8MM AC/A</t>
  </si>
  <si>
    <t>EU9380ACA</t>
  </si>
  <si>
    <t>CLIP P/PASADOR E93 8MM AC/B</t>
  </si>
  <si>
    <t>EU9380ACB</t>
  </si>
  <si>
    <t>CLIP P/PASADOR E93 8MM PP/A</t>
  </si>
  <si>
    <t>EU9380PPA</t>
  </si>
  <si>
    <t>GUARDA LATERAL E30 PP/B 5CMS</t>
  </si>
  <si>
    <t>EUE30SG50PPB0</t>
  </si>
  <si>
    <t>GUARDA LATERAL E50 PP/B 10CMS</t>
  </si>
  <si>
    <t>EUE50SG100PPB0</t>
  </si>
  <si>
    <t>1/2 CANDADO SS PASO 50 LB</t>
  </si>
  <si>
    <t>LBMC50-1SS</t>
  </si>
  <si>
    <t>CADENAS DE TRANSMISION</t>
  </si>
  <si>
    <t>1/2 ESLABON REGINA 13/SSC2050</t>
  </si>
  <si>
    <t>RE13/SSC2050</t>
  </si>
  <si>
    <t>CADENA LINKBELT SS PASO 40</t>
  </si>
  <si>
    <t>LBRC40-1RSS</t>
  </si>
  <si>
    <t>PVP C/DSCTO $186</t>
  </si>
  <si>
    <t>CJA</t>
  </si>
  <si>
    <t>CADENA REGINA FE 10126 10MTS</t>
  </si>
  <si>
    <t>RE10126/000</t>
  </si>
  <si>
    <t>ROL</t>
  </si>
  <si>
    <t>CADENA REGINA SS10126 788 MG C/ARTIC 10MTS</t>
  </si>
  <si>
    <t>RESS10126/484</t>
  </si>
  <si>
    <t>CADENA REGINA SS1068 160 MG C/ARTIC 3.048MT</t>
  </si>
  <si>
    <t>RESS1068/000A</t>
  </si>
  <si>
    <t>CADENA REGINA SSC2050 10MTS</t>
  </si>
  <si>
    <t>RESSC2050/7MB</t>
  </si>
  <si>
    <t>ESLABON REGINA 18/SS873AB</t>
  </si>
  <si>
    <t>RE18/SS873AB</t>
  </si>
  <si>
    <t>ESLABON REGINA 25D3SSC2050</t>
  </si>
  <si>
    <t>RE25D3/SSC2050</t>
  </si>
  <si>
    <t>ESLABON REGINA 29/10126</t>
  </si>
  <si>
    <t>RE29/10126</t>
  </si>
  <si>
    <t>ESLABON REGINA 29/SS10126</t>
  </si>
  <si>
    <t>RE29/SS10126</t>
  </si>
  <si>
    <t>CADENA REGINA HFX1873TUPSSK750 3.048MTS</t>
  </si>
  <si>
    <t>REHFX1873SKL/00</t>
  </si>
  <si>
    <t>CADENAS TABLE TOP SS</t>
  </si>
  <si>
    <t>CADENA REGINA P2815K750 3.048MTS</t>
  </si>
  <si>
    <t>REP2815KL/000</t>
  </si>
  <si>
    <t>CADENA REGINA P803K175 3.048MTS</t>
  </si>
  <si>
    <t>REP803KFA/000</t>
  </si>
  <si>
    <t>CADENA REGINA P820K450 3.048MTS</t>
  </si>
  <si>
    <t>REP820KG/000</t>
  </si>
  <si>
    <t>CADENA REGINA P915K325 3.048MTS</t>
  </si>
  <si>
    <t>REP915KD/000</t>
  </si>
  <si>
    <t>CADENA REGINA P915K450 3.048MTS</t>
  </si>
  <si>
    <t>REP915KG/000</t>
  </si>
  <si>
    <t>CADENA REGINA P915K600 3.048MTS</t>
  </si>
  <si>
    <t>REP915KH/000</t>
  </si>
  <si>
    <t>CADENA REGINA P915K750 3.048MTS</t>
  </si>
  <si>
    <t>REP915KL/000</t>
  </si>
  <si>
    <t>CADENA REGINA P981K450 3.048MTS</t>
  </si>
  <si>
    <t>REP981KG/000</t>
  </si>
  <si>
    <t>CADENA REGINA P981MK325 3.048MTS</t>
  </si>
  <si>
    <t>REP981MKD/000</t>
  </si>
  <si>
    <t>CADENA REGINA P981MK450 3.048MTS</t>
  </si>
  <si>
    <t>REP981MKG/000</t>
  </si>
  <si>
    <t>CADENA REGINA P981TK325 3.048MTS</t>
  </si>
  <si>
    <t>REP981TKD/000</t>
  </si>
  <si>
    <t>CADENA REGINA P981TK450 3.048MTS</t>
  </si>
  <si>
    <t>REP981TKG/000</t>
  </si>
  <si>
    <t>CADENA REGINA P981TK750 3.048MTS</t>
  </si>
  <si>
    <t>REP981TKL/000</t>
  </si>
  <si>
    <t>CADENA REGINA PHD9157K750 3.048MTS</t>
  </si>
  <si>
    <t>REPHD9157KL/000</t>
  </si>
  <si>
    <t>CADENA REGINA PHD915K325 3.048MTS</t>
  </si>
  <si>
    <t>REPHD915KD/000</t>
  </si>
  <si>
    <t>CADENA REGINA PHD981MK325 3.048MTS</t>
  </si>
  <si>
    <t>REPHD981MKD/000</t>
  </si>
  <si>
    <t>CADENA REGINA PHD981MK750 3.048MTS</t>
  </si>
  <si>
    <t>REPHD981MKL/000</t>
  </si>
  <si>
    <t>CADENA REGINA PHD9857MK750 3.048MTS</t>
  </si>
  <si>
    <t>REPHD9857MKL/00</t>
  </si>
  <si>
    <t>CADENA REGINA PHDG915K325 3.048MTS</t>
  </si>
  <si>
    <t>REPHDG915KD/000</t>
  </si>
  <si>
    <t>CADENA REGINA SS881K450 3.048MTS</t>
  </si>
  <si>
    <t>RESS881KG/000</t>
  </si>
  <si>
    <t>CADENA REGINA SS915K325 3.048MTS</t>
  </si>
  <si>
    <t>RESS915KD/000</t>
  </si>
  <si>
    <t>CADENA REGINA SS915K450 3.048MTS</t>
  </si>
  <si>
    <t>RESS915KG/000</t>
  </si>
  <si>
    <t>CADENA REGINA GD1873TUPK325 3.048MTS</t>
  </si>
  <si>
    <t>REGD1873UPKD/00</t>
  </si>
  <si>
    <t>CADENAS TABLE TOP PLASTICAS</t>
  </si>
  <si>
    <t>CADENA REGINA RR611AUPK37MM 3.048MTS</t>
  </si>
  <si>
    <t>RERR611AUPKAD/0</t>
  </si>
  <si>
    <t>CADENA REGINA UP1873TK1200 3.048MTS</t>
  </si>
  <si>
    <t>REUP1873KN/000</t>
  </si>
  <si>
    <t>CADENA REGINA UP1873TSSK325 3.048MTS</t>
  </si>
  <si>
    <t>REUP1873SKD/000</t>
  </si>
  <si>
    <t>CADENA REGINA UP1873TSSK750 3.048MTS</t>
  </si>
  <si>
    <t>REUP1873SKL/000</t>
  </si>
  <si>
    <t>CADENA REGINA UP783MK83.8MM 3.048MTS</t>
  </si>
  <si>
    <t>REUP783MKRA/000</t>
  </si>
  <si>
    <t>CADENA REGINA UP783TK83.8MM 3.048MTS</t>
  </si>
  <si>
    <t>REUP783TKRA/000</t>
  </si>
  <si>
    <t>CADENA REGINA UP820K325 3.048MTS</t>
  </si>
  <si>
    <t>REUP820KD/000</t>
  </si>
  <si>
    <t>PVP ESPECIAL $65</t>
  </si>
  <si>
    <t>CADENA REGINA UP820K400 3.048MTS</t>
  </si>
  <si>
    <t>REUP820KF/000</t>
  </si>
  <si>
    <t>PVP ESPECIAL $70</t>
  </si>
  <si>
    <t>CADENA REGINA UP820K450 3.048MTS</t>
  </si>
  <si>
    <t>REUP820KG/000</t>
  </si>
  <si>
    <t>CADENA REGINA UP820K600 3.048MTS</t>
  </si>
  <si>
    <t>REUP820KH/000</t>
  </si>
  <si>
    <t>CADENA REGINA UP820K750 3.048MTS</t>
  </si>
  <si>
    <t>REUP820KL/000</t>
  </si>
  <si>
    <t>PVP ESPECIAL $95</t>
  </si>
  <si>
    <t>CADENA REGINA UP821K1000 3.048MTS</t>
  </si>
  <si>
    <t>REUP821KM/000</t>
  </si>
  <si>
    <t>CADENA REGINA UP821K1200 3.048MTS</t>
  </si>
  <si>
    <t>REUP821KN/000</t>
  </si>
  <si>
    <t>CADENA REGINA UP821K750 3.048MTS</t>
  </si>
  <si>
    <t>REUP821KL/000</t>
  </si>
  <si>
    <t>CADENA REGINA UP8257K1200 3.048MTS</t>
  </si>
  <si>
    <t>REUP8257KN/000</t>
  </si>
  <si>
    <t>CADENA REGINA UP831K450 3.048MTS</t>
  </si>
  <si>
    <t>REUP831KG/000</t>
  </si>
  <si>
    <t>CADENA REGINA UP863K325 3.048MTS</t>
  </si>
  <si>
    <t>REUP863KD/000</t>
  </si>
  <si>
    <t>CADENA REGINA UP879TK325 3.048MTS</t>
  </si>
  <si>
    <t>REUP879TKD/000</t>
  </si>
  <si>
    <t>CADENA REGINA UP879TK450 3.048MTS</t>
  </si>
  <si>
    <t>REUP879TKG/000</t>
  </si>
  <si>
    <t>CADENA REGINA UP880K450 3.048MT</t>
  </si>
  <si>
    <t>REUP880KG/000</t>
  </si>
  <si>
    <t>PVP C/DSCTO $90</t>
  </si>
  <si>
    <t>CADENA REGINA UP880MRGK325 3.048MTS</t>
  </si>
  <si>
    <t>REUP880MRGKD/00</t>
  </si>
  <si>
    <t>CADENA REGINA UP880TK325 3.048MTS</t>
  </si>
  <si>
    <t>REUP880TKD/000</t>
  </si>
  <si>
    <t>CADENA REGINA UP880TK450 3.048MTS</t>
  </si>
  <si>
    <t>REUP880TKG/000</t>
  </si>
  <si>
    <t>PVP ESPECIAL $85</t>
  </si>
  <si>
    <t>CADENA REGINA UP882K1000 3.048MTS</t>
  </si>
  <si>
    <t>REUP882KM/000</t>
  </si>
  <si>
    <t>CADENA REGINA UP882TK1000 3.048MTS</t>
  </si>
  <si>
    <t>REUP882TKM/000º</t>
  </si>
  <si>
    <t>CADENA REGINA UP882TK1200 3.048MTS</t>
  </si>
  <si>
    <t>REUP882TKN/000</t>
  </si>
  <si>
    <t>CADENA REGINA UP882TK750 3.048MTS</t>
  </si>
  <si>
    <t>REUP882TKL/000</t>
  </si>
  <si>
    <t>CADENA REGINA USPMGATMUPK85MM IZQ C/ALETA  3.048MTS</t>
  </si>
  <si>
    <t>REUSPMGATMUP85S</t>
  </si>
  <si>
    <t>CC205 WH CUBIERTA CERRADA</t>
  </si>
  <si>
    <t>LDCC205W</t>
  </si>
  <si>
    <t>CHUMACERAS Y RODAMIENTOS</t>
  </si>
  <si>
    <t>CC207 WH CUBIERTA CERRADA</t>
  </si>
  <si>
    <t>LDCC207W</t>
  </si>
  <si>
    <t>CC208 WH CUBIERTA CERRADA</t>
  </si>
  <si>
    <t>LDCC208W</t>
  </si>
  <si>
    <t>SP213 CARCASA SS PI</t>
  </si>
  <si>
    <t>LDSP213</t>
  </si>
  <si>
    <t>SSUCF205 CHUMACERA SS 4H PA 25MM</t>
  </si>
  <si>
    <t>LDSSUCF205</t>
  </si>
  <si>
    <t>SSUCF205-16 CHUMACERA SS 4H PA 1"</t>
  </si>
  <si>
    <t>LDSSUCF205-16</t>
  </si>
  <si>
    <t>SSUCF206 CHUMACERA SS 4H PA 30MM</t>
  </si>
  <si>
    <t>LDSSUCF206</t>
  </si>
  <si>
    <t>SSUCF206-20 CHUMACERA SS 4H PA 1.1/4"</t>
  </si>
  <si>
    <t>LDSSUCF206-20</t>
  </si>
  <si>
    <t>SSUCF207 CHUMACERA SS 4H PA 35MM</t>
  </si>
  <si>
    <t>LDSSUCF207</t>
  </si>
  <si>
    <t>SSUCF207-20 CHUMACERA SS 4H PA 1.1/4"</t>
  </si>
  <si>
    <t>LDSSUCF207-20</t>
  </si>
  <si>
    <t>SSUCF207-23 CHUMACERA SS 4H PA 1.7/16"</t>
  </si>
  <si>
    <t>LDSSUCF207-23</t>
  </si>
  <si>
    <t>SSUCF208 CHUMACERA SS 4H PA 40MM</t>
  </si>
  <si>
    <t>LDSSUCF208</t>
  </si>
  <si>
    <t>SSUCF208-24 CHUMACERA SS 4H PA 1.1/2"</t>
  </si>
  <si>
    <t>LDSSUCF208-24</t>
  </si>
  <si>
    <t>SSUCF210 CHUMACERA SS 4H PA 50MM</t>
  </si>
  <si>
    <t>LDSSUCF210</t>
  </si>
  <si>
    <t>SSUCF210-32 CHUMACERA SS 4H PA 2"</t>
  </si>
  <si>
    <t>LDSSUCF210-32</t>
  </si>
  <si>
    <t>SSUCF211-32 CHUMACERA SS 4H PA 2"</t>
  </si>
  <si>
    <t>LDSSUCF211-32</t>
  </si>
  <si>
    <t>SSUCF212 CHUMACERA SS 4H PA 60MM</t>
  </si>
  <si>
    <t>LDSSUCF212</t>
  </si>
  <si>
    <t>SSUCF213-40 CHUMACERA SS 4H PA 2.5"</t>
  </si>
  <si>
    <t>LDSSUCF213-40</t>
  </si>
  <si>
    <t>SSUCF215-48 CHUMACERA SS 4H PA 3"</t>
  </si>
  <si>
    <t>LDSSUCF215-48</t>
  </si>
  <si>
    <t>SSUCFC205-16 CHUMACERA SS CIR 4H PA 1"</t>
  </si>
  <si>
    <t>LDSSUCFC205-16</t>
  </si>
  <si>
    <t>SSUCFL201-8 CHUMACERA SS 2H 1/2"</t>
  </si>
  <si>
    <t>LDSSUCFL201-8</t>
  </si>
  <si>
    <t>SSUCFL204 CHUMACERA SS 2H PA 20MM</t>
  </si>
  <si>
    <t>LDSSUCFL204</t>
  </si>
  <si>
    <t>SSUCFL204-12 CHUMACERA SS 2H PA 3/4"</t>
  </si>
  <si>
    <t>LDSSUCFL204-12</t>
  </si>
  <si>
    <t>SSUCFL205 CHUMACERA SS 2H PA 25MM</t>
  </si>
  <si>
    <t>LDSSUCFL205</t>
  </si>
  <si>
    <t>SSUCFL205-16 CHUMACERA SS 2H PA 1"</t>
  </si>
  <si>
    <t>LDSSUCFL205-16</t>
  </si>
  <si>
    <t>SSUCFL206 CHUMACERA SS 2H PA 30MM</t>
  </si>
  <si>
    <t>LDSSUCFL206</t>
  </si>
  <si>
    <t>SSUCFL206-20 CHUMACERA SS 2H PA 1.1/4"</t>
  </si>
  <si>
    <t>LDSSUCFL206-20</t>
  </si>
  <si>
    <t>SSUCFL207-20 CHUMACERA SS 2H PA 1.1/4"</t>
  </si>
  <si>
    <t>LDSSUCFL207-20</t>
  </si>
  <si>
    <t>SSUCFL208-24 CHUMACERA SS 2H PA 1.1/2"</t>
  </si>
  <si>
    <t>LDSSUCFL208-24</t>
  </si>
  <si>
    <t>SSUCP202-10 CHUMACERA SS PI 5/8"</t>
  </si>
  <si>
    <t>LDSSUCP202-10</t>
  </si>
  <si>
    <t>SSUCP204 CHUMACERA SS PI 20MM</t>
  </si>
  <si>
    <t>LDSSUCP204</t>
  </si>
  <si>
    <t>SSUCP204-12 CHUMACERA SS PI 3/4"</t>
  </si>
  <si>
    <t>LDSSUCP204-12</t>
  </si>
  <si>
    <t>SSUCP205-14 CHUMACERA SS PI 7/8"</t>
  </si>
  <si>
    <t>LDSSUCP205-14</t>
  </si>
  <si>
    <t>SSUCP205-16 CHUMACERA SS PI 1"</t>
  </si>
  <si>
    <t>LDSSUCP205-16</t>
  </si>
  <si>
    <t>SSUCP206 CHUMACERA SS PI 30MM</t>
  </si>
  <si>
    <t>LDSSUCP206</t>
  </si>
  <si>
    <t>SSUCP206-19 CHUMACERA SS PI 1.3/16"</t>
  </si>
  <si>
    <t>LDSSUCP206-19</t>
  </si>
  <si>
    <t>SSUCP206-20 CHUMACERA SS PI 1.1/4"</t>
  </si>
  <si>
    <t>LDSSUCP206-20</t>
  </si>
  <si>
    <t>SSUCP207 CHUMACERA SS PI 35MM</t>
  </si>
  <si>
    <t>LDSSUCP207</t>
  </si>
  <si>
    <t>SSUCP207-20 CHUMACERA SS PI 1.1/4"</t>
  </si>
  <si>
    <t>LDSSUCP207-20</t>
  </si>
  <si>
    <t>SSUCP207-23 CHUMACERA SS PI 1.7/16"</t>
  </si>
  <si>
    <t>LDSSUCP207-23</t>
  </si>
  <si>
    <t>SSUCP208 CHUMACERA SS PI 40MM</t>
  </si>
  <si>
    <t>LDSSUCP208</t>
  </si>
  <si>
    <t>SSUCP208-24 CHUMACERA SS PI 1.1/2"</t>
  </si>
  <si>
    <t>LDSSUCP208-24</t>
  </si>
  <si>
    <t>SSUCP209-28 CHUMACERA SS PI 1.3/4"</t>
  </si>
  <si>
    <t>LDSSUCP209-28</t>
  </si>
  <si>
    <t>SSUCP210 CHUMACERA SS PI 50MM</t>
  </si>
  <si>
    <t>LDSSUCP210</t>
  </si>
  <si>
    <t>SSUCP210-32 CHUMACERA SS PI 2"</t>
  </si>
  <si>
    <t>LDSSUCP210-32</t>
  </si>
  <si>
    <t>SSUCP211-32 CHUMACERA SS PI 2"</t>
  </si>
  <si>
    <t>LDSSUCP211-32</t>
  </si>
  <si>
    <t>SSUCP212 CHUMACERA SS PI 60MM</t>
  </si>
  <si>
    <t>LDSSUCP212</t>
  </si>
  <si>
    <t>SSUCP212-36 CHUMACERA SS PI 2.1/4"</t>
  </si>
  <si>
    <t>LDSSUCP212-36</t>
  </si>
  <si>
    <t>SSUCP213-40 CHUMACERA SS PI 2.5"</t>
  </si>
  <si>
    <t>LDSSUCP213-40</t>
  </si>
  <si>
    <t>SSUCP215 CHUMACERA SS PI 75MM</t>
  </si>
  <si>
    <t>LDSSUCP215</t>
  </si>
  <si>
    <t>SSUCPA205-16 CHUMACERA SS PI S/ALA 1"</t>
  </si>
  <si>
    <t>LDSSUCPA205-16</t>
  </si>
  <si>
    <t>SSUCPA207-20 CHUMACERA SS PI S/ALA 1.1/4"</t>
  </si>
  <si>
    <t>LDSSUCPA207-20</t>
  </si>
  <si>
    <t>SSUCT204 CHUMACERA SS TS 20MM</t>
  </si>
  <si>
    <t>LDSSUCT204</t>
  </si>
  <si>
    <t>SSUCT204-12 CHUMACERA SS TS 3/4"</t>
  </si>
  <si>
    <t>LDSSUCT204-12</t>
  </si>
  <si>
    <t>SSUCT205 CHUMACERA SS TS 25MM</t>
  </si>
  <si>
    <t>LDSSUCT205</t>
  </si>
  <si>
    <t>SSUCT205-16 CHUMACERA SS TS 1"</t>
  </si>
  <si>
    <t>LDSSUCT205-16</t>
  </si>
  <si>
    <t>SSUCT207-20 CHUMACERA SS TS 1.1/4"</t>
  </si>
  <si>
    <t>LDSSUCT207-20</t>
  </si>
  <si>
    <t>SSUCT208-24 CHUMACERA SS TS 1.1/2"</t>
  </si>
  <si>
    <t>LDSSUCT208-24</t>
  </si>
  <si>
    <t>SSUCT209-28 CHUMACERA SS TS 1.3/4"</t>
  </si>
  <si>
    <t>LDSSUCT209-28</t>
  </si>
  <si>
    <t>SSUCT213-40 CHUMACERA SS TS 2.1/2"</t>
  </si>
  <si>
    <t>LDSSUCT213-40</t>
  </si>
  <si>
    <t>SUC201-8 RODAMIENTO SS 1/2"</t>
  </si>
  <si>
    <t>LDSUC201-8</t>
  </si>
  <si>
    <t>SUC202-10 RODAMIENTO SS 5/8"</t>
  </si>
  <si>
    <t>LDSUC202-10</t>
  </si>
  <si>
    <t>SUC204 RODAMIENTO SS 20MM</t>
  </si>
  <si>
    <t>LDSUC204</t>
  </si>
  <si>
    <t>SUC204-12 RODAMIENTO SS 3/4"</t>
  </si>
  <si>
    <t>LDSUC204-12</t>
  </si>
  <si>
    <t>SUC205 RODAMIENTO SS 25MM</t>
  </si>
  <si>
    <t>LDSUC205</t>
  </si>
  <si>
    <t>SUC205-16 RODAMIENTO SS 1"</t>
  </si>
  <si>
    <t>LDSUC205-16</t>
  </si>
  <si>
    <t>SUC206 RODAMIENTO SS 30MM</t>
  </si>
  <si>
    <t>LDSUC206</t>
  </si>
  <si>
    <t>SUC206-19 RODAMIENTO SS 1.3/16"</t>
  </si>
  <si>
    <t>LDSUC206-19</t>
  </si>
  <si>
    <t>SUC206-20 RODAMIENTO SS 1.1/4"</t>
  </si>
  <si>
    <t>LDSUC206-20</t>
  </si>
  <si>
    <t>SUC207 RODAMIENTO SS 35MM</t>
  </si>
  <si>
    <t>LDSUC207</t>
  </si>
  <si>
    <t>SUC207-20 RODAMIENTO SS 1.1/4"</t>
  </si>
  <si>
    <t>LDSUC207-20</t>
  </si>
  <si>
    <t>SUC207-22 RODAMIENTO SS 1.3/8"</t>
  </si>
  <si>
    <t>LDSUC207-22</t>
  </si>
  <si>
    <t>SUC207-23 RODAMIENTO SS 1.7/16"</t>
  </si>
  <si>
    <t>LDSUC207-23</t>
  </si>
  <si>
    <t>SUC208 RODAMIENTO SS 40MM</t>
  </si>
  <si>
    <t>LDSUC208</t>
  </si>
  <si>
    <t>SUC208-24 RODAMIENTO SS 1.1/2"</t>
  </si>
  <si>
    <t>LDSUC208-24</t>
  </si>
  <si>
    <t>SUC208-25 RODAMIENTO SS 1.9/16"</t>
  </si>
  <si>
    <t>LDSUC208-25</t>
  </si>
  <si>
    <t>SUC209-26 RODAMIENTO SS 1.5/8"</t>
  </si>
  <si>
    <t>LDSUC209-26</t>
  </si>
  <si>
    <t>SUC210 RODAMIENTO SS 50MM</t>
  </si>
  <si>
    <t>LDSUC210</t>
  </si>
  <si>
    <t>SUC210-30 RODAMIENTO SS 1.7/8"</t>
  </si>
  <si>
    <t>LDSUC210-30</t>
  </si>
  <si>
    <t>SUC211-32 RODAMIENTO SS 2"</t>
  </si>
  <si>
    <t>LDSUC211-32</t>
  </si>
  <si>
    <t>SUC212 RODAMIENTO SS 60MM</t>
  </si>
  <si>
    <t>LDSUC212</t>
  </si>
  <si>
    <t>SUC213-40 RODAMIENTO SS 2.1/2"</t>
  </si>
  <si>
    <t>LDSUC213-40</t>
  </si>
  <si>
    <t>SUC215-48 RODAMIENTO SS 3"</t>
  </si>
  <si>
    <t>LDSUC215-48</t>
  </si>
  <si>
    <t>TP-SUCF205 CHUMACERA TP 4H PA 25MM</t>
  </si>
  <si>
    <t>LDTPSUCF205</t>
  </si>
  <si>
    <t>TP-SUCF205-16 CHUMACERA TP 4H PA 1"</t>
  </si>
  <si>
    <t>LDTPSUCF205-16</t>
  </si>
  <si>
    <t>TP-SUCF206 CHUMACERA TP 4H PA 30MM</t>
  </si>
  <si>
    <t>LDTPSUCF206</t>
  </si>
  <si>
    <t>TP-SUCF206-20 CHUMACERA TP 4H PA 1.1/4"</t>
  </si>
  <si>
    <t>LDTPSUCF206-20</t>
  </si>
  <si>
    <t>TP-SUCF207 CHUMACERA TP 4H PA 35MM</t>
  </si>
  <si>
    <t>LDTPSUCF207</t>
  </si>
  <si>
    <t>TP-SUCF207-20 CHUMACERA TP 4H PA 1.1/4"</t>
  </si>
  <si>
    <t>LDTPSUCF207-20</t>
  </si>
  <si>
    <t>TP-SUCF208 CHUMACERA TP 4H PA 40MM</t>
  </si>
  <si>
    <t>LDTPSUCF208</t>
  </si>
  <si>
    <t>TP-SUCF208-24 CHUMACERA TP 4H PA 1.1/2"</t>
  </si>
  <si>
    <t>LDTPSUCF208-24</t>
  </si>
  <si>
    <t>TP-SUCF209-28 CHUMACERA TP 4H PA 1.3/4"</t>
  </si>
  <si>
    <t>LDTPSUCF209-28</t>
  </si>
  <si>
    <t>TP-SUCFB206-20 CHUMACERA TP 3H PA 1.1/4"</t>
  </si>
  <si>
    <t>LDTPSUCFB206-2</t>
  </si>
  <si>
    <t>TP-SUCFL201-8 CHUMACERA TP 2H PA 1/2"</t>
  </si>
  <si>
    <t>LDTPSUCFL201-8</t>
  </si>
  <si>
    <t>TP-SUCFL204 CHUMACERA TP 2H PA 20MM</t>
  </si>
  <si>
    <t>LDTPSUCFL204</t>
  </si>
  <si>
    <t>TP-SUCFL204-12 CHUMACERA TP 2H PA 3/4"</t>
  </si>
  <si>
    <t>LDTPSUCFL204-12</t>
  </si>
  <si>
    <t>TP-SUCFL205 CHUMACERA TP 2H PA 25MM</t>
  </si>
  <si>
    <t>LDTPSUCFL205</t>
  </si>
  <si>
    <t>TP-SUCFL205-16 CHUMACERA TP 2H PA 1"</t>
  </si>
  <si>
    <t>LDTPSUCFL205-16</t>
  </si>
  <si>
    <t>TP-SUCFL207-20 CHUMACERA TP 2H PA 1.1/4"</t>
  </si>
  <si>
    <t>LDTPSUCFL207-20</t>
  </si>
  <si>
    <t>TP-SUCP205 CHUMACERA TP PI 25MM</t>
  </si>
  <si>
    <t>LDTPSUCP205</t>
  </si>
  <si>
    <t>TP-SUCP205-16 CHUMACERA TP PI 1"</t>
  </si>
  <si>
    <t>LDTPSUCP205-16</t>
  </si>
  <si>
    <t>TP-SUCP206 CHUMACERA TP PI 30MM</t>
  </si>
  <si>
    <t>LDTPSUCP206</t>
  </si>
  <si>
    <t>TP-SUCP206-19 CHUMACERA TP PI 1.3/16"</t>
  </si>
  <si>
    <t>LDTPSUCP206-19</t>
  </si>
  <si>
    <t>TP-SUCP207 CHUMACERA TP PI 35MM</t>
  </si>
  <si>
    <t>LDTPSUCP207</t>
  </si>
  <si>
    <t>TP-SUCP207-20 CHUMACERA TP PI 1.1/4"</t>
  </si>
  <si>
    <t>LDTPSUCP207-20</t>
  </si>
  <si>
    <t>TP-SUCP208-24 CHUMACERA TP PI 1.1/2"</t>
  </si>
  <si>
    <t>LDTPSUCP208-24</t>
  </si>
  <si>
    <t>VF2S-216 CHUMACERA BROWNING 2H PA 1"</t>
  </si>
  <si>
    <t>BRVF2S-216</t>
  </si>
  <si>
    <t>VF4S-212 CHUMACERA BROWNING 4H PA 3/4"</t>
  </si>
  <si>
    <t>BRVF4S-212</t>
  </si>
  <si>
    <t>VF4S-216 CHUMACERA BROWNING 4H PA 1"</t>
  </si>
  <si>
    <t>BRVF4S-216</t>
  </si>
  <si>
    <t>PVP ESPECIAL $32.75</t>
  </si>
  <si>
    <t>VF4S-219 CHUMACERA BROWNING 4H PA 1.3/16"</t>
  </si>
  <si>
    <t>BRVF4S-219</t>
  </si>
  <si>
    <t>VPS-212 CHUMACERA BROWNING PI 3/4"</t>
  </si>
  <si>
    <t>BRVPS-212</t>
  </si>
  <si>
    <t>VPS-216 CHUMACERA BROWNING PI 1"</t>
  </si>
  <si>
    <t>BRVPS-216</t>
  </si>
  <si>
    <t>PVP ESPECIAL $35.60</t>
  </si>
  <si>
    <t>VPS-219 CHUMACERA BROWNING PI 1.3/16"</t>
  </si>
  <si>
    <t>BRVPS-219</t>
  </si>
  <si>
    <t>VS-116 RODAMIENTO BROWNING 1"</t>
  </si>
  <si>
    <t>BRVS-116</t>
  </si>
  <si>
    <t>PVP ESPECIAL $31.65</t>
  </si>
  <si>
    <t>VS-119 RODAMIENTO BROWNING 1.3/16"</t>
  </si>
  <si>
    <t>BRVS-119</t>
  </si>
  <si>
    <t>PVP ESPECIAL $36.85</t>
  </si>
  <si>
    <t>VS-212 RODAMIENTO BROWNING 3/4"</t>
  </si>
  <si>
    <t>BRVS-212</t>
  </si>
  <si>
    <t>PVP ESPECIAL $28.45</t>
  </si>
  <si>
    <t>VS-216 RODAMIENTO BROWNING 1"</t>
  </si>
  <si>
    <t>BRVS-216</t>
  </si>
  <si>
    <t>VS-219 RODAMIENTO BROWNING 1.3/16"</t>
  </si>
  <si>
    <t>BRVS-219</t>
  </si>
  <si>
    <t>VS-220 RODAMIENTO BROWNING 1.1/4"</t>
  </si>
  <si>
    <t>BRVS-220</t>
  </si>
  <si>
    <t>VS-223 RODAMIENTO BROWNING 1.7/16"</t>
  </si>
  <si>
    <t>BRVS-223</t>
  </si>
  <si>
    <t>VS-231 RODAMIENTO BROWNING 1.15/16"</t>
  </si>
  <si>
    <t>BRVS-231</t>
  </si>
  <si>
    <t>EJE ROCHLING PE UHMW 100MM</t>
  </si>
  <si>
    <t>RO218350</t>
  </si>
  <si>
    <t>EJES</t>
  </si>
  <si>
    <t>EJE ROCHLING PE UHMW 120MM</t>
  </si>
  <si>
    <t>RO217460</t>
  </si>
  <si>
    <t>EJE ROCHLING PE UHMW 40MM</t>
  </si>
  <si>
    <t>RO212354</t>
  </si>
  <si>
    <t>EJE ROCHLING PE UHMW 50MM</t>
  </si>
  <si>
    <t>RO370522</t>
  </si>
  <si>
    <t>EJE ROCHLING PE UHMW 70MM</t>
  </si>
  <si>
    <t>RO212357</t>
  </si>
  <si>
    <t>MT</t>
  </si>
  <si>
    <t>EJE ROCHLING PE UHMW 80MM</t>
  </si>
  <si>
    <t>RO442656</t>
  </si>
  <si>
    <t>EJE ROCHLING PE UHMW 90MM</t>
  </si>
  <si>
    <t>RO242261-101174</t>
  </si>
  <si>
    <t>EJE ROCHLING PP-H 160MM C/CE</t>
  </si>
  <si>
    <t>RO875305</t>
  </si>
  <si>
    <t>TUBO RED. SS D48.3MM ESP. 1.5MM 3MTS</t>
  </si>
  <si>
    <t>TUBSS48.3SP1.5</t>
  </si>
  <si>
    <t>KIT BRAZO DE REACCION GALV P/Q30</t>
  </si>
  <si>
    <t>HMKQ309027</t>
  </si>
  <si>
    <t>KIT</t>
  </si>
  <si>
    <t>KIT BRAZO DE REACCION GALV P/Q45</t>
  </si>
  <si>
    <t>HMKQ459027</t>
  </si>
  <si>
    <t>KIT BRAZO DE REACCION GALV P/Q50</t>
  </si>
  <si>
    <t>HMKQ509027</t>
  </si>
  <si>
    <t>KIT BRAZO DE REACCION GALV P/Q63</t>
  </si>
  <si>
    <t>HMK0639027</t>
  </si>
  <si>
    <t>KIT BRAZO DE REACCION GALV P/Q75</t>
  </si>
  <si>
    <t>HMKQ759027</t>
  </si>
  <si>
    <t>KIT BRAZO DE REACCION GALV P/Q85</t>
  </si>
  <si>
    <t>HMK0859027</t>
  </si>
  <si>
    <t>KIT BRIDA DE SALIDA ALUM P/Q30 TIPO FC</t>
  </si>
  <si>
    <t>HMKQ309010</t>
  </si>
  <si>
    <t>KIT BRIDA DE SALIDA ALUM P/Q45 TIPO FL</t>
  </si>
  <si>
    <t>HMKQ459011</t>
  </si>
  <si>
    <t>KIT BRIDA DE SALIDA ALUM P/Q45 TIPO S 95MM</t>
  </si>
  <si>
    <t>HMKSQ459012</t>
  </si>
  <si>
    <t>KIT BRIDA DE SALIDA ALUM P/Q50 TIPO FC</t>
  </si>
  <si>
    <t>HMKQ509010</t>
  </si>
  <si>
    <t>KIT BRIDA DE SALIDA ALUM P/Q50 TIPO S 110MM</t>
  </si>
  <si>
    <t>HMKSQ509012</t>
  </si>
  <si>
    <t>KIT BRIDA DE SALIDA ALUM P/Q50 TIPO S 95MM</t>
  </si>
  <si>
    <t>HMKSQ509013</t>
  </si>
  <si>
    <t>KIT BRIDA DE SALIDA ALUM P/Q63 TIPO FC</t>
  </si>
  <si>
    <t>HMKQ639010</t>
  </si>
  <si>
    <t>KIT BRIDA DE SALIDA ALUM P/Q63 TIPO S</t>
  </si>
  <si>
    <t>HMKS0639011</t>
  </si>
  <si>
    <t>KIT BRIDA DE SALIDA ALUM P/Q75 TIPO FC</t>
  </si>
  <si>
    <t>HMKQ759010</t>
  </si>
  <si>
    <t>KIT BRIDA MOTOR ALUM 100/112B5 Q85</t>
  </si>
  <si>
    <t>HMK0234043</t>
  </si>
  <si>
    <t>KIT BRIDA MOTOR ALUM 100B14 Q75</t>
  </si>
  <si>
    <t>HMK0854047</t>
  </si>
  <si>
    <t>KIT BRIDA MOTOR ALUM 56B14 Q30</t>
  </si>
  <si>
    <t>HMK0304046</t>
  </si>
  <si>
    <t>KIT BRIDA MOTOR ALUM 63B14 Q30</t>
  </si>
  <si>
    <t>HMK0304045</t>
  </si>
  <si>
    <t>KIT BRIDA MOTOR ALUM 63B14 Q45/Q50</t>
  </si>
  <si>
    <t>HMK0504047</t>
  </si>
  <si>
    <t>KIT BRIDA MOTOR ALUM 63B5/90B14 Q63</t>
  </si>
  <si>
    <t>HMK0634041</t>
  </si>
  <si>
    <t>KIT BRIDA MOTOR ALUM 71B14 Q45/Q50</t>
  </si>
  <si>
    <t>HMK0504045</t>
  </si>
  <si>
    <t>KIT BRIDA MOTOR ALUM 71B14 Q63</t>
  </si>
  <si>
    <t>HMK0634047</t>
  </si>
  <si>
    <t>KIT BRIDA MOTOR ALUM 80/90B5 Q75</t>
  </si>
  <si>
    <t>HMK0234042</t>
  </si>
  <si>
    <t>KIT BRIDA MOTOR ALUM 80B14 Q50</t>
  </si>
  <si>
    <t>HMK0504046</t>
  </si>
  <si>
    <t>KIT BRIDA MOTOR ALUM 80B14 Q63</t>
  </si>
  <si>
    <t>HMK0634046</t>
  </si>
  <si>
    <t>KIT BRIDA MOTOR ALUM 80B14 Q75</t>
  </si>
  <si>
    <t>HMK0854046</t>
  </si>
  <si>
    <t>KIT BRIDA MOTOR ALUM 80B5 Q50</t>
  </si>
  <si>
    <t>HMK0504043</t>
  </si>
  <si>
    <t>KIT BRIDA MOTOR ALUM 90B14 Q75</t>
  </si>
  <si>
    <t>HMK0854045</t>
  </si>
  <si>
    <t>KIT BRIDA MOTOR SS 80B14 P/I50</t>
  </si>
  <si>
    <t>CGKI504046</t>
  </si>
  <si>
    <t>KIT EJE SALIDA SIMPLE ALUM P/Q30</t>
  </si>
  <si>
    <t>HMK0305028</t>
  </si>
  <si>
    <t>KIT EJE SALIDA SIMPLE ALUM P/Q45</t>
  </si>
  <si>
    <t>HMK0455028</t>
  </si>
  <si>
    <t>KIT EJE SALIDA SIMPLE ALUM P/Q50</t>
  </si>
  <si>
    <t>HMK0505028</t>
  </si>
  <si>
    <t>KIT EJE SALIDA SIMPLE ALUM P/Q63</t>
  </si>
  <si>
    <t>HMK0635028</t>
  </si>
  <si>
    <t>KIT EJE SALIDA SIMPLE ALUM P/Q75</t>
  </si>
  <si>
    <t>HMKQ755028</t>
  </si>
  <si>
    <t>KIT EJE SALIDA SIMPLE ALUM P/Q85</t>
  </si>
  <si>
    <t>HMK0855028</t>
  </si>
  <si>
    <t>KIT EJE SALIDA SIMPLE SS P/I45</t>
  </si>
  <si>
    <t>CGKI0455028</t>
  </si>
  <si>
    <t>KIT EJE SALIDA SIMPLE SS P/I50</t>
  </si>
  <si>
    <t>CGKI0505028</t>
  </si>
  <si>
    <t>KIT EJE SALIDA SIMPLE SS P/I63</t>
  </si>
  <si>
    <t>CGKI0635028</t>
  </si>
  <si>
    <t>KIT EJE SALIDA SIMPLE SS P/I85</t>
  </si>
  <si>
    <t>CGKI0855028</t>
  </si>
  <si>
    <t>KIT ESPACIADOR ALUM P/Q75 P/FC</t>
  </si>
  <si>
    <t>HMKQ750200</t>
  </si>
  <si>
    <t>MOTOR CGT SS SPM 71 0.37KW 1765RPM 4P B14 230/400V TENV IE4 IP69K</t>
  </si>
  <si>
    <t>CGSPMCKF4JTENN</t>
  </si>
  <si>
    <t>REDUCTOR CGT SS I45 I:21 E/H 18MM B/71B14 B3 A/14MM</t>
  </si>
  <si>
    <t>CGPI45SSI21E18B</t>
  </si>
  <si>
    <t>REDUCTOR CGT SS I45 I:46 E/H 18MM B/71B14 B3 A/14MM</t>
  </si>
  <si>
    <t>CGPI45SSI46E18B</t>
  </si>
  <si>
    <t>REDUCTOR CGT SS I50 I:43 E/H 25MM B/71B14 B3 A/14MM</t>
  </si>
  <si>
    <t>CGPI50SSI43E25B</t>
  </si>
  <si>
    <t>REDUCTOR HM ALUM BQ30 I:100 E/HUECO 14MM</t>
  </si>
  <si>
    <t>HMBQ30FB10C0-MB</t>
  </si>
  <si>
    <t>REDUCTOR HM ALUM BQ30 I:20 E/HUECO 14MM</t>
  </si>
  <si>
    <t>HMBQ30FB05C0-MB</t>
  </si>
  <si>
    <t>REDUCTOR HM ALUM BQ30 I:30 E/HUECO 14MM</t>
  </si>
  <si>
    <t>HMBQ30FB06C0-MB</t>
  </si>
  <si>
    <t>REDUCTOR HM ALUM BQ30 I:40 E/HUECO 14MM</t>
  </si>
  <si>
    <t>HMBQ30FB07C0-MB</t>
  </si>
  <si>
    <t>REDUCTOR HM ALUM BQ30 I:61 E/HUECO 14MM</t>
  </si>
  <si>
    <t>HMBQ30FB08C0-MB</t>
  </si>
  <si>
    <t>REDUCTOR HM ALUM BQ30 I:80 E/HUECO 14MM</t>
  </si>
  <si>
    <t>HMBQ30FB09C0-MB</t>
  </si>
  <si>
    <t>REDUCTOR HM ALUM BQ45 I:102 E/HUECO 18MM</t>
  </si>
  <si>
    <t>HMBQ45FB10C0-MB</t>
  </si>
  <si>
    <t>REDUCTOR HM ALUM BQ45 I:21 E/HUECO 18MM</t>
  </si>
  <si>
    <t>HMBQ45FB04C0-MB</t>
  </si>
  <si>
    <t>REDUCTOR HM ALUM BQ45 I:28 E/HUECO 18MM</t>
  </si>
  <si>
    <t>HMBQ45FB05C0-MB</t>
  </si>
  <si>
    <t>REDUCTOR HM ALUM BQ45 I:37 E/HUECO 18MM</t>
  </si>
  <si>
    <t>HMBQ45FB06C0-MB</t>
  </si>
  <si>
    <t>REDUCTOR HM ALUM BQ45 I:46 E/HUECO 18MM</t>
  </si>
  <si>
    <t>HMBQ45FB07C0-MB</t>
  </si>
  <si>
    <t>REDUCTOR HM ALUM BQ45 I:60 E/HUECO 18MM</t>
  </si>
  <si>
    <t>HMBQ45FB08C0-MB</t>
  </si>
  <si>
    <t>REDUCTOR HM ALUM BQ45 I:70 E/HUECO 18MM</t>
  </si>
  <si>
    <t>HMBQ45FB09C0-MB</t>
  </si>
  <si>
    <t>REDUCTOR HM ALUM BQ50 I:10 E/HUECO 25MM</t>
  </si>
  <si>
    <t>HMBQ50FB02C0-MB</t>
  </si>
  <si>
    <t>REDUCTOR HM ALUM BQ50 I:100 E/HUECO 25MM</t>
  </si>
  <si>
    <t>HMBQ50FB11C0-MB</t>
  </si>
  <si>
    <t>REDUCTOR HM ALUM BQ50 I:18 E/HUECO 25MM</t>
  </si>
  <si>
    <t>HMBQ50FB04C0-MB</t>
  </si>
  <si>
    <t>REDUCTOR HM ALUM BQ50 I:26 E/HUECO 25MM</t>
  </si>
  <si>
    <t>HMBQ50FB05C0-MB</t>
  </si>
  <si>
    <t>REDUCTOR HM ALUM BQ50 I:30 E/HUECO 25MM</t>
  </si>
  <si>
    <t>HMBQ50FB12C0-MB</t>
  </si>
  <si>
    <t>REDUCTOR HM ALUM BQ50 I:36 E/HUECO 25MM</t>
  </si>
  <si>
    <t>HMBQ50FB06C0-MB</t>
  </si>
  <si>
    <t>REDUCTOR HM ALUM BQ50 I:43 E/HUECO 25MM</t>
  </si>
  <si>
    <t>HMBQ50FB07C0-MB</t>
  </si>
  <si>
    <t>REDUCTOR HM ALUM BQ50 I:50 E/HUECO 25MM</t>
  </si>
  <si>
    <t>HMBQ50FB13C0-MB</t>
  </si>
  <si>
    <t>REDUCTOR HM ALUM BQ50 I:60 E/HUECO 25MM</t>
  </si>
  <si>
    <t>HMBQ50FB08C0-MB</t>
  </si>
  <si>
    <t>REDUCTOR HM ALUM BQ50 I:68 E/HUECO 25MM</t>
  </si>
  <si>
    <t>HMBQ50FB09C0-MB</t>
  </si>
  <si>
    <t>REDUCTOR HM ALUM BQ50 I:80 E/HUECO 25MM</t>
  </si>
  <si>
    <t>HMBQ50FB10C0-MB</t>
  </si>
  <si>
    <t>REDUCTOR HM ALUM BQ63 I:10 E/HUECO 25MM</t>
  </si>
  <si>
    <t>HMBQ63FB02C0-MB</t>
  </si>
  <si>
    <t>REDUCTOR HM ALUM BQ63 I:30 E/HUECO 25MM</t>
  </si>
  <si>
    <t>HMBQ63FB06C0-MB</t>
  </si>
  <si>
    <t>REDUCTOR HM ALUM BQ63 I:40 E/HUECO 25MM</t>
  </si>
  <si>
    <t>HMBQ63FB13C0-MB</t>
  </si>
  <si>
    <t>REDUCTOR HM ALUM BQ63 I:60 E/HUECO 25MM</t>
  </si>
  <si>
    <t>HMBQ63FB12C0-MB</t>
  </si>
  <si>
    <t>REDUCTOR HM ALUM BQ63 I:80 E/HUECO 25MM</t>
  </si>
  <si>
    <t>HMBQ63FB10C0-MB</t>
  </si>
  <si>
    <t>REDUCTOR HM ALUM BQ75 I:10 E/HUECO 30MM</t>
  </si>
  <si>
    <t>HMBQ75FB02C0-MB</t>
  </si>
  <si>
    <t>REDUCTOR HM ALUM BQ75 I:100 E/HUECO 30MM</t>
  </si>
  <si>
    <t>HMBQ75FB11C0-MB</t>
  </si>
  <si>
    <t>REDUCTOR HM ALUM BQ75 I:20 E/HUECO 30MM</t>
  </si>
  <si>
    <t>HMBQ75FB04C0-MB</t>
  </si>
  <si>
    <t>REDUCTOR HM ALUM BQ75 I:40 E/HUECO 30MM</t>
  </si>
  <si>
    <t>HMBQ75FB07C0-MB</t>
  </si>
  <si>
    <t>REDUCTOR HM ALUM BQ75 I:80 E/HUECO 30MM</t>
  </si>
  <si>
    <t>HMBQ75FB10C0-MB</t>
  </si>
  <si>
    <t>REDUCTOR HM ALUM BQ85 I:46 E/HUECO 35MM</t>
  </si>
  <si>
    <t>HMBQ85FB08C0-MB</t>
  </si>
  <si>
    <t>REDUCTOR HM ALUM BQ85 I:52 E/HUECO 35MM</t>
  </si>
  <si>
    <t>HMBQ85FB09C0-MB</t>
  </si>
  <si>
    <t>REDUCTOR HM ALUM BQ85 I:67 E/HUECO 35MM</t>
  </si>
  <si>
    <t>HMBQ85FB10C0-MB</t>
  </si>
  <si>
    <t>REDUCTOR HM ALUM BQ85 I:74 E/HUECO 35MM</t>
  </si>
  <si>
    <t>HMBQ85FB11C0-MB</t>
  </si>
  <si>
    <t>REDUCTOR HM ALUM BQ85 I:96 E/HUECO 35MM</t>
  </si>
  <si>
    <t>HMBQ85FB12C0-MB</t>
  </si>
  <si>
    <t>BARANDA PIAZ ACUMULACION 2R 7.5X26CMS</t>
  </si>
  <si>
    <t>PI1BBAC000005</t>
  </si>
  <si>
    <t>COMPONENTES P/ SISTEMAS Y TRANSP.</t>
  </si>
  <si>
    <t>BISAGRA A70 FIJACION T/ALLEN M6</t>
  </si>
  <si>
    <t>PI1IBIS000148</t>
  </si>
  <si>
    <t>CLAMP T D10MM</t>
  </si>
  <si>
    <t>PI1ECLA000201</t>
  </si>
  <si>
    <t>CLAMP T D12MM</t>
  </si>
  <si>
    <t>PI1ECLA303002</t>
  </si>
  <si>
    <t>CURVA 880/881 K325 T80 1VIA R=500 90º</t>
  </si>
  <si>
    <t>RET80KD1A/1000</t>
  </si>
  <si>
    <t>PAR</t>
  </si>
  <si>
    <t>CURVA 880/881 K325 T80 1VIA R=610 90º</t>
  </si>
  <si>
    <t>RET80KD1C/1000</t>
  </si>
  <si>
    <t>CURVA 880/881 K450 T80 1VIA R=610 90º</t>
  </si>
  <si>
    <t>RET80KG1C/1000</t>
  </si>
  <si>
    <t>CURVA B80 1VIA R=610 90° TI=50 W=130 880-881-981K450</t>
  </si>
  <si>
    <t>REB80KG1C/1000</t>
  </si>
  <si>
    <t>CURVA MAG F1 500 90º 90 C/PUNTERA</t>
  </si>
  <si>
    <t>REMF01AAY/101</t>
  </si>
  <si>
    <t>MANIJA TIRADORA LINEA PESADA</t>
  </si>
  <si>
    <t>PI1IMAN000136</t>
  </si>
  <si>
    <t>MORSETE AJUSTABLE D12MM</t>
  </si>
  <si>
    <t>PI1EMOR000130</t>
  </si>
  <si>
    <t>MORSETE AJUSTABLE P/PERFIL CONICO</t>
  </si>
  <si>
    <t>PI1EMOR001213</t>
  </si>
  <si>
    <t>MORSETE SIMPLE D10MM</t>
  </si>
  <si>
    <t>PI1EMOR000131</t>
  </si>
  <si>
    <t>MORSETE SIMPLE D12MM</t>
  </si>
  <si>
    <t>PI1EMOR000132</t>
  </si>
  <si>
    <t>MORSETE SIMPLE P/PERFIL CONICO</t>
  </si>
  <si>
    <t>PI1EMOR001212</t>
  </si>
  <si>
    <t>NUEZ INYECTADA D10MM</t>
  </si>
  <si>
    <t>PI1ENUE000204</t>
  </si>
  <si>
    <t>NUEZ INYECTADA D12.5MM</t>
  </si>
  <si>
    <t>PI1ENUE000055</t>
  </si>
  <si>
    <t>PERILLA PLAST ANAT HEMBRA D50 TCA M10</t>
  </si>
  <si>
    <t>PI1EPER000111</t>
  </si>
  <si>
    <t>REDUCTOR HM ALUM BQ63 I:94 E/HUECO 25MM</t>
  </si>
  <si>
    <t>HMBQ63FB11C0-MB</t>
  </si>
  <si>
    <t>ROTULA GALV P/TAZ 5/8X150</t>
  </si>
  <si>
    <t>PI1GTAZ000605</t>
  </si>
  <si>
    <t>ROTULA GALV P/TAZ 5/8X60</t>
  </si>
  <si>
    <t>PI1GTAZ000603</t>
  </si>
  <si>
    <t>ROTULA SS P/TAZ 16X100</t>
  </si>
  <si>
    <t>PI1GTAZ000595</t>
  </si>
  <si>
    <t>ROTULA SS P/TAZ 5/8X100</t>
  </si>
  <si>
    <t>PI1GTAZ000601</t>
  </si>
  <si>
    <t>ROTULA SS P/TAZ 5/8X150</t>
  </si>
  <si>
    <t>PI1GTAZ000602</t>
  </si>
  <si>
    <t>ROTULA SS P/TAZ 5/8X60</t>
  </si>
  <si>
    <t>PI1GTAZ000600</t>
  </si>
  <si>
    <t>SEGURO EUROBELT AC/G E/C 1.5"</t>
  </si>
  <si>
    <t>EUCLU38ACG</t>
  </si>
  <si>
    <t>SEGURO PIAZ RED E/C 1.5"</t>
  </si>
  <si>
    <t>PI1FANI001449</t>
  </si>
  <si>
    <t>SOPORTE DE BARANDA H154 COMPLETO</t>
  </si>
  <si>
    <t>PI1ESOP000050</t>
  </si>
  <si>
    <t>SOPORTE DE BARANDA H198 COMPLETO</t>
  </si>
  <si>
    <t>PI1ESOP000051</t>
  </si>
  <si>
    <t>SOPORTE DE BARANDA H205 COMPLETO, CABEZAL D14</t>
  </si>
  <si>
    <t>PI1ESOP000436</t>
  </si>
  <si>
    <t>SOPORTE DE BARANDA H205 COMPLETO, CABEZAL D16.5</t>
  </si>
  <si>
    <t>PI1ESOP000437</t>
  </si>
  <si>
    <t>TAZOLETA PLAST LISA D100</t>
  </si>
  <si>
    <t>PI1GTAZ000677</t>
  </si>
  <si>
    <t>TAZOLETA PLAST LISA D80</t>
  </si>
  <si>
    <t>PI1GTAZ000960</t>
  </si>
  <si>
    <t>TAZOLETA PLAST P/200 KG D198</t>
  </si>
  <si>
    <t>PI1GTAZ000054</t>
  </si>
  <si>
    <t>TAZOLETA PLAST REFORZADA D124</t>
  </si>
  <si>
    <t>PI1GTAZ000906</t>
  </si>
  <si>
    <t>TRANSFERENCIA MODULAR DOBLE 3 FILAS LTP-3RKG</t>
  </si>
  <si>
    <t>RELTP-3RKG</t>
  </si>
  <si>
    <t>TRANSFERENCIA MODULAR DOBLE 5 FILAS LTP-5RKG</t>
  </si>
  <si>
    <t>RELTP-5RKG</t>
  </si>
  <si>
    <t>UÑETA EUROBELT AC/G 14.8CMS</t>
  </si>
  <si>
    <t>EUUN10ACG</t>
  </si>
  <si>
    <t>UÑETA REGINA RR1500 W=168MM L=154MM</t>
  </si>
  <si>
    <t>RETC1500-01</t>
  </si>
  <si>
    <t>UÑETA REGINA RR611 W=45 L=82MM</t>
  </si>
  <si>
    <t>RETC611-03</t>
  </si>
  <si>
    <t>UÑETA REGINA S3000 6"</t>
  </si>
  <si>
    <t>RETC3000-01</t>
  </si>
  <si>
    <t>VIROLA C/ROSCA M10X22 P/198</t>
  </si>
  <si>
    <t>PI1ESOP000071</t>
  </si>
  <si>
    <t>VOLANTE CON MANIJA D124</t>
  </si>
  <si>
    <t>PI1EMAN000928</t>
  </si>
  <si>
    <t>VOLANTE SIN MANIJA D124</t>
  </si>
  <si>
    <t>PI1EMAN000927</t>
  </si>
  <si>
    <t>PERFIL P L41 APM BLANCO</t>
  </si>
  <si>
    <t>PI1APRF001764</t>
  </si>
  <si>
    <t>PERFILES Y TUBOS</t>
  </si>
  <si>
    <t>PERFIL PIAZ C52 APM C/NAT</t>
  </si>
  <si>
    <t>PI1APRF002142</t>
  </si>
  <si>
    <t>PERFIL PIAZ CONICO PLANO T40 C/BL C/RESPALDO SS</t>
  </si>
  <si>
    <t>PI1APRF001985</t>
  </si>
  <si>
    <t>PERFIL PIAZ CONICO SEMIESFERICO RESPALDO INOX.</t>
  </si>
  <si>
    <t>PI1APRF001200</t>
  </si>
  <si>
    <t>PERFIL PIAZ P/CADENA RODILLO 5/8</t>
  </si>
  <si>
    <t>PI1APRF001317</t>
  </si>
  <si>
    <t>PERFIL PIAZ PISTA U32 APM C/V</t>
  </si>
  <si>
    <t>PI1APRF000080</t>
  </si>
  <si>
    <t>PERFIL PIAZ RECTANGULAR 3X40 C/V</t>
  </si>
  <si>
    <t>PI1APRF000283</t>
  </si>
  <si>
    <t>PERFIL PIAZ Z CLIP APM C/V</t>
  </si>
  <si>
    <t>PI1APRF000273</t>
  </si>
  <si>
    <t>PERFIL R L41 41X18MM R703</t>
  </si>
  <si>
    <t>RO420273</t>
  </si>
  <si>
    <t>PERFIL ROCHLING J CLIP 21X10MM R010</t>
  </si>
  <si>
    <t>RO229310</t>
  </si>
  <si>
    <t>PERFIL ROCHLING J CLIP 40X10MM R217</t>
  </si>
  <si>
    <t>RO225457</t>
  </si>
  <si>
    <t>PERFIL TEC CONICO SEMIESFERICO RESPALDO INOX</t>
  </si>
  <si>
    <t>TE354/84199</t>
  </si>
  <si>
    <t>PIÑON E50 IX/N Z06 E/C 1.5"</t>
  </si>
  <si>
    <t>EUE50Z06C38IXN</t>
  </si>
  <si>
    <t>PIÑONES METALICOS</t>
  </si>
  <si>
    <t>PIÑON E50 IX/N Z10 E/C 1.5"</t>
  </si>
  <si>
    <t>EUE50Z10C38IXN</t>
  </si>
  <si>
    <t>PIÑON SS 36 DIENTES PASO 40</t>
  </si>
  <si>
    <t>PIÑSS40B36</t>
  </si>
  <si>
    <t>PIÑON A24 AC/B Z20 E/C 40MM</t>
  </si>
  <si>
    <t>EUA24ACBZ20C40</t>
  </si>
  <si>
    <t>PIÑONES PLASTICOS</t>
  </si>
  <si>
    <t>PIÑON A24 AC/M Z20 E/C 1.5"</t>
  </si>
  <si>
    <t>EUA24Z20C38ACM</t>
  </si>
  <si>
    <t>PIÑON B50 AC/B Z08 E/C 40MM</t>
  </si>
  <si>
    <t>EUB50Z08C40ACB</t>
  </si>
  <si>
    <t>PIÑON B50 AC/B Z10 E/C 40MM</t>
  </si>
  <si>
    <t>EUB50Z10C40ACB</t>
  </si>
  <si>
    <t>PIÑON B50 AC/M Z06 E/C 1.5"</t>
  </si>
  <si>
    <t>EUB50Z06C38ACM</t>
  </si>
  <si>
    <t>PIÑON B50 AC/M Z08 E/C 1.5"</t>
  </si>
  <si>
    <t>EUB50Z08C38ACM</t>
  </si>
  <si>
    <t>PIÑON B50 AC/M Z10 E/C 1.5"</t>
  </si>
  <si>
    <t>EUB50Z10C38ACM</t>
  </si>
  <si>
    <t>PIÑON B50 AC/M Z12 E/C 1.5"</t>
  </si>
  <si>
    <t>EUB50Z12C38ACM</t>
  </si>
  <si>
    <t>PIÑON B50 AC/M Z16 E/C 2.5"</t>
  </si>
  <si>
    <t>EUB50Z16C63ACM</t>
  </si>
  <si>
    <t>PIÑON B50 PP/A Z10 E/C 1.5"</t>
  </si>
  <si>
    <t>EUB50Z10C38PPA</t>
  </si>
  <si>
    <t>PIÑON C12 AC/B Z20 E/C 40MM</t>
  </si>
  <si>
    <t>EUC12Z20C40ACB</t>
  </si>
  <si>
    <t>PIÑON C12 AC/B Z31 E/R 40MM CHAV.</t>
  </si>
  <si>
    <t>EUC12Z31RCH40AC</t>
  </si>
  <si>
    <t>PIÑON C12 AC/M Z20 E/C 1.5"</t>
  </si>
  <si>
    <t>EUC12Z20C38ACM</t>
  </si>
  <si>
    <t>PIÑON C12 AC/M Z26 E/C 1.5"</t>
  </si>
  <si>
    <t>EUC12Z26C38ACM</t>
  </si>
  <si>
    <t>PIÑON C12 AC/M Z31 E/C 1.5"</t>
  </si>
  <si>
    <t>EUC12Z31C38ACM</t>
  </si>
  <si>
    <t>PIÑON C12 AC/M Z40 E/C 1.5"</t>
  </si>
  <si>
    <t>EUC12Z40C38ACM</t>
  </si>
  <si>
    <t>PIÑON E20 AC/B Z24 E/R 1.5"</t>
  </si>
  <si>
    <t>EUE20Z24R38ACB</t>
  </si>
  <si>
    <t>PIÑON E20 AC/B Z24 E/R 1.5" CHAV.</t>
  </si>
  <si>
    <t>EUE20Z24RCH38AC</t>
  </si>
  <si>
    <t>PIÑON E20 AC/M Z16 E/C 1.5"</t>
  </si>
  <si>
    <t>EUE20Z16C38ACM</t>
  </si>
  <si>
    <t>PIÑON E30 AC/B Z06 E/C 25MM</t>
  </si>
  <si>
    <t>EUE30Z06C25ACB</t>
  </si>
  <si>
    <t>PIÑON E30 AC/B Z09 E/R 1"</t>
  </si>
  <si>
    <t>EUE30Z09R26ACB</t>
  </si>
  <si>
    <t>PIÑON E30 AC/B Z09 E/R 1" CHAV.</t>
  </si>
  <si>
    <t>EUE30Z09RCH26AC</t>
  </si>
  <si>
    <t>PIÑON E30 AC/B Z11 E/C 40MM</t>
  </si>
  <si>
    <t>EUE30Z11C40ACB</t>
  </si>
  <si>
    <t>PIÑON E30 AC/B Z11 E/R 1"</t>
  </si>
  <si>
    <t>EUE30Z11R254ACB</t>
  </si>
  <si>
    <t>PIÑON E30 AC/B Z11 E/R 1" CHAV.</t>
  </si>
  <si>
    <t>EUE30Z11RCH24AC</t>
  </si>
  <si>
    <t>PIÑON E30 AC/B Z16 E/C 40MM</t>
  </si>
  <si>
    <t>EUE30Z16C40ACB</t>
  </si>
  <si>
    <t>PIÑON E30 AC/B Z16 E/C 60MM</t>
  </si>
  <si>
    <t>EUE30Z16C60ACB</t>
  </si>
  <si>
    <t>PIÑON E30 AC/B Z16 E/R 1" CHAV.</t>
  </si>
  <si>
    <t>EUE30Z16RCH26AC</t>
  </si>
  <si>
    <t>PIÑON E30 AC/B Z16 E/R 1.5"</t>
  </si>
  <si>
    <t>EUE30Z16R381ACB</t>
  </si>
  <si>
    <t>PIÑON E30 AC/B Z16 E/R 1.5" CHAV.</t>
  </si>
  <si>
    <t>EUE30Z16RCH38AC</t>
  </si>
  <si>
    <t>PIÑON E30 AC/M Z06 E/C 1"</t>
  </si>
  <si>
    <t>EUE30Z06C254ACM</t>
  </si>
  <si>
    <t>PIÑON E30 AC/M Z09 E/C 1.5"</t>
  </si>
  <si>
    <t>EUE30Z09C38ACM</t>
  </si>
  <si>
    <t>PIÑON E30 AC/M Z11 E/C 1.5"</t>
  </si>
  <si>
    <t>EUE30Z11C38ACM</t>
  </si>
  <si>
    <t>PIÑON E30 AC/M Z14 E/C 1.5"</t>
  </si>
  <si>
    <t>EUE30Z14C38ACM</t>
  </si>
  <si>
    <t>PIÑON E30 AC/M Z16 E/C 1.5"</t>
  </si>
  <si>
    <t>EUE30Z16C38ACM</t>
  </si>
  <si>
    <t>PIÑON E30 PP/A Z09 E/C 1.5"</t>
  </si>
  <si>
    <t>EUE30Z09C38PPA</t>
  </si>
  <si>
    <t>PIÑON E40 AC/B Z08 E/C 40MM</t>
  </si>
  <si>
    <t>EUE40Z08C40ACB</t>
  </si>
  <si>
    <t>PIÑON E40 AC/M Z08 E/C 1.5"</t>
  </si>
  <si>
    <t>EUE40Z08C38ACM</t>
  </si>
  <si>
    <t>PIÑON E40 AC/M Z13 E/C 1.5"</t>
  </si>
  <si>
    <t>EUE40Z13C38ACM</t>
  </si>
  <si>
    <t>PIÑON E50 AC/B Z06 E/C 40MM</t>
  </si>
  <si>
    <t>EUE50Z06C40ACB</t>
  </si>
  <si>
    <t>PIÑON E50 AC/B Z08 E/C 40MM</t>
  </si>
  <si>
    <t>EUE50Z08C40ACB</t>
  </si>
  <si>
    <t>PIÑON E50 AC/B Z10 E/C 40MM</t>
  </si>
  <si>
    <t>EUE50Z10C40ACB</t>
  </si>
  <si>
    <t>PIÑON E50 AC/M Z06 E/C 1.5"</t>
  </si>
  <si>
    <t>EUE50Z06C38ACM</t>
  </si>
  <si>
    <t>PIÑON E50 AC/M Z08 E/C 1.5"</t>
  </si>
  <si>
    <t>EUE50Z08C38ACM</t>
  </si>
  <si>
    <t>PIÑON E50 AC/M Z10 E/C 1.5"</t>
  </si>
  <si>
    <t>EUE50Z10C38ACM</t>
  </si>
  <si>
    <t>PIÑON E50 AC/M Z16 E/C 1.5"</t>
  </si>
  <si>
    <t>EUE50Z16C38ACM</t>
  </si>
  <si>
    <t>PIÑON E50 AC/M Z16 E/C 2.5"</t>
  </si>
  <si>
    <t>EUE50Z16C63ACM</t>
  </si>
  <si>
    <t>PIÑON E925 AC/B Z20 E/C 40MM</t>
  </si>
  <si>
    <t>EUE92Z20C40ACB</t>
  </si>
  <si>
    <t>PIÑON E925 AC/M Z12 E/C 1.5"</t>
  </si>
  <si>
    <t>EUE92Z12C38ACM</t>
  </si>
  <si>
    <t>PIÑON E925 AC/M Z20 E/C 1.5"</t>
  </si>
  <si>
    <t>EUE92Z20C38ACM</t>
  </si>
  <si>
    <t>PIÑON E93 AC/M Z11 E/C 1.5"</t>
  </si>
  <si>
    <t>EUE93Z11C38ACM</t>
  </si>
  <si>
    <t>PIÑON E93 AC/M Z16 E/C 1.5"</t>
  </si>
  <si>
    <t>EUE93Z16C38ACM</t>
  </si>
  <si>
    <t>PIÑON NY MAQUINADO 1700 Z12 D25MM C/NE</t>
  </si>
  <si>
    <t>ROPNY1700Z12D25</t>
  </si>
  <si>
    <t>PIÑON REGINA 3000 AC/B Z10 E/C 1.5"</t>
  </si>
  <si>
    <t>RE19200016</t>
  </si>
  <si>
    <t>PIÑON REGINA 782 Z18 D40MM</t>
  </si>
  <si>
    <t>RECMT027821804</t>
  </si>
  <si>
    <t>PIÑON REGINA 782 Z18 D40MM S/CHAV</t>
  </si>
  <si>
    <t>RECMT037821804</t>
  </si>
  <si>
    <t>PIÑON REGINA 815 Z21 D25MM</t>
  </si>
  <si>
    <t>RECMT028152101</t>
  </si>
  <si>
    <t>PIÑON REGINA 815 Z21 D30MM</t>
  </si>
  <si>
    <t>RECMT028152102</t>
  </si>
  <si>
    <t>PIÑON REGINA 815 Z21 D40MM</t>
  </si>
  <si>
    <t>RECMT028152104</t>
  </si>
  <si>
    <t>PIÑON REGINA 815 Z23 D1"</t>
  </si>
  <si>
    <t>RECMT028152306</t>
  </si>
  <si>
    <t>PIÑON REGINA 815 Z23 D30MM</t>
  </si>
  <si>
    <t>RECMT028152302</t>
  </si>
  <si>
    <t>PIÑON REGINA 815 Z23 D35MM</t>
  </si>
  <si>
    <t>RECMT028152303</t>
  </si>
  <si>
    <t>PIÑON REGINA 815 Z25 D25MM</t>
  </si>
  <si>
    <t>RECMT028152501</t>
  </si>
  <si>
    <t>PIÑON REGINA 815 Z25 D30MM</t>
  </si>
  <si>
    <t>RECMT028152502</t>
  </si>
  <si>
    <t>PIÑON REGINA 815 Z25 D35MM</t>
  </si>
  <si>
    <t>RECMT028152503</t>
  </si>
  <si>
    <t>PIÑON REGINA 815 Z25 D40MM</t>
  </si>
  <si>
    <t>RECMT028152504</t>
  </si>
  <si>
    <t>PIÑON REGINA 815 Z25 D45MM</t>
  </si>
  <si>
    <t>RECMT028152505</t>
  </si>
  <si>
    <t>PIÑON REGINA 820 Z19 D1" S/CH</t>
  </si>
  <si>
    <t>RECMT038201906</t>
  </si>
  <si>
    <t>PIÑON REGINA 820 Z21 D1"</t>
  </si>
  <si>
    <t>RECMT028202106</t>
  </si>
  <si>
    <t>PIÑON REGINA 820 Z21 D25MM</t>
  </si>
  <si>
    <t>RECMT028202101</t>
  </si>
  <si>
    <t>PIÑON REGINA 820 Z21 D30MM</t>
  </si>
  <si>
    <t>RECMT028202102</t>
  </si>
  <si>
    <t>PIÑON REGINA 820 Z21 D35MM</t>
  </si>
  <si>
    <t>RECMT028202103</t>
  </si>
  <si>
    <t>PIÑON REGINA 820 Z23 D30MM</t>
  </si>
  <si>
    <t>RECMT028202302</t>
  </si>
  <si>
    <t>PIÑON REGINA 820 Z23 D35MM</t>
  </si>
  <si>
    <t>RECMT028202303</t>
  </si>
  <si>
    <t>PIÑON REGINA 820 Z25 D25MM</t>
  </si>
  <si>
    <t>RECMT028202501</t>
  </si>
  <si>
    <t>PIÑON REGINA 820 Z25 D30MM</t>
  </si>
  <si>
    <t>RECMT028202502</t>
  </si>
  <si>
    <t>PIÑON REGINA 821 Z25 D35MM</t>
  </si>
  <si>
    <t>RECMT028212503</t>
  </si>
  <si>
    <t>PIÑON REGINA 880 Z10 D25MM</t>
  </si>
  <si>
    <t>RECMT028801001</t>
  </si>
  <si>
    <t>PIÑON REGINA 880 Z12 D25MM</t>
  </si>
  <si>
    <t>RECMT028801201</t>
  </si>
  <si>
    <t>PIÑON REGINA 881 Z25 D25MM</t>
  </si>
  <si>
    <t>RECMT028812501</t>
  </si>
  <si>
    <t>PIÑON REGINA 881 Z25 D30MM</t>
  </si>
  <si>
    <t>RECMT028812502</t>
  </si>
  <si>
    <t>PIÑON REGINA 881 Z25 D35MM</t>
  </si>
  <si>
    <t>RECMT028812503</t>
  </si>
  <si>
    <t>PIÑON REGINA 882 Z12 D1"</t>
  </si>
  <si>
    <t>RECMT028821206</t>
  </si>
  <si>
    <t>PIÑON REGINA 882 Z12 D25MM</t>
  </si>
  <si>
    <t>RECMT028821201</t>
  </si>
  <si>
    <t>PIÑON REGINA MPBASQ7300 Z21 E/C 1.5"</t>
  </si>
  <si>
    <t>REMPBASQ7300213</t>
  </si>
  <si>
    <t>PIÑON REGINA MPBF1010 Z13 D40MM S/CH.</t>
  </si>
  <si>
    <t>REMPBF10101340</t>
  </si>
  <si>
    <t>PIÑON REGINA MPBSF1010 Z18 D30MM S/CH</t>
  </si>
  <si>
    <t>REMPBSF10101830</t>
  </si>
  <si>
    <t>PIÑON REGINA MPBSFUSP-USPM Z18 D40MM S/CH</t>
  </si>
  <si>
    <t>REMPBSFUSP1840</t>
  </si>
  <si>
    <t>PIÑON REGINA MPBST1010 Z16 D30MM C/CH</t>
  </si>
  <si>
    <t>REMPBST10101630</t>
  </si>
  <si>
    <t>PIÑON REGINA MPBST1010 Z16 D35MM C/CH</t>
  </si>
  <si>
    <t>REMPBST10101635</t>
  </si>
  <si>
    <t>PIÑON REGINA MPBST1010 Z18 D30MM C/CH</t>
  </si>
  <si>
    <t>REMPBST10101830</t>
  </si>
  <si>
    <t>PIÑON REGINA MPBST1010 Z18 D35MM C/CH</t>
  </si>
  <si>
    <t>REMPBST10101835</t>
  </si>
  <si>
    <t>PIÑON REGINA MPBST1010 Z20 D35MM C/CH</t>
  </si>
  <si>
    <t>REMPBST10102035</t>
  </si>
  <si>
    <t>PIÑON REGINA MPBST1010 Z20 D40MM C/CH</t>
  </si>
  <si>
    <t>REMPBST10102040</t>
  </si>
  <si>
    <t>PIÑON REGINA MPBSTUSP-USPM Z18 D35MM C/CH</t>
  </si>
  <si>
    <t>REMPBSTUSP1835</t>
  </si>
  <si>
    <t>PIÑON REGINA MPBSTUSP-USPM Z18 D40MM C/CH</t>
  </si>
  <si>
    <t>REMPBSTUSP1840</t>
  </si>
  <si>
    <t>PIÑON REGINA NY MAQUINADO 1700 Z10 D25MM</t>
  </si>
  <si>
    <t>RECMAS021700102</t>
  </si>
  <si>
    <t>PIÑON REGINA NY MAQUINADO 2815 Z21 D1"</t>
  </si>
  <si>
    <t>RECMAS022815216</t>
  </si>
  <si>
    <t>PIÑON REGINA NY MAQUINADO 2815 Z21 D25MM</t>
  </si>
  <si>
    <t>RECMAS022815212</t>
  </si>
  <si>
    <t>PIÑON REGINA NY MAQUINADO 2815 Z21 D30MM</t>
  </si>
  <si>
    <t>RECMAS022815213</t>
  </si>
  <si>
    <t>PIÑON REGINA NY MAQUINADO 2815 Z25 D25MM</t>
  </si>
  <si>
    <t>RECMAS022815251</t>
  </si>
  <si>
    <t>PIÑON REGINA NY MAQUINADO 815 Z21 D30MM</t>
  </si>
  <si>
    <t>RECMAS028152130</t>
  </si>
  <si>
    <t>PIÑON REGINA NY MAQUINADO 815 Z21 D40MM</t>
  </si>
  <si>
    <t>RECMAS028152140</t>
  </si>
  <si>
    <t>PIÑON REGINA NY MAQUINADO 815 Z25 D1"</t>
  </si>
  <si>
    <t>RECMAS02815251</t>
  </si>
  <si>
    <t>PIÑON REGINA NY MAQUINADO 815 Z25 D35MM</t>
  </si>
  <si>
    <t>RECMAS028152535</t>
  </si>
  <si>
    <t>PIÑON REGINA NY MAQUINADO 815 Z25 D40MM</t>
  </si>
  <si>
    <t>RECMAS028152540</t>
  </si>
  <si>
    <t>PIÑON REGINA NY MAQUINADO 880 Z11 D30MM</t>
  </si>
  <si>
    <t>RECMAS028801130</t>
  </si>
  <si>
    <t>PIÑON REGINA NY MPBASTUSP-USPM Z16 D35MM C/CH</t>
  </si>
  <si>
    <t>REMPBASTUSP1635</t>
  </si>
  <si>
    <t>ROLDANA REGINA 820(250) Z21 D1"</t>
  </si>
  <si>
    <t>RECMT032502106</t>
  </si>
  <si>
    <t>ROLDANA REGINA BIP. 815 Z21 D1"</t>
  </si>
  <si>
    <t>RECMTS04815211</t>
  </si>
  <si>
    <t>ROLDANA REGINA BIP. 815 Z21 D25MM</t>
  </si>
  <si>
    <t>RECMTS048152125</t>
  </si>
  <si>
    <t>ROLDANA REGINA BIP. 815 Z21 D30MM</t>
  </si>
  <si>
    <t>RECMTS048152130</t>
  </si>
  <si>
    <t>ROLDANA REGINA BIP. 815 Z21 D40MM</t>
  </si>
  <si>
    <t>RECMTS048152140</t>
  </si>
  <si>
    <t>ROLDANA REGINA BIP. 815 Z23 D25MM</t>
  </si>
  <si>
    <t>RECMTS048152325</t>
  </si>
  <si>
    <t>ROLDANA REGINA BIP. 815 Z25 D25MM</t>
  </si>
  <si>
    <t>RECMTS048152525</t>
  </si>
  <si>
    <t>ROLDANA REGINA BIP. 815 Z25 D35MM</t>
  </si>
  <si>
    <t>RECMTS048152535</t>
  </si>
  <si>
    <t>ROLDANA REGINA BIP. 815 Z25 D40MM</t>
  </si>
  <si>
    <t>RECMTS048152540</t>
  </si>
  <si>
    <t>ROLDANA REGINA NY MAQUINADO BIP. 821 Z21 D25MM</t>
  </si>
  <si>
    <t>RECMAS048212125</t>
  </si>
  <si>
    <t>ROLDANA REGINA NY MAQUINADO BIP. 821 Z25 D30MM</t>
  </si>
  <si>
    <t>RECMAS048212530</t>
  </si>
  <si>
    <t>PLANCHA ROCHLING AC 25MM</t>
  </si>
  <si>
    <t>RO102451</t>
  </si>
  <si>
    <t>PLANCHAS</t>
  </si>
  <si>
    <t>FT²</t>
  </si>
  <si>
    <t>PLANCHA ROCHLING AC 40MM</t>
  </si>
  <si>
    <t>RO102471</t>
  </si>
  <si>
    <t>PLANCHA ROCHLING NY 6G 25MM C/NE</t>
  </si>
  <si>
    <t>RO102215</t>
  </si>
  <si>
    <t>PLANCHA ROCHLING NY 6G 35MM C/NE</t>
  </si>
  <si>
    <t>RO102221</t>
  </si>
  <si>
    <t>PLANCHA ROCHLING NY 6G 40MM C/NE</t>
  </si>
  <si>
    <t>RO102224</t>
  </si>
  <si>
    <t>PLANCHA ROCHLING NY 6G 45MM C/NE</t>
  </si>
  <si>
    <t>RO102228</t>
  </si>
  <si>
    <t>PLANCHA ROCHLING PE UHMW 25MM C/NE</t>
  </si>
  <si>
    <t>RO212508</t>
  </si>
  <si>
    <t>CADENA PIAZ S600 PASO 2.1/2"X3.048 S/TAB</t>
  </si>
  <si>
    <t>PIILCJRA09048</t>
  </si>
  <si>
    <t>CADENAS CARDANICAS</t>
  </si>
  <si>
    <t>CADENA REGINA 1600AGUPK83.8MM</t>
  </si>
  <si>
    <t>RE1600AGUPKRA/0</t>
  </si>
  <si>
    <t>CADENA REGINA 1701TA 3MTS</t>
  </si>
  <si>
    <t>RE1701TA/000</t>
  </si>
  <si>
    <t>CADENA REGINA 1702A S/TAB 3MTS</t>
  </si>
  <si>
    <t>RE1702A/000</t>
  </si>
  <si>
    <t>CADENA REGINA A1700  3MTS</t>
  </si>
  <si>
    <t>REA1700/000</t>
  </si>
  <si>
    <t>CADENA REGINA D2K880K450  3.048MTS</t>
  </si>
  <si>
    <t>RED2K880KG/000</t>
  </si>
  <si>
    <t>CADENA REGINA D2K882K450 3.048MTS</t>
  </si>
  <si>
    <t>RED2K882KG/000</t>
  </si>
  <si>
    <t>CADENA REGINA GD1873TUPBSK325 3.048MTS</t>
  </si>
  <si>
    <t>REGD1873UPBKD/0</t>
  </si>
  <si>
    <t>CADENA REGINA GW1873TUPSSK325 3.048MTS</t>
  </si>
  <si>
    <t>REGW1873SKD/000</t>
  </si>
  <si>
    <t>CADENA REGINA SS10126/484 - 10MTS</t>
  </si>
  <si>
    <t>RESS10126/000</t>
  </si>
  <si>
    <t>CADENA REGINA UP1701TA 3MTS</t>
  </si>
  <si>
    <t>REUP1701TA/000</t>
  </si>
  <si>
    <t>EMPUJADOR B50 CAZOLETA PP B. 10X20CMS</t>
  </si>
  <si>
    <t>EUB50UZ100PPB10</t>
  </si>
  <si>
    <t>MODULOS Y PASADORES</t>
  </si>
  <si>
    <t>EMPUJADOR B50 CAZOLETA PP B. 12X20CMS</t>
  </si>
  <si>
    <t>EUB50UZ120PPB10</t>
  </si>
  <si>
    <t>EMPUJADOR B50 LISO Y ANTIAD. PP A. 15X20CMS</t>
  </si>
  <si>
    <t>EUB50UX150PPA10</t>
  </si>
  <si>
    <t>EMPUJADOR B50 LISO Y ANTIAD. PP B. 10X20CMS</t>
  </si>
  <si>
    <t>EUB50UX100PPB10</t>
  </si>
  <si>
    <t>EMPUJADOR B50 LISO Y ANTIAD. PP B. 15X20CMS</t>
  </si>
  <si>
    <t>EUB50UX150PPB10</t>
  </si>
  <si>
    <t>EMPUJADOR B50 LISO Y ANTIAD. PP B. 5X20CMS</t>
  </si>
  <si>
    <t>EUB50UX50PPB10</t>
  </si>
  <si>
    <t>EMPUJADOR C12 ANTIAD. NT PE A. 2.5X20CMS</t>
  </si>
  <si>
    <t>EUC12UA25PEA8</t>
  </si>
  <si>
    <t>EMPUJADOR C12 ANTIAD. NT PE A. 5X20CMS</t>
  </si>
  <si>
    <t>EUC12UA50PEA8</t>
  </si>
  <si>
    <t>EMPUJADOR E20 LISO Y ANTIAD. PP A. 5X24CMS</t>
  </si>
  <si>
    <t>EUE20UX50PPA30</t>
  </si>
  <si>
    <t>EMPUJADOR E30 CURVO PP B. 4.5X20CMS</t>
  </si>
  <si>
    <t>EUE30UCX45PPB20</t>
  </si>
  <si>
    <t>EMPUJADOR E30 CURVO PP B. 7X20CMS</t>
  </si>
  <si>
    <t>EUE30UCX70PPB20</t>
  </si>
  <si>
    <t>EMPUJADOR E30 LISO Y ANTIAD. FG PP B. 5X20CMS</t>
  </si>
  <si>
    <t>EUE30UFG50PPB20</t>
  </si>
  <si>
    <t>EMPUJADOR E30 LISO Y ANTIAD. PE N. 5X20CMS</t>
  </si>
  <si>
    <t>EUE30UX50PEN20</t>
  </si>
  <si>
    <t>EMPUJADOR E30 LISO Y ANTIAD. PP A. 5X20CMS</t>
  </si>
  <si>
    <t>EUE30UX50PPA20</t>
  </si>
  <si>
    <t>EMPUJADOR E30 LISO Y ANTIAD. PP A. 7.5X20CMS</t>
  </si>
  <si>
    <t>EUE30UX75PPA20</t>
  </si>
  <si>
    <t>EMPUJADOR E30 LISO Y ANTIAD. PP B. 5X20CMS</t>
  </si>
  <si>
    <t>EUE30UX50PPB20</t>
  </si>
  <si>
    <t>EMPUJADOR E30 LISO Y ANTIAD. PP B. 7.5X20CMS</t>
  </si>
  <si>
    <t>EUE30UX75PPB20</t>
  </si>
  <si>
    <t>EMPUJADOR E40 LISO Y ANTIAD. PP G. 10X20CMS</t>
  </si>
  <si>
    <t>EUE40UX100PPG20</t>
  </si>
  <si>
    <t>EMPUJADOR E50 CURVO PE N. 14X20CMS</t>
  </si>
  <si>
    <t>EUE50UCX140PEN1</t>
  </si>
  <si>
    <t>EMPUJADOR E50 LISO Y ANTIAD. PE A. 2.5X20CMS</t>
  </si>
  <si>
    <t>EUE50UX25PEA10</t>
  </si>
  <si>
    <t>EMPUJADOR E50 LISO Y ANTIAD. PP A. 10X20CMS</t>
  </si>
  <si>
    <t>EUE50UX100PPA10</t>
  </si>
  <si>
    <t>EMPUJADOR E50 LISO Y ANTIAD. PP B. 10X20CMS</t>
  </si>
  <si>
    <t>EUE50UX100PPB10</t>
  </si>
  <si>
    <t>EMPUJADOR E50 LISO Y ANTIAD. PP B. 15X20CMS</t>
  </si>
  <si>
    <t>EUE50UX150PPB10</t>
  </si>
  <si>
    <t>EMPUJADOR E93 LISO Y ANTIA. PP B. 5X20CMS</t>
  </si>
  <si>
    <t>EUE93UX50PPB8</t>
  </si>
  <si>
    <t>KIT BRIDA DE SALIDA ALUM P/Q85 TIPO S</t>
  </si>
  <si>
    <t>HMKS0859012</t>
  </si>
  <si>
    <t>MODULO CT A24 FT PP B. 20CMS</t>
  </si>
  <si>
    <t>EUA24MCFTPPB20</t>
  </si>
  <si>
    <t>MODULO CT B50 FG PP A. 20CMS</t>
  </si>
  <si>
    <t>EUB50MCFGPPA10</t>
  </si>
  <si>
    <t>MODULO CT B50 FG PP B. 20CMS</t>
  </si>
  <si>
    <t>EUB50MCFGPPB10</t>
  </si>
  <si>
    <t>MODULO CT B50 FT AC B. 20CMS</t>
  </si>
  <si>
    <t>EUB50MCFTACB10</t>
  </si>
  <si>
    <t>MODULO CT B50 FT PP A. 20CMS</t>
  </si>
  <si>
    <t>EUB50MCFTPPA10</t>
  </si>
  <si>
    <t>MODULO CT B50 FT PP B. 20CMS</t>
  </si>
  <si>
    <t>EUB50MCFTPPB10</t>
  </si>
  <si>
    <t>MODULO CT C12 FG AC A. 20CMS</t>
  </si>
  <si>
    <t>EUC12MCFGACA8</t>
  </si>
  <si>
    <t>MODULO CT C12 FG PE N. 20CMS</t>
  </si>
  <si>
    <t>EUC12MCFGPEN8</t>
  </si>
  <si>
    <t>MODULO CT C12 FT PE N. 20CMS</t>
  </si>
  <si>
    <t>EUC12MCFTPEN8</t>
  </si>
  <si>
    <t>MODULO CT C12 NT PE A. 20CMS</t>
  </si>
  <si>
    <t>EUC12MCNTPEA8</t>
  </si>
  <si>
    <t>MODULO CT E20 FG PP A. 20CMS</t>
  </si>
  <si>
    <t>EUE20MCFGPPA25</t>
  </si>
  <si>
    <t>MODULO CT E30 FG AC A. 39CMS</t>
  </si>
  <si>
    <t>EUE30MCFGACA39</t>
  </si>
  <si>
    <t>MODULO CT E30 OG PE N. 20CMS</t>
  </si>
  <si>
    <t>EUE30MCOGPEN20</t>
  </si>
  <si>
    <t>MODULO CT E30 OG PP A. 20CMS</t>
  </si>
  <si>
    <t>EUE30MCOGPPA20</t>
  </si>
  <si>
    <t>MODULO CT E30 OG PP B. 20CMS</t>
  </si>
  <si>
    <t>EUE30MCOGPPB20</t>
  </si>
  <si>
    <t>MODULO CT E30 RR PP G. 20CMS</t>
  </si>
  <si>
    <t>EUE30MCRRPPG20</t>
  </si>
  <si>
    <t>MODULO CT E40 FG PP G. 20CMS</t>
  </si>
  <si>
    <t>EUE40MCFGPPG20</t>
  </si>
  <si>
    <t>MODULO CT E41 RR PP G. 20CMS</t>
  </si>
  <si>
    <t>EUE41MCRRPPG20</t>
  </si>
  <si>
    <t>MODULO CT E50 FG PE A. 20CMS</t>
  </si>
  <si>
    <t>EUE50MCFGPEA10</t>
  </si>
  <si>
    <t>MODULO CT E50 FG PP A. 20CMS</t>
  </si>
  <si>
    <t>EUE50MCFGPPA10</t>
  </si>
  <si>
    <t>MODULO CT E50 FG PP B. 20CMS</t>
  </si>
  <si>
    <t>EUE50MCFGPPB10</t>
  </si>
  <si>
    <t>MODULO CT E50 FG PPS/C 20CMS</t>
  </si>
  <si>
    <t>EUE50MCFGPPSC10</t>
  </si>
  <si>
    <t>MODULO CT E925 FG PP A. 20CMS</t>
  </si>
  <si>
    <t>EUE92MCFGPPA10</t>
  </si>
  <si>
    <t>MODULO CT E925 FG PP B. 20CMS</t>
  </si>
  <si>
    <t>EUE92MCFGPPB10</t>
  </si>
  <si>
    <t>MODULO CT E93 CF XA/N 20CMS</t>
  </si>
  <si>
    <t>EUE93MCCFXAN8</t>
  </si>
  <si>
    <t>MODULO CT E93 FG AC A. 20CMS</t>
  </si>
  <si>
    <t>EUE93MCFGACA8</t>
  </si>
  <si>
    <t>MODULO CT E93 FG PP A. 20CMS</t>
  </si>
  <si>
    <t>EUE93MCFGPPA8</t>
  </si>
  <si>
    <t>MODULO CT E93 FG PP B. 20CMS</t>
  </si>
  <si>
    <t>EUE93MCFGPPB8</t>
  </si>
  <si>
    <t>MODULO TM A24 FT PP B. 20CMS</t>
  </si>
  <si>
    <t>EUA24MTFTPPB20</t>
  </si>
  <si>
    <t>MODULO TM B50 FG PP A. 20CMS</t>
  </si>
  <si>
    <t>EUB50MTFGPPA10</t>
  </si>
  <si>
    <t>MODULO TM B50 FG PP B. 20CMS</t>
  </si>
  <si>
    <t>EUB50MTFGPPB10</t>
  </si>
  <si>
    <t>MODULO TM B50 FT AC B. 20CMS</t>
  </si>
  <si>
    <t>EUB50MTFTACB10</t>
  </si>
  <si>
    <t>MODULO TM B50 FT PP A. 10CMS</t>
  </si>
  <si>
    <t>EUB50MTFTPPA5</t>
  </si>
  <si>
    <t>MODULO TM B50 FT PP A. 20CMS</t>
  </si>
  <si>
    <t>EUB50MTFTPPA10</t>
  </si>
  <si>
    <t>MODULO TM B50 FT PP B. 10CMS</t>
  </si>
  <si>
    <t>EUB50MTFTPPB5</t>
  </si>
  <si>
    <t>MODULO TM B50 FT PP B. 20CMS</t>
  </si>
  <si>
    <t>EUB50MTFTPPB10</t>
  </si>
  <si>
    <t>MODULO TM C12 FG AC A. 20CMS</t>
  </si>
  <si>
    <t>EUC12MTFGACA8</t>
  </si>
  <si>
    <t>MODULO TM C12 FG PE N. 10CMS</t>
  </si>
  <si>
    <t>EUC12MTFGPEN4</t>
  </si>
  <si>
    <t>MODULO TM C12 FG PE N. 20CMS</t>
  </si>
  <si>
    <t>EUC12MTFGPE8</t>
  </si>
  <si>
    <t>MODULO TM C12 FT AC A. 20CMS</t>
  </si>
  <si>
    <t>EUC12MTFTACA8</t>
  </si>
  <si>
    <t>MODULO TM C12 FT PE N. 10CMS</t>
  </si>
  <si>
    <t>EUC12MTFTPEN4</t>
  </si>
  <si>
    <t>MODULO TM C12 FT PE N. 20CMS</t>
  </si>
  <si>
    <t>EUC12MTFTPEN8</t>
  </si>
  <si>
    <t>MODULO TM C12 FT PP A. 20CMS</t>
  </si>
  <si>
    <t>EUC12MTFTPPA8</t>
  </si>
  <si>
    <t>MODULO TM E20 FG PP A. 4CMS</t>
  </si>
  <si>
    <t>EUE20MTFGPPA5</t>
  </si>
  <si>
    <t>MODULO TM E20 FG PP A. 8CMS</t>
  </si>
  <si>
    <t>EUE20MTFGPPA10</t>
  </si>
  <si>
    <t>MODULO TM E30 FG AC A. 10CMS</t>
  </si>
  <si>
    <t>EUE30MTFGACA10</t>
  </si>
  <si>
    <t>MODULO TM E30 FG AC A. 20CMS</t>
  </si>
  <si>
    <t>EUE30MTFFGACA20</t>
  </si>
  <si>
    <t>MODULO TM E30 FG AC A. 30CMS</t>
  </si>
  <si>
    <t>EUE30MTFFGACA30</t>
  </si>
  <si>
    <t>MODULO TM E30 FG AC A. 40CMS</t>
  </si>
  <si>
    <t>EUE30MTFFGACA40</t>
  </si>
  <si>
    <t>MODULO TM E30 FG AC A. 5CMS</t>
  </si>
  <si>
    <t>EUE30MTFGACA5</t>
  </si>
  <si>
    <t>MODULO TM E30 FG PE N. 20CMS</t>
  </si>
  <si>
    <t>EUE30MTFGPEN20</t>
  </si>
  <si>
    <t>MODULO TM E30 FG PE N. 30CMS</t>
  </si>
  <si>
    <t>EUE30MTFGPEN30</t>
  </si>
  <si>
    <t>MODULO TM E30 FG PE N. 40CMS</t>
  </si>
  <si>
    <t>EUE30MTFGPEN40</t>
  </si>
  <si>
    <t>MODULO TM E30 FG PP A. 10CMS</t>
  </si>
  <si>
    <t>EUE30MTFGPPA10</t>
  </si>
  <si>
    <t>MODULO TM E30 FG PP A. 20CMS</t>
  </si>
  <si>
    <t>EUE30MTFFGPPA20</t>
  </si>
  <si>
    <t>MODULO TM E30 FG PP A. 30CMS</t>
  </si>
  <si>
    <t>EUE30MTFFGPPA30</t>
  </si>
  <si>
    <t>MODULO TM E30 FG PP A. 40CMS</t>
  </si>
  <si>
    <t>EUE30MTFFGPPA40</t>
  </si>
  <si>
    <t>MODULO TM E30 FG PP A. 5CMS</t>
  </si>
  <si>
    <t>EUE30MTFGPPA5</t>
  </si>
  <si>
    <t>MODULO TM E30 FG PP B. 10CMS</t>
  </si>
  <si>
    <t>EUE30MTFGPPB10</t>
  </si>
  <si>
    <t>MODULO TM E30 FG PP B. 20CMS</t>
  </si>
  <si>
    <t>EUE30MTFFGPPB20</t>
  </si>
  <si>
    <t>MODULO TM E30 FG PP B. 30CMS</t>
  </si>
  <si>
    <t>EUE30MTFFGPPB30</t>
  </si>
  <si>
    <t>MODULO TM E30 FG PP B. 40CMS</t>
  </si>
  <si>
    <t>EUE30MTFFGPPB40</t>
  </si>
  <si>
    <t>MODULO TM E30 FG PP B. 5CMS</t>
  </si>
  <si>
    <t>EUE30MTFGPPB5</t>
  </si>
  <si>
    <t>MODULO TM E30 FT AC A. 10CMS</t>
  </si>
  <si>
    <t>EUE30MTFTACA10</t>
  </si>
  <si>
    <t>MODULO TM E30 FT AC A. 20CMS</t>
  </si>
  <si>
    <t>EUE30MTTFTACA20</t>
  </si>
  <si>
    <t>MODULO TM E30 FT AC A. 30CMS</t>
  </si>
  <si>
    <t>EUE30MTTFTACA30</t>
  </si>
  <si>
    <t>MODULO TM E30 FT PP A. 10CMS</t>
  </si>
  <si>
    <t>EUE30MTFTPPA10</t>
  </si>
  <si>
    <t>MODULO TM E30 FT PP A. 20CMS</t>
  </si>
  <si>
    <t>EUE30MTFTPPA20</t>
  </si>
  <si>
    <t>MODULO TM E30 FT PP A. 30CMS</t>
  </si>
  <si>
    <t>EUE30MTFTPPA30</t>
  </si>
  <si>
    <t>MODULO TM E30 FT PP A. 5CMS</t>
  </si>
  <si>
    <t>EUE30MTFTPPA5</t>
  </si>
  <si>
    <t>MODULO TM E30 FT PP B. 10CMS</t>
  </si>
  <si>
    <t>EUE30MTFTPPB10</t>
  </si>
  <si>
    <t>MODULO TM E30 FT PP B. 20CMS</t>
  </si>
  <si>
    <t>EUE30MTTFTPPB20</t>
  </si>
  <si>
    <t>MODULO TM E30 FT PP B. 30CMS</t>
  </si>
  <si>
    <t>EUE30MTTFTPPB30</t>
  </si>
  <si>
    <t>MODULO TM E30 FT PP B. 40CMS</t>
  </si>
  <si>
    <t>EUE30MTTFTPPB40</t>
  </si>
  <si>
    <t>MODULO TM E30 FT PP B. 5CMS</t>
  </si>
  <si>
    <t>EUE30MTFTPPB5</t>
  </si>
  <si>
    <t>MODULO TM E30 OG PP A. 10CMS</t>
  </si>
  <si>
    <t>EUE30MTOGPPA10</t>
  </si>
  <si>
    <t>MODULO TM E30 OG PP A. 5CMS</t>
  </si>
  <si>
    <t>EUE30MTOGPPA5</t>
  </si>
  <si>
    <t>MODULO TM E30 OG PP B. 10CMS</t>
  </si>
  <si>
    <t>EUE30MTOGPPB10</t>
  </si>
  <si>
    <t>MODULO TM E30 OG PP B. 5CMS</t>
  </si>
  <si>
    <t>EUE30MTOGPPB5</t>
  </si>
  <si>
    <t>MODULO TM E30 RR PP G. 10CMS</t>
  </si>
  <si>
    <t>EUE30MTRRPPG10</t>
  </si>
  <si>
    <t>MODULO TM E40 FG PP G. 10CMS</t>
  </si>
  <si>
    <t>EUE40MTFGPPG10</t>
  </si>
  <si>
    <t>MODULO TM E41 RR PP G. 10CMS</t>
  </si>
  <si>
    <t>EUE41MTRRPG10</t>
  </si>
  <si>
    <t>MODULO TM E50 D FG PE A. 10CMS</t>
  </si>
  <si>
    <t>EUE50MTDFGPEA5</t>
  </si>
  <si>
    <t>MODULO TM E50 D FG PE A. 20CMS</t>
  </si>
  <si>
    <t>EUE50MTDFGPEA10</t>
  </si>
  <si>
    <t>MODULO TM E50 D FG PP A. 10CMS</t>
  </si>
  <si>
    <t>EUE50MTDFGPPA5</t>
  </si>
  <si>
    <t>MODULO TM E50 D FG PP A. 20CMS</t>
  </si>
  <si>
    <t>EUE50MTDFGPPA10</t>
  </si>
  <si>
    <t>MODULO TM E50 D FG PP B. 10CMS</t>
  </si>
  <si>
    <t>EUE50MTDFGPPB5</t>
  </si>
  <si>
    <t>MODULO TM E50 D FG PP B. 20CMS</t>
  </si>
  <si>
    <t>EUE50MTDFGPPB10</t>
  </si>
  <si>
    <t>MODULO TM E50 I FG PE A. 10CMS</t>
  </si>
  <si>
    <t>EUE50MTIFGPEA5</t>
  </si>
  <si>
    <t>MODULO TM E50 I FG PE A. 20CMS</t>
  </si>
  <si>
    <t>EUE50MTIFGPEA10</t>
  </si>
  <si>
    <t>MODULO TM E50 I FG PP A. 10CMS</t>
  </si>
  <si>
    <t>EUE50MTIFGPPA5</t>
  </si>
  <si>
    <t>MODULO TM E50 I FG PP A. 20CMS</t>
  </si>
  <si>
    <t>EUE50MTIFGPPA10</t>
  </si>
  <si>
    <t>MODULO TM E50 I FG PP B. 10CMS</t>
  </si>
  <si>
    <t>EUE50MTIFGPPB5</t>
  </si>
  <si>
    <t>MODULO TM E50 I FG PP B. 20CMS</t>
  </si>
  <si>
    <t>EUE50MTIFGPPB10</t>
  </si>
  <si>
    <t>MODULO TM E925 D FG PP A. 10CMS</t>
  </si>
  <si>
    <t>EUE92SLD4FGPPA5</t>
  </si>
  <si>
    <t>MODULO TM E925 D FG PP A. 20CMS</t>
  </si>
  <si>
    <t>EUE92SLD4FGPPA1</t>
  </si>
  <si>
    <t>MODULO TM E925 I FG PP A. 10CMS</t>
  </si>
  <si>
    <t>EUE92SLI4FGPPA5</t>
  </si>
  <si>
    <t>MODULO TM E925 I FG PP A. 20CMS</t>
  </si>
  <si>
    <t>EUE92SLI4FGPPA1</t>
  </si>
  <si>
    <t>MODULO TM E93 D FG AC A. 6.25CMS</t>
  </si>
  <si>
    <t>EUE93SLDFGACA2.</t>
  </si>
  <si>
    <t>MODULO TM E93 D FG AC A. 8.75CMS</t>
  </si>
  <si>
    <t>EUE93SLDFGACA3.</t>
  </si>
  <si>
    <t>MODULO TM E93 D FG PP A. 6.25CMS</t>
  </si>
  <si>
    <t>EUE93SLDFGPPA2.</t>
  </si>
  <si>
    <t>MODULO TM E93 D FG PP A. 8.75CMS</t>
  </si>
  <si>
    <t>EUE93SLDFGPPA3.</t>
  </si>
  <si>
    <t>MODULO TM E93 D FG PP B. 6.25CMS</t>
  </si>
  <si>
    <t>EUE93SLDFGPPB2.</t>
  </si>
  <si>
    <t>MODULO TM E93 D FG PP B. 8.75CMS</t>
  </si>
  <si>
    <t>EUE93SLDFGPPB3.</t>
  </si>
  <si>
    <t>MODULO TM E93 D FG PP B. 8.75CMS C/L</t>
  </si>
  <si>
    <t>EUE93CLDFGPPB3.</t>
  </si>
  <si>
    <t>MODULO TM E93 I FG AC A. 6.25CMS</t>
  </si>
  <si>
    <t>EUE93SLIFGACA2.</t>
  </si>
  <si>
    <t>MODULO TM E93 I FG AC A. 8.75CMS</t>
  </si>
  <si>
    <t>EUE93SLIFGACA3.</t>
  </si>
  <si>
    <t>MODULO TM E93 I FG PP A. 6.25CMS</t>
  </si>
  <si>
    <t>EUE93SLIFGPPA2.</t>
  </si>
  <si>
    <t>MODULO TM E93 I FG PP A. 8.75CMS</t>
  </si>
  <si>
    <t>EUE93SLIFGPPA3.</t>
  </si>
  <si>
    <t>MODULO TM E93 I FG PP B. 6.25CMS</t>
  </si>
  <si>
    <t>EUE93SLIFGPPB2.</t>
  </si>
  <si>
    <t>MODULO TM E93 I FG PP B. 8.75CMS</t>
  </si>
  <si>
    <t>EUE93SLIFGPPB3.</t>
  </si>
  <si>
    <t>MODULO TM E93 I FG PP B. 8.75CMS C/L</t>
  </si>
  <si>
    <t>EUE93CLIFGPPB3.</t>
  </si>
  <si>
    <t>PASADOR AC/B 5.5MM</t>
  </si>
  <si>
    <t>EUVA55ACB</t>
  </si>
  <si>
    <t>PASADOR AC/N 4.6MM</t>
  </si>
  <si>
    <t>EUVA46ACN</t>
  </si>
  <si>
    <t>PASADOR AC/N 6MM</t>
  </si>
  <si>
    <t>EUVA60ACN</t>
  </si>
  <si>
    <t>PASADOR AC/N 8MM</t>
  </si>
  <si>
    <t>EUVEMTACN</t>
  </si>
  <si>
    <t>PASADOR NY 4.6MM</t>
  </si>
  <si>
    <t>EUVA46NYF</t>
  </si>
  <si>
    <t>PASADOR PBT/B 4.6MM</t>
  </si>
  <si>
    <t>EUVA46PBTB</t>
  </si>
  <si>
    <t>PASADOR PE/N 4.6MM</t>
  </si>
  <si>
    <t>EUVA46PEN</t>
  </si>
  <si>
    <t>PASADOR PE/N 6MM</t>
  </si>
  <si>
    <t>EUVA60PEN</t>
  </si>
  <si>
    <t>PASADOR PP/B 5.5MM</t>
  </si>
  <si>
    <t>EUVA55PPB</t>
  </si>
  <si>
    <t>PASADOR PP/G 8MM</t>
  </si>
  <si>
    <t>EUVEMTPPG</t>
  </si>
  <si>
    <t>PASADOR PP/N 4.6MM</t>
  </si>
  <si>
    <t>EUVA46PPN</t>
  </si>
  <si>
    <t>PASADOR PP/N 6MM</t>
  </si>
  <si>
    <t>EUVA60PPN</t>
  </si>
  <si>
    <t>TAPA FG AC/A 4.6MM</t>
  </si>
  <si>
    <t>EUFG46ACA</t>
  </si>
  <si>
    <t>TAPA FG AC/B 4.6MM</t>
  </si>
  <si>
    <t>EUFG46ACB</t>
  </si>
  <si>
    <t>TAPA FG AC/N 4.6MM</t>
  </si>
  <si>
    <t>EUFG46ACN</t>
  </si>
  <si>
    <t>TAPA FG PP/A 4.6MM</t>
  </si>
  <si>
    <t>EUFG46PPA</t>
  </si>
  <si>
    <t>TAPA FG PP/A 6MM</t>
  </si>
  <si>
    <t>EUFG60ACAA</t>
  </si>
  <si>
    <t>TAPA FG PP/B 6MM</t>
  </si>
  <si>
    <t>EUFG60PPB</t>
  </si>
  <si>
    <t>TAPA FG PP/G 6MM</t>
  </si>
  <si>
    <t>EUFG60PPG</t>
  </si>
  <si>
    <t>TAPA FT/PF AC/A 4.6MM</t>
  </si>
  <si>
    <t>EUTP46ACA</t>
  </si>
  <si>
    <t>TAPA FT/PF AC/B 4.6MM</t>
  </si>
  <si>
    <t>EUTP46ACB</t>
  </si>
  <si>
    <t>TAPA FT/PF AC/N 4.6MM</t>
  </si>
  <si>
    <t>EUTP46ACN</t>
  </si>
  <si>
    <t>TAPA FT/PF PP/A 4.6MM</t>
  </si>
  <si>
    <t>EUTP46PPA</t>
  </si>
  <si>
    <t>00089</t>
  </si>
  <si>
    <t>CHUMACERAS</t>
  </si>
  <si>
    <t>00026</t>
  </si>
  <si>
    <t>00112</t>
  </si>
  <si>
    <t>PERFIL PIAZ PLANO 1/4X1.1/4"</t>
  </si>
  <si>
    <t>PI1APRF001664</t>
  </si>
  <si>
    <t>00002</t>
  </si>
  <si>
    <t>00222</t>
  </si>
  <si>
    <t>PLANCHA PE UHMW 1/4"</t>
  </si>
  <si>
    <t>QDPLAPE1/4</t>
  </si>
  <si>
    <t>00014</t>
  </si>
  <si>
    <t>Condi</t>
  </si>
  <si>
    <t>Maqui</t>
  </si>
  <si>
    <t>Ascintec</t>
  </si>
  <si>
    <t>stock</t>
  </si>
  <si>
    <t>AFRX2-BD160W</t>
  </si>
  <si>
    <t>AF CODIFICADORA HITACHI RX2-BD160W</t>
  </si>
  <si>
    <t>AF EQUIPOS DE COMPUTO Y SOFTWARE</t>
  </si>
  <si>
    <t>PRINCIPAL</t>
  </si>
  <si>
    <t>RE3120PP078</t>
  </si>
  <si>
    <t>BANDA REGINA 3120 PP 78"</t>
  </si>
  <si>
    <t>EUE30FTPPB60</t>
  </si>
  <si>
    <t>BANDA S-E30 FLAT TOP PP B. 60CMS</t>
  </si>
  <si>
    <t>LBRC40-1/2</t>
  </si>
  <si>
    <t>1/2 CANDADO FE PASO 40 LB</t>
  </si>
  <si>
    <t>LBRC50-1/2</t>
  </si>
  <si>
    <t>1/2 CANDADO FE PASO 50 LB</t>
  </si>
  <si>
    <t>LBMC40-1SS</t>
  </si>
  <si>
    <t>1/2 CANDADO SS PASO 40 LB</t>
  </si>
  <si>
    <t>VE1/2CANSS50</t>
  </si>
  <si>
    <t>1/2 CANDADO SS PASO 50 VE</t>
  </si>
  <si>
    <t>LBMC60-1SS</t>
  </si>
  <si>
    <t>1/2 CANDADO SS PASO 60 LB</t>
  </si>
  <si>
    <t>LBRC50-1R</t>
  </si>
  <si>
    <t>CADENA LINKBELT FE PASO 50</t>
  </si>
  <si>
    <t>LBRC50-1RSS</t>
  </si>
  <si>
    <t>CADENA LINKBELT SS PASO 50</t>
  </si>
  <si>
    <t>VECADSS40</t>
  </si>
  <si>
    <t>CADENA VERCELLI SS PASO 40 10FT</t>
  </si>
  <si>
    <t>VECADSS60</t>
  </si>
  <si>
    <t>CADENA VERCELLI SS PASO 60 10FT</t>
  </si>
  <si>
    <t>LBRC40-1</t>
  </si>
  <si>
    <t>CANDADO FE PASO 40 LB</t>
  </si>
  <si>
    <t>LBRC50-1</t>
  </si>
  <si>
    <t>CANDADO FE PASO 50 LB</t>
  </si>
  <si>
    <t>LBRC50-1SS</t>
  </si>
  <si>
    <t>CANDADO SS PASO 50 LB</t>
  </si>
  <si>
    <t>LBCA60-1SS</t>
  </si>
  <si>
    <t>CANDADO SS PASO 60 LB</t>
  </si>
  <si>
    <t>VECANSS60</t>
  </si>
  <si>
    <t>CANDADO SS PASO 60 VE</t>
  </si>
  <si>
    <t>LDSF205</t>
  </si>
  <si>
    <t>SF205 CARCASA SS 4H PA</t>
  </si>
  <si>
    <t>LDSF206</t>
  </si>
  <si>
    <t>SF206 CARCASA SS 4H PA</t>
  </si>
  <si>
    <t>LDSSUCF204-12</t>
  </si>
  <si>
    <t>SSUCF204-12 CHUMACERA SS 4H PA 3/4"</t>
  </si>
  <si>
    <t>LDSUC210-32</t>
  </si>
  <si>
    <t>SUC210-32 RODAMIENTO SS 2"</t>
  </si>
  <si>
    <t>LDSU211</t>
  </si>
  <si>
    <t>SUC211 RODAMIENTO SS 55MM</t>
  </si>
  <si>
    <t>LDTPP204</t>
  </si>
  <si>
    <t>TP-P204 CARCASA TP PI</t>
  </si>
  <si>
    <t>LDTPSUCF204-12</t>
  </si>
  <si>
    <t>TP-SUCF204-12 CHUMACERA TP 4H PA 3/4"</t>
  </si>
  <si>
    <t>LDTPSUCF206-19</t>
  </si>
  <si>
    <t>TP-SUCF206-19 CHUMACERA TP 4H PA 1.3/16"</t>
  </si>
  <si>
    <t>LDTPSUCF209</t>
  </si>
  <si>
    <t>TP-SUCF209 CHUMACERA TP 4H PA 45MM</t>
  </si>
  <si>
    <t>LDTPSUCFL206-20</t>
  </si>
  <si>
    <t>TP-SUCFL206-20 CHUMACERA TP 2H PA 1.1/4"</t>
  </si>
  <si>
    <t>LDTPSUCP204-12</t>
  </si>
  <si>
    <t>TP-SUCP204-12 CHUMACERA TP PI 3/4"</t>
  </si>
  <si>
    <t>TE233/80774</t>
  </si>
  <si>
    <t>BISAGRA TEC A46 M6</t>
  </si>
  <si>
    <t>TE238/80986</t>
  </si>
  <si>
    <t>CLAMP T TEC D12MM</t>
  </si>
  <si>
    <t>TE229/80681</t>
  </si>
  <si>
    <t>MORSETE TEC DOBLE D12MM</t>
  </si>
  <si>
    <t>TE38/83291</t>
  </si>
  <si>
    <t>NIVELADOR TEC AJUST PLAST C/A D100 C/ROT SS 5/8X218</t>
  </si>
  <si>
    <t>TE38/7113</t>
  </si>
  <si>
    <t>NIVELADOR TEC AJUST PLAST C/A D102 C/ROT SS M16X145.4</t>
  </si>
  <si>
    <t>TE25/87799</t>
  </si>
  <si>
    <t>NIVELADOR TEC AJUST PLAST C/A D80 C/ROT SS C/AZ M12X125.9</t>
  </si>
  <si>
    <t>TE25/7081</t>
  </si>
  <si>
    <t>NIVELADOR TEC AJUST PLAST C/A D80 C/ROT SS M12X125.9</t>
  </si>
  <si>
    <t>TE25/7091</t>
  </si>
  <si>
    <t>NIVELADOR TEC AJUST PLAST C/A D80 C/ROT SS M16X142.4</t>
  </si>
  <si>
    <t>TE92/7785</t>
  </si>
  <si>
    <t>NIVELADOR TEC AJUST PLAST D124 C/ROT SS M16X154</t>
  </si>
  <si>
    <t>TE10/7003</t>
  </si>
  <si>
    <t>NIVELADOR TEC AJUST PLAST D40 C/ROT SS M10X95</t>
  </si>
  <si>
    <t>TE113/83795</t>
  </si>
  <si>
    <t>NIVELADOR TEC AJUST PLAST D55 C/COB SS C/ROT SS M10X107</t>
  </si>
  <si>
    <t>TE113/83822</t>
  </si>
  <si>
    <t>NIVELADOR TEC AJUST PLAST D55 C/COB SS C/ROT SS M12X132</t>
  </si>
  <si>
    <t>TE18/7047</t>
  </si>
  <si>
    <t>NIVELADOR TEC AJUST PLAST D60 C/ROT SS M12X124</t>
  </si>
  <si>
    <t>TE239/80994</t>
  </si>
  <si>
    <t>NUEZ TEC INYECTADA D12MM</t>
  </si>
  <si>
    <t>TE246/81135</t>
  </si>
  <si>
    <t>PERILLA TEC PLAST D54 M10</t>
  </si>
  <si>
    <t>PI1GTAZ000604</t>
  </si>
  <si>
    <t>ROTULA GALV P/TAZ 5/8X100</t>
  </si>
  <si>
    <t>TE213/80654</t>
  </si>
  <si>
    <t>SOPORTE DE BARANDA TEC H198 LA=11 C/PER Y VIR D14.5</t>
  </si>
  <si>
    <t>TE243/81005</t>
  </si>
  <si>
    <t>SOPORTE DE BARANDA TEC H240 COMPLETO D16.5</t>
  </si>
  <si>
    <t>TE281/82132</t>
  </si>
  <si>
    <t>SOPORTE DE BARANDA TEC H258 COMPLETO LA=11 D16.5</t>
  </si>
  <si>
    <t>PI1ETRA001097</t>
  </si>
  <si>
    <t>TRANSFERENCIA MODULAR ENTRADA</t>
  </si>
  <si>
    <t>TE261/82001</t>
  </si>
  <si>
    <t>TRANSFERENCIA MODULAR TEC 3 FILAS L=85</t>
  </si>
  <si>
    <t>TE260/82002</t>
  </si>
  <si>
    <t>TRANSFERENCIA MODULAR TEC 5 FILAS L=85</t>
  </si>
  <si>
    <t>TE257/85004</t>
  </si>
  <si>
    <t>TRANSFERENCIA MODULAR TEC DOBLE 5 FILAS L=115 C/ROD</t>
  </si>
  <si>
    <t>TE526/87381</t>
  </si>
  <si>
    <t>VIROLA TEC SS M10X14.5</t>
  </si>
  <si>
    <t>TE526/87382</t>
  </si>
  <si>
    <t>VIROLA TEC SS M10X16.5</t>
  </si>
  <si>
    <t>IMEJESSC1.1/2</t>
  </si>
  <si>
    <t>EJE SS CUAD. 1.1/2"</t>
  </si>
  <si>
    <t>PI1APRF000282</t>
  </si>
  <si>
    <t>BARANDA PIAZ H78</t>
  </si>
  <si>
    <t>PERALUC22</t>
  </si>
  <si>
    <t>PERFIL ALUMINIO P/C22</t>
  </si>
  <si>
    <t>PI1APRF701004</t>
  </si>
  <si>
    <t>PERFIL ALUMINIO SOLUS P/C52</t>
  </si>
  <si>
    <t>ROPERPE1/4X1</t>
  </si>
  <si>
    <t>PERFIL PE UHMW 1/4"X1"</t>
  </si>
  <si>
    <t>ROPE1/4X1.1/2</t>
  </si>
  <si>
    <t>PERFIL PE UHMW 1/4"X1.1/2"</t>
  </si>
  <si>
    <t>ROPE1/4X1.1/4</t>
  </si>
  <si>
    <t>PERFIL PE UHMW 1/4"X1.1/4"</t>
  </si>
  <si>
    <t>ROPE1/4X2</t>
  </si>
  <si>
    <t>PERFIL PE UHMW 1/4"X2"</t>
  </si>
  <si>
    <t>PI1APRF000994</t>
  </si>
  <si>
    <t>PERFIL PIAZ APM 1/2 CAÑA P/E 1/2 C/B</t>
  </si>
  <si>
    <t>PI1APRF002299</t>
  </si>
  <si>
    <t>PERFIL PIAZ C22 APM C/B</t>
  </si>
  <si>
    <t>PI1APRF000223</t>
  </si>
  <si>
    <t>PERFIL PIAZ Z23 APM EXTRUDADO</t>
  </si>
  <si>
    <t>RO478563</t>
  </si>
  <si>
    <t>PERFIL ROCHLING C52 EXTRUD R094 C/NAT</t>
  </si>
  <si>
    <t>RO478564</t>
  </si>
  <si>
    <t>PERFIL ROCHLING RECTANGULAR 35X6MM C/NAT</t>
  </si>
  <si>
    <t>RO246198</t>
  </si>
  <si>
    <t>PERFIL ROCHLING RECTANGULAR 35X6MM C/VE</t>
  </si>
  <si>
    <t>RO228835</t>
  </si>
  <si>
    <t>PERFIL ROCHLING T40X3MM R001</t>
  </si>
  <si>
    <t>RO212463</t>
  </si>
  <si>
    <t>PERFIL ROCHLING U31 41X9MM R269</t>
  </si>
  <si>
    <t>EUC12Z16C25ACB</t>
  </si>
  <si>
    <t>PIÑON C12 AC/B Z16 E/C 25MM</t>
  </si>
  <si>
    <t>EUE92Z16C38ACM</t>
  </si>
  <si>
    <t>PIÑON E925 AC/M Z16 E/C 1.5"</t>
  </si>
  <si>
    <t>EUE93Z11C38PPA</t>
  </si>
  <si>
    <t>PIÑON E93 PP/A Z11 E/C 1.5"</t>
  </si>
  <si>
    <t>RECMT028152106</t>
  </si>
  <si>
    <t>PIÑON REGINA 815 Z21 D1"</t>
  </si>
  <si>
    <t>RECMTS048152330</t>
  </si>
  <si>
    <t>ROLDANA REGINA BIP. 815 Z23 D30MM</t>
  </si>
  <si>
    <t>RO101006</t>
  </si>
  <si>
    <t>PLANCHA ROCHLING PE UHMW 12MM</t>
  </si>
  <si>
    <t>HITH-TYPE-A</t>
  </si>
  <si>
    <t>MEK PQT SOLVENTE TH-TYPE-A</t>
  </si>
  <si>
    <t>ADITIVOS</t>
  </si>
  <si>
    <t>LT</t>
  </si>
  <si>
    <t>HI1419K</t>
  </si>
  <si>
    <t>MEK PQT TINTA 1419K 500ML</t>
  </si>
  <si>
    <t>HIJP-K67</t>
  </si>
  <si>
    <t>MEK PQT TINTA K67</t>
  </si>
  <si>
    <t>AFPB-260E</t>
  </si>
  <si>
    <t>AF CODIFICADORA HITACHI PB-260E</t>
  </si>
  <si>
    <t>AF MAQUINARIA Y EQUIPO</t>
  </si>
  <si>
    <t>AFPXR-H450W</t>
  </si>
  <si>
    <t>AF CODIFICADORA HITACHI PXR-H450W 50 MICRONES</t>
  </si>
  <si>
    <t>AFRX-SD160W</t>
  </si>
  <si>
    <t>AF CODIFICADORA HITACHI RX-SD160W</t>
  </si>
  <si>
    <t>FREG0731-8"X30"</t>
  </si>
  <si>
    <t>AF FRESADORA INDUSTRIAL G0731-8"X30" 1.5HP VERTICAL</t>
  </si>
  <si>
    <t>TOCNC1100MX</t>
  </si>
  <si>
    <t>FRESADORA AUTOMATICA CNC MOD. 1100MX</t>
  </si>
  <si>
    <t>MITTRITONHRAC2.</t>
  </si>
  <si>
    <t>VEHICULO MITSUBISHI TRITON HIRIDER AC 2.4 4X2 TM</t>
  </si>
  <si>
    <t>AF VEHICULO</t>
  </si>
  <si>
    <t>REUSPUP018</t>
  </si>
  <si>
    <t>BANDA REGINA USP UP DA 18"</t>
  </si>
  <si>
    <t>EUB50FTPPA49.5</t>
  </si>
  <si>
    <t>BANDA S-B50 FLAT TOP PP A. 49.5CMS</t>
  </si>
  <si>
    <t>EU50FTPPB40E2.5</t>
  </si>
  <si>
    <t>BANDA S-B50 FLAT TOP PP B. 40CMS E/2.5 C/50 I/6</t>
  </si>
  <si>
    <t>EUB50FTPPB44</t>
  </si>
  <si>
    <t>BANDA S-B50 FLAT TOP PP B. 44CMS</t>
  </si>
  <si>
    <t>EUB50FTPPB60</t>
  </si>
  <si>
    <t>BANDA S-B50 FLAT TOP PP B. 60CMS</t>
  </si>
  <si>
    <t>EUEB50FGPPB78</t>
  </si>
  <si>
    <t>BANDA S-B50 FLUSH GRID PP B. 78CMS</t>
  </si>
  <si>
    <t>EUC12FTPEN25</t>
  </si>
  <si>
    <t>BANDA S-C12 FLAT TOP PE N. 25CMS</t>
  </si>
  <si>
    <t>EUE30FTPPA30TF2</t>
  </si>
  <si>
    <t>BANDA S-E30 FLAT TOP PP A. 30CMS MTF C/21 I/5</t>
  </si>
  <si>
    <t>EUE30FTPPA40</t>
  </si>
  <si>
    <t>BANDA S-E30 FLAT TOP PP A. 40CMS</t>
  </si>
  <si>
    <t>EUE30FGACA12</t>
  </si>
  <si>
    <t>BANDA S-E30 FLUSH GRID AC A. 12CMS</t>
  </si>
  <si>
    <t>EUE30FGPPA25</t>
  </si>
  <si>
    <t>BANDA S-E30 FLUSH GRID PP A. 25CMS</t>
  </si>
  <si>
    <t>EUE30FGPPA30</t>
  </si>
  <si>
    <t>BANDA S-E30 FLUSH GRID PP A. 30CMS</t>
  </si>
  <si>
    <t>EUE30FGPPA50</t>
  </si>
  <si>
    <t>BANDA S-E30 FLUSH GRID PP A. 50CMS</t>
  </si>
  <si>
    <t>EUE30FGPPB25</t>
  </si>
  <si>
    <t>BANDA S-E30 FLUSH GRID PP B. 25CMS</t>
  </si>
  <si>
    <t>EUE30FGPPB30</t>
  </si>
  <si>
    <t>BANDA S-E30 FLUSH GRID PP B. 30CMS</t>
  </si>
  <si>
    <t>EUE30FGPPB60</t>
  </si>
  <si>
    <t>BANDA S-E30 FLUSH GRID PP B. 60CMS</t>
  </si>
  <si>
    <t>EUE30FYOGPPB120</t>
  </si>
  <si>
    <t>BANDA S-E30 FLUSH Y OPEN GRID PP B. 120CMS</t>
  </si>
  <si>
    <t>EUE50FTPPB46</t>
  </si>
  <si>
    <t>BANDA S-E50 FLAT TOP PP B. 46CMS</t>
  </si>
  <si>
    <t>EUE50FGPEA88E2.</t>
  </si>
  <si>
    <t>BANDA S-E50 FLUSH GRID PE A. 88CMS E/2.5 C/60 IE/4 II/12-8</t>
  </si>
  <si>
    <t>EUE925FGPPA36</t>
  </si>
  <si>
    <t>BANDA S-E925 FLUSH GRID PP A. 36CMS</t>
  </si>
  <si>
    <t>EUE925FGPPB36</t>
  </si>
  <si>
    <t>BANDA S-E925 FLUSH GRID PP B. 36CMS</t>
  </si>
  <si>
    <t>EUE93FGPPA50</t>
  </si>
  <si>
    <t>BANDA S-E93 FLUSH GRID PP A. 50CMS</t>
  </si>
  <si>
    <t>EUE93FGPPA55</t>
  </si>
  <si>
    <t>BANDA S-E93 FLUSH GRID PP A. 55CMS</t>
  </si>
  <si>
    <t>EU9260ACAA</t>
  </si>
  <si>
    <t>CLIP P/PASADOR E925 6MM AC/A</t>
  </si>
  <si>
    <t>EU9260ACB</t>
  </si>
  <si>
    <t>CLIP P/PASADOR E925 6MM AC/B</t>
  </si>
  <si>
    <t>EUE30SG50PPA0</t>
  </si>
  <si>
    <t>GUARDA LATERAL E30 PP/A 5CMS</t>
  </si>
  <si>
    <t>UNGLMPBPP4LF</t>
  </si>
  <si>
    <t>GUARDA LATERAL UNI MPB PP 4" LF</t>
  </si>
  <si>
    <t>UNGLMPBPP4RH</t>
  </si>
  <si>
    <t>GUARDA LATERAL UNI MPB PP 4" RH</t>
  </si>
  <si>
    <t>RE16300005</t>
  </si>
  <si>
    <t>TORNILLO REGINA  P/PEINES3000</t>
  </si>
  <si>
    <t>PI1LCJRA09061</t>
  </si>
  <si>
    <t>CADENA PIAZ S1400 PASO 3.1/4"X3.048 C/TAB</t>
  </si>
  <si>
    <t>VEC1400ACTAB</t>
  </si>
  <si>
    <t>CADENA VERCELLI 1400 AC C/TAB 10FT</t>
  </si>
  <si>
    <t>REGGD1873TUPK32</t>
  </si>
  <si>
    <t>GRIPPER REGINA GD1873TUPK325</t>
  </si>
  <si>
    <t>REGGW1873TUP325</t>
  </si>
  <si>
    <t>GRIPPER REGINA GW1873TUPK325</t>
  </si>
  <si>
    <t>RE136/1702</t>
  </si>
  <si>
    <t>MODULO 1702 C/PERNO SS</t>
  </si>
  <si>
    <t>RE232/1700</t>
  </si>
  <si>
    <t>PIVOT 1700 H=32.5</t>
  </si>
  <si>
    <t>RE233/1700</t>
  </si>
  <si>
    <t>PIVOT 1700 H=42.5</t>
  </si>
  <si>
    <t>LBMC50-2</t>
  </si>
  <si>
    <t>1/2 CANDADO DOBLE FE PASO 50-2 LB</t>
  </si>
  <si>
    <t>LBMC60-2</t>
  </si>
  <si>
    <t>1/2 CANDADO DOBLE FE PASO 60-2 LB</t>
  </si>
  <si>
    <t>VE1/2CANSS06-2</t>
  </si>
  <si>
    <t>1/2 CANDADO DOBLE SS PASO 06-2 VE</t>
  </si>
  <si>
    <t>LBMC06B-2SS</t>
  </si>
  <si>
    <t>1/2 CANDADO DOBLE SS PASO 06B-2 LB</t>
  </si>
  <si>
    <t>VE1/2CANSS08-2</t>
  </si>
  <si>
    <t>1/2 CANDADO DOBLE SS PASO 08-2 VE</t>
  </si>
  <si>
    <t>LBMC08B-2SS</t>
  </si>
  <si>
    <t>1/2 CANDADO DOBLE SS PASO 08B-2 LB</t>
  </si>
  <si>
    <t>LBMC40-2SS</t>
  </si>
  <si>
    <t>1/2 CANDADO DOBLE SS PASO 40-2 LB</t>
  </si>
  <si>
    <t>VE1/2CANSS40-2</t>
  </si>
  <si>
    <t>1/2 CANDADO DOBLE SS PASO 40-2 VE</t>
  </si>
  <si>
    <t>LBMC50-2SS</t>
  </si>
  <si>
    <t>1/2 CANDADO DOBLE SS PASO 50-2 LB</t>
  </si>
  <si>
    <t>VE1/2CANSS50-2</t>
  </si>
  <si>
    <t>1/2 CANDADO DOBLE SS PASO 50-2 VE</t>
  </si>
  <si>
    <t>LBMC60-2SS</t>
  </si>
  <si>
    <t>1/2 CANDADO DOBLE SS PASO 60-2 LB</t>
  </si>
  <si>
    <t>LBMC80-2SS</t>
  </si>
  <si>
    <t>1/2 CANDADO DOBLE SS PASO 80-2 LB</t>
  </si>
  <si>
    <t>LBMC08B-1</t>
  </si>
  <si>
    <t>1/2 CANDADO FE PASO 08B LB</t>
  </si>
  <si>
    <t>LBMC100-1</t>
  </si>
  <si>
    <t>1/2 CANDADO FE PASO 100 LB</t>
  </si>
  <si>
    <t>LBMC10B-1</t>
  </si>
  <si>
    <t>1/2 CANDADO FE PASO 10B LB</t>
  </si>
  <si>
    <t>LBMC120-1</t>
  </si>
  <si>
    <t>1/2 CANDADO FE PASO 120 LB</t>
  </si>
  <si>
    <t>LBMC12B-1</t>
  </si>
  <si>
    <t>1/2 CANDADO FE PASO 12B LB</t>
  </si>
  <si>
    <t>VE1/2CANFE16B</t>
  </si>
  <si>
    <t>1/2 CANDADO FE PASO 16B VE</t>
  </si>
  <si>
    <t>LBMC60-1R</t>
  </si>
  <si>
    <t>1/2 CANDADO FE PASO 60 LB</t>
  </si>
  <si>
    <t>LBMC80-1</t>
  </si>
  <si>
    <t>1/2 CANDADO FE PASO 80 LB</t>
  </si>
  <si>
    <t>VE1/2CANSS06</t>
  </si>
  <si>
    <t>1/2 CANDADO SS PASO 06 VE</t>
  </si>
  <si>
    <t>LBMC06B-1SS</t>
  </si>
  <si>
    <t>1/2 CANDADO SS PASO 06B LB</t>
  </si>
  <si>
    <t>VE1/2CANSS08</t>
  </si>
  <si>
    <t>1/2 CANDADO SS PASO 08 VE</t>
  </si>
  <si>
    <t>LBMC08B-1SS</t>
  </si>
  <si>
    <t>1/2 CANDADO SS PASO 08B LB</t>
  </si>
  <si>
    <t>1/2CANSS35</t>
  </si>
  <si>
    <t>1/2 CANDADO SS PASO 35</t>
  </si>
  <si>
    <t>VE1/2CANSS35</t>
  </si>
  <si>
    <t>1/2 CANDADO SS PASO 35 VE</t>
  </si>
  <si>
    <t>VE1/2CANSS40</t>
  </si>
  <si>
    <t>1/2 CANDADO SS PASO 40 VE</t>
  </si>
  <si>
    <t>VE1/2CANSS60</t>
  </si>
  <si>
    <t>1/2 CANDADO SS PASO 60 VE</t>
  </si>
  <si>
    <t>LBMC80-1SS</t>
  </si>
  <si>
    <t>1/2 CANDADO SS PASO 80 LB</t>
  </si>
  <si>
    <t>VE1/2CANSS80</t>
  </si>
  <si>
    <t>1/2 CANDADO SS PASO 80 VE</t>
  </si>
  <si>
    <t>VE1/2CANSS40-3</t>
  </si>
  <si>
    <t>1/2 CANDADO TRIPLE SS PASO 40-3 VE</t>
  </si>
  <si>
    <t>VE1/2CANSS50-3</t>
  </si>
  <si>
    <t>1/2 CANDADO TRIPLE SS PASO 50-3 VE</t>
  </si>
  <si>
    <t>LBRC60-1R</t>
  </si>
  <si>
    <t>CADENA LINKBELT FE PASO 60</t>
  </si>
  <si>
    <t>REA50/296</t>
  </si>
  <si>
    <t>CADENA REGINA A50 3.048MTS</t>
  </si>
  <si>
    <t>REA40-2/013</t>
  </si>
  <si>
    <t>CADENA REGINA DOBLE A40-2 3.048MTS</t>
  </si>
  <si>
    <t>RESSA40-2/00A</t>
  </si>
  <si>
    <t>CADENA REGINA DOBLE SSA40-2 3.048MTS</t>
  </si>
  <si>
    <t>RESS10126/00AFT</t>
  </si>
  <si>
    <t>CADENA REGINA SS10126 240 MG - 10FT</t>
  </si>
  <si>
    <t>VECADSS06B-2</t>
  </si>
  <si>
    <t>CADENA VERCELLI DOBLE SS PASO 06B-2 10FT</t>
  </si>
  <si>
    <t>VECADSS08B-2</t>
  </si>
  <si>
    <t>CADENA VERCELLI DOBLE SS PASO 08B-2 10FT</t>
  </si>
  <si>
    <t>VECADSS40-2</t>
  </si>
  <si>
    <t>CADENA VERCELLI DOBLE SS PASO 40-2 10FT</t>
  </si>
  <si>
    <t>VECADSS50-2</t>
  </si>
  <si>
    <t>CADENA VERCELLI DOBLE SS PASO 50-2 10FT</t>
  </si>
  <si>
    <t>VECADSS60-2</t>
  </si>
  <si>
    <t>CADENA VERCELLI DOBLE SS PASO 60-2 10FT</t>
  </si>
  <si>
    <t>VECADSS80-2</t>
  </si>
  <si>
    <t>CADENA VERCELLI DOBLE SS PASO 80-2 10FT</t>
  </si>
  <si>
    <t>VECADFE100</t>
  </si>
  <si>
    <t>CADENA VERCELLI FE PASO 100 10FT</t>
  </si>
  <si>
    <t>VECADFE120</t>
  </si>
  <si>
    <t>CADENA VERCELLI FE PASO 120 10FT</t>
  </si>
  <si>
    <t>VECADFE12B</t>
  </si>
  <si>
    <t>CADENA VERCELLI FE PASO 12B 10FT</t>
  </si>
  <si>
    <t>VECADFE16B</t>
  </si>
  <si>
    <t>CADENA VERCELLI FE PASO 16B 10FT</t>
  </si>
  <si>
    <t>VECADFE40</t>
  </si>
  <si>
    <t>CADENA VERCELLI FE PASO 40 10FT</t>
  </si>
  <si>
    <t>VECADFE50</t>
  </si>
  <si>
    <t>CADENA VERCELLI FE PASO 50 10FT</t>
  </si>
  <si>
    <t>VECADFE60</t>
  </si>
  <si>
    <t>CADENA VERCELLI FE PASO 60 10FT</t>
  </si>
  <si>
    <t>VECADFE80</t>
  </si>
  <si>
    <t>CADENA VERCELLI FE PASO 80 10FT</t>
  </si>
  <si>
    <t>VECADSSC2052</t>
  </si>
  <si>
    <t>CADENA VERCELLI SS C2052 10FT</t>
  </si>
  <si>
    <t>VECADSS08</t>
  </si>
  <si>
    <t>CADENA VERCELLI SS PASO 08 10FT</t>
  </si>
  <si>
    <t>VECADSS100</t>
  </si>
  <si>
    <t>CADENA VERCELLI SS PASO 100 10FT</t>
  </si>
  <si>
    <t>VECADSS10B</t>
  </si>
  <si>
    <t>CADENA VERCELLI SS PASO 10B 10FT</t>
  </si>
  <si>
    <t>VECADSS12B</t>
  </si>
  <si>
    <t>CADENA VERCELLI SS PASO 12B 10FT</t>
  </si>
  <si>
    <t>VECADSS35</t>
  </si>
  <si>
    <t>CADENA VERCELLI SS PASO 35 10FT</t>
  </si>
  <si>
    <t>VECADSS50</t>
  </si>
  <si>
    <t>CADENA VERCELLI SS PASO 50 10FT</t>
  </si>
  <si>
    <t>VECADSS80</t>
  </si>
  <si>
    <t>CADENA VERCELLI SS PASO 80 10FT</t>
  </si>
  <si>
    <t>VECADSS40-3</t>
  </si>
  <si>
    <t>CADENA VERCELLI TRIPLE SS PASO 40 10FT</t>
  </si>
  <si>
    <t>VECADSS50-3</t>
  </si>
  <si>
    <t>CADENA VERCELLI TRIPLE SS PASO 50 10FT</t>
  </si>
  <si>
    <t>LBCA40-2</t>
  </si>
  <si>
    <t>CANDADO DOBLE FE PASO 40-2 LB</t>
  </si>
  <si>
    <t>LBCA50-2</t>
  </si>
  <si>
    <t>CANDADO DOBLE FE PASO 50-2 LB</t>
  </si>
  <si>
    <t>VECANSS06-2</t>
  </si>
  <si>
    <t>CANDADO DOBLE SS PASO 06-2 VE</t>
  </si>
  <si>
    <t>LBCA06B-2SS</t>
  </si>
  <si>
    <t>CANDADO DOBLE SS PASO 06B-2 LB</t>
  </si>
  <si>
    <t>VECANSS08-2</t>
  </si>
  <si>
    <t>CANDADO DOBLE SS PASO 08-2 VE</t>
  </si>
  <si>
    <t>LBCA50-2SS</t>
  </si>
  <si>
    <t>CANDADO DOBLE SS PASO 50-2 LB</t>
  </si>
  <si>
    <t>VECANSS50-2</t>
  </si>
  <si>
    <t>CANDADO DOBLE SS PASO 50-2 VE</t>
  </si>
  <si>
    <t>LBCA80-2SS</t>
  </si>
  <si>
    <t>CANDADO DOBLE SS PASO 80-2 LB</t>
  </si>
  <si>
    <t>LBCA08B-1</t>
  </si>
  <si>
    <t>CANDADO FE PASO 08B LB</t>
  </si>
  <si>
    <t>VECANFE100</t>
  </si>
  <si>
    <t>CANDADO FE PASO 100 VE</t>
  </si>
  <si>
    <t>LBCA10B-1</t>
  </si>
  <si>
    <t>CANDADO FE PASO 10B LB</t>
  </si>
  <si>
    <t>LBCA120-1</t>
  </si>
  <si>
    <t>CANDADO FE PASO 120 LB</t>
  </si>
  <si>
    <t>VECANFE120</t>
  </si>
  <si>
    <t>CANDADO FE PASO 120 VE</t>
  </si>
  <si>
    <t>LBCA12B-1</t>
  </si>
  <si>
    <t>CANDADO FE PASO 12B LB</t>
  </si>
  <si>
    <t>VECANFE16B</t>
  </si>
  <si>
    <t>CANDADO FE PASO 16B VE</t>
  </si>
  <si>
    <t>LBCA60-1</t>
  </si>
  <si>
    <t>CANDADO FE PASO 60 LB</t>
  </si>
  <si>
    <t>LBCA80-1</t>
  </si>
  <si>
    <t>CANDADO FE PASO 80 LB</t>
  </si>
  <si>
    <t>VECANFE80</t>
  </si>
  <si>
    <t>CANDADO FE PASO 80 VE</t>
  </si>
  <si>
    <t>VECANSSC08B</t>
  </si>
  <si>
    <t>CANDADO SS C08B VE</t>
  </si>
  <si>
    <t>VECANSS06</t>
  </si>
  <si>
    <t>CANDADO SS PASO 06 VE</t>
  </si>
  <si>
    <t>LBCA08B-1SS</t>
  </si>
  <si>
    <t>CANDADO SS PASO 08B LB</t>
  </si>
  <si>
    <t>LBCA100-1SS</t>
  </si>
  <si>
    <t>CANDADO SS PASO 100 LB</t>
  </si>
  <si>
    <t>VECANSS100</t>
  </si>
  <si>
    <t>CANDADO SS PASO 100 VE</t>
  </si>
  <si>
    <t>LBRC40-1SS</t>
  </si>
  <si>
    <t>CANDADO SS PASO 40 LB</t>
  </si>
  <si>
    <t>MOCANSS40</t>
  </si>
  <si>
    <t>CANDADO SS PASO 40 MO</t>
  </si>
  <si>
    <t>VECANSS40</t>
  </si>
  <si>
    <t>CANDADO SS PASO 40 VE</t>
  </si>
  <si>
    <t>LBCA80-1SS</t>
  </si>
  <si>
    <t>CANDADO SS PASO 80 LB</t>
  </si>
  <si>
    <t>VECANSS80</t>
  </si>
  <si>
    <t>CANDADO SS PASO 80 VE</t>
  </si>
  <si>
    <t>VECANSS40-3</t>
  </si>
  <si>
    <t>CANDADO TRIPLE SS PASO 40-3 VE</t>
  </si>
  <si>
    <t>VECANSS50-3</t>
  </si>
  <si>
    <t>CANDADO TRIPLE SS PASO 50-3 VE</t>
  </si>
  <si>
    <t>RE26/0126</t>
  </si>
  <si>
    <t>ESLABON REGINA 26/10126 (M26 126)</t>
  </si>
  <si>
    <t>RE26A/50</t>
  </si>
  <si>
    <t>ESLABON REGINA 26/A50</t>
  </si>
  <si>
    <t>RE26A/60</t>
  </si>
  <si>
    <t>ESLABON REGINA 26/A60</t>
  </si>
  <si>
    <t>RE26/SSA40</t>
  </si>
  <si>
    <t>ESLABON REGINA 26/SSA40</t>
  </si>
  <si>
    <t>RE26/SSA50</t>
  </si>
  <si>
    <t>ESLABON REGINA 26/SSA50</t>
  </si>
  <si>
    <t>RE26/SSA60</t>
  </si>
  <si>
    <t>ESLABON REGINA 26/SSA60</t>
  </si>
  <si>
    <t>RE26/A40-2</t>
  </si>
  <si>
    <t>ESLABON REGINA DOBLE 26/A40-2</t>
  </si>
  <si>
    <t>RE26/SSA40-2</t>
  </si>
  <si>
    <t>ESLABON REGINA DOBLE 26/SSA40-2</t>
  </si>
  <si>
    <t>PI1LCRRA09000</t>
  </si>
  <si>
    <t>CADENA PIAZ S820 PASO 3.1/4"X3.048 S/TAB</t>
  </si>
  <si>
    <t>RELBP882TUPKL/0</t>
  </si>
  <si>
    <t>CADENA REGINA LBP882TUPK750 5FT</t>
  </si>
  <si>
    <t>REUP1863KN/000</t>
  </si>
  <si>
    <t>CADENA REGINA UP1863TK1200 3.048MTS</t>
  </si>
  <si>
    <t>REUP793MKG/000</t>
  </si>
  <si>
    <t>CADENA REGINA UP793MK450 3.048MTS</t>
  </si>
  <si>
    <t>REUSPMGATMUP85D</t>
  </si>
  <si>
    <t>CADENA REGINA USPMGATMUPK85MM DER C/ALETA 3.048MTS</t>
  </si>
  <si>
    <t>REP803KPA/000</t>
  </si>
  <si>
    <t>CADENA REGINA P803K125 3.048MTS</t>
  </si>
  <si>
    <t>REP915KF/000</t>
  </si>
  <si>
    <t>CADENA REGINA P915K400 3.048MTS</t>
  </si>
  <si>
    <t>REPG915KD/000</t>
  </si>
  <si>
    <t>CADENA REGINA PG915K325 3.048MTS</t>
  </si>
  <si>
    <t>REPHD915KL/000</t>
  </si>
  <si>
    <t>CADENA REGINA PHD915K750 3.048MTS</t>
  </si>
  <si>
    <t>REXP915KD/000</t>
  </si>
  <si>
    <t>CADENA REGINA XP915K325</t>
  </si>
  <si>
    <t>LDCC204W</t>
  </si>
  <si>
    <t>CC204 WH CUBIERTA CERRADA</t>
  </si>
  <si>
    <t>LDCC204Y</t>
  </si>
  <si>
    <t>CC204 YE CUBIERTA CERRADA</t>
  </si>
  <si>
    <t>LDCC205Y</t>
  </si>
  <si>
    <t>CC205 YE CUBIERTA CERRADA</t>
  </si>
  <si>
    <t>LDCC206W</t>
  </si>
  <si>
    <t>CC206 WH CUBIERTA CERRADA</t>
  </si>
  <si>
    <t>LDCC206Y</t>
  </si>
  <si>
    <t>CC206 YE CUBIERTA CERRADA</t>
  </si>
  <si>
    <t>LDCC209W</t>
  </si>
  <si>
    <t>CC209 WH CUBIERTA CERRADA</t>
  </si>
  <si>
    <t>DOUCP206-19</t>
  </si>
  <si>
    <t>CHUMACERA DODGE FE PI 1.3/16"</t>
  </si>
  <si>
    <t>HUF250X3/4</t>
  </si>
  <si>
    <t>F250X3/4 CARCASA HC FE 4H PA</t>
  </si>
  <si>
    <t>LDGRSS304M6X1</t>
  </si>
  <si>
    <t>GRASERO SS304 M6X1</t>
  </si>
  <si>
    <t>LDOC204Y</t>
  </si>
  <si>
    <t>OC204 YE CUBIERTA ABIERTA</t>
  </si>
  <si>
    <t>LDOC205Y</t>
  </si>
  <si>
    <t>OC205 YE CUBIERTA ABIERTA</t>
  </si>
  <si>
    <t>HUP250X3/4</t>
  </si>
  <si>
    <t>P250X3/4 CARCASA FE HUB PI</t>
  </si>
  <si>
    <t>HUPB250X1</t>
  </si>
  <si>
    <t>PB250X1 CHUMACERA HC PI</t>
  </si>
  <si>
    <t>FAS6204-2RS</t>
  </si>
  <si>
    <t>RODAMIENTO S6204-2RS 20X47X14MM</t>
  </si>
  <si>
    <t>FAS6205-2RS</t>
  </si>
  <si>
    <t>RODAMIENTO S6205-2RS 25X52X16MM</t>
  </si>
  <si>
    <t>LDSF204</t>
  </si>
  <si>
    <t>SF204 CARCASA SS 4H PA</t>
  </si>
  <si>
    <t>LDSF207</t>
  </si>
  <si>
    <t>SF207 CARCASA SS 4H PA</t>
  </si>
  <si>
    <t>LDSF208</t>
  </si>
  <si>
    <t>SF208 CARCASA SS 4H PA</t>
  </si>
  <si>
    <t>LDSF210</t>
  </si>
  <si>
    <t>SF210 CARCASA SS 4H PA</t>
  </si>
  <si>
    <t>LDSFB207</t>
  </si>
  <si>
    <t>SFB207 CARCASA SS 3H PA</t>
  </si>
  <si>
    <t>LDSFL205</t>
  </si>
  <si>
    <t>SFL205 CARCASA SS 2H PA</t>
  </si>
  <si>
    <t>LDSFL207</t>
  </si>
  <si>
    <t>SFL207 CARCASA SS 2H PA</t>
  </si>
  <si>
    <t>LDSP204</t>
  </si>
  <si>
    <t>SP204 CARCASA SS PI</t>
  </si>
  <si>
    <t>LDSP206</t>
  </si>
  <si>
    <t>SP206 CARCASA SS PI</t>
  </si>
  <si>
    <t>LDSP207</t>
  </si>
  <si>
    <t>SP207 CARCASA SS PI</t>
  </si>
  <si>
    <t>LDSP208</t>
  </si>
  <si>
    <t>SP208 CARCASA SS PI</t>
  </si>
  <si>
    <t>LDSP215</t>
  </si>
  <si>
    <t>SP215 CARCASA SS PI</t>
  </si>
  <si>
    <t>LDSSUCF202-10</t>
  </si>
  <si>
    <t>SSUCF202-10 CHUMACERA SS 4H PA 5/8"</t>
  </si>
  <si>
    <t>LDSSUCF204</t>
  </si>
  <si>
    <t>SSUCF204 CHUMACERA SS 4H PA 20MM</t>
  </si>
  <si>
    <t>LDSSUCFB205</t>
  </si>
  <si>
    <t>SSUCFB205 CHUMACERA SS 3H PA 25MM</t>
  </si>
  <si>
    <t>LDSSUCFB205-16</t>
  </si>
  <si>
    <t>SSUCFB205-16 CHUMACERA SS 3H PA 1"</t>
  </si>
  <si>
    <t>LDSSUCFB207-23</t>
  </si>
  <si>
    <t>SSUCFB207-23 CHUMACERA SS 3H PA 1.7/16"</t>
  </si>
  <si>
    <t>LDSSUCFC208-24</t>
  </si>
  <si>
    <t>SSUCFC208-24 CHUMACERA SS CIR 4H PA 1.1/2"</t>
  </si>
  <si>
    <t>LDSSUCFL202-10</t>
  </si>
  <si>
    <t>SSUCFL202-10 CHUMACERA SS 2H PA 5/8"</t>
  </si>
  <si>
    <t>LDSSUCFL207</t>
  </si>
  <si>
    <t>SSUCFL207 CHUMACERA SS 2H PA 35MM</t>
  </si>
  <si>
    <t>LDSSUCFL209-28</t>
  </si>
  <si>
    <t>SSUCFL209-28 CHUMACERA SS 2H PA 1.3/4"</t>
  </si>
  <si>
    <t>LDSSUCP207-22</t>
  </si>
  <si>
    <t>SSUCP207-22 CHUMACERA SS PI 1.3/8"</t>
  </si>
  <si>
    <t>LDSSUCP209</t>
  </si>
  <si>
    <t>SSUCP209 CHUMACERA SS PI 45MM</t>
  </si>
  <si>
    <t>LDSSUCPA206</t>
  </si>
  <si>
    <t>SSUCPA206 CHUMACERA SS PI S/ALA 30MM</t>
  </si>
  <si>
    <t>LDSSUCT206</t>
  </si>
  <si>
    <t>SSUCT206 CHUMACERA SS TS 30MM</t>
  </si>
  <si>
    <t>LDSSUCT206-19</t>
  </si>
  <si>
    <t>SSUCT206-19 CHUMACERA SS TS 1.3/16"</t>
  </si>
  <si>
    <t>LDSSUCT208</t>
  </si>
  <si>
    <t>SSUCT208 CHUMACERA SS TS 40MM</t>
  </si>
  <si>
    <t>LDSSUCT209</t>
  </si>
  <si>
    <t>SSUCT209 CHUMACERA SS TS 45MM</t>
  </si>
  <si>
    <t>LDSSUCT211-32</t>
  </si>
  <si>
    <t>SSUCT211-32 CHUMACERA SS TS 2"</t>
  </si>
  <si>
    <t>LDST210</t>
  </si>
  <si>
    <t>ST210 CARCASA SS TS</t>
  </si>
  <si>
    <t>LDSUC203</t>
  </si>
  <si>
    <t>SUC203 RODAMIENTO SS 17MM</t>
  </si>
  <si>
    <t>LDSUC205-14</t>
  </si>
  <si>
    <t>SUC205-14 RODAMIENTO SS 7/8"</t>
  </si>
  <si>
    <t>LDSUC209</t>
  </si>
  <si>
    <t>SUC209 RODAMIENTO SS 45MM</t>
  </si>
  <si>
    <t>LDSUC209-27</t>
  </si>
  <si>
    <t>SUC209-27 RODAMIENTO SS 1.11/16"</t>
  </si>
  <si>
    <t>LDSUC210-31</t>
  </si>
  <si>
    <t>SUC210-31 RODAMIENTO SS 1.15/16"</t>
  </si>
  <si>
    <t>LDSUC212-38</t>
  </si>
  <si>
    <t>SUC212-38 RODAMIENTO SS 2.3/8"</t>
  </si>
  <si>
    <t>LDSUC212-39</t>
  </si>
  <si>
    <t>SUC212-39 RODAMIENTO SS 2.7/16"</t>
  </si>
  <si>
    <t>LDSUC213</t>
  </si>
  <si>
    <t>SUC213 RODAMIENTO SS 65MM</t>
  </si>
  <si>
    <t>LDSUC215</t>
  </si>
  <si>
    <t>SUC215 RODAMIENTO SS 75MM</t>
  </si>
  <si>
    <t>LDTAPAPLASTM6</t>
  </si>
  <si>
    <t>TAPA PLASTICA P/GRASERO M6X1</t>
  </si>
  <si>
    <t>LDTPF204</t>
  </si>
  <si>
    <t>TP-F204 CARCASA TP 4H PA</t>
  </si>
  <si>
    <t>LDTPF206</t>
  </si>
  <si>
    <t>TP-F206 CARCASA TP 4H PA</t>
  </si>
  <si>
    <t>LDTPF207</t>
  </si>
  <si>
    <t>TP-F207 CARCASA TP 4H PA</t>
  </si>
  <si>
    <t>LDTPFB207</t>
  </si>
  <si>
    <t>TP-FB207 CARCASA TP 3H PA</t>
  </si>
  <si>
    <t>LDTPFL204</t>
  </si>
  <si>
    <t>TP-FL204 CARCASA TP 2H PA</t>
  </si>
  <si>
    <t>LDTPFL207</t>
  </si>
  <si>
    <t>TP-FL207 CARCASA TP 2H PA</t>
  </si>
  <si>
    <t>LDTPFL208</t>
  </si>
  <si>
    <t>TP-FL208 CARCASA TP 2H PA</t>
  </si>
  <si>
    <t>LDTPP206</t>
  </si>
  <si>
    <t>TP-P206 CARCASA TP PI</t>
  </si>
  <si>
    <t>LDTPP207</t>
  </si>
  <si>
    <t>TP-P207 CARCASA TP PI</t>
  </si>
  <si>
    <t>LDTPP208</t>
  </si>
  <si>
    <t>TP-P208 CARCASA TP PI</t>
  </si>
  <si>
    <t>LDTPP209</t>
  </si>
  <si>
    <t>TP-P209 CARCASA TP PI</t>
  </si>
  <si>
    <t>LDTPSSBLF201-8</t>
  </si>
  <si>
    <t>TP-SSBLF201-8 CHUMACERA TP OVAL. 2H PA 1/2"</t>
  </si>
  <si>
    <t>LDTPSSBLF202-10</t>
  </si>
  <si>
    <t>TP-SSBLF202-10 CHUMACERA TP OVAL. 2H PA 5/8"</t>
  </si>
  <si>
    <t>LDTPSSBLF204</t>
  </si>
  <si>
    <t>TP-SSBLF204 CHUMACERA TP OVAL. 2H PA 20MM</t>
  </si>
  <si>
    <t>LDTPSSBLF204-12</t>
  </si>
  <si>
    <t>TP-SSBLF204-12 CHUMACERA TP OVAL. 2H PA 3/4"</t>
  </si>
  <si>
    <t>LDTPSSBLF205</t>
  </si>
  <si>
    <t>TP-SSBLF205 CHUMACERA TP OVAL. 2H PA 25MM</t>
  </si>
  <si>
    <t>LDTPSSBLF205-16</t>
  </si>
  <si>
    <t>TP-SSBLF205-16 CHUMACERA TP OVAL. 2H PA 1"</t>
  </si>
  <si>
    <t>LDTPSUCF201-8</t>
  </si>
  <si>
    <t>TP-SUCF201-8 CHUMACERA TP 4H PA 1/2"</t>
  </si>
  <si>
    <t>LDTPSUCF202-10</t>
  </si>
  <si>
    <t>TP-SUCF202-10 CHUMACERA TP 4H PA 5/8"</t>
  </si>
  <si>
    <t>LDTPSUCF204</t>
  </si>
  <si>
    <t>TP-SUCF204 CHUMACERA TP 4H PA 20MM</t>
  </si>
  <si>
    <t>LDTPSUCF207-22</t>
  </si>
  <si>
    <t>TP-SUCF207-22 CHUMACERA TP 4H PA 1.3/8"</t>
  </si>
  <si>
    <t>LDTPSUCFB204</t>
  </si>
  <si>
    <t>TP-SUCFB204 CHUMACERA TP 3H PA 20MM</t>
  </si>
  <si>
    <t>LDTPSUCFB205-16</t>
  </si>
  <si>
    <t>TP-SUCFB205-16 CHUMACERA TP 3H PA 1"</t>
  </si>
  <si>
    <t>LDTPSUCFB206</t>
  </si>
  <si>
    <t>TP-SUCFB206 CHUMACERA TP 3H PA 30MM</t>
  </si>
  <si>
    <t>LDTPSUCFB206-19</t>
  </si>
  <si>
    <t>TP-SUCFB206-19 CHUMACERA TP 3H PA 1.3/16"</t>
  </si>
  <si>
    <t>LDTPSUCFB208-24</t>
  </si>
  <si>
    <t>TP-SUCFB208-24 CHUMACERA TP 3H PA 1.1/2"</t>
  </si>
  <si>
    <t>LDTPSUCFL202-10</t>
  </si>
  <si>
    <t>TP-SUCFL202-10 CHUMACERA TP 2H PA 5./8"</t>
  </si>
  <si>
    <t>LDTPSUCFL203</t>
  </si>
  <si>
    <t>TP-SUCFL203 CHUMACERA TP 2H PA 17MM</t>
  </si>
  <si>
    <t>LDTPSUCFL206-19</t>
  </si>
  <si>
    <t>TP-SUCFL206-19 CHUMACERA TP 2H PA 1.3/16"</t>
  </si>
  <si>
    <t>LDTPSUCFL207-22</t>
  </si>
  <si>
    <t>TP-SUCFL207-22 CHUMACERA TP 2H PA 1.3/8"</t>
  </si>
  <si>
    <t>LDTPSUCFL208-24</t>
  </si>
  <si>
    <t>TP-SUCFL208-24 CHUMACERA TP 2H PA 1.1/2"</t>
  </si>
  <si>
    <t>LDTPSUCFL209-28</t>
  </si>
  <si>
    <t>TP-SUCFL209-28 CHUMACERA TP 2H PA 1.3/4"</t>
  </si>
  <si>
    <t>LDTPSUCFL210-30</t>
  </si>
  <si>
    <t>TP-SUCFL210-30 CHUMACERA TP 2H PA 1.7/8"</t>
  </si>
  <si>
    <t>LDTPSUCP201-8</t>
  </si>
  <si>
    <t>TP-SUCP201-8 CHUMACERA TP PI 1/2"</t>
  </si>
  <si>
    <t>LDTPSUCP202-10</t>
  </si>
  <si>
    <t>TP-SUCP202-10 CHUMACERA TP PI 5/8"</t>
  </si>
  <si>
    <t>LDTPSUCP211-32</t>
  </si>
  <si>
    <t>TP-SUCP211-32 CHUMACERA TP PI 2"</t>
  </si>
  <si>
    <t>LDTPSUCT205</t>
  </si>
  <si>
    <t>TP-SUCT205 CHUMACERA TP TS 25MM</t>
  </si>
  <si>
    <t>LDTPSUCT205-16</t>
  </si>
  <si>
    <t>TP-SUCT205-16 CHUMACERA TP TS 1"</t>
  </si>
  <si>
    <t>LDTPSUCT206-20</t>
  </si>
  <si>
    <t>TP-SUCT206-20 CHUMACERA TP TS 1.1/4"</t>
  </si>
  <si>
    <t>LDTPSUCT207-20</t>
  </si>
  <si>
    <t>TP-SUCT207-20 CHUMACERA TP TS 1.1/4"</t>
  </si>
  <si>
    <t>LDTPSUCT208-24</t>
  </si>
  <si>
    <t>TP-SUCT208-24 CHUMACERA TP TS 1.1/2"</t>
  </si>
  <si>
    <t>ADAPC1.5EC1</t>
  </si>
  <si>
    <t>ADAPTADOR PE CUAD 1.5" E/C 1"</t>
  </si>
  <si>
    <t>ADAPC1.5ER1</t>
  </si>
  <si>
    <t>ADAPTADOR PE CUAD 1.5" E/R 1"</t>
  </si>
  <si>
    <t>PI1BBAC001442</t>
  </si>
  <si>
    <t>BARANDA DE RODILLOS 3X34.6CMS P/PLATINA 8X40 C/AZ</t>
  </si>
  <si>
    <t>TE501/86993</t>
  </si>
  <si>
    <t>BARANDA DE RODILLOS TEC 3RX3MT</t>
  </si>
  <si>
    <t>PI1GBAS000089</t>
  </si>
  <si>
    <t>BASE BIPODE D48.3MM</t>
  </si>
  <si>
    <t>PI1GSOP000415</t>
  </si>
  <si>
    <t>BASE BIPODE D48.3MM SALIDA LAT 180</t>
  </si>
  <si>
    <t>TE201/80617</t>
  </si>
  <si>
    <t>BASE BIPODE TEC 120° D48.3 C/SAL LAT C/PER SS</t>
  </si>
  <si>
    <t>TE202/80627</t>
  </si>
  <si>
    <t>BASE BIPODE TEC 180° D48.3 C/SAL LAT C/PER SS</t>
  </si>
  <si>
    <t>TE203/80635</t>
  </si>
  <si>
    <t>BASE BIPODE TEC 180º D48.3 C/PER SS</t>
  </si>
  <si>
    <t>PI1GBAS000084</t>
  </si>
  <si>
    <t>BASE TRIPODE D48.3MM</t>
  </si>
  <si>
    <t>TE200/80591</t>
  </si>
  <si>
    <t>BASE TRIPODE TEC D48.3 C/PER SS</t>
  </si>
  <si>
    <t>TE234/80776</t>
  </si>
  <si>
    <t>BISAGRA TEC A72.5 M6</t>
  </si>
  <si>
    <t>PICABO205-14</t>
  </si>
  <si>
    <t>CABEZAL ORIENTABLE D14 P/H205</t>
  </si>
  <si>
    <t>TE221/80670</t>
  </si>
  <si>
    <t>CABEZAL ORIENTABLE TEC D16.5 C/PER SS</t>
  </si>
  <si>
    <t>TE223/84226</t>
  </si>
  <si>
    <t>CABEZAL ORIENTABLE TEC SS D16 C/PER SS M10</t>
  </si>
  <si>
    <t>TE297/82658</t>
  </si>
  <si>
    <t>CROSS BLOCK TEC D12</t>
  </si>
  <si>
    <t>CC17011VR50090</t>
  </si>
  <si>
    <t>CURVA 1701 1VIA R=500 90º I=50</t>
  </si>
  <si>
    <t>C981K450-90-16</t>
  </si>
  <si>
    <t>CURVA VEBEL 981K450 90º E/16MM 6PZS</t>
  </si>
  <si>
    <t>JGO</t>
  </si>
  <si>
    <t>TE68/82713</t>
  </si>
  <si>
    <t>INSERTO TEC P/EJE CUAD 1.5" M5/8"</t>
  </si>
  <si>
    <t>TE68/7242</t>
  </si>
  <si>
    <t>INSERTO TEC P/EJE CUAD 40 M12</t>
  </si>
  <si>
    <t>TE68/7244</t>
  </si>
  <si>
    <t>INSERTO TEC P/EJE CUAD 40 M16</t>
  </si>
  <si>
    <t>TE64/7221</t>
  </si>
  <si>
    <t>INSERTO TEC P/EJE RED D48.3MM M16</t>
  </si>
  <si>
    <t>PI1BMOR001246</t>
  </si>
  <si>
    <t>MORDAZA P/BARANDA ACUM. 3 RUEDAS</t>
  </si>
  <si>
    <t>PI1ESOP001825</t>
  </si>
  <si>
    <t>MORDAZA REGULADORA RAPIDA C/PERILLA RED</t>
  </si>
  <si>
    <t>PI1EMOR000303</t>
  </si>
  <si>
    <t>MORSETE AJUSTABLE D10MM</t>
  </si>
  <si>
    <t>PI1EMOR000852</t>
  </si>
  <si>
    <t>MORSETE P/PERFIL H78 TCA M12</t>
  </si>
  <si>
    <t>TE405/84327</t>
  </si>
  <si>
    <t>MORSETE TEC DOBLE SS P/E RED. Y CON. D12</t>
  </si>
  <si>
    <t>TE232/80688</t>
  </si>
  <si>
    <t>MORSETE TEC PLAST P/PERF CONICO M8</t>
  </si>
  <si>
    <t>TE483/87037</t>
  </si>
  <si>
    <t>MORSETE TEC PLAST P/PERF RED M10</t>
  </si>
  <si>
    <t>TE483/87038</t>
  </si>
  <si>
    <t>MORSETE TEC PLAST P/PERF RED M12</t>
  </si>
  <si>
    <t>TE411/84486</t>
  </si>
  <si>
    <t>MORSETE TEC SS P/PERF CONICO</t>
  </si>
  <si>
    <t>TE101/83145</t>
  </si>
  <si>
    <t>NIVELADOR TEC AJUST DE CAUCHO ANTID C/COB SS D95 C/ROT SS 5/8"X222</t>
  </si>
  <si>
    <t>TE92/83299</t>
  </si>
  <si>
    <t>NIVELADOR TEC AJUST PLAST D124 C/ROT SS 5/8X238</t>
  </si>
  <si>
    <t>TE18/7039</t>
  </si>
  <si>
    <t>NIVELADOR TEC AJUST PLAST D60 C/ROT SS M10X98.5</t>
  </si>
  <si>
    <t>TE101/83076</t>
  </si>
  <si>
    <t>NIVELADOR TEC AJUST PLAST D95 C/COB SS C/ROT SS M16X168</t>
  </si>
  <si>
    <t>PI1ENUE000206</t>
  </si>
  <si>
    <t>NUEZ INYECTADA D14MM</t>
  </si>
  <si>
    <t>PI1EMAN000809</t>
  </si>
  <si>
    <t>PERILLA 1/2 GIRO HEMBRA M6</t>
  </si>
  <si>
    <t>PI1EMAN000807</t>
  </si>
  <si>
    <t>PERILLA 1/2 GIRO MACHO M10</t>
  </si>
  <si>
    <t>PI1EMAN000805</t>
  </si>
  <si>
    <t>PERILLA 1/2 GIRO MACHO M6</t>
  </si>
  <si>
    <t>PI1EPER990001</t>
  </si>
  <si>
    <t>PERILLA C/AISI M10X25MM</t>
  </si>
  <si>
    <t>PI1EPER000110</t>
  </si>
  <si>
    <t>PERILLA PLAST ANAT HEMBRA D50 TCA M8</t>
  </si>
  <si>
    <t>TE400/86693</t>
  </si>
  <si>
    <t>PERILLA TEC 1/2 GIRO MACHO L=80 M8</t>
  </si>
  <si>
    <t>TE313/82848</t>
  </si>
  <si>
    <t>PERILLA TEC PLAST C/NAR M10</t>
  </si>
  <si>
    <t>TE294/82588</t>
  </si>
  <si>
    <t>PERILLA TEC PLAST C/TOR M10X22</t>
  </si>
  <si>
    <t>TE294/82805</t>
  </si>
  <si>
    <t>PERILLA TEC PLAST C/TOR M8X22</t>
  </si>
  <si>
    <t>TE226/81147</t>
  </si>
  <si>
    <t>PERILLA TEC PLAST D50 M8</t>
  </si>
  <si>
    <t>TE406/84330</t>
  </si>
  <si>
    <t>PERILLA TEC PLAST D54 C/VIR Y TUER M10 SS</t>
  </si>
  <si>
    <t>PERNO1/4X1.1/4</t>
  </si>
  <si>
    <t>PERNO PLAST. AVELL. 1/4"X1.1/4" C/T</t>
  </si>
  <si>
    <t>PERNO1/4X1</t>
  </si>
  <si>
    <t>PERNO PLAST. AVELL. 1/4X1" C/T</t>
  </si>
  <si>
    <t>PI1FROL000145</t>
  </si>
  <si>
    <t>PUNTERA ROLLETE C/A 1/2 D16.5</t>
  </si>
  <si>
    <t>PI1FROL000044</t>
  </si>
  <si>
    <t>ROLLETE RETORNO 83X16.5 NAT</t>
  </si>
  <si>
    <t>EUCLU40ACA</t>
  </si>
  <si>
    <t>SEGURO EUROBELT AC/A E/C 40MM</t>
  </si>
  <si>
    <t>PI1FANI000358</t>
  </si>
  <si>
    <t>SEGURO PIAZ RED E/R 25MM</t>
  </si>
  <si>
    <t>TE376/90546</t>
  </si>
  <si>
    <t>SEGURO TEC PLAST CUAD E/C D25</t>
  </si>
  <si>
    <t>TE288/82565</t>
  </si>
  <si>
    <t>SEGURO TEC PLAST RED E/R D25</t>
  </si>
  <si>
    <t>PI1GSOP000085</t>
  </si>
  <si>
    <t>SOPORTE CAÑO LAT D48.3MM</t>
  </si>
  <si>
    <t>TE212/80651</t>
  </si>
  <si>
    <t>SOPORTE CAÑO TEC D48.3 C/BASE INFERIOR 4H</t>
  </si>
  <si>
    <t>TE211/80649</t>
  </si>
  <si>
    <t>SOPORTE CAÑO TEC LAT D48.3</t>
  </si>
  <si>
    <t>TE409/84440</t>
  </si>
  <si>
    <t>SOPORTE CAÑO TEC LAT SS D48.3MM</t>
  </si>
  <si>
    <t>PISBAR198</t>
  </si>
  <si>
    <t>SOPORTE DE BARANDA H198</t>
  </si>
  <si>
    <t>PISBAR205</t>
  </si>
  <si>
    <t>SOPORTE DE BARANDA H205</t>
  </si>
  <si>
    <t>TE242/81002</t>
  </si>
  <si>
    <t>SOPORTE DE BARANDA TEC H150</t>
  </si>
  <si>
    <t>TE558/90814</t>
  </si>
  <si>
    <t>SOPORTE DE BARANDA TEC H238 COMPLETO LA=11 D14.5</t>
  </si>
  <si>
    <t>TE441/85241</t>
  </si>
  <si>
    <t>SOPORTE DE BARANDA TEC SS H190 D10.5</t>
  </si>
  <si>
    <t>PI1EMOR303030</t>
  </si>
  <si>
    <t>SOPORTE P/FOTOCEL FIJO D-19 P/V. D12</t>
  </si>
  <si>
    <t>PI1EMOR000309</t>
  </si>
  <si>
    <t>SOPORTE P/FOTOCELULA CIEGO P/VAR D12</t>
  </si>
  <si>
    <t>PI1GTAZ302101</t>
  </si>
  <si>
    <t>TAZOLETA PLAST C/A D80</t>
  </si>
  <si>
    <t>TE257/82005</t>
  </si>
  <si>
    <t>TRANSFERENCIA MODULAR TEC DOBLE 5 FILAS L=115</t>
  </si>
  <si>
    <t>TE210/80643</t>
  </si>
  <si>
    <t>UNION CAÑO TEC D48.3</t>
  </si>
  <si>
    <t>TE401/84323</t>
  </si>
  <si>
    <t>UNION CAÑO TEC SS D48.3 P/EJE RED D48.3MM</t>
  </si>
  <si>
    <t>TE404/84326</t>
  </si>
  <si>
    <t>UNION CAÑO TEC SS D48.3 P/PLAT 10X40</t>
  </si>
  <si>
    <t>PI1EMOR000951</t>
  </si>
  <si>
    <t>UNION P/PERFIL H78</t>
  </si>
  <si>
    <t>TE413/84488</t>
  </si>
  <si>
    <t>UNION TEC SS P/PERF CONICO C/PERN Y TUER</t>
  </si>
  <si>
    <t>EUUN8NYN</t>
  </si>
  <si>
    <t>UÑETA EUROBELT NY/N 10.35CMS</t>
  </si>
  <si>
    <t>EUUN10NYO</t>
  </si>
  <si>
    <t>UÑETA EUROBELT NY/O 14.8CMS</t>
  </si>
  <si>
    <t>RO141206</t>
  </si>
  <si>
    <t>EJE ROCHLING AC 110MM</t>
  </si>
  <si>
    <t>RO141247</t>
  </si>
  <si>
    <t>EJE ROCHLING AC 160MM</t>
  </si>
  <si>
    <t>RO116033</t>
  </si>
  <si>
    <t>EJE ROCHLING NY 6G 110MM C/NE</t>
  </si>
  <si>
    <t>RO685302</t>
  </si>
  <si>
    <t>EJE ROCHLING NY 6G 160MM</t>
  </si>
  <si>
    <t>RO116308</t>
  </si>
  <si>
    <t>EJE ROCHLING NY 6G 160MM C/NE</t>
  </si>
  <si>
    <t>RO217461</t>
  </si>
  <si>
    <t>EJE ROCHLING PE UHMW 130MM</t>
  </si>
  <si>
    <t>RO101182</t>
  </si>
  <si>
    <t>EJE ROCHLING PE UHMW 160MM</t>
  </si>
  <si>
    <t>RO273573</t>
  </si>
  <si>
    <t>EJE ROCHLING PE UHMW 200MM</t>
  </si>
  <si>
    <t>RO329974</t>
  </si>
  <si>
    <t>EJE ROCHLING PE UHMW 25MM</t>
  </si>
  <si>
    <t>WAEJESSC25</t>
  </si>
  <si>
    <t>EJE SS CUAD. 25MM</t>
  </si>
  <si>
    <t>EJESUS6G75</t>
  </si>
  <si>
    <t>EJE SUSTAMINADO 6G 75MM</t>
  </si>
  <si>
    <t>ESCRITORIO1.2X0</t>
  </si>
  <si>
    <t>ESCRITORIO RECTANGULAR 1.2X0.6 MTS</t>
  </si>
  <si>
    <t>INVENTARIO OFICINA</t>
  </si>
  <si>
    <t>SILLA SECRET.</t>
  </si>
  <si>
    <t>SILLA TIPO SECRETARIA S/BRAZO</t>
  </si>
  <si>
    <t>TABLETP3100</t>
  </si>
  <si>
    <t>TABLET SAMSUNG P3100</t>
  </si>
  <si>
    <t>KEK200LH</t>
  </si>
  <si>
    <t>ETIQUETADORA KETAN K200 LH</t>
  </si>
  <si>
    <t>MAQUINAS PARA VENTA</t>
  </si>
  <si>
    <t>EU9260PPA</t>
  </si>
  <si>
    <t>CLIP P/PASADOR E925 6MM PP/A</t>
  </si>
  <si>
    <t>EUB50UX100ACB10</t>
  </si>
  <si>
    <t>EMPUJADOR B50 LISO Y ANTIAD. AC B. 10X20CMS</t>
  </si>
  <si>
    <t>EUE20UX50PEA30</t>
  </si>
  <si>
    <t>EMPUJADOR E20 LISO Y ANTIAD. PE A. 5X24CMS</t>
  </si>
  <si>
    <t>UNEMMPBPPPS4X6</t>
  </si>
  <si>
    <t>EMPUJADOR UNI MPB PP PS4X6"</t>
  </si>
  <si>
    <t>EUC12MCFGACA6</t>
  </si>
  <si>
    <t>MODULO CT C12 FG AC A. 15CMS</t>
  </si>
  <si>
    <t>EUC12MCFGPEN4</t>
  </si>
  <si>
    <t>MODULO CT C12 FG PE N. 10CMS</t>
  </si>
  <si>
    <t>EUC12MCFGPEN6</t>
  </si>
  <si>
    <t>MODULO CT C12 FG PE N. 15CMS</t>
  </si>
  <si>
    <t>EUC12MCFTACA8</t>
  </si>
  <si>
    <t>MODULO CT C12 FT AC A. 20CMS</t>
  </si>
  <si>
    <t>EUC12MCFTPEN4</t>
  </si>
  <si>
    <t>MODULO CT C12 FT PE N. 10CMS</t>
  </si>
  <si>
    <t>EUC12MCNTACA6</t>
  </si>
  <si>
    <t>MODULO CT C12 NT PE A. 15CMS</t>
  </si>
  <si>
    <t>EUE20MCFGPEA25</t>
  </si>
  <si>
    <t>MODULO CT E20 FG PE A. 20CMS</t>
  </si>
  <si>
    <t>EUE20MCFTPPA25</t>
  </si>
  <si>
    <t>MODULO CT E20 FT PP A. 20CMS</t>
  </si>
  <si>
    <t>EUE20MCRRPPG25</t>
  </si>
  <si>
    <t>MODULO CT E20 RR PP G. 20CMS</t>
  </si>
  <si>
    <t>EUE30MCFFPPB352</t>
  </si>
  <si>
    <t>MODULO CT E30 FF PP B35 20CMS C/G</t>
  </si>
  <si>
    <t>EUE30MCFFPPB602</t>
  </si>
  <si>
    <t>MODULO CT E30 FF PP B60 20CMS C/B</t>
  </si>
  <si>
    <t>EUE30MCFGPEN10</t>
  </si>
  <si>
    <t>MODULO CT E30 FG PE N. 10CMS</t>
  </si>
  <si>
    <t>EUE30MCFGPPA20</t>
  </si>
  <si>
    <t>MODULO CT E30 FG PP A. 20CMS</t>
  </si>
  <si>
    <t>EUE30MCFGPPA25</t>
  </si>
  <si>
    <t>MODULO CT E30 FG PP A. 25CMS</t>
  </si>
  <si>
    <t>EUE30MCFGPPA30</t>
  </si>
  <si>
    <t>MODULO CT E30 FG PP A. 30CMS</t>
  </si>
  <si>
    <t>EUE30MCFGPPA35</t>
  </si>
  <si>
    <t>MODULO CT E30 FG PP A. 35CMS</t>
  </si>
  <si>
    <t>EUE30MCFGPPB15</t>
  </si>
  <si>
    <t>MODULO CT E30 FG PP B. 15CMS</t>
  </si>
  <si>
    <t>EUE30MFTPPA15</t>
  </si>
  <si>
    <t>MODULO CT E30 FT PP A. 15CMS</t>
  </si>
  <si>
    <t>EUE30MCFTPPA20</t>
  </si>
  <si>
    <t>MODULO CT E30 FT PP A. 20CMS</t>
  </si>
  <si>
    <t>EUE30MCTFPPB602</t>
  </si>
  <si>
    <t>MODULO CT E30 TF PP B60 20CMS</t>
  </si>
  <si>
    <t>EUE50MCFTPPA15</t>
  </si>
  <si>
    <t>MODULO CT E50 FT PP A. 15CMS</t>
  </si>
  <si>
    <t>EUE50MCFTPPA10</t>
  </si>
  <si>
    <t>MODULO CT E50 FT PP A. 20CMS</t>
  </si>
  <si>
    <t>EUE50MCOGPPB10</t>
  </si>
  <si>
    <t>MODULO CT E50 OG PP B. 20CMS</t>
  </si>
  <si>
    <t>EUE50MCOHPPB10</t>
  </si>
  <si>
    <t>MODULO CT E50 OH PP B. 20CMS</t>
  </si>
  <si>
    <t>EUE92MCFFPPB601</t>
  </si>
  <si>
    <t>MODULO CT E925 FF PP B60 20CMS C/B</t>
  </si>
  <si>
    <t>EUE925MCFGPPA5</t>
  </si>
  <si>
    <t>MODULO CT E925 FG PP A. 10CMS</t>
  </si>
  <si>
    <t>EUA24MTFTPPB10</t>
  </si>
  <si>
    <t>MODULO TM A24 FT PP B. 10CMS</t>
  </si>
  <si>
    <t>EUB50MTFGPPA5</t>
  </si>
  <si>
    <t>MODULO TM B50 FG PP A. 10CMS</t>
  </si>
  <si>
    <t>EUC12MTFGPEA4</t>
  </si>
  <si>
    <t>MODULO TM C12 FG PE A. 10CMS</t>
  </si>
  <si>
    <t>EUC12MTFGPEA8</t>
  </si>
  <si>
    <t>MODULO TM C12 FG PE A. 20CMS</t>
  </si>
  <si>
    <t>EUC12MTFTPEN2</t>
  </si>
  <si>
    <t>MODULO TM C12 FT PE N. 5CMS</t>
  </si>
  <si>
    <t>EUE20MTFGPEA10</t>
  </si>
  <si>
    <t>MODULO TM E20 FG PE A. 8CMS</t>
  </si>
  <si>
    <t>EUE20MTFTPPA10</t>
  </si>
  <si>
    <t>MODULO TM E20 FT PP A. 8CMS</t>
  </si>
  <si>
    <t>EUE20MTRRPPG10</t>
  </si>
  <si>
    <t>MODULO TM E20 RR PP G. 8CMS</t>
  </si>
  <si>
    <t>EUE30MTFGPEN10</t>
  </si>
  <si>
    <t>MODULO TM E30 FG PE N. 10CMS</t>
  </si>
  <si>
    <t>EUE30MTFGPEN5</t>
  </si>
  <si>
    <t>MODULO TM E30 FG PE N. 5CMS</t>
  </si>
  <si>
    <t>EUE30MTFTACA5</t>
  </si>
  <si>
    <t>MODULO TM E30 FT AC A. 5CMS</t>
  </si>
  <si>
    <t>EUE50MTDFTPPA5</t>
  </si>
  <si>
    <t>MODULO TM E50 D FT PP A. 10CMS</t>
  </si>
  <si>
    <t>EUE50MTDFTPPA10</t>
  </si>
  <si>
    <t>MODULO TM E50 D FT PP A. 20CMS</t>
  </si>
  <si>
    <t>EUE50MTDFTPPSC2</t>
  </si>
  <si>
    <t>MODULO TM E50 D FT PPS/C 4CMS</t>
  </si>
  <si>
    <t>EUE50MTDFTPPSC4</t>
  </si>
  <si>
    <t>MODULO TM E50 D FT PPS/C 8CMS</t>
  </si>
  <si>
    <t>EUE50MTIFTPPA5</t>
  </si>
  <si>
    <t>MODULO TM E50 I FT PP A. 10CMS</t>
  </si>
  <si>
    <t>EUE50MTIFTPPA10</t>
  </si>
  <si>
    <t>MODULO TM E50 I FT PP A. 20CMS</t>
  </si>
  <si>
    <t>EUE50MTIFTPPSC2</t>
  </si>
  <si>
    <t>MODULO TM E50 I FT PPS/C 4CMS</t>
  </si>
  <si>
    <t>EUE50MTIFTPPSC4</t>
  </si>
  <si>
    <t>MODULO TM E50 I FT PPS/C 8CMS</t>
  </si>
  <si>
    <t>EUE92SLD4FGPPB1</t>
  </si>
  <si>
    <t>MODULO TM E925 D FG PP B. 20CMS</t>
  </si>
  <si>
    <t>EUE92SLI4FGPPB1</t>
  </si>
  <si>
    <t>MODULO TM E925 I FG PP B. 20CMS</t>
  </si>
  <si>
    <t>EUE93CLDFGACA2.</t>
  </si>
  <si>
    <t>MODULO TM E93 D FG AC A. 6.25CMS C/L</t>
  </si>
  <si>
    <t>EUE93CLDFGACA3.</t>
  </si>
  <si>
    <t>MODULO TM E93 D FG AC A. 8.75CMS C/L</t>
  </si>
  <si>
    <t>EUE93CLIFGACA2.</t>
  </si>
  <si>
    <t>MODULO TM E93 I FG AC A. 6.25CMS C/L</t>
  </si>
  <si>
    <t>EUE93CLIFGACA3.</t>
  </si>
  <si>
    <t>MODULO TM E93 I FG AC A. 8.75CMS C/L</t>
  </si>
  <si>
    <t>UNMSNBM220PE6</t>
  </si>
  <si>
    <t>MODULO UNI SNB M2-20 PE N. 6"</t>
  </si>
  <si>
    <t>UNMSNBM234PE6</t>
  </si>
  <si>
    <t>MODULO UNI SNB M2-34 PE N. 6"</t>
  </si>
  <si>
    <t>UNMSNBM234PP6</t>
  </si>
  <si>
    <t>MODULO UNI SNB M2-34 PP A. 6"</t>
  </si>
  <si>
    <t>EUVA55ACB500</t>
  </si>
  <si>
    <t>PASADOR AC/B 5.5MMX50CMS</t>
  </si>
  <si>
    <t>EUVA46ACN1000</t>
  </si>
  <si>
    <t>PASADOR AC/N 4.6MMX100CMS</t>
  </si>
  <si>
    <t>EUVA46ACN300</t>
  </si>
  <si>
    <t>PASADOR AC/N 4.6MMX30CMS</t>
  </si>
  <si>
    <t>EUVA6ACN500</t>
  </si>
  <si>
    <t>PASADOR AC/N 6MMX50CMS</t>
  </si>
  <si>
    <t>EUVA6ACN700</t>
  </si>
  <si>
    <t>PASADOR AC/N 6MMX70CMS</t>
  </si>
  <si>
    <t>EUVEMTACN400</t>
  </si>
  <si>
    <t>PASADOR AC/N 8MMX40CMS</t>
  </si>
  <si>
    <t>EUVA60IXN</t>
  </si>
  <si>
    <t>PASADOR IX/N 6MM</t>
  </si>
  <si>
    <t>EUVA46NYF500</t>
  </si>
  <si>
    <t>PASADOR NY 4.6MMX50CMS</t>
  </si>
  <si>
    <t>EUVA46PEN1000</t>
  </si>
  <si>
    <t>PASADOR PE/N 4.6MMX100CMS</t>
  </si>
  <si>
    <t>EUVA60PEN500</t>
  </si>
  <si>
    <t>PASADOR PE/N 6MMX50CMS</t>
  </si>
  <si>
    <t>EUVA60PEN700</t>
  </si>
  <si>
    <t>PASADOR PE/N 6MMX70CMS</t>
  </si>
  <si>
    <t>EUVA55PPB400</t>
  </si>
  <si>
    <t>PASADOR PP/B 5.5MMX40CM</t>
  </si>
  <si>
    <t>EUVA55PPB500</t>
  </si>
  <si>
    <t>PASADOR PP/B 5.5MMX50CM</t>
  </si>
  <si>
    <t>EUVA46PPN500</t>
  </si>
  <si>
    <t>PASADOR PP/N 4.6MMX50CMS</t>
  </si>
  <si>
    <t>EUVA46PPN600</t>
  </si>
  <si>
    <t>PASADOR PP/N 4.6MMX60CMS</t>
  </si>
  <si>
    <t>EUVA46PPN700</t>
  </si>
  <si>
    <t>PASADOR PP/N 4.6MMX70CMS</t>
  </si>
  <si>
    <t>EUVA60PPN400</t>
  </si>
  <si>
    <t>PASADOR PP/N 6MMX40CMS</t>
  </si>
  <si>
    <t>EUVA60PPN500</t>
  </si>
  <si>
    <t>PASADOR PP/N 6MMX50CMS</t>
  </si>
  <si>
    <t>EUVA60PPN600</t>
  </si>
  <si>
    <t>PASADOR PP/N 6MMX60CMS</t>
  </si>
  <si>
    <t>EUVA60PPN700</t>
  </si>
  <si>
    <t>PASADOR PP/N 6MMX70CMS</t>
  </si>
  <si>
    <t>EUFG60ACAZ</t>
  </si>
  <si>
    <t>TAPA FG PE/A 6MM</t>
  </si>
  <si>
    <t>EUTP60PPSC</t>
  </si>
  <si>
    <t>TAPA FT/PF PPS/C 6MM</t>
  </si>
  <si>
    <t>ACCI19Q75</t>
  </si>
  <si>
    <t>ACOPLE METAL CI MOT/RED D19MM P/Q75</t>
  </si>
  <si>
    <t>ACCI24Q75</t>
  </si>
  <si>
    <t>ACOPLE METAL CI MOT/RED D24MM P/Q75</t>
  </si>
  <si>
    <t>HMK0305091P</t>
  </si>
  <si>
    <t>ACOPLE PLAST MOT/RED D11MM P/Q30</t>
  </si>
  <si>
    <t>HMKC355091P</t>
  </si>
  <si>
    <t>ACOPLE PLAST MOT/RED D11MM P/Q45</t>
  </si>
  <si>
    <t>HMK0505091P</t>
  </si>
  <si>
    <t>ACOPLE PLAST MOT/RED D11MM P/Q50</t>
  </si>
  <si>
    <t>HMKC405091P</t>
  </si>
  <si>
    <t>ACOPLE PLAST MOT/RED D11MM P/Q63</t>
  </si>
  <si>
    <t>HMK0505092P</t>
  </si>
  <si>
    <t>ACOPLE PLAST MOT/RED D14MM P/Q50</t>
  </si>
  <si>
    <t>HMKC405092P</t>
  </si>
  <si>
    <t>ACOPLE PLAST MOT/RED D14MM P/Q63</t>
  </si>
  <si>
    <t>HMK0305090P</t>
  </si>
  <si>
    <t>ACOPLE PLAST MOT/RED D9MM P/Q30</t>
  </si>
  <si>
    <t>HMKC355090P</t>
  </si>
  <si>
    <t>ACOPLE PLAST MOT/RED D9MM P/Q45</t>
  </si>
  <si>
    <t>HMK0505090P</t>
  </si>
  <si>
    <t>ACOPLE PLAST MOT/RED D9MM P/Q50</t>
  </si>
  <si>
    <t>BMAIS9/Q30</t>
  </si>
  <si>
    <t>BRIDA MOTOR AI SPG S9/Q30</t>
  </si>
  <si>
    <t>G110-3/4HP</t>
  </si>
  <si>
    <t>CONTROL DE VELOCIDAD SIEMENS G110 3/4 HP</t>
  </si>
  <si>
    <t>HMK0505093Z</t>
  </si>
  <si>
    <t>KIT ACOPLE METAL MOT/RED D19MM P/Q50</t>
  </si>
  <si>
    <t>HMKC405094Z</t>
  </si>
  <si>
    <t>KIT ACOPLE METAL MOT/RED D24MM P/Q63</t>
  </si>
  <si>
    <t>HMKC505094Z</t>
  </si>
  <si>
    <t>KIT ACOPLE METAL MOT/RED D24MM P/Q75</t>
  </si>
  <si>
    <t>HMKC355092P</t>
  </si>
  <si>
    <t>KIT ACOPLE PLAST MOT/RED D14MM P/Q45</t>
  </si>
  <si>
    <t>HMKC505092P</t>
  </si>
  <si>
    <t>KIT ACOPLE PLAST MOT/RED D14MM P/Q75</t>
  </si>
  <si>
    <t>HMKC405093P</t>
  </si>
  <si>
    <t>KIT ACOPLE PLAST MOT/RED D19MM P/Q63</t>
  </si>
  <si>
    <t>HMKC505093P</t>
  </si>
  <si>
    <t>KIT ACOPLE PLAST MOT/RED D19MM P/Q75</t>
  </si>
  <si>
    <t>HMKC505095Z</t>
  </si>
  <si>
    <t>KIT ACOPLE PLAST MOT/RED D28MM P/Q75</t>
  </si>
  <si>
    <t>SPS9I180GA</t>
  </si>
  <si>
    <t>MOTOR AC 90MM 180W S9I180GA</t>
  </si>
  <si>
    <t>CGSPMDKG4JTENN</t>
  </si>
  <si>
    <t>MOTOR CGT SS SPM 80 0.55KW 1765RPM 4P B14 230/400V TENV IE4 IP69K</t>
  </si>
  <si>
    <t>SPS9D90-90K</t>
  </si>
  <si>
    <t>MOTOR DC 2800RPM 90W 90V S9D90-90K</t>
  </si>
  <si>
    <t>EL1Q0712T22A</t>
  </si>
  <si>
    <t>MOTOR ELV 6M 71B4 KW0.37 P4 110/220V 60HZ B14 TS (1/2HP)</t>
  </si>
  <si>
    <t>EL1Q0713T22A</t>
  </si>
  <si>
    <t>MOTOR ELV 6M 71C4 KW0.55 P4 110/220V 60HZ B14 TS (3/4HP)</t>
  </si>
  <si>
    <t>EL1Q0802T22A</t>
  </si>
  <si>
    <t>MOTOR ELV 6M 80B4 KW0.75 P4 110/220V 60HZ B14 TS (1HP)</t>
  </si>
  <si>
    <t>EL2B0631E20A</t>
  </si>
  <si>
    <t>MOTOR ELV 6T2 63A4 KW0.12 P4 230/460V 60HZ B14 IE2 (1/6HP)</t>
  </si>
  <si>
    <t>EL2B0632E20A</t>
  </si>
  <si>
    <t>MOTOR ELV 6T2 63B4 KW0.18 P4 230/460V 60HZ B14 IE2 (1/4HP)</t>
  </si>
  <si>
    <t>EL2B0633E20A</t>
  </si>
  <si>
    <t>MOTOR ELV 6T2 63C4 KW0.25 P4 230/460V 60HZ B14 IE2 (1/3HP)</t>
  </si>
  <si>
    <t>EL2B0711E20A</t>
  </si>
  <si>
    <t>MOTOR ELV 6T2 71A4 KW0.25 P4 230/460V 60HZ B14 IE2 (1/3HP)</t>
  </si>
  <si>
    <t>EL2B0712E20A</t>
  </si>
  <si>
    <t>MOTOR ELV 6T2 71B4 KW0.37 P4 230/460V 60HZ B14 IE2 (1/2HP)</t>
  </si>
  <si>
    <t>EL2B0802E20A</t>
  </si>
  <si>
    <t>MOTOR ELV 6T2 80B4 KW0.75 P4 230/460V 60HZ B14 IE2 (1HP)</t>
  </si>
  <si>
    <t>EL2B0803E20A</t>
  </si>
  <si>
    <t>MOTOR ELV 6T2 80C4 KW1.1 P4 230/460V 60HZ B14 IE2 (1.5HP)</t>
  </si>
  <si>
    <t>EL2B0902E20A</t>
  </si>
  <si>
    <t>MOTOR ELV 6T2 90L4 KW1.5 P4 230/460V 60HZ B14 IE2 (2HP)</t>
  </si>
  <si>
    <t>CGM075KWI63SS30</t>
  </si>
  <si>
    <t>MOTORREDUCTOR CGT SS 0.75KW 230/400V 4P IP69 IMB14 TENV I63 I:30 E/H30 80B14 B3 A/19</t>
  </si>
  <si>
    <t>BRCBN3201-5-56</t>
  </si>
  <si>
    <t>REDUCTOR BROWNING CBN3201-5-56 350/1750RPM</t>
  </si>
  <si>
    <t>CGPI50SSI26E25B</t>
  </si>
  <si>
    <t>REDUCTOR CGT SS I50 I:26 E/H 25MM B/80B14 B3 A/19MM</t>
  </si>
  <si>
    <t>LES183006700</t>
  </si>
  <si>
    <t>REDUCTOR IRONMAN SS-BMQ818-30-D-56 S183006700</t>
  </si>
  <si>
    <t>REDCM040I60</t>
  </si>
  <si>
    <t>REDUCTOR ORTOGONAL TRANSTECNO, REL: 60 A 1, CM040</t>
  </si>
  <si>
    <t>SPSC8HA100</t>
  </si>
  <si>
    <t>REDUCTOR SPG I:100 SC8HA100</t>
  </si>
  <si>
    <t>SPSC8KA100</t>
  </si>
  <si>
    <t>REDUCTOR SPG I:100 SC8KA100</t>
  </si>
  <si>
    <t>CARB6X9X15</t>
  </si>
  <si>
    <t>CARBONES 464 6X9X15MM</t>
  </si>
  <si>
    <t>OTROS ARTICULOS</t>
  </si>
  <si>
    <t>PLAPE38C15CAN9</t>
  </si>
  <si>
    <t>PLACA PE 38MM CUAD. 15CMS C/CANAL 9MM</t>
  </si>
  <si>
    <t>ROPE1/4X3</t>
  </si>
  <si>
    <t>PERFIL PE UHMW 1/4"X3"</t>
  </si>
  <si>
    <t>PI1APRF001790</t>
  </si>
  <si>
    <t>PERFIL PIAZ C52/80 APM C/NE</t>
  </si>
  <si>
    <t>PI1APRF000245</t>
  </si>
  <si>
    <t>PERFIL PIAZ DOBLE UT32 C/V</t>
  </si>
  <si>
    <t>PI1APRF000079</t>
  </si>
  <si>
    <t>PERFIL PIAZ DOBLE UT38 C/V</t>
  </si>
  <si>
    <t>PI1APRF000231</t>
  </si>
  <si>
    <t>PERFIL PIAZ L40 APM</t>
  </si>
  <si>
    <t>PI1APRF202120</t>
  </si>
  <si>
    <t>PERFIL PIAZ RECTANGULAR 5X20 APM C/V</t>
  </si>
  <si>
    <t>PI1APRF202355</t>
  </si>
  <si>
    <t>PERFIL PIAZ T40 APM C/V</t>
  </si>
  <si>
    <t>PI1APRF001271</t>
  </si>
  <si>
    <t>PERFIL PIAZ UT30 CLIP C/V</t>
  </si>
  <si>
    <t>PI1APRF002143</t>
  </si>
  <si>
    <t>PERFIL PIAZ Z CLIP APM C/NAT</t>
  </si>
  <si>
    <t>PI1APRF000224</t>
  </si>
  <si>
    <t>PERFIL PIAZ Z25 APM EXTRUDADO</t>
  </si>
  <si>
    <t>RO303876</t>
  </si>
  <si>
    <t>PERFIL ROCHLING C41 EXTRUD R227 C/NAT</t>
  </si>
  <si>
    <t>RO258009</t>
  </si>
  <si>
    <t>PERFIL ROCHLING J CLIP 25X10MM R218</t>
  </si>
  <si>
    <t>RO246227</t>
  </si>
  <si>
    <t>PERFIL ROCHLING Z CLIP 21MMX9MM R119</t>
  </si>
  <si>
    <t>TE370/83726</t>
  </si>
  <si>
    <t>PERFIL TEC 1/2 CAÑA D14.3</t>
  </si>
  <si>
    <t>TE514/87118</t>
  </si>
  <si>
    <t>PERFIL TEC T40 C/RESPALDO INOX.</t>
  </si>
  <si>
    <t>TE363/83719</t>
  </si>
  <si>
    <t>PERFIL TEC UHMW J CLIP 21X9MM</t>
  </si>
  <si>
    <t>TE368/83724</t>
  </si>
  <si>
    <t>PERFIL TEC UHMW Z 20X8MM</t>
  </si>
  <si>
    <t>TE90/448</t>
  </si>
  <si>
    <t>TUBO TEC INOX D10 ESP. 1.5MM</t>
  </si>
  <si>
    <t>TE90/449</t>
  </si>
  <si>
    <t>TUBO TEC INOX D12 ESP. 1.5MM</t>
  </si>
  <si>
    <t>VEPIÑSS50B20-2</t>
  </si>
  <si>
    <t>PIÑON DOBLE SS 20 DIENTES PASO 50-2 VE</t>
  </si>
  <si>
    <t>VEPIÑSS50B28-2</t>
  </si>
  <si>
    <t>PIÑON DOBLE SS 28 DIENTES PASO 50-2 VE</t>
  </si>
  <si>
    <t>EUE50Z10C40IXN</t>
  </si>
  <si>
    <t>PIÑON E50 IX/N Z10 E/C 40MM</t>
  </si>
  <si>
    <t>PIÑFE40B16</t>
  </si>
  <si>
    <t>PIÑON FE 16 DIENTES PASO 40</t>
  </si>
  <si>
    <t>VEPIÑFE40B20B1</t>
  </si>
  <si>
    <t>PIÑON FE 20 DIENTES PASO 40 C/BUJE 1" VE</t>
  </si>
  <si>
    <t>VEPIÑFE40B20B1.</t>
  </si>
  <si>
    <t>PIÑON FE 20 DIENTES PASO 40 C/BUJE 1.3/16" VE</t>
  </si>
  <si>
    <t>PIÑFE40B30</t>
  </si>
  <si>
    <t>PIÑON FE 30 DIENTES PASO 40</t>
  </si>
  <si>
    <t>PIÑFE35B32</t>
  </si>
  <si>
    <t>PIÑON FE 32 DIENTES PASO 35</t>
  </si>
  <si>
    <t>CHPIÑFE35B32</t>
  </si>
  <si>
    <t>PIÑON FE 32 DIENTES PASO 35 CH</t>
  </si>
  <si>
    <t>ITPIÑBS06B15</t>
  </si>
  <si>
    <t>PIÑON INTERMEC BS 15 DIENTES PASO 06</t>
  </si>
  <si>
    <t>ITPIÑBS40B16</t>
  </si>
  <si>
    <t>PIÑON INTERMEC BS 16 DIENTES PASO 40</t>
  </si>
  <si>
    <t>ITPIÑFE40B10</t>
  </si>
  <si>
    <t>PIÑON INTERMEC FE 10 DIENTES PASO 40</t>
  </si>
  <si>
    <t>ITPIÑFE40B11</t>
  </si>
  <si>
    <t>PIÑON INTERMEC FE 11 DIENTES PASO 40</t>
  </si>
  <si>
    <t>ITPIÑFE40B12</t>
  </si>
  <si>
    <t>PIÑON INTERMEC FE 12 DIENTES PASO 40</t>
  </si>
  <si>
    <t>ITPIÑFE40B13</t>
  </si>
  <si>
    <t>PIÑON INTERMEC FE 13 DIENTES PASO 40</t>
  </si>
  <si>
    <t>ITPIÑFE40B14</t>
  </si>
  <si>
    <t>PIÑON INTERMEC FE 14 DIENTES PASO 40</t>
  </si>
  <si>
    <t>ITPIÑFE40B15</t>
  </si>
  <si>
    <t>PIÑON INTERMEC FE 15 DIENTES PASO 40</t>
  </si>
  <si>
    <t>ITPIÑFE40B17</t>
  </si>
  <si>
    <t>PIÑON INTERMEC FE 17 DIENTES PASO 40</t>
  </si>
  <si>
    <t>ITPIÑFE50B17</t>
  </si>
  <si>
    <t>PIÑON INTERMEC FE 17 DIENTES PASO 50</t>
  </si>
  <si>
    <t>ITPIÑFE40B19</t>
  </si>
  <si>
    <t>PIÑON INTERMEC FE 19 DIENTES PASO 40</t>
  </si>
  <si>
    <t>ITPIÑFE40B21</t>
  </si>
  <si>
    <t>PIÑON INTERMEC FE 21 DIENTES PASO 40</t>
  </si>
  <si>
    <t>ITPIÑFE40B22</t>
  </si>
  <si>
    <t>PIÑON INTERMEC FE 22 DIENTES PASO 40</t>
  </si>
  <si>
    <t>ITPIÑFE40B23</t>
  </si>
  <si>
    <t>PIÑON INTERMEC FE 23 DIENTES PASO 40</t>
  </si>
  <si>
    <t>ITPIÑFE50B23</t>
  </si>
  <si>
    <t>PIÑON INTERMEC FE 23 DIENTES PASO 50</t>
  </si>
  <si>
    <t>ITPIÑFE40B24</t>
  </si>
  <si>
    <t>PIÑON INTERMEC FE 24 DIENTES PASO 40</t>
  </si>
  <si>
    <t>ITPIÑFE40B25</t>
  </si>
  <si>
    <t>PIÑON INTERMEC FE 25 DIENTES PASO 40</t>
  </si>
  <si>
    <t>ITPIÑFE50B25</t>
  </si>
  <si>
    <t>PIÑON INTERMEC FE 25 DIENTES PASO 50</t>
  </si>
  <si>
    <t>ITPIÑFE35B28</t>
  </si>
  <si>
    <t>PIÑON INTERMEC FE 28 DIENTES PASO 35</t>
  </si>
  <si>
    <t>ITPIÑSS40B11</t>
  </si>
  <si>
    <t>PIÑON INTERMEC SS 11 DIENTES PASO 40</t>
  </si>
  <si>
    <t>ITPIÑSS40B13</t>
  </si>
  <si>
    <t>PIÑON INTERMEC SS 13 DIENTES PASO 40</t>
  </si>
  <si>
    <t>ITPIÑSS50B13</t>
  </si>
  <si>
    <t>PIÑON INTERMEC SS 13 DIENTES PASO 50</t>
  </si>
  <si>
    <t>ITPIÑSS50B14</t>
  </si>
  <si>
    <t>PIÑON INTERMEC SS 14 DIENTES PASO 50</t>
  </si>
  <si>
    <t>ITPIÑSS50B17</t>
  </si>
  <si>
    <t>PIÑON INTERMEC SS 17 DIENTES PASO 50</t>
  </si>
  <si>
    <t>ITPIÑSS80B17</t>
  </si>
  <si>
    <t>PIÑON INTERMEC SS 17 DIENTES PASO 80</t>
  </si>
  <si>
    <t>ITPIÑSS40B21</t>
  </si>
  <si>
    <t>PIÑON INTERMEC SS 21 DIENTES PASO 40</t>
  </si>
  <si>
    <t>ITPIÑSS80B22</t>
  </si>
  <si>
    <t>PIÑON INTERMEC SS 22 DIENTES PASO 80</t>
  </si>
  <si>
    <t>ITPIÑSS40B23</t>
  </si>
  <si>
    <t>PIÑON INTERMEC SS 23 DIENTES PASO 40</t>
  </si>
  <si>
    <t>ITPIÑSS50B25</t>
  </si>
  <si>
    <t>PIÑON INTERMEC SS 25 DIENTES PASO 50</t>
  </si>
  <si>
    <t>ITPIÑSS50B26</t>
  </si>
  <si>
    <t>PIÑON INTERMEC SS 26 DIENTES PASO 50</t>
  </si>
  <si>
    <t>ITPIÑSS40B27</t>
  </si>
  <si>
    <t>PIÑON INTERMEC SS 27 DIENTES PASO 40</t>
  </si>
  <si>
    <t>ITPIÑSS50B27</t>
  </si>
  <si>
    <t>PIÑON INTERMEC SS 27 DIENTES PASO 50</t>
  </si>
  <si>
    <t>ITPIÑSS40B28</t>
  </si>
  <si>
    <t>PIÑON INTERMEC SS 28 DIENTES PASO 40</t>
  </si>
  <si>
    <t>ITPIÑSS40B29</t>
  </si>
  <si>
    <t>PIÑON INTERMEC SS 29 DIENTES PASO 40</t>
  </si>
  <si>
    <t>ITPIÑSS50B33</t>
  </si>
  <si>
    <t>PIÑON INTERMEC SS 33 DIENTES PASO 50</t>
  </si>
  <si>
    <t>ITPIÑSS50B38</t>
  </si>
  <si>
    <t>PIÑON INTERMEC SS 38 DIENTES PASO 50</t>
  </si>
  <si>
    <t>VEPIÑSS50B10</t>
  </si>
  <si>
    <t>PIÑON SS 10 DIENTES PASO 50 VE</t>
  </si>
  <si>
    <t>VEPIÑSS80B10</t>
  </si>
  <si>
    <t>PIÑON SS 10 DIENTES PASO 80 VE</t>
  </si>
  <si>
    <t>VEPIÑSS60B11</t>
  </si>
  <si>
    <t>PIÑON SS 11 DIENTES PASO 60 VE</t>
  </si>
  <si>
    <t>VEPIÑSS80B11</t>
  </si>
  <si>
    <t>PIÑON SS 11 DIENTES PASO 80 VE</t>
  </si>
  <si>
    <t>VEPIÑSS40B12</t>
  </si>
  <si>
    <t>PIÑON SS 12 DIENTES PASO 40 VE</t>
  </si>
  <si>
    <t>VEPIÑSS50B12</t>
  </si>
  <si>
    <t>PIÑON SS 12 DIENTES PASO 50 VE</t>
  </si>
  <si>
    <t>VEPIÑSS60B12</t>
  </si>
  <si>
    <t>PIÑON SS 12 DIENTES PASO 60 VE</t>
  </si>
  <si>
    <t>VEPIÑSS40B13</t>
  </si>
  <si>
    <t>PIÑON SS 13 DIENTES PASO 40 VE</t>
  </si>
  <si>
    <t>VEPIÑSS50B13</t>
  </si>
  <si>
    <t>PIÑON SS 13 DIENTES PASO 50 VE</t>
  </si>
  <si>
    <t>VEPIÑSS60B13</t>
  </si>
  <si>
    <t>PIÑON SS 13 DIENTES PASO 60 VE</t>
  </si>
  <si>
    <t>VEPIÑSS80B13</t>
  </si>
  <si>
    <t>PIÑON SS 13 DIENTES PASO 80 VE</t>
  </si>
  <si>
    <t>VEPIÑSS40B14</t>
  </si>
  <si>
    <t>PIÑON SS 14 DIENTES PASO 40 VE</t>
  </si>
  <si>
    <t>VEPIÑSS50B14</t>
  </si>
  <si>
    <t>PIÑON SS 14 DIENTES PASO 50 VE</t>
  </si>
  <si>
    <t>VEPIÑSS40B15</t>
  </si>
  <si>
    <t>PIÑON SS 15 DIENTES PASO 40 VE</t>
  </si>
  <si>
    <t>VEPIÑSS80B15</t>
  </si>
  <si>
    <t>PIÑON SS 15 DIENTES PASO 80 VE</t>
  </si>
  <si>
    <t>VEPIÑSS40B16</t>
  </si>
  <si>
    <t>PIÑON SS 16 DIENTES PASO 40 VE</t>
  </si>
  <si>
    <t>VEPIÑSS50B16</t>
  </si>
  <si>
    <t>PIÑON SS 16 DIENTES PASO 50 VE</t>
  </si>
  <si>
    <t>VEPIÑSS40B17</t>
  </si>
  <si>
    <t>PIÑON SS 17 DIENTES PASO 40 VE</t>
  </si>
  <si>
    <t>VEPIÑSS60B17</t>
  </si>
  <si>
    <t>PIÑON SS 17 DIENTES PASO 60 VE</t>
  </si>
  <si>
    <t>VEPIÑSS80B17</t>
  </si>
  <si>
    <t>PIÑON SS 17 DIENTES PASO 80 VE</t>
  </si>
  <si>
    <t>VEPIÑSS40B18</t>
  </si>
  <si>
    <t>PIÑON SS 18 DIENTES PASO 40 VE</t>
  </si>
  <si>
    <t>VEPIÑSS50B18</t>
  </si>
  <si>
    <t>PIÑON SS 18 DIENTES PASO 50 VE</t>
  </si>
  <si>
    <t>VEPIÑSS40B19</t>
  </si>
  <si>
    <t>PIÑON SS 19 DIENTES PASO 40 VE</t>
  </si>
  <si>
    <t>VEPIÑSS50B19</t>
  </si>
  <si>
    <t>PIÑON SS 19 DIENTES PASO 50 VE</t>
  </si>
  <si>
    <t>VEPIÑSS60B19</t>
  </si>
  <si>
    <t>PIÑON SS 19 DIENTES PASO 60 VE</t>
  </si>
  <si>
    <t>VEPIÑSS40B20</t>
  </si>
  <si>
    <t>PIÑON SS 20 DIENTES PASO 40 VE</t>
  </si>
  <si>
    <t>VEPIÑSS50B20</t>
  </si>
  <si>
    <t>PIÑON SS 20 DIENTES PASO 50 VE</t>
  </si>
  <si>
    <t>VEPIÑSS60B20</t>
  </si>
  <si>
    <t>PIÑON SS 20 DIENTES PASO 60 VE</t>
  </si>
  <si>
    <t>VEPIÑSS80B20</t>
  </si>
  <si>
    <t>PIÑON SS 20 DIENTES PASO 80 VE</t>
  </si>
  <si>
    <t>VEPIÑSS40B21</t>
  </si>
  <si>
    <t>PIÑON SS 21 DIENTES PASO 40 VE</t>
  </si>
  <si>
    <t>VEPIÑSS50B21</t>
  </si>
  <si>
    <t>PIÑON SS 21 DIENTES PASO 50 VE</t>
  </si>
  <si>
    <t>VEPIÑSS60B21</t>
  </si>
  <si>
    <t>PIÑON SS 21 DIENTES PASO 60 VE</t>
  </si>
  <si>
    <t>VEPIÑSS80B21</t>
  </si>
  <si>
    <t>PIÑON SS 21 DIENTES PASO 80 VE</t>
  </si>
  <si>
    <t>VEPIÑSS40B22</t>
  </si>
  <si>
    <t>PIÑON SS 22 DIENTES PASO 40 VE</t>
  </si>
  <si>
    <t>VEPIÑSS50B22</t>
  </si>
  <si>
    <t>PIÑON SS 22 DIENTES PASO 50 VE</t>
  </si>
  <si>
    <t>VEPIÑSS60B22</t>
  </si>
  <si>
    <t>PIÑON SS 22 DIENTES PASO 60 VE</t>
  </si>
  <si>
    <t>VEPIÑSS80B22</t>
  </si>
  <si>
    <t>PIÑON SS 22 DIENTES PASO 80 VE</t>
  </si>
  <si>
    <t>VEPIÑSS40B23</t>
  </si>
  <si>
    <t>PIÑON SS 23 DIENTES PASO 40 VE</t>
  </si>
  <si>
    <t>VEPIÑSS60B23</t>
  </si>
  <si>
    <t>PIÑON SS 23 DIENTES PASO 60 VE</t>
  </si>
  <si>
    <t>VEPIÑSS40B24</t>
  </si>
  <si>
    <t>PIÑON SS 24 DIENTES PASO 40 VE</t>
  </si>
  <si>
    <t>VEPIÑSS50B24</t>
  </si>
  <si>
    <t>PIÑON SS 24 DIENTES PASO 50 VE</t>
  </si>
  <si>
    <t>VEPIÑSS60B24</t>
  </si>
  <si>
    <t>PIÑON SS 24 DIENTES PASO 60 VE</t>
  </si>
  <si>
    <t>VEPIÑSS40B25</t>
  </si>
  <si>
    <t>PIÑON SS 25 DIENTES PASO 40 VE</t>
  </si>
  <si>
    <t>VEPIÑSS50B25</t>
  </si>
  <si>
    <t>PIÑON SS 25 DIENTES PASO 50 VE</t>
  </si>
  <si>
    <t>VEPIÑSS60B25</t>
  </si>
  <si>
    <t>PIÑON SS 25 DIENTES PASO 60 VE</t>
  </si>
  <si>
    <t>VEPIÑSS40B26</t>
  </si>
  <si>
    <t>PIÑON SS 26 DIENTES PASO 40 VE</t>
  </si>
  <si>
    <t>VEPIÑSS50B26</t>
  </si>
  <si>
    <t>PIÑON SS 26 DIENTES PASO 50 VE</t>
  </si>
  <si>
    <t>VEPIÑSS60B26</t>
  </si>
  <si>
    <t>PIÑON SS 26 DIENTES PASO 60 VE</t>
  </si>
  <si>
    <t>VEPIÑSS60B28</t>
  </si>
  <si>
    <t>PIÑON SS 28 DIENTES PASO 60 VE</t>
  </si>
  <si>
    <t>VEPIÑSS40B30</t>
  </si>
  <si>
    <t>PIÑON SS 30 DIENTES PASO 40 VE</t>
  </si>
  <si>
    <t>VEPIÑSS50B30</t>
  </si>
  <si>
    <t>PIÑON SS 30 DIENTES PASO 50 VE</t>
  </si>
  <si>
    <t>VEPIÑSS60B30</t>
  </si>
  <si>
    <t>PIÑON SS 30 DIENTES PASO 60 VE</t>
  </si>
  <si>
    <t>VEPIÑSS80B30</t>
  </si>
  <si>
    <t>PIÑON SS 30 DIENTES PASO 80 VE</t>
  </si>
  <si>
    <t>VEPIÑSS40B32</t>
  </si>
  <si>
    <t>PIÑON SS 32 DIENTES PASO 40 VE</t>
  </si>
  <si>
    <t>VEPIÑSS50B32</t>
  </si>
  <si>
    <t>PIÑON SS 32 DIENTES PASO 50 VE</t>
  </si>
  <si>
    <t>VEPIÑSS60B32</t>
  </si>
  <si>
    <t>PIÑON SS 32 DIENTES PASO 60 VE</t>
  </si>
  <si>
    <t>VEPIÑSS50B33</t>
  </si>
  <si>
    <t>PIÑON SS 33 DIENTES PASO 50 VE</t>
  </si>
  <si>
    <t>VEPIÑSS40B34</t>
  </si>
  <si>
    <t>PIÑON SS 34 DIENTES PASO 40 VE</t>
  </si>
  <si>
    <t>VEPIÑSS50B34</t>
  </si>
  <si>
    <t>PIÑON SS 34 DIENTES PASO 50 VE</t>
  </si>
  <si>
    <t>VEPIÑSS60B34</t>
  </si>
  <si>
    <t>PIÑON SS 34 DIENTES PASO 60 VE</t>
  </si>
  <si>
    <t>VEPIÑSS40B36</t>
  </si>
  <si>
    <t>PIÑON SS 36 DIENTES PASO 40 VE</t>
  </si>
  <si>
    <t>VEPIÑSS60B36</t>
  </si>
  <si>
    <t>PIÑON SS 36 DIENTES PASO 60 VE</t>
  </si>
  <si>
    <t>VEPIÑSS50B38</t>
  </si>
  <si>
    <t>PIÑON SS 38 DIENTES PASO 50 VE</t>
  </si>
  <si>
    <t>VEPIÑSS80B38</t>
  </si>
  <si>
    <t>PIÑON SS 38 DIENTES PASO 80 VE</t>
  </si>
  <si>
    <t>VEPIÑSS40B40</t>
  </si>
  <si>
    <t>PIÑON SS 40 DIENTES PASO 40 VE</t>
  </si>
  <si>
    <t>VEPIÑSS50B40</t>
  </si>
  <si>
    <t>PIÑON SS 40 DIENTES PASO 50 VE</t>
  </si>
  <si>
    <t>VEPIÑSS60B40</t>
  </si>
  <si>
    <t>PIÑON SS 40 DIENTES PASO 60 VE</t>
  </si>
  <si>
    <t>VEPIÑSS50B42</t>
  </si>
  <si>
    <t>PIÑON SS 42 DIENTES PASO 50 VE</t>
  </si>
  <si>
    <t>VEPIÑSS50B44</t>
  </si>
  <si>
    <t>PIÑON SS 44 DIENTES PASO 50 VE</t>
  </si>
  <si>
    <t>VEPIÑSS60B44</t>
  </si>
  <si>
    <t>PIÑON SS 44 DIENTES PASO 60 VE</t>
  </si>
  <si>
    <t>VEPIÑSS60B45</t>
  </si>
  <si>
    <t>PIÑON SS 45 DIENTES PASO 60 VE</t>
  </si>
  <si>
    <t>VEPIÑSS50B46</t>
  </si>
  <si>
    <t>PIÑON SS 46 DIENTES PASO 50 VE</t>
  </si>
  <si>
    <t>VEPIÑSS60B46</t>
  </si>
  <si>
    <t>PIÑON SS 46 DIENTES PASO 60 VE</t>
  </si>
  <si>
    <t>VEPIÑSS40B48</t>
  </si>
  <si>
    <t>PIÑON SS 48 DIENTES PASO 40 VE</t>
  </si>
  <si>
    <t>VEPIÑSS50B48</t>
  </si>
  <si>
    <t>PIÑON SS 48 DIENTES PASO 50 VE</t>
  </si>
  <si>
    <t>VEPIÑSS60B48</t>
  </si>
  <si>
    <t>PIÑON SS 48 DIENTES PASO 60 VE</t>
  </si>
  <si>
    <t>VEPIÑSS40B52</t>
  </si>
  <si>
    <t>PIÑON SS 52 DIENTES PASO 40 VE</t>
  </si>
  <si>
    <t>EUA24Z13C38ACM</t>
  </si>
  <si>
    <t>PIÑON A24 AC/M Z13 E/C 1.5"</t>
  </si>
  <si>
    <t>EUB50Z06C40ACB</t>
  </si>
  <si>
    <t>PIÑON B50 AC/B Z06 E/C 40MM</t>
  </si>
  <si>
    <t>EUB50Z08C40ACBA</t>
  </si>
  <si>
    <t>PIÑON B50 AC/B Z08 E/C 40MM C/ADAP E/R 1"</t>
  </si>
  <si>
    <t>EUC12Z26RCH26AC</t>
  </si>
  <si>
    <t>PIÑON C12 AC/B Z26 E/R 1" CHAV.</t>
  </si>
  <si>
    <t>EUC12Z31C40ACB</t>
  </si>
  <si>
    <t>PIÑON C12 AC/B Z31 E/C 40MM</t>
  </si>
  <si>
    <t>EUE20Z08C20ACB</t>
  </si>
  <si>
    <t>PIÑON E20 AC/B Z08 E/C 20MM</t>
  </si>
  <si>
    <t>EUE20Z24C40ACB</t>
  </si>
  <si>
    <t>PIÑON E20 AC/B Z24 E/C 40MM</t>
  </si>
  <si>
    <t>EUE20Z24C38ACM</t>
  </si>
  <si>
    <t>PIÑON E20 AC/M Z24 E/C 1.5"</t>
  </si>
  <si>
    <t>EUE30Z09RCH25AC</t>
  </si>
  <si>
    <t>PIÑON E30 AC/B Z09 E/R 25MM CHAV.</t>
  </si>
  <si>
    <t>EUE30Z16C38ACB</t>
  </si>
  <si>
    <t>PIÑON E30 AC/B Z16 E/C 1.5"</t>
  </si>
  <si>
    <t>EUE30Z16R254ACB</t>
  </si>
  <si>
    <t>PIÑON E30 AC/B Z16 E/R 1"</t>
  </si>
  <si>
    <t>EUE30Z11C38PPA</t>
  </si>
  <si>
    <t>PIÑON E30 PP/A Z11 E/C 1.5"</t>
  </si>
  <si>
    <t>EUE30Z16C38PPA</t>
  </si>
  <si>
    <t>PIÑON E30 PP/A Z16 E/C 1.5"</t>
  </si>
  <si>
    <t>EUE30Z20C38PPA</t>
  </si>
  <si>
    <t>PIÑON E30 PP/A Z20 E/C 1.5</t>
  </si>
  <si>
    <t>E40Z08C38ACB</t>
  </si>
  <si>
    <t>PIÑON E40 AC/B Z08 E/C 1.5"</t>
  </si>
  <si>
    <t>EUE40Z13C40ACB</t>
  </si>
  <si>
    <t>PIÑON E40 AC/B Z13 E/C 40MM</t>
  </si>
  <si>
    <t>EUE40Z20C60ACB</t>
  </si>
  <si>
    <t>PIÑON E40 AC/B Z20 E/C 60MM</t>
  </si>
  <si>
    <t>EUE40Z08C38PPA</t>
  </si>
  <si>
    <t>PIÑON E40 PP/A Z08 E/C 1.5"</t>
  </si>
  <si>
    <t>EUE50Z10C63ACM</t>
  </si>
  <si>
    <t>PIÑON E50 AC/M Z10 E/C 2.5"</t>
  </si>
  <si>
    <t>ROPNY1700Z10D25</t>
  </si>
  <si>
    <t>PIÑON NY MAQUINADO 1700 Z10 D25MM C/NE</t>
  </si>
  <si>
    <t>CPPEZ10C40</t>
  </si>
  <si>
    <t>PIÑON PE Z10 E/C 40MM</t>
  </si>
  <si>
    <t>PI1FPIÑ001056</t>
  </si>
  <si>
    <t>PIÑON PIAZ BIP Z19 D25MM C/CH</t>
  </si>
  <si>
    <t>RECMT027821602</t>
  </si>
  <si>
    <t>PIÑON REGINA 782 Z16 D30MM</t>
  </si>
  <si>
    <t>RECMT027821801</t>
  </si>
  <si>
    <t>PIÑON REGINA 782 Z18 D25MM</t>
  </si>
  <si>
    <t>RECMT027821802</t>
  </si>
  <si>
    <t>PIÑON REGINA 782 Z18 D30MM</t>
  </si>
  <si>
    <t>RECMT028152103</t>
  </si>
  <si>
    <t>PIÑON REGINA 815 Z21 D35MM</t>
  </si>
  <si>
    <t>RECMT028202332</t>
  </si>
  <si>
    <t>PIÑON REGINA 820 Z23 D32MM</t>
  </si>
  <si>
    <t>RECMT028202503</t>
  </si>
  <si>
    <t>PIÑON REGINA 820 Z25 D35MM</t>
  </si>
  <si>
    <t>RECMT028202505</t>
  </si>
  <si>
    <t>PIÑON REGINA 820 Z25 D45MM</t>
  </si>
  <si>
    <t>RECMT028812102</t>
  </si>
  <si>
    <t>PIÑON REGINA 881 Z21 D30MM</t>
  </si>
  <si>
    <t>RECMT028812302</t>
  </si>
  <si>
    <t>PIÑON REGINA 881 Z23 D30MM</t>
  </si>
  <si>
    <t>RECMT028812303</t>
  </si>
  <si>
    <t>PIÑON REGINA 881 Z23 D35MM</t>
  </si>
  <si>
    <t>RECMT028812504</t>
  </si>
  <si>
    <t>PIÑON REGINA 881 Z25 D40MM</t>
  </si>
  <si>
    <t>REMPBSF10102030</t>
  </si>
  <si>
    <t>PIÑON REGINA MPBSF1010 Z20 D30MM S/CH</t>
  </si>
  <si>
    <t>REMPBSQUSP18381</t>
  </si>
  <si>
    <t>PIÑON REGINA MPBSQUSP-USPM Z18 E/C 1.5"</t>
  </si>
  <si>
    <t>REMPBST10101840</t>
  </si>
  <si>
    <t>PIÑON REGINA MPBST1010 Z18 D40MM C/CH</t>
  </si>
  <si>
    <t>REMPBST10102030</t>
  </si>
  <si>
    <t>PIÑON REGINA MPBST1010 Z20 D30MM C/CH</t>
  </si>
  <si>
    <t>REMPBST6112825</t>
  </si>
  <si>
    <t>PIÑON REGINA MPBST611G Z28 D25MM</t>
  </si>
  <si>
    <t>RECMAS021700132</t>
  </si>
  <si>
    <t>PIÑON REGINA NY MAQUINADO 1700 Z13 D25MM</t>
  </si>
  <si>
    <t>RECMAS028801025</t>
  </si>
  <si>
    <t>PIÑON REGINA NY MAQUINADO 880 Z10 D25MM</t>
  </si>
  <si>
    <t>REMPBASTUSP1638</t>
  </si>
  <si>
    <t>PIÑON REGINA NY MPBASTUSP-USPM Z16 D1.5" C/CH</t>
  </si>
  <si>
    <t>VEP1400AC8R3/4</t>
  </si>
  <si>
    <t>PIÑON S1400 AC Z08 4" E/R 3/4" VE</t>
  </si>
  <si>
    <t>UNPSPB1700-10</t>
  </si>
  <si>
    <t>PIÑON UNI 3-1700 NY 10D</t>
  </si>
  <si>
    <t>PI1FROL000858</t>
  </si>
  <si>
    <t>ROLDANA PIAZ BIP Z19 D25MM</t>
  </si>
  <si>
    <t>RECMTS048152335</t>
  </si>
  <si>
    <t>ROLDANA REGINA BIP. 815 Z23 D35MM</t>
  </si>
  <si>
    <t>RECMTS048152340</t>
  </si>
  <si>
    <t>ROLDANA REGINA BIP. 815 Z23 D40MM</t>
  </si>
  <si>
    <t>RECMTS048152530</t>
  </si>
  <si>
    <t>ROLDANA REGINA BIP. 815 Z25 D30MM</t>
  </si>
  <si>
    <t>RECMTS048152545</t>
  </si>
  <si>
    <t>ROLDANA REGINA BIP. 815 Z25 D45MM</t>
  </si>
  <si>
    <t>RECMAS048152140</t>
  </si>
  <si>
    <t>ROLDANA REGINA NY MAQUINADO BIP. 815 Z21 D40MM</t>
  </si>
  <si>
    <t>RECMAS048152530</t>
  </si>
  <si>
    <t>ROLDANA REGINA NY MAQUINADO BIP. 815 Z25 D30MM</t>
  </si>
  <si>
    <t>RECMAS048152535</t>
  </si>
  <si>
    <t>ROLDANA REGINA NY MAQUINADO BIP. 815 Z25 D35MM</t>
  </si>
  <si>
    <t>RECMAS048152540</t>
  </si>
  <si>
    <t>ROLDANA REGINA NY MAQUINADO BIP. 815 Z25 D40MM</t>
  </si>
  <si>
    <t>RECMAS048212525</t>
  </si>
  <si>
    <t>ROLDANA REGINA NY MAQUINADO DOBLE BIP. 821 Z25 D25MM</t>
  </si>
  <si>
    <t>RO101005</t>
  </si>
  <si>
    <t>PLANCHA ROCHLING PE UHMW 10MM</t>
  </si>
  <si>
    <t>ROPLANPE13</t>
  </si>
  <si>
    <t>PLANCHA ROCHLING PE UHMW 13MM</t>
  </si>
  <si>
    <t>RO238832</t>
  </si>
  <si>
    <t>PLANCHA ROCHLING PE UHMW 16MM</t>
  </si>
  <si>
    <t>RO101008</t>
  </si>
  <si>
    <t>PLANCHA ROCHLING PE UHMW 20MM</t>
  </si>
  <si>
    <t>RO101009</t>
  </si>
  <si>
    <t>PLANCHA ROCHLING PE UHMW 25MM</t>
  </si>
  <si>
    <t>RO229243</t>
  </si>
  <si>
    <t>PLANCHA ROCHLING PE UHMW 30MM C/NE</t>
  </si>
  <si>
    <t>RO312963</t>
  </si>
  <si>
    <t>PLANCHA ROCHLING PE UHMW 50MM</t>
  </si>
  <si>
    <t>RO236696</t>
  </si>
  <si>
    <t>PLANCHA ROCHLING PE UHMW 6G 50MM C/NE</t>
  </si>
  <si>
    <t>RO212374</t>
  </si>
  <si>
    <t>PLANCHA ROCHLING PE UHMW 6MM</t>
  </si>
  <si>
    <t>RO212342</t>
  </si>
  <si>
    <t>PLANCHA ROCHLING PE UHMW 8MM</t>
  </si>
  <si>
    <t>W100-0210-110</t>
  </si>
  <si>
    <t>BANDA P/FRENO ETIQ. WILLETT</t>
  </si>
  <si>
    <t>REPUESTOS</t>
  </si>
  <si>
    <t>BLIMPIEZA</t>
  </si>
  <si>
    <t>BOTELLA DE LIMPIEZA</t>
  </si>
  <si>
    <t>KECONTROLK50/20</t>
  </si>
  <si>
    <t>CONTROLADOR KETAN P/ETIQ K50/K200</t>
  </si>
  <si>
    <t>HIKITRX</t>
  </si>
  <si>
    <t>KIT DE FILTROS HITACHI RX</t>
  </si>
  <si>
    <t>KEKTP-000643</t>
  </si>
  <si>
    <t>LCD DE CONTROLADOR KETAN KTP-000643</t>
  </si>
  <si>
    <t>KEMOTK50/200</t>
  </si>
  <si>
    <t>MOTOR DE PASO KETAN P/ETQ K50/K200</t>
  </si>
  <si>
    <t>KERODENG-ETIQAM</t>
  </si>
  <si>
    <t>RODILLO KETAN ENGOMADO P/ETIQ AMPOLLAS</t>
  </si>
  <si>
    <t>BR100-DDT</t>
  </si>
  <si>
    <t>SENSOR DE PRODUCTO NPN BR100-DDT</t>
  </si>
  <si>
    <t>BR3M-MDT</t>
  </si>
  <si>
    <t>SENSOR DE PRODUCTO NPN C/CABLE BR3M-MDT</t>
  </si>
  <si>
    <t>KEKTP-000326</t>
  </si>
  <si>
    <t>VENTILADOR DE CONTROLADOR KETAN</t>
  </si>
  <si>
    <t>SETK50LH</t>
  </si>
  <si>
    <t>SISTEMA DE ETIQUETADO C/ETIQ. K50 LH</t>
  </si>
  <si>
    <t>SISTEMAS Y TRANSPORTADORES</t>
  </si>
  <si>
    <t>SESPENV</t>
  </si>
  <si>
    <t>SISTEMA ESPACIADOR DE ENVASES</t>
  </si>
  <si>
    <t>TFECORYPOL1.1X1</t>
  </si>
  <si>
    <t>TRANSPORTADOR FE C/CORREA Y POLEAS 1.1MTX1MT</t>
  </si>
  <si>
    <t>TSSC4.1/2X1.22</t>
  </si>
  <si>
    <t>TRANSPORTADOR SS C/C 4.1/2"X1.22MTS</t>
  </si>
  <si>
    <t>TSSC6X1.22</t>
  </si>
  <si>
    <t>TRANSPORTADOR SS C/C 6"X1.22MTS</t>
  </si>
  <si>
    <t>TSSC7.1/2X1.22</t>
  </si>
  <si>
    <t>TRANSPORTADOR SS C/C 7.1/2"X1.22MTS</t>
  </si>
  <si>
    <t>TSSC7.1/2X2.4</t>
  </si>
  <si>
    <t>TRANSPORTADOR SS C/C 7.1/2"X2.4MTS</t>
  </si>
  <si>
    <t>KETSUP</t>
  </si>
  <si>
    <t>TRANSPORTADOR SUPERIOR KETAN</t>
  </si>
  <si>
    <t>MEKMETIL</t>
  </si>
  <si>
    <t>MEK METIL ETIL CETONA</t>
  </si>
  <si>
    <t>HIS1018</t>
  </si>
  <si>
    <t>MEK METIL ETIL CETONA PQT S1018  800ML</t>
  </si>
  <si>
    <t>HIS100A</t>
  </si>
  <si>
    <t>MEK PQT SOLVENTE S100A 800ML</t>
  </si>
  <si>
    <t>HITH-431CI</t>
  </si>
  <si>
    <t>MEK PQT SOLVENTE TH-431CI</t>
  </si>
  <si>
    <t>HITH-88-FT</t>
  </si>
  <si>
    <t>MEK PQT SOLVENTE TH88-FT</t>
  </si>
  <si>
    <t>HI1027R</t>
  </si>
  <si>
    <t>MEK PQT TINTA 1027R 500ML</t>
  </si>
  <si>
    <t>HI1072K</t>
  </si>
  <si>
    <t>MEK PQT TINTA 1072K 500ML</t>
  </si>
  <si>
    <t>HI1145T</t>
  </si>
  <si>
    <t>MEK PQT TINTA 1145T 500ML</t>
  </si>
  <si>
    <t>WICM206APK001</t>
  </si>
  <si>
    <t>MEK PQT TINTA 206</t>
  </si>
  <si>
    <t>HI3431ECI</t>
  </si>
  <si>
    <t>MEK PQT TINTA BLUE JP-3431ECI 500ML</t>
  </si>
  <si>
    <t>HIJP-K304A</t>
  </si>
  <si>
    <t>MEK PQT TINTA K304A</t>
  </si>
  <si>
    <t>HIIJP-K67</t>
  </si>
  <si>
    <t>HIIJP-R27</t>
  </si>
  <si>
    <t>MEK PQT TINTA R27</t>
  </si>
  <si>
    <t>HIJP-T88</t>
  </si>
  <si>
    <t>MEK PQT TINTA T88</t>
  </si>
  <si>
    <t>HIIJP-Y108</t>
  </si>
  <si>
    <t>MEK PQT TINTA Y108</t>
  </si>
  <si>
    <t>HIJP-Y311</t>
  </si>
  <si>
    <t>MEK PQT TINTA Y311</t>
  </si>
  <si>
    <t>HITH-TYPE-F</t>
  </si>
  <si>
    <t>SOLVENTE EN ALCOHOL ETILICO TH-TYPE-F</t>
  </si>
  <si>
    <t>HITH-413CI</t>
  </si>
  <si>
    <t>SOLVENTE PENTANONA TH-413CI</t>
  </si>
  <si>
    <t>HIJP-K407</t>
  </si>
  <si>
    <t>TINTA EN ALCOHOL ETILICO K407</t>
  </si>
  <si>
    <t>HIJP-K301</t>
  </si>
  <si>
    <t>TINTA METANOL K301</t>
  </si>
  <si>
    <t>HIJP-T413CI</t>
  </si>
  <si>
    <t>TINTA TERMOCROMICA NEGRO/AZUL T413CI</t>
  </si>
  <si>
    <t>AFRX2-SD160E</t>
  </si>
  <si>
    <t>AF CODIFICADORA HITACHI RX2-SD160E</t>
  </si>
  <si>
    <t>AFUX-B160WG</t>
  </si>
  <si>
    <t>AF CODIFICADORA HITACHI UX-B160WG</t>
  </si>
  <si>
    <t>AFUX-B160WP</t>
  </si>
  <si>
    <t>AF CODIFICADORA HITACHI UX-B160WP</t>
  </si>
  <si>
    <t>AFUX-D161WP</t>
  </si>
  <si>
    <t>AF CODIFICADORA HITACHI UX-D161WP</t>
  </si>
  <si>
    <t>AFCPU3.36HZ1TB</t>
  </si>
  <si>
    <t>AF INTEL PENTIUM 3.36HZ, 1TB DISCO DURO, DVD WRITER</t>
  </si>
  <si>
    <t>PCI51TB2.9GHZ</t>
  </si>
  <si>
    <t>PC LENOVO CORE I5-9400 2.9GHZ 1TB+256GB SSD 12GB</t>
  </si>
  <si>
    <t>CHEVDMAX2.5TM</t>
  </si>
  <si>
    <t>VEHICULO CHEVROLET D-MAX CRDI AC 2.5 4X2 TM C/PLATEADO</t>
  </si>
  <si>
    <t>AF VEHICULOS</t>
  </si>
  <si>
    <t>CHEVGROOVE1.5TM</t>
  </si>
  <si>
    <t>VEHICULO CHEVROLET GROOVE AC 1.5 5P 4X2 TM C/PLATEADO</t>
  </si>
  <si>
    <t>HYUVERNA1.4TM</t>
  </si>
  <si>
    <t>VEHICULO HYUNDAI VERNA AC 1.4 4X2 TM C/ROJO</t>
  </si>
  <si>
    <t>AFVEHKIACERATO</t>
  </si>
  <si>
    <t>VEHICULO KIA CERATO 2024 AC 1.6 4P 4X2 TM C/AZUL</t>
  </si>
  <si>
    <t>KIASOLUTO1.4TM</t>
  </si>
  <si>
    <t>VEHICULO KIA SOLUTO LX 2024 AC 1.4 4P 4X2 TM C/PLOMO</t>
  </si>
  <si>
    <t>MITECLIPSE2TA</t>
  </si>
  <si>
    <t>VEHICULO MITSUBISHI ECLIPSE CROSS 2.0 5P 4X2 TA C/PLATEADO</t>
  </si>
  <si>
    <t>MITL2002.4TM</t>
  </si>
  <si>
    <t>VEHICULO MITSUBISHI L200 HIRIDER AC 2.4 4X2 TM C/PLATEADO</t>
  </si>
  <si>
    <t>EUB50FTPPB50E</t>
  </si>
  <si>
    <t>BANDA S-B50 FLAT TOP PP B. 50CMS E/10 C/45 I/6</t>
  </si>
  <si>
    <t>EUE30FTPPB48</t>
  </si>
  <si>
    <t>BANDA S-E30 FLAT TOP PP B. 48CMS</t>
  </si>
  <si>
    <t>IN1100BFGPEN20</t>
  </si>
  <si>
    <t>BANDA S1100 FLUSH GRID PE N. 20"</t>
  </si>
  <si>
    <t>FT</t>
  </si>
  <si>
    <t>IN1600BMTACA35</t>
  </si>
  <si>
    <t>BANDA S1600 MESH TOP AC A. 35"</t>
  </si>
  <si>
    <t>IN1600BOFTPPB12</t>
  </si>
  <si>
    <t>BANDA S1600 O.H. FLAT TOP PP B. 12"</t>
  </si>
  <si>
    <t>IN800BFTPPPB48</t>
  </si>
  <si>
    <t>BANDA S800 FLAT TOP PERF. PP B. 48"</t>
  </si>
  <si>
    <t>IN8050BTFTPUA10</t>
  </si>
  <si>
    <t>BANDA S8050 TERM FLAT TOP PU A. 10"</t>
  </si>
  <si>
    <t>IN900BFTPPPG12</t>
  </si>
  <si>
    <t>BANDA S900 FLAT TOP PERF PP G. 12"</t>
  </si>
  <si>
    <t>IN900BFTPPPG24</t>
  </si>
  <si>
    <t>BANDA S900 FLAT TOP PERF PP G. 24"</t>
  </si>
  <si>
    <t>IN900BFTPPPG6</t>
  </si>
  <si>
    <t>BANDA S900 FLAT TOP PERF PP G. 6"</t>
  </si>
  <si>
    <t>IN900BFTPPA12</t>
  </si>
  <si>
    <t>BANDA S900 FLAT TOP PP A. 12"</t>
  </si>
  <si>
    <t>IN900BFTPPA6</t>
  </si>
  <si>
    <t>BANDA S900 FLAT TOP PP A. 6"</t>
  </si>
  <si>
    <t>IN900BFGPPA6</t>
  </si>
  <si>
    <t>BANDA S900 FLUSH GRID PP A. 6"</t>
  </si>
  <si>
    <t>IN900BFGPPG12</t>
  </si>
  <si>
    <t>BANDA S900 FLUSH GRID PP G. 12"</t>
  </si>
  <si>
    <t>IN900BOGPPA12</t>
  </si>
  <si>
    <t>BANDA S900 OPEN GRID PP A. 12"</t>
  </si>
  <si>
    <t>IN900BOGPPA6</t>
  </si>
  <si>
    <t>BANDA S900 OPEN GRID PP A. 6"</t>
  </si>
  <si>
    <t>IN900BOGPPB12</t>
  </si>
  <si>
    <t>BANDA S900 OPEN GRID PP B. 12"</t>
  </si>
  <si>
    <t>IN900BOGPPB18</t>
  </si>
  <si>
    <t>BANDA S900 OPEN GRID PP B. 18"</t>
  </si>
  <si>
    <t>IN900BOGPPB59.9</t>
  </si>
  <si>
    <t>BANDA S900 OPEN GRID PP B. 59.9"</t>
  </si>
  <si>
    <t>IN900BOGPPB6</t>
  </si>
  <si>
    <t>BANDA S900 OPEN GRID PP B. 6"</t>
  </si>
  <si>
    <t>IN800EFTCPPB6X3</t>
  </si>
  <si>
    <t>EMPUJADOR S800 CUCH FT PP 6" AN X 6" AL</t>
  </si>
  <si>
    <t>IN800EFTACB6X6</t>
  </si>
  <si>
    <t>EMPUJADOR S800 FT AC B. 6" AN X 6" AL</t>
  </si>
  <si>
    <t>IN800EFTPPB4X6</t>
  </si>
  <si>
    <t>EMPUJADOR S800 FT PP B. 4" AN X 6" AL</t>
  </si>
  <si>
    <t>IN800EFTPPB6X6</t>
  </si>
  <si>
    <t>EMPUJADOR S800 FT PP B. 6" AN X 6" AL</t>
  </si>
  <si>
    <t>IN900EFGACA6X1C</t>
  </si>
  <si>
    <t>EMPUJADOR S900 FG AC A. 6" AN X 1" AL CT</t>
  </si>
  <si>
    <t>IN900EFGACA6X1L</t>
  </si>
  <si>
    <t>EMPUJADOR S900 FG AC A. 6" AN X 1" AL LF</t>
  </si>
  <si>
    <t>IN900EFGACA6X1R</t>
  </si>
  <si>
    <t>EMPUJADOR S900 FG AC A. 6" AN X 1" AL RH</t>
  </si>
  <si>
    <t>IN900EFGPPA6X1C</t>
  </si>
  <si>
    <t>EMPUJADOR S900 FG PP A. 6" AN X 1" AL CT</t>
  </si>
  <si>
    <t>IN900EFGPPA6X1R</t>
  </si>
  <si>
    <t>EMPUJADOR S900 FG PP A. 6" AN X 1" AL RH</t>
  </si>
  <si>
    <t>IN900EFGPPA6X2C</t>
  </si>
  <si>
    <t>EMPUJADOR S900 FG PP A. 6" AN X 2" AL CT</t>
  </si>
  <si>
    <t>IN900EFGPPA6X2L</t>
  </si>
  <si>
    <t>EMPUJADOR S900 FG PP A. 6" AN X 2" AL LF</t>
  </si>
  <si>
    <t>IN900EFGPPA6X2R</t>
  </si>
  <si>
    <t>EMPUJADOR S900 FG PP A. 6" AN X 2" AL RH</t>
  </si>
  <si>
    <t>IN900EFGPPB3X2L</t>
  </si>
  <si>
    <t>EMPUJADOR S900 FG PP B. 3" AN X 2" AL LF</t>
  </si>
  <si>
    <t>IN900EFGPPB3X2R</t>
  </si>
  <si>
    <t>EMPUJADOR S900 FG PP B. 3" AN X 2" AL RH</t>
  </si>
  <si>
    <t>IN900EFGPPB6X2L</t>
  </si>
  <si>
    <t>EMPUJADOR S900 FG PP B. 6" AN X 2" AL LF</t>
  </si>
  <si>
    <t>IN900EFGPPB6X2C</t>
  </si>
  <si>
    <t>EMPUJADOR S900 FG PP B. 6" AN X 2" ALT CT</t>
  </si>
  <si>
    <t>IN900EFTPPB6X3C</t>
  </si>
  <si>
    <t>EMPUJADOR S900 FT PP B. 6" AN X 3" AL CT</t>
  </si>
  <si>
    <t>IN800GLPPB4</t>
  </si>
  <si>
    <t>GUARDA LATERAL S800 PP B. 4"</t>
  </si>
  <si>
    <t>UNCADPL1701C/T</t>
  </si>
  <si>
    <t>CADENA UNI D1701 C/TAB 20FT</t>
  </si>
  <si>
    <t>UNLF1700BWN</t>
  </si>
  <si>
    <t>CADENA UNI LF1700 BROWN</t>
  </si>
  <si>
    <t>1/2CANFE35</t>
  </si>
  <si>
    <t>1/2 CANDADO FE PASO 35</t>
  </si>
  <si>
    <t>1/2CANFE50</t>
  </si>
  <si>
    <t>1/2 CANDADO FE PASO 50</t>
  </si>
  <si>
    <t>1/2CANSS50</t>
  </si>
  <si>
    <t>1/2 CANDADO SS PASO 50</t>
  </si>
  <si>
    <t>CH1/2CANSS50</t>
  </si>
  <si>
    <t>1/2 CANDADO SS PASO 50 CH</t>
  </si>
  <si>
    <t>CH1/2CANSS60</t>
  </si>
  <si>
    <t>1/2 CANDADO SS PASO 60 CH</t>
  </si>
  <si>
    <t>CADFE50</t>
  </si>
  <si>
    <t>CADENA FE PASO 50 3MTS</t>
  </si>
  <si>
    <t>KACADSS50</t>
  </si>
  <si>
    <t>CADENA KANA SS PASO 50 10FT</t>
  </si>
  <si>
    <t>LBCA40-2SS</t>
  </si>
  <si>
    <t>CANDADO DOBLE SS PASO 40-2 LB</t>
  </si>
  <si>
    <t>VECANSS40-2</t>
  </si>
  <si>
    <t>CANDADO DOBLE SS PASO 40-2 VE</t>
  </si>
  <si>
    <t>CHCANFE06</t>
  </si>
  <si>
    <t>CANDADO FE PASO 06 CH</t>
  </si>
  <si>
    <t>CANFE50</t>
  </si>
  <si>
    <t>CANDADO FE PASO 50</t>
  </si>
  <si>
    <t>CANSS35</t>
  </si>
  <si>
    <t>CANDADO SS PASO 35</t>
  </si>
  <si>
    <t>VECANSS35</t>
  </si>
  <si>
    <t>CANDADO SS PASO 35 VE</t>
  </si>
  <si>
    <t>AVLF880TABK325</t>
  </si>
  <si>
    <t>CADENA AVE CHAIN LF880TABK325</t>
  </si>
  <si>
    <t>CADENAS TABLE TOP</t>
  </si>
  <si>
    <t>HA820K750</t>
  </si>
  <si>
    <t>CADENA HABASIT AC 820K750</t>
  </si>
  <si>
    <t>HA880K325</t>
  </si>
  <si>
    <t>CADENA HABASIT AC 880K325</t>
  </si>
  <si>
    <t>REP915KR/000</t>
  </si>
  <si>
    <t>CADENA REGINA P915K250 3.048MTS</t>
  </si>
  <si>
    <t>REP981MKL/000</t>
  </si>
  <si>
    <t>CADENA REGINA P981MK750 3.048MTS</t>
  </si>
  <si>
    <t>UNLF879TK325</t>
  </si>
  <si>
    <t>CADENA UNI LF879TABK325</t>
  </si>
  <si>
    <t>UNLF879TK450</t>
  </si>
  <si>
    <t>CADENA UNI LF879TABK450</t>
  </si>
  <si>
    <t>UNLF880TABK325</t>
  </si>
  <si>
    <t>CADENA UNI LF880TABK325</t>
  </si>
  <si>
    <t>UNSS812K450</t>
  </si>
  <si>
    <t>CADENA UNI SS812K450</t>
  </si>
  <si>
    <t>DOF205</t>
  </si>
  <si>
    <t>CARCASA DODGE FE 4H PA 205</t>
  </si>
  <si>
    <t>DOF206</t>
  </si>
  <si>
    <t>CARCASA DODGE FE 4H PA 206</t>
  </si>
  <si>
    <t>DOP205</t>
  </si>
  <si>
    <t>CARCASA DODGE FE PI 205</t>
  </si>
  <si>
    <t>LDCC210W</t>
  </si>
  <si>
    <t>CC210 WH CUBIERTA CERRADA</t>
  </si>
  <si>
    <t>LDCFL204</t>
  </si>
  <si>
    <t>CFL204 CARCASA FE PA 2H</t>
  </si>
  <si>
    <t>LDOC205W</t>
  </si>
  <si>
    <t>OC205 WH CUBIERTA ABIERTA</t>
  </si>
  <si>
    <t>LDOC206W</t>
  </si>
  <si>
    <t>OC206 WH CUBIERTA ABIERTA</t>
  </si>
  <si>
    <t>LDOC207W</t>
  </si>
  <si>
    <t>OC207 WH CUBIERTA ABIERTA</t>
  </si>
  <si>
    <t>LDOC208W</t>
  </si>
  <si>
    <t>OC208 WH CUBIERTA ABIERTA</t>
  </si>
  <si>
    <t>LDOC210W</t>
  </si>
  <si>
    <t>OC210 WH CUBIERTA ABIERTA</t>
  </si>
  <si>
    <t>HUP250X1</t>
  </si>
  <si>
    <t>P250X1 CARCASA HC PI</t>
  </si>
  <si>
    <t>LDSBLP205-16</t>
  </si>
  <si>
    <t>SBLP205-16G CHUMACERA FE PI 1"</t>
  </si>
  <si>
    <t>LDSFB205</t>
  </si>
  <si>
    <t>SFB205 CARCASA SS 3H PA</t>
  </si>
  <si>
    <t>LDSFB206</t>
  </si>
  <si>
    <t>SFB206 CARCASA SS 3H PA</t>
  </si>
  <si>
    <t>LDSFC205</t>
  </si>
  <si>
    <t>SFC205 CARCASA SS CIR 4H PA</t>
  </si>
  <si>
    <t>LDSFC206</t>
  </si>
  <si>
    <t>SFC206 CARCASA SS CIR 4H PA</t>
  </si>
  <si>
    <t>LDSFL208</t>
  </si>
  <si>
    <t>SFL208 CARCASA SS 2H PA</t>
  </si>
  <si>
    <t>LDSPA208A</t>
  </si>
  <si>
    <t>SPA208A CARCASA S/ALA SS PI</t>
  </si>
  <si>
    <t>LDSSUCF206-19</t>
  </si>
  <si>
    <t>SSUCF206-19 CHUMACERA SS 4H PA 1.3/16"</t>
  </si>
  <si>
    <t>LDSSUCP205</t>
  </si>
  <si>
    <t>SSUCP205 CHUMACERA SS PI 25MM</t>
  </si>
  <si>
    <t>LDSUC207-21</t>
  </si>
  <si>
    <t>SUC207-21 RODAMIENTO SS 1.5/16"</t>
  </si>
  <si>
    <t>LDSUC209-28</t>
  </si>
  <si>
    <t>SUC209-28 RODAMIENTO SS 1.3/4"</t>
  </si>
  <si>
    <t>LDSUC212-36</t>
  </si>
  <si>
    <t>SUC212-36 RODAMIENTO SS 2.1/4"</t>
  </si>
  <si>
    <t>LDTPFB208</t>
  </si>
  <si>
    <t>TP-FB208 CARCASA TP 3H PA</t>
  </si>
  <si>
    <t>LDTPFL210</t>
  </si>
  <si>
    <t>TP-FL210 CARCASA TP 2H PA</t>
  </si>
  <si>
    <t>LDTPP210</t>
  </si>
  <si>
    <t>TP-P210 CARCASA TP PI</t>
  </si>
  <si>
    <t>LDTPP211</t>
  </si>
  <si>
    <t>TP-P211 CARCASA TP PI</t>
  </si>
  <si>
    <t>LDTPPA205</t>
  </si>
  <si>
    <t>TP-PA205 CARCASA TP S/ALA PI</t>
  </si>
  <si>
    <t>LDTPSUCP210-32</t>
  </si>
  <si>
    <t>TP-SUCP210-32 CHUMACERA TP PI 2"</t>
  </si>
  <si>
    <t>NTNUC207</t>
  </si>
  <si>
    <t>UC207-104 RODAMIENTO FE 1.1/4"</t>
  </si>
  <si>
    <t>LDUCF204-12</t>
  </si>
  <si>
    <t>UCF204-12 CHUMACERA FE 4H PA 3/4"</t>
  </si>
  <si>
    <t>LDUCF205-16</t>
  </si>
  <si>
    <t>UCF205-16 CHUMACERA FE 4H PA 1"</t>
  </si>
  <si>
    <t>LDUCF206-19</t>
  </si>
  <si>
    <t>UCF206-19 CHUMACERA FE 4H PA 1.3/16"</t>
  </si>
  <si>
    <t>LDUCF206-20</t>
  </si>
  <si>
    <t>UCF206-20  CHUMACERA FE 4H PA 1.1/4"</t>
  </si>
  <si>
    <t>LDUCF207-20</t>
  </si>
  <si>
    <t>UCF207-20 CHUMACERA FE 4H PA 1.1/4"</t>
  </si>
  <si>
    <t>LDUCF208-24</t>
  </si>
  <si>
    <t>UCF208-24 CHUMACERA FE 4H PA 1.1/2"</t>
  </si>
  <si>
    <t>LDUCF209-28</t>
  </si>
  <si>
    <t>UCF209-28 CHUMACERA FE 4H PA 1.3/4"</t>
  </si>
  <si>
    <t>LDUCFB205-16</t>
  </si>
  <si>
    <t>UCFB205-16 CHUMACERA FE 3H PA 1"</t>
  </si>
  <si>
    <t>LDUCFB207-20</t>
  </si>
  <si>
    <t>UCFB207-20 CHUMACERA FE 3H PA 1.1/4"</t>
  </si>
  <si>
    <t>LDUCFL201-8</t>
  </si>
  <si>
    <t>UCFL201-8 CHUMACERA FE 2H PA 1/2"</t>
  </si>
  <si>
    <t>LDUCFL204-12</t>
  </si>
  <si>
    <t>UCFL204-12 CHUMACERA FE 2H PA 3/4"</t>
  </si>
  <si>
    <t>LDUCP201-8</t>
  </si>
  <si>
    <t>UCP201-8 CHUMACERA FE PI 1/2"</t>
  </si>
  <si>
    <t>LDUCP204-12</t>
  </si>
  <si>
    <t>UCP204-12 CHUMACERA FE PI 3/4"</t>
  </si>
  <si>
    <t>LDUCP206-19</t>
  </si>
  <si>
    <t>UCP206-19 CHUMACERA FE PI 1.3/16"</t>
  </si>
  <si>
    <t>LDUCP207-20</t>
  </si>
  <si>
    <t>UCP207-20 CHUMACERA FE PI 1.1/4"</t>
  </si>
  <si>
    <t>LDUCP208-24</t>
  </si>
  <si>
    <t>UCP208-24 CHUMACERA FE PI 1.1/2"</t>
  </si>
  <si>
    <t>LDUCP210-32</t>
  </si>
  <si>
    <t>UCP210-32 CHUMACERA FE PI 2"</t>
  </si>
  <si>
    <t>LDUCT204-12</t>
  </si>
  <si>
    <t>UCT204-12 CHUMACERA FE TENS 3/4"</t>
  </si>
  <si>
    <t>LDUCT205-16</t>
  </si>
  <si>
    <t>UCT205-16 CHUMACERA FE TENS 1"</t>
  </si>
  <si>
    <t>PI1ESOP302010</t>
  </si>
  <si>
    <t>ABRAZADERA FIJACION 6MM</t>
  </si>
  <si>
    <t>COMPONENTES P/SISTEMAS Y TRANSP.</t>
  </si>
  <si>
    <t>PI1XCAB303001</t>
  </si>
  <si>
    <t>CABLE CANAL A74</t>
  </si>
  <si>
    <t>GR1K681</t>
  </si>
  <si>
    <t>COLLAR EJE SS 3/4" 1L681</t>
  </si>
  <si>
    <t>CC17011VR50045</t>
  </si>
  <si>
    <t>CURVA 1701 1VIA R=500 45º</t>
  </si>
  <si>
    <t>CC880K3251V500</t>
  </si>
  <si>
    <t>CURVA 880 K325 1VIA R=500 90º</t>
  </si>
  <si>
    <t>CC800K325R6VR50</t>
  </si>
  <si>
    <t>CURVA 880 K325 A/R 6VIAS R=500 90º</t>
  </si>
  <si>
    <t>PI1FELE301001</t>
  </si>
  <si>
    <t>ELEMENTO TENSOR CHICO</t>
  </si>
  <si>
    <t>GR4X630</t>
  </si>
  <si>
    <t>ESFERA PLAST 1" 4X630</t>
  </si>
  <si>
    <t>GR5A013</t>
  </si>
  <si>
    <t>ESFERA PLAST 1.3/8" 5A013</t>
  </si>
  <si>
    <t>GR4X500</t>
  </si>
  <si>
    <t>ESFERA PLAST 3/4" 4X500</t>
  </si>
  <si>
    <t>ESFERASS1</t>
  </si>
  <si>
    <t>ESFERA SS 1"</t>
  </si>
  <si>
    <t>ESFERASS1/2</t>
  </si>
  <si>
    <t>ESFERA SS 1/2"</t>
  </si>
  <si>
    <t>ESFERASS3/4</t>
  </si>
  <si>
    <t>ESFERA SS 3/4"</t>
  </si>
  <si>
    <t>ESFERASS3/8</t>
  </si>
  <si>
    <t>ESFERA SS 3/8"</t>
  </si>
  <si>
    <t>ESFERASS5/8</t>
  </si>
  <si>
    <t>ESFERA SS 5/8"</t>
  </si>
  <si>
    <t>RS187J12/300NC</t>
  </si>
  <si>
    <t>GRAPAS GALV 12" RS187</t>
  </si>
  <si>
    <t>PI1GBAS303010</t>
  </si>
  <si>
    <t>INSERTO M-16, D-48.3MM (REDON)</t>
  </si>
  <si>
    <t>PI1GBAS302011</t>
  </si>
  <si>
    <t>INSERTO P/CAÑO CUAD. 40X40 P1.5</t>
  </si>
  <si>
    <t>PI1EPAL303010</t>
  </si>
  <si>
    <t>PALETA DETECTORA DE BOTELLA D13</t>
  </si>
  <si>
    <t>PI1FPAT301001</t>
  </si>
  <si>
    <t>PATIN DESLIZAMIENTO P/RETORNO DER/IZ(J)</t>
  </si>
  <si>
    <t>REX834.12.793</t>
  </si>
  <si>
    <t>PEINE REXNORD DTS-C2000-1005 190X152MM WH</t>
  </si>
  <si>
    <t>GRPOVAL</t>
  </si>
  <si>
    <t>PERILLA PLAST OVAL</t>
  </si>
  <si>
    <t>GR4X819</t>
  </si>
  <si>
    <t>PERILLA PLAST RED  1.3/4" 4X819</t>
  </si>
  <si>
    <t>INA6H7A1XXC3MS</t>
  </si>
  <si>
    <t>PERNO P/UÑETA NY G.</t>
  </si>
  <si>
    <t>PERNO1/4X2.1/2</t>
  </si>
  <si>
    <t>PERNO PLAST. AVELL. 1/4" X2.1/2" C/T</t>
  </si>
  <si>
    <t>PERNO1/4X3/4</t>
  </si>
  <si>
    <t>PERNO PLAST. AVELL. 1/4X3/4 C/T</t>
  </si>
  <si>
    <t>PI1FPUN301010</t>
  </si>
  <si>
    <t>PUNTERA PATIN RETORNO DE CADENA</t>
  </si>
  <si>
    <t>RET471224</t>
  </si>
  <si>
    <t>RETENEDOR NATIONAL 1"X1.1/2"X1/4" 9878</t>
  </si>
  <si>
    <t>RET471765</t>
  </si>
  <si>
    <t>RETENEDOR NATIONAL 1.3/16"X2"X1/4" 11801</t>
  </si>
  <si>
    <t>RET470954</t>
  </si>
  <si>
    <t>RETENEDOR NATIONAL 3/4"X1.1/4"X1/4"</t>
  </si>
  <si>
    <t>RET9879</t>
  </si>
  <si>
    <t>RETENEDOR TTO 1"X1.1/2"X1/4" 9879</t>
  </si>
  <si>
    <t>RET1.3/16X2X1/4</t>
  </si>
  <si>
    <t>RETENEDOR TTO 1.3/16"X2"X1/4"</t>
  </si>
  <si>
    <t>PI1GTAZ701075</t>
  </si>
  <si>
    <t>ROTULA PLAST C/ALMA GALV 16X60</t>
  </si>
  <si>
    <t>PI1FANI302050</t>
  </si>
  <si>
    <t>SEGURO PIAZ RED E/R 3/4"</t>
  </si>
  <si>
    <t>UN95PA6SQ1</t>
  </si>
  <si>
    <t>SEGURO UNI PLAST CUAD E/C 1"</t>
  </si>
  <si>
    <t>PI1GSOP302100</t>
  </si>
  <si>
    <t>SOPORTE CAÑO LAT C/4 AGUJ D48.3MM</t>
  </si>
  <si>
    <t>PI1EMOR303403</t>
  </si>
  <si>
    <t>TAPA P/PERFIL H78</t>
  </si>
  <si>
    <t>PI1GTAZ301030</t>
  </si>
  <si>
    <t>TAZOLETA PLAST LISA D60</t>
  </si>
  <si>
    <t>PI1GMOR303015</t>
  </si>
  <si>
    <t>UNION DE CAÑO T48.3X42.4</t>
  </si>
  <si>
    <t>INA4F4R2XXXFLS</t>
  </si>
  <si>
    <t>UÑETA TRANSF. S900 G. 6"</t>
  </si>
  <si>
    <t>GR1X558</t>
  </si>
  <si>
    <t>VOLANTE DE HIERRO 2 PUNTAS GR1X558</t>
  </si>
  <si>
    <t>GR4R996</t>
  </si>
  <si>
    <t>VOLANTE DE HIERRO 4R996</t>
  </si>
  <si>
    <t>CHAVSSC1/4</t>
  </si>
  <si>
    <t>CHAVETA SS CUAD. 1/4"</t>
  </si>
  <si>
    <t>CHAVSSC10</t>
  </si>
  <si>
    <t>CHAVETA SS CUAD. 10MM</t>
  </si>
  <si>
    <t>CHAVSSC3/8</t>
  </si>
  <si>
    <t>CHAVETA SS CUAD. 3/8"</t>
  </si>
  <si>
    <t>CHAVSSC5/16</t>
  </si>
  <si>
    <t>CHAVETA SS CUAD. 5/16"</t>
  </si>
  <si>
    <t>CHAVSSC6</t>
  </si>
  <si>
    <t>CHAVETA SS CUAD. 6MM</t>
  </si>
  <si>
    <t>CHAVSSC8</t>
  </si>
  <si>
    <t>CHAVETA SS CUAD. 8MM</t>
  </si>
  <si>
    <t>QDEJEPER1.1/4</t>
  </si>
  <si>
    <t>EJE PE UHMW RED 1.1/4"</t>
  </si>
  <si>
    <t>USRX-S160</t>
  </si>
  <si>
    <t>US CODIFICADORA HITACHI RX-SD160W</t>
  </si>
  <si>
    <t>MAQUINAS DE ALQUILER</t>
  </si>
  <si>
    <t>HIUX2-D150W</t>
  </si>
  <si>
    <t>CODIFICADORA HITACHI HIGH SPEED UX2-D150W</t>
  </si>
  <si>
    <t>HIRX2-SD160W-6M</t>
  </si>
  <si>
    <t>CODIFICADORA HITACHI RX2-SD160W-6M</t>
  </si>
  <si>
    <t>HIUX2-D160W-E</t>
  </si>
  <si>
    <t>CODIFICADORA HITACHI TS UX2-D160W-E</t>
  </si>
  <si>
    <t>HIUX-B160W</t>
  </si>
  <si>
    <t>CODIFICADORA HITACHI UX-B160W</t>
  </si>
  <si>
    <t>HIUX-B160WG</t>
  </si>
  <si>
    <t>CODIFICADORA HITACHI UX-B160WG</t>
  </si>
  <si>
    <t>HIUX-B160WP</t>
  </si>
  <si>
    <t>CODIFICADORA HITACHI UX-B160WP</t>
  </si>
  <si>
    <t>HIUX-D140W</t>
  </si>
  <si>
    <t>CODIFICADORA HITACHI UX-D140W</t>
  </si>
  <si>
    <t>HIUX-D161WP</t>
  </si>
  <si>
    <t>CODIFICADORA HITACHI UX-D161WP</t>
  </si>
  <si>
    <t>HIUX-D860WP</t>
  </si>
  <si>
    <t>CODIFICADORA HITACHI UX-D860WP</t>
  </si>
  <si>
    <t>IN1600EACA6X2</t>
  </si>
  <si>
    <t>EMPUJADOR S1600 AC A. 6" ANC X 2" ALT</t>
  </si>
  <si>
    <t>COE325PPA12D</t>
  </si>
  <si>
    <t>EMPUJADOR S325 PP A. 12" I/1.1/2" DER</t>
  </si>
  <si>
    <t>COE325PPA12I</t>
  </si>
  <si>
    <t>EMPUJADOR S325 PP A. 12" I/1.1/2" IZQ</t>
  </si>
  <si>
    <t>COE325PPA5.5C</t>
  </si>
  <si>
    <t>EMPUJADOR S325 PP A. 5.1/2" CT</t>
  </si>
  <si>
    <t>COE325PPA7.5C</t>
  </si>
  <si>
    <t>EMPUJADOR S325 PP A. 7.1/2" CT</t>
  </si>
  <si>
    <t>COS325FGPPA2</t>
  </si>
  <si>
    <t>MODULO CT S325 FG PP A. 5"</t>
  </si>
  <si>
    <t>COS325FGPPA7CT</t>
  </si>
  <si>
    <t>MODULO CT S325 FG PP A. 7"</t>
  </si>
  <si>
    <t>IN1100MFGACA4LT</t>
  </si>
  <si>
    <t>MODULO S1100 FG AC A. 4" LT</t>
  </si>
  <si>
    <t>IN1100MFGACA6CT</t>
  </si>
  <si>
    <t>MODULO S1100 FG AC A. 6" CT</t>
  </si>
  <si>
    <t>IN200MOGPPB12CT</t>
  </si>
  <si>
    <t>MODULO S200 OG PP B. 12"</t>
  </si>
  <si>
    <t>IN800MFTPPPB4LT</t>
  </si>
  <si>
    <t>MODULO S800 FT PERF. PP B. 4" LT</t>
  </si>
  <si>
    <t>IN800MFTPPPB6CT</t>
  </si>
  <si>
    <t>MODULO S800 FT PERF. PP B. 6" CT</t>
  </si>
  <si>
    <t>IN800MFTPPPB6LT</t>
  </si>
  <si>
    <t>MODULO S800 FT PERF. PP B. 6" LT</t>
  </si>
  <si>
    <t>IN800MFTPPB4LT</t>
  </si>
  <si>
    <t>MODULO S800 FT PP B. 4" LT</t>
  </si>
  <si>
    <t>IN900MFGPPA12CT</t>
  </si>
  <si>
    <t>MODULO S900 FG PP A. 12" CT</t>
  </si>
  <si>
    <t>IN900MFGPPA2LT</t>
  </si>
  <si>
    <t>MODULO S900 FG PP A. 2" LT</t>
  </si>
  <si>
    <t>IN900MFGPPA3LT</t>
  </si>
  <si>
    <t>MODULO S900 FG PP A. 3" LT</t>
  </si>
  <si>
    <t>IN900MFGPPA4LT</t>
  </si>
  <si>
    <t>MODULO S900 FG PP A. 4" LT</t>
  </si>
  <si>
    <t>IN900MFGPPA8LT</t>
  </si>
  <si>
    <t>MODULO S900 FG PP A. 8" LT</t>
  </si>
  <si>
    <t>IN900MFGPPB12CT</t>
  </si>
  <si>
    <t>MODULO S900 FG PP B. 12" CT</t>
  </si>
  <si>
    <t>IN900MFGPPB6CT</t>
  </si>
  <si>
    <t>MODULO S900 FG PP B. 6" CT</t>
  </si>
  <si>
    <t>IN900MOGPPA2LT</t>
  </si>
  <si>
    <t>MODULO S900 OG PP A. 2" LT</t>
  </si>
  <si>
    <t>IN900MOGPPB12CT</t>
  </si>
  <si>
    <t>MODULO S900 OG PP B. 12" CT</t>
  </si>
  <si>
    <t>IN900MOGPPB3LT</t>
  </si>
  <si>
    <t>MODULO S900 OG PP B. 3" LT</t>
  </si>
  <si>
    <t>IN900MOGPPB4LT</t>
  </si>
  <si>
    <t>MODULO S900 OG PP B. 4" LT</t>
  </si>
  <si>
    <t>COM325FGPPA12D</t>
  </si>
  <si>
    <t>MODULO TM S325 FG PP A. 12" DER</t>
  </si>
  <si>
    <t>COM325FGPPA12I</t>
  </si>
  <si>
    <t>MODULO TM S325 FG PP A. 12" IZQ</t>
  </si>
  <si>
    <t>EUVEMTPPB</t>
  </si>
  <si>
    <t>PASADOR PP/B 8MM</t>
  </si>
  <si>
    <t>SPS8BT</t>
  </si>
  <si>
    <t>CARBON SPG P/MOTORES S8D25</t>
  </si>
  <si>
    <t>SPS9DS</t>
  </si>
  <si>
    <t>CARBON SPG P/MOTORES S9D90</t>
  </si>
  <si>
    <t>DA15DVE</t>
  </si>
  <si>
    <t>CONTROL DE VELOCIDAD 15DVE 120/240VAC, 90/180DC 1/3HP</t>
  </si>
  <si>
    <t>SPSUA90IA-V12A</t>
  </si>
  <si>
    <t>CONTROL DE VELOCIDAD 90W V12A SUA90IA-V12A</t>
  </si>
  <si>
    <t>AUGS1-20P2</t>
  </si>
  <si>
    <t>CONTROL DE VELOCIDAD GS1-20P2 1/4HP, 230VAC, IN MON/TRIF, OUT 3PH</t>
  </si>
  <si>
    <t>AUGS21-20P5</t>
  </si>
  <si>
    <t>CONTROL DE VELOCIDAD GS21-20P5 1/2HP, 230VAC, IN MON/TRIF, OUT 3PH</t>
  </si>
  <si>
    <t>AUGS21-22P0</t>
  </si>
  <si>
    <t>CONTROL DE VELOCIDAD GS21-22P0 2HP, 230VAC, IN MON/TRIF, OUT 3PH</t>
  </si>
  <si>
    <t>AUGS21-23P0</t>
  </si>
  <si>
    <t>CONTROL DE VELOCIDAD GS21-23P0 3HP, 230VAC, IN MON/TRIF, OUT 3PH</t>
  </si>
  <si>
    <t>HIC1-004MFU2</t>
  </si>
  <si>
    <t>CONTROL DE VELOCIDAD HIT 1/2HP, 115V</t>
  </si>
  <si>
    <t>HIC1-004SFU2</t>
  </si>
  <si>
    <t>CONTROL DE VELOCIDAD HIT 1/2HP, 230V, 1PH</t>
  </si>
  <si>
    <t>HIC1-002SFU2</t>
  </si>
  <si>
    <t>CONTROL DE VELOCIDAD HIT 1/4HP, 230V, 1PH</t>
  </si>
  <si>
    <t>HIC1-007SFU2</t>
  </si>
  <si>
    <t>CONTROL DE VELOCIDAD HIT 1HP, 230V, 1PH</t>
  </si>
  <si>
    <t>SISINAMICSG110</t>
  </si>
  <si>
    <t>CONTROL DE VELOCIDAD SIEMENS MOD SINAMICS G110</t>
  </si>
  <si>
    <t>SPS9I200GT</t>
  </si>
  <si>
    <t>MOTOR AC 1350RPM 200W 220V S9I200GT</t>
  </si>
  <si>
    <t>SPS9I90GEH-V12</t>
  </si>
  <si>
    <t>MOTOR AC 90-1700RPM 115V 1.60A S9I90GEH-V12</t>
  </si>
  <si>
    <t>BAVWDM3546</t>
  </si>
  <si>
    <t>MOTOR BALDOR FE 1HP, 1740RPM, 230/460 V, TENV, 56C</t>
  </si>
  <si>
    <t>BAM3610T</t>
  </si>
  <si>
    <t>MOTOR BALDOR FE 3HP, 3450RPM, 230/460 V, TEFC, 182T</t>
  </si>
  <si>
    <t>SPS9D200-90CH</t>
  </si>
  <si>
    <t>MOTOR DC 2670RPM 200W 90V S9D200-90CH</t>
  </si>
  <si>
    <t>SPS9D200-90K</t>
  </si>
  <si>
    <t>MOTOR DC 2670RPM 200W 90V S9D200-90K</t>
  </si>
  <si>
    <t>SPS9D300-90CH</t>
  </si>
  <si>
    <t>MOTOR DC 2700RPM 300W 90V S9D300-90CH</t>
  </si>
  <si>
    <t>SPS9D300-90HH</t>
  </si>
  <si>
    <t>MOTOR DC 2700RPM 300W 90V S9D300-90HH</t>
  </si>
  <si>
    <t>SPS9D300-90K</t>
  </si>
  <si>
    <t>MOTOR DC 2700RPM 300W 90V S9D300-90K</t>
  </si>
  <si>
    <t>SPS9D90-90CH</t>
  </si>
  <si>
    <t>MOTOR DC 2800RPM 90W 90V S9D90-90CH</t>
  </si>
  <si>
    <t>SPS8D25-90A</t>
  </si>
  <si>
    <t>MOTOR DC 3200RPM 25W 90V S8D25-90A</t>
  </si>
  <si>
    <t>SPS9D60-90CH</t>
  </si>
  <si>
    <t>MOTOR DC 90MM 60W 90VDC S9D60-90CH</t>
  </si>
  <si>
    <t>LE120043</t>
  </si>
  <si>
    <t>MOTOR LEESON 1HP 1140RPM 115/108-230V TEFC 145T</t>
  </si>
  <si>
    <t>LE980000</t>
  </si>
  <si>
    <t>MOTOR LEESON ALUM 0.5HP 1750RPM 90V TEFC</t>
  </si>
  <si>
    <t>LE191567</t>
  </si>
  <si>
    <t>MOTOR LEESON SS 1.5HP 1750RPM 208-230/460V TEFC 56C</t>
  </si>
  <si>
    <t>LE191575</t>
  </si>
  <si>
    <t>MOTOR LEESON SS 1HP 1750/1450RPM 230/460V TENV 56C</t>
  </si>
  <si>
    <t>LE191564</t>
  </si>
  <si>
    <t>MOTOR LEESON SS 1HP 1750RPM 230/460V TEFC 56C E/ 5/8"</t>
  </si>
  <si>
    <t>RE191565</t>
  </si>
  <si>
    <t>MOTOR LEESON SS 1HP 1800RPM 230/460V TEFC 143TC</t>
  </si>
  <si>
    <t>LE191569</t>
  </si>
  <si>
    <t>MOTOR LEESON SS 2HP 1750RPM 230/460V TEFC 56C</t>
  </si>
  <si>
    <t>GR4LW98</t>
  </si>
  <si>
    <t>MOTORREDUCTOR 1.1/2HP 3 PHASE AC 4LW98</t>
  </si>
  <si>
    <t>GR4ZJ52</t>
  </si>
  <si>
    <t>MOTORREDUCTOR 1/4HP 61RPM 220V AC TRIF 4ZJ52</t>
  </si>
  <si>
    <t>CSM0.12HP59RPM2</t>
  </si>
  <si>
    <t>MOTORREDUCTOR CSM 0.12HP 59RPM 220/440 TRIF</t>
  </si>
  <si>
    <t>BAMOTGCF5X02AB</t>
  </si>
  <si>
    <t>REDUCTOR BALDOR GCF5X02AB RATIO FX2-05 140TC</t>
  </si>
  <si>
    <t>LES183006900</t>
  </si>
  <si>
    <t>REDUCTOR IRONMAN SS-BMQ818-50-D-56 S183006900</t>
  </si>
  <si>
    <t>UN</t>
  </si>
  <si>
    <t>LES183004500</t>
  </si>
  <si>
    <t>REDUCTOR IRONMAN SS-BMQ818-50-L-56 S183004500</t>
  </si>
  <si>
    <t>LES213006500</t>
  </si>
  <si>
    <t>REDUCTOR IRONMAN SS-BMQ821-20-D-56 S213006500</t>
  </si>
  <si>
    <t>LES213006900</t>
  </si>
  <si>
    <t>REDUCTOR IRONMAN SS-BMQ821-50-D-56 S213006900</t>
  </si>
  <si>
    <t>LES243003100</t>
  </si>
  <si>
    <t>REDUCTOR IRONMAN SS-BMQ824-30-D-56 S243003100</t>
  </si>
  <si>
    <t>LES243003300</t>
  </si>
  <si>
    <t>REDUCTOR IRONMAN SS-BMQ824-50-D-56 S243003300</t>
  </si>
  <si>
    <t>RES243000900</t>
  </si>
  <si>
    <t>REDUCTOR IRONMAN SS-BMQ824-50-L-56 S243000900</t>
  </si>
  <si>
    <t>LES243002100</t>
  </si>
  <si>
    <t>REDUCTOR IRONMAN SS-BMQ824-50-R-56 S243002100</t>
  </si>
  <si>
    <t>LES263003300</t>
  </si>
  <si>
    <t>REDUCTOR IRONMAN SS-BMQ826-50-D-56 S263003300</t>
  </si>
  <si>
    <t>LES183046516</t>
  </si>
  <si>
    <t>REDUCTOR IRONMAN SS-HMQ818-50-H1-56-16 S183046516</t>
  </si>
  <si>
    <t>LES213046516</t>
  </si>
  <si>
    <t>REDUCTOR IRONMAN SS-HMQ821-50-H1-56-16 S213046516</t>
  </si>
  <si>
    <t>MOMK4478</t>
  </si>
  <si>
    <t>REDUCTOR MORSE FE 20GCT 50LR 56C</t>
  </si>
  <si>
    <t>SPPCMRV03010090</t>
  </si>
  <si>
    <t>REDUCTOR SPG ALUM 30 I:100 E/H 14MM</t>
  </si>
  <si>
    <t>SPPCMRV03030901</t>
  </si>
  <si>
    <t>REDUCTOR SPG ALUM 30 I:30 E/H 14MM</t>
  </si>
  <si>
    <t>SPPCMRV03060901</t>
  </si>
  <si>
    <t>REDUCTOR SPG ALUM 30 I:60 E/H 14MM</t>
  </si>
  <si>
    <t>SPPCMRV03080901</t>
  </si>
  <si>
    <t>REDUCTOR SPG ALUM 30 I:80 E/H 14MM</t>
  </si>
  <si>
    <t>SPS8GX10B</t>
  </si>
  <si>
    <t>REDUCTOR SPG I:10 E/PAR. S8GX10B</t>
  </si>
  <si>
    <t>SPS9GX10BH</t>
  </si>
  <si>
    <t>REDUCTOR SPG I:10 E/PAR. S9GX10BH</t>
  </si>
  <si>
    <t>SPSC9HC100</t>
  </si>
  <si>
    <t>REDUCTOR SPG I:100 E/H SC9HC100</t>
  </si>
  <si>
    <t>SPS8KA100</t>
  </si>
  <si>
    <t>REDUCTOR SPG I:100 S/BRIDA S8KA100</t>
  </si>
  <si>
    <t>SPS9KC100BH</t>
  </si>
  <si>
    <t>REDUCTOR SPG I:100 S/BRIDA S9KC100BH</t>
  </si>
  <si>
    <t>SPS9KH100BH</t>
  </si>
  <si>
    <t>REDUCTOR SPG I:100 S/BRIDA S9KH100BH</t>
  </si>
  <si>
    <t>SPSC9HC150</t>
  </si>
  <si>
    <t>REDUCTOR SPG I:150 E/H SC9HC150</t>
  </si>
  <si>
    <t>SPSC9HC36</t>
  </si>
  <si>
    <t>REDUCTOR SPG I:36 E/H SC9HC36</t>
  </si>
  <si>
    <t>SPSC9HC50</t>
  </si>
  <si>
    <t>REDUCTOR SPG I:50 E/H SC9HC50</t>
  </si>
  <si>
    <t>SPS9KH50B</t>
  </si>
  <si>
    <t>REDUCTOR SPG I:50 S/BRIDA S9KH50B</t>
  </si>
  <si>
    <t>SPSC9HC60</t>
  </si>
  <si>
    <t>REDUCTOR SPG I:60 E/H SC9HC60</t>
  </si>
  <si>
    <t>SPSC9HB60</t>
  </si>
  <si>
    <t>REDUCTOR SPG I:60 S/BRIDA SC9HB60</t>
  </si>
  <si>
    <t>SPSC8HA60</t>
  </si>
  <si>
    <t>REDUCTOR SPG I:60 SC8HA60</t>
  </si>
  <si>
    <t>SPSC9HC75</t>
  </si>
  <si>
    <t>REDUCTOR SPG I:75 E/H SC9HC75</t>
  </si>
  <si>
    <t>SPSC8HA75</t>
  </si>
  <si>
    <t>REDUCTOR SPG I:75 SC8HA75</t>
  </si>
  <si>
    <t>SPSC9HC90</t>
  </si>
  <si>
    <t>REDUCTOR SPG I:90 E/H SC9HC90</t>
  </si>
  <si>
    <t>SPSC9HC30</t>
  </si>
  <si>
    <t>REDUCTOR SPGI I:30 E/H SC9HC30</t>
  </si>
  <si>
    <t>DA153D-200C-T</t>
  </si>
  <si>
    <t>TARJETA DE CONTROL DE VELOCIDAD 153D-200C 120/240V 1/4-2HP</t>
  </si>
  <si>
    <t>DA125DV-C-K</t>
  </si>
  <si>
    <t>TARJETA DE CONTROL DE VELOCIDAD DA125DV 1/8-1/2HP</t>
  </si>
  <si>
    <t>BE1100H075</t>
  </si>
  <si>
    <t>BANDA CERRADA SINCRONICA 1100H075 NG-MR393</t>
  </si>
  <si>
    <t>OTRAS BANDAS</t>
  </si>
  <si>
    <t>BE480L075</t>
  </si>
  <si>
    <t>BANDA CERRADA SINCRONICA 480L075 NG-GS</t>
  </si>
  <si>
    <t>BANCORRU14.5</t>
  </si>
  <si>
    <t>BANDA DE CAUCHO CORRUGADA 3 CAPAS 14.5"</t>
  </si>
  <si>
    <t>510H075</t>
  </si>
  <si>
    <t>BANDA SINCRONA 510H075</t>
  </si>
  <si>
    <t>BE660H075</t>
  </si>
  <si>
    <t>BANDA SINCRONA 660H075 P/TRANSP. SUPERIOR</t>
  </si>
  <si>
    <t>CORVRCW9.5</t>
  </si>
  <si>
    <t>CORDON VOLTA RCW 9.5MM</t>
  </si>
  <si>
    <t>CABLEPODER90</t>
  </si>
  <si>
    <t>CABLE DE PODER 90CMS</t>
  </si>
  <si>
    <t>AUDPM2-AT-HL</t>
  </si>
  <si>
    <t>PANEL MEDIDOR DIGITAL ANALOGO DPM2-AT-HL</t>
  </si>
  <si>
    <t>SELSILVIT65</t>
  </si>
  <si>
    <t>SELLO TIPO 40L SIL/SIL/VIT P/E 65MM</t>
  </si>
  <si>
    <t>SELSILVIT30MM</t>
  </si>
  <si>
    <t>SELLO TIPO M7N SIL/SIL/VIT P/E 30MM</t>
  </si>
  <si>
    <t>SELSILVIT32MM</t>
  </si>
  <si>
    <t>SELLO TIPO M7N SIL/SIL/VIT P/E 32MM</t>
  </si>
  <si>
    <t>PI1APRF202222</t>
  </si>
  <si>
    <t>BARANDA PIAZ H78 TEUVAX</t>
  </si>
  <si>
    <t>PI1APRF202606</t>
  </si>
  <si>
    <t>PERFIL PIAZ PI45 LAT</t>
  </si>
  <si>
    <t>PI1APRF202302</t>
  </si>
  <si>
    <t>PERFIL PIAZ U31 APM EXTRUDADO C/V</t>
  </si>
  <si>
    <t>GRL110Y</t>
  </si>
  <si>
    <t>PIÑON CONICO 16D L110Y</t>
  </si>
  <si>
    <t>X0036TBIKJ</t>
  </si>
  <si>
    <t>PIÑON CONICO 16T X0036TBIKJ</t>
  </si>
  <si>
    <t>X003C8VW4</t>
  </si>
  <si>
    <t>PIÑON CONICO 20T X003C8VW4L</t>
  </si>
  <si>
    <t>PIÑFE40B10</t>
  </si>
  <si>
    <t>PIÑON FE 10 DIENTES PASO 40</t>
  </si>
  <si>
    <t>PIÑFE35B22</t>
  </si>
  <si>
    <t>PIÑON FE 22 DIENTES PASO 35</t>
  </si>
  <si>
    <t>PIÑFE35B28</t>
  </si>
  <si>
    <t>PIÑON FE 28 DIENTES PASO 35</t>
  </si>
  <si>
    <t>VEPIÑSS2050B24</t>
  </si>
  <si>
    <t>PIÑON SS 24 DIENTES PASO 2050 VE</t>
  </si>
  <si>
    <t>CP800ACN6.5EC2.</t>
  </si>
  <si>
    <t>PIÑON 800 AC/N Z10 E/C 2.5"</t>
  </si>
  <si>
    <t>EUE30Z11R381ACB</t>
  </si>
  <si>
    <t>PIÑON E30 AC/B Z11 E/R 1.5"</t>
  </si>
  <si>
    <t>EUE30Z11RCH38AC</t>
  </si>
  <si>
    <t>PIÑON E30 AC/B Z11 E/R 1.5" CHAV.</t>
  </si>
  <si>
    <t>EUE30Z16EC60ACB</t>
  </si>
  <si>
    <t>PI1FPIÑ302500</t>
  </si>
  <si>
    <t>PIÑON PIAZ BIP 815 Z23 D25MM S/CH</t>
  </si>
  <si>
    <t>PI1FPIÑ303010</t>
  </si>
  <si>
    <t>PIÑON PIAZ BIP 815 Z25 D25MM S/CH</t>
  </si>
  <si>
    <t>RECMT029812102</t>
  </si>
  <si>
    <t>PIÑON REGINA 981 Z21 D30MM</t>
  </si>
  <si>
    <t>INS3D1XXCVE7NG</t>
  </si>
  <si>
    <t>PIÑON S100 AC EZ 6.1" E/C 1.5"</t>
  </si>
  <si>
    <t>IN1100ACG3.1EC1</t>
  </si>
  <si>
    <t>PIÑON S1100 AC G. 3.1" E/C 1.5"</t>
  </si>
  <si>
    <t>INS3E1H2CKE7LS</t>
  </si>
  <si>
    <t>PIÑON S1100 AC G. 4.6" E/C 1.5"</t>
  </si>
  <si>
    <t>INS3E1H2CV37LS</t>
  </si>
  <si>
    <t>PIÑON S1100 AC G. 6.1" E/C 1.5"</t>
  </si>
  <si>
    <t>INS3E1XXCVK1 NG</t>
  </si>
  <si>
    <t>PIÑON S1100 AC N. 6.1" E/C 40MM</t>
  </si>
  <si>
    <t>INS3F7XXCRE7NG</t>
  </si>
  <si>
    <t>PIÑON S1500 AC N. 5.7" E/C 1.5"</t>
  </si>
  <si>
    <t>INS3F8G5CYE7NG</t>
  </si>
  <si>
    <t>PIÑON S1600 AC EZ 6.4" E/C 1.5"</t>
  </si>
  <si>
    <t>INS3FBG5CYK1NG</t>
  </si>
  <si>
    <t>PIÑON S1600 AC EZ 6.4" E/C 40MM</t>
  </si>
  <si>
    <t>INS3D2XXDGE7</t>
  </si>
  <si>
    <t>PIÑON S200 AC EZ 10.1" E/C 1.5"</t>
  </si>
  <si>
    <t>INS3D2XXCIE7NG</t>
  </si>
  <si>
    <t>PIÑON S200 AC N. 4" E/C 1.5"</t>
  </si>
  <si>
    <t>INS3F5XXCNE7NG</t>
  </si>
  <si>
    <t>PIÑON S2400 AC N. 5.1" E/C 1.5"</t>
  </si>
  <si>
    <t>INS3ESXXCZE7MV</t>
  </si>
  <si>
    <t>PIÑON S3000 PE N. 6.5" E/C 1.5"</t>
  </si>
  <si>
    <t>INS3E5XXCZK5MV</t>
  </si>
  <si>
    <t>PIÑON S3000 PE N. 6.5" E/R 1.25"</t>
  </si>
  <si>
    <t>INS3E5XXCZH6MV</t>
  </si>
  <si>
    <t>PIÑON S3000 PE N. 6.5" E/R 1.5"</t>
  </si>
  <si>
    <t>INS3D4XXDG14NG</t>
  </si>
  <si>
    <t>PIÑON S400 AC EZ 10.1" E/C 2.5"</t>
  </si>
  <si>
    <t>INS3D4XXCIE7NG</t>
  </si>
  <si>
    <t>PIÑON S400 AC N. 4" E/C 1.5"</t>
  </si>
  <si>
    <t>INS3D4XXCYE7NG</t>
  </si>
  <si>
    <t>PIÑON S400 AC N. 6.4" E/C 1.5"</t>
  </si>
  <si>
    <t>INS3D8G5DHE7NG</t>
  </si>
  <si>
    <t>PIÑON S800 AC EZ 10.3" E/C 1.5"</t>
  </si>
  <si>
    <t>INS3D8G5CPE7NG</t>
  </si>
  <si>
    <t>PIÑON S800 AC EZ 5.2" E/C 1.5"</t>
  </si>
  <si>
    <t>INS3D8G5DCE7NG</t>
  </si>
  <si>
    <t>PIÑON S800 AC EZ 7.7" E/C 1.5"</t>
  </si>
  <si>
    <t>INS3D8G5CIE7NG</t>
  </si>
  <si>
    <t>PIÑON S800 AC N. 4" E/C 1.5"</t>
  </si>
  <si>
    <t>INS3D8G5CIE7MA</t>
  </si>
  <si>
    <t>PIÑON S800 PU G. 4" E/C 1.5"</t>
  </si>
  <si>
    <t>INS3D8G5CPEMA</t>
  </si>
  <si>
    <t>PIÑON S800 PU G. EZ 5.2" E/C 1.5"</t>
  </si>
  <si>
    <t>IN8050PACNEC1.5</t>
  </si>
  <si>
    <t>PIÑON S8050 AC C. EZ 6.5" E/C 1.5"</t>
  </si>
  <si>
    <t>IN900PACEZ4.1EC</t>
  </si>
  <si>
    <t>PIÑON S900 AC EZ 4.1" E/C 40MM</t>
  </si>
  <si>
    <t>INS3D9XXCJH5NG</t>
  </si>
  <si>
    <t>PIÑON S900 AC EZ 4.1" E/R 1"</t>
  </si>
  <si>
    <t>IN900PACEZ6.1EC</t>
  </si>
  <si>
    <t>PIÑON S900 AC EZ 6.1" E/C 40MM</t>
  </si>
  <si>
    <t>IN900PACN4.1ER2</t>
  </si>
  <si>
    <t>PIÑON S900 AC N. 4.1 E/R 25MM</t>
  </si>
  <si>
    <t>INS3D9XXCSH6NG</t>
  </si>
  <si>
    <t>PIÑON S900 AC N. 5.8" E/R 1.5"</t>
  </si>
  <si>
    <t>UN303382021NT</t>
  </si>
  <si>
    <t>PIÑON UNI 3-820-21N</t>
  </si>
  <si>
    <t>PI1FROL303300</t>
  </si>
  <si>
    <t>ROLDANA PIAZ BIP Z25 D25MM</t>
  </si>
  <si>
    <t>RECMT032502502</t>
  </si>
  <si>
    <t>ROLDANA REGINA 815 Z25 D30MM</t>
  </si>
  <si>
    <t>RECMT032502503</t>
  </si>
  <si>
    <t>ROLDANA REGINA 815 Z25 D35MM</t>
  </si>
  <si>
    <t>RECMT032502504</t>
  </si>
  <si>
    <t>ROLDANA REGINA 815 Z25 D40MM</t>
  </si>
  <si>
    <t>UN303382021DIW</t>
  </si>
  <si>
    <t>ROLDANA UNI 3-820-21</t>
  </si>
  <si>
    <t>QDPLAPESL1/2</t>
  </si>
  <si>
    <t>PLANCHA PE SL 1/2"</t>
  </si>
  <si>
    <t>QDPLAPESL3/4</t>
  </si>
  <si>
    <t>PLANCHA PE SL 3/4"</t>
  </si>
  <si>
    <t>WI221113</t>
  </si>
  <si>
    <t>210 CPU 221113</t>
  </si>
  <si>
    <t>WI547131</t>
  </si>
  <si>
    <t>30UM PRE PUMP FILTER 547131</t>
  </si>
  <si>
    <t>HI451594</t>
  </si>
  <si>
    <t>AIR FILTER 451594</t>
  </si>
  <si>
    <t>AUSSF0N0A</t>
  </si>
  <si>
    <t>AMPLIFICADOR DE FIBRA OPTICA NPN SSF-0N-0A</t>
  </si>
  <si>
    <t>AUF1812-0N-0E</t>
  </si>
  <si>
    <t>AMPLIFICADOR FOTOELECTRICO NPN F1812-0N-0E</t>
  </si>
  <si>
    <t>AUKSMAP4H</t>
  </si>
  <si>
    <t>AMPLIFICADOR INDUCTIVO PNP M12 4 PINES</t>
  </si>
  <si>
    <t>TRLERC19626</t>
  </si>
  <si>
    <t>AMPLIFICADOR LERC P/ETIQUETAS NPN/PNP M8 4PINES</t>
  </si>
  <si>
    <t>HI451604</t>
  </si>
  <si>
    <t>APH SHIELD 451604</t>
  </si>
  <si>
    <t>HI451494</t>
  </si>
  <si>
    <t>B PAKING N6 PARTS 451494</t>
  </si>
  <si>
    <t>HI451495</t>
  </si>
  <si>
    <t>B PAKING N7 PARTS 451495</t>
  </si>
  <si>
    <t>WI2L200</t>
  </si>
  <si>
    <t>BANDA ETIQ WILLETT 2L200</t>
  </si>
  <si>
    <t>KE2L140</t>
  </si>
  <si>
    <t>BANDA ETIQ. KETAN 2L140</t>
  </si>
  <si>
    <t>KE130XL037</t>
  </si>
  <si>
    <t>BANDA P/RODILLO KETAN 130XL037</t>
  </si>
  <si>
    <t>WI243141</t>
  </si>
  <si>
    <t>BOQUILLA 60UM 243141</t>
  </si>
  <si>
    <t>AUCFCB120</t>
  </si>
  <si>
    <t>CABLE DE FIBRA P/SENSOR M6 2MT CF-CB1-20</t>
  </si>
  <si>
    <t>KECBSENM8W</t>
  </si>
  <si>
    <t>CABLE KETAN P/SENSOR KD M8W 4P 5M</t>
  </si>
  <si>
    <t>AUCD080A020A1</t>
  </si>
  <si>
    <t>CABLE P/SENSOR 3 PINES M8 HEMBRA IP67 2MT CD08-0A-020-A1</t>
  </si>
  <si>
    <t>AUCD080G050A1</t>
  </si>
  <si>
    <t>CABLE P/SENSOR 4 PINES M8 HEMBRA IP67 5MT CD08-0G-050-A1</t>
  </si>
  <si>
    <t>AUCD080W050C1</t>
  </si>
  <si>
    <t>CABLE P/SENSOR 4 PINES M8 HEMBRA IP67 5MT CD08-0W-050-C1</t>
  </si>
  <si>
    <t>V31WM2MPVC</t>
  </si>
  <si>
    <t>CABLE P/SENSOR DE ETIQUETAS 2M, M8-4P V31WM2MPVC</t>
  </si>
  <si>
    <t>XS2F-M12PUR4S5M</t>
  </si>
  <si>
    <t>CABLE P/SENSOR FOTOELECTRICO XS2F-M12PUR4S5M</t>
  </si>
  <si>
    <t>AU7000089416950</t>
  </si>
  <si>
    <t>CABLE P/SENSOR M8 5 PINES 1.5MT C/NEG 7000-08941-6950150</t>
  </si>
  <si>
    <t>RAD07697</t>
  </si>
  <si>
    <t>CABLE RADWELL P/SENSOR PVC M8 4 PINES V31-WM-2M</t>
  </si>
  <si>
    <t>KECIRCINTK200</t>
  </si>
  <si>
    <t>CIRCUITO INTEGRADO K200</t>
  </si>
  <si>
    <t>HISA-CL-ST-KI</t>
  </si>
  <si>
    <t>CLEANING UNIT - SAFE CLEAN STATION KIT</t>
  </si>
  <si>
    <t>HI451333</t>
  </si>
  <si>
    <t>COVER SWITCH 451333</t>
  </si>
  <si>
    <t>HI451473</t>
  </si>
  <si>
    <t>COVER SWITCH SUB ASSEMBLY RX 451473</t>
  </si>
  <si>
    <t>HI451626</t>
  </si>
  <si>
    <t>CV PARTS -2V 451626</t>
  </si>
  <si>
    <t>HI451610</t>
  </si>
  <si>
    <t>DEFLECTION BASE PARTS 451610</t>
  </si>
  <si>
    <t>HI452128</t>
  </si>
  <si>
    <t>DEFLECTION BASE R2 452128</t>
  </si>
  <si>
    <t>WI143114</t>
  </si>
  <si>
    <t>DIAFRAGMA 143114</t>
  </si>
  <si>
    <t>HI451865</t>
  </si>
  <si>
    <t>DRIVE UNIT PARTS 451865</t>
  </si>
  <si>
    <t>HI451662</t>
  </si>
  <si>
    <t>EZJ102 ASSEMBLY W -TARJETA P/DISPLAY 451662</t>
  </si>
  <si>
    <t>HI451841</t>
  </si>
  <si>
    <t>EZJ112A ASSEMBLY 451841</t>
  </si>
  <si>
    <t>HI452131</t>
  </si>
  <si>
    <t>EZJ132 ASSEMBLY 452131</t>
  </si>
  <si>
    <t>HI451582</t>
  </si>
  <si>
    <t>EZJ98 ASSEMBLY 451582</t>
  </si>
  <si>
    <t>HI451640</t>
  </si>
  <si>
    <t>FAN SUB ASSEMBLY 451640</t>
  </si>
  <si>
    <t>HI451867</t>
  </si>
  <si>
    <t>FILTER CAPSULE PARTS 451867</t>
  </si>
  <si>
    <t>HI451901</t>
  </si>
  <si>
    <t>FILTER JOIN PARTS 451901</t>
  </si>
  <si>
    <t>WI534108</t>
  </si>
  <si>
    <t>FLUSH PUMP ONE WAY VALVE</t>
  </si>
  <si>
    <t>HI451713</t>
  </si>
  <si>
    <t>GUTTER BASE ASSEMBLY 55  451713</t>
  </si>
  <si>
    <t>HI451603</t>
  </si>
  <si>
    <t>GUTTER BASE ASSEMBLY PB/PXR 65  451603</t>
  </si>
  <si>
    <t>HI451869</t>
  </si>
  <si>
    <t>GUTTER BASE ASSEMBLY RX65 451869</t>
  </si>
  <si>
    <t>HI451932</t>
  </si>
  <si>
    <t>GUTTER RX/RX2/UXT 451932</t>
  </si>
  <si>
    <t>HI452105</t>
  </si>
  <si>
    <t>HEAD BASE PARTS 452105</t>
  </si>
  <si>
    <t>HI2N4ZL7763-A</t>
  </si>
  <si>
    <t>HEAD BASE PARTS UXT2 2N4ZL7763-A</t>
  </si>
  <si>
    <t>HI451602</t>
  </si>
  <si>
    <t>HEAD COVER 65 SUB ASSEMBLY 451602</t>
  </si>
  <si>
    <t>HI452083</t>
  </si>
  <si>
    <t>HEAD REAR COVER ASSEMBLY RX/UXT 452083</t>
  </si>
  <si>
    <t>HI452109</t>
  </si>
  <si>
    <t>HEAD REAR COVER ASSEMBLY UX 452109</t>
  </si>
  <si>
    <t>HI452126</t>
  </si>
  <si>
    <t>HEATER COVER UX PARTS 452126</t>
  </si>
  <si>
    <t>WI200-0430-160</t>
  </si>
  <si>
    <t>I/O PCB 43S 200-0430-160</t>
  </si>
  <si>
    <t>HI452120</t>
  </si>
  <si>
    <t>INHALATION FAN RX2 452120</t>
  </si>
  <si>
    <t>HI451729</t>
  </si>
  <si>
    <t>INK CONNECTION BLOCK 451729</t>
  </si>
  <si>
    <t>HI452078</t>
  </si>
  <si>
    <t>INTAKE FAN RX 452078</t>
  </si>
  <si>
    <t>WI247167</t>
  </si>
  <si>
    <t>KEYPAD OVERLAY 430-460MK3 UK/USA 247167</t>
  </si>
  <si>
    <t>HIKFILTROSPB</t>
  </si>
  <si>
    <t>KIT DE FILTROS HITACHI PB</t>
  </si>
  <si>
    <t>HIKFILTROSRX</t>
  </si>
  <si>
    <t>HIKFILTROSRX2</t>
  </si>
  <si>
    <t>KIT DE FILTROS HITACHI RX2</t>
  </si>
  <si>
    <t>HIKFILTROSUX</t>
  </si>
  <si>
    <t>KIT DE FILTROS HITACHI UX</t>
  </si>
  <si>
    <t>HI451661</t>
  </si>
  <si>
    <t>LCD PANEL ASSEMBLY PB 451661</t>
  </si>
  <si>
    <t>HILUPHIT</t>
  </si>
  <si>
    <t>LUPA DE MAGNIFICACION HITACHI</t>
  </si>
  <si>
    <t>HI451632</t>
  </si>
  <si>
    <t>MAIN TANK ASSEMBLY 451632</t>
  </si>
  <si>
    <t>HIIJP-BR2</t>
  </si>
  <si>
    <t>MAINTENANCE KIT BRACKET IJP-BR2</t>
  </si>
  <si>
    <t>HI452001</t>
  </si>
  <si>
    <t>MAKEUP RESERVOIR UX PARTS 452001</t>
  </si>
  <si>
    <t>HI451518</t>
  </si>
  <si>
    <t>MGV FILTER PART (3 PZS) 451518</t>
  </si>
  <si>
    <t>HIIJP-ENC3</t>
  </si>
  <si>
    <t>MICRO-ENCODER W/MOUNTING BRACKET IJP-ENC3</t>
  </si>
  <si>
    <t>HI451857</t>
  </si>
  <si>
    <t>MINI FILTER PARTS 451857</t>
  </si>
  <si>
    <t>HI451862</t>
  </si>
  <si>
    <t>MOTOR ASSEMBLY PARTS RX 451862</t>
  </si>
  <si>
    <t>KEKL201154</t>
  </si>
  <si>
    <t>MOTOR DE PASO KETAN KL201154</t>
  </si>
  <si>
    <t>HI451037</t>
  </si>
  <si>
    <t>NOZZLE FLAT FILTER 75 451037</t>
  </si>
  <si>
    <t>HI451856</t>
  </si>
  <si>
    <t>ORIFICE PARTS RX65 451856</t>
  </si>
  <si>
    <t>HI451670</t>
  </si>
  <si>
    <t>ORIFICE PARTS S65 PXR-PB-RX2, BOQUILLA 451670</t>
  </si>
  <si>
    <t>HI451694</t>
  </si>
  <si>
    <t>ORIFICE PLATE PARTS S55 -PXR450 BOQUILLA 451694</t>
  </si>
  <si>
    <t>HI451625</t>
  </si>
  <si>
    <t>ORING 4.7 PARTS 451625</t>
  </si>
  <si>
    <t>HI451819</t>
  </si>
  <si>
    <t>ORING P1.7 P/NOZZLE 451819</t>
  </si>
  <si>
    <t>HI451818</t>
  </si>
  <si>
    <t>ORING P2.2 P/NOZZLE 451818</t>
  </si>
  <si>
    <t>HI451821</t>
  </si>
  <si>
    <t>ORING PARTS 451821</t>
  </si>
  <si>
    <t>HI451628</t>
  </si>
  <si>
    <t>ORING S16 PARTS 451628</t>
  </si>
  <si>
    <t>WI547134</t>
  </si>
  <si>
    <t>PEEK IN LINE FILTER 547134</t>
  </si>
  <si>
    <t>WI5211177</t>
  </si>
  <si>
    <t>PICO VALVULA 4 WATT 5211177</t>
  </si>
  <si>
    <t>HI451675</t>
  </si>
  <si>
    <t>PLATE NUT PARTS 451675</t>
  </si>
  <si>
    <t>HIIJP-PWRCD-A</t>
  </si>
  <si>
    <t>POWER CORD FOR WORLDWIDE MODEL PRINTERS</t>
  </si>
  <si>
    <t>HI451860</t>
  </si>
  <si>
    <t>PR VALVE PARTS 451860</t>
  </si>
  <si>
    <t>HI451634</t>
  </si>
  <si>
    <t>PRE-FILTER ASSEMBLY 451634</t>
  </si>
  <si>
    <t>HIT452070</t>
  </si>
  <si>
    <t>PRESSURE SENSOR 452070</t>
  </si>
  <si>
    <t>HI451705</t>
  </si>
  <si>
    <t>PRESSURE SENSOR SUB ASSEMBLY 451705</t>
  </si>
  <si>
    <t>HI451902</t>
  </si>
  <si>
    <t>PROTECTION SHEET PARTS 451902</t>
  </si>
  <si>
    <t>HI451487</t>
  </si>
  <si>
    <t>PTFE FILTER 20 PACK 2 451487</t>
  </si>
  <si>
    <t>HI451996</t>
  </si>
  <si>
    <t>PUMP P-SOL2 451996</t>
  </si>
  <si>
    <t>HI451995</t>
  </si>
  <si>
    <t>PUMP P-SUP2 451995</t>
  </si>
  <si>
    <t>HI451586</t>
  </si>
  <si>
    <t>PUMP PARTS PB/PXR 451586</t>
  </si>
  <si>
    <t>HI451641</t>
  </si>
  <si>
    <t>R-AIR FILTER PARTS 451641</t>
  </si>
  <si>
    <t>HI451925</t>
  </si>
  <si>
    <t>REAR COVER PARTS RX 451925</t>
  </si>
  <si>
    <t>HI451864</t>
  </si>
  <si>
    <t>RECOVERY PUMP PARTS 451864</t>
  </si>
  <si>
    <t>WI200-0210-313</t>
  </si>
  <si>
    <t>REPUESTO PARA SENSOR ETIQ. 200-0210-313</t>
  </si>
  <si>
    <t>HI451907</t>
  </si>
  <si>
    <t>RESERVOIR PARTS 451907</t>
  </si>
  <si>
    <t>AUS8PR5W13NN</t>
  </si>
  <si>
    <t>SENSOR DE CONTRASTE NPN 4 PINES M8 S8-PR-5-W13-NN</t>
  </si>
  <si>
    <t>S8PR5W13/CD080G</t>
  </si>
  <si>
    <t>SENSOR DE CONTRASTE NPN M8 4 PINES C/CABLE M8 5MT</t>
  </si>
  <si>
    <t>LERC10</t>
  </si>
  <si>
    <t>SENSOR DE ETIQUETAS LERC10 M8 S/CABLE</t>
  </si>
  <si>
    <t>HIIJP-EZPIC</t>
  </si>
  <si>
    <t>SENSOR DE FIBRA OPTICA IJP-EZPIC C/CABLE</t>
  </si>
  <si>
    <t>HIIJP-SR2</t>
  </si>
  <si>
    <t>SENSOR DE PRODUCTO IJP-SR2 C/CABLE</t>
  </si>
  <si>
    <t>E3FADN25/M12PUR</t>
  </si>
  <si>
    <t>SENSOR FOTOELECTRICO OMRON M18 C/CABLE 4P M12 HEM 5MT</t>
  </si>
  <si>
    <t>B07CLL8FY7</t>
  </si>
  <si>
    <t>SENSOR INDUCTIVO NPN M5 C/CABLE</t>
  </si>
  <si>
    <t>OME3S-X3CE4</t>
  </si>
  <si>
    <t>SENSOR OMRON E3S-X3CE4</t>
  </si>
  <si>
    <t>HI451755</t>
  </si>
  <si>
    <t>SUB TANK CAP 451755</t>
  </si>
  <si>
    <t>HI451833</t>
  </si>
  <si>
    <t>SUB TANK PARTS 2 451833</t>
  </si>
  <si>
    <t>HI451863</t>
  </si>
  <si>
    <t>SUPPLY PUMP PARTS 451863</t>
  </si>
  <si>
    <t>HI451958</t>
  </si>
  <si>
    <t>SUS FLOAT 451958</t>
  </si>
  <si>
    <t>HI452207</t>
  </si>
  <si>
    <t>TAPERED PRINTHEAD COVER UX 452207</t>
  </si>
  <si>
    <t>HITOUCHPXR</t>
  </si>
  <si>
    <t>TOUCH PANEL PXR</t>
  </si>
  <si>
    <t>HI451849</t>
  </si>
  <si>
    <t>TOUCH PANEL RX/RX2 451849</t>
  </si>
  <si>
    <t>HI451671</t>
  </si>
  <si>
    <t>TP PROTECTION SHEETS PB 451671</t>
  </si>
  <si>
    <t>HIUPGRADEKEY</t>
  </si>
  <si>
    <t>UPGRADE KEY FOR RX</t>
  </si>
  <si>
    <t>HI451853</t>
  </si>
  <si>
    <t>VALVULA 3P MGV-3 PARTS RXS 451853</t>
  </si>
  <si>
    <t>HI451587</t>
  </si>
  <si>
    <t>VALVULA 3V MGV PARTS PB 451587</t>
  </si>
  <si>
    <t>WI5211174</t>
  </si>
  <si>
    <t>VALVULA DE TINTA DE 3 VIAS 5211174</t>
  </si>
  <si>
    <t>HI451866</t>
  </si>
  <si>
    <t>VALVULA MGV K PART 451866</t>
  </si>
  <si>
    <t>TSSB50X8</t>
  </si>
  <si>
    <t>TRANSPORTADOR SS C/B 50CMSX8MTS</t>
  </si>
  <si>
    <t>TSSBPVC7.9X1.5</t>
  </si>
  <si>
    <t>TRANSPORTADOR SS C/B PVC 7.9"X1.5MTS</t>
  </si>
  <si>
    <t/>
  </si>
  <si>
    <t>01410</t>
  </si>
  <si>
    <t>00028</t>
  </si>
  <si>
    <t>00685</t>
  </si>
  <si>
    <t>01124</t>
  </si>
  <si>
    <t>01745</t>
  </si>
  <si>
    <t>00540</t>
  </si>
  <si>
    <t>01722</t>
  </si>
  <si>
    <t>00312</t>
  </si>
  <si>
    <t>01541</t>
  </si>
  <si>
    <t>02128</t>
  </si>
  <si>
    <t>02046</t>
  </si>
  <si>
    <t>01202</t>
  </si>
  <si>
    <t>01203</t>
  </si>
  <si>
    <t>00757</t>
  </si>
  <si>
    <t>00003</t>
  </si>
  <si>
    <t>00348</t>
  </si>
  <si>
    <t>00349</t>
  </si>
  <si>
    <t>02229</t>
  </si>
  <si>
    <t>00805</t>
  </si>
  <si>
    <t>01371</t>
  </si>
  <si>
    <t>00820</t>
  </si>
  <si>
    <t>00552</t>
  </si>
  <si>
    <t>00779</t>
  </si>
  <si>
    <t>02016</t>
  </si>
  <si>
    <t>00459</t>
  </si>
  <si>
    <t>00351</t>
  </si>
  <si>
    <t>00352</t>
  </si>
  <si>
    <t>00458</t>
  </si>
  <si>
    <t>00354</t>
  </si>
  <si>
    <t>00355</t>
  </si>
  <si>
    <t>00357</t>
  </si>
  <si>
    <t>00358</t>
  </si>
  <si>
    <t>00359</t>
  </si>
  <si>
    <t>00867</t>
  </si>
  <si>
    <t>01077</t>
  </si>
  <si>
    <t>01062</t>
  </si>
  <si>
    <t>01844</t>
  </si>
  <si>
    <t>00004</t>
  </si>
  <si>
    <t>01320</t>
  </si>
  <si>
    <t>00462</t>
  </si>
  <si>
    <t>00780</t>
  </si>
  <si>
    <t>00463</t>
  </si>
  <si>
    <t>00465</t>
  </si>
  <si>
    <t>00466</t>
  </si>
  <si>
    <t>00369</t>
  </si>
  <si>
    <t>00368</t>
  </si>
  <si>
    <t>00460</t>
  </si>
  <si>
    <t>00370</t>
  </si>
  <si>
    <t>00371</t>
  </si>
  <si>
    <t>00373</t>
  </si>
  <si>
    <t>00374</t>
  </si>
  <si>
    <t>00372</t>
  </si>
  <si>
    <t>00783</t>
  </si>
  <si>
    <t>00653</t>
  </si>
  <si>
    <t>02112</t>
  </si>
  <si>
    <t>01159</t>
  </si>
  <si>
    <t>00375</t>
  </si>
  <si>
    <t>00376</t>
  </si>
  <si>
    <t>00909</t>
  </si>
  <si>
    <t>02017</t>
  </si>
  <si>
    <t>00449</t>
  </si>
  <si>
    <t>00461</t>
  </si>
  <si>
    <t>01319</t>
  </si>
  <si>
    <t>00829</t>
  </si>
  <si>
    <t>00005</t>
  </si>
  <si>
    <t>00726</t>
  </si>
  <si>
    <t>00830</t>
  </si>
  <si>
    <t>01648</t>
  </si>
  <si>
    <t>00711</t>
  </si>
  <si>
    <t>00216</t>
  </si>
  <si>
    <t>00826</t>
  </si>
  <si>
    <t>00928</t>
  </si>
  <si>
    <t>00217</t>
  </si>
  <si>
    <t>00504</t>
  </si>
  <si>
    <t>01176</t>
  </si>
  <si>
    <t>01021</t>
  </si>
  <si>
    <t>00500</t>
  </si>
  <si>
    <t>00840</t>
  </si>
  <si>
    <t>00218</t>
  </si>
  <si>
    <t>00502</t>
  </si>
  <si>
    <t>00832</t>
  </si>
  <si>
    <t>00507</t>
  </si>
  <si>
    <t>00638</t>
  </si>
  <si>
    <t>01916</t>
  </si>
  <si>
    <t>01837</t>
  </si>
  <si>
    <t>00985</t>
  </si>
  <si>
    <t>00219</t>
  </si>
  <si>
    <t>00712</t>
  </si>
  <si>
    <t>00220</t>
  </si>
  <si>
    <t>00718</t>
  </si>
  <si>
    <t>00966</t>
  </si>
  <si>
    <t>00722</t>
  </si>
  <si>
    <t>00221</t>
  </si>
  <si>
    <t>01759</t>
  </si>
  <si>
    <t>00986</t>
  </si>
  <si>
    <t>00640</t>
  </si>
  <si>
    <t>01551</t>
  </si>
  <si>
    <t>01294</t>
  </si>
  <si>
    <t>01267</t>
  </si>
  <si>
    <t>00987</t>
  </si>
  <si>
    <t>01301</t>
  </si>
  <si>
    <t>00723</t>
  </si>
  <si>
    <t>01773</t>
  </si>
  <si>
    <t>01189</t>
  </si>
  <si>
    <t>00223</t>
  </si>
  <si>
    <t>00827</t>
  </si>
  <si>
    <t>00224</t>
  </si>
  <si>
    <t>00648</t>
  </si>
  <si>
    <t>01866</t>
  </si>
  <si>
    <t>00225</t>
  </si>
  <si>
    <t>00226</t>
  </si>
  <si>
    <t>01896</t>
  </si>
  <si>
    <t>00715</t>
  </si>
  <si>
    <t>00642</t>
  </si>
  <si>
    <t>01760</t>
  </si>
  <si>
    <t>00643</t>
  </si>
  <si>
    <t>00499</t>
  </si>
  <si>
    <t>00646</t>
  </si>
  <si>
    <t>00637</t>
  </si>
  <si>
    <t>02033</t>
  </si>
  <si>
    <t>00639</t>
  </si>
  <si>
    <t>00641</t>
  </si>
  <si>
    <t>00604</t>
  </si>
  <si>
    <t>00229</t>
  </si>
  <si>
    <t>00230</t>
  </si>
  <si>
    <t>00231</t>
  </si>
  <si>
    <t>00514</t>
  </si>
  <si>
    <t>00233</t>
  </si>
  <si>
    <t>00234</t>
  </si>
  <si>
    <t>00235</t>
  </si>
  <si>
    <t>01250</t>
  </si>
  <si>
    <t>00727</t>
  </si>
  <si>
    <t>00236</t>
  </si>
  <si>
    <t>00237</t>
  </si>
  <si>
    <t>00649</t>
  </si>
  <si>
    <t>00238</t>
  </si>
  <si>
    <t>00650</t>
  </si>
  <si>
    <t>00505</t>
  </si>
  <si>
    <t>00241</t>
  </si>
  <si>
    <t>02032</t>
  </si>
  <si>
    <t>00834</t>
  </si>
  <si>
    <t>02172</t>
  </si>
  <si>
    <t>00713</t>
  </si>
  <si>
    <t>00249</t>
  </si>
  <si>
    <t>00250</t>
  </si>
  <si>
    <t>00720</t>
  </si>
  <si>
    <t>00597</t>
  </si>
  <si>
    <t>00644</t>
  </si>
  <si>
    <t>01050</t>
  </si>
  <si>
    <t>00647</t>
  </si>
  <si>
    <t>01761</t>
  </si>
  <si>
    <t>00988</t>
  </si>
  <si>
    <t>00710</t>
  </si>
  <si>
    <t>00973</t>
  </si>
  <si>
    <t>00503</t>
  </si>
  <si>
    <t>00714</t>
  </si>
  <si>
    <t>00251</t>
  </si>
  <si>
    <t>00724</t>
  </si>
  <si>
    <t>00253</t>
  </si>
  <si>
    <t>00496</t>
  </si>
  <si>
    <t>00254</t>
  </si>
  <si>
    <t>01404</t>
  </si>
  <si>
    <t>00255</t>
  </si>
  <si>
    <t>00645</t>
  </si>
  <si>
    <t>01767</t>
  </si>
  <si>
    <t>02475</t>
  </si>
  <si>
    <t>01539</t>
  </si>
  <si>
    <t>01438</t>
  </si>
  <si>
    <t>01439</t>
  </si>
  <si>
    <t>01441</t>
  </si>
  <si>
    <t>01540</t>
  </si>
  <si>
    <t>01440</t>
  </si>
  <si>
    <t>02318</t>
  </si>
  <si>
    <t>02319</t>
  </si>
  <si>
    <t>01442</t>
  </si>
  <si>
    <t>01436</t>
  </si>
  <si>
    <t>01443</t>
  </si>
  <si>
    <t>01208</t>
  </si>
  <si>
    <t>00007</t>
  </si>
  <si>
    <t>01519</t>
  </si>
  <si>
    <t>00806</t>
  </si>
  <si>
    <t>02258</t>
  </si>
  <si>
    <t>01206</t>
  </si>
  <si>
    <t>01207</t>
  </si>
  <si>
    <t>02364</t>
  </si>
  <si>
    <t>00011</t>
  </si>
  <si>
    <t>02400</t>
  </si>
  <si>
    <t>02406</t>
  </si>
  <si>
    <t>02363</t>
  </si>
  <si>
    <t>02375</t>
  </si>
  <si>
    <t>02389</t>
  </si>
  <si>
    <t>02390</t>
  </si>
  <si>
    <t>02405</t>
  </si>
  <si>
    <t>02738</t>
  </si>
  <si>
    <t>02733</t>
  </si>
  <si>
    <t>02362</t>
  </si>
  <si>
    <t>02734</t>
  </si>
  <si>
    <t>02737</t>
  </si>
  <si>
    <t>02374</t>
  </si>
  <si>
    <t>02736</t>
  </si>
  <si>
    <t>02404</t>
  </si>
  <si>
    <t>02735</t>
  </si>
  <si>
    <t>02510</t>
  </si>
  <si>
    <t>02408</t>
  </si>
  <si>
    <t>02388</t>
  </si>
  <si>
    <t>02409</t>
  </si>
  <si>
    <t>03085</t>
  </si>
  <si>
    <t>03074</t>
  </si>
  <si>
    <t>02357</t>
  </si>
  <si>
    <t>02365</t>
  </si>
  <si>
    <t>02366</t>
  </si>
  <si>
    <t>02368</t>
  </si>
  <si>
    <t>02719</t>
  </si>
  <si>
    <t>02377</t>
  </si>
  <si>
    <t>02378</t>
  </si>
  <si>
    <t>02380</t>
  </si>
  <si>
    <t>02382</t>
  </si>
  <si>
    <t>02384</t>
  </si>
  <si>
    <t>02723</t>
  </si>
  <si>
    <t>02393</t>
  </si>
  <si>
    <t>02394</t>
  </si>
  <si>
    <t>02731</t>
  </si>
  <si>
    <t>02729</t>
  </si>
  <si>
    <t>02730</t>
  </si>
  <si>
    <t>03092</t>
  </si>
  <si>
    <t>00581</t>
  </si>
  <si>
    <t>00809</t>
  </si>
  <si>
    <t>00474</t>
  </si>
  <si>
    <t>00558</t>
  </si>
  <si>
    <t>00363</t>
  </si>
  <si>
    <t>00364</t>
  </si>
  <si>
    <t>00366</t>
  </si>
  <si>
    <t>02548</t>
  </si>
  <si>
    <t>CURVA 881 K750 1VIA R=850 90º</t>
  </si>
  <si>
    <t>CC881K7501VR850</t>
  </si>
  <si>
    <t>01075</t>
  </si>
  <si>
    <t>00978</t>
  </si>
  <si>
    <t>00278</t>
  </si>
  <si>
    <t>00810</t>
  </si>
  <si>
    <t>00279</t>
  </si>
  <si>
    <t>00845</t>
  </si>
  <si>
    <t>01283</t>
  </si>
  <si>
    <t>00282</t>
  </si>
  <si>
    <t>00281</t>
  </si>
  <si>
    <t>00582</t>
  </si>
  <si>
    <t>00296</t>
  </si>
  <si>
    <t>00547</t>
  </si>
  <si>
    <t>00979</t>
  </si>
  <si>
    <t>00291</t>
  </si>
  <si>
    <t>00477</t>
  </si>
  <si>
    <t>00295</t>
  </si>
  <si>
    <t>01354</t>
  </si>
  <si>
    <t>00509</t>
  </si>
  <si>
    <t>00286</t>
  </si>
  <si>
    <t>00571</t>
  </si>
  <si>
    <t>00572</t>
  </si>
  <si>
    <t>01284</t>
  </si>
  <si>
    <t>00293</t>
  </si>
  <si>
    <t>00294</t>
  </si>
  <si>
    <t>00669</t>
  </si>
  <si>
    <t>01769</t>
  </si>
  <si>
    <t>01509</t>
  </si>
  <si>
    <t>01300</t>
  </si>
  <si>
    <t>01406</t>
  </si>
  <si>
    <t>01321</t>
  </si>
  <si>
    <t>00367</t>
  </si>
  <si>
    <t>01135</t>
  </si>
  <si>
    <t>00277</t>
  </si>
  <si>
    <t>00276</t>
  </si>
  <si>
    <t>00266</t>
  </si>
  <si>
    <t>01732</t>
  </si>
  <si>
    <t>01233</t>
  </si>
  <si>
    <t>00271</t>
  </si>
  <si>
    <t>00579</t>
  </si>
  <si>
    <t>00576</t>
  </si>
  <si>
    <t>00807</t>
  </si>
  <si>
    <t>00267</t>
  </si>
  <si>
    <t>01572</t>
  </si>
  <si>
    <t>00386</t>
  </si>
  <si>
    <t>00380</t>
  </si>
  <si>
    <t>02856</t>
  </si>
  <si>
    <t>00765</t>
  </si>
  <si>
    <t>00015</t>
  </si>
  <si>
    <t>01040</t>
  </si>
  <si>
    <t>01386</t>
  </si>
  <si>
    <t>00016</t>
  </si>
  <si>
    <t>01393</t>
  </si>
  <si>
    <t>00036</t>
  </si>
  <si>
    <t>00034</t>
  </si>
  <si>
    <t>01574</t>
  </si>
  <si>
    <t>00035</t>
  </si>
  <si>
    <t>01525</t>
  </si>
  <si>
    <t>00914</t>
  </si>
  <si>
    <t>01287</t>
  </si>
  <si>
    <t>01136</t>
  </si>
  <si>
    <t>00043</t>
  </si>
  <si>
    <t>00768</t>
  </si>
  <si>
    <t>00041</t>
  </si>
  <si>
    <t>00042</t>
  </si>
  <si>
    <t>00044</t>
  </si>
  <si>
    <t>01116</t>
  </si>
  <si>
    <t>00073</t>
  </si>
  <si>
    <t>00628</t>
  </si>
  <si>
    <t>00627</t>
  </si>
  <si>
    <t>00077</t>
  </si>
  <si>
    <t>00624</t>
  </si>
  <si>
    <t>00081</t>
  </si>
  <si>
    <t>02121</t>
  </si>
  <si>
    <t>00083</t>
  </si>
  <si>
    <t>00082</t>
  </si>
  <si>
    <t>00535</t>
  </si>
  <si>
    <t>00072</t>
  </si>
  <si>
    <t>00074</t>
  </si>
  <si>
    <t>00076</t>
  </si>
  <si>
    <t>03019</t>
  </si>
  <si>
    <t>00080</t>
  </si>
  <si>
    <t>00631</t>
  </si>
  <si>
    <t>00972</t>
  </si>
  <si>
    <t>01378</t>
  </si>
  <si>
    <t>00536</t>
  </si>
  <si>
    <t>02120</t>
  </si>
  <si>
    <t>03244</t>
  </si>
  <si>
    <t>00094</t>
  </si>
  <si>
    <t>02312</t>
  </si>
  <si>
    <t>00095</t>
  </si>
  <si>
    <t>00097</t>
  </si>
  <si>
    <t>00707</t>
  </si>
  <si>
    <t>02095</t>
  </si>
  <si>
    <t>00103</t>
  </si>
  <si>
    <t>00029</t>
  </si>
  <si>
    <t>02473</t>
  </si>
  <si>
    <t>01274</t>
  </si>
  <si>
    <t>00333</t>
  </si>
  <si>
    <t>00450</t>
  </si>
  <si>
    <t>00485</t>
  </si>
  <si>
    <t>00335</t>
  </si>
  <si>
    <t>01856</t>
  </si>
  <si>
    <t>01582</t>
  </si>
  <si>
    <t>00336</t>
  </si>
  <si>
    <t>01064</t>
  </si>
  <si>
    <t>00451</t>
  </si>
  <si>
    <t>00337</t>
  </si>
  <si>
    <t>01324</t>
  </si>
  <si>
    <t>01590</t>
  </si>
  <si>
    <t>00453</t>
  </si>
  <si>
    <t>00338</t>
  </si>
  <si>
    <t>00452</t>
  </si>
  <si>
    <t>01065</t>
  </si>
  <si>
    <t>01653</t>
  </si>
  <si>
    <t>01044</t>
  </si>
  <si>
    <t>00922</t>
  </si>
  <si>
    <t>01723</t>
  </si>
  <si>
    <t>01139</t>
  </si>
  <si>
    <t>00339</t>
  </si>
  <si>
    <t>01263</t>
  </si>
  <si>
    <t>01556</t>
  </si>
  <si>
    <t>00454</t>
  </si>
  <si>
    <t>01578</t>
  </si>
  <si>
    <t>00455</t>
  </si>
  <si>
    <t>01082</t>
  </si>
  <si>
    <t>01408</t>
  </si>
  <si>
    <t>01831</t>
  </si>
  <si>
    <t>01076</t>
  </si>
  <si>
    <t>01826</t>
  </si>
  <si>
    <t>01502</t>
  </si>
  <si>
    <t>01828</t>
  </si>
  <si>
    <t>01836</t>
  </si>
  <si>
    <t>01830</t>
  </si>
  <si>
    <t>01587</t>
  </si>
  <si>
    <t>00347</t>
  </si>
  <si>
    <t>00329</t>
  </si>
  <si>
    <t>00949</t>
  </si>
  <si>
    <t>00781</t>
  </si>
  <si>
    <t>00782</t>
  </si>
  <si>
    <t>01069</t>
  </si>
  <si>
    <t>01070</t>
  </si>
  <si>
    <t>02019</t>
  </si>
  <si>
    <t>01072</t>
  </si>
  <si>
    <t>01073</t>
  </si>
  <si>
    <t>02204</t>
  </si>
  <si>
    <t>01158</t>
  </si>
  <si>
    <t>01157</t>
  </si>
  <si>
    <t>00560</t>
  </si>
  <si>
    <t>00951</t>
  </si>
  <si>
    <t>00952</t>
  </si>
  <si>
    <t>00884</t>
  </si>
  <si>
    <t>00341</t>
  </si>
  <si>
    <t>00562</t>
  </si>
  <si>
    <t>02835</t>
  </si>
  <si>
    <t>00017</t>
  </si>
  <si>
    <t>02285</t>
  </si>
  <si>
    <t>02287</t>
  </si>
  <si>
    <t>02288</t>
  </si>
  <si>
    <t>02436</t>
  </si>
  <si>
    <t>00584</t>
  </si>
  <si>
    <t>01505</t>
  </si>
  <si>
    <t>00314</t>
  </si>
  <si>
    <t>00315</t>
  </si>
  <si>
    <t>00990</t>
  </si>
  <si>
    <t>01510</t>
  </si>
  <si>
    <t>01063</t>
  </si>
  <si>
    <t>00708</t>
  </si>
  <si>
    <t>03013</t>
  </si>
  <si>
    <t>00037</t>
  </si>
  <si>
    <t>01709</t>
  </si>
  <si>
    <t>02311</t>
  </si>
  <si>
    <t>01596</t>
  </si>
  <si>
    <t>00033</t>
  </si>
  <si>
    <t>02006</t>
  </si>
  <si>
    <t>02491</t>
  </si>
  <si>
    <t>03015</t>
  </si>
  <si>
    <t>01168</t>
  </si>
  <si>
    <t>02219</t>
  </si>
  <si>
    <t>02136</t>
  </si>
  <si>
    <t>00068</t>
  </si>
  <si>
    <t>00070</t>
  </si>
  <si>
    <t>00069</t>
  </si>
  <si>
    <t>00071</t>
  </si>
  <si>
    <t>01550</t>
  </si>
  <si>
    <t>01619</t>
  </si>
  <si>
    <t>02135</t>
  </si>
  <si>
    <t>01016</t>
  </si>
  <si>
    <t>00093</t>
  </si>
  <si>
    <t>01291</t>
  </si>
  <si>
    <t>01106</t>
  </si>
  <si>
    <t>02097</t>
  </si>
  <si>
    <t>02310</t>
  </si>
  <si>
    <t>01118</t>
  </si>
  <si>
    <t>01532</t>
  </si>
  <si>
    <t>03020</t>
  </si>
  <si>
    <t>00030</t>
  </si>
  <si>
    <t>01109</t>
  </si>
  <si>
    <t>00622</t>
  </si>
  <si>
    <t>00038</t>
  </si>
  <si>
    <t>02493</t>
  </si>
  <si>
    <t>01112</t>
  </si>
  <si>
    <t>03129</t>
  </si>
  <si>
    <t>02198</t>
  </si>
  <si>
    <t>01367</t>
  </si>
  <si>
    <t>00053</t>
  </si>
  <si>
    <t>02196</t>
  </si>
  <si>
    <t>01534</t>
  </si>
  <si>
    <t>00537</t>
  </si>
  <si>
    <t>01790</t>
  </si>
  <si>
    <t>01014</t>
  </si>
  <si>
    <t>00086</t>
  </si>
  <si>
    <t>00851</t>
  </si>
  <si>
    <t>02092</t>
  </si>
  <si>
    <t>02931</t>
  </si>
  <si>
    <t>01092</t>
  </si>
  <si>
    <t>00098</t>
  </si>
  <si>
    <t>01123</t>
  </si>
  <si>
    <t>00683</t>
  </si>
  <si>
    <t>02098</t>
  </si>
  <si>
    <t>02309</t>
  </si>
  <si>
    <t>01117</t>
  </si>
  <si>
    <t>01531</t>
  </si>
  <si>
    <t>03022</t>
  </si>
  <si>
    <t>03021</t>
  </si>
  <si>
    <t>00032</t>
  </si>
  <si>
    <t>00031</t>
  </si>
  <si>
    <t>01110</t>
  </si>
  <si>
    <t>02932</t>
  </si>
  <si>
    <t>00623</t>
  </si>
  <si>
    <t>00039</t>
  </si>
  <si>
    <t>02933</t>
  </si>
  <si>
    <t>00040</t>
  </si>
  <si>
    <t>01625</t>
  </si>
  <si>
    <t>01114</t>
  </si>
  <si>
    <t>01113</t>
  </si>
  <si>
    <t>00055</t>
  </si>
  <si>
    <t>01717</t>
  </si>
  <si>
    <t>01290</t>
  </si>
  <si>
    <t>01289</t>
  </si>
  <si>
    <t>00056</t>
  </si>
  <si>
    <t>01882</t>
  </si>
  <si>
    <t>01565</t>
  </si>
  <si>
    <t>01797</t>
  </si>
  <si>
    <t>00058</t>
  </si>
  <si>
    <t>00954</t>
  </si>
  <si>
    <t>00955</t>
  </si>
  <si>
    <t>01353</t>
  </si>
  <si>
    <t>00059</t>
  </si>
  <si>
    <t>00060</t>
  </si>
  <si>
    <t>00767</t>
  </si>
  <si>
    <t>00916</t>
  </si>
  <si>
    <t>00917</t>
  </si>
  <si>
    <t>00061</t>
  </si>
  <si>
    <t>00109</t>
  </si>
  <si>
    <t>02759</t>
  </si>
  <si>
    <t>02760</t>
  </si>
  <si>
    <t>00062</t>
  </si>
  <si>
    <t>01621</t>
  </si>
  <si>
    <t>01597</t>
  </si>
  <si>
    <t>00063</t>
  </si>
  <si>
    <t>00064</t>
  </si>
  <si>
    <t>01108</t>
  </si>
  <si>
    <t>01107</t>
  </si>
  <si>
    <t>01331</t>
  </si>
  <si>
    <t>00065</t>
  </si>
  <si>
    <t>01392</t>
  </si>
  <si>
    <t>01368</t>
  </si>
  <si>
    <t>00066</t>
  </si>
  <si>
    <t>00067</t>
  </si>
  <si>
    <t>02197</t>
  </si>
  <si>
    <t>01535</t>
  </si>
  <si>
    <t>00538</t>
  </si>
  <si>
    <t>01794</t>
  </si>
  <si>
    <t>01792</t>
  </si>
  <si>
    <t>01432</t>
  </si>
  <si>
    <t>01013</t>
  </si>
  <si>
    <t>00090</t>
  </si>
  <si>
    <t>01793</t>
  </si>
  <si>
    <t>01791</t>
  </si>
  <si>
    <t>01433</t>
  </si>
  <si>
    <t>01012</t>
  </si>
  <si>
    <t>00092</t>
  </si>
  <si>
    <t>00091</t>
  </si>
  <si>
    <t>02485</t>
  </si>
  <si>
    <t>02093</t>
  </si>
  <si>
    <t>02486</t>
  </si>
  <si>
    <t>02094</t>
  </si>
  <si>
    <t>00099</t>
  </si>
  <si>
    <t>00100</t>
  </si>
  <si>
    <t>01121</t>
  </si>
  <si>
    <t>01119</t>
  </si>
  <si>
    <t>00752</t>
  </si>
  <si>
    <t>00681</t>
  </si>
  <si>
    <t>01085</t>
  </si>
  <si>
    <t>00101</t>
  </si>
  <si>
    <t>00102</t>
  </si>
  <si>
    <t>01122</t>
  </si>
  <si>
    <t>01120</t>
  </si>
  <si>
    <t>00753</t>
  </si>
  <si>
    <t>00682</t>
  </si>
  <si>
    <t>01084</t>
  </si>
  <si>
    <t>01533</t>
  </si>
  <si>
    <t>01332</t>
  </si>
  <si>
    <t>02100</t>
  </si>
  <si>
    <t>00119</t>
  </si>
  <si>
    <t>00114</t>
  </si>
  <si>
    <t>02195</t>
  </si>
  <si>
    <t>00115</t>
  </si>
  <si>
    <t>01796</t>
  </si>
  <si>
    <t>00117</t>
  </si>
  <si>
    <t>00737</t>
  </si>
  <si>
    <t>00116</t>
  </si>
  <si>
    <t>00118</t>
  </si>
  <si>
    <t>00104</t>
  </si>
  <si>
    <t>00105</t>
  </si>
  <si>
    <t>00106</t>
  </si>
  <si>
    <t>00113</t>
  </si>
  <si>
    <t>01015</t>
  </si>
  <si>
    <t>00107</t>
  </si>
  <si>
    <t>00539</t>
  </si>
  <si>
    <t>00110</t>
  </si>
  <si>
    <t>00111</t>
  </si>
  <si>
    <t>01286</t>
  </si>
  <si>
    <t>02028</t>
  </si>
  <si>
    <t>00381</t>
  </si>
  <si>
    <t>00383</t>
  </si>
  <si>
    <t>00384</t>
  </si>
  <si>
    <t>00568</t>
  </si>
  <si>
    <t>PRINC</t>
  </si>
  <si>
    <t>C/CJA 6UND</t>
  </si>
  <si>
    <t>03170</t>
  </si>
  <si>
    <t>P/1145T Y 1027R</t>
  </si>
  <si>
    <t>02799</t>
  </si>
  <si>
    <t>C/CJA 9 LT</t>
  </si>
  <si>
    <t>C/CJA 9LTS</t>
  </si>
  <si>
    <t>03131</t>
  </si>
  <si>
    <t>C/CJA 9UND</t>
  </si>
  <si>
    <t>03048</t>
  </si>
  <si>
    <t>C/CJA 9UNDS</t>
  </si>
  <si>
    <t>03169</t>
  </si>
  <si>
    <t>01538</t>
  </si>
  <si>
    <t>02798</t>
  </si>
  <si>
    <t>CJA 9 UND</t>
  </si>
  <si>
    <t>01713</t>
  </si>
  <si>
    <t>C/CJA 6LTS</t>
  </si>
  <si>
    <t>01162</t>
  </si>
  <si>
    <t>02264</t>
  </si>
  <si>
    <t>01161</t>
  </si>
  <si>
    <t>02263</t>
  </si>
  <si>
    <t>COMPONENTE: PENTANONA</t>
  </si>
  <si>
    <t>01926</t>
  </si>
  <si>
    <t>03252</t>
  </si>
  <si>
    <t>CORDON VOLTA RMW 9.5MM</t>
  </si>
  <si>
    <t>CORVRMW9.5</t>
  </si>
  <si>
    <t>01702</t>
  </si>
  <si>
    <t>EUB50FGPPB78</t>
  </si>
  <si>
    <t>03429</t>
  </si>
  <si>
    <t>BANDA S-E30 FLAT TOP AC A. 41CMS</t>
  </si>
  <si>
    <t>EUE30FTACA41</t>
  </si>
  <si>
    <t>01969</t>
  </si>
  <si>
    <t>BANDA S-E30 FLAT TOP PP A. 30CMS</t>
  </si>
  <si>
    <t>EUE30FTPPA30</t>
  </si>
  <si>
    <t>01232</t>
  </si>
  <si>
    <t>03428</t>
  </si>
  <si>
    <t>BANDA S-E30 FLUSH GRID AC A. 21CMS</t>
  </si>
  <si>
    <t>EUE30FGACA21</t>
  </si>
  <si>
    <t>02260</t>
  </si>
  <si>
    <t>BANDA S-E30 FLUSH GRID AC A. 41CMS</t>
  </si>
  <si>
    <t>EUE30FGACA41</t>
  </si>
  <si>
    <t>01748</t>
  </si>
  <si>
    <t>BANDA S-E30 FLUSH GRID PE N. 55CMS</t>
  </si>
  <si>
    <t>EUE30FGPEN55</t>
  </si>
  <si>
    <t>00921</t>
  </si>
  <si>
    <t>00694</t>
  </si>
  <si>
    <t>01089</t>
  </si>
  <si>
    <t>03426</t>
  </si>
  <si>
    <t>BANDA S-E30 FLUSH Y OPEN GRID PP B. 15CMS IFG/3</t>
  </si>
  <si>
    <t>EUE30FY0GPPB15I</t>
  </si>
  <si>
    <t>01034</t>
  </si>
  <si>
    <t>BANDA S-E50 FLUSH GRID PP B. 30CMS</t>
  </si>
  <si>
    <t>EUE50FGPPB30</t>
  </si>
  <si>
    <t>01983</t>
  </si>
  <si>
    <t>00045</t>
  </si>
  <si>
    <t>00046</t>
  </si>
  <si>
    <t>00051</t>
  </si>
  <si>
    <t>00075</t>
  </si>
  <si>
    <t>00078</t>
  </si>
  <si>
    <t>00079</t>
  </si>
  <si>
    <t>00819</t>
  </si>
  <si>
    <t>00052</t>
  </si>
  <si>
    <t>00054</t>
  </si>
  <si>
    <t>00084</t>
  </si>
  <si>
    <t>00085</t>
  </si>
  <si>
    <t>00087</t>
  </si>
  <si>
    <t>00096</t>
  </si>
  <si>
    <t>01542</t>
  </si>
  <si>
    <t>00006</t>
  </si>
  <si>
    <t>00122</t>
  </si>
  <si>
    <t>00123</t>
  </si>
  <si>
    <t>00925</t>
  </si>
  <si>
    <t>00124</t>
  </si>
  <si>
    <t>02079</t>
  </si>
  <si>
    <t>00126</t>
  </si>
  <si>
    <t>01612</t>
  </si>
  <si>
    <t>00128</t>
  </si>
  <si>
    <t>01727</t>
  </si>
  <si>
    <t>01595</t>
  </si>
  <si>
    <t>01993</t>
  </si>
  <si>
    <t>01817</t>
  </si>
  <si>
    <t>02907</t>
  </si>
  <si>
    <t>02131</t>
  </si>
  <si>
    <t>00130</t>
  </si>
  <si>
    <t>00138</t>
  </si>
  <si>
    <t>02200</t>
  </si>
  <si>
    <t>02034</t>
  </si>
  <si>
    <t>02744</t>
  </si>
  <si>
    <t>01868</t>
  </si>
  <si>
    <t>01002</t>
  </si>
  <si>
    <t>PRECIO ESPECIAL $132.20</t>
  </si>
  <si>
    <t>PRECIO ESPECIAL $184.4</t>
  </si>
  <si>
    <t>01261</t>
  </si>
  <si>
    <t>01832</t>
  </si>
  <si>
    <t>02857</t>
  </si>
  <si>
    <t>02106</t>
  </si>
  <si>
    <t>01900</t>
  </si>
  <si>
    <t>00134</t>
  </si>
  <si>
    <t>01642</t>
  </si>
  <si>
    <t>00895</t>
  </si>
  <si>
    <t>00146</t>
  </si>
  <si>
    <t>00172</t>
  </si>
  <si>
    <t>00008</t>
  </si>
  <si>
    <t>00173</t>
  </si>
  <si>
    <t>00174</t>
  </si>
  <si>
    <t>00157</t>
  </si>
  <si>
    <t>00159</t>
  </si>
  <si>
    <t>00160</t>
  </si>
  <si>
    <t>01166</t>
  </si>
  <si>
    <t>00161</t>
  </si>
  <si>
    <t>00162</t>
  </si>
  <si>
    <t>00164</t>
  </si>
  <si>
    <t>00775</t>
  </si>
  <si>
    <t>02672</t>
  </si>
  <si>
    <t>00167</t>
  </si>
  <si>
    <t>00176</t>
  </si>
  <si>
    <t>00177</t>
  </si>
  <si>
    <t>00171</t>
  </si>
  <si>
    <t>00178</t>
  </si>
  <si>
    <t>00889</t>
  </si>
  <si>
    <t>00009</t>
  </si>
  <si>
    <t>00890</t>
  </si>
  <si>
    <t>01038</t>
  </si>
  <si>
    <t>00183</t>
  </si>
  <si>
    <t>00179</t>
  </si>
  <si>
    <t>00292</t>
  </si>
  <si>
    <t>00180</t>
  </si>
  <si>
    <t>00184</t>
  </si>
  <si>
    <t>00187</t>
  </si>
  <si>
    <t>00188</t>
  </si>
  <si>
    <t>00189</t>
  </si>
  <si>
    <t>00190</t>
  </si>
  <si>
    <t>00191</t>
  </si>
  <si>
    <t>00193</t>
  </si>
  <si>
    <t>01846</t>
  </si>
  <si>
    <t>00200</t>
  </si>
  <si>
    <t>00227</t>
  </si>
  <si>
    <t>00228</t>
  </si>
  <si>
    <t>00853</t>
  </si>
  <si>
    <t>00879</t>
  </si>
  <si>
    <t>01129</t>
  </si>
  <si>
    <t>00232</t>
  </si>
  <si>
    <t>01103</t>
  </si>
  <si>
    <t>00981</t>
  </si>
  <si>
    <t>01213</t>
  </si>
  <si>
    <t>LDSSUPA205-16</t>
  </si>
  <si>
    <t>00698</t>
  </si>
  <si>
    <t>00245</t>
  </si>
  <si>
    <t>00773</t>
  </si>
  <si>
    <t>00297</t>
  </si>
  <si>
    <t>00854</t>
  </si>
  <si>
    <t>00299</t>
  </si>
  <si>
    <t>00301</t>
  </si>
  <si>
    <t>00303</t>
  </si>
  <si>
    <t>00304</t>
  </si>
  <si>
    <t>00305</t>
  </si>
  <si>
    <t>00856</t>
  </si>
  <si>
    <t>00309</t>
  </si>
  <si>
    <t>00967</t>
  </si>
  <si>
    <t>00310</t>
  </si>
  <si>
    <t>03276</t>
  </si>
  <si>
    <t>02327</t>
  </si>
  <si>
    <t>00202</t>
  </si>
  <si>
    <t>TP-F204 CARCASA TP 4H</t>
  </si>
  <si>
    <t>00203</t>
  </si>
  <si>
    <t>00207</t>
  </si>
  <si>
    <t>00208</t>
  </si>
  <si>
    <t>00210</t>
  </si>
  <si>
    <t>00211</t>
  </si>
  <si>
    <t>00212</t>
  </si>
  <si>
    <t>00214</t>
  </si>
  <si>
    <t>00215</t>
  </si>
  <si>
    <t>02441</t>
  </si>
  <si>
    <t>00246</t>
  </si>
  <si>
    <t>00733</t>
  </si>
  <si>
    <t>00247</t>
  </si>
  <si>
    <t>00734</t>
  </si>
  <si>
    <t>01363</t>
  </si>
  <si>
    <t>00968</t>
  </si>
  <si>
    <t>00252</t>
  </si>
  <si>
    <t>00256</t>
  </si>
  <si>
    <t>00260</t>
  </si>
  <si>
    <t>00262</t>
  </si>
  <si>
    <t>00263</t>
  </si>
  <si>
    <t>00264</t>
  </si>
  <si>
    <t>03423</t>
  </si>
  <si>
    <t>TP-SUCT206 CHUMACERA TP TS 30MM</t>
  </si>
  <si>
    <t>LDTPSUCT206</t>
  </si>
  <si>
    <t>00265</t>
  </si>
  <si>
    <t>00268</t>
  </si>
  <si>
    <t>00269</t>
  </si>
  <si>
    <t>00270</t>
  </si>
  <si>
    <t>00273</t>
  </si>
  <si>
    <t>00274</t>
  </si>
  <si>
    <t>00275</t>
  </si>
  <si>
    <t>00283</t>
  </si>
  <si>
    <t>00284</t>
  </si>
  <si>
    <t>00285</t>
  </si>
  <si>
    <t>01571</t>
  </si>
  <si>
    <t>01674</t>
  </si>
  <si>
    <t>01552</t>
  </si>
  <si>
    <t>00010</t>
  </si>
  <si>
    <t>00717</t>
  </si>
  <si>
    <t>02448</t>
  </si>
  <si>
    <t>02674</t>
  </si>
  <si>
    <t>00382</t>
  </si>
  <si>
    <t>03405</t>
  </si>
  <si>
    <t>CURVA 880 K450 1VIA R=610 90º</t>
  </si>
  <si>
    <t>CC880K4501V610</t>
  </si>
  <si>
    <t>00317</t>
  </si>
  <si>
    <t>00320</t>
  </si>
  <si>
    <t>00316</t>
  </si>
  <si>
    <t>00327</t>
  </si>
  <si>
    <t>00328</t>
  </si>
  <si>
    <t>00330</t>
  </si>
  <si>
    <t>00331</t>
  </si>
  <si>
    <t>00361</t>
  </si>
  <si>
    <t>02705</t>
  </si>
  <si>
    <t>02773</t>
  </si>
  <si>
    <t>02453</t>
  </si>
  <si>
    <t>00345</t>
  </si>
  <si>
    <t>00346</t>
  </si>
  <si>
    <t>01491</t>
  </si>
  <si>
    <t>00323</t>
  </si>
  <si>
    <t>00318</t>
  </si>
  <si>
    <t>02789</t>
  </si>
  <si>
    <t>00326</t>
  </si>
  <si>
    <t>01492</t>
  </si>
  <si>
    <t>00332</t>
  </si>
  <si>
    <t>00812</t>
  </si>
  <si>
    <t>00760</t>
  </si>
  <si>
    <t>00360</t>
  </si>
  <si>
    <t>01329</t>
  </si>
  <si>
    <t>01026</t>
  </si>
  <si>
    <t>03188</t>
  </si>
  <si>
    <t>00859</t>
  </si>
  <si>
    <t>00860</t>
  </si>
  <si>
    <t>00377</t>
  </si>
  <si>
    <t>00379</t>
  </si>
  <si>
    <t>02064</t>
  </si>
  <si>
    <t>01472</t>
  </si>
  <si>
    <t>02449</t>
  </si>
  <si>
    <t>02467</t>
  </si>
  <si>
    <t>02478</t>
  </si>
  <si>
    <t>00343</t>
  </si>
  <si>
    <t>TAZOLETA PLAST P/2000 KGS D198</t>
  </si>
  <si>
    <t>02739</t>
  </si>
  <si>
    <t>00342</t>
  </si>
  <si>
    <t>00325</t>
  </si>
  <si>
    <t>00313</t>
  </si>
  <si>
    <t>02304</t>
  </si>
  <si>
    <t>PVP POR CM $0.34</t>
  </si>
  <si>
    <t>PVP POR CM $0.82</t>
  </si>
  <si>
    <t>02306</t>
  </si>
  <si>
    <t>PVP POR CM $0.75</t>
  </si>
  <si>
    <t>02305</t>
  </si>
  <si>
    <t>PVP POR CM $0.47</t>
  </si>
  <si>
    <t>02307</t>
  </si>
  <si>
    <t>PVP POR CM $0.41</t>
  </si>
  <si>
    <t>02308</t>
  </si>
  <si>
    <t>PVP POR CM $0.78</t>
  </si>
  <si>
    <t>00388</t>
  </si>
  <si>
    <t>01667</t>
  </si>
  <si>
    <t>00385</t>
  </si>
  <si>
    <t>03248</t>
  </si>
  <si>
    <t>00012</t>
  </si>
  <si>
    <t>01956</t>
  </si>
  <si>
    <t>03404</t>
  </si>
  <si>
    <t>03130</t>
  </si>
  <si>
    <t>01537</t>
  </si>
  <si>
    <t>HASTA 3 LINEAS</t>
  </si>
  <si>
    <t>02913</t>
  </si>
  <si>
    <t>01729</t>
  </si>
  <si>
    <t>02444</t>
  </si>
  <si>
    <t>02833</t>
  </si>
  <si>
    <t>01455</t>
  </si>
  <si>
    <t>00429</t>
  </si>
  <si>
    <t>01458</t>
  </si>
  <si>
    <t>02821</t>
  </si>
  <si>
    <t>02823</t>
  </si>
  <si>
    <t>02824</t>
  </si>
  <si>
    <t>03165</t>
  </si>
  <si>
    <t>03167</t>
  </si>
  <si>
    <t>03166</t>
  </si>
  <si>
    <t>03168</t>
  </si>
  <si>
    <t>03028</t>
  </si>
  <si>
    <t>02662</t>
  </si>
  <si>
    <t>02137</t>
  </si>
  <si>
    <t>00437</t>
  </si>
  <si>
    <t>00436</t>
  </si>
  <si>
    <t>00416</t>
  </si>
  <si>
    <t>00415</t>
  </si>
  <si>
    <t>03413</t>
  </si>
  <si>
    <t>00432</t>
  </si>
  <si>
    <t>02831</t>
  </si>
  <si>
    <t>00433</t>
  </si>
  <si>
    <t>02830</t>
  </si>
  <si>
    <t>03001</t>
  </si>
  <si>
    <t>00435</t>
  </si>
  <si>
    <t>03000</t>
  </si>
  <si>
    <t>00430</t>
  </si>
  <si>
    <t>00434</t>
  </si>
  <si>
    <t>01787</t>
  </si>
  <si>
    <t>03384</t>
  </si>
  <si>
    <t>01218</t>
  </si>
  <si>
    <t>02189</t>
  </si>
  <si>
    <t>01149</t>
  </si>
  <si>
    <t>02949</t>
  </si>
  <si>
    <t>01223</t>
  </si>
  <si>
    <t>00417</t>
  </si>
  <si>
    <t>03414</t>
  </si>
  <si>
    <t>03226</t>
  </si>
  <si>
    <t>02778</t>
  </si>
  <si>
    <t>00992</t>
  </si>
  <si>
    <t>01921</t>
  </si>
  <si>
    <t>00427</t>
  </si>
  <si>
    <t>01224</t>
  </si>
  <si>
    <t>00991</t>
  </si>
  <si>
    <t>03281</t>
  </si>
  <si>
    <t>02537</t>
  </si>
  <si>
    <t>01925</t>
  </si>
  <si>
    <t>02980</t>
  </si>
  <si>
    <t>02055</t>
  </si>
  <si>
    <t>00428</t>
  </si>
  <si>
    <t>02996</t>
  </si>
  <si>
    <t>02999</t>
  </si>
  <si>
    <t>02998</t>
  </si>
  <si>
    <t>02997</t>
  </si>
  <si>
    <t>00446</t>
  </si>
  <si>
    <t>00438</t>
  </si>
  <si>
    <t>00439</t>
  </si>
  <si>
    <t>02828</t>
  </si>
  <si>
    <t>00443</t>
  </si>
  <si>
    <t>02134</t>
  </si>
  <si>
    <t>00448</t>
  </si>
  <si>
    <t>00442</t>
  </si>
  <si>
    <t>02829</t>
  </si>
  <si>
    <t>00444</t>
  </si>
  <si>
    <t>00445</t>
  </si>
  <si>
    <t>00447</t>
  </si>
  <si>
    <t>03408</t>
  </si>
  <si>
    <t>00418</t>
  </si>
  <si>
    <t>02825</t>
  </si>
  <si>
    <t>00456</t>
  </si>
  <si>
    <t>00457</t>
  </si>
  <si>
    <t>00469</t>
  </si>
  <si>
    <t>00930</t>
  </si>
  <si>
    <t>00479</t>
  </si>
  <si>
    <t>00475</t>
  </si>
  <si>
    <t>00473</t>
  </si>
  <si>
    <t>00470</t>
  </si>
  <si>
    <t>02325</t>
  </si>
  <si>
    <t>01753</t>
  </si>
  <si>
    <t>02757</t>
  </si>
  <si>
    <t>03345</t>
  </si>
  <si>
    <t>00756</t>
  </si>
  <si>
    <t>00481</t>
  </si>
  <si>
    <t>03409</t>
  </si>
  <si>
    <t>03410</t>
  </si>
  <si>
    <t>00506</t>
  </si>
  <si>
    <t>01383</t>
  </si>
  <si>
    <t>02015</t>
  </si>
  <si>
    <t>02492</t>
  </si>
  <si>
    <t>01874</t>
  </si>
  <si>
    <t>01445</t>
  </si>
  <si>
    <t>02974</t>
  </si>
  <si>
    <t>02177</t>
  </si>
  <si>
    <t>02520</t>
  </si>
  <si>
    <t>02616</t>
  </si>
  <si>
    <t>03379</t>
  </si>
  <si>
    <t>00511</t>
  </si>
  <si>
    <t>01634</t>
  </si>
  <si>
    <t>01545</t>
  </si>
  <si>
    <t>01594</t>
  </si>
  <si>
    <t>00983</t>
  </si>
  <si>
    <t>01486</t>
  </si>
  <si>
    <t>00512</t>
  </si>
  <si>
    <t>00513</t>
  </si>
  <si>
    <t>03134</t>
  </si>
  <si>
    <t>00741</t>
  </si>
  <si>
    <t>02291</t>
  </si>
  <si>
    <t>03424</t>
  </si>
  <si>
    <t>PIÑON NY/N 880 Z12 D25MM</t>
  </si>
  <si>
    <t>CPNYN880Z12D25</t>
  </si>
  <si>
    <t>00559</t>
  </si>
  <si>
    <t>01349</t>
  </si>
  <si>
    <t>01278</t>
  </si>
  <si>
    <t>00523</t>
  </si>
  <si>
    <t>00516</t>
  </si>
  <si>
    <t>00545</t>
  </si>
  <si>
    <t>00546</t>
  </si>
  <si>
    <t>00553</t>
  </si>
  <si>
    <t>00554</t>
  </si>
  <si>
    <t>00555</t>
  </si>
  <si>
    <t>00526</t>
  </si>
  <si>
    <t>00524</t>
  </si>
  <si>
    <t>00550</t>
  </si>
  <si>
    <t>00549</t>
  </si>
  <si>
    <t>00548</t>
  </si>
  <si>
    <t>00529</t>
  </si>
  <si>
    <t>00527</t>
  </si>
  <si>
    <t>00528</t>
  </si>
  <si>
    <t>00532</t>
  </si>
  <si>
    <t>00531</t>
  </si>
  <si>
    <t>00530</t>
  </si>
  <si>
    <t>00533</t>
  </si>
  <si>
    <t>00517</t>
  </si>
  <si>
    <t>00520</t>
  </si>
  <si>
    <t>00541</t>
  </si>
  <si>
    <t>00521</t>
  </si>
  <si>
    <t>00519</t>
  </si>
  <si>
    <t>00543</t>
  </si>
  <si>
    <t>00573</t>
  </si>
  <si>
    <t>00574</t>
  </si>
  <si>
    <t>00575</t>
  </si>
  <si>
    <t>01238</t>
  </si>
  <si>
    <t>02343</t>
  </si>
  <si>
    <t>00578</t>
  </si>
  <si>
    <t>00665</t>
  </si>
  <si>
    <t>00018</t>
  </si>
  <si>
    <t>00675</t>
  </si>
  <si>
    <t>00605</t>
  </si>
  <si>
    <t>02228</t>
  </si>
  <si>
    <t>02827</t>
  </si>
  <si>
    <t>02224</t>
  </si>
  <si>
    <t>03350</t>
  </si>
  <si>
    <t>00970</t>
  </si>
  <si>
    <t>00598</t>
  </si>
  <si>
    <t>00599</t>
  </si>
  <si>
    <t>00658</t>
  </si>
  <si>
    <t>00824</t>
  </si>
  <si>
    <t>00667</t>
  </si>
  <si>
    <t>00652</t>
  </si>
  <si>
    <t>02227</t>
  </si>
  <si>
    <t>02122</t>
  </si>
  <si>
    <t>02474</t>
  </si>
  <si>
    <t>03003</t>
  </si>
  <si>
    <t>03351</t>
  </si>
  <si>
    <t>02614</t>
  </si>
  <si>
    <t>00969</t>
  </si>
  <si>
    <t>00596</t>
  </si>
  <si>
    <t>00610</t>
  </si>
  <si>
    <t>00971</t>
  </si>
  <si>
    <t>02543</t>
  </si>
  <si>
    <t>00663</t>
  </si>
  <si>
    <t>02282</t>
  </si>
  <si>
    <t>00614</t>
  </si>
  <si>
    <t>02186</t>
  </si>
  <si>
    <t>02010</t>
  </si>
  <si>
    <t>00602</t>
  </si>
  <si>
    <t>00974</t>
  </si>
  <si>
    <t>00629</t>
  </si>
  <si>
    <t>01054</t>
  </si>
  <si>
    <t>01407</t>
  </si>
  <si>
    <t>00606</t>
  </si>
  <si>
    <t>02544</t>
  </si>
  <si>
    <t>02547</t>
  </si>
  <si>
    <t>01631</t>
  </si>
  <si>
    <t>02222</t>
  </si>
  <si>
    <t>02545</t>
  </si>
  <si>
    <t>02546</t>
  </si>
  <si>
    <t>00657</t>
  </si>
  <si>
    <t>01163</t>
  </si>
  <si>
    <t>00619</t>
  </si>
  <si>
    <t>00668</t>
  </si>
  <si>
    <t>01008</t>
  </si>
  <si>
    <t>01785</t>
  </si>
  <si>
    <t>00748</t>
  </si>
  <si>
    <t>00612</t>
  </si>
  <si>
    <t>00635</t>
  </si>
  <si>
    <t>02437</t>
  </si>
  <si>
    <t>00600</t>
  </si>
  <si>
    <t>00636</t>
  </si>
  <si>
    <t>01970</t>
  </si>
  <si>
    <t>00593</t>
  </si>
  <si>
    <t>00766</t>
  </si>
  <si>
    <t>00617</t>
  </si>
  <si>
    <t>00609</t>
  </si>
  <si>
    <t>00611</t>
  </si>
  <si>
    <t>00676</t>
  </si>
  <si>
    <t>00672</t>
  </si>
  <si>
    <t>01939</t>
  </si>
  <si>
    <t>01101</t>
  </si>
  <si>
    <t>00613</t>
  </si>
  <si>
    <t>02979</t>
  </si>
  <si>
    <t>00618</t>
  </si>
  <si>
    <t>02221</t>
  </si>
  <si>
    <t>02978</t>
  </si>
  <si>
    <t>02977</t>
  </si>
  <si>
    <t>00747</t>
  </si>
  <si>
    <t>03280</t>
  </si>
  <si>
    <t>00749</t>
  </si>
  <si>
    <t>00750</t>
  </si>
  <si>
    <t>00656</t>
  </si>
  <si>
    <t>03018</t>
  </si>
  <si>
    <t>02223</t>
  </si>
  <si>
    <t>02272</t>
  </si>
  <si>
    <t>03312</t>
  </si>
  <si>
    <t>02270</t>
  </si>
  <si>
    <t>00976</t>
  </si>
  <si>
    <t>00621</t>
  </si>
  <si>
    <t>00625</t>
  </si>
  <si>
    <t>01011</t>
  </si>
  <si>
    <t>00632</t>
  </si>
  <si>
    <t>02687</t>
  </si>
  <si>
    <t>02302</t>
  </si>
  <si>
    <t>00626</t>
  </si>
  <si>
    <t>00615</t>
  </si>
  <si>
    <t>01325</t>
  </si>
  <si>
    <t>VALVULA 3P-MGV PXR-RX2 451476</t>
  </si>
  <si>
    <t>HI451476</t>
  </si>
  <si>
    <t>00603</t>
  </si>
  <si>
    <t>00671</t>
  </si>
  <si>
    <t>02111</t>
  </si>
  <si>
    <t>00023</t>
  </si>
  <si>
    <t>01048</t>
  </si>
  <si>
    <t>00025</t>
  </si>
  <si>
    <t>01834</t>
  </si>
  <si>
    <t>01835</t>
  </si>
  <si>
    <t>01155</t>
  </si>
  <si>
    <t>02214</t>
  </si>
  <si>
    <t>00401</t>
  </si>
  <si>
    <t>00027</t>
  </si>
  <si>
    <t>50FT² CADA PLANCHA</t>
  </si>
  <si>
    <t>00402</t>
  </si>
  <si>
    <t>00400</t>
  </si>
  <si>
    <t>MEDIDA PLANCHA 48"X120"</t>
  </si>
  <si>
    <t>00403</t>
  </si>
  <si>
    <t>00404</t>
  </si>
  <si>
    <t>00405</t>
  </si>
  <si>
    <t>02751</t>
  </si>
  <si>
    <t>02235</t>
  </si>
  <si>
    <t>02314</t>
  </si>
  <si>
    <t>02953</t>
  </si>
  <si>
    <t>02750</t>
  </si>
  <si>
    <t>02656</t>
  </si>
  <si>
    <t>02606</t>
  </si>
  <si>
    <t>01317</t>
  </si>
  <si>
    <t>00923</t>
  </si>
  <si>
    <t>00047</t>
  </si>
  <si>
    <t>01850</t>
  </si>
  <si>
    <t>01852</t>
  </si>
  <si>
    <t>01857</t>
  </si>
  <si>
    <t>02021</t>
  </si>
  <si>
    <t>01583</t>
  </si>
  <si>
    <t>01411</t>
  </si>
  <si>
    <t>00048</t>
  </si>
  <si>
    <t>00057</t>
  </si>
  <si>
    <t>01735</t>
  </si>
  <si>
    <t>01734</t>
  </si>
  <si>
    <t>01575</t>
  </si>
  <si>
    <t>02210</t>
  </si>
  <si>
    <t>00841</t>
  </si>
  <si>
    <t>01494</t>
  </si>
  <si>
    <t>00487</t>
  </si>
  <si>
    <t>03194</t>
  </si>
  <si>
    <t>BANDA S-E30 FLAT TOP PP B. 65CMS E/7.5 C/81 IE/4 II/5</t>
  </si>
  <si>
    <t>EUE30FTPPB65E7.</t>
  </si>
  <si>
    <t>00742</t>
  </si>
  <si>
    <t>BANDA S-E30 FLUSH GRID PP A. 78CMS</t>
  </si>
  <si>
    <t>EUE30FGPPA78</t>
  </si>
  <si>
    <t>00488</t>
  </si>
  <si>
    <t>BANDA S-E30 FLUSH GRID PP B. 39CMS</t>
  </si>
  <si>
    <t>EUE30FGPPB39</t>
  </si>
  <si>
    <t>02148</t>
  </si>
  <si>
    <t>03036</t>
  </si>
  <si>
    <t>02096</t>
  </si>
  <si>
    <t>02427</t>
  </si>
  <si>
    <t>00399</t>
  </si>
  <si>
    <t>02644</t>
  </si>
  <si>
    <t>02645</t>
  </si>
  <si>
    <t>01688</t>
  </si>
  <si>
    <t>02801</t>
  </si>
  <si>
    <t>01689</t>
  </si>
  <si>
    <t>02802</t>
  </si>
  <si>
    <t>02808</t>
  </si>
  <si>
    <t>01691</t>
  </si>
  <si>
    <t>02809</t>
  </si>
  <si>
    <t>01692</t>
  </si>
  <si>
    <t>02806</t>
  </si>
  <si>
    <t>02811</t>
  </si>
  <si>
    <t>02650</t>
  </si>
  <si>
    <t>02803</t>
  </si>
  <si>
    <t>02652</t>
  </si>
  <si>
    <t>02642</t>
  </si>
  <si>
    <t>02654</t>
  </si>
  <si>
    <t>02967</t>
  </si>
  <si>
    <t>01940</t>
  </si>
  <si>
    <t>02076</t>
  </si>
  <si>
    <t>02805</t>
  </si>
  <si>
    <t>02640</t>
  </si>
  <si>
    <t>01686</t>
  </si>
  <si>
    <t>02800</t>
  </si>
  <si>
    <t>01687</t>
  </si>
  <si>
    <t>02794</t>
  </si>
  <si>
    <t>02500</t>
  </si>
  <si>
    <t>02143</t>
  </si>
  <si>
    <t>01474</t>
  </si>
  <si>
    <t>01476</t>
  </si>
  <si>
    <t>02647</t>
  </si>
  <si>
    <t>01478</t>
  </si>
  <si>
    <t>02807</t>
  </si>
  <si>
    <t>00908</t>
  </si>
  <si>
    <t>03153</t>
  </si>
  <si>
    <t>00816</t>
  </si>
  <si>
    <t>02075</t>
  </si>
  <si>
    <t>02637</t>
  </si>
  <si>
    <t>01720</t>
  </si>
  <si>
    <t>00362</t>
  </si>
  <si>
    <t>02882</t>
  </si>
  <si>
    <t>01143</t>
  </si>
  <si>
    <t>01677</t>
  </si>
  <si>
    <t>02685</t>
  </si>
  <si>
    <t>02868</t>
  </si>
  <si>
    <t>02340</t>
  </si>
  <si>
    <t>02341</t>
  </si>
  <si>
    <t>01049</t>
  </si>
  <si>
    <t>02964</t>
  </si>
  <si>
    <t>02345</t>
  </si>
  <si>
    <t>02346</t>
  </si>
  <si>
    <t>02869</t>
  </si>
  <si>
    <t>02339</t>
  </si>
  <si>
    <t>03135</t>
  </si>
  <si>
    <t>01673</t>
  </si>
  <si>
    <t>01676</t>
  </si>
  <si>
    <t>02683</t>
  </si>
  <si>
    <t>02684</t>
  </si>
  <si>
    <t>02350</t>
  </si>
  <si>
    <t>01591</t>
  </si>
  <si>
    <t>01675</t>
  </si>
  <si>
    <t>00905</t>
  </si>
  <si>
    <t>03149</t>
  </si>
  <si>
    <t>03150</t>
  </si>
  <si>
    <t>02643</t>
  </si>
  <si>
    <t>02796</t>
  </si>
  <si>
    <t>01681</t>
  </si>
  <si>
    <t>02792</t>
  </si>
  <si>
    <t>01682</t>
  </si>
  <si>
    <t>02797</t>
  </si>
  <si>
    <t>01685</t>
  </si>
  <si>
    <t>02810</t>
  </si>
  <si>
    <t>02649</t>
  </si>
  <si>
    <t>02651</t>
  </si>
  <si>
    <t>02641</t>
  </si>
  <si>
    <t>02344</t>
  </si>
  <si>
    <t>02653</t>
  </si>
  <si>
    <t>02966</t>
  </si>
  <si>
    <t>02077</t>
  </si>
  <si>
    <t>02638</t>
  </si>
  <si>
    <t>02639</t>
  </si>
  <si>
    <t>02342</t>
  </si>
  <si>
    <t>03151</t>
  </si>
  <si>
    <t>01679</t>
  </si>
  <si>
    <t>02793</t>
  </si>
  <si>
    <t>02795</t>
  </si>
  <si>
    <t>01683</t>
  </si>
  <si>
    <t>01570</t>
  </si>
  <si>
    <t>01851</t>
  </si>
  <si>
    <t>01473</t>
  </si>
  <si>
    <t>01721</t>
  </si>
  <si>
    <t>02646</t>
  </si>
  <si>
    <t>01477</t>
  </si>
  <si>
    <t>00907</t>
  </si>
  <si>
    <t>03152</t>
  </si>
  <si>
    <t>00811</t>
  </si>
  <si>
    <t>02689</t>
  </si>
  <si>
    <t>00322</t>
  </si>
  <si>
    <t>00321</t>
  </si>
  <si>
    <t>00319</t>
  </si>
  <si>
    <t>00350</t>
  </si>
  <si>
    <t>02261</t>
  </si>
  <si>
    <t>00356</t>
  </si>
  <si>
    <t>00378</t>
  </si>
  <si>
    <t>01742</t>
  </si>
  <si>
    <t>00464</t>
  </si>
  <si>
    <t>01716</t>
  </si>
  <si>
    <t>01318</t>
  </si>
  <si>
    <t>03052</t>
  </si>
  <si>
    <t>01576</t>
  </si>
  <si>
    <t>01160</t>
  </si>
  <si>
    <t>01251</t>
  </si>
  <si>
    <t>00843</t>
  </si>
  <si>
    <t>01818</t>
  </si>
  <si>
    <t>01164</t>
  </si>
  <si>
    <t>00800</t>
  </si>
  <si>
    <t>02080</t>
  </si>
  <si>
    <t>03267</t>
  </si>
  <si>
    <t>01417</t>
  </si>
  <si>
    <t>01053</t>
  </si>
  <si>
    <t>01514</t>
  </si>
  <si>
    <t>00989</t>
  </si>
  <si>
    <t>03230</t>
  </si>
  <si>
    <t>02813</t>
  </si>
  <si>
    <t>01875</t>
  </si>
  <si>
    <t>01305</t>
  </si>
  <si>
    <t>02316</t>
  </si>
  <si>
    <t>01892</t>
  </si>
  <si>
    <t>02574</t>
  </si>
  <si>
    <t>01914</t>
  </si>
  <si>
    <t>01915</t>
  </si>
  <si>
    <t>02559</t>
  </si>
  <si>
    <t>01707</t>
  </si>
  <si>
    <t>02424</t>
  </si>
  <si>
    <t>02031</t>
  </si>
  <si>
    <t>02043</t>
  </si>
  <si>
    <t>00728</t>
  </si>
  <si>
    <t>00828</t>
  </si>
  <si>
    <t>01339</t>
  </si>
  <si>
    <t>01870</t>
  </si>
  <si>
    <t>00239</t>
  </si>
  <si>
    <t>02145</t>
  </si>
  <si>
    <t>00240</t>
  </si>
  <si>
    <t>02561</t>
  </si>
  <si>
    <t>01516</t>
  </si>
  <si>
    <t>01517</t>
  </si>
  <si>
    <t>02565</t>
  </si>
  <si>
    <t>02230</t>
  </si>
  <si>
    <t>01820</t>
  </si>
  <si>
    <t>00242</t>
  </si>
  <si>
    <t>00243</t>
  </si>
  <si>
    <t>00244</t>
  </si>
  <si>
    <t>03266</t>
  </si>
  <si>
    <t>03225</t>
  </si>
  <si>
    <t>00501</t>
  </si>
  <si>
    <t>02181</t>
  </si>
  <si>
    <t>01889</t>
  </si>
  <si>
    <t>01864</t>
  </si>
  <si>
    <t>00651</t>
  </si>
  <si>
    <t>03256</t>
  </si>
  <si>
    <t>01923</t>
  </si>
  <si>
    <t>02564</t>
  </si>
  <si>
    <t>02772</t>
  </si>
  <si>
    <t>03258</t>
  </si>
  <si>
    <t>00248</t>
  </si>
  <si>
    <t>01201</t>
  </si>
  <si>
    <t>02563</t>
  </si>
  <si>
    <t>01269</t>
  </si>
  <si>
    <t>01764</t>
  </si>
  <si>
    <t>02951</t>
  </si>
  <si>
    <t>03298</t>
  </si>
  <si>
    <t>01249</t>
  </si>
  <si>
    <t>01919</t>
  </si>
  <si>
    <t>01174</t>
  </si>
  <si>
    <t>02925</t>
  </si>
  <si>
    <t>02502</t>
  </si>
  <si>
    <t>00721</t>
  </si>
  <si>
    <t>01080</t>
  </si>
  <si>
    <t>02496</t>
  </si>
  <si>
    <t>01703</t>
  </si>
  <si>
    <t>02251</t>
  </si>
  <si>
    <t>02166</t>
  </si>
  <si>
    <t>00666</t>
  </si>
  <si>
    <t>01768</t>
  </si>
  <si>
    <t>00716</t>
  </si>
  <si>
    <t>03050</t>
  </si>
  <si>
    <t>01762</t>
  </si>
  <si>
    <t>02836</t>
  </si>
  <si>
    <t>01520</t>
  </si>
  <si>
    <t>00426</t>
  </si>
  <si>
    <t>03209</t>
  </si>
  <si>
    <t>01384</t>
  </si>
  <si>
    <t>00121</t>
  </si>
  <si>
    <t>01789</t>
  </si>
  <si>
    <t>02060</t>
  </si>
  <si>
    <t>03174</t>
  </si>
  <si>
    <t>02580</t>
  </si>
  <si>
    <t>02581</t>
  </si>
  <si>
    <t>02361</t>
  </si>
  <si>
    <t>02372</t>
  </si>
  <si>
    <t>02385</t>
  </si>
  <si>
    <t>02395</t>
  </si>
  <si>
    <t>02386</t>
  </si>
  <si>
    <t>02396</t>
  </si>
  <si>
    <t>02360</t>
  </si>
  <si>
    <t>02371</t>
  </si>
  <si>
    <t>02407</t>
  </si>
  <si>
    <t>02777</t>
  </si>
  <si>
    <t>02387</t>
  </si>
  <si>
    <t>02398</t>
  </si>
  <si>
    <t>02741</t>
  </si>
  <si>
    <t>02373</t>
  </si>
  <si>
    <t>02397</t>
  </si>
  <si>
    <t>02740</t>
  </si>
  <si>
    <t>03096</t>
  </si>
  <si>
    <t>02417</t>
  </si>
  <si>
    <t>02904</t>
  </si>
  <si>
    <t>02710</t>
  </si>
  <si>
    <t>02711</t>
  </si>
  <si>
    <t>02712</t>
  </si>
  <si>
    <t>02442</t>
  </si>
  <si>
    <t>02443</t>
  </si>
  <si>
    <t>02445</t>
  </si>
  <si>
    <t>02450</t>
  </si>
  <si>
    <t>03075</t>
  </si>
  <si>
    <t>02775</t>
  </si>
  <si>
    <t>01097</t>
  </si>
  <si>
    <t>01778</t>
  </si>
  <si>
    <t>02747</t>
  </si>
  <si>
    <t>02299</t>
  </si>
  <si>
    <t>02279</t>
  </si>
  <si>
    <t>02183</t>
  </si>
  <si>
    <t>02615</t>
  </si>
  <si>
    <t>02274</t>
  </si>
  <si>
    <t>02536</t>
  </si>
  <si>
    <t>02273</t>
  </si>
  <si>
    <t>02941</t>
  </si>
  <si>
    <t>00751</t>
  </si>
  <si>
    <t>02619</t>
  </si>
  <si>
    <t>02620</t>
  </si>
  <si>
    <t>02530</t>
  </si>
  <si>
    <t>02271</t>
  </si>
  <si>
    <t>02457</t>
  </si>
  <si>
    <t>02539</t>
  </si>
  <si>
    <t>02540</t>
  </si>
  <si>
    <t>02541</t>
  </si>
  <si>
    <t>02602</t>
  </si>
  <si>
    <t>01736</t>
  </si>
  <si>
    <t>02284</t>
  </si>
  <si>
    <t>00280</t>
  </si>
  <si>
    <t>02531</t>
  </si>
  <si>
    <t>02939</t>
  </si>
  <si>
    <t>02609</t>
  </si>
  <si>
    <t>03301</t>
  </si>
  <si>
    <t>03302</t>
  </si>
  <si>
    <t>02277</t>
  </si>
  <si>
    <t>02267</t>
  </si>
  <si>
    <t>02621</t>
  </si>
  <si>
    <t>02265</t>
  </si>
  <si>
    <t>02945</t>
  </si>
  <si>
    <t>02622</t>
  </si>
  <si>
    <t>02542</t>
  </si>
  <si>
    <t>02936</t>
  </si>
  <si>
    <t>02942</t>
  </si>
  <si>
    <t>02935</t>
  </si>
  <si>
    <t>02943</t>
  </si>
  <si>
    <t>01976</t>
  </si>
  <si>
    <t>02538</t>
  </si>
  <si>
    <t>02185</t>
  </si>
  <si>
    <t>01740</t>
  </si>
  <si>
    <t>02610</t>
  </si>
  <si>
    <t>02854</t>
  </si>
  <si>
    <t>02855</t>
  </si>
  <si>
    <t>02268</t>
  </si>
  <si>
    <t>02608</t>
  </si>
  <si>
    <t>02269</t>
  </si>
  <si>
    <t>00476</t>
  </si>
  <si>
    <t>01104</t>
  </si>
  <si>
    <t>01105</t>
  </si>
  <si>
    <t>01598</t>
  </si>
  <si>
    <t>00289</t>
  </si>
  <si>
    <t>03303</t>
  </si>
  <si>
    <t>02278</t>
  </si>
  <si>
    <t>02275</t>
  </si>
  <si>
    <t>02281</t>
  </si>
  <si>
    <t>02604</t>
  </si>
  <si>
    <t>00763</t>
  </si>
  <si>
    <t>00936</t>
  </si>
  <si>
    <t>02853</t>
  </si>
  <si>
    <t>02262</t>
  </si>
  <si>
    <t>03162</t>
  </si>
  <si>
    <t>02617</t>
  </si>
  <si>
    <t>02607</t>
  </si>
  <si>
    <t>02212</t>
  </si>
  <si>
    <t>02613</t>
  </si>
  <si>
    <t>02612</t>
  </si>
  <si>
    <t>02940</t>
  </si>
  <si>
    <t>02276</t>
  </si>
  <si>
    <t>02605</t>
  </si>
  <si>
    <t>02603</t>
  </si>
  <si>
    <t>00570</t>
  </si>
  <si>
    <t>00534</t>
  </si>
  <si>
    <t>00272</t>
  </si>
  <si>
    <t>00387</t>
  </si>
  <si>
    <t>00389</t>
  </si>
  <si>
    <t>01422</t>
  </si>
  <si>
    <t>00425</t>
  </si>
  <si>
    <t>00577</t>
  </si>
  <si>
    <t>00980</t>
  </si>
  <si>
    <t>02171</t>
  </si>
  <si>
    <t>01731</t>
  </si>
  <si>
    <t>00808</t>
  </si>
  <si>
    <t>01479</t>
  </si>
  <si>
    <t>02556</t>
  </si>
  <si>
    <t>03234</t>
  </si>
  <si>
    <t>02557</t>
  </si>
  <si>
    <t>01205</t>
  </si>
  <si>
    <t>00567</t>
  </si>
  <si>
    <t>00566</t>
  </si>
  <si>
    <t>02280</t>
  </si>
  <si>
    <t>02532</t>
  </si>
  <si>
    <t>02534</t>
  </si>
  <si>
    <t>02535</t>
  </si>
  <si>
    <t>02858</t>
  </si>
  <si>
    <t>00874</t>
  </si>
  <si>
    <t>00875</t>
  </si>
  <si>
    <t>01039</t>
  </si>
  <si>
    <t>00300</t>
  </si>
  <si>
    <t>02479</t>
  </si>
  <si>
    <t>02480</t>
  </si>
  <si>
    <t>03056</t>
  </si>
  <si>
    <t>00306</t>
  </si>
  <si>
    <t>01696</t>
  </si>
  <si>
    <t>00132</t>
  </si>
  <si>
    <t>00135</t>
  </si>
  <si>
    <t>00137</t>
  </si>
  <si>
    <t>00139</t>
  </si>
  <si>
    <t>00140</t>
  </si>
  <si>
    <t>00141</t>
  </si>
  <si>
    <t>00143</t>
  </si>
  <si>
    <t>00144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</si>
  <si>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</si>
  <si>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</si>
  <si>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</si>
  <si>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</si>
  <si>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</si>
  <si>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</si>
  <si>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</si>
  <si>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</si>
  <si>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00165</t>
  </si>
  <si>
    <t>00192</t>
  </si>
  <si>
    <t>00198</t>
  </si>
  <si>
    <t>00204</t>
  </si>
  <si>
    <t>00206</t>
  </si>
  <si>
    <t>03136</t>
  </si>
  <si>
    <t>01995</t>
  </si>
  <si>
    <t>02864</t>
  </si>
  <si>
    <t>02678</t>
  </si>
  <si>
    <t>02329</t>
  </si>
  <si>
    <t>02863</t>
  </si>
  <si>
    <t>02334</t>
  </si>
  <si>
    <t>03146</t>
  </si>
  <si>
    <t>01661</t>
  </si>
  <si>
    <t>01402</t>
  </si>
  <si>
    <t>00877</t>
  </si>
  <si>
    <t>01880</t>
  </si>
  <si>
    <t>01396</t>
  </si>
  <si>
    <t>02331</t>
  </si>
  <si>
    <t>01990</t>
  </si>
  <si>
    <t>02336</t>
  </si>
  <si>
    <t>02679</t>
  </si>
  <si>
    <t>01662</t>
  </si>
  <si>
    <t>02664</t>
  </si>
  <si>
    <t>02861</t>
  </si>
  <si>
    <t>02332</t>
  </si>
  <si>
    <t>03145</t>
  </si>
  <si>
    <t>01343</t>
  </si>
  <si>
    <t>01394</t>
  </si>
  <si>
    <t>00848</t>
  </si>
  <si>
    <t>02680</t>
  </si>
  <si>
    <t>02862</t>
  </si>
  <si>
    <t>02665</t>
  </si>
  <si>
    <t>01668</t>
  </si>
  <si>
    <t>01227</t>
  </si>
  <si>
    <t>02140</t>
  </si>
  <si>
    <t>02666</t>
  </si>
  <si>
    <t>02337</t>
  </si>
  <si>
    <t>02865</t>
  </si>
  <si>
    <t>01663</t>
  </si>
  <si>
    <t>02962</t>
  </si>
  <si>
    <t>02660</t>
  </si>
  <si>
    <t>02667</t>
  </si>
  <si>
    <t>01226</t>
  </si>
  <si>
    <t>01878</t>
  </si>
  <si>
    <t>01666</t>
  </si>
  <si>
    <t>00904</t>
  </si>
  <si>
    <t>02661</t>
  </si>
  <si>
    <t>02668</t>
  </si>
  <si>
    <t>02673</t>
  </si>
  <si>
    <t>02669</t>
  </si>
  <si>
    <t>01243</t>
  </si>
  <si>
    <t>02681</t>
  </si>
  <si>
    <t>02330</t>
  </si>
  <si>
    <t>02675</t>
  </si>
  <si>
    <t>03139</t>
  </si>
  <si>
    <t>02961</t>
  </si>
  <si>
    <t>02670</t>
  </si>
  <si>
    <t>02676</t>
  </si>
  <si>
    <t>01664</t>
  </si>
  <si>
    <t>01669</t>
  </si>
  <si>
    <t>03140</t>
  </si>
  <si>
    <t>02840</t>
  </si>
  <si>
    <t>02677</t>
  </si>
  <si>
    <t>03141</t>
  </si>
  <si>
    <t>03142</t>
  </si>
  <si>
    <t>01057</t>
  </si>
  <si>
    <t>01670</t>
  </si>
  <si>
    <t>03143</t>
  </si>
  <si>
    <t>01992</t>
  </si>
  <si>
    <t>02141</t>
  </si>
  <si>
    <t>03144</t>
  </si>
  <si>
    <t>01656</t>
  </si>
  <si>
    <t>02101</t>
  </si>
  <si>
    <t>02487</t>
  </si>
  <si>
    <t>02490</t>
  </si>
  <si>
    <t>02873</t>
  </si>
  <si>
    <t>03307</t>
  </si>
  <si>
    <t>02494</t>
  </si>
  <si>
    <t>01288</t>
  </si>
  <si>
    <t>00630</t>
  </si>
  <si>
    <t>02934</t>
  </si>
  <si>
    <t>02558</t>
  </si>
  <si>
    <t>00684</t>
  </si>
  <si>
    <t>01584</t>
  </si>
  <si>
    <t>00334</t>
  </si>
  <si>
    <t>01806</t>
  </si>
  <si>
    <t>01725</t>
  </si>
  <si>
    <t>02155</t>
  </si>
  <si>
    <t>02554</t>
  </si>
  <si>
    <t>00491</t>
  </si>
  <si>
    <t>02110</t>
  </si>
  <si>
    <t>01511</t>
  </si>
  <si>
    <t>01829</t>
  </si>
  <si>
    <t>02211</t>
  </si>
  <si>
    <t>01138</t>
  </si>
  <si>
    <t>00948</t>
  </si>
  <si>
    <t>02205</t>
  </si>
  <si>
    <t>02963</t>
  </si>
  <si>
    <t>00408</t>
  </si>
  <si>
    <t>00982</t>
  </si>
  <si>
    <t>00882</t>
  </si>
  <si>
    <t>00953</t>
  </si>
  <si>
    <t>00883</t>
  </si>
  <si>
    <t>00561</t>
  </si>
  <si>
    <t>00344</t>
  </si>
  <si>
    <t>02815</t>
  </si>
  <si>
    <t>02029</t>
  </si>
  <si>
    <t>01501</t>
  </si>
  <si>
    <t>00962</t>
  </si>
  <si>
    <t>02898</t>
  </si>
  <si>
    <t>01947</t>
  </si>
  <si>
    <t>02001</t>
  </si>
  <si>
    <t>02895</t>
  </si>
  <si>
    <t>02769</t>
  </si>
  <si>
    <t>00019</t>
  </si>
  <si>
    <t>02482</t>
  </si>
  <si>
    <t>01316</t>
  </si>
  <si>
    <t>00395</t>
  </si>
  <si>
    <t>00396</t>
  </si>
  <si>
    <t>02567</t>
  </si>
  <si>
    <t>00482</t>
  </si>
  <si>
    <t>03278</t>
  </si>
  <si>
    <t>00021</t>
  </si>
  <si>
    <t>00022</t>
  </si>
  <si>
    <t>00390</t>
  </si>
  <si>
    <t>00391</t>
  </si>
  <si>
    <t>00587</t>
  </si>
  <si>
    <t>02965</t>
  </si>
  <si>
    <t>01899</t>
  </si>
  <si>
    <t>01463</t>
  </si>
  <si>
    <t>00881</t>
  </si>
  <si>
    <t>00880</t>
  </si>
  <si>
    <t>02113</t>
  </si>
  <si>
    <t>02295</t>
  </si>
  <si>
    <t>03154</t>
  </si>
  <si>
    <t>03243</t>
  </si>
  <si>
    <t>03023</t>
  </si>
  <si>
    <t>00398</t>
  </si>
  <si>
    <t>02788</t>
  </si>
  <si>
    <t>00901</t>
  </si>
  <si>
    <t>02037</t>
  </si>
  <si>
    <t>00490</t>
  </si>
  <si>
    <t>03017</t>
  </si>
  <si>
    <t>01628</t>
  </si>
  <si>
    <t>02820</t>
  </si>
  <si>
    <t>02761</t>
  </si>
  <si>
    <t>00769</t>
  </si>
  <si>
    <t>01601</t>
  </si>
  <si>
    <t>01144</t>
  </si>
  <si>
    <t>01356</t>
  </si>
  <si>
    <t>01355</t>
  </si>
  <si>
    <t>00929</t>
  </si>
  <si>
    <t>03175</t>
  </si>
  <si>
    <t>01644</t>
  </si>
  <si>
    <t>01622</t>
  </si>
  <si>
    <t>00088</t>
  </si>
  <si>
    <t>03213</t>
  </si>
  <si>
    <t>02099</t>
  </si>
  <si>
    <t>02817</t>
  </si>
  <si>
    <t>02816</t>
  </si>
  <si>
    <t>02550</t>
  </si>
  <si>
    <t>03016</t>
  </si>
  <si>
    <t>01627</t>
  </si>
  <si>
    <t>00108</t>
  </si>
  <si>
    <t>02525</t>
  </si>
  <si>
    <t>02355</t>
  </si>
  <si>
    <t>01624</t>
  </si>
  <si>
    <t>00855</t>
  </si>
  <si>
    <t>02356</t>
  </si>
  <si>
    <t>01623</t>
  </si>
  <si>
    <t>00852</t>
  </si>
  <si>
    <t>02428</t>
  </si>
  <si>
    <t>02429</t>
  </si>
  <si>
    <t>03033</t>
  </si>
  <si>
    <t>03031</t>
  </si>
  <si>
    <t>03034</t>
  </si>
  <si>
    <t>03032</t>
  </si>
  <si>
    <t>02955</t>
  </si>
  <si>
    <t>03132</t>
  </si>
  <si>
    <t>02067</t>
  </si>
  <si>
    <t>03288</t>
  </si>
  <si>
    <t>03210</t>
  </si>
  <si>
    <t>02283</t>
  </si>
  <si>
    <t>00915</t>
  </si>
  <si>
    <t>03113</t>
  </si>
  <si>
    <t>02085</t>
  </si>
  <si>
    <t>02174</t>
  </si>
  <si>
    <t>02070</t>
  </si>
  <si>
    <t>03191</t>
  </si>
  <si>
    <t>02481</t>
  </si>
  <si>
    <t>01795</t>
  </si>
  <si>
    <t>00156</t>
  </si>
  <si>
    <t>00120</t>
  </si>
  <si>
    <t>00024</t>
  </si>
  <si>
    <t>00201</t>
  </si>
  <si>
    <t>00050</t>
  </si>
  <si>
    <t>00407</t>
  </si>
  <si>
    <t>00166</t>
  </si>
  <si>
    <t>00423</t>
  </si>
  <si>
    <t>00424</t>
  </si>
  <si>
    <t>00414</t>
  </si>
  <si>
    <t>00411</t>
  </si>
  <si>
    <t>00486</t>
  </si>
  <si>
    <t>00431</t>
  </si>
  <si>
    <t>00125</t>
  </si>
  <si>
    <t>00419</t>
  </si>
  <si>
    <t>00441</t>
  </si>
  <si>
    <t>00421</t>
  </si>
  <si>
    <t>00129</t>
  </si>
  <si>
    <t>EUB50FTACB116</t>
  </si>
  <si>
    <t>BANDA S-B50 FLAT TOP AC B. 116CMS</t>
  </si>
  <si>
    <t>EUB50FTPPB14</t>
  </si>
  <si>
    <t>BANDA S-B50 FLAT TOP PP B. 14CMS</t>
  </si>
  <si>
    <t>EUB50FTPPB16</t>
  </si>
  <si>
    <t>BANDA S-B50 FLAT TOP PP B. 16CMS</t>
  </si>
  <si>
    <t>EUB50FTPPB20</t>
  </si>
  <si>
    <t>BANDA S-B50 FLAT TOP PP B. 20CMS</t>
  </si>
  <si>
    <t>EUB50FTPPB40</t>
  </si>
  <si>
    <t>BANDA S-B50 FLAT TOP PP B. 40CMS</t>
  </si>
  <si>
    <t>EUB50FTPPB50</t>
  </si>
  <si>
    <t>BANDA S-B50 FLAT TOP PP B. 50CMS</t>
  </si>
  <si>
    <t>EUC12FTPEN50</t>
  </si>
  <si>
    <t>BANDA S-C12 FLAT TOP PE N. 50CMS</t>
  </si>
  <si>
    <t>EUC12FGPEN100</t>
  </si>
  <si>
    <t>BANDA S-C12 FLUSH GRID PE N. 100CMS</t>
  </si>
  <si>
    <t>EUE30FTPPA30E2.</t>
  </si>
  <si>
    <t>BANDA S-E30 FLAT TOP PP A. 30CMS E/2.5 C/30 I/4</t>
  </si>
  <si>
    <t>EUE30FTPPB40</t>
  </si>
  <si>
    <t>BANDA S-E30 FLAT TOP PP B. 40CMS</t>
  </si>
  <si>
    <t>EUE30FTPPB40E7</t>
  </si>
  <si>
    <t>BANDA S-E30 FLAT TOP PP B. 40CMS EC/7 C/21</t>
  </si>
  <si>
    <t>EUE30FGACA30</t>
  </si>
  <si>
    <t>BANDA S-E30 FLUSH GRID AC A. 30CMS</t>
  </si>
  <si>
    <t>EUE30FGACA50</t>
  </si>
  <si>
    <t>BANDA S-E30 FLUSH GRID AC A. 50CMS</t>
  </si>
  <si>
    <t>EUE30FGACA84</t>
  </si>
  <si>
    <t>BANDA S-E30 FLUSH GRID AC A. 84CMS</t>
  </si>
  <si>
    <t>EUE30FGPPA10</t>
  </si>
  <si>
    <t>BANDA S-E30 FLUSH GRID PP A. 10CMS</t>
  </si>
  <si>
    <t>EUE30FGPPA34</t>
  </si>
  <si>
    <t>BANDA S-E30 FLUSH GRID PP A. 34CMS</t>
  </si>
  <si>
    <t>EUE30FGPPA40</t>
  </si>
  <si>
    <t>BANDA S-E30 FLUSH GRID PP A. 40CMS</t>
  </si>
  <si>
    <t>EUE30FGPPA40FF</t>
  </si>
  <si>
    <t>BANDA S-E30 FLUSH GRID PP A. 40CMS M/FF C/51 I/10</t>
  </si>
  <si>
    <t>EUE30FGPPA44</t>
  </si>
  <si>
    <t>BANDA S-E30 FLUSH GRID PP A. 44CMS</t>
  </si>
  <si>
    <t>EUE30FGPPB148E3</t>
  </si>
  <si>
    <t>BANDA S-E30 FLUSH GRID PP B. 148CMS E/3.2 C/21</t>
  </si>
  <si>
    <t>EU30FGPPB30OG15</t>
  </si>
  <si>
    <t>BANDA S-E30 FLUSH GRID PP B. 30CMS MOG C/15</t>
  </si>
  <si>
    <t>EUE30FGPPB38</t>
  </si>
  <si>
    <t>BANDA S-E30 FLUSH GRID PP B. 38CMS</t>
  </si>
  <si>
    <t>EUE30FGPPB60E7.</t>
  </si>
  <si>
    <t>BANDA S-E30 FLUSH GRID PP B. 60CMS E/7.5 C/21</t>
  </si>
  <si>
    <t>EUE30FGPPB70</t>
  </si>
  <si>
    <t>BANDA S-E30 FLUSH GRID PP B. 70CMS</t>
  </si>
  <si>
    <t>EUE30FYOPPB122F</t>
  </si>
  <si>
    <t>BANDA S-E30 FLUSH Y OPEN GRID PP B. 122CMS IFG/4</t>
  </si>
  <si>
    <t>EUE30FYOGPPB91</t>
  </si>
  <si>
    <t>BANDA S-E30 FLUSH Y OPEN GRID PP B. 91CMS</t>
  </si>
  <si>
    <t>EUE50FGPPB100E</t>
  </si>
  <si>
    <t>BANDA S-E50 FLUSH GRID PP B. 100CMS E/10.2 C/30 I/8</t>
  </si>
  <si>
    <t>EUE50FGPPB38</t>
  </si>
  <si>
    <t>BANDA S-E50 FLUSH GRID PP B. 38CMS</t>
  </si>
  <si>
    <t>EUE925FGPPA30PB</t>
  </si>
  <si>
    <t>BANDA S-E925 FLUSH GRID PP A. 30CMS PPB C/300</t>
  </si>
  <si>
    <t>EUE93FGACA30</t>
  </si>
  <si>
    <t>BANDA S-E93 FLUSH GRID AC A. 30CMS</t>
  </si>
  <si>
    <t>EUE93FGACA30E5</t>
  </si>
  <si>
    <t>BANDA S-E93 FLUSH GRID AC A. 30CMS EPPB/5 C/42 I/5</t>
  </si>
  <si>
    <t>EUE93FGPPB60</t>
  </si>
  <si>
    <t>BANDA S-E93 FLUSH GRID PP B. 60CMS</t>
  </si>
  <si>
    <t>IN900BFGPPA25.5</t>
  </si>
  <si>
    <t>BANDA S900 FLUSH GRID PP A. 25.5"</t>
  </si>
  <si>
    <t>RE1600AGUP0085</t>
  </si>
  <si>
    <t>CADENA REGINA 1600AGUPK85MM</t>
  </si>
  <si>
    <t>LBRC40-1R</t>
  </si>
  <si>
    <t>CADENA LINKBELT FE PASO 40</t>
  </si>
  <si>
    <t>VECANSS50</t>
  </si>
  <si>
    <t>CANDADO SS PASO 50 VE</t>
  </si>
  <si>
    <t>REUP863KG/000</t>
  </si>
  <si>
    <t>CADENA REGINA UP863K450 3.048MTS</t>
  </si>
  <si>
    <t>BRF4-219</t>
  </si>
  <si>
    <t>F4-219 CARCASA BROWNING 4H PA</t>
  </si>
  <si>
    <t>LDSFL206</t>
  </si>
  <si>
    <t>SFL206 CARCASA SS 2H PA</t>
  </si>
  <si>
    <t>LDSSUCF206-18</t>
  </si>
  <si>
    <t>SSUCF206-18 CHUMACERA SS 4H PA 1.1/8"</t>
  </si>
  <si>
    <t>LDSSUCFL206-18</t>
  </si>
  <si>
    <t>SSUCFL206-18 CHUMACERA SS 2H PA 1.1/8"</t>
  </si>
  <si>
    <t>LDSUC202</t>
  </si>
  <si>
    <t>SUC202 RODAMIENTO SS 15MM</t>
  </si>
  <si>
    <t>LDSUC206-18</t>
  </si>
  <si>
    <t>SUC206-18 RODAMIENTO SS 1.1/8"</t>
  </si>
  <si>
    <t>LDTPF205</t>
  </si>
  <si>
    <t>TP-F205 CARCASA TP 4H PA</t>
  </si>
  <si>
    <t>LDTPF210</t>
  </si>
  <si>
    <t>TP-F210 CARCASA TP 4H PA</t>
  </si>
  <si>
    <t>LDTPFL205</t>
  </si>
  <si>
    <t>TP-FL205 CARCASA TP 2H PA</t>
  </si>
  <si>
    <t>LDTPP205</t>
  </si>
  <si>
    <t>TP-P205 CARCASA TP PI</t>
  </si>
  <si>
    <t>LDTPSUCF210-32</t>
  </si>
  <si>
    <t>TP-SUCF210-32 CHUMACERA TP 4H PA 2"</t>
  </si>
  <si>
    <t>LDTPSUCFB205</t>
  </si>
  <si>
    <t>TP-SUCFB205 CHUMACERA TP 3H PA 25MM</t>
  </si>
  <si>
    <t>LDTPSUCFB207-23</t>
  </si>
  <si>
    <t>TP-SUCFB207-23 CHUMACERA TP 3H PA 1.7/16"</t>
  </si>
  <si>
    <t>LDTPSUCFL206</t>
  </si>
  <si>
    <t>TP-SUCFL206 CHUMACERA TP 2H PA 30MM</t>
  </si>
  <si>
    <t>PI1IMAN000146</t>
  </si>
  <si>
    <t>MANIJA FIJACION L112 ALLEN M6</t>
  </si>
  <si>
    <t>PI1EMOR000200</t>
  </si>
  <si>
    <t>MORSETE DOBLE D12MM</t>
  </si>
  <si>
    <t>PI1EMAN000811</t>
  </si>
  <si>
    <t>PERILLA 1/2 GIRO HEMBRA M10</t>
  </si>
  <si>
    <t>PI1EMAN000806</t>
  </si>
  <si>
    <t>PERILLA 1/2 GIRO MACHO M8</t>
  </si>
  <si>
    <t>PI1EPER001840</t>
  </si>
  <si>
    <t>PERILLA PLAST ANAT D40 C/TOR M8X30MM</t>
  </si>
  <si>
    <t>PI1EPER001835</t>
  </si>
  <si>
    <t>PERILLA PLAST ANAT HEMBRA D40 TCA M6</t>
  </si>
  <si>
    <t>KERODET</t>
  </si>
  <si>
    <t>RODILLO KETAN P/SIST. ETIQ.</t>
  </si>
  <si>
    <t>PI1GSOP000813</t>
  </si>
  <si>
    <t>SOPORTE P/CAÑO D48.3  130X90 C/4 AGUJ. FIJ</t>
  </si>
  <si>
    <t>PI1GTAZ301024</t>
  </si>
  <si>
    <t>TAZOLETA PLAST D124</t>
  </si>
  <si>
    <t>PI1GTAZ008008</t>
  </si>
  <si>
    <t>TAZOLETA PLAST REFORZADA D150</t>
  </si>
  <si>
    <t>PI1ETRA001096</t>
  </si>
  <si>
    <t>TRANSFERENCIA MODULAR MEDIA</t>
  </si>
  <si>
    <t>PI1ETRA001098</t>
  </si>
  <si>
    <t>TRANSFERENCIA MODULAR SALIDA</t>
  </si>
  <si>
    <t>TE258/82004</t>
  </si>
  <si>
    <t>TRANSFERENCIA MODULAR TEC DOBLE 3 FILAS L=115</t>
  </si>
  <si>
    <t>PI1ESOP001103</t>
  </si>
  <si>
    <t>VIROLA C/ROSCA M10X17 P/154-205</t>
  </si>
  <si>
    <t>QDEJEPER1.1/2</t>
  </si>
  <si>
    <t>EJE PE UHMW RED 1.1/2"</t>
  </si>
  <si>
    <t>HIRX2-BD160W</t>
  </si>
  <si>
    <t>CODIFICADORA HITACHI RX2-BD160W</t>
  </si>
  <si>
    <t>DA15DVP</t>
  </si>
  <si>
    <t>CONTROL DE VELOCIDAD 15DVP 120/240VAC, 90/180DC 1/4HP</t>
  </si>
  <si>
    <t>MOTORES Y REDUCTORES</t>
  </si>
  <si>
    <t>GR4Z527</t>
  </si>
  <si>
    <t>CONTROL DE VELOCIDAD 4Z527</t>
  </si>
  <si>
    <t>OARTICULOS</t>
  </si>
  <si>
    <t>PI1EBAC990003</t>
  </si>
  <si>
    <t>BARANDA PIAZ ACUMULACION 3R 10CMS</t>
  </si>
  <si>
    <t>ITPIÑSS50B12</t>
  </si>
  <si>
    <t>PIÑON INTERMEC SS 12 DIENTES PASO 50</t>
  </si>
  <si>
    <t>ITPIÑSS50B18</t>
  </si>
  <si>
    <t>PIÑON INTERMEC SS 18 DIENTES PASO 50</t>
  </si>
  <si>
    <t>ITPIÑSS40B19</t>
  </si>
  <si>
    <t>PIÑON INTERMEC SS 19 DIENTES PASO 40</t>
  </si>
  <si>
    <t>ITPIÑSS50B21</t>
  </si>
  <si>
    <t>PIÑON INTERMEC SS 21 DIENTES PASO 50</t>
  </si>
  <si>
    <t>ITPIÑSS50B28</t>
  </si>
  <si>
    <t>PIÑON INTERMEC SS 28 DIENTES PASO 50</t>
  </si>
  <si>
    <t>EUE30Z11R254ACN</t>
  </si>
  <si>
    <t>KS50-R-00400-PP</t>
  </si>
  <si>
    <t>PIÑON HOKEN S50 Z10 PP/B E/C 1.5"</t>
  </si>
  <si>
    <t>RECMT028152304</t>
  </si>
  <si>
    <t>PIÑON REGINA 815 Z23 D40MM</t>
  </si>
  <si>
    <t>RECMT028202104</t>
  </si>
  <si>
    <t>PIÑON REGINA 820 Z21 D40MM</t>
  </si>
  <si>
    <t>RECMT028202306</t>
  </si>
  <si>
    <t>PIÑON REGINA 820 Z23 D1"</t>
  </si>
  <si>
    <t>RECMT028801232</t>
  </si>
  <si>
    <t>PIÑON REGINA 880 Z12 D32MM</t>
  </si>
  <si>
    <t>RECMT028812106</t>
  </si>
  <si>
    <t>PIÑON REGINA 881 Z21 D1"</t>
  </si>
  <si>
    <t>RECMT028812101</t>
  </si>
  <si>
    <t>PIÑON REGINA 881 Z21 D25MM</t>
  </si>
  <si>
    <t>REMPBQ10101240</t>
  </si>
  <si>
    <t>PIÑON REGINA MPBQ1010 Z12 D40MM S/CH.</t>
  </si>
  <si>
    <t>HITH-18U</t>
  </si>
  <si>
    <t>MEK METIL ETIL CETONA PQT TH-18U</t>
  </si>
  <si>
    <t>HIIJP-B82</t>
  </si>
  <si>
    <t>MEK PQT TINTA B82</t>
  </si>
  <si>
    <t>HIJP-K106</t>
  </si>
  <si>
    <t>MEK PQT TINTA K106</t>
  </si>
  <si>
    <t>HIIJP-K28</t>
  </si>
  <si>
    <t>MEK PQT TINTA K28</t>
  </si>
  <si>
    <t>HIIJP-K72</t>
  </si>
  <si>
    <t>MEK PQT TINTA K72</t>
  </si>
  <si>
    <t>HIJP-K87</t>
  </si>
  <si>
    <t>MEK PQT TINTA K87</t>
  </si>
  <si>
    <t>HIJP-Y109</t>
  </si>
  <si>
    <t>MEK PQT TINTA Y109</t>
  </si>
  <si>
    <t>EUBEB50PPB10X5</t>
  </si>
  <si>
    <t>BANDA DE EMPUJADORES B50 PP B. 10CMS X 5 ALT</t>
  </si>
  <si>
    <t>UNMPBFTPPB12</t>
  </si>
  <si>
    <t>BANDA MPB FT PP B. 12"</t>
  </si>
  <si>
    <t>UNMPBFTPPB18</t>
  </si>
  <si>
    <t>BANDA MPB FT PP B. 18"</t>
  </si>
  <si>
    <t>RE1600BUP0170</t>
  </si>
  <si>
    <t>BANDA REGINA 1600B UP 17CMS</t>
  </si>
  <si>
    <t>RE1600BUP0340</t>
  </si>
  <si>
    <t>BANDA REGINA 1600B UP 34CMS</t>
  </si>
  <si>
    <t>RE1600BG1UP0170</t>
  </si>
  <si>
    <t>BANDA REGINA 1600BG1 UP 17CMS</t>
  </si>
  <si>
    <t>RE1600BG1UP0255</t>
  </si>
  <si>
    <t>BANDA REGINA 1600BG1 UP 25.5CMS</t>
  </si>
  <si>
    <t>RE1600BG1UP0340</t>
  </si>
  <si>
    <t>BANDA REGINA 1600BG1 UP 34CMS</t>
  </si>
  <si>
    <t>RE1600BG1UP0765</t>
  </si>
  <si>
    <t>BANDA REGINA 1600BG1 UP 76.5CMS</t>
  </si>
  <si>
    <t>RE3120PP060</t>
  </si>
  <si>
    <t>BANDA REGINA 3120 RAISEB RIB PP 60"</t>
  </si>
  <si>
    <t>RE500BUP0510</t>
  </si>
  <si>
    <t>BANDA REGINA 500B UP DA 51CMS</t>
  </si>
  <si>
    <t>RE600BUP0255</t>
  </si>
  <si>
    <t>BANDA REGINA 600B UP 25.5CMS</t>
  </si>
  <si>
    <t>RE7200UP048</t>
  </si>
  <si>
    <t>BANDA REGINA 7200 FLUSH GRID UP 48"</t>
  </si>
  <si>
    <t>REHF510APP0765</t>
  </si>
  <si>
    <t>BANDA REGINA HF510A PP G. 76.5CMS</t>
  </si>
  <si>
    <t>REUSPUP057</t>
  </si>
  <si>
    <t>BANDA REGINA USP UP 57"</t>
  </si>
  <si>
    <t>REUSPUP060</t>
  </si>
  <si>
    <t>BANDA REGINA USP UP 60"</t>
  </si>
  <si>
    <t>REUSPUP015</t>
  </si>
  <si>
    <t>BANDA REGINA USP UP DA 15"</t>
  </si>
  <si>
    <t>REUSPUP009</t>
  </si>
  <si>
    <t>BANDA REGINA USP UP DA 9"</t>
  </si>
  <si>
    <t>REUSPMUP0510</t>
  </si>
  <si>
    <t>BANDA REGINA USPM UP DA 51CMS</t>
  </si>
  <si>
    <t>REXP2000RRHD132</t>
  </si>
  <si>
    <t>BANDA REXNORD S2000 RAISEB RIB HD PP 132"</t>
  </si>
  <si>
    <t>EUA24FTPEA60</t>
  </si>
  <si>
    <t>BANDA S-A24 FLAT TOP PE A. 60CM</t>
  </si>
  <si>
    <t>EUA24FTPPB40</t>
  </si>
  <si>
    <t>BANDA S-A24 FLAT TOP PP B. 40CM</t>
  </si>
  <si>
    <t>EUA24FGPPB53</t>
  </si>
  <si>
    <t>BANDA S-A24 FLUSH GRID PP B. 53CMS</t>
  </si>
  <si>
    <t>EUB50FTACB100</t>
  </si>
  <si>
    <t>BANDA S-B50 FLAT TOP AC B. 100CMS</t>
  </si>
  <si>
    <t>EUB50FTACB120</t>
  </si>
  <si>
    <t>BANDA S-B50 FLAT TOP AC B. 120CMS</t>
  </si>
  <si>
    <t>EUB50FTACB120E5</t>
  </si>
  <si>
    <t>BANDA S-B50 FLAT TOP AC B. 120CMS E/5 C/150 I/6</t>
  </si>
  <si>
    <t>EUB50FTACB64E7.</t>
  </si>
  <si>
    <t>BANDA S-B50 FLAT TOP AC B. 64CMS E/7.5 C/30 I/6</t>
  </si>
  <si>
    <t>EUB50FTACB66</t>
  </si>
  <si>
    <t>BANDA S-B50 FLAT TOP AC B. 66CMS</t>
  </si>
  <si>
    <t>EUB50FTACB68</t>
  </si>
  <si>
    <t>BANDA S-B50 FLAT TOP AC B. 68CMS</t>
  </si>
  <si>
    <t>EUB50FTPPA20</t>
  </si>
  <si>
    <t>BANDA S-B50 FLAT TOP PP A. 20CMS</t>
  </si>
  <si>
    <t>EUB50FTPPB100</t>
  </si>
  <si>
    <t>BANDA S-B50 FLAT TOP PP B. 100CMS</t>
  </si>
  <si>
    <t>EUB50FTPPB106</t>
  </si>
  <si>
    <t>BANDA S-B50 FLAT TOP PP B. 106CMS</t>
  </si>
  <si>
    <t>EUB50FTPPB118</t>
  </si>
  <si>
    <t>BANDA S-B50 FLAT TOP PP B. 118CMS</t>
  </si>
  <si>
    <t>EUB50FTPPB120</t>
  </si>
  <si>
    <t>BANDA S-B50 FLAT TOP PP B. 120CMS</t>
  </si>
  <si>
    <t>EUB50FTPPB14E3.</t>
  </si>
  <si>
    <t>BANDA S-B50 FLAT TOP PP B. 14CMS E/3.2 C/15</t>
  </si>
  <si>
    <t>EUB50FTPPB24E10</t>
  </si>
  <si>
    <t>BANDA S-B50 FLAT TOP PP B. 24CMS E/10 C/15 I/4</t>
  </si>
  <si>
    <t>EUB50FTPPB30</t>
  </si>
  <si>
    <t>BANDA S-B50 FLAT TOP PP B. 30CMS</t>
  </si>
  <si>
    <t>EUB50FTPPB32</t>
  </si>
  <si>
    <t>BANDA S-B50 FLAT TOP PP B. 32CMS</t>
  </si>
  <si>
    <t>EUB50FTPPB34</t>
  </si>
  <si>
    <t>BANDA S-B50 FLAT TOP PP B. 34CMS</t>
  </si>
  <si>
    <t>EUB50FTPPB36</t>
  </si>
  <si>
    <t>BANDA S-B50 FLAT TOP PP B. 36CMS</t>
  </si>
  <si>
    <t>EUB50FTPPB38</t>
  </si>
  <si>
    <t>BANDA S-B50 FLAT TOP PP B. 38CMS</t>
  </si>
  <si>
    <t>EUB50FTPPB40E/1</t>
  </si>
  <si>
    <t>BANDA S-B50 FLAT TOP PP B. 40CMS E/10 C/40 I/4</t>
  </si>
  <si>
    <t>EUB50FTPPB40E</t>
  </si>
  <si>
    <t>BANDA S-B50 FLAT TOP PP B. 40CMS E/10 C/45 I/4</t>
  </si>
  <si>
    <t>EUB50FTPPB40E10</t>
  </si>
  <si>
    <t>BANDA S-B50 FLAT TOP PP B. 40CMS E/10 C/50 I/4</t>
  </si>
  <si>
    <t>EUE50FTPPB40E2.</t>
  </si>
  <si>
    <t>BANDA S-B50 FLAT TOP PP B. 40CMS E/2.5 C/35 I/6</t>
  </si>
  <si>
    <t>EUB50FTPPB40E2.</t>
  </si>
  <si>
    <t>EUB50FTPPB40E5</t>
  </si>
  <si>
    <t>BANDA S-B50 FLAT TOP PP B. 40CMS E/5 C/30</t>
  </si>
  <si>
    <t>EUB50FTPPB40E6.</t>
  </si>
  <si>
    <t>BANDA S-B50 FLAT TOP PP B. 40CMS E/6.35 C/30 I/6</t>
  </si>
  <si>
    <t>EUB50FTPPB40E7.</t>
  </si>
  <si>
    <t>BANDA S-B50 FLAT TOP PP B. 40CMS E/7.5 C/30 I/6</t>
  </si>
  <si>
    <t>EUB50FTPPB40EC1</t>
  </si>
  <si>
    <t>BANDA S-B50 FLAT TOP PP B. 40CMS EC/10 C/20 I/3 GL/10</t>
  </si>
  <si>
    <t>EUB50FTPPB42</t>
  </si>
  <si>
    <t>BANDA S-B50 FLAT TOP PP B. 42CMS</t>
  </si>
  <si>
    <t>EUB50FTPPB44E2.</t>
  </si>
  <si>
    <t>BANDA S-B50 FLAT TOP PP B. 44CMS E/2.5 C/60 I/4</t>
  </si>
  <si>
    <t>EUB50FTPPB45.8</t>
  </si>
  <si>
    <t>BANDA S-B50 FLAT TOP PP B. 45.8CMS</t>
  </si>
  <si>
    <t>EUB50FTPPB46</t>
  </si>
  <si>
    <t>BANDA S-B50 FLAT TOP PP B. 46CMS</t>
  </si>
  <si>
    <t>EUB50FTPPB46E10</t>
  </si>
  <si>
    <t>BANDA S-B50 FLAT TOP PP B. 46CMS E/10 C/15 I/4</t>
  </si>
  <si>
    <t>EUB50FTPPB46E1O</t>
  </si>
  <si>
    <t>BANDA S-B50 FLAT TOP PP B. 46CMS E/10 C/15 IE/4 II/E4</t>
  </si>
  <si>
    <t>EUB50FTPPB46E4</t>
  </si>
  <si>
    <t>BANDA S-B50 FLAT TOP PP B. 46CMS E/4 C/15 I/4</t>
  </si>
  <si>
    <t>EUB50FTPPB46E5C</t>
  </si>
  <si>
    <t>BANDA S-B50 FLAT TOP PP B. 46CMS E/5 C/30 I/4</t>
  </si>
  <si>
    <t>EUB50FTPPB46E5</t>
  </si>
  <si>
    <t>BANDA S-B50 FLAT TOP PP B. 46CMS E/5 C/50</t>
  </si>
  <si>
    <t>EUB50FTPPB46GE</t>
  </si>
  <si>
    <t>BANDA S-B50 FLAT TOP PP B. 46CMS G/10 E/10 C/30 I/4</t>
  </si>
  <si>
    <t>EUB50FTPPB46G10</t>
  </si>
  <si>
    <t>BANDA S-B50 FLAT TOP PP B. 46CMS G/10 E/10 C/30 I/6</t>
  </si>
  <si>
    <t>EUB50FTPPB48</t>
  </si>
  <si>
    <t>BANDA S-B50 FLAT TOP PP B. 48CMS</t>
  </si>
  <si>
    <t>EUB50FTPPB48E</t>
  </si>
  <si>
    <t>BANDA S-B50 FLAT TOP PP B. 48CMS E/7.6 C/30 I/4</t>
  </si>
  <si>
    <t>EUB50FTPPB48E9</t>
  </si>
  <si>
    <t>BANDA S-B50 FLAT TOP PP B. 48CMS E/9.8 C/5 I/4</t>
  </si>
  <si>
    <t>EUB50FTPPB50E10</t>
  </si>
  <si>
    <t>BANDA S-B50 FLAT TOP PP B. 50CMS E/10 C/50 I/4</t>
  </si>
  <si>
    <t>EUB50FTPPB50E1</t>
  </si>
  <si>
    <t>BANDA S-B50 FLAT TOP PP B. 50CMS E/10 C/50 I/6</t>
  </si>
  <si>
    <t>EUB50FTPPB50E12</t>
  </si>
  <si>
    <t>BANDA S-B50 FLAT TOP PP B. 50CMS E/12.7 C/45 I/6</t>
  </si>
  <si>
    <t>EUB50FTPPB50E4</t>
  </si>
  <si>
    <t>BANDA S-B50 FLAT TOP PP B. 50CMS E/4 C/40 I/6</t>
  </si>
  <si>
    <t>EUB50FTPPB52E/1</t>
  </si>
  <si>
    <t>BANDA S-B50 FLAT TOP PP B. 52CMS E/10 C/50</t>
  </si>
  <si>
    <t>EUB50FTPPB54</t>
  </si>
  <si>
    <t>BANDA S-B50 FLAT TOP PP B. 54CMS</t>
  </si>
  <si>
    <t>EUB50FTPPB58E10</t>
  </si>
  <si>
    <t>BANDA S-B50 FLAT TOP PP B. 58CMS E/10 C/25 I/6</t>
  </si>
  <si>
    <t>EUB50FTPPB60E2</t>
  </si>
  <si>
    <t>BANDA S-B50 FLAT TOP PP B. 60CMS E/10 C/20 I/6</t>
  </si>
  <si>
    <t>EUB50FTPPB60E1</t>
  </si>
  <si>
    <t>BANDA S-B50 FLAT TOP PP B. 60CMS E/10 C/30 I/6</t>
  </si>
  <si>
    <t>EUB50FTPPB60E10</t>
  </si>
  <si>
    <t>BANDA S-B50 FLAT TOP PP B. 60CMS E/10 C/80 I/4</t>
  </si>
  <si>
    <t>EUB50FTPPB60E5</t>
  </si>
  <si>
    <t>BANDA S-B50 FLAT TOP PP B. 60CMS E/5 C/10 I/4</t>
  </si>
  <si>
    <t>EUB50FTPPB60E8I</t>
  </si>
  <si>
    <t>BANDA S-B50 FLAT TOP PP B. 60CMS E/8 C/80 I/4</t>
  </si>
  <si>
    <t>EUB50FTPPB60E8C</t>
  </si>
  <si>
    <t>BANDA S-B50 FLAT TOP PP B. 60CMS E/8 C/85</t>
  </si>
  <si>
    <t>EUB50FTPPB62</t>
  </si>
  <si>
    <t>BANDA S-B50 FLAT TOP PP B. 62CMS</t>
  </si>
  <si>
    <t>EUB50FTPPB68</t>
  </si>
  <si>
    <t>BANDA S-B50 FLAT TOP PP B. 68CMS</t>
  </si>
  <si>
    <t>EUB50FTPPB70</t>
  </si>
  <si>
    <t>BANDA S-B50 FLAT TOP PP B. 70CMS</t>
  </si>
  <si>
    <t>EUB50FTPPB10E7.</t>
  </si>
  <si>
    <t>BANDA S-B50 FLAT TOP PP B. 70CMS E/7.6 C/25 I/6</t>
  </si>
  <si>
    <t>EUB50FTPPB70E7</t>
  </si>
  <si>
    <t>BANDA S-B50 FLAT TOP PP B. 70CMS E/7.6 C/30 I/6</t>
  </si>
  <si>
    <t>EUB50FTPPB78</t>
  </si>
  <si>
    <t>BANDA S-B50 FLAT TOP PP B. 78CMS</t>
  </si>
  <si>
    <t>EUB50FTPPB80</t>
  </si>
  <si>
    <t>BANDA S-B50 FLAT TOP PP B. 80CMS</t>
  </si>
  <si>
    <t>EUB50FTPPB88E7</t>
  </si>
  <si>
    <t>BANDA S-B50 FLAT TOP PP B. 88CMS E/7.6 C/20 I/4</t>
  </si>
  <si>
    <t>EUB50FTPPB98</t>
  </si>
  <si>
    <t>BANDA S-B50 FLAT TOP PP B. 98CMS</t>
  </si>
  <si>
    <t>EUB50FTPPB99</t>
  </si>
  <si>
    <t>BANDA S-B50 FLAT TOP PP B. 99CMS</t>
  </si>
  <si>
    <t>EUB50FGPPA120E1</t>
  </si>
  <si>
    <t>BANDA S-B50 FLUSH GRID PP A. 120CMS E/1 C/20</t>
  </si>
  <si>
    <t>EUB50FGPPA16E5</t>
  </si>
  <si>
    <t>BANDA S-B50 FLUSH GRID PP A. 16CMS E/5 C/10 I/4</t>
  </si>
  <si>
    <t>EUB50FGPPA46</t>
  </si>
  <si>
    <t>BANDA S-B50 FLUSH GRID PP A. 46CMS</t>
  </si>
  <si>
    <t>EUB50FGPPA48</t>
  </si>
  <si>
    <t>BANDA S-B50 FLUSH GRID PP A. 48CMS</t>
  </si>
  <si>
    <t>EUB50FGPPA50</t>
  </si>
  <si>
    <t>BANDA S-B50 FLUSH GRID PP A. 50CMS</t>
  </si>
  <si>
    <t>EUB50FGPPA60</t>
  </si>
  <si>
    <t>BANDA S-B50 FLUSH GRID PP A. 60CMS</t>
  </si>
  <si>
    <t>EUB50FTPPB830</t>
  </si>
  <si>
    <t>BANDA S-B50 FLUSH GRID PP B. 30CMS</t>
  </si>
  <si>
    <t>EUB50FGPPB40</t>
  </si>
  <si>
    <t>BANDA S-B50 FLUSH GRID PP B. 40CMS</t>
  </si>
  <si>
    <t>EUB50FGPPB48E7</t>
  </si>
  <si>
    <t>BANDA S-B50 FLUSH GRID PP B. 48CMS E/7.6 C/30 I/4</t>
  </si>
  <si>
    <t>EUB50FGPPB58E10</t>
  </si>
  <si>
    <t>BANDA S-B50 FLUSH GRID PP B. 58CMS E/10 C/30 I/6</t>
  </si>
  <si>
    <t>EUB50FGPPB58E8</t>
  </si>
  <si>
    <t>BANDA S-B50 FLUSH GRID PP B. 58CMS E/8 C/30 I/6</t>
  </si>
  <si>
    <t>EUB50FGPPB60E15</t>
  </si>
  <si>
    <t>BANDA S-B50 FLUSH GRID PP B. 60CMS E/15 C/50 I/4</t>
  </si>
  <si>
    <t>EUB50FGPPB66E10</t>
  </si>
  <si>
    <t>BANDA S-B50 FLUSH GRID PP B. 66CMS E/10 C/25 I/4</t>
  </si>
  <si>
    <t>EUB50FGPPB80E5</t>
  </si>
  <si>
    <t>BANDA S-B50 FLUSH GRID PP B. 80CMS E/5 C/20 I/4</t>
  </si>
  <si>
    <t>EUC12FTACA20</t>
  </si>
  <si>
    <t>BANDA S-C12 FLAT TOP AC A. 20CMS</t>
  </si>
  <si>
    <t>EUC12FTACA32.5</t>
  </si>
  <si>
    <t>BANDA S-C12 FLAT TOP AC A. 32.5CMS</t>
  </si>
  <si>
    <t>EUC12FTACA52.5</t>
  </si>
  <si>
    <t>BANDA S-C12 FLAT TOP AC A. 52.5CMS</t>
  </si>
  <si>
    <t>EUC12FTACA60</t>
  </si>
  <si>
    <t>BANDA S-C12 FLAT TOP AC A. 60CMS</t>
  </si>
  <si>
    <t>EUC12FTACA65</t>
  </si>
  <si>
    <t>BANDA S-C12 FLAT TOP AC A. 65CMS</t>
  </si>
  <si>
    <t>EUC12FTACA67.5</t>
  </si>
  <si>
    <t>BANDA S-C12 FLAT TOP AC A. 67.5CMS</t>
  </si>
  <si>
    <t>EUC12FTACA70</t>
  </si>
  <si>
    <t>BANDA S-C12 FLAT TOP AC A. 70CMS</t>
  </si>
  <si>
    <t>EUC12FTPEN110</t>
  </si>
  <si>
    <t>BANDA S-C12 FLAT TOP PE N. 110CMS</t>
  </si>
  <si>
    <t>C12FTPEN190</t>
  </si>
  <si>
    <t>BANDA S-C12 FLAT TOP PE N. 190CMS</t>
  </si>
  <si>
    <t>EUC12FTPEN30</t>
  </si>
  <si>
    <t>BANDA S-C12 FLAT TOP PE N. 30CMS</t>
  </si>
  <si>
    <t>EUEC12FTPEN40</t>
  </si>
  <si>
    <t>BANDA S-C12 FLAT TOP PE N. 40CMS</t>
  </si>
  <si>
    <t>EUC12FTPEN60</t>
  </si>
  <si>
    <t>BANDA S-C12 FLAT TOP PE N. 60CMS</t>
  </si>
  <si>
    <t>EUC12FTPPA25</t>
  </si>
  <si>
    <t>BANDA S-C12 FLAT TOP PP A. 25CMS</t>
  </si>
  <si>
    <t>EUC12FTPPA30</t>
  </si>
  <si>
    <t>BANDA S-C12 FLAT TOP PP A. 30CMS</t>
  </si>
  <si>
    <t>EUC12FGACA25</t>
  </si>
  <si>
    <t>BANDA S-C12 FLUSH GRID AC A. 25CMS</t>
  </si>
  <si>
    <t>EUC12FGACA27.5</t>
  </si>
  <si>
    <t>BANDA S-C12 FLUSH GRID AC A. 27.5CMS</t>
  </si>
  <si>
    <t>EUC12FGACA40</t>
  </si>
  <si>
    <t>BANDA S-C12 FLUSH GRID AC A. 40CMS</t>
  </si>
  <si>
    <t>EUC12FGACA52.5</t>
  </si>
  <si>
    <t>BANDA S-C12 FLUSH GRID AC A. 52.5CMS</t>
  </si>
  <si>
    <t>EUC12FGACA55</t>
  </si>
  <si>
    <t>BANDA S-C12 FLUSH GRID AC A. 55CMS</t>
  </si>
  <si>
    <t>EUC12FGACA7.5</t>
  </si>
  <si>
    <t>BANDA S-C12 FLUSH GRID AC A. 7.5CMS</t>
  </si>
  <si>
    <t>EUC12FGACA80</t>
  </si>
  <si>
    <t>BANDA S-C12 FLUSH GRID AC A. 80CMS</t>
  </si>
  <si>
    <t>EUC12FGACA95</t>
  </si>
  <si>
    <t>BANDA S-C12 FLUSH GRID AC A. 95CMS</t>
  </si>
  <si>
    <t>EUC12FGPEA25</t>
  </si>
  <si>
    <t>BANDA S-C12 FLUSH GRID PE A. 25CMS</t>
  </si>
  <si>
    <t>EUC12FTPEA45</t>
  </si>
  <si>
    <t>BANDA S-C12 FLUSH GRID PE A. 45CMS</t>
  </si>
  <si>
    <t>EUC12FGPEANT190</t>
  </si>
  <si>
    <t>BANDA S-C12 FLUSH GRID PE A. NUB TOP 190CMS E/2.5 C/21.6 IE/5 II/5</t>
  </si>
  <si>
    <t>EUC12FGPEN107.5</t>
  </si>
  <si>
    <t>BANDA S-C12 FLUSH GRID PE N. 107.5CMS</t>
  </si>
  <si>
    <t>EUC12FGPEN110</t>
  </si>
  <si>
    <t>BANDA S-C12 FLUSH GRID PE N. 110CMS</t>
  </si>
  <si>
    <t>EUC12FGPEN115</t>
  </si>
  <si>
    <t>BANDA S-C12 FLUSH GRID PE N. 115CMS</t>
  </si>
  <si>
    <t>EUC12FGPEN120</t>
  </si>
  <si>
    <t>BANDA S-C12 FLUSH GRID PE N. 120CMS</t>
  </si>
  <si>
    <t>EUC12FGPEN142.5</t>
  </si>
  <si>
    <t>BANDA S-C12 FLUSH GRID PE N. 142.5CMS</t>
  </si>
  <si>
    <t>EUC12FGPEN150</t>
  </si>
  <si>
    <t>BANDA S-C12 FLUSH GRID PE N. 150CMS</t>
  </si>
  <si>
    <t>EUC12FGPEN25</t>
  </si>
  <si>
    <t>BANDA S-C12 FLUSH GRID PE N. 25CMS</t>
  </si>
  <si>
    <t>EUC12FGPEN30</t>
  </si>
  <si>
    <t>BANDA S-C12 FLUSH GRID PE N. 30CMS</t>
  </si>
  <si>
    <t>EUC12FGPEN50</t>
  </si>
  <si>
    <t>BANDA S-C12 FLUSH GRID PE N. 50CMS</t>
  </si>
  <si>
    <t>EUC12FGPEN60</t>
  </si>
  <si>
    <t>BANDA S-C12 FLUSH GRID PE N. 60CMS</t>
  </si>
  <si>
    <t>EUC12NTPEA150E5</t>
  </si>
  <si>
    <t>BANDA S-C12 NUB TOP PE A. 150CMS E/2.5 C/20 IE/5 II/10</t>
  </si>
  <si>
    <t>EUC12NTPEA150E3</t>
  </si>
  <si>
    <t>BANDA S-C12 NUB TOP PE A. 150CMS E/2.5 C/20 IE/5 II/5</t>
  </si>
  <si>
    <t>EUC12NTPEA150E4</t>
  </si>
  <si>
    <t>BANDA S-C12 NUB TOP PE A. 150CMS E/2.5 C/24 I/5</t>
  </si>
  <si>
    <t>EUC12NTPEA150E2</t>
  </si>
  <si>
    <t>BANDA S-C12 NUB TOP PE A. 150CMS E/2.5 C26 I/FGACA5-10</t>
  </si>
  <si>
    <t>EUC12NTPEA150IF</t>
  </si>
  <si>
    <t>BANDA S-C12 NUB TOP PE A. 150CMS I/FGPEN5-10</t>
  </si>
  <si>
    <t>EUC12NTPEN142.5</t>
  </si>
  <si>
    <t>BANDA S-C12 NUB TOP PE N. 142.5CMS</t>
  </si>
  <si>
    <t>EUE20FTPPA20</t>
  </si>
  <si>
    <t>BANDA S-E20 FLAT TOP PP A. 20CMS</t>
  </si>
  <si>
    <t>EUE20FTPPA25</t>
  </si>
  <si>
    <t>BANDA S-E20 FLAT TOP PP A. 25CMS</t>
  </si>
  <si>
    <t>EUE30FTPPA60</t>
  </si>
  <si>
    <t>BANDA S-E20 FLAT TOP PP A. 60CMS</t>
  </si>
  <si>
    <t>EUE20FGPEA29.5</t>
  </si>
  <si>
    <t>BANDA S-E20 FLUSH GRID PE A. 29.5CMS (NO USAR)</t>
  </si>
  <si>
    <t>EUE20FGPEA29.6</t>
  </si>
  <si>
    <t>BANDA S-E20 FLUSH GRID PE A. 29.6CMS</t>
  </si>
  <si>
    <t>EUE20FGPEA29.6E</t>
  </si>
  <si>
    <t>BANDA S-E20 FLUSH GRID PE A. 29.6CMS E/5 C/20 I/4</t>
  </si>
  <si>
    <t>EUE20FGPPA20</t>
  </si>
  <si>
    <t>BANDA S-E20 FLUSH GRID PP A. 20CMS</t>
  </si>
  <si>
    <t>EUE30FGPPA24</t>
  </si>
  <si>
    <t>BANDA S-E20 FLUSH GRID PP A. 24CMS</t>
  </si>
  <si>
    <t>EUE20FGPPA29.5</t>
  </si>
  <si>
    <t>BANDA S-E20 FLUSH GRID PP A. 29.5CMS (NO USAR)</t>
  </si>
  <si>
    <t>EUE20FGPPA29.6</t>
  </si>
  <si>
    <t>BANDA S-E20 FLUSH GRID PP A. 29.6CMS</t>
  </si>
  <si>
    <t>EUE30FGPPA8</t>
  </si>
  <si>
    <t>BANDA S-E20 FLUSH GRID PP A. 8CMS</t>
  </si>
  <si>
    <t>EUE20RRPPG60</t>
  </si>
  <si>
    <t>BANDA S-E20 RAISEB RIB PP G. 60CMS</t>
  </si>
  <si>
    <t>EUE30FTACA100</t>
  </si>
  <si>
    <t>BANDA S-E30 FLAT TOP AC A. 100CMS</t>
  </si>
  <si>
    <t>EUE30FTACA110</t>
  </si>
  <si>
    <t>BANDA S-E30 FLAT TOP AC A. 110CMS</t>
  </si>
  <si>
    <t>EUE30FTACA120</t>
  </si>
  <si>
    <t>BANDA S-E30 FLAT TOP AC A. 120CMS</t>
  </si>
  <si>
    <t>EUE30FTACA23</t>
  </si>
  <si>
    <t>BANDA S-E30 FLAT TOP AC A. 23CMS</t>
  </si>
  <si>
    <t>EUE30FTACA30</t>
  </si>
  <si>
    <t>BANDA S-E30 FLAT TOP AC A. 30CMS</t>
  </si>
  <si>
    <t>EUE30FTACA40</t>
  </si>
  <si>
    <t>BANDA S-E30 FLAT TOP AC A. 40CMS</t>
  </si>
  <si>
    <t>EUE30FTACA45</t>
  </si>
  <si>
    <t>BANDA S-E30 FLAT TOP AC A. 45CMS</t>
  </si>
  <si>
    <t>EUE30FTACA50</t>
  </si>
  <si>
    <t>BANDA S-E30 FLAT TOP AC A. 50CMS</t>
  </si>
  <si>
    <t>EUE30FTACA50FF</t>
  </si>
  <si>
    <t>BANDA S-E30 FLAT TOP AC A. 50CMS MFF C/12 I/5-15</t>
  </si>
  <si>
    <t>EUE30FTACA50FFT</t>
  </si>
  <si>
    <t>BANDA S-E30 FLAT TOP AC A. 50CMS MFF/TF C12 I/5 I/15</t>
  </si>
  <si>
    <t>EUE30FTACA59</t>
  </si>
  <si>
    <t>BANDA S-E30 FLAT TOP AC A. 59CMS</t>
  </si>
  <si>
    <t>EUE30FTACA61</t>
  </si>
  <si>
    <t>BANDA S-E30 FLAT TOP AC A. 61CMS</t>
  </si>
  <si>
    <t>EUE30FTACA76</t>
  </si>
  <si>
    <t>BANDA S-E30 FLAT TOP AC A. 76CMS</t>
  </si>
  <si>
    <t>EUE30FTACA82</t>
  </si>
  <si>
    <t>BANDA S-E30 FLAT TOP AC A. 82CMS</t>
  </si>
  <si>
    <t>EUE30FTACA90</t>
  </si>
  <si>
    <t>BANDA S-E30 FLAT TOP AC A. 90CMS</t>
  </si>
  <si>
    <t>EUE30FTPPA10</t>
  </si>
  <si>
    <t>BANDA S-E30 FLAT TOP PP A. 10CMS</t>
  </si>
  <si>
    <t>EUE30FTPPA10E</t>
  </si>
  <si>
    <t>BANDA S-E30 FLAT TOP PP A. 10CMS E/3 C/12 I/I 2</t>
  </si>
  <si>
    <t>EUE30FTPPA23</t>
  </si>
  <si>
    <t>BANDA S-E30 FLAT TOP PP A. 23CMS</t>
  </si>
  <si>
    <t>EUE30FTPPA28FF1</t>
  </si>
  <si>
    <t>BANDA S-E30 FLAT TOP PP A. 28CMS MFF C/12 I/4</t>
  </si>
  <si>
    <t>EUE30FTPPA28TF1</t>
  </si>
  <si>
    <t>BANDA S-E30 FLAT TOP PP A. 28CMS MTF C/12 I/3</t>
  </si>
  <si>
    <t>EUE30FTPPA30E</t>
  </si>
  <si>
    <t>BANDA S-E30 FLAT TOP PP A. 30CMS E/5 C/15 I/I 2</t>
  </si>
  <si>
    <t>EUE30FTPPA30E/5</t>
  </si>
  <si>
    <t>BANDA S-E30 FLAT TOP PP A. 30CMS E/5 C/30 I/3</t>
  </si>
  <si>
    <t>EUE30FTPPA35</t>
  </si>
  <si>
    <t>BANDA S-E30 FLAT TOP PP A. 35CMS</t>
  </si>
  <si>
    <t>EUE30FTPPA40E5</t>
  </si>
  <si>
    <t>BANDA S-E30 FLAT TOP PP A. 40CMS E/5 C/24 I/5</t>
  </si>
  <si>
    <t>EUE30FTPPA41</t>
  </si>
  <si>
    <t>BANDA S-E30 FLAT TOP PP A. 41CMS</t>
  </si>
  <si>
    <t>EUE30FTPPA45</t>
  </si>
  <si>
    <t>BANDA S-E30 FLAT TOP PP A. 45CMS</t>
  </si>
  <si>
    <t>EUE30FTPPA45E5</t>
  </si>
  <si>
    <t>BANDA S-E30 FLAT TOP PP A. 45CMS E/5 C/21 I/4</t>
  </si>
  <si>
    <t>EUE30FTPPA46E5</t>
  </si>
  <si>
    <t>BANDA S-E30 FLAT TOP PP A. 46CMS E/5 C/60 I/3</t>
  </si>
  <si>
    <t>EUE30FTPPA50</t>
  </si>
  <si>
    <t>BANDA S-E30 FLAT TOP PP A. 50CMS</t>
  </si>
  <si>
    <t>EUE30FTPPA50G40</t>
  </si>
  <si>
    <t>BANDA S-E30 FLAT TOP PP A. 50CMS I/G 40 C/30 I/5</t>
  </si>
  <si>
    <t>EUE30FTPPA50FF1</t>
  </si>
  <si>
    <t>BANDA S-E30 FLAT TOP PP A. 50CMS MFF C/12 IE/5 IE/15</t>
  </si>
  <si>
    <t>EUE30FTPPA50TF</t>
  </si>
  <si>
    <t>BANDA S-E30 FLAT TOP PP A. 50CMS MTF C/12 IE/5 IE/15</t>
  </si>
  <si>
    <t>EUE30FTPPA60CM</t>
  </si>
  <si>
    <t>BANDA S-E30 FLAT TOP PP A. 60CMS</t>
  </si>
  <si>
    <t>EUE30FTPPA60MFF</t>
  </si>
  <si>
    <t>BANDA S-E30 FLAT TOP PP A. 60CMS MFF C/48 I/5</t>
  </si>
  <si>
    <t>EUE30FTPPA61</t>
  </si>
  <si>
    <t>BANDA S-E30 FLAT TOP PP A. 61CMS</t>
  </si>
  <si>
    <t>EUE30FTPPA64</t>
  </si>
  <si>
    <t>BANDA S-E30 FLAT TOP PP A. 64CMS</t>
  </si>
  <si>
    <t>EUE30FTPPA6</t>
  </si>
  <si>
    <t>BANDA S-E30 FLAT TOP PP A. 6CMS</t>
  </si>
  <si>
    <t>EUE30FTPPA70</t>
  </si>
  <si>
    <t>BANDA S-E30 FLAT TOP PP A. 70CMS</t>
  </si>
  <si>
    <t>EUE30FTPPA71</t>
  </si>
  <si>
    <t>BANDA S-E30 FLAT TOP PP A. 71CMS</t>
  </si>
  <si>
    <t>EUE30FTPPA8</t>
  </si>
  <si>
    <t>BANDA S-E30 FLAT TOP PP A. 8CMS</t>
  </si>
  <si>
    <t>EUE30FTPPA90</t>
  </si>
  <si>
    <t>BANDA S-E30 FLAT TOP PP A. 90CMS</t>
  </si>
  <si>
    <t>EUE30FTPPB100</t>
  </si>
  <si>
    <t>BANDA S-E30 FLAT TOP PP B. 100CMS</t>
  </si>
  <si>
    <t>EUE30FTPPB100FF</t>
  </si>
  <si>
    <t>BANDA S-E30 FLAT TOP PP B. 100CMS MFF C/15 I/5</t>
  </si>
  <si>
    <t>EUE30FTPPB10E5</t>
  </si>
  <si>
    <t>BANDA S-E30 FLAT TOP PP B. 10CMS E/5 C/15 I3</t>
  </si>
  <si>
    <t>EUE30FTPPB120</t>
  </si>
  <si>
    <t>BANDA S-E30 FLAT TOP PP B. 120CMS</t>
  </si>
  <si>
    <t>EUE30BFTPPB15</t>
  </si>
  <si>
    <t>BANDA S-E30 FLAT TOP PP B. 15CMS</t>
  </si>
  <si>
    <t>EUE30FTPPB18E7.</t>
  </si>
  <si>
    <t>BANDA S-E30 FLAT TOP PP B. 18CMS E/7.5 C/15 I/4</t>
  </si>
  <si>
    <t>EUE30FTPPB200MF</t>
  </si>
  <si>
    <t>BANDA S-E30 FLAT TOP PP B. 200CMS MFF C/15 I/5</t>
  </si>
  <si>
    <t>EUE30FTPPB20</t>
  </si>
  <si>
    <t>BANDA S-E30 FLAT TOP PP B. 20CMS</t>
  </si>
  <si>
    <t>EUE30FTPPB20E1.</t>
  </si>
  <si>
    <t>BANDA S-E30 FLAT TOP PP B. 20CMS E/1.5 C/9 I/3</t>
  </si>
  <si>
    <t>EUE30FTPPB20E2.</t>
  </si>
  <si>
    <t>BANDA S-E30 FLAT TOP PP B. 20CMS E/2.5 C/12 I/2</t>
  </si>
  <si>
    <t>EUE30FTPPB23</t>
  </si>
  <si>
    <t>BANDA S-E30 FLAT TOP PP B. 23CMS</t>
  </si>
  <si>
    <t>EUE30FTPPB23E7.</t>
  </si>
  <si>
    <t>BANDA S-E30 FLAT TOP PP B. 23CMS E/7.5 C/15 I/4</t>
  </si>
  <si>
    <t>EUE30FTPPB24</t>
  </si>
  <si>
    <t>BANDA S-E30 FLAT TOP PP B. 24CMS</t>
  </si>
  <si>
    <t>EUE30FTPPB25</t>
  </si>
  <si>
    <t>BANDA S-E30 FLAT TOP PP B. 25CMS</t>
  </si>
  <si>
    <t>EUE30FTPPB25E5</t>
  </si>
  <si>
    <t>BANDA S-E30 FLAT TOP PP B. 25CMS E/5 C/20 I/5</t>
  </si>
  <si>
    <t>EUE30FTPPB25E5C</t>
  </si>
  <si>
    <t>BANDA S-E30 FLAT TOP PP B. 25CMS E/5 C/21 I/5</t>
  </si>
  <si>
    <t>EUE30FTPPB26</t>
  </si>
  <si>
    <t>BANDA S-E30 FLAT TOP PP B. 26CMS</t>
  </si>
  <si>
    <t>EUE30FTPPB26E5C</t>
  </si>
  <si>
    <t>BANDA S-E30 FLAT TOP PP B. 26CMS E/5 C/27 I/2</t>
  </si>
  <si>
    <t>EUE30FTPPB26E5</t>
  </si>
  <si>
    <t>BANDA S-E30 FLAT TOP PP B. 26CMS E/5 C/30 I/3</t>
  </si>
  <si>
    <t>EUE30FTPPB27</t>
  </si>
  <si>
    <t>BANDA S-E30 FLAT TOP PP B. 27CMS</t>
  </si>
  <si>
    <t>EUE30FTPPB28E4</t>
  </si>
  <si>
    <t>BANDA S-E30 FLAT TOP PP B. 28CMS E/4 C/30 I/2</t>
  </si>
  <si>
    <t>EUE30FTPPB28E5C</t>
  </si>
  <si>
    <t>BANDA S-E30 FLAT TOP PP B. 28CMS E/5 C/30 I/2</t>
  </si>
  <si>
    <t>EUE30FTPPB28TF1</t>
  </si>
  <si>
    <t>BANDA S-E30 FLAT TOP PP B. 28CMS MTF C/12 I/4</t>
  </si>
  <si>
    <t>EUE30FTPPB29</t>
  </si>
  <si>
    <t>BANDA S-E30 FLAT TOP PP B. 29CMS</t>
  </si>
  <si>
    <t>EUE30FTPPB30</t>
  </si>
  <si>
    <t>BANDA S-E30 FLAT TOP PP B. 30CMS</t>
  </si>
  <si>
    <t>EUE30FTPPB30E</t>
  </si>
  <si>
    <t>BANDA S-E30 FLAT TOP PP B. 30CMS E/1.3 C/30 I/5</t>
  </si>
  <si>
    <t>EUE30FTPPB30E5C</t>
  </si>
  <si>
    <t>BANDA S-E30 FLAT TOP PP B. 30CMS E/5 C/30 I/3</t>
  </si>
  <si>
    <t>EUE30FTPPB30E5-</t>
  </si>
  <si>
    <t>BANDA S-E30 FLAT TOP PP B. 30CMS E/5 C/30 I/4</t>
  </si>
  <si>
    <t>EUE30FTPPB30E5</t>
  </si>
  <si>
    <t>BANDA S-E30 FLAT TOP PP B. 30CMS E/5 C/30 I/5</t>
  </si>
  <si>
    <t>EUE30FTPPB30E2</t>
  </si>
  <si>
    <t>BANDA S-E30 FLAT TOP PP B. 30CMS E/5 C/30 I/5 GL/5</t>
  </si>
  <si>
    <t>EUE30FTPPB30E7.</t>
  </si>
  <si>
    <t>BANDA S-E30 FLAT TOP PP B. 30CMS E/7.5 C/24 I/3</t>
  </si>
  <si>
    <t>EUE30FTPPB33</t>
  </si>
  <si>
    <t>BANDA S-E30 FLAT TOP PP B. 33CMS</t>
  </si>
  <si>
    <t>EUE30FTPPB33E5</t>
  </si>
  <si>
    <t>BANDA S-E30 FLAT TOP PP B. 33CMS E/5 C/12 I/4</t>
  </si>
  <si>
    <t>EUE30FTPPB35</t>
  </si>
  <si>
    <t>BANDA S-E30 FLAT TOP PP B. 35CMS</t>
  </si>
  <si>
    <t>EUE30FTPPB35E5C</t>
  </si>
  <si>
    <t>BANDA S-E30 FLAT TOP PP B. 35CMS E/5 C/24 I/3</t>
  </si>
  <si>
    <t>EUE30FTPPB35E5</t>
  </si>
  <si>
    <t>BANDA S-E30 FLAT TOP PP B. 35CMS E/5 C/36 I/3</t>
  </si>
  <si>
    <t>EUE30FTPPB35E</t>
  </si>
  <si>
    <t>BANDA S-E30 FLAT TOP PP B. 35CMS E/5 C/39 I/3</t>
  </si>
  <si>
    <t>EUE30FTPPB36</t>
  </si>
  <si>
    <t>BANDA S-E30 FLAT TOP PP B. 36CMS</t>
  </si>
  <si>
    <t>EUE30FTPPB36E3</t>
  </si>
  <si>
    <t>BANDA S-E30 FLAT TOP PP B. 36CMS E/3 C/30 I/4</t>
  </si>
  <si>
    <t>EUE30FTPPB36E</t>
  </si>
  <si>
    <t>BANDA S-E30 FLAT TOP PP B. 36CMS E/3 C/30 I/4 ICT/4</t>
  </si>
  <si>
    <t>EUE30FTPPB37</t>
  </si>
  <si>
    <t>BANDA S-E30 FLAT TOP PP B. 37CMS</t>
  </si>
  <si>
    <t>EUE30FTPPB38E5.</t>
  </si>
  <si>
    <t>BANDA S-E30 FLAT TOP PP B. 38CMS E/5 C/24 I/3</t>
  </si>
  <si>
    <t>EUE30FTPPB38E5</t>
  </si>
  <si>
    <t>BANDA S-E30 FLAT TOP PP B. 38CMS E/5 C/30 I/5</t>
  </si>
  <si>
    <t>EUE30FTPPB40E/5</t>
  </si>
  <si>
    <t>BANDA S-E30 FLAT TOP PP B. 40CMS E/5 C/24 I/4</t>
  </si>
  <si>
    <t>EUE30FTPPB40E5I</t>
  </si>
  <si>
    <t>BANDA S-E30 FLAT TOP PP B. 40CMS E/5 C/30 I/5</t>
  </si>
  <si>
    <t>EUE30FTPPB40E7.</t>
  </si>
  <si>
    <t>BANDA S-E30 FLAT TOP PP B. 40CMS E/7.5 C/24 I/5</t>
  </si>
  <si>
    <t>EUE30FTPPB40E/7</t>
  </si>
  <si>
    <t>BANDA S-E30 FLAT TOP PP B. 40CMS E/7.5 C/60 I/4</t>
  </si>
  <si>
    <t>EUE30FTPPB40FF6</t>
  </si>
  <si>
    <t>BANDA S-E30 FLAT TOP PP B. 40CMS MFF C/6 I/10</t>
  </si>
  <si>
    <t>EUE30FTPPB44</t>
  </si>
  <si>
    <t>BANDA S-E30 FLAT TOP PP B. 44CMS</t>
  </si>
  <si>
    <t>EUE30FTPPB45</t>
  </si>
  <si>
    <t>BANDA S-E30 FLAT TOP PP B. 45CMS</t>
  </si>
  <si>
    <t>EUE30FTPPB50CMS</t>
  </si>
  <si>
    <t>BANDA S-E30 FLAT TOP PP B. 50CMS</t>
  </si>
  <si>
    <t>EUE30FTPPB51E3.</t>
  </si>
  <si>
    <t>BANDA S-E30 FLAT TOP PP B. 51CMS E/3.8 C/45 I/4</t>
  </si>
  <si>
    <t>EUE30FTPPB59</t>
  </si>
  <si>
    <t>BANDA S-E30 FLAT TOP PP B. 59CMS</t>
  </si>
  <si>
    <t>EUE30FTPPB60GL</t>
  </si>
  <si>
    <t>BANDA S-E30 FLAT TOP PP B. 60CMS C/GL</t>
  </si>
  <si>
    <t>EUE30FTPPB60MFF</t>
  </si>
  <si>
    <t>BANDA S-E30 FLAT TOP PP B. 60CMS MFF C/15 I/5</t>
  </si>
  <si>
    <t>EUE30FTPPB61</t>
  </si>
  <si>
    <t>BANDA S-E30 FLAT TOP PP B. 61CMS</t>
  </si>
  <si>
    <t>EUE30FTPPB62MFF</t>
  </si>
  <si>
    <t>BANDA S-E30 FLAT TOP PP B. 62CMS MFF C/12 I/10 I/12</t>
  </si>
  <si>
    <t>EUE30FTPPB70</t>
  </si>
  <si>
    <t>BANDA S-E30 FLAT TOP PP B. 70CMS</t>
  </si>
  <si>
    <t>EUE30FTPPB76</t>
  </si>
  <si>
    <t>BANDA S-E30 FLAT TOP PP B. 76CMS</t>
  </si>
  <si>
    <t>EUE30FTPPB80</t>
  </si>
  <si>
    <t>BANDA S-E30 FLAT TOP PP B. 80CMS</t>
  </si>
  <si>
    <t>EUE30FTPPB90</t>
  </si>
  <si>
    <t>BANDA S-E30 FLAT TOP PP B. 90CMS</t>
  </si>
  <si>
    <t>EUE30FTPPB96E/3</t>
  </si>
  <si>
    <t>BANDA S-E30 FLAT TOP PP B. 96CMS E/3 C/40 I/6</t>
  </si>
  <si>
    <t>EUE30FGACA100</t>
  </si>
  <si>
    <t>BANDA S-E30 FLUSH GRID AC A. 100CMS</t>
  </si>
  <si>
    <t>EUE30FGACA10</t>
  </si>
  <si>
    <t>BANDA S-E30 FLUSH GRID AC A. 10CMS</t>
  </si>
  <si>
    <t>EUE30FGACA110</t>
  </si>
  <si>
    <t>BANDA S-E30 FLUSH GRID AC A. 110CMS</t>
  </si>
  <si>
    <t>EUEC30FGACA112</t>
  </si>
  <si>
    <t>BANDA S-E30 FLUSH GRID AC A. 112CMS</t>
  </si>
  <si>
    <t>EUE30FGACA113</t>
  </si>
  <si>
    <t>BANDA S-E30 FLUSH GRID AC A. 113CMS</t>
  </si>
  <si>
    <t>EUE30FGACA115</t>
  </si>
  <si>
    <t>BANDA S-E30 FLUSH GRID AC A. 115CMS</t>
  </si>
  <si>
    <t>EUE30FGACA119</t>
  </si>
  <si>
    <t>BANDA S-E30 FLUSH GRID AC A. 119CMS</t>
  </si>
  <si>
    <t>EUE30FGACA11</t>
  </si>
  <si>
    <t>BANDA S-E30 FLUSH GRID AC A. 11CMS</t>
  </si>
  <si>
    <t>EUE30FGACA120</t>
  </si>
  <si>
    <t>BANDA S-E30 FLUSH GRID AC A. 120CMS</t>
  </si>
  <si>
    <t>EUE30FGACA126</t>
  </si>
  <si>
    <t>BANDA S-E30 FLUSH GRID AC A. 126MS</t>
  </si>
  <si>
    <t>EUE30FGACA140</t>
  </si>
  <si>
    <t>BANDA S-E30 FLUSH GRID AC A. 140CMS</t>
  </si>
  <si>
    <t>EUB30FGACA144</t>
  </si>
  <si>
    <t>BANDA S-E30 FLUSH GRID AC A. 144CMS</t>
  </si>
  <si>
    <t>EUE30FGACA145</t>
  </si>
  <si>
    <t>BANDA S-E30 FLUSH GRID AC A. 145CMS</t>
  </si>
  <si>
    <t>EUE30FGACA146</t>
  </si>
  <si>
    <t>BANDA S-E30 FLUSH GRID AC A. 146CMS</t>
  </si>
  <si>
    <t>EUE30FGACA150</t>
  </si>
  <si>
    <t>BANDA S-E30 FLUSH GRID AC A. 150CMS</t>
  </si>
  <si>
    <t>EUE30FGACA16</t>
  </si>
  <si>
    <t>BANDA S-E30 FLUSH GRID AC A. 16CMS</t>
  </si>
  <si>
    <t>EUE30FGACA17</t>
  </si>
  <si>
    <t>BANDA S-E30 FLUSH GRID AC A. 17CMS</t>
  </si>
  <si>
    <t>EUE30FGACA20</t>
  </si>
  <si>
    <t>BANDA S-E30 FLUSH GRID AC A. 20CMS</t>
  </si>
  <si>
    <t>EUE30FGACA22</t>
  </si>
  <si>
    <t>BANDA S-E30 FLUSH GRID AC A. 22CMS</t>
  </si>
  <si>
    <t>EUE30FGACA25</t>
  </si>
  <si>
    <t>BANDA S-E30 FLUSH GRID AC A. 25CMS</t>
  </si>
  <si>
    <t>EUE30FGACA27</t>
  </si>
  <si>
    <t>BANDA S-E30 FLUSH GRID AC A. 27CMS</t>
  </si>
  <si>
    <t>EUE30FGACA28</t>
  </si>
  <si>
    <t>BANDA S-E30 FLUSH GRID AC A. 28CMS</t>
  </si>
  <si>
    <t>EUE33FGACA33</t>
  </si>
  <si>
    <t>BANDA S-E30 FLUSH GRID AC A. 33CMS</t>
  </si>
  <si>
    <t>EUE30FGAC34</t>
  </si>
  <si>
    <t>BANDA S-E30 FLUSH GRID AC A. 34CMS</t>
  </si>
  <si>
    <t>EUE30FGACA35</t>
  </si>
  <si>
    <t>BANDA S-E30 FLUSH GRID AC A. 35CMS</t>
  </si>
  <si>
    <t>EUE30FGACA36</t>
  </si>
  <si>
    <t>BANDA S-E30 FLUSH GRID AC A. 36CMS</t>
  </si>
  <si>
    <t>EUE30FGACA38</t>
  </si>
  <si>
    <t>BANDA S-E30 FLUSH GRID AC A. 38CMS</t>
  </si>
  <si>
    <t>EUE30FGACA3</t>
  </si>
  <si>
    <t>BANDA S-E30 FLUSH GRID AC A. 3CMS</t>
  </si>
  <si>
    <t>EUE30FGACA40</t>
  </si>
  <si>
    <t>BANDA S-E30 FLUSH GRID AC A. 40CMS</t>
  </si>
  <si>
    <t>EUE30FGACA43</t>
  </si>
  <si>
    <t>BANDA S-E30 FLUSH GRID AC A. 43CMS</t>
  </si>
  <si>
    <t>EUE30FGACA44</t>
  </si>
  <si>
    <t>BANDA S-E30 FLUSH GRID AC A. 44CMS</t>
  </si>
  <si>
    <t>EUE30FGACA45</t>
  </si>
  <si>
    <t>BANDA S-E30 FLUSH GRID AC A. 45CMS</t>
  </si>
  <si>
    <t>EUE30FGACA4</t>
  </si>
  <si>
    <t>BANDA S-E30 FLUSH GRID AC A. 4CMS</t>
  </si>
  <si>
    <t>EUE30FGACA53</t>
  </si>
  <si>
    <t>BANDA S-E30 FLUSH GRID AC A. 53CMS</t>
  </si>
  <si>
    <t>EUE30FGACA54</t>
  </si>
  <si>
    <t>BANDA S-E30 FLUSH GRID AC A. 54CMS</t>
  </si>
  <si>
    <t>EUE30FGACA5</t>
  </si>
  <si>
    <t>BANDA S-E30 FLUSH GRID AC A. 5CMS</t>
  </si>
  <si>
    <t>EUE30FGACA60</t>
  </si>
  <si>
    <t>BANDA S-E30 FLUSH GRID AC A. 60CMS</t>
  </si>
  <si>
    <t>EUE30FGACA61</t>
  </si>
  <si>
    <t>BANDA S-E30 FLUSH GRID AC A. 61CMS</t>
  </si>
  <si>
    <t>EUE30FGACA64</t>
  </si>
  <si>
    <t>BANDA S-E30 FLUSH GRID AC A. 64CMS</t>
  </si>
  <si>
    <t>EUE30FGACA65</t>
  </si>
  <si>
    <t>BANDA S-E30 FLUSH GRID AC A. 65CMS</t>
  </si>
  <si>
    <t>EUE30FGACA70</t>
  </si>
  <si>
    <t>BANDA S-E30 FLUSH GRID AC A. 70CMS</t>
  </si>
  <si>
    <t>EUE30FGACA75</t>
  </si>
  <si>
    <t>BANDA S-E30 FLUSH GRID AC A. 75CMS</t>
  </si>
  <si>
    <t>EUE30FGACA76</t>
  </si>
  <si>
    <t>BANDA S-E30 FLUSH GRID AC A. 76CMS</t>
  </si>
  <si>
    <t>EUE30FGACA80</t>
  </si>
  <si>
    <t>BANDA S-E30 FLUSH GRID AC A. 80CMS</t>
  </si>
  <si>
    <t>EUE30FGACA85</t>
  </si>
  <si>
    <t>BANDA S-E30 FLUSH GRID AC A. 85CMS</t>
  </si>
  <si>
    <t>EUE30FGACA8</t>
  </si>
  <si>
    <t>BANDA S-E30 FLUSH GRID AC A. 8CMS</t>
  </si>
  <si>
    <t>EUE30FGACA90</t>
  </si>
  <si>
    <t>BANDA S-E30 FLUSH GRID AC A. 90CMS</t>
  </si>
  <si>
    <t>EUE30FGACA91</t>
  </si>
  <si>
    <t>BANDA S-E30 FLUSH GRID AC A. 91CMS</t>
  </si>
  <si>
    <t>EUE30FGACA93</t>
  </si>
  <si>
    <t>BANDA S-E30 FLUSH GRID AC A. 93CMS</t>
  </si>
  <si>
    <t>EUE30FGACA95</t>
  </si>
  <si>
    <t>BANDA S-E30 FLUSH GRID AC A. 95CMS</t>
  </si>
  <si>
    <t>EUE30FGACA96</t>
  </si>
  <si>
    <t>BANDA S-E30 FLUSH GRID AC A. 96CMS</t>
  </si>
  <si>
    <t>EUE30FGACA98</t>
  </si>
  <si>
    <t>BANDA S-E30 FLUSH GRID AC A. 98CMS</t>
  </si>
  <si>
    <t>EUE30FGACA99</t>
  </si>
  <si>
    <t>BANDA S-E30 FLUSH GRID AC A. 99CMS</t>
  </si>
  <si>
    <t>EUE30FGPEN110</t>
  </si>
  <si>
    <t>BANDA S-E30 FLUSH GRID PE N. 110CMS</t>
  </si>
  <si>
    <t>EUE30FGPEN120</t>
  </si>
  <si>
    <t>BANDA S-E30 FLUSH GRID PE N. 120CMS</t>
  </si>
  <si>
    <t>EUE30FGPEN121</t>
  </si>
  <si>
    <t>BANDA S-E30 FLUSH GRID PE N. 121CMS</t>
  </si>
  <si>
    <t>EUE30FGPEN141</t>
  </si>
  <si>
    <t>BANDA S-E30 FLUSH GRID PE N. 141CMS</t>
  </si>
  <si>
    <t>EUE30FGPEN147E3</t>
  </si>
  <si>
    <t>BANDA S-E30 FLUSH GRID PE N. 147CMS E/3.2 C/18 I/3</t>
  </si>
  <si>
    <t>EUE30FGPEN25</t>
  </si>
  <si>
    <t>BANDA S-E30 FLUSH GRID PE N. 25CMS</t>
  </si>
  <si>
    <t>EUE30FGPEN30</t>
  </si>
  <si>
    <t>BANDA S-E30 FLUSH GRID PE N. 30CMS</t>
  </si>
  <si>
    <t>EUE30FGPEN40</t>
  </si>
  <si>
    <t>BANDA S-E30 FLUSH GRID PE N. 40CMS</t>
  </si>
  <si>
    <t>EUE30FGPEN40E3.</t>
  </si>
  <si>
    <t>BANDA S-E30 FLUSH GRID PE N. 40CMS E/3.2 C/18 I/3</t>
  </si>
  <si>
    <t>EUE30FGPEN40E5C</t>
  </si>
  <si>
    <t>BANDA S-E30 FLUSH GRID PE N. 40CMS E/5 C/42 I/4</t>
  </si>
  <si>
    <t>EUE30FGPEN50</t>
  </si>
  <si>
    <t>BANDA S-E30 FLUSH GRID PE N. 50CMS</t>
  </si>
  <si>
    <t>EUE30FGPEN90</t>
  </si>
  <si>
    <t>BANDA S-E30 FLUSH GRID PE N. 90CMS</t>
  </si>
  <si>
    <t>EUE30FGPPA100</t>
  </si>
  <si>
    <t>BANDA S-E30 FLUSH GRID PP A. 100CMS</t>
  </si>
  <si>
    <t>EUE30FGPPA105</t>
  </si>
  <si>
    <t>BANDA S-E30 FLUSH GRID PP A. 105CMS</t>
  </si>
  <si>
    <t>EUE30FGPPA110</t>
  </si>
  <si>
    <t>BANDA S-E30 FLUSH GRID PP A. 110CMS</t>
  </si>
  <si>
    <t>EUE30FGPPA112</t>
  </si>
  <si>
    <t>BANDA S-E30 FLUSH GRID PP A. 112CMS</t>
  </si>
  <si>
    <t>EUE30FGPPA11</t>
  </si>
  <si>
    <t>BANDA S-E30 FLUSH GRID PP A. 11CMS</t>
  </si>
  <si>
    <t>EUE30FGPPA120</t>
  </si>
  <si>
    <t>BANDA S-E30 FLUSH GRID PP A. 120CMS</t>
  </si>
  <si>
    <t>EUE30FGPPA120OG</t>
  </si>
  <si>
    <t>BANDA S-E30 FLUSH GRID PP A. 120CMS MOG C/9</t>
  </si>
  <si>
    <t>EUE30FGPPA12</t>
  </si>
  <si>
    <t>BANDA S-E30 FLUSH GRID PP A. 12CMS</t>
  </si>
  <si>
    <t>EUE30FGPPA130FF</t>
  </si>
  <si>
    <t>BANDA S-E30 FLUSH GRID PP A. 130CMS MFF C/30 I/5</t>
  </si>
  <si>
    <t>EUE30FGPPA13</t>
  </si>
  <si>
    <t>BANDA S-E30 FLUSH GRID PP A. 13CMS</t>
  </si>
  <si>
    <t>EUE30FGPPA145</t>
  </si>
  <si>
    <t>BANDA S-E30 FLUSH GRID PP A. 145CMS</t>
  </si>
  <si>
    <t>EUE30FGPPA15</t>
  </si>
  <si>
    <t>BANDA S-E30 FLUSH GRID PP A. 15CMS</t>
  </si>
  <si>
    <t>EUE30FGPPA176E2</t>
  </si>
  <si>
    <t>BANDA S-E30 FLUSH GRID PP A. 176CMS E/2.5 C/6 I/4</t>
  </si>
  <si>
    <t>EUE30FGPPA176E</t>
  </si>
  <si>
    <t>BANDA S-E30 FLUSH GRID PP A. 176CMS E/2.5 C/66 I/4</t>
  </si>
  <si>
    <t>EUE30FGPPA185</t>
  </si>
  <si>
    <t>BANDA S-E30 FLUSH GRID PP A. 185CMS</t>
  </si>
  <si>
    <t>EUE30FGPPA2.9</t>
  </si>
  <si>
    <t>BANDA S-E30 FLUSH GRID PP A. 2.9CMS</t>
  </si>
  <si>
    <t>EUE30FGPPA20</t>
  </si>
  <si>
    <t>BANDA S-E30 FLUSH GRID PP A. 20CMS</t>
  </si>
  <si>
    <t>EUE30FGPPA21</t>
  </si>
  <si>
    <t>BANDA S-E30 FLUSH GRID PP A. 21CMS</t>
  </si>
  <si>
    <t>EUE30FGPPA25E2.</t>
  </si>
  <si>
    <t>BANDA S-E30 FLUSH GRID PP A. 25CMS E/2.5 C/12 I/3</t>
  </si>
  <si>
    <t>EUE30FGPPA25OG</t>
  </si>
  <si>
    <t>BANDA S-E30 FLUSH GRID PP A. 25CMS OG C/9 IFG/3</t>
  </si>
  <si>
    <t>EUE30FGPPA27</t>
  </si>
  <si>
    <t>BANDA S-E30 FLUSH GRID PP A. 27CMS</t>
  </si>
  <si>
    <t>EUE30FGPPA28</t>
  </si>
  <si>
    <t>BANDA S-E30 FLUSH GRID PP A. 28CMS</t>
  </si>
  <si>
    <t>EUE30FGPPA28E5</t>
  </si>
  <si>
    <t>BANDA S-E30 FLUSH GRID PP A. 28CMS E/5 C/21 I/4</t>
  </si>
  <si>
    <t>EUE30FGPPA30E3</t>
  </si>
  <si>
    <t>BANDA S-E30 FLUSH GRID PP A. 30CMS E/3.2 C/15 I/3</t>
  </si>
  <si>
    <t>EUE30FGPPA30E4</t>
  </si>
  <si>
    <t>BANDA S-E30 FLUSH GRID PP A. 30CMS E/4 C/21 I/3</t>
  </si>
  <si>
    <t>EUE30FGPPA30E5C</t>
  </si>
  <si>
    <t>BANDA S-E30 FLUSH GRID PP A. 30CMS E/5 C/21 I/3</t>
  </si>
  <si>
    <t>EUE30FGPPA30OG9</t>
  </si>
  <si>
    <t>BANDA S-E30 FLUSH GRID PP A. 30CMS MOG C/9</t>
  </si>
  <si>
    <t>EUE30FGPPA32</t>
  </si>
  <si>
    <t>BANDA S-E30 FLUSH GRID PP A. 32CMS</t>
  </si>
  <si>
    <t>EUE30FGPPA36</t>
  </si>
  <si>
    <t>BANDA S-E30 FLUSH GRID PP A. 36CMS</t>
  </si>
  <si>
    <t>EUE30FGPPA37</t>
  </si>
  <si>
    <t>BANDA S-E30 FLUSH GRID PP A. 37CMS</t>
  </si>
  <si>
    <t>EUE30FGPPA39</t>
  </si>
  <si>
    <t>BANDA S-E30 FLUSH GRID PP A. 39CMS</t>
  </si>
  <si>
    <t>EUE30FGPPA3</t>
  </si>
  <si>
    <t>BANDA S-E30 FLUSH GRID PP A. 3CMS</t>
  </si>
  <si>
    <t>EUE30FGPPA40E2</t>
  </si>
  <si>
    <t>BANDA S-E30 FLUSH GRID PP A. 40CMS E/5 C/102 I/3</t>
  </si>
  <si>
    <t>EUE30FGPPA40E5</t>
  </si>
  <si>
    <t>BANDA S-E30 FLUSH GRID PP A. 40CMS E/5 C/21 I/3</t>
  </si>
  <si>
    <t>EUE30FGPPA40E5.</t>
  </si>
  <si>
    <t>BANDA S-E30 FLUSH GRID PP A. 40CMS E/5 C/42</t>
  </si>
  <si>
    <t>EUE30FGPPA40E</t>
  </si>
  <si>
    <t>BANDA S-E30 FLUSH GRID PP A. 40CMS E/5 C/60 I/4</t>
  </si>
  <si>
    <t>EUE30FGPPA40E7.</t>
  </si>
  <si>
    <t>BANDA S-E30 FLUSH GRID PP A. 40CMS E/7.5 C/15 I/3</t>
  </si>
  <si>
    <t>EUE30FGPPA40E7</t>
  </si>
  <si>
    <t>BANDA S-E30 FLUSH GRID PP A. 40CMS E/7.5 C/18 I/4</t>
  </si>
  <si>
    <t>EUE30FGPPA40MFF</t>
  </si>
  <si>
    <t>BANDA S-E30 FLUSH GRID PP A. 40CMS MFF C/51 I/10</t>
  </si>
  <si>
    <t>EUE30FGPPA41E7.</t>
  </si>
  <si>
    <t>BANDA S-E30 FLUSH GRID PP A. 41CMS E/7.5 C/18 I/4</t>
  </si>
  <si>
    <t>EUE30FGPPA42</t>
  </si>
  <si>
    <t>BANDA S-E30 FLUSH GRID PP A. 42CMS</t>
  </si>
  <si>
    <t>EUE30FGPPA43</t>
  </si>
  <si>
    <t>BANDA S-E30 FLUSH GRID PP A. 43CMS</t>
  </si>
  <si>
    <t>EUE30FGPPA45</t>
  </si>
  <si>
    <t>BANDA S-E30 FLUSH GRID PP A. 45CMS</t>
  </si>
  <si>
    <t>EUE30FGPPA46</t>
  </si>
  <si>
    <t>BANDA S-E30 FLUSH GRID PP A. 46CMS</t>
  </si>
  <si>
    <t>EUE30FGPPA47</t>
  </si>
  <si>
    <t>BANDA S-E30 FLUSH GRID PP A. 47CMS</t>
  </si>
  <si>
    <t>EUE30FGPPA48E5</t>
  </si>
  <si>
    <t>BANDA S-E30 FLUSH GRID PP A. 48CMS E/5 C/18 I/4</t>
  </si>
  <si>
    <t>EUE30FGPPA4</t>
  </si>
  <si>
    <t>BANDA S-E30 FLUSH GRID PP A. 4CMS</t>
  </si>
  <si>
    <t>EUE30FGPPA50E15</t>
  </si>
  <si>
    <t>BANDA S-E30 FLUSH GRID PP A. 50CMS E/1.4 C/7 C/5</t>
  </si>
  <si>
    <t>EUE30FGPPA50E2C</t>
  </si>
  <si>
    <t>BANDA S-E30 FLUSH GRID PP A. 50CMS E/2 C/21 IE/3 II/4</t>
  </si>
  <si>
    <t>EUE30FGPPA50E50</t>
  </si>
  <si>
    <t>BANDA S-E30 FLUSH GRID PP A. 50CMS E/5 C/60 I/3</t>
  </si>
  <si>
    <t>EUE30FGPPA51</t>
  </si>
  <si>
    <t>BANDA S-E30 FLUSH GRID PP A. 51CMS</t>
  </si>
  <si>
    <t>EUE30FGPPA52</t>
  </si>
  <si>
    <t>BANDA S-E30 FLUSH GRID PP A. 52CMS</t>
  </si>
  <si>
    <t>EUE30FGPPA53</t>
  </si>
  <si>
    <t>BANDA S-E30 FLUSH GRID PP A. 53CMS</t>
  </si>
  <si>
    <t>EUE30FGPPA56</t>
  </si>
  <si>
    <t>BANDA S-E30 FLUSH GRID PP A. 56CMS</t>
  </si>
  <si>
    <t>EUE30FTPPA30E5C</t>
  </si>
  <si>
    <t>BANDA S-E30 FLUSH GRID PP A. 56CMS E/5 C/27 I/2</t>
  </si>
  <si>
    <t>EUE30FTPPA56E5C</t>
  </si>
  <si>
    <t>BANDA S-E30 FLUSH GRID PP A. 56CMS E/5 C/30 I/4</t>
  </si>
  <si>
    <t>EUE30FGPPA56E5</t>
  </si>
  <si>
    <t>BANDA S-E30 FLUSH GRID PP A. 56CMS E/5 C/42 I/4</t>
  </si>
  <si>
    <t>EUE30FGPPA58</t>
  </si>
  <si>
    <t>BANDA S-E30 FLUSH GRID PP A. 58CMS</t>
  </si>
  <si>
    <t>EUE30FGPPA59</t>
  </si>
  <si>
    <t>BANDA S-E30 FLUSH GRID PP A. 59CMS</t>
  </si>
  <si>
    <t>EUE30FGPPA60</t>
  </si>
  <si>
    <t>BANDA S-E30 FLUSH GRID PP A. 60CMS</t>
  </si>
  <si>
    <t>EUE30FGPPA60E2.</t>
  </si>
  <si>
    <t>BANDA S-E30 FLUSH GRID PP A. 60CMS E/2.5 C/21 I/4</t>
  </si>
  <si>
    <t>EUE30FGPPA60E3</t>
  </si>
  <si>
    <t>BANDA S-E30 FLUSH GRID PP A. 60CMS E/3.2 C/21</t>
  </si>
  <si>
    <t>EUE30FGPPA60E5</t>
  </si>
  <si>
    <t>BANDA S-E30 FLUSH GRID PP A. 60CMS E/5 C/21 I/3</t>
  </si>
  <si>
    <t>EUE30FGPPA61</t>
  </si>
  <si>
    <t>BANDA S-E30 FLUSH GRID PP A. 61CMS</t>
  </si>
  <si>
    <t>EUE30FGPPA62</t>
  </si>
  <si>
    <t>BANDA S-E30 FLUSH GRID PP A. 62CMS</t>
  </si>
  <si>
    <t>EUE30FGPPA65</t>
  </si>
  <si>
    <t>BANDA S-E30 FLUSH GRID PP A. 65CMS</t>
  </si>
  <si>
    <t>EUE30FGPPA66MFF</t>
  </si>
  <si>
    <t>BANDA S-E30 FLUSH GRID PP A. 66CMS MFF 40 C/24 I/23</t>
  </si>
  <si>
    <t>EUE30FGPPA70</t>
  </si>
  <si>
    <t>BANDA S-E30 FLUSH GRID PP A. 70CMS</t>
  </si>
  <si>
    <t>EUE30FGPPA70E5</t>
  </si>
  <si>
    <t>BANDA S-E30 FLUSH GRID PP A. 70CMS E/5 C/30 I/5</t>
  </si>
  <si>
    <t>EUE30FGPPA75E1</t>
  </si>
  <si>
    <t>BANDA S-E30 FLUSH GRID PP A. 75CMS E/1.6 C/12 I/5</t>
  </si>
  <si>
    <t>EUE30FGPPA76</t>
  </si>
  <si>
    <t>BANDA S-E30 FLUSH GRID PP A. 76CMS</t>
  </si>
  <si>
    <t>EUE30FGPPA80</t>
  </si>
  <si>
    <t>BANDA S-E30 FLUSH GRID PP A. 80CMS</t>
  </si>
  <si>
    <t>EUE30FGPPA90</t>
  </si>
  <si>
    <t>BANDA S-E30 FLUSH GRID PP A. 90CMS</t>
  </si>
  <si>
    <t>EUE30FGPPA90E5</t>
  </si>
  <si>
    <t>BANDA S-E30 FLUSH GRID PP A. 90CMS E/5 C/21</t>
  </si>
  <si>
    <t>EUE30FGPPA91</t>
  </si>
  <si>
    <t>BANDA S-E30 FLUSH GRID PP A. 91CMS</t>
  </si>
  <si>
    <t>EUE30FGPPA91MG9</t>
  </si>
  <si>
    <t>BANDA S-E30 FLUSH GRID PP A. 91CMS MOG C/9</t>
  </si>
  <si>
    <t>EUE30FGPPA99</t>
  </si>
  <si>
    <t>BANDA S-E30 FLUSH GRID PP A. 99CMS</t>
  </si>
  <si>
    <t>EUE30FGPPB100</t>
  </si>
  <si>
    <t>BANDA S-E30 FLUSH GRID PP B. 100CMS</t>
  </si>
  <si>
    <t>EUE30FGPPB105</t>
  </si>
  <si>
    <t>BANDA S-E30 FLUSH GRID PP B. 105CMS</t>
  </si>
  <si>
    <t>EUE30FGPPB105E3</t>
  </si>
  <si>
    <t>BANDA S-E30 FLUSH GRID PP B. 105CMS E/3 C/15 TM A C/99</t>
  </si>
  <si>
    <t>EUE30FGPPB107E3</t>
  </si>
  <si>
    <t>BANDA S-E30 FLUSH GRID PP B. 107CMS E/3.2 C/21 I/4</t>
  </si>
  <si>
    <t>EUE30FGPPB10</t>
  </si>
  <si>
    <t>BANDA S-E30 FLUSH GRID PP B. 10CMS</t>
  </si>
  <si>
    <t>EUE30FGPPB120MO</t>
  </si>
  <si>
    <t>BANDA S-E30 FLUSH GRID PP B. 120CMS MOG C/12</t>
  </si>
  <si>
    <t>EUE30FGPPB120O</t>
  </si>
  <si>
    <t>BANDA S-E30 FLUSH GRID PP B. 120CMS MOG C/9</t>
  </si>
  <si>
    <t>EUE30FGPPB121E1</t>
  </si>
  <si>
    <t>BANDA S-E30 FLUSH GRID PP B. 121CMS E/3.2 C/21</t>
  </si>
  <si>
    <t>EUE30FGPPB121E3</t>
  </si>
  <si>
    <t>BANDA S-E30 FLUSH GRID PP B. 121CMS E/3.5 C/18</t>
  </si>
  <si>
    <t>EUE30FGPPB121E2</t>
  </si>
  <si>
    <t>BANDA S-E30 FLUSH GRID PP B. 121CMS E/3.8 C/18</t>
  </si>
  <si>
    <t>EUE30FGPPB122E4</t>
  </si>
  <si>
    <t>BANDA S-E30 FLUSH GRID PP B. 122CMS E/4 C/21</t>
  </si>
  <si>
    <t>EUE30FGPPB122E5</t>
  </si>
  <si>
    <t>BANDA S-E30 FLUSH GRID PP B. 122CMS E/5 C/21</t>
  </si>
  <si>
    <t>EUE30FGPPB122MO</t>
  </si>
  <si>
    <t>BANDA S-E30 FLUSH GRID PP B. 122CMS MOG C/9</t>
  </si>
  <si>
    <t>EUE30FGPPB136E3</t>
  </si>
  <si>
    <t>BANDA S-E30 FLUSH GRID PP B. 136CMS E/3.5 C/18</t>
  </si>
  <si>
    <t>EUE30FGPPB140E3</t>
  </si>
  <si>
    <t>BANDA S-E30 FLUSH GRID PP B. 140CMS E/3 C/21</t>
  </si>
  <si>
    <t>EUE30FGPPB143E5</t>
  </si>
  <si>
    <t>BANDA S-E30 FLUSH GRID PP B. 143CMS E/5 C/21</t>
  </si>
  <si>
    <t>EU30FGPPB146E3C</t>
  </si>
  <si>
    <t>BANDA S-E30 FLUSH GRID PP B. 146CMS E/3.2 C/21</t>
  </si>
  <si>
    <t>EUE30FGPPB146E3</t>
  </si>
  <si>
    <t>BANDA S-E30 FLUSH GRID PP B. 146CMS E/3.2 C/21 I/4</t>
  </si>
  <si>
    <t>EUE30FGPPB146E4</t>
  </si>
  <si>
    <t>BANDA S-E30 FLUSH GRID PP B. 146CMS E/4 C/21</t>
  </si>
  <si>
    <t>EUE30FGPPB147E4</t>
  </si>
  <si>
    <t>BANDA S-E30 FLUSH GRID PP B. 147CMS E/3.2 C/21</t>
  </si>
  <si>
    <t>EUE30FGPPB147E3</t>
  </si>
  <si>
    <t>BANDA S-E30 FLUSH GRID PP B. 147CMS E/3.2 C/27</t>
  </si>
  <si>
    <t>EUE30FGPPB14</t>
  </si>
  <si>
    <t>BANDA S-E30 FLUSH GRID PP B. 14CMS</t>
  </si>
  <si>
    <t>EUE30FGPPB150E3</t>
  </si>
  <si>
    <t>BANDA S-E30 FLUSH GRID PP B. 150CMS E/3.2 C/21</t>
  </si>
  <si>
    <t>EUE30FGPPB150E8</t>
  </si>
  <si>
    <t>BANDA S-E30 FLUSH GRID PP B. 150CMS E/3.8 C/21</t>
  </si>
  <si>
    <t>EUE30FGPPB151E3</t>
  </si>
  <si>
    <t>BANDA S-E30 FLUSH GRID PP B. 151CMS E/3.2 C/21</t>
  </si>
  <si>
    <t>EUE30FGPPB152</t>
  </si>
  <si>
    <t>BANDA S-E30 FLUSH GRID PP B. 152CMS</t>
  </si>
  <si>
    <t>EUE30FGPPB152E3</t>
  </si>
  <si>
    <t>BANDA S-E30 FLUSH GRID PP B. 152CMS E/3.2 C/21</t>
  </si>
  <si>
    <t>EUE30FGPPB152E</t>
  </si>
  <si>
    <t>BANDA S-E30 FLUSH GRID PP B. 152CMS E/3.8 C/18</t>
  </si>
  <si>
    <t>EUE30FGPPB152E4</t>
  </si>
  <si>
    <t>BANDA S-E30 FLUSH GRID PP B. 152CMS E/4 C/21</t>
  </si>
  <si>
    <t>EUE30FGPPB152E5</t>
  </si>
  <si>
    <t>BANDA S-E30 FLUSH GRID PP B. 152CMS E/5 C/21</t>
  </si>
  <si>
    <t>EUE30FGPPB15</t>
  </si>
  <si>
    <t>BANDA S-E30 FLUSH GRID PP B. 15CMS</t>
  </si>
  <si>
    <t>EUE30FGPPB15E</t>
  </si>
  <si>
    <t>BANDA S-E30 FLUSH GRID PP B. 15CMS E/3.8 C/15</t>
  </si>
  <si>
    <t>EUE30FGPPB15OG1</t>
  </si>
  <si>
    <t>BANDA S-E30 FLUSH GRID PP B. 15CMS MOG C/15</t>
  </si>
  <si>
    <t>EUE30FGPPB16</t>
  </si>
  <si>
    <t>BANDA S-E30 FLUSH GRID PP B. 16CMS</t>
  </si>
  <si>
    <t>EUE30FGPPB16TF9</t>
  </si>
  <si>
    <t>BANDA S-E30 FLUSH GRID PP B. 16CMS MTF C/9 I/3</t>
  </si>
  <si>
    <t>EUE30FGPPB184</t>
  </si>
  <si>
    <t>BANDA S-E30 FLUSH GRID PP B. 184CMS</t>
  </si>
  <si>
    <t>EUE30FGPPB20</t>
  </si>
  <si>
    <t>BANDA S-E30 FLUSH GRID PP B. 20CMS</t>
  </si>
  <si>
    <t>EUE30FGPPB20OG1</t>
  </si>
  <si>
    <t>BANDA S-E30 FLUSH GRID PP B. 20CMS MOG C/12 I/4</t>
  </si>
  <si>
    <t>EUE30FGPPB21</t>
  </si>
  <si>
    <t>BANDA S-E30 FLUSH GRID PP B. 21CMS</t>
  </si>
  <si>
    <t>EUE30FGPPB22</t>
  </si>
  <si>
    <t>BANDA S-E30 FLUSH GRID PP B. 22CMS</t>
  </si>
  <si>
    <t>EUE30FGPPB22OG</t>
  </si>
  <si>
    <t>BANDA S-E30 FLUSH GRID PP B. 22CMS MOG C/12 I/4</t>
  </si>
  <si>
    <t>EUE30FGPPB23</t>
  </si>
  <si>
    <t>BANDA S-E30 FLUSH GRID PP B. 23CMS</t>
  </si>
  <si>
    <t>EUE30FGPPB23OG</t>
  </si>
  <si>
    <t>BANDA S-E30 FLUSH GRID PP B. 23CMS MOG C/12</t>
  </si>
  <si>
    <t>EUE30FGPPB23OG1</t>
  </si>
  <si>
    <t>BANDA S-E30 FLUSH GRID PP B. 23CMS MOG C/15</t>
  </si>
  <si>
    <t>EUE30FGPPB23OG2</t>
  </si>
  <si>
    <t>BANDA S-E30 FLUSH GRID PP B. 23CMS MOG C/21</t>
  </si>
  <si>
    <t>EUE30FGPPB24</t>
  </si>
  <si>
    <t>BANDA S-E30 FLUSH GRID PP B. 24CMS</t>
  </si>
  <si>
    <t>EUE30FGPPB24E2</t>
  </si>
  <si>
    <t>BANDA S-E30 FLUSH GRID PP B. 24CMS E/2.5 C/12 I/4</t>
  </si>
  <si>
    <t>EUE30FGPPB25E4</t>
  </si>
  <si>
    <t>BANDA S-E30 FLUSH GRID PP B. 25CMS E/4 C/18</t>
  </si>
  <si>
    <t>EUE30FGPPB25E7.</t>
  </si>
  <si>
    <t>BANDA S-E30 FLUSH GRID PP B. 25CMS E/7.5 C/21</t>
  </si>
  <si>
    <t>EUE30FGPPB25OG</t>
  </si>
  <si>
    <t>BANDA S-E30 FLUSH GRID PP B. 25CMS MOG C/12</t>
  </si>
  <si>
    <t>EUE30FGPPB25OG1</t>
  </si>
  <si>
    <t>BANDA S-E30 FLUSH GRID PP B. 25CMS MOG C/15</t>
  </si>
  <si>
    <t>EUE30FGPPB25OG2</t>
  </si>
  <si>
    <t>BANDA S-E30 FLUSH GRID PP B. 25CMS MOG C/21</t>
  </si>
  <si>
    <t>EUE30FGPPB25PPA</t>
  </si>
  <si>
    <t>BANDA S-E30 FLUSH GRID PP B. 25CMS PPA C/300</t>
  </si>
  <si>
    <t>EUE30FGPPB27E2.</t>
  </si>
  <si>
    <t>BANDA S-E30 FLUSH GRID PP B. 27CMS E/2.5 C/12 I/5</t>
  </si>
  <si>
    <t>EUE30FGPPB28</t>
  </si>
  <si>
    <t>BANDA S-E30 FLUSH GRID PP B. 28CMS</t>
  </si>
  <si>
    <t>EUE30FGPPB29</t>
  </si>
  <si>
    <t>BANDA S-E30 FLUSH GRID PP B. 29CMS</t>
  </si>
  <si>
    <t>EUE30FGPPB29EI3</t>
  </si>
  <si>
    <t>BANDA S-E30 FLUSH GRID PP B. 29CMS E/1.2 C/15 I/3</t>
  </si>
  <si>
    <t>EUE30FGPPB29E1.</t>
  </si>
  <si>
    <t>BANDA S-E30 FLUSH GRID PP B. 29CMS E/1.2 C/15 I/4</t>
  </si>
  <si>
    <t>EUE30FGPPB30E2.</t>
  </si>
  <si>
    <t>BANDA S-E30 FLUSH GRID PP B. 30CMS E/2.5 C/100</t>
  </si>
  <si>
    <t>EUE30FGPPB30E12</t>
  </si>
  <si>
    <t>BANDA S-E30 FLUSH GRID PP B. 30CMS E/2.5 C/12 I/3</t>
  </si>
  <si>
    <t>EUE30FGPPB30E3.</t>
  </si>
  <si>
    <t>BANDA S-E30 FLUSH GRID PP B. 30CMS E/2.5 C/24 I/3</t>
  </si>
  <si>
    <t>EUE30FGPPB30E2</t>
  </si>
  <si>
    <t>BANDA S-E30 FLUSH GRID PP B. 30CMS E/2.5 C/27 I/3</t>
  </si>
  <si>
    <t>EUE30FGPPB30E3</t>
  </si>
  <si>
    <t>BANDA S-E30 FLUSH GRID PP B. 30CMS E/3.2 C/15</t>
  </si>
  <si>
    <t>EUE30FGPPB30E5</t>
  </si>
  <si>
    <t>BANDA S-E30 FLUSH GRID PP B. 30CMS E/5 C/30 I/3</t>
  </si>
  <si>
    <t>EUE30FGPPB30A20</t>
  </si>
  <si>
    <t>BANDA S-E30 FLUSH GRID PP B. 30CMS M/PPA C/200</t>
  </si>
  <si>
    <t>EUE30FGPPB30MFF</t>
  </si>
  <si>
    <t>BANDA S-E30 FLUSH GRID PP B. 30CMS MFF C/21</t>
  </si>
  <si>
    <t>EUE30FGPPB30OG1</t>
  </si>
  <si>
    <t>BANDA S-E30 FLUSH GRID PP B. 30CMS MOG C/15 I/3</t>
  </si>
  <si>
    <t>EUE30FGPPB30MO.</t>
  </si>
  <si>
    <t>BANDA S-E30 FLUSH GRID PP B. 30CMS MOG C/15 I/4</t>
  </si>
  <si>
    <t>EUE30FGPPB30OG</t>
  </si>
  <si>
    <t>BANDA S-E30 FLUSH GRID PP B. 30CMS MOG C/18 IFG/5</t>
  </si>
  <si>
    <t>EUE30FGPPB30MO</t>
  </si>
  <si>
    <t>BANDA S-E30 FLUSH GRID PP B. 30CMS MOG C/9CMS</t>
  </si>
  <si>
    <t>EUE30FGPPB31E2.</t>
  </si>
  <si>
    <t>BANDA S-E30 FLUSH GRID PP B. 31CMS E/2.5 C/12 I/3</t>
  </si>
  <si>
    <t>EUE30FGPPB32FF</t>
  </si>
  <si>
    <t>BANDA S-E30 FLUSH GRID PP B. 32CMS MFF C/6</t>
  </si>
  <si>
    <t>EUE30FGPPB33</t>
  </si>
  <si>
    <t>BANDA S-E30 FLUSH GRID PP B. 33CMS</t>
  </si>
  <si>
    <t>EUE30FGPPB33E5</t>
  </si>
  <si>
    <t>BANDA S-E30 FLUSH GRID PP B. 33CMS E/5 C/12 I/4</t>
  </si>
  <si>
    <t>EUE30FGPPB35</t>
  </si>
  <si>
    <t>BANDA S-E30 FLUSH GRID PP B. 35CMS</t>
  </si>
  <si>
    <t>EUE30FGPPB35E5</t>
  </si>
  <si>
    <t>BANDA S-E30 FLUSH GRID PP B. 35CMS E/5 C/30 I/3</t>
  </si>
  <si>
    <t>EUE30FGPPB36</t>
  </si>
  <si>
    <t>BANDA S-E30 FLUSH GRID PP B. 36CMS</t>
  </si>
  <si>
    <t>EUE30FGPPB37</t>
  </si>
  <si>
    <t>BANDA S-E30 FLUSH GRID PP B. 37CMS</t>
  </si>
  <si>
    <t>EUE30FGPPB40</t>
  </si>
  <si>
    <t>BANDA S-E30 FLUSH GRID PP B. 40CMS</t>
  </si>
  <si>
    <t>EUE30FGPPB40E2.</t>
  </si>
  <si>
    <t>BANDA S-E30 FLUSH GRID PP B. 40CMS E/2.5 C/30 I/5</t>
  </si>
  <si>
    <t>EUE30FGPPB40E5</t>
  </si>
  <si>
    <t>BANDA S-E30 FLUSH GRID PP B. 40CMS E/5 C/39 I/4</t>
  </si>
  <si>
    <t>EUE30FGPPB40EC/</t>
  </si>
  <si>
    <t>BANDA S-E30 FLUSH GRID PP B. 40CMS EC/5 C/21</t>
  </si>
  <si>
    <t>EUE30FGPPB40TF9</t>
  </si>
  <si>
    <t>BANDA S-E30 FLUSH GRID PP B. 40CMS MTF C/9 I/5</t>
  </si>
  <si>
    <t>EUE30FGPPB41</t>
  </si>
  <si>
    <t>BANDA S-E30 FLUSH GRID PP B. 41CMS</t>
  </si>
  <si>
    <t>EUE30FGPPB42</t>
  </si>
  <si>
    <t>BANDA S-E30 FLUSH GRID PP B. 42CMS</t>
  </si>
  <si>
    <t>EUE30FGPPB43</t>
  </si>
  <si>
    <t>BANDA S-E30 FLUSH GRID PP B. 43CMS</t>
  </si>
  <si>
    <t>EUE30FGPPB45</t>
  </si>
  <si>
    <t>BANDA S-E30 FLUSH GRID PP B. 45CMS</t>
  </si>
  <si>
    <t>EUE30FGPPB45E3</t>
  </si>
  <si>
    <t>BANDA S-E30 FLUSH GRID PP B. 45CMS E/3.2 C/21</t>
  </si>
  <si>
    <t>EUE30FGPPB45FF</t>
  </si>
  <si>
    <t>BANDA S-E30 FLUSH GRID PP B. 45CMS MFF C/15 I/5</t>
  </si>
  <si>
    <t>EUE30FGPPB45MFT</t>
  </si>
  <si>
    <t>BANDA S-E30 FLUSH GRID PP B. 45CMS MFT C/12 I/5</t>
  </si>
  <si>
    <t>EUE30FPPB45MOG2</t>
  </si>
  <si>
    <t>BANDA S-E30 FLUSH GRID PP B. 45CMS MOG C/21</t>
  </si>
  <si>
    <t>EUE30FGPPB46</t>
  </si>
  <si>
    <t>BANDA S-E30 FLUSH GRID PP B. 46CMS</t>
  </si>
  <si>
    <t>EUE30FGPPB46E1.</t>
  </si>
  <si>
    <t>BANDA S-E30 FLUSH GRID PP B. 46CMS E/1.5 C/21</t>
  </si>
  <si>
    <t>EUE30FGPPB46EO</t>
  </si>
  <si>
    <t>BANDA S-E30 FLUSH GRID PP B. 46CMS E/1.58 C/18 MOG C/18</t>
  </si>
  <si>
    <t>EUE30FGPPB46E2.</t>
  </si>
  <si>
    <t>BANDA S-E30 FLUSH GRID PP B. 46CMS E/2.5 C/18</t>
  </si>
  <si>
    <t>EUE30FGPPB46E2</t>
  </si>
  <si>
    <t>BANDA S-E30 FLUSH GRID PP B. 46CMS E/2.5 C/21</t>
  </si>
  <si>
    <t>EUE30FGPPB46E4</t>
  </si>
  <si>
    <t>BANDA S-E30 FLUSH GRID PP B. 46CMS E/4 C/21</t>
  </si>
  <si>
    <t>EUE30FGPPB46E5</t>
  </si>
  <si>
    <t>BANDA S-E30 FLUSH GRID PP B. 46CMS E/5 C/39 I/3</t>
  </si>
  <si>
    <t>EUE30FGPPB46E7</t>
  </si>
  <si>
    <t>BANDA S-E30 FLUSH GRID PP B. 46CMS E/7.5 C/15 I/7</t>
  </si>
  <si>
    <t>EUE30FGPPB46EC7</t>
  </si>
  <si>
    <t>BANDA S-E30 FLUSH GRID PP B. 46CMS EC/7 C/51 I/3</t>
  </si>
  <si>
    <t>EUE30FGPPB48</t>
  </si>
  <si>
    <t>BANDA S-E30 FLUSH GRID PP B. 48CMS</t>
  </si>
  <si>
    <t>EUE30FGPPB49</t>
  </si>
  <si>
    <t>BANDA S-E30 FLUSH GRID PP B. 49CMS</t>
  </si>
  <si>
    <t>EUE30FGPPB49E2.</t>
  </si>
  <si>
    <t>BANDA S-E30 FLUSH GRID PP B. 49CMS E/2.5 C/12 I/9</t>
  </si>
  <si>
    <t>EUE30FGPPB50</t>
  </si>
  <si>
    <t>BANDA S-E30 FLUSH GRID PP B. 50CMS</t>
  </si>
  <si>
    <t>EUE30FGPPB50O24</t>
  </si>
  <si>
    <t>BANDA S-E30 FLUSH GRID PP B. 50CMS MOG C/24 IFG/5</t>
  </si>
  <si>
    <t>EUE30FGPPB51</t>
  </si>
  <si>
    <t>BANDA S-E30 FLUSH GRID PP B. 51CMS</t>
  </si>
  <si>
    <t>EUE30FGPPB58E2.</t>
  </si>
  <si>
    <t>BANDA S-E30 FLUSH GRID PP B. 58CMS E/2.5 C/21 I/3</t>
  </si>
  <si>
    <t>EUE30FGPPB59OG9</t>
  </si>
  <si>
    <t>BANDA S-E30 FLUSH GRID PP B. 59CMS MOG C/9</t>
  </si>
  <si>
    <t>EUE30FGPPB60E3.</t>
  </si>
  <si>
    <t>BANDA S-E30 FLUSH GRID PP B. 60CMS E/3.8 C/12</t>
  </si>
  <si>
    <t>EUE30FGPPB60E3</t>
  </si>
  <si>
    <t>BANDA S-E30 FLUSH GRID PP B. 60CMS E/3.8 C/18</t>
  </si>
  <si>
    <t>EUE30FGPPB60E7</t>
  </si>
  <si>
    <t>EUE30FGPPB61</t>
  </si>
  <si>
    <t>BANDA S-E30 FLUSH GRID PP B. 61CMS</t>
  </si>
  <si>
    <t>EUE30FGPPB61E3</t>
  </si>
  <si>
    <t>BANDA S-E30 FLUSH GRID PP B. 61CMS E/3.2 C/21 I/4</t>
  </si>
  <si>
    <t>EUE30FGPPB62</t>
  </si>
  <si>
    <t>BANDA S-E30 FLUSH GRID PP B. 62CMS</t>
  </si>
  <si>
    <t>EUE30FGPPB63E7.</t>
  </si>
  <si>
    <t>BANDA S-E30 FLUSH GRID PP B. 63CMS E/7.5 C/24 I/4</t>
  </si>
  <si>
    <t>EUE30FGPPB65</t>
  </si>
  <si>
    <t>BANDA S-E30 FLUSH GRID PP B. 65CMS</t>
  </si>
  <si>
    <t>EUE30FGPPB66E2.</t>
  </si>
  <si>
    <t>BANDA S-E30 FLUSH GRID PP B. 66CMS E/2.5 C/21 I/3</t>
  </si>
  <si>
    <t>EUE30FGPPB66E2</t>
  </si>
  <si>
    <t>BANDA S-E30 FLUSH GRID PP B. 66CMS E/2.5 C/24 I/3</t>
  </si>
  <si>
    <t>EUE30FGPPB68</t>
  </si>
  <si>
    <t>BANDA S-E30 FLUSH GRID PP B. 68CMS</t>
  </si>
  <si>
    <t>EUE30FGPPB69E/3</t>
  </si>
  <si>
    <t>BANDA S-E30 FLUSH GRID PP B. 69CMS E/3.8 C/30 I/3</t>
  </si>
  <si>
    <t>EUE30FGPPB75</t>
  </si>
  <si>
    <t>BANDA S-E30 FLUSH GRID PP B. 75CMS</t>
  </si>
  <si>
    <t>EUE30FPPB75MOGC</t>
  </si>
  <si>
    <t>BANDA S-E30 FLUSH GRID PP B. 75CMS MOG C/12</t>
  </si>
  <si>
    <t>EUE30FGPPB75OG9</t>
  </si>
  <si>
    <t>BANDA S-E30 FLUSH GRID PP B. 75CMS MOG C/9</t>
  </si>
  <si>
    <t>EUE30FGPPB76E</t>
  </si>
  <si>
    <t>BANDA S-E30 FLUSH GRID PP B. 76CMS E/3.2 C/18</t>
  </si>
  <si>
    <t>EUE30FGPPB76E3.</t>
  </si>
  <si>
    <t>BANDA S-E30 FLUSH GRID PP B. 76CMS E/3.2 C/21 I/4</t>
  </si>
  <si>
    <t>EUE30FGPPB76E4</t>
  </si>
  <si>
    <t>BANDA S-E30 FLUSH GRID PP B. 76CMS E/4 C/21</t>
  </si>
  <si>
    <t>EUE30FGPPB79</t>
  </si>
  <si>
    <t>BANDA S-E30 FLUSH GRID PP B. 79CMS</t>
  </si>
  <si>
    <t>EUE30FPPB80</t>
  </si>
  <si>
    <t>BANDA S-E30 FLUSH GRID PP B. 80CMS</t>
  </si>
  <si>
    <t>EUE30FGPPB84</t>
  </si>
  <si>
    <t>BANDA S-E30 FLUSH GRID PP B. 84CMS E/4 C/21</t>
  </si>
  <si>
    <t>EUE30FGPPB85E3.</t>
  </si>
  <si>
    <t>BANDA S-E30 FLUSH GRID PP B. 85CMS E/3.2 C/21</t>
  </si>
  <si>
    <t>EUE30FGPPB90</t>
  </si>
  <si>
    <t>BANDA S-E30 FLUSH GRID PP B. 90CMS</t>
  </si>
  <si>
    <t>EUE30FGPPB90E3.</t>
  </si>
  <si>
    <t>BANDA S-E30 FLUSH GRID PP B. 90CMS E/3.2 C/21</t>
  </si>
  <si>
    <t>EUE30FGPPB90OG1</t>
  </si>
  <si>
    <t>BANDA S-E30 FLUSH GRID PP B. 90CMS MOG C/18</t>
  </si>
  <si>
    <t>EUE30FGPPB90OG9</t>
  </si>
  <si>
    <t>BANDA S-E30 FLUSH GRID PP B. 90CMS MOG C/9</t>
  </si>
  <si>
    <t>EUE30FGPPB91</t>
  </si>
  <si>
    <t>BANDA S-E30 FLUSH GRID PP B. 91CMS</t>
  </si>
  <si>
    <t>EUE30FGPPB91E2.</t>
  </si>
  <si>
    <t>BANDA S-E30 FLUSH GRID PP B. 91CMS E/2.5 C/18</t>
  </si>
  <si>
    <t>EUE30FGPPB91E.2</t>
  </si>
  <si>
    <t>BANDA S-E30 FLUSH GRID PP B. 91CMS E/3.2 C/18</t>
  </si>
  <si>
    <t>EUE30FGPPB91E..</t>
  </si>
  <si>
    <t>BANDA S-E30 FLUSH GRID PP B. 91CMS E/3.2 C/18 I3</t>
  </si>
  <si>
    <t>EUE30FGPPB91E3</t>
  </si>
  <si>
    <t>BANDA S-E30 FLUSH GRID PP B. 91CMS E/3.2 C/21</t>
  </si>
  <si>
    <t>EUE30FGPPA91E/</t>
  </si>
  <si>
    <t>BANDA S-E30 FLUSH GRID PP B. 91CMS E/3.2 C/21 I/4</t>
  </si>
  <si>
    <t>EUE30FGPPB91E</t>
  </si>
  <si>
    <t>BANDA S-E30 FLUSH GRID PP B. 91CMS E/3.5 C/21</t>
  </si>
  <si>
    <t>EUE30FGPPB91E3.</t>
  </si>
  <si>
    <t>BANDA S-E30 FLUSH GRID PP B. 91CMS E/3.8 C/18</t>
  </si>
  <si>
    <t>EUE30FGPPB91E8</t>
  </si>
  <si>
    <t>BANDA S-E30 FLUSH GRID PP B. 91CMS E/3.8 C/21</t>
  </si>
  <si>
    <t>EUE30FGPPB91E/3</t>
  </si>
  <si>
    <t>BANDA S-E30 FLUSH GRID PP B. 91CMS E/3.8 C/21 I/4</t>
  </si>
  <si>
    <t>EUE30FGPPB91E4</t>
  </si>
  <si>
    <t>BANDA S-E30 FLUSH GRID PP B. 91CMS E/4 C/21</t>
  </si>
  <si>
    <t>EUES30FGPPB91EM</t>
  </si>
  <si>
    <t>BANDA S-E30 FLUSH GRID PP B. 91CMS E/4 C/21 TM PP A/5 C/30</t>
  </si>
  <si>
    <t>EUE30FGPPB91MOG</t>
  </si>
  <si>
    <t>BANDA S-E30 FLUSH GRID PP B. 91CMS MOG C/12</t>
  </si>
  <si>
    <t>EUE30FGPPB91OG2</t>
  </si>
  <si>
    <t>BANDA S-E30 FLUSH GRID PP B. 91CMS MOG C/21 MPPA C/8MT</t>
  </si>
  <si>
    <t>EUE30FGPPB91OG9</t>
  </si>
  <si>
    <t>BANDA S-E30 FLUSH GRID PP B. 91CMS MOG C/9</t>
  </si>
  <si>
    <t>EUE30FGPPB92MOG</t>
  </si>
  <si>
    <t>BANDA S-E30 FLUSH GRID PP B. 92CMS MOG C/15</t>
  </si>
  <si>
    <t>EUE30FGPPB93E4</t>
  </si>
  <si>
    <t>BANDA S-E30 FLUSH GRID PP B. 93CMS E/4 C/21</t>
  </si>
  <si>
    <t>EUE30FGPPB96E</t>
  </si>
  <si>
    <t>BANDA S-E30 FLUSH GRID PP B. 96CMS E/3.2 C/21</t>
  </si>
  <si>
    <t>EUE30FGPPB96E3.</t>
  </si>
  <si>
    <t>BANDA S-E30 FLUSH GRID PP B. 96CMS E/3.2 C/21 I/4</t>
  </si>
  <si>
    <t>EUE30FGPPB97E</t>
  </si>
  <si>
    <t>BANDA S-E30 FLUSH GRID PP B. 97CMS E/7.5 C/15 I/5</t>
  </si>
  <si>
    <t>EUE30FGPPB98E5C</t>
  </si>
  <si>
    <t>BANDA S-E30 FLUSH GRID PP B. 98CMS E/5 C/15 I/5</t>
  </si>
  <si>
    <t>EUE30FYOGPEN105</t>
  </si>
  <si>
    <t>BANDA S-E30 FLUSH Y OPEN GRID PE N. 105CMS IFG/4</t>
  </si>
  <si>
    <t>EUE30FYOPEN120I</t>
  </si>
  <si>
    <t>BANDA S-E30 FLUSH Y OPEN GRID PE N. 120CMS IFG/3</t>
  </si>
  <si>
    <t>EUE30FYOPEN121I</t>
  </si>
  <si>
    <t>BANDA S-E30 FLUSH Y OPEN GRID PE N. 121CMS IFG/4</t>
  </si>
  <si>
    <t>EUE30FGYOGPEN90</t>
  </si>
  <si>
    <t>BANDA S-E30 FLUSH Y OPEN GRID PE N. 90CMS IFG/3</t>
  </si>
  <si>
    <t>EUE30FYOGPEN90F</t>
  </si>
  <si>
    <t>BANDA S-E30 FLUSH Y OPEN GRID PE N. 90CMS IFG/5</t>
  </si>
  <si>
    <t>EUE30FGYOGPEN91</t>
  </si>
  <si>
    <t>BANDA S-E30 FLUSH Y OPEN GRID PE N. 91CMS IFG/3</t>
  </si>
  <si>
    <t>EUE30FYOPEN91I5</t>
  </si>
  <si>
    <t>BANDA S-E30 FLUSH Y OPEN GRID PE N. 91CMS IFG/5-6</t>
  </si>
  <si>
    <t>EUE30FYOGPPA25I</t>
  </si>
  <si>
    <t>BANDA S-E30 FLUSH Y OPEN GRID PP A. 25CMS IFG/3</t>
  </si>
  <si>
    <t>EUE30FG/OG PPA3</t>
  </si>
  <si>
    <t>BANDA S-E30 FLUSH Y OPEN GRID PP A. 30CMS</t>
  </si>
  <si>
    <t>EUE30FYOGPPA50</t>
  </si>
  <si>
    <t>BANDA S-E30 FLUSH Y OPEN GRID PP A. 50CMS</t>
  </si>
  <si>
    <t>EUE30FGYOGPPA51</t>
  </si>
  <si>
    <t>BANDA S-E30 FLUSH Y OPEN GRID PP A. 51CMS</t>
  </si>
  <si>
    <t>EUE30FYOGPPB10O</t>
  </si>
  <si>
    <t>BANDA S-E30 FLUSH Y OPEN GRID PP B. 100CMS IFG/3</t>
  </si>
  <si>
    <t>EUE30FYOGPPB100</t>
  </si>
  <si>
    <t>BANDA S-E30 FLUSH Y OPEN GRID PP B. 100CMS IFG/4</t>
  </si>
  <si>
    <t>EUE30FYOGPPB105</t>
  </si>
  <si>
    <t>BANDA S-E30 FLUSH Y OPEN GRID PP B. 105CMS</t>
  </si>
  <si>
    <t>EUE30FYOGPPB106</t>
  </si>
  <si>
    <t>BANDA S-E30 FLUSH Y OPEN GRID PP B. 106CMS IFG/3</t>
  </si>
  <si>
    <t>EUE30FYOGPPB119</t>
  </si>
  <si>
    <t>BANDA S-E30 FLUSH Y OPEN GRID PP B. 119CMS</t>
  </si>
  <si>
    <t>EUE30FY0GPPB120</t>
  </si>
  <si>
    <t>BANDA S-E30 FLUSH Y OPEN GRID PP B. 120CMS IFG/3</t>
  </si>
  <si>
    <t>EUE30FYOGPPB121</t>
  </si>
  <si>
    <t>BANDA S-E30 FLUSH Y OPEN GRID PP B. 121CMS</t>
  </si>
  <si>
    <t>EUE30FY0GPPB121</t>
  </si>
  <si>
    <t>BANDA S-E30 FLUSH Y OPEN GRID PP B. 121CMS IFG/3</t>
  </si>
  <si>
    <t>EUE30FYOGPPB122</t>
  </si>
  <si>
    <t>BANDA S-E30 FLUSH Y OPEN GRID PP B. 122CMS</t>
  </si>
  <si>
    <t>EU30FYOGPPB122E</t>
  </si>
  <si>
    <t>BANDA S-E30 FLUSH Y OPEN GRID PP B. 122CMS E/2.5 C/45</t>
  </si>
  <si>
    <t>EUE30FYOGPPB146</t>
  </si>
  <si>
    <t>BANDA S-E30 FLUSH Y OPEN GRID PP B. 146CMS IFG/3</t>
  </si>
  <si>
    <t>EUE30FYOGPPB147</t>
  </si>
  <si>
    <t>BANDA S-E30 FLUSH Y OPEN GRID PP B. 147CMS IFG/3</t>
  </si>
  <si>
    <t>EUE30FYOGPPB151</t>
  </si>
  <si>
    <t>BANDA S-E30 FLUSH Y OPEN GRID PP B. 151CMS</t>
  </si>
  <si>
    <t>EUE30FY0GPPB151</t>
  </si>
  <si>
    <t>BANDA S-E30 FLUSH Y OPEN GRID PP B. 151CMS IFG/3</t>
  </si>
  <si>
    <t>EUE30FYOGPPB20</t>
  </si>
  <si>
    <t>BANDA S-E30 FLUSH Y OPEN GRID PP B. 20CMS</t>
  </si>
  <si>
    <t>EUE30FYOGPPB25</t>
  </si>
  <si>
    <t>BANDA S-E30 FLUSH Y OPEN GRID PP B. 25CMS</t>
  </si>
  <si>
    <t>EUE30FYOG30</t>
  </si>
  <si>
    <t>BANDA S-E30 FLUSH Y OPEN GRID PP B. 30CMS</t>
  </si>
  <si>
    <t>EUE30FYOGPPB30</t>
  </si>
  <si>
    <t>BANDA S-E30 FLUSH Y OPEN GRID PP B. 30CMS IFG/3</t>
  </si>
  <si>
    <t>EUE30FYOGPPB39</t>
  </si>
  <si>
    <t>BANDA S-E30 FLUSH Y OPEN GRID PP B. 39CMS</t>
  </si>
  <si>
    <t>EUE30FYOGPPB40</t>
  </si>
  <si>
    <t>BANDA S-E30 FLUSH Y OPEN GRID PP B. 40CMS</t>
  </si>
  <si>
    <t>EUE30FYOGPPB61F</t>
  </si>
  <si>
    <t>BANDA S-E30 FLUSH Y OPEN GRID PP B. 61CMS IFG/4</t>
  </si>
  <si>
    <t>EUE30FYOGPPB62</t>
  </si>
  <si>
    <t>BANDA S-E30 FLUSH Y OPEN GRID PP B. 62CMS</t>
  </si>
  <si>
    <t>EUE30FYOGPPB68</t>
  </si>
  <si>
    <t>BANDA S-E30 FLUSH Y OPEN GRID PP B. 68CMS</t>
  </si>
  <si>
    <t>EUE30FGYOGPPB75</t>
  </si>
  <si>
    <t>BANDA S-E30 FLUSH Y OPEN GRID PP B. 75CMS</t>
  </si>
  <si>
    <t>EUE30FYOGPPB76</t>
  </si>
  <si>
    <t>BANDA S-E30 FLUSH Y OPEN GRID PP B. 76CMS</t>
  </si>
  <si>
    <t>EUE30FGYOGPPB76</t>
  </si>
  <si>
    <t>BANDA S-E30 FLUSH Y OPEN GRID PP B. 76CMS IFG/3</t>
  </si>
  <si>
    <t>EUE30FYOGPPB77I</t>
  </si>
  <si>
    <t>BANDA S-E30 FLUSH Y OPEN GRID PP B. 77CMS IFG/4</t>
  </si>
  <si>
    <t>EUE30FYOGPPB88F</t>
  </si>
  <si>
    <t>BANDA S-E30 FLUSH Y OPEN GRID PP B. 88CMS IFG/3</t>
  </si>
  <si>
    <t>EUE30FYOGPPB90</t>
  </si>
  <si>
    <t>BANDA S-E30 FLUSH Y OPEN GRID PP B. 90CMS</t>
  </si>
  <si>
    <t>EUE30FYOGPPB90I</t>
  </si>
  <si>
    <t>BANDA S-E30 FLUSH Y OPEN GRID PP B. 90CMS IFG/3</t>
  </si>
  <si>
    <t>EUE30FGYOGPPB91</t>
  </si>
  <si>
    <t>BANDA S-E30 FLUSH Y OPEN GRID PP B. 91CMS IFG/3</t>
  </si>
  <si>
    <t>EUE30FYOGPPB91I</t>
  </si>
  <si>
    <t>BANDA S-E30 FLUSH Y OPEN GRID PP B. 91CMS IFG/4</t>
  </si>
  <si>
    <t>EUE30FYOGPPB92</t>
  </si>
  <si>
    <t>BANDA S-E30 FLUSH Y OPEN GRID PP B. 92CMS</t>
  </si>
  <si>
    <t>EUE30FYOGPPB95</t>
  </si>
  <si>
    <t>BANDA S-E30 FLUSH Y OPEN GRID PP B. 95CMS</t>
  </si>
  <si>
    <t>EUE30FYOGPPB99</t>
  </si>
  <si>
    <t>BANDA S-E30 FLUSH Y OPEN GRID PP B. 99CMS</t>
  </si>
  <si>
    <t>EUE30FYOPPB147</t>
  </si>
  <si>
    <t>BANDA S-E30 FLUSH Y OPEN PP B. 147CMS IFG/3</t>
  </si>
  <si>
    <t>EUE30OGPPB15</t>
  </si>
  <si>
    <t>BANDA S-E30 OPEN GRID PP B. 15CMS</t>
  </si>
  <si>
    <t>EUOGPPB25</t>
  </si>
  <si>
    <t>BANDA S-E30 OPEN GRID PP B. 25CMS</t>
  </si>
  <si>
    <t>EUE30OGPPB30</t>
  </si>
  <si>
    <t>BANDA S-E30 OPEN GRID PP B. 30CMS</t>
  </si>
  <si>
    <t>EU30OGPPB40</t>
  </si>
  <si>
    <t>BANDA S-E30 OPEN GRID PP B. 40CMS</t>
  </si>
  <si>
    <t>EUE30OGPPB61</t>
  </si>
  <si>
    <t>BANDA S-E30 OPEN GRID PP B. 61CMS</t>
  </si>
  <si>
    <t>EUE30RRPPG50</t>
  </si>
  <si>
    <t>BANDA S-E30 RAISED RIB PP G. 50CMS</t>
  </si>
  <si>
    <t>EUE30RRPPG57</t>
  </si>
  <si>
    <t>BANDA S-E30 RAISED RIB PP G. 57CMS</t>
  </si>
  <si>
    <t>EUE30RRPPG60</t>
  </si>
  <si>
    <t>BANDA S-E30 RAISED RIB PP G. 60CMS</t>
  </si>
  <si>
    <t>EUE30RRPPG6</t>
  </si>
  <si>
    <t>BANDA S-E30 RAISED RIB PP G. 6CMS</t>
  </si>
  <si>
    <t>EUE40FGPEA60E5C</t>
  </si>
  <si>
    <t>BANDA S-E40 FLUSH GRID PE A. 60CMS E/5 C/24</t>
  </si>
  <si>
    <t>EUE40FGPEA80E4C</t>
  </si>
  <si>
    <t>BANDA S-E40 FLUSH GRID PE A. 80CMS E/7 C/24</t>
  </si>
  <si>
    <t>EUE40FGPPG16</t>
  </si>
  <si>
    <t>BANDA S-E40 FLUSH GRID PP G. 16CMS</t>
  </si>
  <si>
    <t>EUE40FGPPG30</t>
  </si>
  <si>
    <t>BANDA S-E40 FLUSH GRID PP G. 30CMS</t>
  </si>
  <si>
    <t>EUE40FGPPG60E40</t>
  </si>
  <si>
    <t>BANDA S-E40 FLUSH GRID PP G. 60CMS E/4 C/72 I/5</t>
  </si>
  <si>
    <t>EUE40FGPPG80E1I</t>
  </si>
  <si>
    <t>BANDA S-E40 FLUSH GRID PP G. 80CMS E/10 C/32 I/6</t>
  </si>
  <si>
    <t>EUE41RRPPG110</t>
  </si>
  <si>
    <t>BANDA S-E41 RAISED RIB PP G. 110CMS</t>
  </si>
  <si>
    <t>EUE41RRPPG120</t>
  </si>
  <si>
    <t>BANDA S-E41 RAISED RIB PP G. 120CMS</t>
  </si>
  <si>
    <t>EUE41RRPPG52</t>
  </si>
  <si>
    <t>BANDA S-E41 RAISED RIB PP G. 52CMS</t>
  </si>
  <si>
    <t>EUE50FTPPA30</t>
  </si>
  <si>
    <t>BANDA S-E50 FLAT TOP PP A. 30CMS</t>
  </si>
  <si>
    <t>EUE50FTPPA60</t>
  </si>
  <si>
    <t>BANDA S-E50 FLAT TOP PP A. 60CMS</t>
  </si>
  <si>
    <t>EUE50FTPPA80</t>
  </si>
  <si>
    <t>BANDA S-E50 FLAT TOP PP A. 80CMS</t>
  </si>
  <si>
    <t>EUE50FGPEA128E2</t>
  </si>
  <si>
    <t>BANDA S-E50 FLUSH GRID PE A. 128CMS E/2.5 C/60 IE/6 II/8</t>
  </si>
  <si>
    <t>EUE50FGPEA48E7.</t>
  </si>
  <si>
    <t>BANDA S-E50 FLUSH GRID PE A. 48CMS E/7.5 C/30 I/4</t>
  </si>
  <si>
    <t>EUE50FGPEA88</t>
  </si>
  <si>
    <t>BANDA S-E50 FLUSH GRID PE A. 88CMS</t>
  </si>
  <si>
    <t>EUE50FGPEA88E65</t>
  </si>
  <si>
    <t>BANDA S-E50 FLUSH GRID PE A. 88CMS E/2.5 C/65 IE/4 II/12-8</t>
  </si>
  <si>
    <t>EUE50FGPEA96E2.</t>
  </si>
  <si>
    <t>BANDA S-E50 FLUSH GRID PE A. 96CMS E/2.5 C/60 IE/6 II/8</t>
  </si>
  <si>
    <t>EUE50FGPPA10</t>
  </si>
  <si>
    <t>BANDA S-E50 FLUSH GRID PP A. 10CMS</t>
  </si>
  <si>
    <t>EUE50FGPPA234</t>
  </si>
  <si>
    <t>BANDA S-E50 FLUSH GRID PP A. 234CMS</t>
  </si>
  <si>
    <t>EUE50FGPPA234E2</t>
  </si>
  <si>
    <t>BANDA S-E50 FLUSH GRID PP A. 234CMS E/2.5 C/60 I/6</t>
  </si>
  <si>
    <t>EUE50FGPPA234E</t>
  </si>
  <si>
    <t>BANDA S-E50 FLUSH GRID PP A. 234CMS EPE/2.5 C/60 IE/6-8 II/12-10</t>
  </si>
  <si>
    <t>EUE50FGPPA30</t>
  </si>
  <si>
    <t>BANDA S-E50 FLUSH GRID PP A. 30CMS</t>
  </si>
  <si>
    <t>EUE50FGPPA38</t>
  </si>
  <si>
    <t>BANDA S-E50 FLUSH GRID PP A. 38CMS</t>
  </si>
  <si>
    <t>EUE50FGPPA40</t>
  </si>
  <si>
    <t>BANDA S-E50 FLUSH GRID PP A. 40CMS</t>
  </si>
  <si>
    <t>EUE50FGPPA40E5.</t>
  </si>
  <si>
    <t>BANDA S-E50 FLUSH GRID PP A. 40CMS E/5.1 C/80</t>
  </si>
  <si>
    <t>EUE50FGPPA50</t>
  </si>
  <si>
    <t>BANDA S-E50 FLUSH GRID PP A. 50CMS</t>
  </si>
  <si>
    <t>EUE50FGPPA60</t>
  </si>
  <si>
    <t>BANDA S-E50 FLUSH GRID PP A. 60CMS</t>
  </si>
  <si>
    <t>EUE50FGPPA70E10</t>
  </si>
  <si>
    <t>BANDA S-E50 FLUSH GRID PP A. 70CMS E/10 C/40 I/6</t>
  </si>
  <si>
    <t>EUE50FGPPA80</t>
  </si>
  <si>
    <t>BANDA S-E50 FLUSH GRID PP A. 80CMS</t>
  </si>
  <si>
    <t>EUE50FGPPA80E5</t>
  </si>
  <si>
    <t>BANDA S-E50 FLUSH GRID PP A. 80CMS E/5 C/30 I/4</t>
  </si>
  <si>
    <t>EUE50FGPPA90</t>
  </si>
  <si>
    <t>BANDA S-E50 FLUSH GRID PP A. 90CMS</t>
  </si>
  <si>
    <t>EUE50FGPPB100</t>
  </si>
  <si>
    <t>BANDA S-E50 FLUSH GRID PP B. 100CMS</t>
  </si>
  <si>
    <t>EUE50FGPPB100E2</t>
  </si>
  <si>
    <t>BANDA S-E50 FLUSH GRID PP B. 100CMS E/10 C/30 I/6</t>
  </si>
  <si>
    <t>EUE50FGPPB100E3</t>
  </si>
  <si>
    <t>BANDA S-E50 FLUSH GRID PP B. 100CMS E/10 C/30 IE/6 II/8</t>
  </si>
  <si>
    <t>EUE50FGPPB100E1</t>
  </si>
  <si>
    <t>BANDA S-E50 FLUSH GRID PP B. 100CMS E/10.2 C/30</t>
  </si>
  <si>
    <t>EUE50FGPPB100E.</t>
  </si>
  <si>
    <t>BANDA S-E50 FLUSH GRID PP B. 100CMS E/10.2 C/30 I/4</t>
  </si>
  <si>
    <t>EUE50FGPPB100E4</t>
  </si>
  <si>
    <t>EUE50FGPPB120</t>
  </si>
  <si>
    <t>BANDA S-E50 FLUSH GRID PP B. 120CMS</t>
  </si>
  <si>
    <t>EUE50FGPPB126</t>
  </si>
  <si>
    <t>BANDA S-E50 FLUSH GRID PP B. 126CMS</t>
  </si>
  <si>
    <t>EUE50FGPPB130E2</t>
  </si>
  <si>
    <t>BANDA S-E50 FLUSH GRID PP B. 130CMS E/2.5 C/35 I/E 4 I/I 8</t>
  </si>
  <si>
    <t>EUE50FGPPB14</t>
  </si>
  <si>
    <t>BANDA S-E50 FLUSH GRID PP B. 14CMS</t>
  </si>
  <si>
    <t>EUE50FGPPB150</t>
  </si>
  <si>
    <t>BANDA S-E50 FLUSH GRID PP B. 150CMS</t>
  </si>
  <si>
    <t>EUE50FGPPB200</t>
  </si>
  <si>
    <t>BANDA S-E50 FLUSH GRID PP B. 200CMS</t>
  </si>
  <si>
    <t>EUE50FGPPB20</t>
  </si>
  <si>
    <t>BANDA S-E50 FLUSH GRID PP B. 20CMS</t>
  </si>
  <si>
    <t>EUE50FGPPB22</t>
  </si>
  <si>
    <t>BANDA S-E50 FLUSH GRID PP B. 22CMS</t>
  </si>
  <si>
    <t>EUE50FGPPB240</t>
  </si>
  <si>
    <t>BANDA S-E50 FLUSH GRID PP B. 240CMS</t>
  </si>
  <si>
    <t>EUE50FGPPB24E7.</t>
  </si>
  <si>
    <t>BANDA S-E50 FLUSH GRID PP B. 24CMS E/7.6 C/30 I/3</t>
  </si>
  <si>
    <t>EUE30FGPPB38E10</t>
  </si>
  <si>
    <t>BANDA S-E50 FLUSH GRID PP B. 38CMS E/10 C/30 I/4</t>
  </si>
  <si>
    <t>EUE50FGPPB38E5</t>
  </si>
  <si>
    <t>BANDA S-E50 FLUSH GRID PP B. 38CMS E/5 C/40</t>
  </si>
  <si>
    <t>EUE50FGPPB38E7</t>
  </si>
  <si>
    <t>BANDA S-E50 FLUSH GRID PP B. 38CMS E/7.5 C/30 I/4</t>
  </si>
  <si>
    <t>EUE50FGPPB40</t>
  </si>
  <si>
    <t>BANDA S-E50 FLUSH GRID PP B. 40CMS</t>
  </si>
  <si>
    <t>EUE50FGPPB40E10</t>
  </si>
  <si>
    <t>BANDA S-E50 FLUSH GRID PP B. 40CMS E/10 C/30 I/4</t>
  </si>
  <si>
    <t>EUE50FGPPB40E5.</t>
  </si>
  <si>
    <t>BANDA S-E50 FLUSH GRID PP B. 40CMS E/5 C/30</t>
  </si>
  <si>
    <t>EUE50FGPPB40E5</t>
  </si>
  <si>
    <t>BANDA S-E50 FLUSH GRID PP B. 40CMS E/5 C/40</t>
  </si>
  <si>
    <t>EUE50FGPPB40E</t>
  </si>
  <si>
    <t>BANDA S-E50 FLUSH GRID PP B. 40CMS E/5 CI/1.5 C/40</t>
  </si>
  <si>
    <t>EUE50FGPPB42E5</t>
  </si>
  <si>
    <t>BANDA S-E50 FLUSH GRID PP B. 42CMS E/5 C/30 I/4</t>
  </si>
  <si>
    <t>EUE50FGPPB44</t>
  </si>
  <si>
    <t>BANDA S-E50 FLUSH GRID PP B. 44CMS</t>
  </si>
  <si>
    <t>EUE50FGPPB44E3</t>
  </si>
  <si>
    <t>BANDA S-E50 FLUSH GRID PP B. 44CMS E/2.5 C/60 I/12</t>
  </si>
  <si>
    <t>EUE50FGPPB44E2.</t>
  </si>
  <si>
    <t>BANDA S-E50 FLUSH GRID PP B. 44CMS E/2.5 C/65 I/12</t>
  </si>
  <si>
    <t>EUE50FGPPB44E7.</t>
  </si>
  <si>
    <t>BANDA S-E50 FLUSH GRID PP B. 44CMS E/7.5 C/30 I/4</t>
  </si>
  <si>
    <t>EUE50FGPPB46</t>
  </si>
  <si>
    <t>BANDA S-E50 FLUSH GRID PP B. 46CMS</t>
  </si>
  <si>
    <t>EUE50FGPPB48</t>
  </si>
  <si>
    <t>BANDA S-E50 FLUSH GRID PP B. 48CMS</t>
  </si>
  <si>
    <t>EUE50FGPPB48E75</t>
  </si>
  <si>
    <t>BANDA S-E50 FLUSH GRID PP B. 48CMS E/7.5 C/30 I/4</t>
  </si>
  <si>
    <t>EUE50FGPPB48E7.</t>
  </si>
  <si>
    <t>BANDA S-E50 FLUSH GRID PP B. 48CMS E/7.6 C/30 I/4</t>
  </si>
  <si>
    <t>EUE50FGPPB48EA7</t>
  </si>
  <si>
    <t>BANDA S-E50 FLUSH GRID PP B. 48CMS EA/7.6 C/35 I/4</t>
  </si>
  <si>
    <t>E50FGPPB50</t>
  </si>
  <si>
    <t>BANDA S-E50 FLUSH GRID PP B. 50CMS</t>
  </si>
  <si>
    <t>EUE50FGPPB50E15</t>
  </si>
  <si>
    <t>BANDA S-E50 FLUSH GRID PP B. 50CMS E/15 C/25 I/4</t>
  </si>
  <si>
    <t>EUE50FGPPB50E2</t>
  </si>
  <si>
    <t>BANDA S-E50 FLUSH GRID PP B. 50CMS E/7.5 C/30 I/4</t>
  </si>
  <si>
    <t>EUE50FGPPB50E7.</t>
  </si>
  <si>
    <t>BANDA S-E50 FLUSH GRID PP B. 50CMS E/7.5 C/40 I/6</t>
  </si>
  <si>
    <t>EUE50FGPPB58E10</t>
  </si>
  <si>
    <t>BANDA S-E50 FLUSH GRID PP B. 58CMS E/10 C/30 I/4</t>
  </si>
  <si>
    <t>EUE50FGPPB58E15</t>
  </si>
  <si>
    <t>BANDA S-E50 FLUSH GRID PP B. 58CMS E/15 C/25 I/4</t>
  </si>
  <si>
    <t>EUE50FGPPB58E</t>
  </si>
  <si>
    <t>BANDA S-E50 FLUSH GRID PP B. 58CMS E/15 C/30 I/4</t>
  </si>
  <si>
    <t>EUE50FGPPB58E/1</t>
  </si>
  <si>
    <t>BANDA S-E50 FLUSH GRID PP B. 58CMS E/15 C/30 I/6</t>
  </si>
  <si>
    <t>EUE50FGPPB58E7</t>
  </si>
  <si>
    <t>BANDA S-E50 FLUSH GRID PP B. 58CMS E/7.6 C/30 I/6</t>
  </si>
  <si>
    <t>EUE50FGPPB60</t>
  </si>
  <si>
    <t>BANDA S-E50 FLUSH GRID PP B. 60CMS</t>
  </si>
  <si>
    <t>EUE50FGPPB60E1O</t>
  </si>
  <si>
    <t>BANDA S-E50 FLUSH GRID PP B. 60CMS E/10 C/30 I/4</t>
  </si>
  <si>
    <t>EUE50FGPPB80E/1</t>
  </si>
  <si>
    <t>BANDA S-E50 FLUSH GRID PP B. 60CMS E/10 C/30 I/6</t>
  </si>
  <si>
    <t>EUE50FGPPB60E</t>
  </si>
  <si>
    <t>BANDA S-E50 FLUSH GRID PP B. 60CMS E/10 C/40 I/4</t>
  </si>
  <si>
    <t>EUE50FGPPB60E10</t>
  </si>
  <si>
    <t>BANDA S-E50 FLUSH GRID PP B. 60CMS E/10 C/40 I/6</t>
  </si>
  <si>
    <t>EUE50FGPPB60E7.</t>
  </si>
  <si>
    <t>BANDA S-E50 FLUSH GRID PP B. 60CMS E/7.5 C/40 I/4</t>
  </si>
  <si>
    <t>EUE50FGPPB66E2</t>
  </si>
  <si>
    <t>BANDA S-E50 FLUSH GRID PP B. 66CMS E/2 C/55 IE/4 II/18</t>
  </si>
  <si>
    <t>EUE50FGPPB68E7</t>
  </si>
  <si>
    <t>BANDA S-E50 FLUSH GRID PP B. 68CMS E/7.6 C/20 CM I/4</t>
  </si>
  <si>
    <t>EUE50FGPPB76</t>
  </si>
  <si>
    <t>BANDA S-E50 FLUSH GRID PP B. 76CMS</t>
  </si>
  <si>
    <t>EUE50FGPPB76E4</t>
  </si>
  <si>
    <t>BANDA S-E50 FLUSH GRID PP B. 76CMS E/4 C/30 I/4</t>
  </si>
  <si>
    <t>EUE50FGPPB78</t>
  </si>
  <si>
    <t>BANDA S-E50 FLUSH GRID PP B. 78CMS</t>
  </si>
  <si>
    <t>EUE50FGPPB78E10</t>
  </si>
  <si>
    <t>BANDA S-E50 FLUSH GRID PP B. 78CMS E/10 C/30 I6</t>
  </si>
  <si>
    <t>EUE50FGPPB80</t>
  </si>
  <si>
    <t>BANDA S-E50 FLUSH GRID PP B. 80CMS</t>
  </si>
  <si>
    <t>EUE50FGPPB80E1I</t>
  </si>
  <si>
    <t>BANDA S-E50 FLUSH GRID PP B. 80CMS E/10 C/30 I/6</t>
  </si>
  <si>
    <t>EUE50FGPPB80E2.</t>
  </si>
  <si>
    <t>BANDA S-E50 FLUSH GRID PP B. 80CMS E/2.5 C/50 IE/12-30 II/16</t>
  </si>
  <si>
    <t>EUE50FGPPB80E5</t>
  </si>
  <si>
    <t>BANDA S-E50 FLUSH GRID PP B. 80CMS E/5 C/30 I/4</t>
  </si>
  <si>
    <t>EUE30FGPPB82E10</t>
  </si>
  <si>
    <t>BANDA S-E50 FLUSH GRID PP B. 82CMS E/10 C/30 I/6</t>
  </si>
  <si>
    <t>EUE50FGPPB86</t>
  </si>
  <si>
    <t>BANDA S-E50 FLUSH GRID PP B. 86CMS</t>
  </si>
  <si>
    <t>EUE50FGPPB90</t>
  </si>
  <si>
    <t>BANDA S-E50 FLUSH GRID PP B. 90CMS</t>
  </si>
  <si>
    <t>EUE50FGPPB90E3.</t>
  </si>
  <si>
    <t>BANDA S-E50 FLUSH GRID PP B. 90CMS E/3.8 C/25 I/6</t>
  </si>
  <si>
    <t>EUE50FGPPB90E5C</t>
  </si>
  <si>
    <t>BANDA S-E50 FLUSH GRID PP B. 90CMS E/5 C/20 I/6</t>
  </si>
  <si>
    <t>E50FGPPSCTFT40</t>
  </si>
  <si>
    <t>BANDA S-E50 FLUSH GRID PPS/C C/T F.T. 40CMS + PAS SS</t>
  </si>
  <si>
    <t>E50FGPPSCTFT46.</t>
  </si>
  <si>
    <t>BANDA S-E50 FLUSH GRID PPS/C C/T F.T. 46.9CMS + PAS SS</t>
  </si>
  <si>
    <t>E50FGPPSCTFT60</t>
  </si>
  <si>
    <t>BANDA S-E50 FLUSH GRID PPS/C C/T F.T. 60CMS + PAS SS</t>
  </si>
  <si>
    <t>E50FGPPSCTFT86</t>
  </si>
  <si>
    <t>BANDA S-E50 FLUSH GRID PPS/C C/T F.T. 86CMS + PAS SS</t>
  </si>
  <si>
    <t>EUE50OGPPB120</t>
  </si>
  <si>
    <t>BANDA S-E50 OPEN GRID PP B. 120CMS</t>
  </si>
  <si>
    <t>EUE50OGPPB28</t>
  </si>
  <si>
    <t>BANDA S-E50 OPEN GRID PP B. 28CMS</t>
  </si>
  <si>
    <t>EUE50OGPPB32</t>
  </si>
  <si>
    <t>BANDA S-E50 OPEN GRID PP B. 32CMS</t>
  </si>
  <si>
    <t>EUE95FGPPA16</t>
  </si>
  <si>
    <t>BANDA S-E925 FLUSH GRID PP A. 16CMS</t>
  </si>
  <si>
    <t>EUE925FGPPA20</t>
  </si>
  <si>
    <t>BANDA S-E925 FLUSH GRID PP A. 20CMS</t>
  </si>
  <si>
    <t>EUE925FGPPA30</t>
  </si>
  <si>
    <t>BANDA S-E925 FLUSH GRID PP A. 30CMS</t>
  </si>
  <si>
    <t>EUE925FGPPA46</t>
  </si>
  <si>
    <t>BANDA S-E925 FLUSH GRID PP A. 46CMS</t>
  </si>
  <si>
    <t>EUE925FGPPA90</t>
  </si>
  <si>
    <t>BANDA S-E925 FLUSH GRID PP A. 90CMS</t>
  </si>
  <si>
    <t>EUE925FGPPB30</t>
  </si>
  <si>
    <t>BANDA S-E925 FLUSH GRID PP B. 30CMS</t>
  </si>
  <si>
    <t>EUE93FGACA35</t>
  </si>
  <si>
    <t>BANDA S-E93  FLUSH GRID AC A. 35CMS</t>
  </si>
  <si>
    <t>EUE93FGACA10</t>
  </si>
  <si>
    <t>BANDA S-E93 FLUSH GRID AC A. 10CMS</t>
  </si>
  <si>
    <t>EUE93FGACA110</t>
  </si>
  <si>
    <t>BANDA S-E93 FLUSH GRID AC A. 110CMS</t>
  </si>
  <si>
    <t>EUE93FGACA15L</t>
  </si>
  <si>
    <t>BANDA S-E93 FLUSH GRID AC A. 15CMS C/L</t>
  </si>
  <si>
    <t>EUE93FGACA25</t>
  </si>
  <si>
    <t>BANDA S-E93 FLUSH GRID AC A. 25CMS</t>
  </si>
  <si>
    <t>EUE93FGACA25E3</t>
  </si>
  <si>
    <t>BANDA S-E93 FLUSH GRID AC A. 25CMS E/3 C/42 I/6.25</t>
  </si>
  <si>
    <t>EUE93FGACA32.5</t>
  </si>
  <si>
    <t>BANDA S-E93 FLUSH GRID AC A. 32.5CMS</t>
  </si>
  <si>
    <t>EUE93FGACA40</t>
  </si>
  <si>
    <t>BANDA S-E93 FLUSH GRID AC A. 40CMS</t>
  </si>
  <si>
    <t>EUE93FGACA50</t>
  </si>
  <si>
    <t>BANDA S-E93 FLUSH GRID AC A. 50CMS</t>
  </si>
  <si>
    <t>EUE93FGACA60</t>
  </si>
  <si>
    <t>BANDA S-E93 FLUSH GRID AC A. 60CMS</t>
  </si>
  <si>
    <t>EUE93FGACA45</t>
  </si>
  <si>
    <t>BANDA S-E93 FLUSH GRID AC A.45CMS</t>
  </si>
  <si>
    <t>EUE93FGPPA10</t>
  </si>
  <si>
    <t>BANDA S-E93 FLUSH GRID PP A. 10CMS</t>
  </si>
  <si>
    <t>EUB93FGPPB17.5</t>
  </si>
  <si>
    <t>BANDA S-E93 FLUSH GRID PP A. 17.5CMS</t>
  </si>
  <si>
    <t>EUE93FGPPA25</t>
  </si>
  <si>
    <t>BANDA S-E93 FLUSH GRID PP A. 25CMS</t>
  </si>
  <si>
    <t>EUE93FGPPA30</t>
  </si>
  <si>
    <t>BANDA S-E93 FLUSH GRID PP A. 30CMS</t>
  </si>
  <si>
    <t>EUE93FGPPA32.5</t>
  </si>
  <si>
    <t>BANDA S-E93 FLUSH GRID PP A. 32.5CMS</t>
  </si>
  <si>
    <t>EUE93FGPPA35</t>
  </si>
  <si>
    <t>BANDA S-E93 FLUSH GRID PP A. 35CMS</t>
  </si>
  <si>
    <t>EUB93FGPPA40</t>
  </si>
  <si>
    <t>BANDA S-E93 FLUSH GRID PP A. 40CMS</t>
  </si>
  <si>
    <t>EUB93FGPPA45</t>
  </si>
  <si>
    <t>BANDA S-E93 FLUSH GRID PP A. 45CMS</t>
  </si>
  <si>
    <t>EUE93FGPPB10</t>
  </si>
  <si>
    <t>BANDA S-E93 FLUSH GRID PP B. 10CMS</t>
  </si>
  <si>
    <t>EUE93FGPPB12.5</t>
  </si>
  <si>
    <t>BANDA S-E93 FLUSH GRID PP B. 12.5CMS</t>
  </si>
  <si>
    <t>EUE93FGPPB15L</t>
  </si>
  <si>
    <t>BANDA S-E93 FLUSH GRID PP B. 15CMS C/L</t>
  </si>
  <si>
    <t>EUE93FGPPB20</t>
  </si>
  <si>
    <t>BANDA S-E93 FLUSH GRID PP B. 20CMS</t>
  </si>
  <si>
    <t>EUE93FGPPB20E2.</t>
  </si>
  <si>
    <t>BANDA S-E93 FLUSH GRID PP B. 20CMS E/2.5 C/39 I/2.5</t>
  </si>
  <si>
    <t>EUE93FGPPB25</t>
  </si>
  <si>
    <t>BANDA S-E93 FLUSH GRID PP B. 25CMS</t>
  </si>
  <si>
    <t>EUE93FGPPB25CF</t>
  </si>
  <si>
    <t>BANDA S-E93 FLUSH GRID PP B. 25CMS MCF C/15 I/FG</t>
  </si>
  <si>
    <t>EUE93FGPPB30</t>
  </si>
  <si>
    <t>BANDA S-E93 FLUSH GRID PP B. 30CMS</t>
  </si>
  <si>
    <t>EUE93FGPPB40</t>
  </si>
  <si>
    <t>BANDA S-E93 FLUSH GRID PP B. 40CMS</t>
  </si>
  <si>
    <t>EUE93FGPPB50</t>
  </si>
  <si>
    <t>BANDA S-E93 FLUSH GRID PP B. 50CMS</t>
  </si>
  <si>
    <t>IN1100BFTPPB20</t>
  </si>
  <si>
    <t>BANDA S1100 FLAT TOP PP B. 20"</t>
  </si>
  <si>
    <t>IN1100FGACA16</t>
  </si>
  <si>
    <t>BANDA S1100 FLUSH GRID AC A. 16"</t>
  </si>
  <si>
    <t>IN1100BFGACA21</t>
  </si>
  <si>
    <t>BANDA S1100 FLUSH GRID AC A. 21"</t>
  </si>
  <si>
    <t>IN1100BFGACA22</t>
  </si>
  <si>
    <t>BANDA S1100 FLUSH GRID AC A. 22"</t>
  </si>
  <si>
    <t>IN1100BFGACA39.</t>
  </si>
  <si>
    <t>BANDA S1100 FLUSH GRID AC A. 39.4"</t>
  </si>
  <si>
    <t>IN1100BFGACA6</t>
  </si>
  <si>
    <t>BANDA S1100 FLUSH GRID AC A. 6"</t>
  </si>
  <si>
    <t>IN1100BFGACA72</t>
  </si>
  <si>
    <t>BANDA S1100 FLUSH GRID AC A. 72"</t>
  </si>
  <si>
    <t>IN2400BRPPB9</t>
  </si>
  <si>
    <t>BANDA S2400 RADIUS PP B. 9"</t>
  </si>
  <si>
    <t>CO325FGPPA10E</t>
  </si>
  <si>
    <t>BANDA S325 FLUSH GRID PP A. 10" E/ 1/4" C/10"</t>
  </si>
  <si>
    <t>CO325FGPPA12</t>
  </si>
  <si>
    <t>BANDA S325 FLUSH GRID PP A. 12"</t>
  </si>
  <si>
    <t>CO325FGPPA14</t>
  </si>
  <si>
    <t>BANDA S325 FLUSH GRID PP A. 14"</t>
  </si>
  <si>
    <t>CO325FGPPA9</t>
  </si>
  <si>
    <t>BANDA S325 FLUSH GRID PP A. 9"</t>
  </si>
  <si>
    <t>HOS4000FTPPB39.</t>
  </si>
  <si>
    <t>BANDA S4000 FLAT TOP PP B. 39.6CMS</t>
  </si>
  <si>
    <t>IN800BFTPPPB12</t>
  </si>
  <si>
    <t>BANDA S800 FLAT TOP PERF. PP B. 12"</t>
  </si>
  <si>
    <t>INS800FTPPPB20</t>
  </si>
  <si>
    <t>BANDA S800 FLAT TOP PERF. PP B. 20"</t>
  </si>
  <si>
    <t>INS800FTPPPB20E</t>
  </si>
  <si>
    <t>BANDA S800 FLAT TOP PERF. PP B. 20" E/4" C/10" I/1.1/4"</t>
  </si>
  <si>
    <t>IN800BFTPPPB23</t>
  </si>
  <si>
    <t>BANDA S800 FLAT TOP PERF. PP B. 23"</t>
  </si>
  <si>
    <t>IN800FTPPB12</t>
  </si>
  <si>
    <t>BANDA S800 FLAT TOP PP B. 12"</t>
  </si>
  <si>
    <t>IN800FTPPB16</t>
  </si>
  <si>
    <t>BANDA S800 FLAT TOP PP B. 16"</t>
  </si>
  <si>
    <t>IN800FTPPB20</t>
  </si>
  <si>
    <t>BANDA S800 FLAT TOP PP B. 20"</t>
  </si>
  <si>
    <t>IN800FTPPB24</t>
  </si>
  <si>
    <t>BANDA S800 FLAT TOP PP B. 24"</t>
  </si>
  <si>
    <t>IN800BFTPPB36</t>
  </si>
  <si>
    <t>BANDA S800 FLAT TOP PP B. 36"</t>
  </si>
  <si>
    <t>IN900BFTPPB12</t>
  </si>
  <si>
    <t>BANDA S900 FLAT TOP PP B. 12"</t>
  </si>
  <si>
    <t>IN900BFGPPA10</t>
  </si>
  <si>
    <t>BANDA S900 FLUSH GRID PP A. 10"</t>
  </si>
  <si>
    <t>IN900BFGPPA10E4</t>
  </si>
  <si>
    <t>BANDA S900 FLUSH GRID PP A. 10" E/4" C11.8" I/ 1.18"</t>
  </si>
  <si>
    <t>IN900BFGPPA12</t>
  </si>
  <si>
    <t>BANDA S900 FLUSH GRID PP A. 12"</t>
  </si>
  <si>
    <t>IN900BFGPPA14</t>
  </si>
  <si>
    <t>BANDA S900 FLUSH GRID PP A. 14"</t>
  </si>
  <si>
    <t>IN900BFGPPA14E</t>
  </si>
  <si>
    <t>BANDA S900 FLUSH GRID PP A. 14" E/1.18" C/6.42" I/ 1.3"</t>
  </si>
  <si>
    <t>IN900BFGPPA14E1</t>
  </si>
  <si>
    <t>BANDA S900 FLUSH GRID PP A. 14" E/1.18" C/7" I/ 1.3"</t>
  </si>
  <si>
    <t>IN900FGPPA14E1.</t>
  </si>
  <si>
    <t>BANDA S900 FLUSH GRID PP A. 14" E/1.35" C/6.42" I/.3"</t>
  </si>
  <si>
    <t>IN900BFGPPA16</t>
  </si>
  <si>
    <t>BANDA S900 FLUSH GRID PP A. 16"</t>
  </si>
  <si>
    <t>IN900BFGPPA17.2</t>
  </si>
  <si>
    <t>BANDA S900 FLUSH GRID PP A. 17.2"</t>
  </si>
  <si>
    <t>IN900BFGPPA18</t>
  </si>
  <si>
    <t>BANDA S900 FLUSH GRID PP A. 18"</t>
  </si>
  <si>
    <t>IN900BFGPPA19.5</t>
  </si>
  <si>
    <t>BANDA S900 FLUSH GRID PP A. 19.5"</t>
  </si>
  <si>
    <t>IN900BFGPPA24</t>
  </si>
  <si>
    <t>BANDA S900 FLUSH GRID PP A. 24"</t>
  </si>
  <si>
    <t>IN900BFGPPA24.1</t>
  </si>
  <si>
    <t>BANDA S900 FLUSH GRID PP A. 24.1/4"</t>
  </si>
  <si>
    <t>IN900BFGPPA39</t>
  </si>
  <si>
    <t>BANDA S900 FLUSH GRID PP A. 39"</t>
  </si>
  <si>
    <t>IN900BFGPPA60</t>
  </si>
  <si>
    <t>BANDA S900 FLUSH GRID PP A. 60.1/4"</t>
  </si>
  <si>
    <t>IN900BFGPPA8</t>
  </si>
  <si>
    <t>BANDA S900 FLUSH GRID PP A. 8"</t>
  </si>
  <si>
    <t>IN900BFGPPB10</t>
  </si>
  <si>
    <t>BANDA S900 FLUSH GRID PP B. 10"</t>
  </si>
  <si>
    <t>IN900BFGPPB12</t>
  </si>
  <si>
    <t>BANDA S900 FLUSH GRID PP B. 12"</t>
  </si>
  <si>
    <t>IN900BFGPPB16</t>
  </si>
  <si>
    <t>BANDA S900 FLUSH GRID PP B. 16"</t>
  </si>
  <si>
    <t>IN900BFGPPB18</t>
  </si>
  <si>
    <t>BANDA S900 FLUSH GRID PP B. 18"</t>
  </si>
  <si>
    <t>IN900FGPPB35.6M</t>
  </si>
  <si>
    <t>BANDA S900 FLUSH GRID PP B. 35.6" MOG C/3.2"</t>
  </si>
  <si>
    <t>IN900BFGPPB48OG</t>
  </si>
  <si>
    <t>BANDA S900 FLUSH GRID PP B. 48" C/MO C/3.2"</t>
  </si>
  <si>
    <t>IN900BFYOGPPB</t>
  </si>
  <si>
    <t>BANDA S900 FLUSH Y OPEN PP B. 57.6"</t>
  </si>
  <si>
    <t>IN900BFYOGPPB/A</t>
  </si>
  <si>
    <t>BANDA S900 FLUSH Y OPEN PP B/A 24"</t>
  </si>
  <si>
    <t>IN900BOGPPB10</t>
  </si>
  <si>
    <t>BANDA S900 OPEN GRID PP B. 10"</t>
  </si>
  <si>
    <t>IN900BOGPPB24</t>
  </si>
  <si>
    <t>BANDA S900 OPEN GRID PP B. 24"</t>
  </si>
  <si>
    <t>IN900OGPPB36</t>
  </si>
  <si>
    <t>BANDA S900 OPEN GRID PP B. 36"</t>
  </si>
  <si>
    <t>UNMPB00PPB18</t>
  </si>
  <si>
    <t>BANDA UNI MPB 00 FT PP B. 18"</t>
  </si>
  <si>
    <t>UNMPB22PPB30.7</t>
  </si>
  <si>
    <t>BANDA UNI MPB 22 PP B. 30.7"</t>
  </si>
  <si>
    <t>UNSNB20PEN10</t>
  </si>
  <si>
    <t>BANDA UNI SNB M2-20 PE N. 10"</t>
  </si>
  <si>
    <t>UNSNB34PPA12</t>
  </si>
  <si>
    <t>BANDA UNI SNB M2-34 PP A. 12"</t>
  </si>
  <si>
    <t>UNSNB34PPA24</t>
  </si>
  <si>
    <t>BANDA UNI SNB M2-34 PP A. 24"</t>
  </si>
  <si>
    <t>UNSNB34PPA4</t>
  </si>
  <si>
    <t>BANDA UNI SNB M2-34 PP A. 4"</t>
  </si>
  <si>
    <t>UNSNB34PPA6</t>
  </si>
  <si>
    <t>BANDA UNI SNB M2-34 PP A. 6"</t>
  </si>
  <si>
    <t>UNSNB34PPA8</t>
  </si>
  <si>
    <t>BANDA UNI SNB M2-34 PP A. 8"</t>
  </si>
  <si>
    <t>IN900EFGPPA6X1L</t>
  </si>
  <si>
    <t>EMPUJADOR S900 FG PP A. 6" AN X 1" AL LF</t>
  </si>
  <si>
    <t>IN900EFGPPA6X1.</t>
  </si>
  <si>
    <t>EMPUJADOR S900 FG PP A. 6" AN X 1.25"  AL CT</t>
  </si>
  <si>
    <t>IN900EFGPPB6X4L</t>
  </si>
  <si>
    <t>EMPUJADOR S900 FG PP B. 6" AN X 4" AL LF</t>
  </si>
  <si>
    <t>IN900EFGPPB6X4R</t>
  </si>
  <si>
    <t>EMPUJADOR S900 FG PP B. 6" AN X 4" AL RH</t>
  </si>
  <si>
    <t>BA8M-1120-30</t>
  </si>
  <si>
    <t>BANDA CERRADA SINCRONA 8M-1120-30</t>
  </si>
  <si>
    <t>CAD3000KACGCT</t>
  </si>
  <si>
    <t>CADENA KNUCKLE S3000 AC G. C/T, 10 FT</t>
  </si>
  <si>
    <t>IN3000KRACGST</t>
  </si>
  <si>
    <t>CADENA KNUCKLE S3000 REC AC G. S/T, 10 FT</t>
  </si>
  <si>
    <t>PI1LCJRA09060</t>
  </si>
  <si>
    <t>CADENA PIAZ S1400 PASO 3.1/4"X3.048 S/TAB</t>
  </si>
  <si>
    <t>PI1LCJRA09049</t>
  </si>
  <si>
    <t>CADENA PIAZ S600 PASO 2.1/2"X3.048 C/TAB</t>
  </si>
  <si>
    <t>RED2K1700A</t>
  </si>
  <si>
    <t>CADENA REGINA D2K1700A</t>
  </si>
  <si>
    <t>REGD1873UPSKL/0</t>
  </si>
  <si>
    <t>CADENA REGINA GD1873TUPSSK750 3.048MT</t>
  </si>
  <si>
    <t>REGW1873T</t>
  </si>
  <si>
    <t>CADENA REGINA GW1873T</t>
  </si>
  <si>
    <t>REGW1873UPKD/00</t>
  </si>
  <si>
    <t>CADENA REGINA GW1873TUPK325</t>
  </si>
  <si>
    <t>RELBP882TUPKN/0</t>
  </si>
  <si>
    <t>CADENA REGINA LBP882TUPK1200 1.524MTS</t>
  </si>
  <si>
    <t>RESSA80/260</t>
  </si>
  <si>
    <t>CADENA REGINA SSA80</t>
  </si>
  <si>
    <t>RELF1755</t>
  </si>
  <si>
    <t>CADENA REX BROWN LF1755</t>
  </si>
  <si>
    <t>UNICC1400TAB</t>
  </si>
  <si>
    <t>CADENA UNI CARDANICA 1400 TAB</t>
  </si>
  <si>
    <t>1/2CANFE40-2</t>
  </si>
  <si>
    <t>1/2 CANDADO DOBLE FE PASO 40-2</t>
  </si>
  <si>
    <t>CH1/2CANFE40-2</t>
  </si>
  <si>
    <t>1/2 CANDADO DOBLE FE PASO 40-2 CH</t>
  </si>
  <si>
    <t>1/2CANFE50-2</t>
  </si>
  <si>
    <t>1/2 CANDADO DOBLE FE PASO 50-2</t>
  </si>
  <si>
    <t>1/2CANSS40-2</t>
  </si>
  <si>
    <t>1/2 CANDADO DOBLE SS PASO 40-2</t>
  </si>
  <si>
    <t>VE1/2CANFE12</t>
  </si>
  <si>
    <t>1/2 CANDADO FE PASO 12 VE</t>
  </si>
  <si>
    <t>1/2CANFE40</t>
  </si>
  <si>
    <t>1/2 CANDADO FE PASO 40</t>
  </si>
  <si>
    <t>CH1/2CANFE40</t>
  </si>
  <si>
    <t>1/2 CANDADO FE PASO 40 CH</t>
  </si>
  <si>
    <t>CH1/2CANFE50</t>
  </si>
  <si>
    <t>1/2 CANDADO FE PASO 50 CH</t>
  </si>
  <si>
    <t>KA1/2CANFE80</t>
  </si>
  <si>
    <t>1/2 CANDADO FE PASO 80 KA</t>
  </si>
  <si>
    <t>VE1/2CANSS100</t>
  </si>
  <si>
    <t>1/2 CANDADO SS PASO 100 VE</t>
  </si>
  <si>
    <t>VE1/2CANSS12</t>
  </si>
  <si>
    <t>1/2 CANDADO SS PASO 12 VE</t>
  </si>
  <si>
    <t>CH1/2CANSS12B-1</t>
  </si>
  <si>
    <t>1/2 CANDADO SS PASO 12B CH</t>
  </si>
  <si>
    <t>VE1/2CANSS2050</t>
  </si>
  <si>
    <t>1/2 CANDADO SS PASO 2050 VE</t>
  </si>
  <si>
    <t>1/2CANSS40</t>
  </si>
  <si>
    <t>1/2 CANDADO SS PASO 40</t>
  </si>
  <si>
    <t>1/2CANSS60</t>
  </si>
  <si>
    <t>1/2 CANDADO SS PASO 60</t>
  </si>
  <si>
    <t>1/2CANSS80</t>
  </si>
  <si>
    <t>1/2 CANDADO SS PASO 80</t>
  </si>
  <si>
    <t>RE13/A40</t>
  </si>
  <si>
    <t>1/2 ESLABON REGINA 13/A40</t>
  </si>
  <si>
    <t>RE13/A50</t>
  </si>
  <si>
    <t>1/2 ESLABON REGINA 13/A50</t>
  </si>
  <si>
    <t>RE13/SSA40</t>
  </si>
  <si>
    <t>1/2 ESLABON REGINA 13/SSA40</t>
  </si>
  <si>
    <t>RE13/SSA50</t>
  </si>
  <si>
    <t>1/2 ESLABON REGINA 13/SSA50</t>
  </si>
  <si>
    <t>RE13/SSA60</t>
  </si>
  <si>
    <t>1/2 ESLABON REGINA 13/SSA60</t>
  </si>
  <si>
    <t>CHCADFE06-2</t>
  </si>
  <si>
    <t>CADENA CHALLENGE DOBLE FE PASO 06-2 10F</t>
  </si>
  <si>
    <t>CHCADFE40-2</t>
  </si>
  <si>
    <t>CADENA CHALLENGE DOBLE FE PASO 40-2 10F</t>
  </si>
  <si>
    <t>CHCADFEC2060H</t>
  </si>
  <si>
    <t>CADENA CHALLENGE DOBLE FE PASO C2060H 10F</t>
  </si>
  <si>
    <t>CHCADSS35.2</t>
  </si>
  <si>
    <t>CADENA CHALLENGE DOBLE SS PASO 35-2 10F</t>
  </si>
  <si>
    <t>CHCADFE06</t>
  </si>
  <si>
    <t>CADENA CHALLENGE FE PASO 06 10F</t>
  </si>
  <si>
    <t>CHCADFE100</t>
  </si>
  <si>
    <t>CADENA CHALLENGE FE PASO 100 10FT</t>
  </si>
  <si>
    <t>CHCADFE12</t>
  </si>
  <si>
    <t>CADENA CHALLENGE FE PASO 12 10FT</t>
  </si>
  <si>
    <t>CHCADFE16</t>
  </si>
  <si>
    <t>CADENA CHALLENGE FE PASO 16B 3MT</t>
  </si>
  <si>
    <t>CHCADFE20B</t>
  </si>
  <si>
    <t>CADENA CHALLENGE FE PASO 20B 3MT</t>
  </si>
  <si>
    <t>CHCADFE35-5M</t>
  </si>
  <si>
    <t>CADENA CHALLENGE FE PASO 35 5MTS</t>
  </si>
  <si>
    <t>CHCADFE40</t>
  </si>
  <si>
    <t>CADENA CHALLENGE FE PASO 40 10FT</t>
  </si>
  <si>
    <t>CHCADFE60</t>
  </si>
  <si>
    <t>CADENA CHALLENGE FE PASO 60 10FT</t>
  </si>
  <si>
    <t>CHCADFE80</t>
  </si>
  <si>
    <t>CADENA CHALLENGE FE PASO 80 10FT</t>
  </si>
  <si>
    <t>CHCADSS06</t>
  </si>
  <si>
    <t>CADENA CHALLENGE SS PASO 06 10F</t>
  </si>
  <si>
    <t>CHCADSS12B</t>
  </si>
  <si>
    <t>CADENA CHALLENGE SS PASO 12B 10F</t>
  </si>
  <si>
    <t>CHCADSS12B-5M</t>
  </si>
  <si>
    <t>CADENA CHALLENGE SS PASO 12B 5MT</t>
  </si>
  <si>
    <t>CHCADSS35</t>
  </si>
  <si>
    <t>CADENA CHALLENGE SS PASO 35 10FT</t>
  </si>
  <si>
    <t>CHCADSS50</t>
  </si>
  <si>
    <t>CADENA CHALLENGE SS PASO 50 10FT</t>
  </si>
  <si>
    <t>CHCADSS60</t>
  </si>
  <si>
    <t>CADENA CHALLENGE SS PASO 60 10FT</t>
  </si>
  <si>
    <t>CADFE06-2</t>
  </si>
  <si>
    <t>CADENA DOBLE FE PASO 06-2  3MTS</t>
  </si>
  <si>
    <t>CADFE40-2</t>
  </si>
  <si>
    <t>CADENA DOBLE FE PASO 40-2 3MTS</t>
  </si>
  <si>
    <t>CADSS40-2</t>
  </si>
  <si>
    <t>CADENA DOBLE SS PASO 40-2  3MTS</t>
  </si>
  <si>
    <t>CADSS50-2</t>
  </si>
  <si>
    <t>CADENA DOBLE SS PASO 50-2 10FT</t>
  </si>
  <si>
    <t>CADSS60-2</t>
  </si>
  <si>
    <t>CADENA DOBLE SS PASO 60-2  3MTS</t>
  </si>
  <si>
    <t>CADFE12B1</t>
  </si>
  <si>
    <t>CADENA FE PASO 12B1 3MT</t>
  </si>
  <si>
    <t>CADFE35</t>
  </si>
  <si>
    <t>CADENA FE PASO 35 3MTS</t>
  </si>
  <si>
    <t>CADFE40PH</t>
  </si>
  <si>
    <t>CADENA FE PASO 40 PIN HUECO 5MTS</t>
  </si>
  <si>
    <t>CADFE60</t>
  </si>
  <si>
    <t>CADENA FE PASO 60 10FT</t>
  </si>
  <si>
    <t>KACADFE35</t>
  </si>
  <si>
    <t>CADENA KANA FE PASO 35 10FT</t>
  </si>
  <si>
    <t>KACADFE40</t>
  </si>
  <si>
    <t>CADENA KANA FE PASO 40 10FT</t>
  </si>
  <si>
    <t>KACADSS40</t>
  </si>
  <si>
    <t>CADENA KANA SS PASO 40 10FT</t>
  </si>
  <si>
    <t>KACADSS60</t>
  </si>
  <si>
    <t>CADENA KANA SS PASO 60 10FT</t>
  </si>
  <si>
    <t>REA40/30S</t>
  </si>
  <si>
    <t>CADENA REGINA A40 3.048MTS</t>
  </si>
  <si>
    <t>REA60/324</t>
  </si>
  <si>
    <t>CADENA REGINA A60 3.048MTS</t>
  </si>
  <si>
    <t>RESSGW1873-3/4</t>
  </si>
  <si>
    <t>CADENA REGINA SS GW1873 PASO 3/4" 3.048MTS</t>
  </si>
  <si>
    <t>RESSA50/001</t>
  </si>
  <si>
    <t>CADENA REGINA SSA50</t>
  </si>
  <si>
    <t>RESSA60/005</t>
  </si>
  <si>
    <t>CADENA REGINA SSA60</t>
  </si>
  <si>
    <t>CADSS06X5</t>
  </si>
  <si>
    <t>CADENA SS PASO 06B  5MTS</t>
  </si>
  <si>
    <t>CADSS08X3</t>
  </si>
  <si>
    <t>CADENA SS PASO 08B  3MTS</t>
  </si>
  <si>
    <t>CADSS08X5</t>
  </si>
  <si>
    <t>CADENA SS PASO 08B  5MTS</t>
  </si>
  <si>
    <t>CADSS20MM</t>
  </si>
  <si>
    <t>CADENA SS PASO 20MM C-304</t>
  </si>
  <si>
    <t>CADSS40X3</t>
  </si>
  <si>
    <t>CADENA SS PASO 40 3MTS</t>
  </si>
  <si>
    <t>CADSS60</t>
  </si>
  <si>
    <t>CADENA SS PASO 60 10FT</t>
  </si>
  <si>
    <t>TLCADFE06-2</t>
  </si>
  <si>
    <t>CADENA TRANSLINK DOBLE FE PASO 06-2 10FT</t>
  </si>
  <si>
    <t>TLCADFE40-2</t>
  </si>
  <si>
    <t>CADENA TRANSLINK DOBLE FE PASO 40-2 10FT</t>
  </si>
  <si>
    <t>TLCADFE40</t>
  </si>
  <si>
    <t>CADENA TRANSLINK FE PASO 40 10FT</t>
  </si>
  <si>
    <t>TSRS12BD3/L2L78</t>
  </si>
  <si>
    <t>CADENA TSUBAKI FE PASO RS12B 15MTS</t>
  </si>
  <si>
    <t>VECADSS06-2/5M</t>
  </si>
  <si>
    <t>CADENA VERCELLI DOBLE SS PASO 06B-2 5MTS</t>
  </si>
  <si>
    <t>VECADFE60-4</t>
  </si>
  <si>
    <t>CADENA VERCELLI FE 4H PASO 60-4 3MT</t>
  </si>
  <si>
    <t>VECADFEC2060H10</t>
  </si>
  <si>
    <t>CADENA VERCELLI FE C2060H 3.048MT</t>
  </si>
  <si>
    <t>VECADFEC2060H</t>
  </si>
  <si>
    <t>CADENA VERCELLI FE C2060H 5MT</t>
  </si>
  <si>
    <t>VECADFE60-1H</t>
  </si>
  <si>
    <t>CADENA VERCELLI FE PASO 60-1H 3/4 10FT</t>
  </si>
  <si>
    <t>VECADFE60-1R</t>
  </si>
  <si>
    <t>CADENA VERCELLI FE PASO 60-1R 3/4 5MT C/AL WK2/L52</t>
  </si>
  <si>
    <t>VECADFE80K-1/L1</t>
  </si>
  <si>
    <t>CADENA VERCELLI FE PASO 80 K-1/L1 10FT</t>
  </si>
  <si>
    <t>VECADSS2082-2"</t>
  </si>
  <si>
    <t>CADENA VERCELLI SS 2082 PASO 2" 10FT</t>
  </si>
  <si>
    <t>VECADSSC08B</t>
  </si>
  <si>
    <t>CADENA VERCELLI SS C08B 10FT</t>
  </si>
  <si>
    <t>VECADSSC2050</t>
  </si>
  <si>
    <t>CADENA VERCELLI SS C2050 5MT</t>
  </si>
  <si>
    <t>VECADSS06B</t>
  </si>
  <si>
    <t>CADENA VERCELLI SS PASO 06B 10FT</t>
  </si>
  <si>
    <t>VECADSS40SA1M</t>
  </si>
  <si>
    <t>CADENA VERCELLI SS PASO 40 SA1/M1 C/ADITAMENTO 10FT</t>
  </si>
  <si>
    <t>VECADSST505L</t>
  </si>
  <si>
    <t>CADENA VERCELLI SS T505L 10FT</t>
  </si>
  <si>
    <t>VECADFE35-R</t>
  </si>
  <si>
    <t>CADENA VERCELLI TRIPLE FE PASO 35 10FT</t>
  </si>
  <si>
    <t>CANFE40-2</t>
  </si>
  <si>
    <t>CANDADO DOBLE FE PASO 40-2</t>
  </si>
  <si>
    <t>CHCANFE40-2</t>
  </si>
  <si>
    <t>CANDADO DOBLE FE PASO 40-2 CH</t>
  </si>
  <si>
    <t>CHCANFE80</t>
  </si>
  <si>
    <t>CANDADO DOBLE FE PASO 80 CH</t>
  </si>
  <si>
    <t>CANSS08-2</t>
  </si>
  <si>
    <t>CANDADO DOBLE SS PASO 08-2</t>
  </si>
  <si>
    <t>CANSS40-2</t>
  </si>
  <si>
    <t>CANDADO DOBLE SS PASO 40-2</t>
  </si>
  <si>
    <t>LBCA60-2SS</t>
  </si>
  <si>
    <t>CANDADO DOBLE SS PASO 60-2 LB</t>
  </si>
  <si>
    <t>VECANSS60-2</t>
  </si>
  <si>
    <t>CANDADO DOBLE SS PASO 60-2 VE</t>
  </si>
  <si>
    <t>VECANFEC2060H</t>
  </si>
  <si>
    <t>CANDADO FE C2060H VE</t>
  </si>
  <si>
    <t>CHCANFE12</t>
  </si>
  <si>
    <t>CANDADO FE PASO 12 CH</t>
  </si>
  <si>
    <t>CANFE12B1</t>
  </si>
  <si>
    <t>CANDADO FE PASO 12B1</t>
  </si>
  <si>
    <t>CHCANFE16B</t>
  </si>
  <si>
    <t>CANDADO FE PASO 16B CH</t>
  </si>
  <si>
    <t>CHCANFE20B</t>
  </si>
  <si>
    <t>CANDADO FE PASO 20B CH</t>
  </si>
  <si>
    <t>CANFE35</t>
  </si>
  <si>
    <t>CANDADO FE PASO 35</t>
  </si>
  <si>
    <t>CHCANFE35</t>
  </si>
  <si>
    <t>CANDADO FE PASO 35 CH</t>
  </si>
  <si>
    <t>CANFE40</t>
  </si>
  <si>
    <t>CANDADO FE PASO 40</t>
  </si>
  <si>
    <t>CHCANFE40</t>
  </si>
  <si>
    <t>CANDADO FE PASO 40 CH</t>
  </si>
  <si>
    <t>CANFE40PH</t>
  </si>
  <si>
    <t>CANDADO FE PASO 40 PIN HUECO</t>
  </si>
  <si>
    <t>CHCANFE50</t>
  </si>
  <si>
    <t>CANDADO FE PASO 50 CH</t>
  </si>
  <si>
    <t>CANFE60</t>
  </si>
  <si>
    <t>CANDADO FE PASO 60</t>
  </si>
  <si>
    <t>KACANFE60</t>
  </si>
  <si>
    <t>CANDADO FE PASO 60 KA</t>
  </si>
  <si>
    <t>CANSS06B</t>
  </si>
  <si>
    <t>CANDADO SS PASO 06B</t>
  </si>
  <si>
    <t>VECANSS08</t>
  </si>
  <si>
    <t>CANDADO SS PASO 08 VE</t>
  </si>
  <si>
    <t>CANSSC08B</t>
  </si>
  <si>
    <t>CANDADO SS PASO 08B</t>
  </si>
  <si>
    <t>CHCANSS12B-1</t>
  </si>
  <si>
    <t>CANDADO SS PASO 12B CH</t>
  </si>
  <si>
    <t>CHCANSS16B</t>
  </si>
  <si>
    <t>CANDADO SS PASO 16B CH</t>
  </si>
  <si>
    <t>VECANSS2050</t>
  </si>
  <si>
    <t>CANDADO SS PASO 2050 VE</t>
  </si>
  <si>
    <t>CANSS40</t>
  </si>
  <si>
    <t>CANDADO SS PASO 40</t>
  </si>
  <si>
    <t>CANSS50</t>
  </si>
  <si>
    <t>CANDADO SS PASO 50</t>
  </si>
  <si>
    <t>CANSS50-3</t>
  </si>
  <si>
    <t>CANDADO SS PASO 50-3</t>
  </si>
  <si>
    <t>CANSS60</t>
  </si>
  <si>
    <t>CANDADO SS PASO 60</t>
  </si>
  <si>
    <t>CANSS80</t>
  </si>
  <si>
    <t>CANDADO SS PASO 80</t>
  </si>
  <si>
    <t>VECANSST505L</t>
  </si>
  <si>
    <t>CANDADO SS T505L VE</t>
  </si>
  <si>
    <t>RE26/A40</t>
  </si>
  <si>
    <t>ESLABON REGINA 26/A40</t>
  </si>
  <si>
    <t>REGLFG2250TK330</t>
  </si>
  <si>
    <t>CADENA REGAL LFG2250FT-K330</t>
  </si>
  <si>
    <t>REAG126</t>
  </si>
  <si>
    <t>CADENA REGINA AG126 - 10MTS</t>
  </si>
  <si>
    <t>RELBP821UPKM/00</t>
  </si>
  <si>
    <t>CADENA REGINA LBP821UPK1000 5FT</t>
  </si>
  <si>
    <t>RELBP821UPKN/00</t>
  </si>
  <si>
    <t>CADENA REGINA LBP821UPK1200 1.524MTS</t>
  </si>
  <si>
    <t>RELBP821UPKL/00</t>
  </si>
  <si>
    <t>CADENA REGINA LBP821UPK750 5FT</t>
  </si>
  <si>
    <t>REPHDG981TKD/00</t>
  </si>
  <si>
    <t>CADENA REGINA PHDG981TK325 3.048MTS</t>
  </si>
  <si>
    <t>RER845UPCKP/000</t>
  </si>
  <si>
    <t>CADENA REGINA RR845UPNCK40MM 3.048MTS</t>
  </si>
  <si>
    <t>RESS815KG/000</t>
  </si>
  <si>
    <t>CADENA REGINA SS815K450 3.048MTS</t>
  </si>
  <si>
    <t>RESS915KF/000</t>
  </si>
  <si>
    <t>CADENA REGINA SS915K400 3.048MTS</t>
  </si>
  <si>
    <t>RESS981KG/000</t>
  </si>
  <si>
    <t>CADENA REGINA SS981K450 3.048MTS</t>
  </si>
  <si>
    <t>RESS982TKD/000</t>
  </si>
  <si>
    <t>CADENA REGINA SS982TK325 3.048MTS</t>
  </si>
  <si>
    <t>REUP1843SKPA/00</t>
  </si>
  <si>
    <t>CADENA REGINA UP1843TSSK125 3.048MT</t>
  </si>
  <si>
    <t>REUP1863KJ/000</t>
  </si>
  <si>
    <t>CADENA REGINA UP1863TK1600  3.048MTS</t>
  </si>
  <si>
    <t>REUP1863SKJ/000</t>
  </si>
  <si>
    <t>CADENA REGINA UP1863TSSK1600</t>
  </si>
  <si>
    <t>REUP1873KD/000</t>
  </si>
  <si>
    <t>CADENA REGINA UP1873TK325 3.048MTS</t>
  </si>
  <si>
    <t>REUP1873SKG/000</t>
  </si>
  <si>
    <t>CADENA REGINA UP1873TSSK450 3.048MTS</t>
  </si>
  <si>
    <t>REUP820K450</t>
  </si>
  <si>
    <t>CADENA REGINA UP820K450 1MT</t>
  </si>
  <si>
    <t>REUP843SKB/000</t>
  </si>
  <si>
    <t>CADENA REGINA UP843SSK200 3.048MTS</t>
  </si>
  <si>
    <t>REUP880K450</t>
  </si>
  <si>
    <t>CADENA REGINA UP880K450 1MT</t>
  </si>
  <si>
    <t>REUP882KN/000</t>
  </si>
  <si>
    <t>CADENA REGINA UP882K1200 3.048MTS</t>
  </si>
  <si>
    <t>REUP981MRGKMAG</t>
  </si>
  <si>
    <t>CADENA REGINA UP981MRGK325 MAG 3.048MTS</t>
  </si>
  <si>
    <t>REUSPUPKD/000</t>
  </si>
  <si>
    <t>CADENA REGINA USP UPK325 3.048MT</t>
  </si>
  <si>
    <t>REUSPUPKG/000</t>
  </si>
  <si>
    <t>CADENA REGINA USP UPK450 3.048MT</t>
  </si>
  <si>
    <t>REUSPUPKL/000</t>
  </si>
  <si>
    <t>CADENA REGINA USP UPK750 3MTS</t>
  </si>
  <si>
    <t>REUSPGATMUP450D</t>
  </si>
  <si>
    <t>CADENA REGINA USPGATMUPK450 DER 3.048MTS</t>
  </si>
  <si>
    <t>REUSPGATMUP450S</t>
  </si>
  <si>
    <t>CADENA REGINA USPGATMUPK450 IZQ 3.048MTS</t>
  </si>
  <si>
    <t>UND820K325G</t>
  </si>
  <si>
    <t>CADENA UNI D820K325</t>
  </si>
  <si>
    <t>UNLF820K600</t>
  </si>
  <si>
    <t>CADENA UNI LF820K600</t>
  </si>
  <si>
    <t>UNLF820K750</t>
  </si>
  <si>
    <t>CADENA UNI LF820K750</t>
  </si>
  <si>
    <t>UNBLF831K450</t>
  </si>
  <si>
    <t>CADENA UNI LF831K450</t>
  </si>
  <si>
    <t>REHFX1873TUPSSK</t>
  </si>
  <si>
    <t>ESLABON REGINA HFX1873TUPSSK750</t>
  </si>
  <si>
    <t>REUP1873TK1200E</t>
  </si>
  <si>
    <t>ESLABON REGINA UP1873TK1200</t>
  </si>
  <si>
    <t>REUP1873TK325E</t>
  </si>
  <si>
    <t>ESLABON REGINA UP1873TK325</t>
  </si>
  <si>
    <t>REUP1873TSSK450</t>
  </si>
  <si>
    <t>ESLABON REGINA UP1873TSSK450</t>
  </si>
  <si>
    <t>REMUP1873TK1120</t>
  </si>
  <si>
    <t>MODULO REGINA UP1873TK1200</t>
  </si>
  <si>
    <t>HUB250X1</t>
  </si>
  <si>
    <t>B250X1 RODAMIENTO HC</t>
  </si>
  <si>
    <t>DOP206</t>
  </si>
  <si>
    <t>CARCASA DODGE FE PI 206</t>
  </si>
  <si>
    <t>DOUCFL205-16</t>
  </si>
  <si>
    <t>CHUMACERA DODGE FE 2H PA 1"</t>
  </si>
  <si>
    <t>DOUCF205-16</t>
  </si>
  <si>
    <t>CHUMACERA DODGE FE 4H PA 1"</t>
  </si>
  <si>
    <t>DOUCF206-19</t>
  </si>
  <si>
    <t>CHUMACERA DODGE FE 4H PA 1.3/16"</t>
  </si>
  <si>
    <t>DOUCP205-16</t>
  </si>
  <si>
    <t>CHUMACERA DODGE FE PI  1"</t>
  </si>
  <si>
    <t>DOUCP204-12</t>
  </si>
  <si>
    <t>CHUMACERA DODGE FE PI 3/4"</t>
  </si>
  <si>
    <t>HUFB250X3/4</t>
  </si>
  <si>
    <t>FB250X3/4 CHUMACERA FE HUB 4H PA</t>
  </si>
  <si>
    <t>BRP-216</t>
  </si>
  <si>
    <t>P-216 CARCASA BROWNING PI</t>
  </si>
  <si>
    <t>HUPB250X3/4</t>
  </si>
  <si>
    <t>PB250X3/4 CHUMACERA FE HUB PI</t>
  </si>
  <si>
    <t>PIÑFE80B24</t>
  </si>
  <si>
    <t>PIÑON FE 24 DIENTES PASO 80</t>
  </si>
  <si>
    <t>LES183006400</t>
  </si>
  <si>
    <t>REDUCTOR IRONMAN SS-BMQ818-15-D-56 S183006400</t>
  </si>
  <si>
    <t>DOUC205-16</t>
  </si>
  <si>
    <t>RODAMIENTO DODGE FE 1"</t>
  </si>
  <si>
    <t>DOUC206-19</t>
  </si>
  <si>
    <t>RODAMIENTO DODGE FE 1.3/16</t>
  </si>
  <si>
    <t>DOUC204-12</t>
  </si>
  <si>
    <t>RODAMIENTO DODGE FE 3/4"</t>
  </si>
  <si>
    <t>LDSF209</t>
  </si>
  <si>
    <t>SF209 CARCASA SS 4H PA</t>
  </si>
  <si>
    <t>LDSF213</t>
  </si>
  <si>
    <t>SF213 CARCASA SS 4H PA</t>
  </si>
  <si>
    <t>SMSFC-211</t>
  </si>
  <si>
    <t>SFC-211 CHUMACERA SEALMASTER FE CIR PA 4H 55MM</t>
  </si>
  <si>
    <t>SMSFC-32</t>
  </si>
  <si>
    <t>SFC-32 CHUMACERA SEALMASTER FE CIR PA 4H 2"</t>
  </si>
  <si>
    <t>LDSP205SB</t>
  </si>
  <si>
    <t>SP205 CARCASA SS PI</t>
  </si>
  <si>
    <t>LDSP207SB</t>
  </si>
  <si>
    <t>LDSPA205A</t>
  </si>
  <si>
    <t>SPA205A CARCASA SS S/ALA PI</t>
  </si>
  <si>
    <t>LDSPA206A</t>
  </si>
  <si>
    <t>SPA206A CARCASA SS S/ALA PI</t>
  </si>
  <si>
    <t>LDSSUCF201-8</t>
  </si>
  <si>
    <t>SSUCF201-8 CHUMACERA SS 4H PA 1/2"</t>
  </si>
  <si>
    <t>LDSSUCF203</t>
  </si>
  <si>
    <t>SSUCF203 CHUMACERA SS 4H PA 17MM</t>
  </si>
  <si>
    <t>LDSSUCF205-14</t>
  </si>
  <si>
    <t>SSUCF205-14 CHUMACERA SS 4H PA 7/8"</t>
  </si>
  <si>
    <t>LDSSUCF207-22</t>
  </si>
  <si>
    <t>SSUCF207-22 CHUMACERA SS 4H PA 1.3/8"</t>
  </si>
  <si>
    <t>LDSSUCF208-25</t>
  </si>
  <si>
    <t>SSUCF208-25 CHUMACERA SS 4H PA 1.9/16"</t>
  </si>
  <si>
    <t>LDSSUCF209</t>
  </si>
  <si>
    <t>SSUCF209 CHUMACERA SS 4H PA 45MM</t>
  </si>
  <si>
    <t>LDSSUCF209-28</t>
  </si>
  <si>
    <t>SSUCF209-28 CHUMACERA SS 4H PA 1.3/4"</t>
  </si>
  <si>
    <t>LDSSUCF211</t>
  </si>
  <si>
    <t>SSUCF211 CHUMACERA SS 4H PA 55MM</t>
  </si>
  <si>
    <t>LDSSUCF212-36</t>
  </si>
  <si>
    <t>SSUCF212-36 CHUMACERA SS 4H PA 2.1/4"</t>
  </si>
  <si>
    <t>LDSSUCF213</t>
  </si>
  <si>
    <t>SSUCF213 CHUMACERA SS 4H PA 65MM</t>
  </si>
  <si>
    <t>LDSSUCF215</t>
  </si>
  <si>
    <t>SSUCF215 CHUMACERA SS 4H PA 75MM</t>
  </si>
  <si>
    <t>LDSSUCFB207-20</t>
  </si>
  <si>
    <t>SSUCFB207-20 CHUMACERA SS 3H PA 1.1/4"</t>
  </si>
  <si>
    <t>LDSSUCFC207-23</t>
  </si>
  <si>
    <t>SSUCFC207-23 CHUMACERA SS CIR 4H PA 1.7/16"</t>
  </si>
  <si>
    <t>LDSSUCFC208</t>
  </si>
  <si>
    <t>SSUCFC208 CHUMACERA SS CIR 4H PA 40MM</t>
  </si>
  <si>
    <t>LDSSUCFL202</t>
  </si>
  <si>
    <t>SSUCFL202 CHUMACERA SS 2H PA 15MM</t>
  </si>
  <si>
    <t>UNI</t>
  </si>
  <si>
    <t>LDSSUCFL205-14</t>
  </si>
  <si>
    <t>SSUCFL205-14 CHUMACERA SS 2H PA 7/8"</t>
  </si>
  <si>
    <t>LDSSUCFL206-19</t>
  </si>
  <si>
    <t>SSUCFL206-19 CHUMACERA SS 2H PA 1.3/16"</t>
  </si>
  <si>
    <t>LDSSUCFL207-22</t>
  </si>
  <si>
    <t>SSUCFL207-22 CHUMACERA SS 2H PA 1.3/8"</t>
  </si>
  <si>
    <t>LDSSUCFL208</t>
  </si>
  <si>
    <t>SSUCFL208 CHUMACERA SS 2H PA 40MM</t>
  </si>
  <si>
    <t>LDSSUCFL209</t>
  </si>
  <si>
    <t>SSUCFL209 CHUMACERA SS 2H PA 45MM</t>
  </si>
  <si>
    <t>LDSSUCP201-8</t>
  </si>
  <si>
    <t>SSUCP201-8 CHUMACERA SS PI 1/2"</t>
  </si>
  <si>
    <t>LDSSUCP206-18</t>
  </si>
  <si>
    <t>SSUCP206-18 CHUMACERA SS PI 1.1/8"</t>
  </si>
  <si>
    <t>LDSSUCP208-25</t>
  </si>
  <si>
    <t>SSUCP208-25 CHUMACERA SS PI 1.9/16"</t>
  </si>
  <si>
    <t>LDSSUCP209-26</t>
  </si>
  <si>
    <t>SSUCP209-26 CHUMACERA SS PI 1.5/8"</t>
  </si>
  <si>
    <t>LDSSUCP210-31</t>
  </si>
  <si>
    <t>SSUCP210-31 CHUMACERA SS PI 1.15/16"</t>
  </si>
  <si>
    <t>LDSSUCP215-48</t>
  </si>
  <si>
    <t>SSUCP215-48 CHUMACERA SS PI 3"</t>
  </si>
  <si>
    <t>LDSSUCPA205</t>
  </si>
  <si>
    <t>SSUCPA205 CHUMACERA SS PI S/ALA 25MM</t>
  </si>
  <si>
    <t>LDSSSUCPA206-20</t>
  </si>
  <si>
    <t>SSUCPA206-20 CHUMACERA SS PI S/ALA 1.1/4"</t>
  </si>
  <si>
    <t>LDSSUCT202-10</t>
  </si>
  <si>
    <t>SSUCT202-10 CHUMACERA SS TS 5/8"</t>
  </si>
  <si>
    <t>LDSSUCT206-18</t>
  </si>
  <si>
    <t>SSUCT206-18 CHUMACERA SS TS 1.1/8"</t>
  </si>
  <si>
    <t>LDSSUCT206-20</t>
  </si>
  <si>
    <t>SSUCT206-20 CHUMACERA SS TS. 1.1/4"</t>
  </si>
  <si>
    <t>LDSSUCT207</t>
  </si>
  <si>
    <t>SSUCT207 CHUMACERA SS TS 35MM</t>
  </si>
  <si>
    <t>LDSSUCT207-22</t>
  </si>
  <si>
    <t>SSUCT207-22 CHUMACERA SS TS 1.3/8"</t>
  </si>
  <si>
    <t>LDSSUCT207-23</t>
  </si>
  <si>
    <t>SSUCT207-23 CHUMACERA SS TS 1.7/16"</t>
  </si>
  <si>
    <t>LDSSUCT210</t>
  </si>
  <si>
    <t>SSUCT210 CHUMACERA SS TS 50MM</t>
  </si>
  <si>
    <t>LDSSUCT211</t>
  </si>
  <si>
    <t>SSUCT211 CHUMACERA SS TS 55MM</t>
  </si>
  <si>
    <t>LDST205</t>
  </si>
  <si>
    <t>ST205 CARCASA SS TS</t>
  </si>
  <si>
    <t>LDTPFB205</t>
  </si>
  <si>
    <t>TP-FB205 CARCASA TP 3H PA</t>
  </si>
  <si>
    <t>LDTPFB206</t>
  </si>
  <si>
    <t>TP-FB206 CARCASA TP 3H PA</t>
  </si>
  <si>
    <t>LDTPFL206</t>
  </si>
  <si>
    <t>TP-FL206 CARCASA TP 2H PA</t>
  </si>
  <si>
    <t>LDTPSUCF206-18</t>
  </si>
  <si>
    <t>TP-SUCF206-18 CHUMACERA TP 4H PA 1.1/8"</t>
  </si>
  <si>
    <t>LDTPSUCF209-26</t>
  </si>
  <si>
    <t>TP-SUCF209-26 CHUMACERA TP 4H PA 1.5/8"</t>
  </si>
  <si>
    <t>LDTPSUCF210</t>
  </si>
  <si>
    <t>TP-SUCF210 CHUMACERA TP 4H PA 50MM</t>
  </si>
  <si>
    <t>LDTPSUCFB204-12</t>
  </si>
  <si>
    <t>TP-SUCFB204-12 CHUMACERA TP 3H PA 3/4"</t>
  </si>
  <si>
    <t>LDTPSUCFB207-20</t>
  </si>
  <si>
    <t>TP-SUCFB207-20 CHUMACERA TP 3H PA 1.1/4"</t>
  </si>
  <si>
    <t>LDTP-SUCFB208</t>
  </si>
  <si>
    <t>TP-SUCFB208 CHUMACERA TP 3H PA 40MM</t>
  </si>
  <si>
    <t>LDTPSUCFL207</t>
  </si>
  <si>
    <t>TP-SUCFL207 CHUMACERA TP 2H PA 35MM</t>
  </si>
  <si>
    <t>LDTPSUCFL207-23</t>
  </si>
  <si>
    <t>TP-SUCFL207-23 CHUMACERA TP 2H PA 1.7/16"</t>
  </si>
  <si>
    <t>LDTPSUCFL210</t>
  </si>
  <si>
    <t>TP-SUCFL210 CHUMACERA TP 2H PA 50MM</t>
  </si>
  <si>
    <t>LDTPSUCP204</t>
  </si>
  <si>
    <t>TP-SUCP204 CHUMACERA TP PI 20MM</t>
  </si>
  <si>
    <t>LDTPSUCP205-14</t>
  </si>
  <si>
    <t>TP-SUCP205-14 CHUMACERA TP PI 7/8"</t>
  </si>
  <si>
    <t>LDTPSUCP206-18</t>
  </si>
  <si>
    <t>TP-SUCP206-18 CHUMACERA TP PI 1.1/8"</t>
  </si>
  <si>
    <t>LDTPSUCP206-20</t>
  </si>
  <si>
    <t>TP-SUCP206-20 CHUMACERA TP PI 1.1/4"</t>
  </si>
  <si>
    <t>LDTPSUCP208</t>
  </si>
  <si>
    <t>TP-SUCP208 CHUMACERA TP PI 40MM</t>
  </si>
  <si>
    <t>LDTPT208</t>
  </si>
  <si>
    <t>TP-T208 CARCASA TP</t>
  </si>
  <si>
    <t>LDTPUCFL201-8</t>
  </si>
  <si>
    <t>TP-UCFL201-8 CHUMACERA TP 2H PA</t>
  </si>
  <si>
    <t>SKUC205-100</t>
  </si>
  <si>
    <t>UC205-100 RODAMIENTO SKF FE 1"</t>
  </si>
  <si>
    <t>NTUC207-107</t>
  </si>
  <si>
    <t>UC207-107/UC207-23 RODAMIENTO FE 1.7/16"</t>
  </si>
  <si>
    <t>NTUC210-115</t>
  </si>
  <si>
    <t>UC210-31/UC210-115 RODAMIENTO FE 1.15/16"</t>
  </si>
  <si>
    <t>SKUCF206-103</t>
  </si>
  <si>
    <t>UCF206-103 CHUMACERA SKF FE 4H PA 1.3/16"</t>
  </si>
  <si>
    <t>LDUCF210-32</t>
  </si>
  <si>
    <t>UCF210-32 CHUMACERA FE 4H PA 2"</t>
  </si>
  <si>
    <t>UCF213-40</t>
  </si>
  <si>
    <t>UCF213-40 CHUMACERA FE 4H PA 2.5"</t>
  </si>
  <si>
    <t>LDUCFL205-16</t>
  </si>
  <si>
    <t>UCFL205-16 CHUMACERA FE 2H PA 1"</t>
  </si>
  <si>
    <t>NTUCFL208</t>
  </si>
  <si>
    <t>UCFL208 CHUMACERA NTN FE 2H PA 40MM</t>
  </si>
  <si>
    <t>LDUCP205-16</t>
  </si>
  <si>
    <t>UCP205-16 CHUMACERA FE PI 1"</t>
  </si>
  <si>
    <t>SKUCP206-103</t>
  </si>
  <si>
    <t>UCP206-103 CHUMACERA SKF FE PI 1.3/16"</t>
  </si>
  <si>
    <t>UCT207-20</t>
  </si>
  <si>
    <t>UCT207-20 CHUMACERA FE TENS 1.1/4"</t>
  </si>
  <si>
    <t>BRVF4S-116</t>
  </si>
  <si>
    <t>VF4S-116 CHUMACERA BROWNING 4H PA 1"</t>
  </si>
  <si>
    <t>BRVPS-116</t>
  </si>
  <si>
    <t>VPS-116 CHUMACERA BROWNING PI 1"</t>
  </si>
  <si>
    <t>PI1BBAC000006</t>
  </si>
  <si>
    <t>BARANDA PIAZ ACUMULACION 3R 10X26CMS</t>
  </si>
  <si>
    <t>BIPODED48.3</t>
  </si>
  <si>
    <t>BASE BIPODE PLAST D48.3MM</t>
  </si>
  <si>
    <t>PI1IBIS000142</t>
  </si>
  <si>
    <t>BISAGRA A48 FIJACION T/FRESADO</t>
  </si>
  <si>
    <t>PI1ESOP000434</t>
  </si>
  <si>
    <t>CABEZAL ORIENTABLE D16.5 P/H205 C/PER Y VIR</t>
  </si>
  <si>
    <t>RET17KD1A/1000</t>
  </si>
  <si>
    <t>CURVA 1701T T17 1VIA R=500 90º I=50</t>
  </si>
  <si>
    <t>RET80KD4A/1000</t>
  </si>
  <si>
    <t>CURVA 880T K325 A/R 4VIAS R=500 90º I=50</t>
  </si>
  <si>
    <t>RET82KL1C/100</t>
  </si>
  <si>
    <t>CURVA 882 K750 A/R 1 VIA R=610 90º I=50</t>
  </si>
  <si>
    <t>CC981K3251VIA</t>
  </si>
  <si>
    <t>CURVA 981 K325 1VIA TAB</t>
  </si>
  <si>
    <t>REMF01CCY/402</t>
  </si>
  <si>
    <t>CURVA MAG F1 610 45º 90 C/PUNTERA</t>
  </si>
  <si>
    <t>REMF01DAX/101</t>
  </si>
  <si>
    <t>CURVA MAG F1 680 90º 82 C/PUNTERA</t>
  </si>
  <si>
    <t>REMF02CAY/672</t>
  </si>
  <si>
    <t>CURVA MAG F2 K750 610 90° C/PUNTERA</t>
  </si>
  <si>
    <t>REMF03AAY/111</t>
  </si>
  <si>
    <t>CURVA MAG F3 K500 90° C/PUNTERA</t>
  </si>
  <si>
    <t>REMF04AAY/111</t>
  </si>
  <si>
    <t>CURVA MAG F4 K500 90° C/PUNTERA</t>
  </si>
  <si>
    <t>CC981K450-90-16</t>
  </si>
  <si>
    <t>MADR125-SS-500P</t>
  </si>
  <si>
    <t>GRAPAS MATO DR125-SS-500 1 PAR</t>
  </si>
  <si>
    <t>MADR125-SS600</t>
  </si>
  <si>
    <t>GRAPAS MATO DR125-SS-600</t>
  </si>
  <si>
    <t>MADR125-SS900</t>
  </si>
  <si>
    <t>GRAPAS MATO DR125-SS-900</t>
  </si>
  <si>
    <t>MADR62G1/2PAS</t>
  </si>
  <si>
    <t>GRAPAS MATO DR62 C/MEDIO PASADOR</t>
  </si>
  <si>
    <t>MADR62-SS600</t>
  </si>
  <si>
    <t>GRAPAS MATO DR62-SS-600</t>
  </si>
  <si>
    <t>RS62SJ</t>
  </si>
  <si>
    <t>GRAPAS SS316 HEMBRA Y MACHO 1.4MT RS62SJ</t>
  </si>
  <si>
    <t>PI1ESOP001824</t>
  </si>
  <si>
    <t>MORDAZA REGULADORA RAPIDA C/PERILLA ANAT</t>
  </si>
  <si>
    <t>PI1ENUE001801</t>
  </si>
  <si>
    <t>NUEZ INYECTADA D12.5MM C/PERILLA</t>
  </si>
  <si>
    <t>ORING1/8X8</t>
  </si>
  <si>
    <t>ORING P/ENVOLVEDOR 1/8"X8"</t>
  </si>
  <si>
    <t>GRP4PTAS</t>
  </si>
  <si>
    <t>PERILLA PLAST 4 PUNTAS</t>
  </si>
  <si>
    <t>PI1EPER001839</t>
  </si>
  <si>
    <t>PERILLA PLAST ANAT D40 C/TOR M6X30MM</t>
  </si>
  <si>
    <t>PI1EPER001834</t>
  </si>
  <si>
    <t>PERILLA PLAST ANAT D50 C/TOR M10X35</t>
  </si>
  <si>
    <t>RET24370</t>
  </si>
  <si>
    <t>RETENEDOR SKF 2.7/16"X3.1/2"X7/16" 24370</t>
  </si>
  <si>
    <t>BU99243</t>
  </si>
  <si>
    <t>RETENEDOR SKF C/R 99243</t>
  </si>
  <si>
    <t>RETTTO32X54X7</t>
  </si>
  <si>
    <t>RETENEDOR TTO 32X54X7MM</t>
  </si>
  <si>
    <t>GR4YRL8</t>
  </si>
  <si>
    <t>RODAMIENTO D/BUJE D/BOLAS 4YRL8</t>
  </si>
  <si>
    <t>SEGMPENC1.5P4</t>
  </si>
  <si>
    <t>SEGURO MEC PE/N E/C 1.5" P/PIÑON 4"</t>
  </si>
  <si>
    <t>SEGRED1.3/8</t>
  </si>
  <si>
    <t>SEGURO PLAST BIP. E/R 1.3/8"</t>
  </si>
  <si>
    <t>SEGC1.5ER1</t>
  </si>
  <si>
    <t>SEGURO PLAST CUAD 1.5" E/R 1"</t>
  </si>
  <si>
    <t>SEGCEC1.5</t>
  </si>
  <si>
    <t>SEGURO PLAST CUAD E/C 1.5"</t>
  </si>
  <si>
    <t>SEGR42EC25</t>
  </si>
  <si>
    <t>SEGURO PLAST MEC UHMW E/C 25MM</t>
  </si>
  <si>
    <t>UNPA6GF15RR</t>
  </si>
  <si>
    <t>SEGURO UNI PLAST CUAD E/C 1.5"</t>
  </si>
  <si>
    <t>PI1GSOP00085</t>
  </si>
  <si>
    <t>SOPORTE CAÑO LATERAL D48.3MM</t>
  </si>
  <si>
    <t>PISBAR154</t>
  </si>
  <si>
    <t>SOPORTE DE BARANDA H154</t>
  </si>
  <si>
    <t>PI1GTAZ000678</t>
  </si>
  <si>
    <t>TAZOLETA PLAST C/A D100</t>
  </si>
  <si>
    <t>PI1GTAZ301054</t>
  </si>
  <si>
    <t>TAZOLETA PLAST C/A D100 C/ROT GALV 5/8X60</t>
  </si>
  <si>
    <t>PI1GTAZ000396</t>
  </si>
  <si>
    <t>TAZOLETA PLAST LISA D100 C/ROT SS M16X100</t>
  </si>
  <si>
    <t>TAZD80RSSM16</t>
  </si>
  <si>
    <t>TAZOLETA PLAST LISA D80 C/ROT SS M16X100</t>
  </si>
  <si>
    <t>PI1GTAZ000062</t>
  </si>
  <si>
    <t>TAZOLETA PLAST REFORZADA M24 D128</t>
  </si>
  <si>
    <t>RETC845-01</t>
  </si>
  <si>
    <t>UÑETA REGINA RR845 W=59.5 L=152.4MM</t>
  </si>
  <si>
    <t>INA4D4R5XXXFNK</t>
  </si>
  <si>
    <t>UÑETA TRANSF. S400-1200 DE 2 MATERIALES</t>
  </si>
  <si>
    <t>GR5UE61</t>
  </si>
  <si>
    <t>CHAVETA SS CUAD 1/4"X12" 5UE61</t>
  </si>
  <si>
    <t>CHAVSSC5/8</t>
  </si>
  <si>
    <t>CHAVETA SS CUAD. 5/8"</t>
  </si>
  <si>
    <t>QDEJEPER1</t>
  </si>
  <si>
    <t>EJE PE UHMW RED 1"</t>
  </si>
  <si>
    <t>QDEJEPER1.3/4</t>
  </si>
  <si>
    <t>EJE PE UHMW RED 1.3/4"</t>
  </si>
  <si>
    <t>QDEJEPER2</t>
  </si>
  <si>
    <t>EJE PE UHMW RED 2"</t>
  </si>
  <si>
    <t>QDEJEPER2.1/2</t>
  </si>
  <si>
    <t>EJE PE UHMW RED 2.1/2"</t>
  </si>
  <si>
    <t>QDEJEPER3</t>
  </si>
  <si>
    <t>EJE PE UHMW RED 3"</t>
  </si>
  <si>
    <t>QDEJEPER3.1/2</t>
  </si>
  <si>
    <t>EJE PE UHMW RED 3.1/2"</t>
  </si>
  <si>
    <t>QDEJEPER4.1/2</t>
  </si>
  <si>
    <t>EJE PE UHMW RED 4.1/2"</t>
  </si>
  <si>
    <t>QDEJEPER5</t>
  </si>
  <si>
    <t>EJE PE UHMW RED 5"</t>
  </si>
  <si>
    <t>QDEJEPER6</t>
  </si>
  <si>
    <t>EJE PE UHMW RED 6"</t>
  </si>
  <si>
    <t>QDEJEPER8</t>
  </si>
  <si>
    <t>EJE PE UHMW RED 8"</t>
  </si>
  <si>
    <t>RO242261</t>
  </si>
  <si>
    <t>GR2RDL2</t>
  </si>
  <si>
    <t>EJE SS 1"X36" 2RDL2</t>
  </si>
  <si>
    <t>EJESSC40</t>
  </si>
  <si>
    <t>EJE SS CUAD. 40MM</t>
  </si>
  <si>
    <t>EJESUS6G100</t>
  </si>
  <si>
    <t>EJE SUSTAMINADO 6G 100MM</t>
  </si>
  <si>
    <t>EJESUS6G50</t>
  </si>
  <si>
    <t>EJE SUSTAMINADO 6G 50MM</t>
  </si>
  <si>
    <t>USPB-260E</t>
  </si>
  <si>
    <t>US CODIFICADORA HITACHI PB-260E</t>
  </si>
  <si>
    <t>USPXR-H450</t>
  </si>
  <si>
    <t>US CODIFICADORA HITACHI PXR-H450W</t>
  </si>
  <si>
    <t>USRX2-SD160E</t>
  </si>
  <si>
    <t>US CODIFICADORA HITACHI RX2-SD160E</t>
  </si>
  <si>
    <t>HIPB-260E</t>
  </si>
  <si>
    <t>CODIFICADORA HITACHI PB-260E CONTINUA</t>
  </si>
  <si>
    <t>HIPXR-H450W</t>
  </si>
  <si>
    <t>CODIFICADORA HITACHI PXR-H450W 50 MICRONES</t>
  </si>
  <si>
    <t>HIRX-SD160W</t>
  </si>
  <si>
    <t>CODIFICADORA HITACHI RX-SD160W</t>
  </si>
  <si>
    <t>HIRX2-SD160E</t>
  </si>
  <si>
    <t>CODIFICADORA HITACHI RX2-SD160E</t>
  </si>
  <si>
    <t>HIUX-D150WP</t>
  </si>
  <si>
    <t>CODIFICADORA HITACHI UX-D150WP</t>
  </si>
  <si>
    <t>HIUX-D151WP</t>
  </si>
  <si>
    <t>CODIFICADORA HITACHI UX-D151WP</t>
  </si>
  <si>
    <t>HIUX2-D160W</t>
  </si>
  <si>
    <t>CODIFICADORA HITACHI UX2-D160W</t>
  </si>
  <si>
    <t>MAKS1030PLUS</t>
  </si>
  <si>
    <t>CODIFICADORA LASER MACSA KS-1030 PLUS 9,3 MICRO</t>
  </si>
  <si>
    <t>KEK200RH</t>
  </si>
  <si>
    <t>ETIQUETADORA KETAN K200 RH</t>
  </si>
  <si>
    <t>TOCNC1100MXC/AC</t>
  </si>
  <si>
    <t>FRESADORA AUTOMATICA CNC MOD. 1100MX C/ACCESORIOS</t>
  </si>
  <si>
    <t>EUE30MCFGPPB10</t>
  </si>
  <si>
    <t>MODULO CT E30 FG PP B. 10CMS</t>
  </si>
  <si>
    <t>EUE30MCFGPPB20</t>
  </si>
  <si>
    <t>MODULO CT E30 FG PP B. 20CMS</t>
  </si>
  <si>
    <t>E93MCFGPPB4</t>
  </si>
  <si>
    <t>MODULO CT E93 FG PP B. 10CMS</t>
  </si>
  <si>
    <t>IN1100MFGACA2LT</t>
  </si>
  <si>
    <t>MODULO S1100 FG AC A. 2" LT</t>
  </si>
  <si>
    <t>IN1100MFGACA4CT</t>
  </si>
  <si>
    <t>MODULO S1100 FG AC A. 4" CT</t>
  </si>
  <si>
    <t>IN800MFTPPPB4CT</t>
  </si>
  <si>
    <t>MODULO S800 FT PERF. PP B. 4" CT</t>
  </si>
  <si>
    <t>IN800MFTPPB6CT</t>
  </si>
  <si>
    <t>MODULO S800 FT PP B. 6" CT</t>
  </si>
  <si>
    <t>IN800MFTPPB6LT</t>
  </si>
  <si>
    <t>MODULO S800 FT PP B. 6" LT</t>
  </si>
  <si>
    <t>IN900MFGPPA3CT</t>
  </si>
  <si>
    <t>MODULO S900 FG PP A. 3" CT</t>
  </si>
  <si>
    <t>IN900MFGPPA5.7C</t>
  </si>
  <si>
    <t>MODULO S900 FG PP A. 5.3/4" CT</t>
  </si>
  <si>
    <t>IN900MFGPPA6CT</t>
  </si>
  <si>
    <t>MODULO S900 FG PP A. 6" CT</t>
  </si>
  <si>
    <t>IN900MFGPPB4LT</t>
  </si>
  <si>
    <t>MODULO S900 FG PP B. 4" LT</t>
  </si>
  <si>
    <t>IN900MFGPPB8LT</t>
  </si>
  <si>
    <t>MODULO S900 FG PP B. 8" LT</t>
  </si>
  <si>
    <t>IN900MOGPPA4LT</t>
  </si>
  <si>
    <t>MODULO S900 OG PP A. 4" LT</t>
  </si>
  <si>
    <t>IN900MOGPPB2LT</t>
  </si>
  <si>
    <t>MODULO S900 OG PP B. 2" LT</t>
  </si>
  <si>
    <t>IN900MOGPPB4CT</t>
  </si>
  <si>
    <t>MODULO S900 OG PP B. 4" CT</t>
  </si>
  <si>
    <t>IN900MOGPPB6CT</t>
  </si>
  <si>
    <t>MODULO S900 OG PP B. 6" CT</t>
  </si>
  <si>
    <t>EUC12MTFGACA4</t>
  </si>
  <si>
    <t>MODULO TM C12 FG AC A. 10CMS</t>
  </si>
  <si>
    <t>EUC12MTFGPEN8</t>
  </si>
  <si>
    <t>EUE30MTFGPPB15</t>
  </si>
  <si>
    <t>MODULO TM E30 FG PP B. 15CMS</t>
  </si>
  <si>
    <t>COM325FGPPA6D</t>
  </si>
  <si>
    <t>MODULO TM S325 FG PP A. 6" DER</t>
  </si>
  <si>
    <t>COM325FGPPAI</t>
  </si>
  <si>
    <t>MODULO TM S325 FG PP A. 6" IZQ</t>
  </si>
  <si>
    <t>EUVA60ACN700</t>
  </si>
  <si>
    <t>OTPASNY8MMX44.2</t>
  </si>
  <si>
    <t>PASADOR NY 8MMX44.25"</t>
  </si>
  <si>
    <t>EUVA46PBTB1500</t>
  </si>
  <si>
    <t>PASADOR PBT/B 4.6MMX150CMS</t>
  </si>
  <si>
    <t>EUVA46PEN300</t>
  </si>
  <si>
    <t>PASADOR PE/N 4.6MMX30CMS</t>
  </si>
  <si>
    <t>EUVA60PEN1000</t>
  </si>
  <si>
    <t>PASADOR PE/N 6MMX100CMS</t>
  </si>
  <si>
    <t>EUVA60PEN900</t>
  </si>
  <si>
    <t>PASADOR PE/N 6MMX90CMS</t>
  </si>
  <si>
    <t>IN900PS8MMX19.5</t>
  </si>
  <si>
    <t>PASADOR PP 8MM X 19.5"</t>
  </si>
  <si>
    <t>EUVA46PPN300</t>
  </si>
  <si>
    <t>PASADOR PP/N 4.6MMX30CMS</t>
  </si>
  <si>
    <t>EUVA46PPN900</t>
  </si>
  <si>
    <t>PASADOR PP/N 4.6MMX90CMS</t>
  </si>
  <si>
    <t>EUVA60PPN1000</t>
  </si>
  <si>
    <t>PASADOR PP/N 6MMX100CMS</t>
  </si>
  <si>
    <t>EUVA60PPN300</t>
  </si>
  <si>
    <t>PASADOR PP/N 6MMX30CMS</t>
  </si>
  <si>
    <t>INR2USX0156I</t>
  </si>
  <si>
    <t>PASADOR S200-800 PP N. 1/4" X 156"</t>
  </si>
  <si>
    <t>INR2USXLJ</t>
  </si>
  <si>
    <t>PASADOR S200-800 PP N. 1/4"X500FT</t>
  </si>
  <si>
    <t>INPASPEN3/16</t>
  </si>
  <si>
    <t>PASADOR S900 PE N. 3/16"X500FT</t>
  </si>
  <si>
    <t>IN900PSPPN3/16X</t>
  </si>
  <si>
    <t>PASADOR S900 PP N. 3/16" X 12"</t>
  </si>
  <si>
    <t>INPASPPN31/6</t>
  </si>
  <si>
    <t>PASADOR S900 PP N. 3/16"X500FT</t>
  </si>
  <si>
    <t>UNIPASNY5X112.8</t>
  </si>
  <si>
    <t>PASADOR UNI 05 NY 1.128MT</t>
  </si>
  <si>
    <t>UNIPASNY5X40</t>
  </si>
  <si>
    <t>PASADOR UNI 05 NY 40CMS</t>
  </si>
  <si>
    <t>UNPAPPB08X112.8</t>
  </si>
  <si>
    <t>PASADOR UNI 08 PP/B 1.128MT</t>
  </si>
  <si>
    <t>UNPAPPB08X30</t>
  </si>
  <si>
    <t>PASADOR UNI 08 PP/B 30CMS</t>
  </si>
  <si>
    <t>UNPANY66-08X112</t>
  </si>
  <si>
    <t>PASADOR UNI 66 -08 NY 1.128CMS</t>
  </si>
  <si>
    <t>UNPANY66-08X24"</t>
  </si>
  <si>
    <t>PASADOR UNI 66 -08 NY 24"</t>
  </si>
  <si>
    <t>EUFG60PPA</t>
  </si>
  <si>
    <t>OTBRR50</t>
  </si>
  <si>
    <t>BRAZO DE REACCION REDUCTOR 50</t>
  </si>
  <si>
    <t>AUGS1-10P2</t>
  </si>
  <si>
    <t>CONTROL DE VELOCIDAD GS1-10P2 1/4HP, 120VAC, 1PH</t>
  </si>
  <si>
    <t>AUGS1-10P5</t>
  </si>
  <si>
    <t>CONTROL DE VELOCIDAD GS1-10P5 1/2HP, IN 120V 1PH, OUT 230V 3PH</t>
  </si>
  <si>
    <t>AUGS1-20P5</t>
  </si>
  <si>
    <t>CONTROL DE VELOCIDAD GS1-20P5 1/2HP, 230VAC, IN MON/TRIF, OUT 3PH</t>
  </si>
  <si>
    <t>AUGS1-21P0</t>
  </si>
  <si>
    <t>CONTROL DE VELOCIDAD GS1-21P0 1HP, 230VAC, IN MON/TRIF, OUT 3PH</t>
  </si>
  <si>
    <t>AUGS2-20P5</t>
  </si>
  <si>
    <t>CONTROL DE VELOCIDAD GS2-20P5 1/2HP, 230VAC,  TRIF/MON</t>
  </si>
  <si>
    <t>AUGS21-21P0</t>
  </si>
  <si>
    <t>CONTROL DE VELOCIDAD GS21-21P0 1HP, 230VAC, IN MON/TRIF, OUT 3PH</t>
  </si>
  <si>
    <t>SICVEL1HPV20</t>
  </si>
  <si>
    <t>CONTROL DE VELOCIDAD SIEMENS 1HP V20</t>
  </si>
  <si>
    <t>MOT1/4HP1700RPM</t>
  </si>
  <si>
    <t>MOTOR 1/4HP, 1700RPM, 220/440V TRIF</t>
  </si>
  <si>
    <t>SPS9I90GEH</t>
  </si>
  <si>
    <t>MOTOR AC 1300-1550RPM 1.80A 115V S9I90GEH</t>
  </si>
  <si>
    <t>CGSPMDKH4JTENN</t>
  </si>
  <si>
    <t>MOTOR CGT SS SPM 80 0.75KW 1765RPM 4P B14 230/400V TENV IE4 IP69K</t>
  </si>
  <si>
    <t>CGSPMEKK4JTENN</t>
  </si>
  <si>
    <t>MOTOR CGT SS SPM 90 1.5KW 2HP 1765RPM 4P B14 230/400V TENV IE4 IP69K</t>
  </si>
  <si>
    <t>SPS8D40-90A</t>
  </si>
  <si>
    <t>MOTOR DC 1400RPM 40W 90V S8D40-90A</t>
  </si>
  <si>
    <t>EL1Q632T22A</t>
  </si>
  <si>
    <t>MOTOR ELV 6M 63B4 KW0.18 P4 110/220V 60HZ B14 TS (1/4HP)</t>
  </si>
  <si>
    <t>EL2B0713E20A</t>
  </si>
  <si>
    <t>MOTOR ELV 6T2 71C4 KW0.55 P4 230/460V 60HZ B14 IE2 (3/4HP)</t>
  </si>
  <si>
    <t>EL2B0801E20A</t>
  </si>
  <si>
    <t>MOTOR ELV 6T2 80A4 KW0.55 P4 230/460V 60HZ B14 IE2 (3/4HP)</t>
  </si>
  <si>
    <t>LE191205</t>
  </si>
  <si>
    <t>MOTOR LEESON SS 0.5HP 1725RPM 208-230/460V TENV 56C</t>
  </si>
  <si>
    <t>LE191208</t>
  </si>
  <si>
    <t>MOTOR LEESON SS 0.75HP 1720RPM 230/460V TENV 56C</t>
  </si>
  <si>
    <t>LE191208.40</t>
  </si>
  <si>
    <t>MOTOR LEESON SS 0.75HP 1725RPM 230/460V TENV 56C</t>
  </si>
  <si>
    <t>LE191220</t>
  </si>
  <si>
    <t>MOTOR LEESON SS 1.5HP 1720RPM 230/460V TEFC 145TC</t>
  </si>
  <si>
    <t>LE191219</t>
  </si>
  <si>
    <t>MOTOR LEESON SS 1.5HP 1740RPM 230/460V TEFC 56C</t>
  </si>
  <si>
    <t>RE191568</t>
  </si>
  <si>
    <t>MOTOR LEESON SS 1.5HP 1800RPM 230/460V TEFC 145TC</t>
  </si>
  <si>
    <t>LE191214</t>
  </si>
  <si>
    <t>MOTOR LEESON SS 1HP 1720RPM 230/460V TEFC 143TC E/ 7/8"</t>
  </si>
  <si>
    <t>LE191213</t>
  </si>
  <si>
    <t>MOTOR LEESON SS 1HP 1740RPM 230/460V TEFC 56C</t>
  </si>
  <si>
    <t>LE119974</t>
  </si>
  <si>
    <t>MOTOR LEESON SS 1HP 1750RPM 230/460V TENV 56C</t>
  </si>
  <si>
    <t>LE191226</t>
  </si>
  <si>
    <t>MOTOR LEESON SS 2HP 1720RPM 230/460V TEFC 145TC</t>
  </si>
  <si>
    <t>LE191225</t>
  </si>
  <si>
    <t>MOTOR LEESON SS 2HP 1740RPM 230/460V TEFC 56C</t>
  </si>
  <si>
    <t>LE191570</t>
  </si>
  <si>
    <t>MOTOR LEESON SS 2HP 1750RPM 230/460V TEFC 145TC</t>
  </si>
  <si>
    <t>MA056T17D3308</t>
  </si>
  <si>
    <t>MOTOR MARATHON CAST IRON 3HP 1725RPM 208-230/460V 56HZ</t>
  </si>
  <si>
    <t>MG182TTFBD6027</t>
  </si>
  <si>
    <t>MOTOR MARATHON/GLOBETROTER CAST IRON 3-2HP 1800-1500RPM 190/380VAC 3P 182T TEFC</t>
  </si>
  <si>
    <t>MOT7.5HP3600RPM</t>
  </si>
  <si>
    <t>MOTOR MOTIVE ALUM 7.5HP, 3600RPM, 220/440 V 112B5  TRIF</t>
  </si>
  <si>
    <t>GR4Z129</t>
  </si>
  <si>
    <t>MOTORREDUCTOR 1/8HP 50RPM 90DC 138 LBS 4Z129</t>
  </si>
  <si>
    <t>MRED10HP62RPMT</t>
  </si>
  <si>
    <t>MOTORREDUCTOR HF 10HP 62RPM 220/440V TRIF, EJE PARALELO</t>
  </si>
  <si>
    <t>M2QA80M4BT</t>
  </si>
  <si>
    <t>MOTORREDUCTOR LINEAL 1HP, 1800RPM, 220V, TRIF</t>
  </si>
  <si>
    <t>MRED60I28RPMT</t>
  </si>
  <si>
    <t>MOTORREDUCTOR ORTOG. I:60, 28RPM, 0.38KW, 220V TRIF.</t>
  </si>
  <si>
    <t>MVAR1.5HP48RPM2</t>
  </si>
  <si>
    <t>MOTOVARIADOR ORTOG 1.5HP, 48RPM, 60HZ, 220/440</t>
  </si>
  <si>
    <t>RED50I20-71B14</t>
  </si>
  <si>
    <t>REDUCTOR ALUM RV050 I:20, 71B14, BUJ 14-19</t>
  </si>
  <si>
    <t>RED50I20P80B14</t>
  </si>
  <si>
    <t>REDUCTOR ANGULAR 50 I:20 P80 B14 COMPLETO</t>
  </si>
  <si>
    <t>CBN3201SB35U56C</t>
  </si>
  <si>
    <t>REDUCTOR BROWNING CBN3201SB35U56C</t>
  </si>
  <si>
    <t>CGPI63SSI45E25B</t>
  </si>
  <si>
    <t>REDUCTOR CGT SS I63 I:45 E/H 25MM B/80B14 B3 A/19MM</t>
  </si>
  <si>
    <t>CGPI85SSI46E35B</t>
  </si>
  <si>
    <t>REDUCTOR CGT SS I85 I:46 E/H 35MM B/90B14 B3 A/24MM</t>
  </si>
  <si>
    <t>DOH4C56500508</t>
  </si>
  <si>
    <t>REDUCTOR DODGE HB481CN-56C I:5.08 1750RPM</t>
  </si>
  <si>
    <t>HMBQ45FB03C0-MB</t>
  </si>
  <si>
    <t>REDUCTOR HM ALUM BQ45 I:14 E/HUECO 18MM</t>
  </si>
  <si>
    <t>HMBQ50FB03C0-MB</t>
  </si>
  <si>
    <t>REDUCTOR HM ALUM BQ50 I:14 E/HUECO 25MM</t>
  </si>
  <si>
    <t>HMBQ63FB04C0-MB</t>
  </si>
  <si>
    <t>REDUCTOR HM ALUM BQ63 I:19 E/HUECO 25MM</t>
  </si>
  <si>
    <t>HMBQ75FB06C0-MB</t>
  </si>
  <si>
    <t>REDUCTOR HM ALUM BQ75 I:31 E/HUECO 30MM</t>
  </si>
  <si>
    <t>HMBQ75FB09C0-MB</t>
  </si>
  <si>
    <t>REDUCTOR HM ALUM BQ75 I:60 E/HUECO 30MM</t>
  </si>
  <si>
    <t>HM4528D11456345</t>
  </si>
  <si>
    <t>REDUCTOR HM BQ45 I:28 18MM+D11Q45+63B14Q45/50</t>
  </si>
  <si>
    <t>HM4537D14457150</t>
  </si>
  <si>
    <t>REDUCTOR HM BQ45 I:37 18MM+D14Q45+71B14Q50</t>
  </si>
  <si>
    <t>HM5018D14507150</t>
  </si>
  <si>
    <t>REDUCTOR HM BQ50 I:18 25MM+D14Q50+71B14Q50</t>
  </si>
  <si>
    <t>HM5036D14507150</t>
  </si>
  <si>
    <t>REDUCTOR HM BQ50 I:36 25MM+D14Q50+71B14Q50</t>
  </si>
  <si>
    <t>HM5050D14507150</t>
  </si>
  <si>
    <t>REDUCTOR HM BQ50 I:50 25MM+D14Q50+71B14Q50</t>
  </si>
  <si>
    <t>HM6330D19638063</t>
  </si>
  <si>
    <t>REDUCTOR HM BQ63 I:30 25MM+D19Q63+80B14Q63</t>
  </si>
  <si>
    <t>HM6340D19638063</t>
  </si>
  <si>
    <t>REDUCTOR HM BQ63 I:40 25MM+D19Q63+80B14Q63</t>
  </si>
  <si>
    <t>LEEL8180117</t>
  </si>
  <si>
    <t>REDUCTOR IRONMAN EL-BMQ818-50-L-56 EL8180117</t>
  </si>
  <si>
    <t>LEEL8210117</t>
  </si>
  <si>
    <t>REDUCTOR IRONMAN EL-BMQ821-50-L-56 EL8210117</t>
  </si>
  <si>
    <t>LES135001900</t>
  </si>
  <si>
    <t>REDUCTOR IRONMAN SS-BM813-15-L-56 S135001900</t>
  </si>
  <si>
    <t>LES153006900</t>
  </si>
  <si>
    <t>REDUCTOR IRONMAN SS-BMQ815-50-D-56 S153006900</t>
  </si>
  <si>
    <t>LES183005600</t>
  </si>
  <si>
    <t>REDUCTOR IRONMAN SS-BMQ818-40-R-56 S183005600</t>
  </si>
  <si>
    <t>LES183046316</t>
  </si>
  <si>
    <t>REDUCTOR IRONMAN SS-HMQ818-30-H1-56-16 S183046316</t>
  </si>
  <si>
    <t>REDORTA75R25</t>
  </si>
  <si>
    <t>REDUCTOR ORTOGONAL MOTIVE ALUM 75 R:25 71B14</t>
  </si>
  <si>
    <t>SPS9KH25</t>
  </si>
  <si>
    <t>REDUCTOR SPG I:25 S/BRIDA S9KH25</t>
  </si>
  <si>
    <t>SPS9KH40B</t>
  </si>
  <si>
    <t>REDUCTOR SPG I:40 S9KH40B</t>
  </si>
  <si>
    <t>BANCORRU12"</t>
  </si>
  <si>
    <t>BANDA DE LONA CORRUGADA 12"</t>
  </si>
  <si>
    <t>BANCOR44</t>
  </si>
  <si>
    <t>BANDA DE LONA CORRUGADA 44CMS</t>
  </si>
  <si>
    <t>BANCOR34</t>
  </si>
  <si>
    <t>BANDA DE LONA CORRUGADA VULC 34CMS</t>
  </si>
  <si>
    <t>GA4/3VX560</t>
  </si>
  <si>
    <t>BANDA GATES 4/3VX560</t>
  </si>
  <si>
    <t>GAT5MR1150</t>
  </si>
  <si>
    <t>BANDA GATES 5MR-1150-25</t>
  </si>
  <si>
    <t>GA5V1180</t>
  </si>
  <si>
    <t>BANDA GATES 5V1180</t>
  </si>
  <si>
    <t>GA5VX1320</t>
  </si>
  <si>
    <t>BANDA GATES 5VX1320</t>
  </si>
  <si>
    <t>GAT8M-30-30</t>
  </si>
  <si>
    <t>BANDA GATES 960-8M-30, 120 DIENTES, 37.8"</t>
  </si>
  <si>
    <t>GAB144</t>
  </si>
  <si>
    <t>BANDA GATES B144</t>
  </si>
  <si>
    <t>GAB255</t>
  </si>
  <si>
    <t>BANDA GATES B255</t>
  </si>
  <si>
    <t>GAB37</t>
  </si>
  <si>
    <t>BANDA GATES B37</t>
  </si>
  <si>
    <t>BPU0.8X23</t>
  </si>
  <si>
    <t>BANDA PU 0.8MMX23CMS SF</t>
  </si>
  <si>
    <t>BPUVUL1.3X35</t>
  </si>
  <si>
    <t>BANDA PU VULC. 1.3MMX35CMS</t>
  </si>
  <si>
    <t>BPUVULC1.5X35</t>
  </si>
  <si>
    <t>BANDA PU VULC. 1.5MMX35CMS</t>
  </si>
  <si>
    <t>BPVC2.4X1.43</t>
  </si>
  <si>
    <t>BANDA PVC 2.4MMX1.43MT C/GR RS62-SS</t>
  </si>
  <si>
    <t>BPVC2.4X14R</t>
  </si>
  <si>
    <t>BANDA PVC 2.4MMX14.35X52.73CMS C/GR RS62-SS</t>
  </si>
  <si>
    <t>BPVC4X10R</t>
  </si>
  <si>
    <t>BANDA PVC 4MMX10CMS C/GR RS125-SS</t>
  </si>
  <si>
    <t>BPVC4X48R</t>
  </si>
  <si>
    <t>BANDA PVC 4MMX48CMS C/GR RS125-SS</t>
  </si>
  <si>
    <t>BPVCB12CF2X10V</t>
  </si>
  <si>
    <t>BANDA PVC BREDA 12CF 2MMX10CMS C/V</t>
  </si>
  <si>
    <t>BPVCB12CF2X14V</t>
  </si>
  <si>
    <t>BANDA PVC BREDA 12CF 2MMX14CM C/V</t>
  </si>
  <si>
    <t>BPVCB12CF2X16V</t>
  </si>
  <si>
    <t>BANDA PVC BREDA 12CF 2MMX16CM C/V</t>
  </si>
  <si>
    <t>BPVCB12CF2X17V</t>
  </si>
  <si>
    <t>BANDA PVC BREDA 12CF 2MMX17CM C/V</t>
  </si>
  <si>
    <t>BPVCB12CF2X24V</t>
  </si>
  <si>
    <t>BANDA PVC BREDA 12CF 2MMX24CMS C/V</t>
  </si>
  <si>
    <t>BPVCB12CF2X30V</t>
  </si>
  <si>
    <t>BANDA PVC BREDA 12CF 2MMX30CMS C/V</t>
  </si>
  <si>
    <t>BPVCB12CF2X8.5V</t>
  </si>
  <si>
    <t>BANDA PVC BREDA 12CF 2MMX8.5CMS C/V</t>
  </si>
  <si>
    <t>BPVCB20CF3X21</t>
  </si>
  <si>
    <t>BANDA PVC BREDA 20CF 3MMX21CMS C/V</t>
  </si>
  <si>
    <t>BPVCB20CF3X40R</t>
  </si>
  <si>
    <t>BANDA PVC BREDA 20CF 3MMX40CMS C/GR DR62-SS-600 C/V</t>
  </si>
  <si>
    <t>BPVCB20CF3X60R</t>
  </si>
  <si>
    <t>BANDA PVC BREDA 20CF 3MMX60CMS C/GR DR62-SS-600 C/V</t>
  </si>
  <si>
    <t>BPVCB30CF4X2</t>
  </si>
  <si>
    <t>BANDA PVC BREDA 30CF 4MMX2MTS C/V</t>
  </si>
  <si>
    <t>BPVCC12CF2X12</t>
  </si>
  <si>
    <t>BANDA PVC CLINA 12CF 2MMX12CMS C/B</t>
  </si>
  <si>
    <t>BPVCC12CF2X5</t>
  </si>
  <si>
    <t>BANDA PVC CLINA 12CF 2MMX5CMS C/B</t>
  </si>
  <si>
    <t>BPVCC20CF3X100</t>
  </si>
  <si>
    <t>BANDA PVC CLINA 20CF 3MMX100CMS C/B</t>
  </si>
  <si>
    <t>BPVCC20CF3X16</t>
  </si>
  <si>
    <t>BANDA PVC CLINA 20CF 3MMX16CMS C/B</t>
  </si>
  <si>
    <t>BPVCC20CF3X200</t>
  </si>
  <si>
    <t>BANDA PVC CLINA 20CF 3MMX200CMS C/B</t>
  </si>
  <si>
    <t>BPVCC20CF4X200</t>
  </si>
  <si>
    <t>BANDA PVC CLINA 20CF 4MMX200CMS C/B</t>
  </si>
  <si>
    <t>BPVCC20CF4X45</t>
  </si>
  <si>
    <t>BANDA PVC CLINA 20CF 4MMX45CMS C/B</t>
  </si>
  <si>
    <t>BPVCC30CF4X100</t>
  </si>
  <si>
    <t>BANDA PVC CLINA 30CF 4MMX100CMS C/B</t>
  </si>
  <si>
    <t>BPVCC30CF4X30</t>
  </si>
  <si>
    <t>BANDA PVC CLINA 30CF 4MMX30CMS C/B</t>
  </si>
  <si>
    <t>BPVCC30CF4X45</t>
  </si>
  <si>
    <t>BANDA PVC CLINA 30CF 4MMX45CMS C/B</t>
  </si>
  <si>
    <t>BPVCC30CF4X50</t>
  </si>
  <si>
    <t>BANDA PVC CLINA 30CF 4MMX50CMS C/B</t>
  </si>
  <si>
    <t>BPVCCORR5X45</t>
  </si>
  <si>
    <t>BANDA PVC CORRUGADA 5MMX45CMS</t>
  </si>
  <si>
    <t>BPVCCORR5X50</t>
  </si>
  <si>
    <t>BANDA PVC CORRUGADA 5MMX50CMS</t>
  </si>
  <si>
    <t>BPVCV20CF3X40</t>
  </si>
  <si>
    <t>BANDA PVC VULC CLINA 20CF 3MMX40CMS</t>
  </si>
  <si>
    <t>BPVCV30CF4X11</t>
  </si>
  <si>
    <t>BANDA PVC VULC CLINA 30CF 4MMX11CMS</t>
  </si>
  <si>
    <t>BPVCV30CF4X13</t>
  </si>
  <si>
    <t>BANDA PVC VULC CLINA 30CF 4MMX13CMS</t>
  </si>
  <si>
    <t>BPVCV30CF4X16</t>
  </si>
  <si>
    <t>BANDA PVC VULC CLINA 30CF 4MMX16CMS</t>
  </si>
  <si>
    <t>BPVCV30CF4X40</t>
  </si>
  <si>
    <t>BANDA PVC VULC CLINA 30CF 4MMX45CMS</t>
  </si>
  <si>
    <t>BPVCCORR10.5V</t>
  </si>
  <si>
    <t>BANDA PVC VULC CORRUGADA 10.5CMS C/V</t>
  </si>
  <si>
    <t>BPVCVULC10X380</t>
  </si>
  <si>
    <t>BANDA PVC VULC CORRUGADA 10X380CMS C/V</t>
  </si>
  <si>
    <t>BPVCVULC5X7X124</t>
  </si>
  <si>
    <t>BANDA PVC VULC CORRUGADA 5MMX7CMX124CMS</t>
  </si>
  <si>
    <t>120H075</t>
  </si>
  <si>
    <t>BANDA SINCRONA 120H075</t>
  </si>
  <si>
    <t>JA16T10/920</t>
  </si>
  <si>
    <t>BANDA SINCRONA 16T10/920</t>
  </si>
  <si>
    <t>JA2400-8M-30</t>
  </si>
  <si>
    <t>BANDA SINCRONA 2400-8M-30</t>
  </si>
  <si>
    <t>MIL50AT20</t>
  </si>
  <si>
    <t>BANDA SINCRONICA PE OPEN END</t>
  </si>
  <si>
    <t>CORCAUB11617X3</t>
  </si>
  <si>
    <t>CORDON DE CAUCHO B116 17MMX3MTS</t>
  </si>
  <si>
    <t>CORVRMW12.5</t>
  </si>
  <si>
    <t>CORDON VOLTA RMW 12.5MM</t>
  </si>
  <si>
    <t>MT27.5CMS</t>
  </si>
  <si>
    <t>MALLA TEFLONADA C/FIBRA VIDRIO 27.5CMS ANC C/GRAPA</t>
  </si>
  <si>
    <t>OTRAS CADENAS</t>
  </si>
  <si>
    <t>CADVAR</t>
  </si>
  <si>
    <t>CADENAS VARIAS</t>
  </si>
  <si>
    <t>CADGEN</t>
  </si>
  <si>
    <t>CADENA EN GENERAL</t>
  </si>
  <si>
    <t>CORVRPS10</t>
  </si>
  <si>
    <t>CORDON VOLTA RPS 10MM</t>
  </si>
  <si>
    <t>ORING3/16X7.5"</t>
  </si>
  <si>
    <t>ORING P/ENVOLVEDOR 3/16X7.5"</t>
  </si>
  <si>
    <t>OTRODI50X375</t>
  </si>
  <si>
    <t>RODILLO GALV. 50MMX375MM E/HEXAG 7/16"</t>
  </si>
  <si>
    <t>OTRODI50X420</t>
  </si>
  <si>
    <t>RODILLO GALV. 50MMX420MM E/HEXAG 7/16"</t>
  </si>
  <si>
    <t>RE05071529</t>
  </si>
  <si>
    <t>GUIA REXNORD P/CADENA</t>
  </si>
  <si>
    <t>PERFC22APM+ALUM</t>
  </si>
  <si>
    <t>PERFIL C22 APM BLANCO + ALUMINIO SOLUS</t>
  </si>
  <si>
    <t>ROPE1/4X1</t>
  </si>
  <si>
    <t>PI1APRF000275</t>
  </si>
  <si>
    <t>PERFIL PIAZ C52 APM C/V</t>
  </si>
  <si>
    <t>PI1APRF1231H4</t>
  </si>
  <si>
    <t>PERFIL PIAZ CONICO PLANO T40</t>
  </si>
  <si>
    <t>PI1APRF202607</t>
  </si>
  <si>
    <t>PERFIL PIAZ PI35 APM C/B</t>
  </si>
  <si>
    <t>PI1APRF202605</t>
  </si>
  <si>
    <t>PERFIL PIAZ PI45</t>
  </si>
  <si>
    <t>POBPERT40</t>
  </si>
  <si>
    <t>PERFIL POBCO T40 C/RESPALDO SS</t>
  </si>
  <si>
    <t>TE361/83717</t>
  </si>
  <si>
    <t>PERFIL TEC UHMW J CLIP 40X12MM</t>
  </si>
  <si>
    <t>PERFTE1/4X1.1/4</t>
  </si>
  <si>
    <t>PERFIL TEFLON 1/4"X1.1/4"</t>
  </si>
  <si>
    <t>GRL111Y</t>
  </si>
  <si>
    <t>PIÑON CONICO 21D L111Y</t>
  </si>
  <si>
    <t>PIÑFE40B12-2</t>
  </si>
  <si>
    <t>PIÑON DOBLE FE 12 DIENTES PASO 40</t>
  </si>
  <si>
    <t>VEPIÑFE08B16-2</t>
  </si>
  <si>
    <t>PIÑON DOBLE FE 16 DIENTES PASO 08-2 VE</t>
  </si>
  <si>
    <t>PIÑFE40B16-2</t>
  </si>
  <si>
    <t>PIÑON DOBLE FE 16 DIENTES PASO 40</t>
  </si>
  <si>
    <t>VEPIÑFE40B18-2</t>
  </si>
  <si>
    <t>PIÑON DOBLE FE 18 DIENTES PASO 40-2 VE</t>
  </si>
  <si>
    <t>CHPIÑFE19B40-2</t>
  </si>
  <si>
    <t>PIÑON DOBLE FE 19 DIENTES PASO 40-2 CH</t>
  </si>
  <si>
    <t>VEPIÑFE80B19-2</t>
  </si>
  <si>
    <t>PIÑON DOBLE FE 19 DIENTES PASO 80-2 VE</t>
  </si>
  <si>
    <t>VEPIÑFE40B24-2</t>
  </si>
  <si>
    <t>PIÑON DOBLE FE 24 DIENTES PASO 40-2 VE</t>
  </si>
  <si>
    <t>VEPIÑFE40B30-2</t>
  </si>
  <si>
    <t>PIÑON DOBLE FE 30 DIENTES PASO 40-2 VE</t>
  </si>
  <si>
    <t>VEPIÑFE80B33-2</t>
  </si>
  <si>
    <t>PIÑON DOBLE FE 33 DIENTES PASO 80-2 VE</t>
  </si>
  <si>
    <t>VEPIÑSS80B10-2</t>
  </si>
  <si>
    <t>PIÑON DOBLE SS 10 DIENTES PASO 80-2 VE</t>
  </si>
  <si>
    <t>VEPIÑSS60B12-2</t>
  </si>
  <si>
    <t>PIÑON DOBLE SS 12 DIENTES PASO 60-2 VE</t>
  </si>
  <si>
    <t>VEPIÑSS80B13-2</t>
  </si>
  <si>
    <t>PIÑON DOBLE SS 13 DIENTES PASO 80-2 VE</t>
  </si>
  <si>
    <t>VEPIÑSS50B16-2</t>
  </si>
  <si>
    <t>PIÑON DOBLE SS 16 DIENTES PASO 50-2 VE</t>
  </si>
  <si>
    <t>VEPIÑSS60B19-2</t>
  </si>
  <si>
    <t>PIÑON DOBLE SS 19 DIENTES PASO 60-2 VE</t>
  </si>
  <si>
    <t>VEPIÑSS35B20-2</t>
  </si>
  <si>
    <t>PIÑON DOBLE SS 20 DIENTES PASO 35-2 VE</t>
  </si>
  <si>
    <t>VEPIÑSS60B20-2</t>
  </si>
  <si>
    <t>PIÑON DOBLE SS 20 DIENTES PASO 60-2 VE</t>
  </si>
  <si>
    <t>VEPIÑSS35B30-2</t>
  </si>
  <si>
    <t>PIÑON DOBLE SS 30 DIENTES PASO 35-2 VE</t>
  </si>
  <si>
    <t>VEPIÑSS60B36-2</t>
  </si>
  <si>
    <t>PIÑON DOBLE SS 36 DIENTES PASO 60-2 VE</t>
  </si>
  <si>
    <t>VEPIÑSS80B38-2</t>
  </si>
  <si>
    <t>PIÑON DOBLE SS 38 DIENTES PASO 80-2 VE</t>
  </si>
  <si>
    <t>PIÑFE35B10</t>
  </si>
  <si>
    <t>PIÑON FE 10 DIENTES PASO 35</t>
  </si>
  <si>
    <t>CHPIÑFE60B10</t>
  </si>
  <si>
    <t>PIÑON FE 10 DIENTES PASO 60 CH</t>
  </si>
  <si>
    <t>VEPIÑFE120B11TH</t>
  </si>
  <si>
    <t>PIÑON FE 11 DIENTES PASO 120B 1045TH VE</t>
  </si>
  <si>
    <t>PIÑFE11B50</t>
  </si>
  <si>
    <t>PIÑON FE 11 DIENTES PASO 50</t>
  </si>
  <si>
    <t>PIÑFE10B12</t>
  </si>
  <si>
    <t>PIÑON FE 12 DIENTES PASO 10</t>
  </si>
  <si>
    <t>VEPIÑSS120B12</t>
  </si>
  <si>
    <t>PIÑON FE 12 DIENTES PASO 120 VE</t>
  </si>
  <si>
    <t>VEPIÑFE120B12TH</t>
  </si>
  <si>
    <t>PIÑON FE 12 DIENTES PASO 120B 1045TH VE</t>
  </si>
  <si>
    <t>PIÑFE60B12</t>
  </si>
  <si>
    <t>PIÑON FE 12 DIENTES PASO 60</t>
  </si>
  <si>
    <t>PIÑFE80B12</t>
  </si>
  <si>
    <t>PIÑON FE 12 DIENTES PASO 80</t>
  </si>
  <si>
    <t>PIÑFE13B50</t>
  </si>
  <si>
    <t>PIÑON FE 13 DIENTES PASO 50</t>
  </si>
  <si>
    <t>PIÑFE60B14</t>
  </si>
  <si>
    <t>PIÑON FE 14 DIENTES PASO 60</t>
  </si>
  <si>
    <t>PIÑFE80B14</t>
  </si>
  <si>
    <t>PIÑON FE 14 DIENTES PASO 80</t>
  </si>
  <si>
    <t>VEPIÑFE12B15</t>
  </si>
  <si>
    <t>PIÑON FE 15 DIENTES PASO 12 VE</t>
  </si>
  <si>
    <t>PIÑFE120B15</t>
  </si>
  <si>
    <t>PIÑON FE 15 DIENTES PASO 120</t>
  </si>
  <si>
    <t>PIÑFE35B15</t>
  </si>
  <si>
    <t>PIÑON FE 15 DIENTES PASO 35</t>
  </si>
  <si>
    <t>CHPIÑFE16B50</t>
  </si>
  <si>
    <t>PIÑON FE 16 DIENTES PASO 50 CH</t>
  </si>
  <si>
    <t>PIÑFE16B60</t>
  </si>
  <si>
    <t>PIÑON FE 16 DIENTES PASO 60</t>
  </si>
  <si>
    <t>PIÑFE80B16</t>
  </si>
  <si>
    <t>PIÑON FE 16 DIENTES PASO 80</t>
  </si>
  <si>
    <t>PIÑFE35B17</t>
  </si>
  <si>
    <t>PIÑON FE 17 DIENTES PASO 35</t>
  </si>
  <si>
    <t>PIÑFE35B18</t>
  </si>
  <si>
    <t>PIÑON FE 18 DIENTES PASO 35</t>
  </si>
  <si>
    <t>PIÑFE40B18</t>
  </si>
  <si>
    <t>PIÑON FE 18 DIENTES PASO 40</t>
  </si>
  <si>
    <t>PIÑFE50B18</t>
  </si>
  <si>
    <t>PIÑON FE 18 DIENTES PASO 50</t>
  </si>
  <si>
    <t>PIÑFE60B18</t>
  </si>
  <si>
    <t>PIÑON FE 18 DIENTES PASO 60</t>
  </si>
  <si>
    <t>PIÑFE12B20</t>
  </si>
  <si>
    <t>PIÑON FE 20 DIENTES PASO 12</t>
  </si>
  <si>
    <t>VEPIÑFE12B20</t>
  </si>
  <si>
    <t>PIÑON FE 20 DIENTES PASO 12 VE</t>
  </si>
  <si>
    <t>PIÑFE40B20</t>
  </si>
  <si>
    <t>PIÑON FE 20 DIENTES PASO 40</t>
  </si>
  <si>
    <t>PIÑFE50B20</t>
  </si>
  <si>
    <t>PIÑON FE 20 DIENTES PASO 50</t>
  </si>
  <si>
    <t>CHPIÑFE80B21</t>
  </si>
  <si>
    <t>PIÑON FE 21 DIENTES PASO 80 CH</t>
  </si>
  <si>
    <t>CHPIÑFE22B50</t>
  </si>
  <si>
    <t>PIÑON FE 22 DIENTES PASO 50 CH</t>
  </si>
  <si>
    <t>CHPIÑFE23B40</t>
  </si>
  <si>
    <t>PIÑON FE 23 DIENTES PASO 40 CH</t>
  </si>
  <si>
    <t>CHPIÑFE60B24</t>
  </si>
  <si>
    <t>PIÑON FE 24 DIENTES PASO 60 CH</t>
  </si>
  <si>
    <t>PIÑFE35B25</t>
  </si>
  <si>
    <t>PIÑON FE 25 DIENTES PASO 35</t>
  </si>
  <si>
    <t>VEPIÑFE08B26</t>
  </si>
  <si>
    <t>PIÑON FE 26 DIENTES PASO 08 VE</t>
  </si>
  <si>
    <t>CHPIÑFE60B27</t>
  </si>
  <si>
    <t>PIÑON FE 27 DIENTES PASO 60 CH</t>
  </si>
  <si>
    <t>PIÑFE60B28</t>
  </si>
  <si>
    <t>PIÑON FE 28 DIENTES PASO 60</t>
  </si>
  <si>
    <t>VEPIÑFE12B30</t>
  </si>
  <si>
    <t>PIÑON FE 30 DIENTES PASO 12 VE</t>
  </si>
  <si>
    <t>CHPIÑFE30B50</t>
  </si>
  <si>
    <t>PIÑON FE 30 DIENTES PASO 50 CH</t>
  </si>
  <si>
    <t>CHPIÑFE60B40</t>
  </si>
  <si>
    <t>PIÑON FE 40 DIENTES PASO 60 CH</t>
  </si>
  <si>
    <t>CHPIÑFE50B42</t>
  </si>
  <si>
    <t>PIÑON FE 42 DIENTES PASO 50 CH</t>
  </si>
  <si>
    <t>PIÑFE40B54</t>
  </si>
  <si>
    <t>PIÑON FE 54 DIENTES PASO 40</t>
  </si>
  <si>
    <t>VEPIÑFE815Z21EP</t>
  </si>
  <si>
    <t>PIÑON H/N 815 Z21 E/PILOTO VE</t>
  </si>
  <si>
    <t>VEPIÑFE881Z21EP</t>
  </si>
  <si>
    <t>PIÑON H/N 881 Z21 E/PILOTO VE</t>
  </si>
  <si>
    <t>ITPIÑBS40B15</t>
  </si>
  <si>
    <t>PIÑON INTERMEC BS 15 DIENTES PASO 40</t>
  </si>
  <si>
    <t>ITPIÑFE35B11</t>
  </si>
  <si>
    <t>PIÑON INTERMEC FE 11DIENTES PASO 35</t>
  </si>
  <si>
    <t>ITPIÑFE40B16</t>
  </si>
  <si>
    <t>PIÑON INTERMEC FE 16 DIENTES PASO 40</t>
  </si>
  <si>
    <t>ITPIÑFE40B20</t>
  </si>
  <si>
    <t>PIÑON INTERMEC FE 20 DIENTES PASO 40</t>
  </si>
  <si>
    <t>ITPIÑFE35B32</t>
  </si>
  <si>
    <t>PIÑON INTERMEC FE 32 DIENTES PASO 35</t>
  </si>
  <si>
    <t>ITPIÑSS40B10</t>
  </si>
  <si>
    <t>PIÑON INTERMEC SS 10 DIENTES PASO 40</t>
  </si>
  <si>
    <t>INPIÑSS80B10</t>
  </si>
  <si>
    <t>PIÑON INTERMEC SS 10 DIENTES PASO 80</t>
  </si>
  <si>
    <t>ITPIÑSS60B11</t>
  </si>
  <si>
    <t>PIÑON INTERMEC SS 11 DIENTES PASO 60</t>
  </si>
  <si>
    <t>ITPIÑSS40B12</t>
  </si>
  <si>
    <t>PIÑON INTERMEC SS 12 DIENTES PASO 40</t>
  </si>
  <si>
    <t>ITPIÑSS60B12</t>
  </si>
  <si>
    <t>PIÑON INTERMEC SS 12 DIENTES PASO 60</t>
  </si>
  <si>
    <t>ITPIÑSS40B14</t>
  </si>
  <si>
    <t>PIÑON INTERMEC SS 14 DIENTES PASO 40</t>
  </si>
  <si>
    <t>ITPIÑSS60B14</t>
  </si>
  <si>
    <t>PIÑON INTERMEC SS 14 DIENTES PASO 60</t>
  </si>
  <si>
    <t>ITPIÑSS40B15</t>
  </si>
  <si>
    <t>PIÑON INTERMEC SS 15 DIENTES PASO 40</t>
  </si>
  <si>
    <t>ITPIÑSS50B15</t>
  </si>
  <si>
    <t>PIÑON INTERMEC SS 15 DIENTES PASO 50</t>
  </si>
  <si>
    <t>ITPIÑSS60B15</t>
  </si>
  <si>
    <t>PIÑON INTERMEC SS 15 DIENTES PASO 60</t>
  </si>
  <si>
    <t>ITPIÑSS80B15</t>
  </si>
  <si>
    <t>PIÑON INTERMEC SS 15 DIENTES PASO 80</t>
  </si>
  <si>
    <t>ITPIÑSS40B16</t>
  </si>
  <si>
    <t>PIÑON INTERMEC SS 16 DIENTES PASO 40</t>
  </si>
  <si>
    <t>ITPIÑSS50B16</t>
  </si>
  <si>
    <t>PIÑON INTERMEC SS 16 DIENTES PASO 50</t>
  </si>
  <si>
    <t>ITPIÑSS40B17</t>
  </si>
  <si>
    <t>PIÑON INTERMEC SS 17 DIENTES PASO 40</t>
  </si>
  <si>
    <t>ITPIÑSS60B17</t>
  </si>
  <si>
    <t>PIÑON INTERMEC SS 17 DIENTES PASO 60</t>
  </si>
  <si>
    <t>ITPIÑSS40B18</t>
  </si>
  <si>
    <t>PIÑON INTERMEC SS 18 DIENTES PASO 40</t>
  </si>
  <si>
    <t>ITPIÑSS80B19</t>
  </si>
  <si>
    <t>PIÑON INTERMEC SS 19 DIENTES PASO 80</t>
  </si>
  <si>
    <t>ITPIÑSS40B20</t>
  </si>
  <si>
    <t>PIÑON INTERMEC SS 20 DIENTES PASO 40</t>
  </si>
  <si>
    <t>ITPIÑSS50B20</t>
  </si>
  <si>
    <t>PIÑON INTERMEC SS 20 DIENTES PASO 50</t>
  </si>
  <si>
    <t>ITPIÑSS60B20</t>
  </si>
  <si>
    <t>PIÑON INTERMEC SS 20 DIENTES PASO 60</t>
  </si>
  <si>
    <t>ITPIÑSS80B20</t>
  </si>
  <si>
    <t>PIÑON INTERMEC SS 20 DIENTES PASO 80</t>
  </si>
  <si>
    <t>ITPIÑSS40B22</t>
  </si>
  <si>
    <t>PIÑON INTERMEC SS 22 DIENTES PASO 40</t>
  </si>
  <si>
    <t>ITPIÑSS50B22</t>
  </si>
  <si>
    <t>PIÑON INTERMEC SS 22 DIENTES PASO 50</t>
  </si>
  <si>
    <t>ITPIÑSS80B23</t>
  </si>
  <si>
    <t>PIÑON INTERMEC SS 23 DIENTES PASO 80</t>
  </si>
  <si>
    <t>ITPIÑSS40B24</t>
  </si>
  <si>
    <t>PIÑON INTERMEC SS 24 DIENTES PASO 40</t>
  </si>
  <si>
    <t>ITPIÑSS50B24</t>
  </si>
  <si>
    <t>PIÑON INTERMEC SS 24 DIENTES PASO 50</t>
  </si>
  <si>
    <t>ITPIÑSS60B24</t>
  </si>
  <si>
    <t>PIÑON INTERMEC SS 24 DIENTES PASO 60</t>
  </si>
  <si>
    <t>ITPIÑSS40B25</t>
  </si>
  <si>
    <t>PIÑON INTERMEC SS 25 DIENTES PASO 40</t>
  </si>
  <si>
    <t>ITPIÑSS60B25</t>
  </si>
  <si>
    <t>PIÑON INTERMEC SS 25 DIENTES PASO 60</t>
  </si>
  <si>
    <t>ITPIÑSS40B26</t>
  </si>
  <si>
    <t>PIÑON INTERMEC SS 26 DIENTES PASO 40</t>
  </si>
  <si>
    <t>ITPIÑSS60B26</t>
  </si>
  <si>
    <t>PIÑON INTERMEC SS 26 DIENTES PASO 60</t>
  </si>
  <si>
    <t>ITPIÑSS40B30</t>
  </si>
  <si>
    <t>PIÑON INTERMEC SS 30 DIENTES PASO 40</t>
  </si>
  <si>
    <t>ITPIÑSS50B30</t>
  </si>
  <si>
    <t>PIÑON INTERMEC SS 30 DIENTES PASO 50</t>
  </si>
  <si>
    <t>ITPIÑSS60B32</t>
  </si>
  <si>
    <t>PIÑON INTERMEC SS 32 DIENTES PASO 60</t>
  </si>
  <si>
    <t>ITPIÑSS40B36</t>
  </si>
  <si>
    <t>PIÑON INTERMEC SS 36 DIENTES PASO 40</t>
  </si>
  <si>
    <t>ITPIÑSS50B40</t>
  </si>
  <si>
    <t>PIÑON INTERMEC SS 40 DIENTES PASO 50</t>
  </si>
  <si>
    <t>ITPIÑSS40B42</t>
  </si>
  <si>
    <t>PIÑON INTERMEC SS 42 DIENTES PASO 40</t>
  </si>
  <si>
    <t>ITPIÑSS40B55</t>
  </si>
  <si>
    <t>PIÑON INTERMEC SS 55 DIENTES PASO 40</t>
  </si>
  <si>
    <t>REXSS770016TR1.</t>
  </si>
  <si>
    <t>PIÑON REXNORD SS7700 16T E/R 1.3/8"</t>
  </si>
  <si>
    <t>VEPIÑSS35B10</t>
  </si>
  <si>
    <t>PIÑON SS 10 DIENTES PASO 35 VE</t>
  </si>
  <si>
    <t>VEPIÑSS40B10</t>
  </si>
  <si>
    <t>PIÑON SS 10 DIENTES PASO 40 VE</t>
  </si>
  <si>
    <t>PIÑSS60B13</t>
  </si>
  <si>
    <t>PIÑON SS 13 DIENTES PASO 60</t>
  </si>
  <si>
    <t>VEPIÑSS60B14</t>
  </si>
  <si>
    <t>PIÑON SS 14 DIENTES PASO 60 VE</t>
  </si>
  <si>
    <t>PIÑSS35B15</t>
  </si>
  <si>
    <t>PIÑON SS 15 DIENTES PASO 35</t>
  </si>
  <si>
    <t>VEPIÑSS35B15</t>
  </si>
  <si>
    <t>PIÑON SS 15 DIENTES PASO 35 VE</t>
  </si>
  <si>
    <t>PIÑSS40B15</t>
  </si>
  <si>
    <t>PIÑON SS 15 DIENTES PASO 40</t>
  </si>
  <si>
    <t>VEPIÑSS50B15</t>
  </si>
  <si>
    <t>PIÑON SS 15 DIENTES PASO 50 VE</t>
  </si>
  <si>
    <t>VEPIÑSS60B15</t>
  </si>
  <si>
    <t>PIÑON SS 15 DIENTES PASO 60 VE</t>
  </si>
  <si>
    <t>PIÑSS35B16</t>
  </si>
  <si>
    <t>PIÑON SS 16 DIENTES PASO 35</t>
  </si>
  <si>
    <t>VEPIÑSS60B16</t>
  </si>
  <si>
    <t>PIÑON SS 16 DIENTES PASO 60 VE</t>
  </si>
  <si>
    <t>PIÑSS40B17</t>
  </si>
  <si>
    <t>PIÑON SS 17 DIENTES PASO 40</t>
  </si>
  <si>
    <t>VEPIÑSS50B17</t>
  </si>
  <si>
    <t>PIÑON SS 17 DIENTES PASO 50 VE</t>
  </si>
  <si>
    <t>PIÑSS40B18</t>
  </si>
  <si>
    <t>PIÑON SS 18 DIENTES PASO 40</t>
  </si>
  <si>
    <t>PIÑSS50B18</t>
  </si>
  <si>
    <t>PIÑON SS 18 DIENTES PASO 50</t>
  </si>
  <si>
    <t>PIÑSS60B18</t>
  </si>
  <si>
    <t>PIÑON SS 18 DIENTES PASO 60</t>
  </si>
  <si>
    <t>VEPIÑSS80B18</t>
  </si>
  <si>
    <t>PIÑON SS 18 DIENTES PASO 80 VE</t>
  </si>
  <si>
    <t>VEPIÑSS19B40</t>
  </si>
  <si>
    <t>PIÑSS50B19</t>
  </si>
  <si>
    <t>PIÑON SS 19 DIENTES PASO 50</t>
  </si>
  <si>
    <t>PIÑSS40B20</t>
  </si>
  <si>
    <t>PIÑON SS 20 DIENTES PASO 40</t>
  </si>
  <si>
    <t>PIÑSS60B20</t>
  </si>
  <si>
    <t>PIÑON SS 20 DIENTES PASO 60</t>
  </si>
  <si>
    <t>PIÑSS40B22</t>
  </si>
  <si>
    <t>PIÑON SS 22 DIENTES PASO 40</t>
  </si>
  <si>
    <t>VEPIÑSS80B24</t>
  </si>
  <si>
    <t>PIÑON SS 24 DIENTES PASO 80 VE</t>
  </si>
  <si>
    <t>VEPIÑSS50B28</t>
  </si>
  <si>
    <t>PIÑON SS 28 DIENTES PASO 50 VE</t>
  </si>
  <si>
    <t>VEPIÑSS80B29</t>
  </si>
  <si>
    <t>PIÑON SS 29 DIENTES PASO 80 VE</t>
  </si>
  <si>
    <t>PIÑSS40B32</t>
  </si>
  <si>
    <t>PIÑON SS 32 DIENTES PASO 40</t>
  </si>
  <si>
    <t>PIÑSS40B35</t>
  </si>
  <si>
    <t>PIÑON SS 35 DIENTES PASO 40</t>
  </si>
  <si>
    <t>VEPIÑSS40B35</t>
  </si>
  <si>
    <t>PIÑON SS 35 DIENTES PASO 40 VE</t>
  </si>
  <si>
    <t>PIÑSS50B36</t>
  </si>
  <si>
    <t>PIÑON SS 36 DIENTES PASO 50</t>
  </si>
  <si>
    <t>VEPIÑSS50B36</t>
  </si>
  <si>
    <t>PIÑON SS 36 DIENTES PASO 50 VE</t>
  </si>
  <si>
    <t>VEPIÑSS60B38</t>
  </si>
  <si>
    <t>PIÑON SS 38 DIENTES PASO 60 VE</t>
  </si>
  <si>
    <t>PIÑSS80B38</t>
  </si>
  <si>
    <t>PIÑON SS 38 DIENTES PASO 80</t>
  </si>
  <si>
    <t>VEPIÑSS40B45</t>
  </si>
  <si>
    <t>PIÑON SS 45 DIENTES PASO 40 VE</t>
  </si>
  <si>
    <t>VEPIÑ60B46</t>
  </si>
  <si>
    <t>VEPIÑSS40B50</t>
  </si>
  <si>
    <t>VEPIÑSS50B58</t>
  </si>
  <si>
    <t>PIÑON SS 58 DIENTES PASO 50 VE</t>
  </si>
  <si>
    <t>VEPIÑFE32B19-3</t>
  </si>
  <si>
    <t>PIÑON TRIPLE FE 19 DIENTES PASO C32B-3 VE</t>
  </si>
  <si>
    <t>VEPIÑFE12B31-3</t>
  </si>
  <si>
    <t>PIÑON TRIPLE FE 31 DIENTES PASO 12-3 VE</t>
  </si>
  <si>
    <t>POLEA2C6</t>
  </si>
  <si>
    <t>POLEA TIPO B 2 CANALES 6"</t>
  </si>
  <si>
    <t>POLEA2C7</t>
  </si>
  <si>
    <t>POLEA TIPO B 2 CANALES 7"</t>
  </si>
  <si>
    <t>EUA24Z20C40ACB</t>
  </si>
  <si>
    <t>CPAC1400Z10R40</t>
  </si>
  <si>
    <t>PIÑON AC 1400 Z10 E/R 40MM</t>
  </si>
  <si>
    <t>CPACB815Z35C1.5</t>
  </si>
  <si>
    <t>PIÑON AC/B 815 Z35 E/C 1.5"</t>
  </si>
  <si>
    <t>CPACB50Z10C2.5</t>
  </si>
  <si>
    <t>PIÑON AC/B B50 Z10 E/C 2.5"</t>
  </si>
  <si>
    <t>EUE20Z16C40ACB</t>
  </si>
  <si>
    <t>PIÑON E20 AC/B Z16 E/C 40MM</t>
  </si>
  <si>
    <t>EUE30Z11RCH25AC</t>
  </si>
  <si>
    <t>PIÑON E30 AC/B Z11 E/R 25MM CHAV.</t>
  </si>
  <si>
    <t>E40Z16C63ACB</t>
  </si>
  <si>
    <t>PIÑON E40 AC/B Z16 E/C 2.5"</t>
  </si>
  <si>
    <t>PIÑACZ12C1.5</t>
  </si>
  <si>
    <t>PIÑON MD-TR254 AC Z12 E/C 1.5"</t>
  </si>
  <si>
    <t>PMPBZ10C1.5</t>
  </si>
  <si>
    <t>PIÑON MPB Z10 E/C1.5"</t>
  </si>
  <si>
    <t>PNY1400Z09E/PCN</t>
  </si>
  <si>
    <t>PIÑON NY 1400 Z07 E/PILOTO C/NE</t>
  </si>
  <si>
    <t>PNY1755Z13E1NE</t>
  </si>
  <si>
    <t>PIÑON NY 1755 Z13 E/PILOTO 1" C/NE</t>
  </si>
  <si>
    <t>ROPNY820Z21D25</t>
  </si>
  <si>
    <t>PIÑON NY MAQUINADO 820 Z21 D25</t>
  </si>
  <si>
    <t>CPOPBCACNZ10C40</t>
  </si>
  <si>
    <t>PIÑON OPB-CH AC/N Z10 E/C 40MM</t>
  </si>
  <si>
    <t>CPPE820Z21D25CH</t>
  </si>
  <si>
    <t>PIÑON PE 820 Z21 D25MM C/CH</t>
  </si>
  <si>
    <t>PI1FPIÑ001601</t>
  </si>
  <si>
    <t>PIÑON PIAZ 1400 Z10 D20MM S/CH</t>
  </si>
  <si>
    <t>PI1FPIÑ301100</t>
  </si>
  <si>
    <t>PIÑON PIAZ BIP 880 Z10 D25MM S/CH</t>
  </si>
  <si>
    <t>PI1FPIÑ001594</t>
  </si>
  <si>
    <t>PIÑON PIAZ NY MAQUINADO 600 Z08 D20MM S/CH</t>
  </si>
  <si>
    <t>PI1FPIÑ001595</t>
  </si>
  <si>
    <t>PIÑON PIAZ NY MAQUINADO 600 Z10 D20MM S/CH</t>
  </si>
  <si>
    <t>REMPBQ10101381</t>
  </si>
  <si>
    <t>PIÑON REGINA 1500-1600 MPB Z13 E/C 1.5"</t>
  </si>
  <si>
    <t>RECMT027821824</t>
  </si>
  <si>
    <t>PIÑON REGINA 782 Z18 D24MM</t>
  </si>
  <si>
    <t>RECMT027821803</t>
  </si>
  <si>
    <t>PIÑON REGINA 782 Z18 D35MM</t>
  </si>
  <si>
    <t>RECMT028152301</t>
  </si>
  <si>
    <t>PIÑON REGINA 815 Z23 D25MM</t>
  </si>
  <si>
    <t>RECMT028201906</t>
  </si>
  <si>
    <t>PIÑON REGINA 820 Z19 D1" C/CH</t>
  </si>
  <si>
    <t>RECMT028202132</t>
  </si>
  <si>
    <t>PIÑON REGINA 820 Z21 D32MM</t>
  </si>
  <si>
    <t>RECMT028202304</t>
  </si>
  <si>
    <t>PIÑON REGINA 820 Z23 D40MM</t>
  </si>
  <si>
    <t>RECMT028202506</t>
  </si>
  <si>
    <t>PIÑON REGINA 820 Z25 D1"</t>
  </si>
  <si>
    <t>RECMT028202504</t>
  </si>
  <si>
    <t>PIÑON REGINA 820 Z25 D40MM</t>
  </si>
  <si>
    <t>RECMT028801202</t>
  </si>
  <si>
    <t>PIÑON REGINA 880 Z12 D30MM</t>
  </si>
  <si>
    <t>RECMT028801203</t>
  </si>
  <si>
    <t>PIÑON REGINA 880 Z12 D35MM</t>
  </si>
  <si>
    <t>RECMT028801204</t>
  </si>
  <si>
    <t>PIÑON REGINA 880 Z12 D40MM</t>
  </si>
  <si>
    <t>RECMT028812306</t>
  </si>
  <si>
    <t>PIÑON REGINA 881 Z23 D1"</t>
  </si>
  <si>
    <t>RECMT028821202</t>
  </si>
  <si>
    <t>PIÑON REGINA 882 Z12 D30MM</t>
  </si>
  <si>
    <t>REMPBAST6003230</t>
  </si>
  <si>
    <t>PIÑON REGINA MPBAST600 Z32 D30MM</t>
  </si>
  <si>
    <t>REMPBQ6111625</t>
  </si>
  <si>
    <t>PIÑON REGINA MPBQ611 AC/G Z16 E/C 25MM</t>
  </si>
  <si>
    <t>REMPBSQ60028381</t>
  </si>
  <si>
    <t>PIÑON REGINA MPBSQ600 Z28 E/C1.5</t>
  </si>
  <si>
    <t>REMPBSQ73002563</t>
  </si>
  <si>
    <t>PIÑON REGINA MPBSQ730025635 Z25 E/C 2.5"</t>
  </si>
  <si>
    <t>REMPBSTUSP1635</t>
  </si>
  <si>
    <t>PIÑON REGINA MPBSTUSP Z16 D35MM</t>
  </si>
  <si>
    <t>REMPBT6002830</t>
  </si>
  <si>
    <t>PIÑON REGINA MPBT600 Z28 D30</t>
  </si>
  <si>
    <t>RECMAS021700082</t>
  </si>
  <si>
    <t>PIÑON REGINA NY MAQUINADO 1700 Z08 D25MM</t>
  </si>
  <si>
    <t>RECMAS021700105</t>
  </si>
  <si>
    <t>PIÑON REGINA NY MAQUINADO 1700 Z10 D1"</t>
  </si>
  <si>
    <t>RECMAS021700122</t>
  </si>
  <si>
    <t>PIÑON REGINA NY MAQUINADO 1700 Z12 D25MM</t>
  </si>
  <si>
    <t>RECMAS021700134</t>
  </si>
  <si>
    <t>PIÑON REGINA NY MAQUINADO 1700 Z13 D1</t>
  </si>
  <si>
    <t>RECMAS022815256</t>
  </si>
  <si>
    <t>PIÑON REGINA NY MAQUINADO 2815 Z25 D1"</t>
  </si>
  <si>
    <t>RECMAS02281525</t>
  </si>
  <si>
    <t>PIÑON REGINA NY MAQUINADO 2815 Z25 D1.5"</t>
  </si>
  <si>
    <t>RECMAS028152530</t>
  </si>
  <si>
    <t>PIÑON REGINA NY MAQUINADO 815 Z25 D30MM</t>
  </si>
  <si>
    <t>RECMAS022821212</t>
  </si>
  <si>
    <t>PIÑON REGINA NY MAQUINADO 821 Z21 D1"</t>
  </si>
  <si>
    <t>RECMAS028801125</t>
  </si>
  <si>
    <t>PIÑON REGINA NY MAQUINADO 880 Z11 D25MM</t>
  </si>
  <si>
    <t>REXN1700-10T</t>
  </si>
  <si>
    <t>PIÑON REXNORD 1700 10T E/HEX 2"</t>
  </si>
  <si>
    <t>REXNS7700-16T</t>
  </si>
  <si>
    <t>PIÑON REXNORD BIP. 7700 16T E/R 1.1/2 C/CH</t>
  </si>
  <si>
    <t>REXNS7700-16T-1</t>
  </si>
  <si>
    <t>PIÑON REXNORD BIP. 7700 16T E/R 1.3/8" C/CH</t>
  </si>
  <si>
    <t>REXCI1755-13T</t>
  </si>
  <si>
    <t>PIÑON REXNORD FE 1755-13T</t>
  </si>
  <si>
    <t>REX770016T-3/8</t>
  </si>
  <si>
    <t>PIÑON REXNORD FT 7700-16T 1-3/8 (NO USAR)</t>
  </si>
  <si>
    <t>REXNS200016T90</t>
  </si>
  <si>
    <t>PIÑON REXNORD S2000 AC Z16 D90MM</t>
  </si>
  <si>
    <t>REX899.08.11</t>
  </si>
  <si>
    <t>PIÑON REXNORD SSW1000 18T E/R 40MM C/CH</t>
  </si>
  <si>
    <t>IN1100ACG3.5EC1</t>
  </si>
  <si>
    <t>PIÑON S1100 AC G. 3.5" E/C 1.5"</t>
  </si>
  <si>
    <t>INS3D2XXCYE7NG</t>
  </si>
  <si>
    <t>PIÑON S200 AC N. 6.4" E/C 1.5"</t>
  </si>
  <si>
    <t>INS3F5XXCHE7NG1</t>
  </si>
  <si>
    <t>PIÑON S2400 AC N. 3.9" E/C 1.5"</t>
  </si>
  <si>
    <t>CO325PAZ10C1.5</t>
  </si>
  <si>
    <t>PIÑON S325 PA NG Z10 E/C 1.5"</t>
  </si>
  <si>
    <t>CO325PAZ12C1.5</t>
  </si>
  <si>
    <t>PIÑON S325 PA NG Z12 E/C 1.5"</t>
  </si>
  <si>
    <t>INS3D4XXCIE7NG2</t>
  </si>
  <si>
    <t>PIÑON S400 AC N 5.2" E/C 2.5"</t>
  </si>
  <si>
    <t>CP600ACBZ10R1.</t>
  </si>
  <si>
    <t>PIÑON S600 AC/B Z10 E/R 1.25" C/CH 5/16"</t>
  </si>
  <si>
    <t>INS3D8G5CZE7NG</t>
  </si>
  <si>
    <t>PIÑON S800 AC EZ 6.5" E/C 1.5"</t>
  </si>
  <si>
    <t>INS3D8XXCZLANG</t>
  </si>
  <si>
    <t>PIÑON S800 AC N. 6.5" E/C 2.5"</t>
  </si>
  <si>
    <t>INS3D8G5CZEMA</t>
  </si>
  <si>
    <t>PIÑON S800 PU G. EZ 6.5" E/C 1.5"</t>
  </si>
  <si>
    <t>INS3D9G5CJE7NG</t>
  </si>
  <si>
    <t>PIÑON S900 AC EZ 4.1" E/C 1.5"</t>
  </si>
  <si>
    <t>INS3D9XXCJE7NG</t>
  </si>
  <si>
    <t>PIÑON S900 AC EZ 4.1" E/R 1.5"</t>
  </si>
  <si>
    <t>INS3D9XXCJJ2NG</t>
  </si>
  <si>
    <t>PIÑON S900 AC EZ 4.1" E/R 25MM</t>
  </si>
  <si>
    <t>INS3D9G5CVE7NG</t>
  </si>
  <si>
    <t>PIÑON S900 AC EZ 6.1" E/C 1.5"</t>
  </si>
  <si>
    <t>IN900PACN3.1EC1</t>
  </si>
  <si>
    <t>PIÑON S900 AC N. 3.1" E/C 1.5"</t>
  </si>
  <si>
    <t>IN900PACN6.1ER1</t>
  </si>
  <si>
    <t>PIÑON S900 AC N. 6.1 E/R 1"</t>
  </si>
  <si>
    <t>IN900PACN6.1ER2</t>
  </si>
  <si>
    <t>PIÑON S900 AC N. 6.1 E/R 1.1/4"</t>
  </si>
  <si>
    <t>INS3D9XXCVE7NG</t>
  </si>
  <si>
    <t>PIÑON S900 AC N. 6.1" E/C 1.5"</t>
  </si>
  <si>
    <t>INS3D9XXCVH6NG</t>
  </si>
  <si>
    <t>PIÑON S900 AC N. 6.1" E/R 1.5"</t>
  </si>
  <si>
    <t>PIÑSNY660Z30R2</t>
  </si>
  <si>
    <t>PIÑON SINCRONICO NY 660 Z30 E/R 2"</t>
  </si>
  <si>
    <t>UNP3MPB02H10NY1</t>
  </si>
  <si>
    <t>PIÑON UNI 3 MPB 02-H10 NY E/C 1.5"</t>
  </si>
  <si>
    <t>UNP3MPBH06NY1.5</t>
  </si>
  <si>
    <t>PIÑON UNI 3 MPB H06 NY E/C 1.5"</t>
  </si>
  <si>
    <t>UNP3MPBH08NY1.5</t>
  </si>
  <si>
    <t>PIÑON UNI 3 MPB H08 NY E/C 1.5"</t>
  </si>
  <si>
    <t>UNP3MPBH10NY1.5</t>
  </si>
  <si>
    <t>PIÑON UNI 3 MPB H10 NY E/C 1.5"</t>
  </si>
  <si>
    <t>UNP3MPBH10PP1.5</t>
  </si>
  <si>
    <t>PIÑON UNI 3 MPB H10 PP E/C 1.5"</t>
  </si>
  <si>
    <t>UNP3SNBM212NY1.</t>
  </si>
  <si>
    <t>PIÑON UNI 3 SNB M2-12 NY E/C 1.5"</t>
  </si>
  <si>
    <t>UNP3SNBM218NY1.</t>
  </si>
  <si>
    <t>PIÑON UNI 3 SNB M2-18 NY E/C 1.5"</t>
  </si>
  <si>
    <t>UNP3SNBM219NY1.</t>
  </si>
  <si>
    <t>PIÑON UNI 3 SNB M2-19 NY E/C 1.5"</t>
  </si>
  <si>
    <t>RECMAS048152125</t>
  </si>
  <si>
    <t>ROLDANA REGINA NY MAQUINADO BIP. 815 Z21 D25MM</t>
  </si>
  <si>
    <t>RECMAS048152130</t>
  </si>
  <si>
    <t>ROLDANA REGINA NY MAQUINADO BIP. 815 Z21 D30MM</t>
  </si>
  <si>
    <t>QDPLAPE1.3/4</t>
  </si>
  <si>
    <t>PLANCHA PE UHMW 1.3/4"</t>
  </si>
  <si>
    <t>QDPLAPE1/2</t>
  </si>
  <si>
    <t>PLANCHA PE UHMW 1/2"</t>
  </si>
  <si>
    <t>ARCEC003PM0</t>
  </si>
  <si>
    <t>3 PIN CONNECTOR MALE CEC003PM0</t>
  </si>
  <si>
    <t>PFB-RN</t>
  </si>
  <si>
    <t>AMPLIFICADOR DE PRODUCTO PFB-RN</t>
  </si>
  <si>
    <t>PBF-RP</t>
  </si>
  <si>
    <t>AMPLIFICADOR DE PRODUCTO PFB-RP</t>
  </si>
  <si>
    <t>GLD3-RT/115</t>
  </si>
  <si>
    <t>AMPLIFICADOR P/ETIQUETAS PEPPERL GLD3-RT/115B</t>
  </si>
  <si>
    <t>BF4R</t>
  </si>
  <si>
    <t>AMPLIFICADOR P/FIBRA OPTICA NPN 12/24VDC BF4R</t>
  </si>
  <si>
    <t>KEREP103</t>
  </si>
  <si>
    <t>BANDA P/FRENO ETIQ. KETAN</t>
  </si>
  <si>
    <t>ARCM0010123</t>
  </si>
  <si>
    <t>BELT 330-T5-12 CM0010123</t>
  </si>
  <si>
    <t>ARCM0011052</t>
  </si>
  <si>
    <t>BELT CM0011052</t>
  </si>
  <si>
    <t>ARCM0010565</t>
  </si>
  <si>
    <t>BELT1 CM0010565</t>
  </si>
  <si>
    <t>GR4A340</t>
  </si>
  <si>
    <t>CABLE DE FIBRA OPTICA 4A340</t>
  </si>
  <si>
    <t>FD-620-10</t>
  </si>
  <si>
    <t>CABLE DE FIBRA OPTICA P/SENSOR FD-620-10</t>
  </si>
  <si>
    <t>GR-6210-2</t>
  </si>
  <si>
    <t>CABLE DE FIBRA P/SENSOR GR-6210</t>
  </si>
  <si>
    <t>KECABK200</t>
  </si>
  <si>
    <t>CABLE P/MOTOR ETIQ K200</t>
  </si>
  <si>
    <t>V15G5MPUR</t>
  </si>
  <si>
    <t>CABLE P/SENSOR DE ETIQUETAS V15G5MPUR</t>
  </si>
  <si>
    <t>V1G5MPOR</t>
  </si>
  <si>
    <t>CABLE P/SENSOR DE ETIQUETAS V1G5MPOR</t>
  </si>
  <si>
    <t>AUCD12L0B020A0</t>
  </si>
  <si>
    <t>CABLE P/SENSOR M12 4 PINES 2MT</t>
  </si>
  <si>
    <t>AU7001224102503</t>
  </si>
  <si>
    <t>CABLE P/SENSOR M12 5 PINES 3MT C/AMAR</t>
  </si>
  <si>
    <t>AU7001224121503</t>
  </si>
  <si>
    <t>CABLE P/SENSOR M12 5 PINES 3MT C/GRIS</t>
  </si>
  <si>
    <t>ARCM0011125</t>
  </si>
  <si>
    <t>CINGHIA DENTATA 15 AT/3399G3 CM0011125</t>
  </si>
  <si>
    <t>KEKTP-000646</t>
  </si>
  <si>
    <t>CIRCUITO INTEGRADO KETAN P/ETIQ AMPOLLAS KTP-000646</t>
  </si>
  <si>
    <t>KEKLCR200</t>
  </si>
  <si>
    <t>COMPLETE CONTROLER KL-CR200 P/K200</t>
  </si>
  <si>
    <t>WI500-0036-578</t>
  </si>
  <si>
    <t>CONECTOR P/CODIF DE 3 VIAS 500-0036-578</t>
  </si>
  <si>
    <t>HI2N4ZL2139-A</t>
  </si>
  <si>
    <t>CONNECTION HARNESS MV ASSEMBLY UX</t>
  </si>
  <si>
    <t>HI2N4ZL2140-A</t>
  </si>
  <si>
    <t>CONNECTION HARNESS S ASSEMBLY UX</t>
  </si>
  <si>
    <t>HI451702</t>
  </si>
  <si>
    <t>CONTROL PANEL PARTS PXR 451702</t>
  </si>
  <si>
    <t>HI451313</t>
  </si>
  <si>
    <t>COVER SWITCH 451313  (NO USAR CODIGO)</t>
  </si>
  <si>
    <t>HI451333-451675</t>
  </si>
  <si>
    <t>COVER SWITCH M 451333 &amp; PLATE NUT PARTS 451675</t>
  </si>
  <si>
    <t>HI451687</t>
  </si>
  <si>
    <t>CUP L PARTS 451687</t>
  </si>
  <si>
    <t>KEDISPLAYK200</t>
  </si>
  <si>
    <t>DISPLAY P/ETIQUETADORA K200</t>
  </si>
  <si>
    <t>KE KTP-000330</t>
  </si>
  <si>
    <t>DRIVER INTERNO KETAN KTP-000330</t>
  </si>
  <si>
    <t>HI451736</t>
  </si>
  <si>
    <t>EZJ106 ASSEMBLY I/O 451736</t>
  </si>
  <si>
    <t>HI451835</t>
  </si>
  <si>
    <t>EZJ107A ASSEMBLY  451835</t>
  </si>
  <si>
    <t>HI451837</t>
  </si>
  <si>
    <t>EZJ108 TARJETA I/O 451837</t>
  </si>
  <si>
    <t>HI1N4ZD6786-A</t>
  </si>
  <si>
    <t>EZJ124 ASSEMBLY W  1N4ZD6786-A</t>
  </si>
  <si>
    <t>HI451967</t>
  </si>
  <si>
    <t>EZJ125 ASSEMBLY 451967</t>
  </si>
  <si>
    <t>HI452162</t>
  </si>
  <si>
    <t>EZJ140 ASSEMBLY 452162</t>
  </si>
  <si>
    <t>HI451577</t>
  </si>
  <si>
    <t>EZJ93 ASSEMBLY  451577</t>
  </si>
  <si>
    <t>WI591122</t>
  </si>
  <si>
    <t>FAN FILTER 591122</t>
  </si>
  <si>
    <t>KEKL802004</t>
  </si>
  <si>
    <t>FAN K200 KL802004</t>
  </si>
  <si>
    <t>E32-DC200</t>
  </si>
  <si>
    <t>FIBRA OPTICA E32-DC200</t>
  </si>
  <si>
    <t>HI2N4ZJ0989-A</t>
  </si>
  <si>
    <t>HEAD BASE PARTS RX 2N4ZJ0989-A</t>
  </si>
  <si>
    <t>HI451914</t>
  </si>
  <si>
    <t>HEAD COVER ASSEMBLY RX 451914</t>
  </si>
  <si>
    <t>HI451931</t>
  </si>
  <si>
    <t>HEAD COVER RX65 451931</t>
  </si>
  <si>
    <t>HI2N4ZH8656-A</t>
  </si>
  <si>
    <t>HEAD REAR COVER 2N4ZH8656-A</t>
  </si>
  <si>
    <t>HI451966</t>
  </si>
  <si>
    <t>HEATER HU2 PARTS 451966</t>
  </si>
  <si>
    <t>HI451614</t>
  </si>
  <si>
    <t>HEATER SUB ASSEMBLY PX 451614</t>
  </si>
  <si>
    <t>HI451623</t>
  </si>
  <si>
    <t>ICU ASSEMBLY PARTS 451623</t>
  </si>
  <si>
    <t>HI451590</t>
  </si>
  <si>
    <t>INK FILTER 451590</t>
  </si>
  <si>
    <t>HI2N4ZJ7074-A</t>
  </si>
  <si>
    <t>INTAKE FAN RX 2N4ZJ7074-A</t>
  </si>
  <si>
    <t>KEKL201001</t>
  </si>
  <si>
    <t>KEY PAD KL201001</t>
  </si>
  <si>
    <t>WIKFILTROS</t>
  </si>
  <si>
    <t>KIT DE FILTROS WILLETT</t>
  </si>
  <si>
    <t>KEKL201069</t>
  </si>
  <si>
    <t>MAIN DRIVE ROLLER K201069</t>
  </si>
  <si>
    <t>WI547130</t>
  </si>
  <si>
    <t>MAIN FILTER 5UM 547130</t>
  </si>
  <si>
    <t>KEKL502005</t>
  </si>
  <si>
    <t>MAIN PCB ASSY KL502005</t>
  </si>
  <si>
    <t>HI1N4ZE0003-A</t>
  </si>
  <si>
    <t>MGV HARNESS ASSEMBLY RX2</t>
  </si>
  <si>
    <t>WI5181112</t>
  </si>
  <si>
    <t>MOTOR DE PASO P/ETIQ 210 5181112</t>
  </si>
  <si>
    <t>HI451643</t>
  </si>
  <si>
    <t>MULTIPLE POWER SUPPLY 451643</t>
  </si>
  <si>
    <t>HIEZJ99</t>
  </si>
  <si>
    <t>OPCIONAL BOARD EZJ99</t>
  </si>
  <si>
    <t>PANT-PB</t>
  </si>
  <si>
    <t>PANTALLA P/COD. PB</t>
  </si>
  <si>
    <t>HIIJP-ALM-PB</t>
  </si>
  <si>
    <t>PB ALARM LIGHT IJP-ALM-PB</t>
  </si>
  <si>
    <t>W100-0370-231</t>
  </si>
  <si>
    <t>PERNO P/CABEZAL DE IMPRESION</t>
  </si>
  <si>
    <t>HI451453</t>
  </si>
  <si>
    <t>PRESSURE REDUCING VALVE ASSEMBLY PARTS 451453</t>
  </si>
  <si>
    <t>HI1N4ZD1988-F</t>
  </si>
  <si>
    <t>PRINT HEAD ASSEMBLY 1N4ZD1988-F</t>
  </si>
  <si>
    <t>HI0N4ZA3818-H</t>
  </si>
  <si>
    <t>PRINT HEAD ASSEMBLY PARTS L65UX 0N4ZA3818-H</t>
  </si>
  <si>
    <t>HI451912</t>
  </si>
  <si>
    <t>PRINT HEAD ASSEMBLY PARTS RX65SB</t>
  </si>
  <si>
    <t>HI451965</t>
  </si>
  <si>
    <t>PUMP RX2 PARTS 451965</t>
  </si>
  <si>
    <t>WI522-0080-106</t>
  </si>
  <si>
    <t>RESISTENCIA DE 10 MEG 522-0080-106</t>
  </si>
  <si>
    <t>WI5228226</t>
  </si>
  <si>
    <t>RESISTENCIA DE 22 MEG 5228226</t>
  </si>
  <si>
    <t>ARCM0010106</t>
  </si>
  <si>
    <t>REWINDER PULLEY</t>
  </si>
  <si>
    <t>MLENC/V31WM5MPU</t>
  </si>
  <si>
    <t>SENSOR DE ETIQUETAS NPN MLENC C/CABLE V31WM5MPUR</t>
  </si>
  <si>
    <t>BF4R-FD62010</t>
  </si>
  <si>
    <t>SENSOR DE FIBRA OPTICA NPN 12/24VDC BF4R C/CABLE FD-620-10</t>
  </si>
  <si>
    <t>PFB-GR6210</t>
  </si>
  <si>
    <t>SENSOR DE FIBRA OPTICA PFB-RN C/CABLE GR-6210-2</t>
  </si>
  <si>
    <t>PFB-GT4310</t>
  </si>
  <si>
    <t>SENSOR DE FIBRA OPTICA PFB-RN C/CABLE GT4310-2</t>
  </si>
  <si>
    <t>PFB-RP/GR-6210</t>
  </si>
  <si>
    <t>SENSOR DE FIBRA OPTICA PFB-RP C/CABLE GR-6210-2</t>
  </si>
  <si>
    <t>WI500-0085-146</t>
  </si>
  <si>
    <t>SENSOR DE NIVEL IR DETECTOR 500-0085-146</t>
  </si>
  <si>
    <t>WI500-0085-145</t>
  </si>
  <si>
    <t>SENSOR DE NIVEL IR EMITER 500-0085-145</t>
  </si>
  <si>
    <t>OME3ZD61</t>
  </si>
  <si>
    <t>SENSOR DE PRODUCTO OMRON E3Z-D61</t>
  </si>
  <si>
    <t>HI1N4ZE0002-A</t>
  </si>
  <si>
    <t>SENSOR HARNESS ASSEMBLY RX2</t>
  </si>
  <si>
    <t>SENNPN-NA</t>
  </si>
  <si>
    <t>SENSOR INDUCTIVO 18MM NPN-NA</t>
  </si>
  <si>
    <t>PENBB5-18GM50-E</t>
  </si>
  <si>
    <t>SENSOR INDUCTIVO NBB5-18GM50-E0 C/CABLE</t>
  </si>
  <si>
    <t>PR18-SDN</t>
  </si>
  <si>
    <t>SENSOR INDUCTIVO NPN 12/24VDC PR18-SDN</t>
  </si>
  <si>
    <t>KESLEUZE</t>
  </si>
  <si>
    <t>SENSOR P/ETIQUETAS KETAN (LEUZE) GSO6/66 2-2S8</t>
  </si>
  <si>
    <t>LERRCM12/V1G5MP</t>
  </si>
  <si>
    <t>SENSOR P/ETIQUETAS LERRCM12 C/CABLE V1G5MPUR</t>
  </si>
  <si>
    <t>GLD3RT/V15G5MPV</t>
  </si>
  <si>
    <t>SENSOR P/ETIQUETAS PEPPERL GLD3-RT/115B C/C V15G5MPVC</t>
  </si>
  <si>
    <t>GLD3RT/V1GYE2M</t>
  </si>
  <si>
    <t>SENSOR P/ETIQUETAS PEPPERL GLD3-RT/115B C/C V1G-YE2M-PVC</t>
  </si>
  <si>
    <t>GLD3RT/V15G5MPU</t>
  </si>
  <si>
    <t>SENSOR P/ETIQUETAS PEPPERL PNP GLD3-RT/115B C/C V15G5MPUR</t>
  </si>
  <si>
    <t>ARE201A</t>
  </si>
  <si>
    <t>SENSOR P/ETIQUETAS S2000 E201A</t>
  </si>
  <si>
    <t>KEKL202004</t>
  </si>
  <si>
    <t>STEPPER MOTOR DRIVE KL202004</t>
  </si>
  <si>
    <t>TRAXB2BD21192</t>
  </si>
  <si>
    <t>SWICTH DE ENCENDIDO/APAGADO (ON/OFF</t>
  </si>
  <si>
    <t>WI221143</t>
  </si>
  <si>
    <t>TECLADO DE ETIQUETADORA 210 221143</t>
  </si>
  <si>
    <t>HITOUCHPB</t>
  </si>
  <si>
    <t>TOUCH PANEL PB</t>
  </si>
  <si>
    <t>HI451593</t>
  </si>
  <si>
    <t>TP PROTECTION SHEET 451593</t>
  </si>
  <si>
    <t>WI143155</t>
  </si>
  <si>
    <t>TUERCA P/T DE CABEZAL 143155</t>
  </si>
  <si>
    <t>WI5211173</t>
  </si>
  <si>
    <t>VALVULA DE TINTA DE 2 VIAS  5211173</t>
  </si>
  <si>
    <t>HI451903</t>
  </si>
  <si>
    <t>VISCOMETER PARTS 451903</t>
  </si>
  <si>
    <t>SISALIMTAPA</t>
  </si>
  <si>
    <t>ELEVADOR DE TAPAS</t>
  </si>
  <si>
    <t>MESASSACUM</t>
  </si>
  <si>
    <t>MESA GIRATORIA SS DE ACUMULACION</t>
  </si>
  <si>
    <t>SAJUSTAP</t>
  </si>
  <si>
    <t>SISTEMA AJUSTADOR  DE TAPAS</t>
  </si>
  <si>
    <t>SETK200LH</t>
  </si>
  <si>
    <t>SISTEMA DE ETIQUETADO C/ETIQ. K200 LH</t>
  </si>
  <si>
    <t>SETK200RH</t>
  </si>
  <si>
    <t>SISTEMA DE ETIQUETADO C/ETIQ. K200 RH</t>
  </si>
  <si>
    <t>SLLSST3.25X1.6</t>
  </si>
  <si>
    <t>SISTEMA DE LLENADO SS C/TRANSP. 3.25X1.60MTS</t>
  </si>
  <si>
    <t>SENVENV</t>
  </si>
  <si>
    <t>SISTEMA ENVOLVEDOR DE ENVASES</t>
  </si>
  <si>
    <t>SOP-ACCCNC1100</t>
  </si>
  <si>
    <t>SOPORTE Y ACCESORIOS P/FRESADORA CNC 1100MX</t>
  </si>
  <si>
    <t>STANDFE</t>
  </si>
  <si>
    <t>STAND DE SOPORTE DE HIERRO</t>
  </si>
  <si>
    <t>STANDSS</t>
  </si>
  <si>
    <t>STAND DE SOPORTE INOX.</t>
  </si>
  <si>
    <t>TCFEB84X6</t>
  </si>
  <si>
    <t>TRANSPORTADOR CURVO FE C/B 84CMSX6MTS</t>
  </si>
  <si>
    <t>TCSSC4.1/2X3.8</t>
  </si>
  <si>
    <t>TRANSPORTADOR CURVO SS C/C 4.1/2"X3.8 MTS</t>
  </si>
  <si>
    <t>TELESSB46X3</t>
  </si>
  <si>
    <t>TRANSPORTADOR DE ELEVACION SS C/B 46CMSX3 MTS</t>
  </si>
  <si>
    <t>TDOBFEC3.1/4X3</t>
  </si>
  <si>
    <t>TRANSPORTADOR DOBLE FE C/C 3.1/4"X3MTS</t>
  </si>
  <si>
    <t>TFEBFT75X3</t>
  </si>
  <si>
    <t>TRANSPORTADOR FE C/B FT Y MESAS DE APOYO SS 75CMSX3MTS</t>
  </si>
  <si>
    <t>TFEC7.1/2X1.22</t>
  </si>
  <si>
    <t>TRANSPORTADOR FE C/C 7.1/2"X1.22MTS</t>
  </si>
  <si>
    <t>TFEC7.1/2X2</t>
  </si>
  <si>
    <t>TRANSPORTADOR FE C/C 7.1/2"X2MTS</t>
  </si>
  <si>
    <t>TRANSRYC</t>
  </si>
  <si>
    <t>TRANSPORTADOR RECTO Y CURVO C/B E93 Y E/30</t>
  </si>
  <si>
    <t>TSSB10X60</t>
  </si>
  <si>
    <t>TRANSPORTADOR SS C/B 10CMSX60CMS</t>
  </si>
  <si>
    <t>TSSB20X2.3</t>
  </si>
  <si>
    <t>TRANSPORTADOR SS C/B 20CMSX2.30MTS</t>
  </si>
  <si>
    <t>TSSB21X2</t>
  </si>
  <si>
    <t>TRANSPORTADOR SS C/B 21CMSX2MTS</t>
  </si>
  <si>
    <t>TSSB22X1.4</t>
  </si>
  <si>
    <t>TRANSPORTADOR SS C/B 22CMSX1.4MTS</t>
  </si>
  <si>
    <t>TSSB25X3</t>
  </si>
  <si>
    <t>TRANSPORTADOR SS C/B 25CMSX3MTS</t>
  </si>
  <si>
    <t>TSSB35X3</t>
  </si>
  <si>
    <t>TRANSPORTADOR SS C/B 35CMS X 3MTS</t>
  </si>
  <si>
    <t>TSSB35X1.22</t>
  </si>
  <si>
    <t>TRANSPORTADOR SS C/B 35CMSX1.22MTS</t>
  </si>
  <si>
    <t>TSSB40X1.22</t>
  </si>
  <si>
    <t>TRANSPORTADOR SS C/B 40CMSX1.22MTS</t>
  </si>
  <si>
    <t>TSSB40X2.4</t>
  </si>
  <si>
    <t>TRANSPORTADOR SS C/B 40CMSX2.4MTS</t>
  </si>
  <si>
    <t>TSSB40X6</t>
  </si>
  <si>
    <t>TRANSPORTADOR SS C/B 40CMSX6MTS</t>
  </si>
  <si>
    <t>TSSB45X1.22</t>
  </si>
  <si>
    <t>TRANSPORTADOR SS C/B 45CMSX1.22MTS</t>
  </si>
  <si>
    <t>TSSB50X2.7</t>
  </si>
  <si>
    <t>TRANSPORTADOR SS C/B 50CMS X 2.7MTS</t>
  </si>
  <si>
    <t>TSSB50X2.2</t>
  </si>
  <si>
    <t>TRANSPORTADOR SS C/B 50CMSX2.2MTS</t>
  </si>
  <si>
    <t>TSSB50X2</t>
  </si>
  <si>
    <t>TRANSPORTADOR SS C/B 50CMSX2MTS</t>
  </si>
  <si>
    <t>TSSB60X1.22</t>
  </si>
  <si>
    <t>TRANSPORTADOR SS C/B 60CMSX1.22MTS</t>
  </si>
  <si>
    <t>TSSB7.5X75</t>
  </si>
  <si>
    <t>TRANSPORTADOR SS C/B 7.5CMSX75CMS</t>
  </si>
  <si>
    <t>TSSB75X3</t>
  </si>
  <si>
    <t>TRANSPORTADOR SS C/B 75CMSX3MTS</t>
  </si>
  <si>
    <t>TSSB75X4</t>
  </si>
  <si>
    <t>TRANSPORTADOR SS C/B 75CMSX4MTS</t>
  </si>
  <si>
    <t>TSSB75X75</t>
  </si>
  <si>
    <t>TRANSPORTADOR SS C/B 75CMSX75CMS</t>
  </si>
  <si>
    <t>TSSBFT75X2.44</t>
  </si>
  <si>
    <t>TRANSPORTADOR SS C/B FT 75CMSX2.44MTS Y MESAS DE APOYO SS</t>
  </si>
  <si>
    <t>TSSBFT45X1.9</t>
  </si>
  <si>
    <t>TRANSPORTADOR SS C/B FT Y MESAS DE APOYO SS 45CMSX1.9MTS</t>
  </si>
  <si>
    <t>TSSBFT45X2</t>
  </si>
  <si>
    <t>TRANSPORTADOR SS C/B FT Y MESAS DE APOYO SS 45CMSX2MTS</t>
  </si>
  <si>
    <t>TSSBFT75X2.4</t>
  </si>
  <si>
    <t>TRANSPORTADOR SS C/B FT Y MESAS DE APOYO SS 75CMSX2.4MTS</t>
  </si>
  <si>
    <t>TSSBLONA14X40</t>
  </si>
  <si>
    <t>TRANSPORTADOR SS C/B LONA 14CMS X 40CMS</t>
  </si>
  <si>
    <t>TSSBPU30X4</t>
  </si>
  <si>
    <t>TRANSPORTADOR SS C/B PU 30CMSX4MTS</t>
  </si>
  <si>
    <t>TSSBPVC7.8X1.5</t>
  </si>
  <si>
    <t>TRANSPORTADOR SS C/B PVC 7.8"X1.5MTS</t>
  </si>
  <si>
    <t>TSSPVC75X2</t>
  </si>
  <si>
    <t>TRANSPORTADOR SS C/B PVC 75CMSX2MTS</t>
  </si>
  <si>
    <t>TSSBPVC75X4MA</t>
  </si>
  <si>
    <t>TRANSPORTADOR SS C/B PVC C/MESA DE APOYO 75CMSX4MT</t>
  </si>
  <si>
    <t>TSSC3.1/4X2.4</t>
  </si>
  <si>
    <t>TRANSPORTADOR SS C/C 3.1/4"X2.4MTS</t>
  </si>
  <si>
    <t>TSSC3.1/4X2</t>
  </si>
  <si>
    <t>TRANSPORTADOR SS C/C 3.1/4"X2MTS</t>
  </si>
  <si>
    <t>TSSC3.1/4X4.5</t>
  </si>
  <si>
    <t>TRANSPORTADOR SS C/C 3.1/4"X4.5MTS</t>
  </si>
  <si>
    <t>TSSC3.1/4X3</t>
  </si>
  <si>
    <t>TRANSPORTADOR SS C/C 3.1/4X3MTS</t>
  </si>
  <si>
    <t>TSSC4.1/2X2.4</t>
  </si>
  <si>
    <t>TRANSPORTADOR SS C/C 4.1/2"X2.4MTS</t>
  </si>
  <si>
    <t>TSSC4.1/2X2</t>
  </si>
  <si>
    <t>TRANSPORTADOR SS C/C 4.1/2"X2MTS</t>
  </si>
  <si>
    <t>TSSC4.1/2X4.5</t>
  </si>
  <si>
    <t>TRANSPORTADOR SS C/C 4.1/2"X4.5MTS</t>
  </si>
  <si>
    <t>TSSC4.1/2X5.3</t>
  </si>
  <si>
    <t>TRANSPORTADOR SS C/C 4.1/2X5.3MTS</t>
  </si>
  <si>
    <t>TSSC6X2.4</t>
  </si>
  <si>
    <t>TRANSPORTADOR SS C/C 6" X 2.4 MTS</t>
  </si>
  <si>
    <t>TSSC6X4.8</t>
  </si>
  <si>
    <t>TRANSPORTADOR SS C/C 6"X4.8MTS</t>
  </si>
  <si>
    <t>TSSC7.1/2X1.5</t>
  </si>
  <si>
    <t>TRANSPORTADOR SS C/C 7.1/2"X1.5MTS</t>
  </si>
  <si>
    <t>TSSCSS3.1/4X4</t>
  </si>
  <si>
    <t>TRANSPORTADOR SS C/C SS 3.1/4"X4MTS</t>
  </si>
  <si>
    <t>TSSCSS3.1/4X9</t>
  </si>
  <si>
    <t>TRANSPORTADOR SS C/C SS 3.1/4"X9MTS</t>
  </si>
  <si>
    <t>REUP7200UP048</t>
  </si>
  <si>
    <t>EUB50FTPPB122</t>
  </si>
  <si>
    <t>BANDA S-B50 FLAT TOP PP B. 122CMS</t>
  </si>
  <si>
    <t>EUB50FTPPB18</t>
  </si>
  <si>
    <t>BANDA S-B50 FLAT TOP PP B. 18CMS</t>
  </si>
  <si>
    <t>EUEB50FTPPB20</t>
  </si>
  <si>
    <t>EUB50FTPPB26E10</t>
  </si>
  <si>
    <t>BANDA S-B50 FLAT TOP PP B. 26CMS E/10 C/45 I/4</t>
  </si>
  <si>
    <t>EUB50FTPPB28E20</t>
  </si>
  <si>
    <t>BANDA S-B50 FLAT TOP PP B. 28CMS E/20 C/30 I/4</t>
  </si>
  <si>
    <t>EUB50FTPPB28E</t>
  </si>
  <si>
    <t>BANDA S-B50 FLAT TOP PP B. 28CMS E/6 C/20</t>
  </si>
  <si>
    <t>EUB50FTPPB30E5</t>
  </si>
  <si>
    <t>BANDA S-B50 FLAT TOP PP B. 30CMS E/5 C/20 I/4</t>
  </si>
  <si>
    <t>EUB50FTPPB30E6</t>
  </si>
  <si>
    <t>BANDA S-B50 FLAT TOP PP B. 30CMS E/6 C/20 I/4</t>
  </si>
  <si>
    <t>EUB50FTPPB30E7</t>
  </si>
  <si>
    <t>BANDA S-B50 FLAT TOP PP B. 30CMS E/7 C/20 I/4</t>
  </si>
  <si>
    <t>EU50FTPPB40E10C</t>
  </si>
  <si>
    <t>EUB50FTPPB48E10</t>
  </si>
  <si>
    <t>BANDA S-B50 FLAT TOP PP B. 48CMS E/10 C/25 I/4</t>
  </si>
  <si>
    <t>EUB50FTPPB48E3C</t>
  </si>
  <si>
    <t>BANDA S-B50 FLAT TOP PP B. 48CMS E/3 C/25</t>
  </si>
  <si>
    <t>EUB50FTPPB48E7.</t>
  </si>
  <si>
    <t>BANDA S-B50 FLAT TOP PP B. 48CMS E/7.5 C/30</t>
  </si>
  <si>
    <t>EUB50FTPPB48E7</t>
  </si>
  <si>
    <t>EUB50FTPPB50EC6</t>
  </si>
  <si>
    <t>EUB50FTPPB52E10</t>
  </si>
  <si>
    <t>EUB50FTPPB52E15</t>
  </si>
  <si>
    <t>BANDA S-B50 FLAT TOP PP B. 52CMS E/15 C/30 I/6</t>
  </si>
  <si>
    <t>EUB50FTPPB60E4</t>
  </si>
  <si>
    <t>BANDA S-B50 FLAT TOP PP B. 60CMS E/10 C/50 I/4</t>
  </si>
  <si>
    <t>EUB50FTPPB60E8</t>
  </si>
  <si>
    <t>EUB50FTPPB70E</t>
  </si>
  <si>
    <t>EUB50FTPPB70E7.</t>
  </si>
  <si>
    <t>EUB50FTPPB72</t>
  </si>
  <si>
    <t>BANDA S-B50 FLAT TOP PP B. 72CMS</t>
  </si>
  <si>
    <t>EUB50FTPPB76</t>
  </si>
  <si>
    <t>BANDA S-B50 FLAT TOP PP B. 76CMS</t>
  </si>
  <si>
    <t>EUB50FTPPB78E5</t>
  </si>
  <si>
    <t>BANDA S-B50 FLAT TOP PP B. 78CMS E/5 C/35 I/10</t>
  </si>
  <si>
    <t>EUB50FTPPB88E7.</t>
  </si>
  <si>
    <t>BANDA S-B50 FLAT TOP PP B. 88CMS E/7.6 C/20</t>
  </si>
  <si>
    <t>EUB50FTPPB9</t>
  </si>
  <si>
    <t>BANDA S-B50 FLAT TOP PP B. 9CMS</t>
  </si>
  <si>
    <t>EUB50FGPPB46</t>
  </si>
  <si>
    <t>BANDA S-B50 FLUSH GRID PP B. 46CMS</t>
  </si>
  <si>
    <t>EUB50FGPPB52</t>
  </si>
  <si>
    <t>BANDA S-B50 FLUSH GRID PP B. 52CMS</t>
  </si>
  <si>
    <t>EUB50FGPPB52E12</t>
  </si>
  <si>
    <t>BANDA S-B50 FLUSH GRID PP B. 52CMS EC/12 C/25 I/6</t>
  </si>
  <si>
    <t>EUB50FGPPB66E</t>
  </si>
  <si>
    <t>EUC12FTACA7.5</t>
  </si>
  <si>
    <t>BANDA S-C12 FLAT TOP AC A. 7.5CMS</t>
  </si>
  <si>
    <t>EUC12FTPEN40</t>
  </si>
  <si>
    <t>EUC12FTPEN97.5</t>
  </si>
  <si>
    <t>BANDA S-C12 FLAT TOP PE N. 97.5CMS</t>
  </si>
  <si>
    <t>EUC12FTPPA35</t>
  </si>
  <si>
    <t>BANDA S-C12 FLAT TOP PP A. 35CMS</t>
  </si>
  <si>
    <t>EUC12FGACA70</t>
  </si>
  <si>
    <t>BANDA S-C12 FLUSH GRID AC A. 70CMS</t>
  </si>
  <si>
    <t>EUC12FGPEA45</t>
  </si>
  <si>
    <t>EUC12FGPEN80</t>
  </si>
  <si>
    <t>BANDA S-C12 FLUSH GRID PE N. 80CMS</t>
  </si>
  <si>
    <t>EUC12FGPEN82.5</t>
  </si>
  <si>
    <t>BANDA S-C12 FLUSH GRID PE N. 82.5CMS</t>
  </si>
  <si>
    <t>EUE20FTPPA24.8</t>
  </si>
  <si>
    <t>BANDA S-E20 FLAT TOP PP A. 24.8CMS</t>
  </si>
  <si>
    <t>EUE20FTPPA25E5</t>
  </si>
  <si>
    <t>BANDA S-E20 FLAT TOP PP A. 25CMS E/5 C/20 I/2.4</t>
  </si>
  <si>
    <t>EUE20FTPPA29.6E</t>
  </si>
  <si>
    <t>BANDA S-E20 FLAT TOP PP A. 29.6CMS E/5 C/20 I/4.8</t>
  </si>
  <si>
    <t>EUE20FTPPA30</t>
  </si>
  <si>
    <t>BANDA S-E20 FLAT TOP PP A. 30CMS</t>
  </si>
  <si>
    <t>EUE20FTPPA60</t>
  </si>
  <si>
    <t>EUE20FGPPA24</t>
  </si>
  <si>
    <t>EUE20FGPPA29.6º</t>
  </si>
  <si>
    <t>EUE20FGPPA8</t>
  </si>
  <si>
    <t>EUE30FFPPB60-26</t>
  </si>
  <si>
    <t>BANDA S-E30 FLAT FRICTION PP B60 26CMS IFTA/3-5</t>
  </si>
  <si>
    <t>EUE30FFPPB60-30</t>
  </si>
  <si>
    <t>BANDA S-E30 FLAT FRICTION PP B60 30CMS IFTA/7-5</t>
  </si>
  <si>
    <t>EUE30FTACA115</t>
  </si>
  <si>
    <t>BANDA S-E30 FLAT TOP AC A. 115CMS</t>
  </si>
  <si>
    <t>EUE30FTACA25</t>
  </si>
  <si>
    <t>BANDA S-E30 FLAT TOP AC A. 25CMS</t>
  </si>
  <si>
    <t>EUE30FTACA35</t>
  </si>
  <si>
    <t>BANDA S-E30 FLAT TOP AC A. 35CMS</t>
  </si>
  <si>
    <t>EUE30FTACA54</t>
  </si>
  <si>
    <t>BANDA S-E30 FLAT TOP AC A. 54CMS</t>
  </si>
  <si>
    <t>EUE30FTACA60</t>
  </si>
  <si>
    <t>BANDA S-E30 FLAT TOP AC A. 60CMS</t>
  </si>
  <si>
    <t>EUE30FTACA6</t>
  </si>
  <si>
    <t>BANDA S-E30 FLAT TOP AC A. 6CMS</t>
  </si>
  <si>
    <t>EUE30FTPPA100</t>
  </si>
  <si>
    <t>BANDA S-E30 FLAT TOP PP A. 100CMS</t>
  </si>
  <si>
    <t>EUE30FTPPA135</t>
  </si>
  <si>
    <t>BANDA S-E30 FLAT TOP PP A. 135CMS</t>
  </si>
  <si>
    <t>EUE30FTPPA19</t>
  </si>
  <si>
    <t>BANDA S-E30 FLAT TOP PP A. 19CMS</t>
  </si>
  <si>
    <t>EUE30FTPPA20</t>
  </si>
  <si>
    <t>BANDA S-E30 FLAT TOP PP A. 20CMS</t>
  </si>
  <si>
    <t>EUE30FTPPA21</t>
  </si>
  <si>
    <t>BANDA S-E30 FLAT TOP PP A. 21CMS</t>
  </si>
  <si>
    <t>EUE30FTPPA22</t>
  </si>
  <si>
    <t>BANDA S-E30 FLAT TOP PP A. 22CMS</t>
  </si>
  <si>
    <t>EUE30FTPPA25</t>
  </si>
  <si>
    <t>BANDA S-E30 FLAT TOP PP A. 25CMS</t>
  </si>
  <si>
    <t>EUE30FTPPA25E/2</t>
  </si>
  <si>
    <t>BANDA S-E30 FLAT TOP PP A. 25CMS E/2 C/27 I/4</t>
  </si>
  <si>
    <t>EUE30FTPPA26</t>
  </si>
  <si>
    <t>BANDA S-E30 FLAT TOP PP A. 26CMS</t>
  </si>
  <si>
    <t>EUE30FTPPA30E5</t>
  </si>
  <si>
    <t>BANDA S-E30 FLAT TOP PP A. 30CMS E/5 C/15 I/2</t>
  </si>
  <si>
    <t>EUE30FTPPA30E3</t>
  </si>
  <si>
    <t>EUE30FTPPA31E7.</t>
  </si>
  <si>
    <t>BANDA S-E30 FLAT TOP PP A. 31CMS E/7.5 C/51 I/5 I/6</t>
  </si>
  <si>
    <t>EUE30FTPPA40E5.</t>
  </si>
  <si>
    <t>EUE30FTPPA40E5C</t>
  </si>
  <si>
    <t>BANDA S-E30 FLAT TOP PP A. 40CMS E/5 C/51 I/4</t>
  </si>
  <si>
    <t>EUE30FTPPA40E7.</t>
  </si>
  <si>
    <t>BANDA S-E30 FLAT TOP PP A. 40CMS E/7.5 C/15</t>
  </si>
  <si>
    <t>EUE30FTPPA42</t>
  </si>
  <si>
    <t>BANDA S-E30 FLAT TOP PP A. 42CMS</t>
  </si>
  <si>
    <t>EUE30FTPPA44E5</t>
  </si>
  <si>
    <t>BANDA S-E30 FLAT TOP PP A. 44CMS E/5 C/36 I/4</t>
  </si>
  <si>
    <t>EUE30FTPPA48</t>
  </si>
  <si>
    <t>BANDA S-E30 FLAT TOP PP A. 48CMS</t>
  </si>
  <si>
    <t>EUE30FTPPA48E5</t>
  </si>
  <si>
    <t>BANDA S-E30 FLAT TOP PP A. 48CMS E/5 C/30 I/4</t>
  </si>
  <si>
    <t>EUE30FTPPA51</t>
  </si>
  <si>
    <t>BANDA S-E30 FLAT TOP PP A. 51CMS</t>
  </si>
  <si>
    <t>EUE30FTPPA55</t>
  </si>
  <si>
    <t>BANDA S-E30 FLAT TOP PP A. 55CMS</t>
  </si>
  <si>
    <t>EUE30FGPPA60E7.</t>
  </si>
  <si>
    <t>BANDA S-E30 FLAT TOP PP A. 60CMS E/7.5 C/24 I/4</t>
  </si>
  <si>
    <t>EUE30FTPPA60FF</t>
  </si>
  <si>
    <t>EUE30FTPPA65</t>
  </si>
  <si>
    <t>BANDA S-E30 FLAT TOP PP A. 65CMS</t>
  </si>
  <si>
    <t>EUEE30FTPPB100</t>
  </si>
  <si>
    <t>EUE30FTPPB125</t>
  </si>
  <si>
    <t>BANDA S-E30 FLAT TOP PP B. 125CMS</t>
  </si>
  <si>
    <t>EUE30FTPPB15</t>
  </si>
  <si>
    <t>EUE30FTPPB15E7.</t>
  </si>
  <si>
    <t>BANDA S-E30 FLAT TOP PP B. 15CMS E/7.5 C/21</t>
  </si>
  <si>
    <t>EUE30FTPPB16</t>
  </si>
  <si>
    <t>BANDA S-E30 FLAT TOP PP B. 16CMS</t>
  </si>
  <si>
    <t>EUE30FTPPB17</t>
  </si>
  <si>
    <t>BANDA S-E30 FLAT TOP PP B. 17CMS</t>
  </si>
  <si>
    <t>EUE30FTPPB19</t>
  </si>
  <si>
    <t>BANDA S-E30 FLAT TOP PP B. 19CMS</t>
  </si>
  <si>
    <t>EUE30FTPPB19E7.</t>
  </si>
  <si>
    <t>BANDA S-E30 FLAT TOP PP B. 19CMS E/7.5 C/15 I/3</t>
  </si>
  <si>
    <t>EUE30FTPPB200FF</t>
  </si>
  <si>
    <t>EUE30FTPPB20E3C</t>
  </si>
  <si>
    <t>BANDA S-E30 FLAT TOP PP B. 20CMS E/3 C/12 I/2</t>
  </si>
  <si>
    <t>EUE30FTPPB20E5C</t>
  </si>
  <si>
    <t>BANDA S-E30 FLAT TOP PP B. 20CMS E/5 C/15</t>
  </si>
  <si>
    <t>EUE30FTPPB20E5</t>
  </si>
  <si>
    <t>BANDA S-E30 FLAT TOP PP B. 20CMS E/5 I/2</t>
  </si>
  <si>
    <t>EUE30BFTPPB21</t>
  </si>
  <si>
    <t>BANDA S-E30 FLAT TOP PP B. 21CMS</t>
  </si>
  <si>
    <t>EUE30FTPPB22E7.</t>
  </si>
  <si>
    <t>BANDA S-E30 FLAT TOP PP B. 22CMS E/7.5 C/15 I/4</t>
  </si>
  <si>
    <t>EUE30FTPPB26E5.</t>
  </si>
  <si>
    <t>EUE30FTPPB28E7C</t>
  </si>
  <si>
    <t>BANDA S-E30 FLAT TOP PP B. 28CMS E/7.5 C/18 I/4</t>
  </si>
  <si>
    <t>EUE30FTPPB30E1.</t>
  </si>
  <si>
    <t>EUE30FTPPB30E5I</t>
  </si>
  <si>
    <t>EUE30FTPPB30E6</t>
  </si>
  <si>
    <t>BANDA S-E30 FLAT TOP PP B. 30CMS E/6 C/36 I/3</t>
  </si>
  <si>
    <t>EUE30FTPPB35E5I</t>
  </si>
  <si>
    <t>EUE30FTPPB35E7.</t>
  </si>
  <si>
    <t>BANDA S-E30 FLAT TOP PP B. 35CMS E/7.5 C/30 I/3</t>
  </si>
  <si>
    <t>EUE30FTPPB36E7</t>
  </si>
  <si>
    <t>BANDA S-E30 FLAT TOP PP B. 36CMS E/7.5 C/15 I/4</t>
  </si>
  <si>
    <t>EUE30FTPPB38</t>
  </si>
  <si>
    <t>BANDA S-E30 FLAT TOP PP B. 38CMS</t>
  </si>
  <si>
    <t>EUE30FTPPB38E/2</t>
  </si>
  <si>
    <t>BANDA S-E30 FLAT TOP PP B. 38CMS E/2.5 C/36 I/3</t>
  </si>
  <si>
    <t>EUE30FTPPB38E2.</t>
  </si>
  <si>
    <t>BANDA S-E30 FLAT TOP PP B. 38CMS E/2.5 C/48 I/3</t>
  </si>
  <si>
    <t>EUE30FTPPB40E3</t>
  </si>
  <si>
    <t>BANDA S-E30 FLAT TOP PP B. 40CMS E/3 C/24 I/3</t>
  </si>
  <si>
    <t>EUE30FTPPB40E5</t>
  </si>
  <si>
    <t>EUE30FTPPB40E1</t>
  </si>
  <si>
    <t>EUE30FTPPB40EC7</t>
  </si>
  <si>
    <t>EUE30FTPPB48E3C</t>
  </si>
  <si>
    <t>BANDA S-E30 FLAT TOP PP B. 48CMS E/3 C/24 I/4</t>
  </si>
  <si>
    <t>EUE30FTPPB49</t>
  </si>
  <si>
    <t>BANDA S-E30 FLAT TOP PP B. 49CMS</t>
  </si>
  <si>
    <t>EUE30FTPPB50</t>
  </si>
  <si>
    <t>EUE30FTPPB51E7.</t>
  </si>
  <si>
    <t>BANDA S-E30 FLAT TOP PP B. 51CMS E/7.5 C/21 I/3</t>
  </si>
  <si>
    <t>EUE30FTPPB53E5</t>
  </si>
  <si>
    <t>BANDA S-E30 FLAT TOP PP B. 53CMS E/5 C/21 I/4</t>
  </si>
  <si>
    <t>EUE30FTPPB75</t>
  </si>
  <si>
    <t>BANDA S-E30 FLAT TOP PP B. 75CMS</t>
  </si>
  <si>
    <t>EUE30FTPPB78</t>
  </si>
  <si>
    <t>BANDA S-E30 FLAT TOP PP B. 78CMS</t>
  </si>
  <si>
    <t>EUE30FTPPB86</t>
  </si>
  <si>
    <t>BANDA S-E30 FLAT TOP PP B. 86CMS</t>
  </si>
  <si>
    <t>EUE30FTPPB96E3</t>
  </si>
  <si>
    <t>EUE30FGACAA8</t>
  </si>
  <si>
    <t>BANDA S-E30 FLLUSH GRID AC A. 8CMS</t>
  </si>
  <si>
    <t>EUE30FGACA112</t>
  </si>
  <si>
    <t>EUE30FGACA144</t>
  </si>
  <si>
    <t>EUE30FGACA15</t>
  </si>
  <si>
    <t>BANDA S-E30 FLUSH GRID AC A. 15CMS</t>
  </si>
  <si>
    <t>EUE30FGACA34</t>
  </si>
  <si>
    <t>EUE30FGACA37</t>
  </si>
  <si>
    <t>BANDA S-E30 FLUSH GRID AC A. 37CMS</t>
  </si>
  <si>
    <t>EUE30FGACA59</t>
  </si>
  <si>
    <t>BANDA S-E30 FLUSH GRID AC A. 59CMS</t>
  </si>
  <si>
    <t>EUE30FGACA67.5</t>
  </si>
  <si>
    <t>BANDA S-E30 FLUSH GRID AC A. 67.5CMS</t>
  </si>
  <si>
    <t>EUE30FGPEN147E</t>
  </si>
  <si>
    <t>EUE30FGPEN40E5</t>
  </si>
  <si>
    <t>EUE30FGPEN50E2.</t>
  </si>
  <si>
    <t>BANDA S-E30 FLUSH GRID PE N. 50CMS E/2.5 C/21 I/5</t>
  </si>
  <si>
    <t>EUE30FGPPA150</t>
  </si>
  <si>
    <t>BANDA S-E30 FLUSH GRID PP A. 150CMS</t>
  </si>
  <si>
    <t>EUE30FGPPA176E5</t>
  </si>
  <si>
    <t>EUE30FGPPA17</t>
  </si>
  <si>
    <t>BANDA S-E30 FLUSH GRID PP A. 17CMS</t>
  </si>
  <si>
    <t>EUE30FGPPA23</t>
  </si>
  <si>
    <t>BANDA S-E30 FLUSH GRID PP A. 23CMS</t>
  </si>
  <si>
    <t>EUE30FGPPA25OG9</t>
  </si>
  <si>
    <t>BANDA S-E30 FLUSH GRID PP A. 25CMS MOG C/9</t>
  </si>
  <si>
    <t>EUE30FGPPA30E3.</t>
  </si>
  <si>
    <t>EUE30FGPPA35</t>
  </si>
  <si>
    <t>BANDA S-E30 FLUSH GRID PP A. 35CMS</t>
  </si>
  <si>
    <t>EUE30FGPPA40E6</t>
  </si>
  <si>
    <t>EUE30FGPPA40E1</t>
  </si>
  <si>
    <t>EUE30FGPPA48</t>
  </si>
  <si>
    <t>BANDA S-E30 FLUSH GRID PP A. 48CMS</t>
  </si>
  <si>
    <t>EUE30FGPPA50E5</t>
  </si>
  <si>
    <t>EUE30FGPPA56E42</t>
  </si>
  <si>
    <t>EUE30FGPPA60E3.</t>
  </si>
  <si>
    <t>EUE30FGPPA66IG</t>
  </si>
  <si>
    <t>BANDA S-E30 FLUSH GRID PP A. 66CMS I/G 20 C/24</t>
  </si>
  <si>
    <t>EUE30FGPPA75E1.</t>
  </si>
  <si>
    <t>EUE30FGPPA77</t>
  </si>
  <si>
    <t>BANDA S-E30 FLUSH GRID PP A. 77CMS</t>
  </si>
  <si>
    <t>EUE30FGPPA90E5C</t>
  </si>
  <si>
    <t>BANDA S-E30 FLUSH GRID PP A. 90CMS E/5 C/21 I/4</t>
  </si>
  <si>
    <t>EUE30FGPPA91OG9</t>
  </si>
  <si>
    <t>EUE30FGPPB10E</t>
  </si>
  <si>
    <t>BANDA S-E30 FLUSH GRID PP B. 10CMS E/4 C/18</t>
  </si>
  <si>
    <t>EUE30FGPPB110</t>
  </si>
  <si>
    <t>BANDA S-E30 FLUSH GRID PP B. 110CMS</t>
  </si>
  <si>
    <t>EUE30FGPPB120OG</t>
  </si>
  <si>
    <t>EUE30FGPPB120O1</t>
  </si>
  <si>
    <t>EUE30FGPPB121E.</t>
  </si>
  <si>
    <t>EUE30FGPPB122OG</t>
  </si>
  <si>
    <t>EUE30FGPPB146E5</t>
  </si>
  <si>
    <t>BANDA S-E30 FLUSH GRID PP B. 146CMS E/5 C/21</t>
  </si>
  <si>
    <t>EUE30FGPPB15E3.</t>
  </si>
  <si>
    <t>EUE30FGPPB15E4</t>
  </si>
  <si>
    <t>BANDA S-E30 FLUSH GRID PP B. 15CMS E/4 C/15</t>
  </si>
  <si>
    <t>EUE30FGPPB20E/4</t>
  </si>
  <si>
    <t>BANDA S-E30 FLUSH GRID PP B. 20CMS E/4 C/24</t>
  </si>
  <si>
    <t>EUE30FGPPB24E</t>
  </si>
  <si>
    <t>EUE30FGPPB25MC/</t>
  </si>
  <si>
    <t>BANDA S-E30 FLUSH GRID PP B. 25CMS MOG C/18</t>
  </si>
  <si>
    <t>EUE30FGPPB26</t>
  </si>
  <si>
    <t>BANDA S-E30 FLUSH GRID PP B. 26CMS</t>
  </si>
  <si>
    <t>EUE30FGPPB29E1</t>
  </si>
  <si>
    <t>EUE30FGPPB30E</t>
  </si>
  <si>
    <t>BANDA S-E30 FLUSH GRID PP B. 30CMS E/5 C/30 I/2</t>
  </si>
  <si>
    <t>EUE30FGPPB30FF2</t>
  </si>
  <si>
    <t>EUE30FGPPB30OG2</t>
  </si>
  <si>
    <t>EUE30FGPPB31</t>
  </si>
  <si>
    <t>BANDA S-E30 FLUSH GRID PP B. 31CMS</t>
  </si>
  <si>
    <t>EUE30FGPPB32MFF</t>
  </si>
  <si>
    <t>EUE30FGPPB35E</t>
  </si>
  <si>
    <t>BANDA S-E30 FLUSH GRID PP B. 35CMS E/7.6 C/30 I/3</t>
  </si>
  <si>
    <t>EUE30FGPPB37E3</t>
  </si>
  <si>
    <t>BANDA S-E30 FLUSH GRID PP B. 37CMS E/3 C/36 I/11</t>
  </si>
  <si>
    <t>EUE30FGPPB39MO</t>
  </si>
  <si>
    <t>BANDA S-E30 FLUSH GRID PP B. 39CMS MOG C/30</t>
  </si>
  <si>
    <t>EUE30FGPPB40E/5</t>
  </si>
  <si>
    <t>EUE30FGPPB45E3.</t>
  </si>
  <si>
    <t>EUE30FGPPB45FF1</t>
  </si>
  <si>
    <t>EUE30FGPPB46E3.</t>
  </si>
  <si>
    <t>BANDA S-E30 FLUSH GRID PP B. 46CMS E/3.8 C/21</t>
  </si>
  <si>
    <t>EUE30FFGPPB46E7</t>
  </si>
  <si>
    <t>EUE30FGPPB46E7C</t>
  </si>
  <si>
    <t>BANDA S-E30 FLUSH GRID PP B. 46CMS EC/7 C/21 IFT/3</t>
  </si>
  <si>
    <t>EUE30FGPPB49E5</t>
  </si>
  <si>
    <t>BANDA S-E30 FLUSH GRID PP B. 49CMS E/5 C/21 I/5</t>
  </si>
  <si>
    <t>EUE30FGPPB50E7</t>
  </si>
  <si>
    <t>BANDA S-E30 FLUSH GRID PP B. 50CMS E/7.5 C/30 I/3 II/4</t>
  </si>
  <si>
    <t>EUE30FGPPB53E/5</t>
  </si>
  <si>
    <t>BANDA S-E30 FLUSH GRID PP B. 53CMS E/5 C/27</t>
  </si>
  <si>
    <t>EUE30FGPPB56E</t>
  </si>
  <si>
    <t>BANDA S-E30 FLUSH GRID PP B. 56CMS E/5 C/30 I/4</t>
  </si>
  <si>
    <t>EUE30FGPPB57</t>
  </si>
  <si>
    <t>BANDA S-E30 FLUSH GRID PP B. 57CMS</t>
  </si>
  <si>
    <t>EUE30FGPPB57E/5</t>
  </si>
  <si>
    <t>BANDA S-E30 FLUSH GRID PP B. 57CMS E/5 C/30 I/5</t>
  </si>
  <si>
    <t>EUE30FGPPB58</t>
  </si>
  <si>
    <t>BANDA S-E30 FLUSH GRID PP B. 58CMS</t>
  </si>
  <si>
    <t>EUE30FGPPB60E2</t>
  </si>
  <si>
    <t>BANDA S-E30 FLUSH GRID PP B. 60CMS E/2.5 C/21</t>
  </si>
  <si>
    <t>EUE30FGPPB60CME</t>
  </si>
  <si>
    <t>BANDA S-E30 FLUSH GRID PP B. 60CMS E/3.2 C/21 I/3</t>
  </si>
  <si>
    <t>EUE30FGPPB60E5</t>
  </si>
  <si>
    <t>BANDA S-E30 FLUSH GRID PP B. 60CMS E/5 C/21</t>
  </si>
  <si>
    <t>EUE30FGPPB61E3.</t>
  </si>
  <si>
    <t>EUE30FGPPB61OG9</t>
  </si>
  <si>
    <t>BANDA S-E30 FLUSH GRID PP B. 61CMS MOG C/9</t>
  </si>
  <si>
    <t>EUE30FGPPB66E</t>
  </si>
  <si>
    <t>EUE30FGPPB69E3.</t>
  </si>
  <si>
    <t>EUE30FGPPB70E5</t>
  </si>
  <si>
    <t>BANDA S-E30 FLUSH GRID PP B. 70CMS E/5 C/21 I/5</t>
  </si>
  <si>
    <t>EUE30FGPPB70E/5</t>
  </si>
  <si>
    <t>BANDA S-E30 FLUSH GRID PP B. 70CMS E/5 C/30 I/5</t>
  </si>
  <si>
    <t>EUE30FGPPB70EPP</t>
  </si>
  <si>
    <t>BANDA S-E30 FLUSH GRID PP B. 70CMS E/7 PPA C/30 I/5</t>
  </si>
  <si>
    <t>EUE30FGPPB70E/7</t>
  </si>
  <si>
    <t>BANDA S-E30 FLUSH GRID PP B. 70CMS EC/7 C/30 I/5</t>
  </si>
  <si>
    <t>EUE30FGPPB80</t>
  </si>
  <si>
    <t>EUE30FGPPB84E4</t>
  </si>
  <si>
    <t>EUE30FGPPB85</t>
  </si>
  <si>
    <t>BANDA S-E30 FLUSH GRID PP B. 85CMS</t>
  </si>
  <si>
    <t>EUE30FGPPB86E/7</t>
  </si>
  <si>
    <t>BANDA S-E30 FLUSH GRID PP B. 86CMS E/7 C/15 I/4</t>
  </si>
  <si>
    <t>EUE30FGPPB90E2.</t>
  </si>
  <si>
    <t>BANDA S-E30 FLUSH GRID PP B. 90CMS E/2.5 C/21</t>
  </si>
  <si>
    <t>EUE30FGPPB91E1</t>
  </si>
  <si>
    <t>EUE30FGPPB91E38</t>
  </si>
  <si>
    <t>EUE30FGPPB91E32</t>
  </si>
  <si>
    <t>EUE30FGPPB91E2</t>
  </si>
  <si>
    <t>EUE30FGPPB91E5</t>
  </si>
  <si>
    <t>BANDA S-E30 FLUSH GRID PP B. 91CMS E/5 C/21</t>
  </si>
  <si>
    <t>EUE30FGPPB92OG1</t>
  </si>
  <si>
    <t>EUE30FGPPB96E3</t>
  </si>
  <si>
    <t>BANDA S-E30 FLUSH GRID PP B. 96CMS E/3 C/15 I/3</t>
  </si>
  <si>
    <t>EUE30FGPPB97E7</t>
  </si>
  <si>
    <t>EUE30FGPPB98E5</t>
  </si>
  <si>
    <t>EUE30FYOGPEN90I</t>
  </si>
  <si>
    <t>EUE30FYOGPEN91I</t>
  </si>
  <si>
    <t>EUE30FYOGPPA30</t>
  </si>
  <si>
    <t>EUE30FYOGPPA51</t>
  </si>
  <si>
    <t>EUE30FYOGPPB1OO</t>
  </si>
  <si>
    <t>BANDA S-E30 FLUSH Y OPEN GRID PP B. 100CMS IFG/5</t>
  </si>
  <si>
    <t>EUE30FYOPPB119</t>
  </si>
  <si>
    <t>EUE30FYOG30IGF3</t>
  </si>
  <si>
    <t>EUE30FYOGPPB35</t>
  </si>
  <si>
    <t>BANDA S-E30 FLUSH Y OPEN GRID PP B. 35CMS</t>
  </si>
  <si>
    <t>EUE30FYOGPPB75</t>
  </si>
  <si>
    <t>EUE30FYOGPPB76F</t>
  </si>
  <si>
    <t>EU30FYOGPPB77CM</t>
  </si>
  <si>
    <t>BANDA S-E30 FLUSH Y OPEN GRID PP B. 77CMS</t>
  </si>
  <si>
    <t>EU30FYOGPPB77I4</t>
  </si>
  <si>
    <t>EUE30FYOPPB91I3</t>
  </si>
  <si>
    <t>EUE30FYOGPPB91F</t>
  </si>
  <si>
    <t>EUE30OGPPB122</t>
  </si>
  <si>
    <t>BANDA S-E30 OPEN GRID PP B. 122CMS</t>
  </si>
  <si>
    <t>EUE30OGPPB25</t>
  </si>
  <si>
    <t>EUE30OGPPB40</t>
  </si>
  <si>
    <t>EUE30OGPPB46</t>
  </si>
  <si>
    <t>BANDA S-E30 OPEN GRID PP B. 46CMS</t>
  </si>
  <si>
    <t>EUE30OGPPB46IFG</t>
  </si>
  <si>
    <t>BANDA S-E30 OPEN GRID PP B. 46CMS IFG/4-2</t>
  </si>
  <si>
    <t>EUE40FGPPG60E4</t>
  </si>
  <si>
    <t>EUE40FGPPG80E10</t>
  </si>
  <si>
    <t>EUE50FTPPA30E7.</t>
  </si>
  <si>
    <t>BANDA S-E50 FLAT TOP PP A. 30CMS E/7.5 C/20 I/4</t>
  </si>
  <si>
    <t>EUE50FTPPB70</t>
  </si>
  <si>
    <t>BANDA S-E50 FLAT TOP PP B. 70CMS</t>
  </si>
  <si>
    <t>EU50FGPEA88E2.5</t>
  </si>
  <si>
    <t>BANDA S-E50 FLUSH GRID PE A. 88CMS E/2.5 C/65 IE/6 II/8</t>
  </si>
  <si>
    <t>EUE50FGPPA40E5</t>
  </si>
  <si>
    <t>BANDA S-E50 FLUSH GRID PP A. 40CMS E/5 C/80</t>
  </si>
  <si>
    <t>EUE50FGPPB130E3</t>
  </si>
  <si>
    <t>EUE50FGPPB16</t>
  </si>
  <si>
    <t>BANDA S-E50 FLUSH GRID PP B. 16CMS</t>
  </si>
  <si>
    <t>EUE50FGPPB180</t>
  </si>
  <si>
    <t>BANDA S-E50 FLUSH GRID PP B. 180CMS</t>
  </si>
  <si>
    <t>EUE50FGPPB30E5</t>
  </si>
  <si>
    <t>BANDA S-E50 FLUSH GRID PP B. 30CMS E/5 C/20</t>
  </si>
  <si>
    <t>EUE50FGPPB38E</t>
  </si>
  <si>
    <t>EUE50FGPPB40E5C</t>
  </si>
  <si>
    <t>EUE50FGPPB44E2</t>
  </si>
  <si>
    <t>EUE50FGPPB44E7</t>
  </si>
  <si>
    <t>BANDA S-E50 FLUSH GRID PP B. 44CMS E/5 C/30 I/4</t>
  </si>
  <si>
    <t>EUE50FGPPB48E76</t>
  </si>
  <si>
    <t>EUE50FGPPB50</t>
  </si>
  <si>
    <t>EUE50FG50CMSE5I</t>
  </si>
  <si>
    <t>BANDA S-E50 FLUSH GRID PP B. 50CMS E/5 I/6</t>
  </si>
  <si>
    <t>EUE50FGPPB58E.</t>
  </si>
  <si>
    <t>EUE50FGPPB58E6</t>
  </si>
  <si>
    <t>EUE50FGPPB58E7.</t>
  </si>
  <si>
    <t>EUE50FGPPB60E30</t>
  </si>
  <si>
    <t>EUE50FGPPB60E1</t>
  </si>
  <si>
    <t>BANDA S-E50 FLUSH GRID PP B. 60CMS E/10 C/70</t>
  </si>
  <si>
    <t>EUE50FGPPB66</t>
  </si>
  <si>
    <t>BANDA S-E50 FLUSH GRID PP B. 66CMS</t>
  </si>
  <si>
    <t>EUE50FGPPB66E10</t>
  </si>
  <si>
    <t>BANDA S-E50 FLUSH GRID PP B. 66CMS E/10 C/40 I/4</t>
  </si>
  <si>
    <t>EUE50FGPPB68E7.</t>
  </si>
  <si>
    <t>EUE50FGPPB70E4</t>
  </si>
  <si>
    <t>BANDA S-E50 FLUSH GRID PP B. 70CMS E/4 C/30 I/4</t>
  </si>
  <si>
    <t>EUE50FGPPB80E10</t>
  </si>
  <si>
    <t>EUE50FGPPB82E10</t>
  </si>
  <si>
    <t>EUE50FGPPB90E5</t>
  </si>
  <si>
    <t>EUE50FGPPB92E5</t>
  </si>
  <si>
    <t>BANDA S-E50 FLUSH GRID PP B. 92CMS E/5 C/30</t>
  </si>
  <si>
    <t>EUE925FGPPA16</t>
  </si>
  <si>
    <t>EUE925FGPPA22</t>
  </si>
  <si>
    <t>BANDA S-E925 FLUSH GRID PP A. 22CMS</t>
  </si>
  <si>
    <t>EUE925FGPPA42FF</t>
  </si>
  <si>
    <t>BANDA S-E925 FLUSH GRID PP A. 42CMS MFF C/25 I/6-16</t>
  </si>
  <si>
    <t>EUE925FGPPB66FF</t>
  </si>
  <si>
    <t>BANDA S-E925 FLUSH GRID PP B. 66CMS MFF C/20 I/4</t>
  </si>
  <si>
    <t>EUE93ACA15L</t>
  </si>
  <si>
    <t>EUE93FGACA34</t>
  </si>
  <si>
    <t>BANDA S-E93 FLUSH GRID AC A. 34CMS</t>
  </si>
  <si>
    <t>EUE93FGACA55</t>
  </si>
  <si>
    <t>BANDA S-E93 FLUSH GRID AC A. 55CMS</t>
  </si>
  <si>
    <t>EUE93FGACA67.5</t>
  </si>
  <si>
    <t>BANDA S-E93 FLUSH GRID AC A. 67.5CMS</t>
  </si>
  <si>
    <t>EUE93FGPPA17.5</t>
  </si>
  <si>
    <t>EUE93FGPPA40</t>
  </si>
  <si>
    <t>EUE93FGPPA45</t>
  </si>
  <si>
    <t>EUE93FGPPA60</t>
  </si>
  <si>
    <t>BANDA S-E93 FLUSH GRID PP A. 60CMS</t>
  </si>
  <si>
    <t>EUE93FGPPB30L</t>
  </si>
  <si>
    <t>BANDA S-E93 FLUSH GRID PP B. 30CMS C/LENGUETA</t>
  </si>
  <si>
    <t>EUE93FGPPB45</t>
  </si>
  <si>
    <t>BANDA S-E93 FLUSH GRID PP B. 45CMS</t>
  </si>
  <si>
    <t>EUE93FGPPB50L</t>
  </si>
  <si>
    <t>BANDA S-E93 FLUSH GRID PP B. 50CMS C/LENGUETA</t>
  </si>
  <si>
    <t>IN900BOGPPB8</t>
  </si>
  <si>
    <t>BANDA S900 OPEN GRID PP B. 8"</t>
  </si>
  <si>
    <t>UNSNB20PEN17.25</t>
  </si>
  <si>
    <t>BANDA UNI SNB M2-20 PE N. 17.25"</t>
  </si>
  <si>
    <t>UNISNB20PEN17.6</t>
  </si>
  <si>
    <t>BANDA UNI SNB M2-20 PE N. 17.6"</t>
  </si>
  <si>
    <t>UNSNB20PEN19.25</t>
  </si>
  <si>
    <t>BANDA UNI SNB M2-20 PE N. 19.25"</t>
  </si>
  <si>
    <t>UNISNB20PEN44.5</t>
  </si>
  <si>
    <t>BANDA UNI SNB M2-20 PE N. 44.5"</t>
  </si>
  <si>
    <t>UNISNB34PPA4</t>
  </si>
  <si>
    <t>UNISNB34PPA6</t>
  </si>
  <si>
    <t>UNISNB34PPA8</t>
  </si>
  <si>
    <t>REGW1873UPBKD/0</t>
  </si>
  <si>
    <t>CADENA REGINA GW1873TUPBSK325 3.048MTS</t>
  </si>
  <si>
    <t>VE1/2CANFE06</t>
  </si>
  <si>
    <t>1/2 CANDADO FE PASO 06B VE</t>
  </si>
  <si>
    <t>CH1/2CANFE35</t>
  </si>
  <si>
    <t>1/2 CANDADO FE PASO 35 CH</t>
  </si>
  <si>
    <t>RE126/P017</t>
  </si>
  <si>
    <t>CADENA REGINA 126 C/ADITAMIENTO D1</t>
  </si>
  <si>
    <t>REAG126/015</t>
  </si>
  <si>
    <t>CADENA REGINA AG126 788 MG C/GIUNTO - 10MTS</t>
  </si>
  <si>
    <t>RESS1068/000</t>
  </si>
  <si>
    <t>CADENA REGINA SS1068 10MT</t>
  </si>
  <si>
    <t>RESSA40/001</t>
  </si>
  <si>
    <t>CADENA REGINA SSA40 3.048MTS</t>
  </si>
  <si>
    <t>VECADSS06B-2/5M</t>
  </si>
  <si>
    <t>VECADFE40PH</t>
  </si>
  <si>
    <t>CADENA VERCELLI FE PASO 40 PIN HUECO 5MTS</t>
  </si>
  <si>
    <t>VECADSS2082-2</t>
  </si>
  <si>
    <t>VECADSS2080H2L6</t>
  </si>
  <si>
    <t>CADENA VERCELLI SS C2080H-SS2L6 3MT</t>
  </si>
  <si>
    <t>VECADSS06B-5</t>
  </si>
  <si>
    <t>CADENA VERCELLI SS PASO 06B 5MTS</t>
  </si>
  <si>
    <t>VECADSS20MM</t>
  </si>
  <si>
    <t>CADENA VERCELLI SS PASO 20MM C-304</t>
  </si>
  <si>
    <t>VECANFE40PH</t>
  </si>
  <si>
    <t>CANDADO FE PASO 40 PIN HUECO VE</t>
  </si>
  <si>
    <t>RE26D1/0126</t>
  </si>
  <si>
    <t>ESLABON REGINA 26D1/126</t>
  </si>
  <si>
    <t>REUSPGATMUP450C</t>
  </si>
  <si>
    <t>CADENA REGINA SX USPG ATM UPK450</t>
  </si>
  <si>
    <t>UND820K325</t>
  </si>
  <si>
    <t>REEV1874SKD/010</t>
  </si>
  <si>
    <t>CADENA REGINA EV1874TSSK325 3.048MTS</t>
  </si>
  <si>
    <t>RECV1874SKD/010</t>
  </si>
  <si>
    <t>CADENA REGINA EV1874TSSK325 3.048MTS  (NO USAR)</t>
  </si>
  <si>
    <t>REPG2815KL/000</t>
  </si>
  <si>
    <t>CADENA REGINA PG2815K750 3.048MTS</t>
  </si>
  <si>
    <t>REPG981TKD/000</t>
  </si>
  <si>
    <t>CADENA REGINA PG981TK325 3.048MTS</t>
  </si>
  <si>
    <t>REPHDG9157KL/00</t>
  </si>
  <si>
    <t>CADENA REGINA PHDG9157K750 3.048MTS</t>
  </si>
  <si>
    <t>RESS10126/00AMT</t>
  </si>
  <si>
    <t>CADENA REGINA SS10126 240 MG - 10MTS</t>
  </si>
  <si>
    <t>HUBB250X1</t>
  </si>
  <si>
    <t>B250X1 RODAMIENTO H. C.</t>
  </si>
  <si>
    <t>BRF4-212</t>
  </si>
  <si>
    <t>F4-212 CARCASA BROWNING 4H PA</t>
  </si>
  <si>
    <t>BRF4-216</t>
  </si>
  <si>
    <t>F4-216 CARCASA BROWNING 4H PA</t>
  </si>
  <si>
    <t>HUBFB250X1</t>
  </si>
  <si>
    <t>FB250X1 CHUMACERA H.C. 4H PA</t>
  </si>
  <si>
    <t>BRP-212</t>
  </si>
  <si>
    <t>P-212 CARCASA BROWNING PI</t>
  </si>
  <si>
    <t>BRP-219</t>
  </si>
  <si>
    <t>P-219 CARCASA BROWNING PI</t>
  </si>
  <si>
    <t>6002ZZC3</t>
  </si>
  <si>
    <t>RODAMIENTO 6002ZZC3</t>
  </si>
  <si>
    <t>6003ZZC3</t>
  </si>
  <si>
    <t>RODAMIENTO 6003ZZC3</t>
  </si>
  <si>
    <t>LDSF215</t>
  </si>
  <si>
    <t>SF215 CARCASA SS 4H PA</t>
  </si>
  <si>
    <t>LDSFL204</t>
  </si>
  <si>
    <t>SFL204 CARCASA SS 2H PA</t>
  </si>
  <si>
    <t>LDSP210</t>
  </si>
  <si>
    <t>SP210 CARCASA SS PI</t>
  </si>
  <si>
    <t>LDSP211</t>
  </si>
  <si>
    <t>SP211 CARCASA SS PI</t>
  </si>
  <si>
    <t>LDSSUCF210-31</t>
  </si>
  <si>
    <t>SSUCF210-31 CHUMACERA SS 4H PA 1.15/16"</t>
  </si>
  <si>
    <t>LDSSUCT210-32</t>
  </si>
  <si>
    <t>SSUCT210-32 CHUMACERA SS TS 2"</t>
  </si>
  <si>
    <t>LDSSUCTB205-16</t>
  </si>
  <si>
    <t>SSUCTB205-16 CHUMACERA SS TS 1"</t>
  </si>
  <si>
    <t>LDST206</t>
  </si>
  <si>
    <t>ST206 CARCASA SS TS</t>
  </si>
  <si>
    <t>LDST208</t>
  </si>
  <si>
    <t>ST208 CARCASA SS TS</t>
  </si>
  <si>
    <t>LDTPF208</t>
  </si>
  <si>
    <t>TP-F208 CARCASA TP 4H PA</t>
  </si>
  <si>
    <t>LDTPFL201</t>
  </si>
  <si>
    <t>TP-FL201 CARCASA TP 2H PA</t>
  </si>
  <si>
    <t>LDTPP201</t>
  </si>
  <si>
    <t>TP-P201 CARCASA TP PI</t>
  </si>
  <si>
    <t>LDTPSUCPA205-16</t>
  </si>
  <si>
    <t>TP-SUCPA205-16 CHUMACERA TP PI S/ALA 1"</t>
  </si>
  <si>
    <t>LDKUCFL201-8</t>
  </si>
  <si>
    <t>LDKUCFL205-16</t>
  </si>
  <si>
    <t>UCFL207-20</t>
  </si>
  <si>
    <t>UCFL207-20 CHUMACERA FE 2H PA 1.1/4"</t>
  </si>
  <si>
    <t>PI1ESOP001019</t>
  </si>
  <si>
    <t>CABEZAL ORIENTABLE D12 P/H205 C/T</t>
  </si>
  <si>
    <t>PICABO205-16.5</t>
  </si>
  <si>
    <t>CABEZAL ORIENTABLE D16.5 P/H205</t>
  </si>
  <si>
    <t>CVAR100</t>
  </si>
  <si>
    <t>CAJA P/CONTROL DE VELOCIDAD</t>
  </si>
  <si>
    <t>CC17011VIAR5004</t>
  </si>
  <si>
    <t>CC880K4502VR61</t>
  </si>
  <si>
    <t>CURVA 880 K450 2VIAS R=610 90º</t>
  </si>
  <si>
    <t>CC981K3251VIAT</t>
  </si>
  <si>
    <t>ESFERASS3/4"</t>
  </si>
  <si>
    <t>PLALUMENV</t>
  </si>
  <si>
    <t>PLATILLO DE ALUMINIO P/ENVOLVEDOR</t>
  </si>
  <si>
    <t>PI1FROL303100</t>
  </si>
  <si>
    <t>ROLDANA PIAZ BIP Z21 D25MM</t>
  </si>
  <si>
    <t>SEC1.5ER1</t>
  </si>
  <si>
    <t>SEGCUAD1.5</t>
  </si>
  <si>
    <t>SEGURO PLAST. E/CUAD. 1.5"</t>
  </si>
  <si>
    <t>PI1ESEP301001</t>
  </si>
  <si>
    <t>SEPARADOR SOPORTE BARANDA H14MM</t>
  </si>
  <si>
    <t>QDEJEPER4</t>
  </si>
  <si>
    <t>EJE PE UHMW RED 4"</t>
  </si>
  <si>
    <t>RO402448</t>
  </si>
  <si>
    <t>EJE ROCHLING PE UHMW 65MM</t>
  </si>
  <si>
    <t>KEK50LH</t>
  </si>
  <si>
    <t>ETIQUETADORA KETAN K50 LH</t>
  </si>
  <si>
    <t>KESET-AP3E</t>
  </si>
  <si>
    <t>SISTEMA DE ETIQUETADO SET-AP C/3 ESTRELLAS</t>
  </si>
  <si>
    <t>KESET-AP4E</t>
  </si>
  <si>
    <t>SISTEMA DE ETIQUETADO SET-AP C/4 ESTRELLAS</t>
  </si>
  <si>
    <t>EUE50UX50PPB10</t>
  </si>
  <si>
    <t>EMPUJADOR E50 LISO Y ANTIAD. PP B. 5X20CMS</t>
  </si>
  <si>
    <t>IN900EFGPPB6X1.</t>
  </si>
  <si>
    <t>EMPUJADOR S900 F.G. PP B. 6" ANC X 1.25" CT</t>
  </si>
  <si>
    <t>IN900EFGPPB61.2</t>
  </si>
  <si>
    <t>EMPUJADOR S900 F.G. PP B. 6" ANC X 1.25" LF</t>
  </si>
  <si>
    <t>IN900EFGPPB6.12</t>
  </si>
  <si>
    <t>EMPUJADOR S900 F.G. PP B. 6" ANC X 1.25" RH</t>
  </si>
  <si>
    <t>UNEMMPBPPPS3X6</t>
  </si>
  <si>
    <t>EMPUJADOR UNI MPB CUCH. PP PS3X6"</t>
  </si>
  <si>
    <t>EUA24MCFTPEA20</t>
  </si>
  <si>
    <t>MODULO CT A24 FT PE A. 20CMS</t>
  </si>
  <si>
    <t>EUB50MCFGPPB5</t>
  </si>
  <si>
    <t>MODULO CT B50 FG PP B. 10CMS</t>
  </si>
  <si>
    <t>RUC12MCFTACA4</t>
  </si>
  <si>
    <t>MODULO CT C12 FT AC A. 10CMS</t>
  </si>
  <si>
    <t>EUC12MCFTPEN6</t>
  </si>
  <si>
    <t>MODULO CT C12 FT PE N. 15CMS</t>
  </si>
  <si>
    <t>EUC12MCFTPPA4</t>
  </si>
  <si>
    <t>MODULO CT C12 FT PP A. 10CMS</t>
  </si>
  <si>
    <t>EUE30MCFGACA10</t>
  </si>
  <si>
    <t>MODULO CT E30 FG AC A. 10CMS</t>
  </si>
  <si>
    <t>EUE30MCFGACA19</t>
  </si>
  <si>
    <t>MODULO CT E30 FG AC A. 19CMS</t>
  </si>
  <si>
    <t>EUE30MCFGACA20</t>
  </si>
  <si>
    <t>MODULO CT E30 FG AC A. 20CMS</t>
  </si>
  <si>
    <t>EUE30MCFGACA25</t>
  </si>
  <si>
    <t>MODULO CT E30 FG AC A. 25CMS</t>
  </si>
  <si>
    <t>EUE30MCFGPEN20</t>
  </si>
  <si>
    <t>MODULO CT E30 FG PE N. 20CMS</t>
  </si>
  <si>
    <t>EUE30MCFGPPA10</t>
  </si>
  <si>
    <t>MODULO CT E30 FG PP A. 10CMS</t>
  </si>
  <si>
    <t>EUE30MCFGPPA15</t>
  </si>
  <si>
    <t>MODULO CT E30 FG PP A. 15CMS</t>
  </si>
  <si>
    <t>EUE30MCFGPPB25</t>
  </si>
  <si>
    <t>MODULO CT E30 FG PP B. 25CMS</t>
  </si>
  <si>
    <t>EUE30MCFGPPB30</t>
  </si>
  <si>
    <t>MODULO CT E30 FG PP B. 30CMS</t>
  </si>
  <si>
    <t>EUE30MCFGPPB35</t>
  </si>
  <si>
    <t>MODULO CT E30 FG PP B. 35CMS</t>
  </si>
  <si>
    <t>EUE30MCFTACA10</t>
  </si>
  <si>
    <t>MODULO CT E30 FT AC A. 10CMS</t>
  </si>
  <si>
    <t>EUE30MCFTACA20</t>
  </si>
  <si>
    <t>MODULO CT E30 FT AC A. 20CMS</t>
  </si>
  <si>
    <t>EUE30MFTPPA10</t>
  </si>
  <si>
    <t>MODULO CT E30 FT PP A. 10CMS</t>
  </si>
  <si>
    <t>EUE30MCFTPPB10</t>
  </si>
  <si>
    <t>MODULO CT E30 FT PP B. 10CMS</t>
  </si>
  <si>
    <t>EUE30MCFTPPB15</t>
  </si>
  <si>
    <t>MODULO CT E30 FT PP B. 15CMS</t>
  </si>
  <si>
    <t>EUE30MCFTPPB20</t>
  </si>
  <si>
    <t>MODULO CT E30 FT PP B. 20CMS</t>
  </si>
  <si>
    <t>EUE30MCFTPPB25</t>
  </si>
  <si>
    <t>MODULO CT E30 FT PP B. 25CMS</t>
  </si>
  <si>
    <t>EUE30MCFTPPB30</t>
  </si>
  <si>
    <t>MODULO CT E30 FT PP B. 30CMS</t>
  </si>
  <si>
    <t>EUE30MCFTPPB35</t>
  </si>
  <si>
    <t>MODULO CT E30 FT PP B. 35CMS</t>
  </si>
  <si>
    <t>EUE30MCOGPPB10</t>
  </si>
  <si>
    <t>MODULO CT E30 OG PP B. 10CMS</t>
  </si>
  <si>
    <t>ININ800MFTPPB6C</t>
  </si>
  <si>
    <t>MODULO S800 FLAT TOP PP B. 6 CT</t>
  </si>
  <si>
    <t>IN900OGPPB4LT</t>
  </si>
  <si>
    <t>MODULO S900 OPEN GRID PP B. 4" LT</t>
  </si>
  <si>
    <t>EUA24MTFTPEA10</t>
  </si>
  <si>
    <t>MODULO TM A24 FT PE A. 10CMS</t>
  </si>
  <si>
    <t>EUA24MTFTPEA20</t>
  </si>
  <si>
    <t>MODULO TM A24 FT PE A. 20CMS</t>
  </si>
  <si>
    <t>EUE30MTFFGACA15</t>
  </si>
  <si>
    <t>MODULO TM E30 FG AC A. 15CMS</t>
  </si>
  <si>
    <t>EUE30MTFGACA25</t>
  </si>
  <si>
    <t>MODULO TM E30 FG AC A. 25CMS</t>
  </si>
  <si>
    <t>EUE30MTFGPPA25</t>
  </si>
  <si>
    <t>MODULO TM E30 FG PP A. 25CMS</t>
  </si>
  <si>
    <t>EUE30MTFFGPPB25</t>
  </si>
  <si>
    <t>MODULO TM E30 FG PP B. 25CMS</t>
  </si>
  <si>
    <t>EUE30MTFTPPA15</t>
  </si>
  <si>
    <t>MODULO TM E30 FT PP B. 15CMS</t>
  </si>
  <si>
    <t>EUE30MTTFTPPB35</t>
  </si>
  <si>
    <t>MODULO TM E30 FT PP B. 35CMS</t>
  </si>
  <si>
    <t>EUE30MTSFGPPB30</t>
  </si>
  <si>
    <t>MODULO TRANSICION E30 FG PP B 30CMS</t>
  </si>
  <si>
    <t>EUE30MUFGPPB30</t>
  </si>
  <si>
    <t>MODULO UNICO E30 FG PP B. 30CMS</t>
  </si>
  <si>
    <t>EUVA55ACB300</t>
  </si>
  <si>
    <t>PASADOR AC/B 5.5MMX30CMS</t>
  </si>
  <si>
    <t>EUVA46ACN1050</t>
  </si>
  <si>
    <t>PASADOR AC/N 4.6MMX105CMS</t>
  </si>
  <si>
    <t>EUVA46ACN1500</t>
  </si>
  <si>
    <t>PASADOR AC/N 4.6MMX150CMS</t>
  </si>
  <si>
    <t>EUVA46ACN150</t>
  </si>
  <si>
    <t>PASADOR AC/N 4.6MMX15CMS</t>
  </si>
  <si>
    <t>EUVA46ACN400</t>
  </si>
  <si>
    <t>PASADOR AC/N 4.6MMX40CMS</t>
  </si>
  <si>
    <t>EUVA46ACN500</t>
  </si>
  <si>
    <t>PASADOR AC/N 4.6MMX50CMS</t>
  </si>
  <si>
    <t>EUVA46ACN600</t>
  </si>
  <si>
    <t>PASADOR AC/N 4.6MMX60CMS</t>
  </si>
  <si>
    <t>EUVA46ACN700</t>
  </si>
  <si>
    <t>PASADOR AC/N 4.6MMX70CMS</t>
  </si>
  <si>
    <t>EUVEMTACN500</t>
  </si>
  <si>
    <t>PASADOR AC/N 8MMX50CMS</t>
  </si>
  <si>
    <t>EUVA60IXN600</t>
  </si>
  <si>
    <t>PASADOR IX/N 6MMX60CMS</t>
  </si>
  <si>
    <t>EUVA60IXN860</t>
  </si>
  <si>
    <t>PASADOR IX/N 6MMX86CMS</t>
  </si>
  <si>
    <t>EUVA46PBTB900</t>
  </si>
  <si>
    <t>PASADOR PBT/B 4.6MMX90CMS</t>
  </si>
  <si>
    <t>EUVA46PEN400</t>
  </si>
  <si>
    <t>PASADOR PE/N 4.6MMX40CMS</t>
  </si>
  <si>
    <t>EUVA46PEN450</t>
  </si>
  <si>
    <t>PASADOR PE/N 4.6MMX45CMS</t>
  </si>
  <si>
    <t>EUVA46PEN500</t>
  </si>
  <si>
    <t>PASADOR PE/N 4.6MMX50CMS</t>
  </si>
  <si>
    <t>EUVA46PEN700</t>
  </si>
  <si>
    <t>PASADOR PE/N 4.6MMX70CMS</t>
  </si>
  <si>
    <t>EUVA60PEN400</t>
  </si>
  <si>
    <t>PASADOR PE/N 6MMX40CMS</t>
  </si>
  <si>
    <t>EUVA60PEN600</t>
  </si>
  <si>
    <t>PASADOR PE/N 6MMX60CMS</t>
  </si>
  <si>
    <t>EUVA60PEN800</t>
  </si>
  <si>
    <t>PASADOR PE/N 6MMX80CMS</t>
  </si>
  <si>
    <t>EUVA55PPB300</t>
  </si>
  <si>
    <t>PASADOR PP/B 5.5MMX30CM</t>
  </si>
  <si>
    <t>EUVA46PPN240</t>
  </si>
  <si>
    <t>PASADOR PP/N 4.6MMX24CMS</t>
  </si>
  <si>
    <t>EUVA46PPN250</t>
  </si>
  <si>
    <t>PASADOR PP/N 4.6MMX25CMS</t>
  </si>
  <si>
    <t>EUVA46PPN290</t>
  </si>
  <si>
    <t>PASADOR PP/N 4.6MMX29CMS</t>
  </si>
  <si>
    <t>EUVA46PPN350</t>
  </si>
  <si>
    <t>PASADOR PP/N 4.6MMX35CMS</t>
  </si>
  <si>
    <t>EUVA46PPN400</t>
  </si>
  <si>
    <t>PASADOR PP/N 4.6MMX40CMS</t>
  </si>
  <si>
    <t>EUVA46PPN800</t>
  </si>
  <si>
    <t>PASADOR PP/N 4.6MMX80CMS</t>
  </si>
  <si>
    <t>UNPANY66-05X113</t>
  </si>
  <si>
    <t>PASADOR UNI 66 -05 NY 113CMS</t>
  </si>
  <si>
    <t>UNPANY66-08X113</t>
  </si>
  <si>
    <t>PASADOR UNI 66 -08 NY 113CMS</t>
  </si>
  <si>
    <t>BRSUBOXO40</t>
  </si>
  <si>
    <t>BRAZO DE SUJECION P/REDUCTOR BOXO40</t>
  </si>
  <si>
    <t>BRSUBOXO50</t>
  </si>
  <si>
    <t>BRAZO DE SUJECION P/REDUCTOR BOXO50</t>
  </si>
  <si>
    <t>BRSUCM040</t>
  </si>
  <si>
    <t>BRAZO DE SUJECION P/REDUCTOR CM040</t>
  </si>
  <si>
    <t>M0.17KW1700RPMT</t>
  </si>
  <si>
    <t>MOTOR 0.17KW, 1700RPM, 220V TRIF.</t>
  </si>
  <si>
    <t>M0.18KW1426RPMM</t>
  </si>
  <si>
    <t>MOTOR 0.18KW, 1426RPM, 230V MONOF.</t>
  </si>
  <si>
    <t>M3/4HP1750RPMT</t>
  </si>
  <si>
    <t>MOTOR 3/4HP, 1750RPM, 220/440V TRIF</t>
  </si>
  <si>
    <t>SPS9D60-90</t>
  </si>
  <si>
    <t>CGM037KWI50SS50</t>
  </si>
  <si>
    <t>MOTORREDUCTOR CGT SS 0.37KW 230/400V 4P IP69 IMB14 TENV I50 I:50 71B14 B3 A/14</t>
  </si>
  <si>
    <t>CGM055KWI63SS45</t>
  </si>
  <si>
    <t>MOTORREDUCTOR CGT SS 0.55KW 230/400V 4P IP69 IMB14 TENV I63 I:45 80B14 B3 A/19</t>
  </si>
  <si>
    <t>CGM075KWI63SS45</t>
  </si>
  <si>
    <t>MOTORREDUCTOR CGT SS 0.75KW 230/400V 4P IP69 IMB14 TENV I63 I:45 80B14 B3 A/19</t>
  </si>
  <si>
    <t>CGM1.1KWI85SS52</t>
  </si>
  <si>
    <t>MOTORREDUCTOR CGT SS 1.1KW 230/400V 4P IP69 IMB14 TENV I85 I:52 90B14 B3</t>
  </si>
  <si>
    <t>CGM1.1KWI85SS74</t>
  </si>
  <si>
    <t>MOTORREDUCTOR CGT SS 1.1KW 230/400V 4P IP69 IMB14 TENV I85 I:74 90B14 B3</t>
  </si>
  <si>
    <t>CGM1.5KWI85SS52</t>
  </si>
  <si>
    <t>MOTORREDUCTOR CGT SS 1.5KW 230/400V 4P IP69 IMB14 TENV I85 I:52 90B14 B3</t>
  </si>
  <si>
    <t>CGM2.2KWI11SS64</t>
  </si>
  <si>
    <t>MOTORREDUCTOR CGT SS 2.2KW 230/400V 4P IP69 IMB14 TENV I11 I:64 100/112B14 B3</t>
  </si>
  <si>
    <t>MRED1.1/2HP21RP</t>
  </si>
  <si>
    <t>MOTORREDUCTOR ORTOG. 1.1/2HP, 21RPM, 220/440V, TRIF.</t>
  </si>
  <si>
    <t>MRED1/2HP17RPMT</t>
  </si>
  <si>
    <t>MOTORREDUCTOR ORTOG. 1/2HP, 17RPM, 220/440V TRIF.</t>
  </si>
  <si>
    <t>MRED1/2HP21RPMT</t>
  </si>
  <si>
    <t>MOTORREDUCTOR ORTOG. 1/2HP, 21RPM, 220/440V, I:60, TRIF.</t>
  </si>
  <si>
    <t>MRED1/2HP28RPMT</t>
  </si>
  <si>
    <t>MOTORREDUCTOR ORTOG. 1/2HP, 28RPM, 220/440V, I:60, TRIF.</t>
  </si>
  <si>
    <t>MRED1/2HP35RPMM</t>
  </si>
  <si>
    <t>MOTORREDUCTOR ORTOG. 1/2HP, 35RPM, 110/220V MONOF.</t>
  </si>
  <si>
    <t>MRED1/2HP35RPMT</t>
  </si>
  <si>
    <t>MOTORREDUCTOR ORTOG. 1/2HP, 35RPM, 220/220V TRIF.</t>
  </si>
  <si>
    <t>MRED1/2HP50RPMT</t>
  </si>
  <si>
    <t>MOTORREDUCTOR ORTOG. 1/2HP, 50RPM, 220/220V, I=30, TRIF.</t>
  </si>
  <si>
    <t>MRED1/3HP35RPMT</t>
  </si>
  <si>
    <t>MOTORREDUCTOR ORTOG. 1/3HP, 35RPM, 220/440 TRIF.</t>
  </si>
  <si>
    <t>MRED1/3HP56RPMT</t>
  </si>
  <si>
    <t>MOTORREDUCTOR ORTOG. 1/3HP, 56RPM, 220/440 TRIF.</t>
  </si>
  <si>
    <t>MRED1/4HP17RPMT</t>
  </si>
  <si>
    <t>MOTORREDUCTOR ORTOG. 1/4HP, 17RPM, 220/440 TRIF.</t>
  </si>
  <si>
    <t>MRED1/4HP20RPMM</t>
  </si>
  <si>
    <t>MOTORREDUCTOR ORTOG. 1/4HP, 20RPM, 110/220V MONOF.</t>
  </si>
  <si>
    <t>MRED1/4HP21RPMT</t>
  </si>
  <si>
    <t>MOTORREDUCTOR ORTOG. 1/4HP, 21RPM, 220/440 TRIF.</t>
  </si>
  <si>
    <t>MRED1/4HP28RPMM</t>
  </si>
  <si>
    <t>MOTORREDUCTOR ORTOG. 1/4HP, 28RPM, 110/220V MONOF.</t>
  </si>
  <si>
    <t>MRED1/4HP28RPMT</t>
  </si>
  <si>
    <t>MOTORREDUCTOR ORTOG. 1/4HP, 28RPM, 220/440V TRIF.</t>
  </si>
  <si>
    <t>MRED1/4HP29RPMT</t>
  </si>
  <si>
    <t>MOTORREDUCTOR ORTOG. 1/4HP, 29RPM, 220/440V TRIF.</t>
  </si>
  <si>
    <t>MRED1/4HP30RPMM</t>
  </si>
  <si>
    <t>MOTORREDUCTOR ORTOG. 1/4HP, 30RPM, 110/220V MONOF.</t>
  </si>
  <si>
    <t>MRED1/4HP35RPMM</t>
  </si>
  <si>
    <t>MOTORREDUCTOR ORTOG. 1/4HP, 35RPM, 110/220 MONOF.</t>
  </si>
  <si>
    <t>MRED1/4HP35RPMT</t>
  </si>
  <si>
    <t>MOTORREDUCTOR ORTOG. 1/4HP, 35RPM, 220/440 TRIF.</t>
  </si>
  <si>
    <t>MRED1/4HP43RPMT</t>
  </si>
  <si>
    <t>MOTORREDUCTOR ORTOG. 1/4HP, 43RPM, 220/440V TRIF.</t>
  </si>
  <si>
    <t>MRED1/4HP45RPMT</t>
  </si>
  <si>
    <t>MOTORREDUCTOR ORTOG. 1/4HP, 45RPM, 220/440V TRIF.</t>
  </si>
  <si>
    <t>MRED1/4HP58RPMT</t>
  </si>
  <si>
    <t>MOTORREDUCTOR ORTOG. 1/4HP, 58RPM, 220/440V TRIF.</t>
  </si>
  <si>
    <t>MRED1/6HP28RPMM</t>
  </si>
  <si>
    <t>MOTORREDUCTOR ORTOG. 1/6HP, 28RPM, 110/220V MONOF.</t>
  </si>
  <si>
    <t>MRED1/6HP35RPMT</t>
  </si>
  <si>
    <t>MOTORREDUCTOR ORTOG. 1/6HP, 35RPM, 220/440V TRIF.</t>
  </si>
  <si>
    <t>MRED1/8HP27RPMT</t>
  </si>
  <si>
    <t>MOTORREDUCTOR ORTOG. 1/8HP, 27RPM, I:50, 220/440V TRIF.</t>
  </si>
  <si>
    <t>MRED1/8HP86RPMT</t>
  </si>
  <si>
    <t>MOTORREDUCTOR ORTOG. 1/8HP, 86RPM, 220/440V TRIF.</t>
  </si>
  <si>
    <t>MRED1HP17RPMT</t>
  </si>
  <si>
    <t>MOTORREDUCTOR ORTOG. 1HP, 17RPM, 220/440V TRIF.</t>
  </si>
  <si>
    <t>MRED1HP30RPMT</t>
  </si>
  <si>
    <t>MOTORREDUCTOR ORTOG. 1HP, 30RPM, 220/440V, I:56.1 TRIF.</t>
  </si>
  <si>
    <t>MRED1HP34RPMT</t>
  </si>
  <si>
    <t>MOTORREDUCTOR ORTOG. 1HP, 34RPM, 220/440V TRIF.</t>
  </si>
  <si>
    <t>MRED1HP43RPMT</t>
  </si>
  <si>
    <t>MOTORREDUCTOR ORTOG. 1HP, 43RPM, 220/440V TRIF.</t>
  </si>
  <si>
    <t>MRED3/4HP28RPMT</t>
  </si>
  <si>
    <t>MOTORREDUCTOR ORTOG. 3/4HP, 28RPM, 220/440V, I:60, TRIF.</t>
  </si>
  <si>
    <t>MRED3/4HP29RPMT</t>
  </si>
  <si>
    <t>MOTORREDUCTOR ORTOG. 3/4HP, 29RPM, 220/440V TRIF.</t>
  </si>
  <si>
    <t>MRED3/4HP43RPMT</t>
  </si>
  <si>
    <t>MOTORREDUCTOR ORTOG. 3/4HP, 43RPM, 220/440V TRIF.</t>
  </si>
  <si>
    <t>MRED1/2HPRT100</t>
  </si>
  <si>
    <t>MOTORREDUCTOR ORTOG. E/ HUECO 1/2HP, 220V, 3PH , RATIO 100.</t>
  </si>
  <si>
    <t>MRED40I43RPMT</t>
  </si>
  <si>
    <t>MOTORREDUCTOR ORTOG. I:40, 43RPM, 1.21KW, 220V TRIF.</t>
  </si>
  <si>
    <t>MRED49I35RPMT</t>
  </si>
  <si>
    <t>MOTORREDUCTOR ORTOG. I:49, 35RPM, 0.83KW, 220V TRIF.</t>
  </si>
  <si>
    <t>MRED50I1580RPM2</t>
  </si>
  <si>
    <t>MOTORREDUCTOR ORTOG. I:50, 1580RPM, 3PH, 220V TRIF.</t>
  </si>
  <si>
    <t>MRED50I1630RMPT</t>
  </si>
  <si>
    <t>MOTORREDUCTOR ORTOG. I:50, 1630RPM, 0.1KW, 220V TRIF.</t>
  </si>
  <si>
    <t>MRED56I30RPMT</t>
  </si>
  <si>
    <t>MOTORREDUCTOR ORTOG. I:56, 30RPM, 0.19KW, 220V TRIF.</t>
  </si>
  <si>
    <t>MRED60I1580RPMT</t>
  </si>
  <si>
    <t>MOTORREDUCTOR ORTOG. I:60, 1580RPM, 0.07KW, 220V TRIF.</t>
  </si>
  <si>
    <t>MRED60I1600RPMT</t>
  </si>
  <si>
    <t>MOTORREDUCTOR ORTOG. I:60, 1600RPM, 0.18KW, 220-440V</t>
  </si>
  <si>
    <t>MRED80I1600RMP1</t>
  </si>
  <si>
    <t>MOTORREDUCTOR ORTOG. I:80, 1600RPM, 0.18KW, 110-220V</t>
  </si>
  <si>
    <t>HMBQ63FB03C0-MB</t>
  </si>
  <si>
    <t>REDUCTOR HM ALUM BQ63 I:15 E/HUECO 25MM</t>
  </si>
  <si>
    <t>HM3040D11306330</t>
  </si>
  <si>
    <t>REDUCTOR HM BQ30 I:40 14MM+D11Q30+63B14Q30</t>
  </si>
  <si>
    <t>HM4528D14457150</t>
  </si>
  <si>
    <t>REDUCTOR HM BQ45 I:28 18MM+D14Q45+71B14Q50</t>
  </si>
  <si>
    <t>HM7580D24759075</t>
  </si>
  <si>
    <t>REDUCTOR HM BQ75 I:80 30MM+D24Q75+90B14Q75</t>
  </si>
  <si>
    <t>RED63B14I15</t>
  </si>
  <si>
    <t>REDUCTOR ORTOGONAL BRIDA RELACION: 15 A 1, 63B14</t>
  </si>
  <si>
    <t>REDCM040I40</t>
  </si>
  <si>
    <t>REDUCTOR ORTOGONAL BRIDA RELACION: 40 A 1, CM040</t>
  </si>
  <si>
    <t>REDORTA75I25</t>
  </si>
  <si>
    <t>REDUCTOR ORTOGONAL MOTIVE ALUM 75 I:25 71B14</t>
  </si>
  <si>
    <t>REDORTA90I50</t>
  </si>
  <si>
    <t>REDUCTOR ORTOGONAL MOTIVE ALUM 90 I:50 P90B14 E/H 35MM C/B</t>
  </si>
  <si>
    <t>RED63B14I28</t>
  </si>
  <si>
    <t>REDUCTOR ORTOGONAL ROSSI REL: 28 A 1, 63B14</t>
  </si>
  <si>
    <t>SPSC9HC120</t>
  </si>
  <si>
    <t>REDUCTOR SPG I:120 SPSC9HC120</t>
  </si>
  <si>
    <t>BCNBR60250X30X6</t>
  </si>
  <si>
    <t>BANDA DE CAUCHO NBR60 250X30X6</t>
  </si>
  <si>
    <t>BPVCCRR12"</t>
  </si>
  <si>
    <t>BANPU1.5X30X7.9</t>
  </si>
  <si>
    <t>BANDA PU 1.5MMX30CMSX7.91MTS S/F</t>
  </si>
  <si>
    <t>BANPU1X14X98</t>
  </si>
  <si>
    <t>BANDA PU 1MMX14CMSX98CMS S/F</t>
  </si>
  <si>
    <t>BPVS1.2X105</t>
  </si>
  <si>
    <t>BANDA PVC 1.2MMX105MM U6AGS</t>
  </si>
  <si>
    <t>BPVC2X4.45X2.45</t>
  </si>
  <si>
    <t>BANDA PVC C/NEGRO 2MMX4.45MTSX2.45MTS</t>
  </si>
  <si>
    <t>630H100</t>
  </si>
  <si>
    <t>BANDA SINCRONA 630H100</t>
  </si>
  <si>
    <t>BANSINPU20T5815</t>
  </si>
  <si>
    <t>BANDA SINCRONA PU 20T5/815</t>
  </si>
  <si>
    <t>BANSINPU25T1081</t>
  </si>
  <si>
    <t>BANDA SINCRONA PU 25T10/810</t>
  </si>
  <si>
    <t>BANSUJSUP</t>
  </si>
  <si>
    <t>BANDA SUJETADOR SUPERIOR</t>
  </si>
  <si>
    <t>MT2.65CMX3.3C/G</t>
  </si>
  <si>
    <t>MALLA TEFLONADA C/ FIBRA DE VIDRIO 2.65 CM X 3.3 MTS C/GR.</t>
  </si>
  <si>
    <t>NDP-15BPT</t>
  </si>
  <si>
    <t>BOMBA NEUMATICA NDP-15BPT 1/2"</t>
  </si>
  <si>
    <t>730514</t>
  </si>
  <si>
    <t>FILTRO DE AIRE ER 730514</t>
  </si>
  <si>
    <t>731145</t>
  </si>
  <si>
    <t>FILTRO ER VTE10  731145</t>
  </si>
  <si>
    <t>MOLENV</t>
  </si>
  <si>
    <t>MOLDES PE P/ENVASES</t>
  </si>
  <si>
    <t>5263156000</t>
  </si>
  <si>
    <t>PALETA ER VTE10  5263156000</t>
  </si>
  <si>
    <t>5225736000</t>
  </si>
  <si>
    <t>SELLO ER  5225736000</t>
  </si>
  <si>
    <t>5225750000</t>
  </si>
  <si>
    <t>SELLO ER 5225750000</t>
  </si>
  <si>
    <t>PI1APRF005280</t>
  </si>
  <si>
    <t>PERFIL PIAZ C52 APM C/NE</t>
  </si>
  <si>
    <t>PI1APRF000284</t>
  </si>
  <si>
    <t>PERFIL PIAZ RECTANGULAR 4X90 APM C/V</t>
  </si>
  <si>
    <t>PIÑCS80B11</t>
  </si>
  <si>
    <t>PIÑON CS 11 DIENTES PASO 80</t>
  </si>
  <si>
    <t>VEPIÑSS08B16-2</t>
  </si>
  <si>
    <t>PIÑON DOBLE SS 16 DIENTES PASO 08-2 VE</t>
  </si>
  <si>
    <t>PIÑFE35B11</t>
  </si>
  <si>
    <t>PIÑON FE 11 DIENTES PASO 35</t>
  </si>
  <si>
    <t>CHPIÑFE35B11</t>
  </si>
  <si>
    <t>PIÑON FE 11 DIENTES PASO 35 CH</t>
  </si>
  <si>
    <t>CHPIÑFE40B11</t>
  </si>
  <si>
    <t>PIÑON FE 11 DIENTES PASO 40 CH</t>
  </si>
  <si>
    <t>PIÑFE80B11</t>
  </si>
  <si>
    <t>PIÑON FE 11 DIENTES PASO 80</t>
  </si>
  <si>
    <t>VEPIÑFE120B12</t>
  </si>
  <si>
    <t>PIÑFE40B15</t>
  </si>
  <si>
    <t>PIÑON FE 15 DIENTES PASO 40</t>
  </si>
  <si>
    <t>CHPIÑFE35B19</t>
  </si>
  <si>
    <t>PIÑON FE 19 DIENTES PASO 35 CH</t>
  </si>
  <si>
    <t>PIÑFE40B19</t>
  </si>
  <si>
    <t>PIÑON FE 19 DIENTES PASO 40</t>
  </si>
  <si>
    <t>PIÑFE35B26</t>
  </si>
  <si>
    <t>PIÑON FE 26 DIENTES PASO 35</t>
  </si>
  <si>
    <t>CHPIÑFE35B30</t>
  </si>
  <si>
    <t>PIÑON FE 30 DIENTES PASO 35 CH</t>
  </si>
  <si>
    <t>PIÑFE35B31</t>
  </si>
  <si>
    <t>PIÑON FE 31 DIENTES PASO 35</t>
  </si>
  <si>
    <t>PIÑFE35B33</t>
  </si>
  <si>
    <t>PIÑON FE 33 DIENTES PASO 35</t>
  </si>
  <si>
    <t>CHPIÑFE35B35</t>
  </si>
  <si>
    <t>PIÑON FE 35 DIENTES PASO 35 CH</t>
  </si>
  <si>
    <t>ITPIÑFE40B18</t>
  </si>
  <si>
    <t>PIÑON INTERMEC FE 18 DIENTES PASO 40</t>
  </si>
  <si>
    <t>ITPIÑSS80B10</t>
  </si>
  <si>
    <t>ITPIÑSS60B22</t>
  </si>
  <si>
    <t>PIÑON INTERMEC SS 22 DIENTES PASO 60</t>
  </si>
  <si>
    <t>ITPIÑSS60B30</t>
  </si>
  <si>
    <t>PIÑON INTERMEC SS 30 DIENTES PASO 60</t>
  </si>
  <si>
    <t>VEPIÑSS60B18</t>
  </si>
  <si>
    <t>PIÑON SS 18 DIENTES PASO 60 VE</t>
  </si>
  <si>
    <t>VEPIÑSS40B42</t>
  </si>
  <si>
    <t>PIÑON SS 42 DIENTES PASO 40 VE</t>
  </si>
  <si>
    <t>EUB50Z06C40ACBA</t>
  </si>
  <si>
    <t>PIÑON B50 AC/B Z06 E/C 40MM C/ADAP E/R 1"</t>
  </si>
  <si>
    <t>PIÑPE820Z21D25</t>
  </si>
  <si>
    <t>PIÑ600ACBZ10R1.</t>
  </si>
  <si>
    <t>IN900PN6.1ER1</t>
  </si>
  <si>
    <t>FD-620-10R</t>
  </si>
  <si>
    <t>CABLE DE FIBRA OPTICA FLEX P/SENSOR FD-620-10R</t>
  </si>
  <si>
    <t>BF4RP</t>
  </si>
  <si>
    <t>CONTROLADOR P/FIBRA OPTICA NPN 12/24VDC BF4RP</t>
  </si>
  <si>
    <t>KE16145</t>
  </si>
  <si>
    <t>FIRMWARE CHIP P/CONTROLADOR ETIQ DE AMPOLLAS</t>
  </si>
  <si>
    <t>HIIJP-WRCD</t>
  </si>
  <si>
    <t>PFBRN-GT4310</t>
  </si>
  <si>
    <t>SENSOR DE FIBRA OPTICA PFB-RN/GT4310</t>
  </si>
  <si>
    <t>PFB-RP/LL3</t>
  </si>
  <si>
    <t>SENSOR DE FIBRA OPTICA PFB-RP/LL3</t>
  </si>
  <si>
    <t>OMSENE3ZD61</t>
  </si>
  <si>
    <t>BR100-DDT-P</t>
  </si>
  <si>
    <t>SENSOR DE PRODUCTO PNP BR100-DDT-P</t>
  </si>
  <si>
    <t>IME18-08NPSZW2S</t>
  </si>
  <si>
    <t>SENSOR INDUCTIVO IME18-08NPSZW2S</t>
  </si>
  <si>
    <t>PEGLD3RT115</t>
  </si>
  <si>
    <t>SENSOR P/ETIQUETAS PEPPERL GLD3-RT/115B C/C V1-G-YE2M</t>
  </si>
  <si>
    <t>KEAENV</t>
  </si>
  <si>
    <t>ALINEADOR DE ENVASES KETAN</t>
  </si>
  <si>
    <t>ELESSZ</t>
  </si>
  <si>
    <t>ELEVADOR INOX. EN Z Y TOLVA DE ACUMULACION</t>
  </si>
  <si>
    <t>MGIRFE</t>
  </si>
  <si>
    <t>MESA GIRATORIA DE HIERRO</t>
  </si>
  <si>
    <t>MGIRSS</t>
  </si>
  <si>
    <t>MESA GIRATORIA SS</t>
  </si>
  <si>
    <t>SETK200LH/RH</t>
  </si>
  <si>
    <t>SISTEMA DE ETIQUETADO C/ETIQ. K200 LH/RH</t>
  </si>
  <si>
    <t>STRANMACUEST1.1</t>
  </si>
  <si>
    <t>SISTEMA TRANSPORTADOR C/M ACUM Y ESTUCHADO 1.15 MTS X 3 MTS</t>
  </si>
  <si>
    <t>SUJETADORSS</t>
  </si>
  <si>
    <t>SUJETADOR SUPERIOR SS</t>
  </si>
  <si>
    <t>TCSSC3.1/4X3.5</t>
  </si>
  <si>
    <t>TRANSPORTADOR CURVO SS C/C 3.1/4"X3.5MTS</t>
  </si>
  <si>
    <t>TELEFEB48X4.5</t>
  </si>
  <si>
    <t>TRANSPORTADOR DE ELEVACION FE C/B 48CMSX4.5MTS</t>
  </si>
  <si>
    <t>TELEGABPVC45X4</t>
  </si>
  <si>
    <t>TRANSPORTADOR DE ELEVACION GALV. C/B PVC 45CMSX4MTS</t>
  </si>
  <si>
    <t>TELESSB40X1.5</t>
  </si>
  <si>
    <t>TRANSPORTADOR DE ELEVACION SS C/B 40CMSX1.5 MTS</t>
  </si>
  <si>
    <t>TELESSB40X2.2</t>
  </si>
  <si>
    <t>TRANSPORTADOR DE ELEVACION SS C/B 40CMSX2.20 MTS</t>
  </si>
  <si>
    <t>TELESSB46X3.6</t>
  </si>
  <si>
    <t>TRANSPORTADOR DE ELEVACION SS C/B 46CMSX3.60 MTS</t>
  </si>
  <si>
    <t>TELESSB52X7</t>
  </si>
  <si>
    <t>TRANSPORTADOR DE ELEVACION SS C/B 52CMSX7MTS</t>
  </si>
  <si>
    <t>TFEB60X6.3</t>
  </si>
  <si>
    <t>TRANSPORTADOR FE C/B 60CMSX6.3MTS</t>
  </si>
  <si>
    <t>TFEB40X2.4</t>
  </si>
  <si>
    <t>TRANSPORTADOR FE C/B E30 F.T. 40CMSX2.4MTS</t>
  </si>
  <si>
    <t>TFE7.1/2X1.22</t>
  </si>
  <si>
    <t>TFE7.1/2X2.4</t>
  </si>
  <si>
    <t>TRANSPORTADOR FE C/C 7.1/2"X2.4MTS</t>
  </si>
  <si>
    <t>TSSB25X1.22</t>
  </si>
  <si>
    <t>TRANSPORTADOR SS C/B 25CMSX1.22MTS</t>
  </si>
  <si>
    <t>TSSB35X1</t>
  </si>
  <si>
    <t>TRANSPORTADOR SS C/B 35CMSX1MTS</t>
  </si>
  <si>
    <t>TSSB35X60</t>
  </si>
  <si>
    <t>TRANSPORTADOR SS C/B 35CMSX60CMS</t>
  </si>
  <si>
    <t>TSSB40X1.3</t>
  </si>
  <si>
    <t>TRANSPORTADOR SS C/B 40CMSX1.3MTS</t>
  </si>
  <si>
    <t>TSSB40X1</t>
  </si>
  <si>
    <t>TRANSPORTADOR SS C/B 40CMSX1MTS</t>
  </si>
  <si>
    <t>TSSB45X1.5</t>
  </si>
  <si>
    <t>TRANSPORTADOR SS C/B 45CMSX1.5MTS</t>
  </si>
  <si>
    <t>TSSB46X4.2</t>
  </si>
  <si>
    <t>TRANSPORTADOR SS C/B 46CMSX4.20MTS</t>
  </si>
  <si>
    <t>TSSB60X2</t>
  </si>
  <si>
    <t>TRANSPORTADOR SS C/B 60CMSX2MTS</t>
  </si>
  <si>
    <t>TSSBPVC20X3.6</t>
  </si>
  <si>
    <t>TRANSPORTADOR SS C/B PVC 20CMSX3.6MTS</t>
  </si>
  <si>
    <t>TSSBPVC75X2</t>
  </si>
  <si>
    <t>TSSC10X1.4</t>
  </si>
  <si>
    <t>TRANSPORTADOR SS C/C 10"X1.40MTS</t>
  </si>
  <si>
    <t>TSSC3.1/4X1.22</t>
  </si>
  <si>
    <t>TRANSPORTADOR SS C/C 3.1/4"X1.22MTS</t>
  </si>
  <si>
    <t>TSSC3.1/4X1.8</t>
  </si>
  <si>
    <t>TRANSPORTADOR SS C/C 3.1/4"X1.8MTS</t>
  </si>
  <si>
    <t>TSSC3.1/4X2.2</t>
  </si>
  <si>
    <t>TRANSPORTADOR SS C/C 3.1/4"X2.2MTS</t>
  </si>
  <si>
    <t>TSSC3.1/4X2.5</t>
  </si>
  <si>
    <t>TRANSPORTADOR SS C/C 3.1/4"X2.5MTS</t>
  </si>
  <si>
    <t>TSSC6X2</t>
  </si>
  <si>
    <t>TRANSPORTADOR SS C/C 6"X2MTS</t>
  </si>
  <si>
    <t>TSSC6X3.5</t>
  </si>
  <si>
    <t>TRANSPORTADOR SS C/C 6"X3.5 MTS</t>
  </si>
  <si>
    <t>TSSC7.1/2X2.5</t>
  </si>
  <si>
    <t>TRANSPORTADOR SS C/C 7.1/2"X2.5MTS</t>
  </si>
  <si>
    <t>TSSCSS3.1/4X2.5</t>
  </si>
  <si>
    <t>TRANSPORTADOR SS C/C SS 3.1/4"X2.5MTS</t>
  </si>
  <si>
    <t>TSSCSS3.1/4X3</t>
  </si>
  <si>
    <t>TRANSPORTADOR SS C/C SS 3.1/4"X3MTS</t>
  </si>
  <si>
    <t>TSSCSS7.1/2X2.5</t>
  </si>
  <si>
    <t>TRANSPORTADOR SS C/C SS 7.1/2"X2.5MTS</t>
  </si>
  <si>
    <t>TSSROD60X1.7</t>
  </si>
  <si>
    <t>TRANSPORTADOR SS DE RODILLO 60CMSX1.7MTS</t>
  </si>
  <si>
    <t>01100</t>
  </si>
  <si>
    <t>01000</t>
  </si>
  <si>
    <t>01863</t>
  </si>
  <si>
    <t>01489</t>
  </si>
  <si>
    <t>01891</t>
  </si>
  <si>
    <t>03437</t>
  </si>
  <si>
    <t>BANDA S-E30 FLUSH GRID PP B. 91CMS MOG C/21</t>
  </si>
  <si>
    <t>EU30FGPPB91OG21</t>
  </si>
  <si>
    <t>03438</t>
  </si>
  <si>
    <t>BANDA S-E30 FLUSH Y OPEN GRID PP A. 80CMS</t>
  </si>
  <si>
    <t>EUE30FYOGPPA80</t>
  </si>
  <si>
    <t>01235</t>
  </si>
  <si>
    <t>01152</t>
  </si>
  <si>
    <t>00842</t>
  </si>
  <si>
    <t>00964</t>
  </si>
  <si>
    <t>00885</t>
  </si>
  <si>
    <t>03439</t>
  </si>
  <si>
    <t>02433</t>
  </si>
  <si>
    <t>03435</t>
  </si>
  <si>
    <t>TP-SUCF203 CHUMACERA TP 4H PA 17MM</t>
  </si>
  <si>
    <t>LDTPSUCF203</t>
  </si>
  <si>
    <t>02024</t>
  </si>
  <si>
    <t>01043</t>
  </si>
  <si>
    <t>03431</t>
  </si>
  <si>
    <t>03430</t>
  </si>
  <si>
    <t>03436</t>
  </si>
  <si>
    <t>02509</t>
  </si>
  <si>
    <t>01504</t>
  </si>
  <si>
    <t>02756</t>
  </si>
  <si>
    <t>02292</t>
  </si>
  <si>
    <t>03434</t>
  </si>
  <si>
    <t>PIÑON NY 1700 Z10 D25MM</t>
  </si>
  <si>
    <t>CPNY1700Z10D25</t>
  </si>
  <si>
    <t>01279</t>
  </si>
  <si>
    <t>01955</t>
  </si>
  <si>
    <t>01700</t>
  </si>
  <si>
    <t>01640</t>
  </si>
  <si>
    <t>03446</t>
  </si>
  <si>
    <t>BANDA S-B50 FLAT TOP PP B. 50CMS E/5 C/30 I/4</t>
  </si>
  <si>
    <t>EUB50FTPPB50E5</t>
  </si>
  <si>
    <t>03445</t>
  </si>
  <si>
    <t>BANDA S-B50 FLUSH GRID PP B. 50CMS</t>
  </si>
  <si>
    <t>EUB50FGPPB50</t>
  </si>
  <si>
    <t>03444</t>
  </si>
  <si>
    <t>BANDA S-B50 FLUSH GRID PP B. 50CMS E/5 C/40 I/4</t>
  </si>
  <si>
    <t>EUB50FGPPB50E5</t>
  </si>
  <si>
    <t>03442</t>
  </si>
  <si>
    <t>BANDA S-E30 FLAT TOP PP B. 60CMS E/5 C/51 I/4</t>
  </si>
  <si>
    <t>EUE30FTPPB60E5</t>
  </si>
  <si>
    <t>01938</t>
  </si>
  <si>
    <t>01153</t>
  </si>
  <si>
    <t>03447</t>
  </si>
  <si>
    <t>BANDA S-E30 FLUSH GRID PP A. 36CMS MTF C/12 I/4</t>
  </si>
  <si>
    <t>EUE30FGPPA36TF1</t>
  </si>
  <si>
    <t>03448</t>
  </si>
  <si>
    <t>BANDA S-E30 FLUSH GRID PP B. 60CMS E/3.8 C/21</t>
  </si>
  <si>
    <t>EU30FGPPB60E3.8</t>
  </si>
  <si>
    <t>02915</t>
  </si>
  <si>
    <t>01377</t>
  </si>
  <si>
    <t>03440</t>
  </si>
  <si>
    <t>00302</t>
  </si>
  <si>
    <t>00308</t>
  </si>
  <si>
    <t>03443</t>
  </si>
  <si>
    <t>SUC210-31 RODAMIENTO SS 1.15/16</t>
  </si>
  <si>
    <t>01756</t>
  </si>
  <si>
    <t>02432</t>
  </si>
  <si>
    <t>02452</t>
  </si>
  <si>
    <t>HASTA 4 A 6 LINEAS</t>
  </si>
  <si>
    <t>02593</t>
  </si>
  <si>
    <t>03106</t>
  </si>
  <si>
    <t>03427</t>
  </si>
  <si>
    <t>00480</t>
  </si>
  <si>
    <t>03118</t>
  </si>
  <si>
    <t>00510</t>
  </si>
  <si>
    <t>02369</t>
  </si>
  <si>
    <t>02466</t>
  </si>
  <si>
    <t>03441</t>
  </si>
  <si>
    <t>01506</t>
  </si>
  <si>
    <t>00913</t>
  </si>
  <si>
    <t>01212</t>
  </si>
  <si>
    <t>01987</t>
  </si>
  <si>
    <t>01989</t>
  </si>
  <si>
    <t>EUC12FTPEN190</t>
  </si>
  <si>
    <t>BANDA S-E30 FLAT TOP PP B. 30CMS E/7.5 C/18 I/3</t>
  </si>
  <si>
    <t>EU30FTPPB30E7.5</t>
  </si>
  <si>
    <t>BANDA S-E30 FLAT TOP PP B. 30CMS MFF C/12 I/5</t>
  </si>
  <si>
    <t>EUE30FTPPB30MFF</t>
  </si>
  <si>
    <t>BANDA S-E30 FLAT TOP PP B. 36CMS E/7.5 C/18 I/3</t>
  </si>
  <si>
    <t>EUE30FTPPB36E7C</t>
  </si>
  <si>
    <t>BANDA S-E30 FLUSH GRID PP B. 15CMS MOG C/30 I/3</t>
  </si>
  <si>
    <t>EU30FGPPB15OGC3</t>
  </si>
  <si>
    <t>01398</t>
  </si>
  <si>
    <t>00963</t>
  </si>
  <si>
    <t>03083</t>
  </si>
  <si>
    <t>02381</t>
  </si>
  <si>
    <t>00420</t>
  </si>
  <si>
    <t>03326</t>
  </si>
  <si>
    <t>PASADOR PE/N 4.6MMX60CMS</t>
  </si>
  <si>
    <t>EUVA46PEN600</t>
  </si>
  <si>
    <t>02063</t>
  </si>
  <si>
    <t>02088</t>
  </si>
  <si>
    <t>03432</t>
  </si>
  <si>
    <t>03433</t>
  </si>
  <si>
    <t>03449</t>
  </si>
  <si>
    <t>BANDA S-E30 FLUSH GRID PP B. 15CMS MOG C/30 IFG/3</t>
  </si>
  <si>
    <t>03370</t>
  </si>
  <si>
    <t>02726</t>
  </si>
  <si>
    <t>02859</t>
  </si>
  <si>
    <t>03196</t>
  </si>
  <si>
    <t>BANDA S-E30 FLUSH GRID PP B. 20CMS MOG C/12 IFG/4</t>
  </si>
  <si>
    <t>00049</t>
  </si>
  <si>
    <t>BANDA S-B50 FLAT TOP PP B. 50CMS E/5 C/40 I/4</t>
  </si>
  <si>
    <t>03452</t>
  </si>
  <si>
    <t>BANDA S-E30 FLAT TOP AC A. 20CMS</t>
  </si>
  <si>
    <t>EUE30FTACA20</t>
  </si>
  <si>
    <t>00847</t>
  </si>
  <si>
    <t>03451</t>
  </si>
  <si>
    <t>00857</t>
  </si>
  <si>
    <t>01413</t>
  </si>
  <si>
    <t>02950</t>
  </si>
  <si>
    <t>01219</t>
  </si>
  <si>
    <t>01822</t>
  </si>
  <si>
    <t>01102</t>
  </si>
  <si>
    <t>00158</t>
  </si>
  <si>
    <t>00484</t>
  </si>
  <si>
    <t>MORSETE TEC PLAST P/PERF CONICO</t>
  </si>
  <si>
    <t>00169</t>
  </si>
  <si>
    <t>00489</t>
  </si>
  <si>
    <t>00943</t>
  </si>
  <si>
    <t>MODULO TM E30 FT PP B. 25CMS</t>
  </si>
  <si>
    <t>EUE30MTFFTPPB25</t>
  </si>
  <si>
    <t>02326</t>
  </si>
  <si>
    <t>02701</t>
  </si>
  <si>
    <t>01146</t>
  </si>
  <si>
    <t>01059</t>
  </si>
  <si>
    <t>03455</t>
  </si>
  <si>
    <t>BANDA S-E30 FLUSH Y OPEN GRID PP A. 120CMS</t>
  </si>
  <si>
    <t>EUE30FYOGPPA120</t>
  </si>
  <si>
    <t>03046</t>
  </si>
  <si>
    <t>00692</t>
  </si>
  <si>
    <t>03347</t>
  </si>
  <si>
    <t>BANDA S-C12 FLUSH GRID PE N. 45CMS</t>
  </si>
  <si>
    <t>EUC12FGPEN45</t>
  </si>
  <si>
    <t>03344</t>
  </si>
  <si>
    <t>BANDA S-E30 FLUSH GRID PP B. 60CMS E/2.5 C/39 I/5</t>
  </si>
  <si>
    <t>EUE30FGPPB60E2.</t>
  </si>
  <si>
    <t>03349</t>
  </si>
  <si>
    <t>BANDA S-E50 FLUSH GRID PE A. 80CMS</t>
  </si>
  <si>
    <t>EUE50FGPEA80</t>
  </si>
  <si>
    <t>03275</t>
  </si>
  <si>
    <t>01724</t>
  </si>
  <si>
    <t>PIÑON NY/N 1700 Z10 D25MM</t>
  </si>
  <si>
    <t>CPNYN1700Z10D25</t>
  </si>
  <si>
    <t>02379</t>
  </si>
  <si>
    <t>CORTE AL 31-12-2025</t>
  </si>
  <si>
    <t>ID</t>
  </si>
  <si>
    <t>INTEGRANTES</t>
  </si>
  <si>
    <t>FECHA DEL EQUIPO</t>
  </si>
  <si>
    <t>MANUEL Y JORGE</t>
  </si>
  <si>
    <t>CARLOS Y MARTA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</si>
</sst>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0" fontId="5" fillId="0" borderId="0"/>
    <xf numFmtId="0" fontId="1" fillId="0" borderId="0"/>
  </cellStyleXfs>
  <cellXfs count="13">
    <xf numFmtId="0" fontId="0" fillId="0" borderId="0" xfId="0"/>
    <xf numFmtId="0" fontId="1" fillId="0" borderId="0" xfId="1" applyFont="1"/>
    <xf numFmtId="0" fontId="2" fillId="0" borderId="0" xfId="1"/>
    <xf numFmtId="0" fontId="3" fillId="0" borderId="0" xfId="1" applyFont="1"/>
    <xf numFmtId="0" fontId="2" fillId="0" borderId="0" xfId="2"/>
    <xf numFmtId="0" fontId="0" fillId="2" borderId="0" xfId="0" applyFill="1"/>
    <xf numFmtId="14" fontId="0" fillId="0" borderId="0" xfId="0" applyNumberFormat="1"/>
    <xf numFmtId="0" fontId="4" fillId="0" borderId="0" xfId="1" applyFont="1"/>
    <xf numFmtId="2" fontId="4" fillId="0" borderId="0" xfId="1" applyNumberFormat="1" applyFont="1"/>
    <xf numFmtId="2" fontId="1" fillId="0" borderId="0" xfId="1" applyNumberFormat="1" applyFont="1"/>
    <xf numFmtId="2" fontId="0" fillId="0" borderId="0" xfId="0" applyNumberFormat="1"/>
    <xf numFmtId="0" fontId="5" fillId="0" borderId="0" xfId="3"/>
    <xf numFmtId="0" fontId="0" fillId="0" borderId="0" xfId="0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5C0994D3-BDA6-4909-A781-4D329D223656}"/>
    <cellStyle name="Normal 4" xfId="3" xr:uid="{C43F9087-7377-4D35-8DB4-F110C30E3E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uayastecadmin-my.sharepoint.com/personal/jose-mejia-ener_guayastec_edu_ec/Documents/Inventario2025/CORTES/CHUMACERAS%20D1-13-12-2025/INVENTARIO-D1-13-12-2025.xlsx" TargetMode="External"/><Relationship Id="rId1" Type="http://schemas.openxmlformats.org/officeDocument/2006/relationships/externalLinkPath" Target="/personal/jose-mejia-ener_guayastec_edu_ec/Documents/Inventario2025/CORTES/CHUMACERAS%20D1-13-12-2025/INVENTARIO-D1-13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DI"/>
      <sheetName val="MAQUI"/>
      <sheetName val="ASCINTEC"/>
      <sheetName val="EQUIPOS"/>
      <sheetName val="PRODUCTOS"/>
      <sheetName val="LINEAS"/>
    </sheetNames>
    <sheetDataSet>
      <sheetData sheetId="0">
        <row r="1">
          <cell r="C1" t="str">
            <v>codproducto</v>
          </cell>
          <cell r="D1" t="str">
            <v>bod_pk</v>
          </cell>
          <cell r="E1" t="str">
            <v>lin_pk</v>
          </cell>
          <cell r="F1" t="str">
            <v>deslinea</v>
          </cell>
          <cell r="G1" t="str">
            <v>bodega</v>
          </cell>
          <cell r="H1" t="str">
            <v>fecha</v>
          </cell>
          <cell r="I1" t="str">
            <v>numcom</v>
          </cell>
          <cell r="J1" t="str">
            <v>sin_stock</v>
          </cell>
          <cell r="K1" t="str">
            <v>sin_costot</v>
          </cell>
          <cell r="L1" t="str">
            <v>sin_cosuni</v>
          </cell>
          <cell r="M1" t="str">
            <v>sin_ultcos</v>
          </cell>
          <cell r="N1" t="str">
            <v>referencia</v>
          </cell>
          <cell r="O1" t="str">
            <v>uso</v>
          </cell>
          <cell r="P1" t="str">
            <v>marca</v>
          </cell>
          <cell r="Q1" t="str">
            <v>precio</v>
          </cell>
          <cell r="R1" t="str">
            <v>unidad</v>
          </cell>
          <cell r="S1" t="str">
            <v>conver</v>
          </cell>
          <cell r="T1" t="str">
            <v>stockconv</v>
          </cell>
          <cell r="U1" t="str">
            <v>uniconv</v>
          </cell>
          <cell r="V1" t="str">
            <v>tit_pk</v>
          </cell>
          <cell r="W1" t="str">
            <v>cosuniconv</v>
          </cell>
        </row>
        <row r="2">
          <cell r="C2" t="str">
            <v>MEKMETIL</v>
          </cell>
          <cell r="D2" t="str">
            <v>PRINC</v>
          </cell>
          <cell r="E2" t="str">
            <v>00003</v>
          </cell>
          <cell r="F2" t="str">
            <v>ADITIVOS</v>
          </cell>
          <cell r="G2" t="str">
            <v>PRINCIPAL</v>
          </cell>
          <cell r="H2">
            <v>46004</v>
          </cell>
          <cell r="I2" t="str">
            <v>SALDO INICIAL</v>
          </cell>
          <cell r="J2">
            <v>2</v>
          </cell>
          <cell r="K2">
            <v>5.9001210000000004</v>
          </cell>
          <cell r="L2">
            <v>2.9500600000000001</v>
          </cell>
          <cell r="M2">
            <v>2.9500605000000002</v>
          </cell>
          <cell r="N2" t="str">
            <v/>
          </cell>
          <cell r="O2" t="str">
            <v/>
          </cell>
          <cell r="P2" t="str">
            <v/>
          </cell>
          <cell r="Q2">
            <v>15</v>
          </cell>
          <cell r="R2" t="str">
            <v>LT</v>
          </cell>
          <cell r="S2">
            <v>0</v>
          </cell>
          <cell r="T2">
            <v>0</v>
          </cell>
          <cell r="U2" t="str">
            <v/>
          </cell>
          <cell r="V2" t="str">
            <v>PRO10</v>
          </cell>
          <cell r="W2">
            <v>0</v>
          </cell>
        </row>
        <row r="3">
          <cell r="C3" t="str">
            <v>HIS1018</v>
          </cell>
          <cell r="D3" t="str">
            <v>PRINC</v>
          </cell>
          <cell r="E3" t="str">
            <v>00003</v>
          </cell>
          <cell r="F3" t="str">
            <v>ADITIVOS</v>
          </cell>
          <cell r="G3" t="str">
            <v>PRINCIPAL</v>
          </cell>
          <cell r="H3">
            <v>46004</v>
          </cell>
          <cell r="I3" t="str">
            <v>SALDO INICIAL</v>
          </cell>
          <cell r="J3">
            <v>141</v>
          </cell>
          <cell r="K3">
            <v>2004.312664</v>
          </cell>
          <cell r="L3">
            <v>14.214983</v>
          </cell>
          <cell r="M3">
            <v>14.214983433</v>
          </cell>
          <cell r="N3" t="str">
            <v>C/CJA 6UND</v>
          </cell>
          <cell r="O3" t="str">
            <v/>
          </cell>
          <cell r="P3" t="str">
            <v/>
          </cell>
          <cell r="Q3">
            <v>23.6</v>
          </cell>
          <cell r="R3" t="str">
            <v>UND</v>
          </cell>
          <cell r="S3">
            <v>0</v>
          </cell>
          <cell r="T3">
            <v>0</v>
          </cell>
          <cell r="U3" t="str">
            <v/>
          </cell>
          <cell r="V3" t="str">
            <v>PRO10</v>
          </cell>
          <cell r="W3">
            <v>0</v>
          </cell>
        </row>
        <row r="4">
          <cell r="C4" t="str">
            <v>HIS100A</v>
          </cell>
          <cell r="D4" t="str">
            <v>PRINC</v>
          </cell>
          <cell r="E4" t="str">
            <v>00003</v>
          </cell>
          <cell r="F4" t="str">
            <v>ADITIVOS</v>
          </cell>
          <cell r="G4" t="str">
            <v>PRINCIPAL</v>
          </cell>
          <cell r="H4">
            <v>46004</v>
          </cell>
          <cell r="I4" t="str">
            <v>SALDO INICIAL</v>
          </cell>
          <cell r="J4">
            <v>1517</v>
          </cell>
          <cell r="K4">
            <v>21201.417294999999</v>
          </cell>
          <cell r="L4">
            <v>13.975885</v>
          </cell>
          <cell r="M4">
            <v>13.975884835</v>
          </cell>
          <cell r="N4" t="str">
            <v>C/CJA 6UND</v>
          </cell>
          <cell r="O4" t="str">
            <v>P/1145T Y 1027R</v>
          </cell>
          <cell r="P4" t="str">
            <v/>
          </cell>
          <cell r="Q4">
            <v>23.9</v>
          </cell>
          <cell r="R4" t="str">
            <v>UND</v>
          </cell>
          <cell r="S4">
            <v>0</v>
          </cell>
          <cell r="T4">
            <v>0</v>
          </cell>
          <cell r="U4" t="str">
            <v/>
          </cell>
          <cell r="V4" t="str">
            <v>PRO10</v>
          </cell>
          <cell r="W4">
            <v>0</v>
          </cell>
        </row>
        <row r="5">
          <cell r="C5" t="str">
            <v>HITH-431CI</v>
          </cell>
          <cell r="D5" t="str">
            <v>PRINC</v>
          </cell>
          <cell r="E5" t="str">
            <v>00003</v>
          </cell>
          <cell r="F5" t="str">
            <v>ADITIVOS</v>
          </cell>
          <cell r="G5" t="str">
            <v>PRINCIPAL</v>
          </cell>
          <cell r="H5">
            <v>46004</v>
          </cell>
          <cell r="I5" t="str">
            <v>SALDO INICIAL</v>
          </cell>
          <cell r="J5">
            <v>8</v>
          </cell>
          <cell r="K5">
            <v>281.31555200000003</v>
          </cell>
          <cell r="L5">
            <v>35.164444000000003</v>
          </cell>
          <cell r="M5">
            <v>35.164444000000003</v>
          </cell>
          <cell r="N5" t="str">
            <v>C/CJA 9 LT</v>
          </cell>
          <cell r="O5" t="str">
            <v/>
          </cell>
          <cell r="P5" t="str">
            <v/>
          </cell>
          <cell r="Q5">
            <v>0</v>
          </cell>
          <cell r="R5" t="str">
            <v>LT</v>
          </cell>
          <cell r="S5">
            <v>0</v>
          </cell>
          <cell r="T5">
            <v>0</v>
          </cell>
          <cell r="U5" t="str">
            <v/>
          </cell>
          <cell r="V5" t="str">
            <v>PRO10</v>
          </cell>
          <cell r="W5">
            <v>0</v>
          </cell>
        </row>
        <row r="6">
          <cell r="C6" t="str">
            <v>HITH-TYPE-A</v>
          </cell>
          <cell r="D6" t="str">
            <v>PRINC</v>
          </cell>
          <cell r="E6" t="str">
            <v>00003</v>
          </cell>
          <cell r="F6" t="str">
            <v>ADITIVOS</v>
          </cell>
          <cell r="G6" t="str">
            <v>PRINCIPAL</v>
          </cell>
          <cell r="H6">
            <v>46004</v>
          </cell>
          <cell r="I6" t="str">
            <v>SALDO INICIAL</v>
          </cell>
          <cell r="J6">
            <v>1078</v>
          </cell>
          <cell r="K6">
            <v>14015.882727</v>
          </cell>
          <cell r="L6">
            <v>13.001747</v>
          </cell>
          <cell r="M6">
            <v>13.001746499999999</v>
          </cell>
          <cell r="N6" t="str">
            <v>C/CJA 9LTS</v>
          </cell>
          <cell r="O6" t="str">
            <v/>
          </cell>
          <cell r="P6" t="str">
            <v/>
          </cell>
          <cell r="Q6">
            <v>23.6</v>
          </cell>
          <cell r="R6" t="str">
            <v>LT</v>
          </cell>
          <cell r="S6">
            <v>0</v>
          </cell>
          <cell r="T6">
            <v>0</v>
          </cell>
          <cell r="U6" t="str">
            <v/>
          </cell>
          <cell r="V6" t="str">
            <v>PRO10</v>
          </cell>
          <cell r="W6">
            <v>0</v>
          </cell>
        </row>
        <row r="7">
          <cell r="C7" t="str">
            <v>HITH-88-FT</v>
          </cell>
          <cell r="D7" t="str">
            <v>PRINC</v>
          </cell>
          <cell r="E7" t="str">
            <v>00003</v>
          </cell>
          <cell r="F7" t="str">
            <v>ADITIVOS</v>
          </cell>
          <cell r="G7" t="str">
            <v>PRINCIPAL</v>
          </cell>
          <cell r="H7">
            <v>46004</v>
          </cell>
          <cell r="I7" t="str">
            <v>SALDO INICIAL</v>
          </cell>
          <cell r="J7">
            <v>2</v>
          </cell>
          <cell r="K7">
            <v>64.040000000000006</v>
          </cell>
          <cell r="L7">
            <v>32.020000000000003</v>
          </cell>
          <cell r="M7">
            <v>32.020000000000003</v>
          </cell>
          <cell r="N7" t="str">
            <v/>
          </cell>
          <cell r="O7" t="str">
            <v/>
          </cell>
          <cell r="P7" t="str">
            <v/>
          </cell>
          <cell r="Q7">
            <v>0</v>
          </cell>
          <cell r="R7" t="str">
            <v>LT</v>
          </cell>
          <cell r="S7">
            <v>0</v>
          </cell>
          <cell r="T7">
            <v>0</v>
          </cell>
          <cell r="U7" t="str">
            <v/>
          </cell>
          <cell r="V7" t="str">
            <v>PRO10</v>
          </cell>
          <cell r="W7">
            <v>0</v>
          </cell>
        </row>
        <row r="8">
          <cell r="C8" t="str">
            <v>HI1027R</v>
          </cell>
          <cell r="D8" t="str">
            <v>PRINC</v>
          </cell>
          <cell r="E8" t="str">
            <v>00003</v>
          </cell>
          <cell r="F8" t="str">
            <v>ADITIVOS</v>
          </cell>
          <cell r="G8" t="str">
            <v>PRINCIPAL</v>
          </cell>
          <cell r="H8">
            <v>46004</v>
          </cell>
          <cell r="I8" t="str">
            <v>SALDO INICIAL</v>
          </cell>
          <cell r="J8">
            <v>9</v>
          </cell>
          <cell r="K8">
            <v>478.98999900000001</v>
          </cell>
          <cell r="L8">
            <v>0</v>
          </cell>
          <cell r="M8">
            <v>53.221111000000001</v>
          </cell>
          <cell r="N8" t="str">
            <v>C/CJA 9UND</v>
          </cell>
          <cell r="O8" t="str">
            <v/>
          </cell>
          <cell r="P8" t="str">
            <v/>
          </cell>
          <cell r="Q8">
            <v>114.68</v>
          </cell>
          <cell r="R8" t="str">
            <v>UND</v>
          </cell>
          <cell r="S8">
            <v>0</v>
          </cell>
          <cell r="T8">
            <v>0</v>
          </cell>
          <cell r="U8" t="str">
            <v/>
          </cell>
          <cell r="V8" t="str">
            <v>PRO10</v>
          </cell>
          <cell r="W8">
            <v>0</v>
          </cell>
        </row>
        <row r="9">
          <cell r="C9" t="str">
            <v>HI1072K</v>
          </cell>
          <cell r="D9" t="str">
            <v>PRINC</v>
          </cell>
          <cell r="E9" t="str">
            <v>00003</v>
          </cell>
          <cell r="F9" t="str">
            <v>ADITIVOS</v>
          </cell>
          <cell r="G9" t="str">
            <v>PRINCIPAL</v>
          </cell>
          <cell r="H9">
            <v>46004</v>
          </cell>
          <cell r="I9" t="str">
            <v>SALDO INICIAL</v>
          </cell>
          <cell r="J9">
            <v>39</v>
          </cell>
          <cell r="K9">
            <v>1448.2773930000001</v>
          </cell>
          <cell r="L9">
            <v>37.135317999999998</v>
          </cell>
          <cell r="M9">
            <v>37.135317768999997</v>
          </cell>
          <cell r="N9" t="str">
            <v>C/CJA 9UNDS</v>
          </cell>
          <cell r="O9" t="str">
            <v/>
          </cell>
          <cell r="P9" t="str">
            <v/>
          </cell>
          <cell r="Q9">
            <v>79.599999999999994</v>
          </cell>
          <cell r="R9" t="str">
            <v>UND</v>
          </cell>
          <cell r="S9">
            <v>0</v>
          </cell>
          <cell r="T9">
            <v>0</v>
          </cell>
          <cell r="U9" t="str">
            <v/>
          </cell>
          <cell r="V9" t="str">
            <v>PRO10</v>
          </cell>
          <cell r="W9">
            <v>0</v>
          </cell>
        </row>
        <row r="10">
          <cell r="C10" t="str">
            <v>HI1145T</v>
          </cell>
          <cell r="D10" t="str">
            <v>PRINC</v>
          </cell>
          <cell r="E10" t="str">
            <v>00003</v>
          </cell>
          <cell r="F10" t="str">
            <v>ADITIVOS</v>
          </cell>
          <cell r="G10" t="str">
            <v>PRINCIPAL</v>
          </cell>
          <cell r="H10">
            <v>46004</v>
          </cell>
          <cell r="I10" t="str">
            <v>SALDO INICIAL</v>
          </cell>
          <cell r="J10">
            <v>9</v>
          </cell>
          <cell r="K10">
            <v>543.69999900000005</v>
          </cell>
          <cell r="L10">
            <v>0</v>
          </cell>
          <cell r="M10">
            <v>60.411110999999998</v>
          </cell>
          <cell r="N10" t="str">
            <v>C/CJA 9UND</v>
          </cell>
          <cell r="O10" t="str">
            <v/>
          </cell>
          <cell r="P10" t="str">
            <v/>
          </cell>
          <cell r="Q10">
            <v>0</v>
          </cell>
          <cell r="R10" t="str">
            <v>UND</v>
          </cell>
          <cell r="S10">
            <v>0</v>
          </cell>
          <cell r="T10">
            <v>0</v>
          </cell>
          <cell r="U10" t="str">
            <v/>
          </cell>
          <cell r="V10" t="str">
            <v>PRO10</v>
          </cell>
          <cell r="W10">
            <v>0</v>
          </cell>
        </row>
        <row r="11">
          <cell r="C11" t="str">
            <v>HI1419K</v>
          </cell>
          <cell r="D11" t="str">
            <v>PRINC</v>
          </cell>
          <cell r="E11" t="str">
            <v>00003</v>
          </cell>
          <cell r="F11" t="str">
            <v>ADITIVOS</v>
          </cell>
          <cell r="G11" t="str">
            <v>PRINCIPAL</v>
          </cell>
          <cell r="H11">
            <v>46004</v>
          </cell>
          <cell r="I11" t="str">
            <v>SALDO INICIAL</v>
          </cell>
          <cell r="J11">
            <v>216</v>
          </cell>
          <cell r="K11">
            <v>7047.2012070000001</v>
          </cell>
          <cell r="L11">
            <v>32.625931999999999</v>
          </cell>
          <cell r="M11">
            <v>32.625931514000001</v>
          </cell>
          <cell r="N11" t="str">
            <v>C/CJA 9UND</v>
          </cell>
          <cell r="O11" t="str">
            <v/>
          </cell>
          <cell r="P11" t="str">
            <v/>
          </cell>
          <cell r="Q11">
            <v>74.400000000000006</v>
          </cell>
          <cell r="R11" t="str">
            <v>UND</v>
          </cell>
          <cell r="S11">
            <v>0</v>
          </cell>
          <cell r="T11">
            <v>0</v>
          </cell>
          <cell r="U11" t="str">
            <v/>
          </cell>
          <cell r="V11" t="str">
            <v>PRO10</v>
          </cell>
          <cell r="W11">
            <v>0</v>
          </cell>
        </row>
        <row r="12">
          <cell r="C12" t="str">
            <v>WICM206APK001</v>
          </cell>
          <cell r="D12" t="str">
            <v>PRINC</v>
          </cell>
          <cell r="E12" t="str">
            <v>00003</v>
          </cell>
          <cell r="F12" t="str">
            <v>ADITIVOS</v>
          </cell>
          <cell r="G12" t="str">
            <v>PRINCIPAL</v>
          </cell>
          <cell r="H12">
            <v>46004</v>
          </cell>
          <cell r="I12" t="str">
            <v>SALDO INICIAL</v>
          </cell>
          <cell r="J12">
            <v>2</v>
          </cell>
          <cell r="K12">
            <v>51.521538999999997</v>
          </cell>
          <cell r="L12">
            <v>25.760769</v>
          </cell>
          <cell r="M12">
            <v>25.760769499999999</v>
          </cell>
          <cell r="N12" t="str">
            <v/>
          </cell>
          <cell r="O12" t="str">
            <v/>
          </cell>
          <cell r="P12" t="str">
            <v/>
          </cell>
          <cell r="Q12">
            <v>94.5</v>
          </cell>
          <cell r="R12" t="str">
            <v>LT</v>
          </cell>
          <cell r="S12">
            <v>0</v>
          </cell>
          <cell r="T12">
            <v>0</v>
          </cell>
          <cell r="U12" t="str">
            <v/>
          </cell>
          <cell r="V12" t="str">
            <v>PRO10</v>
          </cell>
          <cell r="W12">
            <v>0</v>
          </cell>
        </row>
        <row r="13">
          <cell r="C13" t="str">
            <v>HI3431ECI</v>
          </cell>
          <cell r="D13" t="str">
            <v>PRINC</v>
          </cell>
          <cell r="E13" t="str">
            <v>00003</v>
          </cell>
          <cell r="F13" t="str">
            <v>ADITIVOS</v>
          </cell>
          <cell r="G13" t="str">
            <v>PRINCIPAL</v>
          </cell>
          <cell r="H13">
            <v>46004</v>
          </cell>
          <cell r="I13" t="str">
            <v>SALDO INICIAL</v>
          </cell>
          <cell r="J13">
            <v>8</v>
          </cell>
          <cell r="K13">
            <v>549.01333599999998</v>
          </cell>
          <cell r="L13">
            <v>68.626666999999998</v>
          </cell>
          <cell r="M13">
            <v>68.626666999999998</v>
          </cell>
          <cell r="N13" t="str">
            <v>CJA 9 UND</v>
          </cell>
          <cell r="O13" t="str">
            <v/>
          </cell>
          <cell r="P13" t="str">
            <v/>
          </cell>
          <cell r="Q13">
            <v>0</v>
          </cell>
          <cell r="R13" t="str">
            <v>UND</v>
          </cell>
          <cell r="S13">
            <v>0</v>
          </cell>
          <cell r="T13">
            <v>0</v>
          </cell>
          <cell r="U13" t="str">
            <v/>
          </cell>
          <cell r="V13" t="str">
            <v>PRO10</v>
          </cell>
          <cell r="W13">
            <v>0</v>
          </cell>
        </row>
        <row r="14">
          <cell r="C14" t="str">
            <v>HIJP-K304A</v>
          </cell>
          <cell r="D14" t="str">
            <v>PRINC</v>
          </cell>
          <cell r="E14" t="str">
            <v>00003</v>
          </cell>
          <cell r="F14" t="str">
            <v>ADITIVOS</v>
          </cell>
          <cell r="G14" t="str">
            <v>PRINCIPAL</v>
          </cell>
          <cell r="H14">
            <v>46004</v>
          </cell>
          <cell r="I14" t="str">
            <v>SALDO INICIAL</v>
          </cell>
          <cell r="J14">
            <v>9</v>
          </cell>
          <cell r="K14">
            <v>626.41500299999996</v>
          </cell>
          <cell r="L14">
            <v>69.601667000000006</v>
          </cell>
          <cell r="M14">
            <v>69.601667000000006</v>
          </cell>
          <cell r="N14" t="str">
            <v/>
          </cell>
          <cell r="O14" t="str">
            <v/>
          </cell>
          <cell r="P14" t="str">
            <v/>
          </cell>
          <cell r="Q14">
            <v>0</v>
          </cell>
          <cell r="R14" t="str">
            <v>LT</v>
          </cell>
          <cell r="S14">
            <v>0</v>
          </cell>
          <cell r="T14">
            <v>0</v>
          </cell>
          <cell r="U14" t="str">
            <v/>
          </cell>
          <cell r="V14" t="str">
            <v>PRO10</v>
          </cell>
          <cell r="W14">
            <v>0</v>
          </cell>
        </row>
        <row r="15">
          <cell r="C15" t="str">
            <v>HIIJP-K67</v>
          </cell>
          <cell r="D15" t="str">
            <v>PRINC</v>
          </cell>
          <cell r="E15" t="str">
            <v>00003</v>
          </cell>
          <cell r="F15" t="str">
            <v>ADITIVOS</v>
          </cell>
          <cell r="G15" t="str">
            <v>PRINCIPAL</v>
          </cell>
          <cell r="H15">
            <v>46004</v>
          </cell>
          <cell r="I15" t="str">
            <v>SALDO INICIAL</v>
          </cell>
          <cell r="J15">
            <v>142</v>
          </cell>
          <cell r="K15">
            <v>8654.8844489999992</v>
          </cell>
          <cell r="L15">
            <v>60.949891000000001</v>
          </cell>
          <cell r="M15">
            <v>60.949890486000001</v>
          </cell>
          <cell r="N15" t="str">
            <v>C/CJA 9LTS</v>
          </cell>
          <cell r="O15" t="str">
            <v/>
          </cell>
          <cell r="P15" t="str">
            <v/>
          </cell>
          <cell r="Q15">
            <v>114.1</v>
          </cell>
          <cell r="R15" t="str">
            <v>LT</v>
          </cell>
          <cell r="S15">
            <v>0</v>
          </cell>
          <cell r="T15">
            <v>0</v>
          </cell>
          <cell r="U15" t="str">
            <v/>
          </cell>
          <cell r="V15" t="str">
            <v>PRO10</v>
          </cell>
          <cell r="W15">
            <v>0</v>
          </cell>
        </row>
        <row r="16">
          <cell r="C16" t="str">
            <v>HIIJP-R27</v>
          </cell>
          <cell r="D16" t="str">
            <v>PRINC</v>
          </cell>
          <cell r="E16" t="str">
            <v>00003</v>
          </cell>
          <cell r="F16" t="str">
            <v>ADITIVOS</v>
          </cell>
          <cell r="G16" t="str">
            <v>PRINCIPAL</v>
          </cell>
          <cell r="H16">
            <v>46004</v>
          </cell>
          <cell r="I16" t="str">
            <v>SALDO INICIAL</v>
          </cell>
          <cell r="J16">
            <v>4</v>
          </cell>
          <cell r="K16">
            <v>322.43090999999998</v>
          </cell>
          <cell r="L16">
            <v>80.607726999999997</v>
          </cell>
          <cell r="M16">
            <v>80.607727499999996</v>
          </cell>
          <cell r="N16" t="str">
            <v>C/CJA 6LTS</v>
          </cell>
          <cell r="O16" t="str">
            <v/>
          </cell>
          <cell r="P16" t="str">
            <v/>
          </cell>
          <cell r="Q16">
            <v>220.95</v>
          </cell>
          <cell r="R16" t="str">
            <v>LT</v>
          </cell>
          <cell r="S16">
            <v>0</v>
          </cell>
          <cell r="T16">
            <v>0</v>
          </cell>
          <cell r="U16" t="str">
            <v/>
          </cell>
          <cell r="V16" t="str">
            <v>PRO10</v>
          </cell>
          <cell r="W16">
            <v>0</v>
          </cell>
        </row>
        <row r="17">
          <cell r="C17" t="str">
            <v>HIJP-T88</v>
          </cell>
          <cell r="D17" t="str">
            <v>PRINC</v>
          </cell>
          <cell r="E17" t="str">
            <v>00003</v>
          </cell>
          <cell r="F17" t="str">
            <v>ADITIVOS</v>
          </cell>
          <cell r="G17" t="str">
            <v>PRINCIPAL</v>
          </cell>
          <cell r="H17">
            <v>46004</v>
          </cell>
          <cell r="I17" t="str">
            <v>SALDO INICIAL</v>
          </cell>
          <cell r="J17">
            <v>1</v>
          </cell>
          <cell r="K17">
            <v>102.59</v>
          </cell>
          <cell r="L17">
            <v>102.59</v>
          </cell>
          <cell r="M17">
            <v>102.59</v>
          </cell>
          <cell r="N17" t="str">
            <v/>
          </cell>
          <cell r="O17" t="str">
            <v/>
          </cell>
          <cell r="P17" t="str">
            <v/>
          </cell>
          <cell r="Q17">
            <v>0</v>
          </cell>
          <cell r="R17" t="str">
            <v>LT</v>
          </cell>
          <cell r="S17">
            <v>0</v>
          </cell>
          <cell r="T17">
            <v>0</v>
          </cell>
          <cell r="U17" t="str">
            <v/>
          </cell>
          <cell r="V17" t="str">
            <v>PRO10</v>
          </cell>
          <cell r="W17">
            <v>0</v>
          </cell>
        </row>
        <row r="18">
          <cell r="C18" t="str">
            <v>HIIJP-Y108</v>
          </cell>
          <cell r="D18" t="str">
            <v>PRINC</v>
          </cell>
          <cell r="E18" t="str">
            <v>00003</v>
          </cell>
          <cell r="F18" t="str">
            <v>ADITIVOS</v>
          </cell>
          <cell r="G18" t="str">
            <v>PRINCIPAL</v>
          </cell>
          <cell r="H18">
            <v>46004</v>
          </cell>
          <cell r="I18" t="str">
            <v>SALDO INICIAL</v>
          </cell>
          <cell r="J18">
            <v>8</v>
          </cell>
          <cell r="K18">
            <v>1322.893468</v>
          </cell>
          <cell r="L18">
            <v>165.361683</v>
          </cell>
          <cell r="M18">
            <v>165.3616835</v>
          </cell>
          <cell r="N18" t="str">
            <v>C/CJA 6LTS</v>
          </cell>
          <cell r="O18" t="str">
            <v/>
          </cell>
          <cell r="P18" t="str">
            <v/>
          </cell>
          <cell r="Q18">
            <v>350.95</v>
          </cell>
          <cell r="R18" t="str">
            <v>LT</v>
          </cell>
          <cell r="S18">
            <v>0</v>
          </cell>
          <cell r="T18">
            <v>0</v>
          </cell>
          <cell r="U18" t="str">
            <v/>
          </cell>
          <cell r="V18" t="str">
            <v>PRO10</v>
          </cell>
          <cell r="W18">
            <v>0</v>
          </cell>
        </row>
        <row r="19">
          <cell r="C19" t="str">
            <v>HIJP-Y311</v>
          </cell>
          <cell r="D19" t="str">
            <v>PRINC</v>
          </cell>
          <cell r="E19" t="str">
            <v>00003</v>
          </cell>
          <cell r="F19" t="str">
            <v>ADITIVOS</v>
          </cell>
          <cell r="G19" t="str">
            <v>PRINCIPAL</v>
          </cell>
          <cell r="H19">
            <v>46004</v>
          </cell>
          <cell r="I19" t="str">
            <v>SALDO INICIAL</v>
          </cell>
          <cell r="J19">
            <v>5</v>
          </cell>
          <cell r="K19">
            <v>385.42472199999997</v>
          </cell>
          <cell r="L19">
            <v>77.084945000000005</v>
          </cell>
          <cell r="M19">
            <v>77.084944399999998</v>
          </cell>
          <cell r="N19" t="str">
            <v/>
          </cell>
          <cell r="O19" t="str">
            <v/>
          </cell>
          <cell r="P19" t="str">
            <v/>
          </cell>
          <cell r="Q19">
            <v>0</v>
          </cell>
          <cell r="R19" t="str">
            <v>LT</v>
          </cell>
          <cell r="S19">
            <v>0</v>
          </cell>
          <cell r="T19">
            <v>0</v>
          </cell>
          <cell r="U19" t="str">
            <v/>
          </cell>
          <cell r="V19" t="str">
            <v>PRO10</v>
          </cell>
          <cell r="W19">
            <v>0</v>
          </cell>
        </row>
        <row r="20">
          <cell r="C20" t="str">
            <v>HITH-TYPE-F</v>
          </cell>
          <cell r="D20" t="str">
            <v>PRINC</v>
          </cell>
          <cell r="E20" t="str">
            <v>00003</v>
          </cell>
          <cell r="F20" t="str">
            <v>ADITIVOS</v>
          </cell>
          <cell r="G20" t="str">
            <v>PRINCIPAL</v>
          </cell>
          <cell r="H20">
            <v>46004</v>
          </cell>
          <cell r="I20" t="str">
            <v>SALDO INICIAL</v>
          </cell>
          <cell r="J20">
            <v>24</v>
          </cell>
          <cell r="K20">
            <v>397.88454200000001</v>
          </cell>
          <cell r="L20">
            <v>16.578523000000001</v>
          </cell>
          <cell r="M20">
            <v>16.578522583000002</v>
          </cell>
          <cell r="N20" t="str">
            <v/>
          </cell>
          <cell r="O20" t="str">
            <v/>
          </cell>
          <cell r="P20" t="str">
            <v/>
          </cell>
          <cell r="Q20">
            <v>29.75</v>
          </cell>
          <cell r="R20" t="str">
            <v>LT</v>
          </cell>
          <cell r="S20">
            <v>0</v>
          </cell>
          <cell r="T20">
            <v>0</v>
          </cell>
          <cell r="U20" t="str">
            <v/>
          </cell>
          <cell r="V20" t="str">
            <v>PRO10</v>
          </cell>
          <cell r="W20">
            <v>0</v>
          </cell>
        </row>
        <row r="21">
          <cell r="C21" t="str">
            <v>HITH-413CI</v>
          </cell>
          <cell r="D21" t="str">
            <v>PRINC</v>
          </cell>
          <cell r="E21" t="str">
            <v>00003</v>
          </cell>
          <cell r="F21" t="str">
            <v>ADITIVOS</v>
          </cell>
          <cell r="G21" t="str">
            <v>PRINCIPAL</v>
          </cell>
          <cell r="H21">
            <v>46004</v>
          </cell>
          <cell r="I21" t="str">
            <v>SALDO INICIAL</v>
          </cell>
          <cell r="J21">
            <v>17</v>
          </cell>
          <cell r="K21">
            <v>9.8222260000000006</v>
          </cell>
          <cell r="L21">
            <v>0.57777800000000001</v>
          </cell>
          <cell r="M21">
            <v>0.57777800000000001</v>
          </cell>
          <cell r="N21" t="str">
            <v/>
          </cell>
          <cell r="O21" t="str">
            <v/>
          </cell>
          <cell r="P21" t="str">
            <v/>
          </cell>
          <cell r="Q21">
            <v>0</v>
          </cell>
          <cell r="R21" t="str">
            <v>LT</v>
          </cell>
          <cell r="S21">
            <v>0</v>
          </cell>
          <cell r="T21">
            <v>0</v>
          </cell>
          <cell r="U21" t="str">
            <v/>
          </cell>
          <cell r="V21" t="str">
            <v>PRO10</v>
          </cell>
          <cell r="W21">
            <v>0</v>
          </cell>
        </row>
        <row r="22">
          <cell r="C22" t="str">
            <v>HIJP-K407</v>
          </cell>
          <cell r="D22" t="str">
            <v>PRINC</v>
          </cell>
          <cell r="E22" t="str">
            <v>00003</v>
          </cell>
          <cell r="F22" t="str">
            <v>ADITIVOS</v>
          </cell>
          <cell r="G22" t="str">
            <v>PRINCIPAL</v>
          </cell>
          <cell r="H22">
            <v>46004</v>
          </cell>
          <cell r="I22" t="str">
            <v>SALDO INICIAL</v>
          </cell>
          <cell r="J22">
            <v>3</v>
          </cell>
          <cell r="K22">
            <v>352.435</v>
          </cell>
          <cell r="L22">
            <v>103.315</v>
          </cell>
          <cell r="M22">
            <v>117.47833333299999</v>
          </cell>
          <cell r="N22" t="str">
            <v/>
          </cell>
          <cell r="O22" t="str">
            <v/>
          </cell>
          <cell r="P22" t="str">
            <v/>
          </cell>
          <cell r="Q22">
            <v>168.15</v>
          </cell>
          <cell r="R22" t="str">
            <v>LT</v>
          </cell>
          <cell r="S22">
            <v>0</v>
          </cell>
          <cell r="T22">
            <v>0</v>
          </cell>
          <cell r="U22" t="str">
            <v/>
          </cell>
          <cell r="V22" t="str">
            <v>PRO10</v>
          </cell>
          <cell r="W22">
            <v>0</v>
          </cell>
        </row>
        <row r="23">
          <cell r="C23" t="str">
            <v>HIJP-K301</v>
          </cell>
          <cell r="D23" t="str">
            <v>PRINC</v>
          </cell>
          <cell r="E23" t="str">
            <v>00003</v>
          </cell>
          <cell r="F23" t="str">
            <v>ADITIVOS</v>
          </cell>
          <cell r="G23" t="str">
            <v>PRINCIPAL</v>
          </cell>
          <cell r="H23">
            <v>46004</v>
          </cell>
          <cell r="I23" t="str">
            <v>SALDO INICIAL</v>
          </cell>
          <cell r="J23">
            <v>4</v>
          </cell>
          <cell r="K23">
            <v>292.56</v>
          </cell>
          <cell r="L23">
            <v>0</v>
          </cell>
          <cell r="M23">
            <v>73.14</v>
          </cell>
          <cell r="N23" t="str">
            <v/>
          </cell>
          <cell r="O23" t="str">
            <v/>
          </cell>
          <cell r="P23" t="str">
            <v/>
          </cell>
          <cell r="Q23">
            <v>144.55000000000001</v>
          </cell>
          <cell r="R23" t="str">
            <v>LT</v>
          </cell>
          <cell r="S23">
            <v>0</v>
          </cell>
          <cell r="T23">
            <v>0</v>
          </cell>
          <cell r="U23" t="str">
            <v/>
          </cell>
          <cell r="V23" t="str">
            <v>PRO10</v>
          </cell>
          <cell r="W23">
            <v>0</v>
          </cell>
        </row>
        <row r="24">
          <cell r="C24" t="str">
            <v>HIJP-T413CI</v>
          </cell>
          <cell r="D24" t="str">
            <v>PRINC</v>
          </cell>
          <cell r="E24" t="str">
            <v>00003</v>
          </cell>
          <cell r="F24" t="str">
            <v>ADITIVOS</v>
          </cell>
          <cell r="G24" t="str">
            <v>PRINCIPAL</v>
          </cell>
          <cell r="H24">
            <v>46004</v>
          </cell>
          <cell r="I24" t="str">
            <v>SALDO INICIAL</v>
          </cell>
          <cell r="J24">
            <v>8</v>
          </cell>
          <cell r="K24">
            <v>9.2444480000000002</v>
          </cell>
          <cell r="L24">
            <v>1.155556</v>
          </cell>
          <cell r="M24">
            <v>1.155556</v>
          </cell>
          <cell r="N24" t="str">
            <v>COMPONENTE: PENTANONA</v>
          </cell>
          <cell r="O24" t="str">
            <v/>
          </cell>
          <cell r="P24" t="str">
            <v/>
          </cell>
          <cell r="Q24">
            <v>0</v>
          </cell>
          <cell r="R24" t="str">
            <v>LT</v>
          </cell>
          <cell r="S24">
            <v>0</v>
          </cell>
          <cell r="T24">
            <v>0</v>
          </cell>
          <cell r="U24" t="str">
            <v/>
          </cell>
          <cell r="V24" t="str">
            <v>PRO10</v>
          </cell>
          <cell r="W24">
            <v>0</v>
          </cell>
        </row>
        <row r="25">
          <cell r="C25" t="str">
            <v>BE1100H075</v>
          </cell>
          <cell r="D25" t="str">
            <v>PRINC</v>
          </cell>
          <cell r="E25" t="str">
            <v>00004</v>
          </cell>
          <cell r="F25" t="str">
            <v>OTRAS BANDAS</v>
          </cell>
          <cell r="G25" t="str">
            <v>PRINCIPAL</v>
          </cell>
          <cell r="H25">
            <v>46004</v>
          </cell>
          <cell r="I25" t="str">
            <v>SALDO INICIAL</v>
          </cell>
          <cell r="J25">
            <v>2</v>
          </cell>
          <cell r="K25">
            <v>189.76</v>
          </cell>
          <cell r="L25">
            <v>0</v>
          </cell>
          <cell r="M25">
            <v>94.88</v>
          </cell>
          <cell r="N25" t="str">
            <v/>
          </cell>
          <cell r="O25" t="str">
            <v/>
          </cell>
          <cell r="P25" t="str">
            <v/>
          </cell>
          <cell r="Q25">
            <v>845</v>
          </cell>
          <cell r="R25" t="str">
            <v>UND</v>
          </cell>
          <cell r="S25">
            <v>0</v>
          </cell>
          <cell r="T25">
            <v>0</v>
          </cell>
          <cell r="U25" t="str">
            <v/>
          </cell>
          <cell r="V25" t="str">
            <v>PRO10</v>
          </cell>
          <cell r="W25">
            <v>0</v>
          </cell>
        </row>
        <row r="26">
          <cell r="C26" t="str">
            <v>BE480L075</v>
          </cell>
          <cell r="D26" t="str">
            <v>PRINC</v>
          </cell>
          <cell r="E26" t="str">
            <v>00004</v>
          </cell>
          <cell r="F26" t="str">
            <v>OTRAS BANDAS</v>
          </cell>
          <cell r="G26" t="str">
            <v>PRINCIPAL</v>
          </cell>
          <cell r="H26">
            <v>46004</v>
          </cell>
          <cell r="I26" t="str">
            <v>SALDO INICIAL</v>
          </cell>
          <cell r="J26">
            <v>2</v>
          </cell>
          <cell r="K26">
            <v>98.8</v>
          </cell>
          <cell r="L26">
            <v>0</v>
          </cell>
          <cell r="M26">
            <v>49.4</v>
          </cell>
          <cell r="N26" t="str">
            <v/>
          </cell>
          <cell r="O26" t="str">
            <v/>
          </cell>
          <cell r="P26" t="str">
            <v/>
          </cell>
          <cell r="Q26">
            <v>530</v>
          </cell>
          <cell r="R26" t="str">
            <v>UND</v>
          </cell>
          <cell r="S26">
            <v>0</v>
          </cell>
          <cell r="T26">
            <v>0</v>
          </cell>
          <cell r="U26" t="str">
            <v/>
          </cell>
          <cell r="V26" t="str">
            <v>PRO10</v>
          </cell>
          <cell r="W26">
            <v>0</v>
          </cell>
        </row>
        <row r="27">
          <cell r="C27" t="str">
            <v>BANCORRU14.5</v>
          </cell>
          <cell r="D27" t="str">
            <v>PRINC</v>
          </cell>
          <cell r="E27" t="str">
            <v>00004</v>
          </cell>
          <cell r="F27" t="str">
            <v>OTRAS BANDAS</v>
          </cell>
          <cell r="G27" t="str">
            <v>PRINCIPAL</v>
          </cell>
          <cell r="H27">
            <v>46004</v>
          </cell>
          <cell r="I27" t="str">
            <v>SALDO INICIAL</v>
          </cell>
          <cell r="J27">
            <v>6</v>
          </cell>
          <cell r="K27">
            <v>122.82</v>
          </cell>
          <cell r="L27">
            <v>0</v>
          </cell>
          <cell r="M27">
            <v>20.47</v>
          </cell>
          <cell r="N27" t="str">
            <v/>
          </cell>
          <cell r="O27" t="str">
            <v/>
          </cell>
          <cell r="P27" t="str">
            <v/>
          </cell>
          <cell r="Q27">
            <v>0</v>
          </cell>
          <cell r="R27" t="str">
            <v>MTS</v>
          </cell>
          <cell r="S27">
            <v>0</v>
          </cell>
          <cell r="T27">
            <v>0</v>
          </cell>
          <cell r="U27" t="str">
            <v/>
          </cell>
          <cell r="V27" t="str">
            <v>PRO10</v>
          </cell>
          <cell r="W27">
            <v>0</v>
          </cell>
        </row>
        <row r="28">
          <cell r="C28" t="str">
            <v>510H075</v>
          </cell>
          <cell r="D28" t="str">
            <v>PRINC</v>
          </cell>
          <cell r="E28" t="str">
            <v>00004</v>
          </cell>
          <cell r="F28" t="str">
            <v>OTRAS BANDAS</v>
          </cell>
          <cell r="G28" t="str">
            <v>PRINCIPAL</v>
          </cell>
          <cell r="H28">
            <v>46004</v>
          </cell>
          <cell r="I28" t="str">
            <v>SALDO INICIAL</v>
          </cell>
          <cell r="J28">
            <v>4</v>
          </cell>
          <cell r="K28">
            <v>289.08</v>
          </cell>
          <cell r="L28">
            <v>0</v>
          </cell>
          <cell r="M28">
            <v>72.27</v>
          </cell>
          <cell r="N28" t="str">
            <v/>
          </cell>
          <cell r="O28" t="str">
            <v/>
          </cell>
          <cell r="P28" t="str">
            <v/>
          </cell>
          <cell r="Q28">
            <v>0</v>
          </cell>
          <cell r="R28" t="str">
            <v>UND</v>
          </cell>
          <cell r="S28">
            <v>0</v>
          </cell>
          <cell r="T28">
            <v>0</v>
          </cell>
          <cell r="U28" t="str">
            <v/>
          </cell>
          <cell r="V28" t="str">
            <v>PRO10</v>
          </cell>
          <cell r="W28">
            <v>0</v>
          </cell>
        </row>
        <row r="29">
          <cell r="C29" t="str">
            <v>BE660H075</v>
          </cell>
          <cell r="D29" t="str">
            <v>PRINC</v>
          </cell>
          <cell r="E29" t="str">
            <v>00004</v>
          </cell>
          <cell r="F29" t="str">
            <v>OTRAS BANDAS</v>
          </cell>
          <cell r="G29" t="str">
            <v>PRINCIPAL</v>
          </cell>
          <cell r="H29">
            <v>46004</v>
          </cell>
          <cell r="I29" t="str">
            <v>SALDO INICIAL</v>
          </cell>
          <cell r="J29">
            <v>1</v>
          </cell>
          <cell r="K29">
            <v>78.47</v>
          </cell>
          <cell r="L29">
            <v>78.47</v>
          </cell>
          <cell r="M29">
            <v>78.47</v>
          </cell>
          <cell r="N29" t="str">
            <v/>
          </cell>
          <cell r="O29" t="str">
            <v/>
          </cell>
          <cell r="P29" t="str">
            <v/>
          </cell>
          <cell r="Q29">
            <v>747</v>
          </cell>
          <cell r="R29" t="str">
            <v>UND</v>
          </cell>
          <cell r="S29">
            <v>0</v>
          </cell>
          <cell r="T29">
            <v>0</v>
          </cell>
          <cell r="U29" t="str">
            <v/>
          </cell>
          <cell r="V29" t="str">
            <v>PRO10</v>
          </cell>
          <cell r="W29">
            <v>0</v>
          </cell>
        </row>
        <row r="30">
          <cell r="C30" t="str">
            <v>CORVRCW9.5</v>
          </cell>
          <cell r="D30" t="str">
            <v>PRINC</v>
          </cell>
          <cell r="E30" t="str">
            <v>00004</v>
          </cell>
          <cell r="F30" t="str">
            <v>OTRAS BANDAS</v>
          </cell>
          <cell r="G30" t="str">
            <v>PRINCIPAL</v>
          </cell>
          <cell r="H30">
            <v>46004</v>
          </cell>
          <cell r="I30" t="str">
            <v>SALDO INICIAL</v>
          </cell>
          <cell r="J30">
            <v>0</v>
          </cell>
          <cell r="K30">
            <v>-387.01</v>
          </cell>
          <cell r="L30">
            <v>3.8700999999999999</v>
          </cell>
          <cell r="M30">
            <v>0</v>
          </cell>
          <cell r="N30" t="str">
            <v/>
          </cell>
          <cell r="O30" t="str">
            <v/>
          </cell>
          <cell r="P30" t="str">
            <v/>
          </cell>
          <cell r="Q30">
            <v>0</v>
          </cell>
          <cell r="R30" t="str">
            <v>FT</v>
          </cell>
          <cell r="S30">
            <v>0</v>
          </cell>
          <cell r="T30">
            <v>0</v>
          </cell>
          <cell r="U30" t="str">
            <v/>
          </cell>
          <cell r="V30" t="str">
            <v>PRO10</v>
          </cell>
          <cell r="W30">
            <v>0</v>
          </cell>
        </row>
        <row r="31">
          <cell r="C31" t="str">
            <v>CORVRMW9.5</v>
          </cell>
          <cell r="D31" t="str">
            <v>PRINC</v>
          </cell>
          <cell r="E31" t="str">
            <v>00004</v>
          </cell>
          <cell r="F31" t="str">
            <v>OTRAS BANDAS</v>
          </cell>
          <cell r="G31" t="str">
            <v>PRINCIPAL</v>
          </cell>
          <cell r="H31">
            <v>46004</v>
          </cell>
          <cell r="I31" t="str">
            <v>SALDO INICIAL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/>
          </cell>
          <cell r="O31" t="str">
            <v/>
          </cell>
          <cell r="P31" t="str">
            <v/>
          </cell>
          <cell r="Q31">
            <v>0</v>
          </cell>
          <cell r="R31" t="str">
            <v>FT</v>
          </cell>
          <cell r="S31">
            <v>0</v>
          </cell>
          <cell r="T31">
            <v>0</v>
          </cell>
          <cell r="U31" t="str">
            <v/>
          </cell>
          <cell r="V31" t="str">
            <v>PRO10</v>
          </cell>
          <cell r="W31">
            <v>0</v>
          </cell>
        </row>
        <row r="32">
          <cell r="C32" t="str">
            <v>EUB50FGPPB78</v>
          </cell>
          <cell r="D32" t="str">
            <v>PRINC</v>
          </cell>
          <cell r="E32" t="str">
            <v>00005</v>
          </cell>
          <cell r="F32" t="str">
            <v>BANDAS MODULARES</v>
          </cell>
          <cell r="G32" t="str">
            <v>PRINCIPAL</v>
          </cell>
          <cell r="H32">
            <v>46004</v>
          </cell>
          <cell r="I32" t="str">
            <v>SALDO INICIAL</v>
          </cell>
          <cell r="J32">
            <v>-20</v>
          </cell>
          <cell r="K32">
            <v>0</v>
          </cell>
          <cell r="L32">
            <v>0</v>
          </cell>
          <cell r="M32">
            <v>0</v>
          </cell>
          <cell r="N32" t="str">
            <v/>
          </cell>
          <cell r="O32" t="str">
            <v/>
          </cell>
          <cell r="P32" t="str">
            <v/>
          </cell>
          <cell r="Q32">
            <v>0</v>
          </cell>
          <cell r="R32" t="str">
            <v>MTS</v>
          </cell>
          <cell r="S32">
            <v>0</v>
          </cell>
          <cell r="T32">
            <v>0</v>
          </cell>
          <cell r="U32" t="str">
            <v/>
          </cell>
          <cell r="V32" t="str">
            <v>PRO10</v>
          </cell>
          <cell r="W32">
            <v>0</v>
          </cell>
        </row>
        <row r="33">
          <cell r="C33" t="str">
            <v>EUE30FTACA41</v>
          </cell>
          <cell r="D33" t="str">
            <v>PRINC</v>
          </cell>
          <cell r="E33" t="str">
            <v>00005</v>
          </cell>
          <cell r="F33" t="str">
            <v>BANDAS MODULARES</v>
          </cell>
          <cell r="G33" t="str">
            <v>PRINCIPAL</v>
          </cell>
          <cell r="H33">
            <v>46004</v>
          </cell>
          <cell r="I33" t="str">
            <v>SALDO INICIAL</v>
          </cell>
          <cell r="J33">
            <v>-17.010000000000002</v>
          </cell>
          <cell r="K33">
            <v>0</v>
          </cell>
          <cell r="L33">
            <v>0</v>
          </cell>
          <cell r="M33">
            <v>0</v>
          </cell>
          <cell r="N33" t="str">
            <v/>
          </cell>
          <cell r="O33" t="str">
            <v/>
          </cell>
          <cell r="P33" t="str">
            <v/>
          </cell>
          <cell r="Q33">
            <v>0</v>
          </cell>
          <cell r="R33" t="str">
            <v>MT</v>
          </cell>
          <cell r="S33">
            <v>0</v>
          </cell>
          <cell r="T33">
            <v>0</v>
          </cell>
          <cell r="U33" t="str">
            <v/>
          </cell>
          <cell r="V33" t="str">
            <v>PRO10</v>
          </cell>
          <cell r="W33">
            <v>0</v>
          </cell>
        </row>
        <row r="34">
          <cell r="C34" t="str">
            <v>EUE30FTPPA30</v>
          </cell>
          <cell r="D34" t="str">
            <v>PRINC</v>
          </cell>
          <cell r="E34" t="str">
            <v>00005</v>
          </cell>
          <cell r="F34" t="str">
            <v>BANDAS MODULARES</v>
          </cell>
          <cell r="G34" t="str">
            <v>PRINCIPAL</v>
          </cell>
          <cell r="H34">
            <v>46004</v>
          </cell>
          <cell r="I34" t="str">
            <v>SALDO INICIAL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/>
          </cell>
          <cell r="O34" t="str">
            <v/>
          </cell>
          <cell r="P34" t="str">
            <v/>
          </cell>
          <cell r="Q34">
            <v>0</v>
          </cell>
          <cell r="R34" t="str">
            <v>MTS</v>
          </cell>
          <cell r="S34">
            <v>0</v>
          </cell>
          <cell r="T34">
            <v>0</v>
          </cell>
          <cell r="U34" t="str">
            <v/>
          </cell>
          <cell r="V34" t="str">
            <v>PRO10</v>
          </cell>
          <cell r="W34">
            <v>0</v>
          </cell>
        </row>
        <row r="35">
          <cell r="C35" t="str">
            <v>EUE30FTPPB30</v>
          </cell>
          <cell r="D35" t="str">
            <v>PRINC</v>
          </cell>
          <cell r="E35" t="str">
            <v>00005</v>
          </cell>
          <cell r="F35" t="str">
            <v>BANDAS MODULARES</v>
          </cell>
          <cell r="G35" t="str">
            <v>PRINCIPAL</v>
          </cell>
          <cell r="H35">
            <v>46004</v>
          </cell>
          <cell r="I35" t="str">
            <v>SALDO INICIAL</v>
          </cell>
          <cell r="J35">
            <v>-14.01</v>
          </cell>
          <cell r="K35">
            <v>0</v>
          </cell>
          <cell r="L35">
            <v>0</v>
          </cell>
          <cell r="M35">
            <v>0</v>
          </cell>
          <cell r="N35" t="str">
            <v/>
          </cell>
          <cell r="O35" t="str">
            <v/>
          </cell>
          <cell r="P35" t="str">
            <v/>
          </cell>
          <cell r="Q35">
            <v>0</v>
          </cell>
          <cell r="R35" t="str">
            <v>MTS</v>
          </cell>
          <cell r="S35">
            <v>0</v>
          </cell>
          <cell r="T35">
            <v>0</v>
          </cell>
          <cell r="U35" t="str">
            <v/>
          </cell>
          <cell r="V35" t="str">
            <v>PRO10</v>
          </cell>
          <cell r="W35">
            <v>0</v>
          </cell>
        </row>
        <row r="36">
          <cell r="C36" t="str">
            <v>EUE30FGACA12</v>
          </cell>
          <cell r="D36" t="str">
            <v>PRINC</v>
          </cell>
          <cell r="E36" t="str">
            <v>00005</v>
          </cell>
          <cell r="F36" t="str">
            <v>BANDAS MODULARES</v>
          </cell>
          <cell r="G36" t="str">
            <v>PRINCIPAL</v>
          </cell>
          <cell r="H36">
            <v>46004</v>
          </cell>
          <cell r="I36" t="str">
            <v>SALDO INICIAL</v>
          </cell>
          <cell r="J36">
            <v>-60</v>
          </cell>
          <cell r="K36">
            <v>0</v>
          </cell>
          <cell r="L36">
            <v>0</v>
          </cell>
          <cell r="M36">
            <v>0</v>
          </cell>
          <cell r="N36" t="str">
            <v/>
          </cell>
          <cell r="O36" t="str">
            <v/>
          </cell>
          <cell r="P36" t="str">
            <v/>
          </cell>
          <cell r="Q36">
            <v>0</v>
          </cell>
          <cell r="R36" t="str">
            <v>MTS</v>
          </cell>
          <cell r="S36">
            <v>0</v>
          </cell>
          <cell r="T36">
            <v>0</v>
          </cell>
          <cell r="U36" t="str">
            <v/>
          </cell>
          <cell r="V36" t="str">
            <v>PRO10</v>
          </cell>
          <cell r="W36">
            <v>0</v>
          </cell>
        </row>
        <row r="37">
          <cell r="C37" t="str">
            <v>EUE30FGACA21</v>
          </cell>
          <cell r="D37" t="str">
            <v>PRINC</v>
          </cell>
          <cell r="E37" t="str">
            <v>00005</v>
          </cell>
          <cell r="F37" t="str">
            <v>BANDAS MODULARES</v>
          </cell>
          <cell r="G37" t="str">
            <v>PRINCIPAL</v>
          </cell>
          <cell r="H37">
            <v>46004</v>
          </cell>
          <cell r="I37" t="str">
            <v>SALDO INICIAL</v>
          </cell>
          <cell r="J37">
            <v>-6.51</v>
          </cell>
          <cell r="K37">
            <v>0</v>
          </cell>
          <cell r="L37">
            <v>0</v>
          </cell>
          <cell r="M37">
            <v>0</v>
          </cell>
          <cell r="N37" t="str">
            <v/>
          </cell>
          <cell r="O37" t="str">
            <v/>
          </cell>
          <cell r="P37" t="str">
            <v/>
          </cell>
          <cell r="Q37">
            <v>0</v>
          </cell>
          <cell r="R37" t="str">
            <v>MT</v>
          </cell>
          <cell r="S37">
            <v>0</v>
          </cell>
          <cell r="T37">
            <v>0</v>
          </cell>
          <cell r="U37" t="str">
            <v/>
          </cell>
          <cell r="V37" t="str">
            <v>PRO10</v>
          </cell>
          <cell r="W37">
            <v>0</v>
          </cell>
        </row>
        <row r="38">
          <cell r="C38" t="str">
            <v>EUE30FGACA41</v>
          </cell>
          <cell r="D38" t="str">
            <v>PRINC</v>
          </cell>
          <cell r="E38" t="str">
            <v>00005</v>
          </cell>
          <cell r="F38" t="str">
            <v>BANDAS MODULARES</v>
          </cell>
          <cell r="G38" t="str">
            <v>PRINCIPAL</v>
          </cell>
          <cell r="H38">
            <v>46004</v>
          </cell>
          <cell r="I38" t="str">
            <v>SALDO INICIAL</v>
          </cell>
          <cell r="J38">
            <v>-3.51</v>
          </cell>
          <cell r="K38">
            <v>0</v>
          </cell>
          <cell r="L38">
            <v>0</v>
          </cell>
          <cell r="M38">
            <v>0</v>
          </cell>
          <cell r="N38" t="str">
            <v/>
          </cell>
          <cell r="O38" t="str">
            <v/>
          </cell>
          <cell r="P38" t="str">
            <v/>
          </cell>
          <cell r="Q38">
            <v>0</v>
          </cell>
          <cell r="R38" t="str">
            <v>MT</v>
          </cell>
          <cell r="S38">
            <v>0</v>
          </cell>
          <cell r="T38">
            <v>0</v>
          </cell>
          <cell r="U38" t="str">
            <v/>
          </cell>
          <cell r="V38" t="str">
            <v>PRO10</v>
          </cell>
          <cell r="W38">
            <v>0</v>
          </cell>
        </row>
        <row r="39">
          <cell r="C39" t="str">
            <v>EUE30FGACA91</v>
          </cell>
          <cell r="D39" t="str">
            <v>PRINC</v>
          </cell>
          <cell r="E39" t="str">
            <v>00005</v>
          </cell>
          <cell r="F39" t="str">
            <v>BANDAS MODULARES</v>
          </cell>
          <cell r="G39" t="str">
            <v>PRINCIPAL</v>
          </cell>
          <cell r="H39">
            <v>46004</v>
          </cell>
          <cell r="I39" t="str">
            <v>SALDO INICIAL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str">
            <v/>
          </cell>
          <cell r="O39" t="str">
            <v/>
          </cell>
          <cell r="P39" t="str">
            <v/>
          </cell>
          <cell r="Q39">
            <v>0</v>
          </cell>
          <cell r="R39" t="str">
            <v>MTS</v>
          </cell>
          <cell r="S39">
            <v>0</v>
          </cell>
          <cell r="T39">
            <v>0</v>
          </cell>
          <cell r="U39" t="str">
            <v/>
          </cell>
          <cell r="V39" t="str">
            <v>PRO10</v>
          </cell>
          <cell r="W39">
            <v>0</v>
          </cell>
        </row>
        <row r="40">
          <cell r="C40" t="str">
            <v>EUE30FGPEN55</v>
          </cell>
          <cell r="D40" t="str">
            <v>PRINC</v>
          </cell>
          <cell r="E40" t="str">
            <v>00005</v>
          </cell>
          <cell r="F40" t="str">
            <v>BANDAS MODULARES</v>
          </cell>
          <cell r="G40" t="str">
            <v>PRINCIPAL</v>
          </cell>
          <cell r="H40">
            <v>46004</v>
          </cell>
          <cell r="I40" t="str">
            <v>SALDO INICIAL</v>
          </cell>
          <cell r="J40">
            <v>-8.01</v>
          </cell>
          <cell r="K40">
            <v>0</v>
          </cell>
          <cell r="L40">
            <v>0</v>
          </cell>
          <cell r="M40">
            <v>0</v>
          </cell>
          <cell r="N40" t="str">
            <v/>
          </cell>
          <cell r="O40" t="str">
            <v/>
          </cell>
          <cell r="P40" t="str">
            <v/>
          </cell>
          <cell r="Q40">
            <v>0</v>
          </cell>
          <cell r="R40" t="str">
            <v>MTS</v>
          </cell>
          <cell r="S40">
            <v>0</v>
          </cell>
          <cell r="T40">
            <v>0</v>
          </cell>
          <cell r="U40" t="str">
            <v/>
          </cell>
          <cell r="V40" t="str">
            <v>PRO10</v>
          </cell>
          <cell r="W40">
            <v>0</v>
          </cell>
        </row>
        <row r="41">
          <cell r="C41" t="str">
            <v>EUE30FGPPA20</v>
          </cell>
          <cell r="D41" t="str">
            <v>PRINC</v>
          </cell>
          <cell r="E41" t="str">
            <v>00005</v>
          </cell>
          <cell r="F41" t="str">
            <v>BANDAS MODULARES</v>
          </cell>
          <cell r="G41" t="str">
            <v>PRINCIPAL</v>
          </cell>
          <cell r="H41">
            <v>46004</v>
          </cell>
          <cell r="I41" t="str">
            <v>SALDO INICIAL</v>
          </cell>
          <cell r="J41">
            <v>-6.51</v>
          </cell>
          <cell r="K41">
            <v>0</v>
          </cell>
          <cell r="L41">
            <v>0</v>
          </cell>
          <cell r="M41">
            <v>0</v>
          </cell>
          <cell r="N41" t="str">
            <v/>
          </cell>
          <cell r="O41" t="str">
            <v/>
          </cell>
          <cell r="P41" t="str">
            <v/>
          </cell>
          <cell r="Q41">
            <v>0</v>
          </cell>
          <cell r="R41" t="str">
            <v>MTS</v>
          </cell>
          <cell r="S41">
            <v>0</v>
          </cell>
          <cell r="T41">
            <v>0</v>
          </cell>
          <cell r="U41" t="str">
            <v/>
          </cell>
          <cell r="V41" t="str">
            <v>PRO10</v>
          </cell>
          <cell r="W41">
            <v>0</v>
          </cell>
        </row>
        <row r="42">
          <cell r="C42" t="str">
            <v>EUE30FGPPA25</v>
          </cell>
          <cell r="D42" t="str">
            <v>PRINC</v>
          </cell>
          <cell r="E42" t="str">
            <v>00005</v>
          </cell>
          <cell r="F42" t="str">
            <v>BANDAS MODULARES</v>
          </cell>
          <cell r="G42" t="str">
            <v>PRINCIPAL</v>
          </cell>
          <cell r="H42">
            <v>46004</v>
          </cell>
          <cell r="I42" t="str">
            <v>SALDO INICIAL</v>
          </cell>
          <cell r="J42">
            <v>-60</v>
          </cell>
          <cell r="K42">
            <v>0</v>
          </cell>
          <cell r="L42">
            <v>0</v>
          </cell>
          <cell r="M42">
            <v>0</v>
          </cell>
          <cell r="N42" t="str">
            <v/>
          </cell>
          <cell r="O42" t="str">
            <v/>
          </cell>
          <cell r="P42" t="str">
            <v/>
          </cell>
          <cell r="Q42">
            <v>0</v>
          </cell>
          <cell r="R42" t="str">
            <v>MTS</v>
          </cell>
          <cell r="S42">
            <v>0</v>
          </cell>
          <cell r="T42">
            <v>0</v>
          </cell>
          <cell r="U42" t="str">
            <v/>
          </cell>
          <cell r="V42" t="str">
            <v>PRO10</v>
          </cell>
          <cell r="W42">
            <v>0</v>
          </cell>
        </row>
        <row r="43">
          <cell r="C43" t="str">
            <v>EUE30FGPPA30</v>
          </cell>
          <cell r="D43" t="str">
            <v>PRINC</v>
          </cell>
          <cell r="E43" t="str">
            <v>00005</v>
          </cell>
          <cell r="F43" t="str">
            <v>BANDAS MODULARES</v>
          </cell>
          <cell r="G43" t="str">
            <v>PRINCIPAL</v>
          </cell>
          <cell r="H43">
            <v>46004</v>
          </cell>
          <cell r="I43" t="str">
            <v>SALDO INICIAL</v>
          </cell>
          <cell r="J43">
            <v>-50</v>
          </cell>
          <cell r="K43">
            <v>0</v>
          </cell>
          <cell r="L43">
            <v>0</v>
          </cell>
          <cell r="M43">
            <v>0</v>
          </cell>
          <cell r="N43" t="str">
            <v/>
          </cell>
          <cell r="O43" t="str">
            <v/>
          </cell>
          <cell r="P43" t="str">
            <v/>
          </cell>
          <cell r="Q43">
            <v>0</v>
          </cell>
          <cell r="R43" t="str">
            <v>MTS</v>
          </cell>
          <cell r="S43">
            <v>0</v>
          </cell>
          <cell r="T43">
            <v>0</v>
          </cell>
          <cell r="U43" t="str">
            <v/>
          </cell>
          <cell r="V43" t="str">
            <v>PRO10</v>
          </cell>
          <cell r="W43">
            <v>0</v>
          </cell>
        </row>
        <row r="44">
          <cell r="C44" t="str">
            <v>EUE30FGPPA50</v>
          </cell>
          <cell r="D44" t="str">
            <v>PRINC</v>
          </cell>
          <cell r="E44" t="str">
            <v>00005</v>
          </cell>
          <cell r="F44" t="str">
            <v>BANDAS MODULARES</v>
          </cell>
          <cell r="G44" t="str">
            <v>PRINCIPAL</v>
          </cell>
          <cell r="H44">
            <v>46004</v>
          </cell>
          <cell r="I44" t="str">
            <v>SALDO INICIAL</v>
          </cell>
          <cell r="J44">
            <v>-4</v>
          </cell>
          <cell r="K44">
            <v>0</v>
          </cell>
          <cell r="L44">
            <v>0</v>
          </cell>
          <cell r="M44">
            <v>0</v>
          </cell>
          <cell r="N44" t="str">
            <v/>
          </cell>
          <cell r="O44" t="str">
            <v/>
          </cell>
          <cell r="P44" t="str">
            <v/>
          </cell>
          <cell r="Q44">
            <v>0</v>
          </cell>
          <cell r="R44" t="str">
            <v>MTS</v>
          </cell>
          <cell r="S44">
            <v>0</v>
          </cell>
          <cell r="T44">
            <v>0</v>
          </cell>
          <cell r="U44" t="str">
            <v/>
          </cell>
          <cell r="V44" t="str">
            <v>PRO10</v>
          </cell>
          <cell r="W44">
            <v>0</v>
          </cell>
        </row>
        <row r="45">
          <cell r="C45" t="str">
            <v>EUE30FGPPB30</v>
          </cell>
          <cell r="D45" t="str">
            <v>PRINC</v>
          </cell>
          <cell r="E45" t="str">
            <v>00005</v>
          </cell>
          <cell r="F45" t="str">
            <v>BANDAS MODULARES</v>
          </cell>
          <cell r="G45" t="str">
            <v>PRINCIPAL</v>
          </cell>
          <cell r="H45">
            <v>46004</v>
          </cell>
          <cell r="I45" t="str">
            <v>SALDO INICIAL</v>
          </cell>
          <cell r="J45">
            <v>-12</v>
          </cell>
          <cell r="K45">
            <v>0</v>
          </cell>
          <cell r="L45">
            <v>0</v>
          </cell>
          <cell r="M45">
            <v>0</v>
          </cell>
          <cell r="N45" t="str">
            <v/>
          </cell>
          <cell r="O45" t="str">
            <v/>
          </cell>
          <cell r="P45" t="str">
            <v/>
          </cell>
          <cell r="Q45">
            <v>0</v>
          </cell>
          <cell r="R45" t="str">
            <v>MTS</v>
          </cell>
          <cell r="S45">
            <v>0</v>
          </cell>
          <cell r="T45">
            <v>0</v>
          </cell>
          <cell r="U45" t="str">
            <v/>
          </cell>
          <cell r="V45" t="str">
            <v>PRO10</v>
          </cell>
          <cell r="W45">
            <v>0</v>
          </cell>
        </row>
        <row r="46">
          <cell r="C46" t="str">
            <v>EUE30FGPPB40</v>
          </cell>
          <cell r="D46" t="str">
            <v>PRINC</v>
          </cell>
          <cell r="E46" t="str">
            <v>00005</v>
          </cell>
          <cell r="F46" t="str">
            <v>BANDAS MODULARES</v>
          </cell>
          <cell r="G46" t="str">
            <v>PRINCIPAL</v>
          </cell>
          <cell r="H46">
            <v>46004</v>
          </cell>
          <cell r="I46" t="str">
            <v>SALDO INICIAL</v>
          </cell>
          <cell r="J46">
            <v>-3.45</v>
          </cell>
          <cell r="K46">
            <v>0</v>
          </cell>
          <cell r="L46">
            <v>0</v>
          </cell>
          <cell r="M46">
            <v>0</v>
          </cell>
          <cell r="N46" t="str">
            <v/>
          </cell>
          <cell r="O46" t="str">
            <v/>
          </cell>
          <cell r="P46" t="str">
            <v/>
          </cell>
          <cell r="Q46">
            <v>0</v>
          </cell>
          <cell r="R46" t="str">
            <v>MTS</v>
          </cell>
          <cell r="S46">
            <v>0</v>
          </cell>
          <cell r="T46">
            <v>0</v>
          </cell>
          <cell r="U46" t="str">
            <v/>
          </cell>
          <cell r="V46" t="str">
            <v>PRO10</v>
          </cell>
          <cell r="W46">
            <v>0</v>
          </cell>
        </row>
        <row r="47">
          <cell r="C47" t="str">
            <v>EU30FGPPB91OG21</v>
          </cell>
          <cell r="D47" t="str">
            <v>PRINC</v>
          </cell>
          <cell r="E47" t="str">
            <v>00005</v>
          </cell>
          <cell r="F47" t="str">
            <v>BANDAS MODULARES</v>
          </cell>
          <cell r="G47" t="str">
            <v>PRINCIPAL</v>
          </cell>
          <cell r="H47">
            <v>46004</v>
          </cell>
          <cell r="I47" t="str">
            <v>SALDO INICIAL</v>
          </cell>
          <cell r="J47">
            <v>-12</v>
          </cell>
          <cell r="K47">
            <v>0</v>
          </cell>
          <cell r="L47">
            <v>0</v>
          </cell>
          <cell r="M47">
            <v>0</v>
          </cell>
          <cell r="N47" t="str">
            <v/>
          </cell>
          <cell r="O47" t="str">
            <v/>
          </cell>
          <cell r="P47" t="str">
            <v/>
          </cell>
          <cell r="Q47">
            <v>0</v>
          </cell>
          <cell r="R47" t="str">
            <v>MT</v>
          </cell>
          <cell r="S47">
            <v>0</v>
          </cell>
          <cell r="T47">
            <v>0</v>
          </cell>
          <cell r="U47" t="str">
            <v/>
          </cell>
          <cell r="V47" t="str">
            <v>PRO10</v>
          </cell>
          <cell r="W47">
            <v>0</v>
          </cell>
        </row>
        <row r="48">
          <cell r="C48" t="str">
            <v>EUE30FYOGPPA80</v>
          </cell>
          <cell r="D48" t="str">
            <v>PRINC</v>
          </cell>
          <cell r="E48" t="str">
            <v>00005</v>
          </cell>
          <cell r="F48" t="str">
            <v>BANDAS MODULARES</v>
          </cell>
          <cell r="G48" t="str">
            <v>PRINCIPAL</v>
          </cell>
          <cell r="H48">
            <v>46004</v>
          </cell>
          <cell r="I48" t="str">
            <v>SALDO INICIAL</v>
          </cell>
          <cell r="J48">
            <v>-1.02</v>
          </cell>
          <cell r="K48">
            <v>0</v>
          </cell>
          <cell r="L48">
            <v>0</v>
          </cell>
          <cell r="M48">
            <v>0</v>
          </cell>
          <cell r="N48" t="str">
            <v/>
          </cell>
          <cell r="O48" t="str">
            <v/>
          </cell>
          <cell r="P48" t="str">
            <v/>
          </cell>
          <cell r="Q48">
            <v>0</v>
          </cell>
          <cell r="R48" t="str">
            <v>MT</v>
          </cell>
          <cell r="S48">
            <v>0</v>
          </cell>
          <cell r="T48">
            <v>0</v>
          </cell>
          <cell r="U48" t="str">
            <v/>
          </cell>
          <cell r="V48" t="str">
            <v>PRO10</v>
          </cell>
          <cell r="W48">
            <v>0</v>
          </cell>
        </row>
        <row r="49">
          <cell r="C49" t="str">
            <v>EUE30FYOGPPB120</v>
          </cell>
          <cell r="D49" t="str">
            <v>PRINC</v>
          </cell>
          <cell r="E49" t="str">
            <v>00005</v>
          </cell>
          <cell r="F49" t="str">
            <v>BANDAS MODULARES</v>
          </cell>
          <cell r="G49" t="str">
            <v>PRINCIPAL</v>
          </cell>
          <cell r="H49">
            <v>46004</v>
          </cell>
          <cell r="I49" t="str">
            <v>SALDO INICIAL</v>
          </cell>
          <cell r="J49">
            <v>-5.01</v>
          </cell>
          <cell r="K49">
            <v>0</v>
          </cell>
          <cell r="L49">
            <v>0</v>
          </cell>
          <cell r="M49">
            <v>0</v>
          </cell>
          <cell r="N49" t="str">
            <v/>
          </cell>
          <cell r="O49" t="str">
            <v/>
          </cell>
          <cell r="P49" t="str">
            <v/>
          </cell>
          <cell r="Q49">
            <v>0</v>
          </cell>
          <cell r="R49" t="str">
            <v>MTS</v>
          </cell>
          <cell r="S49">
            <v>0</v>
          </cell>
          <cell r="T49">
            <v>0</v>
          </cell>
          <cell r="U49" t="str">
            <v/>
          </cell>
          <cell r="V49" t="str">
            <v>PRO10</v>
          </cell>
          <cell r="W49">
            <v>0</v>
          </cell>
        </row>
        <row r="50">
          <cell r="C50" t="str">
            <v>EUE30FY0GPPB15I</v>
          </cell>
          <cell r="D50" t="str">
            <v>PRINC</v>
          </cell>
          <cell r="E50" t="str">
            <v>00005</v>
          </cell>
          <cell r="F50" t="str">
            <v>BANDAS MODULARES</v>
          </cell>
          <cell r="G50" t="str">
            <v>PRINCIPAL</v>
          </cell>
          <cell r="H50">
            <v>46004</v>
          </cell>
          <cell r="I50" t="str">
            <v>SALDO INICIAL</v>
          </cell>
          <cell r="J50">
            <v>-3</v>
          </cell>
          <cell r="K50">
            <v>0</v>
          </cell>
          <cell r="L50">
            <v>0</v>
          </cell>
          <cell r="M50">
            <v>0</v>
          </cell>
          <cell r="N50" t="str">
            <v/>
          </cell>
          <cell r="O50" t="str">
            <v/>
          </cell>
          <cell r="P50" t="str">
            <v/>
          </cell>
          <cell r="Q50">
            <v>0</v>
          </cell>
          <cell r="R50" t="str">
            <v>MT</v>
          </cell>
          <cell r="S50">
            <v>0</v>
          </cell>
          <cell r="T50">
            <v>0</v>
          </cell>
          <cell r="U50" t="str">
            <v/>
          </cell>
          <cell r="V50" t="str">
            <v>PRO10</v>
          </cell>
          <cell r="W50">
            <v>0</v>
          </cell>
        </row>
        <row r="51">
          <cell r="C51" t="str">
            <v>EUE50FGPPB30</v>
          </cell>
          <cell r="D51" t="str">
            <v>PRINC</v>
          </cell>
          <cell r="E51" t="str">
            <v>00005</v>
          </cell>
          <cell r="F51" t="str">
            <v>BANDAS MODULARES</v>
          </cell>
          <cell r="G51" t="str">
            <v>PRINCIPAL</v>
          </cell>
          <cell r="H51">
            <v>46004</v>
          </cell>
          <cell r="I51" t="str">
            <v>SALDO INICIAL</v>
          </cell>
          <cell r="J51">
            <v>-18</v>
          </cell>
          <cell r="K51">
            <v>0</v>
          </cell>
          <cell r="L51">
            <v>0</v>
          </cell>
          <cell r="M51">
            <v>0</v>
          </cell>
          <cell r="N51" t="str">
            <v/>
          </cell>
          <cell r="O51" t="str">
            <v/>
          </cell>
          <cell r="P51" t="str">
            <v/>
          </cell>
          <cell r="Q51">
            <v>0</v>
          </cell>
          <cell r="R51" t="str">
            <v>MTS</v>
          </cell>
          <cell r="S51">
            <v>0</v>
          </cell>
          <cell r="T51">
            <v>0</v>
          </cell>
          <cell r="U51" t="str">
            <v/>
          </cell>
          <cell r="V51" t="str">
            <v>PRO10</v>
          </cell>
          <cell r="W51">
            <v>0</v>
          </cell>
        </row>
        <row r="52">
          <cell r="C52" t="str">
            <v>EUE93FGPPA50</v>
          </cell>
          <cell r="D52" t="str">
            <v>PRINC</v>
          </cell>
          <cell r="E52" t="str">
            <v>00005</v>
          </cell>
          <cell r="F52" t="str">
            <v>BANDAS MODULARES</v>
          </cell>
          <cell r="G52" t="str">
            <v>PRINCIPAL</v>
          </cell>
          <cell r="H52">
            <v>46004</v>
          </cell>
          <cell r="I52" t="str">
            <v>SALDO INICIAL</v>
          </cell>
          <cell r="J52">
            <v>-28.8</v>
          </cell>
          <cell r="K52">
            <v>0</v>
          </cell>
          <cell r="L52">
            <v>0</v>
          </cell>
          <cell r="M52">
            <v>0</v>
          </cell>
          <cell r="N52" t="str">
            <v/>
          </cell>
          <cell r="O52" t="str">
            <v/>
          </cell>
          <cell r="P52" t="str">
            <v/>
          </cell>
          <cell r="Q52">
            <v>0</v>
          </cell>
          <cell r="R52" t="str">
            <v>MTS</v>
          </cell>
          <cell r="S52">
            <v>0</v>
          </cell>
          <cell r="T52">
            <v>0</v>
          </cell>
          <cell r="U52" t="str">
            <v/>
          </cell>
          <cell r="V52" t="str">
            <v>PRO10</v>
          </cell>
          <cell r="W52">
            <v>0</v>
          </cell>
        </row>
        <row r="53">
          <cell r="C53" t="str">
            <v>IN1100BFGPEN20</v>
          </cell>
          <cell r="D53" t="str">
            <v>PRINC</v>
          </cell>
          <cell r="E53" t="str">
            <v>00005</v>
          </cell>
          <cell r="F53" t="str">
            <v>BANDAS MODULARES</v>
          </cell>
          <cell r="G53" t="str">
            <v>PRINCIPAL</v>
          </cell>
          <cell r="H53">
            <v>46004</v>
          </cell>
          <cell r="I53" t="str">
            <v>SALDO INICIAL</v>
          </cell>
          <cell r="J53">
            <v>10</v>
          </cell>
          <cell r="K53">
            <v>500</v>
          </cell>
          <cell r="L53">
            <v>60.975610000000003</v>
          </cell>
          <cell r="M53">
            <v>50</v>
          </cell>
          <cell r="N53" t="str">
            <v/>
          </cell>
          <cell r="O53" t="str">
            <v/>
          </cell>
          <cell r="P53" t="str">
            <v/>
          </cell>
          <cell r="Q53">
            <v>0</v>
          </cell>
          <cell r="R53" t="str">
            <v>FT</v>
          </cell>
          <cell r="S53">
            <v>0</v>
          </cell>
          <cell r="T53">
            <v>0</v>
          </cell>
          <cell r="U53" t="str">
            <v/>
          </cell>
          <cell r="V53" t="str">
            <v>PRO10</v>
          </cell>
          <cell r="W53">
            <v>0</v>
          </cell>
        </row>
        <row r="54">
          <cell r="C54" t="str">
            <v>IN1600BMTACA35</v>
          </cell>
          <cell r="D54" t="str">
            <v>PRINC</v>
          </cell>
          <cell r="E54" t="str">
            <v>00005</v>
          </cell>
          <cell r="F54" t="str">
            <v>BANDAS MODULARES</v>
          </cell>
          <cell r="G54" t="str">
            <v>PRINCIPAL</v>
          </cell>
          <cell r="H54">
            <v>46004</v>
          </cell>
          <cell r="I54" t="str">
            <v>SALDO INICIAL</v>
          </cell>
          <cell r="J54">
            <v>7.5</v>
          </cell>
          <cell r="K54">
            <v>816.08855700000004</v>
          </cell>
          <cell r="L54">
            <v>0</v>
          </cell>
          <cell r="M54">
            <v>108.81180759999999</v>
          </cell>
          <cell r="N54" t="str">
            <v/>
          </cell>
          <cell r="O54" t="str">
            <v/>
          </cell>
          <cell r="P54" t="str">
            <v/>
          </cell>
          <cell r="Q54">
            <v>0</v>
          </cell>
          <cell r="R54" t="str">
            <v>FT</v>
          </cell>
          <cell r="S54">
            <v>0</v>
          </cell>
          <cell r="T54">
            <v>0</v>
          </cell>
          <cell r="U54" t="str">
            <v/>
          </cell>
          <cell r="V54" t="str">
            <v>PRO10</v>
          </cell>
          <cell r="W54">
            <v>0</v>
          </cell>
        </row>
        <row r="55">
          <cell r="C55" t="str">
            <v>IN1600BOFTPPB12</v>
          </cell>
          <cell r="D55" t="str">
            <v>PRINC</v>
          </cell>
          <cell r="E55" t="str">
            <v>00005</v>
          </cell>
          <cell r="F55" t="str">
            <v>BANDAS MODULARES</v>
          </cell>
          <cell r="G55" t="str">
            <v>PRINCIPAL</v>
          </cell>
          <cell r="H55">
            <v>46004</v>
          </cell>
          <cell r="I55" t="str">
            <v>SALDO INICIAL</v>
          </cell>
          <cell r="J55">
            <v>7</v>
          </cell>
          <cell r="K55">
            <v>194.04</v>
          </cell>
          <cell r="L55">
            <v>0</v>
          </cell>
          <cell r="M55">
            <v>27.72</v>
          </cell>
          <cell r="N55" t="str">
            <v/>
          </cell>
          <cell r="O55" t="str">
            <v/>
          </cell>
          <cell r="P55" t="str">
            <v/>
          </cell>
          <cell r="Q55">
            <v>0</v>
          </cell>
          <cell r="R55" t="str">
            <v>FT</v>
          </cell>
          <cell r="S55">
            <v>0</v>
          </cell>
          <cell r="T55">
            <v>0</v>
          </cell>
          <cell r="U55" t="str">
            <v/>
          </cell>
          <cell r="V55" t="str">
            <v>PRO10</v>
          </cell>
          <cell r="W55">
            <v>0</v>
          </cell>
        </row>
        <row r="56">
          <cell r="C56" t="str">
            <v>IN800BFTPPPB48</v>
          </cell>
          <cell r="D56" t="str">
            <v>PRINC</v>
          </cell>
          <cell r="E56" t="str">
            <v>00005</v>
          </cell>
          <cell r="F56" t="str">
            <v>BANDAS MODULARES</v>
          </cell>
          <cell r="G56" t="str">
            <v>PRINCIPAL</v>
          </cell>
          <cell r="H56">
            <v>46004</v>
          </cell>
          <cell r="I56" t="str">
            <v>SALDO INICIAL</v>
          </cell>
          <cell r="J56">
            <v>17.670000000000002</v>
          </cell>
          <cell r="K56">
            <v>1276.4650429999999</v>
          </cell>
          <cell r="L56">
            <v>72.260000000000005</v>
          </cell>
          <cell r="M56">
            <v>72.239108263000006</v>
          </cell>
          <cell r="N56" t="str">
            <v/>
          </cell>
          <cell r="O56" t="str">
            <v/>
          </cell>
          <cell r="P56" t="str">
            <v/>
          </cell>
          <cell r="Q56">
            <v>0</v>
          </cell>
          <cell r="R56" t="str">
            <v>FT</v>
          </cell>
          <cell r="S56">
            <v>0</v>
          </cell>
          <cell r="T56">
            <v>0</v>
          </cell>
          <cell r="U56" t="str">
            <v/>
          </cell>
          <cell r="V56" t="str">
            <v>PRO10</v>
          </cell>
          <cell r="W56">
            <v>0</v>
          </cell>
        </row>
        <row r="57">
          <cell r="C57" t="str">
            <v>IN8050BTFTPUA10</v>
          </cell>
          <cell r="D57" t="str">
            <v>PRINC</v>
          </cell>
          <cell r="E57" t="str">
            <v>00005</v>
          </cell>
          <cell r="F57" t="str">
            <v>BANDAS MODULARES</v>
          </cell>
          <cell r="G57" t="str">
            <v>PRINCIPAL</v>
          </cell>
          <cell r="H57">
            <v>46004</v>
          </cell>
          <cell r="I57" t="str">
            <v>SALDO INICIAL</v>
          </cell>
          <cell r="J57">
            <v>196</v>
          </cell>
          <cell r="K57">
            <v>5489.96</v>
          </cell>
          <cell r="L57">
            <v>0</v>
          </cell>
          <cell r="M57">
            <v>28.01</v>
          </cell>
          <cell r="N57" t="str">
            <v/>
          </cell>
          <cell r="O57" t="str">
            <v/>
          </cell>
          <cell r="P57" t="str">
            <v/>
          </cell>
          <cell r="Q57">
            <v>0</v>
          </cell>
          <cell r="R57" t="str">
            <v>FT</v>
          </cell>
          <cell r="S57">
            <v>0</v>
          </cell>
          <cell r="T57">
            <v>0</v>
          </cell>
          <cell r="U57" t="str">
            <v/>
          </cell>
          <cell r="V57" t="str">
            <v>PRO10</v>
          </cell>
          <cell r="W57">
            <v>0</v>
          </cell>
        </row>
        <row r="58">
          <cell r="C58" t="str">
            <v>IN900BFTPPPG12</v>
          </cell>
          <cell r="D58" t="str">
            <v>PRINC</v>
          </cell>
          <cell r="E58" t="str">
            <v>00005</v>
          </cell>
          <cell r="F58" t="str">
            <v>BANDAS MODULARES</v>
          </cell>
          <cell r="G58" t="str">
            <v>PRINCIPAL</v>
          </cell>
          <cell r="H58">
            <v>46004</v>
          </cell>
          <cell r="I58" t="str">
            <v>SALDO INICIAL</v>
          </cell>
          <cell r="J58">
            <v>19.100000000000001</v>
          </cell>
          <cell r="K58">
            <v>553.9</v>
          </cell>
          <cell r="L58">
            <v>0</v>
          </cell>
          <cell r="M58">
            <v>29</v>
          </cell>
          <cell r="N58" t="str">
            <v/>
          </cell>
          <cell r="O58" t="str">
            <v/>
          </cell>
          <cell r="P58" t="str">
            <v/>
          </cell>
          <cell r="Q58">
            <v>0</v>
          </cell>
          <cell r="R58" t="str">
            <v>FT</v>
          </cell>
          <cell r="S58">
            <v>0</v>
          </cell>
          <cell r="T58">
            <v>0</v>
          </cell>
          <cell r="U58" t="str">
            <v/>
          </cell>
          <cell r="V58" t="str">
            <v>PRO10</v>
          </cell>
          <cell r="W58">
            <v>0</v>
          </cell>
        </row>
        <row r="59">
          <cell r="C59" t="str">
            <v>IN900BFTPPPG24</v>
          </cell>
          <cell r="D59" t="str">
            <v>PRINC</v>
          </cell>
          <cell r="E59" t="str">
            <v>00005</v>
          </cell>
          <cell r="F59" t="str">
            <v>BANDAS MODULARES</v>
          </cell>
          <cell r="G59" t="str">
            <v>PRINCIPAL</v>
          </cell>
          <cell r="H59">
            <v>46004</v>
          </cell>
          <cell r="I59" t="str">
            <v>SALDO INICIAL</v>
          </cell>
          <cell r="J59">
            <v>9.9</v>
          </cell>
          <cell r="K59">
            <v>574.20000000000005</v>
          </cell>
          <cell r="L59">
            <v>0</v>
          </cell>
          <cell r="M59">
            <v>58</v>
          </cell>
          <cell r="N59" t="str">
            <v/>
          </cell>
          <cell r="O59" t="str">
            <v/>
          </cell>
          <cell r="P59" t="str">
            <v/>
          </cell>
          <cell r="Q59">
            <v>0</v>
          </cell>
          <cell r="R59" t="str">
            <v>FT</v>
          </cell>
          <cell r="S59">
            <v>0</v>
          </cell>
          <cell r="T59">
            <v>0</v>
          </cell>
          <cell r="U59" t="str">
            <v/>
          </cell>
          <cell r="V59" t="str">
            <v>PRO10</v>
          </cell>
          <cell r="W59">
            <v>0</v>
          </cell>
        </row>
        <row r="60">
          <cell r="C60" t="str">
            <v>IN900BFTPPPG6</v>
          </cell>
          <cell r="D60" t="str">
            <v>PRINC</v>
          </cell>
          <cell r="E60" t="str">
            <v>00005</v>
          </cell>
          <cell r="F60" t="str">
            <v>BANDAS MODULARES</v>
          </cell>
          <cell r="G60" t="str">
            <v>PRINCIPAL</v>
          </cell>
          <cell r="H60">
            <v>46004</v>
          </cell>
          <cell r="I60" t="str">
            <v>SALDO INICIAL</v>
          </cell>
          <cell r="J60">
            <v>39.4</v>
          </cell>
          <cell r="K60">
            <v>571.29999999999995</v>
          </cell>
          <cell r="L60">
            <v>0</v>
          </cell>
          <cell r="M60">
            <v>14.5</v>
          </cell>
          <cell r="N60" t="str">
            <v/>
          </cell>
          <cell r="O60" t="str">
            <v/>
          </cell>
          <cell r="P60" t="str">
            <v/>
          </cell>
          <cell r="Q60">
            <v>0</v>
          </cell>
          <cell r="R60" t="str">
            <v>FT</v>
          </cell>
          <cell r="S60">
            <v>0</v>
          </cell>
          <cell r="T60">
            <v>0</v>
          </cell>
          <cell r="U60" t="str">
            <v/>
          </cell>
          <cell r="V60" t="str">
            <v>PRO10</v>
          </cell>
          <cell r="W60">
            <v>0</v>
          </cell>
        </row>
        <row r="61">
          <cell r="C61" t="str">
            <v>IN900BFTPPA12</v>
          </cell>
          <cell r="D61" t="str">
            <v>PRINC</v>
          </cell>
          <cell r="E61" t="str">
            <v>00005</v>
          </cell>
          <cell r="F61" t="str">
            <v>BANDAS MODULARES</v>
          </cell>
          <cell r="G61" t="str">
            <v>PRINCIPAL</v>
          </cell>
          <cell r="H61">
            <v>46004</v>
          </cell>
          <cell r="I61" t="str">
            <v>SALDO INICIAL</v>
          </cell>
          <cell r="J61">
            <v>60.69</v>
          </cell>
          <cell r="K61">
            <v>1205.3034</v>
          </cell>
          <cell r="L61">
            <v>0</v>
          </cell>
          <cell r="M61">
            <v>19.86</v>
          </cell>
          <cell r="N61" t="str">
            <v/>
          </cell>
          <cell r="O61" t="str">
            <v/>
          </cell>
          <cell r="P61" t="str">
            <v/>
          </cell>
          <cell r="Q61">
            <v>0</v>
          </cell>
          <cell r="R61" t="str">
            <v>FT</v>
          </cell>
          <cell r="S61">
            <v>0</v>
          </cell>
          <cell r="T61">
            <v>0</v>
          </cell>
          <cell r="U61" t="str">
            <v/>
          </cell>
          <cell r="V61" t="str">
            <v>PRO10</v>
          </cell>
          <cell r="W61">
            <v>0</v>
          </cell>
        </row>
        <row r="62">
          <cell r="C62" t="str">
            <v>IN900BFTPPA6</v>
          </cell>
          <cell r="D62" t="str">
            <v>PRINC</v>
          </cell>
          <cell r="E62" t="str">
            <v>00005</v>
          </cell>
          <cell r="F62" t="str">
            <v>BANDAS MODULARES</v>
          </cell>
          <cell r="G62" t="str">
            <v>PRINCIPAL</v>
          </cell>
          <cell r="H62">
            <v>46004</v>
          </cell>
          <cell r="I62" t="str">
            <v>SALDO INICIAL</v>
          </cell>
          <cell r="J62">
            <v>54.95</v>
          </cell>
          <cell r="K62">
            <v>545.65350000000001</v>
          </cell>
          <cell r="L62">
            <v>9.93</v>
          </cell>
          <cell r="M62">
            <v>9.93</v>
          </cell>
          <cell r="N62" t="str">
            <v/>
          </cell>
          <cell r="O62" t="str">
            <v/>
          </cell>
          <cell r="P62" t="str">
            <v/>
          </cell>
          <cell r="Q62">
            <v>0</v>
          </cell>
          <cell r="R62" t="str">
            <v>FT</v>
          </cell>
          <cell r="S62">
            <v>0</v>
          </cell>
          <cell r="T62">
            <v>0</v>
          </cell>
          <cell r="U62" t="str">
            <v/>
          </cell>
          <cell r="V62" t="str">
            <v>PRO10</v>
          </cell>
          <cell r="W62">
            <v>0</v>
          </cell>
        </row>
        <row r="63">
          <cell r="C63" t="str">
            <v>IN900BFGPPA6</v>
          </cell>
          <cell r="D63" t="str">
            <v>PRINC</v>
          </cell>
          <cell r="E63" t="str">
            <v>00005</v>
          </cell>
          <cell r="F63" t="str">
            <v>BANDAS MODULARES</v>
          </cell>
          <cell r="G63" t="str">
            <v>PRINCIPAL</v>
          </cell>
          <cell r="H63">
            <v>46004</v>
          </cell>
          <cell r="I63" t="str">
            <v>SALDO INICIAL</v>
          </cell>
          <cell r="J63">
            <v>750.34</v>
          </cell>
          <cell r="K63">
            <v>6220.3848410000001</v>
          </cell>
          <cell r="L63">
            <v>8.2900880000000008</v>
          </cell>
          <cell r="M63">
            <v>8.2900882809999992</v>
          </cell>
          <cell r="N63" t="str">
            <v/>
          </cell>
          <cell r="O63" t="str">
            <v/>
          </cell>
          <cell r="P63" t="str">
            <v/>
          </cell>
          <cell r="Q63">
            <v>15</v>
          </cell>
          <cell r="R63" t="str">
            <v>FT</v>
          </cell>
          <cell r="S63">
            <v>0</v>
          </cell>
          <cell r="T63">
            <v>0</v>
          </cell>
          <cell r="U63" t="str">
            <v/>
          </cell>
          <cell r="V63" t="str">
            <v>PRO10</v>
          </cell>
          <cell r="W63">
            <v>0</v>
          </cell>
        </row>
        <row r="64">
          <cell r="C64" t="str">
            <v>IN900BFGPPG12</v>
          </cell>
          <cell r="D64" t="str">
            <v>PRINC</v>
          </cell>
          <cell r="E64" t="str">
            <v>00005</v>
          </cell>
          <cell r="F64" t="str">
            <v>BANDAS MODULARES</v>
          </cell>
          <cell r="G64" t="str">
            <v>PRINCIPAL</v>
          </cell>
          <cell r="H64">
            <v>46004</v>
          </cell>
          <cell r="I64" t="str">
            <v>SALDO INICIAL</v>
          </cell>
          <cell r="J64">
            <v>96.19</v>
          </cell>
          <cell r="K64">
            <v>1929.5714</v>
          </cell>
          <cell r="L64">
            <v>0</v>
          </cell>
          <cell r="M64">
            <v>20.059999999999999</v>
          </cell>
          <cell r="N64" t="str">
            <v/>
          </cell>
          <cell r="O64" t="str">
            <v/>
          </cell>
          <cell r="P64" t="str">
            <v/>
          </cell>
          <cell r="Q64">
            <v>0</v>
          </cell>
          <cell r="R64" t="str">
            <v>FT</v>
          </cell>
          <cell r="S64">
            <v>0</v>
          </cell>
          <cell r="T64">
            <v>0</v>
          </cell>
          <cell r="U64" t="str">
            <v/>
          </cell>
          <cell r="V64" t="str">
            <v>PRO10</v>
          </cell>
          <cell r="W64">
            <v>0</v>
          </cell>
        </row>
        <row r="65">
          <cell r="C65" t="str">
            <v>IN900BOGPPA12</v>
          </cell>
          <cell r="D65" t="str">
            <v>PRINC</v>
          </cell>
          <cell r="E65" t="str">
            <v>00005</v>
          </cell>
          <cell r="F65" t="str">
            <v>BANDAS MODULARES</v>
          </cell>
          <cell r="G65" t="str">
            <v>PRINCIPAL</v>
          </cell>
          <cell r="H65">
            <v>46004</v>
          </cell>
          <cell r="I65" t="str">
            <v>SALDO INICIAL</v>
          </cell>
          <cell r="J65">
            <v>12.5</v>
          </cell>
          <cell r="K65">
            <v>248.75</v>
          </cell>
          <cell r="L65">
            <v>0</v>
          </cell>
          <cell r="M65">
            <v>19.899999999999999</v>
          </cell>
          <cell r="N65" t="str">
            <v/>
          </cell>
          <cell r="O65" t="str">
            <v/>
          </cell>
          <cell r="P65" t="str">
            <v/>
          </cell>
          <cell r="Q65">
            <v>38.299999999999997</v>
          </cell>
          <cell r="R65" t="str">
            <v>FT</v>
          </cell>
          <cell r="S65">
            <v>0</v>
          </cell>
          <cell r="T65">
            <v>0</v>
          </cell>
          <cell r="U65" t="str">
            <v/>
          </cell>
          <cell r="V65" t="str">
            <v>PRO10</v>
          </cell>
          <cell r="W65">
            <v>0</v>
          </cell>
        </row>
        <row r="66">
          <cell r="C66" t="str">
            <v>IN900BOGPPA6</v>
          </cell>
          <cell r="D66" t="str">
            <v>PRINC</v>
          </cell>
          <cell r="E66" t="str">
            <v>00005</v>
          </cell>
          <cell r="F66" t="str">
            <v>BANDAS MODULARES</v>
          </cell>
          <cell r="G66" t="str">
            <v>PRINCIPAL</v>
          </cell>
          <cell r="H66">
            <v>46004</v>
          </cell>
          <cell r="I66" t="str">
            <v>SALDO INICIAL</v>
          </cell>
          <cell r="J66">
            <v>384.87</v>
          </cell>
          <cell r="K66">
            <v>4880.1116840000004</v>
          </cell>
          <cell r="L66">
            <v>12.68</v>
          </cell>
          <cell r="M66">
            <v>12.679896287</v>
          </cell>
          <cell r="N66" t="str">
            <v/>
          </cell>
          <cell r="O66" t="str">
            <v/>
          </cell>
          <cell r="P66" t="str">
            <v/>
          </cell>
          <cell r="Q66">
            <v>20.9</v>
          </cell>
          <cell r="R66" t="str">
            <v>FT</v>
          </cell>
          <cell r="S66">
            <v>0</v>
          </cell>
          <cell r="T66">
            <v>0</v>
          </cell>
          <cell r="U66" t="str">
            <v/>
          </cell>
          <cell r="V66" t="str">
            <v>PRO10</v>
          </cell>
          <cell r="W66">
            <v>0</v>
          </cell>
        </row>
        <row r="67">
          <cell r="C67" t="str">
            <v>IN900BOGPPB12</v>
          </cell>
          <cell r="D67" t="str">
            <v>PRINC</v>
          </cell>
          <cell r="E67" t="str">
            <v>00005</v>
          </cell>
          <cell r="F67" t="str">
            <v>BANDAS MODULARES</v>
          </cell>
          <cell r="G67" t="str">
            <v>PRINCIPAL</v>
          </cell>
          <cell r="H67">
            <v>46004</v>
          </cell>
          <cell r="I67" t="str">
            <v>SALDO INICIAL</v>
          </cell>
          <cell r="J67">
            <v>8</v>
          </cell>
          <cell r="K67">
            <v>194.92</v>
          </cell>
          <cell r="L67">
            <v>20.120488000000002</v>
          </cell>
          <cell r="M67">
            <v>24.364999999999998</v>
          </cell>
          <cell r="N67" t="str">
            <v/>
          </cell>
          <cell r="O67" t="str">
            <v/>
          </cell>
          <cell r="P67" t="str">
            <v/>
          </cell>
          <cell r="Q67">
            <v>36.5</v>
          </cell>
          <cell r="R67" t="str">
            <v>FT</v>
          </cell>
          <cell r="S67">
            <v>0</v>
          </cell>
          <cell r="T67">
            <v>0</v>
          </cell>
          <cell r="U67" t="str">
            <v/>
          </cell>
          <cell r="V67" t="str">
            <v>PRO10</v>
          </cell>
          <cell r="W67">
            <v>0</v>
          </cell>
        </row>
        <row r="68">
          <cell r="C68" t="str">
            <v>IN900BOGPPB18</v>
          </cell>
          <cell r="D68" t="str">
            <v>PRINC</v>
          </cell>
          <cell r="E68" t="str">
            <v>00005</v>
          </cell>
          <cell r="F68" t="str">
            <v>BANDAS MODULARES</v>
          </cell>
          <cell r="G68" t="str">
            <v>PRINCIPAL</v>
          </cell>
          <cell r="H68">
            <v>46004</v>
          </cell>
          <cell r="I68" t="str">
            <v>SALDO INICIAL</v>
          </cell>
          <cell r="J68">
            <v>4.33</v>
          </cell>
          <cell r="K68">
            <v>114.83159999999999</v>
          </cell>
          <cell r="L68">
            <v>26.52</v>
          </cell>
          <cell r="M68">
            <v>26.52</v>
          </cell>
          <cell r="N68" t="str">
            <v/>
          </cell>
          <cell r="O68" t="str">
            <v/>
          </cell>
          <cell r="P68" t="str">
            <v/>
          </cell>
          <cell r="Q68">
            <v>0</v>
          </cell>
          <cell r="R68" t="str">
            <v>FT</v>
          </cell>
          <cell r="S68">
            <v>0</v>
          </cell>
          <cell r="T68">
            <v>0</v>
          </cell>
          <cell r="U68" t="str">
            <v/>
          </cell>
          <cell r="V68" t="str">
            <v>PRO10</v>
          </cell>
          <cell r="W68">
            <v>0</v>
          </cell>
        </row>
        <row r="69">
          <cell r="C69" t="str">
            <v>IN900BOGPPB59.9</v>
          </cell>
          <cell r="D69" t="str">
            <v>PRINC</v>
          </cell>
          <cell r="E69" t="str">
            <v>00005</v>
          </cell>
          <cell r="F69" t="str">
            <v>BANDAS MODULARES</v>
          </cell>
          <cell r="G69" t="str">
            <v>PRINCIPAL</v>
          </cell>
          <cell r="H69">
            <v>46004</v>
          </cell>
          <cell r="I69" t="str">
            <v>SALDO INICIAL</v>
          </cell>
          <cell r="J69">
            <v>79.459999999999994</v>
          </cell>
          <cell r="K69">
            <v>8939.25</v>
          </cell>
          <cell r="L69">
            <v>112.5</v>
          </cell>
          <cell r="M69">
            <v>112.5</v>
          </cell>
          <cell r="N69" t="str">
            <v/>
          </cell>
          <cell r="O69" t="str">
            <v/>
          </cell>
          <cell r="P69" t="str">
            <v/>
          </cell>
          <cell r="Q69">
            <v>212.6</v>
          </cell>
          <cell r="R69" t="str">
            <v>FT</v>
          </cell>
          <cell r="S69">
            <v>0</v>
          </cell>
          <cell r="T69">
            <v>0</v>
          </cell>
          <cell r="U69" t="str">
            <v/>
          </cell>
          <cell r="V69" t="str">
            <v>PRO10</v>
          </cell>
          <cell r="W69">
            <v>0</v>
          </cell>
        </row>
        <row r="70">
          <cell r="C70" t="str">
            <v>IN900BOGPPB6</v>
          </cell>
          <cell r="D70" t="str">
            <v>PRINC</v>
          </cell>
          <cell r="E70" t="str">
            <v>00005</v>
          </cell>
          <cell r="F70" t="str">
            <v>BANDAS MODULARES</v>
          </cell>
          <cell r="G70" t="str">
            <v>PRINCIPAL</v>
          </cell>
          <cell r="H70">
            <v>46004</v>
          </cell>
          <cell r="I70" t="str">
            <v>SALDO INICIAL</v>
          </cell>
          <cell r="J70">
            <v>50.92</v>
          </cell>
          <cell r="K70">
            <v>450.13279999999997</v>
          </cell>
          <cell r="L70">
            <v>8.84</v>
          </cell>
          <cell r="M70">
            <v>8.84</v>
          </cell>
          <cell r="N70" t="str">
            <v/>
          </cell>
          <cell r="O70" t="str">
            <v/>
          </cell>
          <cell r="P70" t="str">
            <v/>
          </cell>
          <cell r="Q70">
            <v>0</v>
          </cell>
          <cell r="R70" t="str">
            <v>FT</v>
          </cell>
          <cell r="S70">
            <v>0</v>
          </cell>
          <cell r="T70">
            <v>0</v>
          </cell>
          <cell r="U70" t="str">
            <v/>
          </cell>
          <cell r="V70" t="str">
            <v>PRO10</v>
          </cell>
          <cell r="W70">
            <v>0</v>
          </cell>
        </row>
        <row r="71">
          <cell r="C71" t="str">
            <v>IN800EFTCPPB6X3</v>
          </cell>
          <cell r="D71" t="str">
            <v>PRINC</v>
          </cell>
          <cell r="E71" t="str">
            <v>00005</v>
          </cell>
          <cell r="F71" t="str">
            <v>BANDAS MODULARES</v>
          </cell>
          <cell r="G71" t="str">
            <v>PRINCIPAL</v>
          </cell>
          <cell r="H71">
            <v>46004</v>
          </cell>
          <cell r="I71" t="str">
            <v>SALDO INICIAL</v>
          </cell>
          <cell r="J71">
            <v>72</v>
          </cell>
          <cell r="K71">
            <v>900</v>
          </cell>
          <cell r="L71">
            <v>0</v>
          </cell>
          <cell r="M71">
            <v>12.5</v>
          </cell>
          <cell r="N71" t="str">
            <v/>
          </cell>
          <cell r="O71" t="str">
            <v/>
          </cell>
          <cell r="P71" t="str">
            <v/>
          </cell>
          <cell r="Q71">
            <v>18.8</v>
          </cell>
          <cell r="R71" t="str">
            <v>UND</v>
          </cell>
          <cell r="S71">
            <v>0</v>
          </cell>
          <cell r="T71">
            <v>0</v>
          </cell>
          <cell r="U71" t="str">
            <v/>
          </cell>
          <cell r="V71" t="str">
            <v>PRO10</v>
          </cell>
          <cell r="W71">
            <v>0</v>
          </cell>
        </row>
        <row r="72">
          <cell r="C72" t="str">
            <v>IN800EFTACB6X6</v>
          </cell>
          <cell r="D72" t="str">
            <v>PRINC</v>
          </cell>
          <cell r="E72" t="str">
            <v>00005</v>
          </cell>
          <cell r="F72" t="str">
            <v>BANDAS MODULARES</v>
          </cell>
          <cell r="G72" t="str">
            <v>PRINCIPAL</v>
          </cell>
          <cell r="H72">
            <v>46004</v>
          </cell>
          <cell r="I72" t="str">
            <v>SALDO INICIAL</v>
          </cell>
          <cell r="J72">
            <v>14</v>
          </cell>
          <cell r="K72">
            <v>339.5</v>
          </cell>
          <cell r="L72">
            <v>0</v>
          </cell>
          <cell r="M72">
            <v>24.25</v>
          </cell>
          <cell r="N72" t="str">
            <v/>
          </cell>
          <cell r="O72" t="str">
            <v/>
          </cell>
          <cell r="P72" t="str">
            <v/>
          </cell>
          <cell r="Q72">
            <v>36.4</v>
          </cell>
          <cell r="R72" t="str">
            <v>UND</v>
          </cell>
          <cell r="S72">
            <v>0</v>
          </cell>
          <cell r="T72">
            <v>0</v>
          </cell>
          <cell r="U72" t="str">
            <v/>
          </cell>
          <cell r="V72" t="str">
            <v>PRO10</v>
          </cell>
          <cell r="W72">
            <v>0</v>
          </cell>
        </row>
        <row r="73">
          <cell r="C73" t="str">
            <v>IN800EFTPPB4X6</v>
          </cell>
          <cell r="D73" t="str">
            <v>PRINC</v>
          </cell>
          <cell r="E73" t="str">
            <v>00005</v>
          </cell>
          <cell r="F73" t="str">
            <v>BANDAS MODULARES</v>
          </cell>
          <cell r="G73" t="str">
            <v>PRINCIPAL</v>
          </cell>
          <cell r="H73">
            <v>46004</v>
          </cell>
          <cell r="I73" t="str">
            <v>SALDO INICIAL</v>
          </cell>
          <cell r="J73">
            <v>199</v>
          </cell>
          <cell r="K73">
            <v>1176.0899999999999</v>
          </cell>
          <cell r="L73">
            <v>5.91</v>
          </cell>
          <cell r="M73">
            <v>5.91</v>
          </cell>
          <cell r="N73" t="str">
            <v/>
          </cell>
          <cell r="O73" t="str">
            <v/>
          </cell>
          <cell r="P73" t="str">
            <v/>
          </cell>
          <cell r="Q73">
            <v>8.9</v>
          </cell>
          <cell r="R73" t="str">
            <v>UND</v>
          </cell>
          <cell r="S73">
            <v>0</v>
          </cell>
          <cell r="T73">
            <v>0</v>
          </cell>
          <cell r="U73" t="str">
            <v/>
          </cell>
          <cell r="V73" t="str">
            <v>PRO10</v>
          </cell>
          <cell r="W73">
            <v>0</v>
          </cell>
        </row>
        <row r="74">
          <cell r="C74" t="str">
            <v>IN800EFTPPB6X6</v>
          </cell>
          <cell r="D74" t="str">
            <v>PRINC</v>
          </cell>
          <cell r="E74" t="str">
            <v>00005</v>
          </cell>
          <cell r="F74" t="str">
            <v>BANDAS MODULARES</v>
          </cell>
          <cell r="G74" t="str">
            <v>PRINCIPAL</v>
          </cell>
          <cell r="H74">
            <v>46004</v>
          </cell>
          <cell r="I74" t="str">
            <v>SALDO INICIAL</v>
          </cell>
          <cell r="J74">
            <v>1027</v>
          </cell>
          <cell r="K74">
            <v>7096.57</v>
          </cell>
          <cell r="L74">
            <v>6.91</v>
          </cell>
          <cell r="M74">
            <v>6.91</v>
          </cell>
          <cell r="N74" t="str">
            <v/>
          </cell>
          <cell r="O74" t="str">
            <v/>
          </cell>
          <cell r="P74" t="str">
            <v/>
          </cell>
          <cell r="Q74">
            <v>10.4</v>
          </cell>
          <cell r="R74" t="str">
            <v>UND</v>
          </cell>
          <cell r="S74">
            <v>0</v>
          </cell>
          <cell r="T74">
            <v>0</v>
          </cell>
          <cell r="U74" t="str">
            <v/>
          </cell>
          <cell r="V74" t="str">
            <v>PRO10</v>
          </cell>
          <cell r="W74">
            <v>0</v>
          </cell>
        </row>
        <row r="75">
          <cell r="C75" t="str">
            <v>IN900EFGACA6X1C</v>
          </cell>
          <cell r="D75" t="str">
            <v>PRINC</v>
          </cell>
          <cell r="E75" t="str">
            <v>00005</v>
          </cell>
          <cell r="F75" t="str">
            <v>BANDAS MODULARES</v>
          </cell>
          <cell r="G75" t="str">
            <v>PRINCIPAL</v>
          </cell>
          <cell r="H75">
            <v>46004</v>
          </cell>
          <cell r="I75" t="str">
            <v>SALDO INICIAL</v>
          </cell>
          <cell r="J75">
            <v>1535</v>
          </cell>
          <cell r="K75">
            <v>4021.7</v>
          </cell>
          <cell r="L75">
            <v>2.62</v>
          </cell>
          <cell r="M75">
            <v>2.62</v>
          </cell>
          <cell r="N75" t="str">
            <v/>
          </cell>
          <cell r="O75" t="str">
            <v/>
          </cell>
          <cell r="P75" t="str">
            <v/>
          </cell>
          <cell r="Q75">
            <v>4.0999999999999996</v>
          </cell>
          <cell r="R75" t="str">
            <v>UND</v>
          </cell>
          <cell r="S75">
            <v>0</v>
          </cell>
          <cell r="T75">
            <v>0</v>
          </cell>
          <cell r="U75" t="str">
            <v/>
          </cell>
          <cell r="V75" t="str">
            <v>PRO10</v>
          </cell>
          <cell r="W75">
            <v>0</v>
          </cell>
        </row>
        <row r="76">
          <cell r="C76" t="str">
            <v>IN900EFGACA6X1L</v>
          </cell>
          <cell r="D76" t="str">
            <v>PRINC</v>
          </cell>
          <cell r="E76" t="str">
            <v>00005</v>
          </cell>
          <cell r="F76" t="str">
            <v>BANDAS MODULARES</v>
          </cell>
          <cell r="G76" t="str">
            <v>PRINCIPAL</v>
          </cell>
          <cell r="H76">
            <v>46004</v>
          </cell>
          <cell r="I76" t="str">
            <v>SALDO INICIAL</v>
          </cell>
          <cell r="J76">
            <v>136</v>
          </cell>
          <cell r="K76">
            <v>340</v>
          </cell>
          <cell r="L76">
            <v>0</v>
          </cell>
          <cell r="M76">
            <v>2.5</v>
          </cell>
          <cell r="N76" t="str">
            <v/>
          </cell>
          <cell r="O76" t="str">
            <v/>
          </cell>
          <cell r="P76" t="str">
            <v/>
          </cell>
          <cell r="Q76">
            <v>4.9000000000000004</v>
          </cell>
          <cell r="R76" t="str">
            <v>UND</v>
          </cell>
          <cell r="S76">
            <v>0</v>
          </cell>
          <cell r="T76">
            <v>0</v>
          </cell>
          <cell r="U76" t="str">
            <v/>
          </cell>
          <cell r="V76" t="str">
            <v>PRO10</v>
          </cell>
          <cell r="W76">
            <v>0</v>
          </cell>
        </row>
        <row r="77">
          <cell r="C77" t="str">
            <v>IN900EFGACA6X1R</v>
          </cell>
          <cell r="D77" t="str">
            <v>PRINC</v>
          </cell>
          <cell r="E77" t="str">
            <v>00005</v>
          </cell>
          <cell r="F77" t="str">
            <v>BANDAS MODULARES</v>
          </cell>
          <cell r="G77" t="str">
            <v>PRINCIPAL</v>
          </cell>
          <cell r="H77">
            <v>46004</v>
          </cell>
          <cell r="I77" t="str">
            <v>SALDO INICIAL</v>
          </cell>
          <cell r="J77">
            <v>133</v>
          </cell>
          <cell r="K77">
            <v>332.5</v>
          </cell>
          <cell r="L77">
            <v>0</v>
          </cell>
          <cell r="M77">
            <v>2.5</v>
          </cell>
          <cell r="N77" t="str">
            <v/>
          </cell>
          <cell r="O77" t="str">
            <v/>
          </cell>
          <cell r="P77" t="str">
            <v/>
          </cell>
          <cell r="Q77">
            <v>4.9000000000000004</v>
          </cell>
          <cell r="R77" t="str">
            <v>UND</v>
          </cell>
          <cell r="S77">
            <v>0</v>
          </cell>
          <cell r="T77">
            <v>0</v>
          </cell>
          <cell r="U77" t="str">
            <v/>
          </cell>
          <cell r="V77" t="str">
            <v>PRO10</v>
          </cell>
          <cell r="W77">
            <v>0</v>
          </cell>
        </row>
        <row r="78">
          <cell r="C78" t="str">
            <v>IN900EFGPPA6X1C</v>
          </cell>
          <cell r="D78" t="str">
            <v>PRINC</v>
          </cell>
          <cell r="E78" t="str">
            <v>00005</v>
          </cell>
          <cell r="F78" t="str">
            <v>BANDAS MODULARES</v>
          </cell>
          <cell r="G78" t="str">
            <v>PRINCIPAL</v>
          </cell>
          <cell r="H78">
            <v>46004</v>
          </cell>
          <cell r="I78" t="str">
            <v>SALDO INICIAL</v>
          </cell>
          <cell r="J78">
            <v>640</v>
          </cell>
          <cell r="K78">
            <v>1472</v>
          </cell>
          <cell r="L78">
            <v>2.2999999999999998</v>
          </cell>
          <cell r="M78">
            <v>2.2999999999999998</v>
          </cell>
          <cell r="N78" t="str">
            <v/>
          </cell>
          <cell r="O78" t="str">
            <v/>
          </cell>
          <cell r="P78" t="str">
            <v/>
          </cell>
          <cell r="Q78">
            <v>3.8</v>
          </cell>
          <cell r="R78" t="str">
            <v>UND</v>
          </cell>
          <cell r="S78">
            <v>0</v>
          </cell>
          <cell r="T78">
            <v>0</v>
          </cell>
          <cell r="U78" t="str">
            <v/>
          </cell>
          <cell r="V78" t="str">
            <v>PRO10</v>
          </cell>
          <cell r="W78">
            <v>0</v>
          </cell>
        </row>
        <row r="79">
          <cell r="C79" t="str">
            <v>IN900EFGPPA6X1R</v>
          </cell>
          <cell r="D79" t="str">
            <v>PRINC</v>
          </cell>
          <cell r="E79" t="str">
            <v>00005</v>
          </cell>
          <cell r="F79" t="str">
            <v>BANDAS MODULARES</v>
          </cell>
          <cell r="G79" t="str">
            <v>PRINCIPAL</v>
          </cell>
          <cell r="H79">
            <v>46004</v>
          </cell>
          <cell r="I79" t="str">
            <v>SALDO INICIAL</v>
          </cell>
          <cell r="J79">
            <v>17</v>
          </cell>
          <cell r="K79">
            <v>53.21</v>
          </cell>
          <cell r="L79">
            <v>0</v>
          </cell>
          <cell r="M79">
            <v>3.13</v>
          </cell>
          <cell r="N79" t="str">
            <v/>
          </cell>
          <cell r="O79" t="str">
            <v/>
          </cell>
          <cell r="P79" t="str">
            <v/>
          </cell>
          <cell r="Q79">
            <v>4.5</v>
          </cell>
          <cell r="R79" t="str">
            <v>UND</v>
          </cell>
          <cell r="S79">
            <v>0</v>
          </cell>
          <cell r="T79">
            <v>0</v>
          </cell>
          <cell r="U79" t="str">
            <v/>
          </cell>
          <cell r="V79" t="str">
            <v>PRO10</v>
          </cell>
          <cell r="W79">
            <v>0</v>
          </cell>
        </row>
        <row r="80">
          <cell r="C80" t="str">
            <v>IN900EFGPPA6X2C</v>
          </cell>
          <cell r="D80" t="str">
            <v>PRINC</v>
          </cell>
          <cell r="E80" t="str">
            <v>00005</v>
          </cell>
          <cell r="F80" t="str">
            <v>BANDAS MODULARES</v>
          </cell>
          <cell r="G80" t="str">
            <v>PRINCIPAL</v>
          </cell>
          <cell r="H80">
            <v>46004</v>
          </cell>
          <cell r="I80" t="str">
            <v>SALDO INICIAL</v>
          </cell>
          <cell r="J80">
            <v>21</v>
          </cell>
          <cell r="K80">
            <v>57.75</v>
          </cell>
          <cell r="L80">
            <v>2.75</v>
          </cell>
          <cell r="M80">
            <v>2.75</v>
          </cell>
          <cell r="N80" t="str">
            <v/>
          </cell>
          <cell r="O80" t="str">
            <v/>
          </cell>
          <cell r="P80" t="str">
            <v/>
          </cell>
          <cell r="Q80">
            <v>4.5999999999999996</v>
          </cell>
          <cell r="R80" t="str">
            <v>UND</v>
          </cell>
          <cell r="S80">
            <v>0</v>
          </cell>
          <cell r="T80">
            <v>0</v>
          </cell>
          <cell r="U80" t="str">
            <v/>
          </cell>
          <cell r="V80" t="str">
            <v>PRO10</v>
          </cell>
          <cell r="W80">
            <v>0</v>
          </cell>
        </row>
        <row r="81">
          <cell r="C81" t="str">
            <v>IN900EFGPPA6X2L</v>
          </cell>
          <cell r="D81" t="str">
            <v>PRINC</v>
          </cell>
          <cell r="E81" t="str">
            <v>00005</v>
          </cell>
          <cell r="F81" t="str">
            <v>BANDAS MODULARES</v>
          </cell>
          <cell r="G81" t="str">
            <v>PRINCIPAL</v>
          </cell>
          <cell r="H81">
            <v>46004</v>
          </cell>
          <cell r="I81" t="str">
            <v>SALDO INICIAL</v>
          </cell>
          <cell r="J81">
            <v>21</v>
          </cell>
          <cell r="K81">
            <v>65.73</v>
          </cell>
          <cell r="L81">
            <v>3.13</v>
          </cell>
          <cell r="M81">
            <v>3.13</v>
          </cell>
          <cell r="N81" t="str">
            <v/>
          </cell>
          <cell r="O81" t="str">
            <v/>
          </cell>
          <cell r="P81" t="str">
            <v/>
          </cell>
          <cell r="Q81">
            <v>5.3</v>
          </cell>
          <cell r="R81" t="str">
            <v>UND</v>
          </cell>
          <cell r="S81">
            <v>0</v>
          </cell>
          <cell r="T81">
            <v>0</v>
          </cell>
          <cell r="U81" t="str">
            <v/>
          </cell>
          <cell r="V81" t="str">
            <v>PRO10</v>
          </cell>
          <cell r="W81">
            <v>0</v>
          </cell>
        </row>
        <row r="82">
          <cell r="C82" t="str">
            <v>IN900EFGPPA6X2R</v>
          </cell>
          <cell r="D82" t="str">
            <v>PRINC</v>
          </cell>
          <cell r="E82" t="str">
            <v>00005</v>
          </cell>
          <cell r="F82" t="str">
            <v>BANDAS MODULARES</v>
          </cell>
          <cell r="G82" t="str">
            <v>PRINCIPAL</v>
          </cell>
          <cell r="H82">
            <v>46004</v>
          </cell>
          <cell r="I82" t="str">
            <v>SALDO INICIAL</v>
          </cell>
          <cell r="J82">
            <v>13</v>
          </cell>
          <cell r="K82">
            <v>40.685951000000003</v>
          </cell>
          <cell r="L82">
            <v>3.1296879999999998</v>
          </cell>
          <cell r="M82">
            <v>3.1296885379999999</v>
          </cell>
          <cell r="N82" t="str">
            <v/>
          </cell>
          <cell r="O82" t="str">
            <v/>
          </cell>
          <cell r="P82" t="str">
            <v/>
          </cell>
          <cell r="Q82">
            <v>5.3</v>
          </cell>
          <cell r="R82" t="str">
            <v>UND</v>
          </cell>
          <cell r="S82">
            <v>0</v>
          </cell>
          <cell r="T82">
            <v>0</v>
          </cell>
          <cell r="U82" t="str">
            <v/>
          </cell>
          <cell r="V82" t="str">
            <v>PRO10</v>
          </cell>
          <cell r="W82">
            <v>0</v>
          </cell>
        </row>
        <row r="83">
          <cell r="C83" t="str">
            <v>IN900EFGPPB3X2L</v>
          </cell>
          <cell r="D83" t="str">
            <v>PRINC</v>
          </cell>
          <cell r="E83" t="str">
            <v>00005</v>
          </cell>
          <cell r="F83" t="str">
            <v>BANDAS MODULARES</v>
          </cell>
          <cell r="G83" t="str">
            <v>PRINCIPAL</v>
          </cell>
          <cell r="H83">
            <v>46004</v>
          </cell>
          <cell r="I83" t="str">
            <v>SALDO INICIAL</v>
          </cell>
          <cell r="J83">
            <v>96</v>
          </cell>
          <cell r="K83">
            <v>171.84</v>
          </cell>
          <cell r="L83">
            <v>1.79</v>
          </cell>
          <cell r="M83">
            <v>1.79</v>
          </cell>
          <cell r="N83" t="str">
            <v/>
          </cell>
          <cell r="O83" t="str">
            <v/>
          </cell>
          <cell r="P83" t="str">
            <v/>
          </cell>
          <cell r="Q83">
            <v>2.7</v>
          </cell>
          <cell r="R83" t="str">
            <v>UND</v>
          </cell>
          <cell r="S83">
            <v>0</v>
          </cell>
          <cell r="T83">
            <v>0</v>
          </cell>
          <cell r="U83" t="str">
            <v/>
          </cell>
          <cell r="V83" t="str">
            <v>PRO10</v>
          </cell>
          <cell r="W83">
            <v>0</v>
          </cell>
        </row>
        <row r="84">
          <cell r="C84" t="str">
            <v>IN900EFGPPB3X2R</v>
          </cell>
          <cell r="D84" t="str">
            <v>PRINC</v>
          </cell>
          <cell r="E84" t="str">
            <v>00005</v>
          </cell>
          <cell r="F84" t="str">
            <v>BANDAS MODULARES</v>
          </cell>
          <cell r="G84" t="str">
            <v>PRINCIPAL</v>
          </cell>
          <cell r="H84">
            <v>46004</v>
          </cell>
          <cell r="I84" t="str">
            <v>SALDO INICIAL</v>
          </cell>
          <cell r="J84">
            <v>11</v>
          </cell>
          <cell r="K84">
            <v>19.690000000000001</v>
          </cell>
          <cell r="L84">
            <v>1.79</v>
          </cell>
          <cell r="M84">
            <v>1.79</v>
          </cell>
          <cell r="N84" t="str">
            <v/>
          </cell>
          <cell r="O84" t="str">
            <v/>
          </cell>
          <cell r="P84" t="str">
            <v/>
          </cell>
          <cell r="Q84">
            <v>2.7</v>
          </cell>
          <cell r="R84" t="str">
            <v>UND</v>
          </cell>
          <cell r="S84">
            <v>0</v>
          </cell>
          <cell r="T84">
            <v>0</v>
          </cell>
          <cell r="U84" t="str">
            <v/>
          </cell>
          <cell r="V84" t="str">
            <v>PRO10</v>
          </cell>
          <cell r="W84">
            <v>0</v>
          </cell>
        </row>
        <row r="85">
          <cell r="C85" t="str">
            <v>IN900EFGPPB6X2L</v>
          </cell>
          <cell r="D85" t="str">
            <v>PRINC</v>
          </cell>
          <cell r="E85" t="str">
            <v>00005</v>
          </cell>
          <cell r="F85" t="str">
            <v>BANDAS MODULARES</v>
          </cell>
          <cell r="G85" t="str">
            <v>PRINCIPAL</v>
          </cell>
          <cell r="H85">
            <v>46004</v>
          </cell>
          <cell r="I85" t="str">
            <v>SALDO INICIAL</v>
          </cell>
          <cell r="J85">
            <v>30</v>
          </cell>
          <cell r="K85">
            <v>77.099999999999994</v>
          </cell>
          <cell r="L85">
            <v>2.57</v>
          </cell>
          <cell r="M85">
            <v>2.57</v>
          </cell>
          <cell r="N85" t="str">
            <v/>
          </cell>
          <cell r="O85" t="str">
            <v/>
          </cell>
          <cell r="P85" t="str">
            <v/>
          </cell>
          <cell r="Q85">
            <v>5</v>
          </cell>
          <cell r="R85" t="str">
            <v>UND</v>
          </cell>
          <cell r="S85">
            <v>0</v>
          </cell>
          <cell r="T85">
            <v>0</v>
          </cell>
          <cell r="U85" t="str">
            <v/>
          </cell>
          <cell r="V85" t="str">
            <v>PRO10</v>
          </cell>
          <cell r="W85">
            <v>0</v>
          </cell>
        </row>
        <row r="86">
          <cell r="C86" t="str">
            <v>IN900EFGPPB6X2C</v>
          </cell>
          <cell r="D86" t="str">
            <v>PRINC</v>
          </cell>
          <cell r="E86" t="str">
            <v>00005</v>
          </cell>
          <cell r="F86" t="str">
            <v>BANDAS MODULARES</v>
          </cell>
          <cell r="G86" t="str">
            <v>PRINCIPAL</v>
          </cell>
          <cell r="H86">
            <v>46004</v>
          </cell>
          <cell r="I86" t="str">
            <v>SALDO INICIAL</v>
          </cell>
          <cell r="J86">
            <v>22</v>
          </cell>
          <cell r="K86">
            <v>55.22</v>
          </cell>
          <cell r="L86">
            <v>2.5099999999999998</v>
          </cell>
          <cell r="M86">
            <v>2.5099999999999998</v>
          </cell>
          <cell r="N86" t="str">
            <v/>
          </cell>
          <cell r="O86" t="str">
            <v/>
          </cell>
          <cell r="P86" t="str">
            <v/>
          </cell>
          <cell r="Q86">
            <v>4.3</v>
          </cell>
          <cell r="R86" t="str">
            <v>UND</v>
          </cell>
          <cell r="S86">
            <v>0</v>
          </cell>
          <cell r="T86">
            <v>0</v>
          </cell>
          <cell r="U86" t="str">
            <v/>
          </cell>
          <cell r="V86" t="str">
            <v>PRO10</v>
          </cell>
          <cell r="W86">
            <v>0</v>
          </cell>
        </row>
        <row r="87">
          <cell r="C87" t="str">
            <v>IN900EFTPPB6X3C</v>
          </cell>
          <cell r="D87" t="str">
            <v>PRINC</v>
          </cell>
          <cell r="E87" t="str">
            <v>00005</v>
          </cell>
          <cell r="F87" t="str">
            <v>BANDAS MODULARES</v>
          </cell>
          <cell r="G87" t="str">
            <v>PRINCIPAL</v>
          </cell>
          <cell r="H87">
            <v>46004</v>
          </cell>
          <cell r="I87" t="str">
            <v>SALDO INICIAL</v>
          </cell>
          <cell r="J87">
            <v>20</v>
          </cell>
          <cell r="K87">
            <v>70</v>
          </cell>
          <cell r="L87">
            <v>0</v>
          </cell>
          <cell r="M87">
            <v>3.5</v>
          </cell>
          <cell r="N87" t="str">
            <v/>
          </cell>
          <cell r="O87" t="str">
            <v/>
          </cell>
          <cell r="P87" t="str">
            <v/>
          </cell>
          <cell r="Q87">
            <v>0</v>
          </cell>
          <cell r="R87" t="str">
            <v>UND</v>
          </cell>
          <cell r="S87">
            <v>0</v>
          </cell>
          <cell r="T87">
            <v>0</v>
          </cell>
          <cell r="U87" t="str">
            <v/>
          </cell>
          <cell r="V87" t="str">
            <v>PRO10</v>
          </cell>
          <cell r="W87">
            <v>0</v>
          </cell>
        </row>
        <row r="88">
          <cell r="C88" t="str">
            <v>IN800GLPPB4</v>
          </cell>
          <cell r="D88" t="str">
            <v>PRINC</v>
          </cell>
          <cell r="E88" t="str">
            <v>00005</v>
          </cell>
          <cell r="F88" t="str">
            <v>BANDAS MODULARES</v>
          </cell>
          <cell r="G88" t="str">
            <v>PRINCIPAL</v>
          </cell>
          <cell r="H88">
            <v>46004</v>
          </cell>
          <cell r="I88" t="str">
            <v>SALDO INICIAL</v>
          </cell>
          <cell r="J88">
            <v>349</v>
          </cell>
          <cell r="K88">
            <v>314.10000000000002</v>
          </cell>
          <cell r="L88">
            <v>0</v>
          </cell>
          <cell r="M88">
            <v>0.9</v>
          </cell>
          <cell r="N88" t="str">
            <v/>
          </cell>
          <cell r="O88" t="str">
            <v/>
          </cell>
          <cell r="P88" t="str">
            <v/>
          </cell>
          <cell r="Q88">
            <v>0</v>
          </cell>
          <cell r="R88" t="str">
            <v>UND</v>
          </cell>
          <cell r="S88">
            <v>0</v>
          </cell>
          <cell r="T88">
            <v>0</v>
          </cell>
          <cell r="U88" t="str">
            <v/>
          </cell>
          <cell r="V88" t="str">
            <v>PRO10</v>
          </cell>
          <cell r="W88">
            <v>0</v>
          </cell>
        </row>
        <row r="89">
          <cell r="C89" t="str">
            <v>PIILCJRA09048</v>
          </cell>
          <cell r="D89" t="str">
            <v>PRINC</v>
          </cell>
          <cell r="E89" t="str">
            <v>00006</v>
          </cell>
          <cell r="F89" t="str">
            <v>CADENAS CARDANICAS</v>
          </cell>
          <cell r="G89" t="str">
            <v>PRINCIPAL</v>
          </cell>
          <cell r="H89">
            <v>46004</v>
          </cell>
          <cell r="I89" t="str">
            <v>SALDO INICIAL</v>
          </cell>
          <cell r="J89">
            <v>-1</v>
          </cell>
          <cell r="K89">
            <v>0</v>
          </cell>
          <cell r="L89">
            <v>0</v>
          </cell>
          <cell r="M89">
            <v>0</v>
          </cell>
          <cell r="N89" t="str">
            <v/>
          </cell>
          <cell r="O89" t="str">
            <v/>
          </cell>
          <cell r="P89" t="str">
            <v/>
          </cell>
          <cell r="Q89">
            <v>201.4</v>
          </cell>
          <cell r="R89" t="str">
            <v>CJA</v>
          </cell>
          <cell r="S89">
            <v>0</v>
          </cell>
          <cell r="T89">
            <v>0</v>
          </cell>
          <cell r="U89" t="str">
            <v/>
          </cell>
          <cell r="V89" t="str">
            <v>PRO10</v>
          </cell>
          <cell r="W89">
            <v>0</v>
          </cell>
        </row>
        <row r="90">
          <cell r="C90" t="str">
            <v>RE1702A/000</v>
          </cell>
          <cell r="D90" t="str">
            <v>PRINC</v>
          </cell>
          <cell r="E90" t="str">
            <v>00006</v>
          </cell>
          <cell r="F90" t="str">
            <v>CADENAS CARDANICAS</v>
          </cell>
          <cell r="G90" t="str">
            <v>PRINCIPAL</v>
          </cell>
          <cell r="H90">
            <v>46004</v>
          </cell>
          <cell r="I90" t="str">
            <v>SALDO INICIAL</v>
          </cell>
          <cell r="J90">
            <v>-4</v>
          </cell>
          <cell r="K90">
            <v>0</v>
          </cell>
          <cell r="L90">
            <v>0</v>
          </cell>
          <cell r="M90">
            <v>0</v>
          </cell>
          <cell r="N90" t="str">
            <v/>
          </cell>
          <cell r="O90" t="str">
            <v/>
          </cell>
          <cell r="P90" t="str">
            <v/>
          </cell>
          <cell r="Q90">
            <v>171</v>
          </cell>
          <cell r="R90" t="str">
            <v>ROL</v>
          </cell>
          <cell r="S90">
            <v>0</v>
          </cell>
          <cell r="T90">
            <v>0</v>
          </cell>
          <cell r="U90" t="str">
            <v/>
          </cell>
          <cell r="V90" t="str">
            <v>PRO10</v>
          </cell>
          <cell r="W90">
            <v>0</v>
          </cell>
        </row>
        <row r="91">
          <cell r="C91" t="str">
            <v>RED2K882KG/000</v>
          </cell>
          <cell r="D91" t="str">
            <v>PRINC</v>
          </cell>
          <cell r="E91" t="str">
            <v>00006</v>
          </cell>
          <cell r="F91" t="str">
            <v>CADENAS CARDANICAS</v>
          </cell>
          <cell r="G91" t="str">
            <v>PRINCIPAL</v>
          </cell>
          <cell r="H91">
            <v>46004</v>
          </cell>
          <cell r="I91" t="str">
            <v>SALDO INICIAL</v>
          </cell>
          <cell r="J91">
            <v>-10</v>
          </cell>
          <cell r="K91">
            <v>0</v>
          </cell>
          <cell r="L91">
            <v>0</v>
          </cell>
          <cell r="M91">
            <v>0</v>
          </cell>
          <cell r="N91" t="str">
            <v/>
          </cell>
          <cell r="O91" t="str">
            <v/>
          </cell>
          <cell r="P91" t="str">
            <v/>
          </cell>
          <cell r="Q91">
            <v>294</v>
          </cell>
          <cell r="R91" t="str">
            <v>CJA</v>
          </cell>
          <cell r="S91">
            <v>0</v>
          </cell>
          <cell r="T91">
            <v>0</v>
          </cell>
          <cell r="U91" t="str">
            <v/>
          </cell>
          <cell r="V91" t="str">
            <v>PRO10</v>
          </cell>
          <cell r="W91">
            <v>0</v>
          </cell>
        </row>
        <row r="92">
          <cell r="C92" t="str">
            <v>UNCADPL1701C/T</v>
          </cell>
          <cell r="D92" t="str">
            <v>PRINC</v>
          </cell>
          <cell r="E92" t="str">
            <v>00006</v>
          </cell>
          <cell r="F92" t="str">
            <v>CADENAS CARDANICAS</v>
          </cell>
          <cell r="G92" t="str">
            <v>PRINCIPAL</v>
          </cell>
          <cell r="H92">
            <v>46004</v>
          </cell>
          <cell r="I92" t="str">
            <v>SALDO INICIAL</v>
          </cell>
          <cell r="J92">
            <v>0.5</v>
          </cell>
          <cell r="K92">
            <v>61.8</v>
          </cell>
          <cell r="L92">
            <v>123.6</v>
          </cell>
          <cell r="M92">
            <v>123.6</v>
          </cell>
          <cell r="N92" t="str">
            <v/>
          </cell>
          <cell r="O92" t="str">
            <v/>
          </cell>
          <cell r="P92" t="str">
            <v/>
          </cell>
          <cell r="Q92">
            <v>210.1</v>
          </cell>
          <cell r="R92" t="str">
            <v>CJA</v>
          </cell>
          <cell r="S92">
            <v>0</v>
          </cell>
          <cell r="T92">
            <v>0</v>
          </cell>
          <cell r="U92" t="str">
            <v/>
          </cell>
          <cell r="V92" t="str">
            <v>PRO10</v>
          </cell>
          <cell r="W92">
            <v>0</v>
          </cell>
        </row>
        <row r="93">
          <cell r="C93" t="str">
            <v>UNLF1700BWN</v>
          </cell>
          <cell r="D93" t="str">
            <v>PRINC</v>
          </cell>
          <cell r="E93" t="str">
            <v>00006</v>
          </cell>
          <cell r="F93" t="str">
            <v>CADENAS CARDANICAS</v>
          </cell>
          <cell r="G93" t="str">
            <v>PRINCIPAL</v>
          </cell>
          <cell r="H93">
            <v>46004</v>
          </cell>
          <cell r="I93" t="str">
            <v>SALDO INICIAL</v>
          </cell>
          <cell r="J93">
            <v>0.5</v>
          </cell>
          <cell r="K93">
            <v>57.45</v>
          </cell>
          <cell r="L93">
            <v>114.9</v>
          </cell>
          <cell r="M93">
            <v>114.9</v>
          </cell>
          <cell r="N93" t="str">
            <v/>
          </cell>
          <cell r="O93" t="str">
            <v/>
          </cell>
          <cell r="P93" t="str">
            <v/>
          </cell>
          <cell r="Q93">
            <v>162</v>
          </cell>
          <cell r="R93" t="str">
            <v>CJA</v>
          </cell>
          <cell r="S93">
            <v>0</v>
          </cell>
          <cell r="T93">
            <v>0</v>
          </cell>
          <cell r="U93" t="str">
            <v/>
          </cell>
          <cell r="V93" t="str">
            <v>PRO10</v>
          </cell>
          <cell r="W93">
            <v>0</v>
          </cell>
        </row>
        <row r="94">
          <cell r="C94" t="str">
            <v>RE233/1700</v>
          </cell>
          <cell r="D94" t="str">
            <v>PRINC</v>
          </cell>
          <cell r="E94" t="str">
            <v>00006</v>
          </cell>
          <cell r="F94" t="str">
            <v>CADENAS CARDANICAS</v>
          </cell>
          <cell r="G94" t="str">
            <v>PRINCIPAL</v>
          </cell>
          <cell r="H94">
            <v>46004</v>
          </cell>
          <cell r="I94" t="str">
            <v>SALDO INICIAL</v>
          </cell>
          <cell r="J94">
            <v>-28</v>
          </cell>
          <cell r="K94">
            <v>0</v>
          </cell>
          <cell r="L94">
            <v>0</v>
          </cell>
          <cell r="M94">
            <v>0</v>
          </cell>
          <cell r="N94" t="str">
            <v/>
          </cell>
          <cell r="O94" t="str">
            <v/>
          </cell>
          <cell r="P94" t="str">
            <v/>
          </cell>
          <cell r="Q94">
            <v>2.35</v>
          </cell>
          <cell r="R94" t="str">
            <v>UND</v>
          </cell>
          <cell r="S94">
            <v>0</v>
          </cell>
          <cell r="T94">
            <v>0</v>
          </cell>
          <cell r="U94" t="str">
            <v/>
          </cell>
          <cell r="V94" t="str">
            <v>PRO10</v>
          </cell>
          <cell r="W94">
            <v>0</v>
          </cell>
        </row>
        <row r="95">
          <cell r="C95" t="str">
            <v>1/2CANFE35</v>
          </cell>
          <cell r="D95" t="str">
            <v>PRINC</v>
          </cell>
          <cell r="E95" t="str">
            <v>00007</v>
          </cell>
          <cell r="F95" t="str">
            <v>CADENAS DE TRANSMISION</v>
          </cell>
          <cell r="G95" t="str">
            <v>PRINCIPAL</v>
          </cell>
          <cell r="H95">
            <v>46004</v>
          </cell>
          <cell r="I95" t="str">
            <v>SALDO INICIAL</v>
          </cell>
          <cell r="J95">
            <v>6</v>
          </cell>
          <cell r="K95">
            <v>4.827998</v>
          </cell>
          <cell r="L95">
            <v>0.80466700000000002</v>
          </cell>
          <cell r="M95">
            <v>0.80466633300000001</v>
          </cell>
          <cell r="N95" t="str">
            <v/>
          </cell>
          <cell r="O95" t="str">
            <v/>
          </cell>
          <cell r="P95" t="str">
            <v/>
          </cell>
          <cell r="Q95">
            <v>1.1000000000000001</v>
          </cell>
          <cell r="R95" t="str">
            <v>UND</v>
          </cell>
          <cell r="S95">
            <v>0</v>
          </cell>
          <cell r="T95">
            <v>0</v>
          </cell>
          <cell r="U95" t="str">
            <v/>
          </cell>
          <cell r="V95" t="str">
            <v>PRO10</v>
          </cell>
          <cell r="W95">
            <v>0</v>
          </cell>
        </row>
        <row r="96">
          <cell r="C96" t="str">
            <v>LBRC40-1/2</v>
          </cell>
          <cell r="D96" t="str">
            <v>PRINC</v>
          </cell>
          <cell r="E96" t="str">
            <v>00007</v>
          </cell>
          <cell r="F96" t="str">
            <v>CADENAS DE TRANSMISION</v>
          </cell>
          <cell r="G96" t="str">
            <v>PRINCIPAL</v>
          </cell>
          <cell r="H96">
            <v>46004</v>
          </cell>
          <cell r="I96" t="str">
            <v>SALDO INICIAL</v>
          </cell>
          <cell r="J96">
            <v>-10</v>
          </cell>
          <cell r="K96">
            <v>0</v>
          </cell>
          <cell r="L96">
            <v>0</v>
          </cell>
          <cell r="M96">
            <v>0</v>
          </cell>
          <cell r="N96" t="str">
            <v/>
          </cell>
          <cell r="O96" t="str">
            <v/>
          </cell>
          <cell r="P96" t="str">
            <v/>
          </cell>
          <cell r="Q96">
            <v>2.1</v>
          </cell>
          <cell r="R96" t="str">
            <v>UND</v>
          </cell>
          <cell r="S96">
            <v>0</v>
          </cell>
          <cell r="T96">
            <v>0</v>
          </cell>
          <cell r="U96" t="str">
            <v/>
          </cell>
          <cell r="V96" t="str">
            <v>PRO10</v>
          </cell>
          <cell r="W96">
            <v>0</v>
          </cell>
        </row>
        <row r="97">
          <cell r="C97" t="str">
            <v>1/2CANFE50</v>
          </cell>
          <cell r="D97" t="str">
            <v>PRINC</v>
          </cell>
          <cell r="E97" t="str">
            <v>00007</v>
          </cell>
          <cell r="F97" t="str">
            <v>CADENAS DE TRANSMISION</v>
          </cell>
          <cell r="G97" t="str">
            <v>PRINCIPAL</v>
          </cell>
          <cell r="H97">
            <v>46004</v>
          </cell>
          <cell r="I97" t="str">
            <v>SALDO INICIAL</v>
          </cell>
          <cell r="J97">
            <v>14</v>
          </cell>
          <cell r="K97">
            <v>16.52</v>
          </cell>
          <cell r="L97">
            <v>1.18</v>
          </cell>
          <cell r="M97">
            <v>1.18</v>
          </cell>
          <cell r="N97" t="str">
            <v/>
          </cell>
          <cell r="O97" t="str">
            <v/>
          </cell>
          <cell r="P97" t="str">
            <v/>
          </cell>
          <cell r="Q97">
            <v>1.6</v>
          </cell>
          <cell r="R97" t="str">
            <v>UND</v>
          </cell>
          <cell r="S97">
            <v>0</v>
          </cell>
          <cell r="T97">
            <v>0</v>
          </cell>
          <cell r="U97" t="str">
            <v/>
          </cell>
          <cell r="V97" t="str">
            <v>PRO10</v>
          </cell>
          <cell r="W97">
            <v>0</v>
          </cell>
        </row>
        <row r="98">
          <cell r="C98" t="str">
            <v>VE1/2CANSS35</v>
          </cell>
          <cell r="D98" t="str">
            <v>PRINC</v>
          </cell>
          <cell r="E98" t="str">
            <v>00007</v>
          </cell>
          <cell r="F98" t="str">
            <v>CADENAS DE TRANSMISION</v>
          </cell>
          <cell r="G98" t="str">
            <v>PRINCIPAL</v>
          </cell>
          <cell r="H98">
            <v>46004</v>
          </cell>
          <cell r="I98" t="str">
            <v>SALDO INICIAL</v>
          </cell>
          <cell r="J98">
            <v>-12</v>
          </cell>
          <cell r="K98">
            <v>0</v>
          </cell>
          <cell r="L98">
            <v>0</v>
          </cell>
          <cell r="M98">
            <v>0</v>
          </cell>
          <cell r="N98" t="str">
            <v/>
          </cell>
          <cell r="O98" t="str">
            <v/>
          </cell>
          <cell r="P98" t="str">
            <v/>
          </cell>
          <cell r="Q98">
            <v>4.8</v>
          </cell>
          <cell r="R98" t="str">
            <v>UND</v>
          </cell>
          <cell r="S98">
            <v>0</v>
          </cell>
          <cell r="T98">
            <v>0</v>
          </cell>
          <cell r="U98" t="str">
            <v/>
          </cell>
          <cell r="V98" t="str">
            <v>PRO10</v>
          </cell>
          <cell r="W98">
            <v>0</v>
          </cell>
        </row>
        <row r="99">
          <cell r="C99" t="str">
            <v>LBMC40-1SS</v>
          </cell>
          <cell r="D99" t="str">
            <v>PRINC</v>
          </cell>
          <cell r="E99" t="str">
            <v>00007</v>
          </cell>
          <cell r="F99" t="str">
            <v>CADENAS DE TRANSMISION</v>
          </cell>
          <cell r="G99" t="str">
            <v>PRINCIPAL</v>
          </cell>
          <cell r="H99">
            <v>46004</v>
          </cell>
          <cell r="I99" t="str">
            <v>SALDO INICIAL</v>
          </cell>
          <cell r="J99">
            <v>-30</v>
          </cell>
          <cell r="K99">
            <v>0</v>
          </cell>
          <cell r="L99">
            <v>0</v>
          </cell>
          <cell r="M99">
            <v>0</v>
          </cell>
          <cell r="N99" t="str">
            <v/>
          </cell>
          <cell r="O99" t="str">
            <v/>
          </cell>
          <cell r="P99" t="str">
            <v/>
          </cell>
          <cell r="Q99">
            <v>6.8</v>
          </cell>
          <cell r="R99" t="str">
            <v>UND</v>
          </cell>
          <cell r="S99">
            <v>0</v>
          </cell>
          <cell r="T99">
            <v>0</v>
          </cell>
          <cell r="U99" t="str">
            <v/>
          </cell>
          <cell r="V99" t="str">
            <v>PRO10</v>
          </cell>
          <cell r="W99">
            <v>0</v>
          </cell>
        </row>
        <row r="100">
          <cell r="C100" t="str">
            <v>VE1/2CANSS40</v>
          </cell>
          <cell r="D100" t="str">
            <v>PRINC</v>
          </cell>
          <cell r="E100" t="str">
            <v>00007</v>
          </cell>
          <cell r="F100" t="str">
            <v>CADENAS DE TRANSMISION</v>
          </cell>
          <cell r="G100" t="str">
            <v>PRINCIPAL</v>
          </cell>
          <cell r="H100">
            <v>46004</v>
          </cell>
          <cell r="I100" t="str">
            <v>SALDO INICIAL</v>
          </cell>
          <cell r="J100">
            <v>-12</v>
          </cell>
          <cell r="K100">
            <v>0</v>
          </cell>
          <cell r="L100">
            <v>0</v>
          </cell>
          <cell r="M100">
            <v>0</v>
          </cell>
          <cell r="N100" t="str">
            <v/>
          </cell>
          <cell r="O100" t="str">
            <v/>
          </cell>
          <cell r="P100" t="str">
            <v/>
          </cell>
          <cell r="Q100">
            <v>6.5</v>
          </cell>
          <cell r="R100" t="str">
            <v>UND</v>
          </cell>
          <cell r="S100">
            <v>0</v>
          </cell>
          <cell r="T100">
            <v>0</v>
          </cell>
          <cell r="U100" t="str">
            <v/>
          </cell>
          <cell r="V100" t="str">
            <v>PRO10</v>
          </cell>
          <cell r="W100">
            <v>0</v>
          </cell>
        </row>
        <row r="101">
          <cell r="C101" t="str">
            <v>1/2CANSS50</v>
          </cell>
          <cell r="D101" t="str">
            <v>PRINC</v>
          </cell>
          <cell r="E101" t="str">
            <v>00007</v>
          </cell>
          <cell r="F101" t="str">
            <v>CADENAS DE TRANSMISION</v>
          </cell>
          <cell r="G101" t="str">
            <v>PRINCIPAL</v>
          </cell>
          <cell r="H101">
            <v>46004</v>
          </cell>
          <cell r="I101" t="str">
            <v>SALDO INICIAL</v>
          </cell>
          <cell r="J101">
            <v>2</v>
          </cell>
          <cell r="K101">
            <v>12.685715</v>
          </cell>
          <cell r="L101">
            <v>6.3428570000000004</v>
          </cell>
          <cell r="M101">
            <v>6.3428575</v>
          </cell>
          <cell r="N101" t="str">
            <v/>
          </cell>
          <cell r="O101" t="str">
            <v/>
          </cell>
          <cell r="P101" t="str">
            <v/>
          </cell>
          <cell r="Q101">
            <v>9.6999999999999993</v>
          </cell>
          <cell r="R101" t="str">
            <v>UND</v>
          </cell>
          <cell r="S101">
            <v>0</v>
          </cell>
          <cell r="T101">
            <v>0</v>
          </cell>
          <cell r="U101" t="str">
            <v/>
          </cell>
          <cell r="V101" t="str">
            <v>PRO10</v>
          </cell>
          <cell r="W101">
            <v>0</v>
          </cell>
        </row>
        <row r="102">
          <cell r="C102" t="str">
            <v>CH1/2CANSS50</v>
          </cell>
          <cell r="D102" t="str">
            <v>PRINC</v>
          </cell>
          <cell r="E102" t="str">
            <v>00007</v>
          </cell>
          <cell r="F102" t="str">
            <v>CADENAS DE TRANSMISION</v>
          </cell>
          <cell r="G102" t="str">
            <v>PRINCIPAL</v>
          </cell>
          <cell r="H102">
            <v>46004</v>
          </cell>
          <cell r="I102" t="str">
            <v>SALDO INICIAL</v>
          </cell>
          <cell r="J102">
            <v>10</v>
          </cell>
          <cell r="K102">
            <v>37.659999999999997</v>
          </cell>
          <cell r="L102">
            <v>4.1879999999999997</v>
          </cell>
          <cell r="M102">
            <v>3.766</v>
          </cell>
          <cell r="N102" t="str">
            <v/>
          </cell>
          <cell r="O102" t="str">
            <v/>
          </cell>
          <cell r="P102" t="str">
            <v/>
          </cell>
          <cell r="Q102">
            <v>0</v>
          </cell>
          <cell r="R102" t="str">
            <v>UND</v>
          </cell>
          <cell r="S102">
            <v>0</v>
          </cell>
          <cell r="T102">
            <v>0</v>
          </cell>
          <cell r="U102" t="str">
            <v/>
          </cell>
          <cell r="V102" t="str">
            <v>PRO10</v>
          </cell>
          <cell r="W102">
            <v>0</v>
          </cell>
        </row>
        <row r="103">
          <cell r="C103" t="str">
            <v>VE1/2CANSS50</v>
          </cell>
          <cell r="D103" t="str">
            <v>PRINC</v>
          </cell>
          <cell r="E103" t="str">
            <v>00007</v>
          </cell>
          <cell r="F103" t="str">
            <v>CADENAS DE TRANSMISION</v>
          </cell>
          <cell r="G103" t="str">
            <v>PRINCIPAL</v>
          </cell>
          <cell r="H103">
            <v>46004</v>
          </cell>
          <cell r="I103" t="str">
            <v>SALDO INICIAL</v>
          </cell>
          <cell r="J103">
            <v>-2</v>
          </cell>
          <cell r="K103">
            <v>0</v>
          </cell>
          <cell r="L103">
            <v>0</v>
          </cell>
          <cell r="M103">
            <v>0</v>
          </cell>
          <cell r="N103" t="str">
            <v/>
          </cell>
          <cell r="O103" t="str">
            <v/>
          </cell>
          <cell r="P103" t="str">
            <v/>
          </cell>
          <cell r="Q103">
            <v>7.1</v>
          </cell>
          <cell r="R103" t="str">
            <v>UND</v>
          </cell>
          <cell r="S103">
            <v>0</v>
          </cell>
          <cell r="T103">
            <v>0</v>
          </cell>
          <cell r="U103" t="str">
            <v/>
          </cell>
          <cell r="V103" t="str">
            <v>PRO10</v>
          </cell>
          <cell r="W103">
            <v>0</v>
          </cell>
        </row>
        <row r="104">
          <cell r="C104" t="str">
            <v>CH1/2CANSS60</v>
          </cell>
          <cell r="D104" t="str">
            <v>PRINC</v>
          </cell>
          <cell r="E104" t="str">
            <v>00007</v>
          </cell>
          <cell r="F104" t="str">
            <v>CADENAS DE TRANSMISION</v>
          </cell>
          <cell r="G104" t="str">
            <v>PRINCIPAL</v>
          </cell>
          <cell r="H104">
            <v>46004</v>
          </cell>
          <cell r="I104" t="str">
            <v>SALDO INICIAL</v>
          </cell>
          <cell r="J104">
            <v>6</v>
          </cell>
          <cell r="K104">
            <v>33.18</v>
          </cell>
          <cell r="L104">
            <v>0</v>
          </cell>
          <cell r="M104">
            <v>5.53</v>
          </cell>
          <cell r="N104" t="str">
            <v/>
          </cell>
          <cell r="O104" t="str">
            <v/>
          </cell>
          <cell r="P104" t="str">
            <v/>
          </cell>
          <cell r="Q104">
            <v>0</v>
          </cell>
          <cell r="R104" t="str">
            <v>UND</v>
          </cell>
          <cell r="S104">
            <v>0</v>
          </cell>
          <cell r="T104">
            <v>0</v>
          </cell>
          <cell r="U104" t="str">
            <v/>
          </cell>
          <cell r="V104" t="str">
            <v>PRO10</v>
          </cell>
          <cell r="W104">
            <v>0</v>
          </cell>
        </row>
        <row r="105">
          <cell r="C105" t="str">
            <v>VE1/2CANSS60</v>
          </cell>
          <cell r="D105" t="str">
            <v>PRINC</v>
          </cell>
          <cell r="E105" t="str">
            <v>00007</v>
          </cell>
          <cell r="F105" t="str">
            <v>CADENAS DE TRANSMISION</v>
          </cell>
          <cell r="G105" t="str">
            <v>PRINCIPAL</v>
          </cell>
          <cell r="H105">
            <v>46004</v>
          </cell>
          <cell r="I105" t="str">
            <v>SALDO INICIAL</v>
          </cell>
          <cell r="J105">
            <v>-2</v>
          </cell>
          <cell r="K105">
            <v>0</v>
          </cell>
          <cell r="L105">
            <v>0</v>
          </cell>
          <cell r="M105">
            <v>0</v>
          </cell>
          <cell r="N105" t="str">
            <v/>
          </cell>
          <cell r="O105" t="str">
            <v/>
          </cell>
          <cell r="P105" t="str">
            <v/>
          </cell>
          <cell r="Q105">
            <v>8.6999999999999993</v>
          </cell>
          <cell r="R105" t="str">
            <v>UND</v>
          </cell>
          <cell r="S105">
            <v>0</v>
          </cell>
          <cell r="T105">
            <v>0</v>
          </cell>
          <cell r="U105" t="str">
            <v/>
          </cell>
          <cell r="V105" t="str">
            <v>PRO10</v>
          </cell>
          <cell r="W105">
            <v>0</v>
          </cell>
        </row>
        <row r="106">
          <cell r="C106" t="str">
            <v>LBMC80-1SS</v>
          </cell>
          <cell r="D106" t="str">
            <v>PRINC</v>
          </cell>
          <cell r="E106" t="str">
            <v>00007</v>
          </cell>
          <cell r="F106" t="str">
            <v>CADENAS DE TRANSMISION</v>
          </cell>
          <cell r="G106" t="str">
            <v>PRINCIPAL</v>
          </cell>
          <cell r="H106">
            <v>46004</v>
          </cell>
          <cell r="I106" t="str">
            <v>SALDO INICIAL</v>
          </cell>
          <cell r="J106">
            <v>-2</v>
          </cell>
          <cell r="K106">
            <v>0</v>
          </cell>
          <cell r="L106">
            <v>0</v>
          </cell>
          <cell r="M106">
            <v>0</v>
          </cell>
          <cell r="N106" t="str">
            <v/>
          </cell>
          <cell r="O106" t="str">
            <v/>
          </cell>
          <cell r="P106" t="str">
            <v/>
          </cell>
          <cell r="Q106">
            <v>17.5</v>
          </cell>
          <cell r="R106" t="str">
            <v>UND</v>
          </cell>
          <cell r="S106">
            <v>0</v>
          </cell>
          <cell r="T106">
            <v>0</v>
          </cell>
          <cell r="U106" t="str">
            <v/>
          </cell>
          <cell r="V106" t="str">
            <v>PRO10</v>
          </cell>
          <cell r="W106">
            <v>0</v>
          </cell>
        </row>
        <row r="107">
          <cell r="C107" t="str">
            <v>VE1/2CANSS50-3</v>
          </cell>
          <cell r="D107" t="str">
            <v>PRINC</v>
          </cell>
          <cell r="E107" t="str">
            <v>00007</v>
          </cell>
          <cell r="F107" t="str">
            <v>CADENAS DE TRANSMISION</v>
          </cell>
          <cell r="G107" t="str">
            <v>PRINCIPAL</v>
          </cell>
          <cell r="H107">
            <v>46004</v>
          </cell>
          <cell r="I107" t="str">
            <v>SALDO INICIAL</v>
          </cell>
          <cell r="J107">
            <v>3</v>
          </cell>
          <cell r="K107">
            <v>39</v>
          </cell>
          <cell r="L107">
            <v>0</v>
          </cell>
          <cell r="M107">
            <v>13</v>
          </cell>
          <cell r="N107" t="str">
            <v/>
          </cell>
          <cell r="O107" t="str">
            <v/>
          </cell>
          <cell r="P107" t="str">
            <v/>
          </cell>
          <cell r="Q107">
            <v>15.2</v>
          </cell>
          <cell r="R107" t="str">
            <v>UND</v>
          </cell>
          <cell r="S107">
            <v>0</v>
          </cell>
          <cell r="T107">
            <v>0</v>
          </cell>
          <cell r="U107" t="str">
            <v/>
          </cell>
          <cell r="V107" t="str">
            <v>PRO10</v>
          </cell>
          <cell r="W107">
            <v>0</v>
          </cell>
        </row>
        <row r="108">
          <cell r="C108" t="str">
            <v>CADFE50</v>
          </cell>
          <cell r="D108" t="str">
            <v>PRINC</v>
          </cell>
          <cell r="E108" t="str">
            <v>00007</v>
          </cell>
          <cell r="F108" t="str">
            <v>CADENAS DE TRANSMISION</v>
          </cell>
          <cell r="G108" t="str">
            <v>PRINCIPAL</v>
          </cell>
          <cell r="H108">
            <v>46004</v>
          </cell>
          <cell r="I108" t="str">
            <v>SALDO INICIAL</v>
          </cell>
          <cell r="J108">
            <v>1</v>
          </cell>
          <cell r="K108">
            <v>21.77</v>
          </cell>
          <cell r="L108">
            <v>21.77</v>
          </cell>
          <cell r="M108">
            <v>21.77</v>
          </cell>
          <cell r="N108" t="str">
            <v/>
          </cell>
          <cell r="O108" t="str">
            <v/>
          </cell>
          <cell r="P108" t="str">
            <v/>
          </cell>
          <cell r="Q108">
            <v>35</v>
          </cell>
          <cell r="R108" t="str">
            <v>CJA</v>
          </cell>
          <cell r="S108">
            <v>0</v>
          </cell>
          <cell r="T108">
            <v>0</v>
          </cell>
          <cell r="U108" t="str">
            <v/>
          </cell>
          <cell r="V108" t="str">
            <v>PRO10</v>
          </cell>
          <cell r="W108">
            <v>0</v>
          </cell>
        </row>
        <row r="109">
          <cell r="C109" t="str">
            <v>KACADSS50</v>
          </cell>
          <cell r="D109" t="str">
            <v>PRINC</v>
          </cell>
          <cell r="E109" t="str">
            <v>00007</v>
          </cell>
          <cell r="F109" t="str">
            <v>CADENAS DE TRANSMISION</v>
          </cell>
          <cell r="G109" t="str">
            <v>PRINCIPAL</v>
          </cell>
          <cell r="H109">
            <v>46004</v>
          </cell>
          <cell r="I109" t="str">
            <v>SALDO INICIAL</v>
          </cell>
          <cell r="J109">
            <v>1</v>
          </cell>
          <cell r="K109">
            <v>104.94199999999999</v>
          </cell>
          <cell r="L109">
            <v>104.94199999999999</v>
          </cell>
          <cell r="M109">
            <v>104.94199999999999</v>
          </cell>
          <cell r="N109" t="str">
            <v/>
          </cell>
          <cell r="O109" t="str">
            <v/>
          </cell>
          <cell r="P109" t="str">
            <v/>
          </cell>
          <cell r="Q109">
            <v>186.3</v>
          </cell>
          <cell r="R109" t="str">
            <v>CJA</v>
          </cell>
          <cell r="S109">
            <v>0</v>
          </cell>
          <cell r="T109">
            <v>0</v>
          </cell>
          <cell r="U109" t="str">
            <v/>
          </cell>
          <cell r="V109" t="str">
            <v>PRO10</v>
          </cell>
          <cell r="W109">
            <v>0</v>
          </cell>
        </row>
        <row r="110">
          <cell r="C110" t="str">
            <v>LBRC40-1RSS</v>
          </cell>
          <cell r="D110" t="str">
            <v>PRINC</v>
          </cell>
          <cell r="E110" t="str">
            <v>00007</v>
          </cell>
          <cell r="F110" t="str">
            <v>CADENAS DE TRANSMISION</v>
          </cell>
          <cell r="G110" t="str">
            <v>PRINCIPAL</v>
          </cell>
          <cell r="H110">
            <v>46004</v>
          </cell>
          <cell r="I110" t="str">
            <v>SALDO INICIAL</v>
          </cell>
          <cell r="J110">
            <v>-5</v>
          </cell>
          <cell r="K110">
            <v>0</v>
          </cell>
          <cell r="L110">
            <v>0</v>
          </cell>
          <cell r="M110">
            <v>0</v>
          </cell>
          <cell r="N110" t="str">
            <v>PVP C/DSCTO $186</v>
          </cell>
          <cell r="O110" t="str">
            <v/>
          </cell>
          <cell r="P110" t="str">
            <v/>
          </cell>
          <cell r="Q110">
            <v>204</v>
          </cell>
          <cell r="R110" t="str">
            <v>CJA</v>
          </cell>
          <cell r="S110">
            <v>0</v>
          </cell>
          <cell r="T110">
            <v>0</v>
          </cell>
          <cell r="U110" t="str">
            <v/>
          </cell>
          <cell r="V110" t="str">
            <v>PRO10</v>
          </cell>
          <cell r="W110">
            <v>0</v>
          </cell>
        </row>
        <row r="111">
          <cell r="C111" t="str">
            <v>VECADSS40-2</v>
          </cell>
          <cell r="D111" t="str">
            <v>PRINC</v>
          </cell>
          <cell r="E111" t="str">
            <v>00007</v>
          </cell>
          <cell r="F111" t="str">
            <v>CADENAS DE TRANSMISION</v>
          </cell>
          <cell r="G111" t="str">
            <v>PRINCIPAL</v>
          </cell>
          <cell r="H111">
            <v>46004</v>
          </cell>
          <cell r="I111" t="str">
            <v>SALDO INICIAL</v>
          </cell>
          <cell r="J111">
            <v>2</v>
          </cell>
          <cell r="K111">
            <v>222.08</v>
          </cell>
          <cell r="L111">
            <v>111.04</v>
          </cell>
          <cell r="M111">
            <v>111.04</v>
          </cell>
          <cell r="N111" t="str">
            <v/>
          </cell>
          <cell r="O111" t="str">
            <v/>
          </cell>
          <cell r="P111" t="str">
            <v/>
          </cell>
          <cell r="Q111">
            <v>203.6</v>
          </cell>
          <cell r="R111" t="str">
            <v>CJA</v>
          </cell>
          <cell r="S111">
            <v>0</v>
          </cell>
          <cell r="T111">
            <v>0</v>
          </cell>
          <cell r="U111" t="str">
            <v/>
          </cell>
          <cell r="V111" t="str">
            <v>PRO10</v>
          </cell>
          <cell r="W111">
            <v>0</v>
          </cell>
        </row>
        <row r="112">
          <cell r="C112" t="str">
            <v>VECADSS50-2</v>
          </cell>
          <cell r="D112" t="str">
            <v>PRINC</v>
          </cell>
          <cell r="E112" t="str">
            <v>00007</v>
          </cell>
          <cell r="F112" t="str">
            <v>CADENAS DE TRANSMISION</v>
          </cell>
          <cell r="G112" t="str">
            <v>PRINCIPAL</v>
          </cell>
          <cell r="H112">
            <v>46004</v>
          </cell>
          <cell r="I112" t="str">
            <v>SALDO INICIAL</v>
          </cell>
          <cell r="J112">
            <v>-1</v>
          </cell>
          <cell r="K112">
            <v>0</v>
          </cell>
          <cell r="L112">
            <v>0</v>
          </cell>
          <cell r="M112">
            <v>0</v>
          </cell>
          <cell r="N112" t="str">
            <v/>
          </cell>
          <cell r="O112" t="str">
            <v/>
          </cell>
          <cell r="P112" t="str">
            <v/>
          </cell>
          <cell r="Q112">
            <v>302.39999999999998</v>
          </cell>
          <cell r="R112" t="str">
            <v>UND</v>
          </cell>
          <cell r="S112">
            <v>0</v>
          </cell>
          <cell r="T112">
            <v>0</v>
          </cell>
          <cell r="U112" t="str">
            <v/>
          </cell>
          <cell r="V112" t="str">
            <v>PRO10</v>
          </cell>
          <cell r="W112">
            <v>0</v>
          </cell>
        </row>
        <row r="113">
          <cell r="C113" t="str">
            <v>VECADFE50</v>
          </cell>
          <cell r="D113" t="str">
            <v>PRINC</v>
          </cell>
          <cell r="E113" t="str">
            <v>00007</v>
          </cell>
          <cell r="F113" t="str">
            <v>CADENAS DE TRANSMISION</v>
          </cell>
          <cell r="G113" t="str">
            <v>PRINCIPAL</v>
          </cell>
          <cell r="H113">
            <v>46004</v>
          </cell>
          <cell r="I113" t="str">
            <v>SALDO INICIAL</v>
          </cell>
          <cell r="J113">
            <v>-1</v>
          </cell>
          <cell r="K113">
            <v>0</v>
          </cell>
          <cell r="L113">
            <v>0</v>
          </cell>
          <cell r="M113">
            <v>0</v>
          </cell>
          <cell r="N113" t="str">
            <v/>
          </cell>
          <cell r="O113" t="str">
            <v/>
          </cell>
          <cell r="P113" t="str">
            <v/>
          </cell>
          <cell r="Q113">
            <v>36</v>
          </cell>
          <cell r="R113" t="str">
            <v>UND</v>
          </cell>
          <cell r="S113">
            <v>0</v>
          </cell>
          <cell r="T113">
            <v>0</v>
          </cell>
          <cell r="U113" t="str">
            <v/>
          </cell>
          <cell r="V113" t="str">
            <v>PRO10</v>
          </cell>
          <cell r="W113">
            <v>0</v>
          </cell>
        </row>
        <row r="114">
          <cell r="C114" t="str">
            <v>VECADSS35</v>
          </cell>
          <cell r="D114" t="str">
            <v>PRINC</v>
          </cell>
          <cell r="E114" t="str">
            <v>00007</v>
          </cell>
          <cell r="F114" t="str">
            <v>CADENAS DE TRANSMISION</v>
          </cell>
          <cell r="G114" t="str">
            <v>PRINCIPAL</v>
          </cell>
          <cell r="H114">
            <v>46004</v>
          </cell>
          <cell r="I114" t="str">
            <v>SALDO INICIAL</v>
          </cell>
          <cell r="J114">
            <v>-4</v>
          </cell>
          <cell r="K114">
            <v>0</v>
          </cell>
          <cell r="L114">
            <v>0</v>
          </cell>
          <cell r="M114">
            <v>0</v>
          </cell>
          <cell r="N114" t="str">
            <v/>
          </cell>
          <cell r="O114" t="str">
            <v/>
          </cell>
          <cell r="P114" t="str">
            <v/>
          </cell>
          <cell r="Q114">
            <v>75.599999999999994</v>
          </cell>
          <cell r="R114" t="str">
            <v>CJA</v>
          </cell>
          <cell r="S114">
            <v>0</v>
          </cell>
          <cell r="T114">
            <v>0</v>
          </cell>
          <cell r="U114" t="str">
            <v/>
          </cell>
          <cell r="V114" t="str">
            <v>PRO10</v>
          </cell>
          <cell r="W114">
            <v>0</v>
          </cell>
        </row>
        <row r="115">
          <cell r="C115" t="str">
            <v>VECADSS40</v>
          </cell>
          <cell r="D115" t="str">
            <v>PRINC</v>
          </cell>
          <cell r="E115" t="str">
            <v>00007</v>
          </cell>
          <cell r="F115" t="str">
            <v>CADENAS DE TRANSMISION</v>
          </cell>
          <cell r="G115" t="str">
            <v>PRINCIPAL</v>
          </cell>
          <cell r="H115">
            <v>46004</v>
          </cell>
          <cell r="I115" t="str">
            <v>SALDO INICIAL</v>
          </cell>
          <cell r="J115">
            <v>-10</v>
          </cell>
          <cell r="K115">
            <v>0</v>
          </cell>
          <cell r="L115">
            <v>0</v>
          </cell>
          <cell r="M115">
            <v>0</v>
          </cell>
          <cell r="N115" t="str">
            <v/>
          </cell>
          <cell r="O115" t="str">
            <v/>
          </cell>
          <cell r="P115" t="str">
            <v/>
          </cell>
          <cell r="Q115">
            <v>95</v>
          </cell>
          <cell r="R115" t="str">
            <v>CJA</v>
          </cell>
          <cell r="S115">
            <v>0</v>
          </cell>
          <cell r="T115">
            <v>0</v>
          </cell>
          <cell r="U115" t="str">
            <v/>
          </cell>
          <cell r="V115" t="str">
            <v>PRO10</v>
          </cell>
          <cell r="W115">
            <v>0</v>
          </cell>
        </row>
        <row r="116">
          <cell r="C116" t="str">
            <v>VECADSS50</v>
          </cell>
          <cell r="D116" t="str">
            <v>PRINC</v>
          </cell>
          <cell r="E116" t="str">
            <v>00007</v>
          </cell>
          <cell r="F116" t="str">
            <v>CADENAS DE TRANSMISION</v>
          </cell>
          <cell r="G116" t="str">
            <v>PRINCIPAL</v>
          </cell>
          <cell r="H116">
            <v>46004</v>
          </cell>
          <cell r="I116" t="str">
            <v>SALDO INICIAL</v>
          </cell>
          <cell r="J116">
            <v>-2</v>
          </cell>
          <cell r="K116">
            <v>0</v>
          </cell>
          <cell r="L116">
            <v>0</v>
          </cell>
          <cell r="M116">
            <v>0</v>
          </cell>
          <cell r="N116" t="str">
            <v>PRECIO ESPECIAL $132.20</v>
          </cell>
          <cell r="O116" t="str">
            <v/>
          </cell>
          <cell r="P116" t="str">
            <v/>
          </cell>
          <cell r="Q116">
            <v>170</v>
          </cell>
          <cell r="R116" t="str">
            <v>CJA</v>
          </cell>
          <cell r="S116">
            <v>0</v>
          </cell>
          <cell r="T116">
            <v>0</v>
          </cell>
          <cell r="U116" t="str">
            <v/>
          </cell>
          <cell r="V116" t="str">
            <v>PRO10</v>
          </cell>
          <cell r="W116">
            <v>0</v>
          </cell>
        </row>
        <row r="117">
          <cell r="C117" t="str">
            <v>VECADSS60</v>
          </cell>
          <cell r="D117" t="str">
            <v>PRINC</v>
          </cell>
          <cell r="E117" t="str">
            <v>00007</v>
          </cell>
          <cell r="F117" t="str">
            <v>CADENAS DE TRANSMISION</v>
          </cell>
          <cell r="G117" t="str">
            <v>PRINCIPAL</v>
          </cell>
          <cell r="H117">
            <v>46004</v>
          </cell>
          <cell r="I117" t="str">
            <v>SALDO INICIAL</v>
          </cell>
          <cell r="J117">
            <v>-1</v>
          </cell>
          <cell r="K117">
            <v>0</v>
          </cell>
          <cell r="L117">
            <v>0</v>
          </cell>
          <cell r="M117">
            <v>0</v>
          </cell>
          <cell r="N117" t="str">
            <v>PRECIO ESPECIAL $184.4</v>
          </cell>
          <cell r="O117" t="str">
            <v/>
          </cell>
          <cell r="P117" t="str">
            <v/>
          </cell>
          <cell r="Q117">
            <v>193</v>
          </cell>
          <cell r="R117" t="str">
            <v>CJA</v>
          </cell>
          <cell r="S117">
            <v>0</v>
          </cell>
          <cell r="T117">
            <v>0</v>
          </cell>
          <cell r="U117" t="str">
            <v/>
          </cell>
          <cell r="V117" t="str">
            <v>PRO10</v>
          </cell>
          <cell r="W117">
            <v>0</v>
          </cell>
        </row>
        <row r="118">
          <cell r="C118" t="str">
            <v>VECADSS80</v>
          </cell>
          <cell r="D118" t="str">
            <v>PRINC</v>
          </cell>
          <cell r="E118" t="str">
            <v>00007</v>
          </cell>
          <cell r="F118" t="str">
            <v>CADENAS DE TRANSMISION</v>
          </cell>
          <cell r="G118" t="str">
            <v>PRINCIPAL</v>
          </cell>
          <cell r="H118">
            <v>46004</v>
          </cell>
          <cell r="I118" t="str">
            <v>SALDO INICIAL</v>
          </cell>
          <cell r="J118">
            <v>-1</v>
          </cell>
          <cell r="K118">
            <v>0</v>
          </cell>
          <cell r="L118">
            <v>0</v>
          </cell>
          <cell r="M118">
            <v>0</v>
          </cell>
          <cell r="N118" t="str">
            <v/>
          </cell>
          <cell r="O118" t="str">
            <v/>
          </cell>
          <cell r="P118" t="str">
            <v/>
          </cell>
          <cell r="Q118">
            <v>375</v>
          </cell>
          <cell r="R118" t="str">
            <v>CJA</v>
          </cell>
          <cell r="S118">
            <v>0</v>
          </cell>
          <cell r="T118">
            <v>0</v>
          </cell>
          <cell r="U118" t="str">
            <v/>
          </cell>
          <cell r="V118" t="str">
            <v>PRO10</v>
          </cell>
          <cell r="W118">
            <v>0</v>
          </cell>
        </row>
        <row r="119">
          <cell r="C119" t="str">
            <v>VECANSS08-2</v>
          </cell>
          <cell r="D119" t="str">
            <v>PRINC</v>
          </cell>
          <cell r="E119" t="str">
            <v>00007</v>
          </cell>
          <cell r="F119" t="str">
            <v>CADENAS DE TRANSMISION</v>
          </cell>
          <cell r="G119" t="str">
            <v>PRINCIPAL</v>
          </cell>
          <cell r="H119">
            <v>46004</v>
          </cell>
          <cell r="I119" t="str">
            <v>SALDO INICIAL</v>
          </cell>
          <cell r="J119">
            <v>10</v>
          </cell>
          <cell r="K119">
            <v>98</v>
          </cell>
          <cell r="L119">
            <v>9.8000000000000007</v>
          </cell>
          <cell r="M119">
            <v>9.8000000000000007</v>
          </cell>
          <cell r="N119" t="str">
            <v/>
          </cell>
          <cell r="O119" t="str">
            <v/>
          </cell>
          <cell r="P119" t="str">
            <v/>
          </cell>
          <cell r="Q119">
            <v>12</v>
          </cell>
          <cell r="R119" t="str">
            <v>UND</v>
          </cell>
          <cell r="S119">
            <v>0</v>
          </cell>
          <cell r="T119">
            <v>0</v>
          </cell>
          <cell r="U119" t="str">
            <v/>
          </cell>
          <cell r="V119" t="str">
            <v>PRO10</v>
          </cell>
          <cell r="W119">
            <v>0</v>
          </cell>
        </row>
        <row r="120">
          <cell r="C120" t="str">
            <v>LBCA40-2SS</v>
          </cell>
          <cell r="D120" t="str">
            <v>PRINC</v>
          </cell>
          <cell r="E120" t="str">
            <v>00007</v>
          </cell>
          <cell r="F120" t="str">
            <v>CADENAS DE TRANSMISION</v>
          </cell>
          <cell r="G120" t="str">
            <v>PRINCIPAL</v>
          </cell>
          <cell r="H120">
            <v>46004</v>
          </cell>
          <cell r="I120" t="str">
            <v>SALDO INICIAL</v>
          </cell>
          <cell r="J120">
            <v>17</v>
          </cell>
          <cell r="K120">
            <v>88.74</v>
          </cell>
          <cell r="L120">
            <v>5.22</v>
          </cell>
          <cell r="M120">
            <v>5.22</v>
          </cell>
          <cell r="N120" t="str">
            <v/>
          </cell>
          <cell r="O120" t="str">
            <v/>
          </cell>
          <cell r="P120" t="str">
            <v/>
          </cell>
          <cell r="Q120">
            <v>6.1</v>
          </cell>
          <cell r="R120" t="str">
            <v>UND</v>
          </cell>
          <cell r="S120">
            <v>0</v>
          </cell>
          <cell r="T120">
            <v>0</v>
          </cell>
          <cell r="U120" t="str">
            <v/>
          </cell>
          <cell r="V120" t="str">
            <v>PRO10</v>
          </cell>
          <cell r="W120">
            <v>0</v>
          </cell>
        </row>
        <row r="121">
          <cell r="C121" t="str">
            <v>VECANSS40-2</v>
          </cell>
          <cell r="D121" t="str">
            <v>PRINC</v>
          </cell>
          <cell r="E121" t="str">
            <v>00007</v>
          </cell>
          <cell r="F121" t="str">
            <v>CADENAS DE TRANSMISION</v>
          </cell>
          <cell r="G121" t="str">
            <v>PRINCIPAL</v>
          </cell>
          <cell r="H121">
            <v>46004</v>
          </cell>
          <cell r="I121" t="str">
            <v>SALDO INICIAL</v>
          </cell>
          <cell r="J121">
            <v>10</v>
          </cell>
          <cell r="K121">
            <v>30.1</v>
          </cell>
          <cell r="L121">
            <v>3.01</v>
          </cell>
          <cell r="M121">
            <v>3.01</v>
          </cell>
          <cell r="N121" t="str">
            <v/>
          </cell>
          <cell r="O121" t="str">
            <v/>
          </cell>
          <cell r="P121" t="str">
            <v/>
          </cell>
          <cell r="Q121">
            <v>4.3</v>
          </cell>
          <cell r="R121" t="str">
            <v>UND</v>
          </cell>
          <cell r="S121">
            <v>0</v>
          </cell>
          <cell r="T121">
            <v>0</v>
          </cell>
          <cell r="U121" t="str">
            <v/>
          </cell>
          <cell r="V121" t="str">
            <v>PRO10</v>
          </cell>
          <cell r="W121">
            <v>0</v>
          </cell>
        </row>
        <row r="122">
          <cell r="C122" t="str">
            <v>CHCANFE06</v>
          </cell>
          <cell r="D122" t="str">
            <v>PRINC</v>
          </cell>
          <cell r="E122" t="str">
            <v>00007</v>
          </cell>
          <cell r="F122" t="str">
            <v>CADENAS DE TRANSMISION</v>
          </cell>
          <cell r="G122" t="str">
            <v>PRINCIPAL</v>
          </cell>
          <cell r="H122">
            <v>46004</v>
          </cell>
          <cell r="I122" t="str">
            <v>SALDO INICIAL</v>
          </cell>
          <cell r="J122">
            <v>10</v>
          </cell>
          <cell r="K122">
            <v>2.17</v>
          </cell>
          <cell r="L122">
            <v>0</v>
          </cell>
          <cell r="M122">
            <v>0.217</v>
          </cell>
          <cell r="N122" t="str">
            <v/>
          </cell>
          <cell r="O122" t="str">
            <v/>
          </cell>
          <cell r="P122" t="str">
            <v/>
          </cell>
          <cell r="Q122">
            <v>0</v>
          </cell>
          <cell r="R122" t="str">
            <v>UND</v>
          </cell>
          <cell r="S122">
            <v>0</v>
          </cell>
          <cell r="T122">
            <v>0</v>
          </cell>
          <cell r="U122" t="str">
            <v/>
          </cell>
          <cell r="V122" t="str">
            <v>PRO10</v>
          </cell>
          <cell r="W122">
            <v>0</v>
          </cell>
        </row>
        <row r="123">
          <cell r="C123" t="str">
            <v>CANFE50</v>
          </cell>
          <cell r="D123" t="str">
            <v>PRINC</v>
          </cell>
          <cell r="E123" t="str">
            <v>00007</v>
          </cell>
          <cell r="F123" t="str">
            <v>CADENAS DE TRANSMISION</v>
          </cell>
          <cell r="G123" t="str">
            <v>PRINCIPAL</v>
          </cell>
          <cell r="H123">
            <v>46004</v>
          </cell>
          <cell r="I123" t="str">
            <v>SALDO INICIAL</v>
          </cell>
          <cell r="J123">
            <v>22</v>
          </cell>
          <cell r="K123">
            <v>13.2</v>
          </cell>
          <cell r="L123">
            <v>0</v>
          </cell>
          <cell r="M123">
            <v>0.6</v>
          </cell>
          <cell r="N123" t="str">
            <v/>
          </cell>
          <cell r="O123" t="str">
            <v/>
          </cell>
          <cell r="P123" t="str">
            <v/>
          </cell>
          <cell r="Q123">
            <v>1.3</v>
          </cell>
          <cell r="R123" t="str">
            <v>UND</v>
          </cell>
          <cell r="S123">
            <v>0</v>
          </cell>
          <cell r="T123">
            <v>0</v>
          </cell>
          <cell r="U123" t="str">
            <v/>
          </cell>
          <cell r="V123" t="str">
            <v>PRO10</v>
          </cell>
          <cell r="W123">
            <v>0</v>
          </cell>
        </row>
        <row r="124">
          <cell r="C124" t="str">
            <v>LBRC40-1SS</v>
          </cell>
          <cell r="D124" t="str">
            <v>PRINC</v>
          </cell>
          <cell r="E124" t="str">
            <v>00007</v>
          </cell>
          <cell r="F124" t="str">
            <v>CADENAS DE TRANSMISION</v>
          </cell>
          <cell r="G124" t="str">
            <v>PRINCIPAL</v>
          </cell>
          <cell r="H124">
            <v>46004</v>
          </cell>
          <cell r="I124" t="str">
            <v>SALDO INICIAL</v>
          </cell>
          <cell r="J124">
            <v>-45</v>
          </cell>
          <cell r="K124">
            <v>0</v>
          </cell>
          <cell r="L124">
            <v>0</v>
          </cell>
          <cell r="M124">
            <v>0</v>
          </cell>
          <cell r="N124" t="str">
            <v/>
          </cell>
          <cell r="O124" t="str">
            <v/>
          </cell>
          <cell r="P124" t="str">
            <v/>
          </cell>
          <cell r="Q124">
            <v>4.5</v>
          </cell>
          <cell r="R124" t="str">
            <v>UND</v>
          </cell>
          <cell r="S124">
            <v>0</v>
          </cell>
          <cell r="T124">
            <v>0</v>
          </cell>
          <cell r="U124" t="str">
            <v/>
          </cell>
          <cell r="V124" t="str">
            <v>PRO10</v>
          </cell>
          <cell r="W124">
            <v>0</v>
          </cell>
        </row>
        <row r="125">
          <cell r="C125" t="str">
            <v>VECANSS60</v>
          </cell>
          <cell r="D125" t="str">
            <v>PRINC</v>
          </cell>
          <cell r="E125" t="str">
            <v>00007</v>
          </cell>
          <cell r="F125" t="str">
            <v>CADENAS DE TRANSMISION</v>
          </cell>
          <cell r="G125" t="str">
            <v>PRINCIPAL</v>
          </cell>
          <cell r="H125">
            <v>46004</v>
          </cell>
          <cell r="I125" t="str">
            <v>SALDO INICIAL</v>
          </cell>
          <cell r="J125">
            <v>-2</v>
          </cell>
          <cell r="K125">
            <v>0</v>
          </cell>
          <cell r="L125">
            <v>0</v>
          </cell>
          <cell r="M125">
            <v>0</v>
          </cell>
          <cell r="N125" t="str">
            <v/>
          </cell>
          <cell r="O125" t="str">
            <v/>
          </cell>
          <cell r="P125" t="str">
            <v/>
          </cell>
          <cell r="Q125">
            <v>5</v>
          </cell>
          <cell r="R125" t="str">
            <v>UND</v>
          </cell>
          <cell r="S125">
            <v>0</v>
          </cell>
          <cell r="T125">
            <v>0</v>
          </cell>
          <cell r="U125" t="str">
            <v/>
          </cell>
          <cell r="V125" t="str">
            <v>PRO10</v>
          </cell>
          <cell r="W125">
            <v>0</v>
          </cell>
        </row>
        <row r="126">
          <cell r="C126" t="str">
            <v>VECANSS80</v>
          </cell>
          <cell r="D126" t="str">
            <v>PRINC</v>
          </cell>
          <cell r="E126" t="str">
            <v>00007</v>
          </cell>
          <cell r="F126" t="str">
            <v>CADENAS DE TRANSMISION</v>
          </cell>
          <cell r="G126" t="str">
            <v>PRINCIPAL</v>
          </cell>
          <cell r="H126">
            <v>46004</v>
          </cell>
          <cell r="I126" t="str">
            <v>SALDO INICIAL</v>
          </cell>
          <cell r="J126">
            <v>-3</v>
          </cell>
          <cell r="K126">
            <v>0</v>
          </cell>
          <cell r="L126">
            <v>0</v>
          </cell>
          <cell r="M126">
            <v>0</v>
          </cell>
          <cell r="N126" t="str">
            <v/>
          </cell>
          <cell r="O126" t="str">
            <v/>
          </cell>
          <cell r="P126" t="str">
            <v/>
          </cell>
          <cell r="Q126">
            <v>10.6</v>
          </cell>
          <cell r="R126" t="str">
            <v>UND</v>
          </cell>
          <cell r="S126">
            <v>0</v>
          </cell>
          <cell r="T126">
            <v>0</v>
          </cell>
          <cell r="U126" t="str">
            <v/>
          </cell>
          <cell r="V126" t="str">
            <v>PRO10</v>
          </cell>
          <cell r="W126">
            <v>0</v>
          </cell>
        </row>
        <row r="127">
          <cell r="C127" t="str">
            <v>RE26/A40-2</v>
          </cell>
          <cell r="D127" t="str">
            <v>PRINC</v>
          </cell>
          <cell r="E127" t="str">
            <v>00007</v>
          </cell>
          <cell r="F127" t="str">
            <v>CADENAS DE TRANSMISION</v>
          </cell>
          <cell r="G127" t="str">
            <v>PRINCIPAL</v>
          </cell>
          <cell r="H127">
            <v>46004</v>
          </cell>
          <cell r="I127" t="str">
            <v>SALDO INICIAL</v>
          </cell>
          <cell r="J127">
            <v>5</v>
          </cell>
          <cell r="K127">
            <v>15.5</v>
          </cell>
          <cell r="L127">
            <v>3.1</v>
          </cell>
          <cell r="M127">
            <v>3.1</v>
          </cell>
          <cell r="N127" t="str">
            <v/>
          </cell>
          <cell r="O127" t="str">
            <v/>
          </cell>
          <cell r="P127" t="str">
            <v/>
          </cell>
          <cell r="Q127">
            <v>4.0999999999999996</v>
          </cell>
          <cell r="R127" t="str">
            <v>UND</v>
          </cell>
          <cell r="S127">
            <v>0</v>
          </cell>
          <cell r="T127">
            <v>0</v>
          </cell>
          <cell r="U127" t="str">
            <v/>
          </cell>
          <cell r="V127" t="str">
            <v>PRO10</v>
          </cell>
          <cell r="W127">
            <v>0</v>
          </cell>
        </row>
        <row r="128">
          <cell r="C128" t="str">
            <v>AVLF880TABK325</v>
          </cell>
          <cell r="D128" t="str">
            <v>PRINC</v>
          </cell>
          <cell r="E128" t="str">
            <v>00008</v>
          </cell>
          <cell r="F128" t="str">
            <v>CADENAS TABLE TOP</v>
          </cell>
          <cell r="G128" t="str">
            <v>PRINCIPAL</v>
          </cell>
          <cell r="H128">
            <v>46004</v>
          </cell>
          <cell r="I128" t="str">
            <v>SALDO INICIAL</v>
          </cell>
          <cell r="J128">
            <v>3</v>
          </cell>
          <cell r="K128">
            <v>160.80000000000001</v>
          </cell>
          <cell r="L128">
            <v>0</v>
          </cell>
          <cell r="M128">
            <v>53.6</v>
          </cell>
          <cell r="N128" t="str">
            <v/>
          </cell>
          <cell r="O128" t="str">
            <v/>
          </cell>
          <cell r="P128" t="str">
            <v/>
          </cell>
          <cell r="Q128">
            <v>0</v>
          </cell>
          <cell r="R128" t="str">
            <v>CJA</v>
          </cell>
          <cell r="S128">
            <v>0</v>
          </cell>
          <cell r="T128">
            <v>0</v>
          </cell>
          <cell r="U128" t="str">
            <v/>
          </cell>
          <cell r="V128" t="str">
            <v>PRO10</v>
          </cell>
          <cell r="W128">
            <v>0</v>
          </cell>
        </row>
        <row r="129">
          <cell r="C129" t="str">
            <v>HA820K750</v>
          </cell>
          <cell r="D129" t="str">
            <v>PRINC</v>
          </cell>
          <cell r="E129" t="str">
            <v>00008</v>
          </cell>
          <cell r="F129" t="str">
            <v>CADENAS TABLE TOP</v>
          </cell>
          <cell r="G129" t="str">
            <v>PRINCIPAL</v>
          </cell>
          <cell r="H129">
            <v>46004</v>
          </cell>
          <cell r="I129" t="str">
            <v>SALDO INICIAL</v>
          </cell>
          <cell r="J129">
            <v>1</v>
          </cell>
          <cell r="K129">
            <v>77</v>
          </cell>
          <cell r="L129">
            <v>0</v>
          </cell>
          <cell r="M129">
            <v>77</v>
          </cell>
          <cell r="N129" t="str">
            <v/>
          </cell>
          <cell r="O129" t="str">
            <v/>
          </cell>
          <cell r="P129" t="str">
            <v/>
          </cell>
          <cell r="Q129">
            <v>0</v>
          </cell>
          <cell r="R129" t="str">
            <v>CJA</v>
          </cell>
          <cell r="S129">
            <v>0</v>
          </cell>
          <cell r="T129">
            <v>0</v>
          </cell>
          <cell r="U129" t="str">
            <v/>
          </cell>
          <cell r="V129" t="str">
            <v>PRO10</v>
          </cell>
          <cell r="W129">
            <v>0</v>
          </cell>
        </row>
        <row r="130">
          <cell r="C130" t="str">
            <v>HA880K325</v>
          </cell>
          <cell r="D130" t="str">
            <v>PRINC</v>
          </cell>
          <cell r="E130" t="str">
            <v>00008</v>
          </cell>
          <cell r="F130" t="str">
            <v>CADENAS TABLE TOP</v>
          </cell>
          <cell r="G130" t="str">
            <v>PRINCIPAL</v>
          </cell>
          <cell r="H130">
            <v>46004</v>
          </cell>
          <cell r="I130" t="str">
            <v>SALDO INICIAL</v>
          </cell>
          <cell r="J130">
            <v>5</v>
          </cell>
          <cell r="K130">
            <v>268</v>
          </cell>
          <cell r="L130">
            <v>0</v>
          </cell>
          <cell r="M130">
            <v>53.6</v>
          </cell>
          <cell r="N130" t="str">
            <v/>
          </cell>
          <cell r="O130" t="str">
            <v/>
          </cell>
          <cell r="P130" t="str">
            <v/>
          </cell>
          <cell r="Q130">
            <v>0</v>
          </cell>
          <cell r="R130" t="str">
            <v>CJA</v>
          </cell>
          <cell r="S130">
            <v>0</v>
          </cell>
          <cell r="T130">
            <v>0</v>
          </cell>
          <cell r="U130" t="str">
            <v/>
          </cell>
          <cell r="V130" t="str">
            <v>PRO10</v>
          </cell>
          <cell r="W130">
            <v>0</v>
          </cell>
        </row>
        <row r="131">
          <cell r="C131" t="str">
            <v>REP915KR/000</v>
          </cell>
          <cell r="D131" t="str">
            <v>PRINC</v>
          </cell>
          <cell r="E131" t="str">
            <v>00008</v>
          </cell>
          <cell r="F131" t="str">
            <v>CADENAS TABLE TOP</v>
          </cell>
          <cell r="G131" t="str">
            <v>PRINCIPAL</v>
          </cell>
          <cell r="H131">
            <v>46004</v>
          </cell>
          <cell r="I131" t="str">
            <v>SALDO INICIAL</v>
          </cell>
          <cell r="J131">
            <v>2</v>
          </cell>
          <cell r="K131">
            <v>208.5</v>
          </cell>
          <cell r="L131">
            <v>0</v>
          </cell>
          <cell r="M131">
            <v>104.25</v>
          </cell>
          <cell r="N131" t="str">
            <v/>
          </cell>
          <cell r="O131" t="str">
            <v/>
          </cell>
          <cell r="P131" t="str">
            <v/>
          </cell>
          <cell r="Q131">
            <v>114</v>
          </cell>
          <cell r="R131" t="str">
            <v>ROL</v>
          </cell>
          <cell r="S131">
            <v>0</v>
          </cell>
          <cell r="T131">
            <v>0</v>
          </cell>
          <cell r="U131" t="str">
            <v/>
          </cell>
          <cell r="V131" t="str">
            <v>PRO10</v>
          </cell>
          <cell r="W131">
            <v>0</v>
          </cell>
        </row>
        <row r="132">
          <cell r="C132" t="str">
            <v>REP981MKG/000</v>
          </cell>
          <cell r="D132" t="str">
            <v>PRINC</v>
          </cell>
          <cell r="E132" t="str">
            <v>00008</v>
          </cell>
          <cell r="F132" t="str">
            <v>CADENAS TABLE TOP</v>
          </cell>
          <cell r="G132" t="str">
            <v>PRINCIPAL</v>
          </cell>
          <cell r="H132">
            <v>46004</v>
          </cell>
          <cell r="I132" t="str">
            <v>SALDO INICIAL</v>
          </cell>
          <cell r="J132">
            <v>-7</v>
          </cell>
          <cell r="K132">
            <v>0</v>
          </cell>
          <cell r="L132">
            <v>0</v>
          </cell>
          <cell r="M132">
            <v>0</v>
          </cell>
          <cell r="N132" t="str">
            <v/>
          </cell>
          <cell r="O132" t="str">
            <v/>
          </cell>
          <cell r="P132" t="str">
            <v/>
          </cell>
          <cell r="Q132">
            <v>164.65</v>
          </cell>
          <cell r="R132" t="str">
            <v>ROL</v>
          </cell>
          <cell r="S132">
            <v>0</v>
          </cell>
          <cell r="T132">
            <v>0</v>
          </cell>
          <cell r="U132" t="str">
            <v/>
          </cell>
          <cell r="V132" t="str">
            <v>PRO10</v>
          </cell>
          <cell r="W132">
            <v>0</v>
          </cell>
        </row>
        <row r="133">
          <cell r="C133" t="str">
            <v>REP981MKL/000</v>
          </cell>
          <cell r="D133" t="str">
            <v>PRINC</v>
          </cell>
          <cell r="E133" t="str">
            <v>00008</v>
          </cell>
          <cell r="F133" t="str">
            <v>CADENAS TABLE TOP</v>
          </cell>
          <cell r="G133" t="str">
            <v>PRINCIPAL</v>
          </cell>
          <cell r="H133">
            <v>46004</v>
          </cell>
          <cell r="I133" t="str">
            <v>SALDO INICIAL</v>
          </cell>
          <cell r="J133">
            <v>8</v>
          </cell>
          <cell r="K133">
            <v>1760</v>
          </cell>
          <cell r="L133">
            <v>220</v>
          </cell>
          <cell r="M133">
            <v>220</v>
          </cell>
          <cell r="N133" t="str">
            <v/>
          </cell>
          <cell r="O133" t="str">
            <v/>
          </cell>
          <cell r="P133" t="str">
            <v/>
          </cell>
          <cell r="Q133">
            <v>252</v>
          </cell>
          <cell r="R133" t="str">
            <v>ROL</v>
          </cell>
          <cell r="S133">
            <v>0</v>
          </cell>
          <cell r="T133">
            <v>0</v>
          </cell>
          <cell r="U133" t="str">
            <v/>
          </cell>
          <cell r="V133" t="str">
            <v>PRO10</v>
          </cell>
          <cell r="W133">
            <v>0</v>
          </cell>
        </row>
        <row r="134">
          <cell r="C134" t="str">
            <v>REP981TKD/000</v>
          </cell>
          <cell r="D134" t="str">
            <v>PRINC</v>
          </cell>
          <cell r="E134" t="str">
            <v>00008</v>
          </cell>
          <cell r="F134" t="str">
            <v>CADENAS TABLE TOP</v>
          </cell>
          <cell r="G134" t="str">
            <v>PRINCIPAL</v>
          </cell>
          <cell r="H134">
            <v>46004</v>
          </cell>
          <cell r="I134" t="str">
            <v>SALDO INICIAL</v>
          </cell>
          <cell r="J134">
            <v>0</v>
          </cell>
          <cell r="K134">
            <v>0</v>
          </cell>
          <cell r="L134">
            <v>156.16999999999999</v>
          </cell>
          <cell r="M134">
            <v>0</v>
          </cell>
          <cell r="N134" t="str">
            <v/>
          </cell>
          <cell r="O134" t="str">
            <v/>
          </cell>
          <cell r="P134" t="str">
            <v/>
          </cell>
          <cell r="Q134">
            <v>189</v>
          </cell>
          <cell r="R134" t="str">
            <v>ROL</v>
          </cell>
          <cell r="S134">
            <v>0</v>
          </cell>
          <cell r="T134">
            <v>0</v>
          </cell>
          <cell r="U134" t="str">
            <v/>
          </cell>
          <cell r="V134" t="str">
            <v>PRO10</v>
          </cell>
          <cell r="W134">
            <v>0</v>
          </cell>
        </row>
        <row r="135">
          <cell r="C135" t="str">
            <v>REPHD9157KL/000</v>
          </cell>
          <cell r="D135" t="str">
            <v>PRINC</v>
          </cell>
          <cell r="E135" t="str">
            <v>00008</v>
          </cell>
          <cell r="F135" t="str">
            <v>CADENAS TABLE TOP</v>
          </cell>
          <cell r="G135" t="str">
            <v>PRINCIPAL</v>
          </cell>
          <cell r="H135">
            <v>46004</v>
          </cell>
          <cell r="I135" t="str">
            <v>SALDO INICIAL</v>
          </cell>
          <cell r="J135">
            <v>1</v>
          </cell>
          <cell r="K135">
            <v>231.4</v>
          </cell>
          <cell r="L135">
            <v>181.93</v>
          </cell>
          <cell r="M135">
            <v>231.4</v>
          </cell>
          <cell r="N135" t="str">
            <v/>
          </cell>
          <cell r="O135" t="str">
            <v/>
          </cell>
          <cell r="P135" t="str">
            <v/>
          </cell>
          <cell r="Q135">
            <v>256.3</v>
          </cell>
          <cell r="R135" t="str">
            <v>ROL</v>
          </cell>
          <cell r="S135">
            <v>0</v>
          </cell>
          <cell r="T135">
            <v>0</v>
          </cell>
          <cell r="U135" t="str">
            <v/>
          </cell>
          <cell r="V135" t="str">
            <v>PRO10</v>
          </cell>
          <cell r="W135">
            <v>0</v>
          </cell>
        </row>
        <row r="136">
          <cell r="C136" t="str">
            <v>RESS915KD/000</v>
          </cell>
          <cell r="D136" t="str">
            <v>PRINC</v>
          </cell>
          <cell r="E136" t="str">
            <v>00008</v>
          </cell>
          <cell r="F136" t="str">
            <v>CADENAS TABLE TOP</v>
          </cell>
          <cell r="G136" t="str">
            <v>PRINCIPAL</v>
          </cell>
          <cell r="H136">
            <v>46004</v>
          </cell>
          <cell r="I136" t="str">
            <v>SALDO INICIAL</v>
          </cell>
          <cell r="J136">
            <v>-6</v>
          </cell>
          <cell r="K136">
            <v>0</v>
          </cell>
          <cell r="L136">
            <v>0</v>
          </cell>
          <cell r="M136">
            <v>0</v>
          </cell>
          <cell r="N136" t="str">
            <v/>
          </cell>
          <cell r="O136" t="str">
            <v/>
          </cell>
          <cell r="P136" t="str">
            <v/>
          </cell>
          <cell r="Q136">
            <v>231</v>
          </cell>
          <cell r="R136" t="str">
            <v>CJA</v>
          </cell>
          <cell r="S136">
            <v>0</v>
          </cell>
          <cell r="T136">
            <v>0</v>
          </cell>
          <cell r="U136" t="str">
            <v/>
          </cell>
          <cell r="V136" t="str">
            <v>PRO10</v>
          </cell>
          <cell r="W136">
            <v>0</v>
          </cell>
        </row>
        <row r="137">
          <cell r="C137" t="str">
            <v>REUP820KD/000</v>
          </cell>
          <cell r="D137" t="str">
            <v>PRINC</v>
          </cell>
          <cell r="E137" t="str">
            <v>00008</v>
          </cell>
          <cell r="F137" t="str">
            <v>CADENAS TABLE TOP</v>
          </cell>
          <cell r="G137" t="str">
            <v>PRINCIPAL</v>
          </cell>
          <cell r="H137">
            <v>46004</v>
          </cell>
          <cell r="I137" t="str">
            <v>SALDO INICIAL</v>
          </cell>
          <cell r="J137">
            <v>1.0000000000000001E-5</v>
          </cell>
          <cell r="K137">
            <v>5.7300000000000005E-4</v>
          </cell>
          <cell r="L137">
            <v>57.370004999999999</v>
          </cell>
          <cell r="M137">
            <v>57.3</v>
          </cell>
          <cell r="N137" t="str">
            <v>PVP ESPECIAL $65</v>
          </cell>
          <cell r="O137" t="str">
            <v/>
          </cell>
          <cell r="P137" t="str">
            <v/>
          </cell>
          <cell r="Q137">
            <v>84</v>
          </cell>
          <cell r="R137" t="str">
            <v>CJA</v>
          </cell>
          <cell r="S137">
            <v>0</v>
          </cell>
          <cell r="T137">
            <v>0</v>
          </cell>
          <cell r="U137" t="str">
            <v/>
          </cell>
          <cell r="V137" t="str">
            <v>PRO10</v>
          </cell>
          <cell r="W137">
            <v>0</v>
          </cell>
        </row>
        <row r="138">
          <cell r="C138" t="str">
            <v>REUP820KF/000</v>
          </cell>
          <cell r="D138" t="str">
            <v>PRINC</v>
          </cell>
          <cell r="E138" t="str">
            <v>00008</v>
          </cell>
          <cell r="F138" t="str">
            <v>CADENAS TABLE TOP</v>
          </cell>
          <cell r="G138" t="str">
            <v>PRINCIPAL</v>
          </cell>
          <cell r="H138">
            <v>46004</v>
          </cell>
          <cell r="I138" t="str">
            <v>SALDO INICIAL</v>
          </cell>
          <cell r="J138">
            <v>-12</v>
          </cell>
          <cell r="K138">
            <v>0</v>
          </cell>
          <cell r="L138">
            <v>0</v>
          </cell>
          <cell r="M138">
            <v>0</v>
          </cell>
          <cell r="N138" t="str">
            <v>PVP ESPECIAL $70</v>
          </cell>
          <cell r="O138" t="str">
            <v/>
          </cell>
          <cell r="P138" t="str">
            <v/>
          </cell>
          <cell r="Q138">
            <v>109</v>
          </cell>
          <cell r="R138" t="str">
            <v>CJA</v>
          </cell>
          <cell r="S138">
            <v>0</v>
          </cell>
          <cell r="T138">
            <v>0</v>
          </cell>
          <cell r="U138" t="str">
            <v/>
          </cell>
          <cell r="V138" t="str">
            <v>PRO10</v>
          </cell>
          <cell r="W138">
            <v>0</v>
          </cell>
        </row>
        <row r="139">
          <cell r="C139" t="str">
            <v>REUP820KL/000</v>
          </cell>
          <cell r="D139" t="str">
            <v>PRINC</v>
          </cell>
          <cell r="E139" t="str">
            <v>00008</v>
          </cell>
          <cell r="F139" t="str">
            <v>CADENAS TABLE TOP</v>
          </cell>
          <cell r="G139" t="str">
            <v>PRINCIPAL</v>
          </cell>
          <cell r="H139">
            <v>46004</v>
          </cell>
          <cell r="I139" t="str">
            <v>SALDO INICIAL</v>
          </cell>
          <cell r="J139">
            <v>-12</v>
          </cell>
          <cell r="K139">
            <v>0</v>
          </cell>
          <cell r="L139">
            <v>0</v>
          </cell>
          <cell r="M139">
            <v>0</v>
          </cell>
          <cell r="N139" t="str">
            <v>PVP ESPECIAL $95</v>
          </cell>
          <cell r="O139" t="str">
            <v/>
          </cell>
          <cell r="P139" t="str">
            <v/>
          </cell>
          <cell r="Q139">
            <v>145</v>
          </cell>
          <cell r="R139" t="str">
            <v>CJA</v>
          </cell>
          <cell r="S139">
            <v>0</v>
          </cell>
          <cell r="T139">
            <v>0</v>
          </cell>
          <cell r="U139" t="str">
            <v/>
          </cell>
          <cell r="V139" t="str">
            <v>PRO10</v>
          </cell>
          <cell r="W139">
            <v>0</v>
          </cell>
        </row>
        <row r="140">
          <cell r="C140" t="str">
            <v>REUP831KG/000</v>
          </cell>
          <cell r="D140" t="str">
            <v>PRINC</v>
          </cell>
          <cell r="E140" t="str">
            <v>00008</v>
          </cell>
          <cell r="F140" t="str">
            <v>CADENAS TABLE TOP</v>
          </cell>
          <cell r="G140" t="str">
            <v>PRINCIPAL</v>
          </cell>
          <cell r="H140">
            <v>46004</v>
          </cell>
          <cell r="I140" t="str">
            <v>SALDO INICIAL</v>
          </cell>
          <cell r="J140">
            <v>-5</v>
          </cell>
          <cell r="K140">
            <v>0</v>
          </cell>
          <cell r="L140">
            <v>0</v>
          </cell>
          <cell r="M140">
            <v>0</v>
          </cell>
          <cell r="N140" t="str">
            <v/>
          </cell>
          <cell r="O140" t="str">
            <v/>
          </cell>
          <cell r="P140" t="str">
            <v/>
          </cell>
          <cell r="Q140">
            <v>103.2</v>
          </cell>
          <cell r="R140" t="str">
            <v>CJA</v>
          </cell>
          <cell r="S140">
            <v>0</v>
          </cell>
          <cell r="T140">
            <v>0</v>
          </cell>
          <cell r="U140" t="str">
            <v/>
          </cell>
          <cell r="V140" t="str">
            <v>PRO10</v>
          </cell>
          <cell r="W140">
            <v>0</v>
          </cell>
        </row>
        <row r="141">
          <cell r="C141" t="str">
            <v>REUP879TKG/000</v>
          </cell>
          <cell r="D141" t="str">
            <v>PRINC</v>
          </cell>
          <cell r="E141" t="str">
            <v>00008</v>
          </cell>
          <cell r="F141" t="str">
            <v>CADENAS TABLE TOP</v>
          </cell>
          <cell r="G141" t="str">
            <v>PRINCIPAL</v>
          </cell>
          <cell r="H141">
            <v>46004</v>
          </cell>
          <cell r="I141" t="str">
            <v>SALDO INICIAL</v>
          </cell>
          <cell r="J141">
            <v>2</v>
          </cell>
          <cell r="K141">
            <v>175.5</v>
          </cell>
          <cell r="L141">
            <v>87.75</v>
          </cell>
          <cell r="M141">
            <v>87.75</v>
          </cell>
          <cell r="N141" t="str">
            <v/>
          </cell>
          <cell r="O141" t="str">
            <v/>
          </cell>
          <cell r="P141" t="str">
            <v/>
          </cell>
          <cell r="Q141">
            <v>107</v>
          </cell>
          <cell r="R141" t="str">
            <v>CJA</v>
          </cell>
          <cell r="S141">
            <v>0</v>
          </cell>
          <cell r="T141">
            <v>0</v>
          </cell>
          <cell r="U141" t="str">
            <v/>
          </cell>
          <cell r="V141" t="str">
            <v>PRO10</v>
          </cell>
          <cell r="W141">
            <v>0</v>
          </cell>
        </row>
        <row r="142">
          <cell r="C142" t="str">
            <v>REUP880KG/000</v>
          </cell>
          <cell r="D142" t="str">
            <v>PRINC</v>
          </cell>
          <cell r="E142" t="str">
            <v>00008</v>
          </cell>
          <cell r="F142" t="str">
            <v>CADENAS TABLE TOP</v>
          </cell>
          <cell r="G142" t="str">
            <v>PRINCIPAL</v>
          </cell>
          <cell r="H142">
            <v>46004</v>
          </cell>
          <cell r="I142" t="str">
            <v>SALDO INICIAL</v>
          </cell>
          <cell r="J142">
            <v>3</v>
          </cell>
          <cell r="K142">
            <v>278.55</v>
          </cell>
          <cell r="L142">
            <v>110.83</v>
          </cell>
          <cell r="M142">
            <v>92.85</v>
          </cell>
          <cell r="N142" t="str">
            <v>PVP C/DSCTO $90</v>
          </cell>
          <cell r="O142" t="str">
            <v/>
          </cell>
          <cell r="P142" t="str">
            <v/>
          </cell>
          <cell r="Q142">
            <v>128</v>
          </cell>
          <cell r="R142" t="str">
            <v>CJA</v>
          </cell>
          <cell r="S142">
            <v>0</v>
          </cell>
          <cell r="T142">
            <v>0</v>
          </cell>
          <cell r="U142" t="str">
            <v/>
          </cell>
          <cell r="V142" t="str">
            <v>PRO10</v>
          </cell>
          <cell r="W142">
            <v>0</v>
          </cell>
        </row>
        <row r="143">
          <cell r="C143" t="str">
            <v>REUP880TKG/000</v>
          </cell>
          <cell r="D143" t="str">
            <v>PRINC</v>
          </cell>
          <cell r="E143" t="str">
            <v>00008</v>
          </cell>
          <cell r="F143" t="str">
            <v>CADENAS TABLE TOP</v>
          </cell>
          <cell r="G143" t="str">
            <v>PRINCIPAL</v>
          </cell>
          <cell r="H143">
            <v>46004</v>
          </cell>
          <cell r="I143" t="str">
            <v>SALDO INICIAL</v>
          </cell>
          <cell r="J143">
            <v>-5</v>
          </cell>
          <cell r="K143">
            <v>0</v>
          </cell>
          <cell r="L143">
            <v>0</v>
          </cell>
          <cell r="M143">
            <v>0</v>
          </cell>
          <cell r="N143" t="str">
            <v>PVP ESPECIAL $85</v>
          </cell>
          <cell r="O143" t="str">
            <v/>
          </cell>
          <cell r="P143" t="str">
            <v/>
          </cell>
          <cell r="Q143">
            <v>122</v>
          </cell>
          <cell r="R143" t="str">
            <v>CJA</v>
          </cell>
          <cell r="S143">
            <v>0</v>
          </cell>
          <cell r="T143">
            <v>0</v>
          </cell>
          <cell r="U143" t="str">
            <v/>
          </cell>
          <cell r="V143" t="str">
            <v>PRO10</v>
          </cell>
          <cell r="W143">
            <v>0</v>
          </cell>
        </row>
        <row r="144">
          <cell r="C144" t="str">
            <v>UNLF879TK325</v>
          </cell>
          <cell r="D144" t="str">
            <v>PRINC</v>
          </cell>
          <cell r="E144" t="str">
            <v>00008</v>
          </cell>
          <cell r="F144" t="str">
            <v>CADENAS TABLE TOP</v>
          </cell>
          <cell r="G144" t="str">
            <v>PRINCIPAL</v>
          </cell>
          <cell r="H144">
            <v>46004</v>
          </cell>
          <cell r="I144" t="str">
            <v>SALDO INICIAL</v>
          </cell>
          <cell r="J144">
            <v>15</v>
          </cell>
          <cell r="K144">
            <v>792.9</v>
          </cell>
          <cell r="L144">
            <v>0</v>
          </cell>
          <cell r="M144">
            <v>52.86</v>
          </cell>
          <cell r="N144" t="str">
            <v/>
          </cell>
          <cell r="O144" t="str">
            <v/>
          </cell>
          <cell r="P144" t="str">
            <v/>
          </cell>
          <cell r="Q144">
            <v>81.900000000000006</v>
          </cell>
          <cell r="R144" t="str">
            <v>CJA</v>
          </cell>
          <cell r="S144">
            <v>0</v>
          </cell>
          <cell r="T144">
            <v>0</v>
          </cell>
          <cell r="U144" t="str">
            <v/>
          </cell>
          <cell r="V144" t="str">
            <v>PRO10</v>
          </cell>
          <cell r="W144">
            <v>0</v>
          </cell>
        </row>
        <row r="145">
          <cell r="C145" t="str">
            <v>UNLF879TK450</v>
          </cell>
          <cell r="D145" t="str">
            <v>PRINC</v>
          </cell>
          <cell r="E145" t="str">
            <v>00008</v>
          </cell>
          <cell r="F145" t="str">
            <v>CADENAS TABLE TOP</v>
          </cell>
          <cell r="G145" t="str">
            <v>PRINCIPAL</v>
          </cell>
          <cell r="H145">
            <v>46004</v>
          </cell>
          <cell r="I145" t="str">
            <v>SALDO INICIAL</v>
          </cell>
          <cell r="J145">
            <v>14</v>
          </cell>
          <cell r="K145">
            <v>759.36</v>
          </cell>
          <cell r="L145">
            <v>54.24</v>
          </cell>
          <cell r="M145">
            <v>54.24</v>
          </cell>
          <cell r="N145" t="str">
            <v/>
          </cell>
          <cell r="O145" t="str">
            <v/>
          </cell>
          <cell r="P145" t="str">
            <v/>
          </cell>
          <cell r="Q145">
            <v>89.1</v>
          </cell>
          <cell r="R145" t="str">
            <v>CJA</v>
          </cell>
          <cell r="S145">
            <v>0</v>
          </cell>
          <cell r="T145">
            <v>0</v>
          </cell>
          <cell r="U145" t="str">
            <v/>
          </cell>
          <cell r="V145" t="str">
            <v>PRO10</v>
          </cell>
          <cell r="W145">
            <v>0</v>
          </cell>
        </row>
        <row r="146">
          <cell r="C146" t="str">
            <v>UNLF880TABK325</v>
          </cell>
          <cell r="D146" t="str">
            <v>PRINC</v>
          </cell>
          <cell r="E146" t="str">
            <v>00008</v>
          </cell>
          <cell r="F146" t="str">
            <v>CADENAS TABLE TOP</v>
          </cell>
          <cell r="G146" t="str">
            <v>PRINCIPAL</v>
          </cell>
          <cell r="H146">
            <v>46004</v>
          </cell>
          <cell r="I146" t="str">
            <v>SALDO INICIAL</v>
          </cell>
          <cell r="J146">
            <v>9</v>
          </cell>
          <cell r="K146">
            <v>763.8</v>
          </cell>
          <cell r="L146">
            <v>76.38</v>
          </cell>
          <cell r="M146">
            <v>84.866666667000004</v>
          </cell>
          <cell r="N146" t="str">
            <v/>
          </cell>
          <cell r="O146" t="str">
            <v/>
          </cell>
          <cell r="P146" t="str">
            <v/>
          </cell>
          <cell r="Q146">
            <v>151.4</v>
          </cell>
          <cell r="R146" t="str">
            <v>CJA</v>
          </cell>
          <cell r="S146">
            <v>0</v>
          </cell>
          <cell r="T146">
            <v>0</v>
          </cell>
          <cell r="U146" t="str">
            <v/>
          </cell>
          <cell r="V146" t="str">
            <v>PRO10</v>
          </cell>
          <cell r="W146">
            <v>0</v>
          </cell>
        </row>
        <row r="147">
          <cell r="C147" t="str">
            <v>UNSS812K450</v>
          </cell>
          <cell r="D147" t="str">
            <v>PRINC</v>
          </cell>
          <cell r="E147" t="str">
            <v>00008</v>
          </cell>
          <cell r="F147" t="str">
            <v>CADENAS TABLE TOP</v>
          </cell>
          <cell r="G147" t="str">
            <v>PRINCIPAL</v>
          </cell>
          <cell r="H147">
            <v>46004</v>
          </cell>
          <cell r="I147" t="str">
            <v>SALDO INICIAL</v>
          </cell>
          <cell r="J147">
            <v>0.6</v>
          </cell>
          <cell r="K147">
            <v>73.926000000000002</v>
          </cell>
          <cell r="L147">
            <v>123.21</v>
          </cell>
          <cell r="M147">
            <v>123.21</v>
          </cell>
          <cell r="N147" t="str">
            <v/>
          </cell>
          <cell r="O147" t="str">
            <v/>
          </cell>
          <cell r="P147" t="str">
            <v/>
          </cell>
          <cell r="Q147">
            <v>0</v>
          </cell>
          <cell r="R147" t="str">
            <v>CJA</v>
          </cell>
          <cell r="S147">
            <v>0</v>
          </cell>
          <cell r="T147">
            <v>0</v>
          </cell>
          <cell r="U147" t="str">
            <v/>
          </cell>
          <cell r="V147" t="str">
            <v>PRO10</v>
          </cell>
          <cell r="W147">
            <v>0</v>
          </cell>
        </row>
        <row r="148">
          <cell r="C148" t="str">
            <v>DOF205</v>
          </cell>
          <cell r="D148" t="str">
            <v>PRINC</v>
          </cell>
          <cell r="E148" t="str">
            <v>00009</v>
          </cell>
          <cell r="F148" t="str">
            <v>CHUMACERAS Y RODAMIENTOS</v>
          </cell>
          <cell r="G148" t="str">
            <v>PRINCIPAL</v>
          </cell>
          <cell r="H148">
            <v>46004</v>
          </cell>
          <cell r="I148" t="str">
            <v>SALDO INICIAL</v>
          </cell>
          <cell r="J148">
            <v>57</v>
          </cell>
          <cell r="K148">
            <v>437.830217</v>
          </cell>
          <cell r="L148">
            <v>7.6812319999999996</v>
          </cell>
          <cell r="M148">
            <v>7.6812318770000001</v>
          </cell>
          <cell r="N148" t="str">
            <v/>
          </cell>
          <cell r="O148" t="str">
            <v/>
          </cell>
          <cell r="P148" t="str">
            <v/>
          </cell>
          <cell r="Q148">
            <v>0</v>
          </cell>
          <cell r="R148" t="str">
            <v>UND</v>
          </cell>
          <cell r="S148">
            <v>0</v>
          </cell>
          <cell r="T148">
            <v>0</v>
          </cell>
          <cell r="U148" t="str">
            <v/>
          </cell>
          <cell r="V148" t="str">
            <v>PRO10</v>
          </cell>
          <cell r="W148">
            <v>0</v>
          </cell>
        </row>
        <row r="149">
          <cell r="C149" t="str">
            <v>DOF206</v>
          </cell>
          <cell r="D149" t="str">
            <v>PRINC</v>
          </cell>
          <cell r="E149" t="str">
            <v>00009</v>
          </cell>
          <cell r="F149" t="str">
            <v>CHUMACERAS Y RODAMIENTOS</v>
          </cell>
          <cell r="G149" t="str">
            <v>PRINCIPAL</v>
          </cell>
          <cell r="H149">
            <v>46004</v>
          </cell>
          <cell r="I149" t="str">
            <v>SALDO INICIAL</v>
          </cell>
          <cell r="J149">
            <v>62</v>
          </cell>
          <cell r="K149">
            <v>559.33698300000003</v>
          </cell>
          <cell r="L149">
            <v>9.0215639999999997</v>
          </cell>
          <cell r="M149">
            <v>9.0215642420000002</v>
          </cell>
          <cell r="N149" t="str">
            <v/>
          </cell>
          <cell r="O149" t="str">
            <v/>
          </cell>
          <cell r="P149" t="str">
            <v/>
          </cell>
          <cell r="Q149">
            <v>0</v>
          </cell>
          <cell r="R149" t="str">
            <v>UND</v>
          </cell>
          <cell r="S149">
            <v>0</v>
          </cell>
          <cell r="T149">
            <v>0</v>
          </cell>
          <cell r="U149" t="str">
            <v/>
          </cell>
          <cell r="V149" t="str">
            <v>PRO10</v>
          </cell>
          <cell r="W149">
            <v>0</v>
          </cell>
        </row>
        <row r="150">
          <cell r="C150" t="str">
            <v>DOP205</v>
          </cell>
          <cell r="D150" t="str">
            <v>PRINC</v>
          </cell>
          <cell r="E150" t="str">
            <v>00009</v>
          </cell>
          <cell r="F150" t="str">
            <v>CHUMACERAS Y RODAMIENTOS</v>
          </cell>
          <cell r="G150" t="str">
            <v>PRINCIPAL</v>
          </cell>
          <cell r="H150">
            <v>46004</v>
          </cell>
          <cell r="I150" t="str">
            <v>SALDO INICIAL</v>
          </cell>
          <cell r="J150">
            <v>16</v>
          </cell>
          <cell r="K150">
            <v>67.84</v>
          </cell>
          <cell r="L150">
            <v>0</v>
          </cell>
          <cell r="M150">
            <v>4.24</v>
          </cell>
          <cell r="N150" t="str">
            <v/>
          </cell>
          <cell r="O150" t="str">
            <v/>
          </cell>
          <cell r="P150" t="str">
            <v/>
          </cell>
          <cell r="Q150">
            <v>0</v>
          </cell>
          <cell r="R150" t="str">
            <v>UND</v>
          </cell>
          <cell r="S150">
            <v>0</v>
          </cell>
          <cell r="T150">
            <v>0</v>
          </cell>
          <cell r="U150" t="str">
            <v/>
          </cell>
          <cell r="V150" t="str">
            <v>PRO10</v>
          </cell>
          <cell r="W150">
            <v>0</v>
          </cell>
        </row>
        <row r="151">
          <cell r="C151" t="str">
            <v>LDCC210W</v>
          </cell>
          <cell r="D151" t="str">
            <v>PRINC</v>
          </cell>
          <cell r="E151" t="str">
            <v>00009</v>
          </cell>
          <cell r="F151" t="str">
            <v>CHUMACERAS Y RODAMIENTOS</v>
          </cell>
          <cell r="G151" t="str">
            <v>PRINCIPAL</v>
          </cell>
          <cell r="H151">
            <v>46004</v>
          </cell>
          <cell r="I151" t="str">
            <v>SALDO INICIAL</v>
          </cell>
          <cell r="J151">
            <v>4</v>
          </cell>
          <cell r="K151">
            <v>1.64</v>
          </cell>
          <cell r="L151">
            <v>0</v>
          </cell>
          <cell r="M151">
            <v>0.41</v>
          </cell>
          <cell r="N151" t="str">
            <v/>
          </cell>
          <cell r="O151" t="str">
            <v/>
          </cell>
          <cell r="P151" t="str">
            <v/>
          </cell>
          <cell r="Q151">
            <v>0.85</v>
          </cell>
          <cell r="R151" t="str">
            <v>UND</v>
          </cell>
          <cell r="S151">
            <v>0</v>
          </cell>
          <cell r="T151">
            <v>0</v>
          </cell>
          <cell r="U151" t="str">
            <v/>
          </cell>
          <cell r="V151" t="str">
            <v>PRO10</v>
          </cell>
          <cell r="W151">
            <v>0</v>
          </cell>
        </row>
        <row r="152">
          <cell r="C152" t="str">
            <v>LDCFL204</v>
          </cell>
          <cell r="D152" t="str">
            <v>PRINC</v>
          </cell>
          <cell r="E152" t="str">
            <v>00009</v>
          </cell>
          <cell r="F152" t="str">
            <v>CHUMACERAS Y RODAMIENTOS</v>
          </cell>
          <cell r="G152" t="str">
            <v>PRINCIPAL</v>
          </cell>
          <cell r="H152">
            <v>46004</v>
          </cell>
          <cell r="I152" t="str">
            <v>SALDO INICIAL</v>
          </cell>
          <cell r="J152">
            <v>3</v>
          </cell>
          <cell r="K152">
            <v>4.8296239999999999</v>
          </cell>
          <cell r="L152">
            <v>1.6098749999999999</v>
          </cell>
          <cell r="M152">
            <v>1.6098746669999999</v>
          </cell>
          <cell r="N152" t="str">
            <v/>
          </cell>
          <cell r="O152" t="str">
            <v/>
          </cell>
          <cell r="P152" t="str">
            <v/>
          </cell>
          <cell r="Q152">
            <v>0</v>
          </cell>
          <cell r="R152" t="str">
            <v>UND</v>
          </cell>
          <cell r="S152">
            <v>0</v>
          </cell>
          <cell r="T152">
            <v>0</v>
          </cell>
          <cell r="U152" t="str">
            <v/>
          </cell>
          <cell r="V152" t="str">
            <v>PRO10</v>
          </cell>
          <cell r="W152">
            <v>0</v>
          </cell>
        </row>
        <row r="153">
          <cell r="C153" t="str">
            <v>HUF250X3/4</v>
          </cell>
          <cell r="D153" t="str">
            <v>PRINC</v>
          </cell>
          <cell r="E153" t="str">
            <v>00009</v>
          </cell>
          <cell r="F153" t="str">
            <v>CHUMACERAS Y RODAMIENTOS</v>
          </cell>
          <cell r="G153" t="str">
            <v>PRINCIPAL</v>
          </cell>
          <cell r="H153">
            <v>46004</v>
          </cell>
          <cell r="I153" t="str">
            <v>SALDO INICIAL</v>
          </cell>
          <cell r="J153">
            <v>34</v>
          </cell>
          <cell r="K153">
            <v>261.8</v>
          </cell>
          <cell r="L153">
            <v>0</v>
          </cell>
          <cell r="M153">
            <v>7.7</v>
          </cell>
          <cell r="N153" t="str">
            <v/>
          </cell>
          <cell r="O153" t="str">
            <v/>
          </cell>
          <cell r="P153" t="str">
            <v/>
          </cell>
          <cell r="Q153">
            <v>10.95</v>
          </cell>
          <cell r="R153" t="str">
            <v>UND</v>
          </cell>
          <cell r="S153">
            <v>0</v>
          </cell>
          <cell r="T153">
            <v>0</v>
          </cell>
          <cell r="U153" t="str">
            <v/>
          </cell>
          <cell r="V153" t="str">
            <v>PRO10</v>
          </cell>
          <cell r="W153">
            <v>0</v>
          </cell>
        </row>
        <row r="154">
          <cell r="C154" t="str">
            <v>LDGRSS304M6X1</v>
          </cell>
          <cell r="D154" t="str">
            <v>PRINC</v>
          </cell>
          <cell r="E154" t="str">
            <v>00009</v>
          </cell>
          <cell r="F154" t="str">
            <v>CHUMACERAS Y RODAMIENTOS</v>
          </cell>
          <cell r="G154" t="str">
            <v>PRINCIPAL</v>
          </cell>
          <cell r="H154">
            <v>46004</v>
          </cell>
          <cell r="I154" t="str">
            <v>SALDO INICIAL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 t="str">
            <v/>
          </cell>
          <cell r="O154" t="str">
            <v/>
          </cell>
          <cell r="P154" t="str">
            <v/>
          </cell>
          <cell r="Q154">
            <v>0.42</v>
          </cell>
          <cell r="R154" t="str">
            <v>UND</v>
          </cell>
          <cell r="S154">
            <v>0</v>
          </cell>
          <cell r="T154">
            <v>0</v>
          </cell>
          <cell r="U154" t="str">
            <v/>
          </cell>
          <cell r="V154" t="str">
            <v>PRO10</v>
          </cell>
          <cell r="W154">
            <v>0</v>
          </cell>
        </row>
        <row r="155">
          <cell r="C155" t="str">
            <v>LDOC205W</v>
          </cell>
          <cell r="D155" t="str">
            <v>PRINC</v>
          </cell>
          <cell r="E155" t="str">
            <v>00009</v>
          </cell>
          <cell r="F155" t="str">
            <v>CHUMACERAS Y RODAMIENTOS</v>
          </cell>
          <cell r="G155" t="str">
            <v>PRINCIPAL</v>
          </cell>
          <cell r="H155">
            <v>46004</v>
          </cell>
          <cell r="I155" t="str">
            <v>SALDO INICIAL</v>
          </cell>
          <cell r="J155">
            <v>9</v>
          </cell>
          <cell r="K155">
            <v>6.84</v>
          </cell>
          <cell r="L155">
            <v>0.76</v>
          </cell>
          <cell r="M155">
            <v>0.76</v>
          </cell>
          <cell r="N155" t="str">
            <v/>
          </cell>
          <cell r="O155" t="str">
            <v/>
          </cell>
          <cell r="P155" t="str">
            <v/>
          </cell>
          <cell r="Q155">
            <v>1.2</v>
          </cell>
          <cell r="R155" t="str">
            <v>UND</v>
          </cell>
          <cell r="S155">
            <v>0</v>
          </cell>
          <cell r="T155">
            <v>0</v>
          </cell>
          <cell r="U155" t="str">
            <v/>
          </cell>
          <cell r="V155" t="str">
            <v>PRO10</v>
          </cell>
          <cell r="W155">
            <v>0</v>
          </cell>
        </row>
        <row r="156">
          <cell r="C156" t="str">
            <v>LDOC206W</v>
          </cell>
          <cell r="D156" t="str">
            <v>PRINC</v>
          </cell>
          <cell r="E156" t="str">
            <v>00009</v>
          </cell>
          <cell r="F156" t="str">
            <v>CHUMACERAS Y RODAMIENTOS</v>
          </cell>
          <cell r="G156" t="str">
            <v>PRINCIPAL</v>
          </cell>
          <cell r="H156">
            <v>46004</v>
          </cell>
          <cell r="I156" t="str">
            <v>SALDO INICIAL</v>
          </cell>
          <cell r="J156">
            <v>10</v>
          </cell>
          <cell r="K156">
            <v>7.9</v>
          </cell>
          <cell r="L156">
            <v>0</v>
          </cell>
          <cell r="M156">
            <v>0.79</v>
          </cell>
          <cell r="N156" t="str">
            <v/>
          </cell>
          <cell r="O156" t="str">
            <v/>
          </cell>
          <cell r="P156" t="str">
            <v/>
          </cell>
          <cell r="Q156">
            <v>1.2</v>
          </cell>
          <cell r="R156" t="str">
            <v>UND</v>
          </cell>
          <cell r="S156">
            <v>0</v>
          </cell>
          <cell r="T156">
            <v>0</v>
          </cell>
          <cell r="U156" t="str">
            <v/>
          </cell>
          <cell r="V156" t="str">
            <v>PRO10</v>
          </cell>
          <cell r="W156">
            <v>0</v>
          </cell>
        </row>
        <row r="157">
          <cell r="C157" t="str">
            <v>LDOC207W</v>
          </cell>
          <cell r="D157" t="str">
            <v>PRINC</v>
          </cell>
          <cell r="E157" t="str">
            <v>00009</v>
          </cell>
          <cell r="F157" t="str">
            <v>CHUMACERAS Y RODAMIENTOS</v>
          </cell>
          <cell r="G157" t="str">
            <v>PRINCIPAL</v>
          </cell>
          <cell r="H157">
            <v>46004</v>
          </cell>
          <cell r="I157" t="str">
            <v>SALDO INICIAL</v>
          </cell>
          <cell r="J157">
            <v>5</v>
          </cell>
          <cell r="K157">
            <v>4</v>
          </cell>
          <cell r="L157">
            <v>0.8</v>
          </cell>
          <cell r="M157">
            <v>0.8</v>
          </cell>
          <cell r="N157" t="str">
            <v/>
          </cell>
          <cell r="O157" t="str">
            <v/>
          </cell>
          <cell r="P157" t="str">
            <v/>
          </cell>
          <cell r="Q157">
            <v>1.25</v>
          </cell>
          <cell r="R157" t="str">
            <v>UND</v>
          </cell>
          <cell r="S157">
            <v>0</v>
          </cell>
          <cell r="T157">
            <v>0</v>
          </cell>
          <cell r="U157" t="str">
            <v/>
          </cell>
          <cell r="V157" t="str">
            <v>PRO10</v>
          </cell>
          <cell r="W157">
            <v>0</v>
          </cell>
        </row>
        <row r="158">
          <cell r="C158" t="str">
            <v>LDOC208W</v>
          </cell>
          <cell r="D158" t="str">
            <v>PRINC</v>
          </cell>
          <cell r="E158" t="str">
            <v>00009</v>
          </cell>
          <cell r="F158" t="str">
            <v>CHUMACERAS Y RODAMIENTOS</v>
          </cell>
          <cell r="G158" t="str">
            <v>PRINCIPAL</v>
          </cell>
          <cell r="H158">
            <v>46004</v>
          </cell>
          <cell r="I158" t="str">
            <v>SALDO INICIAL</v>
          </cell>
          <cell r="J158">
            <v>4</v>
          </cell>
          <cell r="K158">
            <v>3.44</v>
          </cell>
          <cell r="L158">
            <v>0</v>
          </cell>
          <cell r="M158">
            <v>0.86</v>
          </cell>
          <cell r="N158" t="str">
            <v/>
          </cell>
          <cell r="O158" t="str">
            <v/>
          </cell>
          <cell r="P158" t="str">
            <v/>
          </cell>
          <cell r="Q158">
            <v>1.35</v>
          </cell>
          <cell r="R158" t="str">
            <v>UND</v>
          </cell>
          <cell r="S158">
            <v>0</v>
          </cell>
          <cell r="T158">
            <v>0</v>
          </cell>
          <cell r="U158" t="str">
            <v/>
          </cell>
          <cell r="V158" t="str">
            <v>PRO10</v>
          </cell>
          <cell r="W158">
            <v>0</v>
          </cell>
        </row>
        <row r="159">
          <cell r="C159" t="str">
            <v>LDOC210W</v>
          </cell>
          <cell r="D159" t="str">
            <v>PRINC</v>
          </cell>
          <cell r="E159" t="str">
            <v>00009</v>
          </cell>
          <cell r="F159" t="str">
            <v>CHUMACERAS Y RODAMIENTOS</v>
          </cell>
          <cell r="G159" t="str">
            <v>PRINCIPAL</v>
          </cell>
          <cell r="H159">
            <v>46004</v>
          </cell>
          <cell r="I159" t="str">
            <v>SALDO INICIAL</v>
          </cell>
          <cell r="J159">
            <v>4</v>
          </cell>
          <cell r="K159">
            <v>3.68</v>
          </cell>
          <cell r="L159">
            <v>0</v>
          </cell>
          <cell r="M159">
            <v>0.92</v>
          </cell>
          <cell r="N159" t="str">
            <v/>
          </cell>
          <cell r="O159" t="str">
            <v/>
          </cell>
          <cell r="P159" t="str">
            <v/>
          </cell>
          <cell r="Q159">
            <v>1.45</v>
          </cell>
          <cell r="R159" t="str">
            <v>UND</v>
          </cell>
          <cell r="S159">
            <v>0</v>
          </cell>
          <cell r="T159">
            <v>0</v>
          </cell>
          <cell r="U159" t="str">
            <v/>
          </cell>
          <cell r="V159" t="str">
            <v>PRO10</v>
          </cell>
          <cell r="W159">
            <v>0</v>
          </cell>
        </row>
        <row r="160">
          <cell r="C160" t="str">
            <v>HUP250X1</v>
          </cell>
          <cell r="D160" t="str">
            <v>PRINC</v>
          </cell>
          <cell r="E160" t="str">
            <v>00009</v>
          </cell>
          <cell r="F160" t="str">
            <v>CHUMACERAS Y RODAMIENTOS</v>
          </cell>
          <cell r="G160" t="str">
            <v>PRINCIPAL</v>
          </cell>
          <cell r="H160">
            <v>46004</v>
          </cell>
          <cell r="I160" t="str">
            <v>SALDO INICIAL</v>
          </cell>
          <cell r="J160">
            <v>89</v>
          </cell>
          <cell r="K160">
            <v>908.09666700000002</v>
          </cell>
          <cell r="L160">
            <v>10.203333000000001</v>
          </cell>
          <cell r="M160">
            <v>10.203333337</v>
          </cell>
          <cell r="N160" t="str">
            <v/>
          </cell>
          <cell r="O160" t="str">
            <v/>
          </cell>
          <cell r="P160" t="str">
            <v/>
          </cell>
          <cell r="Q160">
            <v>0</v>
          </cell>
          <cell r="R160" t="str">
            <v>UND</v>
          </cell>
          <cell r="S160">
            <v>0</v>
          </cell>
          <cell r="T160">
            <v>0</v>
          </cell>
          <cell r="U160" t="str">
            <v/>
          </cell>
          <cell r="V160" t="str">
            <v>PRO10</v>
          </cell>
          <cell r="W160">
            <v>0</v>
          </cell>
        </row>
        <row r="161">
          <cell r="C161" t="str">
            <v>LDSBLP205-16</v>
          </cell>
          <cell r="D161" t="str">
            <v>PRINC</v>
          </cell>
          <cell r="E161" t="str">
            <v>00009</v>
          </cell>
          <cell r="F161" t="str">
            <v>CHUMACERAS Y RODAMIENTOS</v>
          </cell>
          <cell r="G161" t="str">
            <v>PRINCIPAL</v>
          </cell>
          <cell r="H161">
            <v>46004</v>
          </cell>
          <cell r="I161" t="str">
            <v>SALDO INICIAL</v>
          </cell>
          <cell r="J161">
            <v>54</v>
          </cell>
          <cell r="K161">
            <v>104.76</v>
          </cell>
          <cell r="L161">
            <v>0</v>
          </cell>
          <cell r="M161">
            <v>1.94</v>
          </cell>
          <cell r="N161" t="str">
            <v/>
          </cell>
          <cell r="O161" t="str">
            <v/>
          </cell>
          <cell r="P161" t="str">
            <v/>
          </cell>
          <cell r="Q161">
            <v>3.1</v>
          </cell>
          <cell r="R161" t="str">
            <v>UND</v>
          </cell>
          <cell r="S161">
            <v>0</v>
          </cell>
          <cell r="T161">
            <v>0</v>
          </cell>
          <cell r="U161" t="str">
            <v/>
          </cell>
          <cell r="V161" t="str">
            <v>PRO10</v>
          </cell>
          <cell r="W161">
            <v>0</v>
          </cell>
        </row>
        <row r="162">
          <cell r="C162" t="str">
            <v>LDSF206</v>
          </cell>
          <cell r="D162" t="str">
            <v>PRINC</v>
          </cell>
          <cell r="E162" t="str">
            <v>00009</v>
          </cell>
          <cell r="F162" t="str">
            <v>CHUMACERAS Y RODAMIENTOS</v>
          </cell>
          <cell r="G162" t="str">
            <v>PRINCIPAL</v>
          </cell>
          <cell r="H162">
            <v>46004</v>
          </cell>
          <cell r="I162" t="str">
            <v>SALDO INICIAL</v>
          </cell>
          <cell r="J162">
            <v>12</v>
          </cell>
          <cell r="K162">
            <v>136.701314</v>
          </cell>
          <cell r="L162">
            <v>11.391775000000001</v>
          </cell>
          <cell r="M162">
            <v>11.391776167</v>
          </cell>
          <cell r="N162" t="str">
            <v/>
          </cell>
          <cell r="O162" t="str">
            <v/>
          </cell>
          <cell r="P162" t="str">
            <v/>
          </cell>
          <cell r="Q162">
            <v>21.6</v>
          </cell>
          <cell r="R162" t="str">
            <v>UND</v>
          </cell>
          <cell r="S162">
            <v>0</v>
          </cell>
          <cell r="T162">
            <v>0</v>
          </cell>
          <cell r="U162" t="str">
            <v/>
          </cell>
          <cell r="V162" t="str">
            <v>PRO10</v>
          </cell>
          <cell r="W162">
            <v>0</v>
          </cell>
        </row>
        <row r="163">
          <cell r="C163" t="str">
            <v>LDSFB205</v>
          </cell>
          <cell r="D163" t="str">
            <v>PRINC</v>
          </cell>
          <cell r="E163" t="str">
            <v>00009</v>
          </cell>
          <cell r="F163" t="str">
            <v>CHUMACERAS Y RODAMIENTOS</v>
          </cell>
          <cell r="G163" t="str">
            <v>PRINCIPAL</v>
          </cell>
          <cell r="H163">
            <v>46004</v>
          </cell>
          <cell r="I163" t="str">
            <v>SALDO INICIAL</v>
          </cell>
          <cell r="J163">
            <v>13</v>
          </cell>
          <cell r="K163">
            <v>98.54</v>
          </cell>
          <cell r="L163">
            <v>7.58</v>
          </cell>
          <cell r="M163">
            <v>7.58</v>
          </cell>
          <cell r="N163" t="str">
            <v/>
          </cell>
          <cell r="O163" t="str">
            <v/>
          </cell>
          <cell r="P163" t="str">
            <v/>
          </cell>
          <cell r="Q163">
            <v>12.9</v>
          </cell>
          <cell r="R163" t="str">
            <v>UND</v>
          </cell>
          <cell r="S163">
            <v>0</v>
          </cell>
          <cell r="T163">
            <v>0</v>
          </cell>
          <cell r="U163" t="str">
            <v/>
          </cell>
          <cell r="V163" t="str">
            <v>PRO10</v>
          </cell>
          <cell r="W163">
            <v>0</v>
          </cell>
        </row>
        <row r="164">
          <cell r="C164" t="str">
            <v>LDSFB206</v>
          </cell>
          <cell r="D164" t="str">
            <v>PRINC</v>
          </cell>
          <cell r="E164" t="str">
            <v>00009</v>
          </cell>
          <cell r="F164" t="str">
            <v>CHUMACERAS Y RODAMIENTOS</v>
          </cell>
          <cell r="G164" t="str">
            <v>PRINCIPAL</v>
          </cell>
          <cell r="H164">
            <v>46004</v>
          </cell>
          <cell r="I164" t="str">
            <v>SALDO INICIAL</v>
          </cell>
          <cell r="J164">
            <v>6</v>
          </cell>
          <cell r="K164">
            <v>63.9</v>
          </cell>
          <cell r="L164">
            <v>10.65</v>
          </cell>
          <cell r="M164">
            <v>10.65</v>
          </cell>
          <cell r="N164" t="str">
            <v/>
          </cell>
          <cell r="O164" t="str">
            <v/>
          </cell>
          <cell r="P164" t="str">
            <v/>
          </cell>
          <cell r="Q164">
            <v>18.100000000000001</v>
          </cell>
          <cell r="R164" t="str">
            <v>UND</v>
          </cell>
          <cell r="S164">
            <v>0</v>
          </cell>
          <cell r="T164">
            <v>0</v>
          </cell>
          <cell r="U164" t="str">
            <v/>
          </cell>
          <cell r="V164" t="str">
            <v>PRO10</v>
          </cell>
          <cell r="W164">
            <v>0</v>
          </cell>
        </row>
        <row r="165">
          <cell r="C165" t="str">
            <v>LDSFB207</v>
          </cell>
          <cell r="D165" t="str">
            <v>PRINC</v>
          </cell>
          <cell r="E165" t="str">
            <v>00009</v>
          </cell>
          <cell r="F165" t="str">
            <v>CHUMACERAS Y RODAMIENTOS</v>
          </cell>
          <cell r="G165" t="str">
            <v>PRINCIPAL</v>
          </cell>
          <cell r="H165">
            <v>46004</v>
          </cell>
          <cell r="I165" t="str">
            <v>SALDO INICIAL</v>
          </cell>
          <cell r="J165">
            <v>1</v>
          </cell>
          <cell r="K165">
            <v>15.65</v>
          </cell>
          <cell r="L165">
            <v>15.65</v>
          </cell>
          <cell r="M165">
            <v>15.65</v>
          </cell>
          <cell r="N165" t="str">
            <v/>
          </cell>
          <cell r="O165" t="str">
            <v/>
          </cell>
          <cell r="P165" t="str">
            <v/>
          </cell>
          <cell r="Q165">
            <v>26.6</v>
          </cell>
          <cell r="R165" t="str">
            <v>UND</v>
          </cell>
          <cell r="S165">
            <v>0</v>
          </cell>
          <cell r="T165">
            <v>0</v>
          </cell>
          <cell r="U165" t="str">
            <v/>
          </cell>
          <cell r="V165" t="str">
            <v>PRO10</v>
          </cell>
          <cell r="W165">
            <v>0</v>
          </cell>
        </row>
        <row r="166">
          <cell r="C166" t="str">
            <v>LDSFC205</v>
          </cell>
          <cell r="D166" t="str">
            <v>PRINC</v>
          </cell>
          <cell r="E166" t="str">
            <v>00009</v>
          </cell>
          <cell r="F166" t="str">
            <v>CHUMACERAS Y RODAMIENTOS</v>
          </cell>
          <cell r="G166" t="str">
            <v>PRINCIPAL</v>
          </cell>
          <cell r="H166">
            <v>46004</v>
          </cell>
          <cell r="I166" t="str">
            <v>SALDO INICIAL</v>
          </cell>
          <cell r="J166">
            <v>6</v>
          </cell>
          <cell r="K166">
            <v>70.2</v>
          </cell>
          <cell r="L166">
            <v>0</v>
          </cell>
          <cell r="M166">
            <v>11.7</v>
          </cell>
          <cell r="N166" t="str">
            <v/>
          </cell>
          <cell r="O166" t="str">
            <v/>
          </cell>
          <cell r="P166" t="str">
            <v/>
          </cell>
          <cell r="Q166">
            <v>19.899999999999999</v>
          </cell>
          <cell r="R166" t="str">
            <v>UND</v>
          </cell>
          <cell r="S166">
            <v>0</v>
          </cell>
          <cell r="T166">
            <v>0</v>
          </cell>
          <cell r="U166" t="str">
            <v/>
          </cell>
          <cell r="V166" t="str">
            <v>PRO10</v>
          </cell>
          <cell r="W166">
            <v>0</v>
          </cell>
        </row>
        <row r="167">
          <cell r="C167" t="str">
            <v>LDSFC206</v>
          </cell>
          <cell r="D167" t="str">
            <v>PRINC</v>
          </cell>
          <cell r="E167" t="str">
            <v>00009</v>
          </cell>
          <cell r="F167" t="str">
            <v>CHUMACERAS Y RODAMIENTOS</v>
          </cell>
          <cell r="G167" t="str">
            <v>PRINCIPAL</v>
          </cell>
          <cell r="H167">
            <v>46004</v>
          </cell>
          <cell r="I167" t="str">
            <v>SALDO INICIAL</v>
          </cell>
          <cell r="J167">
            <v>4</v>
          </cell>
          <cell r="K167">
            <v>56.28</v>
          </cell>
          <cell r="L167">
            <v>0</v>
          </cell>
          <cell r="M167">
            <v>14.07</v>
          </cell>
          <cell r="N167" t="str">
            <v/>
          </cell>
          <cell r="O167" t="str">
            <v/>
          </cell>
          <cell r="P167" t="str">
            <v/>
          </cell>
          <cell r="Q167">
            <v>23.9</v>
          </cell>
          <cell r="R167" t="str">
            <v>UND</v>
          </cell>
          <cell r="S167">
            <v>0</v>
          </cell>
          <cell r="T167">
            <v>0</v>
          </cell>
          <cell r="U167" t="str">
            <v/>
          </cell>
          <cell r="V167" t="str">
            <v>PRO10</v>
          </cell>
          <cell r="W167">
            <v>0</v>
          </cell>
        </row>
        <row r="168">
          <cell r="C168" t="str">
            <v>LDSFL208</v>
          </cell>
          <cell r="D168" t="str">
            <v>PRINC</v>
          </cell>
          <cell r="E168" t="str">
            <v>00009</v>
          </cell>
          <cell r="F168" t="str">
            <v>CHUMACERAS Y RODAMIENTOS</v>
          </cell>
          <cell r="G168" t="str">
            <v>PRINCIPAL</v>
          </cell>
          <cell r="H168">
            <v>46004</v>
          </cell>
          <cell r="I168" t="str">
            <v>SALDO INICIAL</v>
          </cell>
          <cell r="J168">
            <v>1</v>
          </cell>
          <cell r="K168">
            <v>12.07</v>
          </cell>
          <cell r="L168">
            <v>12.07</v>
          </cell>
          <cell r="M168">
            <v>12.07</v>
          </cell>
          <cell r="N168" t="str">
            <v/>
          </cell>
          <cell r="O168" t="str">
            <v/>
          </cell>
          <cell r="P168" t="str">
            <v/>
          </cell>
          <cell r="Q168">
            <v>23.8</v>
          </cell>
          <cell r="R168" t="str">
            <v>UND</v>
          </cell>
          <cell r="S168">
            <v>0</v>
          </cell>
          <cell r="T168">
            <v>0</v>
          </cell>
          <cell r="U168" t="str">
            <v/>
          </cell>
          <cell r="V168" t="str">
            <v>PRO10</v>
          </cell>
          <cell r="W168">
            <v>0</v>
          </cell>
        </row>
        <row r="169">
          <cell r="C169" t="str">
            <v>LDSP206</v>
          </cell>
          <cell r="D169" t="str">
            <v>PRINC</v>
          </cell>
          <cell r="E169" t="str">
            <v>00009</v>
          </cell>
          <cell r="F169" t="str">
            <v>CHUMACERAS Y RODAMIENTOS</v>
          </cell>
          <cell r="G169" t="str">
            <v>PRINCIPAL</v>
          </cell>
          <cell r="H169">
            <v>46004</v>
          </cell>
          <cell r="I169" t="str">
            <v>SALDO INICIAL</v>
          </cell>
          <cell r="J169">
            <v>2</v>
          </cell>
          <cell r="K169">
            <v>22.784006000000002</v>
          </cell>
          <cell r="L169">
            <v>11.392003000000001</v>
          </cell>
          <cell r="M169">
            <v>11.392003000000001</v>
          </cell>
          <cell r="N169" t="str">
            <v/>
          </cell>
          <cell r="O169" t="str">
            <v/>
          </cell>
          <cell r="P169" t="str">
            <v/>
          </cell>
          <cell r="Q169">
            <v>21.3</v>
          </cell>
          <cell r="R169" t="str">
            <v>UND</v>
          </cell>
          <cell r="S169">
            <v>0</v>
          </cell>
          <cell r="T169">
            <v>0</v>
          </cell>
          <cell r="U169" t="str">
            <v/>
          </cell>
          <cell r="V169" t="str">
            <v>PRO10</v>
          </cell>
          <cell r="W169">
            <v>0</v>
          </cell>
        </row>
        <row r="170">
          <cell r="C170" t="str">
            <v>LDSPA208A</v>
          </cell>
          <cell r="D170" t="str">
            <v>PRINC</v>
          </cell>
          <cell r="E170" t="str">
            <v>00009</v>
          </cell>
          <cell r="F170" t="str">
            <v>CHUMACERAS Y RODAMIENTOS</v>
          </cell>
          <cell r="G170" t="str">
            <v>PRINCIPAL</v>
          </cell>
          <cell r="H170">
            <v>46004</v>
          </cell>
          <cell r="I170" t="str">
            <v>SALDO INICIAL</v>
          </cell>
          <cell r="J170">
            <v>4</v>
          </cell>
          <cell r="K170">
            <v>68.88</v>
          </cell>
          <cell r="L170">
            <v>0</v>
          </cell>
          <cell r="M170">
            <v>17.22</v>
          </cell>
          <cell r="N170" t="str">
            <v/>
          </cell>
          <cell r="O170" t="str">
            <v/>
          </cell>
          <cell r="P170" t="str">
            <v/>
          </cell>
          <cell r="Q170">
            <v>29.3</v>
          </cell>
          <cell r="R170" t="str">
            <v>UND</v>
          </cell>
          <cell r="S170">
            <v>0</v>
          </cell>
          <cell r="T170">
            <v>0</v>
          </cell>
          <cell r="U170" t="str">
            <v/>
          </cell>
          <cell r="V170" t="str">
            <v>PRO10</v>
          </cell>
          <cell r="W170">
            <v>0</v>
          </cell>
        </row>
        <row r="171">
          <cell r="C171" t="str">
            <v>LDSSUCF204-12</v>
          </cell>
          <cell r="D171" t="str">
            <v>PRINC</v>
          </cell>
          <cell r="E171" t="str">
            <v>00009</v>
          </cell>
          <cell r="F171" t="str">
            <v>CHUMACERAS Y RODAMIENTOS</v>
          </cell>
          <cell r="G171" t="str">
            <v>PRINCIPAL</v>
          </cell>
          <cell r="H171">
            <v>46004</v>
          </cell>
          <cell r="I171" t="str">
            <v>SALDO INICIAL</v>
          </cell>
          <cell r="J171">
            <v>-1</v>
          </cell>
          <cell r="K171">
            <v>0</v>
          </cell>
          <cell r="L171">
            <v>0</v>
          </cell>
          <cell r="M171">
            <v>0</v>
          </cell>
          <cell r="N171" t="str">
            <v/>
          </cell>
          <cell r="O171" t="str">
            <v/>
          </cell>
          <cell r="P171" t="str">
            <v/>
          </cell>
          <cell r="Q171">
            <v>23.1</v>
          </cell>
          <cell r="R171" t="str">
            <v>UND</v>
          </cell>
          <cell r="S171">
            <v>0</v>
          </cell>
          <cell r="T171">
            <v>0</v>
          </cell>
          <cell r="U171" t="str">
            <v/>
          </cell>
          <cell r="V171" t="str">
            <v>PRO10</v>
          </cell>
          <cell r="W171">
            <v>0</v>
          </cell>
        </row>
        <row r="172">
          <cell r="C172" t="str">
            <v>LDSSUCF205-16</v>
          </cell>
          <cell r="D172" t="str">
            <v>PRINC</v>
          </cell>
          <cell r="E172" t="str">
            <v>00009</v>
          </cell>
          <cell r="F172" t="str">
            <v>CHUMACERAS Y RODAMIENTOS</v>
          </cell>
          <cell r="G172" t="str">
            <v>PRINCIPAL</v>
          </cell>
          <cell r="H172">
            <v>46004</v>
          </cell>
          <cell r="I172" t="str">
            <v>SALDO INICIAL</v>
          </cell>
          <cell r="J172">
            <v>-67</v>
          </cell>
          <cell r="K172">
            <v>0</v>
          </cell>
          <cell r="L172">
            <v>0</v>
          </cell>
          <cell r="M172">
            <v>0</v>
          </cell>
          <cell r="N172" t="str">
            <v/>
          </cell>
          <cell r="O172" t="str">
            <v/>
          </cell>
          <cell r="P172" t="str">
            <v/>
          </cell>
          <cell r="Q172">
            <v>24.9</v>
          </cell>
          <cell r="R172" t="str">
            <v>UND</v>
          </cell>
          <cell r="S172">
            <v>0</v>
          </cell>
          <cell r="T172">
            <v>0</v>
          </cell>
          <cell r="U172" t="str">
            <v/>
          </cell>
          <cell r="V172" t="str">
            <v>PRO10</v>
          </cell>
          <cell r="W172">
            <v>0</v>
          </cell>
        </row>
        <row r="173">
          <cell r="C173" t="str">
            <v>LDSSUCF206</v>
          </cell>
          <cell r="D173" t="str">
            <v>PRINC</v>
          </cell>
          <cell r="E173" t="str">
            <v>00009</v>
          </cell>
          <cell r="F173" t="str">
            <v>CHUMACERAS Y RODAMIENTOS</v>
          </cell>
          <cell r="G173" t="str">
            <v>PRINCIPAL</v>
          </cell>
          <cell r="H173">
            <v>46004</v>
          </cell>
          <cell r="I173" t="str">
            <v>SALDO INICIAL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 t="str">
            <v/>
          </cell>
          <cell r="O173" t="str">
            <v/>
          </cell>
          <cell r="P173" t="str">
            <v/>
          </cell>
          <cell r="Q173">
            <v>34.799999999999997</v>
          </cell>
          <cell r="R173" t="str">
            <v>UND</v>
          </cell>
          <cell r="S173">
            <v>0</v>
          </cell>
          <cell r="T173">
            <v>0</v>
          </cell>
          <cell r="U173" t="str">
            <v/>
          </cell>
          <cell r="V173" t="str">
            <v>PRO10</v>
          </cell>
          <cell r="W173">
            <v>0</v>
          </cell>
        </row>
        <row r="174">
          <cell r="C174" t="str">
            <v>LDSSUCF206-19</v>
          </cell>
          <cell r="D174" t="str">
            <v>PRINC</v>
          </cell>
          <cell r="E174" t="str">
            <v>00009</v>
          </cell>
          <cell r="F174" t="str">
            <v>CHUMACERAS Y RODAMIENTOS</v>
          </cell>
          <cell r="G174" t="str">
            <v>PRINCIPAL</v>
          </cell>
          <cell r="H174">
            <v>46004</v>
          </cell>
          <cell r="I174" t="str">
            <v>SALDO INICIAL</v>
          </cell>
          <cell r="J174">
            <v>3</v>
          </cell>
          <cell r="K174">
            <v>5.8028959999999996</v>
          </cell>
          <cell r="L174">
            <v>21.277277000000002</v>
          </cell>
          <cell r="M174">
            <v>1.934298667</v>
          </cell>
          <cell r="N174" t="str">
            <v/>
          </cell>
          <cell r="O174" t="str">
            <v/>
          </cell>
          <cell r="P174" t="str">
            <v/>
          </cell>
          <cell r="Q174">
            <v>34.799999999999997</v>
          </cell>
          <cell r="R174" t="str">
            <v>UND</v>
          </cell>
          <cell r="S174">
            <v>0</v>
          </cell>
          <cell r="T174">
            <v>0</v>
          </cell>
          <cell r="U174" t="str">
            <v/>
          </cell>
          <cell r="V174" t="str">
            <v>PRO10</v>
          </cell>
          <cell r="W174">
            <v>0</v>
          </cell>
        </row>
        <row r="175">
          <cell r="C175" t="str">
            <v>LDSSUCF206-20</v>
          </cell>
          <cell r="D175" t="str">
            <v>PRINC</v>
          </cell>
          <cell r="E175" t="str">
            <v>00009</v>
          </cell>
          <cell r="F175" t="str">
            <v>CHUMACERAS Y RODAMIENTOS</v>
          </cell>
          <cell r="G175" t="str">
            <v>PRINCIPAL</v>
          </cell>
          <cell r="H175">
            <v>46004</v>
          </cell>
          <cell r="I175" t="str">
            <v>SALDO INICIAL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 t="str">
            <v/>
          </cell>
          <cell r="O175" t="str">
            <v/>
          </cell>
          <cell r="P175" t="str">
            <v/>
          </cell>
          <cell r="Q175">
            <v>34.799999999999997</v>
          </cell>
          <cell r="R175" t="str">
            <v>UND</v>
          </cell>
          <cell r="S175">
            <v>0</v>
          </cell>
          <cell r="T175">
            <v>0</v>
          </cell>
          <cell r="U175" t="str">
            <v/>
          </cell>
          <cell r="V175" t="str">
            <v>PRO10</v>
          </cell>
          <cell r="W175">
            <v>0</v>
          </cell>
        </row>
        <row r="176">
          <cell r="C176" t="str">
            <v>LDSSUCF207</v>
          </cell>
          <cell r="D176" t="str">
            <v>PRINC</v>
          </cell>
          <cell r="E176" t="str">
            <v>00009</v>
          </cell>
          <cell r="F176" t="str">
            <v>CHUMACERAS Y RODAMIENTOS</v>
          </cell>
          <cell r="G176" t="str">
            <v>PRINCIPAL</v>
          </cell>
          <cell r="H176">
            <v>46004</v>
          </cell>
          <cell r="I176" t="str">
            <v>SALDO INICIAL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 t="str">
            <v/>
          </cell>
          <cell r="O176" t="str">
            <v/>
          </cell>
          <cell r="P176" t="str">
            <v/>
          </cell>
          <cell r="Q176">
            <v>41.55</v>
          </cell>
          <cell r="R176" t="str">
            <v>UND</v>
          </cell>
          <cell r="S176">
            <v>0</v>
          </cell>
          <cell r="T176">
            <v>0</v>
          </cell>
          <cell r="U176" t="str">
            <v/>
          </cell>
          <cell r="V176" t="str">
            <v>PRO10</v>
          </cell>
          <cell r="W176">
            <v>0</v>
          </cell>
        </row>
        <row r="177">
          <cell r="C177" t="str">
            <v>LDSSUCF207-20</v>
          </cell>
          <cell r="D177" t="str">
            <v>PRINC</v>
          </cell>
          <cell r="E177" t="str">
            <v>00009</v>
          </cell>
          <cell r="F177" t="str">
            <v>CHUMACERAS Y RODAMIENTOS</v>
          </cell>
          <cell r="G177" t="str">
            <v>PRINCIPAL</v>
          </cell>
          <cell r="H177">
            <v>46004</v>
          </cell>
          <cell r="I177" t="str">
            <v>SALDO INICIAL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 t="str">
            <v/>
          </cell>
          <cell r="O177" t="str">
            <v/>
          </cell>
          <cell r="P177" t="str">
            <v/>
          </cell>
          <cell r="Q177">
            <v>41.55</v>
          </cell>
          <cell r="R177" t="str">
            <v>UND</v>
          </cell>
          <cell r="S177">
            <v>0</v>
          </cell>
          <cell r="T177">
            <v>0</v>
          </cell>
          <cell r="U177" t="str">
            <v/>
          </cell>
          <cell r="V177" t="str">
            <v>PRO10</v>
          </cell>
          <cell r="W177">
            <v>0</v>
          </cell>
        </row>
        <row r="178">
          <cell r="C178" t="str">
            <v>LDSSUCF208</v>
          </cell>
          <cell r="D178" t="str">
            <v>PRINC</v>
          </cell>
          <cell r="E178" t="str">
            <v>00009</v>
          </cell>
          <cell r="F178" t="str">
            <v>CHUMACERAS Y RODAMIENTOS</v>
          </cell>
          <cell r="G178" t="str">
            <v>PRINCIPAL</v>
          </cell>
          <cell r="H178">
            <v>46004</v>
          </cell>
          <cell r="I178" t="str">
            <v>SALDO INICIAL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 t="str">
            <v/>
          </cell>
          <cell r="O178" t="str">
            <v/>
          </cell>
          <cell r="P178" t="str">
            <v/>
          </cell>
          <cell r="Q178">
            <v>56.1</v>
          </cell>
          <cell r="R178" t="str">
            <v>UND</v>
          </cell>
          <cell r="S178">
            <v>0</v>
          </cell>
          <cell r="T178">
            <v>0</v>
          </cell>
          <cell r="U178" t="str">
            <v/>
          </cell>
          <cell r="V178" t="str">
            <v>PRO10</v>
          </cell>
          <cell r="W178">
            <v>0</v>
          </cell>
        </row>
        <row r="179">
          <cell r="C179" t="str">
            <v>LDSSUCF208-24</v>
          </cell>
          <cell r="D179" t="str">
            <v>PRINC</v>
          </cell>
          <cell r="E179" t="str">
            <v>00009</v>
          </cell>
          <cell r="F179" t="str">
            <v>CHUMACERAS Y RODAMIENTOS</v>
          </cell>
          <cell r="G179" t="str">
            <v>PRINCIPAL</v>
          </cell>
          <cell r="H179">
            <v>46004</v>
          </cell>
          <cell r="I179" t="str">
            <v>SALDO INICIAL</v>
          </cell>
          <cell r="J179">
            <v>1</v>
          </cell>
          <cell r="K179">
            <v>43.772123000000001</v>
          </cell>
          <cell r="L179">
            <v>0</v>
          </cell>
          <cell r="M179">
            <v>43.772123000000001</v>
          </cell>
          <cell r="N179" t="str">
            <v/>
          </cell>
          <cell r="O179" t="str">
            <v/>
          </cell>
          <cell r="P179" t="str">
            <v/>
          </cell>
          <cell r="Q179">
            <v>56.1</v>
          </cell>
          <cell r="R179" t="str">
            <v>UND</v>
          </cell>
          <cell r="S179">
            <v>0</v>
          </cell>
          <cell r="T179">
            <v>0</v>
          </cell>
          <cell r="U179" t="str">
            <v/>
          </cell>
          <cell r="V179" t="str">
            <v>PRO10</v>
          </cell>
          <cell r="W179">
            <v>0</v>
          </cell>
        </row>
        <row r="180">
          <cell r="C180" t="str">
            <v>LDSSUCF209</v>
          </cell>
          <cell r="D180" t="str">
            <v>PRINC</v>
          </cell>
          <cell r="E180" t="str">
            <v>00009</v>
          </cell>
          <cell r="F180" t="str">
            <v>CHUMACERAS Y RODAMIENTOS</v>
          </cell>
          <cell r="G180" t="str">
            <v>PRINCIPAL</v>
          </cell>
          <cell r="H180">
            <v>46004</v>
          </cell>
          <cell r="I180" t="str">
            <v>SALDO INICIAL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 t="str">
            <v/>
          </cell>
          <cell r="O180" t="str">
            <v/>
          </cell>
          <cell r="P180" t="str">
            <v/>
          </cell>
          <cell r="Q180">
            <v>65.599999999999994</v>
          </cell>
          <cell r="R180" t="str">
            <v>UND</v>
          </cell>
          <cell r="S180">
            <v>0</v>
          </cell>
          <cell r="T180">
            <v>0</v>
          </cell>
          <cell r="U180" t="str">
            <v/>
          </cell>
          <cell r="V180" t="str">
            <v>PRO10</v>
          </cell>
          <cell r="W180">
            <v>0</v>
          </cell>
        </row>
        <row r="181">
          <cell r="C181" t="str">
            <v>LDSSUCF210</v>
          </cell>
          <cell r="D181" t="str">
            <v>PRINC</v>
          </cell>
          <cell r="E181" t="str">
            <v>00009</v>
          </cell>
          <cell r="F181" t="str">
            <v>CHUMACERAS Y RODAMIENTOS</v>
          </cell>
          <cell r="G181" t="str">
            <v>PRINCIPAL</v>
          </cell>
          <cell r="H181">
            <v>46004</v>
          </cell>
          <cell r="I181" t="str">
            <v>SALDO INICIAL</v>
          </cell>
          <cell r="J181">
            <v>-1</v>
          </cell>
          <cell r="K181">
            <v>0</v>
          </cell>
          <cell r="L181">
            <v>0</v>
          </cell>
          <cell r="M181">
            <v>0</v>
          </cell>
          <cell r="N181" t="str">
            <v/>
          </cell>
          <cell r="O181" t="str">
            <v/>
          </cell>
          <cell r="P181" t="str">
            <v/>
          </cell>
          <cell r="Q181">
            <v>80.7</v>
          </cell>
          <cell r="R181" t="str">
            <v>UND</v>
          </cell>
          <cell r="S181">
            <v>0</v>
          </cell>
          <cell r="T181">
            <v>0</v>
          </cell>
          <cell r="U181" t="str">
            <v/>
          </cell>
          <cell r="V181" t="str">
            <v>PRO10</v>
          </cell>
          <cell r="W181">
            <v>0</v>
          </cell>
        </row>
        <row r="182">
          <cell r="C182" t="str">
            <v>LDSSUCF211-32</v>
          </cell>
          <cell r="D182" t="str">
            <v>PRINC</v>
          </cell>
          <cell r="E182" t="str">
            <v>00009</v>
          </cell>
          <cell r="F182" t="str">
            <v>CHUMACERAS Y RODAMIENTOS</v>
          </cell>
          <cell r="G182" t="str">
            <v>PRINCIPAL</v>
          </cell>
          <cell r="H182">
            <v>46004</v>
          </cell>
          <cell r="I182" t="str">
            <v>SALDO INICIAL</v>
          </cell>
          <cell r="J182">
            <v>-2</v>
          </cell>
          <cell r="K182">
            <v>0</v>
          </cell>
          <cell r="L182">
            <v>0</v>
          </cell>
          <cell r="M182">
            <v>0</v>
          </cell>
          <cell r="N182" t="str">
            <v/>
          </cell>
          <cell r="O182" t="str">
            <v/>
          </cell>
          <cell r="P182" t="str">
            <v/>
          </cell>
          <cell r="Q182">
            <v>101</v>
          </cell>
          <cell r="R182" t="str">
            <v>UND</v>
          </cell>
          <cell r="S182">
            <v>0</v>
          </cell>
          <cell r="T182">
            <v>0</v>
          </cell>
          <cell r="U182" t="str">
            <v/>
          </cell>
          <cell r="V182" t="str">
            <v>PRO10</v>
          </cell>
          <cell r="W182">
            <v>0</v>
          </cell>
        </row>
        <row r="183">
          <cell r="C183" t="str">
            <v>LDSSUCFL204</v>
          </cell>
          <cell r="D183" t="str">
            <v>PRINC</v>
          </cell>
          <cell r="E183" t="str">
            <v>00009</v>
          </cell>
          <cell r="F183" t="str">
            <v>CHUMACERAS Y RODAMIENTOS</v>
          </cell>
          <cell r="G183" t="str">
            <v>PRINCIPAL</v>
          </cell>
          <cell r="H183">
            <v>46004</v>
          </cell>
          <cell r="I183" t="str">
            <v>SALDO INICIAL</v>
          </cell>
          <cell r="J183">
            <v>-6</v>
          </cell>
          <cell r="K183">
            <v>0</v>
          </cell>
          <cell r="L183">
            <v>0</v>
          </cell>
          <cell r="M183">
            <v>0</v>
          </cell>
          <cell r="N183" t="str">
            <v/>
          </cell>
          <cell r="O183" t="str">
            <v/>
          </cell>
          <cell r="P183" t="str">
            <v/>
          </cell>
          <cell r="Q183">
            <v>16.8</v>
          </cell>
          <cell r="R183" t="str">
            <v>UND</v>
          </cell>
          <cell r="S183">
            <v>0</v>
          </cell>
          <cell r="T183">
            <v>0</v>
          </cell>
          <cell r="U183" t="str">
            <v/>
          </cell>
          <cell r="V183" t="str">
            <v>PRO10</v>
          </cell>
          <cell r="W183">
            <v>0</v>
          </cell>
        </row>
        <row r="184">
          <cell r="C184" t="str">
            <v>LDSSUCFL205-16</v>
          </cell>
          <cell r="D184" t="str">
            <v>PRINC</v>
          </cell>
          <cell r="E184" t="str">
            <v>00009</v>
          </cell>
          <cell r="F184" t="str">
            <v>CHUMACERAS Y RODAMIENTOS</v>
          </cell>
          <cell r="G184" t="str">
            <v>PRINCIPAL</v>
          </cell>
          <cell r="H184">
            <v>46004</v>
          </cell>
          <cell r="I184" t="str">
            <v>SALDO INICIAL</v>
          </cell>
          <cell r="J184">
            <v>-20</v>
          </cell>
          <cell r="K184">
            <v>0</v>
          </cell>
          <cell r="L184">
            <v>0</v>
          </cell>
          <cell r="M184">
            <v>0</v>
          </cell>
          <cell r="N184" t="str">
            <v/>
          </cell>
          <cell r="O184" t="str">
            <v/>
          </cell>
          <cell r="P184" t="str">
            <v/>
          </cell>
          <cell r="Q184">
            <v>22.8</v>
          </cell>
          <cell r="R184" t="str">
            <v>UND</v>
          </cell>
          <cell r="S184">
            <v>0</v>
          </cell>
          <cell r="T184">
            <v>0</v>
          </cell>
          <cell r="U184" t="str">
            <v/>
          </cell>
          <cell r="V184" t="str">
            <v>PRO10</v>
          </cell>
          <cell r="W184">
            <v>0</v>
          </cell>
        </row>
        <row r="185">
          <cell r="C185" t="str">
            <v>LDSSUCFL207</v>
          </cell>
          <cell r="D185" t="str">
            <v>PRINC</v>
          </cell>
          <cell r="E185" t="str">
            <v>00009</v>
          </cell>
          <cell r="F185" t="str">
            <v>CHUMACERAS Y RODAMIENTOS</v>
          </cell>
          <cell r="G185" t="str">
            <v>PRINCIPAL</v>
          </cell>
          <cell r="H185">
            <v>46004</v>
          </cell>
          <cell r="I185" t="str">
            <v>SALDO INICIAL</v>
          </cell>
          <cell r="J185">
            <v>-20</v>
          </cell>
          <cell r="K185">
            <v>0</v>
          </cell>
          <cell r="L185">
            <v>0</v>
          </cell>
          <cell r="M185">
            <v>0</v>
          </cell>
          <cell r="N185" t="str">
            <v/>
          </cell>
          <cell r="O185" t="str">
            <v/>
          </cell>
          <cell r="P185" t="str">
            <v/>
          </cell>
          <cell r="Q185">
            <v>37.200000000000003</v>
          </cell>
          <cell r="R185" t="str">
            <v>UND</v>
          </cell>
          <cell r="S185">
            <v>0</v>
          </cell>
          <cell r="T185">
            <v>0</v>
          </cell>
          <cell r="U185" t="str">
            <v/>
          </cell>
          <cell r="V185" t="str">
            <v>PRO10</v>
          </cell>
          <cell r="W185">
            <v>0</v>
          </cell>
        </row>
        <row r="186">
          <cell r="C186" t="str">
            <v>LDSSUCP205</v>
          </cell>
          <cell r="D186" t="str">
            <v>PRINC</v>
          </cell>
          <cell r="E186" t="str">
            <v>00009</v>
          </cell>
          <cell r="F186" t="str">
            <v>CHUMACERAS Y RODAMIENTOS</v>
          </cell>
          <cell r="G186" t="str">
            <v>PRINCIPAL</v>
          </cell>
          <cell r="H186">
            <v>46004</v>
          </cell>
          <cell r="I186" t="str">
            <v>SALDO INICIAL</v>
          </cell>
          <cell r="J186">
            <v>12</v>
          </cell>
          <cell r="K186">
            <v>204.24</v>
          </cell>
          <cell r="L186">
            <v>18.28</v>
          </cell>
          <cell r="M186">
            <v>17.02</v>
          </cell>
          <cell r="N186" t="str">
            <v/>
          </cell>
          <cell r="O186" t="str">
            <v/>
          </cell>
          <cell r="P186" t="str">
            <v/>
          </cell>
          <cell r="Q186">
            <v>25</v>
          </cell>
          <cell r="R186" t="str">
            <v>UND</v>
          </cell>
          <cell r="S186">
            <v>0</v>
          </cell>
          <cell r="T186">
            <v>0</v>
          </cell>
          <cell r="U186" t="str">
            <v/>
          </cell>
          <cell r="V186" t="str">
            <v>PRO10</v>
          </cell>
          <cell r="W186">
            <v>0</v>
          </cell>
        </row>
        <row r="187">
          <cell r="C187" t="str">
            <v>LDSSUCP205-16</v>
          </cell>
          <cell r="D187" t="str">
            <v>PRINC</v>
          </cell>
          <cell r="E187" t="str">
            <v>00009</v>
          </cell>
          <cell r="F187" t="str">
            <v>CHUMACERAS Y RODAMIENTOS</v>
          </cell>
          <cell r="G187" t="str">
            <v>PRINCIPAL</v>
          </cell>
          <cell r="H187">
            <v>46004</v>
          </cell>
          <cell r="I187" t="str">
            <v>SALDO INICIAL</v>
          </cell>
          <cell r="J187">
            <v>-18</v>
          </cell>
          <cell r="K187">
            <v>0</v>
          </cell>
          <cell r="L187">
            <v>0</v>
          </cell>
          <cell r="M187">
            <v>0</v>
          </cell>
          <cell r="N187" t="str">
            <v/>
          </cell>
          <cell r="O187" t="str">
            <v/>
          </cell>
          <cell r="P187" t="str">
            <v/>
          </cell>
          <cell r="Q187">
            <v>25</v>
          </cell>
          <cell r="R187" t="str">
            <v>UND</v>
          </cell>
          <cell r="S187">
            <v>0</v>
          </cell>
          <cell r="T187">
            <v>0</v>
          </cell>
          <cell r="U187" t="str">
            <v/>
          </cell>
          <cell r="V187" t="str">
            <v>PRO10</v>
          </cell>
          <cell r="W187">
            <v>0</v>
          </cell>
        </row>
        <row r="188">
          <cell r="C188" t="str">
            <v>LDSSUCP206-19</v>
          </cell>
          <cell r="D188" t="str">
            <v>PRINC</v>
          </cell>
          <cell r="E188" t="str">
            <v>00009</v>
          </cell>
          <cell r="F188" t="str">
            <v>CHUMACERAS Y RODAMIENTOS</v>
          </cell>
          <cell r="G188" t="str">
            <v>PRINCIPAL</v>
          </cell>
          <cell r="H188">
            <v>46004</v>
          </cell>
          <cell r="I188" t="str">
            <v>SALDO INICIAL</v>
          </cell>
          <cell r="J188">
            <v>-10</v>
          </cell>
          <cell r="K188">
            <v>0</v>
          </cell>
          <cell r="L188">
            <v>0</v>
          </cell>
          <cell r="M188">
            <v>0</v>
          </cell>
          <cell r="N188" t="str">
            <v/>
          </cell>
          <cell r="O188" t="str">
            <v/>
          </cell>
          <cell r="P188" t="str">
            <v/>
          </cell>
          <cell r="Q188">
            <v>37.5</v>
          </cell>
          <cell r="R188" t="str">
            <v>UND</v>
          </cell>
          <cell r="S188">
            <v>0</v>
          </cell>
          <cell r="T188">
            <v>0</v>
          </cell>
          <cell r="U188" t="str">
            <v/>
          </cell>
          <cell r="V188" t="str">
            <v>PRO10</v>
          </cell>
          <cell r="W188">
            <v>0</v>
          </cell>
        </row>
        <row r="189">
          <cell r="C189" t="str">
            <v>LDSSUCP208-24</v>
          </cell>
          <cell r="D189" t="str">
            <v>PRINC</v>
          </cell>
          <cell r="E189" t="str">
            <v>00009</v>
          </cell>
          <cell r="F189" t="str">
            <v>CHUMACERAS Y RODAMIENTOS</v>
          </cell>
          <cell r="G189" t="str">
            <v>PRINCIPAL</v>
          </cell>
          <cell r="H189">
            <v>46004</v>
          </cell>
          <cell r="I189" t="str">
            <v>SALDO INICIAL</v>
          </cell>
          <cell r="J189">
            <v>-16</v>
          </cell>
          <cell r="K189">
            <v>0</v>
          </cell>
          <cell r="L189">
            <v>0</v>
          </cell>
          <cell r="M189">
            <v>0</v>
          </cell>
          <cell r="N189" t="str">
            <v/>
          </cell>
          <cell r="O189" t="str">
            <v/>
          </cell>
          <cell r="P189" t="str">
            <v/>
          </cell>
          <cell r="Q189">
            <v>56.8</v>
          </cell>
          <cell r="R189" t="str">
            <v>UND</v>
          </cell>
          <cell r="S189">
            <v>0</v>
          </cell>
          <cell r="T189">
            <v>0</v>
          </cell>
          <cell r="U189" t="str">
            <v/>
          </cell>
          <cell r="V189" t="str">
            <v>PRO10</v>
          </cell>
          <cell r="W189">
            <v>0</v>
          </cell>
        </row>
        <row r="190">
          <cell r="C190" t="str">
            <v>LDSSUCP210</v>
          </cell>
          <cell r="D190" t="str">
            <v>PRINC</v>
          </cell>
          <cell r="E190" t="str">
            <v>00009</v>
          </cell>
          <cell r="F190" t="str">
            <v>CHUMACERAS Y RODAMIENTOS</v>
          </cell>
          <cell r="G190" t="str">
            <v>PRINCIPAL</v>
          </cell>
          <cell r="H190">
            <v>46004</v>
          </cell>
          <cell r="I190" t="str">
            <v>SALDO INICIAL</v>
          </cell>
          <cell r="J190">
            <v>-2</v>
          </cell>
          <cell r="K190">
            <v>0</v>
          </cell>
          <cell r="L190">
            <v>0</v>
          </cell>
          <cell r="M190">
            <v>0</v>
          </cell>
          <cell r="N190" t="str">
            <v/>
          </cell>
          <cell r="O190" t="str">
            <v/>
          </cell>
          <cell r="P190" t="str">
            <v/>
          </cell>
          <cell r="Q190">
            <v>83.5</v>
          </cell>
          <cell r="R190" t="str">
            <v>UND</v>
          </cell>
          <cell r="S190">
            <v>0</v>
          </cell>
          <cell r="T190">
            <v>0</v>
          </cell>
          <cell r="U190" t="str">
            <v/>
          </cell>
          <cell r="V190" t="str">
            <v>PRO10</v>
          </cell>
          <cell r="W190">
            <v>0</v>
          </cell>
        </row>
        <row r="191">
          <cell r="C191" t="str">
            <v>LDSSUCP211-32</v>
          </cell>
          <cell r="D191" t="str">
            <v>PRINC</v>
          </cell>
          <cell r="E191" t="str">
            <v>00009</v>
          </cell>
          <cell r="F191" t="str">
            <v>CHUMACERAS Y RODAMIENTOS</v>
          </cell>
          <cell r="G191" t="str">
            <v>PRINCIPAL</v>
          </cell>
          <cell r="H191">
            <v>46004</v>
          </cell>
          <cell r="I191" t="str">
            <v>SALDO INICIAL</v>
          </cell>
          <cell r="J191">
            <v>-2</v>
          </cell>
          <cell r="K191">
            <v>0</v>
          </cell>
          <cell r="L191">
            <v>0</v>
          </cell>
          <cell r="M191">
            <v>0</v>
          </cell>
          <cell r="N191" t="str">
            <v/>
          </cell>
          <cell r="O191" t="str">
            <v/>
          </cell>
          <cell r="P191" t="str">
            <v/>
          </cell>
          <cell r="Q191">
            <v>102.5</v>
          </cell>
          <cell r="R191" t="str">
            <v>UND</v>
          </cell>
          <cell r="S191">
            <v>0</v>
          </cell>
          <cell r="T191">
            <v>0</v>
          </cell>
          <cell r="U191" t="str">
            <v/>
          </cell>
          <cell r="V191" t="str">
            <v>PRO10</v>
          </cell>
          <cell r="W191">
            <v>0</v>
          </cell>
        </row>
        <row r="192">
          <cell r="C192" t="str">
            <v>LDSSUPA205-16</v>
          </cell>
          <cell r="D192" t="str">
            <v>PRINC</v>
          </cell>
          <cell r="E192" t="str">
            <v>00009</v>
          </cell>
          <cell r="F192" t="str">
            <v>CHUMACERAS Y RODAMIENTOS</v>
          </cell>
          <cell r="G192" t="str">
            <v>PRINCIPAL</v>
          </cell>
          <cell r="H192">
            <v>46004</v>
          </cell>
          <cell r="I192" t="str">
            <v>SALDO INICIAL</v>
          </cell>
          <cell r="J192">
            <v>-4</v>
          </cell>
          <cell r="K192">
            <v>0</v>
          </cell>
          <cell r="L192">
            <v>0</v>
          </cell>
          <cell r="M192">
            <v>0</v>
          </cell>
          <cell r="N192" t="str">
            <v/>
          </cell>
          <cell r="O192" t="str">
            <v/>
          </cell>
          <cell r="P192" t="str">
            <v/>
          </cell>
          <cell r="Q192">
            <v>22.7</v>
          </cell>
          <cell r="R192" t="str">
            <v>UND</v>
          </cell>
          <cell r="S192">
            <v>0</v>
          </cell>
          <cell r="T192">
            <v>0</v>
          </cell>
          <cell r="U192" t="str">
            <v/>
          </cell>
          <cell r="V192" t="str">
            <v>PRO10</v>
          </cell>
          <cell r="W192">
            <v>0</v>
          </cell>
        </row>
        <row r="193">
          <cell r="C193" t="str">
            <v>LDSSUCT205-16</v>
          </cell>
          <cell r="D193" t="str">
            <v>PRINC</v>
          </cell>
          <cell r="E193" t="str">
            <v>00009</v>
          </cell>
          <cell r="F193" t="str">
            <v>CHUMACERAS Y RODAMIENTOS</v>
          </cell>
          <cell r="G193" t="str">
            <v>PRINCIPAL</v>
          </cell>
          <cell r="H193">
            <v>46004</v>
          </cell>
          <cell r="I193" t="str">
            <v>SALDO INICIAL</v>
          </cell>
          <cell r="J193">
            <v>-4</v>
          </cell>
          <cell r="K193">
            <v>0</v>
          </cell>
          <cell r="L193">
            <v>0</v>
          </cell>
          <cell r="M193">
            <v>0</v>
          </cell>
          <cell r="N193" t="str">
            <v/>
          </cell>
          <cell r="O193" t="str">
            <v/>
          </cell>
          <cell r="P193" t="str">
            <v/>
          </cell>
          <cell r="Q193">
            <v>24.3</v>
          </cell>
          <cell r="R193" t="str">
            <v>UND</v>
          </cell>
          <cell r="S193">
            <v>0</v>
          </cell>
          <cell r="T193">
            <v>0</v>
          </cell>
          <cell r="U193" t="str">
            <v/>
          </cell>
          <cell r="V193" t="str">
            <v>PRO10</v>
          </cell>
          <cell r="W193">
            <v>0</v>
          </cell>
        </row>
        <row r="194">
          <cell r="C194" t="str">
            <v>LDSSUCT207-20</v>
          </cell>
          <cell r="D194" t="str">
            <v>PRINC</v>
          </cell>
          <cell r="E194" t="str">
            <v>00009</v>
          </cell>
          <cell r="F194" t="str">
            <v>CHUMACERAS Y RODAMIENTOS</v>
          </cell>
          <cell r="G194" t="str">
            <v>PRINCIPAL</v>
          </cell>
          <cell r="H194">
            <v>46004</v>
          </cell>
          <cell r="I194" t="str">
            <v>SALDO INICIAL</v>
          </cell>
          <cell r="J194">
            <v>-4</v>
          </cell>
          <cell r="K194">
            <v>0</v>
          </cell>
          <cell r="L194">
            <v>0</v>
          </cell>
          <cell r="M194">
            <v>0</v>
          </cell>
          <cell r="N194" t="str">
            <v/>
          </cell>
          <cell r="O194" t="str">
            <v/>
          </cell>
          <cell r="P194" t="str">
            <v/>
          </cell>
          <cell r="Q194">
            <v>42.95</v>
          </cell>
          <cell r="R194" t="str">
            <v>UND</v>
          </cell>
          <cell r="S194">
            <v>0</v>
          </cell>
          <cell r="T194">
            <v>0</v>
          </cell>
          <cell r="U194" t="str">
            <v/>
          </cell>
          <cell r="V194" t="str">
            <v>PRO10</v>
          </cell>
          <cell r="W194">
            <v>0</v>
          </cell>
        </row>
        <row r="195">
          <cell r="C195" t="str">
            <v>LDSUC203</v>
          </cell>
          <cell r="D195" t="str">
            <v>PRINC</v>
          </cell>
          <cell r="E195" t="str">
            <v>00009</v>
          </cell>
          <cell r="F195" t="str">
            <v>CHUMACERAS Y RODAMIENTOS</v>
          </cell>
          <cell r="G195" t="str">
            <v>PRINCIPAL</v>
          </cell>
          <cell r="H195">
            <v>46004</v>
          </cell>
          <cell r="I195" t="str">
            <v>SALDO INICIAL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 t="str">
            <v/>
          </cell>
          <cell r="O195" t="str">
            <v/>
          </cell>
          <cell r="P195" t="str">
            <v/>
          </cell>
          <cell r="Q195">
            <v>9.35</v>
          </cell>
          <cell r="R195" t="str">
            <v>UND</v>
          </cell>
          <cell r="S195">
            <v>0</v>
          </cell>
          <cell r="T195">
            <v>0</v>
          </cell>
          <cell r="U195" t="str">
            <v/>
          </cell>
          <cell r="V195" t="str">
            <v>PRO10</v>
          </cell>
          <cell r="W195">
            <v>0</v>
          </cell>
        </row>
        <row r="196">
          <cell r="C196" t="str">
            <v>LDSUC204</v>
          </cell>
          <cell r="D196" t="str">
            <v>PRINC</v>
          </cell>
          <cell r="E196" t="str">
            <v>00009</v>
          </cell>
          <cell r="F196" t="str">
            <v>CHUMACERAS Y RODAMIENTOS</v>
          </cell>
          <cell r="G196" t="str">
            <v>PRINCIPAL</v>
          </cell>
          <cell r="H196">
            <v>46004</v>
          </cell>
          <cell r="I196" t="str">
            <v>SALDO INICIAL</v>
          </cell>
          <cell r="J196">
            <v>-6</v>
          </cell>
          <cell r="K196">
            <v>0</v>
          </cell>
          <cell r="L196">
            <v>0</v>
          </cell>
          <cell r="M196">
            <v>0</v>
          </cell>
          <cell r="N196" t="str">
            <v/>
          </cell>
          <cell r="O196" t="str">
            <v/>
          </cell>
          <cell r="P196" t="str">
            <v/>
          </cell>
          <cell r="Q196">
            <v>9.5</v>
          </cell>
          <cell r="R196" t="str">
            <v>UND</v>
          </cell>
          <cell r="S196">
            <v>0</v>
          </cell>
          <cell r="T196">
            <v>0</v>
          </cell>
          <cell r="U196" t="str">
            <v/>
          </cell>
          <cell r="V196" t="str">
            <v>PRO10</v>
          </cell>
          <cell r="W196">
            <v>0</v>
          </cell>
        </row>
        <row r="197">
          <cell r="C197" t="str">
            <v>LDSUC204-12</v>
          </cell>
          <cell r="D197" t="str">
            <v>PRINC</v>
          </cell>
          <cell r="E197" t="str">
            <v>00009</v>
          </cell>
          <cell r="F197" t="str">
            <v>CHUMACERAS Y RODAMIENTOS</v>
          </cell>
          <cell r="G197" t="str">
            <v>PRINCIPAL</v>
          </cell>
          <cell r="H197">
            <v>46004</v>
          </cell>
          <cell r="I197" t="str">
            <v>SALDO INICIAL</v>
          </cell>
          <cell r="J197">
            <v>-2</v>
          </cell>
          <cell r="K197">
            <v>0</v>
          </cell>
          <cell r="L197">
            <v>0</v>
          </cell>
          <cell r="M197">
            <v>0</v>
          </cell>
          <cell r="N197" t="str">
            <v/>
          </cell>
          <cell r="O197" t="str">
            <v/>
          </cell>
          <cell r="P197" t="str">
            <v/>
          </cell>
          <cell r="Q197">
            <v>9.5</v>
          </cell>
          <cell r="R197" t="str">
            <v>UND</v>
          </cell>
          <cell r="S197">
            <v>0</v>
          </cell>
          <cell r="T197">
            <v>0</v>
          </cell>
          <cell r="U197" t="str">
            <v/>
          </cell>
          <cell r="V197" t="str">
            <v>PRO10</v>
          </cell>
          <cell r="W197">
            <v>0</v>
          </cell>
        </row>
        <row r="198">
          <cell r="C198" t="str">
            <v>LDSUC205</v>
          </cell>
          <cell r="D198" t="str">
            <v>PRINC</v>
          </cell>
          <cell r="E198" t="str">
            <v>00009</v>
          </cell>
          <cell r="F198" t="str">
            <v>CHUMACERAS Y RODAMIENTOS</v>
          </cell>
          <cell r="G198" t="str">
            <v>PRINCIPAL</v>
          </cell>
          <cell r="H198">
            <v>46004</v>
          </cell>
          <cell r="I198" t="str">
            <v>SALDO INICIAL</v>
          </cell>
          <cell r="J198">
            <v>-24</v>
          </cell>
          <cell r="K198">
            <v>0</v>
          </cell>
          <cell r="L198">
            <v>0</v>
          </cell>
          <cell r="M198">
            <v>0</v>
          </cell>
          <cell r="N198" t="str">
            <v/>
          </cell>
          <cell r="O198" t="str">
            <v/>
          </cell>
          <cell r="P198" t="str">
            <v/>
          </cell>
          <cell r="Q198">
            <v>10.9</v>
          </cell>
          <cell r="R198" t="str">
            <v>UND</v>
          </cell>
          <cell r="S198">
            <v>0</v>
          </cell>
          <cell r="T198">
            <v>0</v>
          </cell>
          <cell r="U198" t="str">
            <v/>
          </cell>
          <cell r="V198" t="str">
            <v>PRO10</v>
          </cell>
          <cell r="W198">
            <v>0</v>
          </cell>
        </row>
        <row r="199">
          <cell r="C199" t="str">
            <v>LDSUC205-16</v>
          </cell>
          <cell r="D199" t="str">
            <v>PRINC</v>
          </cell>
          <cell r="E199" t="str">
            <v>00009</v>
          </cell>
          <cell r="F199" t="str">
            <v>CHUMACERAS Y RODAMIENTOS</v>
          </cell>
          <cell r="G199" t="str">
            <v>PRINCIPAL</v>
          </cell>
          <cell r="H199">
            <v>46004</v>
          </cell>
          <cell r="I199" t="str">
            <v>SALDO INICIAL</v>
          </cell>
          <cell r="J199">
            <v>-50</v>
          </cell>
          <cell r="K199">
            <v>0</v>
          </cell>
          <cell r="L199">
            <v>0</v>
          </cell>
          <cell r="M199">
            <v>0</v>
          </cell>
          <cell r="N199" t="str">
            <v/>
          </cell>
          <cell r="O199" t="str">
            <v/>
          </cell>
          <cell r="P199" t="str">
            <v/>
          </cell>
          <cell r="Q199">
            <v>10.9</v>
          </cell>
          <cell r="R199" t="str">
            <v>UND</v>
          </cell>
          <cell r="S199">
            <v>0</v>
          </cell>
          <cell r="T199">
            <v>0</v>
          </cell>
          <cell r="U199" t="str">
            <v/>
          </cell>
          <cell r="V199" t="str">
            <v>PRO10</v>
          </cell>
          <cell r="W199">
            <v>0</v>
          </cell>
        </row>
        <row r="200">
          <cell r="C200" t="str">
            <v>LDSUC206</v>
          </cell>
          <cell r="D200" t="str">
            <v>PRINC</v>
          </cell>
          <cell r="E200" t="str">
            <v>00009</v>
          </cell>
          <cell r="F200" t="str">
            <v>CHUMACERAS Y RODAMIENTOS</v>
          </cell>
          <cell r="G200" t="str">
            <v>PRINCIPAL</v>
          </cell>
          <cell r="H200">
            <v>46004</v>
          </cell>
          <cell r="I200" t="str">
            <v>SALDO INICIAL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 t="str">
            <v/>
          </cell>
          <cell r="O200" t="str">
            <v/>
          </cell>
          <cell r="P200" t="str">
            <v/>
          </cell>
          <cell r="Q200">
            <v>14.6</v>
          </cell>
          <cell r="R200" t="str">
            <v>UND</v>
          </cell>
          <cell r="S200">
            <v>0</v>
          </cell>
          <cell r="T200">
            <v>0</v>
          </cell>
          <cell r="U200" t="str">
            <v/>
          </cell>
          <cell r="V200" t="str">
            <v>PRO10</v>
          </cell>
          <cell r="W200">
            <v>0</v>
          </cell>
        </row>
        <row r="201">
          <cell r="C201" t="str">
            <v>LDSUC206-19</v>
          </cell>
          <cell r="D201" t="str">
            <v>PRINC</v>
          </cell>
          <cell r="E201" t="str">
            <v>00009</v>
          </cell>
          <cell r="F201" t="str">
            <v>CHUMACERAS Y RODAMIENTOS</v>
          </cell>
          <cell r="G201" t="str">
            <v>PRINCIPAL</v>
          </cell>
          <cell r="H201">
            <v>46004</v>
          </cell>
          <cell r="I201" t="str">
            <v>SALDO INICIAL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 t="str">
            <v/>
          </cell>
          <cell r="O201" t="str">
            <v/>
          </cell>
          <cell r="P201" t="str">
            <v/>
          </cell>
          <cell r="Q201">
            <v>14.6</v>
          </cell>
          <cell r="R201" t="str">
            <v>UND</v>
          </cell>
          <cell r="S201">
            <v>0</v>
          </cell>
          <cell r="T201">
            <v>0</v>
          </cell>
          <cell r="U201" t="str">
            <v/>
          </cell>
          <cell r="V201" t="str">
            <v>PRO10</v>
          </cell>
          <cell r="W201">
            <v>0</v>
          </cell>
        </row>
        <row r="202">
          <cell r="C202" t="str">
            <v>LDSUC206-20</v>
          </cell>
          <cell r="D202" t="str">
            <v>PRINC</v>
          </cell>
          <cell r="E202" t="str">
            <v>00009</v>
          </cell>
          <cell r="F202" t="str">
            <v>CHUMACERAS Y RODAMIENTOS</v>
          </cell>
          <cell r="G202" t="str">
            <v>PRINCIPAL</v>
          </cell>
          <cell r="H202">
            <v>46004</v>
          </cell>
          <cell r="I202" t="str">
            <v>SALDO INICIAL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 t="str">
            <v/>
          </cell>
          <cell r="O202" t="str">
            <v/>
          </cell>
          <cell r="P202" t="str">
            <v/>
          </cell>
          <cell r="Q202">
            <v>14.6</v>
          </cell>
          <cell r="R202" t="str">
            <v>UND</v>
          </cell>
          <cell r="S202">
            <v>0</v>
          </cell>
          <cell r="T202">
            <v>0</v>
          </cell>
          <cell r="U202" t="str">
            <v/>
          </cell>
          <cell r="V202" t="str">
            <v>PRO10</v>
          </cell>
          <cell r="W202">
            <v>0</v>
          </cell>
        </row>
        <row r="203">
          <cell r="C203" t="str">
            <v>LDSUC207</v>
          </cell>
          <cell r="D203" t="str">
            <v>PRINC</v>
          </cell>
          <cell r="E203" t="str">
            <v>00009</v>
          </cell>
          <cell r="F203" t="str">
            <v>CHUMACERAS Y RODAMIENTOS</v>
          </cell>
          <cell r="G203" t="str">
            <v>PRINCIPAL</v>
          </cell>
          <cell r="H203">
            <v>46004</v>
          </cell>
          <cell r="I203" t="str">
            <v>SALDO INICIAL</v>
          </cell>
          <cell r="J203">
            <v>-64</v>
          </cell>
          <cell r="K203">
            <v>0</v>
          </cell>
          <cell r="L203">
            <v>0</v>
          </cell>
          <cell r="M203">
            <v>0</v>
          </cell>
          <cell r="N203" t="str">
            <v/>
          </cell>
          <cell r="O203" t="str">
            <v/>
          </cell>
          <cell r="P203" t="str">
            <v/>
          </cell>
          <cell r="Q203">
            <v>19.600000000000001</v>
          </cell>
          <cell r="R203" t="str">
            <v>UND</v>
          </cell>
          <cell r="S203">
            <v>0</v>
          </cell>
          <cell r="T203">
            <v>0</v>
          </cell>
          <cell r="U203" t="str">
            <v/>
          </cell>
          <cell r="V203" t="str">
            <v>PRO10</v>
          </cell>
          <cell r="W203">
            <v>0</v>
          </cell>
        </row>
        <row r="204">
          <cell r="C204" t="str">
            <v>LDSUC207-20</v>
          </cell>
          <cell r="D204" t="str">
            <v>PRINC</v>
          </cell>
          <cell r="E204" t="str">
            <v>00009</v>
          </cell>
          <cell r="F204" t="str">
            <v>CHUMACERAS Y RODAMIENTOS</v>
          </cell>
          <cell r="G204" t="str">
            <v>PRINCIPAL</v>
          </cell>
          <cell r="H204">
            <v>46004</v>
          </cell>
          <cell r="I204" t="str">
            <v>SALDO INICIAL</v>
          </cell>
          <cell r="J204">
            <v>-35</v>
          </cell>
          <cell r="K204">
            <v>0</v>
          </cell>
          <cell r="L204">
            <v>0</v>
          </cell>
          <cell r="M204">
            <v>0</v>
          </cell>
          <cell r="N204" t="str">
            <v/>
          </cell>
          <cell r="O204" t="str">
            <v/>
          </cell>
          <cell r="P204" t="str">
            <v/>
          </cell>
          <cell r="Q204">
            <v>19.600000000000001</v>
          </cell>
          <cell r="R204" t="str">
            <v>UND</v>
          </cell>
          <cell r="S204">
            <v>0</v>
          </cell>
          <cell r="T204">
            <v>0</v>
          </cell>
          <cell r="U204" t="str">
            <v/>
          </cell>
          <cell r="V204" t="str">
            <v>PRO10</v>
          </cell>
          <cell r="W204">
            <v>0</v>
          </cell>
        </row>
        <row r="205">
          <cell r="C205" t="str">
            <v>LDSUC207-21</v>
          </cell>
          <cell r="D205" t="str">
            <v>PRINC</v>
          </cell>
          <cell r="E205" t="str">
            <v>00009</v>
          </cell>
          <cell r="F205" t="str">
            <v>CHUMACERAS Y RODAMIENTOS</v>
          </cell>
          <cell r="G205" t="str">
            <v>PRINCIPAL</v>
          </cell>
          <cell r="H205">
            <v>46004</v>
          </cell>
          <cell r="I205" t="str">
            <v>SALDO INICIAL</v>
          </cell>
          <cell r="J205">
            <v>16</v>
          </cell>
          <cell r="K205">
            <v>176.16</v>
          </cell>
          <cell r="L205">
            <v>0</v>
          </cell>
          <cell r="M205">
            <v>11.01</v>
          </cell>
          <cell r="N205" t="str">
            <v/>
          </cell>
          <cell r="O205" t="str">
            <v/>
          </cell>
          <cell r="P205" t="str">
            <v/>
          </cell>
          <cell r="Q205">
            <v>19.600000000000001</v>
          </cell>
          <cell r="R205" t="str">
            <v>UND</v>
          </cell>
          <cell r="S205">
            <v>0</v>
          </cell>
          <cell r="T205">
            <v>0</v>
          </cell>
          <cell r="U205" t="str">
            <v/>
          </cell>
          <cell r="V205" t="str">
            <v>PRO10</v>
          </cell>
          <cell r="W205">
            <v>0</v>
          </cell>
        </row>
        <row r="206">
          <cell r="C206" t="str">
            <v>LDSUC208</v>
          </cell>
          <cell r="D206" t="str">
            <v>PRINC</v>
          </cell>
          <cell r="E206" t="str">
            <v>00009</v>
          </cell>
          <cell r="F206" t="str">
            <v>CHUMACERAS Y RODAMIENTOS</v>
          </cell>
          <cell r="G206" t="str">
            <v>PRINCIPAL</v>
          </cell>
          <cell r="H206">
            <v>46004</v>
          </cell>
          <cell r="I206" t="str">
            <v>SALDO INICIAL</v>
          </cell>
          <cell r="J206">
            <v>-8</v>
          </cell>
          <cell r="K206">
            <v>0</v>
          </cell>
          <cell r="L206">
            <v>0</v>
          </cell>
          <cell r="M206">
            <v>0</v>
          </cell>
          <cell r="N206" t="str">
            <v/>
          </cell>
          <cell r="O206" t="str">
            <v/>
          </cell>
          <cell r="P206" t="str">
            <v/>
          </cell>
          <cell r="Q206">
            <v>25.5</v>
          </cell>
          <cell r="R206" t="str">
            <v>UND</v>
          </cell>
          <cell r="S206">
            <v>0</v>
          </cell>
          <cell r="T206">
            <v>0</v>
          </cell>
          <cell r="U206" t="str">
            <v/>
          </cell>
          <cell r="V206" t="str">
            <v>PRO10</v>
          </cell>
          <cell r="W206">
            <v>0</v>
          </cell>
        </row>
        <row r="207">
          <cell r="C207" t="str">
            <v>LDSUC208-24</v>
          </cell>
          <cell r="D207" t="str">
            <v>PRINC</v>
          </cell>
          <cell r="E207" t="str">
            <v>00009</v>
          </cell>
          <cell r="F207" t="str">
            <v>CHUMACERAS Y RODAMIENTOS</v>
          </cell>
          <cell r="G207" t="str">
            <v>PRINCIPAL</v>
          </cell>
          <cell r="H207">
            <v>46004</v>
          </cell>
          <cell r="I207" t="str">
            <v>SALDO INICIAL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 t="str">
            <v/>
          </cell>
          <cell r="O207" t="str">
            <v/>
          </cell>
          <cell r="P207" t="str">
            <v/>
          </cell>
          <cell r="Q207">
            <v>25.5</v>
          </cell>
          <cell r="R207" t="str">
            <v>UND</v>
          </cell>
          <cell r="S207">
            <v>0</v>
          </cell>
          <cell r="T207">
            <v>0</v>
          </cell>
          <cell r="U207" t="str">
            <v/>
          </cell>
          <cell r="V207" t="str">
            <v>PRO10</v>
          </cell>
          <cell r="W207">
            <v>0</v>
          </cell>
        </row>
        <row r="208">
          <cell r="C208" t="str">
            <v>LDSUC209</v>
          </cell>
          <cell r="D208" t="str">
            <v>PRINC</v>
          </cell>
          <cell r="E208" t="str">
            <v>00009</v>
          </cell>
          <cell r="F208" t="str">
            <v>CHUMACERAS Y RODAMIENTOS</v>
          </cell>
          <cell r="G208" t="str">
            <v>PRINCIPAL</v>
          </cell>
          <cell r="H208">
            <v>46004</v>
          </cell>
          <cell r="I208" t="str">
            <v>SALDO INICIAL</v>
          </cell>
          <cell r="J208">
            <v>31</v>
          </cell>
          <cell r="K208">
            <v>548.61239799999998</v>
          </cell>
          <cell r="L208">
            <v>17.697174</v>
          </cell>
          <cell r="M208">
            <v>17.697174129</v>
          </cell>
          <cell r="N208" t="str">
            <v/>
          </cell>
          <cell r="O208" t="str">
            <v/>
          </cell>
          <cell r="P208" t="str">
            <v/>
          </cell>
          <cell r="Q208">
            <v>28.6</v>
          </cell>
          <cell r="R208" t="str">
            <v>UND</v>
          </cell>
          <cell r="S208">
            <v>0</v>
          </cell>
          <cell r="T208">
            <v>0</v>
          </cell>
          <cell r="U208" t="str">
            <v/>
          </cell>
          <cell r="V208" t="str">
            <v>PRO10</v>
          </cell>
          <cell r="W208">
            <v>0</v>
          </cell>
        </row>
        <row r="209">
          <cell r="C209" t="str">
            <v>LDSUC209-26</v>
          </cell>
          <cell r="D209" t="str">
            <v>PRINC</v>
          </cell>
          <cell r="E209" t="str">
            <v>00009</v>
          </cell>
          <cell r="F209" t="str">
            <v>CHUMACERAS Y RODAMIENTOS</v>
          </cell>
          <cell r="G209" t="str">
            <v>PRINCIPAL</v>
          </cell>
          <cell r="H209">
            <v>46004</v>
          </cell>
          <cell r="I209" t="str">
            <v>SALDO INICIAL</v>
          </cell>
          <cell r="J209">
            <v>2</v>
          </cell>
          <cell r="K209">
            <v>45.4</v>
          </cell>
          <cell r="L209">
            <v>22.7</v>
          </cell>
          <cell r="M209">
            <v>22.7</v>
          </cell>
          <cell r="N209" t="str">
            <v/>
          </cell>
          <cell r="O209" t="str">
            <v/>
          </cell>
          <cell r="P209" t="str">
            <v/>
          </cell>
          <cell r="Q209">
            <v>28.6</v>
          </cell>
          <cell r="R209" t="str">
            <v>UND</v>
          </cell>
          <cell r="S209">
            <v>0</v>
          </cell>
          <cell r="T209">
            <v>0</v>
          </cell>
          <cell r="U209" t="str">
            <v/>
          </cell>
          <cell r="V209" t="str">
            <v>PRO10</v>
          </cell>
          <cell r="W209">
            <v>0</v>
          </cell>
        </row>
        <row r="210">
          <cell r="C210" t="str">
            <v>LDSUC209-28</v>
          </cell>
          <cell r="D210" t="str">
            <v>PRINC</v>
          </cell>
          <cell r="E210" t="str">
            <v>00009</v>
          </cell>
          <cell r="F210" t="str">
            <v>CHUMACERAS Y RODAMIENTOS</v>
          </cell>
          <cell r="G210" t="str">
            <v>PRINCIPAL</v>
          </cell>
          <cell r="H210">
            <v>46004</v>
          </cell>
          <cell r="I210" t="str">
            <v>SALDO INICIAL</v>
          </cell>
          <cell r="J210">
            <v>39</v>
          </cell>
          <cell r="K210">
            <v>736.17528700000003</v>
          </cell>
          <cell r="L210">
            <v>18.876289</v>
          </cell>
          <cell r="M210">
            <v>18.876289409999998</v>
          </cell>
          <cell r="N210" t="str">
            <v/>
          </cell>
          <cell r="O210" t="str">
            <v/>
          </cell>
          <cell r="P210" t="str">
            <v/>
          </cell>
          <cell r="Q210">
            <v>28.6</v>
          </cell>
          <cell r="R210" t="str">
            <v>UND</v>
          </cell>
          <cell r="S210">
            <v>0</v>
          </cell>
          <cell r="T210">
            <v>0</v>
          </cell>
          <cell r="U210" t="str">
            <v/>
          </cell>
          <cell r="V210" t="str">
            <v>PRO10</v>
          </cell>
          <cell r="W210">
            <v>0</v>
          </cell>
        </row>
        <row r="211">
          <cell r="C211" t="str">
            <v>LDSUC212-36</v>
          </cell>
          <cell r="D211" t="str">
            <v>PRINC</v>
          </cell>
          <cell r="E211" t="str">
            <v>00009</v>
          </cell>
          <cell r="F211" t="str">
            <v>CHUMACERAS Y RODAMIENTOS</v>
          </cell>
          <cell r="G211" t="str">
            <v>PRINCIPAL</v>
          </cell>
          <cell r="H211">
            <v>46004</v>
          </cell>
          <cell r="I211" t="str">
            <v>SALDO INICIAL</v>
          </cell>
          <cell r="J211">
            <v>2</v>
          </cell>
          <cell r="K211">
            <v>87.69068</v>
          </cell>
          <cell r="L211">
            <v>0</v>
          </cell>
          <cell r="M211">
            <v>43.84534</v>
          </cell>
          <cell r="N211" t="str">
            <v/>
          </cell>
          <cell r="O211" t="str">
            <v/>
          </cell>
          <cell r="P211" t="str">
            <v/>
          </cell>
          <cell r="Q211">
            <v>107.4</v>
          </cell>
          <cell r="R211" t="str">
            <v>UND</v>
          </cell>
          <cell r="S211">
            <v>0</v>
          </cell>
          <cell r="T211">
            <v>0</v>
          </cell>
          <cell r="U211" t="str">
            <v/>
          </cell>
          <cell r="V211" t="str">
            <v>PRO10</v>
          </cell>
          <cell r="W211">
            <v>0</v>
          </cell>
        </row>
        <row r="212">
          <cell r="C212" t="str">
            <v>LDSUC215-48</v>
          </cell>
          <cell r="D212" t="str">
            <v>PRINC</v>
          </cell>
          <cell r="E212" t="str">
            <v>00009</v>
          </cell>
          <cell r="F212" t="str">
            <v>CHUMACERAS Y RODAMIENTOS</v>
          </cell>
          <cell r="G212" t="str">
            <v>PRINCIPAL</v>
          </cell>
          <cell r="H212">
            <v>46004</v>
          </cell>
          <cell r="I212" t="str">
            <v>SALDO INICIAL</v>
          </cell>
          <cell r="J212">
            <v>-2</v>
          </cell>
          <cell r="K212">
            <v>0</v>
          </cell>
          <cell r="L212">
            <v>0</v>
          </cell>
          <cell r="M212">
            <v>0</v>
          </cell>
          <cell r="N212" t="str">
            <v/>
          </cell>
          <cell r="O212" t="str">
            <v/>
          </cell>
          <cell r="P212" t="str">
            <v/>
          </cell>
          <cell r="Q212">
            <v>165.5</v>
          </cell>
          <cell r="R212" t="str">
            <v>UND</v>
          </cell>
          <cell r="S212">
            <v>0</v>
          </cell>
          <cell r="T212">
            <v>0</v>
          </cell>
          <cell r="U212" t="str">
            <v/>
          </cell>
          <cell r="V212" t="str">
            <v>PRO10</v>
          </cell>
          <cell r="W212">
            <v>0</v>
          </cell>
        </row>
        <row r="213">
          <cell r="C213" t="str">
            <v>LDTPF204</v>
          </cell>
          <cell r="D213" t="str">
            <v>PRINC</v>
          </cell>
          <cell r="E213" t="str">
            <v>00009</v>
          </cell>
          <cell r="F213" t="str">
            <v>CHUMACERAS Y RODAMIENTOS</v>
          </cell>
          <cell r="G213" t="str">
            <v>PRINCIPAL</v>
          </cell>
          <cell r="H213">
            <v>46004</v>
          </cell>
          <cell r="I213" t="str">
            <v>SALDO INICIAL</v>
          </cell>
          <cell r="J213">
            <v>20</v>
          </cell>
          <cell r="K213">
            <v>62</v>
          </cell>
          <cell r="L213">
            <v>3.1</v>
          </cell>
          <cell r="M213">
            <v>3.1</v>
          </cell>
          <cell r="N213" t="str">
            <v/>
          </cell>
          <cell r="O213" t="str">
            <v/>
          </cell>
          <cell r="P213" t="str">
            <v/>
          </cell>
          <cell r="Q213">
            <v>5.7</v>
          </cell>
          <cell r="R213" t="str">
            <v>UND</v>
          </cell>
          <cell r="S213">
            <v>0</v>
          </cell>
          <cell r="T213">
            <v>0</v>
          </cell>
          <cell r="U213" t="str">
            <v/>
          </cell>
          <cell r="V213" t="str">
            <v>PRO10</v>
          </cell>
          <cell r="W213">
            <v>0</v>
          </cell>
        </row>
        <row r="214">
          <cell r="C214" t="str">
            <v>LDTPF206</v>
          </cell>
          <cell r="D214" t="str">
            <v>PRINC</v>
          </cell>
          <cell r="E214" t="str">
            <v>00009</v>
          </cell>
          <cell r="F214" t="str">
            <v>CHUMACERAS Y RODAMIENTOS</v>
          </cell>
          <cell r="G214" t="str">
            <v>PRINCIPAL</v>
          </cell>
          <cell r="H214">
            <v>46004</v>
          </cell>
          <cell r="I214" t="str">
            <v>SALDO INICIAL</v>
          </cell>
          <cell r="J214">
            <v>77</v>
          </cell>
          <cell r="K214">
            <v>303.22824000000003</v>
          </cell>
          <cell r="L214">
            <v>3.7073830000000001</v>
          </cell>
          <cell r="M214">
            <v>3.9380290910000002</v>
          </cell>
          <cell r="N214" t="str">
            <v/>
          </cell>
          <cell r="O214" t="str">
            <v/>
          </cell>
          <cell r="P214" t="str">
            <v/>
          </cell>
          <cell r="Q214">
            <v>7.05</v>
          </cell>
          <cell r="R214" t="str">
            <v>UND</v>
          </cell>
          <cell r="S214">
            <v>0</v>
          </cell>
          <cell r="T214">
            <v>0</v>
          </cell>
          <cell r="U214" t="str">
            <v/>
          </cell>
          <cell r="V214" t="str">
            <v>PRO10</v>
          </cell>
          <cell r="W214">
            <v>0</v>
          </cell>
        </row>
        <row r="215">
          <cell r="C215" t="str">
            <v>LDTPFB207</v>
          </cell>
          <cell r="D215" t="str">
            <v>PRINC</v>
          </cell>
          <cell r="E215" t="str">
            <v>00009</v>
          </cell>
          <cell r="F215" t="str">
            <v>CHUMACERAS Y RODAMIENTOS</v>
          </cell>
          <cell r="G215" t="str">
            <v>PRINCIPAL</v>
          </cell>
          <cell r="H215">
            <v>46004</v>
          </cell>
          <cell r="I215" t="str">
            <v>SALDO INICIAL</v>
          </cell>
          <cell r="J215">
            <v>28</v>
          </cell>
          <cell r="K215">
            <v>125.44</v>
          </cell>
          <cell r="L215">
            <v>4.4800000000000004</v>
          </cell>
          <cell r="M215">
            <v>4.4800000000000004</v>
          </cell>
          <cell r="N215" t="str">
            <v/>
          </cell>
          <cell r="O215" t="str">
            <v/>
          </cell>
          <cell r="P215" t="str">
            <v/>
          </cell>
          <cell r="Q215">
            <v>7.6</v>
          </cell>
          <cell r="R215" t="str">
            <v>UND</v>
          </cell>
          <cell r="S215">
            <v>0</v>
          </cell>
          <cell r="T215">
            <v>0</v>
          </cell>
          <cell r="U215" t="str">
            <v/>
          </cell>
          <cell r="V215" t="str">
            <v>PRO10</v>
          </cell>
          <cell r="W215">
            <v>0</v>
          </cell>
        </row>
        <row r="216">
          <cell r="C216" t="str">
            <v>LDTPFB208</v>
          </cell>
          <cell r="D216" t="str">
            <v>PRINC</v>
          </cell>
          <cell r="E216" t="str">
            <v>00009</v>
          </cell>
          <cell r="F216" t="str">
            <v>CHUMACERAS Y RODAMIENTOS</v>
          </cell>
          <cell r="G216" t="str">
            <v>PRINCIPAL</v>
          </cell>
          <cell r="H216">
            <v>46004</v>
          </cell>
          <cell r="I216" t="str">
            <v>SALDO INICIAL</v>
          </cell>
          <cell r="J216">
            <v>11</v>
          </cell>
          <cell r="K216">
            <v>55.88</v>
          </cell>
          <cell r="L216">
            <v>5.08</v>
          </cell>
          <cell r="M216">
            <v>5.08</v>
          </cell>
          <cell r="N216" t="str">
            <v/>
          </cell>
          <cell r="O216" t="str">
            <v/>
          </cell>
          <cell r="P216" t="str">
            <v/>
          </cell>
          <cell r="Q216">
            <v>8.6999999999999993</v>
          </cell>
          <cell r="R216" t="str">
            <v>UND</v>
          </cell>
          <cell r="S216">
            <v>0</v>
          </cell>
          <cell r="T216">
            <v>0</v>
          </cell>
          <cell r="U216" t="str">
            <v/>
          </cell>
          <cell r="V216" t="str">
            <v>PRO10</v>
          </cell>
          <cell r="W216">
            <v>0</v>
          </cell>
        </row>
        <row r="217">
          <cell r="C217" t="str">
            <v>LDTPFL207</v>
          </cell>
          <cell r="D217" t="str">
            <v>PRINC</v>
          </cell>
          <cell r="E217" t="str">
            <v>00009</v>
          </cell>
          <cell r="F217" t="str">
            <v>CHUMACERAS Y RODAMIENTOS</v>
          </cell>
          <cell r="G217" t="str">
            <v>PRINCIPAL</v>
          </cell>
          <cell r="H217">
            <v>46004</v>
          </cell>
          <cell r="I217" t="str">
            <v>SALDO INICIAL</v>
          </cell>
          <cell r="J217">
            <v>3</v>
          </cell>
          <cell r="K217">
            <v>17.399999999999999</v>
          </cell>
          <cell r="L217">
            <v>5.8</v>
          </cell>
          <cell r="M217">
            <v>5.8</v>
          </cell>
          <cell r="N217" t="str">
            <v/>
          </cell>
          <cell r="O217" t="str">
            <v/>
          </cell>
          <cell r="P217" t="str">
            <v/>
          </cell>
          <cell r="Q217">
            <v>7.2</v>
          </cell>
          <cell r="R217" t="str">
            <v>UND</v>
          </cell>
          <cell r="S217">
            <v>0</v>
          </cell>
          <cell r="T217">
            <v>0</v>
          </cell>
          <cell r="U217" t="str">
            <v/>
          </cell>
          <cell r="V217" t="str">
            <v>PRO10</v>
          </cell>
          <cell r="W217">
            <v>0</v>
          </cell>
        </row>
        <row r="218">
          <cell r="C218" t="str">
            <v>LDTPFL208</v>
          </cell>
          <cell r="D218" t="str">
            <v>PRINC</v>
          </cell>
          <cell r="E218" t="str">
            <v>00009</v>
          </cell>
          <cell r="F218" t="str">
            <v>CHUMACERAS Y RODAMIENTOS</v>
          </cell>
          <cell r="G218" t="str">
            <v>PRINCIPAL</v>
          </cell>
          <cell r="H218">
            <v>46004</v>
          </cell>
          <cell r="I218" t="str">
            <v>SALDO INICIAL</v>
          </cell>
          <cell r="J218">
            <v>24</v>
          </cell>
          <cell r="K218">
            <v>104.64</v>
          </cell>
          <cell r="L218">
            <v>0</v>
          </cell>
          <cell r="M218">
            <v>4.3600000000000003</v>
          </cell>
          <cell r="N218" t="str">
            <v/>
          </cell>
          <cell r="O218" t="str">
            <v/>
          </cell>
          <cell r="P218" t="str">
            <v/>
          </cell>
          <cell r="Q218">
            <v>8.1</v>
          </cell>
          <cell r="R218" t="str">
            <v>UND</v>
          </cell>
          <cell r="S218">
            <v>0</v>
          </cell>
          <cell r="T218">
            <v>0</v>
          </cell>
          <cell r="U218" t="str">
            <v/>
          </cell>
          <cell r="V218" t="str">
            <v>PRO10</v>
          </cell>
          <cell r="W218">
            <v>0</v>
          </cell>
        </row>
        <row r="219">
          <cell r="C219" t="str">
            <v>LDTPFL210</v>
          </cell>
          <cell r="D219" t="str">
            <v>PRINC</v>
          </cell>
          <cell r="E219" t="str">
            <v>00009</v>
          </cell>
          <cell r="F219" t="str">
            <v>CHUMACERAS Y RODAMIENTOS</v>
          </cell>
          <cell r="G219" t="str">
            <v>PRINCIPAL</v>
          </cell>
          <cell r="H219">
            <v>46004</v>
          </cell>
          <cell r="I219" t="str">
            <v>SALDO INICIAL</v>
          </cell>
          <cell r="J219">
            <v>1</v>
          </cell>
          <cell r="K219">
            <v>5.93</v>
          </cell>
          <cell r="L219">
            <v>5.93</v>
          </cell>
          <cell r="M219">
            <v>5.93</v>
          </cell>
          <cell r="N219" t="str">
            <v/>
          </cell>
          <cell r="O219" t="str">
            <v/>
          </cell>
          <cell r="P219" t="str">
            <v/>
          </cell>
          <cell r="Q219">
            <v>10.199999999999999</v>
          </cell>
          <cell r="R219" t="str">
            <v>UND</v>
          </cell>
          <cell r="S219">
            <v>0</v>
          </cell>
          <cell r="T219">
            <v>0</v>
          </cell>
          <cell r="U219" t="str">
            <v/>
          </cell>
          <cell r="V219" t="str">
            <v>PRO10</v>
          </cell>
          <cell r="W219">
            <v>0</v>
          </cell>
        </row>
        <row r="220">
          <cell r="C220" t="str">
            <v>LDTPP204</v>
          </cell>
          <cell r="D220" t="str">
            <v>PRINC</v>
          </cell>
          <cell r="E220" t="str">
            <v>00009</v>
          </cell>
          <cell r="F220" t="str">
            <v>CHUMACERAS Y RODAMIENTOS</v>
          </cell>
          <cell r="G220" t="str">
            <v>PRINCIPAL</v>
          </cell>
          <cell r="H220">
            <v>46004</v>
          </cell>
          <cell r="I220" t="str">
            <v>SALDO INICIAL</v>
          </cell>
          <cell r="J220">
            <v>3</v>
          </cell>
          <cell r="K220">
            <v>0</v>
          </cell>
          <cell r="L220">
            <v>0</v>
          </cell>
          <cell r="M220">
            <v>0</v>
          </cell>
          <cell r="N220" t="str">
            <v/>
          </cell>
          <cell r="O220" t="str">
            <v/>
          </cell>
          <cell r="P220" t="str">
            <v/>
          </cell>
          <cell r="Q220">
            <v>3.6</v>
          </cell>
          <cell r="R220" t="str">
            <v>UND</v>
          </cell>
          <cell r="S220">
            <v>0</v>
          </cell>
          <cell r="T220">
            <v>0</v>
          </cell>
          <cell r="U220" t="str">
            <v/>
          </cell>
          <cell r="V220" t="str">
            <v>PRO10</v>
          </cell>
          <cell r="W220">
            <v>0</v>
          </cell>
        </row>
        <row r="221">
          <cell r="C221" t="str">
            <v>LDTPP206</v>
          </cell>
          <cell r="D221" t="str">
            <v>PRINC</v>
          </cell>
          <cell r="E221" t="str">
            <v>00009</v>
          </cell>
          <cell r="F221" t="str">
            <v>CHUMACERAS Y RODAMIENTOS</v>
          </cell>
          <cell r="G221" t="str">
            <v>PRINCIPAL</v>
          </cell>
          <cell r="H221">
            <v>46004</v>
          </cell>
          <cell r="I221" t="str">
            <v>SALDO INICIAL</v>
          </cell>
          <cell r="J221">
            <v>13</v>
          </cell>
          <cell r="K221">
            <v>39</v>
          </cell>
          <cell r="L221">
            <v>3</v>
          </cell>
          <cell r="M221">
            <v>3</v>
          </cell>
          <cell r="N221" t="str">
            <v/>
          </cell>
          <cell r="O221" t="str">
            <v/>
          </cell>
          <cell r="P221" t="str">
            <v/>
          </cell>
          <cell r="Q221">
            <v>7.1</v>
          </cell>
          <cell r="R221" t="str">
            <v>UND</v>
          </cell>
          <cell r="S221">
            <v>0</v>
          </cell>
          <cell r="T221">
            <v>0</v>
          </cell>
          <cell r="U221" t="str">
            <v/>
          </cell>
          <cell r="V221" t="str">
            <v>PRO10</v>
          </cell>
          <cell r="W221">
            <v>0</v>
          </cell>
        </row>
        <row r="222">
          <cell r="C222" t="str">
            <v>LDTPP207</v>
          </cell>
          <cell r="D222" t="str">
            <v>PRINC</v>
          </cell>
          <cell r="E222" t="str">
            <v>00009</v>
          </cell>
          <cell r="F222" t="str">
            <v>CHUMACERAS Y RODAMIENTOS</v>
          </cell>
          <cell r="G222" t="str">
            <v>PRINCIPAL</v>
          </cell>
          <cell r="H222">
            <v>46004</v>
          </cell>
          <cell r="I222" t="str">
            <v>SALDO INICIAL</v>
          </cell>
          <cell r="J222">
            <v>16</v>
          </cell>
          <cell r="K222">
            <v>102.490966</v>
          </cell>
          <cell r="L222">
            <v>6.4056850000000001</v>
          </cell>
          <cell r="M222">
            <v>6.405685375</v>
          </cell>
          <cell r="N222" t="str">
            <v/>
          </cell>
          <cell r="O222" t="str">
            <v/>
          </cell>
          <cell r="P222" t="str">
            <v/>
          </cell>
          <cell r="Q222">
            <v>7.9</v>
          </cell>
          <cell r="R222" t="str">
            <v>UND</v>
          </cell>
          <cell r="S222">
            <v>0</v>
          </cell>
          <cell r="T222">
            <v>0</v>
          </cell>
          <cell r="U222" t="str">
            <v/>
          </cell>
          <cell r="V222" t="str">
            <v>PRO10</v>
          </cell>
          <cell r="W222">
            <v>0</v>
          </cell>
        </row>
        <row r="223">
          <cell r="C223" t="str">
            <v>LDTPP208</v>
          </cell>
          <cell r="D223" t="str">
            <v>PRINC</v>
          </cell>
          <cell r="E223" t="str">
            <v>00009</v>
          </cell>
          <cell r="F223" t="str">
            <v>CHUMACERAS Y RODAMIENTOS</v>
          </cell>
          <cell r="G223" t="str">
            <v>PRINCIPAL</v>
          </cell>
          <cell r="H223">
            <v>46004</v>
          </cell>
          <cell r="I223" t="str">
            <v>SALDO INICIAL</v>
          </cell>
          <cell r="J223">
            <v>5</v>
          </cell>
          <cell r="K223">
            <v>27.029167999999999</v>
          </cell>
          <cell r="L223">
            <v>5.4058339999999996</v>
          </cell>
          <cell r="M223">
            <v>5.4058336000000002</v>
          </cell>
          <cell r="N223" t="str">
            <v/>
          </cell>
          <cell r="O223" t="str">
            <v/>
          </cell>
          <cell r="P223" t="str">
            <v/>
          </cell>
          <cell r="Q223">
            <v>10</v>
          </cell>
          <cell r="R223" t="str">
            <v>UND</v>
          </cell>
          <cell r="S223">
            <v>0</v>
          </cell>
          <cell r="T223">
            <v>0</v>
          </cell>
          <cell r="U223" t="str">
            <v/>
          </cell>
          <cell r="V223" t="str">
            <v>PRO10</v>
          </cell>
          <cell r="W223">
            <v>0</v>
          </cell>
        </row>
        <row r="224">
          <cell r="C224" t="str">
            <v>LDTPP209</v>
          </cell>
          <cell r="D224" t="str">
            <v>PRINC</v>
          </cell>
          <cell r="E224" t="str">
            <v>00009</v>
          </cell>
          <cell r="F224" t="str">
            <v>CHUMACERAS Y RODAMIENTOS</v>
          </cell>
          <cell r="G224" t="str">
            <v>PRINCIPAL</v>
          </cell>
          <cell r="H224">
            <v>46004</v>
          </cell>
          <cell r="I224" t="str">
            <v>SALDO INICIAL</v>
          </cell>
          <cell r="J224">
            <v>4</v>
          </cell>
          <cell r="K224">
            <v>24.44</v>
          </cell>
          <cell r="L224">
            <v>0</v>
          </cell>
          <cell r="M224">
            <v>6.11</v>
          </cell>
          <cell r="N224" t="str">
            <v/>
          </cell>
          <cell r="O224" t="str">
            <v/>
          </cell>
          <cell r="P224" t="str">
            <v/>
          </cell>
          <cell r="Q224">
            <v>10.4</v>
          </cell>
          <cell r="R224" t="str">
            <v>UND</v>
          </cell>
          <cell r="S224">
            <v>0</v>
          </cell>
          <cell r="T224">
            <v>0</v>
          </cell>
          <cell r="U224" t="str">
            <v/>
          </cell>
          <cell r="V224" t="str">
            <v>PRO10</v>
          </cell>
          <cell r="W224">
            <v>0</v>
          </cell>
        </row>
        <row r="225">
          <cell r="C225" t="str">
            <v>LDTPP210</v>
          </cell>
          <cell r="D225" t="str">
            <v>PRINC</v>
          </cell>
          <cell r="E225" t="str">
            <v>00009</v>
          </cell>
          <cell r="F225" t="str">
            <v>CHUMACERAS Y RODAMIENTOS</v>
          </cell>
          <cell r="G225" t="str">
            <v>PRINCIPAL</v>
          </cell>
          <cell r="H225">
            <v>46004</v>
          </cell>
          <cell r="I225" t="str">
            <v>SALDO INICIAL</v>
          </cell>
          <cell r="J225">
            <v>8</v>
          </cell>
          <cell r="K225">
            <v>54.24</v>
          </cell>
          <cell r="L225">
            <v>0</v>
          </cell>
          <cell r="M225">
            <v>6.78</v>
          </cell>
          <cell r="N225" t="str">
            <v/>
          </cell>
          <cell r="O225" t="str">
            <v/>
          </cell>
          <cell r="P225" t="str">
            <v/>
          </cell>
          <cell r="Q225">
            <v>11.6</v>
          </cell>
          <cell r="R225" t="str">
            <v>UND</v>
          </cell>
          <cell r="S225">
            <v>0</v>
          </cell>
          <cell r="T225">
            <v>0</v>
          </cell>
          <cell r="U225" t="str">
            <v/>
          </cell>
          <cell r="V225" t="str">
            <v>PRO10</v>
          </cell>
          <cell r="W225">
            <v>0</v>
          </cell>
        </row>
        <row r="226">
          <cell r="C226" t="str">
            <v>LDTPP211</v>
          </cell>
          <cell r="D226" t="str">
            <v>PRINC</v>
          </cell>
          <cell r="E226" t="str">
            <v>00009</v>
          </cell>
          <cell r="F226" t="str">
            <v>CHUMACERAS Y RODAMIENTOS</v>
          </cell>
          <cell r="G226" t="str">
            <v>PRINCIPAL</v>
          </cell>
          <cell r="H226">
            <v>46004</v>
          </cell>
          <cell r="I226" t="str">
            <v>SALDO INICIAL</v>
          </cell>
          <cell r="J226">
            <v>3</v>
          </cell>
          <cell r="K226">
            <v>26.4</v>
          </cell>
          <cell r="L226">
            <v>0</v>
          </cell>
          <cell r="M226">
            <v>8.8000000000000007</v>
          </cell>
          <cell r="N226" t="str">
            <v/>
          </cell>
          <cell r="O226" t="str">
            <v/>
          </cell>
          <cell r="P226" t="str">
            <v/>
          </cell>
          <cell r="Q226">
            <v>11</v>
          </cell>
          <cell r="R226" t="str">
            <v>UND</v>
          </cell>
          <cell r="S226">
            <v>0</v>
          </cell>
          <cell r="T226">
            <v>0</v>
          </cell>
          <cell r="U226" t="str">
            <v/>
          </cell>
          <cell r="V226" t="str">
            <v>PRO10</v>
          </cell>
          <cell r="W226">
            <v>0</v>
          </cell>
        </row>
        <row r="227">
          <cell r="C227" t="str">
            <v>LDTPPA205</v>
          </cell>
          <cell r="D227" t="str">
            <v>PRINC</v>
          </cell>
          <cell r="E227" t="str">
            <v>00009</v>
          </cell>
          <cell r="F227" t="str">
            <v>CHUMACERAS Y RODAMIENTOS</v>
          </cell>
          <cell r="G227" t="str">
            <v>PRINCIPAL</v>
          </cell>
          <cell r="H227">
            <v>46004</v>
          </cell>
          <cell r="I227" t="str">
            <v>SALDO INICIAL</v>
          </cell>
          <cell r="J227">
            <v>12</v>
          </cell>
          <cell r="K227">
            <v>47.28</v>
          </cell>
          <cell r="L227">
            <v>0</v>
          </cell>
          <cell r="M227">
            <v>3.94</v>
          </cell>
          <cell r="N227" t="str">
            <v/>
          </cell>
          <cell r="O227" t="str">
            <v/>
          </cell>
          <cell r="P227" t="str">
            <v/>
          </cell>
          <cell r="Q227">
            <v>6.7</v>
          </cell>
          <cell r="R227" t="str">
            <v>UND</v>
          </cell>
          <cell r="S227">
            <v>0</v>
          </cell>
          <cell r="T227">
            <v>0</v>
          </cell>
          <cell r="U227" t="str">
            <v/>
          </cell>
          <cell r="V227" t="str">
            <v>PRO10</v>
          </cell>
          <cell r="W227">
            <v>0</v>
          </cell>
        </row>
        <row r="228">
          <cell r="C228" t="str">
            <v>LDTPSSBLF201-8</v>
          </cell>
          <cell r="D228" t="str">
            <v>PRINC</v>
          </cell>
          <cell r="E228" t="str">
            <v>00009</v>
          </cell>
          <cell r="F228" t="str">
            <v>CHUMACERAS Y RODAMIENTOS</v>
          </cell>
          <cell r="G228" t="str">
            <v>PRINCIPAL</v>
          </cell>
          <cell r="H228">
            <v>46004</v>
          </cell>
          <cell r="I228" t="str">
            <v>SALDO INICIAL</v>
          </cell>
          <cell r="J228">
            <v>-4</v>
          </cell>
          <cell r="K228">
            <v>0</v>
          </cell>
          <cell r="L228">
            <v>0</v>
          </cell>
          <cell r="M228">
            <v>0</v>
          </cell>
          <cell r="N228" t="str">
            <v/>
          </cell>
          <cell r="O228" t="str">
            <v/>
          </cell>
          <cell r="P228" t="str">
            <v/>
          </cell>
          <cell r="Q228">
            <v>13.05</v>
          </cell>
          <cell r="R228" t="str">
            <v>UND</v>
          </cell>
          <cell r="S228">
            <v>0</v>
          </cell>
          <cell r="T228">
            <v>0</v>
          </cell>
          <cell r="U228" t="str">
            <v/>
          </cell>
          <cell r="V228" t="str">
            <v>PRO10</v>
          </cell>
          <cell r="W228">
            <v>0</v>
          </cell>
        </row>
        <row r="229">
          <cell r="C229" t="str">
            <v>LDTPSUCF201-8</v>
          </cell>
          <cell r="D229" t="str">
            <v>PRINC</v>
          </cell>
          <cell r="E229" t="str">
            <v>00009</v>
          </cell>
          <cell r="F229" t="str">
            <v>CHUMACERAS Y RODAMIENTOS</v>
          </cell>
          <cell r="G229" t="str">
            <v>PRINCIPAL</v>
          </cell>
          <cell r="H229">
            <v>46004</v>
          </cell>
          <cell r="I229" t="str">
            <v>SALDO INICIAL</v>
          </cell>
          <cell r="J229">
            <v>-1</v>
          </cell>
          <cell r="K229">
            <v>0</v>
          </cell>
          <cell r="L229">
            <v>0</v>
          </cell>
          <cell r="M229">
            <v>0</v>
          </cell>
          <cell r="N229" t="str">
            <v/>
          </cell>
          <cell r="O229" t="str">
            <v/>
          </cell>
          <cell r="P229" t="str">
            <v/>
          </cell>
          <cell r="Q229">
            <v>0</v>
          </cell>
          <cell r="R229" t="str">
            <v>UND</v>
          </cell>
          <cell r="S229">
            <v>0</v>
          </cell>
          <cell r="T229">
            <v>0</v>
          </cell>
          <cell r="U229" t="str">
            <v/>
          </cell>
          <cell r="V229" t="str">
            <v>PRO10</v>
          </cell>
          <cell r="W229">
            <v>0</v>
          </cell>
        </row>
        <row r="230">
          <cell r="C230" t="str">
            <v>LDTPSUCF202-10</v>
          </cell>
          <cell r="D230" t="str">
            <v>PRINC</v>
          </cell>
          <cell r="E230" t="str">
            <v>00009</v>
          </cell>
          <cell r="F230" t="str">
            <v>CHUMACERAS Y RODAMIENTOS</v>
          </cell>
          <cell r="G230" t="str">
            <v>PRINCIPAL</v>
          </cell>
          <cell r="H230">
            <v>46004</v>
          </cell>
          <cell r="I230" t="str">
            <v>SALDO INICIAL</v>
          </cell>
          <cell r="J230">
            <v>5</v>
          </cell>
          <cell r="K230">
            <v>50.6</v>
          </cell>
          <cell r="L230">
            <v>0</v>
          </cell>
          <cell r="M230">
            <v>10.119999999999999</v>
          </cell>
          <cell r="N230" t="str">
            <v/>
          </cell>
          <cell r="O230" t="str">
            <v/>
          </cell>
          <cell r="P230" t="str">
            <v/>
          </cell>
          <cell r="Q230">
            <v>0</v>
          </cell>
          <cell r="R230" t="str">
            <v>UND</v>
          </cell>
          <cell r="S230">
            <v>0</v>
          </cell>
          <cell r="T230">
            <v>0</v>
          </cell>
          <cell r="U230" t="str">
            <v/>
          </cell>
          <cell r="V230" t="str">
            <v>PRO10</v>
          </cell>
          <cell r="W230">
            <v>0</v>
          </cell>
        </row>
        <row r="231">
          <cell r="C231" t="str">
            <v>LDTPSUCF203</v>
          </cell>
          <cell r="D231" t="str">
            <v>PRINC</v>
          </cell>
          <cell r="E231" t="str">
            <v>00009</v>
          </cell>
          <cell r="F231" t="str">
            <v>CHUMACERAS Y RODAMIENTOS</v>
          </cell>
          <cell r="G231" t="str">
            <v>PRINCIPAL</v>
          </cell>
          <cell r="H231">
            <v>46004</v>
          </cell>
          <cell r="I231" t="str">
            <v>SALDO INICIAL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 t="str">
            <v/>
          </cell>
          <cell r="O231" t="str">
            <v/>
          </cell>
          <cell r="P231" t="str">
            <v/>
          </cell>
          <cell r="Q231">
            <v>0</v>
          </cell>
          <cell r="R231" t="str">
            <v>UND</v>
          </cell>
          <cell r="S231">
            <v>0</v>
          </cell>
          <cell r="T231">
            <v>0</v>
          </cell>
          <cell r="U231" t="str">
            <v/>
          </cell>
          <cell r="V231" t="str">
            <v>PRO10</v>
          </cell>
          <cell r="W231">
            <v>0</v>
          </cell>
        </row>
        <row r="232">
          <cell r="C232" t="str">
            <v>LDTPSUCF204</v>
          </cell>
          <cell r="D232" t="str">
            <v>PRINC</v>
          </cell>
          <cell r="E232" t="str">
            <v>00009</v>
          </cell>
          <cell r="F232" t="str">
            <v>CHUMACERAS Y RODAMIENTOS</v>
          </cell>
          <cell r="G232" t="str">
            <v>PRINCIPAL</v>
          </cell>
          <cell r="H232">
            <v>46004</v>
          </cell>
          <cell r="I232" t="str">
            <v>SALDO INICIAL</v>
          </cell>
          <cell r="J232">
            <v>5</v>
          </cell>
          <cell r="K232">
            <v>54.277776000000003</v>
          </cell>
          <cell r="L232">
            <v>10.855555000000001</v>
          </cell>
          <cell r="M232">
            <v>10.8555552</v>
          </cell>
          <cell r="N232" t="str">
            <v/>
          </cell>
          <cell r="O232" t="str">
            <v/>
          </cell>
          <cell r="P232" t="str">
            <v/>
          </cell>
          <cell r="Q232">
            <v>15.2</v>
          </cell>
          <cell r="R232" t="str">
            <v>UND</v>
          </cell>
          <cell r="S232">
            <v>0</v>
          </cell>
          <cell r="T232">
            <v>0</v>
          </cell>
          <cell r="U232" t="str">
            <v/>
          </cell>
          <cell r="V232" t="str">
            <v>PRO10</v>
          </cell>
          <cell r="W232">
            <v>0</v>
          </cell>
        </row>
        <row r="233">
          <cell r="C233" t="str">
            <v>LDTPSUCF205</v>
          </cell>
          <cell r="D233" t="str">
            <v>PRINC</v>
          </cell>
          <cell r="E233" t="str">
            <v>00009</v>
          </cell>
          <cell r="F233" t="str">
            <v>CHUMACERAS Y RODAMIENTOS</v>
          </cell>
          <cell r="G233" t="str">
            <v>PRINCIPAL</v>
          </cell>
          <cell r="H233">
            <v>46004</v>
          </cell>
          <cell r="I233" t="str">
            <v>SALDO INICIAL</v>
          </cell>
          <cell r="J233">
            <v>-6</v>
          </cell>
          <cell r="K233">
            <v>0</v>
          </cell>
          <cell r="L233">
            <v>0</v>
          </cell>
          <cell r="M233">
            <v>0</v>
          </cell>
          <cell r="N233" t="str">
            <v/>
          </cell>
          <cell r="O233" t="str">
            <v/>
          </cell>
          <cell r="P233" t="str">
            <v/>
          </cell>
          <cell r="Q233">
            <v>16.8</v>
          </cell>
          <cell r="R233" t="str">
            <v>UND</v>
          </cell>
          <cell r="S233">
            <v>0</v>
          </cell>
          <cell r="T233">
            <v>0</v>
          </cell>
          <cell r="U233" t="str">
            <v/>
          </cell>
          <cell r="V233" t="str">
            <v>PRO10</v>
          </cell>
          <cell r="W233">
            <v>0</v>
          </cell>
        </row>
        <row r="234">
          <cell r="C234" t="str">
            <v>LDTPSUCF205-16</v>
          </cell>
          <cell r="D234" t="str">
            <v>PRINC</v>
          </cell>
          <cell r="E234" t="str">
            <v>00009</v>
          </cell>
          <cell r="F234" t="str">
            <v>CHUMACERAS Y RODAMIENTOS</v>
          </cell>
          <cell r="G234" t="str">
            <v>PRINCIPAL</v>
          </cell>
          <cell r="H234">
            <v>46004</v>
          </cell>
          <cell r="I234" t="str">
            <v>SALDO INICIAL</v>
          </cell>
          <cell r="J234">
            <v>-16</v>
          </cell>
          <cell r="K234">
            <v>0</v>
          </cell>
          <cell r="L234">
            <v>0</v>
          </cell>
          <cell r="M234">
            <v>0</v>
          </cell>
          <cell r="N234" t="str">
            <v/>
          </cell>
          <cell r="O234" t="str">
            <v/>
          </cell>
          <cell r="P234" t="str">
            <v/>
          </cell>
          <cell r="Q234">
            <v>16.8</v>
          </cell>
          <cell r="R234" t="str">
            <v>UND</v>
          </cell>
          <cell r="S234">
            <v>0</v>
          </cell>
          <cell r="T234">
            <v>0</v>
          </cell>
          <cell r="U234" t="str">
            <v/>
          </cell>
          <cell r="V234" t="str">
            <v>PRO10</v>
          </cell>
          <cell r="W234">
            <v>0</v>
          </cell>
        </row>
        <row r="235">
          <cell r="C235" t="str">
            <v>LDTPSUCF206</v>
          </cell>
          <cell r="D235" t="str">
            <v>PRINC</v>
          </cell>
          <cell r="E235" t="str">
            <v>00009</v>
          </cell>
          <cell r="F235" t="str">
            <v>CHUMACERAS Y RODAMIENTOS</v>
          </cell>
          <cell r="G235" t="str">
            <v>PRINCIPAL</v>
          </cell>
          <cell r="H235">
            <v>46004</v>
          </cell>
          <cell r="I235" t="str">
            <v>SALDO INICIAL</v>
          </cell>
          <cell r="J235">
            <v>-4</v>
          </cell>
          <cell r="K235">
            <v>0</v>
          </cell>
          <cell r="L235">
            <v>0</v>
          </cell>
          <cell r="M235">
            <v>0</v>
          </cell>
          <cell r="N235" t="str">
            <v/>
          </cell>
          <cell r="O235" t="str">
            <v/>
          </cell>
          <cell r="P235" t="str">
            <v/>
          </cell>
          <cell r="Q235">
            <v>22.8</v>
          </cell>
          <cell r="R235" t="str">
            <v>UND</v>
          </cell>
          <cell r="S235">
            <v>0</v>
          </cell>
          <cell r="T235">
            <v>0</v>
          </cell>
          <cell r="U235" t="str">
            <v/>
          </cell>
          <cell r="V235" t="str">
            <v>PRO10</v>
          </cell>
          <cell r="W235">
            <v>0</v>
          </cell>
        </row>
        <row r="236">
          <cell r="C236" t="str">
            <v>LDTPSUCF206-20</v>
          </cell>
          <cell r="D236" t="str">
            <v>PRINC</v>
          </cell>
          <cell r="E236" t="str">
            <v>00009</v>
          </cell>
          <cell r="F236" t="str">
            <v>CHUMACERAS Y RODAMIENTOS</v>
          </cell>
          <cell r="G236" t="str">
            <v>PRINCIPAL</v>
          </cell>
          <cell r="H236">
            <v>46004</v>
          </cell>
          <cell r="I236" t="str">
            <v>SALDO INICIAL</v>
          </cell>
          <cell r="J236">
            <v>11</v>
          </cell>
          <cell r="K236">
            <v>235.29</v>
          </cell>
          <cell r="L236">
            <v>21.39</v>
          </cell>
          <cell r="M236">
            <v>21.39</v>
          </cell>
          <cell r="N236" t="str">
            <v/>
          </cell>
          <cell r="O236" t="str">
            <v/>
          </cell>
          <cell r="P236" t="str">
            <v/>
          </cell>
          <cell r="Q236">
            <v>22.8</v>
          </cell>
          <cell r="R236" t="str">
            <v>UND</v>
          </cell>
          <cell r="S236">
            <v>0</v>
          </cell>
          <cell r="T236">
            <v>0</v>
          </cell>
          <cell r="U236" t="str">
            <v/>
          </cell>
          <cell r="V236" t="str">
            <v>PRO10</v>
          </cell>
          <cell r="W236">
            <v>0</v>
          </cell>
        </row>
        <row r="237">
          <cell r="C237" t="str">
            <v>LDTPSUCF207-20</v>
          </cell>
          <cell r="D237" t="str">
            <v>PRINC</v>
          </cell>
          <cell r="E237" t="str">
            <v>00009</v>
          </cell>
          <cell r="F237" t="str">
            <v>CHUMACERAS Y RODAMIENTOS</v>
          </cell>
          <cell r="G237" t="str">
            <v>PRINCIPAL</v>
          </cell>
          <cell r="H237">
            <v>46004</v>
          </cell>
          <cell r="I237" t="str">
            <v>SALDO INICIAL</v>
          </cell>
          <cell r="J237">
            <v>-6</v>
          </cell>
          <cell r="K237">
            <v>0</v>
          </cell>
          <cell r="L237">
            <v>0</v>
          </cell>
          <cell r="M237">
            <v>0</v>
          </cell>
          <cell r="N237" t="str">
            <v/>
          </cell>
          <cell r="O237" t="str">
            <v/>
          </cell>
          <cell r="P237" t="str">
            <v/>
          </cell>
          <cell r="Q237">
            <v>27.6</v>
          </cell>
          <cell r="R237" t="str">
            <v>UND</v>
          </cell>
          <cell r="S237">
            <v>0</v>
          </cell>
          <cell r="T237">
            <v>0</v>
          </cell>
          <cell r="U237" t="str">
            <v/>
          </cell>
          <cell r="V237" t="str">
            <v>PRO10</v>
          </cell>
          <cell r="W237">
            <v>0</v>
          </cell>
        </row>
        <row r="238">
          <cell r="C238" t="str">
            <v>LDTPSUCF207-22</v>
          </cell>
          <cell r="D238" t="str">
            <v>PRINC</v>
          </cell>
          <cell r="E238" t="str">
            <v>00009</v>
          </cell>
          <cell r="F238" t="str">
            <v>CHUMACERAS Y RODAMIENTOS</v>
          </cell>
          <cell r="G238" t="str">
            <v>PRINCIPAL</v>
          </cell>
          <cell r="H238">
            <v>46004</v>
          </cell>
          <cell r="I238" t="str">
            <v>SALDO INICIAL</v>
          </cell>
          <cell r="J238">
            <v>2</v>
          </cell>
          <cell r="K238">
            <v>39.340000000000003</v>
          </cell>
          <cell r="L238">
            <v>21.7</v>
          </cell>
          <cell r="M238">
            <v>19.670000000000002</v>
          </cell>
          <cell r="N238" t="str">
            <v/>
          </cell>
          <cell r="O238" t="str">
            <v/>
          </cell>
          <cell r="P238" t="str">
            <v/>
          </cell>
          <cell r="Q238">
            <v>27.6</v>
          </cell>
          <cell r="R238" t="str">
            <v>UND</v>
          </cell>
          <cell r="S238">
            <v>0</v>
          </cell>
          <cell r="T238">
            <v>0</v>
          </cell>
          <cell r="U238" t="str">
            <v/>
          </cell>
          <cell r="V238" t="str">
            <v>PRO10</v>
          </cell>
          <cell r="W238">
            <v>0</v>
          </cell>
        </row>
        <row r="239">
          <cell r="C239" t="str">
            <v>LDTPSUCF208</v>
          </cell>
          <cell r="D239" t="str">
            <v>PRINC</v>
          </cell>
          <cell r="E239" t="str">
            <v>00009</v>
          </cell>
          <cell r="F239" t="str">
            <v>CHUMACERAS Y RODAMIENTOS</v>
          </cell>
          <cell r="G239" t="str">
            <v>PRINCIPAL</v>
          </cell>
          <cell r="H239">
            <v>46004</v>
          </cell>
          <cell r="I239" t="str">
            <v>SALDO INICIAL</v>
          </cell>
          <cell r="J239">
            <v>-3</v>
          </cell>
          <cell r="K239">
            <v>0</v>
          </cell>
          <cell r="L239">
            <v>0</v>
          </cell>
          <cell r="M239">
            <v>0</v>
          </cell>
          <cell r="N239" t="str">
            <v/>
          </cell>
          <cell r="O239" t="str">
            <v/>
          </cell>
          <cell r="P239" t="str">
            <v/>
          </cell>
          <cell r="Q239">
            <v>30.7</v>
          </cell>
          <cell r="R239" t="str">
            <v>UND</v>
          </cell>
          <cell r="S239">
            <v>0</v>
          </cell>
          <cell r="T239">
            <v>0</v>
          </cell>
          <cell r="U239" t="str">
            <v/>
          </cell>
          <cell r="V239" t="str">
            <v>PRO10</v>
          </cell>
          <cell r="W239">
            <v>0</v>
          </cell>
        </row>
        <row r="240">
          <cell r="C240" t="str">
            <v>LDTPSUCFB205-16</v>
          </cell>
          <cell r="D240" t="str">
            <v>PRINC</v>
          </cell>
          <cell r="E240" t="str">
            <v>00009</v>
          </cell>
          <cell r="F240" t="str">
            <v>CHUMACERAS Y RODAMIENTOS</v>
          </cell>
          <cell r="G240" t="str">
            <v>PRINCIPAL</v>
          </cell>
          <cell r="H240">
            <v>46004</v>
          </cell>
          <cell r="I240" t="str">
            <v>SALDO INICIAL</v>
          </cell>
          <cell r="J240">
            <v>2</v>
          </cell>
          <cell r="K240">
            <v>21.06</v>
          </cell>
          <cell r="L240">
            <v>11.325246</v>
          </cell>
          <cell r="M240">
            <v>10.53</v>
          </cell>
          <cell r="N240" t="str">
            <v/>
          </cell>
          <cell r="O240" t="str">
            <v/>
          </cell>
          <cell r="P240" t="str">
            <v/>
          </cell>
          <cell r="Q240">
            <v>15.1</v>
          </cell>
          <cell r="R240" t="str">
            <v>UND</v>
          </cell>
          <cell r="S240">
            <v>0</v>
          </cell>
          <cell r="T240">
            <v>0</v>
          </cell>
          <cell r="U240" t="str">
            <v/>
          </cell>
          <cell r="V240" t="str">
            <v>PRO10</v>
          </cell>
          <cell r="W240">
            <v>0</v>
          </cell>
        </row>
        <row r="241">
          <cell r="C241" t="str">
            <v>LDTPSUCFB206-19</v>
          </cell>
          <cell r="D241" t="str">
            <v>PRINC</v>
          </cell>
          <cell r="E241" t="str">
            <v>00009</v>
          </cell>
          <cell r="F241" t="str">
            <v>CHUMACERAS Y RODAMIENTOS</v>
          </cell>
          <cell r="G241" t="str">
            <v>PRINCIPAL</v>
          </cell>
          <cell r="H241">
            <v>46004</v>
          </cell>
          <cell r="I241" t="str">
            <v>SALDO INICIAL</v>
          </cell>
          <cell r="J241">
            <v>2</v>
          </cell>
          <cell r="K241">
            <v>23.34</v>
          </cell>
          <cell r="L241">
            <v>0</v>
          </cell>
          <cell r="M241">
            <v>11.67</v>
          </cell>
          <cell r="N241" t="str">
            <v/>
          </cell>
          <cell r="O241" t="str">
            <v/>
          </cell>
          <cell r="P241" t="str">
            <v/>
          </cell>
          <cell r="Q241">
            <v>21.7</v>
          </cell>
          <cell r="R241" t="str">
            <v>UND</v>
          </cell>
          <cell r="S241">
            <v>0</v>
          </cell>
          <cell r="T241">
            <v>0</v>
          </cell>
          <cell r="U241" t="str">
            <v/>
          </cell>
          <cell r="V241" t="str">
            <v>PRO10</v>
          </cell>
          <cell r="W241">
            <v>0</v>
          </cell>
        </row>
        <row r="242">
          <cell r="C242" t="str">
            <v>LDTPSUCFL201-8</v>
          </cell>
          <cell r="D242" t="str">
            <v>PRINC</v>
          </cell>
          <cell r="E242" t="str">
            <v>00009</v>
          </cell>
          <cell r="F242" t="str">
            <v>CHUMACERAS Y RODAMIENTOS</v>
          </cell>
          <cell r="G242" t="str">
            <v>PRINCIPAL</v>
          </cell>
          <cell r="H242">
            <v>46004</v>
          </cell>
          <cell r="I242" t="str">
            <v>SALDO INICIAL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 t="str">
            <v/>
          </cell>
          <cell r="O242" t="str">
            <v/>
          </cell>
          <cell r="P242" t="str">
            <v/>
          </cell>
          <cell r="Q242">
            <v>12.9</v>
          </cell>
          <cell r="R242" t="str">
            <v>UND</v>
          </cell>
          <cell r="S242">
            <v>0</v>
          </cell>
          <cell r="T242">
            <v>0</v>
          </cell>
          <cell r="U242" t="str">
            <v/>
          </cell>
          <cell r="V242" t="str">
            <v>PRO10</v>
          </cell>
          <cell r="W242">
            <v>0</v>
          </cell>
        </row>
        <row r="243">
          <cell r="C243" t="str">
            <v>LDTPSUCFL203</v>
          </cell>
          <cell r="D243" t="str">
            <v>PRINC</v>
          </cell>
          <cell r="E243" t="str">
            <v>00009</v>
          </cell>
          <cell r="F243" t="str">
            <v>CHUMACERAS Y RODAMIENTOS</v>
          </cell>
          <cell r="G243" t="str">
            <v>PRINCIPAL</v>
          </cell>
          <cell r="H243">
            <v>46004</v>
          </cell>
          <cell r="I243" t="str">
            <v>SALDO INICIAL</v>
          </cell>
          <cell r="J243">
            <v>-4</v>
          </cell>
          <cell r="K243">
            <v>0</v>
          </cell>
          <cell r="L243">
            <v>0</v>
          </cell>
          <cell r="M243">
            <v>0</v>
          </cell>
          <cell r="N243" t="str">
            <v/>
          </cell>
          <cell r="O243" t="str">
            <v/>
          </cell>
          <cell r="P243" t="str">
            <v/>
          </cell>
          <cell r="Q243">
            <v>11.6</v>
          </cell>
          <cell r="R243" t="str">
            <v>UND</v>
          </cell>
          <cell r="S243">
            <v>0</v>
          </cell>
          <cell r="T243">
            <v>0</v>
          </cell>
          <cell r="U243" t="str">
            <v/>
          </cell>
          <cell r="V243" t="str">
            <v>PRO10</v>
          </cell>
          <cell r="W243">
            <v>0</v>
          </cell>
        </row>
        <row r="244">
          <cell r="C244" t="str">
            <v>LDTPSUCFL205-16</v>
          </cell>
          <cell r="D244" t="str">
            <v>PRINC</v>
          </cell>
          <cell r="E244" t="str">
            <v>00009</v>
          </cell>
          <cell r="F244" t="str">
            <v>CHUMACERAS Y RODAMIENTOS</v>
          </cell>
          <cell r="G244" t="str">
            <v>PRINCIPAL</v>
          </cell>
          <cell r="H244">
            <v>46004</v>
          </cell>
          <cell r="I244" t="str">
            <v>SALDO INICIAL</v>
          </cell>
          <cell r="J244">
            <v>-4</v>
          </cell>
          <cell r="K244">
            <v>0</v>
          </cell>
          <cell r="L244">
            <v>0</v>
          </cell>
          <cell r="M244">
            <v>0</v>
          </cell>
          <cell r="N244" t="str">
            <v/>
          </cell>
          <cell r="O244" t="str">
            <v/>
          </cell>
          <cell r="P244" t="str">
            <v/>
          </cell>
          <cell r="Q244">
            <v>14.4</v>
          </cell>
          <cell r="R244" t="str">
            <v>UND</v>
          </cell>
          <cell r="S244">
            <v>0</v>
          </cell>
          <cell r="T244">
            <v>0</v>
          </cell>
          <cell r="U244" t="str">
            <v/>
          </cell>
          <cell r="V244" t="str">
            <v>PRO10</v>
          </cell>
          <cell r="W244">
            <v>0</v>
          </cell>
        </row>
        <row r="245">
          <cell r="C245" t="str">
            <v>LDTPSUCFL206-19</v>
          </cell>
          <cell r="D245" t="str">
            <v>PRINC</v>
          </cell>
          <cell r="E245" t="str">
            <v>00009</v>
          </cell>
          <cell r="F245" t="str">
            <v>CHUMACERAS Y RODAMIENTOS</v>
          </cell>
          <cell r="G245" t="str">
            <v>PRINCIPAL</v>
          </cell>
          <cell r="H245">
            <v>46004</v>
          </cell>
          <cell r="I245" t="str">
            <v>SALDO INICIAL</v>
          </cell>
          <cell r="J245">
            <v>29</v>
          </cell>
          <cell r="K245">
            <v>325.08999999999997</v>
          </cell>
          <cell r="L245">
            <v>11.21</v>
          </cell>
          <cell r="M245">
            <v>11.21</v>
          </cell>
          <cell r="N245" t="str">
            <v/>
          </cell>
          <cell r="O245" t="str">
            <v/>
          </cell>
          <cell r="P245" t="str">
            <v/>
          </cell>
          <cell r="Q245">
            <v>22.2</v>
          </cell>
          <cell r="R245" t="str">
            <v>UND</v>
          </cell>
          <cell r="S245">
            <v>0</v>
          </cell>
          <cell r="T245">
            <v>0</v>
          </cell>
          <cell r="U245" t="str">
            <v/>
          </cell>
          <cell r="V245" t="str">
            <v>PRO10</v>
          </cell>
          <cell r="W245">
            <v>0</v>
          </cell>
        </row>
        <row r="246">
          <cell r="C246" t="str">
            <v>LDTPSUCFL207-20</v>
          </cell>
          <cell r="D246" t="str">
            <v>PRINC</v>
          </cell>
          <cell r="E246" t="str">
            <v>00009</v>
          </cell>
          <cell r="F246" t="str">
            <v>CHUMACERAS Y RODAMIENTOS</v>
          </cell>
          <cell r="G246" t="str">
            <v>PRINCIPAL</v>
          </cell>
          <cell r="H246">
            <v>46004</v>
          </cell>
          <cell r="I246" t="str">
            <v>SALDO INICIAL</v>
          </cell>
          <cell r="J246">
            <v>-6</v>
          </cell>
          <cell r="K246">
            <v>0</v>
          </cell>
          <cell r="L246">
            <v>0</v>
          </cell>
          <cell r="M246">
            <v>0</v>
          </cell>
          <cell r="N246" t="str">
            <v/>
          </cell>
          <cell r="O246" t="str">
            <v/>
          </cell>
          <cell r="P246" t="str">
            <v/>
          </cell>
          <cell r="Q246">
            <v>26.5</v>
          </cell>
          <cell r="R246" t="str">
            <v>UND</v>
          </cell>
          <cell r="S246">
            <v>0</v>
          </cell>
          <cell r="T246">
            <v>0</v>
          </cell>
          <cell r="U246" t="str">
            <v/>
          </cell>
          <cell r="V246" t="str">
            <v>PRO10</v>
          </cell>
          <cell r="W246">
            <v>0</v>
          </cell>
        </row>
        <row r="247">
          <cell r="C247" t="str">
            <v>LDTPSUCP201-8</v>
          </cell>
          <cell r="D247" t="str">
            <v>PRINC</v>
          </cell>
          <cell r="E247" t="str">
            <v>00009</v>
          </cell>
          <cell r="F247" t="str">
            <v>CHUMACERAS Y RODAMIENTOS</v>
          </cell>
          <cell r="G247" t="str">
            <v>PRINCIPAL</v>
          </cell>
          <cell r="H247">
            <v>46004</v>
          </cell>
          <cell r="I247" t="str">
            <v>SALDO INICIAL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 t="str">
            <v/>
          </cell>
          <cell r="O247" t="str">
            <v/>
          </cell>
          <cell r="P247" t="str">
            <v/>
          </cell>
          <cell r="Q247">
            <v>15</v>
          </cell>
          <cell r="R247" t="str">
            <v>UND</v>
          </cell>
          <cell r="S247">
            <v>0</v>
          </cell>
          <cell r="T247">
            <v>0</v>
          </cell>
          <cell r="U247" t="str">
            <v/>
          </cell>
          <cell r="V247" t="str">
            <v>PRO10</v>
          </cell>
          <cell r="W247">
            <v>0</v>
          </cell>
        </row>
        <row r="248">
          <cell r="C248" t="str">
            <v>LDTPSUCP205-16</v>
          </cell>
          <cell r="D248" t="str">
            <v>PRINC</v>
          </cell>
          <cell r="E248" t="str">
            <v>00009</v>
          </cell>
          <cell r="F248" t="str">
            <v>CHUMACERAS Y RODAMIENTOS</v>
          </cell>
          <cell r="G248" t="str">
            <v>PRINCIPAL</v>
          </cell>
          <cell r="H248">
            <v>46004</v>
          </cell>
          <cell r="I248" t="str">
            <v>SALDO INICIAL</v>
          </cell>
          <cell r="J248">
            <v>-70</v>
          </cell>
          <cell r="K248">
            <v>0</v>
          </cell>
          <cell r="L248">
            <v>0</v>
          </cell>
          <cell r="M248">
            <v>0</v>
          </cell>
          <cell r="N248" t="str">
            <v/>
          </cell>
          <cell r="O248" t="str">
            <v/>
          </cell>
          <cell r="P248" t="str">
            <v/>
          </cell>
          <cell r="Q248">
            <v>17</v>
          </cell>
          <cell r="R248" t="str">
            <v>UND</v>
          </cell>
          <cell r="S248">
            <v>0</v>
          </cell>
          <cell r="T248">
            <v>0</v>
          </cell>
          <cell r="U248" t="str">
            <v/>
          </cell>
          <cell r="V248" t="str">
            <v>PRO10</v>
          </cell>
          <cell r="W248">
            <v>0</v>
          </cell>
        </row>
        <row r="249">
          <cell r="C249" t="str">
            <v>LDTPSUCP210-32</v>
          </cell>
          <cell r="D249" t="str">
            <v>PRINC</v>
          </cell>
          <cell r="E249" t="str">
            <v>00009</v>
          </cell>
          <cell r="F249" t="str">
            <v>CHUMACERAS Y RODAMIENTOS</v>
          </cell>
          <cell r="G249" t="str">
            <v>PRINCIPAL</v>
          </cell>
          <cell r="H249">
            <v>46004</v>
          </cell>
          <cell r="I249" t="str">
            <v>SALDO INICIAL</v>
          </cell>
          <cell r="J249">
            <v>12</v>
          </cell>
          <cell r="K249">
            <v>312</v>
          </cell>
          <cell r="L249">
            <v>0</v>
          </cell>
          <cell r="M249">
            <v>26</v>
          </cell>
          <cell r="N249" t="str">
            <v/>
          </cell>
          <cell r="O249" t="str">
            <v/>
          </cell>
          <cell r="P249" t="str">
            <v/>
          </cell>
          <cell r="Q249">
            <v>41.6</v>
          </cell>
          <cell r="R249" t="str">
            <v>UND</v>
          </cell>
          <cell r="S249">
            <v>0</v>
          </cell>
          <cell r="T249">
            <v>0</v>
          </cell>
          <cell r="U249" t="str">
            <v/>
          </cell>
          <cell r="V249" t="str">
            <v>PRO10</v>
          </cell>
          <cell r="W249">
            <v>0</v>
          </cell>
        </row>
        <row r="250">
          <cell r="C250" t="str">
            <v>LDTPSUCP211-32</v>
          </cell>
          <cell r="D250" t="str">
            <v>PRINC</v>
          </cell>
          <cell r="E250" t="str">
            <v>00009</v>
          </cell>
          <cell r="F250" t="str">
            <v>CHUMACERAS Y RODAMIENTOS</v>
          </cell>
          <cell r="G250" t="str">
            <v>PRINCIPAL</v>
          </cell>
          <cell r="H250">
            <v>46004</v>
          </cell>
          <cell r="I250" t="str">
            <v>SALDO INICIAL</v>
          </cell>
          <cell r="J250">
            <v>4</v>
          </cell>
          <cell r="K250">
            <v>191.48</v>
          </cell>
          <cell r="L250">
            <v>47.87</v>
          </cell>
          <cell r="M250">
            <v>47.87</v>
          </cell>
          <cell r="N250" t="str">
            <v/>
          </cell>
          <cell r="O250" t="str">
            <v/>
          </cell>
          <cell r="P250" t="str">
            <v/>
          </cell>
          <cell r="Q250">
            <v>56.6</v>
          </cell>
          <cell r="R250" t="str">
            <v>UND</v>
          </cell>
          <cell r="S250">
            <v>0</v>
          </cell>
          <cell r="T250">
            <v>0</v>
          </cell>
          <cell r="U250" t="str">
            <v/>
          </cell>
          <cell r="V250" t="str">
            <v>PRO10</v>
          </cell>
          <cell r="W250">
            <v>0</v>
          </cell>
        </row>
        <row r="251">
          <cell r="C251" t="str">
            <v>LDTPSUCT205-16</v>
          </cell>
          <cell r="D251" t="str">
            <v>PRINC</v>
          </cell>
          <cell r="E251" t="str">
            <v>00009</v>
          </cell>
          <cell r="F251" t="str">
            <v>CHUMACERAS Y RODAMIENTOS</v>
          </cell>
          <cell r="G251" t="str">
            <v>PRINCIPAL</v>
          </cell>
          <cell r="H251">
            <v>46004</v>
          </cell>
          <cell r="I251" t="str">
            <v>SALDO INICIAL</v>
          </cell>
          <cell r="J251">
            <v>2</v>
          </cell>
          <cell r="K251">
            <v>18.760000000000002</v>
          </cell>
          <cell r="L251">
            <v>9.3800000000000008</v>
          </cell>
          <cell r="M251">
            <v>9.3800000000000008</v>
          </cell>
          <cell r="N251" t="str">
            <v/>
          </cell>
          <cell r="O251" t="str">
            <v/>
          </cell>
          <cell r="P251" t="str">
            <v/>
          </cell>
          <cell r="Q251">
            <v>14.7</v>
          </cell>
          <cell r="R251" t="str">
            <v>UND</v>
          </cell>
          <cell r="S251">
            <v>0</v>
          </cell>
          <cell r="T251">
            <v>0</v>
          </cell>
          <cell r="U251" t="str">
            <v/>
          </cell>
          <cell r="V251" t="str">
            <v>PRO10</v>
          </cell>
          <cell r="W251">
            <v>0</v>
          </cell>
        </row>
        <row r="252">
          <cell r="C252" t="str">
            <v>LDTPSUCT206</v>
          </cell>
          <cell r="D252" t="str">
            <v>PRINC</v>
          </cell>
          <cell r="E252" t="str">
            <v>00009</v>
          </cell>
          <cell r="F252" t="str">
            <v>CHUMACERAS Y RODAMIENTOS</v>
          </cell>
          <cell r="G252" t="str">
            <v>PRINCIPAL</v>
          </cell>
          <cell r="H252">
            <v>46004</v>
          </cell>
          <cell r="I252" t="str">
            <v>SALDO INICIAL</v>
          </cell>
          <cell r="J252">
            <v>-6</v>
          </cell>
          <cell r="K252">
            <v>0</v>
          </cell>
          <cell r="L252">
            <v>0</v>
          </cell>
          <cell r="M252">
            <v>0</v>
          </cell>
          <cell r="N252" t="str">
            <v/>
          </cell>
          <cell r="O252" t="str">
            <v/>
          </cell>
          <cell r="P252" t="str">
            <v/>
          </cell>
          <cell r="Q252">
            <v>22.7</v>
          </cell>
          <cell r="R252" t="str">
            <v>UND</v>
          </cell>
          <cell r="S252">
            <v>0</v>
          </cell>
          <cell r="T252">
            <v>0</v>
          </cell>
          <cell r="U252" t="str">
            <v/>
          </cell>
          <cell r="V252" t="str">
            <v>PRO10</v>
          </cell>
          <cell r="W252">
            <v>0</v>
          </cell>
        </row>
        <row r="253">
          <cell r="C253" t="str">
            <v>NTNUC207</v>
          </cell>
          <cell r="D253" t="str">
            <v>PRINC</v>
          </cell>
          <cell r="E253" t="str">
            <v>00009</v>
          </cell>
          <cell r="F253" t="str">
            <v>CHUMACERAS Y RODAMIENTOS</v>
          </cell>
          <cell r="G253" t="str">
            <v>PRINCIPAL</v>
          </cell>
          <cell r="H253">
            <v>46004</v>
          </cell>
          <cell r="I253" t="str">
            <v>SALDO INICIAL</v>
          </cell>
          <cell r="J253">
            <v>20</v>
          </cell>
          <cell r="K253">
            <v>432.81621999999999</v>
          </cell>
          <cell r="L253">
            <v>21.640810999999999</v>
          </cell>
          <cell r="M253">
            <v>21.640810999999999</v>
          </cell>
          <cell r="N253" t="str">
            <v/>
          </cell>
          <cell r="O253" t="str">
            <v/>
          </cell>
          <cell r="P253" t="str">
            <v/>
          </cell>
          <cell r="Q253">
            <v>0</v>
          </cell>
          <cell r="R253" t="str">
            <v>UND</v>
          </cell>
          <cell r="S253">
            <v>0</v>
          </cell>
          <cell r="T253">
            <v>0</v>
          </cell>
          <cell r="U253" t="str">
            <v/>
          </cell>
          <cell r="V253" t="str">
            <v>PRO10</v>
          </cell>
          <cell r="W253">
            <v>0</v>
          </cell>
        </row>
        <row r="254">
          <cell r="C254" t="str">
            <v>LDUCF204-12</v>
          </cell>
          <cell r="D254" t="str">
            <v>PRINC</v>
          </cell>
          <cell r="E254" t="str">
            <v>00009</v>
          </cell>
          <cell r="F254" t="str">
            <v>CHUMACERAS Y RODAMIENTOS</v>
          </cell>
          <cell r="G254" t="str">
            <v>PRINCIPAL</v>
          </cell>
          <cell r="H254">
            <v>46004</v>
          </cell>
          <cell r="I254" t="str">
            <v>SALDO INICIAL</v>
          </cell>
          <cell r="J254">
            <v>34</v>
          </cell>
          <cell r="K254">
            <v>62.56</v>
          </cell>
          <cell r="L254">
            <v>1.84</v>
          </cell>
          <cell r="M254">
            <v>1.84</v>
          </cell>
          <cell r="N254" t="str">
            <v/>
          </cell>
          <cell r="O254" t="str">
            <v/>
          </cell>
          <cell r="P254" t="str">
            <v/>
          </cell>
          <cell r="Q254">
            <v>2.9</v>
          </cell>
          <cell r="R254" t="str">
            <v>UND</v>
          </cell>
          <cell r="S254">
            <v>0</v>
          </cell>
          <cell r="T254">
            <v>0</v>
          </cell>
          <cell r="U254" t="str">
            <v/>
          </cell>
          <cell r="V254" t="str">
            <v>PRO10</v>
          </cell>
          <cell r="W254">
            <v>0</v>
          </cell>
        </row>
        <row r="255">
          <cell r="C255" t="str">
            <v>LDUCF205-16</v>
          </cell>
          <cell r="D255" t="str">
            <v>PRINC</v>
          </cell>
          <cell r="E255" t="str">
            <v>00009</v>
          </cell>
          <cell r="F255" t="str">
            <v>CHUMACERAS Y RODAMIENTOS</v>
          </cell>
          <cell r="G255" t="str">
            <v>PRINCIPAL</v>
          </cell>
          <cell r="H255">
            <v>46004</v>
          </cell>
          <cell r="I255" t="str">
            <v>SALDO INICIAL</v>
          </cell>
          <cell r="J255">
            <v>15</v>
          </cell>
          <cell r="K255">
            <v>33.969289000000003</v>
          </cell>
          <cell r="L255">
            <v>2.2646190000000002</v>
          </cell>
          <cell r="M255">
            <v>2.264619267</v>
          </cell>
          <cell r="N255" t="str">
            <v/>
          </cell>
          <cell r="O255" t="str">
            <v/>
          </cell>
          <cell r="P255" t="str">
            <v/>
          </cell>
          <cell r="Q255">
            <v>3.5</v>
          </cell>
          <cell r="R255" t="str">
            <v>UND</v>
          </cell>
          <cell r="S255">
            <v>0</v>
          </cell>
          <cell r="T255">
            <v>0</v>
          </cell>
          <cell r="U255" t="str">
            <v/>
          </cell>
          <cell r="V255" t="str">
            <v>PRO10</v>
          </cell>
          <cell r="W255">
            <v>0</v>
          </cell>
        </row>
        <row r="256">
          <cell r="C256" t="str">
            <v>LDUCF206-19</v>
          </cell>
          <cell r="D256" t="str">
            <v>PRINC</v>
          </cell>
          <cell r="E256" t="str">
            <v>00009</v>
          </cell>
          <cell r="F256" t="str">
            <v>CHUMACERAS Y RODAMIENTOS</v>
          </cell>
          <cell r="G256" t="str">
            <v>PRINCIPAL</v>
          </cell>
          <cell r="H256">
            <v>46004</v>
          </cell>
          <cell r="I256" t="str">
            <v>SALDO INICIAL</v>
          </cell>
          <cell r="J256">
            <v>71</v>
          </cell>
          <cell r="K256">
            <v>232.17</v>
          </cell>
          <cell r="L256">
            <v>3.27</v>
          </cell>
          <cell r="M256">
            <v>3.27</v>
          </cell>
          <cell r="N256" t="str">
            <v/>
          </cell>
          <cell r="O256" t="str">
            <v/>
          </cell>
          <cell r="P256" t="str">
            <v/>
          </cell>
          <cell r="Q256">
            <v>4.5999999999999996</v>
          </cell>
          <cell r="R256" t="str">
            <v>UND</v>
          </cell>
          <cell r="S256">
            <v>0</v>
          </cell>
          <cell r="T256">
            <v>0</v>
          </cell>
          <cell r="U256" t="str">
            <v/>
          </cell>
          <cell r="V256" t="str">
            <v>PRO10</v>
          </cell>
          <cell r="W256">
            <v>0</v>
          </cell>
        </row>
        <row r="257">
          <cell r="C257" t="str">
            <v>LDUCF206-20</v>
          </cell>
          <cell r="D257" t="str">
            <v>PRINC</v>
          </cell>
          <cell r="E257" t="str">
            <v>00009</v>
          </cell>
          <cell r="F257" t="str">
            <v>CHUMACERAS Y RODAMIENTOS</v>
          </cell>
          <cell r="G257" t="str">
            <v>PRINCIPAL</v>
          </cell>
          <cell r="H257">
            <v>46004</v>
          </cell>
          <cell r="I257" t="str">
            <v>SALDO INICIAL</v>
          </cell>
          <cell r="J257">
            <v>32</v>
          </cell>
          <cell r="K257">
            <v>84.8</v>
          </cell>
          <cell r="L257">
            <v>0</v>
          </cell>
          <cell r="M257">
            <v>2.65</v>
          </cell>
          <cell r="N257" t="str">
            <v/>
          </cell>
          <cell r="O257" t="str">
            <v/>
          </cell>
          <cell r="P257" t="str">
            <v/>
          </cell>
          <cell r="Q257">
            <v>4.5999999999999996</v>
          </cell>
          <cell r="R257" t="str">
            <v>UND</v>
          </cell>
          <cell r="S257">
            <v>0</v>
          </cell>
          <cell r="T257">
            <v>0</v>
          </cell>
          <cell r="U257" t="str">
            <v/>
          </cell>
          <cell r="V257" t="str">
            <v>PRO10</v>
          </cell>
          <cell r="W257">
            <v>0</v>
          </cell>
        </row>
        <row r="258">
          <cell r="C258" t="str">
            <v>LDUCF207-20</v>
          </cell>
          <cell r="D258" t="str">
            <v>PRINC</v>
          </cell>
          <cell r="E258" t="str">
            <v>00009</v>
          </cell>
          <cell r="F258" t="str">
            <v>CHUMACERAS Y RODAMIENTOS</v>
          </cell>
          <cell r="G258" t="str">
            <v>PRINCIPAL</v>
          </cell>
          <cell r="H258">
            <v>46004</v>
          </cell>
          <cell r="I258" t="str">
            <v>SALDO INICIAL</v>
          </cell>
          <cell r="J258">
            <v>44</v>
          </cell>
          <cell r="K258">
            <v>181.28</v>
          </cell>
          <cell r="L258">
            <v>4.12</v>
          </cell>
          <cell r="M258">
            <v>4.12</v>
          </cell>
          <cell r="N258" t="str">
            <v/>
          </cell>
          <cell r="O258" t="str">
            <v/>
          </cell>
          <cell r="P258" t="str">
            <v/>
          </cell>
          <cell r="Q258">
            <v>6.4</v>
          </cell>
          <cell r="R258" t="str">
            <v>UND</v>
          </cell>
          <cell r="S258">
            <v>0</v>
          </cell>
          <cell r="T258">
            <v>0</v>
          </cell>
          <cell r="U258" t="str">
            <v/>
          </cell>
          <cell r="V258" t="str">
            <v>PRO10</v>
          </cell>
          <cell r="W258">
            <v>0</v>
          </cell>
        </row>
        <row r="259">
          <cell r="C259" t="str">
            <v>LDUCF208-24</v>
          </cell>
          <cell r="D259" t="str">
            <v>PRINC</v>
          </cell>
          <cell r="E259" t="str">
            <v>00009</v>
          </cell>
          <cell r="F259" t="str">
            <v>CHUMACERAS Y RODAMIENTOS</v>
          </cell>
          <cell r="G259" t="str">
            <v>PRINCIPAL</v>
          </cell>
          <cell r="H259">
            <v>46004</v>
          </cell>
          <cell r="I259" t="str">
            <v>SALDO INICIAL</v>
          </cell>
          <cell r="J259">
            <v>1</v>
          </cell>
          <cell r="K259">
            <v>5.63</v>
          </cell>
          <cell r="L259">
            <v>5.63</v>
          </cell>
          <cell r="M259">
            <v>5.63</v>
          </cell>
          <cell r="N259" t="str">
            <v/>
          </cell>
          <cell r="O259" t="str">
            <v/>
          </cell>
          <cell r="P259" t="str">
            <v/>
          </cell>
          <cell r="Q259">
            <v>8.8000000000000007</v>
          </cell>
          <cell r="R259" t="str">
            <v>UND</v>
          </cell>
          <cell r="S259">
            <v>0</v>
          </cell>
          <cell r="T259">
            <v>0</v>
          </cell>
          <cell r="U259" t="str">
            <v/>
          </cell>
          <cell r="V259" t="str">
            <v>PRO10</v>
          </cell>
          <cell r="W259">
            <v>0</v>
          </cell>
        </row>
        <row r="260">
          <cell r="C260" t="str">
            <v>LDUCF209-28</v>
          </cell>
          <cell r="D260" t="str">
            <v>PRINC</v>
          </cell>
          <cell r="E260" t="str">
            <v>00009</v>
          </cell>
          <cell r="F260" t="str">
            <v>CHUMACERAS Y RODAMIENTOS</v>
          </cell>
          <cell r="G260" t="str">
            <v>PRINCIPAL</v>
          </cell>
          <cell r="H260">
            <v>46004</v>
          </cell>
          <cell r="I260" t="str">
            <v>SALDO INICIAL</v>
          </cell>
          <cell r="J260">
            <v>12</v>
          </cell>
          <cell r="K260">
            <v>59.28</v>
          </cell>
          <cell r="L260">
            <v>0</v>
          </cell>
          <cell r="M260">
            <v>4.9400000000000004</v>
          </cell>
          <cell r="N260" t="str">
            <v/>
          </cell>
          <cell r="O260" t="str">
            <v/>
          </cell>
          <cell r="P260" t="str">
            <v/>
          </cell>
          <cell r="Q260">
            <v>9.6</v>
          </cell>
          <cell r="R260" t="str">
            <v>UND</v>
          </cell>
          <cell r="S260">
            <v>0</v>
          </cell>
          <cell r="T260">
            <v>0</v>
          </cell>
          <cell r="U260" t="str">
            <v/>
          </cell>
          <cell r="V260" t="str">
            <v>PRO10</v>
          </cell>
          <cell r="W260">
            <v>0</v>
          </cell>
        </row>
        <row r="261">
          <cell r="C261" t="str">
            <v>LDUCFB205-16</v>
          </cell>
          <cell r="D261" t="str">
            <v>PRINC</v>
          </cell>
          <cell r="E261" t="str">
            <v>00009</v>
          </cell>
          <cell r="F261" t="str">
            <v>CHUMACERAS Y RODAMIENTOS</v>
          </cell>
          <cell r="G261" t="str">
            <v>PRINCIPAL</v>
          </cell>
          <cell r="H261">
            <v>46004</v>
          </cell>
          <cell r="I261" t="str">
            <v>SALDO INICIAL</v>
          </cell>
          <cell r="J261">
            <v>47</v>
          </cell>
          <cell r="K261">
            <v>127.37</v>
          </cell>
          <cell r="L261">
            <v>2.71</v>
          </cell>
          <cell r="M261">
            <v>2.71</v>
          </cell>
          <cell r="N261" t="str">
            <v/>
          </cell>
          <cell r="O261" t="str">
            <v/>
          </cell>
          <cell r="P261" t="str">
            <v/>
          </cell>
          <cell r="Q261">
            <v>4.2</v>
          </cell>
          <cell r="R261" t="str">
            <v>UND</v>
          </cell>
          <cell r="S261">
            <v>0</v>
          </cell>
          <cell r="T261">
            <v>0</v>
          </cell>
          <cell r="U261" t="str">
            <v/>
          </cell>
          <cell r="V261" t="str">
            <v>PRO10</v>
          </cell>
          <cell r="W261">
            <v>0</v>
          </cell>
        </row>
        <row r="262">
          <cell r="C262" t="str">
            <v>LDUCFB207-20</v>
          </cell>
          <cell r="D262" t="str">
            <v>PRINC</v>
          </cell>
          <cell r="E262" t="str">
            <v>00009</v>
          </cell>
          <cell r="F262" t="str">
            <v>CHUMACERAS Y RODAMIENTOS</v>
          </cell>
          <cell r="G262" t="str">
            <v>PRINCIPAL</v>
          </cell>
          <cell r="H262">
            <v>46004</v>
          </cell>
          <cell r="I262" t="str">
            <v>SALDO INICIAL</v>
          </cell>
          <cell r="J262">
            <v>4</v>
          </cell>
          <cell r="K262">
            <v>18.12</v>
          </cell>
          <cell r="L262">
            <v>4.53</v>
          </cell>
          <cell r="M262">
            <v>4.53</v>
          </cell>
          <cell r="N262" t="str">
            <v/>
          </cell>
          <cell r="O262" t="str">
            <v/>
          </cell>
          <cell r="P262" t="str">
            <v/>
          </cell>
          <cell r="Q262">
            <v>7</v>
          </cell>
          <cell r="R262" t="str">
            <v>UND</v>
          </cell>
          <cell r="S262">
            <v>0</v>
          </cell>
          <cell r="T262">
            <v>0</v>
          </cell>
          <cell r="U262" t="str">
            <v/>
          </cell>
          <cell r="V262" t="str">
            <v>PRO10</v>
          </cell>
          <cell r="W262">
            <v>0</v>
          </cell>
        </row>
        <row r="263">
          <cell r="C263" t="str">
            <v>LDUCFL201-8</v>
          </cell>
          <cell r="D263" t="str">
            <v>PRINC</v>
          </cell>
          <cell r="E263" t="str">
            <v>00009</v>
          </cell>
          <cell r="F263" t="str">
            <v>CHUMACERAS Y RODAMIENTOS</v>
          </cell>
          <cell r="G263" t="str">
            <v>PRINCIPAL</v>
          </cell>
          <cell r="H263">
            <v>46004</v>
          </cell>
          <cell r="I263" t="str">
            <v>SALDO INICIAL</v>
          </cell>
          <cell r="J263">
            <v>19</v>
          </cell>
          <cell r="K263">
            <v>58.098292000000001</v>
          </cell>
          <cell r="L263">
            <v>3.0578050000000001</v>
          </cell>
          <cell r="M263">
            <v>3.0578048419999999</v>
          </cell>
          <cell r="N263" t="str">
            <v/>
          </cell>
          <cell r="O263" t="str">
            <v/>
          </cell>
          <cell r="P263" t="str">
            <v/>
          </cell>
          <cell r="Q263">
            <v>4.75</v>
          </cell>
          <cell r="R263" t="str">
            <v>UND</v>
          </cell>
          <cell r="S263">
            <v>0</v>
          </cell>
          <cell r="T263">
            <v>0</v>
          </cell>
          <cell r="U263" t="str">
            <v/>
          </cell>
          <cell r="V263" t="str">
            <v>PRO10</v>
          </cell>
          <cell r="W263">
            <v>0</v>
          </cell>
        </row>
        <row r="264">
          <cell r="C264" t="str">
            <v>LDUCFL204-12</v>
          </cell>
          <cell r="D264" t="str">
            <v>PRINC</v>
          </cell>
          <cell r="E264" t="str">
            <v>00009</v>
          </cell>
          <cell r="F264" t="str">
            <v>CHUMACERAS Y RODAMIENTOS</v>
          </cell>
          <cell r="G264" t="str">
            <v>PRINCIPAL</v>
          </cell>
          <cell r="H264">
            <v>46004</v>
          </cell>
          <cell r="I264" t="str">
            <v>SALDO INICIAL</v>
          </cell>
          <cell r="J264">
            <v>37</v>
          </cell>
          <cell r="K264">
            <v>64.75</v>
          </cell>
          <cell r="L264">
            <v>1.75</v>
          </cell>
          <cell r="M264">
            <v>1.75</v>
          </cell>
          <cell r="N264" t="str">
            <v/>
          </cell>
          <cell r="O264" t="str">
            <v/>
          </cell>
          <cell r="P264" t="str">
            <v/>
          </cell>
          <cell r="Q264">
            <v>2.75</v>
          </cell>
          <cell r="R264" t="str">
            <v>UND</v>
          </cell>
          <cell r="S264">
            <v>0</v>
          </cell>
          <cell r="T264">
            <v>0</v>
          </cell>
          <cell r="U264" t="str">
            <v/>
          </cell>
          <cell r="V264" t="str">
            <v>PRO10</v>
          </cell>
          <cell r="W264">
            <v>0</v>
          </cell>
        </row>
        <row r="265">
          <cell r="C265" t="str">
            <v>LDUCP201-8</v>
          </cell>
          <cell r="D265" t="str">
            <v>PRINC</v>
          </cell>
          <cell r="E265" t="str">
            <v>00009</v>
          </cell>
          <cell r="F265" t="str">
            <v>CHUMACERAS Y RODAMIENTOS</v>
          </cell>
          <cell r="G265" t="str">
            <v>PRINCIPAL</v>
          </cell>
          <cell r="H265">
            <v>46004</v>
          </cell>
          <cell r="I265" t="str">
            <v>SALDO INICIAL</v>
          </cell>
          <cell r="J265">
            <v>4</v>
          </cell>
          <cell r="K265">
            <v>11.16</v>
          </cell>
          <cell r="L265">
            <v>0</v>
          </cell>
          <cell r="M265">
            <v>2.79</v>
          </cell>
          <cell r="N265" t="str">
            <v/>
          </cell>
          <cell r="O265" t="str">
            <v/>
          </cell>
          <cell r="P265" t="str">
            <v/>
          </cell>
          <cell r="Q265">
            <v>4.3499999999999996</v>
          </cell>
          <cell r="R265" t="str">
            <v>UND</v>
          </cell>
          <cell r="S265">
            <v>0</v>
          </cell>
          <cell r="T265">
            <v>0</v>
          </cell>
          <cell r="U265" t="str">
            <v/>
          </cell>
          <cell r="V265" t="str">
            <v>PRO10</v>
          </cell>
          <cell r="W265">
            <v>0</v>
          </cell>
        </row>
        <row r="266">
          <cell r="C266" t="str">
            <v>LDUCP204-12</v>
          </cell>
          <cell r="D266" t="str">
            <v>PRINC</v>
          </cell>
          <cell r="E266" t="str">
            <v>00009</v>
          </cell>
          <cell r="F266" t="str">
            <v>CHUMACERAS Y RODAMIENTOS</v>
          </cell>
          <cell r="G266" t="str">
            <v>PRINCIPAL</v>
          </cell>
          <cell r="H266">
            <v>46004</v>
          </cell>
          <cell r="I266" t="str">
            <v>SALDO INICIAL</v>
          </cell>
          <cell r="J266">
            <v>4</v>
          </cell>
          <cell r="K266">
            <v>9.44</v>
          </cell>
          <cell r="L266">
            <v>2.36</v>
          </cell>
          <cell r="M266">
            <v>2.36</v>
          </cell>
          <cell r="N266" t="str">
            <v/>
          </cell>
          <cell r="O266" t="str">
            <v/>
          </cell>
          <cell r="P266" t="str">
            <v/>
          </cell>
          <cell r="Q266">
            <v>3.7</v>
          </cell>
          <cell r="R266" t="str">
            <v>UND</v>
          </cell>
          <cell r="S266">
            <v>0</v>
          </cell>
          <cell r="T266">
            <v>0</v>
          </cell>
          <cell r="U266" t="str">
            <v/>
          </cell>
          <cell r="V266" t="str">
            <v>PRO10</v>
          </cell>
          <cell r="W266">
            <v>0</v>
          </cell>
        </row>
        <row r="267">
          <cell r="C267" t="str">
            <v>LDUCP206-19</v>
          </cell>
          <cell r="D267" t="str">
            <v>PRINC</v>
          </cell>
          <cell r="E267" t="str">
            <v>00009</v>
          </cell>
          <cell r="F267" t="str">
            <v>CHUMACERAS Y RODAMIENTOS</v>
          </cell>
          <cell r="G267" t="str">
            <v>PRINCIPAL</v>
          </cell>
          <cell r="H267">
            <v>46004</v>
          </cell>
          <cell r="I267" t="str">
            <v>SALDO INICIAL</v>
          </cell>
          <cell r="J267">
            <v>40</v>
          </cell>
          <cell r="K267">
            <v>153.19999999999999</v>
          </cell>
          <cell r="L267">
            <v>0</v>
          </cell>
          <cell r="M267">
            <v>3.83</v>
          </cell>
          <cell r="N267" t="str">
            <v/>
          </cell>
          <cell r="O267" t="str">
            <v/>
          </cell>
          <cell r="P267" t="str">
            <v/>
          </cell>
          <cell r="Q267">
            <v>6</v>
          </cell>
          <cell r="R267" t="str">
            <v>UND</v>
          </cell>
          <cell r="S267">
            <v>0</v>
          </cell>
          <cell r="T267">
            <v>0</v>
          </cell>
          <cell r="U267" t="str">
            <v/>
          </cell>
          <cell r="V267" t="str">
            <v>PRO10</v>
          </cell>
          <cell r="W267">
            <v>0</v>
          </cell>
        </row>
        <row r="268">
          <cell r="C268" t="str">
            <v>LDUCP207-20</v>
          </cell>
          <cell r="D268" t="str">
            <v>PRINC</v>
          </cell>
          <cell r="E268" t="str">
            <v>00009</v>
          </cell>
          <cell r="F268" t="str">
            <v>CHUMACERAS Y RODAMIENTOS</v>
          </cell>
          <cell r="G268" t="str">
            <v>PRINCIPAL</v>
          </cell>
          <cell r="H268">
            <v>46004</v>
          </cell>
          <cell r="I268" t="str">
            <v>SALDO INICIAL</v>
          </cell>
          <cell r="J268">
            <v>2</v>
          </cell>
          <cell r="K268">
            <v>9.68</v>
          </cell>
          <cell r="L268">
            <v>4.84</v>
          </cell>
          <cell r="M268">
            <v>4.84</v>
          </cell>
          <cell r="N268" t="str">
            <v/>
          </cell>
          <cell r="O268" t="str">
            <v/>
          </cell>
          <cell r="P268" t="str">
            <v/>
          </cell>
          <cell r="Q268">
            <v>7.5</v>
          </cell>
          <cell r="R268" t="str">
            <v>UND</v>
          </cell>
          <cell r="S268">
            <v>0</v>
          </cell>
          <cell r="T268">
            <v>0</v>
          </cell>
          <cell r="U268" t="str">
            <v/>
          </cell>
          <cell r="V268" t="str">
            <v>PRO10</v>
          </cell>
          <cell r="W268">
            <v>0</v>
          </cell>
        </row>
        <row r="269">
          <cell r="C269" t="str">
            <v>LDUCP208-24</v>
          </cell>
          <cell r="D269" t="str">
            <v>PRINC</v>
          </cell>
          <cell r="E269" t="str">
            <v>00009</v>
          </cell>
          <cell r="F269" t="str">
            <v>CHUMACERAS Y RODAMIENTOS</v>
          </cell>
          <cell r="G269" t="str">
            <v>PRINCIPAL</v>
          </cell>
          <cell r="H269">
            <v>46004</v>
          </cell>
          <cell r="I269" t="str">
            <v>SALDO INICIAL</v>
          </cell>
          <cell r="J269">
            <v>6</v>
          </cell>
          <cell r="K269">
            <v>34.56</v>
          </cell>
          <cell r="L269">
            <v>0</v>
          </cell>
          <cell r="M269">
            <v>5.76</v>
          </cell>
          <cell r="N269" t="str">
            <v/>
          </cell>
          <cell r="O269" t="str">
            <v/>
          </cell>
          <cell r="P269" t="str">
            <v/>
          </cell>
          <cell r="Q269">
            <v>8.9499999999999993</v>
          </cell>
          <cell r="R269" t="str">
            <v>UND</v>
          </cell>
          <cell r="S269">
            <v>0</v>
          </cell>
          <cell r="T269">
            <v>0</v>
          </cell>
          <cell r="U269" t="str">
            <v/>
          </cell>
          <cell r="V269" t="str">
            <v>PRO10</v>
          </cell>
          <cell r="W269">
            <v>0</v>
          </cell>
        </row>
        <row r="270">
          <cell r="C270" t="str">
            <v>LDUCP210-32</v>
          </cell>
          <cell r="D270" t="str">
            <v>PRINC</v>
          </cell>
          <cell r="E270" t="str">
            <v>00009</v>
          </cell>
          <cell r="F270" t="str">
            <v>CHUMACERAS Y RODAMIENTOS</v>
          </cell>
          <cell r="G270" t="str">
            <v>PRINCIPAL</v>
          </cell>
          <cell r="H270">
            <v>46004</v>
          </cell>
          <cell r="I270" t="str">
            <v>SALDO INICIAL</v>
          </cell>
          <cell r="J270">
            <v>4</v>
          </cell>
          <cell r="K270">
            <v>32</v>
          </cell>
          <cell r="L270">
            <v>0</v>
          </cell>
          <cell r="M270">
            <v>8</v>
          </cell>
          <cell r="N270" t="str">
            <v/>
          </cell>
          <cell r="O270" t="str">
            <v/>
          </cell>
          <cell r="P270" t="str">
            <v/>
          </cell>
          <cell r="Q270">
            <v>12.4</v>
          </cell>
          <cell r="R270" t="str">
            <v>UND</v>
          </cell>
          <cell r="S270">
            <v>0</v>
          </cell>
          <cell r="T270">
            <v>0</v>
          </cell>
          <cell r="U270" t="str">
            <v/>
          </cell>
          <cell r="V270" t="str">
            <v>PRO10</v>
          </cell>
          <cell r="W270">
            <v>0</v>
          </cell>
        </row>
        <row r="271">
          <cell r="C271" t="str">
            <v>LDUCT204-12</v>
          </cell>
          <cell r="D271" t="str">
            <v>PRINC</v>
          </cell>
          <cell r="E271" t="str">
            <v>00009</v>
          </cell>
          <cell r="F271" t="str">
            <v>CHUMACERAS Y RODAMIENTOS</v>
          </cell>
          <cell r="G271" t="str">
            <v>PRINCIPAL</v>
          </cell>
          <cell r="H271">
            <v>46004</v>
          </cell>
          <cell r="I271" t="str">
            <v>SALDO INICIAL</v>
          </cell>
          <cell r="J271">
            <v>40</v>
          </cell>
          <cell r="K271">
            <v>83.2</v>
          </cell>
          <cell r="L271">
            <v>0</v>
          </cell>
          <cell r="M271">
            <v>2.08</v>
          </cell>
          <cell r="N271" t="str">
            <v/>
          </cell>
          <cell r="O271" t="str">
            <v/>
          </cell>
          <cell r="P271" t="str">
            <v/>
          </cell>
          <cell r="Q271">
            <v>3.25</v>
          </cell>
          <cell r="R271" t="str">
            <v>UND</v>
          </cell>
          <cell r="S271">
            <v>0</v>
          </cell>
          <cell r="T271">
            <v>0</v>
          </cell>
          <cell r="U271" t="str">
            <v/>
          </cell>
          <cell r="V271" t="str">
            <v>PRO10</v>
          </cell>
          <cell r="W271">
            <v>0</v>
          </cell>
        </row>
        <row r="272">
          <cell r="C272" t="str">
            <v>LDUCT205-16</v>
          </cell>
          <cell r="D272" t="str">
            <v>PRINC</v>
          </cell>
          <cell r="E272" t="str">
            <v>00009</v>
          </cell>
          <cell r="F272" t="str">
            <v>CHUMACERAS Y RODAMIENTOS</v>
          </cell>
          <cell r="G272" t="str">
            <v>PRINCIPAL</v>
          </cell>
          <cell r="H272">
            <v>46004</v>
          </cell>
          <cell r="I272" t="str">
            <v>SALDO INICIAL</v>
          </cell>
          <cell r="J272">
            <v>36</v>
          </cell>
          <cell r="K272">
            <v>76.680000000000007</v>
          </cell>
          <cell r="L272">
            <v>2.13</v>
          </cell>
          <cell r="M272">
            <v>2.13</v>
          </cell>
          <cell r="N272" t="str">
            <v/>
          </cell>
          <cell r="O272" t="str">
            <v/>
          </cell>
          <cell r="P272" t="str">
            <v/>
          </cell>
          <cell r="Q272">
            <v>3.3</v>
          </cell>
          <cell r="R272" t="str">
            <v>UND</v>
          </cell>
          <cell r="S272">
            <v>0</v>
          </cell>
          <cell r="T272">
            <v>0</v>
          </cell>
          <cell r="U272" t="str">
            <v/>
          </cell>
          <cell r="V272" t="str">
            <v>PRO10</v>
          </cell>
          <cell r="W272">
            <v>0</v>
          </cell>
        </row>
        <row r="273">
          <cell r="C273" t="str">
            <v>BRVF4S-216</v>
          </cell>
          <cell r="D273" t="str">
            <v>PRINC</v>
          </cell>
          <cell r="E273" t="str">
            <v>00009</v>
          </cell>
          <cell r="F273" t="str">
            <v>CHUMACERAS Y RODAMIENTOS</v>
          </cell>
          <cell r="G273" t="str">
            <v>PRINCIPAL</v>
          </cell>
          <cell r="H273">
            <v>46004</v>
          </cell>
          <cell r="I273" t="str">
            <v>SALDO INICIAL</v>
          </cell>
          <cell r="J273">
            <v>-91</v>
          </cell>
          <cell r="K273">
            <v>0</v>
          </cell>
          <cell r="L273">
            <v>0</v>
          </cell>
          <cell r="M273">
            <v>0</v>
          </cell>
          <cell r="N273" t="str">
            <v>PVP ESPECIAL $32.75</v>
          </cell>
          <cell r="O273" t="str">
            <v/>
          </cell>
          <cell r="P273" t="str">
            <v/>
          </cell>
          <cell r="Q273">
            <v>36.200000000000003</v>
          </cell>
          <cell r="R273" t="str">
            <v>UND</v>
          </cell>
          <cell r="S273">
            <v>0</v>
          </cell>
          <cell r="T273">
            <v>0</v>
          </cell>
          <cell r="U273" t="str">
            <v/>
          </cell>
          <cell r="V273" t="str">
            <v>PRO10</v>
          </cell>
          <cell r="W273">
            <v>0</v>
          </cell>
        </row>
        <row r="274">
          <cell r="C274" t="str">
            <v>BRVPS-216</v>
          </cell>
          <cell r="D274" t="str">
            <v>PRINC</v>
          </cell>
          <cell r="E274" t="str">
            <v>00009</v>
          </cell>
          <cell r="F274" t="str">
            <v>CHUMACERAS Y RODAMIENTOS</v>
          </cell>
          <cell r="G274" t="str">
            <v>PRINCIPAL</v>
          </cell>
          <cell r="H274">
            <v>46004</v>
          </cell>
          <cell r="I274" t="str">
            <v>SALDO INICIAL</v>
          </cell>
          <cell r="J274">
            <v>-38</v>
          </cell>
          <cell r="K274">
            <v>0</v>
          </cell>
          <cell r="L274">
            <v>0</v>
          </cell>
          <cell r="M274">
            <v>0</v>
          </cell>
          <cell r="N274" t="str">
            <v>PVP ESPECIAL $35.60</v>
          </cell>
          <cell r="O274" t="str">
            <v/>
          </cell>
          <cell r="P274" t="str">
            <v/>
          </cell>
          <cell r="Q274">
            <v>36.700000000000003</v>
          </cell>
          <cell r="R274" t="str">
            <v>UND</v>
          </cell>
          <cell r="S274">
            <v>0</v>
          </cell>
          <cell r="T274">
            <v>0</v>
          </cell>
          <cell r="U274" t="str">
            <v/>
          </cell>
          <cell r="V274" t="str">
            <v>PRO10</v>
          </cell>
          <cell r="W274">
            <v>0</v>
          </cell>
        </row>
        <row r="275">
          <cell r="C275" t="str">
            <v>BRVS-212</v>
          </cell>
          <cell r="D275" t="str">
            <v>PRINC</v>
          </cell>
          <cell r="E275" t="str">
            <v>00009</v>
          </cell>
          <cell r="F275" t="str">
            <v>CHUMACERAS Y RODAMIENTOS</v>
          </cell>
          <cell r="G275" t="str">
            <v>PRINCIPAL</v>
          </cell>
          <cell r="H275">
            <v>46004</v>
          </cell>
          <cell r="I275" t="str">
            <v>SALDO INICIAL</v>
          </cell>
          <cell r="J275">
            <v>-20</v>
          </cell>
          <cell r="K275">
            <v>-420.26920200000001</v>
          </cell>
          <cell r="L275">
            <v>21.013462000000001</v>
          </cell>
          <cell r="M275">
            <v>21.0134601</v>
          </cell>
          <cell r="N275" t="str">
            <v>PVP ESPECIAL $28.45</v>
          </cell>
          <cell r="O275" t="str">
            <v/>
          </cell>
          <cell r="P275" t="str">
            <v/>
          </cell>
          <cell r="Q275">
            <v>30.4</v>
          </cell>
          <cell r="R275" t="str">
            <v>UND</v>
          </cell>
          <cell r="S275">
            <v>0</v>
          </cell>
          <cell r="T275">
            <v>0</v>
          </cell>
          <cell r="U275" t="str">
            <v/>
          </cell>
          <cell r="V275" t="str">
            <v>PRO10</v>
          </cell>
          <cell r="W275">
            <v>0</v>
          </cell>
        </row>
        <row r="276">
          <cell r="C276" t="str">
            <v>BRVS-216</v>
          </cell>
          <cell r="D276" t="str">
            <v>PRINC</v>
          </cell>
          <cell r="E276" t="str">
            <v>00009</v>
          </cell>
          <cell r="F276" t="str">
            <v>CHUMACERAS Y RODAMIENTOS</v>
          </cell>
          <cell r="G276" t="str">
            <v>PRINCIPAL</v>
          </cell>
          <cell r="H276">
            <v>46004</v>
          </cell>
          <cell r="I276" t="str">
            <v>SALDO INICIAL</v>
          </cell>
          <cell r="J276">
            <v>-145</v>
          </cell>
          <cell r="K276">
            <v>0</v>
          </cell>
          <cell r="L276">
            <v>0</v>
          </cell>
          <cell r="M276">
            <v>0</v>
          </cell>
          <cell r="N276" t="str">
            <v>PVP ESPECIAL $31.65</v>
          </cell>
          <cell r="O276" t="str">
            <v/>
          </cell>
          <cell r="P276" t="str">
            <v/>
          </cell>
          <cell r="Q276">
            <v>32.6</v>
          </cell>
          <cell r="R276" t="str">
            <v>UND</v>
          </cell>
          <cell r="S276">
            <v>0</v>
          </cell>
          <cell r="T276">
            <v>0</v>
          </cell>
          <cell r="U276" t="str">
            <v/>
          </cell>
          <cell r="V276" t="str">
            <v>PRO10</v>
          </cell>
          <cell r="W276">
            <v>0</v>
          </cell>
        </row>
        <row r="277">
          <cell r="C277" t="str">
            <v>BRVS-219</v>
          </cell>
          <cell r="D277" t="str">
            <v>PRINC</v>
          </cell>
          <cell r="E277" t="str">
            <v>00009</v>
          </cell>
          <cell r="F277" t="str">
            <v>CHUMACERAS Y RODAMIENTOS</v>
          </cell>
          <cell r="G277" t="str">
            <v>PRINCIPAL</v>
          </cell>
          <cell r="H277">
            <v>46004</v>
          </cell>
          <cell r="I277" t="str">
            <v>SALDO INICIAL</v>
          </cell>
          <cell r="J277">
            <v>-22</v>
          </cell>
          <cell r="K277">
            <v>0</v>
          </cell>
          <cell r="L277">
            <v>0</v>
          </cell>
          <cell r="M277">
            <v>0</v>
          </cell>
          <cell r="N277" t="str">
            <v>PVP ESPECIAL $36.85</v>
          </cell>
          <cell r="O277" t="str">
            <v/>
          </cell>
          <cell r="P277" t="str">
            <v/>
          </cell>
          <cell r="Q277">
            <v>38.299999999999997</v>
          </cell>
          <cell r="R277" t="str">
            <v>UND</v>
          </cell>
          <cell r="S277">
            <v>0</v>
          </cell>
          <cell r="T277">
            <v>0</v>
          </cell>
          <cell r="U277" t="str">
            <v/>
          </cell>
          <cell r="V277" t="str">
            <v>PRO10</v>
          </cell>
          <cell r="W277">
            <v>0</v>
          </cell>
        </row>
        <row r="278">
          <cell r="C278" t="str">
            <v>PI1ESOP302010</v>
          </cell>
          <cell r="D278" t="str">
            <v>PRINC</v>
          </cell>
          <cell r="E278" t="str">
            <v>00010</v>
          </cell>
          <cell r="F278" t="str">
            <v>COMPONENTES P/SISTEMAS Y TRANSP.</v>
          </cell>
          <cell r="G278" t="str">
            <v>PRINCIPAL</v>
          </cell>
          <cell r="H278">
            <v>46004</v>
          </cell>
          <cell r="I278" t="str">
            <v>SALDO INICIAL</v>
          </cell>
          <cell r="J278">
            <v>6</v>
          </cell>
          <cell r="K278">
            <v>44.4</v>
          </cell>
          <cell r="L278">
            <v>0</v>
          </cell>
          <cell r="M278">
            <v>7.4</v>
          </cell>
          <cell r="N278" t="str">
            <v/>
          </cell>
          <cell r="O278" t="str">
            <v/>
          </cell>
          <cell r="P278" t="str">
            <v/>
          </cell>
          <cell r="Q278">
            <v>20.399999999999999</v>
          </cell>
          <cell r="R278" t="str">
            <v>UND</v>
          </cell>
          <cell r="S278">
            <v>0</v>
          </cell>
          <cell r="T278">
            <v>0</v>
          </cell>
          <cell r="U278" t="str">
            <v/>
          </cell>
          <cell r="V278" t="str">
            <v>PRO10</v>
          </cell>
          <cell r="W278">
            <v>0</v>
          </cell>
        </row>
        <row r="279">
          <cell r="C279" t="str">
            <v>PI1GBAS000089</v>
          </cell>
          <cell r="D279" t="str">
            <v>PRINC</v>
          </cell>
          <cell r="E279" t="str">
            <v>00010</v>
          </cell>
          <cell r="F279" t="str">
            <v>COMPONENTES P/SISTEMAS Y TRANSP.</v>
          </cell>
          <cell r="G279" t="str">
            <v>PRINCIPAL</v>
          </cell>
          <cell r="H279">
            <v>46004</v>
          </cell>
          <cell r="I279" t="str">
            <v>SALDO INICIAL</v>
          </cell>
          <cell r="J279">
            <v>3</v>
          </cell>
          <cell r="K279">
            <v>148.26</v>
          </cell>
          <cell r="L279">
            <v>49.42</v>
          </cell>
          <cell r="M279">
            <v>49.42</v>
          </cell>
          <cell r="N279" t="str">
            <v/>
          </cell>
          <cell r="O279" t="str">
            <v/>
          </cell>
          <cell r="P279" t="str">
            <v/>
          </cell>
          <cell r="Q279">
            <v>71.7</v>
          </cell>
          <cell r="R279" t="str">
            <v>UND</v>
          </cell>
          <cell r="S279">
            <v>0</v>
          </cell>
          <cell r="T279">
            <v>0</v>
          </cell>
          <cell r="U279" t="str">
            <v/>
          </cell>
          <cell r="V279" t="str">
            <v>PRO10</v>
          </cell>
          <cell r="W279">
            <v>0</v>
          </cell>
        </row>
        <row r="280">
          <cell r="C280" t="str">
            <v>TE202/80627</v>
          </cell>
          <cell r="D280" t="str">
            <v>PRINC</v>
          </cell>
          <cell r="E280" t="str">
            <v>00010</v>
          </cell>
          <cell r="F280" t="str">
            <v>COMPONENTES P/SISTEMAS Y TRANSP.</v>
          </cell>
          <cell r="G280" t="str">
            <v>PRINCIPAL</v>
          </cell>
          <cell r="H280">
            <v>46004</v>
          </cell>
          <cell r="I280" t="str">
            <v>SALDO INICIAL</v>
          </cell>
          <cell r="J280">
            <v>-14</v>
          </cell>
          <cell r="K280">
            <v>-364.56</v>
          </cell>
          <cell r="L280">
            <v>52.08</v>
          </cell>
          <cell r="M280">
            <v>26.04</v>
          </cell>
          <cell r="N280" t="str">
            <v/>
          </cell>
          <cell r="O280" t="str">
            <v/>
          </cell>
          <cell r="P280" t="str">
            <v/>
          </cell>
          <cell r="Q280">
            <v>35</v>
          </cell>
          <cell r="R280" t="str">
            <v>UND</v>
          </cell>
          <cell r="S280">
            <v>0</v>
          </cell>
          <cell r="T280">
            <v>0</v>
          </cell>
          <cell r="U280" t="str">
            <v/>
          </cell>
          <cell r="V280" t="str">
            <v>PRO10</v>
          </cell>
          <cell r="W280">
            <v>0</v>
          </cell>
        </row>
        <row r="281">
          <cell r="C281" t="str">
            <v>TE203/80635</v>
          </cell>
          <cell r="D281" t="str">
            <v>PRINC</v>
          </cell>
          <cell r="E281" t="str">
            <v>00010</v>
          </cell>
          <cell r="F281" t="str">
            <v>COMPONENTES P/SISTEMAS Y TRANSP.</v>
          </cell>
          <cell r="G281" t="str">
            <v>PRINCIPAL</v>
          </cell>
          <cell r="H281">
            <v>46004</v>
          </cell>
          <cell r="I281" t="str">
            <v>SALDO INICIAL</v>
          </cell>
          <cell r="J281">
            <v>-9</v>
          </cell>
          <cell r="K281">
            <v>-165.51</v>
          </cell>
          <cell r="L281">
            <v>18.39</v>
          </cell>
          <cell r="M281">
            <v>18.39</v>
          </cell>
          <cell r="N281" t="str">
            <v/>
          </cell>
          <cell r="O281" t="str">
            <v/>
          </cell>
          <cell r="P281" t="str">
            <v/>
          </cell>
          <cell r="Q281">
            <v>34.07</v>
          </cell>
          <cell r="R281" t="str">
            <v>UND</v>
          </cell>
          <cell r="S281">
            <v>0</v>
          </cell>
          <cell r="T281">
            <v>0</v>
          </cell>
          <cell r="U281" t="str">
            <v/>
          </cell>
          <cell r="V281" t="str">
            <v>PRO10</v>
          </cell>
          <cell r="W281">
            <v>0</v>
          </cell>
        </row>
        <row r="282">
          <cell r="C282" t="str">
            <v>PICABO205-14</v>
          </cell>
          <cell r="D282" t="str">
            <v>PRINC</v>
          </cell>
          <cell r="E282" t="str">
            <v>00010</v>
          </cell>
          <cell r="F282" t="str">
            <v>COMPONENTES P/SISTEMAS Y TRANSP.</v>
          </cell>
          <cell r="G282" t="str">
            <v>PRINCIPAL</v>
          </cell>
          <cell r="H282">
            <v>46004</v>
          </cell>
          <cell r="I282" t="str">
            <v>SALDO INICIAL</v>
          </cell>
          <cell r="J282">
            <v>-4</v>
          </cell>
          <cell r="K282">
            <v>0</v>
          </cell>
          <cell r="L282">
            <v>0</v>
          </cell>
          <cell r="M282">
            <v>0</v>
          </cell>
          <cell r="N282" t="str">
            <v/>
          </cell>
          <cell r="O282" t="str">
            <v/>
          </cell>
          <cell r="P282" t="str">
            <v/>
          </cell>
          <cell r="Q282">
            <v>6.15</v>
          </cell>
          <cell r="R282" t="str">
            <v>UND</v>
          </cell>
          <cell r="S282">
            <v>0</v>
          </cell>
          <cell r="T282">
            <v>0</v>
          </cell>
          <cell r="U282" t="str">
            <v/>
          </cell>
          <cell r="V282" t="str">
            <v>PRO10</v>
          </cell>
          <cell r="W282">
            <v>0</v>
          </cell>
        </row>
        <row r="283">
          <cell r="C283" t="str">
            <v>PI1XCAB303001</v>
          </cell>
          <cell r="D283" t="str">
            <v>PRINC</v>
          </cell>
          <cell r="E283" t="str">
            <v>00010</v>
          </cell>
          <cell r="F283" t="str">
            <v>COMPONENTES P/SISTEMAS Y TRANSP.</v>
          </cell>
          <cell r="G283" t="str">
            <v>PRINCIPAL</v>
          </cell>
          <cell r="H283">
            <v>46004</v>
          </cell>
          <cell r="I283" t="str">
            <v>SALDO INICIAL</v>
          </cell>
          <cell r="J283">
            <v>1</v>
          </cell>
          <cell r="K283">
            <v>11.3</v>
          </cell>
          <cell r="L283">
            <v>0</v>
          </cell>
          <cell r="M283">
            <v>11.3</v>
          </cell>
          <cell r="N283" t="str">
            <v/>
          </cell>
          <cell r="O283" t="str">
            <v/>
          </cell>
          <cell r="P283" t="str">
            <v/>
          </cell>
          <cell r="Q283">
            <v>21.5</v>
          </cell>
          <cell r="R283" t="str">
            <v>UND</v>
          </cell>
          <cell r="S283">
            <v>0</v>
          </cell>
          <cell r="T283">
            <v>0</v>
          </cell>
          <cell r="U283" t="str">
            <v/>
          </cell>
          <cell r="V283" t="str">
            <v>PRO10</v>
          </cell>
          <cell r="W283">
            <v>0</v>
          </cell>
        </row>
        <row r="284">
          <cell r="C284" t="str">
            <v>PI1ECLA000201</v>
          </cell>
          <cell r="D284" t="str">
            <v>PRINC</v>
          </cell>
          <cell r="E284" t="str">
            <v>00010</v>
          </cell>
          <cell r="F284" t="str">
            <v>COMPONENTES P/SISTEMAS Y TRANSP.</v>
          </cell>
          <cell r="G284" t="str">
            <v>PRINCIPAL</v>
          </cell>
          <cell r="H284">
            <v>46004</v>
          </cell>
          <cell r="I284" t="str">
            <v>SALDO INICIAL</v>
          </cell>
          <cell r="J284">
            <v>-15</v>
          </cell>
          <cell r="K284">
            <v>0</v>
          </cell>
          <cell r="L284">
            <v>0</v>
          </cell>
          <cell r="M284">
            <v>0</v>
          </cell>
          <cell r="N284" t="str">
            <v/>
          </cell>
          <cell r="O284" t="str">
            <v/>
          </cell>
          <cell r="P284" t="str">
            <v/>
          </cell>
          <cell r="Q284">
            <v>6.8</v>
          </cell>
          <cell r="R284" t="str">
            <v>UND</v>
          </cell>
          <cell r="S284">
            <v>0</v>
          </cell>
          <cell r="T284">
            <v>0</v>
          </cell>
          <cell r="U284" t="str">
            <v/>
          </cell>
          <cell r="V284" t="str">
            <v>PRO10</v>
          </cell>
          <cell r="W284">
            <v>0</v>
          </cell>
        </row>
        <row r="285">
          <cell r="C285" t="str">
            <v>GR1K681</v>
          </cell>
          <cell r="D285" t="str">
            <v>PRINC</v>
          </cell>
          <cell r="E285" t="str">
            <v>00010</v>
          </cell>
          <cell r="F285" t="str">
            <v>COMPONENTES P/SISTEMAS Y TRANSP.</v>
          </cell>
          <cell r="G285" t="str">
            <v>PRINCIPAL</v>
          </cell>
          <cell r="H285">
            <v>46004</v>
          </cell>
          <cell r="I285" t="str">
            <v>SALDO INICIAL</v>
          </cell>
          <cell r="J285">
            <v>8</v>
          </cell>
          <cell r="K285">
            <v>12.48</v>
          </cell>
          <cell r="L285">
            <v>0</v>
          </cell>
          <cell r="M285">
            <v>1.56</v>
          </cell>
          <cell r="N285" t="str">
            <v/>
          </cell>
          <cell r="O285" t="str">
            <v/>
          </cell>
          <cell r="P285" t="str">
            <v/>
          </cell>
          <cell r="Q285">
            <v>2.73</v>
          </cell>
          <cell r="R285" t="str">
            <v>UND</v>
          </cell>
          <cell r="S285">
            <v>0</v>
          </cell>
          <cell r="T285">
            <v>0</v>
          </cell>
          <cell r="U285" t="str">
            <v/>
          </cell>
          <cell r="V285" t="str">
            <v>PRO10</v>
          </cell>
          <cell r="W285">
            <v>0</v>
          </cell>
        </row>
        <row r="286">
          <cell r="C286" t="str">
            <v>CC880K4501V610</v>
          </cell>
          <cell r="D286" t="str">
            <v>PRINC</v>
          </cell>
          <cell r="E286" t="str">
            <v>00010</v>
          </cell>
          <cell r="F286" t="str">
            <v>COMPONENTES P/SISTEMAS Y TRANSP.</v>
          </cell>
          <cell r="G286" t="str">
            <v>PRINCIPAL</v>
          </cell>
          <cell r="H286">
            <v>46004</v>
          </cell>
          <cell r="I286" t="str">
            <v>SALDO INICIAL</v>
          </cell>
          <cell r="J286">
            <v>-0.5</v>
          </cell>
          <cell r="K286">
            <v>0</v>
          </cell>
          <cell r="L286">
            <v>0</v>
          </cell>
          <cell r="M286">
            <v>0</v>
          </cell>
          <cell r="N286" t="str">
            <v/>
          </cell>
          <cell r="O286" t="str">
            <v/>
          </cell>
          <cell r="P286" t="str">
            <v/>
          </cell>
          <cell r="Q286">
            <v>0</v>
          </cell>
          <cell r="R286" t="str">
            <v>PAR</v>
          </cell>
          <cell r="S286">
            <v>0</v>
          </cell>
          <cell r="T286">
            <v>0</v>
          </cell>
          <cell r="U286" t="str">
            <v/>
          </cell>
          <cell r="V286" t="str">
            <v>PRO10</v>
          </cell>
          <cell r="W286">
            <v>0</v>
          </cell>
        </row>
        <row r="287">
          <cell r="C287" t="str">
            <v>PI1FELE301001</v>
          </cell>
          <cell r="D287" t="str">
            <v>PRINC</v>
          </cell>
          <cell r="E287" t="str">
            <v>00010</v>
          </cell>
          <cell r="F287" t="str">
            <v>COMPONENTES P/SISTEMAS Y TRANSP.</v>
          </cell>
          <cell r="G287" t="str">
            <v>PRINCIPAL</v>
          </cell>
          <cell r="H287">
            <v>46004</v>
          </cell>
          <cell r="I287" t="str">
            <v>SALDO INICIAL</v>
          </cell>
          <cell r="J287">
            <v>4</v>
          </cell>
          <cell r="K287">
            <v>6.64</v>
          </cell>
          <cell r="L287">
            <v>0</v>
          </cell>
          <cell r="M287">
            <v>1.66</v>
          </cell>
          <cell r="N287" t="str">
            <v/>
          </cell>
          <cell r="O287" t="str">
            <v/>
          </cell>
          <cell r="P287" t="str">
            <v/>
          </cell>
          <cell r="Q287">
            <v>3.2</v>
          </cell>
          <cell r="R287" t="str">
            <v>UND</v>
          </cell>
          <cell r="S287">
            <v>0</v>
          </cell>
          <cell r="T287">
            <v>0</v>
          </cell>
          <cell r="U287" t="str">
            <v/>
          </cell>
          <cell r="V287" t="str">
            <v>PRO10</v>
          </cell>
          <cell r="W287">
            <v>0</v>
          </cell>
        </row>
        <row r="288">
          <cell r="C288" t="str">
            <v>GR4X630</v>
          </cell>
          <cell r="D288" t="str">
            <v>PRINC</v>
          </cell>
          <cell r="E288" t="str">
            <v>00010</v>
          </cell>
          <cell r="F288" t="str">
            <v>COMPONENTES P/SISTEMAS Y TRANSP.</v>
          </cell>
          <cell r="G288" t="str">
            <v>PRINCIPAL</v>
          </cell>
          <cell r="H288">
            <v>46004</v>
          </cell>
          <cell r="I288" t="str">
            <v>SALDO INICIAL</v>
          </cell>
          <cell r="J288">
            <v>16</v>
          </cell>
          <cell r="K288">
            <v>14.72</v>
          </cell>
          <cell r="L288">
            <v>0.92</v>
          </cell>
          <cell r="M288">
            <v>0.92</v>
          </cell>
          <cell r="N288" t="str">
            <v/>
          </cell>
          <cell r="O288" t="str">
            <v/>
          </cell>
          <cell r="P288" t="str">
            <v/>
          </cell>
          <cell r="Q288">
            <v>1.61</v>
          </cell>
          <cell r="R288" t="str">
            <v>UND</v>
          </cell>
          <cell r="S288">
            <v>0</v>
          </cell>
          <cell r="T288">
            <v>0</v>
          </cell>
          <cell r="U288" t="str">
            <v/>
          </cell>
          <cell r="V288" t="str">
            <v>PRO10</v>
          </cell>
          <cell r="W288">
            <v>0</v>
          </cell>
        </row>
        <row r="289">
          <cell r="C289" t="str">
            <v>GR5A013</v>
          </cell>
          <cell r="D289" t="str">
            <v>PRINC</v>
          </cell>
          <cell r="E289" t="str">
            <v>00010</v>
          </cell>
          <cell r="F289" t="str">
            <v>COMPONENTES P/SISTEMAS Y TRANSP.</v>
          </cell>
          <cell r="G289" t="str">
            <v>PRINCIPAL</v>
          </cell>
          <cell r="H289">
            <v>46004</v>
          </cell>
          <cell r="I289" t="str">
            <v>SALDO INICIAL</v>
          </cell>
          <cell r="J289">
            <v>19</v>
          </cell>
          <cell r="K289">
            <v>21.85</v>
          </cell>
          <cell r="L289">
            <v>0</v>
          </cell>
          <cell r="M289">
            <v>1.1499999999999999</v>
          </cell>
          <cell r="N289" t="str">
            <v/>
          </cell>
          <cell r="O289" t="str">
            <v/>
          </cell>
          <cell r="P289" t="str">
            <v/>
          </cell>
          <cell r="Q289">
            <v>2.0499999999999998</v>
          </cell>
          <cell r="R289" t="str">
            <v>UND</v>
          </cell>
          <cell r="S289">
            <v>0</v>
          </cell>
          <cell r="T289">
            <v>0</v>
          </cell>
          <cell r="U289" t="str">
            <v/>
          </cell>
          <cell r="V289" t="str">
            <v>PRO10</v>
          </cell>
          <cell r="W289">
            <v>0</v>
          </cell>
        </row>
        <row r="290">
          <cell r="C290" t="str">
            <v>GR4X500</v>
          </cell>
          <cell r="D290" t="str">
            <v>PRINC</v>
          </cell>
          <cell r="E290" t="str">
            <v>00010</v>
          </cell>
          <cell r="F290" t="str">
            <v>COMPONENTES P/SISTEMAS Y TRANSP.</v>
          </cell>
          <cell r="G290" t="str">
            <v>PRINCIPAL</v>
          </cell>
          <cell r="H290">
            <v>46004</v>
          </cell>
          <cell r="I290" t="str">
            <v>SALDO INICIAL</v>
          </cell>
          <cell r="J290">
            <v>10</v>
          </cell>
          <cell r="K290">
            <v>8.5</v>
          </cell>
          <cell r="L290">
            <v>0</v>
          </cell>
          <cell r="M290">
            <v>0.85</v>
          </cell>
          <cell r="N290" t="str">
            <v/>
          </cell>
          <cell r="O290" t="str">
            <v/>
          </cell>
          <cell r="P290" t="str">
            <v/>
          </cell>
          <cell r="Q290">
            <v>1.5</v>
          </cell>
          <cell r="R290" t="str">
            <v>UND</v>
          </cell>
          <cell r="S290">
            <v>0</v>
          </cell>
          <cell r="T290">
            <v>0</v>
          </cell>
          <cell r="U290" t="str">
            <v/>
          </cell>
          <cell r="V290" t="str">
            <v>PRO10</v>
          </cell>
          <cell r="W290">
            <v>0</v>
          </cell>
        </row>
        <row r="291">
          <cell r="C291" t="str">
            <v>ESFERASS1</v>
          </cell>
          <cell r="D291" t="str">
            <v>PRINC</v>
          </cell>
          <cell r="E291" t="str">
            <v>00010</v>
          </cell>
          <cell r="F291" t="str">
            <v>COMPONENTES P/SISTEMAS Y TRANSP.</v>
          </cell>
          <cell r="G291" t="str">
            <v>PRINCIPAL</v>
          </cell>
          <cell r="H291">
            <v>46004</v>
          </cell>
          <cell r="I291" t="str">
            <v>SALDO INICIAL</v>
          </cell>
          <cell r="J291">
            <v>1</v>
          </cell>
          <cell r="K291">
            <v>5.65</v>
          </cell>
          <cell r="L291">
            <v>5.65</v>
          </cell>
          <cell r="M291">
            <v>5.65</v>
          </cell>
          <cell r="N291" t="str">
            <v/>
          </cell>
          <cell r="O291" t="str">
            <v/>
          </cell>
          <cell r="P291" t="str">
            <v/>
          </cell>
          <cell r="Q291">
            <v>13.9</v>
          </cell>
          <cell r="R291" t="str">
            <v>UND</v>
          </cell>
          <cell r="S291">
            <v>0</v>
          </cell>
          <cell r="T291">
            <v>0</v>
          </cell>
          <cell r="U291" t="str">
            <v/>
          </cell>
          <cell r="V291" t="str">
            <v>PRO10</v>
          </cell>
          <cell r="W291">
            <v>0</v>
          </cell>
        </row>
        <row r="292">
          <cell r="C292" t="str">
            <v>ESFERASS1/2</v>
          </cell>
          <cell r="D292" t="str">
            <v>PRINC</v>
          </cell>
          <cell r="E292" t="str">
            <v>00010</v>
          </cell>
          <cell r="F292" t="str">
            <v>COMPONENTES P/SISTEMAS Y TRANSP.</v>
          </cell>
          <cell r="G292" t="str">
            <v>PRINCIPAL</v>
          </cell>
          <cell r="H292">
            <v>46004</v>
          </cell>
          <cell r="I292" t="str">
            <v>SALDO INICIAL</v>
          </cell>
          <cell r="J292">
            <v>56</v>
          </cell>
          <cell r="K292">
            <v>22.4</v>
          </cell>
          <cell r="L292">
            <v>0</v>
          </cell>
          <cell r="M292">
            <v>0.4</v>
          </cell>
          <cell r="N292" t="str">
            <v/>
          </cell>
          <cell r="O292" t="str">
            <v/>
          </cell>
          <cell r="P292" t="str">
            <v/>
          </cell>
          <cell r="Q292">
            <v>8.9</v>
          </cell>
          <cell r="R292" t="str">
            <v>UND</v>
          </cell>
          <cell r="S292">
            <v>0</v>
          </cell>
          <cell r="T292">
            <v>0</v>
          </cell>
          <cell r="U292" t="str">
            <v/>
          </cell>
          <cell r="V292" t="str">
            <v>PRO10</v>
          </cell>
          <cell r="W292">
            <v>0</v>
          </cell>
        </row>
        <row r="293">
          <cell r="C293" t="str">
            <v>ESFERASS3/4</v>
          </cell>
          <cell r="D293" t="str">
            <v>PRINC</v>
          </cell>
          <cell r="E293" t="str">
            <v>00010</v>
          </cell>
          <cell r="F293" t="str">
            <v>COMPONENTES P/SISTEMAS Y TRANSP.</v>
          </cell>
          <cell r="G293" t="str">
            <v>PRINCIPAL</v>
          </cell>
          <cell r="H293">
            <v>46004</v>
          </cell>
          <cell r="I293" t="str">
            <v>SALDO INICIAL</v>
          </cell>
          <cell r="J293">
            <v>10</v>
          </cell>
          <cell r="K293">
            <v>16.399999999999999</v>
          </cell>
          <cell r="L293">
            <v>1.64</v>
          </cell>
          <cell r="M293">
            <v>1.64</v>
          </cell>
          <cell r="N293" t="str">
            <v/>
          </cell>
          <cell r="O293" t="str">
            <v/>
          </cell>
          <cell r="P293" t="str">
            <v/>
          </cell>
          <cell r="Q293">
            <v>12.1</v>
          </cell>
          <cell r="R293" t="str">
            <v>UND</v>
          </cell>
          <cell r="S293">
            <v>0</v>
          </cell>
          <cell r="T293">
            <v>0</v>
          </cell>
          <cell r="U293" t="str">
            <v/>
          </cell>
          <cell r="V293" t="str">
            <v>PRO10</v>
          </cell>
          <cell r="W293">
            <v>0</v>
          </cell>
        </row>
        <row r="294">
          <cell r="C294" t="str">
            <v>ESFERASS3/8</v>
          </cell>
          <cell r="D294" t="str">
            <v>PRINC</v>
          </cell>
          <cell r="E294" t="str">
            <v>00010</v>
          </cell>
          <cell r="F294" t="str">
            <v>COMPONENTES P/SISTEMAS Y TRANSP.</v>
          </cell>
          <cell r="G294" t="str">
            <v>PRINCIPAL</v>
          </cell>
          <cell r="H294">
            <v>46004</v>
          </cell>
          <cell r="I294" t="str">
            <v>SALDO INICIAL</v>
          </cell>
          <cell r="J294">
            <v>58</v>
          </cell>
          <cell r="K294">
            <v>26.68</v>
          </cell>
          <cell r="L294">
            <v>0</v>
          </cell>
          <cell r="M294">
            <v>0.46</v>
          </cell>
          <cell r="N294" t="str">
            <v/>
          </cell>
          <cell r="O294" t="str">
            <v/>
          </cell>
          <cell r="P294" t="str">
            <v/>
          </cell>
          <cell r="Q294">
            <v>7.8</v>
          </cell>
          <cell r="R294" t="str">
            <v>UND</v>
          </cell>
          <cell r="S294">
            <v>0</v>
          </cell>
          <cell r="T294">
            <v>0</v>
          </cell>
          <cell r="U294" t="str">
            <v/>
          </cell>
          <cell r="V294" t="str">
            <v>PRO10</v>
          </cell>
          <cell r="W294">
            <v>0</v>
          </cell>
        </row>
        <row r="295">
          <cell r="C295" t="str">
            <v>ESFERASS5/8</v>
          </cell>
          <cell r="D295" t="str">
            <v>PRINC</v>
          </cell>
          <cell r="E295" t="str">
            <v>00010</v>
          </cell>
          <cell r="F295" t="str">
            <v>COMPONENTES P/SISTEMAS Y TRANSP.</v>
          </cell>
          <cell r="G295" t="str">
            <v>PRINCIPAL</v>
          </cell>
          <cell r="H295">
            <v>46004</v>
          </cell>
          <cell r="I295" t="str">
            <v>SALDO INICIAL</v>
          </cell>
          <cell r="J295">
            <v>104</v>
          </cell>
          <cell r="K295">
            <v>78</v>
          </cell>
          <cell r="L295">
            <v>0.75</v>
          </cell>
          <cell r="M295">
            <v>0.75</v>
          </cell>
          <cell r="N295" t="str">
            <v/>
          </cell>
          <cell r="O295" t="str">
            <v/>
          </cell>
          <cell r="P295" t="str">
            <v/>
          </cell>
          <cell r="Q295">
            <v>9.1999999999999993</v>
          </cell>
          <cell r="R295" t="str">
            <v>UND</v>
          </cell>
          <cell r="S295">
            <v>0</v>
          </cell>
          <cell r="T295">
            <v>0</v>
          </cell>
          <cell r="U295" t="str">
            <v/>
          </cell>
          <cell r="V295" t="str">
            <v>PRO10</v>
          </cell>
          <cell r="W295">
            <v>0</v>
          </cell>
        </row>
        <row r="296">
          <cell r="C296" t="str">
            <v>RS187J12/300NC</v>
          </cell>
          <cell r="D296" t="str">
            <v>PRINC</v>
          </cell>
          <cell r="E296" t="str">
            <v>00010</v>
          </cell>
          <cell r="F296" t="str">
            <v>COMPONENTES P/SISTEMAS Y TRANSP.</v>
          </cell>
          <cell r="G296" t="str">
            <v>PRINCIPAL</v>
          </cell>
          <cell r="H296">
            <v>46004</v>
          </cell>
          <cell r="I296" t="str">
            <v>SALDO INICIAL</v>
          </cell>
          <cell r="J296">
            <v>2</v>
          </cell>
          <cell r="K296">
            <v>233.72839400000001</v>
          </cell>
          <cell r="L296">
            <v>116.864198</v>
          </cell>
          <cell r="M296">
            <v>116.864197</v>
          </cell>
          <cell r="N296" t="str">
            <v/>
          </cell>
          <cell r="O296" t="str">
            <v/>
          </cell>
          <cell r="P296" t="str">
            <v/>
          </cell>
          <cell r="Q296">
            <v>0</v>
          </cell>
          <cell r="R296" t="str">
            <v>CJA</v>
          </cell>
          <cell r="S296">
            <v>0</v>
          </cell>
          <cell r="T296">
            <v>0</v>
          </cell>
          <cell r="U296" t="str">
            <v/>
          </cell>
          <cell r="V296" t="str">
            <v>PRO10</v>
          </cell>
          <cell r="W296">
            <v>0</v>
          </cell>
        </row>
        <row r="297">
          <cell r="C297" t="str">
            <v>PI1GBAS303010</v>
          </cell>
          <cell r="D297" t="str">
            <v>PRINC</v>
          </cell>
          <cell r="E297" t="str">
            <v>00010</v>
          </cell>
          <cell r="F297" t="str">
            <v>COMPONENTES P/SISTEMAS Y TRANSP.</v>
          </cell>
          <cell r="G297" t="str">
            <v>PRINCIPAL</v>
          </cell>
          <cell r="H297">
            <v>46004</v>
          </cell>
          <cell r="I297" t="str">
            <v>SALDO INICIAL</v>
          </cell>
          <cell r="J297">
            <v>9</v>
          </cell>
          <cell r="K297">
            <v>31.14</v>
          </cell>
          <cell r="L297">
            <v>0</v>
          </cell>
          <cell r="M297">
            <v>3.46</v>
          </cell>
          <cell r="N297" t="str">
            <v/>
          </cell>
          <cell r="O297" t="str">
            <v/>
          </cell>
          <cell r="P297" t="str">
            <v/>
          </cell>
          <cell r="Q297">
            <v>6.6</v>
          </cell>
          <cell r="R297" t="str">
            <v>UND</v>
          </cell>
          <cell r="S297">
            <v>0</v>
          </cell>
          <cell r="T297">
            <v>0</v>
          </cell>
          <cell r="U297" t="str">
            <v/>
          </cell>
          <cell r="V297" t="str">
            <v>PRO10</v>
          </cell>
          <cell r="W297">
            <v>0</v>
          </cell>
        </row>
        <row r="298">
          <cell r="C298" t="str">
            <v>PI1GBAS302011</v>
          </cell>
          <cell r="D298" t="str">
            <v>PRINC</v>
          </cell>
          <cell r="E298" t="str">
            <v>00010</v>
          </cell>
          <cell r="F298" t="str">
            <v>COMPONENTES P/SISTEMAS Y TRANSP.</v>
          </cell>
          <cell r="G298" t="str">
            <v>PRINCIPAL</v>
          </cell>
          <cell r="H298">
            <v>46004</v>
          </cell>
          <cell r="I298" t="str">
            <v>SALDO INICIAL</v>
          </cell>
          <cell r="J298">
            <v>1</v>
          </cell>
          <cell r="K298">
            <v>3.03</v>
          </cell>
          <cell r="L298">
            <v>3.03</v>
          </cell>
          <cell r="M298">
            <v>3.03</v>
          </cell>
          <cell r="N298" t="str">
            <v/>
          </cell>
          <cell r="O298" t="str">
            <v/>
          </cell>
          <cell r="P298" t="str">
            <v/>
          </cell>
          <cell r="Q298">
            <v>5.8</v>
          </cell>
          <cell r="R298" t="str">
            <v>UND</v>
          </cell>
          <cell r="S298">
            <v>0</v>
          </cell>
          <cell r="T298">
            <v>0</v>
          </cell>
          <cell r="U298" t="str">
            <v/>
          </cell>
          <cell r="V298" t="str">
            <v>PRO10</v>
          </cell>
          <cell r="W298">
            <v>0</v>
          </cell>
        </row>
        <row r="299">
          <cell r="C299" t="str">
            <v>PI1EMOR000132</v>
          </cell>
          <cell r="D299" t="str">
            <v>PRINC</v>
          </cell>
          <cell r="E299" t="str">
            <v>00010</v>
          </cell>
          <cell r="F299" t="str">
            <v>COMPONENTES P/SISTEMAS Y TRANSP.</v>
          </cell>
          <cell r="G299" t="str">
            <v>PRINCIPAL</v>
          </cell>
          <cell r="H299">
            <v>46004</v>
          </cell>
          <cell r="I299" t="str">
            <v>SALDO INICIAL</v>
          </cell>
          <cell r="J299">
            <v>-4</v>
          </cell>
          <cell r="K299">
            <v>0</v>
          </cell>
          <cell r="L299">
            <v>0</v>
          </cell>
          <cell r="M299">
            <v>0</v>
          </cell>
          <cell r="N299" t="str">
            <v/>
          </cell>
          <cell r="O299" t="str">
            <v/>
          </cell>
          <cell r="P299" t="str">
            <v/>
          </cell>
          <cell r="Q299">
            <v>4.8</v>
          </cell>
          <cell r="R299" t="str">
            <v>UND</v>
          </cell>
          <cell r="S299">
            <v>0</v>
          </cell>
          <cell r="T299">
            <v>0</v>
          </cell>
          <cell r="U299" t="str">
            <v/>
          </cell>
          <cell r="V299" t="str">
            <v>PRO10</v>
          </cell>
          <cell r="W299">
            <v>0</v>
          </cell>
        </row>
        <row r="300">
          <cell r="C300" t="str">
            <v>TE101/83145</v>
          </cell>
          <cell r="D300" t="str">
            <v>PRINC</v>
          </cell>
          <cell r="E300" t="str">
            <v>00010</v>
          </cell>
          <cell r="F300" t="str">
            <v>COMPONENTES P/SISTEMAS Y TRANSP.</v>
          </cell>
          <cell r="G300" t="str">
            <v>PRINCIPAL</v>
          </cell>
          <cell r="H300">
            <v>46004</v>
          </cell>
          <cell r="I300" t="str">
            <v>SALDO INICIAL</v>
          </cell>
          <cell r="J300">
            <v>-8</v>
          </cell>
          <cell r="K300">
            <v>0</v>
          </cell>
          <cell r="L300">
            <v>0</v>
          </cell>
          <cell r="M300">
            <v>0</v>
          </cell>
          <cell r="N300" t="str">
            <v/>
          </cell>
          <cell r="O300" t="str">
            <v/>
          </cell>
          <cell r="P300" t="str">
            <v/>
          </cell>
          <cell r="Q300">
            <v>24.4</v>
          </cell>
          <cell r="R300" t="str">
            <v>UND</v>
          </cell>
          <cell r="S300">
            <v>0</v>
          </cell>
          <cell r="T300">
            <v>0</v>
          </cell>
          <cell r="U300" t="str">
            <v/>
          </cell>
          <cell r="V300" t="str">
            <v>PRO10</v>
          </cell>
          <cell r="W300">
            <v>0</v>
          </cell>
        </row>
        <row r="301">
          <cell r="C301" t="str">
            <v>TE38/83291</v>
          </cell>
          <cell r="D301" t="str">
            <v>PRINC</v>
          </cell>
          <cell r="E301" t="str">
            <v>00010</v>
          </cell>
          <cell r="F301" t="str">
            <v>COMPONENTES P/SISTEMAS Y TRANSP.</v>
          </cell>
          <cell r="G301" t="str">
            <v>PRINCIPAL</v>
          </cell>
          <cell r="H301">
            <v>46004</v>
          </cell>
          <cell r="I301" t="str">
            <v>SALDO INICIAL</v>
          </cell>
          <cell r="J301">
            <v>-7</v>
          </cell>
          <cell r="K301">
            <v>0</v>
          </cell>
          <cell r="L301">
            <v>0</v>
          </cell>
          <cell r="M301">
            <v>0</v>
          </cell>
          <cell r="N301" t="str">
            <v/>
          </cell>
          <cell r="O301" t="str">
            <v/>
          </cell>
          <cell r="P301" t="str">
            <v/>
          </cell>
          <cell r="Q301">
            <v>14.9</v>
          </cell>
          <cell r="R301" t="str">
            <v>UND</v>
          </cell>
          <cell r="S301">
            <v>0</v>
          </cell>
          <cell r="T301">
            <v>0</v>
          </cell>
          <cell r="U301" t="str">
            <v/>
          </cell>
          <cell r="V301" t="str">
            <v>PRO10</v>
          </cell>
          <cell r="W301">
            <v>0</v>
          </cell>
        </row>
        <row r="302">
          <cell r="C302" t="str">
            <v>TE25/7091</v>
          </cell>
          <cell r="D302" t="str">
            <v>PRINC</v>
          </cell>
          <cell r="E302" t="str">
            <v>00010</v>
          </cell>
          <cell r="F302" t="str">
            <v>COMPONENTES P/SISTEMAS Y TRANSP.</v>
          </cell>
          <cell r="G302" t="str">
            <v>PRINCIPAL</v>
          </cell>
          <cell r="H302">
            <v>46004</v>
          </cell>
          <cell r="I302" t="str">
            <v>SALDO INICIAL</v>
          </cell>
          <cell r="J302">
            <v>-88</v>
          </cell>
          <cell r="K302">
            <v>0</v>
          </cell>
          <cell r="L302">
            <v>0</v>
          </cell>
          <cell r="M302">
            <v>0</v>
          </cell>
          <cell r="N302" t="str">
            <v/>
          </cell>
          <cell r="O302" t="str">
            <v/>
          </cell>
          <cell r="P302" t="str">
            <v/>
          </cell>
          <cell r="Q302">
            <v>7.6</v>
          </cell>
          <cell r="R302" t="str">
            <v>UND</v>
          </cell>
          <cell r="S302">
            <v>0</v>
          </cell>
          <cell r="T302">
            <v>0</v>
          </cell>
          <cell r="U302" t="str">
            <v/>
          </cell>
          <cell r="V302" t="str">
            <v>PRO10</v>
          </cell>
          <cell r="W302">
            <v>0</v>
          </cell>
        </row>
        <row r="303">
          <cell r="C303" t="str">
            <v>PI1ENUE000204</v>
          </cell>
          <cell r="D303" t="str">
            <v>PRINC</v>
          </cell>
          <cell r="E303" t="str">
            <v>00010</v>
          </cell>
          <cell r="F303" t="str">
            <v>COMPONENTES P/SISTEMAS Y TRANSP.</v>
          </cell>
          <cell r="G303" t="str">
            <v>PRINCIPAL</v>
          </cell>
          <cell r="H303">
            <v>46004</v>
          </cell>
          <cell r="I303" t="str">
            <v>SALDO INICIAL</v>
          </cell>
          <cell r="J303">
            <v>-15</v>
          </cell>
          <cell r="K303">
            <v>0</v>
          </cell>
          <cell r="L303">
            <v>0</v>
          </cell>
          <cell r="M303">
            <v>0</v>
          </cell>
          <cell r="N303" t="str">
            <v/>
          </cell>
          <cell r="O303" t="str">
            <v/>
          </cell>
          <cell r="P303" t="str">
            <v/>
          </cell>
          <cell r="Q303">
            <v>6.65</v>
          </cell>
          <cell r="R303" t="str">
            <v>UND</v>
          </cell>
          <cell r="S303">
            <v>0</v>
          </cell>
          <cell r="T303">
            <v>0</v>
          </cell>
          <cell r="U303" t="str">
            <v/>
          </cell>
          <cell r="V303" t="str">
            <v>PRO10</v>
          </cell>
          <cell r="W303">
            <v>0</v>
          </cell>
        </row>
        <row r="304">
          <cell r="C304" t="str">
            <v>PI1EPAL303010</v>
          </cell>
          <cell r="D304" t="str">
            <v>PRINC</v>
          </cell>
          <cell r="E304" t="str">
            <v>00010</v>
          </cell>
          <cell r="F304" t="str">
            <v>COMPONENTES P/SISTEMAS Y TRANSP.</v>
          </cell>
          <cell r="G304" t="str">
            <v>PRINCIPAL</v>
          </cell>
          <cell r="H304">
            <v>46004</v>
          </cell>
          <cell r="I304" t="str">
            <v>SALDO INICIAL</v>
          </cell>
          <cell r="J304">
            <v>3</v>
          </cell>
          <cell r="K304">
            <v>7.32</v>
          </cell>
          <cell r="L304">
            <v>0</v>
          </cell>
          <cell r="M304">
            <v>2.44</v>
          </cell>
          <cell r="N304" t="str">
            <v/>
          </cell>
          <cell r="O304" t="str">
            <v/>
          </cell>
          <cell r="P304" t="str">
            <v/>
          </cell>
          <cell r="Q304">
            <v>4.7</v>
          </cell>
          <cell r="R304" t="str">
            <v>UND</v>
          </cell>
          <cell r="S304">
            <v>0</v>
          </cell>
          <cell r="T304">
            <v>0</v>
          </cell>
          <cell r="U304" t="str">
            <v/>
          </cell>
          <cell r="V304" t="str">
            <v>PRO10</v>
          </cell>
          <cell r="W304">
            <v>0</v>
          </cell>
        </row>
        <row r="305">
          <cell r="C305" t="str">
            <v>PI1FPAT301001</v>
          </cell>
          <cell r="D305" t="str">
            <v>PRINC</v>
          </cell>
          <cell r="E305" t="str">
            <v>00010</v>
          </cell>
          <cell r="F305" t="str">
            <v>COMPONENTES P/SISTEMAS Y TRANSP.</v>
          </cell>
          <cell r="G305" t="str">
            <v>PRINCIPAL</v>
          </cell>
          <cell r="H305">
            <v>46004</v>
          </cell>
          <cell r="I305" t="str">
            <v>SALDO INICIAL</v>
          </cell>
          <cell r="J305">
            <v>8</v>
          </cell>
          <cell r="K305">
            <v>10.4</v>
          </cell>
          <cell r="L305">
            <v>0</v>
          </cell>
          <cell r="M305">
            <v>1.3</v>
          </cell>
          <cell r="N305" t="str">
            <v/>
          </cell>
          <cell r="O305" t="str">
            <v/>
          </cell>
          <cell r="P305" t="str">
            <v/>
          </cell>
          <cell r="Q305">
            <v>2.5</v>
          </cell>
          <cell r="R305" t="str">
            <v>UND</v>
          </cell>
          <cell r="S305">
            <v>0</v>
          </cell>
          <cell r="T305">
            <v>0</v>
          </cell>
          <cell r="U305" t="str">
            <v/>
          </cell>
          <cell r="V305" t="str">
            <v>PRO10</v>
          </cell>
          <cell r="W305">
            <v>0</v>
          </cell>
        </row>
        <row r="306">
          <cell r="C306" t="str">
            <v>REX834.12.793</v>
          </cell>
          <cell r="D306" t="str">
            <v>PRINC</v>
          </cell>
          <cell r="E306" t="str">
            <v>00010</v>
          </cell>
          <cell r="F306" t="str">
            <v>COMPONENTES P/SISTEMAS Y TRANSP.</v>
          </cell>
          <cell r="G306" t="str">
            <v>PRINCIPAL</v>
          </cell>
          <cell r="H306">
            <v>46004</v>
          </cell>
          <cell r="I306" t="str">
            <v>SALDO INICIAL</v>
          </cell>
          <cell r="J306">
            <v>20</v>
          </cell>
          <cell r="K306">
            <v>884.45828500000005</v>
          </cell>
          <cell r="L306">
            <v>44.222912999999998</v>
          </cell>
          <cell r="M306">
            <v>44.222914250000002</v>
          </cell>
          <cell r="N306" t="str">
            <v/>
          </cell>
          <cell r="O306" t="str">
            <v/>
          </cell>
          <cell r="P306" t="str">
            <v/>
          </cell>
          <cell r="Q306">
            <v>73</v>
          </cell>
          <cell r="R306" t="str">
            <v>UND</v>
          </cell>
          <cell r="S306">
            <v>0</v>
          </cell>
          <cell r="T306">
            <v>0</v>
          </cell>
          <cell r="U306" t="str">
            <v/>
          </cell>
          <cell r="V306" t="str">
            <v>PRO10</v>
          </cell>
          <cell r="W306">
            <v>0</v>
          </cell>
        </row>
        <row r="307">
          <cell r="C307" t="str">
            <v>GRPOVAL</v>
          </cell>
          <cell r="D307" t="str">
            <v>PRINC</v>
          </cell>
          <cell r="E307" t="str">
            <v>00010</v>
          </cell>
          <cell r="F307" t="str">
            <v>COMPONENTES P/SISTEMAS Y TRANSP.</v>
          </cell>
          <cell r="G307" t="str">
            <v>PRINCIPAL</v>
          </cell>
          <cell r="H307">
            <v>46004</v>
          </cell>
          <cell r="I307" t="str">
            <v>SALDO INICIAL</v>
          </cell>
          <cell r="J307">
            <v>8</v>
          </cell>
          <cell r="K307">
            <v>6.72</v>
          </cell>
          <cell r="L307">
            <v>0</v>
          </cell>
          <cell r="M307">
            <v>0.84</v>
          </cell>
          <cell r="N307" t="str">
            <v/>
          </cell>
          <cell r="O307" t="str">
            <v/>
          </cell>
          <cell r="P307" t="str">
            <v/>
          </cell>
          <cell r="Q307">
            <v>1.47</v>
          </cell>
          <cell r="R307" t="str">
            <v>UND</v>
          </cell>
          <cell r="S307">
            <v>0</v>
          </cell>
          <cell r="T307">
            <v>0</v>
          </cell>
          <cell r="U307" t="str">
            <v/>
          </cell>
          <cell r="V307" t="str">
            <v>PRO10</v>
          </cell>
          <cell r="W307">
            <v>0</v>
          </cell>
        </row>
        <row r="308">
          <cell r="C308" t="str">
            <v>GR4X819</v>
          </cell>
          <cell r="D308" t="str">
            <v>PRINC</v>
          </cell>
          <cell r="E308" t="str">
            <v>00010</v>
          </cell>
          <cell r="F308" t="str">
            <v>COMPONENTES P/SISTEMAS Y TRANSP.</v>
          </cell>
          <cell r="G308" t="str">
            <v>PRINCIPAL</v>
          </cell>
          <cell r="H308">
            <v>46004</v>
          </cell>
          <cell r="I308" t="str">
            <v>SALDO INICIAL</v>
          </cell>
          <cell r="J308">
            <v>12</v>
          </cell>
          <cell r="K308">
            <v>16.920000000000002</v>
          </cell>
          <cell r="L308">
            <v>0</v>
          </cell>
          <cell r="M308">
            <v>1.41</v>
          </cell>
          <cell r="N308" t="str">
            <v/>
          </cell>
          <cell r="O308" t="str">
            <v/>
          </cell>
          <cell r="P308" t="str">
            <v/>
          </cell>
          <cell r="Q308">
            <v>2.5</v>
          </cell>
          <cell r="R308" t="str">
            <v>UND</v>
          </cell>
          <cell r="S308">
            <v>0</v>
          </cell>
          <cell r="T308">
            <v>0</v>
          </cell>
          <cell r="U308" t="str">
            <v/>
          </cell>
          <cell r="V308" t="str">
            <v>PRO10</v>
          </cell>
          <cell r="W308">
            <v>0</v>
          </cell>
        </row>
        <row r="309">
          <cell r="C309" t="str">
            <v>TE406/84330</v>
          </cell>
          <cell r="D309" t="str">
            <v>PRINC</v>
          </cell>
          <cell r="E309" t="str">
            <v>00010</v>
          </cell>
          <cell r="F309" t="str">
            <v>COMPONENTES P/SISTEMAS Y TRANSP.</v>
          </cell>
          <cell r="G309" t="str">
            <v>PRINCIPAL</v>
          </cell>
          <cell r="H309">
            <v>46004</v>
          </cell>
          <cell r="I309" t="str">
            <v>SALDO INICIAL</v>
          </cell>
          <cell r="J309">
            <v>12</v>
          </cell>
          <cell r="K309">
            <v>64.8</v>
          </cell>
          <cell r="L309">
            <v>5.4</v>
          </cell>
          <cell r="M309">
            <v>5.4</v>
          </cell>
          <cell r="N309" t="str">
            <v/>
          </cell>
          <cell r="O309" t="str">
            <v/>
          </cell>
          <cell r="P309" t="str">
            <v/>
          </cell>
          <cell r="Q309">
            <v>7.9</v>
          </cell>
          <cell r="R309" t="str">
            <v>UND</v>
          </cell>
          <cell r="S309">
            <v>0</v>
          </cell>
          <cell r="T309">
            <v>0</v>
          </cell>
          <cell r="U309" t="str">
            <v/>
          </cell>
          <cell r="V309" t="str">
            <v>PRO10</v>
          </cell>
          <cell r="W309">
            <v>0</v>
          </cell>
        </row>
        <row r="310">
          <cell r="C310" t="str">
            <v>INA6H7A1XXC3MS</v>
          </cell>
          <cell r="D310" t="str">
            <v>PRINC</v>
          </cell>
          <cell r="E310" t="str">
            <v>00010</v>
          </cell>
          <cell r="F310" t="str">
            <v>COMPONENTES P/SISTEMAS Y TRANSP.</v>
          </cell>
          <cell r="G310" t="str">
            <v>PRINCIPAL</v>
          </cell>
          <cell r="H310">
            <v>46004</v>
          </cell>
          <cell r="I310" t="str">
            <v>SALDO INICIAL</v>
          </cell>
          <cell r="J310">
            <v>138</v>
          </cell>
          <cell r="K310">
            <v>100.74</v>
          </cell>
          <cell r="L310">
            <v>0.73</v>
          </cell>
          <cell r="M310">
            <v>0.73</v>
          </cell>
          <cell r="N310" t="str">
            <v/>
          </cell>
          <cell r="O310" t="str">
            <v/>
          </cell>
          <cell r="P310" t="str">
            <v/>
          </cell>
          <cell r="Q310">
            <v>0</v>
          </cell>
          <cell r="R310" t="str">
            <v>UND</v>
          </cell>
          <cell r="S310">
            <v>0</v>
          </cell>
          <cell r="T310">
            <v>0</v>
          </cell>
          <cell r="U310" t="str">
            <v/>
          </cell>
          <cell r="V310" t="str">
            <v>PRO10</v>
          </cell>
          <cell r="W310">
            <v>0</v>
          </cell>
        </row>
        <row r="311">
          <cell r="C311" t="str">
            <v>PERNO1/4X2.1/2</v>
          </cell>
          <cell r="D311" t="str">
            <v>PRINC</v>
          </cell>
          <cell r="E311" t="str">
            <v>00010</v>
          </cell>
          <cell r="F311" t="str">
            <v>COMPONENTES P/SISTEMAS Y TRANSP.</v>
          </cell>
          <cell r="G311" t="str">
            <v>PRINCIPAL</v>
          </cell>
          <cell r="H311">
            <v>46004</v>
          </cell>
          <cell r="I311" t="str">
            <v>SALDO INICIAL</v>
          </cell>
          <cell r="J311">
            <v>1100</v>
          </cell>
          <cell r="K311">
            <v>494.01</v>
          </cell>
          <cell r="L311">
            <v>0.4491</v>
          </cell>
          <cell r="M311">
            <v>0.4491</v>
          </cell>
          <cell r="N311" t="str">
            <v/>
          </cell>
          <cell r="O311" t="str">
            <v/>
          </cell>
          <cell r="P311" t="str">
            <v/>
          </cell>
          <cell r="Q311">
            <v>0.65</v>
          </cell>
          <cell r="R311" t="str">
            <v>UND</v>
          </cell>
          <cell r="S311">
            <v>0</v>
          </cell>
          <cell r="T311">
            <v>0</v>
          </cell>
          <cell r="U311" t="str">
            <v/>
          </cell>
          <cell r="V311" t="str">
            <v>PRO10</v>
          </cell>
          <cell r="W311">
            <v>0</v>
          </cell>
        </row>
        <row r="312">
          <cell r="C312" t="str">
            <v>PERNO1/4X1.1/4</v>
          </cell>
          <cell r="D312" t="str">
            <v>PRINC</v>
          </cell>
          <cell r="E312" t="str">
            <v>00010</v>
          </cell>
          <cell r="F312" t="str">
            <v>COMPONENTES P/SISTEMAS Y TRANSP.</v>
          </cell>
          <cell r="G312" t="str">
            <v>PRINCIPAL</v>
          </cell>
          <cell r="H312">
            <v>46004</v>
          </cell>
          <cell r="I312" t="str">
            <v>SALDO INICIAL</v>
          </cell>
          <cell r="J312">
            <v>6482</v>
          </cell>
          <cell r="K312">
            <v>817.28615000000002</v>
          </cell>
          <cell r="L312">
            <v>0.126086</v>
          </cell>
          <cell r="M312">
            <v>0.12608549099999999</v>
          </cell>
          <cell r="N312" t="str">
            <v/>
          </cell>
          <cell r="O312" t="str">
            <v/>
          </cell>
          <cell r="P312" t="str">
            <v/>
          </cell>
          <cell r="Q312">
            <v>0.35</v>
          </cell>
          <cell r="R312" t="str">
            <v>UND</v>
          </cell>
          <cell r="S312">
            <v>0</v>
          </cell>
          <cell r="T312">
            <v>0</v>
          </cell>
          <cell r="U312" t="str">
            <v/>
          </cell>
          <cell r="V312" t="str">
            <v>PRO10</v>
          </cell>
          <cell r="W312">
            <v>0</v>
          </cell>
        </row>
        <row r="313">
          <cell r="C313" t="str">
            <v>PERNO1/4X1</v>
          </cell>
          <cell r="D313" t="str">
            <v>PRINC</v>
          </cell>
          <cell r="E313" t="str">
            <v>00010</v>
          </cell>
          <cell r="F313" t="str">
            <v>COMPONENTES P/SISTEMAS Y TRANSP.</v>
          </cell>
          <cell r="G313" t="str">
            <v>PRINCIPAL</v>
          </cell>
          <cell r="H313">
            <v>46004</v>
          </cell>
          <cell r="I313" t="str">
            <v>SALDO INICIAL</v>
          </cell>
          <cell r="J313">
            <v>46218</v>
          </cell>
          <cell r="K313">
            <v>5510.1015870000001</v>
          </cell>
          <cell r="L313">
            <v>0.11922000000000001</v>
          </cell>
          <cell r="M313">
            <v>0.119219819</v>
          </cell>
          <cell r="N313" t="str">
            <v/>
          </cell>
          <cell r="O313" t="str">
            <v/>
          </cell>
          <cell r="P313" t="str">
            <v/>
          </cell>
          <cell r="Q313">
            <v>0.35</v>
          </cell>
          <cell r="R313" t="str">
            <v>UND</v>
          </cell>
          <cell r="S313">
            <v>0</v>
          </cell>
          <cell r="T313">
            <v>0</v>
          </cell>
          <cell r="U313" t="str">
            <v/>
          </cell>
          <cell r="V313" t="str">
            <v>PRO10</v>
          </cell>
          <cell r="W313">
            <v>0</v>
          </cell>
        </row>
        <row r="314">
          <cell r="C314" t="str">
            <v>PERNO1/4X3/4</v>
          </cell>
          <cell r="D314" t="str">
            <v>PRINC</v>
          </cell>
          <cell r="E314" t="str">
            <v>00010</v>
          </cell>
          <cell r="F314" t="str">
            <v>COMPONENTES P/SISTEMAS Y TRANSP.</v>
          </cell>
          <cell r="G314" t="str">
            <v>PRINCIPAL</v>
          </cell>
          <cell r="H314">
            <v>46004</v>
          </cell>
          <cell r="I314" t="str">
            <v>SALDO INICIAL</v>
          </cell>
          <cell r="J314">
            <v>3933</v>
          </cell>
          <cell r="K314">
            <v>512.30266700000004</v>
          </cell>
          <cell r="L314">
            <v>0.13025700000000001</v>
          </cell>
          <cell r="M314">
            <v>0.13025748000000001</v>
          </cell>
          <cell r="N314" t="str">
            <v/>
          </cell>
          <cell r="O314" t="str">
            <v/>
          </cell>
          <cell r="P314" t="str">
            <v/>
          </cell>
          <cell r="Q314">
            <v>0.35</v>
          </cell>
          <cell r="R314" t="str">
            <v>UND</v>
          </cell>
          <cell r="S314">
            <v>0</v>
          </cell>
          <cell r="T314">
            <v>0</v>
          </cell>
          <cell r="U314" t="str">
            <v/>
          </cell>
          <cell r="V314" t="str">
            <v>PRO10</v>
          </cell>
          <cell r="W314">
            <v>0</v>
          </cell>
        </row>
        <row r="315">
          <cell r="C315" t="str">
            <v>PI1FPUN301010</v>
          </cell>
          <cell r="D315" t="str">
            <v>PRINC</v>
          </cell>
          <cell r="E315" t="str">
            <v>00010</v>
          </cell>
          <cell r="F315" t="str">
            <v>COMPONENTES P/SISTEMAS Y TRANSP.</v>
          </cell>
          <cell r="G315" t="str">
            <v>PRINCIPAL</v>
          </cell>
          <cell r="H315">
            <v>46004</v>
          </cell>
          <cell r="I315" t="str">
            <v>SALDO INICIAL</v>
          </cell>
          <cell r="J315">
            <v>4</v>
          </cell>
          <cell r="K315">
            <v>7.52</v>
          </cell>
          <cell r="L315">
            <v>0</v>
          </cell>
          <cell r="M315">
            <v>1.88</v>
          </cell>
          <cell r="N315" t="str">
            <v/>
          </cell>
          <cell r="O315" t="str">
            <v/>
          </cell>
          <cell r="P315" t="str">
            <v/>
          </cell>
          <cell r="Q315">
            <v>3.6</v>
          </cell>
          <cell r="R315" t="str">
            <v>UND</v>
          </cell>
          <cell r="S315">
            <v>0</v>
          </cell>
          <cell r="T315">
            <v>0</v>
          </cell>
          <cell r="U315" t="str">
            <v/>
          </cell>
          <cell r="V315" t="str">
            <v>PRO10</v>
          </cell>
          <cell r="W315">
            <v>0</v>
          </cell>
        </row>
        <row r="316">
          <cell r="C316" t="str">
            <v>RET471224</v>
          </cell>
          <cell r="D316" t="str">
            <v>PRINC</v>
          </cell>
          <cell r="E316" t="str">
            <v>00010</v>
          </cell>
          <cell r="F316" t="str">
            <v>COMPONENTES P/SISTEMAS Y TRANSP.</v>
          </cell>
          <cell r="G316" t="str">
            <v>PRINCIPAL</v>
          </cell>
          <cell r="H316">
            <v>46004</v>
          </cell>
          <cell r="I316" t="str">
            <v>SALDO INICIAL</v>
          </cell>
          <cell r="J316">
            <v>203</v>
          </cell>
          <cell r="K316">
            <v>428.80595</v>
          </cell>
          <cell r="L316">
            <v>2.1123449999999999</v>
          </cell>
          <cell r="M316">
            <v>2.1123445809999999</v>
          </cell>
          <cell r="N316" t="str">
            <v/>
          </cell>
          <cell r="O316" t="str">
            <v/>
          </cell>
          <cell r="P316" t="str">
            <v/>
          </cell>
          <cell r="Q316">
            <v>5.5</v>
          </cell>
          <cell r="R316" t="str">
            <v>UND</v>
          </cell>
          <cell r="S316">
            <v>0</v>
          </cell>
          <cell r="T316">
            <v>0</v>
          </cell>
          <cell r="U316" t="str">
            <v/>
          </cell>
          <cell r="V316" t="str">
            <v>PRO10</v>
          </cell>
          <cell r="W316">
            <v>0</v>
          </cell>
        </row>
        <row r="317">
          <cell r="C317" t="str">
            <v>RET471765</v>
          </cell>
          <cell r="D317" t="str">
            <v>PRINC</v>
          </cell>
          <cell r="E317" t="str">
            <v>00010</v>
          </cell>
          <cell r="F317" t="str">
            <v>COMPONENTES P/SISTEMAS Y TRANSP.</v>
          </cell>
          <cell r="G317" t="str">
            <v>PRINCIPAL</v>
          </cell>
          <cell r="H317">
            <v>46004</v>
          </cell>
          <cell r="I317" t="str">
            <v>SALDO INICIAL</v>
          </cell>
          <cell r="J317">
            <v>498</v>
          </cell>
          <cell r="K317">
            <v>1898.640322</v>
          </cell>
          <cell r="L317">
            <v>3.8125309999999999</v>
          </cell>
          <cell r="M317">
            <v>3.8125307670000002</v>
          </cell>
          <cell r="N317" t="str">
            <v/>
          </cell>
          <cell r="O317" t="str">
            <v/>
          </cell>
          <cell r="P317" t="str">
            <v/>
          </cell>
          <cell r="Q317">
            <v>8.5</v>
          </cell>
          <cell r="R317" t="str">
            <v>UND</v>
          </cell>
          <cell r="S317">
            <v>0</v>
          </cell>
          <cell r="T317">
            <v>0</v>
          </cell>
          <cell r="U317" t="str">
            <v/>
          </cell>
          <cell r="V317" t="str">
            <v>PRO10</v>
          </cell>
          <cell r="W317">
            <v>0</v>
          </cell>
        </row>
        <row r="318">
          <cell r="C318" t="str">
            <v>RET470954</v>
          </cell>
          <cell r="D318" t="str">
            <v>PRINC</v>
          </cell>
          <cell r="E318" t="str">
            <v>00010</v>
          </cell>
          <cell r="F318" t="str">
            <v>COMPONENTES P/SISTEMAS Y TRANSP.</v>
          </cell>
          <cell r="G318" t="str">
            <v>PRINCIPAL</v>
          </cell>
          <cell r="H318">
            <v>46004</v>
          </cell>
          <cell r="I318" t="str">
            <v>SALDO INICIAL</v>
          </cell>
          <cell r="J318">
            <v>5</v>
          </cell>
          <cell r="K318">
            <v>21.657499999999999</v>
          </cell>
          <cell r="L318">
            <v>4.3315000000000001</v>
          </cell>
          <cell r="M318">
            <v>4.3315000000000001</v>
          </cell>
          <cell r="N318" t="str">
            <v/>
          </cell>
          <cell r="O318" t="str">
            <v/>
          </cell>
          <cell r="P318" t="str">
            <v/>
          </cell>
          <cell r="Q318">
            <v>0</v>
          </cell>
          <cell r="R318" t="str">
            <v>UND</v>
          </cell>
          <cell r="S318">
            <v>0</v>
          </cell>
          <cell r="T318">
            <v>0</v>
          </cell>
          <cell r="U318" t="str">
            <v/>
          </cell>
          <cell r="V318" t="str">
            <v>PRO10</v>
          </cell>
          <cell r="W318">
            <v>0</v>
          </cell>
        </row>
        <row r="319">
          <cell r="C319" t="str">
            <v>RET9879</v>
          </cell>
          <cell r="D319" t="str">
            <v>PRINC</v>
          </cell>
          <cell r="E319" t="str">
            <v>00010</v>
          </cell>
          <cell r="F319" t="str">
            <v>COMPONENTES P/SISTEMAS Y TRANSP.</v>
          </cell>
          <cell r="G319" t="str">
            <v>PRINCIPAL</v>
          </cell>
          <cell r="H319">
            <v>46004</v>
          </cell>
          <cell r="I319" t="str">
            <v>SALDO INICIAL</v>
          </cell>
          <cell r="J319">
            <v>13</v>
          </cell>
          <cell r="K319">
            <v>32.497768000000001</v>
          </cell>
          <cell r="L319">
            <v>2.4998290000000001</v>
          </cell>
          <cell r="M319">
            <v>2.4998283080000001</v>
          </cell>
          <cell r="N319" t="str">
            <v/>
          </cell>
          <cell r="O319" t="str">
            <v/>
          </cell>
          <cell r="P319" t="str">
            <v/>
          </cell>
          <cell r="Q319">
            <v>4.25</v>
          </cell>
          <cell r="R319" t="str">
            <v>UND</v>
          </cell>
          <cell r="S319">
            <v>0</v>
          </cell>
          <cell r="T319">
            <v>0</v>
          </cell>
          <cell r="U319" t="str">
            <v/>
          </cell>
          <cell r="V319" t="str">
            <v>PRO10</v>
          </cell>
          <cell r="W319">
            <v>0</v>
          </cell>
        </row>
        <row r="320">
          <cell r="C320" t="str">
            <v>RET1.3/16X2X1/4</v>
          </cell>
          <cell r="D320" t="str">
            <v>PRINC</v>
          </cell>
          <cell r="E320" t="str">
            <v>00010</v>
          </cell>
          <cell r="F320" t="str">
            <v>COMPONENTES P/SISTEMAS Y TRANSP.</v>
          </cell>
          <cell r="G320" t="str">
            <v>PRINCIPAL</v>
          </cell>
          <cell r="H320">
            <v>46004</v>
          </cell>
          <cell r="I320" t="str">
            <v>SALDO INICIAL</v>
          </cell>
          <cell r="J320">
            <v>2</v>
          </cell>
          <cell r="K320">
            <v>5.1302960000000004</v>
          </cell>
          <cell r="L320">
            <v>2.5497190000000001</v>
          </cell>
          <cell r="M320">
            <v>2.5651480000000002</v>
          </cell>
          <cell r="N320" t="str">
            <v/>
          </cell>
          <cell r="O320" t="str">
            <v/>
          </cell>
          <cell r="P320" t="str">
            <v/>
          </cell>
          <cell r="Q320">
            <v>4.3499999999999996</v>
          </cell>
          <cell r="R320" t="str">
            <v>UND</v>
          </cell>
          <cell r="S320">
            <v>0</v>
          </cell>
          <cell r="T320">
            <v>0</v>
          </cell>
          <cell r="U320" t="str">
            <v/>
          </cell>
          <cell r="V320" t="str">
            <v>PRO10</v>
          </cell>
          <cell r="W320">
            <v>0</v>
          </cell>
        </row>
        <row r="321">
          <cell r="C321" t="str">
            <v>PI1GTAZ000603</v>
          </cell>
          <cell r="D321" t="str">
            <v>PRINC</v>
          </cell>
          <cell r="E321" t="str">
            <v>00010</v>
          </cell>
          <cell r="F321" t="str">
            <v>COMPONENTES P/SISTEMAS Y TRANSP.</v>
          </cell>
          <cell r="G321" t="str">
            <v>PRINCIPAL</v>
          </cell>
          <cell r="H321">
            <v>46004</v>
          </cell>
          <cell r="I321" t="str">
            <v>SALDO INICIAL</v>
          </cell>
          <cell r="J321">
            <v>19</v>
          </cell>
          <cell r="K321">
            <v>37.24</v>
          </cell>
          <cell r="L321">
            <v>1.96</v>
          </cell>
          <cell r="M321">
            <v>1.96</v>
          </cell>
          <cell r="N321" t="str">
            <v/>
          </cell>
          <cell r="O321" t="str">
            <v/>
          </cell>
          <cell r="P321" t="str">
            <v/>
          </cell>
          <cell r="Q321">
            <v>7.15</v>
          </cell>
          <cell r="R321" t="str">
            <v>UND</v>
          </cell>
          <cell r="S321">
            <v>0</v>
          </cell>
          <cell r="T321">
            <v>0</v>
          </cell>
          <cell r="U321" t="str">
            <v/>
          </cell>
          <cell r="V321" t="str">
            <v>PRO10</v>
          </cell>
          <cell r="W321">
            <v>0</v>
          </cell>
        </row>
        <row r="322">
          <cell r="C322" t="str">
            <v>PI1GTAZ701075</v>
          </cell>
          <cell r="D322" t="str">
            <v>PRINC</v>
          </cell>
          <cell r="E322" t="str">
            <v>00010</v>
          </cell>
          <cell r="F322" t="str">
            <v>COMPONENTES P/SISTEMAS Y TRANSP.</v>
          </cell>
          <cell r="G322" t="str">
            <v>PRINCIPAL</v>
          </cell>
          <cell r="H322">
            <v>46004</v>
          </cell>
          <cell r="I322" t="str">
            <v>SALDO INICIAL</v>
          </cell>
          <cell r="J322">
            <v>547</v>
          </cell>
          <cell r="K322">
            <v>722.04</v>
          </cell>
          <cell r="L322">
            <v>1.32</v>
          </cell>
          <cell r="M322">
            <v>1.32</v>
          </cell>
          <cell r="N322" t="str">
            <v/>
          </cell>
          <cell r="O322" t="str">
            <v/>
          </cell>
          <cell r="P322" t="str">
            <v/>
          </cell>
          <cell r="Q322">
            <v>2.8</v>
          </cell>
          <cell r="R322" t="str">
            <v>UND</v>
          </cell>
          <cell r="S322">
            <v>0</v>
          </cell>
          <cell r="T322">
            <v>0</v>
          </cell>
          <cell r="U322" t="str">
            <v/>
          </cell>
          <cell r="V322" t="str">
            <v>PRO10</v>
          </cell>
          <cell r="W322">
            <v>0</v>
          </cell>
        </row>
        <row r="323">
          <cell r="C323" t="str">
            <v>EUCLU40ACA</v>
          </cell>
          <cell r="D323" t="str">
            <v>PRINC</v>
          </cell>
          <cell r="E323" t="str">
            <v>00010</v>
          </cell>
          <cell r="F323" t="str">
            <v>COMPONENTES P/SISTEMAS Y TRANSP.</v>
          </cell>
          <cell r="G323" t="str">
            <v>PRINCIPAL</v>
          </cell>
          <cell r="H323">
            <v>46004</v>
          </cell>
          <cell r="I323" t="str">
            <v>SALDO INICIAL</v>
          </cell>
          <cell r="J323">
            <v>-38</v>
          </cell>
          <cell r="K323">
            <v>0</v>
          </cell>
          <cell r="L323">
            <v>0</v>
          </cell>
          <cell r="M323">
            <v>0</v>
          </cell>
          <cell r="N323" t="str">
            <v/>
          </cell>
          <cell r="O323" t="str">
            <v/>
          </cell>
          <cell r="P323" t="str">
            <v/>
          </cell>
          <cell r="Q323">
            <v>6</v>
          </cell>
          <cell r="R323" t="str">
            <v>UND</v>
          </cell>
          <cell r="S323">
            <v>0</v>
          </cell>
          <cell r="T323">
            <v>0</v>
          </cell>
          <cell r="U323" t="str">
            <v/>
          </cell>
          <cell r="V323" t="str">
            <v>PRO10</v>
          </cell>
          <cell r="W323">
            <v>0</v>
          </cell>
        </row>
        <row r="324">
          <cell r="C324" t="str">
            <v>EUCLU38ACG</v>
          </cell>
          <cell r="D324" t="str">
            <v>PRINC</v>
          </cell>
          <cell r="E324" t="str">
            <v>00010</v>
          </cell>
          <cell r="F324" t="str">
            <v>COMPONENTES P/SISTEMAS Y TRANSP.</v>
          </cell>
          <cell r="G324" t="str">
            <v>PRINCIPAL</v>
          </cell>
          <cell r="H324">
            <v>46004</v>
          </cell>
          <cell r="I324" t="str">
            <v>SALDO INICIAL</v>
          </cell>
          <cell r="J324">
            <v>-222</v>
          </cell>
          <cell r="K324">
            <v>0</v>
          </cell>
          <cell r="L324">
            <v>0</v>
          </cell>
          <cell r="M324">
            <v>0</v>
          </cell>
          <cell r="N324" t="str">
            <v/>
          </cell>
          <cell r="O324" t="str">
            <v/>
          </cell>
          <cell r="P324" t="str">
            <v/>
          </cell>
          <cell r="Q324">
            <v>5.5</v>
          </cell>
          <cell r="R324" t="str">
            <v>UND</v>
          </cell>
          <cell r="S324">
            <v>0</v>
          </cell>
          <cell r="T324">
            <v>0</v>
          </cell>
          <cell r="U324" t="str">
            <v/>
          </cell>
          <cell r="V324" t="str">
            <v>PRO10</v>
          </cell>
          <cell r="W324">
            <v>0</v>
          </cell>
        </row>
        <row r="325">
          <cell r="C325" t="str">
            <v>PI1FANI302050</v>
          </cell>
          <cell r="D325" t="str">
            <v>PRINC</v>
          </cell>
          <cell r="E325" t="str">
            <v>00010</v>
          </cell>
          <cell r="F325" t="str">
            <v>COMPONENTES P/SISTEMAS Y TRANSP.</v>
          </cell>
          <cell r="G325" t="str">
            <v>PRINCIPAL</v>
          </cell>
          <cell r="H325">
            <v>46004</v>
          </cell>
          <cell r="I325" t="str">
            <v>SALDO INICIAL</v>
          </cell>
          <cell r="J325">
            <v>23</v>
          </cell>
          <cell r="K325">
            <v>56.58</v>
          </cell>
          <cell r="L325">
            <v>2.46</v>
          </cell>
          <cell r="M325">
            <v>2.46</v>
          </cell>
          <cell r="N325" t="str">
            <v/>
          </cell>
          <cell r="O325" t="str">
            <v/>
          </cell>
          <cell r="P325" t="str">
            <v/>
          </cell>
          <cell r="Q325">
            <v>4.5</v>
          </cell>
          <cell r="R325" t="str">
            <v>UND</v>
          </cell>
          <cell r="S325">
            <v>0</v>
          </cell>
          <cell r="T325">
            <v>0</v>
          </cell>
          <cell r="U325" t="str">
            <v/>
          </cell>
          <cell r="V325" t="str">
            <v>PRO10</v>
          </cell>
          <cell r="W325">
            <v>0</v>
          </cell>
        </row>
        <row r="326">
          <cell r="C326" t="str">
            <v>UN95PA6SQ1</v>
          </cell>
          <cell r="D326" t="str">
            <v>PRINC</v>
          </cell>
          <cell r="E326" t="str">
            <v>00010</v>
          </cell>
          <cell r="F326" t="str">
            <v>COMPONENTES P/SISTEMAS Y TRANSP.</v>
          </cell>
          <cell r="G326" t="str">
            <v>PRINCIPAL</v>
          </cell>
          <cell r="H326">
            <v>46004</v>
          </cell>
          <cell r="I326" t="str">
            <v>SALDO INICIAL</v>
          </cell>
          <cell r="J326">
            <v>43</v>
          </cell>
          <cell r="K326">
            <v>162.53894600000001</v>
          </cell>
          <cell r="L326">
            <v>3.779976</v>
          </cell>
          <cell r="M326">
            <v>3.7799754879999998</v>
          </cell>
          <cell r="N326" t="str">
            <v/>
          </cell>
          <cell r="O326" t="str">
            <v/>
          </cell>
          <cell r="P326" t="str">
            <v/>
          </cell>
          <cell r="Q326">
            <v>5.9</v>
          </cell>
          <cell r="R326" t="str">
            <v>UND</v>
          </cell>
          <cell r="S326">
            <v>0</v>
          </cell>
          <cell r="T326">
            <v>0</v>
          </cell>
          <cell r="U326" t="str">
            <v/>
          </cell>
          <cell r="V326" t="str">
            <v>PRO10</v>
          </cell>
          <cell r="W326">
            <v>0</v>
          </cell>
        </row>
        <row r="327">
          <cell r="C327" t="str">
            <v>PI1GSOP302100</v>
          </cell>
          <cell r="D327" t="str">
            <v>PRINC</v>
          </cell>
          <cell r="E327" t="str">
            <v>00010</v>
          </cell>
          <cell r="F327" t="str">
            <v>COMPONENTES P/SISTEMAS Y TRANSP.</v>
          </cell>
          <cell r="G327" t="str">
            <v>PRINCIPAL</v>
          </cell>
          <cell r="H327">
            <v>46004</v>
          </cell>
          <cell r="I327" t="str">
            <v>SALDO INICIAL</v>
          </cell>
          <cell r="J327">
            <v>4</v>
          </cell>
          <cell r="K327">
            <v>37.520000000000003</v>
          </cell>
          <cell r="L327">
            <v>0</v>
          </cell>
          <cell r="M327">
            <v>9.3800000000000008</v>
          </cell>
          <cell r="N327" t="str">
            <v/>
          </cell>
          <cell r="O327" t="str">
            <v/>
          </cell>
          <cell r="P327" t="str">
            <v/>
          </cell>
          <cell r="Q327">
            <v>20</v>
          </cell>
          <cell r="R327" t="str">
            <v>UND</v>
          </cell>
          <cell r="S327">
            <v>0</v>
          </cell>
          <cell r="T327">
            <v>0</v>
          </cell>
          <cell r="U327" t="str">
            <v/>
          </cell>
          <cell r="V327" t="str">
            <v>PRO10</v>
          </cell>
          <cell r="W327">
            <v>0</v>
          </cell>
        </row>
        <row r="328">
          <cell r="C328" t="str">
            <v>TE212/80651</v>
          </cell>
          <cell r="D328" t="str">
            <v>PRINC</v>
          </cell>
          <cell r="E328" t="str">
            <v>00010</v>
          </cell>
          <cell r="F328" t="str">
            <v>COMPONENTES P/SISTEMAS Y TRANSP.</v>
          </cell>
          <cell r="G328" t="str">
            <v>PRINCIPAL</v>
          </cell>
          <cell r="H328">
            <v>46004</v>
          </cell>
          <cell r="I328" t="str">
            <v>SALDO INICIAL</v>
          </cell>
          <cell r="J328">
            <v>1</v>
          </cell>
          <cell r="K328">
            <v>7.6</v>
          </cell>
          <cell r="L328">
            <v>7.6</v>
          </cell>
          <cell r="M328">
            <v>7.6</v>
          </cell>
          <cell r="N328" t="str">
            <v/>
          </cell>
          <cell r="O328" t="str">
            <v/>
          </cell>
          <cell r="P328" t="str">
            <v/>
          </cell>
          <cell r="Q328">
            <v>9</v>
          </cell>
          <cell r="R328" t="str">
            <v>UND</v>
          </cell>
          <cell r="S328">
            <v>0</v>
          </cell>
          <cell r="T328">
            <v>0</v>
          </cell>
          <cell r="U328" t="str">
            <v/>
          </cell>
          <cell r="V328" t="str">
            <v>PRO10</v>
          </cell>
          <cell r="W328">
            <v>0</v>
          </cell>
        </row>
        <row r="329">
          <cell r="C329" t="str">
            <v>TE211/80649</v>
          </cell>
          <cell r="D329" t="str">
            <v>PRINC</v>
          </cell>
          <cell r="E329" t="str">
            <v>00010</v>
          </cell>
          <cell r="F329" t="str">
            <v>COMPONENTES P/SISTEMAS Y TRANSP.</v>
          </cell>
          <cell r="G329" t="str">
            <v>PRINCIPAL</v>
          </cell>
          <cell r="H329">
            <v>46004</v>
          </cell>
          <cell r="I329" t="str">
            <v>SALDO INICIAL</v>
          </cell>
          <cell r="J329">
            <v>-38</v>
          </cell>
          <cell r="K329">
            <v>0</v>
          </cell>
          <cell r="L329">
            <v>0</v>
          </cell>
          <cell r="M329">
            <v>0</v>
          </cell>
          <cell r="N329" t="str">
            <v/>
          </cell>
          <cell r="O329" t="str">
            <v/>
          </cell>
          <cell r="P329" t="str">
            <v/>
          </cell>
          <cell r="Q329">
            <v>10.5</v>
          </cell>
          <cell r="R329" t="str">
            <v>UND</v>
          </cell>
          <cell r="S329">
            <v>0</v>
          </cell>
          <cell r="T329">
            <v>0</v>
          </cell>
          <cell r="U329" t="str">
            <v/>
          </cell>
          <cell r="V329" t="str">
            <v>PRO10</v>
          </cell>
          <cell r="W329">
            <v>0</v>
          </cell>
        </row>
        <row r="330">
          <cell r="C330" t="str">
            <v>TE213/80654</v>
          </cell>
          <cell r="D330" t="str">
            <v>PRINC</v>
          </cell>
          <cell r="E330" t="str">
            <v>00010</v>
          </cell>
          <cell r="F330" t="str">
            <v>COMPONENTES P/SISTEMAS Y TRANSP.</v>
          </cell>
          <cell r="G330" t="str">
            <v>PRINCIPAL</v>
          </cell>
          <cell r="H330">
            <v>46004</v>
          </cell>
          <cell r="I330" t="str">
            <v>SALDO INICIAL</v>
          </cell>
          <cell r="J330">
            <v>-4</v>
          </cell>
          <cell r="K330">
            <v>0</v>
          </cell>
          <cell r="L330">
            <v>5.9155550000000003</v>
          </cell>
          <cell r="M330">
            <v>0</v>
          </cell>
          <cell r="N330" t="str">
            <v/>
          </cell>
          <cell r="O330" t="str">
            <v/>
          </cell>
          <cell r="P330" t="str">
            <v/>
          </cell>
          <cell r="Q330">
            <v>7.45</v>
          </cell>
          <cell r="R330" t="str">
            <v>UND</v>
          </cell>
          <cell r="S330">
            <v>0</v>
          </cell>
          <cell r="T330">
            <v>0</v>
          </cell>
          <cell r="U330" t="str">
            <v/>
          </cell>
          <cell r="V330" t="str">
            <v>PRO10</v>
          </cell>
          <cell r="W330">
            <v>0</v>
          </cell>
        </row>
        <row r="331">
          <cell r="C331" t="str">
            <v>TE281/82132</v>
          </cell>
          <cell r="D331" t="str">
            <v>PRINC</v>
          </cell>
          <cell r="E331" t="str">
            <v>00010</v>
          </cell>
          <cell r="F331" t="str">
            <v>COMPONENTES P/SISTEMAS Y TRANSP.</v>
          </cell>
          <cell r="G331" t="str">
            <v>PRINCIPAL</v>
          </cell>
          <cell r="H331">
            <v>46004</v>
          </cell>
          <cell r="I331" t="str">
            <v>SALDO INICIAL</v>
          </cell>
          <cell r="J331">
            <v>-2</v>
          </cell>
          <cell r="K331">
            <v>0</v>
          </cell>
          <cell r="L331">
            <v>0</v>
          </cell>
          <cell r="M331">
            <v>0</v>
          </cell>
          <cell r="N331" t="str">
            <v/>
          </cell>
          <cell r="O331" t="str">
            <v/>
          </cell>
          <cell r="P331" t="str">
            <v/>
          </cell>
          <cell r="Q331">
            <v>15.7</v>
          </cell>
          <cell r="R331" t="str">
            <v>UND</v>
          </cell>
          <cell r="S331">
            <v>0</v>
          </cell>
          <cell r="T331">
            <v>0</v>
          </cell>
          <cell r="U331" t="str">
            <v/>
          </cell>
          <cell r="V331" t="str">
            <v>PRO10</v>
          </cell>
          <cell r="W331">
            <v>0</v>
          </cell>
        </row>
        <row r="332">
          <cell r="C332" t="str">
            <v>PI1EMOR303403</v>
          </cell>
          <cell r="D332" t="str">
            <v>PRINC</v>
          </cell>
          <cell r="E332" t="str">
            <v>00010</v>
          </cell>
          <cell r="F332" t="str">
            <v>COMPONENTES P/SISTEMAS Y TRANSP.</v>
          </cell>
          <cell r="G332" t="str">
            <v>PRINCIPAL</v>
          </cell>
          <cell r="H332">
            <v>46004</v>
          </cell>
          <cell r="I332" t="str">
            <v>SALDO INICIAL</v>
          </cell>
          <cell r="J332">
            <v>30</v>
          </cell>
          <cell r="K332">
            <v>46.5</v>
          </cell>
          <cell r="L332">
            <v>1.55</v>
          </cell>
          <cell r="M332">
            <v>1.55</v>
          </cell>
          <cell r="N332" t="str">
            <v/>
          </cell>
          <cell r="O332" t="str">
            <v/>
          </cell>
          <cell r="P332" t="str">
            <v/>
          </cell>
          <cell r="Q332">
            <v>2.7</v>
          </cell>
          <cell r="R332" t="str">
            <v>UND</v>
          </cell>
          <cell r="S332">
            <v>0</v>
          </cell>
          <cell r="T332">
            <v>0</v>
          </cell>
          <cell r="U332" t="str">
            <v/>
          </cell>
          <cell r="V332" t="str">
            <v>PRO10</v>
          </cell>
          <cell r="W332">
            <v>0</v>
          </cell>
        </row>
        <row r="333">
          <cell r="C333" t="str">
            <v>PI1GTAZ302101</v>
          </cell>
          <cell r="D333" t="str">
            <v>PRINC</v>
          </cell>
          <cell r="E333" t="str">
            <v>00010</v>
          </cell>
          <cell r="F333" t="str">
            <v>COMPONENTES P/SISTEMAS Y TRANSP.</v>
          </cell>
          <cell r="G333" t="str">
            <v>PRINCIPAL</v>
          </cell>
          <cell r="H333">
            <v>46004</v>
          </cell>
          <cell r="I333" t="str">
            <v>SALDO INICIAL</v>
          </cell>
          <cell r="J333">
            <v>1</v>
          </cell>
          <cell r="K333">
            <v>1.1000000000000001</v>
          </cell>
          <cell r="L333">
            <v>1.1000000000000001</v>
          </cell>
          <cell r="M333">
            <v>1.1000000000000001</v>
          </cell>
          <cell r="N333" t="str">
            <v/>
          </cell>
          <cell r="O333" t="str">
            <v/>
          </cell>
          <cell r="P333" t="str">
            <v/>
          </cell>
          <cell r="Q333">
            <v>4</v>
          </cell>
          <cell r="R333" t="str">
            <v>UND</v>
          </cell>
          <cell r="S333">
            <v>0</v>
          </cell>
          <cell r="T333">
            <v>0</v>
          </cell>
          <cell r="U333" t="str">
            <v/>
          </cell>
          <cell r="V333" t="str">
            <v>PRO10</v>
          </cell>
          <cell r="W333">
            <v>0</v>
          </cell>
        </row>
        <row r="334">
          <cell r="C334" t="str">
            <v>PI1GTAZ301030</v>
          </cell>
          <cell r="D334" t="str">
            <v>PRINC</v>
          </cell>
          <cell r="E334" t="str">
            <v>00010</v>
          </cell>
          <cell r="F334" t="str">
            <v>COMPONENTES P/SISTEMAS Y TRANSP.</v>
          </cell>
          <cell r="G334" t="str">
            <v>PRINCIPAL</v>
          </cell>
          <cell r="H334">
            <v>46004</v>
          </cell>
          <cell r="I334" t="str">
            <v>SALDO INICIAL</v>
          </cell>
          <cell r="J334">
            <v>1</v>
          </cell>
          <cell r="K334">
            <v>0.84</v>
          </cell>
          <cell r="L334">
            <v>0.84</v>
          </cell>
          <cell r="M334">
            <v>0.84</v>
          </cell>
          <cell r="N334" t="str">
            <v/>
          </cell>
          <cell r="O334" t="str">
            <v/>
          </cell>
          <cell r="P334" t="str">
            <v/>
          </cell>
          <cell r="Q334">
            <v>0</v>
          </cell>
          <cell r="R334" t="str">
            <v>UND</v>
          </cell>
          <cell r="S334">
            <v>0</v>
          </cell>
          <cell r="T334">
            <v>0</v>
          </cell>
          <cell r="U334" t="str">
            <v/>
          </cell>
          <cell r="V334" t="str">
            <v>PRO10</v>
          </cell>
          <cell r="W334">
            <v>0</v>
          </cell>
        </row>
        <row r="335">
          <cell r="C335" t="str">
            <v>PI1GTAZ000054</v>
          </cell>
          <cell r="D335" t="str">
            <v>PRINC</v>
          </cell>
          <cell r="E335" t="str">
            <v>00010</v>
          </cell>
          <cell r="F335" t="str">
            <v>COMPONENTES P/SISTEMAS Y TRANSP.</v>
          </cell>
          <cell r="G335" t="str">
            <v>PRINCIPAL</v>
          </cell>
          <cell r="H335">
            <v>46004</v>
          </cell>
          <cell r="I335" t="str">
            <v>SALDO INICIAL</v>
          </cell>
          <cell r="J335">
            <v>6</v>
          </cell>
          <cell r="K335">
            <v>48.9</v>
          </cell>
          <cell r="L335">
            <v>8.15</v>
          </cell>
          <cell r="M335">
            <v>8.15</v>
          </cell>
          <cell r="N335" t="str">
            <v/>
          </cell>
          <cell r="O335" t="str">
            <v/>
          </cell>
          <cell r="P335" t="str">
            <v/>
          </cell>
          <cell r="Q335">
            <v>17.350000000000001</v>
          </cell>
          <cell r="R335" t="str">
            <v>UND</v>
          </cell>
          <cell r="S335">
            <v>0</v>
          </cell>
          <cell r="T335">
            <v>0</v>
          </cell>
          <cell r="U335" t="str">
            <v/>
          </cell>
          <cell r="V335" t="str">
            <v>PRO10</v>
          </cell>
          <cell r="W335">
            <v>0</v>
          </cell>
        </row>
        <row r="336">
          <cell r="C336" t="str">
            <v>TE258/82004</v>
          </cell>
          <cell r="D336" t="str">
            <v>PRINC</v>
          </cell>
          <cell r="E336" t="str">
            <v>00010</v>
          </cell>
          <cell r="F336" t="str">
            <v>COMPONENTES P/SISTEMAS Y TRANSP.</v>
          </cell>
          <cell r="G336" t="str">
            <v>PRINCIPAL</v>
          </cell>
          <cell r="H336">
            <v>46004</v>
          </cell>
          <cell r="I336" t="str">
            <v>SALDO INICIAL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 t="str">
            <v/>
          </cell>
          <cell r="O336" t="str">
            <v/>
          </cell>
          <cell r="P336" t="str">
            <v/>
          </cell>
          <cell r="Q336">
            <v>11.5</v>
          </cell>
          <cell r="R336" t="str">
            <v>UND</v>
          </cell>
          <cell r="S336">
            <v>0</v>
          </cell>
          <cell r="T336">
            <v>0</v>
          </cell>
          <cell r="U336" t="str">
            <v/>
          </cell>
          <cell r="V336" t="str">
            <v>PRO10</v>
          </cell>
          <cell r="W336">
            <v>0</v>
          </cell>
        </row>
        <row r="337">
          <cell r="C337" t="str">
            <v>TE257/82005</v>
          </cell>
          <cell r="D337" t="str">
            <v>PRINC</v>
          </cell>
          <cell r="E337" t="str">
            <v>00010</v>
          </cell>
          <cell r="F337" t="str">
            <v>COMPONENTES P/SISTEMAS Y TRANSP.</v>
          </cell>
          <cell r="G337" t="str">
            <v>PRINCIPAL</v>
          </cell>
          <cell r="H337">
            <v>46004</v>
          </cell>
          <cell r="I337" t="str">
            <v>SALDO INICIAL</v>
          </cell>
          <cell r="J337">
            <v>-11</v>
          </cell>
          <cell r="K337">
            <v>0</v>
          </cell>
          <cell r="L337">
            <v>0</v>
          </cell>
          <cell r="M337">
            <v>0</v>
          </cell>
          <cell r="N337" t="str">
            <v/>
          </cell>
          <cell r="O337" t="str">
            <v/>
          </cell>
          <cell r="P337" t="str">
            <v/>
          </cell>
          <cell r="Q337">
            <v>16.399999999999999</v>
          </cell>
          <cell r="R337" t="str">
            <v>UND</v>
          </cell>
          <cell r="S337">
            <v>0</v>
          </cell>
          <cell r="T337">
            <v>0</v>
          </cell>
          <cell r="U337" t="str">
            <v/>
          </cell>
          <cell r="V337" t="str">
            <v>PRO10</v>
          </cell>
          <cell r="W337">
            <v>0</v>
          </cell>
        </row>
        <row r="338">
          <cell r="C338" t="str">
            <v>PI1GMOR303015</v>
          </cell>
          <cell r="D338" t="str">
            <v>PRINC</v>
          </cell>
          <cell r="E338" t="str">
            <v>00010</v>
          </cell>
          <cell r="F338" t="str">
            <v>COMPONENTES P/SISTEMAS Y TRANSP.</v>
          </cell>
          <cell r="G338" t="str">
            <v>PRINCIPAL</v>
          </cell>
          <cell r="H338">
            <v>46004</v>
          </cell>
          <cell r="I338" t="str">
            <v>SALDO INICIAL</v>
          </cell>
          <cell r="J338">
            <v>1</v>
          </cell>
          <cell r="K338">
            <v>13.68</v>
          </cell>
          <cell r="L338">
            <v>13.68</v>
          </cell>
          <cell r="M338">
            <v>13.68</v>
          </cell>
          <cell r="N338" t="str">
            <v/>
          </cell>
          <cell r="O338" t="str">
            <v/>
          </cell>
          <cell r="P338" t="str">
            <v/>
          </cell>
          <cell r="Q338">
            <v>26</v>
          </cell>
          <cell r="R338" t="str">
            <v>UND</v>
          </cell>
          <cell r="S338">
            <v>0</v>
          </cell>
          <cell r="T338">
            <v>0</v>
          </cell>
          <cell r="U338" t="str">
            <v/>
          </cell>
          <cell r="V338" t="str">
            <v>PRO10</v>
          </cell>
          <cell r="W338">
            <v>0</v>
          </cell>
        </row>
        <row r="339">
          <cell r="C339" t="str">
            <v>PI1EMOR000951</v>
          </cell>
          <cell r="D339" t="str">
            <v>PRINC</v>
          </cell>
          <cell r="E339" t="str">
            <v>00010</v>
          </cell>
          <cell r="F339" t="str">
            <v>COMPONENTES P/SISTEMAS Y TRANSP.</v>
          </cell>
          <cell r="G339" t="str">
            <v>PRINCIPAL</v>
          </cell>
          <cell r="H339">
            <v>46004</v>
          </cell>
          <cell r="I339" t="str">
            <v>SALDO INICIAL</v>
          </cell>
          <cell r="J339">
            <v>7</v>
          </cell>
          <cell r="K339">
            <v>7.28</v>
          </cell>
          <cell r="L339">
            <v>0</v>
          </cell>
          <cell r="M339">
            <v>1.04</v>
          </cell>
          <cell r="N339" t="str">
            <v/>
          </cell>
          <cell r="O339" t="str">
            <v/>
          </cell>
          <cell r="P339" t="str">
            <v/>
          </cell>
          <cell r="Q339">
            <v>3.8</v>
          </cell>
          <cell r="R339" t="str">
            <v>UND</v>
          </cell>
          <cell r="S339">
            <v>0</v>
          </cell>
          <cell r="T339">
            <v>0</v>
          </cell>
          <cell r="U339" t="str">
            <v/>
          </cell>
          <cell r="V339" t="str">
            <v>PRO10</v>
          </cell>
          <cell r="W339">
            <v>0</v>
          </cell>
        </row>
        <row r="340">
          <cell r="C340" t="str">
            <v>INA4F4R2XXXFLS</v>
          </cell>
          <cell r="D340" t="str">
            <v>PRINC</v>
          </cell>
          <cell r="E340" t="str">
            <v>00010</v>
          </cell>
          <cell r="F340" t="str">
            <v>COMPONENTES P/SISTEMAS Y TRANSP.</v>
          </cell>
          <cell r="G340" t="str">
            <v>PRINCIPAL</v>
          </cell>
          <cell r="H340">
            <v>46004</v>
          </cell>
          <cell r="I340" t="str">
            <v>SALDO INICIAL</v>
          </cell>
          <cell r="J340">
            <v>6</v>
          </cell>
          <cell r="K340">
            <v>92.73</v>
          </cell>
          <cell r="L340">
            <v>0</v>
          </cell>
          <cell r="M340">
            <v>15.455</v>
          </cell>
          <cell r="N340" t="str">
            <v/>
          </cell>
          <cell r="O340" t="str">
            <v/>
          </cell>
          <cell r="P340" t="str">
            <v/>
          </cell>
          <cell r="Q340">
            <v>0</v>
          </cell>
          <cell r="R340" t="str">
            <v>UND</v>
          </cell>
          <cell r="S340">
            <v>0</v>
          </cell>
          <cell r="T340">
            <v>0</v>
          </cell>
          <cell r="U340" t="str">
            <v/>
          </cell>
          <cell r="V340" t="str">
            <v>PRO10</v>
          </cell>
          <cell r="W340">
            <v>0</v>
          </cell>
        </row>
        <row r="341">
          <cell r="C341" t="str">
            <v>GR1X558</v>
          </cell>
          <cell r="D341" t="str">
            <v>PRINC</v>
          </cell>
          <cell r="E341" t="str">
            <v>00010</v>
          </cell>
          <cell r="F341" t="str">
            <v>COMPONENTES P/SISTEMAS Y TRANSP.</v>
          </cell>
          <cell r="G341" t="str">
            <v>PRINCIPAL</v>
          </cell>
          <cell r="H341">
            <v>46004</v>
          </cell>
          <cell r="I341" t="str">
            <v>SALDO INICIAL</v>
          </cell>
          <cell r="J341">
            <v>2</v>
          </cell>
          <cell r="K341">
            <v>10</v>
          </cell>
          <cell r="L341">
            <v>5</v>
          </cell>
          <cell r="M341">
            <v>5</v>
          </cell>
          <cell r="N341" t="str">
            <v/>
          </cell>
          <cell r="O341" t="str">
            <v/>
          </cell>
          <cell r="P341" t="str">
            <v/>
          </cell>
          <cell r="Q341">
            <v>8.75</v>
          </cell>
          <cell r="R341" t="str">
            <v>UND</v>
          </cell>
          <cell r="S341">
            <v>0</v>
          </cell>
          <cell r="T341">
            <v>0</v>
          </cell>
          <cell r="U341" t="str">
            <v/>
          </cell>
          <cell r="V341" t="str">
            <v>PRO10</v>
          </cell>
          <cell r="W341">
            <v>0</v>
          </cell>
        </row>
        <row r="342">
          <cell r="C342" t="str">
            <v>GR4R996</v>
          </cell>
          <cell r="D342" t="str">
            <v>PRINC</v>
          </cell>
          <cell r="E342" t="str">
            <v>00010</v>
          </cell>
          <cell r="F342" t="str">
            <v>COMPONENTES P/SISTEMAS Y TRANSP.</v>
          </cell>
          <cell r="G342" t="str">
            <v>PRINCIPAL</v>
          </cell>
          <cell r="H342">
            <v>46004</v>
          </cell>
          <cell r="I342" t="str">
            <v>SALDO INICIAL</v>
          </cell>
          <cell r="J342">
            <v>1</v>
          </cell>
          <cell r="K342">
            <v>3</v>
          </cell>
          <cell r="L342">
            <v>0</v>
          </cell>
          <cell r="M342">
            <v>3</v>
          </cell>
          <cell r="N342" t="str">
            <v/>
          </cell>
          <cell r="O342" t="str">
            <v/>
          </cell>
          <cell r="P342" t="str">
            <v/>
          </cell>
          <cell r="Q342">
            <v>5.25</v>
          </cell>
          <cell r="R342" t="str">
            <v>UND</v>
          </cell>
          <cell r="S342">
            <v>0</v>
          </cell>
          <cell r="T342">
            <v>0</v>
          </cell>
          <cell r="U342" t="str">
            <v/>
          </cell>
          <cell r="V342" t="str">
            <v>PRO10</v>
          </cell>
          <cell r="W342">
            <v>0</v>
          </cell>
        </row>
        <row r="343">
          <cell r="C343" t="str">
            <v>CHAVSSC1/4</v>
          </cell>
          <cell r="D343" t="str">
            <v>PRINC</v>
          </cell>
          <cell r="E343" t="str">
            <v>00011</v>
          </cell>
          <cell r="F343" t="str">
            <v>EJES</v>
          </cell>
          <cell r="G343" t="str">
            <v>PRINCIPAL</v>
          </cell>
          <cell r="H343">
            <v>46004</v>
          </cell>
          <cell r="I343" t="str">
            <v>SALDO INICIAL</v>
          </cell>
          <cell r="J343">
            <v>0.8</v>
          </cell>
          <cell r="K343">
            <v>22.4</v>
          </cell>
          <cell r="L343">
            <v>28</v>
          </cell>
          <cell r="M343">
            <v>28</v>
          </cell>
          <cell r="N343" t="str">
            <v>PVP POR CM $0.34</v>
          </cell>
          <cell r="O343" t="str">
            <v/>
          </cell>
          <cell r="P343" t="str">
            <v/>
          </cell>
          <cell r="Q343">
            <v>34</v>
          </cell>
          <cell r="R343" t="str">
            <v>MT</v>
          </cell>
          <cell r="S343">
            <v>0</v>
          </cell>
          <cell r="T343">
            <v>0</v>
          </cell>
          <cell r="U343" t="str">
            <v/>
          </cell>
          <cell r="V343" t="str">
            <v>PRO10</v>
          </cell>
          <cell r="W343">
            <v>0</v>
          </cell>
        </row>
        <row r="344">
          <cell r="C344" t="str">
            <v>CHAVSSC10</v>
          </cell>
          <cell r="D344" t="str">
            <v>PRINC</v>
          </cell>
          <cell r="E344" t="str">
            <v>00011</v>
          </cell>
          <cell r="F344" t="str">
            <v>EJES</v>
          </cell>
          <cell r="G344" t="str">
            <v>PRINCIPAL</v>
          </cell>
          <cell r="H344">
            <v>46004</v>
          </cell>
          <cell r="I344" t="str">
            <v>SALDO INICIAL</v>
          </cell>
          <cell r="J344">
            <v>1.7</v>
          </cell>
          <cell r="K344">
            <v>115.6</v>
          </cell>
          <cell r="L344">
            <v>68</v>
          </cell>
          <cell r="M344">
            <v>68</v>
          </cell>
          <cell r="N344" t="str">
            <v>PVP POR CM $0.82</v>
          </cell>
          <cell r="O344" t="str">
            <v/>
          </cell>
          <cell r="P344" t="str">
            <v/>
          </cell>
          <cell r="Q344">
            <v>82</v>
          </cell>
          <cell r="R344" t="str">
            <v>MT</v>
          </cell>
          <cell r="S344">
            <v>0</v>
          </cell>
          <cell r="T344">
            <v>0</v>
          </cell>
          <cell r="U344" t="str">
            <v/>
          </cell>
          <cell r="V344" t="str">
            <v>PRO10</v>
          </cell>
          <cell r="W344">
            <v>0</v>
          </cell>
        </row>
        <row r="345">
          <cell r="C345" t="str">
            <v>CHAVSSC3/8</v>
          </cell>
          <cell r="D345" t="str">
            <v>PRINC</v>
          </cell>
          <cell r="E345" t="str">
            <v>00011</v>
          </cell>
          <cell r="F345" t="str">
            <v>EJES</v>
          </cell>
          <cell r="G345" t="str">
            <v>PRINCIPAL</v>
          </cell>
          <cell r="H345">
            <v>46004</v>
          </cell>
          <cell r="I345" t="str">
            <v>SALDO INICIAL</v>
          </cell>
          <cell r="J345">
            <v>3</v>
          </cell>
          <cell r="K345">
            <v>187.5</v>
          </cell>
          <cell r="L345">
            <v>62.5</v>
          </cell>
          <cell r="M345">
            <v>62.5</v>
          </cell>
          <cell r="N345" t="str">
            <v>PVP POR CM $0.75</v>
          </cell>
          <cell r="O345" t="str">
            <v/>
          </cell>
          <cell r="P345" t="str">
            <v/>
          </cell>
          <cell r="Q345">
            <v>75</v>
          </cell>
          <cell r="R345" t="str">
            <v>MT</v>
          </cell>
          <cell r="S345">
            <v>0</v>
          </cell>
          <cell r="T345">
            <v>0</v>
          </cell>
          <cell r="U345" t="str">
            <v/>
          </cell>
          <cell r="V345" t="str">
            <v>PRO10</v>
          </cell>
          <cell r="W345">
            <v>0</v>
          </cell>
        </row>
        <row r="346">
          <cell r="C346" t="str">
            <v>CHAVSSC5/16</v>
          </cell>
          <cell r="D346" t="str">
            <v>PRINC</v>
          </cell>
          <cell r="E346" t="str">
            <v>00011</v>
          </cell>
          <cell r="F346" t="str">
            <v>EJES</v>
          </cell>
          <cell r="G346" t="str">
            <v>PRINCIPAL</v>
          </cell>
          <cell r="H346">
            <v>46004</v>
          </cell>
          <cell r="I346" t="str">
            <v>SALDO INICIAL</v>
          </cell>
          <cell r="J346">
            <v>3</v>
          </cell>
          <cell r="K346">
            <v>117.035985</v>
          </cell>
          <cell r="L346">
            <v>39.011994999999999</v>
          </cell>
          <cell r="M346">
            <v>39.011994999999999</v>
          </cell>
          <cell r="N346" t="str">
            <v>PVP POR CM $0.47</v>
          </cell>
          <cell r="O346" t="str">
            <v/>
          </cell>
          <cell r="P346" t="str">
            <v/>
          </cell>
          <cell r="Q346">
            <v>47</v>
          </cell>
          <cell r="R346" t="str">
            <v>MT</v>
          </cell>
          <cell r="S346">
            <v>0</v>
          </cell>
          <cell r="T346">
            <v>0</v>
          </cell>
          <cell r="U346" t="str">
            <v/>
          </cell>
          <cell r="V346" t="str">
            <v>PRO10</v>
          </cell>
          <cell r="W346">
            <v>0</v>
          </cell>
        </row>
        <row r="347">
          <cell r="C347" t="str">
            <v>CHAVSSC6</v>
          </cell>
          <cell r="D347" t="str">
            <v>PRINC</v>
          </cell>
          <cell r="E347" t="str">
            <v>00011</v>
          </cell>
          <cell r="F347" t="str">
            <v>EJES</v>
          </cell>
          <cell r="G347" t="str">
            <v>PRINCIPAL</v>
          </cell>
          <cell r="H347">
            <v>46004</v>
          </cell>
          <cell r="I347" t="str">
            <v>SALDO INICIAL</v>
          </cell>
          <cell r="J347">
            <v>4</v>
          </cell>
          <cell r="K347">
            <v>136.06897900000001</v>
          </cell>
          <cell r="L347">
            <v>34</v>
          </cell>
          <cell r="M347">
            <v>34.017244750000003</v>
          </cell>
          <cell r="N347" t="str">
            <v>PVP POR CM $0.41</v>
          </cell>
          <cell r="O347" t="str">
            <v/>
          </cell>
          <cell r="P347" t="str">
            <v/>
          </cell>
          <cell r="Q347">
            <v>41</v>
          </cell>
          <cell r="R347" t="str">
            <v>MT</v>
          </cell>
          <cell r="S347">
            <v>0</v>
          </cell>
          <cell r="T347">
            <v>0</v>
          </cell>
          <cell r="U347" t="str">
            <v/>
          </cell>
          <cell r="V347" t="str">
            <v>PRO10</v>
          </cell>
          <cell r="W347">
            <v>0</v>
          </cell>
        </row>
        <row r="348">
          <cell r="C348" t="str">
            <v>CHAVSSC8</v>
          </cell>
          <cell r="D348" t="str">
            <v>PRINC</v>
          </cell>
          <cell r="E348" t="str">
            <v>00011</v>
          </cell>
          <cell r="F348" t="str">
            <v>EJES</v>
          </cell>
          <cell r="G348" t="str">
            <v>PRINCIPAL</v>
          </cell>
          <cell r="H348">
            <v>46004</v>
          </cell>
          <cell r="I348" t="str">
            <v>SALDO INICIAL</v>
          </cell>
          <cell r="J348">
            <v>0.56000000000000005</v>
          </cell>
          <cell r="K348">
            <v>36.4</v>
          </cell>
          <cell r="L348">
            <v>65</v>
          </cell>
          <cell r="M348">
            <v>65</v>
          </cell>
          <cell r="N348" t="str">
            <v>PVP POR CM $0.78</v>
          </cell>
          <cell r="O348" t="str">
            <v/>
          </cell>
          <cell r="P348" t="str">
            <v/>
          </cell>
          <cell r="Q348">
            <v>78</v>
          </cell>
          <cell r="R348" t="str">
            <v>MT</v>
          </cell>
          <cell r="S348">
            <v>0</v>
          </cell>
          <cell r="T348">
            <v>0</v>
          </cell>
          <cell r="U348" t="str">
            <v/>
          </cell>
          <cell r="V348" t="str">
            <v>PRO10</v>
          </cell>
          <cell r="W348">
            <v>0</v>
          </cell>
        </row>
        <row r="349">
          <cell r="C349" t="str">
            <v>QDEJEPER1.1/4</v>
          </cell>
          <cell r="D349" t="str">
            <v>PRINC</v>
          </cell>
          <cell r="E349" t="str">
            <v>00011</v>
          </cell>
          <cell r="F349" t="str">
            <v>EJES</v>
          </cell>
          <cell r="G349" t="str">
            <v>PRINCIPAL</v>
          </cell>
          <cell r="H349">
            <v>46004</v>
          </cell>
          <cell r="I349" t="str">
            <v>SALDO INICIAL</v>
          </cell>
          <cell r="J349">
            <v>12</v>
          </cell>
          <cell r="K349">
            <v>82.8</v>
          </cell>
          <cell r="L349">
            <v>6.9</v>
          </cell>
          <cell r="M349">
            <v>6.9</v>
          </cell>
          <cell r="N349" t="str">
            <v/>
          </cell>
          <cell r="O349" t="str">
            <v/>
          </cell>
          <cell r="P349" t="str">
            <v/>
          </cell>
          <cell r="Q349">
            <v>17.5</v>
          </cell>
          <cell r="R349" t="str">
            <v>MT</v>
          </cell>
          <cell r="S349">
            <v>0</v>
          </cell>
          <cell r="T349">
            <v>0</v>
          </cell>
          <cell r="U349" t="str">
            <v/>
          </cell>
          <cell r="V349" t="str">
            <v>PRO10</v>
          </cell>
          <cell r="W349">
            <v>0</v>
          </cell>
        </row>
        <row r="350">
          <cell r="C350" t="str">
            <v>RO212354</v>
          </cell>
          <cell r="D350" t="str">
            <v>PRINC</v>
          </cell>
          <cell r="E350" t="str">
            <v>00011</v>
          </cell>
          <cell r="F350" t="str">
            <v>EJES</v>
          </cell>
          <cell r="G350" t="str">
            <v>PRINCIPAL</v>
          </cell>
          <cell r="H350">
            <v>46004</v>
          </cell>
          <cell r="I350" t="str">
            <v>SALDO INICIAL</v>
          </cell>
          <cell r="J350">
            <v>-6</v>
          </cell>
          <cell r="K350">
            <v>0</v>
          </cell>
          <cell r="L350">
            <v>0</v>
          </cell>
          <cell r="M350">
            <v>0</v>
          </cell>
          <cell r="N350" t="str">
            <v/>
          </cell>
          <cell r="O350" t="str">
            <v/>
          </cell>
          <cell r="P350" t="str">
            <v/>
          </cell>
          <cell r="Q350">
            <v>20.3</v>
          </cell>
          <cell r="R350" t="str">
            <v>MT</v>
          </cell>
          <cell r="S350">
            <v>0</v>
          </cell>
          <cell r="T350">
            <v>0</v>
          </cell>
          <cell r="U350" t="str">
            <v/>
          </cell>
          <cell r="V350" t="str">
            <v>PRO10</v>
          </cell>
          <cell r="W350">
            <v>0</v>
          </cell>
        </row>
        <row r="351">
          <cell r="C351" t="str">
            <v>IMEJESSC1.1/2</v>
          </cell>
          <cell r="D351" t="str">
            <v>PRINC</v>
          </cell>
          <cell r="E351" t="str">
            <v>00011</v>
          </cell>
          <cell r="F351" t="str">
            <v>EJES</v>
          </cell>
          <cell r="G351" t="str">
            <v>PRINCIPAL</v>
          </cell>
          <cell r="H351">
            <v>46004</v>
          </cell>
          <cell r="I351" t="str">
            <v>SALDO INICIAL</v>
          </cell>
          <cell r="J351">
            <v>-5.28</v>
          </cell>
          <cell r="K351">
            <v>0</v>
          </cell>
          <cell r="L351">
            <v>0</v>
          </cell>
          <cell r="M351">
            <v>0</v>
          </cell>
          <cell r="N351" t="str">
            <v/>
          </cell>
          <cell r="O351" t="str">
            <v/>
          </cell>
          <cell r="P351" t="str">
            <v/>
          </cell>
          <cell r="Q351">
            <v>155</v>
          </cell>
          <cell r="R351" t="str">
            <v>MTS</v>
          </cell>
          <cell r="S351">
            <v>0</v>
          </cell>
          <cell r="T351">
            <v>0</v>
          </cell>
          <cell r="U351" t="str">
            <v/>
          </cell>
          <cell r="V351" t="str">
            <v>PRO10</v>
          </cell>
          <cell r="W351">
            <v>0</v>
          </cell>
        </row>
        <row r="352">
          <cell r="C352" t="str">
            <v>HIUX2-D150W</v>
          </cell>
          <cell r="D352" t="str">
            <v>PRINC</v>
          </cell>
          <cell r="E352" t="str">
            <v>00012</v>
          </cell>
          <cell r="F352" t="str">
            <v>MAQUINAS PARA VENTA</v>
          </cell>
          <cell r="G352" t="str">
            <v>PRINCIPAL</v>
          </cell>
          <cell r="H352">
            <v>46004</v>
          </cell>
          <cell r="I352" t="str">
            <v>SALDO INICIAL</v>
          </cell>
          <cell r="J352">
            <v>1</v>
          </cell>
          <cell r="K352">
            <v>8529.74</v>
          </cell>
          <cell r="L352">
            <v>0</v>
          </cell>
          <cell r="M352">
            <v>8529.74</v>
          </cell>
          <cell r="N352" t="str">
            <v/>
          </cell>
          <cell r="O352" t="str">
            <v/>
          </cell>
          <cell r="P352" t="str">
            <v/>
          </cell>
          <cell r="Q352">
            <v>0</v>
          </cell>
          <cell r="R352" t="str">
            <v>UND</v>
          </cell>
          <cell r="S352">
            <v>0</v>
          </cell>
          <cell r="T352">
            <v>0</v>
          </cell>
          <cell r="U352" t="str">
            <v/>
          </cell>
          <cell r="V352" t="str">
            <v>PRO10</v>
          </cell>
          <cell r="W352">
            <v>0</v>
          </cell>
        </row>
        <row r="353">
          <cell r="C353" t="str">
            <v>HIRX2-SD160W-6M</v>
          </cell>
          <cell r="D353" t="str">
            <v>PRINC</v>
          </cell>
          <cell r="E353" t="str">
            <v>00012</v>
          </cell>
          <cell r="F353" t="str">
            <v>MAQUINAS PARA VENTA</v>
          </cell>
          <cell r="G353" t="str">
            <v>PRINCIPAL</v>
          </cell>
          <cell r="H353">
            <v>46004</v>
          </cell>
          <cell r="I353" t="str">
            <v>SALDO INICIAL</v>
          </cell>
          <cell r="J353">
            <v>1</v>
          </cell>
          <cell r="K353">
            <v>4506.9483330000003</v>
          </cell>
          <cell r="L353">
            <v>4506.9483330000003</v>
          </cell>
          <cell r="M353">
            <v>4506.9483330000003</v>
          </cell>
          <cell r="N353" t="str">
            <v/>
          </cell>
          <cell r="O353" t="str">
            <v/>
          </cell>
          <cell r="P353" t="str">
            <v/>
          </cell>
          <cell r="Q353">
            <v>0</v>
          </cell>
          <cell r="R353" t="str">
            <v>UND</v>
          </cell>
          <cell r="S353">
            <v>0</v>
          </cell>
          <cell r="T353">
            <v>0</v>
          </cell>
          <cell r="U353" t="str">
            <v/>
          </cell>
          <cell r="V353" t="str">
            <v>PRO10</v>
          </cell>
          <cell r="W353">
            <v>0</v>
          </cell>
        </row>
        <row r="354">
          <cell r="C354" t="str">
            <v>HIUX2-D160W-E</v>
          </cell>
          <cell r="D354" t="str">
            <v>PRINC</v>
          </cell>
          <cell r="E354" t="str">
            <v>00012</v>
          </cell>
          <cell r="F354" t="str">
            <v>MAQUINAS PARA VENTA</v>
          </cell>
          <cell r="G354" t="str">
            <v>PRINCIPAL</v>
          </cell>
          <cell r="H354">
            <v>46004</v>
          </cell>
          <cell r="I354" t="str">
            <v>SALDO INICIAL</v>
          </cell>
          <cell r="J354">
            <v>3</v>
          </cell>
          <cell r="K354">
            <v>20537.37</v>
          </cell>
          <cell r="L354">
            <v>0</v>
          </cell>
          <cell r="M354">
            <v>6845.79</v>
          </cell>
          <cell r="N354" t="str">
            <v/>
          </cell>
          <cell r="O354" t="str">
            <v/>
          </cell>
          <cell r="P354" t="str">
            <v/>
          </cell>
          <cell r="Q354">
            <v>0</v>
          </cell>
          <cell r="R354" t="str">
            <v>UND</v>
          </cell>
          <cell r="S354">
            <v>0</v>
          </cell>
          <cell r="T354">
            <v>0</v>
          </cell>
          <cell r="U354" t="str">
            <v/>
          </cell>
          <cell r="V354" t="str">
            <v>PRO10</v>
          </cell>
          <cell r="W354">
            <v>0</v>
          </cell>
        </row>
        <row r="355">
          <cell r="C355" t="str">
            <v>HIUX-B160W</v>
          </cell>
          <cell r="D355" t="str">
            <v>PRINC</v>
          </cell>
          <cell r="E355" t="str">
            <v>00012</v>
          </cell>
          <cell r="F355" t="str">
            <v>MAQUINAS PARA VENTA</v>
          </cell>
          <cell r="G355" t="str">
            <v>PRINCIPAL</v>
          </cell>
          <cell r="H355">
            <v>46004</v>
          </cell>
          <cell r="I355" t="str">
            <v>SALDO INICIAL</v>
          </cell>
          <cell r="J355">
            <v>2</v>
          </cell>
          <cell r="K355">
            <v>9047.26</v>
          </cell>
          <cell r="L355">
            <v>0</v>
          </cell>
          <cell r="M355">
            <v>4523.63</v>
          </cell>
          <cell r="N355" t="str">
            <v/>
          </cell>
          <cell r="O355" t="str">
            <v/>
          </cell>
          <cell r="P355" t="str">
            <v/>
          </cell>
          <cell r="Q355">
            <v>0</v>
          </cell>
          <cell r="R355" t="str">
            <v>UND</v>
          </cell>
          <cell r="S355">
            <v>0</v>
          </cell>
          <cell r="T355">
            <v>0</v>
          </cell>
          <cell r="U355" t="str">
            <v/>
          </cell>
          <cell r="V355" t="str">
            <v>PRO10</v>
          </cell>
          <cell r="W355">
            <v>0</v>
          </cell>
        </row>
        <row r="356">
          <cell r="C356" t="str">
            <v>HIUX-B160WG</v>
          </cell>
          <cell r="D356" t="str">
            <v>PRINC</v>
          </cell>
          <cell r="E356" t="str">
            <v>00012</v>
          </cell>
          <cell r="F356" t="str">
            <v>MAQUINAS PARA VENTA</v>
          </cell>
          <cell r="G356" t="str">
            <v>PRINCIPAL</v>
          </cell>
          <cell r="H356">
            <v>46004</v>
          </cell>
          <cell r="I356" t="str">
            <v>SALDO INICIAL</v>
          </cell>
          <cell r="J356">
            <v>7</v>
          </cell>
          <cell r="K356">
            <v>26110.088148999999</v>
          </cell>
          <cell r="L356">
            <v>3730.0125929999999</v>
          </cell>
          <cell r="M356">
            <v>3730.0125927140002</v>
          </cell>
          <cell r="N356" t="str">
            <v>HASTA 3 LINEAS</v>
          </cell>
          <cell r="O356" t="str">
            <v/>
          </cell>
          <cell r="P356" t="str">
            <v/>
          </cell>
          <cell r="Q356">
            <v>0</v>
          </cell>
          <cell r="R356" t="str">
            <v>UND</v>
          </cell>
          <cell r="S356">
            <v>0</v>
          </cell>
          <cell r="T356">
            <v>0</v>
          </cell>
          <cell r="U356" t="str">
            <v/>
          </cell>
          <cell r="V356" t="str">
            <v>PRO10</v>
          </cell>
          <cell r="W356">
            <v>0</v>
          </cell>
        </row>
        <row r="357">
          <cell r="C357" t="str">
            <v>HIUX-B160WP</v>
          </cell>
          <cell r="D357" t="str">
            <v>PRINC</v>
          </cell>
          <cell r="E357" t="str">
            <v>00012</v>
          </cell>
          <cell r="F357" t="str">
            <v>MAQUINAS PARA VENTA</v>
          </cell>
          <cell r="G357" t="str">
            <v>PRINCIPAL</v>
          </cell>
          <cell r="H357">
            <v>46004</v>
          </cell>
          <cell r="I357" t="str">
            <v>SALDO INICIAL</v>
          </cell>
          <cell r="J357">
            <v>4</v>
          </cell>
          <cell r="K357">
            <v>19212.411935</v>
          </cell>
          <cell r="L357">
            <v>4803.1029840000001</v>
          </cell>
          <cell r="M357">
            <v>4803.10298375</v>
          </cell>
          <cell r="N357" t="str">
            <v>HASTA 3 LINEAS</v>
          </cell>
          <cell r="O357" t="str">
            <v/>
          </cell>
          <cell r="P357" t="str">
            <v/>
          </cell>
          <cell r="Q357">
            <v>0</v>
          </cell>
          <cell r="R357" t="str">
            <v>UND</v>
          </cell>
          <cell r="S357">
            <v>0</v>
          </cell>
          <cell r="T357">
            <v>0</v>
          </cell>
          <cell r="U357" t="str">
            <v/>
          </cell>
          <cell r="V357" t="str">
            <v>PRO10</v>
          </cell>
          <cell r="W357">
            <v>0</v>
          </cell>
        </row>
        <row r="358">
          <cell r="C358" t="str">
            <v>HIUX-D140W</v>
          </cell>
          <cell r="D358" t="str">
            <v>PRINC</v>
          </cell>
          <cell r="E358" t="str">
            <v>00012</v>
          </cell>
          <cell r="F358" t="str">
            <v>MAQUINAS PARA VENTA</v>
          </cell>
          <cell r="G358" t="str">
            <v>PRINCIPAL</v>
          </cell>
          <cell r="H358">
            <v>46004</v>
          </cell>
          <cell r="I358" t="str">
            <v>SALDO INICIAL</v>
          </cell>
          <cell r="J358">
            <v>1</v>
          </cell>
          <cell r="K358">
            <v>9538.7099999999991</v>
          </cell>
          <cell r="L358">
            <v>0</v>
          </cell>
          <cell r="M358">
            <v>9538.7099999999991</v>
          </cell>
          <cell r="N358" t="str">
            <v/>
          </cell>
          <cell r="O358" t="str">
            <v/>
          </cell>
          <cell r="P358" t="str">
            <v/>
          </cell>
          <cell r="Q358">
            <v>0</v>
          </cell>
          <cell r="R358" t="str">
            <v>UND</v>
          </cell>
          <cell r="S358">
            <v>0</v>
          </cell>
          <cell r="T358">
            <v>0</v>
          </cell>
          <cell r="U358" t="str">
            <v/>
          </cell>
          <cell r="V358" t="str">
            <v>PRO10</v>
          </cell>
          <cell r="W358">
            <v>0</v>
          </cell>
        </row>
        <row r="359">
          <cell r="C359" t="str">
            <v>HIUX-D161WP</v>
          </cell>
          <cell r="D359" t="str">
            <v>PRINC</v>
          </cell>
          <cell r="E359" t="str">
            <v>00012</v>
          </cell>
          <cell r="F359" t="str">
            <v>MAQUINAS PARA VENTA</v>
          </cell>
          <cell r="G359" t="str">
            <v>PRINCIPAL</v>
          </cell>
          <cell r="H359">
            <v>46004</v>
          </cell>
          <cell r="I359" t="str">
            <v>SALDO INICIAL</v>
          </cell>
          <cell r="J359">
            <v>1</v>
          </cell>
          <cell r="K359">
            <v>6045.2927650000001</v>
          </cell>
          <cell r="L359">
            <v>6045.2927659999996</v>
          </cell>
          <cell r="M359">
            <v>6045.2927650000001</v>
          </cell>
          <cell r="N359" t="str">
            <v/>
          </cell>
          <cell r="O359" t="str">
            <v/>
          </cell>
          <cell r="P359" t="str">
            <v/>
          </cell>
          <cell r="Q359">
            <v>0</v>
          </cell>
          <cell r="R359" t="str">
            <v>UND</v>
          </cell>
          <cell r="S359">
            <v>0</v>
          </cell>
          <cell r="T359">
            <v>0</v>
          </cell>
          <cell r="U359" t="str">
            <v/>
          </cell>
          <cell r="V359" t="str">
            <v>PRO10</v>
          </cell>
          <cell r="W359">
            <v>0</v>
          </cell>
        </row>
        <row r="360">
          <cell r="C360" t="str">
            <v>HIUX-D860WP</v>
          </cell>
          <cell r="D360" t="str">
            <v>PRINC</v>
          </cell>
          <cell r="E360" t="str">
            <v>00012</v>
          </cell>
          <cell r="F360" t="str">
            <v>MAQUINAS PARA VENTA</v>
          </cell>
          <cell r="G360" t="str">
            <v>PRINCIPAL</v>
          </cell>
          <cell r="H360">
            <v>46004</v>
          </cell>
          <cell r="I360" t="str">
            <v>SALDO INICIAL</v>
          </cell>
          <cell r="J360">
            <v>1</v>
          </cell>
          <cell r="K360">
            <v>5569.17</v>
          </cell>
          <cell r="L360">
            <v>0</v>
          </cell>
          <cell r="M360">
            <v>5569.17</v>
          </cell>
          <cell r="N360" t="str">
            <v/>
          </cell>
          <cell r="O360" t="str">
            <v/>
          </cell>
          <cell r="P360" t="str">
            <v/>
          </cell>
          <cell r="Q360">
            <v>0</v>
          </cell>
          <cell r="R360" t="str">
            <v>UND</v>
          </cell>
          <cell r="S360">
            <v>0</v>
          </cell>
          <cell r="T360">
            <v>0</v>
          </cell>
          <cell r="U360" t="str">
            <v/>
          </cell>
          <cell r="V360" t="str">
            <v>PRO10</v>
          </cell>
          <cell r="W360">
            <v>0</v>
          </cell>
        </row>
        <row r="361">
          <cell r="C361" t="str">
            <v>MLJB5C3</v>
          </cell>
          <cell r="D361" t="str">
            <v>PRINC</v>
          </cell>
          <cell r="E361" t="str">
            <v>00013</v>
          </cell>
          <cell r="F361" t="str">
            <v>MOTORES Y REDUCTORES Y ACCES.</v>
          </cell>
          <cell r="G361" t="str">
            <v>PRINCIPAL</v>
          </cell>
          <cell r="H361">
            <v>46004</v>
          </cell>
          <cell r="I361" t="str">
            <v>SALDO INICIAL</v>
          </cell>
          <cell r="J361">
            <v>1</v>
          </cell>
          <cell r="K361">
            <v>24.711099999999998</v>
          </cell>
          <cell r="L361">
            <v>24.711099999999998</v>
          </cell>
          <cell r="M361">
            <v>24.711099999999998</v>
          </cell>
          <cell r="N361" t="str">
            <v/>
          </cell>
          <cell r="O361" t="str">
            <v/>
          </cell>
          <cell r="P361" t="str">
            <v/>
          </cell>
          <cell r="Q361">
            <v>40.799999999999997</v>
          </cell>
          <cell r="R361" t="str">
            <v>UND</v>
          </cell>
          <cell r="S361">
            <v>0</v>
          </cell>
          <cell r="T361">
            <v>0</v>
          </cell>
          <cell r="U361" t="str">
            <v/>
          </cell>
          <cell r="V361" t="str">
            <v>PRO10</v>
          </cell>
          <cell r="W361">
            <v>0</v>
          </cell>
        </row>
        <row r="362">
          <cell r="C362" t="str">
            <v>SPS8BT</v>
          </cell>
          <cell r="D362" t="str">
            <v>PRINC</v>
          </cell>
          <cell r="E362" t="str">
            <v>00013</v>
          </cell>
          <cell r="F362" t="str">
            <v>MOTORES Y REDUCTORES Y ACCES.</v>
          </cell>
          <cell r="G362" t="str">
            <v>PRINCIPAL</v>
          </cell>
          <cell r="H362">
            <v>46004</v>
          </cell>
          <cell r="I362" t="str">
            <v>SALDO INICIAL</v>
          </cell>
          <cell r="J362">
            <v>40</v>
          </cell>
          <cell r="K362">
            <v>437.89321999999999</v>
          </cell>
          <cell r="L362">
            <v>10.947329999999999</v>
          </cell>
          <cell r="M362">
            <v>10.9473305</v>
          </cell>
          <cell r="N362" t="str">
            <v/>
          </cell>
          <cell r="O362" t="str">
            <v/>
          </cell>
          <cell r="P362" t="str">
            <v/>
          </cell>
          <cell r="Q362">
            <v>15.8</v>
          </cell>
          <cell r="R362" t="str">
            <v>UND</v>
          </cell>
          <cell r="S362">
            <v>0</v>
          </cell>
          <cell r="T362">
            <v>0</v>
          </cell>
          <cell r="U362" t="str">
            <v/>
          </cell>
          <cell r="V362" t="str">
            <v>PRO10</v>
          </cell>
          <cell r="W362">
            <v>0</v>
          </cell>
        </row>
        <row r="363">
          <cell r="C363" t="str">
            <v>SPS9DS</v>
          </cell>
          <cell r="D363" t="str">
            <v>PRINC</v>
          </cell>
          <cell r="E363" t="str">
            <v>00013</v>
          </cell>
          <cell r="F363" t="str">
            <v>MOTORES Y REDUCTORES Y ACCES.</v>
          </cell>
          <cell r="G363" t="str">
            <v>PRINCIPAL</v>
          </cell>
          <cell r="H363">
            <v>46004</v>
          </cell>
          <cell r="I363" t="str">
            <v>SALDO INICIAL</v>
          </cell>
          <cell r="J363">
            <v>83</v>
          </cell>
          <cell r="K363">
            <v>914.12154199999998</v>
          </cell>
          <cell r="L363">
            <v>11.013513</v>
          </cell>
          <cell r="M363">
            <v>11.013512554</v>
          </cell>
          <cell r="N363" t="str">
            <v/>
          </cell>
          <cell r="O363" t="str">
            <v/>
          </cell>
          <cell r="P363" t="str">
            <v/>
          </cell>
          <cell r="Q363">
            <v>15.8</v>
          </cell>
          <cell r="R363" t="str">
            <v>UND</v>
          </cell>
          <cell r="S363">
            <v>0</v>
          </cell>
          <cell r="T363">
            <v>0</v>
          </cell>
          <cell r="U363" t="str">
            <v/>
          </cell>
          <cell r="V363" t="str">
            <v>PRO10</v>
          </cell>
          <cell r="W363">
            <v>0</v>
          </cell>
        </row>
        <row r="364">
          <cell r="C364" t="str">
            <v>DA15DVE</v>
          </cell>
          <cell r="D364" t="str">
            <v>PRINC</v>
          </cell>
          <cell r="E364" t="str">
            <v>00013</v>
          </cell>
          <cell r="F364" t="str">
            <v>MOTORES Y REDUCTORES Y ACCES.</v>
          </cell>
          <cell r="G364" t="str">
            <v>PRINCIPAL</v>
          </cell>
          <cell r="H364">
            <v>46004</v>
          </cell>
          <cell r="I364" t="str">
            <v>SALDO INICIAL</v>
          </cell>
          <cell r="J364">
            <v>50</v>
          </cell>
          <cell r="K364">
            <v>8186.761571</v>
          </cell>
          <cell r="L364">
            <v>163.735231</v>
          </cell>
          <cell r="M364">
            <v>163.73523141999999</v>
          </cell>
          <cell r="N364" t="str">
            <v/>
          </cell>
          <cell r="O364" t="str">
            <v/>
          </cell>
          <cell r="P364" t="str">
            <v/>
          </cell>
          <cell r="Q364">
            <v>245.6</v>
          </cell>
          <cell r="R364" t="str">
            <v>UND</v>
          </cell>
          <cell r="S364">
            <v>0</v>
          </cell>
          <cell r="T364">
            <v>0</v>
          </cell>
          <cell r="U364" t="str">
            <v/>
          </cell>
          <cell r="V364" t="str">
            <v>PRO10</v>
          </cell>
          <cell r="W364">
            <v>0</v>
          </cell>
        </row>
        <row r="365">
          <cell r="C365" t="str">
            <v>SPSUA90IA-V12A</v>
          </cell>
          <cell r="D365" t="str">
            <v>PRINC</v>
          </cell>
          <cell r="E365" t="str">
            <v>00013</v>
          </cell>
          <cell r="F365" t="str">
            <v>MOTORES Y REDUCTORES Y ACCES.</v>
          </cell>
          <cell r="G365" t="str">
            <v>PRINCIPAL</v>
          </cell>
          <cell r="H365">
            <v>46004</v>
          </cell>
          <cell r="I365" t="str">
            <v>SALDO INICIAL</v>
          </cell>
          <cell r="J365">
            <v>2</v>
          </cell>
          <cell r="K365">
            <v>110</v>
          </cell>
          <cell r="L365">
            <v>0</v>
          </cell>
          <cell r="M365">
            <v>55</v>
          </cell>
          <cell r="N365" t="str">
            <v/>
          </cell>
          <cell r="O365" t="str">
            <v/>
          </cell>
          <cell r="P365" t="str">
            <v/>
          </cell>
          <cell r="Q365">
            <v>115</v>
          </cell>
          <cell r="R365" t="str">
            <v>UND</v>
          </cell>
          <cell r="S365">
            <v>0</v>
          </cell>
          <cell r="T365">
            <v>0</v>
          </cell>
          <cell r="U365" t="str">
            <v/>
          </cell>
          <cell r="V365" t="str">
            <v>PRO10</v>
          </cell>
          <cell r="W365">
            <v>0</v>
          </cell>
        </row>
        <row r="366">
          <cell r="C366" t="str">
            <v>AUGS1-20P2</v>
          </cell>
          <cell r="D366" t="str">
            <v>PRINC</v>
          </cell>
          <cell r="E366" t="str">
            <v>00013</v>
          </cell>
          <cell r="F366" t="str">
            <v>MOTORES Y REDUCTORES Y ACCES.</v>
          </cell>
          <cell r="G366" t="str">
            <v>PRINCIPAL</v>
          </cell>
          <cell r="H366">
            <v>46004</v>
          </cell>
          <cell r="I366" t="str">
            <v>SALDO INICIAL</v>
          </cell>
          <cell r="J366">
            <v>1</v>
          </cell>
          <cell r="K366">
            <v>130.42599999999999</v>
          </cell>
          <cell r="L366">
            <v>130.42599999999999</v>
          </cell>
          <cell r="M366">
            <v>130.42599999999999</v>
          </cell>
          <cell r="N366" t="str">
            <v/>
          </cell>
          <cell r="O366" t="str">
            <v/>
          </cell>
          <cell r="P366" t="str">
            <v/>
          </cell>
          <cell r="Q366">
            <v>195</v>
          </cell>
          <cell r="R366" t="str">
            <v>UND</v>
          </cell>
          <cell r="S366">
            <v>0</v>
          </cell>
          <cell r="T366">
            <v>0</v>
          </cell>
          <cell r="U366" t="str">
            <v/>
          </cell>
          <cell r="V366" t="str">
            <v>PRO10</v>
          </cell>
          <cell r="W366">
            <v>0</v>
          </cell>
        </row>
        <row r="367">
          <cell r="C367" t="str">
            <v>AUGS21-20P5</v>
          </cell>
          <cell r="D367" t="str">
            <v>PRINC</v>
          </cell>
          <cell r="E367" t="str">
            <v>00013</v>
          </cell>
          <cell r="F367" t="str">
            <v>MOTORES Y REDUCTORES Y ACCES.</v>
          </cell>
          <cell r="G367" t="str">
            <v>PRINCIPAL</v>
          </cell>
          <cell r="H367">
            <v>46004</v>
          </cell>
          <cell r="I367" t="str">
            <v>SALDO INICIAL</v>
          </cell>
          <cell r="J367">
            <v>4</v>
          </cell>
          <cell r="K367">
            <v>661.04</v>
          </cell>
          <cell r="L367">
            <v>165.26</v>
          </cell>
          <cell r="M367">
            <v>165.26</v>
          </cell>
          <cell r="N367" t="str">
            <v/>
          </cell>
          <cell r="O367" t="str">
            <v/>
          </cell>
          <cell r="P367" t="str">
            <v/>
          </cell>
          <cell r="Q367">
            <v>247.9</v>
          </cell>
          <cell r="R367" t="str">
            <v>UND</v>
          </cell>
          <cell r="S367">
            <v>0</v>
          </cell>
          <cell r="T367">
            <v>0</v>
          </cell>
          <cell r="U367" t="str">
            <v/>
          </cell>
          <cell r="V367" t="str">
            <v>PRO10</v>
          </cell>
          <cell r="W367">
            <v>0</v>
          </cell>
        </row>
        <row r="368">
          <cell r="C368" t="str">
            <v>AUGS21-22P0</v>
          </cell>
          <cell r="D368" t="str">
            <v>PRINC</v>
          </cell>
          <cell r="E368" t="str">
            <v>00013</v>
          </cell>
          <cell r="F368" t="str">
            <v>MOTORES Y REDUCTORES Y ACCES.</v>
          </cell>
          <cell r="G368" t="str">
            <v>PRINCIPAL</v>
          </cell>
          <cell r="H368">
            <v>46004</v>
          </cell>
          <cell r="I368" t="str">
            <v>SALDO INICIAL</v>
          </cell>
          <cell r="J368">
            <v>2</v>
          </cell>
          <cell r="K368">
            <v>446.25</v>
          </cell>
          <cell r="L368">
            <v>0</v>
          </cell>
          <cell r="M368">
            <v>223.125</v>
          </cell>
          <cell r="N368" t="str">
            <v/>
          </cell>
          <cell r="O368" t="str">
            <v/>
          </cell>
          <cell r="P368" t="str">
            <v/>
          </cell>
          <cell r="Q368">
            <v>334.7</v>
          </cell>
          <cell r="R368" t="str">
            <v>UND</v>
          </cell>
          <cell r="S368">
            <v>0</v>
          </cell>
          <cell r="T368">
            <v>0</v>
          </cell>
          <cell r="U368" t="str">
            <v/>
          </cell>
          <cell r="V368" t="str">
            <v>PRO10</v>
          </cell>
          <cell r="W368">
            <v>0</v>
          </cell>
        </row>
        <row r="369">
          <cell r="C369" t="str">
            <v>AUGS21-23P0</v>
          </cell>
          <cell r="D369" t="str">
            <v>PRINC</v>
          </cell>
          <cell r="E369" t="str">
            <v>00013</v>
          </cell>
          <cell r="F369" t="str">
            <v>MOTORES Y REDUCTORES Y ACCES.</v>
          </cell>
          <cell r="G369" t="str">
            <v>PRINCIPAL</v>
          </cell>
          <cell r="H369">
            <v>46004</v>
          </cell>
          <cell r="I369" t="str">
            <v>SALDO INICIAL</v>
          </cell>
          <cell r="J369">
            <v>1</v>
          </cell>
          <cell r="K369">
            <v>276.72000000000003</v>
          </cell>
          <cell r="L369">
            <v>0</v>
          </cell>
          <cell r="M369">
            <v>276.72000000000003</v>
          </cell>
          <cell r="N369" t="str">
            <v/>
          </cell>
          <cell r="O369" t="str">
            <v/>
          </cell>
          <cell r="P369" t="str">
            <v/>
          </cell>
          <cell r="Q369">
            <v>415.1</v>
          </cell>
          <cell r="R369" t="str">
            <v>UND</v>
          </cell>
          <cell r="S369">
            <v>0</v>
          </cell>
          <cell r="T369">
            <v>0</v>
          </cell>
          <cell r="U369" t="str">
            <v/>
          </cell>
          <cell r="V369" t="str">
            <v>PRO10</v>
          </cell>
          <cell r="W369">
            <v>0</v>
          </cell>
        </row>
        <row r="370">
          <cell r="C370" t="str">
            <v>HIC1-004MFU2</v>
          </cell>
          <cell r="D370" t="str">
            <v>PRINC</v>
          </cell>
          <cell r="E370" t="str">
            <v>00013</v>
          </cell>
          <cell r="F370" t="str">
            <v>MOTORES Y REDUCTORES Y ACCES.</v>
          </cell>
          <cell r="G370" t="str">
            <v>PRINCIPAL</v>
          </cell>
          <cell r="H370">
            <v>46004</v>
          </cell>
          <cell r="I370" t="str">
            <v>SALDO INICIAL</v>
          </cell>
          <cell r="J370">
            <v>12</v>
          </cell>
          <cell r="K370">
            <v>2137.1815379999998</v>
          </cell>
          <cell r="L370">
            <v>178.09846099999999</v>
          </cell>
          <cell r="M370">
            <v>178.09846150000001</v>
          </cell>
          <cell r="N370" t="str">
            <v/>
          </cell>
          <cell r="O370" t="str">
            <v/>
          </cell>
          <cell r="P370" t="str">
            <v/>
          </cell>
          <cell r="Q370">
            <v>267</v>
          </cell>
          <cell r="R370" t="str">
            <v>UND</v>
          </cell>
          <cell r="S370">
            <v>0</v>
          </cell>
          <cell r="T370">
            <v>0</v>
          </cell>
          <cell r="U370" t="str">
            <v/>
          </cell>
          <cell r="V370" t="str">
            <v>PRO10</v>
          </cell>
          <cell r="W370">
            <v>0</v>
          </cell>
        </row>
        <row r="371">
          <cell r="C371" t="str">
            <v>HIC1-004SFU2</v>
          </cell>
          <cell r="D371" t="str">
            <v>PRINC</v>
          </cell>
          <cell r="E371" t="str">
            <v>00013</v>
          </cell>
          <cell r="F371" t="str">
            <v>MOTORES Y REDUCTORES Y ACCES.</v>
          </cell>
          <cell r="G371" t="str">
            <v>PRINCIPAL</v>
          </cell>
          <cell r="H371">
            <v>46004</v>
          </cell>
          <cell r="I371" t="str">
            <v>SALDO INICIAL</v>
          </cell>
          <cell r="J371">
            <v>3</v>
          </cell>
          <cell r="K371">
            <v>490.26</v>
          </cell>
          <cell r="L371">
            <v>0</v>
          </cell>
          <cell r="M371">
            <v>163.41999999999999</v>
          </cell>
          <cell r="N371" t="str">
            <v/>
          </cell>
          <cell r="O371" t="str">
            <v/>
          </cell>
          <cell r="P371" t="str">
            <v/>
          </cell>
          <cell r="Q371">
            <v>245</v>
          </cell>
          <cell r="R371" t="str">
            <v>UND</v>
          </cell>
          <cell r="S371">
            <v>0</v>
          </cell>
          <cell r="T371">
            <v>0</v>
          </cell>
          <cell r="U371" t="str">
            <v/>
          </cell>
          <cell r="V371" t="str">
            <v>PRO10</v>
          </cell>
          <cell r="W371">
            <v>0</v>
          </cell>
        </row>
        <row r="372">
          <cell r="C372" t="str">
            <v>HIC1-002SFU2</v>
          </cell>
          <cell r="D372" t="str">
            <v>PRINC</v>
          </cell>
          <cell r="E372" t="str">
            <v>00013</v>
          </cell>
          <cell r="F372" t="str">
            <v>MOTORES Y REDUCTORES Y ACCES.</v>
          </cell>
          <cell r="G372" t="str">
            <v>PRINCIPAL</v>
          </cell>
          <cell r="H372">
            <v>46004</v>
          </cell>
          <cell r="I372" t="str">
            <v>SALDO INICIAL</v>
          </cell>
          <cell r="J372">
            <v>3</v>
          </cell>
          <cell r="K372">
            <v>444.47000100000002</v>
          </cell>
          <cell r="L372">
            <v>0</v>
          </cell>
          <cell r="M372">
            <v>148.156667</v>
          </cell>
          <cell r="N372" t="str">
            <v/>
          </cell>
          <cell r="O372" t="str">
            <v/>
          </cell>
          <cell r="P372" t="str">
            <v/>
          </cell>
          <cell r="Q372">
            <v>222.2</v>
          </cell>
          <cell r="R372" t="str">
            <v>UND</v>
          </cell>
          <cell r="S372">
            <v>0</v>
          </cell>
          <cell r="T372">
            <v>0</v>
          </cell>
          <cell r="U372" t="str">
            <v/>
          </cell>
          <cell r="V372" t="str">
            <v>PRO10</v>
          </cell>
          <cell r="W372">
            <v>0</v>
          </cell>
        </row>
        <row r="373">
          <cell r="C373" t="str">
            <v>HIC1-007SFU2</v>
          </cell>
          <cell r="D373" t="str">
            <v>PRINC</v>
          </cell>
          <cell r="E373" t="str">
            <v>00013</v>
          </cell>
          <cell r="F373" t="str">
            <v>MOTORES Y REDUCTORES Y ACCES.</v>
          </cell>
          <cell r="G373" t="str">
            <v>PRINCIPAL</v>
          </cell>
          <cell r="H373">
            <v>46004</v>
          </cell>
          <cell r="I373" t="str">
            <v>SALDO INICIAL</v>
          </cell>
          <cell r="J373">
            <v>3</v>
          </cell>
          <cell r="K373">
            <v>554.91</v>
          </cell>
          <cell r="L373">
            <v>0</v>
          </cell>
          <cell r="M373">
            <v>184.97</v>
          </cell>
          <cell r="N373" t="str">
            <v/>
          </cell>
          <cell r="O373" t="str">
            <v/>
          </cell>
          <cell r="P373" t="str">
            <v/>
          </cell>
          <cell r="Q373">
            <v>277.5</v>
          </cell>
          <cell r="R373" t="str">
            <v>UND</v>
          </cell>
          <cell r="S373">
            <v>0</v>
          </cell>
          <cell r="T373">
            <v>0</v>
          </cell>
          <cell r="U373" t="str">
            <v/>
          </cell>
          <cell r="V373" t="str">
            <v>PRO10</v>
          </cell>
          <cell r="W373">
            <v>0</v>
          </cell>
        </row>
        <row r="374">
          <cell r="C374" t="str">
            <v>SISINAMICSG110</v>
          </cell>
          <cell r="D374" t="str">
            <v>PRINC</v>
          </cell>
          <cell r="E374" t="str">
            <v>00013</v>
          </cell>
          <cell r="F374" t="str">
            <v>MOTORES Y REDUCTORES Y ACCES.</v>
          </cell>
          <cell r="G374" t="str">
            <v>PRINCIPAL</v>
          </cell>
          <cell r="H374">
            <v>46004</v>
          </cell>
          <cell r="I374" t="str">
            <v>SALDO INICIAL</v>
          </cell>
          <cell r="J374">
            <v>1</v>
          </cell>
          <cell r="K374">
            <v>74.017268000000001</v>
          </cell>
          <cell r="L374">
            <v>0</v>
          </cell>
          <cell r="M374">
            <v>74.017268000000001</v>
          </cell>
          <cell r="N374" t="str">
            <v/>
          </cell>
          <cell r="O374" t="str">
            <v/>
          </cell>
          <cell r="P374" t="str">
            <v/>
          </cell>
          <cell r="Q374">
            <v>111</v>
          </cell>
          <cell r="R374" t="str">
            <v>UND</v>
          </cell>
          <cell r="S374">
            <v>0</v>
          </cell>
          <cell r="T374">
            <v>0</v>
          </cell>
          <cell r="U374" t="str">
            <v/>
          </cell>
          <cell r="V374" t="str">
            <v>PRO10</v>
          </cell>
          <cell r="W374">
            <v>0</v>
          </cell>
        </row>
        <row r="375">
          <cell r="C375" t="str">
            <v>HMKC505094Z</v>
          </cell>
          <cell r="D375" t="str">
            <v>PRINC</v>
          </cell>
          <cell r="E375" t="str">
            <v>00013</v>
          </cell>
          <cell r="F375" t="str">
            <v>MOTORES Y REDUCTORES Y ACCES.</v>
          </cell>
          <cell r="G375" t="str">
            <v>PRINCIPAL</v>
          </cell>
          <cell r="H375">
            <v>46004</v>
          </cell>
          <cell r="I375" t="str">
            <v>SALDO INICIAL</v>
          </cell>
          <cell r="J375">
            <v>-1</v>
          </cell>
          <cell r="K375">
            <v>0</v>
          </cell>
          <cell r="L375">
            <v>0</v>
          </cell>
          <cell r="M375">
            <v>0</v>
          </cell>
          <cell r="N375" t="str">
            <v/>
          </cell>
          <cell r="O375" t="str">
            <v/>
          </cell>
          <cell r="P375" t="str">
            <v/>
          </cell>
          <cell r="Q375">
            <v>7</v>
          </cell>
          <cell r="R375" t="str">
            <v>UND</v>
          </cell>
          <cell r="S375">
            <v>0</v>
          </cell>
          <cell r="T375">
            <v>0</v>
          </cell>
          <cell r="U375" t="str">
            <v/>
          </cell>
          <cell r="V375" t="str">
            <v>PRO10</v>
          </cell>
          <cell r="W375">
            <v>0</v>
          </cell>
        </row>
        <row r="376">
          <cell r="C376" t="str">
            <v>HMK0854045</v>
          </cell>
          <cell r="D376" t="str">
            <v>PRINC</v>
          </cell>
          <cell r="E376" t="str">
            <v>00013</v>
          </cell>
          <cell r="F376" t="str">
            <v>MOTORES Y REDUCTORES Y ACCES.</v>
          </cell>
          <cell r="G376" t="str">
            <v>PRINCIPAL</v>
          </cell>
          <cell r="H376">
            <v>46004</v>
          </cell>
          <cell r="I376" t="str">
            <v>SALDO INICIAL</v>
          </cell>
          <cell r="J376">
            <v>-1</v>
          </cell>
          <cell r="K376">
            <v>0</v>
          </cell>
          <cell r="L376">
            <v>0</v>
          </cell>
          <cell r="M376">
            <v>0</v>
          </cell>
          <cell r="N376" t="str">
            <v/>
          </cell>
          <cell r="O376" t="str">
            <v/>
          </cell>
          <cell r="P376" t="str">
            <v/>
          </cell>
          <cell r="Q376">
            <v>26.2</v>
          </cell>
          <cell r="R376" t="str">
            <v>UND</v>
          </cell>
          <cell r="S376">
            <v>0</v>
          </cell>
          <cell r="T376">
            <v>0</v>
          </cell>
          <cell r="U376" t="str">
            <v/>
          </cell>
          <cell r="V376" t="str">
            <v>PRO10</v>
          </cell>
          <cell r="W376">
            <v>0</v>
          </cell>
        </row>
        <row r="377">
          <cell r="C377" t="str">
            <v>SPS9I200GT</v>
          </cell>
          <cell r="D377" t="str">
            <v>PRINC</v>
          </cell>
          <cell r="E377" t="str">
            <v>00013</v>
          </cell>
          <cell r="F377" t="str">
            <v>MOTORES Y REDUCTORES Y ACCES.</v>
          </cell>
          <cell r="G377" t="str">
            <v>PRINCIPAL</v>
          </cell>
          <cell r="H377">
            <v>46004</v>
          </cell>
          <cell r="I377" t="str">
            <v>SALDO INICIAL</v>
          </cell>
          <cell r="J377">
            <v>8</v>
          </cell>
          <cell r="K377">
            <v>1202.0160000000001</v>
          </cell>
          <cell r="L377">
            <v>150.25200000000001</v>
          </cell>
          <cell r="M377">
            <v>150.25200000000001</v>
          </cell>
          <cell r="N377" t="str">
            <v/>
          </cell>
          <cell r="O377" t="str">
            <v/>
          </cell>
          <cell r="P377" t="str">
            <v/>
          </cell>
          <cell r="Q377">
            <v>235.9</v>
          </cell>
          <cell r="R377" t="str">
            <v>UND</v>
          </cell>
          <cell r="S377">
            <v>0</v>
          </cell>
          <cell r="T377">
            <v>0</v>
          </cell>
          <cell r="U377" t="str">
            <v/>
          </cell>
          <cell r="V377" t="str">
            <v>PRO10</v>
          </cell>
          <cell r="W377">
            <v>0</v>
          </cell>
        </row>
        <row r="378">
          <cell r="C378" t="str">
            <v>SPS9I90GEH-V12</v>
          </cell>
          <cell r="D378" t="str">
            <v>PRINC</v>
          </cell>
          <cell r="E378" t="str">
            <v>00013</v>
          </cell>
          <cell r="F378" t="str">
            <v>MOTORES Y REDUCTORES Y ACCES.</v>
          </cell>
          <cell r="G378" t="str">
            <v>PRINCIPAL</v>
          </cell>
          <cell r="H378">
            <v>46004</v>
          </cell>
          <cell r="I378" t="str">
            <v>SALDO INICIAL</v>
          </cell>
          <cell r="J378">
            <v>10</v>
          </cell>
          <cell r="K378">
            <v>1010.4</v>
          </cell>
          <cell r="L378">
            <v>101.04</v>
          </cell>
          <cell r="M378">
            <v>101.04</v>
          </cell>
          <cell r="N378" t="str">
            <v/>
          </cell>
          <cell r="O378" t="str">
            <v/>
          </cell>
          <cell r="P378" t="str">
            <v/>
          </cell>
          <cell r="Q378">
            <v>161.5</v>
          </cell>
          <cell r="R378" t="str">
            <v>UND</v>
          </cell>
          <cell r="S378">
            <v>0</v>
          </cell>
          <cell r="T378">
            <v>0</v>
          </cell>
          <cell r="U378" t="str">
            <v/>
          </cell>
          <cell r="V378" t="str">
            <v>PRO10</v>
          </cell>
          <cell r="W378">
            <v>0</v>
          </cell>
        </row>
        <row r="379">
          <cell r="C379" t="str">
            <v>SPS9I180GA</v>
          </cell>
          <cell r="D379" t="str">
            <v>PRINC</v>
          </cell>
          <cell r="E379" t="str">
            <v>00013</v>
          </cell>
          <cell r="F379" t="str">
            <v>MOTORES Y REDUCTORES Y ACCES.</v>
          </cell>
          <cell r="G379" t="str">
            <v>PRINCIPAL</v>
          </cell>
          <cell r="H379">
            <v>46004</v>
          </cell>
          <cell r="I379" t="str">
            <v>SALDO INICIAL</v>
          </cell>
          <cell r="J379">
            <v>5</v>
          </cell>
          <cell r="K379">
            <v>589.29999999999995</v>
          </cell>
          <cell r="L379">
            <v>117.86</v>
          </cell>
          <cell r="M379">
            <v>117.86</v>
          </cell>
          <cell r="N379" t="str">
            <v/>
          </cell>
          <cell r="O379" t="str">
            <v/>
          </cell>
          <cell r="P379" t="str">
            <v/>
          </cell>
          <cell r="Q379">
            <v>176.8</v>
          </cell>
          <cell r="R379" t="str">
            <v>UND</v>
          </cell>
          <cell r="S379">
            <v>0</v>
          </cell>
          <cell r="T379">
            <v>0</v>
          </cell>
          <cell r="U379" t="str">
            <v/>
          </cell>
          <cell r="V379" t="str">
            <v>PRO10</v>
          </cell>
          <cell r="W379">
            <v>0</v>
          </cell>
        </row>
        <row r="380">
          <cell r="C380" t="str">
            <v>BAVWDM3546</v>
          </cell>
          <cell r="D380" t="str">
            <v>PRINC</v>
          </cell>
          <cell r="E380" t="str">
            <v>00013</v>
          </cell>
          <cell r="F380" t="str">
            <v>MOTORES Y REDUCTORES Y ACCES.</v>
          </cell>
          <cell r="G380" t="str">
            <v>PRINCIPAL</v>
          </cell>
          <cell r="H380">
            <v>46004</v>
          </cell>
          <cell r="I380" t="str">
            <v>SALDO INICIAL</v>
          </cell>
          <cell r="J380">
            <v>4</v>
          </cell>
          <cell r="K380">
            <v>1653.04</v>
          </cell>
          <cell r="L380">
            <v>0</v>
          </cell>
          <cell r="M380">
            <v>413.26</v>
          </cell>
          <cell r="N380" t="str">
            <v/>
          </cell>
          <cell r="O380" t="str">
            <v/>
          </cell>
          <cell r="P380" t="str">
            <v/>
          </cell>
          <cell r="Q380">
            <v>620</v>
          </cell>
          <cell r="R380" t="str">
            <v>UND</v>
          </cell>
          <cell r="S380">
            <v>0</v>
          </cell>
          <cell r="T380">
            <v>0</v>
          </cell>
          <cell r="U380" t="str">
            <v/>
          </cell>
          <cell r="V380" t="str">
            <v>PRO10</v>
          </cell>
          <cell r="W380">
            <v>0</v>
          </cell>
        </row>
        <row r="381">
          <cell r="C381" t="str">
            <v>BAM3610T</v>
          </cell>
          <cell r="D381" t="str">
            <v>PRINC</v>
          </cell>
          <cell r="E381" t="str">
            <v>00013</v>
          </cell>
          <cell r="F381" t="str">
            <v>MOTORES Y REDUCTORES Y ACCES.</v>
          </cell>
          <cell r="G381" t="str">
            <v>PRINCIPAL</v>
          </cell>
          <cell r="H381">
            <v>46004</v>
          </cell>
          <cell r="I381" t="str">
            <v>SALDO INICIAL</v>
          </cell>
          <cell r="J381">
            <v>1</v>
          </cell>
          <cell r="K381">
            <v>950</v>
          </cell>
          <cell r="L381">
            <v>0</v>
          </cell>
          <cell r="M381">
            <v>950</v>
          </cell>
          <cell r="N381" t="str">
            <v/>
          </cell>
          <cell r="O381" t="str">
            <v/>
          </cell>
          <cell r="P381" t="str">
            <v/>
          </cell>
          <cell r="Q381">
            <v>1330</v>
          </cell>
          <cell r="R381" t="str">
            <v>UND</v>
          </cell>
          <cell r="S381">
            <v>0</v>
          </cell>
          <cell r="T381">
            <v>0</v>
          </cell>
          <cell r="U381" t="str">
            <v/>
          </cell>
          <cell r="V381" t="str">
            <v>PRO10</v>
          </cell>
          <cell r="W381">
            <v>0</v>
          </cell>
        </row>
        <row r="382">
          <cell r="C382" t="str">
            <v>CGSPMCKF4JTENN</v>
          </cell>
          <cell r="D382" t="str">
            <v>PRINC</v>
          </cell>
          <cell r="E382" t="str">
            <v>00013</v>
          </cell>
          <cell r="F382" t="str">
            <v>MOTORES Y REDUCTORES Y ACCES.</v>
          </cell>
          <cell r="G382" t="str">
            <v>PRINCIPAL</v>
          </cell>
          <cell r="H382">
            <v>46004</v>
          </cell>
          <cell r="I382" t="str">
            <v>SALDO INICIAL</v>
          </cell>
          <cell r="J382">
            <v>-1</v>
          </cell>
          <cell r="K382">
            <v>0</v>
          </cell>
          <cell r="L382">
            <v>0</v>
          </cell>
          <cell r="M382">
            <v>0</v>
          </cell>
          <cell r="N382" t="str">
            <v/>
          </cell>
          <cell r="O382" t="str">
            <v/>
          </cell>
          <cell r="P382" t="str">
            <v/>
          </cell>
          <cell r="Q382">
            <v>0</v>
          </cell>
          <cell r="R382" t="str">
            <v>UND</v>
          </cell>
          <cell r="S382">
            <v>0</v>
          </cell>
          <cell r="T382">
            <v>0</v>
          </cell>
          <cell r="U382" t="str">
            <v/>
          </cell>
          <cell r="V382" t="str">
            <v>PRO10</v>
          </cell>
          <cell r="W382">
            <v>0</v>
          </cell>
        </row>
        <row r="383">
          <cell r="C383" t="str">
            <v>CGSPMDKG4JTENN</v>
          </cell>
          <cell r="D383" t="str">
            <v>PRINC</v>
          </cell>
          <cell r="E383" t="str">
            <v>00013</v>
          </cell>
          <cell r="F383" t="str">
            <v>MOTORES Y REDUCTORES Y ACCES.</v>
          </cell>
          <cell r="G383" t="str">
            <v>PRINCIPAL</v>
          </cell>
          <cell r="H383">
            <v>46004</v>
          </cell>
          <cell r="I383" t="str">
            <v>SALDO INICIAL</v>
          </cell>
          <cell r="J383">
            <v>-1</v>
          </cell>
          <cell r="K383">
            <v>0</v>
          </cell>
          <cell r="L383">
            <v>0</v>
          </cell>
          <cell r="M383">
            <v>0</v>
          </cell>
          <cell r="N383" t="str">
            <v/>
          </cell>
          <cell r="O383" t="str">
            <v/>
          </cell>
          <cell r="P383" t="str">
            <v/>
          </cell>
          <cell r="Q383">
            <v>0</v>
          </cell>
          <cell r="R383" t="str">
            <v>UND</v>
          </cell>
          <cell r="S383">
            <v>0</v>
          </cell>
          <cell r="T383">
            <v>0</v>
          </cell>
          <cell r="U383" t="str">
            <v/>
          </cell>
          <cell r="V383" t="str">
            <v>PRO10</v>
          </cell>
          <cell r="W383">
            <v>0</v>
          </cell>
        </row>
        <row r="384">
          <cell r="C384" t="str">
            <v>SPS9D200-90CH</v>
          </cell>
          <cell r="D384" t="str">
            <v>PRINC</v>
          </cell>
          <cell r="E384" t="str">
            <v>00013</v>
          </cell>
          <cell r="F384" t="str">
            <v>MOTORES Y REDUCTORES Y ACCES.</v>
          </cell>
          <cell r="G384" t="str">
            <v>PRINCIPAL</v>
          </cell>
          <cell r="H384">
            <v>46004</v>
          </cell>
          <cell r="I384" t="str">
            <v>SALDO INICIAL</v>
          </cell>
          <cell r="J384">
            <v>8</v>
          </cell>
          <cell r="K384">
            <v>1613.690664</v>
          </cell>
          <cell r="L384">
            <v>201.711333</v>
          </cell>
          <cell r="M384">
            <v>201.711333</v>
          </cell>
          <cell r="N384" t="str">
            <v/>
          </cell>
          <cell r="O384" t="str">
            <v/>
          </cell>
          <cell r="P384" t="str">
            <v/>
          </cell>
          <cell r="Q384">
            <v>293</v>
          </cell>
          <cell r="R384" t="str">
            <v>UND</v>
          </cell>
          <cell r="S384">
            <v>0</v>
          </cell>
          <cell r="T384">
            <v>0</v>
          </cell>
          <cell r="U384" t="str">
            <v/>
          </cell>
          <cell r="V384" t="str">
            <v>PRO10</v>
          </cell>
          <cell r="W384">
            <v>0</v>
          </cell>
        </row>
        <row r="385">
          <cell r="C385" t="str">
            <v>SPS9D200-90K</v>
          </cell>
          <cell r="D385" t="str">
            <v>PRINC</v>
          </cell>
          <cell r="E385" t="str">
            <v>00013</v>
          </cell>
          <cell r="F385" t="str">
            <v>MOTORES Y REDUCTORES Y ACCES.</v>
          </cell>
          <cell r="G385" t="str">
            <v>PRINCIPAL</v>
          </cell>
          <cell r="H385">
            <v>46004</v>
          </cell>
          <cell r="I385" t="str">
            <v>SALDO INICIAL</v>
          </cell>
          <cell r="J385">
            <v>21</v>
          </cell>
          <cell r="K385">
            <v>4247.8131819999999</v>
          </cell>
          <cell r="L385">
            <v>202.27681799999999</v>
          </cell>
          <cell r="M385">
            <v>202.27681819</v>
          </cell>
          <cell r="N385" t="str">
            <v/>
          </cell>
          <cell r="O385" t="str">
            <v/>
          </cell>
          <cell r="P385" t="str">
            <v/>
          </cell>
          <cell r="Q385">
            <v>308</v>
          </cell>
          <cell r="R385" t="str">
            <v>UND</v>
          </cell>
          <cell r="S385">
            <v>0</v>
          </cell>
          <cell r="T385">
            <v>0</v>
          </cell>
          <cell r="U385" t="str">
            <v/>
          </cell>
          <cell r="V385" t="str">
            <v>PRO10</v>
          </cell>
          <cell r="W385">
            <v>0</v>
          </cell>
        </row>
        <row r="386">
          <cell r="C386" t="str">
            <v>SPS9D300-90CH</v>
          </cell>
          <cell r="D386" t="str">
            <v>PRINC</v>
          </cell>
          <cell r="E386" t="str">
            <v>00013</v>
          </cell>
          <cell r="F386" t="str">
            <v>MOTORES Y REDUCTORES Y ACCES.</v>
          </cell>
          <cell r="G386" t="str">
            <v>PRINCIPAL</v>
          </cell>
          <cell r="H386">
            <v>46004</v>
          </cell>
          <cell r="I386" t="str">
            <v>SALDO INICIAL</v>
          </cell>
          <cell r="J386">
            <v>3</v>
          </cell>
          <cell r="K386">
            <v>772.58122500000002</v>
          </cell>
          <cell r="L386">
            <v>257.52707500000002</v>
          </cell>
          <cell r="M386">
            <v>257.52707500000002</v>
          </cell>
          <cell r="N386" t="str">
            <v/>
          </cell>
          <cell r="O386" t="str">
            <v/>
          </cell>
          <cell r="P386" t="str">
            <v/>
          </cell>
          <cell r="Q386">
            <v>373.4</v>
          </cell>
          <cell r="R386" t="str">
            <v>UND</v>
          </cell>
          <cell r="S386">
            <v>0</v>
          </cell>
          <cell r="T386">
            <v>0</v>
          </cell>
          <cell r="U386" t="str">
            <v/>
          </cell>
          <cell r="V386" t="str">
            <v>PRO10</v>
          </cell>
          <cell r="W386">
            <v>0</v>
          </cell>
        </row>
        <row r="387">
          <cell r="C387" t="str">
            <v>SPS9D300-90HH</v>
          </cell>
          <cell r="D387" t="str">
            <v>PRINC</v>
          </cell>
          <cell r="E387" t="str">
            <v>00013</v>
          </cell>
          <cell r="F387" t="str">
            <v>MOTORES Y REDUCTORES Y ACCES.</v>
          </cell>
          <cell r="G387" t="str">
            <v>PRINCIPAL</v>
          </cell>
          <cell r="H387">
            <v>46004</v>
          </cell>
          <cell r="I387" t="str">
            <v>SALDO INICIAL</v>
          </cell>
          <cell r="J387">
            <v>2</v>
          </cell>
          <cell r="K387">
            <v>515.05333399999995</v>
          </cell>
          <cell r="L387">
            <v>257.52666699999997</v>
          </cell>
          <cell r="M387">
            <v>257.52666699999997</v>
          </cell>
          <cell r="N387" t="str">
            <v/>
          </cell>
          <cell r="O387" t="str">
            <v/>
          </cell>
          <cell r="P387" t="str">
            <v/>
          </cell>
          <cell r="Q387">
            <v>373.4</v>
          </cell>
          <cell r="R387" t="str">
            <v>UND</v>
          </cell>
          <cell r="S387">
            <v>0</v>
          </cell>
          <cell r="T387">
            <v>0</v>
          </cell>
          <cell r="U387" t="str">
            <v/>
          </cell>
          <cell r="V387" t="str">
            <v>PRO10</v>
          </cell>
          <cell r="W387">
            <v>0</v>
          </cell>
        </row>
        <row r="388">
          <cell r="C388" t="str">
            <v>SPS9D300-90K</v>
          </cell>
          <cell r="D388" t="str">
            <v>PRINC</v>
          </cell>
          <cell r="E388" t="str">
            <v>00013</v>
          </cell>
          <cell r="F388" t="str">
            <v>MOTORES Y REDUCTORES Y ACCES.</v>
          </cell>
          <cell r="G388" t="str">
            <v>PRINCIPAL</v>
          </cell>
          <cell r="H388">
            <v>46004</v>
          </cell>
          <cell r="I388" t="str">
            <v>SALDO INICIAL</v>
          </cell>
          <cell r="J388">
            <v>20</v>
          </cell>
          <cell r="K388">
            <v>4882.33</v>
          </cell>
          <cell r="L388">
            <v>0</v>
          </cell>
          <cell r="M388">
            <v>244.1165</v>
          </cell>
          <cell r="N388" t="str">
            <v/>
          </cell>
          <cell r="O388" t="str">
            <v/>
          </cell>
          <cell r="P388" t="str">
            <v/>
          </cell>
          <cell r="Q388">
            <v>0</v>
          </cell>
          <cell r="R388" t="str">
            <v>UND</v>
          </cell>
          <cell r="S388">
            <v>0</v>
          </cell>
          <cell r="T388">
            <v>0</v>
          </cell>
          <cell r="U388" t="str">
            <v/>
          </cell>
          <cell r="V388" t="str">
            <v>PRO10</v>
          </cell>
          <cell r="W388">
            <v>0</v>
          </cell>
        </row>
        <row r="389">
          <cell r="C389" t="str">
            <v>SPS9D90-90CH</v>
          </cell>
          <cell r="D389" t="str">
            <v>PRINC</v>
          </cell>
          <cell r="E389" t="str">
            <v>00013</v>
          </cell>
          <cell r="F389" t="str">
            <v>MOTORES Y REDUCTORES Y ACCES.</v>
          </cell>
          <cell r="G389" t="str">
            <v>PRINCIPAL</v>
          </cell>
          <cell r="H389">
            <v>46004</v>
          </cell>
          <cell r="I389" t="str">
            <v>SALDO INICIAL</v>
          </cell>
          <cell r="J389">
            <v>28</v>
          </cell>
          <cell r="K389">
            <v>2333.388246</v>
          </cell>
          <cell r="L389">
            <v>83.335294000000005</v>
          </cell>
          <cell r="M389">
            <v>83.335294500000003</v>
          </cell>
          <cell r="N389" t="str">
            <v/>
          </cell>
          <cell r="O389" t="str">
            <v/>
          </cell>
          <cell r="P389" t="str">
            <v/>
          </cell>
          <cell r="Q389">
            <v>131</v>
          </cell>
          <cell r="R389" t="str">
            <v>UND</v>
          </cell>
          <cell r="S389">
            <v>0</v>
          </cell>
          <cell r="T389">
            <v>0</v>
          </cell>
          <cell r="U389" t="str">
            <v/>
          </cell>
          <cell r="V389" t="str">
            <v>PRO10</v>
          </cell>
          <cell r="W389">
            <v>0</v>
          </cell>
        </row>
        <row r="390">
          <cell r="C390" t="str">
            <v>SPS9D90-90K</v>
          </cell>
          <cell r="D390" t="str">
            <v>PRINC</v>
          </cell>
          <cell r="E390" t="str">
            <v>00013</v>
          </cell>
          <cell r="F390" t="str">
            <v>MOTORES Y REDUCTORES Y ACCES.</v>
          </cell>
          <cell r="G390" t="str">
            <v>PRINCIPAL</v>
          </cell>
          <cell r="H390">
            <v>46004</v>
          </cell>
          <cell r="I390" t="str">
            <v>SALDO INICIAL</v>
          </cell>
          <cell r="J390">
            <v>37</v>
          </cell>
          <cell r="K390">
            <v>3958.3062500000001</v>
          </cell>
          <cell r="L390">
            <v>106.98125</v>
          </cell>
          <cell r="M390">
            <v>106.98125</v>
          </cell>
          <cell r="N390" t="str">
            <v/>
          </cell>
          <cell r="O390" t="str">
            <v/>
          </cell>
          <cell r="P390" t="str">
            <v/>
          </cell>
          <cell r="Q390">
            <v>192.5</v>
          </cell>
          <cell r="R390" t="str">
            <v>UND</v>
          </cell>
          <cell r="S390">
            <v>0</v>
          </cell>
          <cell r="T390">
            <v>0</v>
          </cell>
          <cell r="U390" t="str">
            <v/>
          </cell>
          <cell r="V390" t="str">
            <v>PRO10</v>
          </cell>
          <cell r="W390">
            <v>0</v>
          </cell>
        </row>
        <row r="391">
          <cell r="C391" t="str">
            <v>SPS8D25-90A</v>
          </cell>
          <cell r="D391" t="str">
            <v>PRINC</v>
          </cell>
          <cell r="E391" t="str">
            <v>00013</v>
          </cell>
          <cell r="F391" t="str">
            <v>MOTORES Y REDUCTORES Y ACCES.</v>
          </cell>
          <cell r="G391" t="str">
            <v>PRINCIPAL</v>
          </cell>
          <cell r="H391">
            <v>46004</v>
          </cell>
          <cell r="I391" t="str">
            <v>SALDO INICIAL</v>
          </cell>
          <cell r="J391">
            <v>5</v>
          </cell>
          <cell r="K391">
            <v>235.17633699999999</v>
          </cell>
          <cell r="L391">
            <v>47.035268000000002</v>
          </cell>
          <cell r="M391">
            <v>47.035267400000002</v>
          </cell>
          <cell r="N391" t="str">
            <v/>
          </cell>
          <cell r="O391" t="str">
            <v/>
          </cell>
          <cell r="P391" t="str">
            <v/>
          </cell>
          <cell r="Q391">
            <v>115</v>
          </cell>
          <cell r="R391" t="str">
            <v>UND</v>
          </cell>
          <cell r="S391">
            <v>0</v>
          </cell>
          <cell r="T391">
            <v>0</v>
          </cell>
          <cell r="U391" t="str">
            <v/>
          </cell>
          <cell r="V391" t="str">
            <v>PRO10</v>
          </cell>
          <cell r="W391">
            <v>0</v>
          </cell>
        </row>
        <row r="392">
          <cell r="C392" t="str">
            <v>SPS9D60-90CH</v>
          </cell>
          <cell r="D392" t="str">
            <v>PRINC</v>
          </cell>
          <cell r="E392" t="str">
            <v>00013</v>
          </cell>
          <cell r="F392" t="str">
            <v>MOTORES Y REDUCTORES Y ACCES.</v>
          </cell>
          <cell r="G392" t="str">
            <v>PRINCIPAL</v>
          </cell>
          <cell r="H392">
            <v>46004</v>
          </cell>
          <cell r="I392" t="str">
            <v>SALDO INICIAL</v>
          </cell>
          <cell r="J392">
            <v>11</v>
          </cell>
          <cell r="K392">
            <v>896.59952199999998</v>
          </cell>
          <cell r="L392">
            <v>81.509048000000007</v>
          </cell>
          <cell r="M392">
            <v>81.509047455000001</v>
          </cell>
          <cell r="N392" t="str">
            <v/>
          </cell>
          <cell r="O392" t="str">
            <v/>
          </cell>
          <cell r="P392" t="str">
            <v/>
          </cell>
          <cell r="Q392">
            <v>125.3</v>
          </cell>
          <cell r="R392" t="str">
            <v>UND</v>
          </cell>
          <cell r="S392">
            <v>0</v>
          </cell>
          <cell r="T392">
            <v>0</v>
          </cell>
          <cell r="U392" t="str">
            <v/>
          </cell>
          <cell r="V392" t="str">
            <v>PRO10</v>
          </cell>
          <cell r="W392">
            <v>0</v>
          </cell>
        </row>
        <row r="393">
          <cell r="C393" t="str">
            <v>LE120043</v>
          </cell>
          <cell r="D393" t="str">
            <v>PRINC</v>
          </cell>
          <cell r="E393" t="str">
            <v>00013</v>
          </cell>
          <cell r="F393" t="str">
            <v>MOTORES Y REDUCTORES Y ACCES.</v>
          </cell>
          <cell r="G393" t="str">
            <v>PRINCIPAL</v>
          </cell>
          <cell r="H393">
            <v>46004</v>
          </cell>
          <cell r="I393" t="str">
            <v>SALDO INICIAL</v>
          </cell>
          <cell r="J393">
            <v>20</v>
          </cell>
          <cell r="K393">
            <v>2133.63</v>
          </cell>
          <cell r="L393">
            <v>0</v>
          </cell>
          <cell r="M393">
            <v>106.6815</v>
          </cell>
          <cell r="N393" t="str">
            <v/>
          </cell>
          <cell r="O393" t="str">
            <v/>
          </cell>
          <cell r="P393" t="str">
            <v/>
          </cell>
          <cell r="Q393">
            <v>160</v>
          </cell>
          <cell r="R393" t="str">
            <v>UND</v>
          </cell>
          <cell r="S393">
            <v>0</v>
          </cell>
          <cell r="T393">
            <v>0</v>
          </cell>
          <cell r="U393" t="str">
            <v/>
          </cell>
          <cell r="V393" t="str">
            <v>PRO10</v>
          </cell>
          <cell r="W393">
            <v>0</v>
          </cell>
        </row>
        <row r="394">
          <cell r="C394" t="str">
            <v>LE980000</v>
          </cell>
          <cell r="D394" t="str">
            <v>PRINC</v>
          </cell>
          <cell r="E394" t="str">
            <v>00013</v>
          </cell>
          <cell r="F394" t="str">
            <v>MOTORES Y REDUCTORES Y ACCES.</v>
          </cell>
          <cell r="G394" t="str">
            <v>PRINCIPAL</v>
          </cell>
          <cell r="H394">
            <v>46004</v>
          </cell>
          <cell r="I394" t="str">
            <v>SALDO INICIAL</v>
          </cell>
          <cell r="J394">
            <v>1</v>
          </cell>
          <cell r="K394">
            <v>365.89</v>
          </cell>
          <cell r="L394">
            <v>0</v>
          </cell>
          <cell r="M394">
            <v>365.89</v>
          </cell>
          <cell r="N394" t="str">
            <v/>
          </cell>
          <cell r="O394" t="str">
            <v/>
          </cell>
          <cell r="P394" t="str">
            <v/>
          </cell>
          <cell r="Q394">
            <v>0</v>
          </cell>
          <cell r="R394" t="str">
            <v>UND</v>
          </cell>
          <cell r="S394">
            <v>0</v>
          </cell>
          <cell r="T394">
            <v>0</v>
          </cell>
          <cell r="U394" t="str">
            <v/>
          </cell>
          <cell r="V394" t="str">
            <v>PRO10</v>
          </cell>
          <cell r="W394">
            <v>0</v>
          </cell>
        </row>
        <row r="395">
          <cell r="C395" t="str">
            <v>LE191567</v>
          </cell>
          <cell r="D395" t="str">
            <v>PRINC</v>
          </cell>
          <cell r="E395" t="str">
            <v>00013</v>
          </cell>
          <cell r="F395" t="str">
            <v>MOTORES Y REDUCTORES Y ACCES.</v>
          </cell>
          <cell r="G395" t="str">
            <v>PRINCIPAL</v>
          </cell>
          <cell r="H395">
            <v>46004</v>
          </cell>
          <cell r="I395" t="str">
            <v>SALDO INICIAL</v>
          </cell>
          <cell r="J395">
            <v>6</v>
          </cell>
          <cell r="K395">
            <v>4184.9417130000002</v>
          </cell>
          <cell r="L395">
            <v>697.49028599999997</v>
          </cell>
          <cell r="M395">
            <v>697.49028550000003</v>
          </cell>
          <cell r="N395" t="str">
            <v/>
          </cell>
          <cell r="O395" t="str">
            <v/>
          </cell>
          <cell r="P395" t="str">
            <v/>
          </cell>
          <cell r="Q395">
            <v>1089.8</v>
          </cell>
          <cell r="R395" t="str">
            <v>UND</v>
          </cell>
          <cell r="S395">
            <v>0</v>
          </cell>
          <cell r="T395">
            <v>0</v>
          </cell>
          <cell r="U395" t="str">
            <v/>
          </cell>
          <cell r="V395" t="str">
            <v>PRO10</v>
          </cell>
          <cell r="W395">
            <v>0</v>
          </cell>
        </row>
        <row r="396">
          <cell r="C396" t="str">
            <v>LE191575</v>
          </cell>
          <cell r="D396" t="str">
            <v>PRINC</v>
          </cell>
          <cell r="E396" t="str">
            <v>00013</v>
          </cell>
          <cell r="F396" t="str">
            <v>MOTORES Y REDUCTORES Y ACCES.</v>
          </cell>
          <cell r="G396" t="str">
            <v>PRINCIPAL</v>
          </cell>
          <cell r="H396">
            <v>46004</v>
          </cell>
          <cell r="I396" t="str">
            <v>SALDO INICIAL</v>
          </cell>
          <cell r="J396">
            <v>17</v>
          </cell>
          <cell r="K396">
            <v>8212.3165730000001</v>
          </cell>
          <cell r="L396">
            <v>483.07744600000001</v>
          </cell>
          <cell r="M396">
            <v>483.07744547099998</v>
          </cell>
          <cell r="N396" t="str">
            <v/>
          </cell>
          <cell r="O396" t="str">
            <v/>
          </cell>
          <cell r="P396" t="str">
            <v/>
          </cell>
          <cell r="Q396">
            <v>998</v>
          </cell>
          <cell r="R396" t="str">
            <v>UND</v>
          </cell>
          <cell r="S396">
            <v>0</v>
          </cell>
          <cell r="T396">
            <v>0</v>
          </cell>
          <cell r="U396" t="str">
            <v/>
          </cell>
          <cell r="V396" t="str">
            <v>PRO10</v>
          </cell>
          <cell r="W396">
            <v>0</v>
          </cell>
        </row>
        <row r="397">
          <cell r="C397" t="str">
            <v>LE191564</v>
          </cell>
          <cell r="D397" t="str">
            <v>PRINC</v>
          </cell>
          <cell r="E397" t="str">
            <v>00013</v>
          </cell>
          <cell r="F397" t="str">
            <v>MOTORES Y REDUCTORES Y ACCES.</v>
          </cell>
          <cell r="G397" t="str">
            <v>PRINCIPAL</v>
          </cell>
          <cell r="H397">
            <v>46004</v>
          </cell>
          <cell r="I397" t="str">
            <v>SALDO INICIAL</v>
          </cell>
          <cell r="J397">
            <v>1</v>
          </cell>
          <cell r="K397">
            <v>450.85696799999999</v>
          </cell>
          <cell r="L397">
            <v>450.85697099999999</v>
          </cell>
          <cell r="M397">
            <v>450.85696799999999</v>
          </cell>
          <cell r="N397" t="str">
            <v/>
          </cell>
          <cell r="O397" t="str">
            <v/>
          </cell>
          <cell r="P397" t="str">
            <v/>
          </cell>
          <cell r="Q397">
            <v>1240.5999999999999</v>
          </cell>
          <cell r="R397" t="str">
            <v>UND</v>
          </cell>
          <cell r="S397">
            <v>0</v>
          </cell>
          <cell r="T397">
            <v>0</v>
          </cell>
          <cell r="U397" t="str">
            <v/>
          </cell>
          <cell r="V397" t="str">
            <v>PRO10</v>
          </cell>
          <cell r="W397">
            <v>0</v>
          </cell>
        </row>
        <row r="398">
          <cell r="C398" t="str">
            <v>RE191565</v>
          </cell>
          <cell r="D398" t="str">
            <v>PRINC</v>
          </cell>
          <cell r="E398" t="str">
            <v>00013</v>
          </cell>
          <cell r="F398" t="str">
            <v>MOTORES Y REDUCTORES Y ACCES.</v>
          </cell>
          <cell r="G398" t="str">
            <v>PRINCIPAL</v>
          </cell>
          <cell r="H398">
            <v>46004</v>
          </cell>
          <cell r="I398" t="str">
            <v>SALDO INICIAL</v>
          </cell>
          <cell r="J398">
            <v>2</v>
          </cell>
          <cell r="K398">
            <v>1359.74</v>
          </cell>
          <cell r="L398">
            <v>0</v>
          </cell>
          <cell r="M398">
            <v>679.87</v>
          </cell>
          <cell r="N398" t="str">
            <v/>
          </cell>
          <cell r="O398" t="str">
            <v/>
          </cell>
          <cell r="P398" t="str">
            <v/>
          </cell>
          <cell r="Q398">
            <v>0</v>
          </cell>
          <cell r="R398" t="str">
            <v>UND</v>
          </cell>
          <cell r="S398">
            <v>0</v>
          </cell>
          <cell r="T398">
            <v>0</v>
          </cell>
          <cell r="U398" t="str">
            <v/>
          </cell>
          <cell r="V398" t="str">
            <v>PRO10</v>
          </cell>
          <cell r="W398">
            <v>0</v>
          </cell>
        </row>
        <row r="399">
          <cell r="C399" t="str">
            <v>LE191569</v>
          </cell>
          <cell r="D399" t="str">
            <v>PRINC</v>
          </cell>
          <cell r="E399" t="str">
            <v>00013</v>
          </cell>
          <cell r="F399" t="str">
            <v>MOTORES Y REDUCTORES Y ACCES.</v>
          </cell>
          <cell r="G399" t="str">
            <v>PRINCIPAL</v>
          </cell>
          <cell r="H399">
            <v>46004</v>
          </cell>
          <cell r="I399" t="str">
            <v>SALDO INICIAL</v>
          </cell>
          <cell r="J399">
            <v>0</v>
          </cell>
          <cell r="K399">
            <v>0</v>
          </cell>
          <cell r="L399">
            <v>741.01300000000003</v>
          </cell>
          <cell r="M399">
            <v>0</v>
          </cell>
          <cell r="N399" t="str">
            <v/>
          </cell>
          <cell r="O399" t="str">
            <v/>
          </cell>
          <cell r="P399" t="str">
            <v/>
          </cell>
          <cell r="Q399">
            <v>1288.9000000000001</v>
          </cell>
          <cell r="R399" t="str">
            <v>UND</v>
          </cell>
          <cell r="S399">
            <v>0</v>
          </cell>
          <cell r="T399">
            <v>0</v>
          </cell>
          <cell r="U399" t="str">
            <v/>
          </cell>
          <cell r="V399" t="str">
            <v>PRO10</v>
          </cell>
          <cell r="W399">
            <v>0</v>
          </cell>
        </row>
        <row r="400">
          <cell r="C400" t="str">
            <v>MLMSE2P18263BST</v>
          </cell>
          <cell r="D400" t="str">
            <v>PRINC</v>
          </cell>
          <cell r="E400" t="str">
            <v>00013</v>
          </cell>
          <cell r="F400" t="str">
            <v>MOTORES Y REDUCTORES Y ACCES.</v>
          </cell>
          <cell r="G400" t="str">
            <v>PRINCIPAL</v>
          </cell>
          <cell r="H400">
            <v>46004</v>
          </cell>
          <cell r="I400" t="str">
            <v>SALDO INICIAL</v>
          </cell>
          <cell r="J400">
            <v>1</v>
          </cell>
          <cell r="K400">
            <v>66.327320999999998</v>
          </cell>
          <cell r="L400">
            <v>66.327320999999998</v>
          </cell>
          <cell r="M400">
            <v>66.327320999999998</v>
          </cell>
          <cell r="N400" t="str">
            <v/>
          </cell>
          <cell r="O400" t="str">
            <v/>
          </cell>
          <cell r="P400" t="str">
            <v/>
          </cell>
          <cell r="Q400">
            <v>109.4</v>
          </cell>
          <cell r="R400" t="str">
            <v>UND</v>
          </cell>
          <cell r="S400">
            <v>0</v>
          </cell>
          <cell r="T400">
            <v>0</v>
          </cell>
          <cell r="U400" t="str">
            <v/>
          </cell>
          <cell r="V400" t="str">
            <v>PRO10</v>
          </cell>
          <cell r="W400">
            <v>0</v>
          </cell>
        </row>
        <row r="401">
          <cell r="C401" t="str">
            <v>MLMSE21P1280XB5</v>
          </cell>
          <cell r="D401" t="str">
            <v>PRINC</v>
          </cell>
          <cell r="E401" t="str">
            <v>00013</v>
          </cell>
          <cell r="F401" t="str">
            <v>MOTORES Y REDUCTORES Y ACCES.</v>
          </cell>
          <cell r="G401" t="str">
            <v>PRINCIPAL</v>
          </cell>
          <cell r="H401">
            <v>46004</v>
          </cell>
          <cell r="I401" t="str">
            <v>SALDO INICIAL</v>
          </cell>
          <cell r="J401">
            <v>1</v>
          </cell>
          <cell r="K401">
            <v>0</v>
          </cell>
          <cell r="L401">
            <v>0</v>
          </cell>
          <cell r="M401">
            <v>0</v>
          </cell>
          <cell r="N401" t="str">
            <v/>
          </cell>
          <cell r="O401" t="str">
            <v/>
          </cell>
          <cell r="P401" t="str">
            <v/>
          </cell>
          <cell r="Q401">
            <v>201.7</v>
          </cell>
          <cell r="R401" t="str">
            <v>UND</v>
          </cell>
          <cell r="S401">
            <v>0</v>
          </cell>
          <cell r="T401">
            <v>0</v>
          </cell>
          <cell r="U401" t="str">
            <v/>
          </cell>
          <cell r="V401" t="str">
            <v>PRO10</v>
          </cell>
          <cell r="W401">
            <v>0</v>
          </cell>
        </row>
        <row r="402">
          <cell r="C402" t="str">
            <v>MLMSE21P5290B5T</v>
          </cell>
          <cell r="D402" t="str">
            <v>PRINC</v>
          </cell>
          <cell r="E402" t="str">
            <v>00013</v>
          </cell>
          <cell r="F402" t="str">
            <v>MOTORES Y REDUCTORES Y ACCES.</v>
          </cell>
          <cell r="G402" t="str">
            <v>PRINCIPAL</v>
          </cell>
          <cell r="H402">
            <v>46004</v>
          </cell>
          <cell r="I402" t="str">
            <v>SALDO INICIAL</v>
          </cell>
          <cell r="J402">
            <v>0</v>
          </cell>
          <cell r="K402">
            <v>0</v>
          </cell>
          <cell r="L402">
            <v>163.98355599999999</v>
          </cell>
          <cell r="M402">
            <v>0</v>
          </cell>
          <cell r="N402" t="str">
            <v/>
          </cell>
          <cell r="O402" t="str">
            <v/>
          </cell>
          <cell r="P402" t="str">
            <v/>
          </cell>
          <cell r="Q402">
            <v>270.60000000000002</v>
          </cell>
          <cell r="R402" t="str">
            <v>UND</v>
          </cell>
          <cell r="S402">
            <v>0</v>
          </cell>
          <cell r="T402">
            <v>0</v>
          </cell>
          <cell r="U402" t="str">
            <v/>
          </cell>
          <cell r="V402" t="str">
            <v>PRO10</v>
          </cell>
          <cell r="W402">
            <v>0</v>
          </cell>
        </row>
        <row r="403">
          <cell r="C403" t="str">
            <v>MLJME2AP75280B1</v>
          </cell>
          <cell r="D403" t="str">
            <v>PRINC</v>
          </cell>
          <cell r="E403" t="str">
            <v>00013</v>
          </cell>
          <cell r="F403" t="str">
            <v>MOTORES Y REDUCTORES Y ACCES.</v>
          </cell>
          <cell r="G403" t="str">
            <v>PRINCIPAL</v>
          </cell>
          <cell r="H403">
            <v>46004</v>
          </cell>
          <cell r="I403" t="str">
            <v>SALDO INICIAL</v>
          </cell>
          <cell r="J403">
            <v>1</v>
          </cell>
          <cell r="K403">
            <v>105.015833</v>
          </cell>
          <cell r="L403">
            <v>105.015833</v>
          </cell>
          <cell r="M403">
            <v>105.015833</v>
          </cell>
          <cell r="N403" t="str">
            <v/>
          </cell>
          <cell r="O403" t="str">
            <v/>
          </cell>
          <cell r="P403" t="str">
            <v/>
          </cell>
          <cell r="Q403">
            <v>173.3</v>
          </cell>
          <cell r="R403" t="str">
            <v>UND</v>
          </cell>
          <cell r="S403">
            <v>0</v>
          </cell>
          <cell r="T403">
            <v>0</v>
          </cell>
          <cell r="U403" t="str">
            <v/>
          </cell>
          <cell r="V403" t="str">
            <v>PRO10</v>
          </cell>
          <cell r="W403">
            <v>0</v>
          </cell>
        </row>
        <row r="404">
          <cell r="C404" t="str">
            <v>MLJME2A1P1290B1</v>
          </cell>
          <cell r="D404" t="str">
            <v>PRINC</v>
          </cell>
          <cell r="E404" t="str">
            <v>00013</v>
          </cell>
          <cell r="F404" t="str">
            <v>MOTORES Y REDUCTORES Y ACCES.</v>
          </cell>
          <cell r="G404" t="str">
            <v>PRINCIPAL</v>
          </cell>
          <cell r="H404">
            <v>46004</v>
          </cell>
          <cell r="I404" t="str">
            <v>SALDO INICIAL</v>
          </cell>
          <cell r="J404">
            <v>1</v>
          </cell>
          <cell r="K404">
            <v>130.13066699999999</v>
          </cell>
          <cell r="L404">
            <v>130.13066699999999</v>
          </cell>
          <cell r="M404">
            <v>130.13066699999999</v>
          </cell>
          <cell r="N404" t="str">
            <v/>
          </cell>
          <cell r="O404" t="str">
            <v/>
          </cell>
          <cell r="P404" t="str">
            <v/>
          </cell>
          <cell r="Q404">
            <v>214.8</v>
          </cell>
          <cell r="R404" t="str">
            <v>UND</v>
          </cell>
          <cell r="S404">
            <v>0</v>
          </cell>
          <cell r="T404">
            <v>0</v>
          </cell>
          <cell r="U404" t="str">
            <v/>
          </cell>
          <cell r="V404" t="str">
            <v>PRO10</v>
          </cell>
          <cell r="W404">
            <v>0</v>
          </cell>
        </row>
        <row r="405">
          <cell r="C405" t="str">
            <v>MLJME2A1P5290B1</v>
          </cell>
          <cell r="D405" t="str">
            <v>PRINC</v>
          </cell>
          <cell r="E405" t="str">
            <v>00013</v>
          </cell>
          <cell r="F405" t="str">
            <v>MOTORES Y REDUCTORES Y ACCES.</v>
          </cell>
          <cell r="G405" t="str">
            <v>PRINCIPAL</v>
          </cell>
          <cell r="H405">
            <v>46004</v>
          </cell>
          <cell r="I405" t="str">
            <v>SALDO INICIAL</v>
          </cell>
          <cell r="J405">
            <v>1</v>
          </cell>
          <cell r="K405">
            <v>152.77422200000001</v>
          </cell>
          <cell r="L405">
            <v>152.77422200000001</v>
          </cell>
          <cell r="M405">
            <v>152.77422200000001</v>
          </cell>
          <cell r="N405" t="str">
            <v/>
          </cell>
          <cell r="O405" t="str">
            <v/>
          </cell>
          <cell r="P405" t="str">
            <v/>
          </cell>
          <cell r="Q405">
            <v>252.1</v>
          </cell>
          <cell r="R405" t="str">
            <v>UND</v>
          </cell>
          <cell r="S405">
            <v>0</v>
          </cell>
          <cell r="T405">
            <v>0</v>
          </cell>
          <cell r="U405" t="str">
            <v/>
          </cell>
          <cell r="V405" t="str">
            <v>PRO10</v>
          </cell>
          <cell r="W405">
            <v>0</v>
          </cell>
        </row>
        <row r="406">
          <cell r="C406" t="str">
            <v>MLJME2A2P22100B</v>
          </cell>
          <cell r="D406" t="str">
            <v>PRINC</v>
          </cell>
          <cell r="E406" t="str">
            <v>00013</v>
          </cell>
          <cell r="F406" t="str">
            <v>MOTORES Y REDUCTORES Y ACCES.</v>
          </cell>
          <cell r="G406" t="str">
            <v>PRINCIPAL</v>
          </cell>
          <cell r="H406">
            <v>46004</v>
          </cell>
          <cell r="I406" t="str">
            <v>SALDO INICIAL</v>
          </cell>
          <cell r="J406">
            <v>2</v>
          </cell>
          <cell r="K406">
            <v>405.44888800000001</v>
          </cell>
          <cell r="L406">
            <v>202.72444400000001</v>
          </cell>
          <cell r="M406">
            <v>202.72444400000001</v>
          </cell>
          <cell r="N406" t="str">
            <v/>
          </cell>
          <cell r="O406" t="str">
            <v/>
          </cell>
          <cell r="P406" t="str">
            <v/>
          </cell>
          <cell r="Q406">
            <v>334.5</v>
          </cell>
          <cell r="R406" t="str">
            <v>UND</v>
          </cell>
          <cell r="S406">
            <v>0</v>
          </cell>
          <cell r="T406">
            <v>0</v>
          </cell>
          <cell r="U406" t="str">
            <v/>
          </cell>
          <cell r="V406" t="str">
            <v>PRO10</v>
          </cell>
          <cell r="W406">
            <v>0</v>
          </cell>
        </row>
        <row r="407">
          <cell r="C407" t="str">
            <v>MLJME2A42112B1T</v>
          </cell>
          <cell r="D407" t="str">
            <v>PRINC</v>
          </cell>
          <cell r="E407" t="str">
            <v>00013</v>
          </cell>
          <cell r="F407" t="str">
            <v>MOTORES Y REDUCTORES Y ACCES.</v>
          </cell>
          <cell r="G407" t="str">
            <v>PRINCIPAL</v>
          </cell>
          <cell r="H407">
            <v>46004</v>
          </cell>
          <cell r="I407" t="str">
            <v>SALDO INICIAL</v>
          </cell>
          <cell r="J407">
            <v>1</v>
          </cell>
          <cell r="K407">
            <v>276.07916699999998</v>
          </cell>
          <cell r="L407">
            <v>276.07916699999998</v>
          </cell>
          <cell r="M407">
            <v>276.07916699999998</v>
          </cell>
          <cell r="N407" t="str">
            <v/>
          </cell>
          <cell r="O407" t="str">
            <v/>
          </cell>
          <cell r="P407" t="str">
            <v/>
          </cell>
          <cell r="Q407">
            <v>455.5</v>
          </cell>
          <cell r="R407" t="str">
            <v>UND</v>
          </cell>
          <cell r="S407">
            <v>0</v>
          </cell>
          <cell r="T407">
            <v>0</v>
          </cell>
          <cell r="U407" t="str">
            <v/>
          </cell>
          <cell r="V407" t="str">
            <v>PRO10</v>
          </cell>
          <cell r="W407">
            <v>0</v>
          </cell>
        </row>
        <row r="408">
          <cell r="C408" t="str">
            <v>GR4LW98</v>
          </cell>
          <cell r="D408" t="str">
            <v>PRINC</v>
          </cell>
          <cell r="E408" t="str">
            <v>00013</v>
          </cell>
          <cell r="F408" t="str">
            <v>MOTORES Y REDUCTORES Y ACCES.</v>
          </cell>
          <cell r="G408" t="str">
            <v>PRINCIPAL</v>
          </cell>
          <cell r="H408">
            <v>46004</v>
          </cell>
          <cell r="I408" t="str">
            <v>SALDO INICIAL</v>
          </cell>
          <cell r="J408">
            <v>1</v>
          </cell>
          <cell r="K408">
            <v>350</v>
          </cell>
          <cell r="L408">
            <v>0</v>
          </cell>
          <cell r="M408">
            <v>350</v>
          </cell>
          <cell r="N408" t="str">
            <v/>
          </cell>
          <cell r="O408" t="str">
            <v/>
          </cell>
          <cell r="P408" t="str">
            <v/>
          </cell>
          <cell r="Q408">
            <v>550</v>
          </cell>
          <cell r="R408" t="str">
            <v>UND</v>
          </cell>
          <cell r="S408">
            <v>0</v>
          </cell>
          <cell r="T408">
            <v>0</v>
          </cell>
          <cell r="U408" t="str">
            <v/>
          </cell>
          <cell r="V408" t="str">
            <v>PRO10</v>
          </cell>
          <cell r="W408">
            <v>0</v>
          </cell>
        </row>
        <row r="409">
          <cell r="C409" t="str">
            <v>GR4ZJ52</v>
          </cell>
          <cell r="D409" t="str">
            <v>PRINC</v>
          </cell>
          <cell r="E409" t="str">
            <v>00013</v>
          </cell>
          <cell r="F409" t="str">
            <v>MOTORES Y REDUCTORES Y ACCES.</v>
          </cell>
          <cell r="G409" t="str">
            <v>PRINCIPAL</v>
          </cell>
          <cell r="H409">
            <v>46004</v>
          </cell>
          <cell r="I409" t="str">
            <v>SALDO INICIAL</v>
          </cell>
          <cell r="J409">
            <v>18</v>
          </cell>
          <cell r="K409">
            <v>5320.98</v>
          </cell>
          <cell r="L409">
            <v>0</v>
          </cell>
          <cell r="M409">
            <v>295.61</v>
          </cell>
          <cell r="N409" t="str">
            <v/>
          </cell>
          <cell r="O409" t="str">
            <v/>
          </cell>
          <cell r="P409" t="str">
            <v/>
          </cell>
          <cell r="Q409">
            <v>472</v>
          </cell>
          <cell r="R409" t="str">
            <v>UND</v>
          </cell>
          <cell r="S409">
            <v>0</v>
          </cell>
          <cell r="T409">
            <v>0</v>
          </cell>
          <cell r="U409" t="str">
            <v/>
          </cell>
          <cell r="V409" t="str">
            <v>PRO10</v>
          </cell>
          <cell r="W409">
            <v>0</v>
          </cell>
        </row>
        <row r="410">
          <cell r="C410" t="str">
            <v>CSM0.12HP59RPM2</v>
          </cell>
          <cell r="D410" t="str">
            <v>PRINC</v>
          </cell>
          <cell r="E410" t="str">
            <v>00013</v>
          </cell>
          <cell r="F410" t="str">
            <v>MOTORES Y REDUCTORES Y ACCES.</v>
          </cell>
          <cell r="G410" t="str">
            <v>PRINCIPAL</v>
          </cell>
          <cell r="H410">
            <v>46004</v>
          </cell>
          <cell r="I410" t="str">
            <v>SALDO INICIAL</v>
          </cell>
          <cell r="J410">
            <v>1</v>
          </cell>
          <cell r="K410">
            <v>126.029402</v>
          </cell>
          <cell r="L410">
            <v>0</v>
          </cell>
          <cell r="M410">
            <v>126.029402</v>
          </cell>
          <cell r="N410" t="str">
            <v/>
          </cell>
          <cell r="O410" t="str">
            <v/>
          </cell>
          <cell r="P410" t="str">
            <v/>
          </cell>
          <cell r="Q410">
            <v>201.6</v>
          </cell>
          <cell r="R410" t="str">
            <v>UND</v>
          </cell>
          <cell r="S410">
            <v>0</v>
          </cell>
          <cell r="T410">
            <v>0</v>
          </cell>
          <cell r="U410" t="str">
            <v/>
          </cell>
          <cell r="V410" t="str">
            <v>PRO10</v>
          </cell>
          <cell r="W410">
            <v>0</v>
          </cell>
        </row>
        <row r="411">
          <cell r="C411" t="str">
            <v>BAMOTGCF5X02AB</v>
          </cell>
          <cell r="D411" t="str">
            <v>PRINC</v>
          </cell>
          <cell r="E411" t="str">
            <v>00013</v>
          </cell>
          <cell r="F411" t="str">
            <v>MOTORES Y REDUCTORES Y ACCES.</v>
          </cell>
          <cell r="G411" t="str">
            <v>PRINCIPAL</v>
          </cell>
          <cell r="H411">
            <v>46004</v>
          </cell>
          <cell r="I411" t="str">
            <v>SALDO INICIAL</v>
          </cell>
          <cell r="J411">
            <v>1</v>
          </cell>
          <cell r="K411">
            <v>439.63</v>
          </cell>
          <cell r="L411">
            <v>0</v>
          </cell>
          <cell r="M411">
            <v>439.63</v>
          </cell>
          <cell r="N411" t="str">
            <v/>
          </cell>
          <cell r="O411" t="str">
            <v/>
          </cell>
          <cell r="P411" t="str">
            <v/>
          </cell>
          <cell r="Q411">
            <v>681</v>
          </cell>
          <cell r="R411" t="str">
            <v>UND</v>
          </cell>
          <cell r="S411">
            <v>0</v>
          </cell>
          <cell r="T411">
            <v>0</v>
          </cell>
          <cell r="U411" t="str">
            <v/>
          </cell>
          <cell r="V411" t="str">
            <v>PRO10</v>
          </cell>
          <cell r="W411">
            <v>0</v>
          </cell>
        </row>
        <row r="412">
          <cell r="C412" t="str">
            <v>CGPI45SSI21E18B</v>
          </cell>
          <cell r="D412" t="str">
            <v>PRINC</v>
          </cell>
          <cell r="E412" t="str">
            <v>00013</v>
          </cell>
          <cell r="F412" t="str">
            <v>MOTORES Y REDUCTORES Y ACCES.</v>
          </cell>
          <cell r="G412" t="str">
            <v>PRINCIPAL</v>
          </cell>
          <cell r="H412">
            <v>46004</v>
          </cell>
          <cell r="I412" t="str">
            <v>SALDO INICIAL</v>
          </cell>
          <cell r="J412">
            <v>-1</v>
          </cell>
          <cell r="K412">
            <v>0</v>
          </cell>
          <cell r="L412">
            <v>0</v>
          </cell>
          <cell r="M412">
            <v>0</v>
          </cell>
          <cell r="N412" t="str">
            <v/>
          </cell>
          <cell r="O412" t="str">
            <v/>
          </cell>
          <cell r="P412" t="str">
            <v/>
          </cell>
          <cell r="Q412">
            <v>0</v>
          </cell>
          <cell r="R412" t="str">
            <v>UND</v>
          </cell>
          <cell r="S412">
            <v>0</v>
          </cell>
          <cell r="T412">
            <v>0</v>
          </cell>
          <cell r="U412" t="str">
            <v/>
          </cell>
          <cell r="V412" t="str">
            <v>PRO10</v>
          </cell>
          <cell r="W412">
            <v>0</v>
          </cell>
        </row>
        <row r="413">
          <cell r="C413" t="str">
            <v>CGPI50SSI26E25B</v>
          </cell>
          <cell r="D413" t="str">
            <v>PRINC</v>
          </cell>
          <cell r="E413" t="str">
            <v>00013</v>
          </cell>
          <cell r="F413" t="str">
            <v>MOTORES Y REDUCTORES Y ACCES.</v>
          </cell>
          <cell r="G413" t="str">
            <v>PRINCIPAL</v>
          </cell>
          <cell r="H413">
            <v>46004</v>
          </cell>
          <cell r="I413" t="str">
            <v>SALDO INICIAL</v>
          </cell>
          <cell r="J413">
            <v>-1</v>
          </cell>
          <cell r="K413">
            <v>0</v>
          </cell>
          <cell r="L413">
            <v>0</v>
          </cell>
          <cell r="M413">
            <v>0</v>
          </cell>
          <cell r="N413" t="str">
            <v/>
          </cell>
          <cell r="O413" t="str">
            <v/>
          </cell>
          <cell r="P413" t="str">
            <v/>
          </cell>
          <cell r="Q413">
            <v>0</v>
          </cell>
          <cell r="R413" t="str">
            <v>UND</v>
          </cell>
          <cell r="S413">
            <v>0</v>
          </cell>
          <cell r="T413">
            <v>0</v>
          </cell>
          <cell r="U413" t="str">
            <v/>
          </cell>
          <cell r="V413" t="str">
            <v>PRO10</v>
          </cell>
          <cell r="W413">
            <v>0</v>
          </cell>
        </row>
        <row r="414">
          <cell r="C414" t="str">
            <v>HMBQ75FB07C0-MB</v>
          </cell>
          <cell r="D414" t="str">
            <v>PRINC</v>
          </cell>
          <cell r="E414" t="str">
            <v>00013</v>
          </cell>
          <cell r="F414" t="str">
            <v>MOTORES Y REDUCTORES Y ACCES.</v>
          </cell>
          <cell r="G414" t="str">
            <v>PRINCIPAL</v>
          </cell>
          <cell r="H414">
            <v>46004</v>
          </cell>
          <cell r="I414" t="str">
            <v>SALDO INICIAL</v>
          </cell>
          <cell r="J414">
            <v>-1</v>
          </cell>
          <cell r="K414">
            <v>0</v>
          </cell>
          <cell r="L414">
            <v>0</v>
          </cell>
          <cell r="M414">
            <v>0</v>
          </cell>
          <cell r="N414" t="str">
            <v/>
          </cell>
          <cell r="O414" t="str">
            <v/>
          </cell>
          <cell r="P414" t="str">
            <v/>
          </cell>
          <cell r="Q414">
            <v>341.5</v>
          </cell>
          <cell r="R414" t="str">
            <v>UND</v>
          </cell>
          <cell r="S414">
            <v>0</v>
          </cell>
          <cell r="T414">
            <v>0</v>
          </cell>
          <cell r="U414" t="str">
            <v/>
          </cell>
          <cell r="V414" t="str">
            <v>PRO10</v>
          </cell>
          <cell r="W414">
            <v>0</v>
          </cell>
        </row>
        <row r="415">
          <cell r="C415" t="str">
            <v>LES183006700</v>
          </cell>
          <cell r="D415" t="str">
            <v>PRINC</v>
          </cell>
          <cell r="E415" t="str">
            <v>00013</v>
          </cell>
          <cell r="F415" t="str">
            <v>MOTORES Y REDUCTORES Y ACCES.</v>
          </cell>
          <cell r="G415" t="str">
            <v>PRINCIPAL</v>
          </cell>
          <cell r="H415">
            <v>46004</v>
          </cell>
          <cell r="I415" t="str">
            <v>SALDO INICIAL</v>
          </cell>
          <cell r="J415">
            <v>2</v>
          </cell>
          <cell r="K415">
            <v>2494.6799999999998</v>
          </cell>
          <cell r="L415">
            <v>1247.3399999999999</v>
          </cell>
          <cell r="M415">
            <v>1247.3399999999999</v>
          </cell>
          <cell r="N415" t="str">
            <v/>
          </cell>
          <cell r="O415" t="str">
            <v/>
          </cell>
          <cell r="P415" t="str">
            <v/>
          </cell>
          <cell r="Q415">
            <v>1871</v>
          </cell>
          <cell r="R415" t="str">
            <v>UND</v>
          </cell>
          <cell r="S415">
            <v>0</v>
          </cell>
          <cell r="T415">
            <v>0</v>
          </cell>
          <cell r="U415" t="str">
            <v/>
          </cell>
          <cell r="V415" t="str">
            <v>PRO10</v>
          </cell>
          <cell r="W415">
            <v>0</v>
          </cell>
        </row>
        <row r="416">
          <cell r="C416" t="str">
            <v>LES183006900</v>
          </cell>
          <cell r="D416" t="str">
            <v>PRINC</v>
          </cell>
          <cell r="E416" t="str">
            <v>00013</v>
          </cell>
          <cell r="F416" t="str">
            <v>MOTORES Y REDUCTORES Y ACCES.</v>
          </cell>
          <cell r="G416" t="str">
            <v>PRINCIPAL</v>
          </cell>
          <cell r="H416">
            <v>46004</v>
          </cell>
          <cell r="I416" t="str">
            <v>SALDO INICIAL</v>
          </cell>
          <cell r="J416">
            <v>3</v>
          </cell>
          <cell r="K416">
            <v>3346.9425000000001</v>
          </cell>
          <cell r="L416">
            <v>1115.6475</v>
          </cell>
          <cell r="M416">
            <v>1115.6475</v>
          </cell>
          <cell r="N416" t="str">
            <v/>
          </cell>
          <cell r="O416" t="str">
            <v/>
          </cell>
          <cell r="P416" t="str">
            <v/>
          </cell>
          <cell r="Q416">
            <v>1617.7</v>
          </cell>
          <cell r="R416" t="str">
            <v>UN</v>
          </cell>
          <cell r="S416">
            <v>0</v>
          </cell>
          <cell r="T416">
            <v>0</v>
          </cell>
          <cell r="U416" t="str">
            <v/>
          </cell>
          <cell r="V416" t="str">
            <v>PRO10</v>
          </cell>
          <cell r="W416">
            <v>0</v>
          </cell>
        </row>
        <row r="417">
          <cell r="C417" t="str">
            <v>LES183004500</v>
          </cell>
          <cell r="D417" t="str">
            <v>PRINC</v>
          </cell>
          <cell r="E417" t="str">
            <v>00013</v>
          </cell>
          <cell r="F417" t="str">
            <v>MOTORES Y REDUCTORES Y ACCES.</v>
          </cell>
          <cell r="G417" t="str">
            <v>PRINCIPAL</v>
          </cell>
          <cell r="H417">
            <v>46004</v>
          </cell>
          <cell r="I417" t="str">
            <v>SALDO INICIAL</v>
          </cell>
          <cell r="J417">
            <v>1</v>
          </cell>
          <cell r="K417">
            <v>915.89</v>
          </cell>
          <cell r="L417">
            <v>915.89</v>
          </cell>
          <cell r="M417">
            <v>915.89</v>
          </cell>
          <cell r="N417" t="str">
            <v/>
          </cell>
          <cell r="O417" t="str">
            <v/>
          </cell>
          <cell r="P417" t="str">
            <v/>
          </cell>
          <cell r="Q417">
            <v>1328</v>
          </cell>
          <cell r="R417" t="str">
            <v>UND</v>
          </cell>
          <cell r="S417">
            <v>0</v>
          </cell>
          <cell r="T417">
            <v>0</v>
          </cell>
          <cell r="U417" t="str">
            <v/>
          </cell>
          <cell r="V417" t="str">
            <v>PRO10</v>
          </cell>
          <cell r="W417">
            <v>0</v>
          </cell>
        </row>
        <row r="418">
          <cell r="C418" t="str">
            <v>LES213006500</v>
          </cell>
          <cell r="D418" t="str">
            <v>PRINC</v>
          </cell>
          <cell r="E418" t="str">
            <v>00013</v>
          </cell>
          <cell r="F418" t="str">
            <v>MOTORES Y REDUCTORES Y ACCES.</v>
          </cell>
          <cell r="G418" t="str">
            <v>PRINCIPAL</v>
          </cell>
          <cell r="H418">
            <v>46004</v>
          </cell>
          <cell r="I418" t="str">
            <v>SALDO INICIAL</v>
          </cell>
          <cell r="J418">
            <v>4</v>
          </cell>
          <cell r="K418">
            <v>5209.3266679999997</v>
          </cell>
          <cell r="L418">
            <v>1302.3316669999999</v>
          </cell>
          <cell r="M418">
            <v>1302.3316669999999</v>
          </cell>
          <cell r="N418" t="str">
            <v/>
          </cell>
          <cell r="O418" t="str">
            <v/>
          </cell>
          <cell r="P418" t="str">
            <v/>
          </cell>
          <cell r="Q418">
            <v>1888.4</v>
          </cell>
          <cell r="R418" t="str">
            <v>UND</v>
          </cell>
          <cell r="S418">
            <v>0</v>
          </cell>
          <cell r="T418">
            <v>0</v>
          </cell>
          <cell r="U418" t="str">
            <v/>
          </cell>
          <cell r="V418" t="str">
            <v>PRO10</v>
          </cell>
          <cell r="W418">
            <v>0</v>
          </cell>
        </row>
        <row r="419">
          <cell r="C419" t="str">
            <v>LES213006900</v>
          </cell>
          <cell r="D419" t="str">
            <v>PRINC</v>
          </cell>
          <cell r="E419" t="str">
            <v>00013</v>
          </cell>
          <cell r="F419" t="str">
            <v>MOTORES Y REDUCTORES Y ACCES.</v>
          </cell>
          <cell r="G419" t="str">
            <v>PRINCIPAL</v>
          </cell>
          <cell r="H419">
            <v>46004</v>
          </cell>
          <cell r="I419" t="str">
            <v>SALDO INICIAL</v>
          </cell>
          <cell r="J419">
            <v>4</v>
          </cell>
          <cell r="K419">
            <v>4688.5235540000003</v>
          </cell>
          <cell r="L419">
            <v>1172.130889</v>
          </cell>
          <cell r="M419">
            <v>1172.1308885000001</v>
          </cell>
          <cell r="N419" t="str">
            <v/>
          </cell>
          <cell r="O419" t="str">
            <v/>
          </cell>
          <cell r="P419" t="str">
            <v/>
          </cell>
          <cell r="Q419">
            <v>1669.1</v>
          </cell>
          <cell r="R419" t="str">
            <v>UND</v>
          </cell>
          <cell r="S419">
            <v>0</v>
          </cell>
          <cell r="T419">
            <v>0</v>
          </cell>
          <cell r="U419" t="str">
            <v/>
          </cell>
          <cell r="V419" t="str">
            <v>PRO10</v>
          </cell>
          <cell r="W419">
            <v>0</v>
          </cell>
        </row>
        <row r="420">
          <cell r="C420" t="str">
            <v>LES243003100</v>
          </cell>
          <cell r="D420" t="str">
            <v>PRINC</v>
          </cell>
          <cell r="E420" t="str">
            <v>00013</v>
          </cell>
          <cell r="F420" t="str">
            <v>MOTORES Y REDUCTORES Y ACCES.</v>
          </cell>
          <cell r="G420" t="str">
            <v>PRINCIPAL</v>
          </cell>
          <cell r="H420">
            <v>46004</v>
          </cell>
          <cell r="I420" t="str">
            <v>SALDO INICIAL</v>
          </cell>
          <cell r="J420">
            <v>8</v>
          </cell>
          <cell r="K420">
            <v>13037.34</v>
          </cell>
          <cell r="L420">
            <v>1467.665</v>
          </cell>
          <cell r="M420">
            <v>1629.6675</v>
          </cell>
          <cell r="N420" t="str">
            <v/>
          </cell>
          <cell r="O420" t="str">
            <v/>
          </cell>
          <cell r="P420" t="str">
            <v/>
          </cell>
          <cell r="Q420">
            <v>2320.6</v>
          </cell>
          <cell r="R420" t="str">
            <v>UND</v>
          </cell>
          <cell r="S420">
            <v>0</v>
          </cell>
          <cell r="T420">
            <v>0</v>
          </cell>
          <cell r="U420" t="str">
            <v/>
          </cell>
          <cell r="V420" t="str">
            <v>PRO10</v>
          </cell>
          <cell r="W420">
            <v>0</v>
          </cell>
        </row>
        <row r="421">
          <cell r="C421" t="str">
            <v>LES243003300</v>
          </cell>
          <cell r="D421" t="str">
            <v>PRINC</v>
          </cell>
          <cell r="E421" t="str">
            <v>00013</v>
          </cell>
          <cell r="F421" t="str">
            <v>MOTORES Y REDUCTORES Y ACCES.</v>
          </cell>
          <cell r="G421" t="str">
            <v>PRINCIPAL</v>
          </cell>
          <cell r="H421">
            <v>46004</v>
          </cell>
          <cell r="I421" t="str">
            <v>SALDO INICIAL</v>
          </cell>
          <cell r="J421">
            <v>5</v>
          </cell>
          <cell r="K421">
            <v>7258.41</v>
          </cell>
          <cell r="L421">
            <v>1451.682</v>
          </cell>
          <cell r="M421">
            <v>1451.682</v>
          </cell>
          <cell r="N421" t="str">
            <v/>
          </cell>
          <cell r="O421" t="str">
            <v/>
          </cell>
          <cell r="P421" t="str">
            <v/>
          </cell>
          <cell r="Q421">
            <v>2067.1999999999998</v>
          </cell>
          <cell r="R421" t="str">
            <v>UND</v>
          </cell>
          <cell r="S421">
            <v>0</v>
          </cell>
          <cell r="T421">
            <v>0</v>
          </cell>
          <cell r="U421" t="str">
            <v/>
          </cell>
          <cell r="V421" t="str">
            <v>PRO10</v>
          </cell>
          <cell r="W421">
            <v>0</v>
          </cell>
        </row>
        <row r="422">
          <cell r="C422" t="str">
            <v>RES243000900</v>
          </cell>
          <cell r="D422" t="str">
            <v>PRINC</v>
          </cell>
          <cell r="E422" t="str">
            <v>00013</v>
          </cell>
          <cell r="F422" t="str">
            <v>MOTORES Y REDUCTORES Y ACCES.</v>
          </cell>
          <cell r="G422" t="str">
            <v>PRINCIPAL</v>
          </cell>
          <cell r="H422">
            <v>46004</v>
          </cell>
          <cell r="I422" t="str">
            <v>SALDO INICIAL</v>
          </cell>
          <cell r="J422">
            <v>1</v>
          </cell>
          <cell r="K422">
            <v>1344.33</v>
          </cell>
          <cell r="L422">
            <v>0</v>
          </cell>
          <cell r="M422">
            <v>1344.33</v>
          </cell>
          <cell r="N422" t="str">
            <v/>
          </cell>
          <cell r="O422" t="str">
            <v/>
          </cell>
          <cell r="P422" t="str">
            <v/>
          </cell>
          <cell r="Q422">
            <v>1915.5</v>
          </cell>
          <cell r="R422" t="str">
            <v>UND</v>
          </cell>
          <cell r="S422">
            <v>0</v>
          </cell>
          <cell r="T422">
            <v>0</v>
          </cell>
          <cell r="U422" t="str">
            <v/>
          </cell>
          <cell r="V422" t="str">
            <v>PRO10</v>
          </cell>
          <cell r="W422">
            <v>0</v>
          </cell>
        </row>
        <row r="423">
          <cell r="C423" t="str">
            <v>LES243002100</v>
          </cell>
          <cell r="D423" t="str">
            <v>PRINC</v>
          </cell>
          <cell r="E423" t="str">
            <v>00013</v>
          </cell>
          <cell r="F423" t="str">
            <v>MOTORES Y REDUCTORES Y ACCES.</v>
          </cell>
          <cell r="G423" t="str">
            <v>PRINCIPAL</v>
          </cell>
          <cell r="H423">
            <v>46004</v>
          </cell>
          <cell r="I423" t="str">
            <v>SALDO INICIAL</v>
          </cell>
          <cell r="J423">
            <v>1</v>
          </cell>
          <cell r="K423">
            <v>1570.39</v>
          </cell>
          <cell r="L423">
            <v>1352.77</v>
          </cell>
          <cell r="M423">
            <v>1570.39</v>
          </cell>
          <cell r="N423" t="str">
            <v/>
          </cell>
          <cell r="O423" t="str">
            <v/>
          </cell>
          <cell r="P423" t="str">
            <v/>
          </cell>
          <cell r="Q423">
            <v>2237.6</v>
          </cell>
          <cell r="R423" t="str">
            <v>UND</v>
          </cell>
          <cell r="S423">
            <v>0</v>
          </cell>
          <cell r="T423">
            <v>0</v>
          </cell>
          <cell r="U423" t="str">
            <v/>
          </cell>
          <cell r="V423" t="str">
            <v>PRO10</v>
          </cell>
          <cell r="W423">
            <v>0</v>
          </cell>
        </row>
        <row r="424">
          <cell r="C424" t="str">
            <v>LES263003300</v>
          </cell>
          <cell r="D424" t="str">
            <v>PRINC</v>
          </cell>
          <cell r="E424" t="str">
            <v>00013</v>
          </cell>
          <cell r="F424" t="str">
            <v>MOTORES Y REDUCTORES Y ACCES.</v>
          </cell>
          <cell r="G424" t="str">
            <v>PRINCIPAL</v>
          </cell>
          <cell r="H424">
            <v>46004</v>
          </cell>
          <cell r="I424" t="str">
            <v>SALDO INICIAL</v>
          </cell>
          <cell r="J424">
            <v>5</v>
          </cell>
          <cell r="K424">
            <v>11682.921426999999</v>
          </cell>
          <cell r="L424">
            <v>2336.5842859999998</v>
          </cell>
          <cell r="M424">
            <v>2336.5842854000002</v>
          </cell>
          <cell r="N424" t="str">
            <v/>
          </cell>
          <cell r="O424" t="str">
            <v/>
          </cell>
          <cell r="P424" t="str">
            <v/>
          </cell>
          <cell r="Q424">
            <v>3327.3</v>
          </cell>
          <cell r="R424" t="str">
            <v>UND</v>
          </cell>
          <cell r="S424">
            <v>0</v>
          </cell>
          <cell r="T424">
            <v>0</v>
          </cell>
          <cell r="U424" t="str">
            <v/>
          </cell>
          <cell r="V424" t="str">
            <v>PRO10</v>
          </cell>
          <cell r="W424">
            <v>0</v>
          </cell>
        </row>
        <row r="425">
          <cell r="C425" t="str">
            <v>LES183046516</v>
          </cell>
          <cell r="D425" t="str">
            <v>PRINC</v>
          </cell>
          <cell r="E425" t="str">
            <v>00013</v>
          </cell>
          <cell r="F425" t="str">
            <v>MOTORES Y REDUCTORES Y ACCES.</v>
          </cell>
          <cell r="G425" t="str">
            <v>PRINCIPAL</v>
          </cell>
          <cell r="H425">
            <v>46004</v>
          </cell>
          <cell r="I425" t="str">
            <v>SALDO INICIAL</v>
          </cell>
          <cell r="J425">
            <v>1</v>
          </cell>
          <cell r="K425">
            <v>1172.986666</v>
          </cell>
          <cell r="L425">
            <v>1172.9866669999999</v>
          </cell>
          <cell r="M425">
            <v>1172.986666</v>
          </cell>
          <cell r="N425" t="str">
            <v/>
          </cell>
          <cell r="O425" t="str">
            <v/>
          </cell>
          <cell r="P425" t="str">
            <v/>
          </cell>
          <cell r="Q425">
            <v>1700.8</v>
          </cell>
          <cell r="R425" t="str">
            <v>UND</v>
          </cell>
          <cell r="S425">
            <v>0</v>
          </cell>
          <cell r="T425">
            <v>0</v>
          </cell>
          <cell r="U425" t="str">
            <v/>
          </cell>
          <cell r="V425" t="str">
            <v>PRO10</v>
          </cell>
          <cell r="W425">
            <v>0</v>
          </cell>
        </row>
        <row r="426">
          <cell r="C426" t="str">
            <v>LES213046516</v>
          </cell>
          <cell r="D426" t="str">
            <v>PRINC</v>
          </cell>
          <cell r="E426" t="str">
            <v>00013</v>
          </cell>
          <cell r="F426" t="str">
            <v>MOTORES Y REDUCTORES Y ACCES.</v>
          </cell>
          <cell r="G426" t="str">
            <v>PRINCIPAL</v>
          </cell>
          <cell r="H426">
            <v>46004</v>
          </cell>
          <cell r="I426" t="str">
            <v>SALDO INICIAL</v>
          </cell>
          <cell r="J426">
            <v>4</v>
          </cell>
          <cell r="K426">
            <v>6388.54</v>
          </cell>
          <cell r="L426">
            <v>1588.1908330000001</v>
          </cell>
          <cell r="M426">
            <v>1597.135</v>
          </cell>
          <cell r="N426" t="str">
            <v/>
          </cell>
          <cell r="O426" t="str">
            <v/>
          </cell>
          <cell r="P426" t="str">
            <v/>
          </cell>
          <cell r="Q426">
            <v>2315.8000000000002</v>
          </cell>
          <cell r="R426" t="str">
            <v>UND</v>
          </cell>
          <cell r="S426">
            <v>0</v>
          </cell>
          <cell r="T426">
            <v>0</v>
          </cell>
          <cell r="U426" t="str">
            <v/>
          </cell>
          <cell r="V426" t="str">
            <v>PRO10</v>
          </cell>
          <cell r="W426">
            <v>0</v>
          </cell>
        </row>
        <row r="427">
          <cell r="C427" t="str">
            <v>MOMK4478</v>
          </cell>
          <cell r="D427" t="str">
            <v>PRINC</v>
          </cell>
          <cell r="E427" t="str">
            <v>00013</v>
          </cell>
          <cell r="F427" t="str">
            <v>MOTORES Y REDUCTORES Y ACCES.</v>
          </cell>
          <cell r="G427" t="str">
            <v>PRINCIPAL</v>
          </cell>
          <cell r="H427">
            <v>46004</v>
          </cell>
          <cell r="I427" t="str">
            <v>SALDO INICIAL</v>
          </cell>
          <cell r="J427">
            <v>2</v>
          </cell>
          <cell r="K427">
            <v>1726.66</v>
          </cell>
          <cell r="L427">
            <v>863.33</v>
          </cell>
          <cell r="M427">
            <v>863.33</v>
          </cell>
          <cell r="N427" t="str">
            <v/>
          </cell>
          <cell r="O427" t="str">
            <v/>
          </cell>
          <cell r="P427" t="str">
            <v/>
          </cell>
          <cell r="Q427">
            <v>1294</v>
          </cell>
          <cell r="R427" t="str">
            <v>UND</v>
          </cell>
          <cell r="S427">
            <v>0</v>
          </cell>
          <cell r="T427">
            <v>0</v>
          </cell>
          <cell r="U427" t="str">
            <v/>
          </cell>
          <cell r="V427" t="str">
            <v>PRO10</v>
          </cell>
          <cell r="W427">
            <v>0</v>
          </cell>
        </row>
        <row r="428">
          <cell r="C428" t="str">
            <v>SPPCMRV03010090</v>
          </cell>
          <cell r="D428" t="str">
            <v>PRINC</v>
          </cell>
          <cell r="E428" t="str">
            <v>00013</v>
          </cell>
          <cell r="F428" t="str">
            <v>MOTORES Y REDUCTORES Y ACCES.</v>
          </cell>
          <cell r="G428" t="str">
            <v>PRINCIPAL</v>
          </cell>
          <cell r="H428">
            <v>46004</v>
          </cell>
          <cell r="I428" t="str">
            <v>SALDO INICIAL</v>
          </cell>
          <cell r="J428">
            <v>10</v>
          </cell>
          <cell r="K428">
            <v>1017.37</v>
          </cell>
          <cell r="L428">
            <v>0</v>
          </cell>
          <cell r="M428">
            <v>101.73699999999999</v>
          </cell>
          <cell r="N428" t="str">
            <v/>
          </cell>
          <cell r="O428" t="str">
            <v/>
          </cell>
          <cell r="P428" t="str">
            <v/>
          </cell>
          <cell r="Q428">
            <v>183.1</v>
          </cell>
          <cell r="R428" t="str">
            <v>UND</v>
          </cell>
          <cell r="S428">
            <v>0</v>
          </cell>
          <cell r="T428">
            <v>0</v>
          </cell>
          <cell r="U428" t="str">
            <v/>
          </cell>
          <cell r="V428" t="str">
            <v>PRO10</v>
          </cell>
          <cell r="W428">
            <v>0</v>
          </cell>
        </row>
        <row r="429">
          <cell r="C429" t="str">
            <v>SPPCMRV03030901</v>
          </cell>
          <cell r="D429" t="str">
            <v>PRINC</v>
          </cell>
          <cell r="E429" t="str">
            <v>00013</v>
          </cell>
          <cell r="F429" t="str">
            <v>MOTORES Y REDUCTORES Y ACCES.</v>
          </cell>
          <cell r="G429" t="str">
            <v>PRINCIPAL</v>
          </cell>
          <cell r="H429">
            <v>46004</v>
          </cell>
          <cell r="I429" t="str">
            <v>SALDO INICIAL</v>
          </cell>
          <cell r="J429">
            <v>9</v>
          </cell>
          <cell r="K429">
            <v>915.63300000000004</v>
          </cell>
          <cell r="L429">
            <v>101.73699999999999</v>
          </cell>
          <cell r="M429">
            <v>101.73699999999999</v>
          </cell>
          <cell r="N429" t="str">
            <v/>
          </cell>
          <cell r="O429" t="str">
            <v/>
          </cell>
          <cell r="P429" t="str">
            <v/>
          </cell>
          <cell r="Q429">
            <v>183.1</v>
          </cell>
          <cell r="R429" t="str">
            <v>UND</v>
          </cell>
          <cell r="S429">
            <v>0</v>
          </cell>
          <cell r="T429">
            <v>0</v>
          </cell>
          <cell r="U429" t="str">
            <v/>
          </cell>
          <cell r="V429" t="str">
            <v>PRO10</v>
          </cell>
          <cell r="W429">
            <v>0</v>
          </cell>
        </row>
        <row r="430">
          <cell r="C430" t="str">
            <v>SPPCMRV03060901</v>
          </cell>
          <cell r="D430" t="str">
            <v>PRINC</v>
          </cell>
          <cell r="E430" t="str">
            <v>00013</v>
          </cell>
          <cell r="F430" t="str">
            <v>MOTORES Y REDUCTORES Y ACCES.</v>
          </cell>
          <cell r="G430" t="str">
            <v>PRINCIPAL</v>
          </cell>
          <cell r="H430">
            <v>46004</v>
          </cell>
          <cell r="I430" t="str">
            <v>SALDO INICIAL</v>
          </cell>
          <cell r="J430">
            <v>39</v>
          </cell>
          <cell r="K430">
            <v>3769.3597500000001</v>
          </cell>
          <cell r="L430">
            <v>96.65025</v>
          </cell>
          <cell r="M430">
            <v>96.65025</v>
          </cell>
          <cell r="N430" t="str">
            <v/>
          </cell>
          <cell r="O430" t="str">
            <v/>
          </cell>
          <cell r="P430" t="str">
            <v/>
          </cell>
          <cell r="Q430">
            <v>183.1</v>
          </cell>
          <cell r="R430" t="str">
            <v>UND</v>
          </cell>
          <cell r="S430">
            <v>0</v>
          </cell>
          <cell r="T430">
            <v>0</v>
          </cell>
          <cell r="U430" t="str">
            <v/>
          </cell>
          <cell r="V430" t="str">
            <v>PRO10</v>
          </cell>
          <cell r="W430">
            <v>0</v>
          </cell>
        </row>
        <row r="431">
          <cell r="C431" t="str">
            <v>SPPCMRV03080901</v>
          </cell>
          <cell r="D431" t="str">
            <v>PRINC</v>
          </cell>
          <cell r="E431" t="str">
            <v>00013</v>
          </cell>
          <cell r="F431" t="str">
            <v>MOTORES Y REDUCTORES Y ACCES.</v>
          </cell>
          <cell r="G431" t="str">
            <v>PRINCIPAL</v>
          </cell>
          <cell r="H431">
            <v>46004</v>
          </cell>
          <cell r="I431" t="str">
            <v>SALDO INICIAL</v>
          </cell>
          <cell r="J431">
            <v>10</v>
          </cell>
          <cell r="K431">
            <v>1017.37</v>
          </cell>
          <cell r="L431">
            <v>0</v>
          </cell>
          <cell r="M431">
            <v>101.73699999999999</v>
          </cell>
          <cell r="N431" t="str">
            <v/>
          </cell>
          <cell r="O431" t="str">
            <v/>
          </cell>
          <cell r="P431" t="str">
            <v/>
          </cell>
          <cell r="Q431">
            <v>183.1</v>
          </cell>
          <cell r="R431" t="str">
            <v>UND</v>
          </cell>
          <cell r="S431">
            <v>0</v>
          </cell>
          <cell r="T431">
            <v>0</v>
          </cell>
          <cell r="U431" t="str">
            <v/>
          </cell>
          <cell r="V431" t="str">
            <v>PRO10</v>
          </cell>
          <cell r="W431">
            <v>0</v>
          </cell>
        </row>
        <row r="432">
          <cell r="C432" t="str">
            <v>SPS8GX10B</v>
          </cell>
          <cell r="D432" t="str">
            <v>PRINC</v>
          </cell>
          <cell r="E432" t="str">
            <v>00013</v>
          </cell>
          <cell r="F432" t="str">
            <v>MOTORES Y REDUCTORES Y ACCES.</v>
          </cell>
          <cell r="G432" t="str">
            <v>PRINCIPAL</v>
          </cell>
          <cell r="H432">
            <v>46004</v>
          </cell>
          <cell r="I432" t="str">
            <v>SALDO INICIAL</v>
          </cell>
          <cell r="J432">
            <v>1</v>
          </cell>
          <cell r="K432">
            <v>68.394999999999996</v>
          </cell>
          <cell r="L432">
            <v>68.394999999999996</v>
          </cell>
          <cell r="M432">
            <v>68.394999999999996</v>
          </cell>
          <cell r="N432" t="str">
            <v/>
          </cell>
          <cell r="O432" t="str">
            <v/>
          </cell>
          <cell r="P432" t="str">
            <v/>
          </cell>
          <cell r="Q432">
            <v>109.4</v>
          </cell>
          <cell r="R432" t="str">
            <v>UND</v>
          </cell>
          <cell r="S432">
            <v>0</v>
          </cell>
          <cell r="T432">
            <v>0</v>
          </cell>
          <cell r="U432" t="str">
            <v/>
          </cell>
          <cell r="V432" t="str">
            <v>PRO10</v>
          </cell>
          <cell r="W432">
            <v>0</v>
          </cell>
        </row>
        <row r="433">
          <cell r="C433" t="str">
            <v>SPS9GX10BH</v>
          </cell>
          <cell r="D433" t="str">
            <v>PRINC</v>
          </cell>
          <cell r="E433" t="str">
            <v>00013</v>
          </cell>
          <cell r="F433" t="str">
            <v>MOTORES Y REDUCTORES Y ACCES.</v>
          </cell>
          <cell r="G433" t="str">
            <v>PRINCIPAL</v>
          </cell>
          <cell r="H433">
            <v>46004</v>
          </cell>
          <cell r="I433" t="str">
            <v>SALDO INICIAL</v>
          </cell>
          <cell r="J433">
            <v>2</v>
          </cell>
          <cell r="K433">
            <v>115.61</v>
          </cell>
          <cell r="L433">
            <v>0</v>
          </cell>
          <cell r="M433">
            <v>57.805</v>
          </cell>
          <cell r="N433" t="str">
            <v/>
          </cell>
          <cell r="O433" t="str">
            <v/>
          </cell>
          <cell r="P433" t="str">
            <v/>
          </cell>
          <cell r="Q433">
            <v>112.5</v>
          </cell>
          <cell r="R433" t="str">
            <v>UND</v>
          </cell>
          <cell r="S433">
            <v>0</v>
          </cell>
          <cell r="T433">
            <v>0</v>
          </cell>
          <cell r="U433" t="str">
            <v/>
          </cell>
          <cell r="V433" t="str">
            <v>PRO10</v>
          </cell>
          <cell r="W433">
            <v>0</v>
          </cell>
        </row>
        <row r="434">
          <cell r="C434" t="str">
            <v>SPSC9HC100</v>
          </cell>
          <cell r="D434" t="str">
            <v>PRINC</v>
          </cell>
          <cell r="E434" t="str">
            <v>00013</v>
          </cell>
          <cell r="F434" t="str">
            <v>MOTORES Y REDUCTORES Y ACCES.</v>
          </cell>
          <cell r="G434" t="str">
            <v>PRINCIPAL</v>
          </cell>
          <cell r="H434">
            <v>46004</v>
          </cell>
          <cell r="I434" t="str">
            <v>SALDO INICIAL</v>
          </cell>
          <cell r="J434">
            <v>5</v>
          </cell>
          <cell r="K434">
            <v>721.40499999999997</v>
          </cell>
          <cell r="L434">
            <v>136.8125</v>
          </cell>
          <cell r="M434">
            <v>144.28100000000001</v>
          </cell>
          <cell r="N434" t="str">
            <v/>
          </cell>
          <cell r="O434" t="str">
            <v/>
          </cell>
          <cell r="P434" t="str">
            <v/>
          </cell>
          <cell r="Q434">
            <v>216.4</v>
          </cell>
          <cell r="R434" t="str">
            <v>UND</v>
          </cell>
          <cell r="S434">
            <v>0</v>
          </cell>
          <cell r="T434">
            <v>0</v>
          </cell>
          <cell r="U434" t="str">
            <v/>
          </cell>
          <cell r="V434" t="str">
            <v>PRO10</v>
          </cell>
          <cell r="W434">
            <v>0</v>
          </cell>
        </row>
        <row r="435">
          <cell r="C435" t="str">
            <v>SPS8KA100</v>
          </cell>
          <cell r="D435" t="str">
            <v>PRINC</v>
          </cell>
          <cell r="E435" t="str">
            <v>00013</v>
          </cell>
          <cell r="F435" t="str">
            <v>MOTORES Y REDUCTORES Y ACCES.</v>
          </cell>
          <cell r="G435" t="str">
            <v>PRINCIPAL</v>
          </cell>
          <cell r="H435">
            <v>46004</v>
          </cell>
          <cell r="I435" t="str">
            <v>SALDO INICIAL</v>
          </cell>
          <cell r="J435">
            <v>2</v>
          </cell>
          <cell r="K435">
            <v>184.90166600000001</v>
          </cell>
          <cell r="L435">
            <v>92.450833000000003</v>
          </cell>
          <cell r="M435">
            <v>92.450833000000003</v>
          </cell>
          <cell r="N435" t="str">
            <v/>
          </cell>
          <cell r="O435" t="str">
            <v/>
          </cell>
          <cell r="P435" t="str">
            <v/>
          </cell>
          <cell r="Q435">
            <v>138.69999999999999</v>
          </cell>
          <cell r="R435" t="str">
            <v>UND</v>
          </cell>
          <cell r="S435">
            <v>0</v>
          </cell>
          <cell r="T435">
            <v>0</v>
          </cell>
          <cell r="U435" t="str">
            <v/>
          </cell>
          <cell r="V435" t="str">
            <v>PRO10</v>
          </cell>
          <cell r="W435">
            <v>0</v>
          </cell>
        </row>
        <row r="436">
          <cell r="C436" t="str">
            <v>SPS9KC100BH</v>
          </cell>
          <cell r="D436" t="str">
            <v>PRINC</v>
          </cell>
          <cell r="E436" t="str">
            <v>00013</v>
          </cell>
          <cell r="F436" t="str">
            <v>MOTORES Y REDUCTORES Y ACCES.</v>
          </cell>
          <cell r="G436" t="str">
            <v>PRINCIPAL</v>
          </cell>
          <cell r="H436">
            <v>46004</v>
          </cell>
          <cell r="I436" t="str">
            <v>SALDO INICIAL</v>
          </cell>
          <cell r="J436">
            <v>2</v>
          </cell>
          <cell r="K436">
            <v>229.38</v>
          </cell>
          <cell r="L436">
            <v>114.69</v>
          </cell>
          <cell r="M436">
            <v>114.69</v>
          </cell>
          <cell r="N436" t="str">
            <v/>
          </cell>
          <cell r="O436" t="str">
            <v/>
          </cell>
          <cell r="P436" t="str">
            <v/>
          </cell>
          <cell r="Q436">
            <v>172</v>
          </cell>
          <cell r="R436" t="str">
            <v>UND</v>
          </cell>
          <cell r="S436">
            <v>0</v>
          </cell>
          <cell r="T436">
            <v>0</v>
          </cell>
          <cell r="U436" t="str">
            <v/>
          </cell>
          <cell r="V436" t="str">
            <v>PRO10</v>
          </cell>
          <cell r="W436">
            <v>0</v>
          </cell>
        </row>
        <row r="437">
          <cell r="C437" t="str">
            <v>SPS9KH100BH</v>
          </cell>
          <cell r="D437" t="str">
            <v>PRINC</v>
          </cell>
          <cell r="E437" t="str">
            <v>00013</v>
          </cell>
          <cell r="F437" t="str">
            <v>MOTORES Y REDUCTORES Y ACCES.</v>
          </cell>
          <cell r="G437" t="str">
            <v>PRINCIPAL</v>
          </cell>
          <cell r="H437">
            <v>46004</v>
          </cell>
          <cell r="I437" t="str">
            <v>SALDO INICIAL</v>
          </cell>
          <cell r="J437">
            <v>3</v>
          </cell>
          <cell r="K437">
            <v>432.00999899999999</v>
          </cell>
          <cell r="L437">
            <v>0</v>
          </cell>
          <cell r="M437">
            <v>144.003333</v>
          </cell>
          <cell r="N437" t="str">
            <v/>
          </cell>
          <cell r="O437" t="str">
            <v/>
          </cell>
          <cell r="P437" t="str">
            <v/>
          </cell>
          <cell r="Q437">
            <v>216</v>
          </cell>
          <cell r="R437" t="str">
            <v>UND</v>
          </cell>
          <cell r="S437">
            <v>0</v>
          </cell>
          <cell r="T437">
            <v>0</v>
          </cell>
          <cell r="U437" t="str">
            <v/>
          </cell>
          <cell r="V437" t="str">
            <v>PRO10</v>
          </cell>
          <cell r="W437">
            <v>0</v>
          </cell>
        </row>
        <row r="438">
          <cell r="C438" t="str">
            <v>SPSC8HA100</v>
          </cell>
          <cell r="D438" t="str">
            <v>PRINC</v>
          </cell>
          <cell r="E438" t="str">
            <v>00013</v>
          </cell>
          <cell r="F438" t="str">
            <v>MOTORES Y REDUCTORES Y ACCES.</v>
          </cell>
          <cell r="G438" t="str">
            <v>PRINCIPAL</v>
          </cell>
          <cell r="H438">
            <v>46004</v>
          </cell>
          <cell r="I438" t="str">
            <v>SALDO INICIAL</v>
          </cell>
          <cell r="J438">
            <v>2</v>
          </cell>
          <cell r="K438">
            <v>198.04</v>
          </cell>
          <cell r="L438">
            <v>99.02</v>
          </cell>
          <cell r="M438">
            <v>99.02</v>
          </cell>
          <cell r="N438" t="str">
            <v/>
          </cell>
          <cell r="O438" t="str">
            <v/>
          </cell>
          <cell r="P438" t="str">
            <v/>
          </cell>
          <cell r="Q438">
            <v>181.5</v>
          </cell>
          <cell r="R438" t="str">
            <v>UND</v>
          </cell>
          <cell r="S438">
            <v>0</v>
          </cell>
          <cell r="T438">
            <v>0</v>
          </cell>
          <cell r="U438" t="str">
            <v/>
          </cell>
          <cell r="V438" t="str">
            <v>PRO10</v>
          </cell>
          <cell r="W438">
            <v>0</v>
          </cell>
        </row>
        <row r="439">
          <cell r="C439" t="str">
            <v>SPSC8KA100</v>
          </cell>
          <cell r="D439" t="str">
            <v>PRINC</v>
          </cell>
          <cell r="E439" t="str">
            <v>00013</v>
          </cell>
          <cell r="F439" t="str">
            <v>MOTORES Y REDUCTORES Y ACCES.</v>
          </cell>
          <cell r="G439" t="str">
            <v>PRINCIPAL</v>
          </cell>
          <cell r="H439">
            <v>46004</v>
          </cell>
          <cell r="I439" t="str">
            <v>SALDO INICIAL</v>
          </cell>
          <cell r="J439">
            <v>8</v>
          </cell>
          <cell r="K439">
            <v>733.91232500000001</v>
          </cell>
          <cell r="L439">
            <v>91.739041</v>
          </cell>
          <cell r="M439">
            <v>91.739040625000001</v>
          </cell>
          <cell r="N439" t="str">
            <v/>
          </cell>
          <cell r="O439" t="str">
            <v/>
          </cell>
          <cell r="P439" t="str">
            <v/>
          </cell>
          <cell r="Q439">
            <v>143.30000000000001</v>
          </cell>
          <cell r="R439" t="str">
            <v>UND</v>
          </cell>
          <cell r="S439">
            <v>0</v>
          </cell>
          <cell r="T439">
            <v>0</v>
          </cell>
          <cell r="U439" t="str">
            <v/>
          </cell>
          <cell r="V439" t="str">
            <v>PRO10</v>
          </cell>
          <cell r="W439">
            <v>0</v>
          </cell>
        </row>
        <row r="440">
          <cell r="C440" t="str">
            <v>SPSC9HC150</v>
          </cell>
          <cell r="D440" t="str">
            <v>PRINC</v>
          </cell>
          <cell r="E440" t="str">
            <v>00013</v>
          </cell>
          <cell r="F440" t="str">
            <v>MOTORES Y REDUCTORES Y ACCES.</v>
          </cell>
          <cell r="G440" t="str">
            <v>PRINCIPAL</v>
          </cell>
          <cell r="H440">
            <v>46004</v>
          </cell>
          <cell r="I440" t="str">
            <v>SALDO INICIAL</v>
          </cell>
          <cell r="J440">
            <v>1</v>
          </cell>
          <cell r="K440">
            <v>136.81</v>
          </cell>
          <cell r="L440">
            <v>136.81</v>
          </cell>
          <cell r="M440">
            <v>136.81</v>
          </cell>
          <cell r="N440" t="str">
            <v/>
          </cell>
          <cell r="O440" t="str">
            <v/>
          </cell>
          <cell r="P440" t="str">
            <v/>
          </cell>
          <cell r="Q440">
            <v>205.2</v>
          </cell>
          <cell r="R440" t="str">
            <v>UND</v>
          </cell>
          <cell r="S440">
            <v>0</v>
          </cell>
          <cell r="T440">
            <v>0</v>
          </cell>
          <cell r="U440" t="str">
            <v/>
          </cell>
          <cell r="V440" t="str">
            <v>PRO10</v>
          </cell>
          <cell r="W440">
            <v>0</v>
          </cell>
        </row>
        <row r="441">
          <cell r="C441" t="str">
            <v>SPSC9HC36</v>
          </cell>
          <cell r="D441" t="str">
            <v>PRINC</v>
          </cell>
          <cell r="E441" t="str">
            <v>00013</v>
          </cell>
          <cell r="F441" t="str">
            <v>MOTORES Y REDUCTORES Y ACCES.</v>
          </cell>
          <cell r="G441" t="str">
            <v>PRINCIPAL</v>
          </cell>
          <cell r="H441">
            <v>46004</v>
          </cell>
          <cell r="I441" t="str">
            <v>SALDO INICIAL</v>
          </cell>
          <cell r="J441">
            <v>18</v>
          </cell>
          <cell r="K441">
            <v>2290.4162700000002</v>
          </cell>
          <cell r="L441">
            <v>127.24534800000001</v>
          </cell>
          <cell r="M441">
            <v>127.245348333</v>
          </cell>
          <cell r="N441" t="str">
            <v/>
          </cell>
          <cell r="O441" t="str">
            <v/>
          </cell>
          <cell r="P441" t="str">
            <v/>
          </cell>
          <cell r="Q441">
            <v>205.8</v>
          </cell>
          <cell r="R441" t="str">
            <v>UND</v>
          </cell>
          <cell r="S441">
            <v>0</v>
          </cell>
          <cell r="T441">
            <v>0</v>
          </cell>
          <cell r="U441" t="str">
            <v/>
          </cell>
          <cell r="V441" t="str">
            <v>PRO10</v>
          </cell>
          <cell r="W441">
            <v>0</v>
          </cell>
        </row>
        <row r="442">
          <cell r="C442" t="str">
            <v>SPSC9HC50</v>
          </cell>
          <cell r="D442" t="str">
            <v>PRINC</v>
          </cell>
          <cell r="E442" t="str">
            <v>00013</v>
          </cell>
          <cell r="F442" t="str">
            <v>MOTORES Y REDUCTORES Y ACCES.</v>
          </cell>
          <cell r="G442" t="str">
            <v>PRINCIPAL</v>
          </cell>
          <cell r="H442">
            <v>46004</v>
          </cell>
          <cell r="I442" t="str">
            <v>SALDO INICIAL</v>
          </cell>
          <cell r="J442">
            <v>18</v>
          </cell>
          <cell r="K442">
            <v>2371.674348</v>
          </cell>
          <cell r="L442">
            <v>131.75968599999999</v>
          </cell>
          <cell r="M442">
            <v>131.75968599999999</v>
          </cell>
          <cell r="N442" t="str">
            <v/>
          </cell>
          <cell r="O442" t="str">
            <v/>
          </cell>
          <cell r="P442" t="str">
            <v/>
          </cell>
          <cell r="Q442">
            <v>205.8</v>
          </cell>
          <cell r="R442" t="str">
            <v>UND</v>
          </cell>
          <cell r="S442">
            <v>0</v>
          </cell>
          <cell r="T442">
            <v>0</v>
          </cell>
          <cell r="U442" t="str">
            <v/>
          </cell>
          <cell r="V442" t="str">
            <v>PRO10</v>
          </cell>
          <cell r="W442">
            <v>0</v>
          </cell>
        </row>
        <row r="443">
          <cell r="C443" t="str">
            <v>SPS9KH50B</v>
          </cell>
          <cell r="D443" t="str">
            <v>PRINC</v>
          </cell>
          <cell r="E443" t="str">
            <v>00013</v>
          </cell>
          <cell r="F443" t="str">
            <v>MOTORES Y REDUCTORES Y ACCES.</v>
          </cell>
          <cell r="G443" t="str">
            <v>PRINCIPAL</v>
          </cell>
          <cell r="H443">
            <v>46004</v>
          </cell>
          <cell r="I443" t="str">
            <v>SALDO INICIAL</v>
          </cell>
          <cell r="J443">
            <v>2</v>
          </cell>
          <cell r="K443">
            <v>273.29333400000002</v>
          </cell>
          <cell r="L443">
            <v>136.64666700000001</v>
          </cell>
          <cell r="M443">
            <v>136.64666700000001</v>
          </cell>
          <cell r="N443" t="str">
            <v/>
          </cell>
          <cell r="O443" t="str">
            <v/>
          </cell>
          <cell r="P443" t="str">
            <v/>
          </cell>
          <cell r="Q443">
            <v>205</v>
          </cell>
          <cell r="R443" t="str">
            <v>UND</v>
          </cell>
          <cell r="S443">
            <v>0</v>
          </cell>
          <cell r="T443">
            <v>0</v>
          </cell>
          <cell r="U443" t="str">
            <v/>
          </cell>
          <cell r="V443" t="str">
            <v>PRO10</v>
          </cell>
          <cell r="W443">
            <v>0</v>
          </cell>
        </row>
        <row r="444">
          <cell r="C444" t="str">
            <v>SPSC9HC60</v>
          </cell>
          <cell r="D444" t="str">
            <v>PRINC</v>
          </cell>
          <cell r="E444" t="str">
            <v>00013</v>
          </cell>
          <cell r="F444" t="str">
            <v>MOTORES Y REDUCTORES Y ACCES.</v>
          </cell>
          <cell r="G444" t="str">
            <v>PRINCIPAL</v>
          </cell>
          <cell r="H444">
            <v>46004</v>
          </cell>
          <cell r="I444" t="str">
            <v>SALDO INICIAL</v>
          </cell>
          <cell r="J444">
            <v>8</v>
          </cell>
          <cell r="K444">
            <v>1018.850226</v>
          </cell>
          <cell r="L444">
            <v>127.356278</v>
          </cell>
          <cell r="M444">
            <v>127.35627825</v>
          </cell>
          <cell r="N444" t="str">
            <v/>
          </cell>
          <cell r="O444" t="str">
            <v/>
          </cell>
          <cell r="P444" t="str">
            <v/>
          </cell>
          <cell r="Q444">
            <v>205.8</v>
          </cell>
          <cell r="R444" t="str">
            <v>UND</v>
          </cell>
          <cell r="S444">
            <v>0</v>
          </cell>
          <cell r="T444">
            <v>0</v>
          </cell>
          <cell r="U444" t="str">
            <v/>
          </cell>
          <cell r="V444" t="str">
            <v>PRO10</v>
          </cell>
          <cell r="W444">
            <v>0</v>
          </cell>
        </row>
        <row r="445">
          <cell r="C445" t="str">
            <v>SPSC9HB60</v>
          </cell>
          <cell r="D445" t="str">
            <v>PRINC</v>
          </cell>
          <cell r="E445" t="str">
            <v>00013</v>
          </cell>
          <cell r="F445" t="str">
            <v>MOTORES Y REDUCTORES Y ACCES.</v>
          </cell>
          <cell r="G445" t="str">
            <v>PRINCIPAL</v>
          </cell>
          <cell r="H445">
            <v>46004</v>
          </cell>
          <cell r="I445" t="str">
            <v>SALDO INICIAL</v>
          </cell>
          <cell r="J445">
            <v>5</v>
          </cell>
          <cell r="K445">
            <v>693.74</v>
          </cell>
          <cell r="L445">
            <v>0</v>
          </cell>
          <cell r="M445">
            <v>138.74799999999999</v>
          </cell>
          <cell r="N445" t="str">
            <v/>
          </cell>
          <cell r="O445" t="str">
            <v/>
          </cell>
          <cell r="P445" t="str">
            <v/>
          </cell>
          <cell r="Q445">
            <v>208.1</v>
          </cell>
          <cell r="R445" t="str">
            <v>UND</v>
          </cell>
          <cell r="S445">
            <v>0</v>
          </cell>
          <cell r="T445">
            <v>0</v>
          </cell>
          <cell r="U445" t="str">
            <v/>
          </cell>
          <cell r="V445" t="str">
            <v>PRO10</v>
          </cell>
          <cell r="W445">
            <v>0</v>
          </cell>
        </row>
        <row r="446">
          <cell r="C446" t="str">
            <v>SPSC8HA60</v>
          </cell>
          <cell r="D446" t="str">
            <v>PRINC</v>
          </cell>
          <cell r="E446" t="str">
            <v>00013</v>
          </cell>
          <cell r="F446" t="str">
            <v>MOTORES Y REDUCTORES Y ACCES.</v>
          </cell>
          <cell r="G446" t="str">
            <v>PRINCIPAL</v>
          </cell>
          <cell r="H446">
            <v>46004</v>
          </cell>
          <cell r="I446" t="str">
            <v>SALDO INICIAL</v>
          </cell>
          <cell r="J446">
            <v>5</v>
          </cell>
          <cell r="K446">
            <v>554.89374999999995</v>
          </cell>
          <cell r="L446">
            <v>110.97875000000001</v>
          </cell>
          <cell r="M446">
            <v>110.97875000000001</v>
          </cell>
          <cell r="N446" t="str">
            <v/>
          </cell>
          <cell r="O446" t="str">
            <v/>
          </cell>
          <cell r="P446" t="str">
            <v/>
          </cell>
          <cell r="Q446">
            <v>181.5</v>
          </cell>
          <cell r="R446" t="str">
            <v>UND</v>
          </cell>
          <cell r="S446">
            <v>0</v>
          </cell>
          <cell r="T446">
            <v>0</v>
          </cell>
          <cell r="U446" t="str">
            <v/>
          </cell>
          <cell r="V446" t="str">
            <v>PRO10</v>
          </cell>
          <cell r="W446">
            <v>0</v>
          </cell>
        </row>
        <row r="447">
          <cell r="C447" t="str">
            <v>SPSC9HC75</v>
          </cell>
          <cell r="D447" t="str">
            <v>PRINC</v>
          </cell>
          <cell r="E447" t="str">
            <v>00013</v>
          </cell>
          <cell r="F447" t="str">
            <v>MOTORES Y REDUCTORES Y ACCES.</v>
          </cell>
          <cell r="G447" t="str">
            <v>PRINCIPAL</v>
          </cell>
          <cell r="H447">
            <v>46004</v>
          </cell>
          <cell r="I447" t="str">
            <v>SALDO INICIAL</v>
          </cell>
          <cell r="J447">
            <v>4</v>
          </cell>
          <cell r="K447">
            <v>489.65</v>
          </cell>
          <cell r="L447">
            <v>122.41249999999999</v>
          </cell>
          <cell r="M447">
            <v>122.41249999999999</v>
          </cell>
          <cell r="N447" t="str">
            <v/>
          </cell>
          <cell r="O447" t="str">
            <v/>
          </cell>
          <cell r="P447" t="str">
            <v/>
          </cell>
          <cell r="Q447">
            <v>205.8</v>
          </cell>
          <cell r="R447" t="str">
            <v>UND</v>
          </cell>
          <cell r="S447">
            <v>0</v>
          </cell>
          <cell r="T447">
            <v>0</v>
          </cell>
          <cell r="U447" t="str">
            <v/>
          </cell>
          <cell r="V447" t="str">
            <v>PRO10</v>
          </cell>
          <cell r="W447">
            <v>0</v>
          </cell>
        </row>
        <row r="448">
          <cell r="C448" t="str">
            <v>SPSC8HA75</v>
          </cell>
          <cell r="D448" t="str">
            <v>PRINC</v>
          </cell>
          <cell r="E448" t="str">
            <v>00013</v>
          </cell>
          <cell r="F448" t="str">
            <v>MOTORES Y REDUCTORES Y ACCES.</v>
          </cell>
          <cell r="G448" t="str">
            <v>PRINCIPAL</v>
          </cell>
          <cell r="H448">
            <v>46004</v>
          </cell>
          <cell r="I448" t="str">
            <v>SALDO INICIAL</v>
          </cell>
          <cell r="J448">
            <v>2</v>
          </cell>
          <cell r="K448">
            <v>226.96</v>
          </cell>
          <cell r="L448">
            <v>113.48</v>
          </cell>
          <cell r="M448">
            <v>113.48</v>
          </cell>
          <cell r="N448" t="str">
            <v/>
          </cell>
          <cell r="O448" t="str">
            <v/>
          </cell>
          <cell r="P448" t="str">
            <v/>
          </cell>
          <cell r="Q448">
            <v>181.5</v>
          </cell>
          <cell r="R448" t="str">
            <v>UND</v>
          </cell>
          <cell r="S448">
            <v>0</v>
          </cell>
          <cell r="T448">
            <v>0</v>
          </cell>
          <cell r="U448" t="str">
            <v/>
          </cell>
          <cell r="V448" t="str">
            <v>PRO10</v>
          </cell>
          <cell r="W448">
            <v>0</v>
          </cell>
        </row>
        <row r="449">
          <cell r="C449" t="str">
            <v>SPSC9HC90</v>
          </cell>
          <cell r="D449" t="str">
            <v>PRINC</v>
          </cell>
          <cell r="E449" t="str">
            <v>00013</v>
          </cell>
          <cell r="F449" t="str">
            <v>MOTORES Y REDUCTORES Y ACCES.</v>
          </cell>
          <cell r="G449" t="str">
            <v>PRINCIPAL</v>
          </cell>
          <cell r="H449">
            <v>46004</v>
          </cell>
          <cell r="I449" t="str">
            <v>SALDO INICIAL</v>
          </cell>
          <cell r="J449">
            <v>4</v>
          </cell>
          <cell r="K449">
            <v>584.59500000000003</v>
          </cell>
          <cell r="L449">
            <v>136.815</v>
          </cell>
          <cell r="M449">
            <v>146.14875000000001</v>
          </cell>
          <cell r="N449" t="str">
            <v/>
          </cell>
          <cell r="O449" t="str">
            <v/>
          </cell>
          <cell r="P449" t="str">
            <v/>
          </cell>
          <cell r="Q449">
            <v>219.2</v>
          </cell>
          <cell r="R449" t="str">
            <v>UND</v>
          </cell>
          <cell r="S449">
            <v>0</v>
          </cell>
          <cell r="T449">
            <v>0</v>
          </cell>
          <cell r="U449" t="str">
            <v/>
          </cell>
          <cell r="V449" t="str">
            <v>PRO10</v>
          </cell>
          <cell r="W449">
            <v>0</v>
          </cell>
        </row>
        <row r="450">
          <cell r="C450" t="str">
            <v>SPSC9HC30</v>
          </cell>
          <cell r="D450" t="str">
            <v>PRINC</v>
          </cell>
          <cell r="E450" t="str">
            <v>00013</v>
          </cell>
          <cell r="F450" t="str">
            <v>MOTORES Y REDUCTORES Y ACCES.</v>
          </cell>
          <cell r="G450" t="str">
            <v>PRINCIPAL</v>
          </cell>
          <cell r="H450">
            <v>46004</v>
          </cell>
          <cell r="I450" t="str">
            <v>SALDO INICIAL</v>
          </cell>
          <cell r="J450">
            <v>6</v>
          </cell>
          <cell r="K450">
            <v>774.44399999999996</v>
          </cell>
          <cell r="L450">
            <v>129.07400000000001</v>
          </cell>
          <cell r="M450">
            <v>129.07400000000001</v>
          </cell>
          <cell r="N450" t="str">
            <v/>
          </cell>
          <cell r="O450" t="str">
            <v/>
          </cell>
          <cell r="P450" t="str">
            <v/>
          </cell>
          <cell r="Q450">
            <v>205.8</v>
          </cell>
          <cell r="R450" t="str">
            <v>UND</v>
          </cell>
          <cell r="S450">
            <v>0</v>
          </cell>
          <cell r="T450">
            <v>0</v>
          </cell>
          <cell r="U450" t="str">
            <v/>
          </cell>
          <cell r="V450" t="str">
            <v>PRO10</v>
          </cell>
          <cell r="W450">
            <v>0</v>
          </cell>
        </row>
        <row r="451">
          <cell r="C451" t="str">
            <v>DA153D-200C-T</v>
          </cell>
          <cell r="D451" t="str">
            <v>PRINC</v>
          </cell>
          <cell r="E451" t="str">
            <v>00013</v>
          </cell>
          <cell r="F451" t="str">
            <v>MOTORES Y REDUCTORES Y ACCES.</v>
          </cell>
          <cell r="G451" t="str">
            <v>PRINCIPAL</v>
          </cell>
          <cell r="H451">
            <v>46004</v>
          </cell>
          <cell r="I451" t="str">
            <v>SALDO INICIAL</v>
          </cell>
          <cell r="J451">
            <v>10</v>
          </cell>
          <cell r="K451">
            <v>1413.15</v>
          </cell>
          <cell r="L451">
            <v>0</v>
          </cell>
          <cell r="M451">
            <v>141.315</v>
          </cell>
          <cell r="N451" t="str">
            <v/>
          </cell>
          <cell r="O451" t="str">
            <v/>
          </cell>
          <cell r="P451" t="str">
            <v/>
          </cell>
          <cell r="Q451">
            <v>0</v>
          </cell>
          <cell r="R451" t="str">
            <v>UND</v>
          </cell>
          <cell r="S451">
            <v>0</v>
          </cell>
          <cell r="T451">
            <v>0</v>
          </cell>
          <cell r="U451" t="str">
            <v/>
          </cell>
          <cell r="V451" t="str">
            <v>PRO10</v>
          </cell>
          <cell r="W451">
            <v>0</v>
          </cell>
        </row>
        <row r="452">
          <cell r="C452" t="str">
            <v>DA125DV-C-K</v>
          </cell>
          <cell r="D452" t="str">
            <v>PRINC</v>
          </cell>
          <cell r="E452" t="str">
            <v>00013</v>
          </cell>
          <cell r="F452" t="str">
            <v>MOTORES Y REDUCTORES Y ACCES.</v>
          </cell>
          <cell r="G452" t="str">
            <v>PRINCIPAL</v>
          </cell>
          <cell r="H452">
            <v>46004</v>
          </cell>
          <cell r="I452" t="str">
            <v>SALDO INICIAL</v>
          </cell>
          <cell r="J452">
            <v>1</v>
          </cell>
          <cell r="K452">
            <v>98.565106999999998</v>
          </cell>
          <cell r="L452">
            <v>98.565107999999995</v>
          </cell>
          <cell r="M452">
            <v>98.565106999999998</v>
          </cell>
          <cell r="N452" t="str">
            <v/>
          </cell>
          <cell r="O452" t="str">
            <v/>
          </cell>
          <cell r="P452" t="str">
            <v/>
          </cell>
          <cell r="Q452">
            <v>150</v>
          </cell>
          <cell r="R452" t="str">
            <v>UND</v>
          </cell>
          <cell r="S452">
            <v>0</v>
          </cell>
          <cell r="T452">
            <v>0</v>
          </cell>
          <cell r="U452" t="str">
            <v/>
          </cell>
          <cell r="V452" t="str">
            <v>PRO10</v>
          </cell>
          <cell r="W452">
            <v>0</v>
          </cell>
        </row>
        <row r="453">
          <cell r="C453" t="str">
            <v>CABLEPODER90</v>
          </cell>
          <cell r="D453" t="str">
            <v>PRINC</v>
          </cell>
          <cell r="E453" t="str">
            <v>00014</v>
          </cell>
          <cell r="F453" t="str">
            <v>OTROS ARTICULOS</v>
          </cell>
          <cell r="G453" t="str">
            <v>PRINCIPAL</v>
          </cell>
          <cell r="H453">
            <v>46004</v>
          </cell>
          <cell r="I453" t="str">
            <v>SALDO INICIAL</v>
          </cell>
          <cell r="J453">
            <v>43</v>
          </cell>
          <cell r="K453">
            <v>298.35253299999999</v>
          </cell>
          <cell r="L453">
            <v>6.9384309999999996</v>
          </cell>
          <cell r="M453">
            <v>6.9384309999999996</v>
          </cell>
          <cell r="N453" t="str">
            <v/>
          </cell>
          <cell r="O453" t="str">
            <v/>
          </cell>
          <cell r="P453" t="str">
            <v/>
          </cell>
          <cell r="Q453">
            <v>0</v>
          </cell>
          <cell r="R453" t="str">
            <v>UND</v>
          </cell>
          <cell r="S453">
            <v>0</v>
          </cell>
          <cell r="T453">
            <v>0</v>
          </cell>
          <cell r="U453" t="str">
            <v/>
          </cell>
          <cell r="V453" t="str">
            <v>PRO10</v>
          </cell>
          <cell r="W453">
            <v>0</v>
          </cell>
        </row>
        <row r="454">
          <cell r="C454" t="str">
            <v>AUDPM2-AT-HL</v>
          </cell>
          <cell r="D454" t="str">
            <v>PRINC</v>
          </cell>
          <cell r="E454" t="str">
            <v>00014</v>
          </cell>
          <cell r="F454" t="str">
            <v>OTROS ARTICULOS</v>
          </cell>
          <cell r="G454" t="str">
            <v>PRINCIPAL</v>
          </cell>
          <cell r="H454">
            <v>46004</v>
          </cell>
          <cell r="I454" t="str">
            <v>SALDO INICIAL</v>
          </cell>
          <cell r="J454">
            <v>2</v>
          </cell>
          <cell r="K454">
            <v>295.32</v>
          </cell>
          <cell r="L454">
            <v>0</v>
          </cell>
          <cell r="M454">
            <v>147.66</v>
          </cell>
          <cell r="N454" t="str">
            <v/>
          </cell>
          <cell r="O454" t="str">
            <v/>
          </cell>
          <cell r="P454" t="str">
            <v/>
          </cell>
          <cell r="Q454">
            <v>0</v>
          </cell>
          <cell r="R454" t="str">
            <v>UND</v>
          </cell>
          <cell r="S454">
            <v>0</v>
          </cell>
          <cell r="T454">
            <v>0</v>
          </cell>
          <cell r="U454" t="str">
            <v/>
          </cell>
          <cell r="V454" t="str">
            <v>PRO10</v>
          </cell>
          <cell r="W454">
            <v>0</v>
          </cell>
        </row>
        <row r="455">
          <cell r="C455" t="str">
            <v>SELSILVIT65</v>
          </cell>
          <cell r="D455" t="str">
            <v>PRINC</v>
          </cell>
          <cell r="E455" t="str">
            <v>00014</v>
          </cell>
          <cell r="F455" t="str">
            <v>OTROS ARTICULOS</v>
          </cell>
          <cell r="G455" t="str">
            <v>PRINCIPAL</v>
          </cell>
          <cell r="H455">
            <v>46004</v>
          </cell>
          <cell r="I455" t="str">
            <v>SALDO INICIAL</v>
          </cell>
          <cell r="J455">
            <v>6</v>
          </cell>
          <cell r="K455">
            <v>2760</v>
          </cell>
          <cell r="L455">
            <v>0</v>
          </cell>
          <cell r="M455">
            <v>460</v>
          </cell>
          <cell r="N455" t="str">
            <v/>
          </cell>
          <cell r="O455" t="str">
            <v/>
          </cell>
          <cell r="P455" t="str">
            <v/>
          </cell>
          <cell r="Q455">
            <v>621</v>
          </cell>
          <cell r="R455" t="str">
            <v>UND</v>
          </cell>
          <cell r="S455">
            <v>0</v>
          </cell>
          <cell r="T455">
            <v>0</v>
          </cell>
          <cell r="U455" t="str">
            <v/>
          </cell>
          <cell r="V455" t="str">
            <v>PRO10</v>
          </cell>
          <cell r="W455">
            <v>0</v>
          </cell>
        </row>
        <row r="456">
          <cell r="C456" t="str">
            <v>SELSILVIT30MM</v>
          </cell>
          <cell r="D456" t="str">
            <v>PRINC</v>
          </cell>
          <cell r="E456" t="str">
            <v>00014</v>
          </cell>
          <cell r="F456" t="str">
            <v>OTROS ARTICULOS</v>
          </cell>
          <cell r="G456" t="str">
            <v>PRINCIPAL</v>
          </cell>
          <cell r="H456">
            <v>46004</v>
          </cell>
          <cell r="I456" t="str">
            <v>SALDO INICIAL</v>
          </cell>
          <cell r="J456">
            <v>6</v>
          </cell>
          <cell r="K456">
            <v>840</v>
          </cell>
          <cell r="L456">
            <v>0</v>
          </cell>
          <cell r="M456">
            <v>140</v>
          </cell>
          <cell r="N456" t="str">
            <v/>
          </cell>
          <cell r="O456" t="str">
            <v/>
          </cell>
          <cell r="P456" t="str">
            <v/>
          </cell>
          <cell r="Q456">
            <v>189</v>
          </cell>
          <cell r="R456" t="str">
            <v>UND</v>
          </cell>
          <cell r="S456">
            <v>0</v>
          </cell>
          <cell r="T456">
            <v>0</v>
          </cell>
          <cell r="U456" t="str">
            <v/>
          </cell>
          <cell r="V456" t="str">
            <v>PRO10</v>
          </cell>
          <cell r="W456">
            <v>0</v>
          </cell>
        </row>
        <row r="457">
          <cell r="C457" t="str">
            <v>SELSILVIT32MM</v>
          </cell>
          <cell r="D457" t="str">
            <v>PRINC</v>
          </cell>
          <cell r="E457" t="str">
            <v>00014</v>
          </cell>
          <cell r="F457" t="str">
            <v>OTROS ARTICULOS</v>
          </cell>
          <cell r="G457" t="str">
            <v>PRINCIPAL</v>
          </cell>
          <cell r="H457">
            <v>46004</v>
          </cell>
          <cell r="I457" t="str">
            <v>SALDO INICIAL</v>
          </cell>
          <cell r="J457">
            <v>6</v>
          </cell>
          <cell r="K457">
            <v>1530</v>
          </cell>
          <cell r="L457">
            <v>0</v>
          </cell>
          <cell r="M457">
            <v>255</v>
          </cell>
          <cell r="N457" t="str">
            <v/>
          </cell>
          <cell r="O457" t="str">
            <v/>
          </cell>
          <cell r="P457" t="str">
            <v/>
          </cell>
          <cell r="Q457">
            <v>344.3</v>
          </cell>
          <cell r="R457" t="str">
            <v>UND</v>
          </cell>
          <cell r="S457">
            <v>0</v>
          </cell>
          <cell r="T457">
            <v>0</v>
          </cell>
          <cell r="U457" t="str">
            <v/>
          </cell>
          <cell r="V457" t="str">
            <v>PRO10</v>
          </cell>
          <cell r="W457">
            <v>0</v>
          </cell>
        </row>
        <row r="458">
          <cell r="C458" t="str">
            <v>PI1APRF202222</v>
          </cell>
          <cell r="D458" t="str">
            <v>PRINC</v>
          </cell>
          <cell r="E458" t="str">
            <v>00015</v>
          </cell>
          <cell r="F458" t="str">
            <v>PERFILES Y TUBOS</v>
          </cell>
          <cell r="G458" t="str">
            <v>PRINCIPAL</v>
          </cell>
          <cell r="H458">
            <v>46004</v>
          </cell>
          <cell r="I458" t="str">
            <v>SALDO INICIAL</v>
          </cell>
          <cell r="J458">
            <v>9</v>
          </cell>
          <cell r="K458">
            <v>150.30000000000001</v>
          </cell>
          <cell r="L458">
            <v>0</v>
          </cell>
          <cell r="M458">
            <v>16.7</v>
          </cell>
          <cell r="N458" t="str">
            <v/>
          </cell>
          <cell r="O458" t="str">
            <v/>
          </cell>
          <cell r="P458" t="str">
            <v/>
          </cell>
          <cell r="Q458">
            <v>26.7</v>
          </cell>
          <cell r="R458" t="str">
            <v>MTS</v>
          </cell>
          <cell r="S458">
            <v>0</v>
          </cell>
          <cell r="T458">
            <v>0</v>
          </cell>
          <cell r="U458" t="str">
            <v/>
          </cell>
          <cell r="V458" t="str">
            <v>PRO10</v>
          </cell>
          <cell r="W458">
            <v>0</v>
          </cell>
        </row>
        <row r="459">
          <cell r="C459" t="str">
            <v>PERALUC22</v>
          </cell>
          <cell r="D459" t="str">
            <v>PRINC</v>
          </cell>
          <cell r="E459" t="str">
            <v>00015</v>
          </cell>
          <cell r="F459" t="str">
            <v>PERFILES Y TUBOS</v>
          </cell>
          <cell r="G459" t="str">
            <v>PRINCIPAL</v>
          </cell>
          <cell r="H459">
            <v>46004</v>
          </cell>
          <cell r="I459" t="str">
            <v>SALDO INICIAL</v>
          </cell>
          <cell r="J459">
            <v>-39</v>
          </cell>
          <cell r="K459">
            <v>0</v>
          </cell>
          <cell r="L459">
            <v>0</v>
          </cell>
          <cell r="M459">
            <v>0</v>
          </cell>
          <cell r="N459" t="str">
            <v/>
          </cell>
          <cell r="O459" t="str">
            <v/>
          </cell>
          <cell r="P459" t="str">
            <v/>
          </cell>
          <cell r="Q459">
            <v>6.5</v>
          </cell>
          <cell r="R459" t="str">
            <v>MTS</v>
          </cell>
          <cell r="S459">
            <v>0</v>
          </cell>
          <cell r="T459">
            <v>0</v>
          </cell>
          <cell r="U459" t="str">
            <v/>
          </cell>
          <cell r="V459" t="str">
            <v>PRO10</v>
          </cell>
          <cell r="W459">
            <v>0</v>
          </cell>
        </row>
        <row r="460">
          <cell r="C460" t="str">
            <v>PI1APRF701004</v>
          </cell>
          <cell r="D460" t="str">
            <v>PRINC</v>
          </cell>
          <cell r="E460" t="str">
            <v>00015</v>
          </cell>
          <cell r="F460" t="str">
            <v>PERFILES Y TUBOS</v>
          </cell>
          <cell r="G460" t="str">
            <v>PRINCIPAL</v>
          </cell>
          <cell r="H460">
            <v>46004</v>
          </cell>
          <cell r="I460" t="str">
            <v>SALDO INICIAL</v>
          </cell>
          <cell r="J460">
            <v>-6</v>
          </cell>
          <cell r="K460">
            <v>0</v>
          </cell>
          <cell r="L460">
            <v>0</v>
          </cell>
          <cell r="M460">
            <v>0</v>
          </cell>
          <cell r="N460" t="str">
            <v/>
          </cell>
          <cell r="O460" t="str">
            <v/>
          </cell>
          <cell r="P460" t="str">
            <v/>
          </cell>
          <cell r="Q460">
            <v>22</v>
          </cell>
          <cell r="R460" t="str">
            <v>MTS</v>
          </cell>
          <cell r="S460">
            <v>0</v>
          </cell>
          <cell r="T460">
            <v>0</v>
          </cell>
          <cell r="U460" t="str">
            <v/>
          </cell>
          <cell r="V460" t="str">
            <v>PRO10</v>
          </cell>
          <cell r="W460">
            <v>0</v>
          </cell>
        </row>
        <row r="461">
          <cell r="C461" t="str">
            <v>ROPE1/4X1.1/2</v>
          </cell>
          <cell r="D461" t="str">
            <v>PRINC</v>
          </cell>
          <cell r="E461" t="str">
            <v>00015</v>
          </cell>
          <cell r="F461" t="str">
            <v>PERFILES Y TUBOS</v>
          </cell>
          <cell r="G461" t="str">
            <v>PRINCIPAL</v>
          </cell>
          <cell r="H461">
            <v>46004</v>
          </cell>
          <cell r="I461" t="str">
            <v>SALDO INICIAL</v>
          </cell>
          <cell r="J461">
            <v>-6</v>
          </cell>
          <cell r="K461">
            <v>0</v>
          </cell>
          <cell r="L461">
            <v>0</v>
          </cell>
          <cell r="M461">
            <v>0</v>
          </cell>
          <cell r="N461" t="str">
            <v/>
          </cell>
          <cell r="O461" t="str">
            <v/>
          </cell>
          <cell r="P461" t="str">
            <v/>
          </cell>
          <cell r="Q461">
            <v>6.4</v>
          </cell>
          <cell r="R461" t="str">
            <v>MTS</v>
          </cell>
          <cell r="S461">
            <v>0</v>
          </cell>
          <cell r="T461">
            <v>0</v>
          </cell>
          <cell r="U461" t="str">
            <v/>
          </cell>
          <cell r="V461" t="str">
            <v>PRO10</v>
          </cell>
          <cell r="W461">
            <v>0</v>
          </cell>
        </row>
        <row r="462">
          <cell r="C462" t="str">
            <v>ROPE1/4X1.1/4</v>
          </cell>
          <cell r="D462" t="str">
            <v>PRINC</v>
          </cell>
          <cell r="E462" t="str">
            <v>00015</v>
          </cell>
          <cell r="F462" t="str">
            <v>PERFILES Y TUBOS</v>
          </cell>
          <cell r="G462" t="str">
            <v>PRINCIPAL</v>
          </cell>
          <cell r="H462">
            <v>46004</v>
          </cell>
          <cell r="I462" t="str">
            <v>SALDO INICIAL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 t="str">
            <v/>
          </cell>
          <cell r="O462" t="str">
            <v/>
          </cell>
          <cell r="P462" t="str">
            <v/>
          </cell>
          <cell r="Q462">
            <v>5.35</v>
          </cell>
          <cell r="R462" t="str">
            <v>MTS</v>
          </cell>
          <cell r="S462">
            <v>0</v>
          </cell>
          <cell r="T462">
            <v>0</v>
          </cell>
          <cell r="U462" t="str">
            <v/>
          </cell>
          <cell r="V462" t="str">
            <v>PRO10</v>
          </cell>
          <cell r="W462">
            <v>0</v>
          </cell>
        </row>
        <row r="463">
          <cell r="C463" t="str">
            <v>PI1APRF002299</v>
          </cell>
          <cell r="D463" t="str">
            <v>PRINC</v>
          </cell>
          <cell r="E463" t="str">
            <v>00015</v>
          </cell>
          <cell r="F463" t="str">
            <v>PERFILES Y TUBOS</v>
          </cell>
          <cell r="G463" t="str">
            <v>PRINCIPAL</v>
          </cell>
          <cell r="H463">
            <v>46004</v>
          </cell>
          <cell r="I463" t="str">
            <v>SALDO INICIAL</v>
          </cell>
          <cell r="J463">
            <v>-39</v>
          </cell>
          <cell r="K463">
            <v>0</v>
          </cell>
          <cell r="L463">
            <v>0</v>
          </cell>
          <cell r="M463">
            <v>0</v>
          </cell>
          <cell r="N463" t="str">
            <v/>
          </cell>
          <cell r="O463" t="str">
            <v/>
          </cell>
          <cell r="P463" t="str">
            <v/>
          </cell>
          <cell r="Q463">
            <v>5.15</v>
          </cell>
          <cell r="R463" t="str">
            <v>MTS</v>
          </cell>
          <cell r="S463">
            <v>0</v>
          </cell>
          <cell r="T463">
            <v>0</v>
          </cell>
          <cell r="U463" t="str">
            <v/>
          </cell>
          <cell r="V463" t="str">
            <v>PRO10</v>
          </cell>
          <cell r="W463">
            <v>0</v>
          </cell>
        </row>
        <row r="464">
          <cell r="C464" t="str">
            <v>PI1APRF202606</v>
          </cell>
          <cell r="D464" t="str">
            <v>PRINC</v>
          </cell>
          <cell r="E464" t="str">
            <v>00015</v>
          </cell>
          <cell r="F464" t="str">
            <v>PERFILES Y TUBOS</v>
          </cell>
          <cell r="G464" t="str">
            <v>PRINCIPAL</v>
          </cell>
          <cell r="H464">
            <v>46004</v>
          </cell>
          <cell r="I464" t="str">
            <v>SALDO INICIAL</v>
          </cell>
          <cell r="J464">
            <v>36</v>
          </cell>
          <cell r="K464">
            <v>178.2</v>
          </cell>
          <cell r="L464">
            <v>0</v>
          </cell>
          <cell r="M464">
            <v>4.95</v>
          </cell>
          <cell r="N464" t="str">
            <v/>
          </cell>
          <cell r="O464" t="str">
            <v/>
          </cell>
          <cell r="P464" t="str">
            <v/>
          </cell>
          <cell r="Q464">
            <v>9.5</v>
          </cell>
          <cell r="R464" t="str">
            <v>MTS</v>
          </cell>
          <cell r="S464">
            <v>0</v>
          </cell>
          <cell r="T464">
            <v>0</v>
          </cell>
          <cell r="U464" t="str">
            <v/>
          </cell>
          <cell r="V464" t="str">
            <v>PRO10</v>
          </cell>
          <cell r="W464">
            <v>0</v>
          </cell>
        </row>
        <row r="465">
          <cell r="C465" t="str">
            <v>PI1APRF202302</v>
          </cell>
          <cell r="D465" t="str">
            <v>PRINC</v>
          </cell>
          <cell r="E465" t="str">
            <v>00015</v>
          </cell>
          <cell r="F465" t="str">
            <v>PERFILES Y TUBOS</v>
          </cell>
          <cell r="G465" t="str">
            <v>PRINCIPAL</v>
          </cell>
          <cell r="H465">
            <v>46004</v>
          </cell>
          <cell r="I465" t="str">
            <v>SALDO INICIAL</v>
          </cell>
          <cell r="J465">
            <v>51</v>
          </cell>
          <cell r="K465">
            <v>260.60104999999999</v>
          </cell>
          <cell r="L465">
            <v>5.1098249999999998</v>
          </cell>
          <cell r="M465">
            <v>5.1098245100000002</v>
          </cell>
          <cell r="N465" t="str">
            <v/>
          </cell>
          <cell r="O465" t="str">
            <v/>
          </cell>
          <cell r="P465" t="str">
            <v/>
          </cell>
          <cell r="Q465">
            <v>9.1999999999999993</v>
          </cell>
          <cell r="R465" t="str">
            <v>MTS</v>
          </cell>
          <cell r="S465">
            <v>0</v>
          </cell>
          <cell r="T465">
            <v>0</v>
          </cell>
          <cell r="U465" t="str">
            <v/>
          </cell>
          <cell r="V465" t="str">
            <v>PRO10</v>
          </cell>
          <cell r="W465">
            <v>0</v>
          </cell>
        </row>
        <row r="466">
          <cell r="C466" t="str">
            <v>PI1APRF001271</v>
          </cell>
          <cell r="D466" t="str">
            <v>PRINC</v>
          </cell>
          <cell r="E466" t="str">
            <v>00015</v>
          </cell>
          <cell r="F466" t="str">
            <v>PERFILES Y TUBOS</v>
          </cell>
          <cell r="G466" t="str">
            <v>PRINCIPAL</v>
          </cell>
          <cell r="H466">
            <v>46004</v>
          </cell>
          <cell r="I466" t="str">
            <v>SALDO INICIAL</v>
          </cell>
          <cell r="J466">
            <v>-15</v>
          </cell>
          <cell r="K466">
            <v>0</v>
          </cell>
          <cell r="L466">
            <v>0</v>
          </cell>
          <cell r="M466">
            <v>0</v>
          </cell>
          <cell r="N466" t="str">
            <v/>
          </cell>
          <cell r="O466" t="str">
            <v/>
          </cell>
          <cell r="P466" t="str">
            <v/>
          </cell>
          <cell r="Q466">
            <v>8.85</v>
          </cell>
          <cell r="R466" t="str">
            <v>MT</v>
          </cell>
          <cell r="S466">
            <v>0</v>
          </cell>
          <cell r="T466">
            <v>0</v>
          </cell>
          <cell r="U466" t="str">
            <v/>
          </cell>
          <cell r="V466" t="str">
            <v>PRO10</v>
          </cell>
          <cell r="W466">
            <v>0</v>
          </cell>
        </row>
        <row r="467">
          <cell r="C467" t="str">
            <v>RO420273</v>
          </cell>
          <cell r="D467" t="str">
            <v>PRINC</v>
          </cell>
          <cell r="E467" t="str">
            <v>00015</v>
          </cell>
          <cell r="F467" t="str">
            <v>PERFILES Y TUBOS</v>
          </cell>
          <cell r="G467" t="str">
            <v>PRINCIPAL</v>
          </cell>
          <cell r="H467">
            <v>46004</v>
          </cell>
          <cell r="I467" t="str">
            <v>SALDO INICIAL</v>
          </cell>
          <cell r="J467">
            <v>-54</v>
          </cell>
          <cell r="K467">
            <v>0</v>
          </cell>
          <cell r="L467">
            <v>0</v>
          </cell>
          <cell r="M467">
            <v>0</v>
          </cell>
          <cell r="N467" t="str">
            <v/>
          </cell>
          <cell r="O467" t="str">
            <v/>
          </cell>
          <cell r="P467" t="str">
            <v/>
          </cell>
          <cell r="Q467">
            <v>10.95</v>
          </cell>
          <cell r="R467" t="str">
            <v>MTS</v>
          </cell>
          <cell r="S467">
            <v>0</v>
          </cell>
          <cell r="T467">
            <v>0</v>
          </cell>
          <cell r="U467" t="str">
            <v/>
          </cell>
          <cell r="V467" t="str">
            <v>PRO10</v>
          </cell>
          <cell r="W467">
            <v>0</v>
          </cell>
        </row>
        <row r="468">
          <cell r="C468" t="str">
            <v>RO478563</v>
          </cell>
          <cell r="D468" t="str">
            <v>PRINC</v>
          </cell>
          <cell r="E468" t="str">
            <v>00015</v>
          </cell>
          <cell r="F468" t="str">
            <v>PERFILES Y TUBOS</v>
          </cell>
          <cell r="G468" t="str">
            <v>PRINCIPAL</v>
          </cell>
          <cell r="H468">
            <v>46004</v>
          </cell>
          <cell r="I468" t="str">
            <v>SALDO INICIAL</v>
          </cell>
          <cell r="J468">
            <v>-6</v>
          </cell>
          <cell r="K468">
            <v>0</v>
          </cell>
          <cell r="L468">
            <v>0</v>
          </cell>
          <cell r="M468">
            <v>0</v>
          </cell>
          <cell r="N468" t="str">
            <v/>
          </cell>
          <cell r="O468" t="str">
            <v/>
          </cell>
          <cell r="P468" t="str">
            <v/>
          </cell>
          <cell r="Q468">
            <v>11.2</v>
          </cell>
          <cell r="R468" t="str">
            <v>MT</v>
          </cell>
          <cell r="S468">
            <v>0</v>
          </cell>
          <cell r="T468">
            <v>0</v>
          </cell>
          <cell r="U468" t="str">
            <v/>
          </cell>
          <cell r="V468" t="str">
            <v>PRO10</v>
          </cell>
          <cell r="W468">
            <v>0</v>
          </cell>
        </row>
        <row r="469">
          <cell r="C469" t="str">
            <v>RO258009</v>
          </cell>
          <cell r="D469" t="str">
            <v>PRINC</v>
          </cell>
          <cell r="E469" t="str">
            <v>00015</v>
          </cell>
          <cell r="F469" t="str">
            <v>PERFILES Y TUBOS</v>
          </cell>
          <cell r="G469" t="str">
            <v>PRINCIPAL</v>
          </cell>
          <cell r="H469">
            <v>46004</v>
          </cell>
          <cell r="I469" t="str">
            <v>SALDO INICIAL</v>
          </cell>
          <cell r="J469">
            <v>-80</v>
          </cell>
          <cell r="K469">
            <v>0</v>
          </cell>
          <cell r="L469">
            <v>0</v>
          </cell>
          <cell r="M469">
            <v>0</v>
          </cell>
          <cell r="N469" t="str">
            <v/>
          </cell>
          <cell r="O469" t="str">
            <v/>
          </cell>
          <cell r="P469" t="str">
            <v/>
          </cell>
          <cell r="Q469">
            <v>7.3</v>
          </cell>
          <cell r="R469" t="str">
            <v>MT</v>
          </cell>
          <cell r="S469">
            <v>0</v>
          </cell>
          <cell r="T469">
            <v>0</v>
          </cell>
          <cell r="U469" t="str">
            <v/>
          </cell>
          <cell r="V469" t="str">
            <v>PRO10</v>
          </cell>
          <cell r="W469">
            <v>0</v>
          </cell>
        </row>
        <row r="470">
          <cell r="C470" t="str">
            <v>RO225457</v>
          </cell>
          <cell r="D470" t="str">
            <v>PRINC</v>
          </cell>
          <cell r="E470" t="str">
            <v>00015</v>
          </cell>
          <cell r="F470" t="str">
            <v>PERFILES Y TUBOS</v>
          </cell>
          <cell r="G470" t="str">
            <v>PRINCIPAL</v>
          </cell>
          <cell r="H470">
            <v>46004</v>
          </cell>
          <cell r="I470" t="str">
            <v>SALDO INICIAL</v>
          </cell>
          <cell r="J470">
            <v>-33</v>
          </cell>
          <cell r="K470">
            <v>0</v>
          </cell>
          <cell r="L470">
            <v>0</v>
          </cell>
          <cell r="M470">
            <v>0</v>
          </cell>
          <cell r="N470" t="str">
            <v/>
          </cell>
          <cell r="O470" t="str">
            <v/>
          </cell>
          <cell r="P470" t="str">
            <v/>
          </cell>
          <cell r="Q470">
            <v>8.9600000000000009</v>
          </cell>
          <cell r="R470" t="str">
            <v>MTS</v>
          </cell>
          <cell r="S470">
            <v>0</v>
          </cell>
          <cell r="T470">
            <v>0</v>
          </cell>
          <cell r="U470" t="str">
            <v/>
          </cell>
          <cell r="V470" t="str">
            <v>PRO10</v>
          </cell>
          <cell r="W470">
            <v>0</v>
          </cell>
        </row>
        <row r="471">
          <cell r="C471" t="str">
            <v>RO246227</v>
          </cell>
          <cell r="D471" t="str">
            <v>PRINC</v>
          </cell>
          <cell r="E471" t="str">
            <v>00015</v>
          </cell>
          <cell r="F471" t="str">
            <v>PERFILES Y TUBOS</v>
          </cell>
          <cell r="G471" t="str">
            <v>PRINCIPAL</v>
          </cell>
          <cell r="H471">
            <v>46004</v>
          </cell>
          <cell r="I471" t="str">
            <v>SALDO INICIAL</v>
          </cell>
          <cell r="J471">
            <v>-6</v>
          </cell>
          <cell r="K471">
            <v>0</v>
          </cell>
          <cell r="L471">
            <v>0</v>
          </cell>
          <cell r="M471">
            <v>0</v>
          </cell>
          <cell r="N471" t="str">
            <v/>
          </cell>
          <cell r="O471" t="str">
            <v/>
          </cell>
          <cell r="P471" t="str">
            <v/>
          </cell>
          <cell r="Q471">
            <v>5.95</v>
          </cell>
          <cell r="R471" t="str">
            <v>MTS</v>
          </cell>
          <cell r="S471">
            <v>0</v>
          </cell>
          <cell r="T471">
            <v>0</v>
          </cell>
          <cell r="U471" t="str">
            <v/>
          </cell>
          <cell r="V471" t="str">
            <v>PRO10</v>
          </cell>
          <cell r="W471">
            <v>0</v>
          </cell>
        </row>
        <row r="472">
          <cell r="C472" t="str">
            <v>GRL110Y</v>
          </cell>
          <cell r="D472" t="str">
            <v>PRINC</v>
          </cell>
          <cell r="E472" t="str">
            <v>00016</v>
          </cell>
          <cell r="F472" t="str">
            <v>PIÑONES METALICOS</v>
          </cell>
          <cell r="G472" t="str">
            <v>PRINCIPAL</v>
          </cell>
          <cell r="H472">
            <v>46004</v>
          </cell>
          <cell r="I472" t="str">
            <v>SALDO INICIAL</v>
          </cell>
          <cell r="J472">
            <v>4</v>
          </cell>
          <cell r="K472">
            <v>175.982</v>
          </cell>
          <cell r="L472">
            <v>43.9955</v>
          </cell>
          <cell r="M472">
            <v>43.9955</v>
          </cell>
          <cell r="N472" t="str">
            <v/>
          </cell>
          <cell r="O472" t="str">
            <v/>
          </cell>
          <cell r="P472" t="str">
            <v/>
          </cell>
          <cell r="Q472">
            <v>62</v>
          </cell>
          <cell r="R472" t="str">
            <v>UND</v>
          </cell>
          <cell r="S472">
            <v>0</v>
          </cell>
          <cell r="T472">
            <v>0</v>
          </cell>
          <cell r="U472" t="str">
            <v/>
          </cell>
          <cell r="V472" t="str">
            <v>PRO10</v>
          </cell>
          <cell r="W472">
            <v>0</v>
          </cell>
        </row>
        <row r="473">
          <cell r="C473" t="str">
            <v>X0036TBIKJ</v>
          </cell>
          <cell r="D473" t="str">
            <v>PRINC</v>
          </cell>
          <cell r="E473" t="str">
            <v>00016</v>
          </cell>
          <cell r="F473" t="str">
            <v>PIÑONES METALICOS</v>
          </cell>
          <cell r="G473" t="str">
            <v>PRINCIPAL</v>
          </cell>
          <cell r="H473">
            <v>46004</v>
          </cell>
          <cell r="I473" t="str">
            <v>SALDO INICIAL</v>
          </cell>
          <cell r="J473">
            <v>9</v>
          </cell>
          <cell r="K473">
            <v>74.367000000000004</v>
          </cell>
          <cell r="L473">
            <v>0</v>
          </cell>
          <cell r="M473">
            <v>8.2629999999999999</v>
          </cell>
          <cell r="N473" t="str">
            <v/>
          </cell>
          <cell r="O473" t="str">
            <v/>
          </cell>
          <cell r="P473" t="str">
            <v/>
          </cell>
          <cell r="Q473">
            <v>50.85</v>
          </cell>
          <cell r="R473" t="str">
            <v>UND</v>
          </cell>
          <cell r="S473">
            <v>0</v>
          </cell>
          <cell r="T473">
            <v>0</v>
          </cell>
          <cell r="U473" t="str">
            <v/>
          </cell>
          <cell r="V473" t="str">
            <v>PRO10</v>
          </cell>
          <cell r="W473">
            <v>0</v>
          </cell>
        </row>
        <row r="474">
          <cell r="C474" t="str">
            <v>X003C8VW4</v>
          </cell>
          <cell r="D474" t="str">
            <v>PRINC</v>
          </cell>
          <cell r="E474" t="str">
            <v>00016</v>
          </cell>
          <cell r="F474" t="str">
            <v>PIÑONES METALICOS</v>
          </cell>
          <cell r="G474" t="str">
            <v>PRINCIPAL</v>
          </cell>
          <cell r="H474">
            <v>46004</v>
          </cell>
          <cell r="I474" t="str">
            <v>SALDO INICIAL</v>
          </cell>
          <cell r="J474">
            <v>9</v>
          </cell>
          <cell r="K474">
            <v>63.792000000000002</v>
          </cell>
          <cell r="L474">
            <v>0</v>
          </cell>
          <cell r="M474">
            <v>7.0880000000000001</v>
          </cell>
          <cell r="N474" t="str">
            <v/>
          </cell>
          <cell r="O474" t="str">
            <v/>
          </cell>
          <cell r="P474" t="str">
            <v/>
          </cell>
          <cell r="Q474">
            <v>52.1</v>
          </cell>
          <cell r="R474" t="str">
            <v>UND</v>
          </cell>
          <cell r="S474">
            <v>0</v>
          </cell>
          <cell r="T474">
            <v>0</v>
          </cell>
          <cell r="U474" t="str">
            <v/>
          </cell>
          <cell r="V474" t="str">
            <v>PRO10</v>
          </cell>
          <cell r="W474">
            <v>0</v>
          </cell>
        </row>
        <row r="475">
          <cell r="C475" t="str">
            <v>PIÑFE40B10</v>
          </cell>
          <cell r="D475" t="str">
            <v>PRINC</v>
          </cell>
          <cell r="E475" t="str">
            <v>00016</v>
          </cell>
          <cell r="F475" t="str">
            <v>PIÑONES METALICOS</v>
          </cell>
          <cell r="G475" t="str">
            <v>PRINCIPAL</v>
          </cell>
          <cell r="H475">
            <v>46004</v>
          </cell>
          <cell r="I475" t="str">
            <v>SALDO INICIAL</v>
          </cell>
          <cell r="J475">
            <v>2</v>
          </cell>
          <cell r="K475">
            <v>8.4600000000000009</v>
          </cell>
          <cell r="L475">
            <v>0</v>
          </cell>
          <cell r="M475">
            <v>4.2300000000000004</v>
          </cell>
          <cell r="N475" t="str">
            <v/>
          </cell>
          <cell r="O475" t="str">
            <v/>
          </cell>
          <cell r="P475" t="str">
            <v/>
          </cell>
          <cell r="Q475">
            <v>5.7</v>
          </cell>
          <cell r="R475" t="str">
            <v>UND</v>
          </cell>
          <cell r="S475">
            <v>0</v>
          </cell>
          <cell r="T475">
            <v>0</v>
          </cell>
          <cell r="U475" t="str">
            <v/>
          </cell>
          <cell r="V475" t="str">
            <v>PRO10</v>
          </cell>
          <cell r="W475">
            <v>0</v>
          </cell>
        </row>
        <row r="476">
          <cell r="C476" t="str">
            <v>PIÑFE35B22</v>
          </cell>
          <cell r="D476" t="str">
            <v>PRINC</v>
          </cell>
          <cell r="E476" t="str">
            <v>00016</v>
          </cell>
          <cell r="F476" t="str">
            <v>PIÑONES METALICOS</v>
          </cell>
          <cell r="G476" t="str">
            <v>PRINCIPAL</v>
          </cell>
          <cell r="H476">
            <v>46004</v>
          </cell>
          <cell r="I476" t="str">
            <v>SALDO INICIAL</v>
          </cell>
          <cell r="J476">
            <v>3</v>
          </cell>
          <cell r="K476">
            <v>23.4</v>
          </cell>
          <cell r="L476">
            <v>7.8</v>
          </cell>
          <cell r="M476">
            <v>7.8</v>
          </cell>
          <cell r="N476" t="str">
            <v/>
          </cell>
          <cell r="O476" t="str">
            <v/>
          </cell>
          <cell r="P476" t="str">
            <v/>
          </cell>
          <cell r="Q476">
            <v>10.55</v>
          </cell>
          <cell r="R476" t="str">
            <v>UND</v>
          </cell>
          <cell r="S476">
            <v>0</v>
          </cell>
          <cell r="T476">
            <v>0</v>
          </cell>
          <cell r="U476" t="str">
            <v/>
          </cell>
          <cell r="V476" t="str">
            <v>PRO10</v>
          </cell>
          <cell r="W476">
            <v>0</v>
          </cell>
        </row>
        <row r="477">
          <cell r="C477" t="str">
            <v>PIÑFE35B28</v>
          </cell>
          <cell r="D477" t="str">
            <v>PRINC</v>
          </cell>
          <cell r="E477" t="str">
            <v>00016</v>
          </cell>
          <cell r="F477" t="str">
            <v>PIÑONES METALICOS</v>
          </cell>
          <cell r="G477" t="str">
            <v>PRINCIPAL</v>
          </cell>
          <cell r="H477">
            <v>46004</v>
          </cell>
          <cell r="I477" t="str">
            <v>SALDO INICIAL</v>
          </cell>
          <cell r="J477">
            <v>2</v>
          </cell>
          <cell r="K477">
            <v>19.600000000000001</v>
          </cell>
          <cell r="L477">
            <v>9.8000000000000007</v>
          </cell>
          <cell r="M477">
            <v>9.8000000000000007</v>
          </cell>
          <cell r="N477" t="str">
            <v/>
          </cell>
          <cell r="O477" t="str">
            <v/>
          </cell>
          <cell r="P477" t="str">
            <v/>
          </cell>
          <cell r="Q477">
            <v>13.25</v>
          </cell>
          <cell r="R477" t="str">
            <v>UND</v>
          </cell>
          <cell r="S477">
            <v>0</v>
          </cell>
          <cell r="T477">
            <v>0</v>
          </cell>
          <cell r="U477" t="str">
            <v/>
          </cell>
          <cell r="V477" t="str">
            <v>PRO10</v>
          </cell>
          <cell r="W477">
            <v>0</v>
          </cell>
        </row>
        <row r="478">
          <cell r="C478" t="str">
            <v>ITPIÑFE50B17</v>
          </cell>
          <cell r="D478" t="str">
            <v>PRINC</v>
          </cell>
          <cell r="E478" t="str">
            <v>00016</v>
          </cell>
          <cell r="F478" t="str">
            <v>PIÑONES METALICOS</v>
          </cell>
          <cell r="G478" t="str">
            <v>PRINCIPAL</v>
          </cell>
          <cell r="H478">
            <v>46004</v>
          </cell>
          <cell r="I478" t="str">
            <v>SALDO INICIAL</v>
          </cell>
          <cell r="J478">
            <v>1</v>
          </cell>
          <cell r="K478">
            <v>13.85</v>
          </cell>
          <cell r="L478">
            <v>13.85</v>
          </cell>
          <cell r="M478">
            <v>13.85</v>
          </cell>
          <cell r="N478" t="str">
            <v/>
          </cell>
          <cell r="O478" t="str">
            <v/>
          </cell>
          <cell r="P478" t="str">
            <v/>
          </cell>
          <cell r="Q478">
            <v>19.5</v>
          </cell>
          <cell r="R478" t="str">
            <v>UND</v>
          </cell>
          <cell r="S478">
            <v>0</v>
          </cell>
          <cell r="T478">
            <v>0</v>
          </cell>
          <cell r="U478" t="str">
            <v/>
          </cell>
          <cell r="V478" t="str">
            <v>PRO10</v>
          </cell>
          <cell r="W478">
            <v>0</v>
          </cell>
        </row>
        <row r="479">
          <cell r="C479" t="str">
            <v>ITPIÑSS40B28</v>
          </cell>
          <cell r="D479" t="str">
            <v>PRINC</v>
          </cell>
          <cell r="E479" t="str">
            <v>00016</v>
          </cell>
          <cell r="F479" t="str">
            <v>PIÑONES METALICOS</v>
          </cell>
          <cell r="G479" t="str">
            <v>PRINCIPAL</v>
          </cell>
          <cell r="H479">
            <v>46004</v>
          </cell>
          <cell r="I479" t="str">
            <v>SALDO INICIAL</v>
          </cell>
          <cell r="J479">
            <v>6</v>
          </cell>
          <cell r="K479">
            <v>676.8</v>
          </cell>
          <cell r="L479">
            <v>112.8</v>
          </cell>
          <cell r="M479">
            <v>112.8</v>
          </cell>
          <cell r="N479" t="str">
            <v/>
          </cell>
          <cell r="O479" t="str">
            <v/>
          </cell>
          <cell r="P479" t="str">
            <v/>
          </cell>
          <cell r="Q479">
            <v>115.9</v>
          </cell>
          <cell r="R479" t="str">
            <v>UND</v>
          </cell>
          <cell r="S479">
            <v>0</v>
          </cell>
          <cell r="T479">
            <v>0</v>
          </cell>
          <cell r="U479" t="str">
            <v/>
          </cell>
          <cell r="V479" t="str">
            <v>PRO10</v>
          </cell>
          <cell r="W479">
            <v>0</v>
          </cell>
        </row>
        <row r="480">
          <cell r="C480" t="str">
            <v>VEPIÑSS50B10</v>
          </cell>
          <cell r="D480" t="str">
            <v>PRINC</v>
          </cell>
          <cell r="E480" t="str">
            <v>00016</v>
          </cell>
          <cell r="F480" t="str">
            <v>PIÑONES METALICOS</v>
          </cell>
          <cell r="G480" t="str">
            <v>PRINCIPAL</v>
          </cell>
          <cell r="H480">
            <v>46004</v>
          </cell>
          <cell r="I480" t="str">
            <v>SALDO INICIAL</v>
          </cell>
          <cell r="J480">
            <v>-2</v>
          </cell>
          <cell r="K480">
            <v>0</v>
          </cell>
          <cell r="L480">
            <v>0</v>
          </cell>
          <cell r="M480">
            <v>0</v>
          </cell>
          <cell r="N480" t="str">
            <v/>
          </cell>
          <cell r="O480" t="str">
            <v/>
          </cell>
          <cell r="P480" t="str">
            <v/>
          </cell>
          <cell r="Q480">
            <v>0</v>
          </cell>
          <cell r="R480" t="str">
            <v>UND</v>
          </cell>
          <cell r="S480">
            <v>0</v>
          </cell>
          <cell r="T480">
            <v>0</v>
          </cell>
          <cell r="U480" t="str">
            <v/>
          </cell>
          <cell r="V480" t="str">
            <v>PRO10</v>
          </cell>
          <cell r="W480">
            <v>0</v>
          </cell>
        </row>
        <row r="481">
          <cell r="C481" t="str">
            <v>VEPIÑSS40B12</v>
          </cell>
          <cell r="D481" t="str">
            <v>PRINC</v>
          </cell>
          <cell r="E481" t="str">
            <v>00016</v>
          </cell>
          <cell r="F481" t="str">
            <v>PIÑONES METALICOS</v>
          </cell>
          <cell r="G481" t="str">
            <v>PRINCIPAL</v>
          </cell>
          <cell r="H481">
            <v>46004</v>
          </cell>
          <cell r="I481" t="str">
            <v>SALDO INICIAL</v>
          </cell>
          <cell r="J481">
            <v>-1</v>
          </cell>
          <cell r="K481">
            <v>0</v>
          </cell>
          <cell r="L481">
            <v>0</v>
          </cell>
          <cell r="M481">
            <v>0</v>
          </cell>
          <cell r="N481" t="str">
            <v/>
          </cell>
          <cell r="O481" t="str">
            <v/>
          </cell>
          <cell r="P481" t="str">
            <v/>
          </cell>
          <cell r="Q481">
            <v>21.65</v>
          </cell>
          <cell r="R481" t="str">
            <v>UND</v>
          </cell>
          <cell r="S481">
            <v>0</v>
          </cell>
          <cell r="T481">
            <v>0</v>
          </cell>
          <cell r="U481" t="str">
            <v/>
          </cell>
          <cell r="V481" t="str">
            <v>PRO10</v>
          </cell>
          <cell r="W481">
            <v>0</v>
          </cell>
        </row>
        <row r="482">
          <cell r="C482" t="str">
            <v>VEPIÑSS50B12</v>
          </cell>
          <cell r="D482" t="str">
            <v>PRINC</v>
          </cell>
          <cell r="E482" t="str">
            <v>00016</v>
          </cell>
          <cell r="F482" t="str">
            <v>PIÑONES METALICOS</v>
          </cell>
          <cell r="G482" t="str">
            <v>PRINCIPAL</v>
          </cell>
          <cell r="H482">
            <v>46004</v>
          </cell>
          <cell r="I482" t="str">
            <v>SALDO INICIAL</v>
          </cell>
          <cell r="J482">
            <v>-2</v>
          </cell>
          <cell r="K482">
            <v>0</v>
          </cell>
          <cell r="L482">
            <v>0</v>
          </cell>
          <cell r="M482">
            <v>0</v>
          </cell>
          <cell r="N482" t="str">
            <v/>
          </cell>
          <cell r="O482" t="str">
            <v/>
          </cell>
          <cell r="P482" t="str">
            <v/>
          </cell>
          <cell r="Q482">
            <v>30.1</v>
          </cell>
          <cell r="R482" t="str">
            <v>UND</v>
          </cell>
          <cell r="S482">
            <v>0</v>
          </cell>
          <cell r="T482">
            <v>0</v>
          </cell>
          <cell r="U482" t="str">
            <v/>
          </cell>
          <cell r="V482" t="str">
            <v>PRO10</v>
          </cell>
          <cell r="W482">
            <v>0</v>
          </cell>
        </row>
        <row r="483">
          <cell r="C483" t="str">
            <v>VEPIÑSS60B12</v>
          </cell>
          <cell r="D483" t="str">
            <v>PRINC</v>
          </cell>
          <cell r="E483" t="str">
            <v>00016</v>
          </cell>
          <cell r="F483" t="str">
            <v>PIÑONES METALICOS</v>
          </cell>
          <cell r="G483" t="str">
            <v>PRINCIPAL</v>
          </cell>
          <cell r="H483">
            <v>46004</v>
          </cell>
          <cell r="I483" t="str">
            <v>SALDO INICIAL</v>
          </cell>
          <cell r="J483">
            <v>-4</v>
          </cell>
          <cell r="K483">
            <v>0</v>
          </cell>
          <cell r="L483">
            <v>0</v>
          </cell>
          <cell r="M483">
            <v>0</v>
          </cell>
          <cell r="N483" t="str">
            <v/>
          </cell>
          <cell r="O483" t="str">
            <v/>
          </cell>
          <cell r="P483" t="str">
            <v/>
          </cell>
          <cell r="Q483">
            <v>42.5</v>
          </cell>
          <cell r="R483" t="str">
            <v>UND</v>
          </cell>
          <cell r="S483">
            <v>0</v>
          </cell>
          <cell r="T483">
            <v>0</v>
          </cell>
          <cell r="U483" t="str">
            <v/>
          </cell>
          <cell r="V483" t="str">
            <v>PRO10</v>
          </cell>
          <cell r="W483">
            <v>0</v>
          </cell>
        </row>
        <row r="484">
          <cell r="C484" t="str">
            <v>VEPIÑSS40B16</v>
          </cell>
          <cell r="D484" t="str">
            <v>PRINC</v>
          </cell>
          <cell r="E484" t="str">
            <v>00016</v>
          </cell>
          <cell r="F484" t="str">
            <v>PIÑONES METALICOS</v>
          </cell>
          <cell r="G484" t="str">
            <v>PRINCIPAL</v>
          </cell>
          <cell r="H484">
            <v>46004</v>
          </cell>
          <cell r="I484" t="str">
            <v>SALDO INICIAL</v>
          </cell>
          <cell r="J484">
            <v>-7</v>
          </cell>
          <cell r="K484">
            <v>0</v>
          </cell>
          <cell r="L484">
            <v>0</v>
          </cell>
          <cell r="M484">
            <v>0</v>
          </cell>
          <cell r="N484" t="str">
            <v/>
          </cell>
          <cell r="O484" t="str">
            <v/>
          </cell>
          <cell r="P484" t="str">
            <v/>
          </cell>
          <cell r="Q484">
            <v>37.6</v>
          </cell>
          <cell r="R484" t="str">
            <v>UND</v>
          </cell>
          <cell r="S484">
            <v>0</v>
          </cell>
          <cell r="T484">
            <v>0</v>
          </cell>
          <cell r="U484" t="str">
            <v/>
          </cell>
          <cell r="V484" t="str">
            <v>PRO10</v>
          </cell>
          <cell r="W484">
            <v>0</v>
          </cell>
        </row>
        <row r="485">
          <cell r="C485" t="str">
            <v>VEPIÑSS50B16</v>
          </cell>
          <cell r="D485" t="str">
            <v>PRINC</v>
          </cell>
          <cell r="E485" t="str">
            <v>00016</v>
          </cell>
          <cell r="F485" t="str">
            <v>PIÑONES METALICOS</v>
          </cell>
          <cell r="G485" t="str">
            <v>PRINCIPAL</v>
          </cell>
          <cell r="H485">
            <v>46004</v>
          </cell>
          <cell r="I485" t="str">
            <v>SALDO INICIAL</v>
          </cell>
          <cell r="J485">
            <v>-5</v>
          </cell>
          <cell r="K485">
            <v>0</v>
          </cell>
          <cell r="L485">
            <v>0</v>
          </cell>
          <cell r="M485">
            <v>0</v>
          </cell>
          <cell r="N485" t="str">
            <v/>
          </cell>
          <cell r="O485" t="str">
            <v/>
          </cell>
          <cell r="P485" t="str">
            <v/>
          </cell>
          <cell r="Q485">
            <v>41.1</v>
          </cell>
          <cell r="R485" t="str">
            <v>UND</v>
          </cell>
          <cell r="S485">
            <v>0</v>
          </cell>
          <cell r="T485">
            <v>0</v>
          </cell>
          <cell r="U485" t="str">
            <v/>
          </cell>
          <cell r="V485" t="str">
            <v>PRO10</v>
          </cell>
          <cell r="W485">
            <v>0</v>
          </cell>
        </row>
        <row r="486">
          <cell r="C486" t="str">
            <v>VEPIÑSS40B18</v>
          </cell>
          <cell r="D486" t="str">
            <v>PRINC</v>
          </cell>
          <cell r="E486" t="str">
            <v>00016</v>
          </cell>
          <cell r="F486" t="str">
            <v>PIÑONES METALICOS</v>
          </cell>
          <cell r="G486" t="str">
            <v>PRINCIPAL</v>
          </cell>
          <cell r="H486">
            <v>46004</v>
          </cell>
          <cell r="I486" t="str">
            <v>SALDO INICIAL</v>
          </cell>
          <cell r="J486">
            <v>-2</v>
          </cell>
          <cell r="K486">
            <v>0</v>
          </cell>
          <cell r="L486">
            <v>0</v>
          </cell>
          <cell r="M486">
            <v>0</v>
          </cell>
          <cell r="N486" t="str">
            <v/>
          </cell>
          <cell r="O486" t="str">
            <v/>
          </cell>
          <cell r="P486" t="str">
            <v/>
          </cell>
          <cell r="Q486">
            <v>43</v>
          </cell>
          <cell r="R486" t="str">
            <v>UND</v>
          </cell>
          <cell r="S486">
            <v>0</v>
          </cell>
          <cell r="T486">
            <v>0</v>
          </cell>
          <cell r="U486" t="str">
            <v/>
          </cell>
          <cell r="V486" t="str">
            <v>PRO10</v>
          </cell>
          <cell r="W486">
            <v>0</v>
          </cell>
        </row>
        <row r="487">
          <cell r="C487" t="str">
            <v>VEPIÑSS50B18</v>
          </cell>
          <cell r="D487" t="str">
            <v>PRINC</v>
          </cell>
          <cell r="E487" t="str">
            <v>00016</v>
          </cell>
          <cell r="F487" t="str">
            <v>PIÑONES METALICOS</v>
          </cell>
          <cell r="G487" t="str">
            <v>PRINCIPAL</v>
          </cell>
          <cell r="H487">
            <v>46004</v>
          </cell>
          <cell r="I487" t="str">
            <v>SALDO INICIAL</v>
          </cell>
          <cell r="J487">
            <v>-1</v>
          </cell>
          <cell r="K487">
            <v>0</v>
          </cell>
          <cell r="L487">
            <v>0</v>
          </cell>
          <cell r="M487">
            <v>0</v>
          </cell>
          <cell r="N487" t="str">
            <v/>
          </cell>
          <cell r="O487" t="str">
            <v/>
          </cell>
          <cell r="P487" t="str">
            <v/>
          </cell>
          <cell r="Q487">
            <v>46.7</v>
          </cell>
          <cell r="R487" t="str">
            <v>UND</v>
          </cell>
          <cell r="S487">
            <v>0</v>
          </cell>
          <cell r="T487">
            <v>0</v>
          </cell>
          <cell r="U487" t="str">
            <v/>
          </cell>
          <cell r="V487" t="str">
            <v>PRO10</v>
          </cell>
          <cell r="W487">
            <v>0</v>
          </cell>
        </row>
        <row r="488">
          <cell r="C488" t="str">
            <v>VEPIÑSS40B20</v>
          </cell>
          <cell r="D488" t="str">
            <v>PRINC</v>
          </cell>
          <cell r="E488" t="str">
            <v>00016</v>
          </cell>
          <cell r="F488" t="str">
            <v>PIÑONES METALICOS</v>
          </cell>
          <cell r="G488" t="str">
            <v>PRINCIPAL</v>
          </cell>
          <cell r="H488">
            <v>46004</v>
          </cell>
          <cell r="I488" t="str">
            <v>SALDO INICIAL</v>
          </cell>
          <cell r="J488">
            <v>-6</v>
          </cell>
          <cell r="K488">
            <v>0</v>
          </cell>
          <cell r="L488">
            <v>0</v>
          </cell>
          <cell r="M488">
            <v>0</v>
          </cell>
          <cell r="N488" t="str">
            <v/>
          </cell>
          <cell r="O488" t="str">
            <v/>
          </cell>
          <cell r="P488" t="str">
            <v/>
          </cell>
          <cell r="Q488">
            <v>46.2</v>
          </cell>
          <cell r="R488" t="str">
            <v>UND</v>
          </cell>
          <cell r="S488">
            <v>0</v>
          </cell>
          <cell r="T488">
            <v>0</v>
          </cell>
          <cell r="U488" t="str">
            <v/>
          </cell>
          <cell r="V488" t="str">
            <v>PRO10</v>
          </cell>
          <cell r="W488">
            <v>0</v>
          </cell>
        </row>
        <row r="489">
          <cell r="C489" t="str">
            <v>VEPIÑSS50B20</v>
          </cell>
          <cell r="D489" t="str">
            <v>PRINC</v>
          </cell>
          <cell r="E489" t="str">
            <v>00016</v>
          </cell>
          <cell r="F489" t="str">
            <v>PIÑONES METALICOS</v>
          </cell>
          <cell r="G489" t="str">
            <v>PRINCIPAL</v>
          </cell>
          <cell r="H489">
            <v>46004</v>
          </cell>
          <cell r="I489" t="str">
            <v>SALDO INICIAL</v>
          </cell>
          <cell r="J489">
            <v>-2</v>
          </cell>
          <cell r="K489">
            <v>0</v>
          </cell>
          <cell r="L489">
            <v>0</v>
          </cell>
          <cell r="M489">
            <v>0</v>
          </cell>
          <cell r="N489" t="str">
            <v/>
          </cell>
          <cell r="O489" t="str">
            <v/>
          </cell>
          <cell r="P489" t="str">
            <v/>
          </cell>
          <cell r="Q489">
            <v>55.8</v>
          </cell>
          <cell r="R489" t="str">
            <v>UND</v>
          </cell>
          <cell r="S489">
            <v>0</v>
          </cell>
          <cell r="T489">
            <v>0</v>
          </cell>
          <cell r="U489" t="str">
            <v/>
          </cell>
          <cell r="V489" t="str">
            <v>PRO10</v>
          </cell>
          <cell r="W489">
            <v>0</v>
          </cell>
        </row>
        <row r="490">
          <cell r="C490" t="str">
            <v>VEPIÑSS2050B24</v>
          </cell>
          <cell r="D490" t="str">
            <v>PRINC</v>
          </cell>
          <cell r="E490" t="str">
            <v>00016</v>
          </cell>
          <cell r="F490" t="str">
            <v>PIÑONES METALICOS</v>
          </cell>
          <cell r="G490" t="str">
            <v>PRINCIPAL</v>
          </cell>
          <cell r="H490">
            <v>46004</v>
          </cell>
          <cell r="I490" t="str">
            <v>SALDO INICIAL</v>
          </cell>
          <cell r="J490">
            <v>4</v>
          </cell>
          <cell r="K490">
            <v>568.45000000000005</v>
          </cell>
          <cell r="L490">
            <v>0</v>
          </cell>
          <cell r="M490">
            <v>142.11250000000001</v>
          </cell>
          <cell r="N490" t="str">
            <v/>
          </cell>
          <cell r="O490" t="str">
            <v/>
          </cell>
          <cell r="P490" t="str">
            <v/>
          </cell>
          <cell r="Q490">
            <v>284.22000000000003</v>
          </cell>
          <cell r="R490" t="str">
            <v>UND</v>
          </cell>
          <cell r="S490">
            <v>0</v>
          </cell>
          <cell r="T490">
            <v>0</v>
          </cell>
          <cell r="U490" t="str">
            <v/>
          </cell>
          <cell r="V490" t="str">
            <v>PRO10</v>
          </cell>
          <cell r="W490">
            <v>0</v>
          </cell>
        </row>
        <row r="491">
          <cell r="C491" t="str">
            <v>VEPIÑSS40B24</v>
          </cell>
          <cell r="D491" t="str">
            <v>PRINC</v>
          </cell>
          <cell r="E491" t="str">
            <v>00016</v>
          </cell>
          <cell r="F491" t="str">
            <v>PIÑONES METALICOS</v>
          </cell>
          <cell r="G491" t="str">
            <v>PRINCIPAL</v>
          </cell>
          <cell r="H491">
            <v>46004</v>
          </cell>
          <cell r="I491" t="str">
            <v>SALDO INICIAL</v>
          </cell>
          <cell r="J491">
            <v>-1</v>
          </cell>
          <cell r="K491">
            <v>0</v>
          </cell>
          <cell r="L491">
            <v>0</v>
          </cell>
          <cell r="M491">
            <v>0</v>
          </cell>
          <cell r="N491" t="str">
            <v/>
          </cell>
          <cell r="O491" t="str">
            <v/>
          </cell>
          <cell r="P491" t="str">
            <v/>
          </cell>
          <cell r="Q491">
            <v>52.9</v>
          </cell>
          <cell r="R491" t="str">
            <v>UND</v>
          </cell>
          <cell r="S491">
            <v>0</v>
          </cell>
          <cell r="T491">
            <v>0</v>
          </cell>
          <cell r="U491" t="str">
            <v/>
          </cell>
          <cell r="V491" t="str">
            <v>PRO10</v>
          </cell>
          <cell r="W491">
            <v>0</v>
          </cell>
        </row>
        <row r="492">
          <cell r="C492" t="str">
            <v>VEPIÑSS40B25</v>
          </cell>
          <cell r="D492" t="str">
            <v>PRINC</v>
          </cell>
          <cell r="E492" t="str">
            <v>00016</v>
          </cell>
          <cell r="F492" t="str">
            <v>PIÑONES METALICOS</v>
          </cell>
          <cell r="G492" t="str">
            <v>PRINCIPAL</v>
          </cell>
          <cell r="H492">
            <v>46004</v>
          </cell>
          <cell r="I492" t="str">
            <v>SALDO INICIAL</v>
          </cell>
          <cell r="J492">
            <v>-4</v>
          </cell>
          <cell r="K492">
            <v>0</v>
          </cell>
          <cell r="L492">
            <v>0</v>
          </cell>
          <cell r="M492">
            <v>0</v>
          </cell>
          <cell r="N492" t="str">
            <v/>
          </cell>
          <cell r="O492" t="str">
            <v/>
          </cell>
          <cell r="P492" t="str">
            <v/>
          </cell>
          <cell r="Q492">
            <v>53.8</v>
          </cell>
          <cell r="R492" t="str">
            <v>UND</v>
          </cell>
          <cell r="S492">
            <v>0</v>
          </cell>
          <cell r="T492">
            <v>0</v>
          </cell>
          <cell r="U492" t="str">
            <v/>
          </cell>
          <cell r="V492" t="str">
            <v>PRO10</v>
          </cell>
          <cell r="W492">
            <v>0</v>
          </cell>
        </row>
        <row r="493">
          <cell r="C493" t="str">
            <v>VEPIÑSS60B26</v>
          </cell>
          <cell r="D493" t="str">
            <v>PRINC</v>
          </cell>
          <cell r="E493" t="str">
            <v>00016</v>
          </cell>
          <cell r="F493" t="str">
            <v>PIÑONES METALICOS</v>
          </cell>
          <cell r="G493" t="str">
            <v>PRINCIPAL</v>
          </cell>
          <cell r="H493">
            <v>46004</v>
          </cell>
          <cell r="I493" t="str">
            <v>SALDO INICIAL</v>
          </cell>
          <cell r="J493">
            <v>-1</v>
          </cell>
          <cell r="K493">
            <v>0</v>
          </cell>
          <cell r="L493">
            <v>0</v>
          </cell>
          <cell r="M493">
            <v>0</v>
          </cell>
          <cell r="N493" t="str">
            <v/>
          </cell>
          <cell r="O493" t="str">
            <v/>
          </cell>
          <cell r="P493" t="str">
            <v/>
          </cell>
          <cell r="Q493">
            <v>127.7</v>
          </cell>
          <cell r="R493" t="str">
            <v>UND</v>
          </cell>
          <cell r="S493">
            <v>0</v>
          </cell>
          <cell r="T493">
            <v>0</v>
          </cell>
          <cell r="U493" t="str">
            <v/>
          </cell>
          <cell r="V493" t="str">
            <v>PRO10</v>
          </cell>
          <cell r="W493">
            <v>0</v>
          </cell>
        </row>
        <row r="494">
          <cell r="C494" t="str">
            <v>VEPIÑSS40B30</v>
          </cell>
          <cell r="D494" t="str">
            <v>PRINC</v>
          </cell>
          <cell r="E494" t="str">
            <v>00016</v>
          </cell>
          <cell r="F494" t="str">
            <v>PIÑONES METALICOS</v>
          </cell>
          <cell r="G494" t="str">
            <v>PRINCIPAL</v>
          </cell>
          <cell r="H494">
            <v>46004</v>
          </cell>
          <cell r="I494" t="str">
            <v>SALDO INICIAL</v>
          </cell>
          <cell r="J494">
            <v>-1</v>
          </cell>
          <cell r="K494">
            <v>0</v>
          </cell>
          <cell r="L494">
            <v>0</v>
          </cell>
          <cell r="M494">
            <v>0</v>
          </cell>
          <cell r="N494" t="str">
            <v/>
          </cell>
          <cell r="O494" t="str">
            <v/>
          </cell>
          <cell r="P494" t="str">
            <v/>
          </cell>
          <cell r="Q494">
            <v>72.5</v>
          </cell>
          <cell r="R494" t="str">
            <v>UND</v>
          </cell>
          <cell r="S494">
            <v>0</v>
          </cell>
          <cell r="T494">
            <v>0</v>
          </cell>
          <cell r="U494" t="str">
            <v/>
          </cell>
          <cell r="V494" t="str">
            <v>PRO10</v>
          </cell>
          <cell r="W494">
            <v>0</v>
          </cell>
        </row>
        <row r="495">
          <cell r="C495" t="str">
            <v>VEPIÑSS40B32</v>
          </cell>
          <cell r="D495" t="str">
            <v>PRINC</v>
          </cell>
          <cell r="E495" t="str">
            <v>00016</v>
          </cell>
          <cell r="F495" t="str">
            <v>PIÑONES METALICOS</v>
          </cell>
          <cell r="G495" t="str">
            <v>PRINCIPAL</v>
          </cell>
          <cell r="H495">
            <v>46004</v>
          </cell>
          <cell r="I495" t="str">
            <v>SALDO INICIAL</v>
          </cell>
          <cell r="J495">
            <v>-3</v>
          </cell>
          <cell r="K495">
            <v>0</v>
          </cell>
          <cell r="L495">
            <v>0</v>
          </cell>
          <cell r="M495">
            <v>0</v>
          </cell>
          <cell r="N495" t="str">
            <v/>
          </cell>
          <cell r="O495" t="str">
            <v/>
          </cell>
          <cell r="P495" t="str">
            <v/>
          </cell>
          <cell r="Q495">
            <v>76.8</v>
          </cell>
          <cell r="R495" t="str">
            <v>UND</v>
          </cell>
          <cell r="S495">
            <v>0</v>
          </cell>
          <cell r="T495">
            <v>0</v>
          </cell>
          <cell r="U495" t="str">
            <v/>
          </cell>
          <cell r="V495" t="str">
            <v>PRO10</v>
          </cell>
          <cell r="W495">
            <v>0</v>
          </cell>
        </row>
        <row r="496">
          <cell r="C496" t="str">
            <v>VEPIÑSS50B32</v>
          </cell>
          <cell r="D496" t="str">
            <v>PRINC</v>
          </cell>
          <cell r="E496" t="str">
            <v>00016</v>
          </cell>
          <cell r="F496" t="str">
            <v>PIÑONES METALICOS</v>
          </cell>
          <cell r="G496" t="str">
            <v>PRINCIPAL</v>
          </cell>
          <cell r="H496">
            <v>46004</v>
          </cell>
          <cell r="I496" t="str">
            <v>SALDO INICIAL</v>
          </cell>
          <cell r="J496">
            <v>-1</v>
          </cell>
          <cell r="K496">
            <v>0</v>
          </cell>
          <cell r="L496">
            <v>0</v>
          </cell>
          <cell r="M496">
            <v>0</v>
          </cell>
          <cell r="N496" t="str">
            <v/>
          </cell>
          <cell r="O496" t="str">
            <v/>
          </cell>
          <cell r="P496" t="str">
            <v/>
          </cell>
          <cell r="Q496">
            <v>97.8</v>
          </cell>
          <cell r="R496" t="str">
            <v>UND</v>
          </cell>
          <cell r="S496">
            <v>0</v>
          </cell>
          <cell r="T496">
            <v>0</v>
          </cell>
          <cell r="U496" t="str">
            <v/>
          </cell>
          <cell r="V496" t="str">
            <v>PRO10</v>
          </cell>
          <cell r="W496">
            <v>0</v>
          </cell>
        </row>
        <row r="497">
          <cell r="C497" t="str">
            <v>VEPIÑSS40B36</v>
          </cell>
          <cell r="D497" t="str">
            <v>PRINC</v>
          </cell>
          <cell r="E497" t="str">
            <v>00016</v>
          </cell>
          <cell r="F497" t="str">
            <v>PIÑONES METALICOS</v>
          </cell>
          <cell r="G497" t="str">
            <v>PRINCIPAL</v>
          </cell>
          <cell r="H497">
            <v>46004</v>
          </cell>
          <cell r="I497" t="str">
            <v>SALDO INICIAL</v>
          </cell>
          <cell r="J497">
            <v>-1</v>
          </cell>
          <cell r="K497">
            <v>0</v>
          </cell>
          <cell r="L497">
            <v>0</v>
          </cell>
          <cell r="M497">
            <v>0</v>
          </cell>
          <cell r="N497" t="str">
            <v/>
          </cell>
          <cell r="O497" t="str">
            <v/>
          </cell>
          <cell r="P497" t="str">
            <v/>
          </cell>
          <cell r="Q497">
            <v>86.15</v>
          </cell>
          <cell r="R497" t="str">
            <v>UND</v>
          </cell>
          <cell r="S497">
            <v>0</v>
          </cell>
          <cell r="T497">
            <v>0</v>
          </cell>
          <cell r="U497" t="str">
            <v/>
          </cell>
          <cell r="V497" t="str">
            <v>PRO10</v>
          </cell>
          <cell r="W497">
            <v>0</v>
          </cell>
        </row>
        <row r="498">
          <cell r="C498" t="str">
            <v>CP800ACN6.5EC2.</v>
          </cell>
          <cell r="D498" t="str">
            <v>PRINC</v>
          </cell>
          <cell r="E498" t="str">
            <v>00017</v>
          </cell>
          <cell r="F498" t="str">
            <v>PIÑONES PLASTICOS</v>
          </cell>
          <cell r="G498" t="str">
            <v>PRINCIPAL</v>
          </cell>
          <cell r="H498">
            <v>46004</v>
          </cell>
          <cell r="I498" t="str">
            <v>SALDO INICIAL</v>
          </cell>
          <cell r="J498">
            <v>1</v>
          </cell>
          <cell r="K498">
            <v>30.024999999999999</v>
          </cell>
          <cell r="L498">
            <v>30.024999999999999</v>
          </cell>
          <cell r="M498">
            <v>30.024999999999999</v>
          </cell>
          <cell r="N498" t="str">
            <v/>
          </cell>
          <cell r="O498" t="str">
            <v/>
          </cell>
          <cell r="P498" t="str">
            <v/>
          </cell>
          <cell r="Q498">
            <v>0</v>
          </cell>
          <cell r="R498" t="str">
            <v>UND</v>
          </cell>
          <cell r="S498">
            <v>0</v>
          </cell>
          <cell r="T498">
            <v>0</v>
          </cell>
          <cell r="U498" t="str">
            <v/>
          </cell>
          <cell r="V498" t="str">
            <v>PRO10</v>
          </cell>
          <cell r="W498">
            <v>0</v>
          </cell>
        </row>
        <row r="499">
          <cell r="C499" t="str">
            <v>EUB50Z10C38ACM</v>
          </cell>
          <cell r="D499" t="str">
            <v>PRINC</v>
          </cell>
          <cell r="E499" t="str">
            <v>00017</v>
          </cell>
          <cell r="F499" t="str">
            <v>PIÑONES PLASTICOS</v>
          </cell>
          <cell r="G499" t="str">
            <v>PRINCIPAL</v>
          </cell>
          <cell r="H499">
            <v>46004</v>
          </cell>
          <cell r="I499" t="str">
            <v>SALDO INICIAL</v>
          </cell>
          <cell r="J499">
            <v>-30</v>
          </cell>
          <cell r="K499">
            <v>0</v>
          </cell>
          <cell r="L499">
            <v>0</v>
          </cell>
          <cell r="M499">
            <v>0</v>
          </cell>
          <cell r="N499" t="str">
            <v/>
          </cell>
          <cell r="O499" t="str">
            <v/>
          </cell>
          <cell r="P499" t="str">
            <v/>
          </cell>
          <cell r="Q499">
            <v>25</v>
          </cell>
          <cell r="R499" t="str">
            <v>UND</v>
          </cell>
          <cell r="S499">
            <v>0</v>
          </cell>
          <cell r="T499">
            <v>0</v>
          </cell>
          <cell r="U499" t="str">
            <v/>
          </cell>
          <cell r="V499" t="str">
            <v>PRO10</v>
          </cell>
          <cell r="W499">
            <v>0</v>
          </cell>
        </row>
        <row r="500">
          <cell r="C500" t="str">
            <v>EUB50Z16C63ACM</v>
          </cell>
          <cell r="D500" t="str">
            <v>PRINC</v>
          </cell>
          <cell r="E500" t="str">
            <v>00017</v>
          </cell>
          <cell r="F500" t="str">
            <v>PIÑONES PLASTICOS</v>
          </cell>
          <cell r="G500" t="str">
            <v>PRINCIPAL</v>
          </cell>
          <cell r="H500">
            <v>46004</v>
          </cell>
          <cell r="I500" t="str">
            <v>SALDO INICIAL</v>
          </cell>
          <cell r="J500">
            <v>12</v>
          </cell>
          <cell r="K500">
            <v>506.990004</v>
          </cell>
          <cell r="L500">
            <v>27.95</v>
          </cell>
          <cell r="M500">
            <v>42.249167</v>
          </cell>
          <cell r="N500" t="str">
            <v/>
          </cell>
          <cell r="O500" t="str">
            <v/>
          </cell>
          <cell r="P500" t="str">
            <v/>
          </cell>
          <cell r="Q500">
            <v>34.5</v>
          </cell>
          <cell r="R500" t="str">
            <v>UND</v>
          </cell>
          <cell r="S500">
            <v>0</v>
          </cell>
          <cell r="T500">
            <v>0</v>
          </cell>
          <cell r="U500" t="str">
            <v/>
          </cell>
          <cell r="V500" t="str">
            <v>PRO10</v>
          </cell>
          <cell r="W500">
            <v>0</v>
          </cell>
        </row>
        <row r="501">
          <cell r="C501" t="str">
            <v>EUE30Z06C25ACB</v>
          </cell>
          <cell r="D501" t="str">
            <v>PRINC</v>
          </cell>
          <cell r="E501" t="str">
            <v>00017</v>
          </cell>
          <cell r="F501" t="str">
            <v>PIÑONES PLASTICOS</v>
          </cell>
          <cell r="G501" t="str">
            <v>PRINCIPAL</v>
          </cell>
          <cell r="H501">
            <v>46004</v>
          </cell>
          <cell r="I501" t="str">
            <v>SALDO INICIAL</v>
          </cell>
          <cell r="J501">
            <v>-10</v>
          </cell>
          <cell r="K501">
            <v>0</v>
          </cell>
          <cell r="L501">
            <v>0</v>
          </cell>
          <cell r="M501">
            <v>0</v>
          </cell>
          <cell r="N501" t="str">
            <v/>
          </cell>
          <cell r="O501" t="str">
            <v/>
          </cell>
          <cell r="P501" t="str">
            <v/>
          </cell>
          <cell r="Q501">
            <v>15</v>
          </cell>
          <cell r="R501" t="str">
            <v>UND</v>
          </cell>
          <cell r="S501">
            <v>0</v>
          </cell>
          <cell r="T501">
            <v>0</v>
          </cell>
          <cell r="U501" t="str">
            <v/>
          </cell>
          <cell r="V501" t="str">
            <v>PRO10</v>
          </cell>
          <cell r="W501">
            <v>0</v>
          </cell>
        </row>
        <row r="502">
          <cell r="C502" t="str">
            <v>EUE30Z11R381ACB</v>
          </cell>
          <cell r="D502" t="str">
            <v>PRINC</v>
          </cell>
          <cell r="E502" t="str">
            <v>00017</v>
          </cell>
          <cell r="F502" t="str">
            <v>PIÑONES PLASTICOS</v>
          </cell>
          <cell r="G502" t="str">
            <v>PRINCIPAL</v>
          </cell>
          <cell r="H502">
            <v>46004</v>
          </cell>
          <cell r="I502" t="str">
            <v>SALDO INICIAL</v>
          </cell>
          <cell r="J502">
            <v>30</v>
          </cell>
          <cell r="K502">
            <v>508.5</v>
          </cell>
          <cell r="L502">
            <v>15.19</v>
          </cell>
          <cell r="M502">
            <v>16.95</v>
          </cell>
          <cell r="N502" t="str">
            <v/>
          </cell>
          <cell r="O502" t="str">
            <v/>
          </cell>
          <cell r="P502" t="str">
            <v/>
          </cell>
          <cell r="Q502">
            <v>18</v>
          </cell>
          <cell r="R502" t="str">
            <v>UND</v>
          </cell>
          <cell r="S502">
            <v>0</v>
          </cell>
          <cell r="T502">
            <v>0</v>
          </cell>
          <cell r="U502" t="str">
            <v/>
          </cell>
          <cell r="V502" t="str">
            <v>PRO10</v>
          </cell>
          <cell r="W502">
            <v>0</v>
          </cell>
        </row>
        <row r="503">
          <cell r="C503" t="str">
            <v>EUE30Z11RCH38AC</v>
          </cell>
          <cell r="D503" t="str">
            <v>PRINC</v>
          </cell>
          <cell r="E503" t="str">
            <v>00017</v>
          </cell>
          <cell r="F503" t="str">
            <v>PIÑONES PLASTICOS</v>
          </cell>
          <cell r="G503" t="str">
            <v>PRINCIPAL</v>
          </cell>
          <cell r="H503">
            <v>46004</v>
          </cell>
          <cell r="I503" t="str">
            <v>SALDO INICIAL</v>
          </cell>
          <cell r="J503">
            <v>12</v>
          </cell>
          <cell r="K503">
            <v>205.32</v>
          </cell>
          <cell r="L503">
            <v>16.32</v>
          </cell>
          <cell r="M503">
            <v>17.11</v>
          </cell>
          <cell r="N503" t="str">
            <v/>
          </cell>
          <cell r="O503" t="str">
            <v/>
          </cell>
          <cell r="P503" t="str">
            <v/>
          </cell>
          <cell r="Q503">
            <v>21</v>
          </cell>
          <cell r="R503" t="str">
            <v>UND</v>
          </cell>
          <cell r="S503">
            <v>0</v>
          </cell>
          <cell r="T503">
            <v>0</v>
          </cell>
          <cell r="U503" t="str">
            <v/>
          </cell>
          <cell r="V503" t="str">
            <v>PRO10</v>
          </cell>
          <cell r="W503">
            <v>0</v>
          </cell>
        </row>
        <row r="504">
          <cell r="C504" t="str">
            <v>EUE30Z16C40ACB</v>
          </cell>
          <cell r="D504" t="str">
            <v>PRINC</v>
          </cell>
          <cell r="E504" t="str">
            <v>00017</v>
          </cell>
          <cell r="F504" t="str">
            <v>PIÑONES PLASTICOS</v>
          </cell>
          <cell r="G504" t="str">
            <v>PRINCIPAL</v>
          </cell>
          <cell r="H504">
            <v>46004</v>
          </cell>
          <cell r="I504" t="str">
            <v>SALDO INICIAL</v>
          </cell>
          <cell r="J504">
            <v>-10</v>
          </cell>
          <cell r="K504">
            <v>0</v>
          </cell>
          <cell r="L504">
            <v>0</v>
          </cell>
          <cell r="M504">
            <v>0</v>
          </cell>
          <cell r="N504" t="str">
            <v/>
          </cell>
          <cell r="O504" t="str">
            <v/>
          </cell>
          <cell r="P504" t="str">
            <v/>
          </cell>
          <cell r="Q504">
            <v>25</v>
          </cell>
          <cell r="R504" t="str">
            <v>UND</v>
          </cell>
          <cell r="S504">
            <v>0</v>
          </cell>
          <cell r="T504">
            <v>0</v>
          </cell>
          <cell r="U504" t="str">
            <v/>
          </cell>
          <cell r="V504" t="str">
            <v>PRO10</v>
          </cell>
          <cell r="W504">
            <v>0</v>
          </cell>
        </row>
        <row r="505">
          <cell r="C505" t="str">
            <v>EUE30Z16R254ACB</v>
          </cell>
          <cell r="D505" t="str">
            <v>PRINC</v>
          </cell>
          <cell r="E505" t="str">
            <v>00017</v>
          </cell>
          <cell r="F505" t="str">
            <v>PIÑONES PLASTICOS</v>
          </cell>
          <cell r="G505" t="str">
            <v>PRINCIPAL</v>
          </cell>
          <cell r="H505">
            <v>46004</v>
          </cell>
          <cell r="I505" t="str">
            <v>SALDO INICIAL</v>
          </cell>
          <cell r="J505">
            <v>4</v>
          </cell>
          <cell r="K505">
            <v>84.04</v>
          </cell>
          <cell r="L505">
            <v>17.2</v>
          </cell>
          <cell r="M505">
            <v>21.01</v>
          </cell>
          <cell r="N505" t="str">
            <v/>
          </cell>
          <cell r="O505" t="str">
            <v/>
          </cell>
          <cell r="P505" t="str">
            <v/>
          </cell>
          <cell r="Q505">
            <v>25</v>
          </cell>
          <cell r="R505" t="str">
            <v>UND</v>
          </cell>
          <cell r="S505">
            <v>0</v>
          </cell>
          <cell r="T505">
            <v>0</v>
          </cell>
          <cell r="U505" t="str">
            <v/>
          </cell>
          <cell r="V505" t="str">
            <v>PRO10</v>
          </cell>
          <cell r="W505">
            <v>0</v>
          </cell>
        </row>
        <row r="506">
          <cell r="C506" t="str">
            <v>EUE30Z16RCH38AC</v>
          </cell>
          <cell r="D506" t="str">
            <v>PRINC</v>
          </cell>
          <cell r="E506" t="str">
            <v>00017</v>
          </cell>
          <cell r="F506" t="str">
            <v>PIÑONES PLASTICOS</v>
          </cell>
          <cell r="G506" t="str">
            <v>PRINCIPAL</v>
          </cell>
          <cell r="H506">
            <v>46004</v>
          </cell>
          <cell r="I506" t="str">
            <v>SALDO INICIAL</v>
          </cell>
          <cell r="J506">
            <v>13</v>
          </cell>
          <cell r="K506">
            <v>272.35000000000002</v>
          </cell>
          <cell r="L506">
            <v>20.95</v>
          </cell>
          <cell r="M506">
            <v>20.95</v>
          </cell>
          <cell r="N506" t="str">
            <v/>
          </cell>
          <cell r="O506" t="str">
            <v/>
          </cell>
          <cell r="P506" t="str">
            <v/>
          </cell>
          <cell r="Q506">
            <v>28.3</v>
          </cell>
          <cell r="R506" t="str">
            <v>UND</v>
          </cell>
          <cell r="S506">
            <v>0</v>
          </cell>
          <cell r="T506">
            <v>0</v>
          </cell>
          <cell r="U506" t="str">
            <v/>
          </cell>
          <cell r="V506" t="str">
            <v>PRO10</v>
          </cell>
          <cell r="W506">
            <v>0</v>
          </cell>
        </row>
        <row r="507">
          <cell r="C507" t="str">
            <v>EUE30Z11C38ACM</v>
          </cell>
          <cell r="D507" t="str">
            <v>PRINC</v>
          </cell>
          <cell r="E507" t="str">
            <v>00017</v>
          </cell>
          <cell r="F507" t="str">
            <v>PIÑONES PLASTICOS</v>
          </cell>
          <cell r="G507" t="str">
            <v>PRINCIPAL</v>
          </cell>
          <cell r="H507">
            <v>46004</v>
          </cell>
          <cell r="I507" t="str">
            <v>SALDO INICIAL</v>
          </cell>
          <cell r="J507">
            <v>-72</v>
          </cell>
          <cell r="K507">
            <v>0</v>
          </cell>
          <cell r="L507">
            <v>0</v>
          </cell>
          <cell r="M507">
            <v>0</v>
          </cell>
          <cell r="N507" t="str">
            <v/>
          </cell>
          <cell r="O507" t="str">
            <v/>
          </cell>
          <cell r="P507" t="str">
            <v/>
          </cell>
          <cell r="Q507">
            <v>18</v>
          </cell>
          <cell r="R507" t="str">
            <v>UND</v>
          </cell>
          <cell r="S507">
            <v>0</v>
          </cell>
          <cell r="T507">
            <v>0</v>
          </cell>
          <cell r="U507" t="str">
            <v/>
          </cell>
          <cell r="V507" t="str">
            <v>PRO10</v>
          </cell>
          <cell r="W507">
            <v>0</v>
          </cell>
        </row>
        <row r="508">
          <cell r="C508" t="str">
            <v>EUE30Z16C38ACM</v>
          </cell>
          <cell r="D508" t="str">
            <v>PRINC</v>
          </cell>
          <cell r="E508" t="str">
            <v>00017</v>
          </cell>
          <cell r="F508" t="str">
            <v>PIÑONES PLASTICOS</v>
          </cell>
          <cell r="G508" t="str">
            <v>PRINCIPAL</v>
          </cell>
          <cell r="H508">
            <v>46004</v>
          </cell>
          <cell r="I508" t="str">
            <v>SALDO INICIAL</v>
          </cell>
          <cell r="J508">
            <v>-26</v>
          </cell>
          <cell r="K508">
            <v>0</v>
          </cell>
          <cell r="L508">
            <v>0</v>
          </cell>
          <cell r="M508">
            <v>0</v>
          </cell>
          <cell r="N508" t="str">
            <v/>
          </cell>
          <cell r="O508" t="str">
            <v/>
          </cell>
          <cell r="P508" t="str">
            <v/>
          </cell>
          <cell r="Q508">
            <v>25</v>
          </cell>
          <cell r="R508" t="str">
            <v>UND</v>
          </cell>
          <cell r="S508">
            <v>0</v>
          </cell>
          <cell r="T508">
            <v>0</v>
          </cell>
          <cell r="U508" t="str">
            <v/>
          </cell>
          <cell r="V508" t="str">
            <v>PRO10</v>
          </cell>
          <cell r="W508">
            <v>0</v>
          </cell>
        </row>
        <row r="509">
          <cell r="C509" t="str">
            <v>EUE50Z08C38ACM</v>
          </cell>
          <cell r="D509" t="str">
            <v>PRINC</v>
          </cell>
          <cell r="E509" t="str">
            <v>00017</v>
          </cell>
          <cell r="F509" t="str">
            <v>PIÑONES PLASTICOS</v>
          </cell>
          <cell r="G509" t="str">
            <v>PRINCIPAL</v>
          </cell>
          <cell r="H509">
            <v>46004</v>
          </cell>
          <cell r="I509" t="str">
            <v>SALDO INICIAL</v>
          </cell>
          <cell r="J509">
            <v>-20</v>
          </cell>
          <cell r="K509">
            <v>0</v>
          </cell>
          <cell r="L509">
            <v>0</v>
          </cell>
          <cell r="M509">
            <v>0</v>
          </cell>
          <cell r="N509" t="str">
            <v/>
          </cell>
          <cell r="O509" t="str">
            <v/>
          </cell>
          <cell r="P509" t="str">
            <v/>
          </cell>
          <cell r="Q509">
            <v>20</v>
          </cell>
          <cell r="R509" t="str">
            <v>UND</v>
          </cell>
          <cell r="S509">
            <v>0</v>
          </cell>
          <cell r="T509">
            <v>0</v>
          </cell>
          <cell r="U509" t="str">
            <v/>
          </cell>
          <cell r="V509" t="str">
            <v>PRO10</v>
          </cell>
          <cell r="W509">
            <v>0</v>
          </cell>
        </row>
        <row r="510">
          <cell r="C510" t="str">
            <v>EUE50Z10C38ACM</v>
          </cell>
          <cell r="D510" t="str">
            <v>PRINC</v>
          </cell>
          <cell r="E510" t="str">
            <v>00017</v>
          </cell>
          <cell r="F510" t="str">
            <v>PIÑONES PLASTICOS</v>
          </cell>
          <cell r="G510" t="str">
            <v>PRINCIPAL</v>
          </cell>
          <cell r="H510">
            <v>46004</v>
          </cell>
          <cell r="I510" t="str">
            <v>SALDO INICIAL</v>
          </cell>
          <cell r="J510">
            <v>-32</v>
          </cell>
          <cell r="K510">
            <v>0</v>
          </cell>
          <cell r="L510">
            <v>0</v>
          </cell>
          <cell r="M510">
            <v>0</v>
          </cell>
          <cell r="N510" t="str">
            <v/>
          </cell>
          <cell r="O510" t="str">
            <v/>
          </cell>
          <cell r="P510" t="str">
            <v/>
          </cell>
          <cell r="Q510">
            <v>25</v>
          </cell>
          <cell r="R510" t="str">
            <v>UND</v>
          </cell>
          <cell r="S510">
            <v>0</v>
          </cell>
          <cell r="T510">
            <v>0</v>
          </cell>
          <cell r="U510" t="str">
            <v/>
          </cell>
          <cell r="V510" t="str">
            <v>PRO10</v>
          </cell>
          <cell r="W510">
            <v>0</v>
          </cell>
        </row>
        <row r="511">
          <cell r="C511" t="str">
            <v>EUE92Z12C38ACM</v>
          </cell>
          <cell r="D511" t="str">
            <v>PRINC</v>
          </cell>
          <cell r="E511" t="str">
            <v>00017</v>
          </cell>
          <cell r="F511" t="str">
            <v>PIÑONES PLASTICOS</v>
          </cell>
          <cell r="G511" t="str">
            <v>PRINCIPAL</v>
          </cell>
          <cell r="H511">
            <v>46004</v>
          </cell>
          <cell r="I511" t="str">
            <v>SALDO INICIAL</v>
          </cell>
          <cell r="J511">
            <v>-24</v>
          </cell>
          <cell r="K511">
            <v>0</v>
          </cell>
          <cell r="L511">
            <v>0</v>
          </cell>
          <cell r="M511">
            <v>0</v>
          </cell>
          <cell r="N511" t="str">
            <v/>
          </cell>
          <cell r="O511" t="str">
            <v/>
          </cell>
          <cell r="P511" t="str">
            <v/>
          </cell>
          <cell r="Q511">
            <v>25</v>
          </cell>
          <cell r="R511" t="str">
            <v>UND</v>
          </cell>
          <cell r="S511">
            <v>0</v>
          </cell>
          <cell r="T511">
            <v>0</v>
          </cell>
          <cell r="U511" t="str">
            <v/>
          </cell>
          <cell r="V511" t="str">
            <v>PRO10</v>
          </cell>
          <cell r="W511">
            <v>0</v>
          </cell>
        </row>
        <row r="512">
          <cell r="C512" t="str">
            <v>EUE93Z11C38ACM</v>
          </cell>
          <cell r="D512" t="str">
            <v>PRINC</v>
          </cell>
          <cell r="E512" t="str">
            <v>00017</v>
          </cell>
          <cell r="F512" t="str">
            <v>PIÑONES PLASTICOS</v>
          </cell>
          <cell r="G512" t="str">
            <v>PRINCIPAL</v>
          </cell>
          <cell r="H512">
            <v>46004</v>
          </cell>
          <cell r="I512" t="str">
            <v>SALDO INICIAL</v>
          </cell>
          <cell r="J512">
            <v>-4</v>
          </cell>
          <cell r="K512">
            <v>0</v>
          </cell>
          <cell r="L512">
            <v>0</v>
          </cell>
          <cell r="M512">
            <v>0</v>
          </cell>
          <cell r="N512" t="str">
            <v/>
          </cell>
          <cell r="O512" t="str">
            <v/>
          </cell>
          <cell r="P512" t="str">
            <v/>
          </cell>
          <cell r="Q512">
            <v>20</v>
          </cell>
          <cell r="R512" t="str">
            <v>UND</v>
          </cell>
          <cell r="S512">
            <v>0</v>
          </cell>
          <cell r="T512">
            <v>0</v>
          </cell>
          <cell r="U512" t="str">
            <v/>
          </cell>
          <cell r="V512" t="str">
            <v>PRO10</v>
          </cell>
          <cell r="W512">
            <v>0</v>
          </cell>
        </row>
        <row r="513">
          <cell r="C513" t="str">
            <v>EUE93Z16C38ACM</v>
          </cell>
          <cell r="D513" t="str">
            <v>PRINC</v>
          </cell>
          <cell r="E513" t="str">
            <v>00017</v>
          </cell>
          <cell r="F513" t="str">
            <v>PIÑONES PLASTICOS</v>
          </cell>
          <cell r="G513" t="str">
            <v>PRINCIPAL</v>
          </cell>
          <cell r="H513">
            <v>46004</v>
          </cell>
          <cell r="I513" t="str">
            <v>SALDO INICIAL</v>
          </cell>
          <cell r="J513">
            <v>-28</v>
          </cell>
          <cell r="K513">
            <v>0</v>
          </cell>
          <cell r="L513">
            <v>0</v>
          </cell>
          <cell r="M513">
            <v>0</v>
          </cell>
          <cell r="N513" t="str">
            <v/>
          </cell>
          <cell r="O513" t="str">
            <v/>
          </cell>
          <cell r="P513" t="str">
            <v/>
          </cell>
          <cell r="Q513">
            <v>27</v>
          </cell>
          <cell r="R513" t="str">
            <v>UND</v>
          </cell>
          <cell r="S513">
            <v>0</v>
          </cell>
          <cell r="T513">
            <v>0</v>
          </cell>
          <cell r="U513" t="str">
            <v/>
          </cell>
          <cell r="V513" t="str">
            <v>PRO10</v>
          </cell>
          <cell r="W513">
            <v>0</v>
          </cell>
        </row>
        <row r="514">
          <cell r="C514" t="str">
            <v>CPNY1700Z10D25</v>
          </cell>
          <cell r="D514" t="str">
            <v>PRINC</v>
          </cell>
          <cell r="E514" t="str">
            <v>00017</v>
          </cell>
          <cell r="F514" t="str">
            <v>PIÑONES PLASTICOS</v>
          </cell>
          <cell r="G514" t="str">
            <v>PRINCIPAL</v>
          </cell>
          <cell r="H514">
            <v>46004</v>
          </cell>
          <cell r="I514" t="str">
            <v>SALDO INICIAL</v>
          </cell>
          <cell r="J514">
            <v>-9</v>
          </cell>
          <cell r="K514">
            <v>0</v>
          </cell>
          <cell r="L514">
            <v>0</v>
          </cell>
          <cell r="M514">
            <v>0</v>
          </cell>
          <cell r="N514" t="str">
            <v/>
          </cell>
          <cell r="O514" t="str">
            <v/>
          </cell>
          <cell r="P514" t="str">
            <v/>
          </cell>
          <cell r="Q514">
            <v>0</v>
          </cell>
          <cell r="R514" t="str">
            <v>UND</v>
          </cell>
          <cell r="S514">
            <v>0</v>
          </cell>
          <cell r="T514">
            <v>0</v>
          </cell>
          <cell r="U514" t="str">
            <v/>
          </cell>
          <cell r="V514" t="str">
            <v>PRO10</v>
          </cell>
          <cell r="W514">
            <v>0</v>
          </cell>
        </row>
        <row r="515">
          <cell r="C515" t="str">
            <v>CPNYN880Z12D25</v>
          </cell>
          <cell r="D515" t="str">
            <v>PRINC</v>
          </cell>
          <cell r="E515" t="str">
            <v>00017</v>
          </cell>
          <cell r="F515" t="str">
            <v>PIÑONES PLASTICOS</v>
          </cell>
          <cell r="G515" t="str">
            <v>PRINCIPAL</v>
          </cell>
          <cell r="H515">
            <v>46004</v>
          </cell>
          <cell r="I515" t="str">
            <v>SALDO INICIAL</v>
          </cell>
          <cell r="J515">
            <v>-5</v>
          </cell>
          <cell r="K515">
            <v>0</v>
          </cell>
          <cell r="L515">
            <v>0</v>
          </cell>
          <cell r="M515">
            <v>0</v>
          </cell>
          <cell r="N515" t="str">
            <v/>
          </cell>
          <cell r="O515" t="str">
            <v/>
          </cell>
          <cell r="P515" t="str">
            <v/>
          </cell>
          <cell r="Q515">
            <v>0</v>
          </cell>
          <cell r="R515" t="str">
            <v>UND</v>
          </cell>
          <cell r="S515">
            <v>0</v>
          </cell>
          <cell r="T515">
            <v>0</v>
          </cell>
          <cell r="U515" t="str">
            <v/>
          </cell>
          <cell r="V515" t="str">
            <v>PRO10</v>
          </cell>
          <cell r="W515">
            <v>0</v>
          </cell>
        </row>
        <row r="516">
          <cell r="C516" t="str">
            <v>PI1FPIÑ302500</v>
          </cell>
          <cell r="D516" t="str">
            <v>PRINC</v>
          </cell>
          <cell r="E516" t="str">
            <v>00017</v>
          </cell>
          <cell r="F516" t="str">
            <v>PIÑONES PLASTICOS</v>
          </cell>
          <cell r="G516" t="str">
            <v>PRINCIPAL</v>
          </cell>
          <cell r="H516">
            <v>46004</v>
          </cell>
          <cell r="I516" t="str">
            <v>SALDO INICIAL</v>
          </cell>
          <cell r="J516">
            <v>4</v>
          </cell>
          <cell r="K516">
            <v>44.8</v>
          </cell>
          <cell r="L516">
            <v>11.2</v>
          </cell>
          <cell r="M516">
            <v>11.2</v>
          </cell>
          <cell r="N516" t="str">
            <v/>
          </cell>
          <cell r="O516" t="str">
            <v/>
          </cell>
          <cell r="P516" t="str">
            <v/>
          </cell>
          <cell r="Q516">
            <v>26.3</v>
          </cell>
          <cell r="R516" t="str">
            <v>UND</v>
          </cell>
          <cell r="S516">
            <v>0</v>
          </cell>
          <cell r="T516">
            <v>0</v>
          </cell>
          <cell r="U516" t="str">
            <v/>
          </cell>
          <cell r="V516" t="str">
            <v>PRO10</v>
          </cell>
          <cell r="W516">
            <v>0</v>
          </cell>
        </row>
        <row r="517">
          <cell r="C517" t="str">
            <v>PI1FPIÑ303010</v>
          </cell>
          <cell r="D517" t="str">
            <v>PRINC</v>
          </cell>
          <cell r="E517" t="str">
            <v>00017</v>
          </cell>
          <cell r="F517" t="str">
            <v>PIÑONES PLASTICOS</v>
          </cell>
          <cell r="G517" t="str">
            <v>PRINCIPAL</v>
          </cell>
          <cell r="H517">
            <v>46004</v>
          </cell>
          <cell r="I517" t="str">
            <v>SALDO INICIAL</v>
          </cell>
          <cell r="J517">
            <v>191</v>
          </cell>
          <cell r="K517">
            <v>2272.9</v>
          </cell>
          <cell r="L517">
            <v>11.9</v>
          </cell>
          <cell r="M517">
            <v>11.9</v>
          </cell>
          <cell r="N517" t="str">
            <v/>
          </cell>
          <cell r="O517" t="str">
            <v/>
          </cell>
          <cell r="P517" t="str">
            <v/>
          </cell>
          <cell r="Q517">
            <v>28.6</v>
          </cell>
          <cell r="R517" t="str">
            <v>UND</v>
          </cell>
          <cell r="S517">
            <v>0</v>
          </cell>
          <cell r="T517">
            <v>0</v>
          </cell>
          <cell r="U517" t="str">
            <v/>
          </cell>
          <cell r="V517" t="str">
            <v>PRO10</v>
          </cell>
          <cell r="W517">
            <v>0</v>
          </cell>
        </row>
        <row r="518">
          <cell r="C518" t="str">
            <v>RECMT028152102</v>
          </cell>
          <cell r="D518" t="str">
            <v>PRINC</v>
          </cell>
          <cell r="E518" t="str">
            <v>00017</v>
          </cell>
          <cell r="F518" t="str">
            <v>PIÑONES PLASTICOS</v>
          </cell>
          <cell r="G518" t="str">
            <v>PRINCIPAL</v>
          </cell>
          <cell r="H518">
            <v>46004</v>
          </cell>
          <cell r="I518" t="str">
            <v>SALDO INICIAL</v>
          </cell>
          <cell r="J518">
            <v>-26</v>
          </cell>
          <cell r="K518">
            <v>0</v>
          </cell>
          <cell r="L518">
            <v>0</v>
          </cell>
          <cell r="M518">
            <v>0</v>
          </cell>
          <cell r="N518" t="str">
            <v/>
          </cell>
          <cell r="O518" t="str">
            <v/>
          </cell>
          <cell r="P518" t="str">
            <v/>
          </cell>
          <cell r="Q518">
            <v>25</v>
          </cell>
          <cell r="R518" t="str">
            <v>UND</v>
          </cell>
          <cell r="S518">
            <v>0</v>
          </cell>
          <cell r="T518">
            <v>0</v>
          </cell>
          <cell r="U518" t="str">
            <v/>
          </cell>
          <cell r="V518" t="str">
            <v>PRO10</v>
          </cell>
          <cell r="W518">
            <v>0</v>
          </cell>
        </row>
        <row r="519">
          <cell r="C519" t="str">
            <v>RECMT028152103</v>
          </cell>
          <cell r="D519" t="str">
            <v>PRINC</v>
          </cell>
          <cell r="E519" t="str">
            <v>00017</v>
          </cell>
          <cell r="F519" t="str">
            <v>PIÑONES PLASTICOS</v>
          </cell>
          <cell r="G519" t="str">
            <v>PRINCIPAL</v>
          </cell>
          <cell r="H519">
            <v>46004</v>
          </cell>
          <cell r="I519" t="str">
            <v>SALDO INICIAL</v>
          </cell>
          <cell r="J519">
            <v>-1</v>
          </cell>
          <cell r="K519">
            <v>0</v>
          </cell>
          <cell r="L519">
            <v>0</v>
          </cell>
          <cell r="M519">
            <v>0</v>
          </cell>
          <cell r="N519" t="str">
            <v/>
          </cell>
          <cell r="O519" t="str">
            <v/>
          </cell>
          <cell r="P519" t="str">
            <v/>
          </cell>
          <cell r="Q519">
            <v>25</v>
          </cell>
          <cell r="R519" t="str">
            <v>UND</v>
          </cell>
          <cell r="S519">
            <v>0</v>
          </cell>
          <cell r="T519">
            <v>0</v>
          </cell>
          <cell r="U519" t="str">
            <v/>
          </cell>
          <cell r="V519" t="str">
            <v>PRO10</v>
          </cell>
          <cell r="W519">
            <v>0</v>
          </cell>
        </row>
        <row r="520">
          <cell r="C520" t="str">
            <v>RECMT028202302</v>
          </cell>
          <cell r="D520" t="str">
            <v>PRINC</v>
          </cell>
          <cell r="E520" t="str">
            <v>00017</v>
          </cell>
          <cell r="F520" t="str">
            <v>PIÑONES PLASTICOS</v>
          </cell>
          <cell r="G520" t="str">
            <v>PRINCIPAL</v>
          </cell>
          <cell r="H520">
            <v>46004</v>
          </cell>
          <cell r="I520" t="str">
            <v>SALDO INICIAL</v>
          </cell>
          <cell r="J520">
            <v>-4</v>
          </cell>
          <cell r="K520">
            <v>0</v>
          </cell>
          <cell r="L520">
            <v>0</v>
          </cell>
          <cell r="M520">
            <v>0</v>
          </cell>
          <cell r="N520" t="str">
            <v/>
          </cell>
          <cell r="O520" t="str">
            <v/>
          </cell>
          <cell r="P520" t="str">
            <v/>
          </cell>
          <cell r="Q520">
            <v>26.5</v>
          </cell>
          <cell r="R520" t="str">
            <v>UND</v>
          </cell>
          <cell r="S520">
            <v>0</v>
          </cell>
          <cell r="T520">
            <v>0</v>
          </cell>
          <cell r="U520" t="str">
            <v/>
          </cell>
          <cell r="V520" t="str">
            <v>PRO10</v>
          </cell>
          <cell r="W520">
            <v>0</v>
          </cell>
        </row>
        <row r="521">
          <cell r="C521" t="str">
            <v>RECMT028202503</v>
          </cell>
          <cell r="D521" t="str">
            <v>PRINC</v>
          </cell>
          <cell r="E521" t="str">
            <v>00017</v>
          </cell>
          <cell r="F521" t="str">
            <v>PIÑONES PLASTICOS</v>
          </cell>
          <cell r="G521" t="str">
            <v>PRINCIPAL</v>
          </cell>
          <cell r="H521">
            <v>46004</v>
          </cell>
          <cell r="I521" t="str">
            <v>SALDO INICIAL</v>
          </cell>
          <cell r="J521">
            <v>-6</v>
          </cell>
          <cell r="K521">
            <v>0</v>
          </cell>
          <cell r="L521">
            <v>0</v>
          </cell>
          <cell r="M521">
            <v>0</v>
          </cell>
          <cell r="N521" t="str">
            <v/>
          </cell>
          <cell r="O521" t="str">
            <v/>
          </cell>
          <cell r="P521" t="str">
            <v/>
          </cell>
          <cell r="Q521">
            <v>28</v>
          </cell>
          <cell r="R521" t="str">
            <v>UND</v>
          </cell>
          <cell r="S521">
            <v>0</v>
          </cell>
          <cell r="T521">
            <v>0</v>
          </cell>
          <cell r="U521" t="str">
            <v/>
          </cell>
          <cell r="V521" t="str">
            <v>PRO10</v>
          </cell>
          <cell r="W521">
            <v>0</v>
          </cell>
        </row>
        <row r="522">
          <cell r="C522" t="str">
            <v>RECMT028812102</v>
          </cell>
          <cell r="D522" t="str">
            <v>PRINC</v>
          </cell>
          <cell r="E522" t="str">
            <v>00017</v>
          </cell>
          <cell r="F522" t="str">
            <v>PIÑONES PLASTICOS</v>
          </cell>
          <cell r="G522" t="str">
            <v>PRINCIPAL</v>
          </cell>
          <cell r="H522">
            <v>46004</v>
          </cell>
          <cell r="I522" t="str">
            <v>SALDO INICIAL</v>
          </cell>
          <cell r="J522">
            <v>-3</v>
          </cell>
          <cell r="K522">
            <v>0</v>
          </cell>
          <cell r="L522">
            <v>0</v>
          </cell>
          <cell r="M522">
            <v>0</v>
          </cell>
          <cell r="N522" t="str">
            <v/>
          </cell>
          <cell r="O522" t="str">
            <v/>
          </cell>
          <cell r="P522" t="str">
            <v/>
          </cell>
          <cell r="Q522">
            <v>26</v>
          </cell>
          <cell r="R522" t="str">
            <v>UND</v>
          </cell>
          <cell r="S522">
            <v>0</v>
          </cell>
          <cell r="T522">
            <v>0</v>
          </cell>
          <cell r="U522" t="str">
            <v/>
          </cell>
          <cell r="V522" t="str">
            <v>PRO10</v>
          </cell>
          <cell r="W522">
            <v>0</v>
          </cell>
        </row>
        <row r="523">
          <cell r="C523" t="str">
            <v>RECMT029812102</v>
          </cell>
          <cell r="D523" t="str">
            <v>PRINC</v>
          </cell>
          <cell r="E523" t="str">
            <v>00017</v>
          </cell>
          <cell r="F523" t="str">
            <v>PIÑONES PLASTICOS</v>
          </cell>
          <cell r="G523" t="str">
            <v>PRINCIPAL</v>
          </cell>
          <cell r="H523">
            <v>46004</v>
          </cell>
          <cell r="I523" t="str">
            <v>SALDO INICIAL</v>
          </cell>
          <cell r="J523">
            <v>6</v>
          </cell>
          <cell r="K523">
            <v>120</v>
          </cell>
          <cell r="L523">
            <v>0</v>
          </cell>
          <cell r="M523">
            <v>20</v>
          </cell>
          <cell r="N523" t="str">
            <v/>
          </cell>
          <cell r="O523" t="str">
            <v/>
          </cell>
          <cell r="P523" t="str">
            <v/>
          </cell>
          <cell r="Q523">
            <v>27.1</v>
          </cell>
          <cell r="R523" t="str">
            <v>UND</v>
          </cell>
          <cell r="S523">
            <v>0</v>
          </cell>
          <cell r="T523">
            <v>0</v>
          </cell>
          <cell r="U523" t="str">
            <v/>
          </cell>
          <cell r="V523" t="str">
            <v>PRO10</v>
          </cell>
          <cell r="W523">
            <v>0</v>
          </cell>
        </row>
        <row r="524">
          <cell r="C524" t="str">
            <v>REMPBSTUSP1835</v>
          </cell>
          <cell r="D524" t="str">
            <v>PRINC</v>
          </cell>
          <cell r="E524" t="str">
            <v>00017</v>
          </cell>
          <cell r="F524" t="str">
            <v>PIÑONES PLASTICOS</v>
          </cell>
          <cell r="G524" t="str">
            <v>PRINCIPAL</v>
          </cell>
          <cell r="H524">
            <v>46004</v>
          </cell>
          <cell r="I524" t="str">
            <v>SALDO INICIAL</v>
          </cell>
          <cell r="J524">
            <v>-8</v>
          </cell>
          <cell r="K524">
            <v>0</v>
          </cell>
          <cell r="L524">
            <v>0</v>
          </cell>
          <cell r="M524">
            <v>0</v>
          </cell>
          <cell r="N524" t="str">
            <v/>
          </cell>
          <cell r="O524" t="str">
            <v/>
          </cell>
          <cell r="P524" t="str">
            <v/>
          </cell>
          <cell r="Q524">
            <v>0</v>
          </cell>
          <cell r="R524" t="str">
            <v>UND</v>
          </cell>
          <cell r="S524">
            <v>0</v>
          </cell>
          <cell r="T524">
            <v>0</v>
          </cell>
          <cell r="U524" t="str">
            <v/>
          </cell>
          <cell r="V524" t="str">
            <v>PRO10</v>
          </cell>
          <cell r="W524">
            <v>0</v>
          </cell>
        </row>
        <row r="525">
          <cell r="C525" t="str">
            <v>RECMAS028801025</v>
          </cell>
          <cell r="D525" t="str">
            <v>PRINC</v>
          </cell>
          <cell r="E525" t="str">
            <v>00017</v>
          </cell>
          <cell r="F525" t="str">
            <v>PIÑONES PLASTICOS</v>
          </cell>
          <cell r="G525" t="str">
            <v>PRINCIPAL</v>
          </cell>
          <cell r="H525">
            <v>46004</v>
          </cell>
          <cell r="I525" t="str">
            <v>SALDO INICIAL</v>
          </cell>
          <cell r="J525">
            <v>-4</v>
          </cell>
          <cell r="K525">
            <v>0</v>
          </cell>
          <cell r="L525">
            <v>0</v>
          </cell>
          <cell r="M525">
            <v>0</v>
          </cell>
          <cell r="N525" t="str">
            <v/>
          </cell>
          <cell r="O525" t="str">
            <v/>
          </cell>
          <cell r="P525" t="str">
            <v/>
          </cell>
          <cell r="Q525">
            <v>36.799999999999997</v>
          </cell>
          <cell r="R525" t="str">
            <v>UND</v>
          </cell>
          <cell r="S525">
            <v>0</v>
          </cell>
          <cell r="T525">
            <v>0</v>
          </cell>
          <cell r="U525" t="str">
            <v/>
          </cell>
          <cell r="V525" t="str">
            <v>PRO10</v>
          </cell>
          <cell r="W525">
            <v>0</v>
          </cell>
        </row>
        <row r="526">
          <cell r="C526" t="str">
            <v>INS3D1XXCVE7NG</v>
          </cell>
          <cell r="D526" t="str">
            <v>PRINC</v>
          </cell>
          <cell r="E526" t="str">
            <v>00017</v>
          </cell>
          <cell r="F526" t="str">
            <v>PIÑONES PLASTICOS</v>
          </cell>
          <cell r="G526" t="str">
            <v>PRINCIPAL</v>
          </cell>
          <cell r="H526">
            <v>46004</v>
          </cell>
          <cell r="I526" t="str">
            <v>SALDO INICIAL</v>
          </cell>
          <cell r="J526">
            <v>10</v>
          </cell>
          <cell r="K526">
            <v>243.4</v>
          </cell>
          <cell r="L526">
            <v>0</v>
          </cell>
          <cell r="M526">
            <v>24.34</v>
          </cell>
          <cell r="N526" t="str">
            <v/>
          </cell>
          <cell r="O526" t="str">
            <v/>
          </cell>
          <cell r="P526" t="str">
            <v/>
          </cell>
          <cell r="Q526">
            <v>43</v>
          </cell>
          <cell r="R526" t="str">
            <v>UND</v>
          </cell>
          <cell r="S526">
            <v>0</v>
          </cell>
          <cell r="T526">
            <v>0</v>
          </cell>
          <cell r="U526" t="str">
            <v/>
          </cell>
          <cell r="V526" t="str">
            <v>PRO10</v>
          </cell>
          <cell r="W526">
            <v>0</v>
          </cell>
        </row>
        <row r="527">
          <cell r="C527" t="str">
            <v>IN1100ACG3.1EC1</v>
          </cell>
          <cell r="D527" t="str">
            <v>PRINC</v>
          </cell>
          <cell r="E527" t="str">
            <v>00017</v>
          </cell>
          <cell r="F527" t="str">
            <v>PIÑONES PLASTICOS</v>
          </cell>
          <cell r="G527" t="str">
            <v>PRINCIPAL</v>
          </cell>
          <cell r="H527">
            <v>46004</v>
          </cell>
          <cell r="I527" t="str">
            <v>SALDO INICIAL</v>
          </cell>
          <cell r="J527">
            <v>87</v>
          </cell>
          <cell r="K527">
            <v>1128.3900000000001</v>
          </cell>
          <cell r="L527">
            <v>12.97</v>
          </cell>
          <cell r="M527">
            <v>12.97</v>
          </cell>
          <cell r="N527" t="str">
            <v/>
          </cell>
          <cell r="O527" t="str">
            <v/>
          </cell>
          <cell r="P527" t="str">
            <v/>
          </cell>
          <cell r="Q527">
            <v>26</v>
          </cell>
          <cell r="R527" t="str">
            <v>UND</v>
          </cell>
          <cell r="S527">
            <v>0</v>
          </cell>
          <cell r="T527">
            <v>0</v>
          </cell>
          <cell r="U527" t="str">
            <v/>
          </cell>
          <cell r="V527" t="str">
            <v>PRO10</v>
          </cell>
          <cell r="W527">
            <v>0</v>
          </cell>
        </row>
        <row r="528">
          <cell r="C528" t="str">
            <v>INS3E1H2CKE7LS</v>
          </cell>
          <cell r="D528" t="str">
            <v>PRINC</v>
          </cell>
          <cell r="E528" t="str">
            <v>00017</v>
          </cell>
          <cell r="F528" t="str">
            <v>PIÑONES PLASTICOS</v>
          </cell>
          <cell r="G528" t="str">
            <v>PRINCIPAL</v>
          </cell>
          <cell r="H528">
            <v>46004</v>
          </cell>
          <cell r="I528" t="str">
            <v>SALDO INICIAL</v>
          </cell>
          <cell r="J528">
            <v>40</v>
          </cell>
          <cell r="K528">
            <v>726.4</v>
          </cell>
          <cell r="L528">
            <v>0</v>
          </cell>
          <cell r="M528">
            <v>18.16</v>
          </cell>
          <cell r="N528" t="str">
            <v/>
          </cell>
          <cell r="O528" t="str">
            <v/>
          </cell>
          <cell r="P528" t="str">
            <v/>
          </cell>
          <cell r="Q528">
            <v>31</v>
          </cell>
          <cell r="R528" t="str">
            <v>UND</v>
          </cell>
          <cell r="S528">
            <v>0</v>
          </cell>
          <cell r="T528">
            <v>0</v>
          </cell>
          <cell r="U528" t="str">
            <v/>
          </cell>
          <cell r="V528" t="str">
            <v>PRO10</v>
          </cell>
          <cell r="W528">
            <v>0</v>
          </cell>
        </row>
        <row r="529">
          <cell r="C529" t="str">
            <v>INS3E1H2CV37LS</v>
          </cell>
          <cell r="D529" t="str">
            <v>PRINC</v>
          </cell>
          <cell r="E529" t="str">
            <v>00017</v>
          </cell>
          <cell r="F529" t="str">
            <v>PIÑONES PLASTICOS</v>
          </cell>
          <cell r="G529" t="str">
            <v>PRINCIPAL</v>
          </cell>
          <cell r="H529">
            <v>46004</v>
          </cell>
          <cell r="I529" t="str">
            <v>SALDO INICIAL</v>
          </cell>
          <cell r="J529">
            <v>25</v>
          </cell>
          <cell r="K529">
            <v>618.02659500000004</v>
          </cell>
          <cell r="L529">
            <v>24.721063999999998</v>
          </cell>
          <cell r="M529">
            <v>24.7210638</v>
          </cell>
          <cell r="N529" t="str">
            <v/>
          </cell>
          <cell r="O529" t="str">
            <v/>
          </cell>
          <cell r="P529" t="str">
            <v/>
          </cell>
          <cell r="Q529">
            <v>43</v>
          </cell>
          <cell r="R529" t="str">
            <v>UND</v>
          </cell>
          <cell r="S529">
            <v>0</v>
          </cell>
          <cell r="T529">
            <v>0</v>
          </cell>
          <cell r="U529" t="str">
            <v/>
          </cell>
          <cell r="V529" t="str">
            <v>PRO10</v>
          </cell>
          <cell r="W529">
            <v>0</v>
          </cell>
        </row>
        <row r="530">
          <cell r="C530" t="str">
            <v>INS3E1XXCVK1 NG</v>
          </cell>
          <cell r="D530" t="str">
            <v>PRINC</v>
          </cell>
          <cell r="E530" t="str">
            <v>00017</v>
          </cell>
          <cell r="F530" t="str">
            <v>PIÑONES PLASTICOS</v>
          </cell>
          <cell r="G530" t="str">
            <v>PRINCIPAL</v>
          </cell>
          <cell r="H530">
            <v>46004</v>
          </cell>
          <cell r="I530" t="str">
            <v>SALDO INICIAL</v>
          </cell>
          <cell r="J530">
            <v>2</v>
          </cell>
          <cell r="K530">
            <v>75.680000000000007</v>
          </cell>
          <cell r="L530">
            <v>37.840000000000003</v>
          </cell>
          <cell r="M530">
            <v>37.840000000000003</v>
          </cell>
          <cell r="N530" t="str">
            <v/>
          </cell>
          <cell r="O530" t="str">
            <v/>
          </cell>
          <cell r="P530" t="str">
            <v/>
          </cell>
          <cell r="Q530">
            <v>43</v>
          </cell>
          <cell r="R530" t="str">
            <v>UND</v>
          </cell>
          <cell r="S530">
            <v>0</v>
          </cell>
          <cell r="T530">
            <v>0</v>
          </cell>
          <cell r="U530" t="str">
            <v/>
          </cell>
          <cell r="V530" t="str">
            <v>PRO10</v>
          </cell>
          <cell r="W530">
            <v>0</v>
          </cell>
        </row>
        <row r="531">
          <cell r="C531" t="str">
            <v>INS3F7XXCRE7NG</v>
          </cell>
          <cell r="D531" t="str">
            <v>PRINC</v>
          </cell>
          <cell r="E531" t="str">
            <v>00017</v>
          </cell>
          <cell r="F531" t="str">
            <v>PIÑONES PLASTICOS</v>
          </cell>
          <cell r="G531" t="str">
            <v>PRINCIPAL</v>
          </cell>
          <cell r="H531">
            <v>46004</v>
          </cell>
          <cell r="I531" t="str">
            <v>SALDO INICIAL</v>
          </cell>
          <cell r="J531">
            <v>6</v>
          </cell>
          <cell r="K531">
            <v>120.96</v>
          </cell>
          <cell r="L531">
            <v>0</v>
          </cell>
          <cell r="M531">
            <v>20.16</v>
          </cell>
          <cell r="N531" t="str">
            <v/>
          </cell>
          <cell r="O531" t="str">
            <v/>
          </cell>
          <cell r="P531" t="str">
            <v/>
          </cell>
          <cell r="Q531">
            <v>37</v>
          </cell>
          <cell r="R531" t="str">
            <v>UND</v>
          </cell>
          <cell r="S531">
            <v>0</v>
          </cell>
          <cell r="T531">
            <v>0</v>
          </cell>
          <cell r="U531" t="str">
            <v/>
          </cell>
          <cell r="V531" t="str">
            <v>PRO10</v>
          </cell>
          <cell r="W531">
            <v>0</v>
          </cell>
        </row>
        <row r="532">
          <cell r="C532" t="str">
            <v>INS3F8G5CYE7NG</v>
          </cell>
          <cell r="D532" t="str">
            <v>PRINC</v>
          </cell>
          <cell r="E532" t="str">
            <v>00017</v>
          </cell>
          <cell r="F532" t="str">
            <v>PIÑONES PLASTICOS</v>
          </cell>
          <cell r="G532" t="str">
            <v>PRINCIPAL</v>
          </cell>
          <cell r="H532">
            <v>46004</v>
          </cell>
          <cell r="I532" t="str">
            <v>SALDO INICIAL</v>
          </cell>
          <cell r="J532">
            <v>41</v>
          </cell>
          <cell r="K532">
            <v>1072.1500000000001</v>
          </cell>
          <cell r="L532">
            <v>0</v>
          </cell>
          <cell r="M532">
            <v>26.15</v>
          </cell>
          <cell r="N532" t="str">
            <v/>
          </cell>
          <cell r="O532" t="str">
            <v/>
          </cell>
          <cell r="P532" t="str">
            <v/>
          </cell>
          <cell r="Q532">
            <v>38</v>
          </cell>
          <cell r="R532" t="str">
            <v>UND</v>
          </cell>
          <cell r="S532">
            <v>0</v>
          </cell>
          <cell r="T532">
            <v>0</v>
          </cell>
          <cell r="U532" t="str">
            <v/>
          </cell>
          <cell r="V532" t="str">
            <v>PRO10</v>
          </cell>
          <cell r="W532">
            <v>0</v>
          </cell>
        </row>
        <row r="533">
          <cell r="C533" t="str">
            <v>INS3FBG5CYK1NG</v>
          </cell>
          <cell r="D533" t="str">
            <v>PRINC</v>
          </cell>
          <cell r="E533" t="str">
            <v>00017</v>
          </cell>
          <cell r="F533" t="str">
            <v>PIÑONES PLASTICOS</v>
          </cell>
          <cell r="G533" t="str">
            <v>PRINCIPAL</v>
          </cell>
          <cell r="H533">
            <v>46004</v>
          </cell>
          <cell r="I533" t="str">
            <v>SALDO INICIAL</v>
          </cell>
          <cell r="J533">
            <v>12</v>
          </cell>
          <cell r="K533">
            <v>348.72</v>
          </cell>
          <cell r="L533">
            <v>0</v>
          </cell>
          <cell r="M533">
            <v>29.06</v>
          </cell>
          <cell r="N533" t="str">
            <v/>
          </cell>
          <cell r="O533" t="str">
            <v/>
          </cell>
          <cell r="P533" t="str">
            <v/>
          </cell>
          <cell r="Q533">
            <v>39</v>
          </cell>
          <cell r="R533" t="str">
            <v>UND</v>
          </cell>
          <cell r="S533">
            <v>0</v>
          </cell>
          <cell r="T533">
            <v>0</v>
          </cell>
          <cell r="U533" t="str">
            <v/>
          </cell>
          <cell r="V533" t="str">
            <v>PRO10</v>
          </cell>
          <cell r="W533">
            <v>0</v>
          </cell>
        </row>
        <row r="534">
          <cell r="C534" t="str">
            <v>INS3D2XXDGE7</v>
          </cell>
          <cell r="D534" t="str">
            <v>PRINC</v>
          </cell>
          <cell r="E534" t="str">
            <v>00017</v>
          </cell>
          <cell r="F534" t="str">
            <v>PIÑONES PLASTICOS</v>
          </cell>
          <cell r="G534" t="str">
            <v>PRINCIPAL</v>
          </cell>
          <cell r="H534">
            <v>46004</v>
          </cell>
          <cell r="I534" t="str">
            <v>SALDO INICIAL</v>
          </cell>
          <cell r="J534">
            <v>10</v>
          </cell>
          <cell r="K534">
            <v>774.62</v>
          </cell>
          <cell r="L534">
            <v>0</v>
          </cell>
          <cell r="M534">
            <v>77.462000000000003</v>
          </cell>
          <cell r="N534" t="str">
            <v/>
          </cell>
          <cell r="O534" t="str">
            <v/>
          </cell>
          <cell r="P534" t="str">
            <v/>
          </cell>
          <cell r="Q534">
            <v>92</v>
          </cell>
          <cell r="R534" t="str">
            <v>UND</v>
          </cell>
          <cell r="S534">
            <v>0</v>
          </cell>
          <cell r="T534">
            <v>0</v>
          </cell>
          <cell r="U534" t="str">
            <v/>
          </cell>
          <cell r="V534" t="str">
            <v>PRO10</v>
          </cell>
          <cell r="W534">
            <v>0</v>
          </cell>
        </row>
        <row r="535">
          <cell r="C535" t="str">
            <v>INS3D2XXCIE7NG</v>
          </cell>
          <cell r="D535" t="str">
            <v>PRINC</v>
          </cell>
          <cell r="E535" t="str">
            <v>00017</v>
          </cell>
          <cell r="F535" t="str">
            <v>PIÑONES PLASTICOS</v>
          </cell>
          <cell r="G535" t="str">
            <v>PRINCIPAL</v>
          </cell>
          <cell r="H535">
            <v>46004</v>
          </cell>
          <cell r="I535" t="str">
            <v>SALDO INICIAL</v>
          </cell>
          <cell r="J535">
            <v>25</v>
          </cell>
          <cell r="K535">
            <v>591.75</v>
          </cell>
          <cell r="L535">
            <v>23.67</v>
          </cell>
          <cell r="M535">
            <v>23.67</v>
          </cell>
          <cell r="N535" t="str">
            <v/>
          </cell>
          <cell r="O535" t="str">
            <v/>
          </cell>
          <cell r="P535" t="str">
            <v/>
          </cell>
          <cell r="Q535">
            <v>31</v>
          </cell>
          <cell r="R535" t="str">
            <v>UND</v>
          </cell>
          <cell r="S535">
            <v>0</v>
          </cell>
          <cell r="T535">
            <v>0</v>
          </cell>
          <cell r="U535" t="str">
            <v/>
          </cell>
          <cell r="V535" t="str">
            <v>PRO10</v>
          </cell>
          <cell r="W535">
            <v>0</v>
          </cell>
        </row>
        <row r="536">
          <cell r="C536" t="str">
            <v>INS3F5XXCNE7NG</v>
          </cell>
          <cell r="D536" t="str">
            <v>PRINC</v>
          </cell>
          <cell r="E536" t="str">
            <v>00017</v>
          </cell>
          <cell r="F536" t="str">
            <v>PIÑONES PLASTICOS</v>
          </cell>
          <cell r="G536" t="str">
            <v>PRINCIPAL</v>
          </cell>
          <cell r="H536">
            <v>46004</v>
          </cell>
          <cell r="I536" t="str">
            <v>SALDO INICIAL</v>
          </cell>
          <cell r="J536">
            <v>14</v>
          </cell>
          <cell r="K536">
            <v>340.76</v>
          </cell>
          <cell r="L536">
            <v>0</v>
          </cell>
          <cell r="M536">
            <v>24.34</v>
          </cell>
          <cell r="N536" t="str">
            <v/>
          </cell>
          <cell r="O536" t="str">
            <v/>
          </cell>
          <cell r="P536" t="str">
            <v/>
          </cell>
          <cell r="Q536">
            <v>37</v>
          </cell>
          <cell r="R536" t="str">
            <v>UND</v>
          </cell>
          <cell r="S536">
            <v>0</v>
          </cell>
          <cell r="T536">
            <v>0</v>
          </cell>
          <cell r="U536" t="str">
            <v/>
          </cell>
          <cell r="V536" t="str">
            <v>PRO10</v>
          </cell>
          <cell r="W536">
            <v>0</v>
          </cell>
        </row>
        <row r="537">
          <cell r="C537" t="str">
            <v>INS3ESXXCZE7MV</v>
          </cell>
          <cell r="D537" t="str">
            <v>PRINC</v>
          </cell>
          <cell r="E537" t="str">
            <v>00017</v>
          </cell>
          <cell r="F537" t="str">
            <v>PIÑONES PLASTICOS</v>
          </cell>
          <cell r="G537" t="str">
            <v>PRINCIPAL</v>
          </cell>
          <cell r="H537">
            <v>46004</v>
          </cell>
          <cell r="I537" t="str">
            <v>SALDO INICIAL</v>
          </cell>
          <cell r="J537">
            <v>3</v>
          </cell>
          <cell r="K537">
            <v>108.6</v>
          </cell>
          <cell r="L537">
            <v>0</v>
          </cell>
          <cell r="M537">
            <v>36.200000000000003</v>
          </cell>
          <cell r="N537" t="str">
            <v/>
          </cell>
          <cell r="O537" t="str">
            <v/>
          </cell>
          <cell r="P537" t="str">
            <v/>
          </cell>
          <cell r="Q537">
            <v>52.5</v>
          </cell>
          <cell r="R537" t="str">
            <v>UND</v>
          </cell>
          <cell r="S537">
            <v>0</v>
          </cell>
          <cell r="T537">
            <v>0</v>
          </cell>
          <cell r="U537" t="str">
            <v/>
          </cell>
          <cell r="V537" t="str">
            <v>PRO10</v>
          </cell>
          <cell r="W537">
            <v>0</v>
          </cell>
        </row>
        <row r="538">
          <cell r="C538" t="str">
            <v>INS3E5XXCZK5MV</v>
          </cell>
          <cell r="D538" t="str">
            <v>PRINC</v>
          </cell>
          <cell r="E538" t="str">
            <v>00017</v>
          </cell>
          <cell r="F538" t="str">
            <v>PIÑONES PLASTICOS</v>
          </cell>
          <cell r="G538" t="str">
            <v>PRINCIPAL</v>
          </cell>
          <cell r="H538">
            <v>46004</v>
          </cell>
          <cell r="I538" t="str">
            <v>SALDO INICIAL</v>
          </cell>
          <cell r="J538">
            <v>13</v>
          </cell>
          <cell r="K538">
            <v>456.95</v>
          </cell>
          <cell r="L538">
            <v>0</v>
          </cell>
          <cell r="M538">
            <v>35.15</v>
          </cell>
          <cell r="N538" t="str">
            <v/>
          </cell>
          <cell r="O538" t="str">
            <v/>
          </cell>
          <cell r="P538" t="str">
            <v/>
          </cell>
          <cell r="Q538">
            <v>52.1</v>
          </cell>
          <cell r="R538" t="str">
            <v>UND</v>
          </cell>
          <cell r="S538">
            <v>0</v>
          </cell>
          <cell r="T538">
            <v>0</v>
          </cell>
          <cell r="U538" t="str">
            <v/>
          </cell>
          <cell r="V538" t="str">
            <v>PRO10</v>
          </cell>
          <cell r="W538">
            <v>0</v>
          </cell>
        </row>
        <row r="539">
          <cell r="C539" t="str">
            <v>INS3E5XXCZH6MV</v>
          </cell>
          <cell r="D539" t="str">
            <v>PRINC</v>
          </cell>
          <cell r="E539" t="str">
            <v>00017</v>
          </cell>
          <cell r="F539" t="str">
            <v>PIÑONES PLASTICOS</v>
          </cell>
          <cell r="G539" t="str">
            <v>PRINCIPAL</v>
          </cell>
          <cell r="H539">
            <v>46004</v>
          </cell>
          <cell r="I539" t="str">
            <v>SALDO INICIAL</v>
          </cell>
          <cell r="J539">
            <v>1</v>
          </cell>
          <cell r="K539">
            <v>36.200000000000003</v>
          </cell>
          <cell r="L539">
            <v>0</v>
          </cell>
          <cell r="M539">
            <v>36.200000000000003</v>
          </cell>
          <cell r="N539" t="str">
            <v/>
          </cell>
          <cell r="O539" t="str">
            <v/>
          </cell>
          <cell r="P539" t="str">
            <v/>
          </cell>
          <cell r="Q539">
            <v>52.5</v>
          </cell>
          <cell r="R539" t="str">
            <v>UND</v>
          </cell>
          <cell r="S539">
            <v>0</v>
          </cell>
          <cell r="T539">
            <v>0</v>
          </cell>
          <cell r="U539" t="str">
            <v/>
          </cell>
          <cell r="V539" t="str">
            <v>PRO10</v>
          </cell>
          <cell r="W539">
            <v>0</v>
          </cell>
        </row>
        <row r="540">
          <cell r="C540" t="str">
            <v>INS3D4XXDG14NG</v>
          </cell>
          <cell r="D540" t="str">
            <v>PRINC</v>
          </cell>
          <cell r="E540" t="str">
            <v>00017</v>
          </cell>
          <cell r="F540" t="str">
            <v>PIÑONES PLASTICOS</v>
          </cell>
          <cell r="G540" t="str">
            <v>PRINCIPAL</v>
          </cell>
          <cell r="H540">
            <v>46004</v>
          </cell>
          <cell r="I540" t="str">
            <v>SALDO INICIAL</v>
          </cell>
          <cell r="J540">
            <v>12</v>
          </cell>
          <cell r="K540">
            <v>678.48</v>
          </cell>
          <cell r="L540">
            <v>56.54</v>
          </cell>
          <cell r="M540">
            <v>56.54</v>
          </cell>
          <cell r="N540" t="str">
            <v/>
          </cell>
          <cell r="O540" t="str">
            <v/>
          </cell>
          <cell r="P540" t="str">
            <v/>
          </cell>
          <cell r="Q540">
            <v>92</v>
          </cell>
          <cell r="R540" t="str">
            <v>UND</v>
          </cell>
          <cell r="S540">
            <v>0</v>
          </cell>
          <cell r="T540">
            <v>0</v>
          </cell>
          <cell r="U540" t="str">
            <v/>
          </cell>
          <cell r="V540" t="str">
            <v>PRO10</v>
          </cell>
          <cell r="W540">
            <v>0</v>
          </cell>
        </row>
        <row r="541">
          <cell r="C541" t="str">
            <v>INS3D4XXCIE7NG</v>
          </cell>
          <cell r="D541" t="str">
            <v>PRINC</v>
          </cell>
          <cell r="E541" t="str">
            <v>00017</v>
          </cell>
          <cell r="F541" t="str">
            <v>PIÑONES PLASTICOS</v>
          </cell>
          <cell r="G541" t="str">
            <v>PRINCIPAL</v>
          </cell>
          <cell r="H541">
            <v>46004</v>
          </cell>
          <cell r="I541" t="str">
            <v>SALDO INICIAL</v>
          </cell>
          <cell r="J541">
            <v>49</v>
          </cell>
          <cell r="K541">
            <v>789.39</v>
          </cell>
          <cell r="L541">
            <v>16.11</v>
          </cell>
          <cell r="M541">
            <v>16.11</v>
          </cell>
          <cell r="N541" t="str">
            <v/>
          </cell>
          <cell r="O541" t="str">
            <v/>
          </cell>
          <cell r="P541" t="str">
            <v/>
          </cell>
          <cell r="Q541">
            <v>31</v>
          </cell>
          <cell r="R541" t="str">
            <v>UND</v>
          </cell>
          <cell r="S541">
            <v>0</v>
          </cell>
          <cell r="T541">
            <v>0</v>
          </cell>
          <cell r="U541" t="str">
            <v/>
          </cell>
          <cell r="V541" t="str">
            <v>PRO10</v>
          </cell>
          <cell r="W541">
            <v>0</v>
          </cell>
        </row>
        <row r="542">
          <cell r="C542" t="str">
            <v>INS3D4XXCYE7NG</v>
          </cell>
          <cell r="D542" t="str">
            <v>PRINC</v>
          </cell>
          <cell r="E542" t="str">
            <v>00017</v>
          </cell>
          <cell r="F542" t="str">
            <v>PIÑONES PLASTICOS</v>
          </cell>
          <cell r="G542" t="str">
            <v>PRINCIPAL</v>
          </cell>
          <cell r="H542">
            <v>46004</v>
          </cell>
          <cell r="I542" t="str">
            <v>SALDO INICIAL</v>
          </cell>
          <cell r="J542">
            <v>16</v>
          </cell>
          <cell r="K542">
            <v>548.32000000000005</v>
          </cell>
          <cell r="L542">
            <v>34.270000000000003</v>
          </cell>
          <cell r="M542">
            <v>34.270000000000003</v>
          </cell>
          <cell r="N542" t="str">
            <v/>
          </cell>
          <cell r="O542" t="str">
            <v/>
          </cell>
          <cell r="P542" t="str">
            <v/>
          </cell>
          <cell r="Q542">
            <v>43</v>
          </cell>
          <cell r="R542" t="str">
            <v>UND</v>
          </cell>
          <cell r="S542">
            <v>0</v>
          </cell>
          <cell r="T542">
            <v>0</v>
          </cell>
          <cell r="U542" t="str">
            <v/>
          </cell>
          <cell r="V542" t="str">
            <v>PRO10</v>
          </cell>
          <cell r="W542">
            <v>0</v>
          </cell>
        </row>
        <row r="543">
          <cell r="C543" t="str">
            <v>INS3D8G5DHE7NG</v>
          </cell>
          <cell r="D543" t="str">
            <v>PRINC</v>
          </cell>
          <cell r="E543" t="str">
            <v>00017</v>
          </cell>
          <cell r="F543" t="str">
            <v>PIÑONES PLASTICOS</v>
          </cell>
          <cell r="G543" t="str">
            <v>PRINCIPAL</v>
          </cell>
          <cell r="H543">
            <v>46004</v>
          </cell>
          <cell r="I543" t="str">
            <v>SALDO INICIAL</v>
          </cell>
          <cell r="J543">
            <v>27</v>
          </cell>
          <cell r="K543">
            <v>1569.51</v>
          </cell>
          <cell r="L543">
            <v>58.13</v>
          </cell>
          <cell r="M543">
            <v>58.13</v>
          </cell>
          <cell r="N543" t="str">
            <v/>
          </cell>
          <cell r="O543" t="str">
            <v/>
          </cell>
          <cell r="P543" t="str">
            <v/>
          </cell>
          <cell r="Q543">
            <v>92</v>
          </cell>
          <cell r="R543" t="str">
            <v>UND</v>
          </cell>
          <cell r="S543">
            <v>0</v>
          </cell>
          <cell r="T543">
            <v>0</v>
          </cell>
          <cell r="U543" t="str">
            <v/>
          </cell>
          <cell r="V543" t="str">
            <v>PRO10</v>
          </cell>
          <cell r="W543">
            <v>0</v>
          </cell>
        </row>
        <row r="544">
          <cell r="C544" t="str">
            <v>INS3D8G5CPE7NG</v>
          </cell>
          <cell r="D544" t="str">
            <v>PRINC</v>
          </cell>
          <cell r="E544" t="str">
            <v>00017</v>
          </cell>
          <cell r="F544" t="str">
            <v>PIÑONES PLASTICOS</v>
          </cell>
          <cell r="G544" t="str">
            <v>PRINCIPAL</v>
          </cell>
          <cell r="H544">
            <v>46004</v>
          </cell>
          <cell r="I544" t="str">
            <v>SALDO INICIAL</v>
          </cell>
          <cell r="J544">
            <v>90</v>
          </cell>
          <cell r="K544">
            <v>1867.5</v>
          </cell>
          <cell r="L544">
            <v>20.75</v>
          </cell>
          <cell r="M544">
            <v>20.75</v>
          </cell>
          <cell r="N544" t="str">
            <v/>
          </cell>
          <cell r="O544" t="str">
            <v/>
          </cell>
          <cell r="P544" t="str">
            <v/>
          </cell>
          <cell r="Q544">
            <v>38.9</v>
          </cell>
          <cell r="R544" t="str">
            <v>UND</v>
          </cell>
          <cell r="S544">
            <v>0</v>
          </cell>
          <cell r="T544">
            <v>0</v>
          </cell>
          <cell r="U544" t="str">
            <v/>
          </cell>
          <cell r="V544" t="str">
            <v>PRO10</v>
          </cell>
          <cell r="W544">
            <v>0</v>
          </cell>
        </row>
        <row r="545">
          <cell r="C545" t="str">
            <v>INS3D8G5DCE7NG</v>
          </cell>
          <cell r="D545" t="str">
            <v>PRINC</v>
          </cell>
          <cell r="E545" t="str">
            <v>00017</v>
          </cell>
          <cell r="F545" t="str">
            <v>PIÑONES PLASTICOS</v>
          </cell>
          <cell r="G545" t="str">
            <v>PRINCIPAL</v>
          </cell>
          <cell r="H545">
            <v>46004</v>
          </cell>
          <cell r="I545" t="str">
            <v>SALDO INICIAL</v>
          </cell>
          <cell r="J545">
            <v>4</v>
          </cell>
          <cell r="K545">
            <v>118.32</v>
          </cell>
          <cell r="L545">
            <v>29.58</v>
          </cell>
          <cell r="M545">
            <v>29.58</v>
          </cell>
          <cell r="N545" t="str">
            <v/>
          </cell>
          <cell r="O545" t="str">
            <v/>
          </cell>
          <cell r="P545" t="str">
            <v/>
          </cell>
          <cell r="Q545">
            <v>52</v>
          </cell>
          <cell r="R545" t="str">
            <v>UND</v>
          </cell>
          <cell r="S545">
            <v>0</v>
          </cell>
          <cell r="T545">
            <v>0</v>
          </cell>
          <cell r="U545" t="str">
            <v/>
          </cell>
          <cell r="V545" t="str">
            <v>PRO10</v>
          </cell>
          <cell r="W545">
            <v>0</v>
          </cell>
        </row>
        <row r="546">
          <cell r="C546" t="str">
            <v>INS3D8G5CIE7NG</v>
          </cell>
          <cell r="D546" t="str">
            <v>PRINC</v>
          </cell>
          <cell r="E546" t="str">
            <v>00017</v>
          </cell>
          <cell r="F546" t="str">
            <v>PIÑONES PLASTICOS</v>
          </cell>
          <cell r="G546" t="str">
            <v>PRINCIPAL</v>
          </cell>
          <cell r="H546">
            <v>46004</v>
          </cell>
          <cell r="I546" t="str">
            <v>SALDO INICIAL</v>
          </cell>
          <cell r="J546">
            <v>47</v>
          </cell>
          <cell r="K546">
            <v>782.55</v>
          </cell>
          <cell r="L546">
            <v>16.649999999999999</v>
          </cell>
          <cell r="M546">
            <v>16.649999999999999</v>
          </cell>
          <cell r="N546" t="str">
            <v/>
          </cell>
          <cell r="O546" t="str">
            <v/>
          </cell>
          <cell r="P546" t="str">
            <v/>
          </cell>
          <cell r="Q546">
            <v>31</v>
          </cell>
          <cell r="R546" t="str">
            <v>UND</v>
          </cell>
          <cell r="S546">
            <v>0</v>
          </cell>
          <cell r="T546">
            <v>0</v>
          </cell>
          <cell r="U546" t="str">
            <v/>
          </cell>
          <cell r="V546" t="str">
            <v>PRO10</v>
          </cell>
          <cell r="W546">
            <v>0</v>
          </cell>
        </row>
        <row r="547">
          <cell r="C547" t="str">
            <v>INS3D8G5CIE7MA</v>
          </cell>
          <cell r="D547" t="str">
            <v>PRINC</v>
          </cell>
          <cell r="E547" t="str">
            <v>00017</v>
          </cell>
          <cell r="F547" t="str">
            <v>PIÑONES PLASTICOS</v>
          </cell>
          <cell r="G547" t="str">
            <v>PRINCIPAL</v>
          </cell>
          <cell r="H547">
            <v>46004</v>
          </cell>
          <cell r="I547" t="str">
            <v>SALDO INICIAL</v>
          </cell>
          <cell r="J547">
            <v>2</v>
          </cell>
          <cell r="K547">
            <v>54.48</v>
          </cell>
          <cell r="L547">
            <v>0</v>
          </cell>
          <cell r="M547">
            <v>27.24</v>
          </cell>
          <cell r="N547" t="str">
            <v/>
          </cell>
          <cell r="O547" t="str">
            <v/>
          </cell>
          <cell r="P547" t="str">
            <v/>
          </cell>
          <cell r="Q547">
            <v>48</v>
          </cell>
          <cell r="R547" t="str">
            <v>UND</v>
          </cell>
          <cell r="S547">
            <v>0</v>
          </cell>
          <cell r="T547">
            <v>0</v>
          </cell>
          <cell r="U547" t="str">
            <v/>
          </cell>
          <cell r="V547" t="str">
            <v>PRO10</v>
          </cell>
          <cell r="W547">
            <v>0</v>
          </cell>
        </row>
        <row r="548">
          <cell r="C548" t="str">
            <v>INS3D8G5CPEMA</v>
          </cell>
          <cell r="D548" t="str">
            <v>PRINC</v>
          </cell>
          <cell r="E548" t="str">
            <v>00017</v>
          </cell>
          <cell r="F548" t="str">
            <v>PIÑONES PLASTICOS</v>
          </cell>
          <cell r="G548" t="str">
            <v>PRINCIPAL</v>
          </cell>
          <cell r="H548">
            <v>46004</v>
          </cell>
          <cell r="I548" t="str">
            <v>SALDO INICIAL</v>
          </cell>
          <cell r="J548">
            <v>71</v>
          </cell>
          <cell r="K548">
            <v>2487.84</v>
          </cell>
          <cell r="L548">
            <v>0</v>
          </cell>
          <cell r="M548">
            <v>35.04</v>
          </cell>
          <cell r="N548" t="str">
            <v/>
          </cell>
          <cell r="O548" t="str">
            <v/>
          </cell>
          <cell r="P548" t="str">
            <v/>
          </cell>
          <cell r="Q548">
            <v>62</v>
          </cell>
          <cell r="R548" t="str">
            <v>UND</v>
          </cell>
          <cell r="S548">
            <v>0</v>
          </cell>
          <cell r="T548">
            <v>0</v>
          </cell>
          <cell r="U548" t="str">
            <v/>
          </cell>
          <cell r="V548" t="str">
            <v>PRO10</v>
          </cell>
          <cell r="W548">
            <v>0</v>
          </cell>
        </row>
        <row r="549">
          <cell r="C549" t="str">
            <v>IN8050PACNEC1.5</v>
          </cell>
          <cell r="D549" t="str">
            <v>PRINC</v>
          </cell>
          <cell r="E549" t="str">
            <v>00017</v>
          </cell>
          <cell r="F549" t="str">
            <v>PIÑONES PLASTICOS</v>
          </cell>
          <cell r="G549" t="str">
            <v>PRINCIPAL</v>
          </cell>
          <cell r="H549">
            <v>46004</v>
          </cell>
          <cell r="I549" t="str">
            <v>SALDO INICIAL</v>
          </cell>
          <cell r="J549">
            <v>20</v>
          </cell>
          <cell r="K549">
            <v>609.4</v>
          </cell>
          <cell r="L549">
            <v>0</v>
          </cell>
          <cell r="M549">
            <v>30.47</v>
          </cell>
          <cell r="N549" t="str">
            <v/>
          </cell>
          <cell r="O549" t="str">
            <v/>
          </cell>
          <cell r="P549" t="str">
            <v/>
          </cell>
          <cell r="Q549">
            <v>44.2</v>
          </cell>
          <cell r="R549" t="str">
            <v>UND</v>
          </cell>
          <cell r="S549">
            <v>0</v>
          </cell>
          <cell r="T549">
            <v>0</v>
          </cell>
          <cell r="U549" t="str">
            <v/>
          </cell>
          <cell r="V549" t="str">
            <v>PRO10</v>
          </cell>
          <cell r="W549">
            <v>0</v>
          </cell>
        </row>
        <row r="550">
          <cell r="C550" t="str">
            <v>IN900PACEZ4.1EC</v>
          </cell>
          <cell r="D550" t="str">
            <v>PRINC</v>
          </cell>
          <cell r="E550" t="str">
            <v>00017</v>
          </cell>
          <cell r="F550" t="str">
            <v>PIÑONES PLASTICOS</v>
          </cell>
          <cell r="G550" t="str">
            <v>PRINCIPAL</v>
          </cell>
          <cell r="H550">
            <v>46004</v>
          </cell>
          <cell r="I550" t="str">
            <v>SALDO INICIAL</v>
          </cell>
          <cell r="J550">
            <v>33</v>
          </cell>
          <cell r="K550">
            <v>594.99</v>
          </cell>
          <cell r="L550">
            <v>18.03</v>
          </cell>
          <cell r="M550">
            <v>18.03</v>
          </cell>
          <cell r="N550" t="str">
            <v/>
          </cell>
          <cell r="O550" t="str">
            <v/>
          </cell>
          <cell r="P550" t="str">
            <v/>
          </cell>
          <cell r="Q550">
            <v>31</v>
          </cell>
          <cell r="R550" t="str">
            <v>UND</v>
          </cell>
          <cell r="S550">
            <v>0</v>
          </cell>
          <cell r="T550">
            <v>0</v>
          </cell>
          <cell r="U550" t="str">
            <v/>
          </cell>
          <cell r="V550" t="str">
            <v>PRO10</v>
          </cell>
          <cell r="W550">
            <v>0</v>
          </cell>
        </row>
        <row r="551">
          <cell r="C551" t="str">
            <v>INS3D9XXCJH5NG</v>
          </cell>
          <cell r="D551" t="str">
            <v>PRINC</v>
          </cell>
          <cell r="E551" t="str">
            <v>00017</v>
          </cell>
          <cell r="F551" t="str">
            <v>PIÑONES PLASTICOS</v>
          </cell>
          <cell r="G551" t="str">
            <v>PRINCIPAL</v>
          </cell>
          <cell r="H551">
            <v>46004</v>
          </cell>
          <cell r="I551" t="str">
            <v>SALDO INICIAL</v>
          </cell>
          <cell r="J551">
            <v>5</v>
          </cell>
          <cell r="K551">
            <v>93.95</v>
          </cell>
          <cell r="L551">
            <v>18.79</v>
          </cell>
          <cell r="M551">
            <v>18.79</v>
          </cell>
          <cell r="N551" t="str">
            <v/>
          </cell>
          <cell r="O551" t="str">
            <v/>
          </cell>
          <cell r="P551" t="str">
            <v/>
          </cell>
          <cell r="Q551">
            <v>31</v>
          </cell>
          <cell r="R551" t="str">
            <v>UND</v>
          </cell>
          <cell r="S551">
            <v>0</v>
          </cell>
          <cell r="T551">
            <v>0</v>
          </cell>
          <cell r="U551" t="str">
            <v/>
          </cell>
          <cell r="V551" t="str">
            <v>PRO10</v>
          </cell>
          <cell r="W551">
            <v>0</v>
          </cell>
        </row>
        <row r="552">
          <cell r="C552" t="str">
            <v>IN900PACEZ6.1EC</v>
          </cell>
          <cell r="D552" t="str">
            <v>PRINC</v>
          </cell>
          <cell r="E552" t="str">
            <v>00017</v>
          </cell>
          <cell r="F552" t="str">
            <v>PIÑONES PLASTICOS</v>
          </cell>
          <cell r="G552" t="str">
            <v>PRINCIPAL</v>
          </cell>
          <cell r="H552">
            <v>46004</v>
          </cell>
          <cell r="I552" t="str">
            <v>SALDO INICIAL</v>
          </cell>
          <cell r="J552">
            <v>88</v>
          </cell>
          <cell r="K552">
            <v>2264.2399999999998</v>
          </cell>
          <cell r="L552">
            <v>25.73</v>
          </cell>
          <cell r="M552">
            <v>25.73</v>
          </cell>
          <cell r="N552" t="str">
            <v/>
          </cell>
          <cell r="O552" t="str">
            <v/>
          </cell>
          <cell r="P552" t="str">
            <v/>
          </cell>
          <cell r="Q552">
            <v>43</v>
          </cell>
          <cell r="R552" t="str">
            <v>UND</v>
          </cell>
          <cell r="S552">
            <v>0</v>
          </cell>
          <cell r="T552">
            <v>0</v>
          </cell>
          <cell r="U552" t="str">
            <v/>
          </cell>
          <cell r="V552" t="str">
            <v>PRO10</v>
          </cell>
          <cell r="W552">
            <v>0</v>
          </cell>
        </row>
        <row r="553">
          <cell r="C553" t="str">
            <v>IN900PACN4.1ER2</v>
          </cell>
          <cell r="D553" t="str">
            <v>PRINC</v>
          </cell>
          <cell r="E553" t="str">
            <v>00017</v>
          </cell>
          <cell r="F553" t="str">
            <v>PIÑONES PLASTICOS</v>
          </cell>
          <cell r="G553" t="str">
            <v>PRINCIPAL</v>
          </cell>
          <cell r="H553">
            <v>46004</v>
          </cell>
          <cell r="I553" t="str">
            <v>SALDO INICIAL</v>
          </cell>
          <cell r="J553">
            <v>15</v>
          </cell>
          <cell r="K553">
            <v>281.85000000000002</v>
          </cell>
          <cell r="L553">
            <v>0</v>
          </cell>
          <cell r="M553">
            <v>18.79</v>
          </cell>
          <cell r="N553" t="str">
            <v/>
          </cell>
          <cell r="O553" t="str">
            <v/>
          </cell>
          <cell r="P553" t="str">
            <v/>
          </cell>
          <cell r="Q553">
            <v>31</v>
          </cell>
          <cell r="R553" t="str">
            <v>UND</v>
          </cell>
          <cell r="S553">
            <v>0</v>
          </cell>
          <cell r="T553">
            <v>0</v>
          </cell>
          <cell r="U553" t="str">
            <v/>
          </cell>
          <cell r="V553" t="str">
            <v>PRO10</v>
          </cell>
          <cell r="W553">
            <v>0</v>
          </cell>
        </row>
        <row r="554">
          <cell r="C554" t="str">
            <v>INS3D9XXCSH6NG</v>
          </cell>
          <cell r="D554" t="str">
            <v>PRINC</v>
          </cell>
          <cell r="E554" t="str">
            <v>00017</v>
          </cell>
          <cell r="F554" t="str">
            <v>PIÑONES PLASTICOS</v>
          </cell>
          <cell r="G554" t="str">
            <v>PRINCIPAL</v>
          </cell>
          <cell r="H554">
            <v>46004</v>
          </cell>
          <cell r="I554" t="str">
            <v>SALDO INICIAL</v>
          </cell>
          <cell r="J554">
            <v>71</v>
          </cell>
          <cell r="K554">
            <v>1401.54</v>
          </cell>
          <cell r="L554">
            <v>0</v>
          </cell>
          <cell r="M554">
            <v>19.739999999999998</v>
          </cell>
          <cell r="N554" t="str">
            <v/>
          </cell>
          <cell r="O554" t="str">
            <v/>
          </cell>
          <cell r="P554" t="str">
            <v/>
          </cell>
          <cell r="Q554">
            <v>37</v>
          </cell>
          <cell r="R554" t="str">
            <v>UND</v>
          </cell>
          <cell r="S554">
            <v>0</v>
          </cell>
          <cell r="T554">
            <v>0</v>
          </cell>
          <cell r="U554" t="str">
            <v/>
          </cell>
          <cell r="V554" t="str">
            <v>PRO10</v>
          </cell>
          <cell r="W554">
            <v>0</v>
          </cell>
        </row>
        <row r="555">
          <cell r="C555" t="str">
            <v>UN303382021NT</v>
          </cell>
          <cell r="D555" t="str">
            <v>PRINC</v>
          </cell>
          <cell r="E555" t="str">
            <v>00017</v>
          </cell>
          <cell r="F555" t="str">
            <v>PIÑONES PLASTICOS</v>
          </cell>
          <cell r="G555" t="str">
            <v>PRINCIPAL</v>
          </cell>
          <cell r="H555">
            <v>46004</v>
          </cell>
          <cell r="I555" t="str">
            <v>SALDO INICIAL</v>
          </cell>
          <cell r="J555">
            <v>7</v>
          </cell>
          <cell r="K555">
            <v>63</v>
          </cell>
          <cell r="L555">
            <v>0</v>
          </cell>
          <cell r="M555">
            <v>9</v>
          </cell>
          <cell r="N555" t="str">
            <v/>
          </cell>
          <cell r="O555" t="str">
            <v/>
          </cell>
          <cell r="P555" t="str">
            <v/>
          </cell>
          <cell r="Q555">
            <v>0</v>
          </cell>
          <cell r="R555" t="str">
            <v>UND</v>
          </cell>
          <cell r="S555">
            <v>0</v>
          </cell>
          <cell r="T555">
            <v>0</v>
          </cell>
          <cell r="U555" t="str">
            <v/>
          </cell>
          <cell r="V555" t="str">
            <v>PRO10</v>
          </cell>
          <cell r="W555">
            <v>0</v>
          </cell>
        </row>
        <row r="556">
          <cell r="C556" t="str">
            <v>PI1FROL303300</v>
          </cell>
          <cell r="D556" t="str">
            <v>PRINC</v>
          </cell>
          <cell r="E556" t="str">
            <v>00017</v>
          </cell>
          <cell r="F556" t="str">
            <v>PIÑONES PLASTICOS</v>
          </cell>
          <cell r="G556" t="str">
            <v>PRINCIPAL</v>
          </cell>
          <cell r="H556">
            <v>46004</v>
          </cell>
          <cell r="I556" t="str">
            <v>SALDO INICIAL</v>
          </cell>
          <cell r="J556">
            <v>1</v>
          </cell>
          <cell r="K556">
            <v>7.6</v>
          </cell>
          <cell r="L556">
            <v>7.6</v>
          </cell>
          <cell r="M556">
            <v>7.6</v>
          </cell>
          <cell r="N556" t="str">
            <v/>
          </cell>
          <cell r="O556" t="str">
            <v/>
          </cell>
          <cell r="P556" t="str">
            <v/>
          </cell>
          <cell r="Q556">
            <v>27.3</v>
          </cell>
          <cell r="R556" t="str">
            <v>UND</v>
          </cell>
          <cell r="S556">
            <v>0</v>
          </cell>
          <cell r="T556">
            <v>0</v>
          </cell>
          <cell r="U556" t="str">
            <v/>
          </cell>
          <cell r="V556" t="str">
            <v>PRO10</v>
          </cell>
          <cell r="W556">
            <v>0</v>
          </cell>
        </row>
        <row r="557">
          <cell r="C557" t="str">
            <v>RECMT032502502</v>
          </cell>
          <cell r="D557" t="str">
            <v>PRINC</v>
          </cell>
          <cell r="E557" t="str">
            <v>00017</v>
          </cell>
          <cell r="F557" t="str">
            <v>PIÑONES PLASTICOS</v>
          </cell>
          <cell r="G557" t="str">
            <v>PRINCIPAL</v>
          </cell>
          <cell r="H557">
            <v>46004</v>
          </cell>
          <cell r="I557" t="str">
            <v>SALDO INICIAL</v>
          </cell>
          <cell r="J557">
            <v>5</v>
          </cell>
          <cell r="K557">
            <v>30.5</v>
          </cell>
          <cell r="L557">
            <v>6.1</v>
          </cell>
          <cell r="M557">
            <v>6.1</v>
          </cell>
          <cell r="N557" t="str">
            <v/>
          </cell>
          <cell r="O557" t="str">
            <v/>
          </cell>
          <cell r="P557" t="str">
            <v/>
          </cell>
          <cell r="Q557">
            <v>21</v>
          </cell>
          <cell r="R557" t="str">
            <v>UND</v>
          </cell>
          <cell r="S557">
            <v>0</v>
          </cell>
          <cell r="T557">
            <v>0</v>
          </cell>
          <cell r="U557" t="str">
            <v/>
          </cell>
          <cell r="V557" t="str">
            <v>PRO10</v>
          </cell>
          <cell r="W557">
            <v>0</v>
          </cell>
        </row>
        <row r="558">
          <cell r="C558" t="str">
            <v>RECMT032502503</v>
          </cell>
          <cell r="D558" t="str">
            <v>PRINC</v>
          </cell>
          <cell r="E558" t="str">
            <v>00017</v>
          </cell>
          <cell r="F558" t="str">
            <v>PIÑONES PLASTICOS</v>
          </cell>
          <cell r="G558" t="str">
            <v>PRINCIPAL</v>
          </cell>
          <cell r="H558">
            <v>46004</v>
          </cell>
          <cell r="I558" t="str">
            <v>SALDO INICIAL</v>
          </cell>
          <cell r="J558">
            <v>15</v>
          </cell>
          <cell r="K558">
            <v>128.61932999999999</v>
          </cell>
          <cell r="L558">
            <v>8.56</v>
          </cell>
          <cell r="M558">
            <v>8.5746219999999997</v>
          </cell>
          <cell r="N558" t="str">
            <v/>
          </cell>
          <cell r="O558" t="str">
            <v/>
          </cell>
          <cell r="P558" t="str">
            <v/>
          </cell>
          <cell r="Q558">
            <v>21</v>
          </cell>
          <cell r="R558" t="str">
            <v>UND</v>
          </cell>
          <cell r="S558">
            <v>0</v>
          </cell>
          <cell r="T558">
            <v>0</v>
          </cell>
          <cell r="U558" t="str">
            <v/>
          </cell>
          <cell r="V558" t="str">
            <v>PRO10</v>
          </cell>
          <cell r="W558">
            <v>0</v>
          </cell>
        </row>
        <row r="559">
          <cell r="C559" t="str">
            <v>RECMT032502504</v>
          </cell>
          <cell r="D559" t="str">
            <v>PRINC</v>
          </cell>
          <cell r="E559" t="str">
            <v>00017</v>
          </cell>
          <cell r="F559" t="str">
            <v>PIÑONES PLASTICOS</v>
          </cell>
          <cell r="G559" t="str">
            <v>PRINCIPAL</v>
          </cell>
          <cell r="H559">
            <v>46004</v>
          </cell>
          <cell r="I559" t="str">
            <v>SALDO INICIAL</v>
          </cell>
          <cell r="J559">
            <v>-1</v>
          </cell>
          <cell r="K559">
            <v>-6.1</v>
          </cell>
          <cell r="L559">
            <v>6.1</v>
          </cell>
          <cell r="M559">
            <v>6.1</v>
          </cell>
          <cell r="N559" t="str">
            <v/>
          </cell>
          <cell r="O559" t="str">
            <v/>
          </cell>
          <cell r="P559" t="str">
            <v/>
          </cell>
          <cell r="Q559">
            <v>21</v>
          </cell>
          <cell r="R559" t="str">
            <v>UND</v>
          </cell>
          <cell r="S559">
            <v>0</v>
          </cell>
          <cell r="T559">
            <v>0</v>
          </cell>
          <cell r="U559" t="str">
            <v/>
          </cell>
          <cell r="V559" t="str">
            <v>PRO10</v>
          </cell>
          <cell r="W559">
            <v>0</v>
          </cell>
        </row>
        <row r="560">
          <cell r="C560" t="str">
            <v>RECMTS048152140</v>
          </cell>
          <cell r="D560" t="str">
            <v>PRINC</v>
          </cell>
          <cell r="E560" t="str">
            <v>00017</v>
          </cell>
          <cell r="F560" t="str">
            <v>PIÑONES PLASTICOS</v>
          </cell>
          <cell r="G560" t="str">
            <v>PRINCIPAL</v>
          </cell>
          <cell r="H560">
            <v>46004</v>
          </cell>
          <cell r="I560" t="str">
            <v>SALDO INICIAL</v>
          </cell>
          <cell r="J560">
            <v>6</v>
          </cell>
          <cell r="K560">
            <v>72</v>
          </cell>
          <cell r="L560">
            <v>12</v>
          </cell>
          <cell r="M560">
            <v>12</v>
          </cell>
          <cell r="N560" t="str">
            <v/>
          </cell>
          <cell r="O560" t="str">
            <v/>
          </cell>
          <cell r="P560" t="str">
            <v/>
          </cell>
          <cell r="Q560">
            <v>20</v>
          </cell>
          <cell r="R560" t="str">
            <v>UND</v>
          </cell>
          <cell r="S560">
            <v>0</v>
          </cell>
          <cell r="T560">
            <v>0</v>
          </cell>
          <cell r="U560" t="str">
            <v/>
          </cell>
          <cell r="V560" t="str">
            <v>PRO10</v>
          </cell>
          <cell r="W560">
            <v>0</v>
          </cell>
        </row>
        <row r="561">
          <cell r="C561" t="str">
            <v>RECMTS048152330</v>
          </cell>
          <cell r="D561" t="str">
            <v>PRINC</v>
          </cell>
          <cell r="E561" t="str">
            <v>00017</v>
          </cell>
          <cell r="F561" t="str">
            <v>PIÑONES PLASTICOS</v>
          </cell>
          <cell r="G561" t="str">
            <v>PRINCIPAL</v>
          </cell>
          <cell r="H561">
            <v>46004</v>
          </cell>
          <cell r="I561" t="str">
            <v>SALDO INICIAL</v>
          </cell>
          <cell r="J561">
            <v>4</v>
          </cell>
          <cell r="K561">
            <v>51.56</v>
          </cell>
          <cell r="L561">
            <v>12.89</v>
          </cell>
          <cell r="M561">
            <v>12.89</v>
          </cell>
          <cell r="N561" t="str">
            <v/>
          </cell>
          <cell r="O561" t="str">
            <v/>
          </cell>
          <cell r="P561" t="str">
            <v/>
          </cell>
          <cell r="Q561">
            <v>21.5</v>
          </cell>
          <cell r="R561" t="str">
            <v>UND</v>
          </cell>
          <cell r="S561">
            <v>0</v>
          </cell>
          <cell r="T561">
            <v>0</v>
          </cell>
          <cell r="U561" t="str">
            <v/>
          </cell>
          <cell r="V561" t="str">
            <v>PRO10</v>
          </cell>
          <cell r="W561">
            <v>0</v>
          </cell>
        </row>
        <row r="562">
          <cell r="C562" t="str">
            <v>RECMTS048152540</v>
          </cell>
          <cell r="D562" t="str">
            <v>PRINC</v>
          </cell>
          <cell r="E562" t="str">
            <v>00017</v>
          </cell>
          <cell r="F562" t="str">
            <v>PIÑONES PLASTICOS</v>
          </cell>
          <cell r="G562" t="str">
            <v>PRINCIPAL</v>
          </cell>
          <cell r="H562">
            <v>46004</v>
          </cell>
          <cell r="I562" t="str">
            <v>SALDO INICIAL</v>
          </cell>
          <cell r="J562">
            <v>43</v>
          </cell>
          <cell r="K562">
            <v>670.8</v>
          </cell>
          <cell r="L562">
            <v>15.6</v>
          </cell>
          <cell r="M562">
            <v>15.6</v>
          </cell>
          <cell r="N562" t="str">
            <v/>
          </cell>
          <cell r="O562" t="str">
            <v/>
          </cell>
          <cell r="P562" t="str">
            <v/>
          </cell>
          <cell r="Q562">
            <v>23</v>
          </cell>
          <cell r="R562" t="str">
            <v>UND</v>
          </cell>
          <cell r="S562">
            <v>0</v>
          </cell>
          <cell r="T562">
            <v>0</v>
          </cell>
          <cell r="U562" t="str">
            <v/>
          </cell>
          <cell r="V562" t="str">
            <v>PRO10</v>
          </cell>
          <cell r="W562">
            <v>0</v>
          </cell>
        </row>
        <row r="563">
          <cell r="C563" t="str">
            <v>UN303382021DIW</v>
          </cell>
          <cell r="D563" t="str">
            <v>PRINC</v>
          </cell>
          <cell r="E563" t="str">
            <v>00017</v>
          </cell>
          <cell r="F563" t="str">
            <v>PIÑONES PLASTICOS</v>
          </cell>
          <cell r="G563" t="str">
            <v>PRINCIPAL</v>
          </cell>
          <cell r="H563">
            <v>46004</v>
          </cell>
          <cell r="I563" t="str">
            <v>SALDO INICIAL</v>
          </cell>
          <cell r="J563">
            <v>6</v>
          </cell>
          <cell r="K563">
            <v>36</v>
          </cell>
          <cell r="L563">
            <v>0</v>
          </cell>
          <cell r="M563">
            <v>6</v>
          </cell>
          <cell r="N563" t="str">
            <v/>
          </cell>
          <cell r="O563" t="str">
            <v/>
          </cell>
          <cell r="P563" t="str">
            <v/>
          </cell>
          <cell r="Q563">
            <v>0</v>
          </cell>
          <cell r="R563" t="str">
            <v>UND</v>
          </cell>
          <cell r="S563">
            <v>0</v>
          </cell>
          <cell r="T563">
            <v>0</v>
          </cell>
          <cell r="U563" t="str">
            <v/>
          </cell>
          <cell r="V563" t="str">
            <v>PRO10</v>
          </cell>
          <cell r="W563">
            <v>0</v>
          </cell>
        </row>
        <row r="564">
          <cell r="C564" t="str">
            <v>WI221113</v>
          </cell>
          <cell r="D564" t="str">
            <v>PRINC</v>
          </cell>
          <cell r="E564" t="str">
            <v>00018</v>
          </cell>
          <cell r="F564" t="str">
            <v>REPUESTOS</v>
          </cell>
          <cell r="G564" t="str">
            <v>PRINCIPAL</v>
          </cell>
          <cell r="H564">
            <v>46004</v>
          </cell>
          <cell r="I564" t="str">
            <v>SALDO INICIAL</v>
          </cell>
          <cell r="J564">
            <v>1</v>
          </cell>
          <cell r="K564">
            <v>977.88</v>
          </cell>
          <cell r="L564">
            <v>0</v>
          </cell>
          <cell r="M564">
            <v>977.88</v>
          </cell>
          <cell r="N564" t="str">
            <v/>
          </cell>
          <cell r="O564" t="str">
            <v/>
          </cell>
          <cell r="P564" t="str">
            <v/>
          </cell>
          <cell r="Q564">
            <v>0</v>
          </cell>
          <cell r="R564" t="str">
            <v>UND</v>
          </cell>
          <cell r="S564">
            <v>0</v>
          </cell>
          <cell r="T564">
            <v>0</v>
          </cell>
          <cell r="U564" t="str">
            <v/>
          </cell>
          <cell r="V564" t="str">
            <v>PRO10</v>
          </cell>
          <cell r="W564">
            <v>0</v>
          </cell>
        </row>
        <row r="565">
          <cell r="C565" t="str">
            <v>WI547131</v>
          </cell>
          <cell r="D565" t="str">
            <v>PRINC</v>
          </cell>
          <cell r="E565" t="str">
            <v>00018</v>
          </cell>
          <cell r="F565" t="str">
            <v>REPUESTOS</v>
          </cell>
          <cell r="G565" t="str">
            <v>PRINCIPAL</v>
          </cell>
          <cell r="H565">
            <v>46004</v>
          </cell>
          <cell r="I565" t="str">
            <v>SALDO INICIAL</v>
          </cell>
          <cell r="J565">
            <v>1</v>
          </cell>
          <cell r="K565">
            <v>12.371166000000001</v>
          </cell>
          <cell r="L565">
            <v>12.271000000000001</v>
          </cell>
          <cell r="M565">
            <v>12.371166000000001</v>
          </cell>
          <cell r="N565" t="str">
            <v/>
          </cell>
          <cell r="O565" t="str">
            <v/>
          </cell>
          <cell r="P565" t="str">
            <v/>
          </cell>
          <cell r="Q565">
            <v>0</v>
          </cell>
          <cell r="R565" t="str">
            <v>UND</v>
          </cell>
          <cell r="S565">
            <v>0</v>
          </cell>
          <cell r="T565">
            <v>0</v>
          </cell>
          <cell r="U565" t="str">
            <v/>
          </cell>
          <cell r="V565" t="str">
            <v>PRO10</v>
          </cell>
          <cell r="W565">
            <v>0</v>
          </cell>
        </row>
        <row r="566">
          <cell r="C566" t="str">
            <v>HI451594</v>
          </cell>
          <cell r="D566" t="str">
            <v>PRINC</v>
          </cell>
          <cell r="E566" t="str">
            <v>00018</v>
          </cell>
          <cell r="F566" t="str">
            <v>REPUESTOS</v>
          </cell>
          <cell r="G566" t="str">
            <v>PRINCIPAL</v>
          </cell>
          <cell r="H566">
            <v>46004</v>
          </cell>
          <cell r="I566" t="str">
            <v>SALDO INICIAL</v>
          </cell>
          <cell r="J566">
            <v>18.5</v>
          </cell>
          <cell r="K566">
            <v>169.65494200000001</v>
          </cell>
          <cell r="L566">
            <v>9.1705380000000005</v>
          </cell>
          <cell r="M566">
            <v>9.1705374049999993</v>
          </cell>
          <cell r="N566" t="str">
            <v/>
          </cell>
          <cell r="O566" t="str">
            <v/>
          </cell>
          <cell r="P566" t="str">
            <v/>
          </cell>
          <cell r="Q566">
            <v>0</v>
          </cell>
          <cell r="R566" t="str">
            <v>UND</v>
          </cell>
          <cell r="S566">
            <v>0</v>
          </cell>
          <cell r="T566">
            <v>0</v>
          </cell>
          <cell r="U566" t="str">
            <v/>
          </cell>
          <cell r="V566" t="str">
            <v>PRO10</v>
          </cell>
          <cell r="W566">
            <v>0</v>
          </cell>
        </row>
        <row r="567">
          <cell r="C567" t="str">
            <v>AUSSF0N0A</v>
          </cell>
          <cell r="D567" t="str">
            <v>PRINC</v>
          </cell>
          <cell r="E567" t="str">
            <v>00018</v>
          </cell>
          <cell r="F567" t="str">
            <v>REPUESTOS</v>
          </cell>
          <cell r="G567" t="str">
            <v>PRINCIPAL</v>
          </cell>
          <cell r="H567">
            <v>46004</v>
          </cell>
          <cell r="I567" t="str">
            <v>SALDO INICIAL</v>
          </cell>
          <cell r="J567">
            <v>8</v>
          </cell>
          <cell r="K567">
            <v>577.49966900000004</v>
          </cell>
          <cell r="L567">
            <v>71.999356000000006</v>
          </cell>
          <cell r="M567">
            <v>72.187458625000005</v>
          </cell>
          <cell r="N567" t="str">
            <v/>
          </cell>
          <cell r="O567" t="str">
            <v/>
          </cell>
          <cell r="P567" t="str">
            <v/>
          </cell>
          <cell r="Q567">
            <v>139.69999999999999</v>
          </cell>
          <cell r="R567" t="str">
            <v>UND</v>
          </cell>
          <cell r="S567">
            <v>0</v>
          </cell>
          <cell r="T567">
            <v>0</v>
          </cell>
          <cell r="U567" t="str">
            <v/>
          </cell>
          <cell r="V567" t="str">
            <v>PRO10</v>
          </cell>
          <cell r="W567">
            <v>0</v>
          </cell>
        </row>
        <row r="568">
          <cell r="C568" t="str">
            <v>AUF1812-0N-0E</v>
          </cell>
          <cell r="D568" t="str">
            <v>PRINC</v>
          </cell>
          <cell r="E568" t="str">
            <v>00018</v>
          </cell>
          <cell r="F568" t="str">
            <v>REPUESTOS</v>
          </cell>
          <cell r="G568" t="str">
            <v>PRINCIPAL</v>
          </cell>
          <cell r="H568">
            <v>46004</v>
          </cell>
          <cell r="I568" t="str">
            <v>SALDO INICIAL</v>
          </cell>
          <cell r="J568">
            <v>1</v>
          </cell>
          <cell r="K568">
            <v>35</v>
          </cell>
          <cell r="L568">
            <v>35</v>
          </cell>
          <cell r="M568">
            <v>35</v>
          </cell>
          <cell r="N568" t="str">
            <v/>
          </cell>
          <cell r="O568" t="str">
            <v/>
          </cell>
          <cell r="P568" t="str">
            <v/>
          </cell>
          <cell r="Q568">
            <v>135.80000000000001</v>
          </cell>
          <cell r="R568" t="str">
            <v>UND</v>
          </cell>
          <cell r="S568">
            <v>0</v>
          </cell>
          <cell r="T568">
            <v>0</v>
          </cell>
          <cell r="U568" t="str">
            <v/>
          </cell>
          <cell r="V568" t="str">
            <v>PRO10</v>
          </cell>
          <cell r="W568">
            <v>0</v>
          </cell>
        </row>
        <row r="569">
          <cell r="C569" t="str">
            <v>AUKSMAP4H</v>
          </cell>
          <cell r="D569" t="str">
            <v>PRINC</v>
          </cell>
          <cell r="E569" t="str">
            <v>00018</v>
          </cell>
          <cell r="F569" t="str">
            <v>REPUESTOS</v>
          </cell>
          <cell r="G569" t="str">
            <v>PRINCIPAL</v>
          </cell>
          <cell r="H569">
            <v>46004</v>
          </cell>
          <cell r="I569" t="str">
            <v>SALDO INICIAL</v>
          </cell>
          <cell r="J569">
            <v>2</v>
          </cell>
          <cell r="K569">
            <v>57.692</v>
          </cell>
          <cell r="L569">
            <v>28.846</v>
          </cell>
          <cell r="M569">
            <v>28.846</v>
          </cell>
          <cell r="N569" t="str">
            <v/>
          </cell>
          <cell r="O569" t="str">
            <v/>
          </cell>
          <cell r="P569" t="str">
            <v/>
          </cell>
          <cell r="Q569">
            <v>0</v>
          </cell>
          <cell r="R569" t="str">
            <v>UND</v>
          </cell>
          <cell r="S569">
            <v>0</v>
          </cell>
          <cell r="T569">
            <v>0</v>
          </cell>
          <cell r="U569" t="str">
            <v/>
          </cell>
          <cell r="V569" t="str">
            <v>PRO10</v>
          </cell>
          <cell r="W569">
            <v>0</v>
          </cell>
        </row>
        <row r="570">
          <cell r="C570" t="str">
            <v>TRLERC19626</v>
          </cell>
          <cell r="D570" t="str">
            <v>PRINC</v>
          </cell>
          <cell r="E570" t="str">
            <v>00018</v>
          </cell>
          <cell r="F570" t="str">
            <v>REPUESTOS</v>
          </cell>
          <cell r="G570" t="str">
            <v>PRINCIPAL</v>
          </cell>
          <cell r="H570">
            <v>46004</v>
          </cell>
          <cell r="I570" t="str">
            <v>SALDO INICIAL</v>
          </cell>
          <cell r="J570">
            <v>3</v>
          </cell>
          <cell r="K570">
            <v>479.11</v>
          </cell>
          <cell r="L570">
            <v>0</v>
          </cell>
          <cell r="M570">
            <v>159.70333333299999</v>
          </cell>
          <cell r="N570" t="str">
            <v/>
          </cell>
          <cell r="O570" t="str">
            <v/>
          </cell>
          <cell r="P570" t="str">
            <v/>
          </cell>
          <cell r="Q570">
            <v>0</v>
          </cell>
          <cell r="R570" t="str">
            <v>UND</v>
          </cell>
          <cell r="S570">
            <v>0</v>
          </cell>
          <cell r="T570">
            <v>0</v>
          </cell>
          <cell r="U570" t="str">
            <v/>
          </cell>
          <cell r="V570" t="str">
            <v>PRO10</v>
          </cell>
          <cell r="W570">
            <v>0</v>
          </cell>
        </row>
        <row r="571">
          <cell r="C571" t="str">
            <v>HI451604</v>
          </cell>
          <cell r="D571" t="str">
            <v>PRINC</v>
          </cell>
          <cell r="E571" t="str">
            <v>00018</v>
          </cell>
          <cell r="F571" t="str">
            <v>REPUESTOS</v>
          </cell>
          <cell r="G571" t="str">
            <v>PRINCIPAL</v>
          </cell>
          <cell r="H571">
            <v>46004</v>
          </cell>
          <cell r="I571" t="str">
            <v>SALDO INICIAL</v>
          </cell>
          <cell r="J571">
            <v>2</v>
          </cell>
          <cell r="K571">
            <v>43.5</v>
          </cell>
          <cell r="L571">
            <v>0</v>
          </cell>
          <cell r="M571">
            <v>21.75</v>
          </cell>
          <cell r="N571" t="str">
            <v/>
          </cell>
          <cell r="O571" t="str">
            <v/>
          </cell>
          <cell r="P571" t="str">
            <v/>
          </cell>
          <cell r="Q571">
            <v>0</v>
          </cell>
          <cell r="R571" t="str">
            <v>UND</v>
          </cell>
          <cell r="S571">
            <v>0</v>
          </cell>
          <cell r="T571">
            <v>0</v>
          </cell>
          <cell r="U571" t="str">
            <v/>
          </cell>
          <cell r="V571" t="str">
            <v>PRO10</v>
          </cell>
          <cell r="W571">
            <v>0</v>
          </cell>
        </row>
        <row r="572">
          <cell r="C572" t="str">
            <v>HI451494</v>
          </cell>
          <cell r="D572" t="str">
            <v>PRINC</v>
          </cell>
          <cell r="E572" t="str">
            <v>00018</v>
          </cell>
          <cell r="F572" t="str">
            <v>REPUESTOS</v>
          </cell>
          <cell r="G572" t="str">
            <v>PRINCIPAL</v>
          </cell>
          <cell r="H572">
            <v>46004</v>
          </cell>
          <cell r="I572" t="str">
            <v>SALDO INICIAL</v>
          </cell>
          <cell r="J572">
            <v>5</v>
          </cell>
          <cell r="K572">
            <v>95.9</v>
          </cell>
          <cell r="L572">
            <v>0</v>
          </cell>
          <cell r="M572">
            <v>19.18</v>
          </cell>
          <cell r="N572" t="str">
            <v/>
          </cell>
          <cell r="O572" t="str">
            <v/>
          </cell>
          <cell r="P572" t="str">
            <v/>
          </cell>
          <cell r="Q572">
            <v>54.4</v>
          </cell>
          <cell r="R572" t="str">
            <v>UND</v>
          </cell>
          <cell r="S572">
            <v>0</v>
          </cell>
          <cell r="T572">
            <v>0</v>
          </cell>
          <cell r="U572" t="str">
            <v/>
          </cell>
          <cell r="V572" t="str">
            <v>PRO10</v>
          </cell>
          <cell r="W572">
            <v>0</v>
          </cell>
        </row>
        <row r="573">
          <cell r="C573" t="str">
            <v>HI451495</v>
          </cell>
          <cell r="D573" t="str">
            <v>PRINC</v>
          </cell>
          <cell r="E573" t="str">
            <v>00018</v>
          </cell>
          <cell r="F573" t="str">
            <v>REPUESTOS</v>
          </cell>
          <cell r="G573" t="str">
            <v>PRINCIPAL</v>
          </cell>
          <cell r="H573">
            <v>46004</v>
          </cell>
          <cell r="I573" t="str">
            <v>SALDO INICIAL</v>
          </cell>
          <cell r="J573">
            <v>5</v>
          </cell>
          <cell r="K573">
            <v>95.9</v>
          </cell>
          <cell r="L573">
            <v>0</v>
          </cell>
          <cell r="M573">
            <v>19.18</v>
          </cell>
          <cell r="N573" t="str">
            <v/>
          </cell>
          <cell r="O573" t="str">
            <v/>
          </cell>
          <cell r="P573" t="str">
            <v/>
          </cell>
          <cell r="Q573">
            <v>54.4</v>
          </cell>
          <cell r="R573" t="str">
            <v>UND</v>
          </cell>
          <cell r="S573">
            <v>0</v>
          </cell>
          <cell r="T573">
            <v>0</v>
          </cell>
          <cell r="U573" t="str">
            <v/>
          </cell>
          <cell r="V573" t="str">
            <v>PRO10</v>
          </cell>
          <cell r="W573">
            <v>0</v>
          </cell>
        </row>
        <row r="574">
          <cell r="C574" t="str">
            <v>WI2L200</v>
          </cell>
          <cell r="D574" t="str">
            <v>PRINC</v>
          </cell>
          <cell r="E574" t="str">
            <v>00018</v>
          </cell>
          <cell r="F574" t="str">
            <v>REPUESTOS</v>
          </cell>
          <cell r="G574" t="str">
            <v>PRINCIPAL</v>
          </cell>
          <cell r="H574">
            <v>46004</v>
          </cell>
          <cell r="I574" t="str">
            <v>SALDO INICIAL</v>
          </cell>
          <cell r="J574">
            <v>17</v>
          </cell>
          <cell r="K574">
            <v>94.950660999999997</v>
          </cell>
          <cell r="L574">
            <v>5.5853330000000003</v>
          </cell>
          <cell r="M574">
            <v>5.5853330000000003</v>
          </cell>
          <cell r="N574" t="str">
            <v/>
          </cell>
          <cell r="O574" t="str">
            <v/>
          </cell>
          <cell r="P574" t="str">
            <v/>
          </cell>
          <cell r="Q574">
            <v>47.7</v>
          </cell>
          <cell r="R574" t="str">
            <v>UND</v>
          </cell>
          <cell r="S574">
            <v>0</v>
          </cell>
          <cell r="T574">
            <v>0</v>
          </cell>
          <cell r="U574" t="str">
            <v/>
          </cell>
          <cell r="V574" t="str">
            <v>PRO10</v>
          </cell>
          <cell r="W574">
            <v>0</v>
          </cell>
        </row>
        <row r="575">
          <cell r="C575" t="str">
            <v>KE2L140</v>
          </cell>
          <cell r="D575" t="str">
            <v>PRINC</v>
          </cell>
          <cell r="E575" t="str">
            <v>00018</v>
          </cell>
          <cell r="F575" t="str">
            <v>REPUESTOS</v>
          </cell>
          <cell r="G575" t="str">
            <v>PRINCIPAL</v>
          </cell>
          <cell r="H575">
            <v>46004</v>
          </cell>
          <cell r="I575" t="str">
            <v>SALDO INICIAL</v>
          </cell>
          <cell r="J575">
            <v>13</v>
          </cell>
          <cell r="K575">
            <v>57.431114000000001</v>
          </cell>
          <cell r="L575">
            <v>4.4177780000000002</v>
          </cell>
          <cell r="M575">
            <v>4.4177780000000002</v>
          </cell>
          <cell r="N575" t="str">
            <v/>
          </cell>
          <cell r="O575" t="str">
            <v/>
          </cell>
          <cell r="P575" t="str">
            <v/>
          </cell>
          <cell r="Q575">
            <v>55.3</v>
          </cell>
          <cell r="R575" t="str">
            <v>UND</v>
          </cell>
          <cell r="S575">
            <v>0</v>
          </cell>
          <cell r="T575">
            <v>0</v>
          </cell>
          <cell r="U575" t="str">
            <v/>
          </cell>
          <cell r="V575" t="str">
            <v>PRO10</v>
          </cell>
          <cell r="W575">
            <v>0</v>
          </cell>
        </row>
        <row r="576">
          <cell r="C576" t="str">
            <v>W100-0210-110</v>
          </cell>
          <cell r="D576" t="str">
            <v>PRINC</v>
          </cell>
          <cell r="E576" t="str">
            <v>00018</v>
          </cell>
          <cell r="F576" t="str">
            <v>REPUESTOS</v>
          </cell>
          <cell r="G576" t="str">
            <v>PRINCIPAL</v>
          </cell>
          <cell r="H576">
            <v>46004</v>
          </cell>
          <cell r="I576" t="str">
            <v>SALDO INICIAL</v>
          </cell>
          <cell r="J576">
            <v>1</v>
          </cell>
          <cell r="K576">
            <v>11.2</v>
          </cell>
          <cell r="L576">
            <v>11.2</v>
          </cell>
          <cell r="M576">
            <v>11.2</v>
          </cell>
          <cell r="N576" t="str">
            <v/>
          </cell>
          <cell r="O576" t="str">
            <v/>
          </cell>
          <cell r="P576" t="str">
            <v/>
          </cell>
          <cell r="Q576">
            <v>27.8</v>
          </cell>
          <cell r="R576" t="str">
            <v>UND</v>
          </cell>
          <cell r="S576">
            <v>0</v>
          </cell>
          <cell r="T576">
            <v>0</v>
          </cell>
          <cell r="U576" t="str">
            <v/>
          </cell>
          <cell r="V576" t="str">
            <v>PRO10</v>
          </cell>
          <cell r="W576">
            <v>0</v>
          </cell>
        </row>
        <row r="577">
          <cell r="C577" t="str">
            <v>KE130XL037</v>
          </cell>
          <cell r="D577" t="str">
            <v>PRINC</v>
          </cell>
          <cell r="E577" t="str">
            <v>00018</v>
          </cell>
          <cell r="F577" t="str">
            <v>REPUESTOS</v>
          </cell>
          <cell r="G577" t="str">
            <v>PRINCIPAL</v>
          </cell>
          <cell r="H577">
            <v>46004</v>
          </cell>
          <cell r="I577" t="str">
            <v>SALDO INICIAL</v>
          </cell>
          <cell r="J577">
            <v>14</v>
          </cell>
          <cell r="K577">
            <v>60.508749000000002</v>
          </cell>
          <cell r="L577">
            <v>4.3220539999999996</v>
          </cell>
          <cell r="M577">
            <v>4.3220535</v>
          </cell>
          <cell r="N577" t="str">
            <v/>
          </cell>
          <cell r="O577" t="str">
            <v/>
          </cell>
          <cell r="P577" t="str">
            <v/>
          </cell>
          <cell r="Q577">
            <v>47.2</v>
          </cell>
          <cell r="R577" t="str">
            <v>UND</v>
          </cell>
          <cell r="S577">
            <v>0</v>
          </cell>
          <cell r="T577">
            <v>0</v>
          </cell>
          <cell r="U577" t="str">
            <v/>
          </cell>
          <cell r="V577" t="str">
            <v>PRO10</v>
          </cell>
          <cell r="W577">
            <v>0</v>
          </cell>
        </row>
        <row r="578">
          <cell r="C578" t="str">
            <v>WI243141</v>
          </cell>
          <cell r="D578" t="str">
            <v>PRINC</v>
          </cell>
          <cell r="E578" t="str">
            <v>00018</v>
          </cell>
          <cell r="F578" t="str">
            <v>REPUESTOS</v>
          </cell>
          <cell r="G578" t="str">
            <v>PRINCIPAL</v>
          </cell>
          <cell r="H578">
            <v>46004</v>
          </cell>
          <cell r="I578" t="str">
            <v>SALDO INICIAL</v>
          </cell>
          <cell r="J578">
            <v>7</v>
          </cell>
          <cell r="K578">
            <v>1587.6</v>
          </cell>
          <cell r="L578">
            <v>226.8</v>
          </cell>
          <cell r="M578">
            <v>226.8</v>
          </cell>
          <cell r="N578" t="str">
            <v/>
          </cell>
          <cell r="O578" t="str">
            <v/>
          </cell>
          <cell r="P578" t="str">
            <v/>
          </cell>
          <cell r="Q578">
            <v>892</v>
          </cell>
          <cell r="R578" t="str">
            <v>UND</v>
          </cell>
          <cell r="S578">
            <v>0</v>
          </cell>
          <cell r="T578">
            <v>0</v>
          </cell>
          <cell r="U578" t="str">
            <v/>
          </cell>
          <cell r="V578" t="str">
            <v>PRO10</v>
          </cell>
          <cell r="W578">
            <v>0</v>
          </cell>
        </row>
        <row r="579">
          <cell r="C579" t="str">
            <v>BLIMPIEZA</v>
          </cell>
          <cell r="D579" t="str">
            <v>PRINC</v>
          </cell>
          <cell r="E579" t="str">
            <v>00018</v>
          </cell>
          <cell r="F579" t="str">
            <v>REPUESTOS</v>
          </cell>
          <cell r="G579" t="str">
            <v>PRINCIPAL</v>
          </cell>
          <cell r="H579">
            <v>46004</v>
          </cell>
          <cell r="I579" t="str">
            <v>SALDO INICIAL</v>
          </cell>
          <cell r="J579">
            <v>11</v>
          </cell>
          <cell r="K579">
            <v>21.961404999999999</v>
          </cell>
          <cell r="L579">
            <v>1.9964919999999999</v>
          </cell>
          <cell r="M579">
            <v>1.9964913639999999</v>
          </cell>
          <cell r="N579" t="str">
            <v/>
          </cell>
          <cell r="O579" t="str">
            <v/>
          </cell>
          <cell r="P579" t="str">
            <v/>
          </cell>
          <cell r="Q579">
            <v>12.5</v>
          </cell>
          <cell r="R579" t="str">
            <v>UND</v>
          </cell>
          <cell r="S579">
            <v>0</v>
          </cell>
          <cell r="T579">
            <v>0</v>
          </cell>
          <cell r="U579" t="str">
            <v/>
          </cell>
          <cell r="V579" t="str">
            <v>PRO10</v>
          </cell>
          <cell r="W579">
            <v>0</v>
          </cell>
        </row>
        <row r="580">
          <cell r="C580" t="str">
            <v>AUCFCB120</v>
          </cell>
          <cell r="D580" t="str">
            <v>PRINC</v>
          </cell>
          <cell r="E580" t="str">
            <v>00018</v>
          </cell>
          <cell r="F580" t="str">
            <v>REPUESTOS</v>
          </cell>
          <cell r="G580" t="str">
            <v>PRINCIPAL</v>
          </cell>
          <cell r="H580">
            <v>46004</v>
          </cell>
          <cell r="I580" t="str">
            <v>SALDO INICIAL</v>
          </cell>
          <cell r="J580">
            <v>9</v>
          </cell>
          <cell r="K580">
            <v>354.27708799999999</v>
          </cell>
          <cell r="L580">
            <v>39.317973000000002</v>
          </cell>
          <cell r="M580">
            <v>39.364120888999999</v>
          </cell>
          <cell r="N580" t="str">
            <v/>
          </cell>
          <cell r="O580" t="str">
            <v/>
          </cell>
          <cell r="P580" t="str">
            <v/>
          </cell>
          <cell r="Q580">
            <v>80.3</v>
          </cell>
          <cell r="R580" t="str">
            <v>UND</v>
          </cell>
          <cell r="S580">
            <v>0</v>
          </cell>
          <cell r="T580">
            <v>0</v>
          </cell>
          <cell r="U580" t="str">
            <v/>
          </cell>
          <cell r="V580" t="str">
            <v>PRO10</v>
          </cell>
          <cell r="W580">
            <v>0</v>
          </cell>
        </row>
        <row r="581">
          <cell r="C581" t="str">
            <v>KECBSENM8W</v>
          </cell>
          <cell r="D581" t="str">
            <v>PRINC</v>
          </cell>
          <cell r="E581" t="str">
            <v>00018</v>
          </cell>
          <cell r="F581" t="str">
            <v>REPUESTOS</v>
          </cell>
          <cell r="G581" t="str">
            <v>PRINCIPAL</v>
          </cell>
          <cell r="H581">
            <v>46004</v>
          </cell>
          <cell r="I581" t="str">
            <v>SALDO INICIAL</v>
          </cell>
          <cell r="J581">
            <v>1</v>
          </cell>
          <cell r="K581">
            <v>15</v>
          </cell>
          <cell r="L581">
            <v>15</v>
          </cell>
          <cell r="M581">
            <v>15</v>
          </cell>
          <cell r="N581" t="str">
            <v/>
          </cell>
          <cell r="O581" t="str">
            <v/>
          </cell>
          <cell r="P581" t="str">
            <v/>
          </cell>
          <cell r="Q581">
            <v>0</v>
          </cell>
          <cell r="R581" t="str">
            <v>UND</v>
          </cell>
          <cell r="S581">
            <v>0</v>
          </cell>
          <cell r="T581">
            <v>0</v>
          </cell>
          <cell r="U581" t="str">
            <v/>
          </cell>
          <cell r="V581" t="str">
            <v>PRO10</v>
          </cell>
          <cell r="W581">
            <v>0</v>
          </cell>
        </row>
        <row r="582">
          <cell r="C582" t="str">
            <v>AUCD080A020A1</v>
          </cell>
          <cell r="D582" t="str">
            <v>PRINC</v>
          </cell>
          <cell r="E582" t="str">
            <v>00018</v>
          </cell>
          <cell r="F582" t="str">
            <v>REPUESTOS</v>
          </cell>
          <cell r="G582" t="str">
            <v>PRINCIPAL</v>
          </cell>
          <cell r="H582">
            <v>46004</v>
          </cell>
          <cell r="I582" t="str">
            <v>SALDO INICIAL</v>
          </cell>
          <cell r="J582">
            <v>1</v>
          </cell>
          <cell r="K582">
            <v>10.96</v>
          </cell>
          <cell r="L582">
            <v>0</v>
          </cell>
          <cell r="M582">
            <v>10.96</v>
          </cell>
          <cell r="N582" t="str">
            <v/>
          </cell>
          <cell r="O582" t="str">
            <v/>
          </cell>
          <cell r="P582" t="str">
            <v/>
          </cell>
          <cell r="Q582">
            <v>0</v>
          </cell>
          <cell r="R582" t="str">
            <v>UND</v>
          </cell>
          <cell r="S582">
            <v>0</v>
          </cell>
          <cell r="T582">
            <v>0</v>
          </cell>
          <cell r="U582" t="str">
            <v/>
          </cell>
          <cell r="V582" t="str">
            <v>PRO10</v>
          </cell>
          <cell r="W582">
            <v>0</v>
          </cell>
        </row>
        <row r="583">
          <cell r="C583" t="str">
            <v>AUCD080G050A1</v>
          </cell>
          <cell r="D583" t="str">
            <v>PRINC</v>
          </cell>
          <cell r="E583" t="str">
            <v>00018</v>
          </cell>
          <cell r="F583" t="str">
            <v>REPUESTOS</v>
          </cell>
          <cell r="G583" t="str">
            <v>PRINCIPAL</v>
          </cell>
          <cell r="H583">
            <v>46004</v>
          </cell>
          <cell r="I583" t="str">
            <v>SALDO INICIAL</v>
          </cell>
          <cell r="J583">
            <v>1</v>
          </cell>
          <cell r="K583">
            <v>13.36</v>
          </cell>
          <cell r="L583">
            <v>13.36</v>
          </cell>
          <cell r="M583">
            <v>13.36</v>
          </cell>
          <cell r="N583" t="str">
            <v/>
          </cell>
          <cell r="O583" t="str">
            <v/>
          </cell>
          <cell r="P583" t="str">
            <v/>
          </cell>
          <cell r="Q583">
            <v>0</v>
          </cell>
          <cell r="R583" t="str">
            <v>UND</v>
          </cell>
          <cell r="S583">
            <v>0</v>
          </cell>
          <cell r="T583">
            <v>0</v>
          </cell>
          <cell r="U583" t="str">
            <v/>
          </cell>
          <cell r="V583" t="str">
            <v>PRO10</v>
          </cell>
          <cell r="W583">
            <v>0</v>
          </cell>
        </row>
        <row r="584">
          <cell r="C584" t="str">
            <v>AUCD080W050C1</v>
          </cell>
          <cell r="D584" t="str">
            <v>PRINC</v>
          </cell>
          <cell r="E584" t="str">
            <v>00018</v>
          </cell>
          <cell r="F584" t="str">
            <v>REPUESTOS</v>
          </cell>
          <cell r="G584" t="str">
            <v>PRINCIPAL</v>
          </cell>
          <cell r="H584">
            <v>46004</v>
          </cell>
          <cell r="I584" t="str">
            <v>SALDO INICIAL</v>
          </cell>
          <cell r="J584">
            <v>2</v>
          </cell>
          <cell r="K584">
            <v>27.84</v>
          </cell>
          <cell r="L584">
            <v>0</v>
          </cell>
          <cell r="M584">
            <v>13.92</v>
          </cell>
          <cell r="N584" t="str">
            <v/>
          </cell>
          <cell r="O584" t="str">
            <v/>
          </cell>
          <cell r="P584" t="str">
            <v/>
          </cell>
          <cell r="Q584">
            <v>0</v>
          </cell>
          <cell r="R584" t="str">
            <v>UND</v>
          </cell>
          <cell r="S584">
            <v>0</v>
          </cell>
          <cell r="T584">
            <v>0</v>
          </cell>
          <cell r="U584" t="str">
            <v/>
          </cell>
          <cell r="V584" t="str">
            <v>PRO10</v>
          </cell>
          <cell r="W584">
            <v>0</v>
          </cell>
        </row>
        <row r="585">
          <cell r="C585" t="str">
            <v>V31WM2MPVC</v>
          </cell>
          <cell r="D585" t="str">
            <v>PRINC</v>
          </cell>
          <cell r="E585" t="str">
            <v>00018</v>
          </cell>
          <cell r="F585" t="str">
            <v>REPUESTOS</v>
          </cell>
          <cell r="G585" t="str">
            <v>PRINCIPAL</v>
          </cell>
          <cell r="H585">
            <v>46004</v>
          </cell>
          <cell r="I585" t="str">
            <v>SALDO INICIAL</v>
          </cell>
          <cell r="J585">
            <v>2</v>
          </cell>
          <cell r="K585">
            <v>36</v>
          </cell>
          <cell r="L585">
            <v>18</v>
          </cell>
          <cell r="M585">
            <v>18</v>
          </cell>
          <cell r="N585" t="str">
            <v/>
          </cell>
          <cell r="O585" t="str">
            <v/>
          </cell>
          <cell r="P585" t="str">
            <v/>
          </cell>
          <cell r="Q585">
            <v>0</v>
          </cell>
          <cell r="R585" t="str">
            <v>UND</v>
          </cell>
          <cell r="S585">
            <v>0</v>
          </cell>
          <cell r="T585">
            <v>0</v>
          </cell>
          <cell r="U585" t="str">
            <v/>
          </cell>
          <cell r="V585" t="str">
            <v>PRO10</v>
          </cell>
          <cell r="W585">
            <v>0</v>
          </cell>
        </row>
        <row r="586">
          <cell r="C586" t="str">
            <v>XS2F-M12PUR4S5M</v>
          </cell>
          <cell r="D586" t="str">
            <v>PRINC</v>
          </cell>
          <cell r="E586" t="str">
            <v>00018</v>
          </cell>
          <cell r="F586" t="str">
            <v>REPUESTOS</v>
          </cell>
          <cell r="G586" t="str">
            <v>PRINCIPAL</v>
          </cell>
          <cell r="H586">
            <v>46004</v>
          </cell>
          <cell r="I586" t="str">
            <v>SALDO INICIAL</v>
          </cell>
          <cell r="J586">
            <v>2</v>
          </cell>
          <cell r="K586">
            <v>43.36</v>
          </cell>
          <cell r="L586">
            <v>21.68</v>
          </cell>
          <cell r="M586">
            <v>21.68</v>
          </cell>
          <cell r="N586" t="str">
            <v/>
          </cell>
          <cell r="O586" t="str">
            <v/>
          </cell>
          <cell r="P586" t="str">
            <v/>
          </cell>
          <cell r="Q586">
            <v>84.2</v>
          </cell>
          <cell r="R586" t="str">
            <v>UND</v>
          </cell>
          <cell r="S586">
            <v>0</v>
          </cell>
          <cell r="T586">
            <v>0</v>
          </cell>
          <cell r="U586" t="str">
            <v/>
          </cell>
          <cell r="V586" t="str">
            <v>PRO10</v>
          </cell>
          <cell r="W586">
            <v>0</v>
          </cell>
        </row>
        <row r="587">
          <cell r="C587" t="str">
            <v>AU7000089416950</v>
          </cell>
          <cell r="D587" t="str">
            <v>PRINC</v>
          </cell>
          <cell r="E587" t="str">
            <v>00018</v>
          </cell>
          <cell r="F587" t="str">
            <v>REPUESTOS</v>
          </cell>
          <cell r="G587" t="str">
            <v>PRINCIPAL</v>
          </cell>
          <cell r="H587">
            <v>46004</v>
          </cell>
          <cell r="I587" t="str">
            <v>SALDO INICIAL</v>
          </cell>
          <cell r="J587">
            <v>2</v>
          </cell>
          <cell r="K587">
            <v>21.33</v>
          </cell>
          <cell r="L587">
            <v>0</v>
          </cell>
          <cell r="M587">
            <v>10.664999999999999</v>
          </cell>
          <cell r="N587" t="str">
            <v/>
          </cell>
          <cell r="O587" t="str">
            <v/>
          </cell>
          <cell r="P587" t="str">
            <v/>
          </cell>
          <cell r="Q587">
            <v>0</v>
          </cell>
          <cell r="R587" t="str">
            <v>UND</v>
          </cell>
          <cell r="S587">
            <v>0</v>
          </cell>
          <cell r="T587">
            <v>0</v>
          </cell>
          <cell r="U587" t="str">
            <v/>
          </cell>
          <cell r="V587" t="str">
            <v>PRO10</v>
          </cell>
          <cell r="W587">
            <v>0</v>
          </cell>
        </row>
        <row r="588">
          <cell r="C588" t="str">
            <v>RAD07697</v>
          </cell>
          <cell r="D588" t="str">
            <v>PRINC</v>
          </cell>
          <cell r="E588" t="str">
            <v>00018</v>
          </cell>
          <cell r="F588" t="str">
            <v>REPUESTOS</v>
          </cell>
          <cell r="G588" t="str">
            <v>PRINCIPAL</v>
          </cell>
          <cell r="H588">
            <v>46004</v>
          </cell>
          <cell r="I588" t="str">
            <v>SALDO INICIAL</v>
          </cell>
          <cell r="J588">
            <v>6</v>
          </cell>
          <cell r="K588">
            <v>61.51</v>
          </cell>
          <cell r="L588">
            <v>0</v>
          </cell>
          <cell r="M588">
            <v>10.251666667</v>
          </cell>
          <cell r="N588" t="str">
            <v/>
          </cell>
          <cell r="O588" t="str">
            <v/>
          </cell>
          <cell r="P588" t="str">
            <v/>
          </cell>
          <cell r="Q588">
            <v>0</v>
          </cell>
          <cell r="R588" t="str">
            <v>UND</v>
          </cell>
          <cell r="S588">
            <v>0</v>
          </cell>
          <cell r="T588">
            <v>0</v>
          </cell>
          <cell r="U588" t="str">
            <v/>
          </cell>
          <cell r="V588" t="str">
            <v>PRO10</v>
          </cell>
          <cell r="W588">
            <v>0</v>
          </cell>
        </row>
        <row r="589">
          <cell r="C589" t="str">
            <v>KECIRCINTK200</v>
          </cell>
          <cell r="D589" t="str">
            <v>PRINC</v>
          </cell>
          <cell r="E589" t="str">
            <v>00018</v>
          </cell>
          <cell r="F589" t="str">
            <v>REPUESTOS</v>
          </cell>
          <cell r="G589" t="str">
            <v>PRINCIPAL</v>
          </cell>
          <cell r="H589">
            <v>46004</v>
          </cell>
          <cell r="I589" t="str">
            <v>SALDO INICIAL</v>
          </cell>
          <cell r="J589">
            <v>3</v>
          </cell>
          <cell r="K589">
            <v>231.99</v>
          </cell>
          <cell r="L589">
            <v>77.33</v>
          </cell>
          <cell r="M589">
            <v>77.33</v>
          </cell>
          <cell r="N589" t="str">
            <v/>
          </cell>
          <cell r="O589" t="str">
            <v/>
          </cell>
          <cell r="P589" t="str">
            <v/>
          </cell>
          <cell r="Q589">
            <v>894.4</v>
          </cell>
          <cell r="R589" t="str">
            <v>UND</v>
          </cell>
          <cell r="S589">
            <v>0</v>
          </cell>
          <cell r="T589">
            <v>0</v>
          </cell>
          <cell r="U589" t="str">
            <v/>
          </cell>
          <cell r="V589" t="str">
            <v>PRO10</v>
          </cell>
          <cell r="W589">
            <v>0</v>
          </cell>
        </row>
        <row r="590">
          <cell r="C590" t="str">
            <v>HISA-CL-ST-KI</v>
          </cell>
          <cell r="D590" t="str">
            <v>PRINC</v>
          </cell>
          <cell r="E590" t="str">
            <v>00018</v>
          </cell>
          <cell r="F590" t="str">
            <v>REPUESTOS</v>
          </cell>
          <cell r="G590" t="str">
            <v>PRINCIPAL</v>
          </cell>
          <cell r="H590">
            <v>46004</v>
          </cell>
          <cell r="I590" t="str">
            <v>SALDO INICIAL</v>
          </cell>
          <cell r="J590">
            <v>1</v>
          </cell>
          <cell r="K590">
            <v>1599.06</v>
          </cell>
          <cell r="L590">
            <v>0</v>
          </cell>
          <cell r="M590">
            <v>1599.06</v>
          </cell>
          <cell r="N590" t="str">
            <v/>
          </cell>
          <cell r="O590" t="str">
            <v/>
          </cell>
          <cell r="P590" t="str">
            <v/>
          </cell>
          <cell r="Q590">
            <v>0</v>
          </cell>
          <cell r="R590" t="str">
            <v>UND</v>
          </cell>
          <cell r="S590">
            <v>0</v>
          </cell>
          <cell r="T590">
            <v>0</v>
          </cell>
          <cell r="U590" t="str">
            <v/>
          </cell>
          <cell r="V590" t="str">
            <v>PRO10</v>
          </cell>
          <cell r="W590">
            <v>0</v>
          </cell>
        </row>
        <row r="591">
          <cell r="C591" t="str">
            <v>HI451333</v>
          </cell>
          <cell r="D591" t="str">
            <v>PRINC</v>
          </cell>
          <cell r="E591" t="str">
            <v>00018</v>
          </cell>
          <cell r="F591" t="str">
            <v>REPUESTOS</v>
          </cell>
          <cell r="G591" t="str">
            <v>PRINCIPAL</v>
          </cell>
          <cell r="H591">
            <v>46004</v>
          </cell>
          <cell r="I591" t="str">
            <v>SALDO INICIAL</v>
          </cell>
          <cell r="J591">
            <v>39</v>
          </cell>
          <cell r="K591">
            <v>368.52111500000001</v>
          </cell>
          <cell r="L591">
            <v>9.4492589999999996</v>
          </cell>
          <cell r="M591">
            <v>9.4492593589999991</v>
          </cell>
          <cell r="N591" t="str">
            <v/>
          </cell>
          <cell r="O591" t="str">
            <v/>
          </cell>
          <cell r="P591" t="str">
            <v/>
          </cell>
          <cell r="Q591">
            <v>94.2</v>
          </cell>
          <cell r="R591" t="str">
            <v>UND</v>
          </cell>
          <cell r="S591">
            <v>0</v>
          </cell>
          <cell r="T591">
            <v>0</v>
          </cell>
          <cell r="U591" t="str">
            <v/>
          </cell>
          <cell r="V591" t="str">
            <v>PRO10</v>
          </cell>
          <cell r="W591">
            <v>0</v>
          </cell>
        </row>
        <row r="592">
          <cell r="C592" t="str">
            <v>HI451473</v>
          </cell>
          <cell r="D592" t="str">
            <v>PRINC</v>
          </cell>
          <cell r="E592" t="str">
            <v>00018</v>
          </cell>
          <cell r="F592" t="str">
            <v>REPUESTOS</v>
          </cell>
          <cell r="G592" t="str">
            <v>PRINCIPAL</v>
          </cell>
          <cell r="H592">
            <v>46004</v>
          </cell>
          <cell r="I592" t="str">
            <v>SALDO INICIAL</v>
          </cell>
          <cell r="J592">
            <v>4</v>
          </cell>
          <cell r="K592">
            <v>143.77506700000001</v>
          </cell>
          <cell r="L592">
            <v>35.897500000000001</v>
          </cell>
          <cell r="M592">
            <v>35.943766750000002</v>
          </cell>
          <cell r="N592" t="str">
            <v/>
          </cell>
          <cell r="O592" t="str">
            <v/>
          </cell>
          <cell r="P592" t="str">
            <v/>
          </cell>
          <cell r="Q592">
            <v>108.15</v>
          </cell>
          <cell r="R592" t="str">
            <v>UND</v>
          </cell>
          <cell r="S592">
            <v>0</v>
          </cell>
          <cell r="T592">
            <v>0</v>
          </cell>
          <cell r="U592" t="str">
            <v/>
          </cell>
          <cell r="V592" t="str">
            <v>PRO10</v>
          </cell>
          <cell r="W592">
            <v>0</v>
          </cell>
        </row>
        <row r="593">
          <cell r="C593" t="str">
            <v>HI451626</v>
          </cell>
          <cell r="D593" t="str">
            <v>PRINC</v>
          </cell>
          <cell r="E593" t="str">
            <v>00018</v>
          </cell>
          <cell r="F593" t="str">
            <v>REPUESTOS</v>
          </cell>
          <cell r="G593" t="str">
            <v>PRINCIPAL</v>
          </cell>
          <cell r="H593">
            <v>46004</v>
          </cell>
          <cell r="I593" t="str">
            <v>SALDO INICIAL</v>
          </cell>
          <cell r="J593">
            <v>5</v>
          </cell>
          <cell r="K593">
            <v>655.03125</v>
          </cell>
          <cell r="L593">
            <v>131.00624999999999</v>
          </cell>
          <cell r="M593">
            <v>131.00624999999999</v>
          </cell>
          <cell r="N593" t="str">
            <v/>
          </cell>
          <cell r="O593" t="str">
            <v/>
          </cell>
          <cell r="P593" t="str">
            <v/>
          </cell>
          <cell r="Q593">
            <v>293.55</v>
          </cell>
          <cell r="R593" t="str">
            <v>UND</v>
          </cell>
          <cell r="S593">
            <v>0</v>
          </cell>
          <cell r="T593">
            <v>0</v>
          </cell>
          <cell r="U593" t="str">
            <v/>
          </cell>
          <cell r="V593" t="str">
            <v>PRO10</v>
          </cell>
          <cell r="W593">
            <v>0</v>
          </cell>
        </row>
        <row r="594">
          <cell r="C594" t="str">
            <v>HI451610</v>
          </cell>
          <cell r="D594" t="str">
            <v>PRINC</v>
          </cell>
          <cell r="E594" t="str">
            <v>00018</v>
          </cell>
          <cell r="F594" t="str">
            <v>REPUESTOS</v>
          </cell>
          <cell r="G594" t="str">
            <v>PRINCIPAL</v>
          </cell>
          <cell r="H594">
            <v>46004</v>
          </cell>
          <cell r="I594" t="str">
            <v>SALDO INICIAL</v>
          </cell>
          <cell r="J594">
            <v>2</v>
          </cell>
          <cell r="K594">
            <v>334.95</v>
          </cell>
          <cell r="L594">
            <v>0</v>
          </cell>
          <cell r="M594">
            <v>167.47499999999999</v>
          </cell>
          <cell r="N594" t="str">
            <v/>
          </cell>
          <cell r="O594" t="str">
            <v/>
          </cell>
          <cell r="P594" t="str">
            <v/>
          </cell>
          <cell r="Q594">
            <v>0</v>
          </cell>
          <cell r="R594" t="str">
            <v>UND</v>
          </cell>
          <cell r="S594">
            <v>0</v>
          </cell>
          <cell r="T594">
            <v>0</v>
          </cell>
          <cell r="U594" t="str">
            <v/>
          </cell>
          <cell r="V594" t="str">
            <v>PRO10</v>
          </cell>
          <cell r="W594">
            <v>0</v>
          </cell>
        </row>
        <row r="595">
          <cell r="C595" t="str">
            <v>HI452128</v>
          </cell>
          <cell r="D595" t="str">
            <v>PRINC</v>
          </cell>
          <cell r="E595" t="str">
            <v>00018</v>
          </cell>
          <cell r="F595" t="str">
            <v>REPUESTOS</v>
          </cell>
          <cell r="G595" t="str">
            <v>PRINCIPAL</v>
          </cell>
          <cell r="H595">
            <v>46004</v>
          </cell>
          <cell r="I595" t="str">
            <v>SALDO INICIAL</v>
          </cell>
          <cell r="J595">
            <v>5</v>
          </cell>
          <cell r="K595">
            <v>695.09285699999998</v>
          </cell>
          <cell r="L595">
            <v>139.01857100000001</v>
          </cell>
          <cell r="M595">
            <v>139.01857140000001</v>
          </cell>
          <cell r="N595" t="str">
            <v/>
          </cell>
          <cell r="O595" t="str">
            <v/>
          </cell>
          <cell r="P595" t="str">
            <v/>
          </cell>
          <cell r="Q595">
            <v>0</v>
          </cell>
          <cell r="R595" t="str">
            <v>UND</v>
          </cell>
          <cell r="S595">
            <v>0</v>
          </cell>
          <cell r="T595">
            <v>0</v>
          </cell>
          <cell r="U595" t="str">
            <v/>
          </cell>
          <cell r="V595" t="str">
            <v>PRO10</v>
          </cell>
          <cell r="W595">
            <v>0</v>
          </cell>
        </row>
        <row r="596">
          <cell r="C596" t="str">
            <v>WI143114</v>
          </cell>
          <cell r="D596" t="str">
            <v>PRINC</v>
          </cell>
          <cell r="E596" t="str">
            <v>00018</v>
          </cell>
          <cell r="F596" t="str">
            <v>REPUESTOS</v>
          </cell>
          <cell r="G596" t="str">
            <v>PRINCIPAL</v>
          </cell>
          <cell r="H596">
            <v>46004</v>
          </cell>
          <cell r="I596" t="str">
            <v>SALDO INICIAL</v>
          </cell>
          <cell r="J596">
            <v>4</v>
          </cell>
          <cell r="K596">
            <v>253.84</v>
          </cell>
          <cell r="L596">
            <v>63.46</v>
          </cell>
          <cell r="M596">
            <v>63.46</v>
          </cell>
          <cell r="N596" t="str">
            <v/>
          </cell>
          <cell r="O596" t="str">
            <v/>
          </cell>
          <cell r="P596" t="str">
            <v/>
          </cell>
          <cell r="Q596">
            <v>180.2</v>
          </cell>
          <cell r="R596" t="str">
            <v>UND</v>
          </cell>
          <cell r="S596">
            <v>0</v>
          </cell>
          <cell r="T596">
            <v>0</v>
          </cell>
          <cell r="U596" t="str">
            <v/>
          </cell>
          <cell r="V596" t="str">
            <v>PRO10</v>
          </cell>
          <cell r="W596">
            <v>0</v>
          </cell>
        </row>
        <row r="597">
          <cell r="C597" t="str">
            <v>HI451865</v>
          </cell>
          <cell r="D597" t="str">
            <v>PRINC</v>
          </cell>
          <cell r="E597" t="str">
            <v>00018</v>
          </cell>
          <cell r="F597" t="str">
            <v>REPUESTOS</v>
          </cell>
          <cell r="G597" t="str">
            <v>PRINCIPAL</v>
          </cell>
          <cell r="H597">
            <v>46004</v>
          </cell>
          <cell r="I597" t="str">
            <v>SALDO INICIAL</v>
          </cell>
          <cell r="J597">
            <v>2</v>
          </cell>
          <cell r="K597">
            <v>287.41000000000003</v>
          </cell>
          <cell r="L597">
            <v>120.75</v>
          </cell>
          <cell r="M597">
            <v>143.70500000000001</v>
          </cell>
          <cell r="N597" t="str">
            <v/>
          </cell>
          <cell r="O597" t="str">
            <v/>
          </cell>
          <cell r="P597" t="str">
            <v/>
          </cell>
          <cell r="Q597">
            <v>320.8</v>
          </cell>
          <cell r="R597" t="str">
            <v>UND</v>
          </cell>
          <cell r="S597">
            <v>0</v>
          </cell>
          <cell r="T597">
            <v>0</v>
          </cell>
          <cell r="U597" t="str">
            <v/>
          </cell>
          <cell r="V597" t="str">
            <v>PRO10</v>
          </cell>
          <cell r="W597">
            <v>0</v>
          </cell>
        </row>
        <row r="598">
          <cell r="C598" t="str">
            <v>HI451662</v>
          </cell>
          <cell r="D598" t="str">
            <v>PRINC</v>
          </cell>
          <cell r="E598" t="str">
            <v>00018</v>
          </cell>
          <cell r="F598" t="str">
            <v>REPUESTOS</v>
          </cell>
          <cell r="G598" t="str">
            <v>PRINCIPAL</v>
          </cell>
          <cell r="H598">
            <v>46004</v>
          </cell>
          <cell r="I598" t="str">
            <v>SALDO INICIAL</v>
          </cell>
          <cell r="J598">
            <v>2</v>
          </cell>
          <cell r="K598">
            <v>640.41999999999996</v>
          </cell>
          <cell r="L598">
            <v>320.20999999999998</v>
          </cell>
          <cell r="M598">
            <v>320.20999999999998</v>
          </cell>
          <cell r="N598" t="str">
            <v/>
          </cell>
          <cell r="O598" t="str">
            <v/>
          </cell>
          <cell r="P598" t="str">
            <v/>
          </cell>
          <cell r="Q598">
            <v>0</v>
          </cell>
          <cell r="R598" t="str">
            <v>UND</v>
          </cell>
          <cell r="S598">
            <v>0</v>
          </cell>
          <cell r="T598">
            <v>0</v>
          </cell>
          <cell r="U598" t="str">
            <v/>
          </cell>
          <cell r="V598" t="str">
            <v>PRO10</v>
          </cell>
          <cell r="W598">
            <v>0</v>
          </cell>
        </row>
        <row r="599">
          <cell r="C599" t="str">
            <v>HI451841</v>
          </cell>
          <cell r="D599" t="str">
            <v>PRINC</v>
          </cell>
          <cell r="E599" t="str">
            <v>00018</v>
          </cell>
          <cell r="F599" t="str">
            <v>REPUESTOS</v>
          </cell>
          <cell r="G599" t="str">
            <v>PRINCIPAL</v>
          </cell>
          <cell r="H599">
            <v>46004</v>
          </cell>
          <cell r="I599" t="str">
            <v>SALDO INICIAL</v>
          </cell>
          <cell r="J599">
            <v>5</v>
          </cell>
          <cell r="K599">
            <v>213.49</v>
          </cell>
          <cell r="L599">
            <v>41.81</v>
          </cell>
          <cell r="M599">
            <v>42.698</v>
          </cell>
          <cell r="N599" t="str">
            <v/>
          </cell>
          <cell r="O599" t="str">
            <v/>
          </cell>
          <cell r="P599" t="str">
            <v/>
          </cell>
          <cell r="Q599">
            <v>0</v>
          </cell>
          <cell r="R599" t="str">
            <v>UND</v>
          </cell>
          <cell r="S599">
            <v>0</v>
          </cell>
          <cell r="T599">
            <v>0</v>
          </cell>
          <cell r="U599" t="str">
            <v/>
          </cell>
          <cell r="V599" t="str">
            <v>PRO10</v>
          </cell>
          <cell r="W599">
            <v>0</v>
          </cell>
        </row>
        <row r="600">
          <cell r="C600" t="str">
            <v>HI452131</v>
          </cell>
          <cell r="D600" t="str">
            <v>PRINC</v>
          </cell>
          <cell r="E600" t="str">
            <v>00018</v>
          </cell>
          <cell r="F600" t="str">
            <v>REPUESTOS</v>
          </cell>
          <cell r="G600" t="str">
            <v>PRINCIPAL</v>
          </cell>
          <cell r="H600">
            <v>46004</v>
          </cell>
          <cell r="I600" t="str">
            <v>SALDO INICIAL</v>
          </cell>
          <cell r="J600">
            <v>1</v>
          </cell>
          <cell r="K600">
            <v>31.63</v>
          </cell>
          <cell r="L600">
            <v>55</v>
          </cell>
          <cell r="M600">
            <v>31.63</v>
          </cell>
          <cell r="N600" t="str">
            <v/>
          </cell>
          <cell r="O600" t="str">
            <v/>
          </cell>
          <cell r="P600" t="str">
            <v/>
          </cell>
          <cell r="Q600">
            <v>0</v>
          </cell>
          <cell r="R600" t="str">
            <v>UND</v>
          </cell>
          <cell r="S600">
            <v>0</v>
          </cell>
          <cell r="T600">
            <v>0</v>
          </cell>
          <cell r="U600" t="str">
            <v/>
          </cell>
          <cell r="V600" t="str">
            <v>PRO10</v>
          </cell>
          <cell r="W600">
            <v>0</v>
          </cell>
        </row>
        <row r="601">
          <cell r="C601" t="str">
            <v>HI451582</v>
          </cell>
          <cell r="D601" t="str">
            <v>PRINC</v>
          </cell>
          <cell r="E601" t="str">
            <v>00018</v>
          </cell>
          <cell r="F601" t="str">
            <v>REPUESTOS</v>
          </cell>
          <cell r="G601" t="str">
            <v>PRINCIPAL</v>
          </cell>
          <cell r="H601">
            <v>46004</v>
          </cell>
          <cell r="I601" t="str">
            <v>SALDO INICIAL</v>
          </cell>
          <cell r="J601">
            <v>1</v>
          </cell>
          <cell r="K601">
            <v>30.98</v>
          </cell>
          <cell r="L601">
            <v>30.98</v>
          </cell>
          <cell r="M601">
            <v>30.98</v>
          </cell>
          <cell r="N601" t="str">
            <v/>
          </cell>
          <cell r="O601" t="str">
            <v/>
          </cell>
          <cell r="P601" t="str">
            <v/>
          </cell>
          <cell r="Q601">
            <v>0</v>
          </cell>
          <cell r="R601" t="str">
            <v>UND</v>
          </cell>
          <cell r="S601">
            <v>0</v>
          </cell>
          <cell r="T601">
            <v>0</v>
          </cell>
          <cell r="U601" t="str">
            <v/>
          </cell>
          <cell r="V601" t="str">
            <v>PRO10</v>
          </cell>
          <cell r="W601">
            <v>0</v>
          </cell>
        </row>
        <row r="602">
          <cell r="C602" t="str">
            <v>HI451640</v>
          </cell>
          <cell r="D602" t="str">
            <v>PRINC</v>
          </cell>
          <cell r="E602" t="str">
            <v>00018</v>
          </cell>
          <cell r="F602" t="str">
            <v>REPUESTOS</v>
          </cell>
          <cell r="G602" t="str">
            <v>PRINCIPAL</v>
          </cell>
          <cell r="H602">
            <v>46004</v>
          </cell>
          <cell r="I602" t="str">
            <v>SALDO INICIAL</v>
          </cell>
          <cell r="J602">
            <v>3</v>
          </cell>
          <cell r="K602">
            <v>234.238</v>
          </cell>
          <cell r="L602">
            <v>74.149000000000001</v>
          </cell>
          <cell r="M602">
            <v>78.079333332999994</v>
          </cell>
          <cell r="N602" t="str">
            <v/>
          </cell>
          <cell r="O602" t="str">
            <v/>
          </cell>
          <cell r="P602" t="str">
            <v/>
          </cell>
          <cell r="Q602">
            <v>310.3</v>
          </cell>
          <cell r="R602" t="str">
            <v>UND</v>
          </cell>
          <cell r="S602">
            <v>0</v>
          </cell>
          <cell r="T602">
            <v>0</v>
          </cell>
          <cell r="U602" t="str">
            <v/>
          </cell>
          <cell r="V602" t="str">
            <v>PRO10</v>
          </cell>
          <cell r="W602">
            <v>0</v>
          </cell>
        </row>
        <row r="603">
          <cell r="C603" t="str">
            <v>HI451867</v>
          </cell>
          <cell r="D603" t="str">
            <v>PRINC</v>
          </cell>
          <cell r="E603" t="str">
            <v>00018</v>
          </cell>
          <cell r="F603" t="str">
            <v>REPUESTOS</v>
          </cell>
          <cell r="G603" t="str">
            <v>PRINCIPAL</v>
          </cell>
          <cell r="H603">
            <v>46004</v>
          </cell>
          <cell r="I603" t="str">
            <v>SALDO INICIAL</v>
          </cell>
          <cell r="J603">
            <v>129</v>
          </cell>
          <cell r="K603">
            <v>14237.480839</v>
          </cell>
          <cell r="L603">
            <v>110.36806799999999</v>
          </cell>
          <cell r="M603">
            <v>110.368068519</v>
          </cell>
          <cell r="N603" t="str">
            <v/>
          </cell>
          <cell r="O603" t="str">
            <v/>
          </cell>
          <cell r="P603" t="str">
            <v/>
          </cell>
          <cell r="Q603">
            <v>0</v>
          </cell>
          <cell r="R603" t="str">
            <v>UND</v>
          </cell>
          <cell r="S603">
            <v>0</v>
          </cell>
          <cell r="T603">
            <v>0</v>
          </cell>
          <cell r="U603" t="str">
            <v/>
          </cell>
          <cell r="V603" t="str">
            <v>PRO10</v>
          </cell>
          <cell r="W603">
            <v>0</v>
          </cell>
        </row>
        <row r="604">
          <cell r="C604" t="str">
            <v>HI451901</v>
          </cell>
          <cell r="D604" t="str">
            <v>PRINC</v>
          </cell>
          <cell r="E604" t="str">
            <v>00018</v>
          </cell>
          <cell r="F604" t="str">
            <v>REPUESTOS</v>
          </cell>
          <cell r="G604" t="str">
            <v>PRINCIPAL</v>
          </cell>
          <cell r="H604">
            <v>46004</v>
          </cell>
          <cell r="I604" t="str">
            <v>SALDO INICIAL</v>
          </cell>
          <cell r="J604">
            <v>51</v>
          </cell>
          <cell r="K604">
            <v>1193.2120090000001</v>
          </cell>
          <cell r="L604">
            <v>23.396314</v>
          </cell>
          <cell r="M604">
            <v>23.396313901999999</v>
          </cell>
          <cell r="N604" t="str">
            <v/>
          </cell>
          <cell r="O604" t="str">
            <v/>
          </cell>
          <cell r="P604" t="str">
            <v/>
          </cell>
          <cell r="Q604">
            <v>0</v>
          </cell>
          <cell r="R604" t="str">
            <v>UND</v>
          </cell>
          <cell r="S604">
            <v>0</v>
          </cell>
          <cell r="T604">
            <v>0</v>
          </cell>
          <cell r="U604" t="str">
            <v/>
          </cell>
          <cell r="V604" t="str">
            <v>PRO10</v>
          </cell>
          <cell r="W604">
            <v>0</v>
          </cell>
        </row>
        <row r="605">
          <cell r="C605" t="str">
            <v>WI534108</v>
          </cell>
          <cell r="D605" t="str">
            <v>PRINC</v>
          </cell>
          <cell r="E605" t="str">
            <v>00018</v>
          </cell>
          <cell r="F605" t="str">
            <v>REPUESTOS</v>
          </cell>
          <cell r="G605" t="str">
            <v>PRINCIPAL</v>
          </cell>
          <cell r="H605">
            <v>46004</v>
          </cell>
          <cell r="I605" t="str">
            <v>SALDO INICIAL</v>
          </cell>
          <cell r="J605">
            <v>8</v>
          </cell>
          <cell r="K605">
            <v>432.84800000000001</v>
          </cell>
          <cell r="L605">
            <v>54.106000000000002</v>
          </cell>
          <cell r="M605">
            <v>54.106000000000002</v>
          </cell>
          <cell r="N605" t="str">
            <v/>
          </cell>
          <cell r="O605" t="str">
            <v/>
          </cell>
          <cell r="P605" t="str">
            <v/>
          </cell>
          <cell r="Q605">
            <v>0</v>
          </cell>
          <cell r="R605" t="str">
            <v>UND</v>
          </cell>
          <cell r="S605">
            <v>0</v>
          </cell>
          <cell r="T605">
            <v>0</v>
          </cell>
          <cell r="U605" t="str">
            <v/>
          </cell>
          <cell r="V605" t="str">
            <v>PRO10</v>
          </cell>
          <cell r="W605">
            <v>0</v>
          </cell>
        </row>
        <row r="606">
          <cell r="C606" t="str">
            <v>HI451713</v>
          </cell>
          <cell r="D606" t="str">
            <v>PRINC</v>
          </cell>
          <cell r="E606" t="str">
            <v>00018</v>
          </cell>
          <cell r="F606" t="str">
            <v>REPUESTOS</v>
          </cell>
          <cell r="G606" t="str">
            <v>PRINCIPAL</v>
          </cell>
          <cell r="H606">
            <v>46004</v>
          </cell>
          <cell r="I606" t="str">
            <v>SALDO INICIAL</v>
          </cell>
          <cell r="J606">
            <v>3</v>
          </cell>
          <cell r="K606">
            <v>351.15</v>
          </cell>
          <cell r="L606">
            <v>116.78</v>
          </cell>
          <cell r="M606">
            <v>117.05</v>
          </cell>
          <cell r="N606" t="str">
            <v/>
          </cell>
          <cell r="O606" t="str">
            <v/>
          </cell>
          <cell r="P606" t="str">
            <v/>
          </cell>
          <cell r="Q606">
            <v>235.78</v>
          </cell>
          <cell r="R606" t="str">
            <v>UND</v>
          </cell>
          <cell r="S606">
            <v>0</v>
          </cell>
          <cell r="T606">
            <v>0</v>
          </cell>
          <cell r="U606" t="str">
            <v/>
          </cell>
          <cell r="V606" t="str">
            <v>PRO10</v>
          </cell>
          <cell r="W606">
            <v>0</v>
          </cell>
        </row>
        <row r="607">
          <cell r="C607" t="str">
            <v>HI451603</v>
          </cell>
          <cell r="D607" t="str">
            <v>PRINC</v>
          </cell>
          <cell r="E607" t="str">
            <v>00018</v>
          </cell>
          <cell r="F607" t="str">
            <v>REPUESTOS</v>
          </cell>
          <cell r="G607" t="str">
            <v>PRINCIPAL</v>
          </cell>
          <cell r="H607">
            <v>46004</v>
          </cell>
          <cell r="I607" t="str">
            <v>SALDO INICIAL</v>
          </cell>
          <cell r="J607">
            <v>2</v>
          </cell>
          <cell r="K607">
            <v>73.855333000000002</v>
          </cell>
          <cell r="L607">
            <v>36.927667</v>
          </cell>
          <cell r="M607">
            <v>36.927666500000001</v>
          </cell>
          <cell r="N607" t="str">
            <v/>
          </cell>
          <cell r="O607" t="str">
            <v/>
          </cell>
          <cell r="P607" t="str">
            <v/>
          </cell>
          <cell r="Q607">
            <v>129.5</v>
          </cell>
          <cell r="R607" t="str">
            <v>UND</v>
          </cell>
          <cell r="S607">
            <v>0</v>
          </cell>
          <cell r="T607">
            <v>0</v>
          </cell>
          <cell r="U607" t="str">
            <v/>
          </cell>
          <cell r="V607" t="str">
            <v>PRO10</v>
          </cell>
          <cell r="W607">
            <v>0</v>
          </cell>
        </row>
        <row r="608">
          <cell r="C608" t="str">
            <v>HI451932</v>
          </cell>
          <cell r="D608" t="str">
            <v>PRINC</v>
          </cell>
          <cell r="E608" t="str">
            <v>00018</v>
          </cell>
          <cell r="F608" t="str">
            <v>REPUESTOS</v>
          </cell>
          <cell r="G608" t="str">
            <v>PRINCIPAL</v>
          </cell>
          <cell r="H608">
            <v>46004</v>
          </cell>
          <cell r="I608" t="str">
            <v>SALDO INICIAL</v>
          </cell>
          <cell r="J608">
            <v>1</v>
          </cell>
          <cell r="K608">
            <v>28.55</v>
          </cell>
          <cell r="L608">
            <v>28.55</v>
          </cell>
          <cell r="M608">
            <v>28.55</v>
          </cell>
          <cell r="N608" t="str">
            <v/>
          </cell>
          <cell r="O608" t="str">
            <v/>
          </cell>
          <cell r="P608" t="str">
            <v/>
          </cell>
          <cell r="Q608">
            <v>68.400000000000006</v>
          </cell>
          <cell r="R608" t="str">
            <v>UND</v>
          </cell>
          <cell r="S608">
            <v>0</v>
          </cell>
          <cell r="T608">
            <v>0</v>
          </cell>
          <cell r="U608" t="str">
            <v/>
          </cell>
          <cell r="V608" t="str">
            <v>PRO10</v>
          </cell>
          <cell r="W608">
            <v>0</v>
          </cell>
        </row>
        <row r="609">
          <cell r="C609" t="str">
            <v>HI452105</v>
          </cell>
          <cell r="D609" t="str">
            <v>PRINC</v>
          </cell>
          <cell r="E609" t="str">
            <v>00018</v>
          </cell>
          <cell r="F609" t="str">
            <v>REPUESTOS</v>
          </cell>
          <cell r="G609" t="str">
            <v>PRINCIPAL</v>
          </cell>
          <cell r="H609">
            <v>46004</v>
          </cell>
          <cell r="I609" t="str">
            <v>SALDO INICIAL</v>
          </cell>
          <cell r="J609">
            <v>1</v>
          </cell>
          <cell r="K609">
            <v>133.99</v>
          </cell>
          <cell r="L609">
            <v>133.99</v>
          </cell>
          <cell r="M609">
            <v>133.99</v>
          </cell>
          <cell r="N609" t="str">
            <v/>
          </cell>
          <cell r="O609" t="str">
            <v/>
          </cell>
          <cell r="P609" t="str">
            <v/>
          </cell>
          <cell r="Q609">
            <v>0</v>
          </cell>
          <cell r="R609" t="str">
            <v>UND</v>
          </cell>
          <cell r="S609">
            <v>0</v>
          </cell>
          <cell r="T609">
            <v>0</v>
          </cell>
          <cell r="U609" t="str">
            <v/>
          </cell>
          <cell r="V609" t="str">
            <v>PRO10</v>
          </cell>
          <cell r="W609">
            <v>0</v>
          </cell>
        </row>
        <row r="610">
          <cell r="C610" t="str">
            <v>HI2N4ZL7763-A</v>
          </cell>
          <cell r="D610" t="str">
            <v>PRINC</v>
          </cell>
          <cell r="E610" t="str">
            <v>00018</v>
          </cell>
          <cell r="F610" t="str">
            <v>REPUESTOS</v>
          </cell>
          <cell r="G610" t="str">
            <v>PRINCIPAL</v>
          </cell>
          <cell r="H610">
            <v>46004</v>
          </cell>
          <cell r="I610" t="str">
            <v>SALDO INICIAL</v>
          </cell>
          <cell r="J610">
            <v>2</v>
          </cell>
          <cell r="K610">
            <v>273.18</v>
          </cell>
          <cell r="L610">
            <v>0</v>
          </cell>
          <cell r="M610">
            <v>136.59</v>
          </cell>
          <cell r="N610" t="str">
            <v/>
          </cell>
          <cell r="O610" t="str">
            <v/>
          </cell>
          <cell r="P610" t="str">
            <v/>
          </cell>
          <cell r="Q610">
            <v>0</v>
          </cell>
          <cell r="R610" t="str">
            <v>UND</v>
          </cell>
          <cell r="S610">
            <v>0</v>
          </cell>
          <cell r="T610">
            <v>0</v>
          </cell>
          <cell r="U610" t="str">
            <v/>
          </cell>
          <cell r="V610" t="str">
            <v>PRO10</v>
          </cell>
          <cell r="W610">
            <v>0</v>
          </cell>
        </row>
        <row r="611">
          <cell r="C611" t="str">
            <v>HI451602</v>
          </cell>
          <cell r="D611" t="str">
            <v>PRINC</v>
          </cell>
          <cell r="E611" t="str">
            <v>00018</v>
          </cell>
          <cell r="F611" t="str">
            <v>REPUESTOS</v>
          </cell>
          <cell r="G611" t="str">
            <v>PRINCIPAL</v>
          </cell>
          <cell r="H611">
            <v>46004</v>
          </cell>
          <cell r="I611" t="str">
            <v>SALDO INICIAL</v>
          </cell>
          <cell r="J611">
            <v>2</v>
          </cell>
          <cell r="K611">
            <v>168.39333300000001</v>
          </cell>
          <cell r="L611">
            <v>84.196667000000005</v>
          </cell>
          <cell r="M611">
            <v>84.196666500000006</v>
          </cell>
          <cell r="N611" t="str">
            <v/>
          </cell>
          <cell r="O611" t="str">
            <v/>
          </cell>
          <cell r="P611" t="str">
            <v/>
          </cell>
          <cell r="Q611">
            <v>0</v>
          </cell>
          <cell r="R611" t="str">
            <v>UND</v>
          </cell>
          <cell r="S611">
            <v>0</v>
          </cell>
          <cell r="T611">
            <v>0</v>
          </cell>
          <cell r="U611" t="str">
            <v/>
          </cell>
          <cell r="V611" t="str">
            <v>PRO10</v>
          </cell>
          <cell r="W611">
            <v>0</v>
          </cell>
        </row>
        <row r="612">
          <cell r="C612" t="str">
            <v>HI452083</v>
          </cell>
          <cell r="D612" t="str">
            <v>PRINC</v>
          </cell>
          <cell r="E612" t="str">
            <v>00018</v>
          </cell>
          <cell r="F612" t="str">
            <v>REPUESTOS</v>
          </cell>
          <cell r="G612" t="str">
            <v>PRINCIPAL</v>
          </cell>
          <cell r="H612">
            <v>46004</v>
          </cell>
          <cell r="I612" t="str">
            <v>SALDO INICIAL</v>
          </cell>
          <cell r="J612">
            <v>3</v>
          </cell>
          <cell r="K612">
            <v>123.87</v>
          </cell>
          <cell r="L612">
            <v>0</v>
          </cell>
          <cell r="M612">
            <v>41.29</v>
          </cell>
          <cell r="N612" t="str">
            <v/>
          </cell>
          <cell r="O612" t="str">
            <v/>
          </cell>
          <cell r="P612" t="str">
            <v/>
          </cell>
          <cell r="Q612">
            <v>0</v>
          </cell>
          <cell r="R612" t="str">
            <v>UND</v>
          </cell>
          <cell r="S612">
            <v>0</v>
          </cell>
          <cell r="T612">
            <v>0</v>
          </cell>
          <cell r="U612" t="str">
            <v/>
          </cell>
          <cell r="V612" t="str">
            <v>PRO10</v>
          </cell>
          <cell r="W612">
            <v>0</v>
          </cell>
        </row>
        <row r="613">
          <cell r="C613" t="str">
            <v>HI452109</v>
          </cell>
          <cell r="D613" t="str">
            <v>PRINC</v>
          </cell>
          <cell r="E613" t="str">
            <v>00018</v>
          </cell>
          <cell r="F613" t="str">
            <v>REPUESTOS</v>
          </cell>
          <cell r="G613" t="str">
            <v>PRINCIPAL</v>
          </cell>
          <cell r="H613">
            <v>46004</v>
          </cell>
          <cell r="I613" t="str">
            <v>SALDO INICIAL</v>
          </cell>
          <cell r="J613">
            <v>1</v>
          </cell>
          <cell r="K613">
            <v>41.643332999999998</v>
          </cell>
          <cell r="L613">
            <v>41.643332999999998</v>
          </cell>
          <cell r="M613">
            <v>41.643332999999998</v>
          </cell>
          <cell r="N613" t="str">
            <v/>
          </cell>
          <cell r="O613" t="str">
            <v/>
          </cell>
          <cell r="P613" t="str">
            <v/>
          </cell>
          <cell r="Q613">
            <v>0</v>
          </cell>
          <cell r="R613" t="str">
            <v>UND</v>
          </cell>
          <cell r="S613">
            <v>0</v>
          </cell>
          <cell r="T613">
            <v>0</v>
          </cell>
          <cell r="U613" t="str">
            <v/>
          </cell>
          <cell r="V613" t="str">
            <v>PRO10</v>
          </cell>
          <cell r="W613">
            <v>0</v>
          </cell>
        </row>
        <row r="614">
          <cell r="C614" t="str">
            <v>HI452126</v>
          </cell>
          <cell r="D614" t="str">
            <v>PRINC</v>
          </cell>
          <cell r="E614" t="str">
            <v>00018</v>
          </cell>
          <cell r="F614" t="str">
            <v>REPUESTOS</v>
          </cell>
          <cell r="G614" t="str">
            <v>PRINCIPAL</v>
          </cell>
          <cell r="H614">
            <v>46004</v>
          </cell>
          <cell r="I614" t="str">
            <v>SALDO INICIAL</v>
          </cell>
          <cell r="J614">
            <v>3</v>
          </cell>
          <cell r="K614">
            <v>179.84</v>
          </cell>
          <cell r="L614">
            <v>0</v>
          </cell>
          <cell r="M614">
            <v>59.946666667000002</v>
          </cell>
          <cell r="N614" t="str">
            <v/>
          </cell>
          <cell r="O614" t="str">
            <v/>
          </cell>
          <cell r="P614" t="str">
            <v/>
          </cell>
          <cell r="Q614">
            <v>0</v>
          </cell>
          <cell r="R614" t="str">
            <v>UND</v>
          </cell>
          <cell r="S614">
            <v>0</v>
          </cell>
          <cell r="T614">
            <v>0</v>
          </cell>
          <cell r="U614" t="str">
            <v/>
          </cell>
          <cell r="V614" t="str">
            <v>PRO10</v>
          </cell>
          <cell r="W614">
            <v>0</v>
          </cell>
        </row>
        <row r="615">
          <cell r="C615" t="str">
            <v>WI200-0430-160</v>
          </cell>
          <cell r="D615" t="str">
            <v>PRINC</v>
          </cell>
          <cell r="E615" t="str">
            <v>00018</v>
          </cell>
          <cell r="F615" t="str">
            <v>REPUESTOS</v>
          </cell>
          <cell r="G615" t="str">
            <v>PRINCIPAL</v>
          </cell>
          <cell r="H615">
            <v>46004</v>
          </cell>
          <cell r="I615" t="str">
            <v>SALDO INICIAL</v>
          </cell>
          <cell r="J615">
            <v>6</v>
          </cell>
          <cell r="K615">
            <v>1803.72</v>
          </cell>
          <cell r="L615">
            <v>0</v>
          </cell>
          <cell r="M615">
            <v>300.62</v>
          </cell>
          <cell r="N615" t="str">
            <v/>
          </cell>
          <cell r="O615" t="str">
            <v/>
          </cell>
          <cell r="P615" t="str">
            <v/>
          </cell>
          <cell r="Q615">
            <v>0</v>
          </cell>
          <cell r="R615" t="str">
            <v>UND</v>
          </cell>
          <cell r="S615">
            <v>0</v>
          </cell>
          <cell r="T615">
            <v>0</v>
          </cell>
          <cell r="U615" t="str">
            <v/>
          </cell>
          <cell r="V615" t="str">
            <v>PRO10</v>
          </cell>
          <cell r="W615">
            <v>0</v>
          </cell>
        </row>
        <row r="616">
          <cell r="C616" t="str">
            <v>HI452120</v>
          </cell>
          <cell r="D616" t="str">
            <v>PRINC</v>
          </cell>
          <cell r="E616" t="str">
            <v>00018</v>
          </cell>
          <cell r="F616" t="str">
            <v>REPUESTOS</v>
          </cell>
          <cell r="G616" t="str">
            <v>PRINCIPAL</v>
          </cell>
          <cell r="H616">
            <v>46004</v>
          </cell>
          <cell r="I616" t="str">
            <v>SALDO INICIAL</v>
          </cell>
          <cell r="J616">
            <v>3</v>
          </cell>
          <cell r="K616">
            <v>109.2855</v>
          </cell>
          <cell r="L616">
            <v>36.4285</v>
          </cell>
          <cell r="M616">
            <v>36.4285</v>
          </cell>
          <cell r="N616" t="str">
            <v/>
          </cell>
          <cell r="O616" t="str">
            <v/>
          </cell>
          <cell r="P616" t="str">
            <v/>
          </cell>
          <cell r="Q616">
            <v>150.25</v>
          </cell>
          <cell r="R616" t="str">
            <v>UND</v>
          </cell>
          <cell r="S616">
            <v>0</v>
          </cell>
          <cell r="T616">
            <v>0</v>
          </cell>
          <cell r="U616" t="str">
            <v/>
          </cell>
          <cell r="V616" t="str">
            <v>PRO10</v>
          </cell>
          <cell r="W616">
            <v>0</v>
          </cell>
        </row>
        <row r="617">
          <cell r="C617" t="str">
            <v>HI451729</v>
          </cell>
          <cell r="D617" t="str">
            <v>PRINC</v>
          </cell>
          <cell r="E617" t="str">
            <v>00018</v>
          </cell>
          <cell r="F617" t="str">
            <v>REPUESTOS</v>
          </cell>
          <cell r="G617" t="str">
            <v>PRINCIPAL</v>
          </cell>
          <cell r="H617">
            <v>46004</v>
          </cell>
          <cell r="I617" t="str">
            <v>SALDO INICIAL</v>
          </cell>
          <cell r="J617">
            <v>1</v>
          </cell>
          <cell r="K617">
            <v>107.12</v>
          </cell>
          <cell r="L617">
            <v>0</v>
          </cell>
          <cell r="M617">
            <v>107.12</v>
          </cell>
          <cell r="N617" t="str">
            <v/>
          </cell>
          <cell r="O617" t="str">
            <v/>
          </cell>
          <cell r="P617" t="str">
            <v/>
          </cell>
          <cell r="Q617">
            <v>0</v>
          </cell>
          <cell r="R617" t="str">
            <v>UND</v>
          </cell>
          <cell r="S617">
            <v>0</v>
          </cell>
          <cell r="T617">
            <v>0</v>
          </cell>
          <cell r="U617" t="str">
            <v/>
          </cell>
          <cell r="V617" t="str">
            <v>PRO10</v>
          </cell>
          <cell r="W617">
            <v>0</v>
          </cell>
        </row>
        <row r="618">
          <cell r="C618" t="str">
            <v>HI452078</v>
          </cell>
          <cell r="D618" t="str">
            <v>PRINC</v>
          </cell>
          <cell r="E618" t="str">
            <v>00018</v>
          </cell>
          <cell r="F618" t="str">
            <v>REPUESTOS</v>
          </cell>
          <cell r="G618" t="str">
            <v>PRINCIPAL</v>
          </cell>
          <cell r="H618">
            <v>46004</v>
          </cell>
          <cell r="I618" t="str">
            <v>SALDO INICIAL</v>
          </cell>
          <cell r="J618">
            <v>1</v>
          </cell>
          <cell r="K618">
            <v>53.78</v>
          </cell>
          <cell r="L618">
            <v>0</v>
          </cell>
          <cell r="M618">
            <v>53.78</v>
          </cell>
          <cell r="N618" t="str">
            <v/>
          </cell>
          <cell r="O618" t="str">
            <v/>
          </cell>
          <cell r="P618" t="str">
            <v/>
          </cell>
          <cell r="Q618">
            <v>0</v>
          </cell>
          <cell r="R618" t="str">
            <v>UND</v>
          </cell>
          <cell r="S618">
            <v>0</v>
          </cell>
          <cell r="T618">
            <v>0</v>
          </cell>
          <cell r="U618" t="str">
            <v/>
          </cell>
          <cell r="V618" t="str">
            <v>PRO10</v>
          </cell>
          <cell r="W618">
            <v>0</v>
          </cell>
        </row>
        <row r="619">
          <cell r="C619" t="str">
            <v>WI247167</v>
          </cell>
          <cell r="D619" t="str">
            <v>PRINC</v>
          </cell>
          <cell r="E619" t="str">
            <v>00018</v>
          </cell>
          <cell r="F619" t="str">
            <v>REPUESTOS</v>
          </cell>
          <cell r="G619" t="str">
            <v>PRINCIPAL</v>
          </cell>
          <cell r="H619">
            <v>46004</v>
          </cell>
          <cell r="I619" t="str">
            <v>SALDO INICIAL</v>
          </cell>
          <cell r="J619">
            <v>2</v>
          </cell>
          <cell r="K619">
            <v>132.84</v>
          </cell>
          <cell r="L619">
            <v>0</v>
          </cell>
          <cell r="M619">
            <v>66.42</v>
          </cell>
          <cell r="N619" t="str">
            <v/>
          </cell>
          <cell r="O619" t="str">
            <v/>
          </cell>
          <cell r="P619" t="str">
            <v/>
          </cell>
          <cell r="Q619">
            <v>296.10000000000002</v>
          </cell>
          <cell r="R619" t="str">
            <v>UND</v>
          </cell>
          <cell r="S619">
            <v>0</v>
          </cell>
          <cell r="T619">
            <v>0</v>
          </cell>
          <cell r="U619" t="str">
            <v/>
          </cell>
          <cell r="V619" t="str">
            <v>PRO10</v>
          </cell>
          <cell r="W619">
            <v>0</v>
          </cell>
        </row>
        <row r="620">
          <cell r="C620" t="str">
            <v>HIKFILTROSRX</v>
          </cell>
          <cell r="D620" t="str">
            <v>PRINC</v>
          </cell>
          <cell r="E620" t="str">
            <v>00018</v>
          </cell>
          <cell r="F620" t="str">
            <v>REPUESTOS</v>
          </cell>
          <cell r="G620" t="str">
            <v>PRINCIPAL</v>
          </cell>
          <cell r="H620">
            <v>46004</v>
          </cell>
          <cell r="I620" t="str">
            <v>SALDO INICIAL</v>
          </cell>
          <cell r="J620">
            <v>-2</v>
          </cell>
          <cell r="K620">
            <v>0</v>
          </cell>
          <cell r="L620">
            <v>0</v>
          </cell>
          <cell r="M620">
            <v>0</v>
          </cell>
          <cell r="N620" t="str">
            <v/>
          </cell>
          <cell r="O620" t="str">
            <v/>
          </cell>
          <cell r="P620" t="str">
            <v/>
          </cell>
          <cell r="Q620">
            <v>319.7</v>
          </cell>
          <cell r="R620" t="str">
            <v>JGO</v>
          </cell>
          <cell r="S620">
            <v>0</v>
          </cell>
          <cell r="T620">
            <v>0</v>
          </cell>
          <cell r="U620" t="str">
            <v/>
          </cell>
          <cell r="V620" t="str">
            <v>PRO10</v>
          </cell>
          <cell r="W620">
            <v>0</v>
          </cell>
        </row>
        <row r="621">
          <cell r="C621" t="str">
            <v>HIKFILTROSRX2</v>
          </cell>
          <cell r="D621" t="str">
            <v>PRINC</v>
          </cell>
          <cell r="E621" t="str">
            <v>00018</v>
          </cell>
          <cell r="F621" t="str">
            <v>REPUESTOS</v>
          </cell>
          <cell r="G621" t="str">
            <v>PRINCIPAL</v>
          </cell>
          <cell r="H621">
            <v>46004</v>
          </cell>
          <cell r="I621" t="str">
            <v>SALDO INICIAL</v>
          </cell>
          <cell r="J621">
            <v>-7</v>
          </cell>
          <cell r="K621">
            <v>0</v>
          </cell>
          <cell r="L621">
            <v>0</v>
          </cell>
          <cell r="M621">
            <v>0</v>
          </cell>
          <cell r="N621" t="str">
            <v/>
          </cell>
          <cell r="O621" t="str">
            <v/>
          </cell>
          <cell r="P621" t="str">
            <v/>
          </cell>
          <cell r="Q621">
            <v>319.7</v>
          </cell>
          <cell r="R621" t="str">
            <v>JGO</v>
          </cell>
          <cell r="S621">
            <v>0</v>
          </cell>
          <cell r="T621">
            <v>0</v>
          </cell>
          <cell r="U621" t="str">
            <v/>
          </cell>
          <cell r="V621" t="str">
            <v>PRO10</v>
          </cell>
          <cell r="W621">
            <v>0</v>
          </cell>
        </row>
        <row r="622">
          <cell r="C622" t="str">
            <v>HIKFILTROSUX</v>
          </cell>
          <cell r="D622" t="str">
            <v>PRINC</v>
          </cell>
          <cell r="E622" t="str">
            <v>00018</v>
          </cell>
          <cell r="F622" t="str">
            <v>REPUESTOS</v>
          </cell>
          <cell r="G622" t="str">
            <v>PRINCIPAL</v>
          </cell>
          <cell r="H622">
            <v>46004</v>
          </cell>
          <cell r="I622" t="str">
            <v>SALDO INICIAL</v>
          </cell>
          <cell r="J622">
            <v>-3</v>
          </cell>
          <cell r="K622">
            <v>0</v>
          </cell>
          <cell r="L622">
            <v>0</v>
          </cell>
          <cell r="M622">
            <v>0</v>
          </cell>
          <cell r="N622" t="str">
            <v/>
          </cell>
          <cell r="O622" t="str">
            <v/>
          </cell>
          <cell r="P622" t="str">
            <v/>
          </cell>
          <cell r="Q622">
            <v>319.7</v>
          </cell>
          <cell r="R622" t="str">
            <v>JGO</v>
          </cell>
          <cell r="S622">
            <v>0</v>
          </cell>
          <cell r="T622">
            <v>0</v>
          </cell>
          <cell r="U622" t="str">
            <v/>
          </cell>
          <cell r="V622" t="str">
            <v>PRO10</v>
          </cell>
          <cell r="W622">
            <v>0</v>
          </cell>
        </row>
        <row r="623">
          <cell r="C623" t="str">
            <v>HI451661</v>
          </cell>
          <cell r="D623" t="str">
            <v>PRINC</v>
          </cell>
          <cell r="E623" t="str">
            <v>00018</v>
          </cell>
          <cell r="F623" t="str">
            <v>REPUESTOS</v>
          </cell>
          <cell r="G623" t="str">
            <v>PRINCIPAL</v>
          </cell>
          <cell r="H623">
            <v>46004</v>
          </cell>
          <cell r="I623" t="str">
            <v>SALDO INICIAL</v>
          </cell>
          <cell r="J623">
            <v>1</v>
          </cell>
          <cell r="K623">
            <v>602.77</v>
          </cell>
          <cell r="L623">
            <v>527.40499999999997</v>
          </cell>
          <cell r="M623">
            <v>602.77</v>
          </cell>
          <cell r="N623" t="str">
            <v/>
          </cell>
          <cell r="O623" t="str">
            <v/>
          </cell>
          <cell r="P623" t="str">
            <v/>
          </cell>
          <cell r="Q623">
            <v>1426.5</v>
          </cell>
          <cell r="R623" t="str">
            <v>UND</v>
          </cell>
          <cell r="S623">
            <v>0</v>
          </cell>
          <cell r="T623">
            <v>0</v>
          </cell>
          <cell r="U623" t="str">
            <v/>
          </cell>
          <cell r="V623" t="str">
            <v>PRO10</v>
          </cell>
          <cell r="W623">
            <v>0</v>
          </cell>
        </row>
        <row r="624">
          <cell r="C624" t="str">
            <v>HILUPHIT</v>
          </cell>
          <cell r="D624" t="str">
            <v>PRINC</v>
          </cell>
          <cell r="E624" t="str">
            <v>00018</v>
          </cell>
          <cell r="F624" t="str">
            <v>REPUESTOS</v>
          </cell>
          <cell r="G624" t="str">
            <v>PRINCIPAL</v>
          </cell>
          <cell r="H624">
            <v>46004</v>
          </cell>
          <cell r="I624" t="str">
            <v>SALDO INICIAL</v>
          </cell>
          <cell r="J624">
            <v>102</v>
          </cell>
          <cell r="K624">
            <v>1175.04</v>
          </cell>
          <cell r="L624">
            <v>11.52</v>
          </cell>
          <cell r="M624">
            <v>11.52</v>
          </cell>
          <cell r="N624" t="str">
            <v/>
          </cell>
          <cell r="O624" t="str">
            <v/>
          </cell>
          <cell r="P624" t="str">
            <v/>
          </cell>
          <cell r="Q624">
            <v>32.65</v>
          </cell>
          <cell r="R624" t="str">
            <v>UND</v>
          </cell>
          <cell r="S624">
            <v>0</v>
          </cell>
          <cell r="T624">
            <v>0</v>
          </cell>
          <cell r="U624" t="str">
            <v/>
          </cell>
          <cell r="V624" t="str">
            <v>PRO10</v>
          </cell>
          <cell r="W624">
            <v>0</v>
          </cell>
        </row>
        <row r="625">
          <cell r="C625" t="str">
            <v>HI451632</v>
          </cell>
          <cell r="D625" t="str">
            <v>PRINC</v>
          </cell>
          <cell r="E625" t="str">
            <v>00018</v>
          </cell>
          <cell r="F625" t="str">
            <v>REPUESTOS</v>
          </cell>
          <cell r="G625" t="str">
            <v>PRINCIPAL</v>
          </cell>
          <cell r="H625">
            <v>46004</v>
          </cell>
          <cell r="I625" t="str">
            <v>SALDO INICIAL</v>
          </cell>
          <cell r="J625">
            <v>1</v>
          </cell>
          <cell r="K625">
            <v>54.71</v>
          </cell>
          <cell r="L625">
            <v>54.71</v>
          </cell>
          <cell r="M625">
            <v>54.71</v>
          </cell>
          <cell r="N625" t="str">
            <v/>
          </cell>
          <cell r="O625" t="str">
            <v/>
          </cell>
          <cell r="P625" t="str">
            <v/>
          </cell>
          <cell r="Q625">
            <v>155</v>
          </cell>
          <cell r="R625" t="str">
            <v>UND</v>
          </cell>
          <cell r="S625">
            <v>0</v>
          </cell>
          <cell r="T625">
            <v>0</v>
          </cell>
          <cell r="U625" t="str">
            <v/>
          </cell>
          <cell r="V625" t="str">
            <v>PRO10</v>
          </cell>
          <cell r="W625">
            <v>0</v>
          </cell>
        </row>
        <row r="626">
          <cell r="C626" t="str">
            <v>HIIJP-BR2</v>
          </cell>
          <cell r="D626" t="str">
            <v>PRINC</v>
          </cell>
          <cell r="E626" t="str">
            <v>00018</v>
          </cell>
          <cell r="F626" t="str">
            <v>REPUESTOS</v>
          </cell>
          <cell r="G626" t="str">
            <v>PRINCIPAL</v>
          </cell>
          <cell r="H626">
            <v>46004</v>
          </cell>
          <cell r="I626" t="str">
            <v>SALDO INICIAL</v>
          </cell>
          <cell r="J626">
            <v>2</v>
          </cell>
          <cell r="K626">
            <v>78.28</v>
          </cell>
          <cell r="L626">
            <v>0</v>
          </cell>
          <cell r="M626">
            <v>39.14</v>
          </cell>
          <cell r="N626" t="str">
            <v/>
          </cell>
          <cell r="O626" t="str">
            <v/>
          </cell>
          <cell r="P626" t="str">
            <v/>
          </cell>
          <cell r="Q626">
            <v>110.9</v>
          </cell>
          <cell r="R626" t="str">
            <v>UND</v>
          </cell>
          <cell r="S626">
            <v>0</v>
          </cell>
          <cell r="T626">
            <v>0</v>
          </cell>
          <cell r="U626" t="str">
            <v/>
          </cell>
          <cell r="V626" t="str">
            <v>PRO10</v>
          </cell>
          <cell r="W626">
            <v>0</v>
          </cell>
        </row>
        <row r="627">
          <cell r="C627" t="str">
            <v>HI452001</v>
          </cell>
          <cell r="D627" t="str">
            <v>PRINC</v>
          </cell>
          <cell r="E627" t="str">
            <v>00018</v>
          </cell>
          <cell r="F627" t="str">
            <v>REPUESTOS</v>
          </cell>
          <cell r="G627" t="str">
            <v>PRINCIPAL</v>
          </cell>
          <cell r="H627">
            <v>46004</v>
          </cell>
          <cell r="I627" t="str">
            <v>SALDO INICIAL</v>
          </cell>
          <cell r="J627">
            <v>3</v>
          </cell>
          <cell r="K627">
            <v>307.80500000000001</v>
          </cell>
          <cell r="L627">
            <v>98.064999999999998</v>
          </cell>
          <cell r="M627">
            <v>102.601666667</v>
          </cell>
          <cell r="N627" t="str">
            <v/>
          </cell>
          <cell r="O627" t="str">
            <v/>
          </cell>
          <cell r="P627" t="str">
            <v/>
          </cell>
          <cell r="Q627">
            <v>232.3</v>
          </cell>
          <cell r="R627" t="str">
            <v>UND</v>
          </cell>
          <cell r="S627">
            <v>0</v>
          </cell>
          <cell r="T627">
            <v>0</v>
          </cell>
          <cell r="U627" t="str">
            <v/>
          </cell>
          <cell r="V627" t="str">
            <v>PRO10</v>
          </cell>
          <cell r="W627">
            <v>0</v>
          </cell>
        </row>
        <row r="628">
          <cell r="C628" t="str">
            <v>HI451518</v>
          </cell>
          <cell r="D628" t="str">
            <v>PRINC</v>
          </cell>
          <cell r="E628" t="str">
            <v>00018</v>
          </cell>
          <cell r="F628" t="str">
            <v>REPUESTOS</v>
          </cell>
          <cell r="G628" t="str">
            <v>PRINCIPAL</v>
          </cell>
          <cell r="H628">
            <v>46004</v>
          </cell>
          <cell r="I628" t="str">
            <v>SALDO INICIAL</v>
          </cell>
          <cell r="J628">
            <v>2</v>
          </cell>
          <cell r="K628">
            <v>23.86</v>
          </cell>
          <cell r="L628">
            <v>11.93</v>
          </cell>
          <cell r="M628">
            <v>11.93</v>
          </cell>
          <cell r="N628" t="str">
            <v/>
          </cell>
          <cell r="O628" t="str">
            <v/>
          </cell>
          <cell r="P628" t="str">
            <v/>
          </cell>
          <cell r="Q628">
            <v>33.9</v>
          </cell>
          <cell r="R628" t="str">
            <v>UND</v>
          </cell>
          <cell r="S628">
            <v>0</v>
          </cell>
          <cell r="T628">
            <v>0</v>
          </cell>
          <cell r="U628" t="str">
            <v/>
          </cell>
          <cell r="V628" t="str">
            <v>PRO10</v>
          </cell>
          <cell r="W628">
            <v>0</v>
          </cell>
        </row>
        <row r="629">
          <cell r="C629" t="str">
            <v>HIIJP-ENC3</v>
          </cell>
          <cell r="D629" t="str">
            <v>PRINC</v>
          </cell>
          <cell r="E629" t="str">
            <v>00018</v>
          </cell>
          <cell r="F629" t="str">
            <v>REPUESTOS</v>
          </cell>
          <cell r="G629" t="str">
            <v>PRINCIPAL</v>
          </cell>
          <cell r="H629">
            <v>46004</v>
          </cell>
          <cell r="I629" t="str">
            <v>SALDO INICIAL</v>
          </cell>
          <cell r="J629">
            <v>1</v>
          </cell>
          <cell r="K629">
            <v>293.79000000000002</v>
          </cell>
          <cell r="L629">
            <v>293.79000000000002</v>
          </cell>
          <cell r="M629">
            <v>293.79000000000002</v>
          </cell>
          <cell r="N629" t="str">
            <v/>
          </cell>
          <cell r="O629" t="str">
            <v/>
          </cell>
          <cell r="P629" t="str">
            <v/>
          </cell>
          <cell r="Q629">
            <v>0</v>
          </cell>
          <cell r="R629" t="str">
            <v>UND</v>
          </cell>
          <cell r="S629">
            <v>0</v>
          </cell>
          <cell r="T629">
            <v>0</v>
          </cell>
          <cell r="U629" t="str">
            <v/>
          </cell>
          <cell r="V629" t="str">
            <v>PRO10</v>
          </cell>
          <cell r="W629">
            <v>0</v>
          </cell>
        </row>
        <row r="630">
          <cell r="C630" t="str">
            <v>HI451857</v>
          </cell>
          <cell r="D630" t="str">
            <v>PRINC</v>
          </cell>
          <cell r="E630" t="str">
            <v>00018</v>
          </cell>
          <cell r="F630" t="str">
            <v>REPUESTOS</v>
          </cell>
          <cell r="G630" t="str">
            <v>PRINCIPAL</v>
          </cell>
          <cell r="H630">
            <v>46004</v>
          </cell>
          <cell r="I630" t="str">
            <v>SALDO INICIAL</v>
          </cell>
          <cell r="J630">
            <v>64.5</v>
          </cell>
          <cell r="K630">
            <v>2047.149936</v>
          </cell>
          <cell r="L630">
            <v>31.738759000000002</v>
          </cell>
          <cell r="M630">
            <v>31.738758698000002</v>
          </cell>
          <cell r="N630" t="str">
            <v/>
          </cell>
          <cell r="O630" t="str">
            <v/>
          </cell>
          <cell r="P630" t="str">
            <v/>
          </cell>
          <cell r="Q630">
            <v>0</v>
          </cell>
          <cell r="R630" t="str">
            <v>UND</v>
          </cell>
          <cell r="S630">
            <v>0</v>
          </cell>
          <cell r="T630">
            <v>0</v>
          </cell>
          <cell r="U630" t="str">
            <v/>
          </cell>
          <cell r="V630" t="str">
            <v>PRO10</v>
          </cell>
          <cell r="W630">
            <v>0</v>
          </cell>
        </row>
        <row r="631">
          <cell r="C631" t="str">
            <v>HI451862</v>
          </cell>
          <cell r="D631" t="str">
            <v>PRINC</v>
          </cell>
          <cell r="E631" t="str">
            <v>00018</v>
          </cell>
          <cell r="F631" t="str">
            <v>REPUESTOS</v>
          </cell>
          <cell r="G631" t="str">
            <v>PRINCIPAL</v>
          </cell>
          <cell r="H631">
            <v>46004</v>
          </cell>
          <cell r="I631" t="str">
            <v>SALDO INICIAL</v>
          </cell>
          <cell r="J631">
            <v>3</v>
          </cell>
          <cell r="K631">
            <v>431.12</v>
          </cell>
          <cell r="L631">
            <v>138.05000000000001</v>
          </cell>
          <cell r="M631">
            <v>143.70666666700001</v>
          </cell>
          <cell r="N631" t="str">
            <v/>
          </cell>
          <cell r="O631" t="str">
            <v/>
          </cell>
          <cell r="P631" t="str">
            <v/>
          </cell>
          <cell r="Q631">
            <v>0</v>
          </cell>
          <cell r="R631" t="str">
            <v>UND</v>
          </cell>
          <cell r="S631">
            <v>0</v>
          </cell>
          <cell r="T631">
            <v>0</v>
          </cell>
          <cell r="U631" t="str">
            <v/>
          </cell>
          <cell r="V631" t="str">
            <v>PRO10</v>
          </cell>
          <cell r="W631">
            <v>0</v>
          </cell>
        </row>
        <row r="632">
          <cell r="C632" t="str">
            <v>KEKL201154</v>
          </cell>
          <cell r="D632" t="str">
            <v>PRINC</v>
          </cell>
          <cell r="E632" t="str">
            <v>00018</v>
          </cell>
          <cell r="F632" t="str">
            <v>REPUESTOS</v>
          </cell>
          <cell r="G632" t="str">
            <v>PRINCIPAL</v>
          </cell>
          <cell r="H632">
            <v>46004</v>
          </cell>
          <cell r="I632" t="str">
            <v>SALDO INICIAL</v>
          </cell>
          <cell r="J632">
            <v>1</v>
          </cell>
          <cell r="K632">
            <v>971.02800000000002</v>
          </cell>
          <cell r="L632">
            <v>971.02800000000002</v>
          </cell>
          <cell r="M632">
            <v>971.02800000000002</v>
          </cell>
          <cell r="N632" t="str">
            <v/>
          </cell>
          <cell r="O632" t="str">
            <v/>
          </cell>
          <cell r="P632" t="str">
            <v/>
          </cell>
          <cell r="Q632">
            <v>1548</v>
          </cell>
          <cell r="R632" t="str">
            <v>UND</v>
          </cell>
          <cell r="S632">
            <v>0</v>
          </cell>
          <cell r="T632">
            <v>0</v>
          </cell>
          <cell r="U632" t="str">
            <v/>
          </cell>
          <cell r="V632" t="str">
            <v>PRO10</v>
          </cell>
          <cell r="W632">
            <v>0</v>
          </cell>
        </row>
        <row r="633">
          <cell r="C633" t="str">
            <v>HI451037</v>
          </cell>
          <cell r="D633" t="str">
            <v>PRINC</v>
          </cell>
          <cell r="E633" t="str">
            <v>00018</v>
          </cell>
          <cell r="F633" t="str">
            <v>REPUESTOS</v>
          </cell>
          <cell r="G633" t="str">
            <v>PRINCIPAL</v>
          </cell>
          <cell r="H633">
            <v>46004</v>
          </cell>
          <cell r="I633" t="str">
            <v>SALDO INICIAL</v>
          </cell>
          <cell r="J633">
            <v>75</v>
          </cell>
          <cell r="K633">
            <v>1050.236056</v>
          </cell>
          <cell r="L633">
            <v>14.003147</v>
          </cell>
          <cell r="M633">
            <v>14.003147413000001</v>
          </cell>
          <cell r="N633" t="str">
            <v/>
          </cell>
          <cell r="O633" t="str">
            <v/>
          </cell>
          <cell r="P633" t="str">
            <v/>
          </cell>
          <cell r="Q633">
            <v>0</v>
          </cell>
          <cell r="R633" t="str">
            <v>UND</v>
          </cell>
          <cell r="S633">
            <v>0</v>
          </cell>
          <cell r="T633">
            <v>0</v>
          </cell>
          <cell r="U633" t="str">
            <v/>
          </cell>
          <cell r="V633" t="str">
            <v>PRO10</v>
          </cell>
          <cell r="W633">
            <v>0</v>
          </cell>
        </row>
        <row r="634">
          <cell r="C634" t="str">
            <v>HI451856</v>
          </cell>
          <cell r="D634" t="str">
            <v>PRINC</v>
          </cell>
          <cell r="E634" t="str">
            <v>00018</v>
          </cell>
          <cell r="F634" t="str">
            <v>REPUESTOS</v>
          </cell>
          <cell r="G634" t="str">
            <v>PRINCIPAL</v>
          </cell>
          <cell r="H634">
            <v>46004</v>
          </cell>
          <cell r="I634" t="str">
            <v>SALDO INICIAL</v>
          </cell>
          <cell r="J634">
            <v>1</v>
          </cell>
          <cell r="K634">
            <v>917.59500000000003</v>
          </cell>
          <cell r="L634">
            <v>917.59500000000003</v>
          </cell>
          <cell r="M634">
            <v>917.59500000000003</v>
          </cell>
          <cell r="N634" t="str">
            <v/>
          </cell>
          <cell r="O634" t="str">
            <v/>
          </cell>
          <cell r="P634" t="str">
            <v/>
          </cell>
          <cell r="Q634">
            <v>1295.7</v>
          </cell>
          <cell r="R634" t="str">
            <v>UND</v>
          </cell>
          <cell r="S634">
            <v>0</v>
          </cell>
          <cell r="T634">
            <v>0</v>
          </cell>
          <cell r="U634" t="str">
            <v/>
          </cell>
          <cell r="V634" t="str">
            <v>PRO10</v>
          </cell>
          <cell r="W634">
            <v>0</v>
          </cell>
        </row>
        <row r="635">
          <cell r="C635" t="str">
            <v>HI451670</v>
          </cell>
          <cell r="D635" t="str">
            <v>PRINC</v>
          </cell>
          <cell r="E635" t="str">
            <v>00018</v>
          </cell>
          <cell r="F635" t="str">
            <v>REPUESTOS</v>
          </cell>
          <cell r="G635" t="str">
            <v>PRINCIPAL</v>
          </cell>
          <cell r="H635">
            <v>46004</v>
          </cell>
          <cell r="I635" t="str">
            <v>SALDO INICIAL</v>
          </cell>
          <cell r="J635">
            <v>2</v>
          </cell>
          <cell r="K635">
            <v>1393.5146810000001</v>
          </cell>
          <cell r="L635">
            <v>695.92</v>
          </cell>
          <cell r="M635">
            <v>696.75734050000005</v>
          </cell>
          <cell r="N635" t="str">
            <v/>
          </cell>
          <cell r="O635" t="str">
            <v/>
          </cell>
          <cell r="P635" t="str">
            <v/>
          </cell>
          <cell r="Q635">
            <v>1719.9</v>
          </cell>
          <cell r="R635" t="str">
            <v>UND</v>
          </cell>
          <cell r="S635">
            <v>0</v>
          </cell>
          <cell r="T635">
            <v>0</v>
          </cell>
          <cell r="U635" t="str">
            <v/>
          </cell>
          <cell r="V635" t="str">
            <v>PRO10</v>
          </cell>
          <cell r="W635">
            <v>0</v>
          </cell>
        </row>
        <row r="636">
          <cell r="C636" t="str">
            <v>HI451694</v>
          </cell>
          <cell r="D636" t="str">
            <v>PRINC</v>
          </cell>
          <cell r="E636" t="str">
            <v>00018</v>
          </cell>
          <cell r="F636" t="str">
            <v>REPUESTOS</v>
          </cell>
          <cell r="G636" t="str">
            <v>PRINCIPAL</v>
          </cell>
          <cell r="H636">
            <v>46004</v>
          </cell>
          <cell r="I636" t="str">
            <v>SALDO INICIAL</v>
          </cell>
          <cell r="J636">
            <v>2</v>
          </cell>
          <cell r="K636">
            <v>2406.77</v>
          </cell>
          <cell r="L636">
            <v>1024.92</v>
          </cell>
          <cell r="M636">
            <v>1203.385</v>
          </cell>
          <cell r="N636" t="str">
            <v/>
          </cell>
          <cell r="O636" t="str">
            <v/>
          </cell>
          <cell r="P636" t="str">
            <v/>
          </cell>
          <cell r="Q636">
            <v>1857.9</v>
          </cell>
          <cell r="R636" t="str">
            <v>UND</v>
          </cell>
          <cell r="S636">
            <v>0</v>
          </cell>
          <cell r="T636">
            <v>0</v>
          </cell>
          <cell r="U636" t="str">
            <v/>
          </cell>
          <cell r="V636" t="str">
            <v>PRO10</v>
          </cell>
          <cell r="W636">
            <v>0</v>
          </cell>
        </row>
        <row r="637">
          <cell r="C637" t="str">
            <v>HI451625</v>
          </cell>
          <cell r="D637" t="str">
            <v>PRINC</v>
          </cell>
          <cell r="E637" t="str">
            <v>00018</v>
          </cell>
          <cell r="F637" t="str">
            <v>REPUESTOS</v>
          </cell>
          <cell r="G637" t="str">
            <v>PRINCIPAL</v>
          </cell>
          <cell r="H637">
            <v>46004</v>
          </cell>
          <cell r="I637" t="str">
            <v>SALDO INICIAL</v>
          </cell>
          <cell r="J637">
            <v>10</v>
          </cell>
          <cell r="K637">
            <v>27.6</v>
          </cell>
          <cell r="L637">
            <v>0</v>
          </cell>
          <cell r="M637">
            <v>2.76</v>
          </cell>
          <cell r="N637" t="str">
            <v/>
          </cell>
          <cell r="O637" t="str">
            <v/>
          </cell>
          <cell r="P637" t="str">
            <v/>
          </cell>
          <cell r="Q637">
            <v>7.85</v>
          </cell>
          <cell r="R637" t="str">
            <v>UND</v>
          </cell>
          <cell r="S637">
            <v>0</v>
          </cell>
          <cell r="T637">
            <v>0</v>
          </cell>
          <cell r="U637" t="str">
            <v/>
          </cell>
          <cell r="V637" t="str">
            <v>PRO10</v>
          </cell>
          <cell r="W637">
            <v>0</v>
          </cell>
        </row>
        <row r="638">
          <cell r="C638" t="str">
            <v>HI451819</v>
          </cell>
          <cell r="D638" t="str">
            <v>PRINC</v>
          </cell>
          <cell r="E638" t="str">
            <v>00018</v>
          </cell>
          <cell r="F638" t="str">
            <v>REPUESTOS</v>
          </cell>
          <cell r="G638" t="str">
            <v>PRINCIPAL</v>
          </cell>
          <cell r="H638">
            <v>46004</v>
          </cell>
          <cell r="I638" t="str">
            <v>SALDO INICIAL</v>
          </cell>
          <cell r="J638">
            <v>16</v>
          </cell>
          <cell r="K638">
            <v>4.4800000000000004</v>
          </cell>
          <cell r="L638">
            <v>0.28000000000000003</v>
          </cell>
          <cell r="M638">
            <v>0.28000000000000003</v>
          </cell>
          <cell r="N638" t="str">
            <v/>
          </cell>
          <cell r="O638" t="str">
            <v/>
          </cell>
          <cell r="P638" t="str">
            <v/>
          </cell>
          <cell r="Q638">
            <v>16.649999999999999</v>
          </cell>
          <cell r="R638" t="str">
            <v>UND</v>
          </cell>
          <cell r="S638">
            <v>0</v>
          </cell>
          <cell r="T638">
            <v>0</v>
          </cell>
          <cell r="U638" t="str">
            <v/>
          </cell>
          <cell r="V638" t="str">
            <v>PRO10</v>
          </cell>
          <cell r="W638">
            <v>0</v>
          </cell>
        </row>
        <row r="639">
          <cell r="C639" t="str">
            <v>HI451818</v>
          </cell>
          <cell r="D639" t="str">
            <v>PRINC</v>
          </cell>
          <cell r="E639" t="str">
            <v>00018</v>
          </cell>
          <cell r="F639" t="str">
            <v>REPUESTOS</v>
          </cell>
          <cell r="G639" t="str">
            <v>PRINCIPAL</v>
          </cell>
          <cell r="H639">
            <v>46004</v>
          </cell>
          <cell r="I639" t="str">
            <v>SALDO INICIAL</v>
          </cell>
          <cell r="J639">
            <v>19</v>
          </cell>
          <cell r="K639">
            <v>4.9400000000000004</v>
          </cell>
          <cell r="L639">
            <v>0.26</v>
          </cell>
          <cell r="M639">
            <v>0.26</v>
          </cell>
          <cell r="N639" t="str">
            <v/>
          </cell>
          <cell r="O639" t="str">
            <v/>
          </cell>
          <cell r="P639" t="str">
            <v/>
          </cell>
          <cell r="Q639">
            <v>16.649999999999999</v>
          </cell>
          <cell r="R639" t="str">
            <v>UND</v>
          </cell>
          <cell r="S639">
            <v>0</v>
          </cell>
          <cell r="T639">
            <v>0</v>
          </cell>
          <cell r="U639" t="str">
            <v/>
          </cell>
          <cell r="V639" t="str">
            <v>PRO10</v>
          </cell>
          <cell r="W639">
            <v>0</v>
          </cell>
        </row>
        <row r="640">
          <cell r="C640" t="str">
            <v>HI451821</v>
          </cell>
          <cell r="D640" t="str">
            <v>PRINC</v>
          </cell>
          <cell r="E640" t="str">
            <v>00018</v>
          </cell>
          <cell r="F640" t="str">
            <v>REPUESTOS</v>
          </cell>
          <cell r="G640" t="str">
            <v>PRINCIPAL</v>
          </cell>
          <cell r="H640">
            <v>46004</v>
          </cell>
          <cell r="I640" t="str">
            <v>SALDO INICIAL</v>
          </cell>
          <cell r="J640">
            <v>100</v>
          </cell>
          <cell r="K640">
            <v>71</v>
          </cell>
          <cell r="L640">
            <v>0</v>
          </cell>
          <cell r="M640">
            <v>0.71</v>
          </cell>
          <cell r="N640" t="str">
            <v/>
          </cell>
          <cell r="O640" t="str">
            <v/>
          </cell>
          <cell r="P640" t="str">
            <v/>
          </cell>
          <cell r="Q640">
            <v>17.45</v>
          </cell>
          <cell r="R640" t="str">
            <v>UND</v>
          </cell>
          <cell r="S640">
            <v>0</v>
          </cell>
          <cell r="T640">
            <v>0</v>
          </cell>
          <cell r="U640" t="str">
            <v/>
          </cell>
          <cell r="V640" t="str">
            <v>PRO10</v>
          </cell>
          <cell r="W640">
            <v>0</v>
          </cell>
        </row>
        <row r="641">
          <cell r="C641" t="str">
            <v>HI451628</v>
          </cell>
          <cell r="D641" t="str">
            <v>PRINC</v>
          </cell>
          <cell r="E641" t="str">
            <v>00018</v>
          </cell>
          <cell r="F641" t="str">
            <v>REPUESTOS</v>
          </cell>
          <cell r="G641" t="str">
            <v>PRINCIPAL</v>
          </cell>
          <cell r="H641">
            <v>46004</v>
          </cell>
          <cell r="I641" t="str">
            <v>SALDO INICIAL</v>
          </cell>
          <cell r="J641">
            <v>10</v>
          </cell>
          <cell r="K641">
            <v>21.9</v>
          </cell>
          <cell r="L641">
            <v>0</v>
          </cell>
          <cell r="M641">
            <v>2.19</v>
          </cell>
          <cell r="N641" t="str">
            <v/>
          </cell>
          <cell r="O641" t="str">
            <v/>
          </cell>
          <cell r="P641" t="str">
            <v/>
          </cell>
          <cell r="Q641">
            <v>6.25</v>
          </cell>
          <cell r="R641" t="str">
            <v>UND</v>
          </cell>
          <cell r="S641">
            <v>0</v>
          </cell>
          <cell r="T641">
            <v>0</v>
          </cell>
          <cell r="U641" t="str">
            <v/>
          </cell>
          <cell r="V641" t="str">
            <v>PRO10</v>
          </cell>
          <cell r="W641">
            <v>0</v>
          </cell>
        </row>
        <row r="642">
          <cell r="C642" t="str">
            <v>WI547134</v>
          </cell>
          <cell r="D642" t="str">
            <v>PRINC</v>
          </cell>
          <cell r="E642" t="str">
            <v>00018</v>
          </cell>
          <cell r="F642" t="str">
            <v>REPUESTOS</v>
          </cell>
          <cell r="G642" t="str">
            <v>PRINCIPAL</v>
          </cell>
          <cell r="H642">
            <v>46004</v>
          </cell>
          <cell r="I642" t="str">
            <v>SALDO INICIAL</v>
          </cell>
          <cell r="J642">
            <v>1</v>
          </cell>
          <cell r="K642">
            <v>25.272500000000001</v>
          </cell>
          <cell r="L642">
            <v>25.272500000000001</v>
          </cell>
          <cell r="M642">
            <v>25.272500000000001</v>
          </cell>
          <cell r="N642" t="str">
            <v/>
          </cell>
          <cell r="O642" t="str">
            <v/>
          </cell>
          <cell r="P642" t="str">
            <v/>
          </cell>
          <cell r="Q642">
            <v>0</v>
          </cell>
          <cell r="R642" t="str">
            <v>UND</v>
          </cell>
          <cell r="S642">
            <v>0</v>
          </cell>
          <cell r="T642">
            <v>0</v>
          </cell>
          <cell r="U642" t="str">
            <v/>
          </cell>
          <cell r="V642" t="str">
            <v>PRO10</v>
          </cell>
          <cell r="W642">
            <v>0</v>
          </cell>
        </row>
        <row r="643">
          <cell r="C643" t="str">
            <v>WI5211177</v>
          </cell>
          <cell r="D643" t="str">
            <v>PRINC</v>
          </cell>
          <cell r="E643" t="str">
            <v>00018</v>
          </cell>
          <cell r="F643" t="str">
            <v>REPUESTOS</v>
          </cell>
          <cell r="G643" t="str">
            <v>PRINCIPAL</v>
          </cell>
          <cell r="H643">
            <v>46004</v>
          </cell>
          <cell r="I643" t="str">
            <v>SALDO INICIAL</v>
          </cell>
          <cell r="J643">
            <v>6</v>
          </cell>
          <cell r="K643">
            <v>486.59550200000001</v>
          </cell>
          <cell r="L643">
            <v>81.099249999999998</v>
          </cell>
          <cell r="M643">
            <v>81.099250333000001</v>
          </cell>
          <cell r="N643" t="str">
            <v/>
          </cell>
          <cell r="O643" t="str">
            <v/>
          </cell>
          <cell r="P643" t="str">
            <v/>
          </cell>
          <cell r="Q643">
            <v>128.69999999999999</v>
          </cell>
          <cell r="R643" t="str">
            <v>UND</v>
          </cell>
          <cell r="S643">
            <v>0</v>
          </cell>
          <cell r="T643">
            <v>0</v>
          </cell>
          <cell r="U643" t="str">
            <v/>
          </cell>
          <cell r="V643" t="str">
            <v>PRO10</v>
          </cell>
          <cell r="W643">
            <v>0</v>
          </cell>
        </row>
        <row r="644">
          <cell r="C644" t="str">
            <v>HI451675</v>
          </cell>
          <cell r="D644" t="str">
            <v>PRINC</v>
          </cell>
          <cell r="E644" t="str">
            <v>00018</v>
          </cell>
          <cell r="F644" t="str">
            <v>REPUESTOS</v>
          </cell>
          <cell r="G644" t="str">
            <v>PRINCIPAL</v>
          </cell>
          <cell r="H644">
            <v>46004</v>
          </cell>
          <cell r="I644" t="str">
            <v>SALDO INICIAL</v>
          </cell>
          <cell r="J644">
            <v>15</v>
          </cell>
          <cell r="K644">
            <v>20.683246</v>
          </cell>
          <cell r="L644">
            <v>1.3788830000000001</v>
          </cell>
          <cell r="M644">
            <v>1.3788830670000001</v>
          </cell>
          <cell r="N644" t="str">
            <v/>
          </cell>
          <cell r="O644" t="str">
            <v/>
          </cell>
          <cell r="P644" t="str">
            <v/>
          </cell>
          <cell r="Q644">
            <v>0</v>
          </cell>
          <cell r="R644" t="str">
            <v>UND</v>
          </cell>
          <cell r="S644">
            <v>0</v>
          </cell>
          <cell r="T644">
            <v>0</v>
          </cell>
          <cell r="U644" t="str">
            <v/>
          </cell>
          <cell r="V644" t="str">
            <v>PRO10</v>
          </cell>
          <cell r="W644">
            <v>0</v>
          </cell>
        </row>
        <row r="645">
          <cell r="C645" t="str">
            <v>HIIJP-PWRCD-A</v>
          </cell>
          <cell r="D645" t="str">
            <v>PRINC</v>
          </cell>
          <cell r="E645" t="str">
            <v>00018</v>
          </cell>
          <cell r="F645" t="str">
            <v>REPUESTOS</v>
          </cell>
          <cell r="G645" t="str">
            <v>PRINCIPAL</v>
          </cell>
          <cell r="H645">
            <v>46004</v>
          </cell>
          <cell r="I645" t="str">
            <v>SALDO INICIAL</v>
          </cell>
          <cell r="J645">
            <v>26</v>
          </cell>
          <cell r="K645">
            <v>195.04633699999999</v>
          </cell>
          <cell r="L645">
            <v>7.5017820000000004</v>
          </cell>
          <cell r="M645">
            <v>7.5017821920000003</v>
          </cell>
          <cell r="N645" t="str">
            <v/>
          </cell>
          <cell r="O645" t="str">
            <v/>
          </cell>
          <cell r="P645" t="str">
            <v/>
          </cell>
          <cell r="Q645">
            <v>17</v>
          </cell>
          <cell r="R645" t="str">
            <v>UND</v>
          </cell>
          <cell r="S645">
            <v>0</v>
          </cell>
          <cell r="T645">
            <v>0</v>
          </cell>
          <cell r="U645" t="str">
            <v/>
          </cell>
          <cell r="V645" t="str">
            <v>PRO10</v>
          </cell>
          <cell r="W645">
            <v>0</v>
          </cell>
        </row>
        <row r="646">
          <cell r="C646" t="str">
            <v>HI451860</v>
          </cell>
          <cell r="D646" t="str">
            <v>PRINC</v>
          </cell>
          <cell r="E646" t="str">
            <v>00018</v>
          </cell>
          <cell r="F646" t="str">
            <v>REPUESTOS</v>
          </cell>
          <cell r="G646" t="str">
            <v>PRINCIPAL</v>
          </cell>
          <cell r="H646">
            <v>46004</v>
          </cell>
          <cell r="I646" t="str">
            <v>SALDO INICIAL</v>
          </cell>
          <cell r="J646">
            <v>3</v>
          </cell>
          <cell r="K646">
            <v>356.52749999999997</v>
          </cell>
          <cell r="L646">
            <v>118.8425</v>
          </cell>
          <cell r="M646">
            <v>118.8425</v>
          </cell>
          <cell r="N646" t="str">
            <v/>
          </cell>
          <cell r="O646" t="str">
            <v/>
          </cell>
          <cell r="P646" t="str">
            <v/>
          </cell>
          <cell r="Q646">
            <v>0</v>
          </cell>
          <cell r="R646" t="str">
            <v>UND</v>
          </cell>
          <cell r="S646">
            <v>0</v>
          </cell>
          <cell r="T646">
            <v>0</v>
          </cell>
          <cell r="U646" t="str">
            <v/>
          </cell>
          <cell r="V646" t="str">
            <v>PRO10</v>
          </cell>
          <cell r="W646">
            <v>0</v>
          </cell>
        </row>
        <row r="647">
          <cell r="C647" t="str">
            <v>HI451634</v>
          </cell>
          <cell r="D647" t="str">
            <v>PRINC</v>
          </cell>
          <cell r="E647" t="str">
            <v>00018</v>
          </cell>
          <cell r="F647" t="str">
            <v>REPUESTOS</v>
          </cell>
          <cell r="G647" t="str">
            <v>PRINCIPAL</v>
          </cell>
          <cell r="H647">
            <v>46004</v>
          </cell>
          <cell r="I647" t="str">
            <v>SALDO INICIAL</v>
          </cell>
          <cell r="J647">
            <v>36</v>
          </cell>
          <cell r="K647">
            <v>1345.32</v>
          </cell>
          <cell r="L647">
            <v>37.369999999999997</v>
          </cell>
          <cell r="M647">
            <v>37.369999999999997</v>
          </cell>
          <cell r="N647" t="str">
            <v/>
          </cell>
          <cell r="O647" t="str">
            <v/>
          </cell>
          <cell r="P647" t="str">
            <v/>
          </cell>
          <cell r="Q647">
            <v>105.95</v>
          </cell>
          <cell r="R647" t="str">
            <v>UND</v>
          </cell>
          <cell r="S647">
            <v>0</v>
          </cell>
          <cell r="T647">
            <v>0</v>
          </cell>
          <cell r="U647" t="str">
            <v/>
          </cell>
          <cell r="V647" t="str">
            <v>PRO10</v>
          </cell>
          <cell r="W647">
            <v>0</v>
          </cell>
        </row>
        <row r="648">
          <cell r="C648" t="str">
            <v>HIT452070</v>
          </cell>
          <cell r="D648" t="str">
            <v>PRINC</v>
          </cell>
          <cell r="E648" t="str">
            <v>00018</v>
          </cell>
          <cell r="F648" t="str">
            <v>REPUESTOS</v>
          </cell>
          <cell r="G648" t="str">
            <v>PRINCIPAL</v>
          </cell>
          <cell r="H648">
            <v>46004</v>
          </cell>
          <cell r="I648" t="str">
            <v>SALDO INICIAL</v>
          </cell>
          <cell r="J648">
            <v>1</v>
          </cell>
          <cell r="K648">
            <v>185.89</v>
          </cell>
          <cell r="L648">
            <v>185.89</v>
          </cell>
          <cell r="M648">
            <v>185.89</v>
          </cell>
          <cell r="N648" t="str">
            <v/>
          </cell>
          <cell r="O648" t="str">
            <v/>
          </cell>
          <cell r="P648" t="str">
            <v/>
          </cell>
          <cell r="Q648">
            <v>0</v>
          </cell>
          <cell r="R648" t="str">
            <v>UND</v>
          </cell>
          <cell r="S648">
            <v>0</v>
          </cell>
          <cell r="T648">
            <v>0</v>
          </cell>
          <cell r="U648" t="str">
            <v/>
          </cell>
          <cell r="V648" t="str">
            <v>PRO10</v>
          </cell>
          <cell r="W648">
            <v>0</v>
          </cell>
        </row>
        <row r="649">
          <cell r="C649" t="str">
            <v>HI451705</v>
          </cell>
          <cell r="D649" t="str">
            <v>PRINC</v>
          </cell>
          <cell r="E649" t="str">
            <v>00018</v>
          </cell>
          <cell r="F649" t="str">
            <v>REPUESTOS</v>
          </cell>
          <cell r="G649" t="str">
            <v>PRINCIPAL</v>
          </cell>
          <cell r="H649">
            <v>46004</v>
          </cell>
          <cell r="I649" t="str">
            <v>SALDO INICIAL</v>
          </cell>
          <cell r="J649">
            <v>1</v>
          </cell>
          <cell r="K649">
            <v>210.86750000000001</v>
          </cell>
          <cell r="L649">
            <v>210.86750000000001</v>
          </cell>
          <cell r="M649">
            <v>210.86750000000001</v>
          </cell>
          <cell r="N649" t="str">
            <v/>
          </cell>
          <cell r="O649" t="str">
            <v/>
          </cell>
          <cell r="P649" t="str">
            <v/>
          </cell>
          <cell r="Q649">
            <v>0</v>
          </cell>
          <cell r="R649" t="str">
            <v>UND</v>
          </cell>
          <cell r="S649">
            <v>0</v>
          </cell>
          <cell r="T649">
            <v>0</v>
          </cell>
          <cell r="U649" t="str">
            <v/>
          </cell>
          <cell r="V649" t="str">
            <v>PRO10</v>
          </cell>
          <cell r="W649">
            <v>0</v>
          </cell>
        </row>
        <row r="650">
          <cell r="C650" t="str">
            <v>HI451902</v>
          </cell>
          <cell r="D650" t="str">
            <v>PRINC</v>
          </cell>
          <cell r="E650" t="str">
            <v>00018</v>
          </cell>
          <cell r="F650" t="str">
            <v>REPUESTOS</v>
          </cell>
          <cell r="G650" t="str">
            <v>PRINCIPAL</v>
          </cell>
          <cell r="H650">
            <v>46004</v>
          </cell>
          <cell r="I650" t="str">
            <v>SALDO INICIAL</v>
          </cell>
          <cell r="J650">
            <v>1</v>
          </cell>
          <cell r="K650">
            <v>27.09</v>
          </cell>
          <cell r="L650">
            <v>0</v>
          </cell>
          <cell r="M650">
            <v>27.09</v>
          </cell>
          <cell r="N650" t="str">
            <v/>
          </cell>
          <cell r="O650" t="str">
            <v/>
          </cell>
          <cell r="P650" t="str">
            <v/>
          </cell>
          <cell r="Q650">
            <v>0</v>
          </cell>
          <cell r="R650" t="str">
            <v>UND</v>
          </cell>
          <cell r="S650">
            <v>0</v>
          </cell>
          <cell r="T650">
            <v>0</v>
          </cell>
          <cell r="U650" t="str">
            <v/>
          </cell>
          <cell r="V650" t="str">
            <v>PRO10</v>
          </cell>
          <cell r="W650">
            <v>0</v>
          </cell>
        </row>
        <row r="651">
          <cell r="C651" t="str">
            <v>HI451487</v>
          </cell>
          <cell r="D651" t="str">
            <v>PRINC</v>
          </cell>
          <cell r="E651" t="str">
            <v>00018</v>
          </cell>
          <cell r="F651" t="str">
            <v>REPUESTOS</v>
          </cell>
          <cell r="G651" t="str">
            <v>PRINCIPAL</v>
          </cell>
          <cell r="H651">
            <v>46004</v>
          </cell>
          <cell r="I651" t="str">
            <v>SALDO INICIAL</v>
          </cell>
          <cell r="J651">
            <v>86</v>
          </cell>
          <cell r="K651">
            <v>2605.016736</v>
          </cell>
          <cell r="L651">
            <v>30.290891999999999</v>
          </cell>
          <cell r="M651">
            <v>30.290892279000001</v>
          </cell>
          <cell r="N651" t="str">
            <v/>
          </cell>
          <cell r="O651" t="str">
            <v/>
          </cell>
          <cell r="P651" t="str">
            <v/>
          </cell>
          <cell r="Q651">
            <v>0</v>
          </cell>
          <cell r="R651" t="str">
            <v>UND</v>
          </cell>
          <cell r="S651">
            <v>0</v>
          </cell>
          <cell r="T651">
            <v>0</v>
          </cell>
          <cell r="U651" t="str">
            <v/>
          </cell>
          <cell r="V651" t="str">
            <v>PRO10</v>
          </cell>
          <cell r="W651">
            <v>0</v>
          </cell>
        </row>
        <row r="652">
          <cell r="C652" t="str">
            <v>HI451996</v>
          </cell>
          <cell r="D652" t="str">
            <v>PRINC</v>
          </cell>
          <cell r="E652" t="str">
            <v>00018</v>
          </cell>
          <cell r="F652" t="str">
            <v>REPUESTOS</v>
          </cell>
          <cell r="G652" t="str">
            <v>PRINCIPAL</v>
          </cell>
          <cell r="H652">
            <v>46004</v>
          </cell>
          <cell r="I652" t="str">
            <v>SALDO INICIAL</v>
          </cell>
          <cell r="J652">
            <v>3</v>
          </cell>
          <cell r="K652">
            <v>384.57499999999999</v>
          </cell>
          <cell r="L652">
            <v>125.535</v>
          </cell>
          <cell r="M652">
            <v>128.19166666699999</v>
          </cell>
          <cell r="N652" t="str">
            <v/>
          </cell>
          <cell r="O652" t="str">
            <v/>
          </cell>
          <cell r="P652" t="str">
            <v/>
          </cell>
          <cell r="Q652">
            <v>286.2</v>
          </cell>
          <cell r="R652" t="str">
            <v>UND</v>
          </cell>
          <cell r="S652">
            <v>0</v>
          </cell>
          <cell r="T652">
            <v>0</v>
          </cell>
          <cell r="U652" t="str">
            <v/>
          </cell>
          <cell r="V652" t="str">
            <v>PRO10</v>
          </cell>
          <cell r="W652">
            <v>0</v>
          </cell>
        </row>
        <row r="653">
          <cell r="C653" t="str">
            <v>HI451995</v>
          </cell>
          <cell r="D653" t="str">
            <v>PRINC</v>
          </cell>
          <cell r="E653" t="str">
            <v>00018</v>
          </cell>
          <cell r="F653" t="str">
            <v>REPUESTOS</v>
          </cell>
          <cell r="G653" t="str">
            <v>PRINCIPAL</v>
          </cell>
          <cell r="H653">
            <v>46004</v>
          </cell>
          <cell r="I653" t="str">
            <v>SALDO INICIAL</v>
          </cell>
          <cell r="J653">
            <v>6</v>
          </cell>
          <cell r="K653">
            <v>812.02</v>
          </cell>
          <cell r="L653">
            <v>130.5975</v>
          </cell>
          <cell r="M653">
            <v>135.336666667</v>
          </cell>
          <cell r="N653" t="str">
            <v/>
          </cell>
          <cell r="O653" t="str">
            <v/>
          </cell>
          <cell r="P653" t="str">
            <v/>
          </cell>
          <cell r="Q653">
            <v>0</v>
          </cell>
          <cell r="R653" t="str">
            <v>UND</v>
          </cell>
          <cell r="S653">
            <v>0</v>
          </cell>
          <cell r="T653">
            <v>0</v>
          </cell>
          <cell r="U653" t="str">
            <v/>
          </cell>
          <cell r="V653" t="str">
            <v>PRO10</v>
          </cell>
          <cell r="W653">
            <v>0</v>
          </cell>
        </row>
        <row r="654">
          <cell r="C654" t="str">
            <v>HI451586</v>
          </cell>
          <cell r="D654" t="str">
            <v>PRINC</v>
          </cell>
          <cell r="E654" t="str">
            <v>00018</v>
          </cell>
          <cell r="F654" t="str">
            <v>REPUESTOS</v>
          </cell>
          <cell r="G654" t="str">
            <v>PRINCIPAL</v>
          </cell>
          <cell r="H654">
            <v>46004</v>
          </cell>
          <cell r="I654" t="str">
            <v>SALDO INICIAL</v>
          </cell>
          <cell r="J654">
            <v>4</v>
          </cell>
          <cell r="K654">
            <v>3178.920333</v>
          </cell>
          <cell r="L654">
            <v>794.73008300000004</v>
          </cell>
          <cell r="M654">
            <v>794.73008325000001</v>
          </cell>
          <cell r="N654" t="str">
            <v/>
          </cell>
          <cell r="O654" t="str">
            <v/>
          </cell>
          <cell r="P654" t="str">
            <v/>
          </cell>
          <cell r="Q654">
            <v>1163.9000000000001</v>
          </cell>
          <cell r="R654" t="str">
            <v>UND</v>
          </cell>
          <cell r="S654">
            <v>0</v>
          </cell>
          <cell r="T654">
            <v>0</v>
          </cell>
          <cell r="U654" t="str">
            <v/>
          </cell>
          <cell r="V654" t="str">
            <v>PRO10</v>
          </cell>
          <cell r="W654">
            <v>0</v>
          </cell>
        </row>
        <row r="655">
          <cell r="C655" t="str">
            <v>HI451641</v>
          </cell>
          <cell r="D655" t="str">
            <v>PRINC</v>
          </cell>
          <cell r="E655" t="str">
            <v>00018</v>
          </cell>
          <cell r="F655" t="str">
            <v>REPUESTOS</v>
          </cell>
          <cell r="G655" t="str">
            <v>PRINCIPAL</v>
          </cell>
          <cell r="H655">
            <v>46004</v>
          </cell>
          <cell r="I655" t="str">
            <v>SALDO INICIAL</v>
          </cell>
          <cell r="J655">
            <v>180</v>
          </cell>
          <cell r="K655">
            <v>1151.15004</v>
          </cell>
          <cell r="L655">
            <v>0</v>
          </cell>
          <cell r="M655">
            <v>6.3952780000000002</v>
          </cell>
          <cell r="N655" t="str">
            <v/>
          </cell>
          <cell r="O655" t="str">
            <v/>
          </cell>
          <cell r="P655" t="str">
            <v/>
          </cell>
          <cell r="Q655">
            <v>0</v>
          </cell>
          <cell r="R655" t="str">
            <v>UND</v>
          </cell>
          <cell r="S655">
            <v>0</v>
          </cell>
          <cell r="T655">
            <v>0</v>
          </cell>
          <cell r="U655" t="str">
            <v/>
          </cell>
          <cell r="V655" t="str">
            <v>PRO10</v>
          </cell>
          <cell r="W655">
            <v>0</v>
          </cell>
        </row>
        <row r="656">
          <cell r="C656" t="str">
            <v>HI451925</v>
          </cell>
          <cell r="D656" t="str">
            <v>PRINC</v>
          </cell>
          <cell r="E656" t="str">
            <v>00018</v>
          </cell>
          <cell r="F656" t="str">
            <v>REPUESTOS</v>
          </cell>
          <cell r="G656" t="str">
            <v>PRINCIPAL</v>
          </cell>
          <cell r="H656">
            <v>46004</v>
          </cell>
          <cell r="I656" t="str">
            <v>SALDO INICIAL</v>
          </cell>
          <cell r="J656">
            <v>7</v>
          </cell>
          <cell r="K656">
            <v>74.41</v>
          </cell>
          <cell r="L656">
            <v>10.63</v>
          </cell>
          <cell r="M656">
            <v>10.63</v>
          </cell>
          <cell r="N656" t="str">
            <v/>
          </cell>
          <cell r="O656" t="str">
            <v/>
          </cell>
          <cell r="P656" t="str">
            <v/>
          </cell>
          <cell r="Q656">
            <v>23.55</v>
          </cell>
          <cell r="R656" t="str">
            <v>UND</v>
          </cell>
          <cell r="S656">
            <v>0</v>
          </cell>
          <cell r="T656">
            <v>0</v>
          </cell>
          <cell r="U656" t="str">
            <v/>
          </cell>
          <cell r="V656" t="str">
            <v>PRO10</v>
          </cell>
          <cell r="W656">
            <v>0</v>
          </cell>
        </row>
        <row r="657">
          <cell r="C657" t="str">
            <v>HI451864</v>
          </cell>
          <cell r="D657" t="str">
            <v>PRINC</v>
          </cell>
          <cell r="E657" t="str">
            <v>00018</v>
          </cell>
          <cell r="F657" t="str">
            <v>REPUESTOS</v>
          </cell>
          <cell r="G657" t="str">
            <v>PRINCIPAL</v>
          </cell>
          <cell r="H657">
            <v>46004</v>
          </cell>
          <cell r="I657" t="str">
            <v>SALDO INICIAL</v>
          </cell>
          <cell r="J657">
            <v>1</v>
          </cell>
          <cell r="K657">
            <v>171.72633300000001</v>
          </cell>
          <cell r="L657">
            <v>171.72633400000001</v>
          </cell>
          <cell r="M657">
            <v>171.72633300000001</v>
          </cell>
          <cell r="N657" t="str">
            <v/>
          </cell>
          <cell r="O657" t="str">
            <v/>
          </cell>
          <cell r="P657" t="str">
            <v/>
          </cell>
          <cell r="Q657">
            <v>580.4</v>
          </cell>
          <cell r="R657" t="str">
            <v>UND</v>
          </cell>
          <cell r="S657">
            <v>0</v>
          </cell>
          <cell r="T657">
            <v>0</v>
          </cell>
          <cell r="U657" t="str">
            <v/>
          </cell>
          <cell r="V657" t="str">
            <v>PRO10</v>
          </cell>
          <cell r="W657">
            <v>0</v>
          </cell>
        </row>
        <row r="658">
          <cell r="C658" t="str">
            <v>WI200-0210-313</v>
          </cell>
          <cell r="D658" t="str">
            <v>PRINC</v>
          </cell>
          <cell r="E658" t="str">
            <v>00018</v>
          </cell>
          <cell r="F658" t="str">
            <v>REPUESTOS</v>
          </cell>
          <cell r="G658" t="str">
            <v>PRINCIPAL</v>
          </cell>
          <cell r="H658">
            <v>46004</v>
          </cell>
          <cell r="I658" t="str">
            <v>SALDO INICIAL</v>
          </cell>
          <cell r="J658">
            <v>54</v>
          </cell>
          <cell r="K658">
            <v>432</v>
          </cell>
          <cell r="L658">
            <v>8</v>
          </cell>
          <cell r="M658">
            <v>8</v>
          </cell>
          <cell r="N658" t="str">
            <v/>
          </cell>
          <cell r="O658" t="str">
            <v/>
          </cell>
          <cell r="P658" t="str">
            <v/>
          </cell>
          <cell r="Q658">
            <v>284.3</v>
          </cell>
          <cell r="R658" t="str">
            <v>UND</v>
          </cell>
          <cell r="S658">
            <v>0</v>
          </cell>
          <cell r="T658">
            <v>0</v>
          </cell>
          <cell r="U658" t="str">
            <v/>
          </cell>
          <cell r="V658" t="str">
            <v>PRO10</v>
          </cell>
          <cell r="W658">
            <v>0</v>
          </cell>
        </row>
        <row r="659">
          <cell r="C659" t="str">
            <v>HI451907</v>
          </cell>
          <cell r="D659" t="str">
            <v>PRINC</v>
          </cell>
          <cell r="E659" t="str">
            <v>00018</v>
          </cell>
          <cell r="F659" t="str">
            <v>REPUESTOS</v>
          </cell>
          <cell r="G659" t="str">
            <v>PRINCIPAL</v>
          </cell>
          <cell r="H659">
            <v>46004</v>
          </cell>
          <cell r="I659" t="str">
            <v>SALDO INICIAL</v>
          </cell>
          <cell r="J659">
            <v>1</v>
          </cell>
          <cell r="K659">
            <v>56.5</v>
          </cell>
          <cell r="L659">
            <v>0</v>
          </cell>
          <cell r="M659">
            <v>56.5</v>
          </cell>
          <cell r="N659" t="str">
            <v/>
          </cell>
          <cell r="O659" t="str">
            <v/>
          </cell>
          <cell r="P659" t="str">
            <v/>
          </cell>
          <cell r="Q659">
            <v>0</v>
          </cell>
          <cell r="R659" t="str">
            <v>UND</v>
          </cell>
          <cell r="S659">
            <v>0</v>
          </cell>
          <cell r="T659">
            <v>0</v>
          </cell>
          <cell r="U659" t="str">
            <v/>
          </cell>
          <cell r="V659" t="str">
            <v>PRO10</v>
          </cell>
          <cell r="W659">
            <v>0</v>
          </cell>
        </row>
        <row r="660">
          <cell r="C660" t="str">
            <v>AUS8PR5W13NN</v>
          </cell>
          <cell r="D660" t="str">
            <v>PRINC</v>
          </cell>
          <cell r="E660" t="str">
            <v>00018</v>
          </cell>
          <cell r="F660" t="str">
            <v>REPUESTOS</v>
          </cell>
          <cell r="G660" t="str">
            <v>PRINCIPAL</v>
          </cell>
          <cell r="H660">
            <v>46004</v>
          </cell>
          <cell r="I660" t="str">
            <v>SALDO INICIAL</v>
          </cell>
          <cell r="J660">
            <v>3</v>
          </cell>
          <cell r="K660">
            <v>262.5</v>
          </cell>
          <cell r="L660">
            <v>84.05</v>
          </cell>
          <cell r="M660">
            <v>87.5</v>
          </cell>
          <cell r="N660" t="str">
            <v/>
          </cell>
          <cell r="O660" t="str">
            <v/>
          </cell>
          <cell r="P660" t="str">
            <v/>
          </cell>
          <cell r="Q660">
            <v>0</v>
          </cell>
          <cell r="R660" t="str">
            <v>UND</v>
          </cell>
          <cell r="S660">
            <v>0</v>
          </cell>
          <cell r="T660">
            <v>0</v>
          </cell>
          <cell r="U660" t="str">
            <v/>
          </cell>
          <cell r="V660" t="str">
            <v>PRO10</v>
          </cell>
          <cell r="W660">
            <v>0</v>
          </cell>
        </row>
        <row r="661">
          <cell r="C661" t="str">
            <v>S8PR5W13/CD080G</v>
          </cell>
          <cell r="D661" t="str">
            <v>PRINC</v>
          </cell>
          <cell r="E661" t="str">
            <v>00018</v>
          </cell>
          <cell r="F661" t="str">
            <v>REPUESTOS</v>
          </cell>
          <cell r="G661" t="str">
            <v>PRINCIPAL</v>
          </cell>
          <cell r="H661">
            <v>46004</v>
          </cell>
          <cell r="I661" t="str">
            <v>SALDO INICIAL</v>
          </cell>
          <cell r="J661">
            <v>1</v>
          </cell>
          <cell r="K661">
            <v>96.72</v>
          </cell>
          <cell r="L661">
            <v>0</v>
          </cell>
          <cell r="M661">
            <v>96.72</v>
          </cell>
          <cell r="N661" t="str">
            <v/>
          </cell>
          <cell r="O661" t="str">
            <v/>
          </cell>
          <cell r="P661" t="str">
            <v/>
          </cell>
          <cell r="Q661">
            <v>0</v>
          </cell>
          <cell r="R661" t="str">
            <v>UND</v>
          </cell>
          <cell r="S661">
            <v>0</v>
          </cell>
          <cell r="T661">
            <v>0</v>
          </cell>
          <cell r="U661" t="str">
            <v/>
          </cell>
          <cell r="V661" t="str">
            <v>PRO10</v>
          </cell>
          <cell r="W661">
            <v>0</v>
          </cell>
        </row>
        <row r="662">
          <cell r="C662" t="str">
            <v>LERC10</v>
          </cell>
          <cell r="D662" t="str">
            <v>PRINC</v>
          </cell>
          <cell r="E662" t="str">
            <v>00018</v>
          </cell>
          <cell r="F662" t="str">
            <v>REPUESTOS</v>
          </cell>
          <cell r="G662" t="str">
            <v>PRINCIPAL</v>
          </cell>
          <cell r="H662">
            <v>46004</v>
          </cell>
          <cell r="I662" t="str">
            <v>SALDO INICIAL</v>
          </cell>
          <cell r="J662">
            <v>2</v>
          </cell>
          <cell r="K662">
            <v>283.92</v>
          </cell>
          <cell r="L662">
            <v>124.87</v>
          </cell>
          <cell r="M662">
            <v>141.96</v>
          </cell>
          <cell r="N662" t="str">
            <v/>
          </cell>
          <cell r="O662" t="str">
            <v/>
          </cell>
          <cell r="P662" t="str">
            <v/>
          </cell>
          <cell r="Q662">
            <v>355</v>
          </cell>
          <cell r="R662" t="str">
            <v>UND</v>
          </cell>
          <cell r="S662">
            <v>0</v>
          </cell>
          <cell r="T662">
            <v>0</v>
          </cell>
          <cell r="U662" t="str">
            <v/>
          </cell>
          <cell r="V662" t="str">
            <v>PRO10</v>
          </cell>
          <cell r="W662">
            <v>0</v>
          </cell>
        </row>
        <row r="663">
          <cell r="C663" t="str">
            <v>HIIJP-EZPIC</v>
          </cell>
          <cell r="D663" t="str">
            <v>PRINC</v>
          </cell>
          <cell r="E663" t="str">
            <v>00018</v>
          </cell>
          <cell r="F663" t="str">
            <v>REPUESTOS</v>
          </cell>
          <cell r="G663" t="str">
            <v>PRINCIPAL</v>
          </cell>
          <cell r="H663">
            <v>46004</v>
          </cell>
          <cell r="I663" t="str">
            <v>SALDO INICIAL</v>
          </cell>
          <cell r="J663">
            <v>10</v>
          </cell>
          <cell r="K663">
            <v>3165.363636</v>
          </cell>
          <cell r="L663">
            <v>316.53636399999999</v>
          </cell>
          <cell r="M663">
            <v>316.53636360000002</v>
          </cell>
          <cell r="N663" t="str">
            <v/>
          </cell>
          <cell r="O663" t="str">
            <v/>
          </cell>
          <cell r="P663" t="str">
            <v/>
          </cell>
          <cell r="Q663">
            <v>562.70000000000005</v>
          </cell>
          <cell r="R663" t="str">
            <v>UND</v>
          </cell>
          <cell r="S663">
            <v>0</v>
          </cell>
          <cell r="T663">
            <v>0</v>
          </cell>
          <cell r="U663" t="str">
            <v/>
          </cell>
          <cell r="V663" t="str">
            <v>PRO10</v>
          </cell>
          <cell r="W663">
            <v>0</v>
          </cell>
        </row>
        <row r="664">
          <cell r="C664" t="str">
            <v>HIIJP-SR2</v>
          </cell>
          <cell r="D664" t="str">
            <v>PRINC</v>
          </cell>
          <cell r="E664" t="str">
            <v>00018</v>
          </cell>
          <cell r="F664" t="str">
            <v>REPUESTOS</v>
          </cell>
          <cell r="G664" t="str">
            <v>PRINCIPAL</v>
          </cell>
          <cell r="H664">
            <v>46004</v>
          </cell>
          <cell r="I664" t="str">
            <v>SALDO INICIAL</v>
          </cell>
          <cell r="J664">
            <v>30</v>
          </cell>
          <cell r="K664">
            <v>2171.8512660000001</v>
          </cell>
          <cell r="L664">
            <v>72.395042000000004</v>
          </cell>
          <cell r="M664">
            <v>72.395042200000006</v>
          </cell>
          <cell r="N664" t="str">
            <v/>
          </cell>
          <cell r="O664" t="str">
            <v/>
          </cell>
          <cell r="P664" t="str">
            <v/>
          </cell>
          <cell r="Q664">
            <v>226.6</v>
          </cell>
          <cell r="R664" t="str">
            <v>UND</v>
          </cell>
          <cell r="S664">
            <v>0</v>
          </cell>
          <cell r="T664">
            <v>0</v>
          </cell>
          <cell r="U664" t="str">
            <v/>
          </cell>
          <cell r="V664" t="str">
            <v>PRO10</v>
          </cell>
          <cell r="W664">
            <v>0</v>
          </cell>
        </row>
        <row r="665">
          <cell r="C665" t="str">
            <v>E3FADN25/M12PUR</v>
          </cell>
          <cell r="D665" t="str">
            <v>PRINC</v>
          </cell>
          <cell r="E665" t="str">
            <v>00018</v>
          </cell>
          <cell r="F665" t="str">
            <v>REPUESTOS</v>
          </cell>
          <cell r="G665" t="str">
            <v>PRINCIPAL</v>
          </cell>
          <cell r="H665">
            <v>46004</v>
          </cell>
          <cell r="I665" t="str">
            <v>SALDO INICIAL</v>
          </cell>
          <cell r="J665">
            <v>1</v>
          </cell>
          <cell r="K665">
            <v>96.33</v>
          </cell>
          <cell r="L665">
            <v>96.33</v>
          </cell>
          <cell r="M665">
            <v>96.33</v>
          </cell>
          <cell r="N665" t="str">
            <v/>
          </cell>
          <cell r="O665" t="str">
            <v/>
          </cell>
          <cell r="P665" t="str">
            <v/>
          </cell>
          <cell r="Q665">
            <v>0</v>
          </cell>
          <cell r="R665" t="str">
            <v>UND</v>
          </cell>
          <cell r="S665">
            <v>0</v>
          </cell>
          <cell r="T665">
            <v>0</v>
          </cell>
          <cell r="U665" t="str">
            <v/>
          </cell>
          <cell r="V665" t="str">
            <v>PRO10</v>
          </cell>
          <cell r="W665">
            <v>0</v>
          </cell>
        </row>
        <row r="666">
          <cell r="C666" t="str">
            <v>B07CLL8FY7</v>
          </cell>
          <cell r="D666" t="str">
            <v>PRINC</v>
          </cell>
          <cell r="E666" t="str">
            <v>00018</v>
          </cell>
          <cell r="F666" t="str">
            <v>REPUESTOS</v>
          </cell>
          <cell r="G666" t="str">
            <v>PRINCIPAL</v>
          </cell>
          <cell r="H666">
            <v>46004</v>
          </cell>
          <cell r="I666" t="str">
            <v>SALDO INICIAL</v>
          </cell>
          <cell r="J666">
            <v>1</v>
          </cell>
          <cell r="K666">
            <v>12.422000000000001</v>
          </cell>
          <cell r="L666">
            <v>12.422000000000001</v>
          </cell>
          <cell r="M666">
            <v>12.422000000000001</v>
          </cell>
          <cell r="N666" t="str">
            <v/>
          </cell>
          <cell r="O666" t="str">
            <v/>
          </cell>
          <cell r="P666" t="str">
            <v/>
          </cell>
          <cell r="Q666">
            <v>200</v>
          </cell>
          <cell r="R666" t="str">
            <v>UND</v>
          </cell>
          <cell r="S666">
            <v>0</v>
          </cell>
          <cell r="T666">
            <v>0</v>
          </cell>
          <cell r="U666" t="str">
            <v/>
          </cell>
          <cell r="V666" t="str">
            <v>PRO10</v>
          </cell>
          <cell r="W666">
            <v>0</v>
          </cell>
        </row>
        <row r="667">
          <cell r="C667" t="str">
            <v>OME3S-X3CE4</v>
          </cell>
          <cell r="D667" t="str">
            <v>PRINC</v>
          </cell>
          <cell r="E667" t="str">
            <v>00018</v>
          </cell>
          <cell r="F667" t="str">
            <v>REPUESTOS</v>
          </cell>
          <cell r="G667" t="str">
            <v>PRINCIPAL</v>
          </cell>
          <cell r="H667">
            <v>46004</v>
          </cell>
          <cell r="I667" t="str">
            <v>SALDO INICIAL</v>
          </cell>
          <cell r="J667">
            <v>1</v>
          </cell>
          <cell r="K667">
            <v>145</v>
          </cell>
          <cell r="L667">
            <v>0</v>
          </cell>
          <cell r="M667">
            <v>145</v>
          </cell>
          <cell r="N667" t="str">
            <v/>
          </cell>
          <cell r="O667" t="str">
            <v/>
          </cell>
          <cell r="P667" t="str">
            <v/>
          </cell>
          <cell r="Q667">
            <v>0</v>
          </cell>
          <cell r="R667" t="str">
            <v>UND</v>
          </cell>
          <cell r="S667">
            <v>0</v>
          </cell>
          <cell r="T667">
            <v>0</v>
          </cell>
          <cell r="U667" t="str">
            <v/>
          </cell>
          <cell r="V667" t="str">
            <v>PRO10</v>
          </cell>
          <cell r="W667">
            <v>0</v>
          </cell>
        </row>
        <row r="668">
          <cell r="C668" t="str">
            <v>HI451755</v>
          </cell>
          <cell r="D668" t="str">
            <v>PRINC</v>
          </cell>
          <cell r="E668" t="str">
            <v>00018</v>
          </cell>
          <cell r="F668" t="str">
            <v>REPUESTOS</v>
          </cell>
          <cell r="G668" t="str">
            <v>PRINCIPAL</v>
          </cell>
          <cell r="H668">
            <v>46004</v>
          </cell>
          <cell r="I668" t="str">
            <v>SALDO INICIAL</v>
          </cell>
          <cell r="J668">
            <v>5</v>
          </cell>
          <cell r="K668">
            <v>99.23</v>
          </cell>
          <cell r="L668">
            <v>19.649999999999999</v>
          </cell>
          <cell r="M668">
            <v>19.846</v>
          </cell>
          <cell r="N668" t="str">
            <v/>
          </cell>
          <cell r="O668" t="str">
            <v/>
          </cell>
          <cell r="P668" t="str">
            <v/>
          </cell>
          <cell r="Q668">
            <v>55.7</v>
          </cell>
          <cell r="R668" t="str">
            <v>UND</v>
          </cell>
          <cell r="S668">
            <v>0</v>
          </cell>
          <cell r="T668">
            <v>0</v>
          </cell>
          <cell r="U668" t="str">
            <v/>
          </cell>
          <cell r="V668" t="str">
            <v>PRO10</v>
          </cell>
          <cell r="W668">
            <v>0</v>
          </cell>
        </row>
        <row r="669">
          <cell r="C669" t="str">
            <v>HI451833</v>
          </cell>
          <cell r="D669" t="str">
            <v>PRINC</v>
          </cell>
          <cell r="E669" t="str">
            <v>00018</v>
          </cell>
          <cell r="F669" t="str">
            <v>REPUESTOS</v>
          </cell>
          <cell r="G669" t="str">
            <v>PRINCIPAL</v>
          </cell>
          <cell r="H669">
            <v>46004</v>
          </cell>
          <cell r="I669" t="str">
            <v>SALDO INICIAL</v>
          </cell>
          <cell r="J669">
            <v>4</v>
          </cell>
          <cell r="K669">
            <v>103.50583399999999</v>
          </cell>
          <cell r="L669">
            <v>24.964375</v>
          </cell>
          <cell r="M669">
            <v>25.876458499999998</v>
          </cell>
          <cell r="N669" t="str">
            <v/>
          </cell>
          <cell r="O669" t="str">
            <v/>
          </cell>
          <cell r="P669" t="str">
            <v/>
          </cell>
          <cell r="Q669">
            <v>77.760000000000005</v>
          </cell>
          <cell r="R669" t="str">
            <v>UND</v>
          </cell>
          <cell r="S669">
            <v>0</v>
          </cell>
          <cell r="T669">
            <v>0</v>
          </cell>
          <cell r="U669" t="str">
            <v/>
          </cell>
          <cell r="V669" t="str">
            <v>PRO10</v>
          </cell>
          <cell r="W669">
            <v>0</v>
          </cell>
        </row>
        <row r="670">
          <cell r="C670" t="str">
            <v>HI451863</v>
          </cell>
          <cell r="D670" t="str">
            <v>PRINC</v>
          </cell>
          <cell r="E670" t="str">
            <v>00018</v>
          </cell>
          <cell r="F670" t="str">
            <v>REPUESTOS</v>
          </cell>
          <cell r="G670" t="str">
            <v>PRINCIPAL</v>
          </cell>
          <cell r="H670">
            <v>46004</v>
          </cell>
          <cell r="I670" t="str">
            <v>SALDO INICIAL</v>
          </cell>
          <cell r="J670">
            <v>6</v>
          </cell>
          <cell r="K670">
            <v>948.60902799999997</v>
          </cell>
          <cell r="L670">
            <v>152.801806</v>
          </cell>
          <cell r="M670">
            <v>158.101504667</v>
          </cell>
          <cell r="N670" t="str">
            <v/>
          </cell>
          <cell r="O670" t="str">
            <v/>
          </cell>
          <cell r="P670" t="str">
            <v/>
          </cell>
          <cell r="Q670">
            <v>541.4</v>
          </cell>
          <cell r="R670" t="str">
            <v>UND</v>
          </cell>
          <cell r="S670">
            <v>0</v>
          </cell>
          <cell r="T670">
            <v>0</v>
          </cell>
          <cell r="U670" t="str">
            <v/>
          </cell>
          <cell r="V670" t="str">
            <v>PRO10</v>
          </cell>
          <cell r="W670">
            <v>0</v>
          </cell>
        </row>
        <row r="671">
          <cell r="C671" t="str">
            <v>HI451958</v>
          </cell>
          <cell r="D671" t="str">
            <v>PRINC</v>
          </cell>
          <cell r="E671" t="str">
            <v>00018</v>
          </cell>
          <cell r="F671" t="str">
            <v>REPUESTOS</v>
          </cell>
          <cell r="G671" t="str">
            <v>PRINCIPAL</v>
          </cell>
          <cell r="H671">
            <v>46004</v>
          </cell>
          <cell r="I671" t="str">
            <v>SALDO INICIAL</v>
          </cell>
          <cell r="J671">
            <v>1</v>
          </cell>
          <cell r="K671">
            <v>25.9175</v>
          </cell>
          <cell r="L671">
            <v>25.9175</v>
          </cell>
          <cell r="M671">
            <v>25.9175</v>
          </cell>
          <cell r="N671" t="str">
            <v/>
          </cell>
          <cell r="O671" t="str">
            <v/>
          </cell>
          <cell r="P671" t="str">
            <v/>
          </cell>
          <cell r="Q671">
            <v>88.4</v>
          </cell>
          <cell r="R671" t="str">
            <v>UND</v>
          </cell>
          <cell r="S671">
            <v>0</v>
          </cell>
          <cell r="T671">
            <v>0</v>
          </cell>
          <cell r="U671" t="str">
            <v/>
          </cell>
          <cell r="V671" t="str">
            <v>PRO10</v>
          </cell>
          <cell r="W671">
            <v>0</v>
          </cell>
        </row>
        <row r="672">
          <cell r="C672" t="str">
            <v>HI452207</v>
          </cell>
          <cell r="D672" t="str">
            <v>PRINC</v>
          </cell>
          <cell r="E672" t="str">
            <v>00018</v>
          </cell>
          <cell r="F672" t="str">
            <v>REPUESTOS</v>
          </cell>
          <cell r="G672" t="str">
            <v>PRINCIPAL</v>
          </cell>
          <cell r="H672">
            <v>46004</v>
          </cell>
          <cell r="I672" t="str">
            <v>SALDO INICIAL</v>
          </cell>
          <cell r="J672">
            <v>3</v>
          </cell>
          <cell r="K672">
            <v>245.409999</v>
          </cell>
          <cell r="L672">
            <v>68.849999999999994</v>
          </cell>
          <cell r="M672">
            <v>81.803332999999995</v>
          </cell>
          <cell r="N672" t="str">
            <v/>
          </cell>
          <cell r="O672" t="str">
            <v/>
          </cell>
          <cell r="P672" t="str">
            <v/>
          </cell>
          <cell r="Q672">
            <v>0</v>
          </cell>
          <cell r="R672" t="str">
            <v>UND</v>
          </cell>
          <cell r="S672">
            <v>0</v>
          </cell>
          <cell r="T672">
            <v>0</v>
          </cell>
          <cell r="U672" t="str">
            <v/>
          </cell>
          <cell r="V672" t="str">
            <v>PRO10</v>
          </cell>
          <cell r="W672">
            <v>0</v>
          </cell>
        </row>
        <row r="673">
          <cell r="C673" t="str">
            <v>HITOUCHPXR</v>
          </cell>
          <cell r="D673" t="str">
            <v>PRINC</v>
          </cell>
          <cell r="E673" t="str">
            <v>00018</v>
          </cell>
          <cell r="F673" t="str">
            <v>REPUESTOS</v>
          </cell>
          <cell r="G673" t="str">
            <v>PRINCIPAL</v>
          </cell>
          <cell r="H673">
            <v>46004</v>
          </cell>
          <cell r="I673" t="str">
            <v>SALDO INICIAL</v>
          </cell>
          <cell r="J673">
            <v>1</v>
          </cell>
          <cell r="K673">
            <v>184</v>
          </cell>
          <cell r="L673">
            <v>184</v>
          </cell>
          <cell r="M673">
            <v>184</v>
          </cell>
          <cell r="N673" t="str">
            <v/>
          </cell>
          <cell r="O673" t="str">
            <v/>
          </cell>
          <cell r="P673" t="str">
            <v/>
          </cell>
          <cell r="Q673">
            <v>0</v>
          </cell>
          <cell r="R673" t="str">
            <v>UND</v>
          </cell>
          <cell r="S673">
            <v>0</v>
          </cell>
          <cell r="T673">
            <v>0</v>
          </cell>
          <cell r="U673" t="str">
            <v/>
          </cell>
          <cell r="V673" t="str">
            <v>PRO10</v>
          </cell>
          <cell r="W673">
            <v>0</v>
          </cell>
        </row>
        <row r="674">
          <cell r="C674" t="str">
            <v>HI451849</v>
          </cell>
          <cell r="D674" t="str">
            <v>PRINC</v>
          </cell>
          <cell r="E674" t="str">
            <v>00018</v>
          </cell>
          <cell r="F674" t="str">
            <v>REPUESTOS</v>
          </cell>
          <cell r="G674" t="str">
            <v>PRINCIPAL</v>
          </cell>
          <cell r="H674">
            <v>46004</v>
          </cell>
          <cell r="I674" t="str">
            <v>SALDO INICIAL</v>
          </cell>
          <cell r="J674">
            <v>2</v>
          </cell>
          <cell r="K674">
            <v>249.86666700000001</v>
          </cell>
          <cell r="L674">
            <v>124.933333</v>
          </cell>
          <cell r="M674">
            <v>124.9333335</v>
          </cell>
          <cell r="N674" t="str">
            <v/>
          </cell>
          <cell r="O674" t="str">
            <v/>
          </cell>
          <cell r="P674" t="str">
            <v/>
          </cell>
          <cell r="Q674">
            <v>388.6</v>
          </cell>
          <cell r="R674" t="str">
            <v>UND</v>
          </cell>
          <cell r="S674">
            <v>0</v>
          </cell>
          <cell r="T674">
            <v>0</v>
          </cell>
          <cell r="U674" t="str">
            <v/>
          </cell>
          <cell r="V674" t="str">
            <v>PRO10</v>
          </cell>
          <cell r="W674">
            <v>0</v>
          </cell>
        </row>
        <row r="675">
          <cell r="C675" t="str">
            <v>HI451671</v>
          </cell>
          <cell r="D675" t="str">
            <v>PRINC</v>
          </cell>
          <cell r="E675" t="str">
            <v>00018</v>
          </cell>
          <cell r="F675" t="str">
            <v>REPUESTOS</v>
          </cell>
          <cell r="G675" t="str">
            <v>PRINCIPAL</v>
          </cell>
          <cell r="H675">
            <v>46004</v>
          </cell>
          <cell r="I675" t="str">
            <v>SALDO INICIAL</v>
          </cell>
          <cell r="J675">
            <v>1</v>
          </cell>
          <cell r="K675">
            <v>7.5</v>
          </cell>
          <cell r="L675">
            <v>7.5</v>
          </cell>
          <cell r="M675">
            <v>7.5</v>
          </cell>
          <cell r="N675" t="str">
            <v/>
          </cell>
          <cell r="O675" t="str">
            <v/>
          </cell>
          <cell r="P675" t="str">
            <v/>
          </cell>
          <cell r="Q675">
            <v>21.3</v>
          </cell>
          <cell r="R675" t="str">
            <v>UND</v>
          </cell>
          <cell r="S675">
            <v>0</v>
          </cell>
          <cell r="T675">
            <v>0</v>
          </cell>
          <cell r="U675" t="str">
            <v/>
          </cell>
          <cell r="V675" t="str">
            <v>PRO10</v>
          </cell>
          <cell r="W675">
            <v>0</v>
          </cell>
        </row>
        <row r="676">
          <cell r="C676" t="str">
            <v>HIUPGRADEKEY</v>
          </cell>
          <cell r="D676" t="str">
            <v>PRINC</v>
          </cell>
          <cell r="E676" t="str">
            <v>00018</v>
          </cell>
          <cell r="F676" t="str">
            <v>REPUESTOS</v>
          </cell>
          <cell r="G676" t="str">
            <v>PRINCIPAL</v>
          </cell>
          <cell r="H676">
            <v>46004</v>
          </cell>
          <cell r="I676" t="str">
            <v>SALDO INICIAL</v>
          </cell>
          <cell r="J676">
            <v>7</v>
          </cell>
          <cell r="K676">
            <v>4567.6873109999997</v>
          </cell>
          <cell r="L676">
            <v>652.52675899999997</v>
          </cell>
          <cell r="M676">
            <v>652.52675871400004</v>
          </cell>
          <cell r="N676" t="str">
            <v/>
          </cell>
          <cell r="O676" t="str">
            <v/>
          </cell>
          <cell r="P676" t="str">
            <v/>
          </cell>
          <cell r="Q676">
            <v>1118.3</v>
          </cell>
          <cell r="R676" t="str">
            <v>UND</v>
          </cell>
          <cell r="S676">
            <v>0</v>
          </cell>
          <cell r="T676">
            <v>0</v>
          </cell>
          <cell r="U676" t="str">
            <v/>
          </cell>
          <cell r="V676" t="str">
            <v>PRO10</v>
          </cell>
          <cell r="W676">
            <v>0</v>
          </cell>
        </row>
        <row r="677">
          <cell r="C677" t="str">
            <v>HI451853</v>
          </cell>
          <cell r="D677" t="str">
            <v>PRINC</v>
          </cell>
          <cell r="E677" t="str">
            <v>00018</v>
          </cell>
          <cell r="F677" t="str">
            <v>REPUESTOS</v>
          </cell>
          <cell r="G677" t="str">
            <v>PRINCIPAL</v>
          </cell>
          <cell r="H677">
            <v>46004</v>
          </cell>
          <cell r="I677" t="str">
            <v>SALDO INICIAL</v>
          </cell>
          <cell r="J677">
            <v>2</v>
          </cell>
          <cell r="K677">
            <v>236.22</v>
          </cell>
          <cell r="L677">
            <v>118.11</v>
          </cell>
          <cell r="M677">
            <v>118.11</v>
          </cell>
          <cell r="N677" t="str">
            <v/>
          </cell>
          <cell r="O677" t="str">
            <v/>
          </cell>
          <cell r="P677" t="str">
            <v/>
          </cell>
          <cell r="Q677">
            <v>294.60000000000002</v>
          </cell>
          <cell r="R677" t="str">
            <v>UND</v>
          </cell>
          <cell r="S677">
            <v>0</v>
          </cell>
          <cell r="T677">
            <v>0</v>
          </cell>
          <cell r="U677" t="str">
            <v/>
          </cell>
          <cell r="V677" t="str">
            <v>PRO10</v>
          </cell>
          <cell r="W677">
            <v>0</v>
          </cell>
        </row>
        <row r="678">
          <cell r="C678" t="str">
            <v>HI451476</v>
          </cell>
          <cell r="D678" t="str">
            <v>PRINC</v>
          </cell>
          <cell r="E678" t="str">
            <v>00018</v>
          </cell>
          <cell r="F678" t="str">
            <v>REPUESTOS</v>
          </cell>
          <cell r="G678" t="str">
            <v>PRINCIPAL</v>
          </cell>
          <cell r="H678">
            <v>46004</v>
          </cell>
          <cell r="I678" t="str">
            <v>SALDO INICIAL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 t="str">
            <v/>
          </cell>
          <cell r="O678" t="str">
            <v/>
          </cell>
          <cell r="P678" t="str">
            <v/>
          </cell>
          <cell r="Q678">
            <v>296.3</v>
          </cell>
          <cell r="R678" t="str">
            <v>UND</v>
          </cell>
          <cell r="S678">
            <v>0</v>
          </cell>
          <cell r="T678">
            <v>0</v>
          </cell>
          <cell r="U678" t="str">
            <v/>
          </cell>
          <cell r="V678" t="str">
            <v>PRO10</v>
          </cell>
          <cell r="W678">
            <v>0</v>
          </cell>
        </row>
        <row r="679">
          <cell r="C679" t="str">
            <v>HI451587</v>
          </cell>
          <cell r="D679" t="str">
            <v>PRINC</v>
          </cell>
          <cell r="E679" t="str">
            <v>00018</v>
          </cell>
          <cell r="F679" t="str">
            <v>REPUESTOS</v>
          </cell>
          <cell r="G679" t="str">
            <v>PRINCIPAL</v>
          </cell>
          <cell r="H679">
            <v>46004</v>
          </cell>
          <cell r="I679" t="str">
            <v>SALDO INICIAL</v>
          </cell>
          <cell r="J679">
            <v>6</v>
          </cell>
          <cell r="K679">
            <v>716.58125099999995</v>
          </cell>
          <cell r="L679">
            <v>119.430209</v>
          </cell>
          <cell r="M679">
            <v>119.43020850000001</v>
          </cell>
          <cell r="N679" t="str">
            <v/>
          </cell>
          <cell r="O679" t="str">
            <v/>
          </cell>
          <cell r="P679" t="str">
            <v/>
          </cell>
          <cell r="Q679">
            <v>283.25</v>
          </cell>
          <cell r="R679" t="str">
            <v>UND</v>
          </cell>
          <cell r="S679">
            <v>0</v>
          </cell>
          <cell r="T679">
            <v>0</v>
          </cell>
          <cell r="U679" t="str">
            <v/>
          </cell>
          <cell r="V679" t="str">
            <v>PRO10</v>
          </cell>
          <cell r="W679">
            <v>0</v>
          </cell>
        </row>
        <row r="680">
          <cell r="C680" t="str">
            <v>WI5211174</v>
          </cell>
          <cell r="D680" t="str">
            <v>PRINC</v>
          </cell>
          <cell r="E680" t="str">
            <v>00018</v>
          </cell>
          <cell r="F680" t="str">
            <v>REPUESTOS</v>
          </cell>
          <cell r="G680" t="str">
            <v>PRINCIPAL</v>
          </cell>
          <cell r="H680">
            <v>46004</v>
          </cell>
          <cell r="I680" t="str">
            <v>SALDO INICIAL</v>
          </cell>
          <cell r="J680">
            <v>9</v>
          </cell>
          <cell r="K680">
            <v>513.72</v>
          </cell>
          <cell r="L680">
            <v>57.08</v>
          </cell>
          <cell r="M680">
            <v>57.08</v>
          </cell>
          <cell r="N680" t="str">
            <v/>
          </cell>
          <cell r="O680" t="str">
            <v/>
          </cell>
          <cell r="P680" t="str">
            <v/>
          </cell>
          <cell r="Q680">
            <v>185</v>
          </cell>
          <cell r="R680" t="str">
            <v>UND</v>
          </cell>
          <cell r="S680">
            <v>0</v>
          </cell>
          <cell r="T680">
            <v>0</v>
          </cell>
          <cell r="U680" t="str">
            <v/>
          </cell>
          <cell r="V680" t="str">
            <v>PRO10</v>
          </cell>
          <cell r="W680">
            <v>0</v>
          </cell>
        </row>
        <row r="681">
          <cell r="C681" t="str">
            <v>HI451866</v>
          </cell>
          <cell r="D681" t="str">
            <v>PRINC</v>
          </cell>
          <cell r="E681" t="str">
            <v>00018</v>
          </cell>
          <cell r="F681" t="str">
            <v>REPUESTOS</v>
          </cell>
          <cell r="G681" t="str">
            <v>PRINCIPAL</v>
          </cell>
          <cell r="H681">
            <v>46004</v>
          </cell>
          <cell r="I681" t="str">
            <v>SALDO INICIAL</v>
          </cell>
          <cell r="J681">
            <v>3</v>
          </cell>
          <cell r="K681">
            <v>347.41666600000002</v>
          </cell>
          <cell r="L681">
            <v>111.30333299999999</v>
          </cell>
          <cell r="M681">
            <v>115.805555333</v>
          </cell>
          <cell r="N681" t="str">
            <v/>
          </cell>
          <cell r="O681" t="str">
            <v/>
          </cell>
          <cell r="P681" t="str">
            <v/>
          </cell>
          <cell r="Q681">
            <v>303.64999999999998</v>
          </cell>
          <cell r="R681" t="str">
            <v>UND</v>
          </cell>
          <cell r="S681">
            <v>0</v>
          </cell>
          <cell r="T681">
            <v>0</v>
          </cell>
          <cell r="U681" t="str">
            <v/>
          </cell>
          <cell r="V681" t="str">
            <v>PRO10</v>
          </cell>
          <cell r="W681">
            <v>0</v>
          </cell>
        </row>
        <row r="682">
          <cell r="C682" t="str">
            <v>TSSBPVC7.9X1.5</v>
          </cell>
          <cell r="D682" t="str">
            <v>PRINC</v>
          </cell>
          <cell r="E682" t="str">
            <v>00023</v>
          </cell>
          <cell r="F682" t="str">
            <v>SISTEMAS Y TRANSPORTADORES</v>
          </cell>
          <cell r="G682" t="str">
            <v>PRINCIPAL</v>
          </cell>
          <cell r="H682">
            <v>46004</v>
          </cell>
          <cell r="I682" t="str">
            <v>SALDO INICIAL</v>
          </cell>
          <cell r="J682">
            <v>1</v>
          </cell>
          <cell r="K682">
            <v>308.27999999999997</v>
          </cell>
          <cell r="L682">
            <v>0</v>
          </cell>
          <cell r="M682">
            <v>308.27999999999997</v>
          </cell>
          <cell r="N682" t="str">
            <v/>
          </cell>
          <cell r="O682" t="str">
            <v/>
          </cell>
          <cell r="P682" t="str">
            <v/>
          </cell>
          <cell r="Q682">
            <v>0</v>
          </cell>
          <cell r="R682" t="str">
            <v>UND</v>
          </cell>
          <cell r="S682">
            <v>0</v>
          </cell>
          <cell r="T682">
            <v>0</v>
          </cell>
          <cell r="U682" t="str">
            <v/>
          </cell>
          <cell r="V682" t="str">
            <v>PRO10</v>
          </cell>
          <cell r="W682">
            <v>0</v>
          </cell>
        </row>
        <row r="683">
          <cell r="C683" t="str">
            <v>USRX-S160</v>
          </cell>
          <cell r="D683" t="str">
            <v>PRINC</v>
          </cell>
          <cell r="E683" t="str">
            <v>00025</v>
          </cell>
          <cell r="F683" t="str">
            <v>MAQUINAS DE ALQUILER</v>
          </cell>
          <cell r="G683" t="str">
            <v>PRINCIPAL</v>
          </cell>
          <cell r="H683">
            <v>46004</v>
          </cell>
          <cell r="I683" t="str">
            <v>SALDO INICIAL</v>
          </cell>
          <cell r="J683">
            <v>1</v>
          </cell>
          <cell r="K683">
            <v>4905.2700000000004</v>
          </cell>
          <cell r="L683">
            <v>4905.2700000000004</v>
          </cell>
          <cell r="M683">
            <v>4905.2700000000004</v>
          </cell>
          <cell r="N683" t="str">
            <v/>
          </cell>
          <cell r="O683" t="str">
            <v/>
          </cell>
          <cell r="P683" t="str">
            <v/>
          </cell>
          <cell r="Q683">
            <v>0</v>
          </cell>
          <cell r="R683" t="str">
            <v>UND</v>
          </cell>
          <cell r="S683">
            <v>0</v>
          </cell>
          <cell r="T683">
            <v>0</v>
          </cell>
          <cell r="U683" t="str">
            <v/>
          </cell>
          <cell r="V683" t="str">
            <v>PRO10</v>
          </cell>
          <cell r="W683">
            <v>0</v>
          </cell>
        </row>
        <row r="684">
          <cell r="C684" t="str">
            <v>AFRX-SD160W</v>
          </cell>
          <cell r="D684" t="str">
            <v>PRINC</v>
          </cell>
          <cell r="E684" t="str">
            <v>00026</v>
          </cell>
          <cell r="F684" t="str">
            <v>AF EQUIPOS DE COMPUTO Y SOFTWARE</v>
          </cell>
          <cell r="G684" t="str">
            <v>PRINCIPAL</v>
          </cell>
          <cell r="H684">
            <v>46004</v>
          </cell>
          <cell r="I684" t="str">
            <v>SALDO INICIAL</v>
          </cell>
          <cell r="J684">
            <v>1</v>
          </cell>
          <cell r="K684">
            <v>2800</v>
          </cell>
          <cell r="L684">
            <v>0</v>
          </cell>
          <cell r="M684">
            <v>2800</v>
          </cell>
          <cell r="N684" t="str">
            <v/>
          </cell>
          <cell r="O684" t="str">
            <v/>
          </cell>
          <cell r="P684" t="str">
            <v/>
          </cell>
          <cell r="Q684">
            <v>0</v>
          </cell>
          <cell r="R684" t="str">
            <v>UND</v>
          </cell>
          <cell r="S684">
            <v>0</v>
          </cell>
          <cell r="T684">
            <v>0</v>
          </cell>
          <cell r="U684" t="str">
            <v/>
          </cell>
          <cell r="V684" t="str">
            <v>PRO10</v>
          </cell>
          <cell r="W684">
            <v>0</v>
          </cell>
        </row>
        <row r="685">
          <cell r="C685" t="str">
            <v>AFRX2-BD160W</v>
          </cell>
          <cell r="D685" t="str">
            <v>PRINC</v>
          </cell>
          <cell r="E685" t="str">
            <v>00026</v>
          </cell>
          <cell r="F685" t="str">
            <v>AF EQUIPOS DE COMPUTO Y SOFTWARE</v>
          </cell>
          <cell r="G685" t="str">
            <v>PRINCIPAL</v>
          </cell>
          <cell r="H685">
            <v>46004</v>
          </cell>
          <cell r="I685" t="str">
            <v>SALDO INICIAL</v>
          </cell>
          <cell r="J685">
            <v>1</v>
          </cell>
          <cell r="K685">
            <v>4207</v>
          </cell>
          <cell r="L685">
            <v>0</v>
          </cell>
          <cell r="M685">
            <v>4207</v>
          </cell>
          <cell r="N685" t="str">
            <v/>
          </cell>
          <cell r="O685" t="str">
            <v/>
          </cell>
          <cell r="P685" t="str">
            <v/>
          </cell>
          <cell r="Q685">
            <v>0</v>
          </cell>
          <cell r="R685" t="str">
            <v>UND</v>
          </cell>
          <cell r="S685">
            <v>0</v>
          </cell>
          <cell r="T685">
            <v>0</v>
          </cell>
          <cell r="U685" t="str">
            <v/>
          </cell>
          <cell r="V685" t="str">
            <v>PRO10</v>
          </cell>
          <cell r="W685">
            <v>0</v>
          </cell>
        </row>
        <row r="686">
          <cell r="C686" t="str">
            <v>AFRX2-SD160E</v>
          </cell>
          <cell r="D686" t="str">
            <v>PRINC</v>
          </cell>
          <cell r="E686" t="str">
            <v>00026</v>
          </cell>
          <cell r="F686" t="str">
            <v>AF EQUIPOS DE COMPUTO Y SOFTWARE</v>
          </cell>
          <cell r="G686" t="str">
            <v>PRINCIPAL</v>
          </cell>
          <cell r="H686">
            <v>46004</v>
          </cell>
          <cell r="I686" t="str">
            <v>SALDO INICIAL</v>
          </cell>
          <cell r="J686">
            <v>8</v>
          </cell>
          <cell r="K686">
            <v>32453.042416</v>
          </cell>
          <cell r="L686">
            <v>4056.5774879999999</v>
          </cell>
          <cell r="M686">
            <v>4056.630302</v>
          </cell>
          <cell r="N686" t="str">
            <v/>
          </cell>
          <cell r="O686" t="str">
            <v/>
          </cell>
          <cell r="P686" t="str">
            <v/>
          </cell>
          <cell r="Q686">
            <v>0</v>
          </cell>
          <cell r="R686" t="str">
            <v>UND</v>
          </cell>
          <cell r="S686">
            <v>0</v>
          </cell>
          <cell r="T686">
            <v>0</v>
          </cell>
          <cell r="U686" t="str">
            <v/>
          </cell>
          <cell r="V686" t="str">
            <v>PRO10</v>
          </cell>
          <cell r="W686">
            <v>0</v>
          </cell>
        </row>
        <row r="687">
          <cell r="C687" t="str">
            <v>AFUX-B160WG</v>
          </cell>
          <cell r="D687" t="str">
            <v>PRINC</v>
          </cell>
          <cell r="E687" t="str">
            <v>00026</v>
          </cell>
          <cell r="F687" t="str">
            <v>AF EQUIPOS DE COMPUTO Y SOFTWARE</v>
          </cell>
          <cell r="G687" t="str">
            <v>PRINCIPAL</v>
          </cell>
          <cell r="H687">
            <v>46004</v>
          </cell>
          <cell r="I687" t="str">
            <v>SALDO INICIAL</v>
          </cell>
          <cell r="J687">
            <v>2</v>
          </cell>
          <cell r="K687">
            <v>6054.8232600000001</v>
          </cell>
          <cell r="L687">
            <v>3027.4116300000001</v>
          </cell>
          <cell r="M687">
            <v>3027.4116300000001</v>
          </cell>
          <cell r="N687" t="str">
            <v/>
          </cell>
          <cell r="O687" t="str">
            <v/>
          </cell>
          <cell r="P687" t="str">
            <v/>
          </cell>
          <cell r="Q687">
            <v>0</v>
          </cell>
          <cell r="R687" t="str">
            <v>UND</v>
          </cell>
          <cell r="S687">
            <v>0</v>
          </cell>
          <cell r="T687">
            <v>0</v>
          </cell>
          <cell r="U687" t="str">
            <v/>
          </cell>
          <cell r="V687" t="str">
            <v>PRO10</v>
          </cell>
          <cell r="W687">
            <v>0</v>
          </cell>
        </row>
        <row r="688">
          <cell r="C688" t="str">
            <v>AFUX-B160WP</v>
          </cell>
          <cell r="D688" t="str">
            <v>PRINC</v>
          </cell>
          <cell r="E688" t="str">
            <v>00026</v>
          </cell>
          <cell r="F688" t="str">
            <v>AF EQUIPOS DE COMPUTO Y SOFTWARE</v>
          </cell>
          <cell r="G688" t="str">
            <v>PRINCIPAL</v>
          </cell>
          <cell r="H688">
            <v>46004</v>
          </cell>
          <cell r="I688" t="str">
            <v>SALDO INICIAL</v>
          </cell>
          <cell r="J688">
            <v>8</v>
          </cell>
          <cell r="K688">
            <v>35032</v>
          </cell>
          <cell r="L688">
            <v>0</v>
          </cell>
          <cell r="M688">
            <v>4379</v>
          </cell>
          <cell r="N688" t="str">
            <v/>
          </cell>
          <cell r="O688" t="str">
            <v/>
          </cell>
          <cell r="P688" t="str">
            <v/>
          </cell>
          <cell r="Q688">
            <v>0</v>
          </cell>
          <cell r="R688" t="str">
            <v>UND</v>
          </cell>
          <cell r="S688">
            <v>0</v>
          </cell>
          <cell r="T688">
            <v>0</v>
          </cell>
          <cell r="U688" t="str">
            <v/>
          </cell>
          <cell r="V688" t="str">
            <v>PRO10</v>
          </cell>
          <cell r="W688">
            <v>0</v>
          </cell>
        </row>
        <row r="689">
          <cell r="C689" t="str">
            <v>AFUX-D161WP</v>
          </cell>
          <cell r="D689" t="str">
            <v>PRINC</v>
          </cell>
          <cell r="E689" t="str">
            <v>00026</v>
          </cell>
          <cell r="F689" t="str">
            <v>AF EQUIPOS DE COMPUTO Y SOFTWARE</v>
          </cell>
          <cell r="G689" t="str">
            <v>PRINCIPAL</v>
          </cell>
          <cell r="H689">
            <v>46004</v>
          </cell>
          <cell r="I689" t="str">
            <v>SALDO INICIAL</v>
          </cell>
          <cell r="J689">
            <v>2</v>
          </cell>
          <cell r="K689">
            <v>9394</v>
          </cell>
          <cell r="L689">
            <v>0</v>
          </cell>
          <cell r="M689">
            <v>4697</v>
          </cell>
          <cell r="N689" t="str">
            <v/>
          </cell>
          <cell r="O689" t="str">
            <v/>
          </cell>
          <cell r="P689" t="str">
            <v/>
          </cell>
          <cell r="Q689">
            <v>0</v>
          </cell>
          <cell r="R689" t="str">
            <v>UND</v>
          </cell>
          <cell r="S689">
            <v>0</v>
          </cell>
          <cell r="T689">
            <v>0</v>
          </cell>
          <cell r="U689" t="str">
            <v/>
          </cell>
          <cell r="V689" t="str">
            <v>PRO10</v>
          </cell>
          <cell r="W689">
            <v>0</v>
          </cell>
        </row>
        <row r="690">
          <cell r="C690" t="str">
            <v>AFCPU3.36HZ1TB</v>
          </cell>
          <cell r="D690" t="str">
            <v>PRINC</v>
          </cell>
          <cell r="E690" t="str">
            <v>00026</v>
          </cell>
          <cell r="F690" t="str">
            <v>AF EQUIPOS DE COMPUTO Y SOFTWARE</v>
          </cell>
          <cell r="G690" t="str">
            <v>PRINCIPAL</v>
          </cell>
          <cell r="H690">
            <v>46004</v>
          </cell>
          <cell r="I690" t="str">
            <v>SALDO INICIAL</v>
          </cell>
          <cell r="J690">
            <v>1</v>
          </cell>
          <cell r="K690">
            <v>360</v>
          </cell>
          <cell r="L690">
            <v>0</v>
          </cell>
          <cell r="M690">
            <v>360</v>
          </cell>
          <cell r="N690" t="str">
            <v/>
          </cell>
          <cell r="O690" t="str">
            <v/>
          </cell>
          <cell r="P690" t="str">
            <v/>
          </cell>
          <cell r="Q690">
            <v>0</v>
          </cell>
          <cell r="R690" t="str">
            <v>UND</v>
          </cell>
          <cell r="S690">
            <v>0</v>
          </cell>
          <cell r="T690">
            <v>0</v>
          </cell>
          <cell r="U690" t="str">
            <v/>
          </cell>
          <cell r="V690" t="str">
            <v>PRO10</v>
          </cell>
          <cell r="W690">
            <v>0</v>
          </cell>
        </row>
        <row r="691">
          <cell r="C691" t="str">
            <v>PCI51TB2.9GHZ</v>
          </cell>
          <cell r="D691" t="str">
            <v>PRINC</v>
          </cell>
          <cell r="E691" t="str">
            <v>00026</v>
          </cell>
          <cell r="F691" t="str">
            <v>AF EQUIPOS DE COMPUTO Y SOFTWARE</v>
          </cell>
          <cell r="G691" t="str">
            <v>PRINCIPAL</v>
          </cell>
          <cell r="H691">
            <v>46004</v>
          </cell>
          <cell r="I691" t="str">
            <v>SALDO INICIAL</v>
          </cell>
          <cell r="J691">
            <v>1</v>
          </cell>
          <cell r="K691">
            <v>553.57000000000005</v>
          </cell>
          <cell r="L691">
            <v>0</v>
          </cell>
          <cell r="M691">
            <v>553.57000000000005</v>
          </cell>
          <cell r="N691" t="str">
            <v/>
          </cell>
          <cell r="O691" t="str">
            <v/>
          </cell>
          <cell r="P691" t="str">
            <v/>
          </cell>
          <cell r="Q691">
            <v>0</v>
          </cell>
          <cell r="R691" t="str">
            <v>UND</v>
          </cell>
          <cell r="S691">
            <v>0</v>
          </cell>
          <cell r="T691">
            <v>0</v>
          </cell>
          <cell r="U691" t="str">
            <v/>
          </cell>
          <cell r="V691" t="str">
            <v>PRO10</v>
          </cell>
          <cell r="W691">
            <v>0</v>
          </cell>
        </row>
        <row r="692">
          <cell r="C692" t="str">
            <v>QDPLAPESL1/2</v>
          </cell>
          <cell r="D692" t="str">
            <v>PRINC</v>
          </cell>
          <cell r="E692" t="str">
            <v>00027</v>
          </cell>
          <cell r="F692" t="str">
            <v>PLANCHAS</v>
          </cell>
          <cell r="G692" t="str">
            <v>PRINCIPAL</v>
          </cell>
          <cell r="H692">
            <v>46004</v>
          </cell>
          <cell r="I692" t="str">
            <v>SALDO INICIAL</v>
          </cell>
          <cell r="J692">
            <v>361.09100000000001</v>
          </cell>
          <cell r="K692">
            <v>3579.9260810000001</v>
          </cell>
          <cell r="L692">
            <v>9.9141940000000002</v>
          </cell>
          <cell r="M692">
            <v>9.9141935990000007</v>
          </cell>
          <cell r="N692" t="str">
            <v>50FT² CADA PLANCHA</v>
          </cell>
          <cell r="O692" t="str">
            <v/>
          </cell>
          <cell r="P692" t="str">
            <v/>
          </cell>
          <cell r="Q692">
            <v>12.5</v>
          </cell>
          <cell r="R692" t="str">
            <v>FT²</v>
          </cell>
          <cell r="S692">
            <v>0</v>
          </cell>
          <cell r="T692">
            <v>0</v>
          </cell>
          <cell r="U692" t="str">
            <v/>
          </cell>
          <cell r="V692" t="str">
            <v>PRO10</v>
          </cell>
          <cell r="W692">
            <v>0</v>
          </cell>
        </row>
        <row r="693">
          <cell r="C693" t="str">
            <v>QDPLAPESL3/4</v>
          </cell>
          <cell r="D693" t="str">
            <v>PRINC</v>
          </cell>
          <cell r="E693" t="str">
            <v>00027</v>
          </cell>
          <cell r="F693" t="str">
            <v>PLANCHAS</v>
          </cell>
          <cell r="G693" t="str">
            <v>PRINCIPAL</v>
          </cell>
          <cell r="H693">
            <v>46004</v>
          </cell>
          <cell r="I693" t="str">
            <v>SALDO INICIAL</v>
          </cell>
          <cell r="J693">
            <v>323.17</v>
          </cell>
          <cell r="K693">
            <v>4363.0858529999996</v>
          </cell>
          <cell r="L693">
            <v>13.5009</v>
          </cell>
          <cell r="M693">
            <v>13.5009</v>
          </cell>
          <cell r="N693" t="str">
            <v/>
          </cell>
          <cell r="O693" t="str">
            <v/>
          </cell>
          <cell r="P693" t="str">
            <v/>
          </cell>
          <cell r="Q693">
            <v>19</v>
          </cell>
          <cell r="R693" t="str">
            <v>FT²</v>
          </cell>
          <cell r="S693">
            <v>0</v>
          </cell>
          <cell r="T693">
            <v>0</v>
          </cell>
          <cell r="U693" t="str">
            <v/>
          </cell>
          <cell r="V693" t="str">
            <v>PRO10</v>
          </cell>
          <cell r="W693">
            <v>0</v>
          </cell>
        </row>
        <row r="694">
          <cell r="C694" t="str">
            <v>QDPLAPE1/4</v>
          </cell>
          <cell r="D694" t="str">
            <v>PRINC</v>
          </cell>
          <cell r="E694" t="str">
            <v>00027</v>
          </cell>
          <cell r="F694" t="str">
            <v>PLANCHAS</v>
          </cell>
          <cell r="G694" t="str">
            <v>PRINCIPAL</v>
          </cell>
          <cell r="H694">
            <v>46004</v>
          </cell>
          <cell r="I694" t="str">
            <v>SALDO INICIAL</v>
          </cell>
          <cell r="J694">
            <v>608.55899999999997</v>
          </cell>
          <cell r="K694">
            <v>2549.0923250000001</v>
          </cell>
          <cell r="L694">
            <v>4.1887090000000002</v>
          </cell>
          <cell r="M694">
            <v>4.1887349049999996</v>
          </cell>
          <cell r="N694" t="str">
            <v>MEDIDA PLANCHA 48"X120"</v>
          </cell>
          <cell r="O694" t="str">
            <v/>
          </cell>
          <cell r="P694" t="str">
            <v/>
          </cell>
          <cell r="Q694">
            <v>10.3</v>
          </cell>
          <cell r="R694" t="str">
            <v>FT²</v>
          </cell>
          <cell r="S694">
            <v>0</v>
          </cell>
          <cell r="T694">
            <v>0</v>
          </cell>
          <cell r="U694" t="str">
            <v/>
          </cell>
          <cell r="V694" t="str">
            <v>PRO10</v>
          </cell>
          <cell r="W694">
            <v>0</v>
          </cell>
        </row>
        <row r="695">
          <cell r="C695" t="str">
            <v>RO101005</v>
          </cell>
          <cell r="D695" t="str">
            <v>PRINC</v>
          </cell>
          <cell r="E695" t="str">
            <v>00027</v>
          </cell>
          <cell r="F695" t="str">
            <v>PLANCHAS</v>
          </cell>
          <cell r="G695" t="str">
            <v>PRINCIPAL</v>
          </cell>
          <cell r="H695">
            <v>46004</v>
          </cell>
          <cell r="I695" t="str">
            <v>SALDO INICIAL</v>
          </cell>
          <cell r="J695">
            <v>1E-4</v>
          </cell>
          <cell r="K695">
            <v>1.3110000000000001E-3</v>
          </cell>
          <cell r="L695">
            <v>13.081125</v>
          </cell>
          <cell r="M695">
            <v>13.11</v>
          </cell>
          <cell r="N695" t="str">
            <v/>
          </cell>
          <cell r="O695" t="str">
            <v/>
          </cell>
          <cell r="P695" t="str">
            <v/>
          </cell>
          <cell r="Q695">
            <v>15.45</v>
          </cell>
          <cell r="R695" t="str">
            <v>FT²</v>
          </cell>
          <cell r="S695">
            <v>0</v>
          </cell>
          <cell r="T695">
            <v>0</v>
          </cell>
          <cell r="U695" t="str">
            <v/>
          </cell>
          <cell r="V695" t="str">
            <v>PRO10</v>
          </cell>
          <cell r="W695">
            <v>0</v>
          </cell>
        </row>
        <row r="696">
          <cell r="C696" t="str">
            <v>RO101006</v>
          </cell>
          <cell r="D696" t="str">
            <v>PRINC</v>
          </cell>
          <cell r="E696" t="str">
            <v>00027</v>
          </cell>
          <cell r="F696" t="str">
            <v>PLANCHAS</v>
          </cell>
          <cell r="G696" t="str">
            <v>PRINCIPAL</v>
          </cell>
          <cell r="H696">
            <v>46004</v>
          </cell>
          <cell r="I696" t="str">
            <v>SALDO INICIAL</v>
          </cell>
          <cell r="J696">
            <v>1.0000000000000001E-5</v>
          </cell>
          <cell r="K696">
            <v>1.13E-4</v>
          </cell>
          <cell r="L696">
            <v>13.189932000000001</v>
          </cell>
          <cell r="M696">
            <v>11.3</v>
          </cell>
          <cell r="N696" t="str">
            <v/>
          </cell>
          <cell r="O696" t="str">
            <v/>
          </cell>
          <cell r="P696" t="str">
            <v/>
          </cell>
          <cell r="Q696">
            <v>18.5</v>
          </cell>
          <cell r="R696" t="str">
            <v>FT²</v>
          </cell>
          <cell r="S696">
            <v>0</v>
          </cell>
          <cell r="T696">
            <v>0</v>
          </cell>
          <cell r="U696" t="str">
            <v/>
          </cell>
          <cell r="V696" t="str">
            <v>PRO10</v>
          </cell>
          <cell r="W696">
            <v>0</v>
          </cell>
        </row>
        <row r="697">
          <cell r="C697" t="str">
            <v>RO101008</v>
          </cell>
          <cell r="D697" t="str">
            <v>PRINC</v>
          </cell>
          <cell r="E697" t="str">
            <v>00027</v>
          </cell>
          <cell r="F697" t="str">
            <v>PLANCHAS</v>
          </cell>
          <cell r="G697" t="str">
            <v>PRINCIPAL</v>
          </cell>
          <cell r="H697">
            <v>46004</v>
          </cell>
          <cell r="I697" t="str">
            <v>SALDO INICIAL</v>
          </cell>
          <cell r="J697">
            <v>5.9999999999999995E-4</v>
          </cell>
          <cell r="K697">
            <v>9.5209999999999999E-3</v>
          </cell>
          <cell r="L697">
            <v>15.870055000000001</v>
          </cell>
          <cell r="M697">
            <v>15.868333333000001</v>
          </cell>
          <cell r="N697" t="str">
            <v/>
          </cell>
          <cell r="O697" t="str">
            <v/>
          </cell>
          <cell r="P697" t="str">
            <v/>
          </cell>
          <cell r="Q697">
            <v>23.45</v>
          </cell>
          <cell r="R697" t="str">
            <v>FT²</v>
          </cell>
          <cell r="S697">
            <v>0</v>
          </cell>
          <cell r="T697">
            <v>0</v>
          </cell>
          <cell r="U697" t="str">
            <v/>
          </cell>
          <cell r="V697" t="str">
            <v>PRO10</v>
          </cell>
          <cell r="W697">
            <v>0</v>
          </cell>
        </row>
        <row r="698">
          <cell r="C698" t="str">
            <v>CHEVDMAX2.5TM</v>
          </cell>
          <cell r="D698" t="str">
            <v>PRINC</v>
          </cell>
          <cell r="E698" t="str">
            <v>00033</v>
          </cell>
          <cell r="F698" t="str">
            <v>AF VEHICULOS</v>
          </cell>
          <cell r="G698" t="str">
            <v>PRINCIPAL</v>
          </cell>
          <cell r="H698">
            <v>46004</v>
          </cell>
          <cell r="I698" t="str">
            <v>SALDO INICIAL</v>
          </cell>
          <cell r="J698">
            <v>1</v>
          </cell>
          <cell r="K698">
            <v>28791</v>
          </cell>
          <cell r="L698">
            <v>0</v>
          </cell>
          <cell r="M698">
            <v>28791</v>
          </cell>
          <cell r="N698" t="str">
            <v/>
          </cell>
          <cell r="O698" t="str">
            <v/>
          </cell>
          <cell r="P698" t="str">
            <v/>
          </cell>
          <cell r="Q698">
            <v>0</v>
          </cell>
          <cell r="R698" t="str">
            <v>UND</v>
          </cell>
          <cell r="S698">
            <v>0</v>
          </cell>
          <cell r="T698">
            <v>0</v>
          </cell>
          <cell r="U698" t="str">
            <v/>
          </cell>
          <cell r="V698" t="str">
            <v>PRO10</v>
          </cell>
          <cell r="W698">
            <v>0</v>
          </cell>
        </row>
        <row r="699">
          <cell r="C699" t="str">
            <v>CHEVGROOVE1.5TM</v>
          </cell>
          <cell r="D699" t="str">
            <v>PRINC</v>
          </cell>
          <cell r="E699" t="str">
            <v>00033</v>
          </cell>
          <cell r="F699" t="str">
            <v>AF VEHICULOS</v>
          </cell>
          <cell r="G699" t="str">
            <v>PRINCIPAL</v>
          </cell>
          <cell r="H699">
            <v>46004</v>
          </cell>
          <cell r="I699" t="str">
            <v>SALDO INICIAL</v>
          </cell>
          <cell r="J699">
            <v>1</v>
          </cell>
          <cell r="K699">
            <v>21990</v>
          </cell>
          <cell r="L699">
            <v>0</v>
          </cell>
          <cell r="M699">
            <v>21990</v>
          </cell>
          <cell r="N699" t="str">
            <v/>
          </cell>
          <cell r="O699" t="str">
            <v/>
          </cell>
          <cell r="P699" t="str">
            <v/>
          </cell>
          <cell r="Q699">
            <v>0</v>
          </cell>
          <cell r="R699" t="str">
            <v>UND</v>
          </cell>
          <cell r="S699">
            <v>0</v>
          </cell>
          <cell r="T699">
            <v>0</v>
          </cell>
          <cell r="U699" t="str">
            <v/>
          </cell>
          <cell r="V699" t="str">
            <v>PRO10</v>
          </cell>
          <cell r="W699">
            <v>0</v>
          </cell>
        </row>
        <row r="700">
          <cell r="C700" t="str">
            <v>HYUVERNA1.4TM</v>
          </cell>
          <cell r="D700" t="str">
            <v>PRINC</v>
          </cell>
          <cell r="E700" t="str">
            <v>00033</v>
          </cell>
          <cell r="F700" t="str">
            <v>AF VEHICULOS</v>
          </cell>
          <cell r="G700" t="str">
            <v>PRINCIPAL</v>
          </cell>
          <cell r="H700">
            <v>46004</v>
          </cell>
          <cell r="I700" t="str">
            <v>SALDO INICIAL</v>
          </cell>
          <cell r="J700">
            <v>1</v>
          </cell>
          <cell r="K700">
            <v>15794.64</v>
          </cell>
          <cell r="L700">
            <v>0</v>
          </cell>
          <cell r="M700">
            <v>15794.64</v>
          </cell>
          <cell r="N700" t="str">
            <v/>
          </cell>
          <cell r="O700" t="str">
            <v/>
          </cell>
          <cell r="P700" t="str">
            <v/>
          </cell>
          <cell r="Q700">
            <v>0</v>
          </cell>
          <cell r="R700" t="str">
            <v>UND</v>
          </cell>
          <cell r="S700">
            <v>0</v>
          </cell>
          <cell r="T700">
            <v>0</v>
          </cell>
          <cell r="U700" t="str">
            <v/>
          </cell>
          <cell r="V700" t="str">
            <v>PRO10</v>
          </cell>
          <cell r="W700">
            <v>0</v>
          </cell>
        </row>
        <row r="701">
          <cell r="C701" t="str">
            <v>AFVEHKIACERATO</v>
          </cell>
          <cell r="D701" t="str">
            <v>PRINC</v>
          </cell>
          <cell r="E701" t="str">
            <v>00033</v>
          </cell>
          <cell r="F701" t="str">
            <v>AF VEHICULOS</v>
          </cell>
          <cell r="G701" t="str">
            <v>PRINCIPAL</v>
          </cell>
          <cell r="H701">
            <v>46004</v>
          </cell>
          <cell r="I701" t="str">
            <v>SALDO INICIAL</v>
          </cell>
          <cell r="J701">
            <v>1</v>
          </cell>
          <cell r="K701">
            <v>18590</v>
          </cell>
          <cell r="L701">
            <v>0</v>
          </cell>
          <cell r="M701">
            <v>18590</v>
          </cell>
          <cell r="N701" t="str">
            <v/>
          </cell>
          <cell r="O701" t="str">
            <v/>
          </cell>
          <cell r="P701" t="str">
            <v/>
          </cell>
          <cell r="Q701">
            <v>0</v>
          </cell>
          <cell r="R701" t="str">
            <v>UND</v>
          </cell>
          <cell r="S701">
            <v>0</v>
          </cell>
          <cell r="T701">
            <v>0</v>
          </cell>
          <cell r="U701" t="str">
            <v/>
          </cell>
          <cell r="V701" t="str">
            <v>PRO10</v>
          </cell>
          <cell r="W701">
            <v>0</v>
          </cell>
        </row>
        <row r="702">
          <cell r="C702" t="str">
            <v>KIASOLUTO1.4TM</v>
          </cell>
          <cell r="D702" t="str">
            <v>PRINC</v>
          </cell>
          <cell r="E702" t="str">
            <v>00033</v>
          </cell>
          <cell r="F702" t="str">
            <v>AF VEHICULOS</v>
          </cell>
          <cell r="G702" t="str">
            <v>PRINCIPAL</v>
          </cell>
          <cell r="H702">
            <v>46004</v>
          </cell>
          <cell r="I702" t="str">
            <v>SALDO INICIAL</v>
          </cell>
          <cell r="J702">
            <v>1</v>
          </cell>
          <cell r="K702">
            <v>16499</v>
          </cell>
          <cell r="L702">
            <v>0</v>
          </cell>
          <cell r="M702">
            <v>16499</v>
          </cell>
          <cell r="N702" t="str">
            <v/>
          </cell>
          <cell r="O702" t="str">
            <v/>
          </cell>
          <cell r="P702" t="str">
            <v/>
          </cell>
          <cell r="Q702">
            <v>0</v>
          </cell>
          <cell r="R702" t="str">
            <v>UND</v>
          </cell>
          <cell r="S702">
            <v>0</v>
          </cell>
          <cell r="T702">
            <v>0</v>
          </cell>
          <cell r="U702" t="str">
            <v/>
          </cell>
          <cell r="V702" t="str">
            <v>PRO10</v>
          </cell>
          <cell r="W702">
            <v>0</v>
          </cell>
        </row>
        <row r="703">
          <cell r="C703" t="str">
            <v>MITECLIPSE2TA</v>
          </cell>
          <cell r="D703" t="str">
            <v>PRINC</v>
          </cell>
          <cell r="E703" t="str">
            <v>00033</v>
          </cell>
          <cell r="F703" t="str">
            <v>AF VEHICULOS</v>
          </cell>
          <cell r="G703" t="str">
            <v>PRINCIPAL</v>
          </cell>
          <cell r="H703">
            <v>46004</v>
          </cell>
          <cell r="I703" t="str">
            <v>SALDO INICIAL</v>
          </cell>
          <cell r="J703">
            <v>1</v>
          </cell>
          <cell r="K703">
            <v>37990.01</v>
          </cell>
          <cell r="L703">
            <v>0</v>
          </cell>
          <cell r="M703">
            <v>37990.01</v>
          </cell>
          <cell r="N703" t="str">
            <v/>
          </cell>
          <cell r="O703" t="str">
            <v/>
          </cell>
          <cell r="P703" t="str">
            <v/>
          </cell>
          <cell r="Q703">
            <v>0</v>
          </cell>
          <cell r="R703" t="str">
            <v>UND</v>
          </cell>
          <cell r="S703">
            <v>0</v>
          </cell>
          <cell r="T703">
            <v>0</v>
          </cell>
          <cell r="U703" t="str">
            <v/>
          </cell>
          <cell r="V703" t="str">
            <v>PRO10</v>
          </cell>
          <cell r="W703">
            <v>0</v>
          </cell>
        </row>
        <row r="704">
          <cell r="C704" t="str">
            <v>MITL2002.4TM</v>
          </cell>
          <cell r="D704" t="str">
            <v>PRINC</v>
          </cell>
          <cell r="E704" t="str">
            <v>00033</v>
          </cell>
          <cell r="F704" t="str">
            <v>AF VEHICULOS</v>
          </cell>
          <cell r="G704" t="str">
            <v>PRINCIPAL</v>
          </cell>
          <cell r="H704">
            <v>46004</v>
          </cell>
          <cell r="I704" t="str">
            <v>SALDO INICIAL</v>
          </cell>
          <cell r="J704">
            <v>1</v>
          </cell>
          <cell r="K704">
            <v>26776.79</v>
          </cell>
          <cell r="L704">
            <v>0</v>
          </cell>
          <cell r="M704">
            <v>26776.79</v>
          </cell>
          <cell r="N704" t="str">
            <v/>
          </cell>
          <cell r="O704" t="str">
            <v/>
          </cell>
          <cell r="P704" t="str">
            <v/>
          </cell>
          <cell r="Q704">
            <v>0</v>
          </cell>
          <cell r="R704" t="str">
            <v>UND</v>
          </cell>
          <cell r="S704">
            <v>0</v>
          </cell>
          <cell r="T704">
            <v>0</v>
          </cell>
          <cell r="U704" t="str">
            <v/>
          </cell>
          <cell r="V704" t="str">
            <v>PRO10</v>
          </cell>
          <cell r="W704">
            <v>0</v>
          </cell>
        </row>
        <row r="705">
          <cell r="C705" t="str">
            <v>EUC12UA25PEA8</v>
          </cell>
          <cell r="D705" t="str">
            <v>PRINC</v>
          </cell>
          <cell r="E705" t="str">
            <v>00036</v>
          </cell>
          <cell r="F705" t="str">
            <v>MODULOS Y PASADORES</v>
          </cell>
          <cell r="G705" t="str">
            <v>PRINCIPAL</v>
          </cell>
          <cell r="H705">
            <v>46004</v>
          </cell>
          <cell r="I705" t="str">
            <v>SALDO INICIAL</v>
          </cell>
          <cell r="J705">
            <v>-50</v>
          </cell>
          <cell r="K705">
            <v>0</v>
          </cell>
          <cell r="L705">
            <v>0</v>
          </cell>
          <cell r="M705">
            <v>0</v>
          </cell>
          <cell r="N705" t="str">
            <v/>
          </cell>
          <cell r="O705" t="str">
            <v/>
          </cell>
          <cell r="P705" t="str">
            <v/>
          </cell>
          <cell r="Q705">
            <v>4.5</v>
          </cell>
          <cell r="R705" t="str">
            <v>UND</v>
          </cell>
          <cell r="S705">
            <v>0</v>
          </cell>
          <cell r="T705">
            <v>0</v>
          </cell>
          <cell r="U705" t="str">
            <v/>
          </cell>
          <cell r="V705" t="str">
            <v>PRO10</v>
          </cell>
          <cell r="W705">
            <v>0</v>
          </cell>
        </row>
        <row r="706">
          <cell r="C706" t="str">
            <v>EUE30UFG50PPB20</v>
          </cell>
          <cell r="D706" t="str">
            <v>PRINC</v>
          </cell>
          <cell r="E706" t="str">
            <v>00036</v>
          </cell>
          <cell r="F706" t="str">
            <v>MODULOS Y PASADORES</v>
          </cell>
          <cell r="G706" t="str">
            <v>PRINCIPAL</v>
          </cell>
          <cell r="H706">
            <v>46004</v>
          </cell>
          <cell r="I706" t="str">
            <v>SALDO INICIAL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 t="str">
            <v/>
          </cell>
          <cell r="O706" t="str">
            <v/>
          </cell>
          <cell r="P706" t="str">
            <v/>
          </cell>
          <cell r="Q706">
            <v>0</v>
          </cell>
          <cell r="R706" t="str">
            <v>UND</v>
          </cell>
          <cell r="S706">
            <v>0</v>
          </cell>
          <cell r="T706">
            <v>0</v>
          </cell>
          <cell r="U706" t="str">
            <v/>
          </cell>
          <cell r="V706" t="str">
            <v>PRO10</v>
          </cell>
          <cell r="W706">
            <v>0</v>
          </cell>
        </row>
        <row r="707">
          <cell r="C707" t="str">
            <v>EUE50UX25PEA10</v>
          </cell>
          <cell r="D707" t="str">
            <v>PRINC</v>
          </cell>
          <cell r="E707" t="str">
            <v>00036</v>
          </cell>
          <cell r="F707" t="str">
            <v>MODULOS Y PASADORES</v>
          </cell>
          <cell r="G707" t="str">
            <v>PRINCIPAL</v>
          </cell>
          <cell r="H707">
            <v>46004</v>
          </cell>
          <cell r="I707" t="str">
            <v>SALDO INICIAL</v>
          </cell>
          <cell r="J707">
            <v>-236</v>
          </cell>
          <cell r="K707">
            <v>0</v>
          </cell>
          <cell r="L707">
            <v>0</v>
          </cell>
          <cell r="M707">
            <v>0</v>
          </cell>
          <cell r="N707" t="str">
            <v/>
          </cell>
          <cell r="O707" t="str">
            <v/>
          </cell>
          <cell r="P707" t="str">
            <v/>
          </cell>
          <cell r="Q707">
            <v>5.5</v>
          </cell>
          <cell r="R707" t="str">
            <v>UND</v>
          </cell>
          <cell r="S707">
            <v>0</v>
          </cell>
          <cell r="T707">
            <v>0</v>
          </cell>
          <cell r="U707" t="str">
            <v/>
          </cell>
          <cell r="V707" t="str">
            <v>PRO10</v>
          </cell>
          <cell r="W707">
            <v>0</v>
          </cell>
        </row>
        <row r="708">
          <cell r="C708" t="str">
            <v>EUE50UX100PPA10</v>
          </cell>
          <cell r="D708" t="str">
            <v>PRINC</v>
          </cell>
          <cell r="E708" t="str">
            <v>00036</v>
          </cell>
          <cell r="F708" t="str">
            <v>MODULOS Y PASADORES</v>
          </cell>
          <cell r="G708" t="str">
            <v>PRINCIPAL</v>
          </cell>
          <cell r="H708">
            <v>46004</v>
          </cell>
          <cell r="I708" t="str">
            <v>SALDO INICIAL</v>
          </cell>
          <cell r="J708">
            <v>-40</v>
          </cell>
          <cell r="K708">
            <v>0</v>
          </cell>
          <cell r="L708">
            <v>0</v>
          </cell>
          <cell r="M708">
            <v>0</v>
          </cell>
          <cell r="N708" t="str">
            <v/>
          </cell>
          <cell r="O708" t="str">
            <v/>
          </cell>
          <cell r="P708" t="str">
            <v/>
          </cell>
          <cell r="Q708">
            <v>13.1</v>
          </cell>
          <cell r="R708" t="str">
            <v>UND</v>
          </cell>
          <cell r="S708">
            <v>0</v>
          </cell>
          <cell r="T708">
            <v>0</v>
          </cell>
          <cell r="U708" t="str">
            <v/>
          </cell>
          <cell r="V708" t="str">
            <v>PRO10</v>
          </cell>
          <cell r="W708">
            <v>0</v>
          </cell>
        </row>
        <row r="709">
          <cell r="C709" t="str">
            <v>EUE50UX100PPB10</v>
          </cell>
          <cell r="D709" t="str">
            <v>PRINC</v>
          </cell>
          <cell r="E709" t="str">
            <v>00036</v>
          </cell>
          <cell r="F709" t="str">
            <v>MODULOS Y PASADORES</v>
          </cell>
          <cell r="G709" t="str">
            <v>PRINCIPAL</v>
          </cell>
          <cell r="H709">
            <v>46004</v>
          </cell>
          <cell r="I709" t="str">
            <v>SALDO INICIAL</v>
          </cell>
          <cell r="J709">
            <v>-10</v>
          </cell>
          <cell r="K709">
            <v>0</v>
          </cell>
          <cell r="L709">
            <v>0</v>
          </cell>
          <cell r="M709">
            <v>0</v>
          </cell>
          <cell r="N709" t="str">
            <v/>
          </cell>
          <cell r="O709" t="str">
            <v/>
          </cell>
          <cell r="P709" t="str">
            <v/>
          </cell>
          <cell r="Q709">
            <v>12.9</v>
          </cell>
          <cell r="R709" t="str">
            <v>UND</v>
          </cell>
          <cell r="S709">
            <v>0</v>
          </cell>
          <cell r="T709">
            <v>0</v>
          </cell>
          <cell r="U709" t="str">
            <v/>
          </cell>
          <cell r="V709" t="str">
            <v>PRO10</v>
          </cell>
          <cell r="W709">
            <v>0</v>
          </cell>
        </row>
        <row r="710">
          <cell r="C710" t="str">
            <v>IN1600EACA6X2</v>
          </cell>
          <cell r="D710" t="str">
            <v>PRINC</v>
          </cell>
          <cell r="E710" t="str">
            <v>00036</v>
          </cell>
          <cell r="F710" t="str">
            <v>MODULOS Y PASADORES</v>
          </cell>
          <cell r="G710" t="str">
            <v>PRINCIPAL</v>
          </cell>
          <cell r="H710">
            <v>46004</v>
          </cell>
          <cell r="I710" t="str">
            <v>SALDO INICIAL</v>
          </cell>
          <cell r="J710">
            <v>60</v>
          </cell>
          <cell r="K710">
            <v>436.2</v>
          </cell>
          <cell r="L710">
            <v>0</v>
          </cell>
          <cell r="M710">
            <v>7.27</v>
          </cell>
          <cell r="N710" t="str">
            <v/>
          </cell>
          <cell r="O710" t="str">
            <v/>
          </cell>
          <cell r="P710" t="str">
            <v/>
          </cell>
          <cell r="Q710">
            <v>0</v>
          </cell>
          <cell r="R710" t="str">
            <v>UND</v>
          </cell>
          <cell r="S710">
            <v>0</v>
          </cell>
          <cell r="T710">
            <v>0</v>
          </cell>
          <cell r="U710" t="str">
            <v/>
          </cell>
          <cell r="V710" t="str">
            <v>PRO10</v>
          </cell>
          <cell r="W710">
            <v>0</v>
          </cell>
        </row>
        <row r="711">
          <cell r="C711" t="str">
            <v>COE325PPA12D</v>
          </cell>
          <cell r="D711" t="str">
            <v>PRINC</v>
          </cell>
          <cell r="E711" t="str">
            <v>00036</v>
          </cell>
          <cell r="F711" t="str">
            <v>MODULOS Y PASADORES</v>
          </cell>
          <cell r="G711" t="str">
            <v>PRINCIPAL</v>
          </cell>
          <cell r="H711">
            <v>46004</v>
          </cell>
          <cell r="I711" t="str">
            <v>SALDO INICIAL</v>
          </cell>
          <cell r="J711">
            <v>130</v>
          </cell>
          <cell r="K711">
            <v>115.206</v>
          </cell>
          <cell r="L711">
            <v>0.88619999999999999</v>
          </cell>
          <cell r="M711">
            <v>0.88619999999999999</v>
          </cell>
          <cell r="N711" t="str">
            <v/>
          </cell>
          <cell r="O711" t="str">
            <v/>
          </cell>
          <cell r="P711" t="str">
            <v/>
          </cell>
          <cell r="Q711">
            <v>0</v>
          </cell>
          <cell r="R711" t="str">
            <v>UND</v>
          </cell>
          <cell r="S711">
            <v>0</v>
          </cell>
          <cell r="T711">
            <v>0</v>
          </cell>
          <cell r="U711" t="str">
            <v/>
          </cell>
          <cell r="V711" t="str">
            <v>PRO10</v>
          </cell>
          <cell r="W711">
            <v>0</v>
          </cell>
        </row>
        <row r="712">
          <cell r="C712" t="str">
            <v>COE325PPA12I</v>
          </cell>
          <cell r="D712" t="str">
            <v>PRINC</v>
          </cell>
          <cell r="E712" t="str">
            <v>00036</v>
          </cell>
          <cell r="F712" t="str">
            <v>MODULOS Y PASADORES</v>
          </cell>
          <cell r="G712" t="str">
            <v>PRINCIPAL</v>
          </cell>
          <cell r="H712">
            <v>46004</v>
          </cell>
          <cell r="I712" t="str">
            <v>SALDO INICIAL</v>
          </cell>
          <cell r="J712">
            <v>136</v>
          </cell>
          <cell r="K712">
            <v>120.5232</v>
          </cell>
          <cell r="L712">
            <v>0.88619999999999999</v>
          </cell>
          <cell r="M712">
            <v>0.88619999999999999</v>
          </cell>
          <cell r="N712" t="str">
            <v/>
          </cell>
          <cell r="O712" t="str">
            <v/>
          </cell>
          <cell r="P712" t="str">
            <v/>
          </cell>
          <cell r="Q712">
            <v>0</v>
          </cell>
          <cell r="R712" t="str">
            <v>UND</v>
          </cell>
          <cell r="S712">
            <v>0</v>
          </cell>
          <cell r="T712">
            <v>0</v>
          </cell>
          <cell r="U712" t="str">
            <v/>
          </cell>
          <cell r="V712" t="str">
            <v>PRO10</v>
          </cell>
          <cell r="W712">
            <v>0</v>
          </cell>
        </row>
        <row r="713">
          <cell r="C713" t="str">
            <v>COE325PPA5.5C</v>
          </cell>
          <cell r="D713" t="str">
            <v>PRINC</v>
          </cell>
          <cell r="E713" t="str">
            <v>00036</v>
          </cell>
          <cell r="F713" t="str">
            <v>MODULOS Y PASADORES</v>
          </cell>
          <cell r="G713" t="str">
            <v>PRINCIPAL</v>
          </cell>
          <cell r="H713">
            <v>46004</v>
          </cell>
          <cell r="I713" t="str">
            <v>SALDO INICIAL</v>
          </cell>
          <cell r="J713">
            <v>69</v>
          </cell>
          <cell r="K713">
            <v>31.863667</v>
          </cell>
          <cell r="L713">
            <v>0</v>
          </cell>
          <cell r="M713">
            <v>0.46179227499999997</v>
          </cell>
          <cell r="N713" t="str">
            <v/>
          </cell>
          <cell r="O713" t="str">
            <v/>
          </cell>
          <cell r="P713" t="str">
            <v/>
          </cell>
          <cell r="Q713">
            <v>0</v>
          </cell>
          <cell r="R713" t="str">
            <v>UND</v>
          </cell>
          <cell r="S713">
            <v>0</v>
          </cell>
          <cell r="T713">
            <v>0</v>
          </cell>
          <cell r="U713" t="str">
            <v/>
          </cell>
          <cell r="V713" t="str">
            <v>PRO10</v>
          </cell>
          <cell r="W713">
            <v>0</v>
          </cell>
        </row>
        <row r="714">
          <cell r="C714" t="str">
            <v>COE325PPA7.5C</v>
          </cell>
          <cell r="D714" t="str">
            <v>PRINC</v>
          </cell>
          <cell r="E714" t="str">
            <v>00036</v>
          </cell>
          <cell r="F714" t="str">
            <v>MODULOS Y PASADORES</v>
          </cell>
          <cell r="G714" t="str">
            <v>PRINCIPAL</v>
          </cell>
          <cell r="H714">
            <v>46004</v>
          </cell>
          <cell r="I714" t="str">
            <v>SALDO INICIAL</v>
          </cell>
          <cell r="J714">
            <v>67</v>
          </cell>
          <cell r="K714">
            <v>33.331097</v>
          </cell>
          <cell r="L714">
            <v>0</v>
          </cell>
          <cell r="M714">
            <v>0.49747905999999997</v>
          </cell>
          <cell r="N714" t="str">
            <v/>
          </cell>
          <cell r="O714" t="str">
            <v/>
          </cell>
          <cell r="P714" t="str">
            <v/>
          </cell>
          <cell r="Q714">
            <v>0</v>
          </cell>
          <cell r="R714" t="str">
            <v>UND</v>
          </cell>
          <cell r="S714">
            <v>0</v>
          </cell>
          <cell r="T714">
            <v>0</v>
          </cell>
          <cell r="U714" t="str">
            <v/>
          </cell>
          <cell r="V714" t="str">
            <v>PRO10</v>
          </cell>
          <cell r="W714">
            <v>0</v>
          </cell>
        </row>
        <row r="715">
          <cell r="C715" t="str">
            <v>COS325FGPPA2</v>
          </cell>
          <cell r="D715" t="str">
            <v>PRINC</v>
          </cell>
          <cell r="E715" t="str">
            <v>00036</v>
          </cell>
          <cell r="F715" t="str">
            <v>MODULOS Y PASADORES</v>
          </cell>
          <cell r="G715" t="str">
            <v>PRINCIPAL</v>
          </cell>
          <cell r="H715">
            <v>46004</v>
          </cell>
          <cell r="I715" t="str">
            <v>SALDO INICIAL</v>
          </cell>
          <cell r="J715">
            <v>1455</v>
          </cell>
          <cell r="K715">
            <v>238.93279699999999</v>
          </cell>
          <cell r="L715">
            <v>0.164215</v>
          </cell>
          <cell r="M715">
            <v>0.16421498100000001</v>
          </cell>
          <cell r="N715" t="str">
            <v/>
          </cell>
          <cell r="O715" t="str">
            <v/>
          </cell>
          <cell r="P715" t="str">
            <v/>
          </cell>
          <cell r="Q715">
            <v>0</v>
          </cell>
          <cell r="R715" t="str">
            <v>UND</v>
          </cell>
          <cell r="S715">
            <v>0</v>
          </cell>
          <cell r="T715">
            <v>0</v>
          </cell>
          <cell r="U715" t="str">
            <v/>
          </cell>
          <cell r="V715" t="str">
            <v>PRO10</v>
          </cell>
          <cell r="W715">
            <v>0</v>
          </cell>
        </row>
        <row r="716">
          <cell r="C716" t="str">
            <v>COS325FGPPA7CT</v>
          </cell>
          <cell r="D716" t="str">
            <v>PRINC</v>
          </cell>
          <cell r="E716" t="str">
            <v>00036</v>
          </cell>
          <cell r="F716" t="str">
            <v>MODULOS Y PASADORES</v>
          </cell>
          <cell r="G716" t="str">
            <v>PRINCIPAL</v>
          </cell>
          <cell r="H716">
            <v>46004</v>
          </cell>
          <cell r="I716" t="str">
            <v>SALDO INICIAL</v>
          </cell>
          <cell r="J716">
            <v>4200</v>
          </cell>
          <cell r="K716">
            <v>866.61446599999999</v>
          </cell>
          <cell r="L716">
            <v>0.20633699999999999</v>
          </cell>
          <cell r="M716">
            <v>0.206336778</v>
          </cell>
          <cell r="N716" t="str">
            <v/>
          </cell>
          <cell r="O716" t="str">
            <v/>
          </cell>
          <cell r="P716" t="str">
            <v/>
          </cell>
          <cell r="Q716">
            <v>0</v>
          </cell>
          <cell r="R716" t="str">
            <v>UND</v>
          </cell>
          <cell r="S716">
            <v>0</v>
          </cell>
          <cell r="T716">
            <v>0</v>
          </cell>
          <cell r="U716" t="str">
            <v/>
          </cell>
          <cell r="V716" t="str">
            <v>PRO10</v>
          </cell>
          <cell r="W716">
            <v>0</v>
          </cell>
        </row>
        <row r="717">
          <cell r="C717" t="str">
            <v>IN1100MFGACA4LT</v>
          </cell>
          <cell r="D717" t="str">
            <v>PRINC</v>
          </cell>
          <cell r="E717" t="str">
            <v>00036</v>
          </cell>
          <cell r="F717" t="str">
            <v>MODULOS Y PASADORES</v>
          </cell>
          <cell r="G717" t="str">
            <v>PRINCIPAL</v>
          </cell>
          <cell r="H717">
            <v>46004</v>
          </cell>
          <cell r="I717" t="str">
            <v>SALDO INICIAL</v>
          </cell>
          <cell r="J717">
            <v>2</v>
          </cell>
          <cell r="K717">
            <v>1.3005660000000001</v>
          </cell>
          <cell r="L717">
            <v>0.65028399999999997</v>
          </cell>
          <cell r="M717">
            <v>0.65028300000000006</v>
          </cell>
          <cell r="N717" t="str">
            <v/>
          </cell>
          <cell r="O717" t="str">
            <v/>
          </cell>
          <cell r="P717" t="str">
            <v/>
          </cell>
          <cell r="Q717">
            <v>0</v>
          </cell>
          <cell r="R717" t="str">
            <v>UND</v>
          </cell>
          <cell r="S717">
            <v>0</v>
          </cell>
          <cell r="T717">
            <v>0</v>
          </cell>
          <cell r="U717" t="str">
            <v/>
          </cell>
          <cell r="V717" t="str">
            <v>PRO10</v>
          </cell>
          <cell r="W717">
            <v>0</v>
          </cell>
        </row>
        <row r="718">
          <cell r="C718" t="str">
            <v>IN1100MFGACA6CT</v>
          </cell>
          <cell r="D718" t="str">
            <v>PRINC</v>
          </cell>
          <cell r="E718" t="str">
            <v>00036</v>
          </cell>
          <cell r="F718" t="str">
            <v>MODULOS Y PASADORES</v>
          </cell>
          <cell r="G718" t="str">
            <v>PRINCIPAL</v>
          </cell>
          <cell r="H718">
            <v>46004</v>
          </cell>
          <cell r="I718" t="str">
            <v>SALDO INICIAL</v>
          </cell>
          <cell r="J718">
            <v>2876</v>
          </cell>
          <cell r="K718">
            <v>1848.539522</v>
          </cell>
          <cell r="L718">
            <v>0.64274699999999996</v>
          </cell>
          <cell r="M718">
            <v>0.642746704</v>
          </cell>
          <cell r="N718" t="str">
            <v/>
          </cell>
          <cell r="O718" t="str">
            <v/>
          </cell>
          <cell r="P718" t="str">
            <v/>
          </cell>
          <cell r="Q718">
            <v>0</v>
          </cell>
          <cell r="R718" t="str">
            <v>UND</v>
          </cell>
          <cell r="S718">
            <v>0</v>
          </cell>
          <cell r="T718">
            <v>0</v>
          </cell>
          <cell r="U718" t="str">
            <v/>
          </cell>
          <cell r="V718" t="str">
            <v>PRO10</v>
          </cell>
          <cell r="W718">
            <v>0</v>
          </cell>
        </row>
        <row r="719">
          <cell r="C719" t="str">
            <v>IN200MOGPPB12CT</v>
          </cell>
          <cell r="D719" t="str">
            <v>PRINC</v>
          </cell>
          <cell r="E719" t="str">
            <v>00036</v>
          </cell>
          <cell r="F719" t="str">
            <v>MODULOS Y PASADORES</v>
          </cell>
          <cell r="G719" t="str">
            <v>PRINCIPAL</v>
          </cell>
          <cell r="H719">
            <v>46004</v>
          </cell>
          <cell r="I719" t="str">
            <v>SALDO INICIAL</v>
          </cell>
          <cell r="J719">
            <v>65</v>
          </cell>
          <cell r="K719">
            <v>192.4</v>
          </cell>
          <cell r="L719">
            <v>0</v>
          </cell>
          <cell r="M719">
            <v>2.96</v>
          </cell>
          <cell r="N719" t="str">
            <v/>
          </cell>
          <cell r="O719" t="str">
            <v/>
          </cell>
          <cell r="P719" t="str">
            <v/>
          </cell>
          <cell r="Q719">
            <v>5.8</v>
          </cell>
          <cell r="R719" t="str">
            <v>UND</v>
          </cell>
          <cell r="S719">
            <v>0</v>
          </cell>
          <cell r="T719">
            <v>0</v>
          </cell>
          <cell r="U719" t="str">
            <v/>
          </cell>
          <cell r="V719" t="str">
            <v>PRO10</v>
          </cell>
          <cell r="W719">
            <v>0</v>
          </cell>
        </row>
        <row r="720">
          <cell r="C720" t="str">
            <v>IN800MFTPPPB4LT</v>
          </cell>
          <cell r="D720" t="str">
            <v>PRINC</v>
          </cell>
          <cell r="E720" t="str">
            <v>00036</v>
          </cell>
          <cell r="F720" t="str">
            <v>MODULOS Y PASADORES</v>
          </cell>
          <cell r="G720" t="str">
            <v>PRINCIPAL</v>
          </cell>
          <cell r="H720">
            <v>46004</v>
          </cell>
          <cell r="I720" t="str">
            <v>SALDO INICIAL</v>
          </cell>
          <cell r="J720">
            <v>63</v>
          </cell>
          <cell r="K720">
            <v>92.579318999999998</v>
          </cell>
          <cell r="L720">
            <v>1.4695130000000001</v>
          </cell>
          <cell r="M720">
            <v>1.4695130000000001</v>
          </cell>
          <cell r="N720" t="str">
            <v/>
          </cell>
          <cell r="O720" t="str">
            <v/>
          </cell>
          <cell r="P720" t="str">
            <v/>
          </cell>
          <cell r="Q720">
            <v>0</v>
          </cell>
          <cell r="R720" t="str">
            <v>UND</v>
          </cell>
          <cell r="S720">
            <v>0</v>
          </cell>
          <cell r="T720">
            <v>0</v>
          </cell>
          <cell r="U720" t="str">
            <v/>
          </cell>
          <cell r="V720" t="str">
            <v>PRO10</v>
          </cell>
          <cell r="W720">
            <v>0</v>
          </cell>
        </row>
        <row r="721">
          <cell r="C721" t="str">
            <v>IN800MFTPPPB6CT</v>
          </cell>
          <cell r="D721" t="str">
            <v>PRINC</v>
          </cell>
          <cell r="E721" t="str">
            <v>00036</v>
          </cell>
          <cell r="F721" t="str">
            <v>MODULOS Y PASADORES</v>
          </cell>
          <cell r="G721" t="str">
            <v>PRINCIPAL</v>
          </cell>
          <cell r="H721">
            <v>46004</v>
          </cell>
          <cell r="I721" t="str">
            <v>SALDO INICIAL</v>
          </cell>
          <cell r="J721">
            <v>194</v>
          </cell>
          <cell r="K721">
            <v>316.86017299999997</v>
          </cell>
          <cell r="L721">
            <v>1.6333</v>
          </cell>
          <cell r="M721">
            <v>1.633299861</v>
          </cell>
          <cell r="N721" t="str">
            <v/>
          </cell>
          <cell r="O721" t="str">
            <v/>
          </cell>
          <cell r="P721" t="str">
            <v/>
          </cell>
          <cell r="Q721">
            <v>0</v>
          </cell>
          <cell r="R721" t="str">
            <v>UND</v>
          </cell>
          <cell r="S721">
            <v>0</v>
          </cell>
          <cell r="T721">
            <v>0</v>
          </cell>
          <cell r="U721" t="str">
            <v/>
          </cell>
          <cell r="V721" t="str">
            <v>PRO10</v>
          </cell>
          <cell r="W721">
            <v>0</v>
          </cell>
        </row>
        <row r="722">
          <cell r="C722" t="str">
            <v>IN800MFTPPPB6LT</v>
          </cell>
          <cell r="D722" t="str">
            <v>PRINC</v>
          </cell>
          <cell r="E722" t="str">
            <v>00036</v>
          </cell>
          <cell r="F722" t="str">
            <v>MODULOS Y PASADORES</v>
          </cell>
          <cell r="G722" t="str">
            <v>PRINCIPAL</v>
          </cell>
          <cell r="H722">
            <v>46004</v>
          </cell>
          <cell r="I722" t="str">
            <v>SALDO INICIAL</v>
          </cell>
          <cell r="J722">
            <v>68</v>
          </cell>
          <cell r="K722">
            <v>125.8</v>
          </cell>
          <cell r="L722">
            <v>1.85</v>
          </cell>
          <cell r="M722">
            <v>1.85</v>
          </cell>
          <cell r="N722" t="str">
            <v/>
          </cell>
          <cell r="O722" t="str">
            <v/>
          </cell>
          <cell r="P722" t="str">
            <v/>
          </cell>
          <cell r="Q722">
            <v>0</v>
          </cell>
          <cell r="R722" t="str">
            <v>UND</v>
          </cell>
          <cell r="S722">
            <v>0</v>
          </cell>
          <cell r="T722">
            <v>0</v>
          </cell>
          <cell r="U722" t="str">
            <v/>
          </cell>
          <cell r="V722" t="str">
            <v>PRO10</v>
          </cell>
          <cell r="W722">
            <v>0</v>
          </cell>
        </row>
        <row r="723">
          <cell r="C723" t="str">
            <v>IN800MFTPPB4LT</v>
          </cell>
          <cell r="D723" t="str">
            <v>PRINC</v>
          </cell>
          <cell r="E723" t="str">
            <v>00036</v>
          </cell>
          <cell r="F723" t="str">
            <v>MODULOS Y PASADORES</v>
          </cell>
          <cell r="G723" t="str">
            <v>PRINCIPAL</v>
          </cell>
          <cell r="H723">
            <v>46004</v>
          </cell>
          <cell r="I723" t="str">
            <v>SALDO INICIAL</v>
          </cell>
          <cell r="J723">
            <v>40</v>
          </cell>
          <cell r="K723">
            <v>102.62479999999999</v>
          </cell>
          <cell r="L723">
            <v>2.56562</v>
          </cell>
          <cell r="M723">
            <v>2.56562</v>
          </cell>
          <cell r="N723" t="str">
            <v/>
          </cell>
          <cell r="O723" t="str">
            <v/>
          </cell>
          <cell r="P723" t="str">
            <v/>
          </cell>
          <cell r="Q723">
            <v>0</v>
          </cell>
          <cell r="R723" t="str">
            <v>UND</v>
          </cell>
          <cell r="S723">
            <v>0</v>
          </cell>
          <cell r="T723">
            <v>0</v>
          </cell>
          <cell r="U723" t="str">
            <v/>
          </cell>
          <cell r="V723" t="str">
            <v>PRO10</v>
          </cell>
          <cell r="W723">
            <v>0</v>
          </cell>
        </row>
        <row r="724">
          <cell r="C724" t="str">
            <v>IN900MFGPPA12CT</v>
          </cell>
          <cell r="D724" t="str">
            <v>PRINC</v>
          </cell>
          <cell r="E724" t="str">
            <v>00036</v>
          </cell>
          <cell r="F724" t="str">
            <v>MODULOS Y PASADORES</v>
          </cell>
          <cell r="G724" t="str">
            <v>PRINCIPAL</v>
          </cell>
          <cell r="H724">
            <v>46004</v>
          </cell>
          <cell r="I724" t="str">
            <v>SALDO INICIAL</v>
          </cell>
          <cell r="J724">
            <v>386</v>
          </cell>
          <cell r="K724">
            <v>617.6</v>
          </cell>
          <cell r="L724">
            <v>1.6</v>
          </cell>
          <cell r="M724">
            <v>1.6</v>
          </cell>
          <cell r="N724" t="str">
            <v/>
          </cell>
          <cell r="O724" t="str">
            <v/>
          </cell>
          <cell r="P724" t="str">
            <v/>
          </cell>
          <cell r="Q724">
            <v>0</v>
          </cell>
          <cell r="R724" t="str">
            <v>UND</v>
          </cell>
          <cell r="S724">
            <v>0</v>
          </cell>
          <cell r="T724">
            <v>0</v>
          </cell>
          <cell r="U724" t="str">
            <v/>
          </cell>
          <cell r="V724" t="str">
            <v>PRO10</v>
          </cell>
          <cell r="W724">
            <v>0</v>
          </cell>
        </row>
        <row r="725">
          <cell r="C725" t="str">
            <v>IN900MFGPPA2LT</v>
          </cell>
          <cell r="D725" t="str">
            <v>PRINC</v>
          </cell>
          <cell r="E725" t="str">
            <v>00036</v>
          </cell>
          <cell r="F725" t="str">
            <v>MODULOS Y PASADORES</v>
          </cell>
          <cell r="G725" t="str">
            <v>PRINCIPAL</v>
          </cell>
          <cell r="H725">
            <v>46004</v>
          </cell>
          <cell r="I725" t="str">
            <v>SALDO INICIAL</v>
          </cell>
          <cell r="J725">
            <v>182</v>
          </cell>
          <cell r="K725">
            <v>53.954264000000002</v>
          </cell>
          <cell r="L725">
            <v>0.27</v>
          </cell>
          <cell r="M725">
            <v>0.29645199999999999</v>
          </cell>
          <cell r="N725" t="str">
            <v/>
          </cell>
          <cell r="O725" t="str">
            <v/>
          </cell>
          <cell r="P725" t="str">
            <v/>
          </cell>
          <cell r="Q725">
            <v>0</v>
          </cell>
          <cell r="R725" t="str">
            <v>UND</v>
          </cell>
          <cell r="S725">
            <v>0</v>
          </cell>
          <cell r="T725">
            <v>0</v>
          </cell>
          <cell r="U725" t="str">
            <v/>
          </cell>
          <cell r="V725" t="str">
            <v>PRO10</v>
          </cell>
          <cell r="W725">
            <v>0</v>
          </cell>
        </row>
        <row r="726">
          <cell r="C726" t="str">
            <v>IN900MFGPPA3LT</v>
          </cell>
          <cell r="D726" t="str">
            <v>PRINC</v>
          </cell>
          <cell r="E726" t="str">
            <v>00036</v>
          </cell>
          <cell r="F726" t="str">
            <v>MODULOS Y PASADORES</v>
          </cell>
          <cell r="G726" t="str">
            <v>PRINCIPAL</v>
          </cell>
          <cell r="H726">
            <v>46004</v>
          </cell>
          <cell r="I726" t="str">
            <v>SALDO INICIAL</v>
          </cell>
          <cell r="J726">
            <v>14</v>
          </cell>
          <cell r="K726">
            <v>6.9011469999999999</v>
          </cell>
          <cell r="L726">
            <v>0.49294100000000002</v>
          </cell>
          <cell r="M726">
            <v>0.49293907100000001</v>
          </cell>
          <cell r="N726" t="str">
            <v/>
          </cell>
          <cell r="O726" t="str">
            <v/>
          </cell>
          <cell r="P726" t="str">
            <v/>
          </cell>
          <cell r="Q726">
            <v>0</v>
          </cell>
          <cell r="R726" t="str">
            <v>UND</v>
          </cell>
          <cell r="S726">
            <v>0</v>
          </cell>
          <cell r="T726">
            <v>0</v>
          </cell>
          <cell r="U726" t="str">
            <v/>
          </cell>
          <cell r="V726" t="str">
            <v>PRO10</v>
          </cell>
          <cell r="W726">
            <v>0</v>
          </cell>
        </row>
        <row r="727">
          <cell r="C727" t="str">
            <v>IN900MFGPPA4LT</v>
          </cell>
          <cell r="D727" t="str">
            <v>PRINC</v>
          </cell>
          <cell r="E727" t="str">
            <v>00036</v>
          </cell>
          <cell r="F727" t="str">
            <v>MODULOS Y PASADORES</v>
          </cell>
          <cell r="G727" t="str">
            <v>PRINCIPAL</v>
          </cell>
          <cell r="H727">
            <v>46004</v>
          </cell>
          <cell r="I727" t="str">
            <v>SALDO INICIAL</v>
          </cell>
          <cell r="J727">
            <v>192</v>
          </cell>
          <cell r="K727">
            <v>142.098816</v>
          </cell>
          <cell r="L727">
            <v>0.74337699999999995</v>
          </cell>
          <cell r="M727">
            <v>0.74009800000000003</v>
          </cell>
          <cell r="N727" t="str">
            <v/>
          </cell>
          <cell r="O727" t="str">
            <v/>
          </cell>
          <cell r="P727" t="str">
            <v/>
          </cell>
          <cell r="Q727">
            <v>0</v>
          </cell>
          <cell r="R727" t="str">
            <v>UND</v>
          </cell>
          <cell r="S727">
            <v>0</v>
          </cell>
          <cell r="T727">
            <v>0</v>
          </cell>
          <cell r="U727" t="str">
            <v/>
          </cell>
          <cell r="V727" t="str">
            <v>PRO10</v>
          </cell>
          <cell r="W727">
            <v>0</v>
          </cell>
        </row>
        <row r="728">
          <cell r="C728" t="str">
            <v>IN900MFGPPA8LT</v>
          </cell>
          <cell r="D728" t="str">
            <v>PRINC</v>
          </cell>
          <cell r="E728" t="str">
            <v>00036</v>
          </cell>
          <cell r="F728" t="str">
            <v>MODULOS Y PASADORES</v>
          </cell>
          <cell r="G728" t="str">
            <v>PRINCIPAL</v>
          </cell>
          <cell r="H728">
            <v>46004</v>
          </cell>
          <cell r="I728" t="str">
            <v>SALDO INICIAL</v>
          </cell>
          <cell r="J728">
            <v>14</v>
          </cell>
          <cell r="K728">
            <v>16.181712999999998</v>
          </cell>
          <cell r="L728">
            <v>1.119456</v>
          </cell>
          <cell r="M728">
            <v>1.155836643</v>
          </cell>
          <cell r="N728" t="str">
            <v/>
          </cell>
          <cell r="O728" t="str">
            <v/>
          </cell>
          <cell r="P728" t="str">
            <v/>
          </cell>
          <cell r="Q728">
            <v>0</v>
          </cell>
          <cell r="R728" t="str">
            <v>UND</v>
          </cell>
          <cell r="S728">
            <v>0</v>
          </cell>
          <cell r="T728">
            <v>0</v>
          </cell>
          <cell r="U728" t="str">
            <v/>
          </cell>
          <cell r="V728" t="str">
            <v>PRO10</v>
          </cell>
          <cell r="W728">
            <v>0</v>
          </cell>
        </row>
        <row r="729">
          <cell r="C729" t="str">
            <v>IN900MFGPPB12CT</v>
          </cell>
          <cell r="D729" t="str">
            <v>PRINC</v>
          </cell>
          <cell r="E729" t="str">
            <v>00036</v>
          </cell>
          <cell r="F729" t="str">
            <v>MODULOS Y PASADORES</v>
          </cell>
          <cell r="G729" t="str">
            <v>PRINCIPAL</v>
          </cell>
          <cell r="H729">
            <v>46004</v>
          </cell>
          <cell r="I729" t="str">
            <v>SALDO INICIAL</v>
          </cell>
          <cell r="J729">
            <v>1542</v>
          </cell>
          <cell r="K729">
            <v>2257.254422</v>
          </cell>
          <cell r="L729">
            <v>1.463849</v>
          </cell>
          <cell r="M729">
            <v>1.463848523</v>
          </cell>
          <cell r="N729" t="str">
            <v/>
          </cell>
          <cell r="O729" t="str">
            <v/>
          </cell>
          <cell r="P729" t="str">
            <v/>
          </cell>
          <cell r="Q729">
            <v>0</v>
          </cell>
          <cell r="R729" t="str">
            <v>UND</v>
          </cell>
          <cell r="S729">
            <v>0</v>
          </cell>
          <cell r="T729">
            <v>0</v>
          </cell>
          <cell r="U729" t="str">
            <v/>
          </cell>
          <cell r="V729" t="str">
            <v>PRO10</v>
          </cell>
          <cell r="W729">
            <v>0</v>
          </cell>
        </row>
        <row r="730">
          <cell r="C730" t="str">
            <v>IN900MFGPPB6CT</v>
          </cell>
          <cell r="D730" t="str">
            <v>PRINC</v>
          </cell>
          <cell r="E730" t="str">
            <v>00036</v>
          </cell>
          <cell r="F730" t="str">
            <v>MODULOS Y PASADORES</v>
          </cell>
          <cell r="G730" t="str">
            <v>PRINCIPAL</v>
          </cell>
          <cell r="H730">
            <v>46004</v>
          </cell>
          <cell r="I730" t="str">
            <v>SALDO INICIAL</v>
          </cell>
          <cell r="J730">
            <v>65</v>
          </cell>
          <cell r="K730">
            <v>40.299999999999997</v>
          </cell>
          <cell r="L730">
            <v>0.62</v>
          </cell>
          <cell r="M730">
            <v>0.62</v>
          </cell>
          <cell r="N730" t="str">
            <v/>
          </cell>
          <cell r="O730" t="str">
            <v/>
          </cell>
          <cell r="P730" t="str">
            <v/>
          </cell>
          <cell r="Q730">
            <v>0</v>
          </cell>
          <cell r="R730" t="str">
            <v>UND</v>
          </cell>
          <cell r="S730">
            <v>0</v>
          </cell>
          <cell r="T730">
            <v>0</v>
          </cell>
          <cell r="U730" t="str">
            <v/>
          </cell>
          <cell r="V730" t="str">
            <v>PRO10</v>
          </cell>
          <cell r="W730">
            <v>0</v>
          </cell>
        </row>
        <row r="731">
          <cell r="C731" t="str">
            <v>IN900MOGPPA2LT</v>
          </cell>
          <cell r="D731" t="str">
            <v>PRINC</v>
          </cell>
          <cell r="E731" t="str">
            <v>00036</v>
          </cell>
          <cell r="F731" t="str">
            <v>MODULOS Y PASADORES</v>
          </cell>
          <cell r="G731" t="str">
            <v>PRINCIPAL</v>
          </cell>
          <cell r="H731">
            <v>46004</v>
          </cell>
          <cell r="I731" t="str">
            <v>SALDO INICIAL</v>
          </cell>
          <cell r="J731">
            <v>1360</v>
          </cell>
          <cell r="K731">
            <v>426.08429999999998</v>
          </cell>
          <cell r="L731">
            <v>0.31329699999999999</v>
          </cell>
          <cell r="M731">
            <v>0.31329727899999998</v>
          </cell>
          <cell r="N731" t="str">
            <v/>
          </cell>
          <cell r="O731" t="str">
            <v/>
          </cell>
          <cell r="P731" t="str">
            <v/>
          </cell>
          <cell r="Q731">
            <v>0.55000000000000004</v>
          </cell>
          <cell r="R731" t="str">
            <v>UND</v>
          </cell>
          <cell r="S731">
            <v>0</v>
          </cell>
          <cell r="T731">
            <v>0</v>
          </cell>
          <cell r="U731" t="str">
            <v/>
          </cell>
          <cell r="V731" t="str">
            <v>PRO10</v>
          </cell>
          <cell r="W731">
            <v>0</v>
          </cell>
        </row>
        <row r="732">
          <cell r="C732" t="str">
            <v>IN900MOGPPB12CT</v>
          </cell>
          <cell r="D732" t="str">
            <v>PRINC</v>
          </cell>
          <cell r="E732" t="str">
            <v>00036</v>
          </cell>
          <cell r="F732" t="str">
            <v>MODULOS Y PASADORES</v>
          </cell>
          <cell r="G732" t="str">
            <v>PRINCIPAL</v>
          </cell>
          <cell r="H732">
            <v>46004</v>
          </cell>
          <cell r="I732" t="str">
            <v>SALDO INICIAL</v>
          </cell>
          <cell r="J732">
            <v>314</v>
          </cell>
          <cell r="K732">
            <v>629.89092700000003</v>
          </cell>
          <cell r="L732">
            <v>2.0060220000000002</v>
          </cell>
          <cell r="M732">
            <v>2.0060220609999999</v>
          </cell>
          <cell r="N732" t="str">
            <v/>
          </cell>
          <cell r="O732" t="str">
            <v/>
          </cell>
          <cell r="P732" t="str">
            <v/>
          </cell>
          <cell r="Q732">
            <v>0</v>
          </cell>
          <cell r="R732" t="str">
            <v>UND</v>
          </cell>
          <cell r="S732">
            <v>0</v>
          </cell>
          <cell r="T732">
            <v>0</v>
          </cell>
          <cell r="U732" t="str">
            <v/>
          </cell>
          <cell r="V732" t="str">
            <v>PRO10</v>
          </cell>
          <cell r="W732">
            <v>0</v>
          </cell>
        </row>
        <row r="733">
          <cell r="C733" t="str">
            <v>IN900MOGPPB3LT</v>
          </cell>
          <cell r="D733" t="str">
            <v>PRINC</v>
          </cell>
          <cell r="E733" t="str">
            <v>00036</v>
          </cell>
          <cell r="F733" t="str">
            <v>MODULOS Y PASADORES</v>
          </cell>
          <cell r="G733" t="str">
            <v>PRINCIPAL</v>
          </cell>
          <cell r="H733">
            <v>46004</v>
          </cell>
          <cell r="I733" t="str">
            <v>SALDO INICIAL</v>
          </cell>
          <cell r="J733">
            <v>37</v>
          </cell>
          <cell r="K733">
            <v>45.931874000000001</v>
          </cell>
          <cell r="L733">
            <v>0</v>
          </cell>
          <cell r="M733">
            <v>1.2414019999999999</v>
          </cell>
          <cell r="N733" t="str">
            <v/>
          </cell>
          <cell r="O733" t="str">
            <v/>
          </cell>
          <cell r="P733" t="str">
            <v/>
          </cell>
          <cell r="Q733">
            <v>0</v>
          </cell>
          <cell r="R733" t="str">
            <v>UND</v>
          </cell>
          <cell r="S733">
            <v>0</v>
          </cell>
          <cell r="T733">
            <v>0</v>
          </cell>
          <cell r="U733" t="str">
            <v/>
          </cell>
          <cell r="V733" t="str">
            <v>PRO10</v>
          </cell>
          <cell r="W733">
            <v>0</v>
          </cell>
        </row>
        <row r="734">
          <cell r="C734" t="str">
            <v>IN900MOGPPB4LT</v>
          </cell>
          <cell r="D734" t="str">
            <v>PRINC</v>
          </cell>
          <cell r="E734" t="str">
            <v>00036</v>
          </cell>
          <cell r="F734" t="str">
            <v>MODULOS Y PASADORES</v>
          </cell>
          <cell r="G734" t="str">
            <v>PRINCIPAL</v>
          </cell>
          <cell r="H734">
            <v>46004</v>
          </cell>
          <cell r="I734" t="str">
            <v>SALDO INICIAL</v>
          </cell>
          <cell r="J734">
            <v>164</v>
          </cell>
          <cell r="K734">
            <v>169.02848499999999</v>
          </cell>
          <cell r="L734">
            <v>1.030661</v>
          </cell>
          <cell r="M734">
            <v>1.0306614940000001</v>
          </cell>
          <cell r="N734" t="str">
            <v/>
          </cell>
          <cell r="O734" t="str">
            <v/>
          </cell>
          <cell r="P734" t="str">
            <v/>
          </cell>
          <cell r="Q734">
            <v>0</v>
          </cell>
          <cell r="R734" t="str">
            <v>UND</v>
          </cell>
          <cell r="S734">
            <v>0</v>
          </cell>
          <cell r="T734">
            <v>0</v>
          </cell>
          <cell r="U734" t="str">
            <v/>
          </cell>
          <cell r="V734" t="str">
            <v>PRO10</v>
          </cell>
          <cell r="W734">
            <v>0</v>
          </cell>
        </row>
        <row r="735">
          <cell r="C735" t="str">
            <v>EUE30MTFGPPB10</v>
          </cell>
          <cell r="D735" t="str">
            <v>PRINC</v>
          </cell>
          <cell r="E735" t="str">
            <v>00036</v>
          </cell>
          <cell r="F735" t="str">
            <v>MODULOS Y PASADORES</v>
          </cell>
          <cell r="G735" t="str">
            <v>PRINCIPAL</v>
          </cell>
          <cell r="H735">
            <v>46004</v>
          </cell>
          <cell r="I735" t="str">
            <v>SALDO INICIAL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 t="str">
            <v/>
          </cell>
          <cell r="O735" t="str">
            <v/>
          </cell>
          <cell r="P735" t="str">
            <v/>
          </cell>
          <cell r="Q735">
            <v>0</v>
          </cell>
          <cell r="R735" t="str">
            <v>UND</v>
          </cell>
          <cell r="S735">
            <v>0</v>
          </cell>
          <cell r="T735">
            <v>0</v>
          </cell>
          <cell r="U735" t="str">
            <v/>
          </cell>
          <cell r="V735" t="str">
            <v>PRO10</v>
          </cell>
          <cell r="W735">
            <v>0</v>
          </cell>
        </row>
        <row r="736">
          <cell r="C736" t="str">
            <v>EUE30MTFFGPPB20</v>
          </cell>
          <cell r="D736" t="str">
            <v>PRINC</v>
          </cell>
          <cell r="E736" t="str">
            <v>00036</v>
          </cell>
          <cell r="F736" t="str">
            <v>MODULOS Y PASADORES</v>
          </cell>
          <cell r="G736" t="str">
            <v>PRINCIPAL</v>
          </cell>
          <cell r="H736">
            <v>46004</v>
          </cell>
          <cell r="I736" t="str">
            <v>SALDO INICIAL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 t="str">
            <v/>
          </cell>
          <cell r="O736" t="str">
            <v/>
          </cell>
          <cell r="P736" t="str">
            <v/>
          </cell>
          <cell r="Q736">
            <v>0</v>
          </cell>
          <cell r="R736" t="str">
            <v>UND</v>
          </cell>
          <cell r="S736">
            <v>0</v>
          </cell>
          <cell r="T736">
            <v>0</v>
          </cell>
          <cell r="U736" t="str">
            <v/>
          </cell>
          <cell r="V736" t="str">
            <v>PRO10</v>
          </cell>
          <cell r="W736">
            <v>0</v>
          </cell>
        </row>
        <row r="737">
          <cell r="C737" t="str">
            <v>COM325FGPPA12D</v>
          </cell>
          <cell r="D737" t="str">
            <v>PRINC</v>
          </cell>
          <cell r="E737" t="str">
            <v>00036</v>
          </cell>
          <cell r="F737" t="str">
            <v>MODULOS Y PASADORES</v>
          </cell>
          <cell r="G737" t="str">
            <v>PRINCIPAL</v>
          </cell>
          <cell r="H737">
            <v>46004</v>
          </cell>
          <cell r="I737" t="str">
            <v>SALDO INICIAL</v>
          </cell>
          <cell r="J737">
            <v>4</v>
          </cell>
          <cell r="K737">
            <v>1.380274</v>
          </cell>
          <cell r="L737">
            <v>0.34509499999999999</v>
          </cell>
          <cell r="M737">
            <v>0.3450685</v>
          </cell>
          <cell r="N737" t="str">
            <v/>
          </cell>
          <cell r="O737" t="str">
            <v/>
          </cell>
          <cell r="P737" t="str">
            <v/>
          </cell>
          <cell r="Q737">
            <v>0</v>
          </cell>
          <cell r="R737" t="str">
            <v>UND</v>
          </cell>
          <cell r="S737">
            <v>0</v>
          </cell>
          <cell r="T737">
            <v>0</v>
          </cell>
          <cell r="U737" t="str">
            <v/>
          </cell>
          <cell r="V737" t="str">
            <v>PRO10</v>
          </cell>
          <cell r="W737">
            <v>0</v>
          </cell>
        </row>
        <row r="738">
          <cell r="C738" t="str">
            <v>COM325FGPPA12I</v>
          </cell>
          <cell r="D738" t="str">
            <v>PRINC</v>
          </cell>
          <cell r="E738" t="str">
            <v>00036</v>
          </cell>
          <cell r="F738" t="str">
            <v>MODULOS Y PASADORES</v>
          </cell>
          <cell r="G738" t="str">
            <v>PRINCIPAL</v>
          </cell>
          <cell r="H738">
            <v>46004</v>
          </cell>
          <cell r="I738" t="str">
            <v>SALDO INICIAL</v>
          </cell>
          <cell r="J738">
            <v>4</v>
          </cell>
          <cell r="K738">
            <v>1.3771009999999999</v>
          </cell>
          <cell r="L738">
            <v>0.34426499999999999</v>
          </cell>
          <cell r="M738">
            <v>0.34427524999999998</v>
          </cell>
          <cell r="N738" t="str">
            <v/>
          </cell>
          <cell r="O738" t="str">
            <v/>
          </cell>
          <cell r="P738" t="str">
            <v/>
          </cell>
          <cell r="Q738">
            <v>0</v>
          </cell>
          <cell r="R738" t="str">
            <v>UND</v>
          </cell>
          <cell r="S738">
            <v>0</v>
          </cell>
          <cell r="T738">
            <v>0</v>
          </cell>
          <cell r="U738" t="str">
            <v/>
          </cell>
          <cell r="V738" t="str">
            <v>PRO10</v>
          </cell>
          <cell r="W738">
            <v>0</v>
          </cell>
        </row>
        <row r="739">
          <cell r="C739" t="str">
            <v>EUVA46PEN</v>
          </cell>
          <cell r="D739" t="str">
            <v>PRINC</v>
          </cell>
          <cell r="E739" t="str">
            <v>00036</v>
          </cell>
          <cell r="F739" t="str">
            <v>MODULOS Y PASADORES</v>
          </cell>
          <cell r="G739" t="str">
            <v>PRINCIPAL</v>
          </cell>
          <cell r="H739">
            <v>46004</v>
          </cell>
          <cell r="I739" t="str">
            <v>SALDO INICIAL</v>
          </cell>
          <cell r="J739">
            <v>110</v>
          </cell>
          <cell r="K739">
            <v>40.700000000000003</v>
          </cell>
          <cell r="L739">
            <v>0.37</v>
          </cell>
          <cell r="M739">
            <v>0.37</v>
          </cell>
          <cell r="N739" t="str">
            <v/>
          </cell>
          <cell r="O739" t="str">
            <v/>
          </cell>
          <cell r="P739" t="str">
            <v/>
          </cell>
          <cell r="Q739">
            <v>1</v>
          </cell>
          <cell r="R739" t="str">
            <v>MTS</v>
          </cell>
          <cell r="S739">
            <v>0</v>
          </cell>
          <cell r="T739">
            <v>0</v>
          </cell>
          <cell r="U739" t="str">
            <v/>
          </cell>
          <cell r="V739" t="str">
            <v>PRO10</v>
          </cell>
          <cell r="W739">
            <v>0</v>
          </cell>
        </row>
        <row r="740">
          <cell r="C740" t="str">
            <v>EUVA55PPB</v>
          </cell>
          <cell r="D740" t="str">
            <v>PRINC</v>
          </cell>
          <cell r="E740" t="str">
            <v>00036</v>
          </cell>
          <cell r="F740" t="str">
            <v>MODULOS Y PASADORES</v>
          </cell>
          <cell r="G740" t="str">
            <v>PRINCIPAL</v>
          </cell>
          <cell r="H740">
            <v>46004</v>
          </cell>
          <cell r="I740" t="str">
            <v>SALDO INICIAL</v>
          </cell>
          <cell r="J740">
            <v>-62.5</v>
          </cell>
          <cell r="K740">
            <v>0</v>
          </cell>
          <cell r="L740">
            <v>0</v>
          </cell>
          <cell r="M740">
            <v>0</v>
          </cell>
          <cell r="N740" t="str">
            <v/>
          </cell>
          <cell r="O740" t="str">
            <v/>
          </cell>
          <cell r="P740" t="str">
            <v/>
          </cell>
          <cell r="Q740">
            <v>0</v>
          </cell>
          <cell r="R740" t="str">
            <v>MTS</v>
          </cell>
          <cell r="S740">
            <v>0</v>
          </cell>
          <cell r="T740">
            <v>0</v>
          </cell>
          <cell r="U740" t="str">
            <v/>
          </cell>
          <cell r="V740" t="str">
            <v>PRO10</v>
          </cell>
          <cell r="W740">
            <v>0</v>
          </cell>
        </row>
        <row r="741">
          <cell r="C741" t="str">
            <v>EUVA60PPN</v>
          </cell>
          <cell r="D741" t="str">
            <v>PRINC</v>
          </cell>
          <cell r="E741" t="str">
            <v>00036</v>
          </cell>
          <cell r="F741" t="str">
            <v>MODULOS Y PASADORES</v>
          </cell>
          <cell r="G741" t="str">
            <v>PRINCIPAL</v>
          </cell>
          <cell r="H741">
            <v>46004</v>
          </cell>
          <cell r="I741" t="str">
            <v>SALDO INICIAL</v>
          </cell>
          <cell r="J741">
            <v>0</v>
          </cell>
          <cell r="K741">
            <v>0</v>
          </cell>
          <cell r="L741">
            <v>0.93075300000000005</v>
          </cell>
          <cell r="M741">
            <v>0</v>
          </cell>
          <cell r="N741" t="str">
            <v/>
          </cell>
          <cell r="O741" t="str">
            <v/>
          </cell>
          <cell r="P741" t="str">
            <v/>
          </cell>
          <cell r="Q741">
            <v>1.4</v>
          </cell>
          <cell r="R741" t="str">
            <v>MTS</v>
          </cell>
          <cell r="S741">
            <v>0</v>
          </cell>
          <cell r="T741">
            <v>0</v>
          </cell>
          <cell r="U741" t="str">
            <v/>
          </cell>
          <cell r="V741" t="str">
            <v>PRO10</v>
          </cell>
          <cell r="W741">
            <v>0</v>
          </cell>
        </row>
      </sheetData>
      <sheetData sheetId="1">
        <row r="1">
          <cell r="C1" t="str">
            <v>codproducto</v>
          </cell>
          <cell r="D1" t="str">
            <v>bod_pk</v>
          </cell>
          <cell r="E1" t="str">
            <v>lin_pk</v>
          </cell>
          <cell r="F1" t="str">
            <v>deslinea</v>
          </cell>
          <cell r="G1" t="str">
            <v>bodega</v>
          </cell>
          <cell r="H1" t="str">
            <v>fecha</v>
          </cell>
          <cell r="I1" t="str">
            <v>numcom</v>
          </cell>
          <cell r="J1" t="str">
            <v>sin_stock</v>
          </cell>
          <cell r="K1" t="str">
            <v>sin_costot</v>
          </cell>
          <cell r="L1" t="str">
            <v>sin_ultcos</v>
          </cell>
          <cell r="M1" t="str">
            <v>sin_cosuni</v>
          </cell>
          <cell r="N1" t="str">
            <v>referencia</v>
          </cell>
          <cell r="O1" t="str">
            <v>uso</v>
          </cell>
          <cell r="P1" t="str">
            <v>marca</v>
          </cell>
          <cell r="Q1" t="str">
            <v>precio</v>
          </cell>
          <cell r="R1" t="str">
            <v>unidad</v>
          </cell>
          <cell r="S1" t="str">
            <v>conver</v>
          </cell>
          <cell r="T1" t="str">
            <v>stockconv</v>
          </cell>
          <cell r="U1" t="str">
            <v>uniconv</v>
          </cell>
          <cell r="V1" t="str">
            <v>tit_pk</v>
          </cell>
          <cell r="W1" t="str">
            <v>cosuniconv</v>
          </cell>
        </row>
        <row r="2">
          <cell r="C2" t="str">
            <v>RERR1500BUP0510</v>
          </cell>
          <cell r="D2" t="str">
            <v>PRINC</v>
          </cell>
          <cell r="E2" t="str">
            <v>00001</v>
          </cell>
          <cell r="F2" t="str">
            <v>BANDAS MODULARES</v>
          </cell>
          <cell r="G2" t="str">
            <v>PRINCIPAL</v>
          </cell>
          <cell r="H2">
            <v>46004</v>
          </cell>
          <cell r="I2" t="str">
            <v>SALDO INICIAL</v>
          </cell>
          <cell r="J2">
            <v>3</v>
          </cell>
          <cell r="K2">
            <v>259.74340999999998</v>
          </cell>
          <cell r="L2">
            <v>83.198902000000004</v>
          </cell>
          <cell r="M2">
            <v>86.581136666999996</v>
          </cell>
          <cell r="N2" t="str">
            <v/>
          </cell>
          <cell r="O2" t="str">
            <v/>
          </cell>
          <cell r="P2" t="str">
            <v/>
          </cell>
          <cell r="Q2">
            <v>0</v>
          </cell>
          <cell r="R2" t="str">
            <v>MTS</v>
          </cell>
          <cell r="S2">
            <v>0</v>
          </cell>
          <cell r="T2">
            <v>0</v>
          </cell>
          <cell r="U2" t="str">
            <v/>
          </cell>
          <cell r="V2" t="str">
            <v>PRO10</v>
          </cell>
          <cell r="W2">
            <v>0</v>
          </cell>
        </row>
        <row r="3">
          <cell r="C3" t="str">
            <v>REUSPUP018</v>
          </cell>
          <cell r="D3" t="str">
            <v>PRINC</v>
          </cell>
          <cell r="E3" t="str">
            <v>00001</v>
          </cell>
          <cell r="F3" t="str">
            <v>BANDAS MODULARES</v>
          </cell>
          <cell r="G3" t="str">
            <v>PRINCIPAL</v>
          </cell>
          <cell r="H3">
            <v>46004</v>
          </cell>
          <cell r="I3" t="str">
            <v>SALDO INICIAL</v>
          </cell>
          <cell r="J3">
            <v>0.1</v>
          </cell>
          <cell r="K3">
            <v>8.3170450000000002</v>
          </cell>
          <cell r="L3">
            <v>83.170426000000006</v>
          </cell>
          <cell r="M3">
            <v>83.170450000000002</v>
          </cell>
          <cell r="N3" t="str">
            <v/>
          </cell>
          <cell r="O3" t="str">
            <v/>
          </cell>
          <cell r="P3" t="str">
            <v/>
          </cell>
          <cell r="Q3">
            <v>134.19999999999999</v>
          </cell>
          <cell r="R3" t="str">
            <v>MT</v>
          </cell>
          <cell r="S3">
            <v>0</v>
          </cell>
          <cell r="T3">
            <v>0</v>
          </cell>
          <cell r="U3" t="str">
            <v/>
          </cell>
          <cell r="V3" t="str">
            <v>PRO10</v>
          </cell>
          <cell r="W3">
            <v>0</v>
          </cell>
        </row>
        <row r="4">
          <cell r="C4" t="str">
            <v>EU50FTPPB40E2.5</v>
          </cell>
          <cell r="D4" t="str">
            <v>PRINC</v>
          </cell>
          <cell r="E4" t="str">
            <v>00001</v>
          </cell>
          <cell r="F4" t="str">
            <v>BANDAS MODULARES</v>
          </cell>
          <cell r="G4" t="str">
            <v>PRINCIPAL</v>
          </cell>
          <cell r="H4">
            <v>46004</v>
          </cell>
          <cell r="I4" t="str">
            <v>SALDO INICIAL</v>
          </cell>
          <cell r="J4">
            <v>1.8</v>
          </cell>
          <cell r="K4">
            <v>113.34909399999999</v>
          </cell>
          <cell r="L4">
            <v>62.971719</v>
          </cell>
          <cell r="M4">
            <v>62.971718889000002</v>
          </cell>
          <cell r="N4" t="str">
            <v/>
          </cell>
          <cell r="O4" t="str">
            <v/>
          </cell>
          <cell r="P4" t="str">
            <v/>
          </cell>
          <cell r="Q4">
            <v>0</v>
          </cell>
          <cell r="R4" t="str">
            <v>MT</v>
          </cell>
          <cell r="S4">
            <v>0</v>
          </cell>
          <cell r="T4">
            <v>0</v>
          </cell>
          <cell r="U4" t="str">
            <v/>
          </cell>
          <cell r="V4" t="str">
            <v>PRO10</v>
          </cell>
          <cell r="W4">
            <v>0</v>
          </cell>
        </row>
        <row r="5">
          <cell r="C5" t="str">
            <v>EUB50FTPPB44</v>
          </cell>
          <cell r="D5" t="str">
            <v>PRINC</v>
          </cell>
          <cell r="E5" t="str">
            <v>00001</v>
          </cell>
          <cell r="F5" t="str">
            <v>BANDAS MODULARES</v>
          </cell>
          <cell r="G5" t="str">
            <v>PRINCIPAL</v>
          </cell>
          <cell r="H5">
            <v>46004</v>
          </cell>
          <cell r="I5" t="str">
            <v>SALDO INICIAL</v>
          </cell>
          <cell r="J5">
            <v>-24</v>
          </cell>
          <cell r="K5">
            <v>0</v>
          </cell>
          <cell r="L5">
            <v>68.799425999999997</v>
          </cell>
          <cell r="M5">
            <v>0</v>
          </cell>
          <cell r="N5" t="str">
            <v/>
          </cell>
          <cell r="O5" t="str">
            <v/>
          </cell>
          <cell r="P5" t="str">
            <v/>
          </cell>
          <cell r="Q5">
            <v>0</v>
          </cell>
          <cell r="R5" t="str">
            <v>MT</v>
          </cell>
          <cell r="S5">
            <v>0</v>
          </cell>
          <cell r="T5">
            <v>0</v>
          </cell>
          <cell r="U5" t="str">
            <v/>
          </cell>
          <cell r="V5" t="str">
            <v>PRO10</v>
          </cell>
          <cell r="W5">
            <v>0</v>
          </cell>
        </row>
        <row r="6">
          <cell r="C6" t="str">
            <v>EUB50FTPPB60</v>
          </cell>
          <cell r="D6" t="str">
            <v>PRINC</v>
          </cell>
          <cell r="E6" t="str">
            <v>00001</v>
          </cell>
          <cell r="F6" t="str">
            <v>BANDAS MODULARES</v>
          </cell>
          <cell r="G6" t="str">
            <v>PRINCIPAL</v>
          </cell>
          <cell r="H6">
            <v>46004</v>
          </cell>
          <cell r="I6" t="str">
            <v>SALDO INICIAL</v>
          </cell>
          <cell r="J6">
            <v>7</v>
          </cell>
          <cell r="K6">
            <v>544.855143</v>
          </cell>
          <cell r="L6">
            <v>77.836449000000002</v>
          </cell>
          <cell r="M6">
            <v>77.836449000000002</v>
          </cell>
          <cell r="N6" t="str">
            <v/>
          </cell>
          <cell r="O6" t="str">
            <v/>
          </cell>
          <cell r="P6" t="str">
            <v/>
          </cell>
          <cell r="Q6">
            <v>0</v>
          </cell>
          <cell r="R6" t="str">
            <v>MTS</v>
          </cell>
          <cell r="S6">
            <v>0</v>
          </cell>
          <cell r="T6">
            <v>0</v>
          </cell>
          <cell r="U6" t="str">
            <v/>
          </cell>
          <cell r="V6" t="str">
            <v>PRO10</v>
          </cell>
          <cell r="W6">
            <v>0</v>
          </cell>
        </row>
        <row r="7">
          <cell r="C7" t="str">
            <v>EUEB50FGPPB78</v>
          </cell>
          <cell r="D7" t="str">
            <v>PRINC</v>
          </cell>
          <cell r="E7" t="str">
            <v>00001</v>
          </cell>
          <cell r="F7" t="str">
            <v>BANDAS MODULARES</v>
          </cell>
          <cell r="G7" t="str">
            <v>PRINCIPAL</v>
          </cell>
          <cell r="H7">
            <v>46004</v>
          </cell>
          <cell r="I7" t="str">
            <v>SALDO INICIAL</v>
          </cell>
          <cell r="J7">
            <v>20</v>
          </cell>
          <cell r="K7">
            <v>1532.8768600000001</v>
          </cell>
          <cell r="L7">
            <v>64.616829999999993</v>
          </cell>
          <cell r="M7">
            <v>76.643843000000004</v>
          </cell>
          <cell r="N7" t="str">
            <v/>
          </cell>
          <cell r="O7" t="str">
            <v/>
          </cell>
          <cell r="P7" t="str">
            <v/>
          </cell>
          <cell r="Q7">
            <v>0</v>
          </cell>
          <cell r="R7" t="str">
            <v>MTS</v>
          </cell>
          <cell r="S7">
            <v>0</v>
          </cell>
          <cell r="T7">
            <v>0</v>
          </cell>
          <cell r="U7" t="str">
            <v/>
          </cell>
          <cell r="V7" t="str">
            <v>PRO10</v>
          </cell>
          <cell r="W7">
            <v>0</v>
          </cell>
        </row>
        <row r="8">
          <cell r="C8" t="str">
            <v>EUC12FTPEN25</v>
          </cell>
          <cell r="D8" t="str">
            <v>PRINC</v>
          </cell>
          <cell r="E8" t="str">
            <v>00001</v>
          </cell>
          <cell r="F8" t="str">
            <v>BANDAS MODULARES</v>
          </cell>
          <cell r="G8" t="str">
            <v>PRINCIPAL</v>
          </cell>
          <cell r="H8">
            <v>46004</v>
          </cell>
          <cell r="I8" t="str">
            <v>SALDO INICIAL</v>
          </cell>
          <cell r="J8">
            <v>4.1100000000000003</v>
          </cell>
          <cell r="K8">
            <v>315.78292699999997</v>
          </cell>
          <cell r="L8">
            <v>76.832829000000004</v>
          </cell>
          <cell r="M8">
            <v>76.832828953999993</v>
          </cell>
          <cell r="N8" t="str">
            <v/>
          </cell>
          <cell r="O8" t="str">
            <v/>
          </cell>
          <cell r="P8" t="str">
            <v/>
          </cell>
          <cell r="Q8">
            <v>0</v>
          </cell>
          <cell r="R8" t="str">
            <v>MTS</v>
          </cell>
          <cell r="S8">
            <v>0</v>
          </cell>
          <cell r="T8">
            <v>0</v>
          </cell>
          <cell r="U8" t="str">
            <v/>
          </cell>
          <cell r="V8" t="str">
            <v>PRO10</v>
          </cell>
          <cell r="W8">
            <v>0</v>
          </cell>
        </row>
        <row r="9">
          <cell r="C9" t="str">
            <v>EUE30FTPPA30TF2</v>
          </cell>
          <cell r="D9" t="str">
            <v>PRINC</v>
          </cell>
          <cell r="E9" t="str">
            <v>00001</v>
          </cell>
          <cell r="F9" t="str">
            <v>BANDAS MODULARES</v>
          </cell>
          <cell r="G9" t="str">
            <v>PRINCIPAL</v>
          </cell>
          <cell r="H9">
            <v>46004</v>
          </cell>
          <cell r="I9" t="str">
            <v>SALDO INICIAL</v>
          </cell>
          <cell r="J9">
            <v>4</v>
          </cell>
          <cell r="K9">
            <v>184.109172</v>
          </cell>
          <cell r="L9">
            <v>0</v>
          </cell>
          <cell r="M9">
            <v>46.027293</v>
          </cell>
          <cell r="N9" t="str">
            <v/>
          </cell>
          <cell r="O9" t="str">
            <v/>
          </cell>
          <cell r="P9" t="str">
            <v/>
          </cell>
          <cell r="Q9">
            <v>0</v>
          </cell>
          <cell r="R9" t="str">
            <v>MT</v>
          </cell>
          <cell r="S9">
            <v>0</v>
          </cell>
          <cell r="T9">
            <v>0</v>
          </cell>
          <cell r="U9" t="str">
            <v/>
          </cell>
          <cell r="V9" t="str">
            <v>PRO10</v>
          </cell>
          <cell r="W9">
            <v>0</v>
          </cell>
        </row>
        <row r="10">
          <cell r="C10" t="str">
            <v>EUE30FTPPA40</v>
          </cell>
          <cell r="D10" t="str">
            <v>PRINC</v>
          </cell>
          <cell r="E10" t="str">
            <v>00001</v>
          </cell>
          <cell r="F10" t="str">
            <v>BANDAS MODULARES</v>
          </cell>
          <cell r="G10" t="str">
            <v>PRINCIPAL</v>
          </cell>
          <cell r="H10">
            <v>46004</v>
          </cell>
          <cell r="I10" t="str">
            <v>SALDO INICIAL</v>
          </cell>
          <cell r="J10">
            <v>-5.52</v>
          </cell>
          <cell r="K10">
            <v>-243.829444</v>
          </cell>
          <cell r="L10">
            <v>44.172001999999999</v>
          </cell>
          <cell r="M10">
            <v>44.172000724999997</v>
          </cell>
          <cell r="N10" t="str">
            <v/>
          </cell>
          <cell r="O10" t="str">
            <v/>
          </cell>
          <cell r="P10" t="str">
            <v/>
          </cell>
          <cell r="Q10">
            <v>0</v>
          </cell>
          <cell r="R10" t="str">
            <v>MTS</v>
          </cell>
          <cell r="S10">
            <v>0</v>
          </cell>
          <cell r="T10">
            <v>0</v>
          </cell>
          <cell r="U10" t="str">
            <v/>
          </cell>
          <cell r="V10" t="str">
            <v>PRO10</v>
          </cell>
          <cell r="W10">
            <v>0</v>
          </cell>
        </row>
        <row r="11">
          <cell r="C11" t="str">
            <v>EUE30FTPPB30MFF</v>
          </cell>
          <cell r="D11" t="str">
            <v>PRINC</v>
          </cell>
          <cell r="E11" t="str">
            <v>00001</v>
          </cell>
          <cell r="F11" t="str">
            <v>BANDAS MODULARES</v>
          </cell>
          <cell r="G11" t="str">
            <v>PRINCIPAL</v>
          </cell>
          <cell r="H11">
            <v>46004</v>
          </cell>
          <cell r="I11" t="str">
            <v>SALDO INICIAL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/>
          </cell>
          <cell r="O11" t="str">
            <v/>
          </cell>
          <cell r="P11" t="str">
            <v/>
          </cell>
          <cell r="Q11">
            <v>0</v>
          </cell>
          <cell r="R11" t="str">
            <v>MT</v>
          </cell>
          <cell r="S11">
            <v>0</v>
          </cell>
          <cell r="T11">
            <v>0</v>
          </cell>
          <cell r="U11" t="str">
            <v/>
          </cell>
          <cell r="V11" t="str">
            <v>PRO10</v>
          </cell>
          <cell r="W11">
            <v>0</v>
          </cell>
        </row>
        <row r="12">
          <cell r="C12" t="str">
            <v>EUE30FTPPB44</v>
          </cell>
          <cell r="D12" t="str">
            <v>PRINC</v>
          </cell>
          <cell r="E12" t="str">
            <v>00001</v>
          </cell>
          <cell r="F12" t="str">
            <v>BANDAS MODULARES</v>
          </cell>
          <cell r="G12" t="str">
            <v>PRINCIPAL</v>
          </cell>
          <cell r="H12">
            <v>46004</v>
          </cell>
          <cell r="I12" t="str">
            <v>SALDO INICIAL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/>
          </cell>
          <cell r="O12" t="str">
            <v/>
          </cell>
          <cell r="P12" t="str">
            <v/>
          </cell>
          <cell r="Q12">
            <v>0</v>
          </cell>
          <cell r="R12" t="str">
            <v>MTS</v>
          </cell>
          <cell r="S12">
            <v>0</v>
          </cell>
          <cell r="T12">
            <v>0</v>
          </cell>
          <cell r="U12" t="str">
            <v/>
          </cell>
          <cell r="V12" t="str">
            <v>PRO10</v>
          </cell>
          <cell r="W12">
            <v>0</v>
          </cell>
        </row>
        <row r="13">
          <cell r="C13" t="str">
            <v>EUE30FTPPB65E7.</v>
          </cell>
          <cell r="D13" t="str">
            <v>PRINC</v>
          </cell>
          <cell r="E13" t="str">
            <v>00001</v>
          </cell>
          <cell r="F13" t="str">
            <v>BANDAS MODULARES</v>
          </cell>
          <cell r="G13" t="str">
            <v>PRINCIPAL</v>
          </cell>
          <cell r="H13">
            <v>46004</v>
          </cell>
          <cell r="I13" t="str">
            <v>SALDO INICIAL</v>
          </cell>
          <cell r="J13">
            <v>-5.01</v>
          </cell>
          <cell r="K13">
            <v>0</v>
          </cell>
          <cell r="L13">
            <v>0</v>
          </cell>
          <cell r="M13">
            <v>0</v>
          </cell>
          <cell r="N13" t="str">
            <v/>
          </cell>
          <cell r="O13" t="str">
            <v/>
          </cell>
          <cell r="P13" t="str">
            <v/>
          </cell>
          <cell r="Q13">
            <v>0</v>
          </cell>
          <cell r="R13" t="str">
            <v>MT</v>
          </cell>
          <cell r="S13">
            <v>0</v>
          </cell>
          <cell r="T13">
            <v>0</v>
          </cell>
          <cell r="U13" t="str">
            <v/>
          </cell>
          <cell r="V13" t="str">
            <v>PRO10</v>
          </cell>
          <cell r="W13">
            <v>0</v>
          </cell>
        </row>
        <row r="14">
          <cell r="C14" t="str">
            <v>EUE30FGACA12</v>
          </cell>
          <cell r="D14" t="str">
            <v>PRINC</v>
          </cell>
          <cell r="E14" t="str">
            <v>00001</v>
          </cell>
          <cell r="F14" t="str">
            <v>BANDAS MODULARES</v>
          </cell>
          <cell r="G14" t="str">
            <v>PRINCIPAL</v>
          </cell>
          <cell r="H14">
            <v>46004</v>
          </cell>
          <cell r="I14" t="str">
            <v>SALDO INICIAL</v>
          </cell>
          <cell r="J14">
            <v>60</v>
          </cell>
          <cell r="K14">
            <v>2384.9392800000001</v>
          </cell>
          <cell r="L14">
            <v>33.210647000000002</v>
          </cell>
          <cell r="M14">
            <v>39.748987999999997</v>
          </cell>
          <cell r="N14" t="str">
            <v/>
          </cell>
          <cell r="O14" t="str">
            <v/>
          </cell>
          <cell r="P14" t="str">
            <v/>
          </cell>
          <cell r="Q14">
            <v>0</v>
          </cell>
          <cell r="R14" t="str">
            <v>MTS</v>
          </cell>
          <cell r="S14">
            <v>0</v>
          </cell>
          <cell r="T14">
            <v>0</v>
          </cell>
          <cell r="U14" t="str">
            <v/>
          </cell>
          <cell r="V14" t="str">
            <v>PRO10</v>
          </cell>
          <cell r="W14">
            <v>0</v>
          </cell>
        </row>
        <row r="15">
          <cell r="C15" t="str">
            <v>EUE30FGPPA25</v>
          </cell>
          <cell r="D15" t="str">
            <v>PRINC</v>
          </cell>
          <cell r="E15" t="str">
            <v>00001</v>
          </cell>
          <cell r="F15" t="str">
            <v>BANDAS MODULARES</v>
          </cell>
          <cell r="G15" t="str">
            <v>PRINCIPAL</v>
          </cell>
          <cell r="H15">
            <v>46004</v>
          </cell>
          <cell r="I15" t="str">
            <v>SALDO INICIAL</v>
          </cell>
          <cell r="J15">
            <v>60</v>
          </cell>
          <cell r="K15">
            <v>1842.1002000000001</v>
          </cell>
          <cell r="L15">
            <v>23.956726</v>
          </cell>
          <cell r="M15">
            <v>30.70167</v>
          </cell>
          <cell r="N15" t="str">
            <v/>
          </cell>
          <cell r="O15" t="str">
            <v/>
          </cell>
          <cell r="P15" t="str">
            <v/>
          </cell>
          <cell r="Q15">
            <v>0</v>
          </cell>
          <cell r="R15" t="str">
            <v>MTS</v>
          </cell>
          <cell r="S15">
            <v>0</v>
          </cell>
          <cell r="T15">
            <v>0</v>
          </cell>
          <cell r="U15" t="str">
            <v/>
          </cell>
          <cell r="V15" t="str">
            <v>PRO10</v>
          </cell>
          <cell r="W15">
            <v>0</v>
          </cell>
        </row>
        <row r="16">
          <cell r="C16" t="str">
            <v>EUE30FGPPA30</v>
          </cell>
          <cell r="D16" t="str">
            <v>PRINC</v>
          </cell>
          <cell r="E16" t="str">
            <v>00001</v>
          </cell>
          <cell r="F16" t="str">
            <v>BANDAS MODULARES</v>
          </cell>
          <cell r="G16" t="str">
            <v>PRINCIPAL</v>
          </cell>
          <cell r="H16">
            <v>46004</v>
          </cell>
          <cell r="I16" t="str">
            <v>SALDO INICIAL</v>
          </cell>
          <cell r="J16">
            <v>50</v>
          </cell>
          <cell r="K16">
            <v>1551.8670999999999</v>
          </cell>
          <cell r="L16">
            <v>27.530951000000002</v>
          </cell>
          <cell r="M16">
            <v>31.037341999999999</v>
          </cell>
          <cell r="N16" t="str">
            <v/>
          </cell>
          <cell r="O16" t="str">
            <v/>
          </cell>
          <cell r="P16" t="str">
            <v/>
          </cell>
          <cell r="Q16">
            <v>0</v>
          </cell>
          <cell r="R16" t="str">
            <v>MTS</v>
          </cell>
          <cell r="S16">
            <v>0</v>
          </cell>
          <cell r="T16">
            <v>0</v>
          </cell>
          <cell r="U16" t="str">
            <v/>
          </cell>
          <cell r="V16" t="str">
            <v>PRO10</v>
          </cell>
          <cell r="W16">
            <v>0</v>
          </cell>
        </row>
        <row r="17">
          <cell r="C17" t="str">
            <v>EUE30FGPPA50</v>
          </cell>
          <cell r="D17" t="str">
            <v>PRINC</v>
          </cell>
          <cell r="E17" t="str">
            <v>00001</v>
          </cell>
          <cell r="F17" t="str">
            <v>BANDAS MODULARES</v>
          </cell>
          <cell r="G17" t="str">
            <v>PRINCIPAL</v>
          </cell>
          <cell r="H17">
            <v>46004</v>
          </cell>
          <cell r="I17" t="str">
            <v>SALDO INICIAL</v>
          </cell>
          <cell r="J17">
            <v>16</v>
          </cell>
          <cell r="K17">
            <v>658.44512399999996</v>
          </cell>
          <cell r="L17">
            <v>41.152819999999998</v>
          </cell>
          <cell r="M17">
            <v>41.152820249999998</v>
          </cell>
          <cell r="N17" t="str">
            <v/>
          </cell>
          <cell r="O17" t="str">
            <v/>
          </cell>
          <cell r="P17" t="str">
            <v/>
          </cell>
          <cell r="Q17">
            <v>0</v>
          </cell>
          <cell r="R17" t="str">
            <v>MTS</v>
          </cell>
          <cell r="S17">
            <v>0</v>
          </cell>
          <cell r="T17">
            <v>0</v>
          </cell>
          <cell r="U17" t="str">
            <v/>
          </cell>
          <cell r="V17" t="str">
            <v>PRO10</v>
          </cell>
          <cell r="W17">
            <v>0</v>
          </cell>
        </row>
        <row r="18">
          <cell r="C18" t="str">
            <v>EUE30FGPPA78</v>
          </cell>
          <cell r="D18" t="str">
            <v>PRINC</v>
          </cell>
          <cell r="E18" t="str">
            <v>00001</v>
          </cell>
          <cell r="F18" t="str">
            <v>BANDAS MODULARES</v>
          </cell>
          <cell r="G18" t="str">
            <v>PRINCIPAL</v>
          </cell>
          <cell r="H18">
            <v>46004</v>
          </cell>
          <cell r="I18" t="str">
            <v>SALDO INICIAL</v>
          </cell>
          <cell r="J18">
            <v>-2.2000000000000002</v>
          </cell>
          <cell r="K18">
            <v>0</v>
          </cell>
          <cell r="L18">
            <v>0</v>
          </cell>
          <cell r="M18">
            <v>0</v>
          </cell>
          <cell r="N18" t="str">
            <v/>
          </cell>
          <cell r="O18" t="str">
            <v/>
          </cell>
          <cell r="P18" t="str">
            <v/>
          </cell>
          <cell r="Q18">
            <v>0</v>
          </cell>
          <cell r="R18" t="str">
            <v>MT</v>
          </cell>
          <cell r="S18">
            <v>0</v>
          </cell>
          <cell r="T18">
            <v>0</v>
          </cell>
          <cell r="U18" t="str">
            <v/>
          </cell>
          <cell r="V18" t="str">
            <v>PRO10</v>
          </cell>
          <cell r="W18">
            <v>0</v>
          </cell>
        </row>
        <row r="19">
          <cell r="C19" t="str">
            <v>EUE30FGPPB25</v>
          </cell>
          <cell r="D19" t="str">
            <v>PRINC</v>
          </cell>
          <cell r="E19" t="str">
            <v>00001</v>
          </cell>
          <cell r="F19" t="str">
            <v>BANDAS MODULARES</v>
          </cell>
          <cell r="G19" t="str">
            <v>PRINCIPAL</v>
          </cell>
          <cell r="H19">
            <v>46004</v>
          </cell>
          <cell r="I19" t="str">
            <v>SALDO INICIAL</v>
          </cell>
          <cell r="J19">
            <v>93.43</v>
          </cell>
          <cell r="K19">
            <v>2062.1719370000001</v>
          </cell>
          <cell r="L19">
            <v>20.848495</v>
          </cell>
          <cell r="M19">
            <v>22.071839206</v>
          </cell>
          <cell r="N19" t="str">
            <v/>
          </cell>
          <cell r="O19" t="str">
            <v/>
          </cell>
          <cell r="P19" t="str">
            <v/>
          </cell>
          <cell r="Q19">
            <v>0</v>
          </cell>
          <cell r="R19" t="str">
            <v>MTS</v>
          </cell>
          <cell r="S19">
            <v>0</v>
          </cell>
          <cell r="T19">
            <v>0</v>
          </cell>
          <cell r="U19" t="str">
            <v/>
          </cell>
          <cell r="V19" t="str">
            <v>PRO10</v>
          </cell>
          <cell r="W19">
            <v>0</v>
          </cell>
        </row>
        <row r="20">
          <cell r="C20" t="str">
            <v>EUE30FGPPB30</v>
          </cell>
          <cell r="D20" t="str">
            <v>PRINC</v>
          </cell>
          <cell r="E20" t="str">
            <v>00001</v>
          </cell>
          <cell r="F20" t="str">
            <v>BANDAS MODULARES</v>
          </cell>
          <cell r="G20" t="str">
            <v>PRINCIPAL</v>
          </cell>
          <cell r="H20">
            <v>46004</v>
          </cell>
          <cell r="I20" t="str">
            <v>SALDO INICIAL</v>
          </cell>
          <cell r="J20">
            <v>20</v>
          </cell>
          <cell r="K20">
            <v>507.67568299999999</v>
          </cell>
          <cell r="L20">
            <v>25.383783999999999</v>
          </cell>
          <cell r="M20">
            <v>25.38378415</v>
          </cell>
          <cell r="N20" t="str">
            <v/>
          </cell>
          <cell r="O20" t="str">
            <v/>
          </cell>
          <cell r="P20" t="str">
            <v/>
          </cell>
          <cell r="Q20">
            <v>0</v>
          </cell>
          <cell r="R20" t="str">
            <v>MTS</v>
          </cell>
          <cell r="S20">
            <v>0</v>
          </cell>
          <cell r="T20">
            <v>0</v>
          </cell>
          <cell r="U20" t="str">
            <v/>
          </cell>
          <cell r="V20" t="str">
            <v>PRO10</v>
          </cell>
          <cell r="W20">
            <v>0</v>
          </cell>
        </row>
        <row r="21">
          <cell r="C21" t="str">
            <v>EUE30FGPPB39</v>
          </cell>
          <cell r="D21" t="str">
            <v>PRINC</v>
          </cell>
          <cell r="E21" t="str">
            <v>00001</v>
          </cell>
          <cell r="F21" t="str">
            <v>BANDAS MODULARES</v>
          </cell>
          <cell r="G21" t="str">
            <v>PRINCIPAL</v>
          </cell>
          <cell r="H21">
            <v>46004</v>
          </cell>
          <cell r="I21" t="str">
            <v>SALDO INICIAL</v>
          </cell>
          <cell r="J21">
            <v>-0.01</v>
          </cell>
          <cell r="K21">
            <v>-0.33031700000000003</v>
          </cell>
          <cell r="L21">
            <v>0</v>
          </cell>
          <cell r="M21">
            <v>33.031700000000001</v>
          </cell>
          <cell r="N21" t="str">
            <v/>
          </cell>
          <cell r="O21" t="str">
            <v/>
          </cell>
          <cell r="P21" t="str">
            <v/>
          </cell>
          <cell r="Q21">
            <v>0</v>
          </cell>
          <cell r="R21" t="str">
            <v>MT</v>
          </cell>
          <cell r="S21">
            <v>0</v>
          </cell>
          <cell r="T21">
            <v>0</v>
          </cell>
          <cell r="U21" t="str">
            <v/>
          </cell>
          <cell r="V21" t="str">
            <v>PRO10</v>
          </cell>
          <cell r="W21">
            <v>0</v>
          </cell>
        </row>
        <row r="22">
          <cell r="C22" t="str">
            <v>EUE30FYOGPPB120</v>
          </cell>
          <cell r="D22" t="str">
            <v>PRINC</v>
          </cell>
          <cell r="E22" t="str">
            <v>00001</v>
          </cell>
          <cell r="F22" t="str">
            <v>BANDAS MODULARES</v>
          </cell>
          <cell r="G22" t="str">
            <v>PRINCIPAL</v>
          </cell>
          <cell r="H22">
            <v>46004</v>
          </cell>
          <cell r="I22" t="str">
            <v>SALDO INICIAL</v>
          </cell>
          <cell r="J22">
            <v>5.01</v>
          </cell>
          <cell r="K22">
            <v>634.75059199999998</v>
          </cell>
          <cell r="L22">
            <v>124.196465</v>
          </cell>
          <cell r="M22">
            <v>126.69672495</v>
          </cell>
          <cell r="N22" t="str">
            <v/>
          </cell>
          <cell r="O22" t="str">
            <v/>
          </cell>
          <cell r="P22" t="str">
            <v/>
          </cell>
          <cell r="Q22">
            <v>0</v>
          </cell>
          <cell r="R22" t="str">
            <v>MTS</v>
          </cell>
          <cell r="S22">
            <v>0</v>
          </cell>
          <cell r="T22">
            <v>0</v>
          </cell>
          <cell r="U22" t="str">
            <v/>
          </cell>
          <cell r="V22" t="str">
            <v>PRO10</v>
          </cell>
          <cell r="W22">
            <v>0</v>
          </cell>
        </row>
        <row r="23">
          <cell r="C23" t="str">
            <v>EUE50FTPPB46</v>
          </cell>
          <cell r="D23" t="str">
            <v>PRINC</v>
          </cell>
          <cell r="E23" t="str">
            <v>00001</v>
          </cell>
          <cell r="F23" t="str">
            <v>BANDAS MODULARES</v>
          </cell>
          <cell r="G23" t="str">
            <v>PRINCIPAL</v>
          </cell>
          <cell r="H23">
            <v>46004</v>
          </cell>
          <cell r="I23" t="str">
            <v>SALDO INICIAL</v>
          </cell>
          <cell r="J23">
            <v>3</v>
          </cell>
          <cell r="K23">
            <v>399.81810000000002</v>
          </cell>
          <cell r="L23">
            <v>0</v>
          </cell>
          <cell r="M23">
            <v>133.27269999999999</v>
          </cell>
          <cell r="N23" t="str">
            <v/>
          </cell>
          <cell r="O23" t="str">
            <v/>
          </cell>
          <cell r="P23" t="str">
            <v/>
          </cell>
          <cell r="Q23">
            <v>0</v>
          </cell>
          <cell r="R23" t="str">
            <v>MTS</v>
          </cell>
          <cell r="S23">
            <v>0</v>
          </cell>
          <cell r="T23">
            <v>0</v>
          </cell>
          <cell r="U23" t="str">
            <v/>
          </cell>
          <cell r="V23" t="str">
            <v>PRO10</v>
          </cell>
          <cell r="W23">
            <v>0</v>
          </cell>
        </row>
        <row r="24">
          <cell r="C24" t="str">
            <v>EUE925FGPPA36</v>
          </cell>
          <cell r="D24" t="str">
            <v>PRINC</v>
          </cell>
          <cell r="E24" t="str">
            <v>00001</v>
          </cell>
          <cell r="F24" t="str">
            <v>BANDAS MODULARES</v>
          </cell>
          <cell r="G24" t="str">
            <v>PRINCIPAL</v>
          </cell>
          <cell r="H24">
            <v>46004</v>
          </cell>
          <cell r="I24" t="str">
            <v>SALDO INICIAL</v>
          </cell>
          <cell r="J24">
            <v>2</v>
          </cell>
          <cell r="K24">
            <v>140.761966</v>
          </cell>
          <cell r="L24">
            <v>70.380983000000001</v>
          </cell>
          <cell r="M24">
            <v>70.380983000000001</v>
          </cell>
          <cell r="N24" t="str">
            <v/>
          </cell>
          <cell r="O24" t="str">
            <v/>
          </cell>
          <cell r="P24" t="str">
            <v/>
          </cell>
          <cell r="Q24">
            <v>0</v>
          </cell>
          <cell r="R24" t="str">
            <v>MT</v>
          </cell>
          <cell r="S24">
            <v>0</v>
          </cell>
          <cell r="T24">
            <v>0</v>
          </cell>
          <cell r="U24" t="str">
            <v/>
          </cell>
          <cell r="V24" t="str">
            <v>PRO10</v>
          </cell>
          <cell r="W24">
            <v>0</v>
          </cell>
        </row>
        <row r="25">
          <cell r="C25" t="str">
            <v>EUE925FGPPB36</v>
          </cell>
          <cell r="D25" t="str">
            <v>PRINC</v>
          </cell>
          <cell r="E25" t="str">
            <v>00001</v>
          </cell>
          <cell r="F25" t="str">
            <v>BANDAS MODULARES</v>
          </cell>
          <cell r="G25" t="str">
            <v>PRINCIPAL</v>
          </cell>
          <cell r="H25">
            <v>46004</v>
          </cell>
          <cell r="I25" t="str">
            <v>SALDO INICIAL</v>
          </cell>
          <cell r="J25">
            <v>1</v>
          </cell>
          <cell r="K25">
            <v>46.359479999999998</v>
          </cell>
          <cell r="L25">
            <v>0</v>
          </cell>
          <cell r="M25">
            <v>46.359479999999998</v>
          </cell>
          <cell r="N25" t="str">
            <v/>
          </cell>
          <cell r="O25" t="str">
            <v/>
          </cell>
          <cell r="P25" t="str">
            <v/>
          </cell>
          <cell r="Q25">
            <v>0</v>
          </cell>
          <cell r="R25" t="str">
            <v>MT</v>
          </cell>
          <cell r="S25">
            <v>0</v>
          </cell>
          <cell r="T25">
            <v>0</v>
          </cell>
          <cell r="U25" t="str">
            <v/>
          </cell>
          <cell r="V25" t="str">
            <v>PRO10</v>
          </cell>
          <cell r="W25">
            <v>0</v>
          </cell>
        </row>
        <row r="26">
          <cell r="C26" t="str">
            <v>EUE93FGPPA50</v>
          </cell>
          <cell r="D26" t="str">
            <v>PRINC</v>
          </cell>
          <cell r="E26" t="str">
            <v>00001</v>
          </cell>
          <cell r="F26" t="str">
            <v>BANDAS MODULARES</v>
          </cell>
          <cell r="G26" t="str">
            <v>PRINCIPAL</v>
          </cell>
          <cell r="H26">
            <v>46004</v>
          </cell>
          <cell r="I26" t="str">
            <v>SALDO INICIAL</v>
          </cell>
          <cell r="J26">
            <v>9</v>
          </cell>
          <cell r="K26">
            <v>726.07171500000004</v>
          </cell>
          <cell r="L26">
            <v>81.192069000000004</v>
          </cell>
          <cell r="M26">
            <v>80.674634999999995</v>
          </cell>
          <cell r="N26" t="str">
            <v/>
          </cell>
          <cell r="O26" t="str">
            <v/>
          </cell>
          <cell r="P26" t="str">
            <v/>
          </cell>
          <cell r="Q26">
            <v>0</v>
          </cell>
          <cell r="R26" t="str">
            <v>MT</v>
          </cell>
          <cell r="S26">
            <v>0</v>
          </cell>
          <cell r="T26">
            <v>0</v>
          </cell>
          <cell r="U26" t="str">
            <v/>
          </cell>
          <cell r="V26" t="str">
            <v>PRO10</v>
          </cell>
          <cell r="W26">
            <v>0</v>
          </cell>
        </row>
        <row r="27">
          <cell r="C27" t="str">
            <v>EU9260ACAA</v>
          </cell>
          <cell r="D27" t="str">
            <v>PRINC</v>
          </cell>
          <cell r="E27" t="str">
            <v>00001</v>
          </cell>
          <cell r="F27" t="str">
            <v>BANDAS MODULARES</v>
          </cell>
          <cell r="G27" t="str">
            <v>PRINCIPAL</v>
          </cell>
          <cell r="H27">
            <v>46004</v>
          </cell>
          <cell r="I27" t="str">
            <v>SALDO INICIAL</v>
          </cell>
          <cell r="J27">
            <v>120</v>
          </cell>
          <cell r="K27">
            <v>10.357200000000001</v>
          </cell>
          <cell r="L27">
            <v>8.6309999999999998E-2</v>
          </cell>
          <cell r="M27">
            <v>8.6309999999999998E-2</v>
          </cell>
          <cell r="N27" t="str">
            <v/>
          </cell>
          <cell r="O27" t="str">
            <v/>
          </cell>
          <cell r="P27" t="str">
            <v/>
          </cell>
          <cell r="Q27">
            <v>0</v>
          </cell>
          <cell r="R27" t="str">
            <v>UND</v>
          </cell>
          <cell r="S27">
            <v>0</v>
          </cell>
          <cell r="T27">
            <v>0</v>
          </cell>
          <cell r="U27" t="str">
            <v/>
          </cell>
          <cell r="V27" t="str">
            <v>PRO10</v>
          </cell>
          <cell r="W27">
            <v>0</v>
          </cell>
        </row>
        <row r="28">
          <cell r="C28" t="str">
            <v>EU9260ACB</v>
          </cell>
          <cell r="D28" t="str">
            <v>PRINC</v>
          </cell>
          <cell r="E28" t="str">
            <v>00001</v>
          </cell>
          <cell r="F28" t="str">
            <v>BANDAS MODULARES</v>
          </cell>
          <cell r="G28" t="str">
            <v>PRINCIPAL</v>
          </cell>
          <cell r="H28">
            <v>46004</v>
          </cell>
          <cell r="I28" t="str">
            <v>SALDO INICIAL</v>
          </cell>
          <cell r="J28">
            <v>9990</v>
          </cell>
          <cell r="K28">
            <v>628.44817999999998</v>
          </cell>
          <cell r="L28">
            <v>6.2908000000000006E-2</v>
          </cell>
          <cell r="M28">
            <v>6.2907725999999997E-2</v>
          </cell>
          <cell r="N28" t="str">
            <v/>
          </cell>
          <cell r="O28" t="str">
            <v/>
          </cell>
          <cell r="P28" t="str">
            <v/>
          </cell>
          <cell r="Q28">
            <v>0</v>
          </cell>
          <cell r="R28" t="str">
            <v>UND</v>
          </cell>
          <cell r="S28">
            <v>0</v>
          </cell>
          <cell r="T28">
            <v>0</v>
          </cell>
          <cell r="U28" t="str">
            <v/>
          </cell>
          <cell r="V28" t="str">
            <v>PRO10</v>
          </cell>
          <cell r="W28">
            <v>0</v>
          </cell>
        </row>
        <row r="29">
          <cell r="C29" t="str">
            <v>EU9380ACA</v>
          </cell>
          <cell r="D29" t="str">
            <v>PRINC</v>
          </cell>
          <cell r="E29" t="str">
            <v>00001</v>
          </cell>
          <cell r="F29" t="str">
            <v>BANDAS MODULARES</v>
          </cell>
          <cell r="G29" t="str">
            <v>PRINCIPAL</v>
          </cell>
          <cell r="H29">
            <v>46004</v>
          </cell>
          <cell r="I29" t="str">
            <v>SALDO INICIAL</v>
          </cell>
          <cell r="J29">
            <v>7126</v>
          </cell>
          <cell r="K29">
            <v>473.16796699999998</v>
          </cell>
          <cell r="L29">
            <v>6.2043000000000001E-2</v>
          </cell>
          <cell r="M29">
            <v>6.6400219999999996E-2</v>
          </cell>
          <cell r="N29" t="str">
            <v/>
          </cell>
          <cell r="O29" t="str">
            <v/>
          </cell>
          <cell r="P29" t="str">
            <v/>
          </cell>
          <cell r="Q29">
            <v>0</v>
          </cell>
          <cell r="R29" t="str">
            <v>UND</v>
          </cell>
          <cell r="S29">
            <v>0</v>
          </cell>
          <cell r="T29">
            <v>0</v>
          </cell>
          <cell r="U29" t="str">
            <v/>
          </cell>
          <cell r="V29" t="str">
            <v>PRO10</v>
          </cell>
          <cell r="W29">
            <v>0</v>
          </cell>
        </row>
        <row r="30">
          <cell r="C30" t="str">
            <v>EU9380ACB</v>
          </cell>
          <cell r="D30" t="str">
            <v>PRINC</v>
          </cell>
          <cell r="E30" t="str">
            <v>00001</v>
          </cell>
          <cell r="F30" t="str">
            <v>BANDAS MODULARES</v>
          </cell>
          <cell r="G30" t="str">
            <v>PRINCIPAL</v>
          </cell>
          <cell r="H30">
            <v>46004</v>
          </cell>
          <cell r="I30" t="str">
            <v>SALDO INICIAL</v>
          </cell>
          <cell r="J30">
            <v>4964</v>
          </cell>
          <cell r="K30">
            <v>427.21653099999997</v>
          </cell>
          <cell r="L30">
            <v>8.3391000000000007E-2</v>
          </cell>
          <cell r="M30">
            <v>8.6062959999999994E-2</v>
          </cell>
          <cell r="N30" t="str">
            <v/>
          </cell>
          <cell r="O30" t="str">
            <v/>
          </cell>
          <cell r="P30" t="str">
            <v/>
          </cell>
          <cell r="Q30">
            <v>0</v>
          </cell>
          <cell r="R30" t="str">
            <v>UND</v>
          </cell>
          <cell r="S30">
            <v>0</v>
          </cell>
          <cell r="T30">
            <v>0</v>
          </cell>
          <cell r="U30" t="str">
            <v/>
          </cell>
          <cell r="V30" t="str">
            <v>PRO10</v>
          </cell>
          <cell r="W30">
            <v>0</v>
          </cell>
        </row>
        <row r="31">
          <cell r="C31" t="str">
            <v>EU9380PPA</v>
          </cell>
          <cell r="D31" t="str">
            <v>PRINC</v>
          </cell>
          <cell r="E31" t="str">
            <v>00001</v>
          </cell>
          <cell r="F31" t="str">
            <v>BANDAS MODULARES</v>
          </cell>
          <cell r="G31" t="str">
            <v>PRINCIPAL</v>
          </cell>
          <cell r="H31">
            <v>46004</v>
          </cell>
          <cell r="I31" t="str">
            <v>SALDO INICIAL</v>
          </cell>
          <cell r="J31">
            <v>3430</v>
          </cell>
          <cell r="K31">
            <v>217.31682699999999</v>
          </cell>
          <cell r="L31">
            <v>6.6220000000000001E-2</v>
          </cell>
          <cell r="M31">
            <v>6.3357676000000002E-2</v>
          </cell>
          <cell r="N31" t="str">
            <v/>
          </cell>
          <cell r="O31" t="str">
            <v/>
          </cell>
          <cell r="P31" t="str">
            <v/>
          </cell>
          <cell r="Q31">
            <v>0</v>
          </cell>
          <cell r="R31" t="str">
            <v>UND</v>
          </cell>
          <cell r="S31">
            <v>0</v>
          </cell>
          <cell r="T31">
            <v>0</v>
          </cell>
          <cell r="U31" t="str">
            <v/>
          </cell>
          <cell r="V31" t="str">
            <v>PRO10</v>
          </cell>
          <cell r="W31">
            <v>0</v>
          </cell>
        </row>
        <row r="32">
          <cell r="C32" t="str">
            <v>EUE30SG50PPA0</v>
          </cell>
          <cell r="D32" t="str">
            <v>PRINC</v>
          </cell>
          <cell r="E32" t="str">
            <v>00001</v>
          </cell>
          <cell r="F32" t="str">
            <v>BANDAS MODULARES</v>
          </cell>
          <cell r="G32" t="str">
            <v>PRINCIPAL</v>
          </cell>
          <cell r="H32">
            <v>46004</v>
          </cell>
          <cell r="I32" t="str">
            <v>SALDO INICIAL</v>
          </cell>
          <cell r="J32">
            <v>150</v>
          </cell>
          <cell r="K32">
            <v>208.215</v>
          </cell>
          <cell r="L32">
            <v>1.3880999999999999</v>
          </cell>
          <cell r="M32">
            <v>1.3880999999999999</v>
          </cell>
          <cell r="N32" t="str">
            <v/>
          </cell>
          <cell r="O32" t="str">
            <v/>
          </cell>
          <cell r="P32" t="str">
            <v/>
          </cell>
          <cell r="Q32">
            <v>2.2000000000000002</v>
          </cell>
          <cell r="R32" t="str">
            <v>UND</v>
          </cell>
          <cell r="S32">
            <v>0</v>
          </cell>
          <cell r="T32">
            <v>0</v>
          </cell>
          <cell r="U32" t="str">
            <v/>
          </cell>
          <cell r="V32" t="str">
            <v>PRO10</v>
          </cell>
          <cell r="W32">
            <v>0</v>
          </cell>
        </row>
        <row r="33">
          <cell r="C33" t="str">
            <v>EUE30SG50PPB0</v>
          </cell>
          <cell r="D33" t="str">
            <v>PRINC</v>
          </cell>
          <cell r="E33" t="str">
            <v>00001</v>
          </cell>
          <cell r="F33" t="str">
            <v>BANDAS MODULARES</v>
          </cell>
          <cell r="G33" t="str">
            <v>PRINCIPAL</v>
          </cell>
          <cell r="H33">
            <v>46004</v>
          </cell>
          <cell r="I33" t="str">
            <v>SALDO INICIAL</v>
          </cell>
          <cell r="J33">
            <v>77</v>
          </cell>
          <cell r="K33">
            <v>45.055059</v>
          </cell>
          <cell r="L33">
            <v>0.58513599999999999</v>
          </cell>
          <cell r="M33">
            <v>0.58513063600000004</v>
          </cell>
          <cell r="N33" t="str">
            <v/>
          </cell>
          <cell r="O33" t="str">
            <v/>
          </cell>
          <cell r="P33" t="str">
            <v/>
          </cell>
          <cell r="Q33">
            <v>1.7</v>
          </cell>
          <cell r="R33" t="str">
            <v>UND</v>
          </cell>
          <cell r="S33">
            <v>0</v>
          </cell>
          <cell r="T33">
            <v>0</v>
          </cell>
          <cell r="U33" t="str">
            <v/>
          </cell>
          <cell r="V33" t="str">
            <v>PRO10</v>
          </cell>
          <cell r="W33">
            <v>0</v>
          </cell>
        </row>
        <row r="34">
          <cell r="C34" t="str">
            <v>EUE50SG100PPB0</v>
          </cell>
          <cell r="D34" t="str">
            <v>PRINC</v>
          </cell>
          <cell r="E34" t="str">
            <v>00001</v>
          </cell>
          <cell r="F34" t="str">
            <v>BANDAS MODULARES</v>
          </cell>
          <cell r="G34" t="str">
            <v>PRINCIPAL</v>
          </cell>
          <cell r="H34">
            <v>46004</v>
          </cell>
          <cell r="I34" t="str">
            <v>SALDO INICIAL</v>
          </cell>
          <cell r="J34">
            <v>191</v>
          </cell>
          <cell r="K34">
            <v>292.95142800000002</v>
          </cell>
          <cell r="L34">
            <v>1.346519</v>
          </cell>
          <cell r="M34">
            <v>1.5337771099999999</v>
          </cell>
          <cell r="N34" t="str">
            <v/>
          </cell>
          <cell r="O34" t="str">
            <v/>
          </cell>
          <cell r="P34" t="str">
            <v/>
          </cell>
          <cell r="Q34">
            <v>4.2</v>
          </cell>
          <cell r="R34" t="str">
            <v>UND</v>
          </cell>
          <cell r="S34">
            <v>0</v>
          </cell>
          <cell r="T34">
            <v>0</v>
          </cell>
          <cell r="U34" t="str">
            <v/>
          </cell>
          <cell r="V34" t="str">
            <v>PRO10</v>
          </cell>
          <cell r="W34">
            <v>0</v>
          </cell>
        </row>
        <row r="35">
          <cell r="C35" t="str">
            <v>UNGLMPBPP4LF</v>
          </cell>
          <cell r="D35" t="str">
            <v>PRINC</v>
          </cell>
          <cell r="E35" t="str">
            <v>00001</v>
          </cell>
          <cell r="F35" t="str">
            <v>BANDAS MODULARES</v>
          </cell>
          <cell r="G35" t="str">
            <v>PRINCIPAL</v>
          </cell>
          <cell r="H35">
            <v>46004</v>
          </cell>
          <cell r="I35" t="str">
            <v>SALDO INICIAL</v>
          </cell>
          <cell r="J35">
            <v>58</v>
          </cell>
          <cell r="K35">
            <v>81.907600000000002</v>
          </cell>
          <cell r="L35">
            <v>1.4121999999999999</v>
          </cell>
          <cell r="M35">
            <v>1.4121999999999999</v>
          </cell>
          <cell r="N35" t="str">
            <v/>
          </cell>
          <cell r="O35" t="str">
            <v/>
          </cell>
          <cell r="P35" t="str">
            <v/>
          </cell>
          <cell r="Q35">
            <v>3.5</v>
          </cell>
          <cell r="R35" t="str">
            <v>UND</v>
          </cell>
          <cell r="S35">
            <v>0</v>
          </cell>
          <cell r="T35">
            <v>0</v>
          </cell>
          <cell r="U35" t="str">
            <v/>
          </cell>
          <cell r="V35" t="str">
            <v>PRO10</v>
          </cell>
          <cell r="W35">
            <v>0</v>
          </cell>
        </row>
        <row r="36">
          <cell r="C36" t="str">
            <v>UNGLMPBPP4RH</v>
          </cell>
          <cell r="D36" t="str">
            <v>PRINC</v>
          </cell>
          <cell r="E36" t="str">
            <v>00001</v>
          </cell>
          <cell r="F36" t="str">
            <v>BANDAS MODULARES</v>
          </cell>
          <cell r="G36" t="str">
            <v>PRINCIPAL</v>
          </cell>
          <cell r="H36">
            <v>46004</v>
          </cell>
          <cell r="I36" t="str">
            <v>SALDO INICIAL</v>
          </cell>
          <cell r="J36">
            <v>58</v>
          </cell>
          <cell r="K36">
            <v>81.907600000000002</v>
          </cell>
          <cell r="L36">
            <v>1.4121999999999999</v>
          </cell>
          <cell r="M36">
            <v>1.4121999999999999</v>
          </cell>
          <cell r="N36" t="str">
            <v/>
          </cell>
          <cell r="O36" t="str">
            <v/>
          </cell>
          <cell r="P36" t="str">
            <v/>
          </cell>
          <cell r="Q36">
            <v>3.5</v>
          </cell>
          <cell r="R36" t="str">
            <v>UND</v>
          </cell>
          <cell r="S36">
            <v>0</v>
          </cell>
          <cell r="T36">
            <v>0</v>
          </cell>
          <cell r="U36" t="str">
            <v/>
          </cell>
          <cell r="V36" t="str">
            <v>PRO10</v>
          </cell>
          <cell r="W36">
            <v>0</v>
          </cell>
        </row>
        <row r="37">
          <cell r="C37" t="str">
            <v>RE16300005</v>
          </cell>
          <cell r="D37" t="str">
            <v>PRINC</v>
          </cell>
          <cell r="E37" t="str">
            <v>00001</v>
          </cell>
          <cell r="F37" t="str">
            <v>BANDAS MODULARES</v>
          </cell>
          <cell r="G37" t="str">
            <v>PRINCIPAL</v>
          </cell>
          <cell r="H37">
            <v>46004</v>
          </cell>
          <cell r="I37" t="str">
            <v>SALDO INICIAL</v>
          </cell>
          <cell r="J37">
            <v>40</v>
          </cell>
          <cell r="K37">
            <v>88</v>
          </cell>
          <cell r="L37">
            <v>0</v>
          </cell>
          <cell r="M37">
            <v>2.2000000000000002</v>
          </cell>
          <cell r="N37" t="str">
            <v/>
          </cell>
          <cell r="O37" t="str">
            <v/>
          </cell>
          <cell r="P37" t="str">
            <v/>
          </cell>
          <cell r="Q37">
            <v>0</v>
          </cell>
          <cell r="R37" t="str">
            <v>UND</v>
          </cell>
          <cell r="S37">
            <v>0</v>
          </cell>
          <cell r="T37">
            <v>0</v>
          </cell>
          <cell r="U37" t="str">
            <v/>
          </cell>
          <cell r="V37" t="str">
            <v>PRO10</v>
          </cell>
          <cell r="W37">
            <v>0</v>
          </cell>
        </row>
        <row r="38">
          <cell r="C38" t="str">
            <v>LBMC50-2</v>
          </cell>
          <cell r="D38" t="str">
            <v>PRINC</v>
          </cell>
          <cell r="E38" t="str">
            <v>00002</v>
          </cell>
          <cell r="F38" t="str">
            <v>CADENAS DE TRANSMISION</v>
          </cell>
          <cell r="G38" t="str">
            <v>PRINCIPAL</v>
          </cell>
          <cell r="H38">
            <v>46004</v>
          </cell>
          <cell r="I38" t="str">
            <v>SALDO INICIAL</v>
          </cell>
          <cell r="J38">
            <v>20</v>
          </cell>
          <cell r="K38">
            <v>39.71</v>
          </cell>
          <cell r="L38">
            <v>0</v>
          </cell>
          <cell r="M38">
            <v>1.9855</v>
          </cell>
          <cell r="N38" t="str">
            <v/>
          </cell>
          <cell r="O38" t="str">
            <v/>
          </cell>
          <cell r="P38" t="str">
            <v/>
          </cell>
          <cell r="Q38">
            <v>4.3499999999999996</v>
          </cell>
          <cell r="R38" t="str">
            <v>UND</v>
          </cell>
          <cell r="S38">
            <v>0</v>
          </cell>
          <cell r="T38">
            <v>0</v>
          </cell>
          <cell r="U38" t="str">
            <v/>
          </cell>
          <cell r="V38" t="str">
            <v>PRO10</v>
          </cell>
          <cell r="W38">
            <v>0</v>
          </cell>
        </row>
        <row r="39">
          <cell r="C39" t="str">
            <v>LBMC60-2</v>
          </cell>
          <cell r="D39" t="str">
            <v>PRINC</v>
          </cell>
          <cell r="E39" t="str">
            <v>00002</v>
          </cell>
          <cell r="F39" t="str">
            <v>CADENAS DE TRANSMISION</v>
          </cell>
          <cell r="G39" t="str">
            <v>PRINCIPAL</v>
          </cell>
          <cell r="H39">
            <v>46004</v>
          </cell>
          <cell r="I39" t="str">
            <v>SALDO INICIAL</v>
          </cell>
          <cell r="J39">
            <v>10</v>
          </cell>
          <cell r="K39">
            <v>26.31</v>
          </cell>
          <cell r="L39">
            <v>0</v>
          </cell>
          <cell r="M39">
            <v>2.6309999999999998</v>
          </cell>
          <cell r="N39" t="str">
            <v/>
          </cell>
          <cell r="O39" t="str">
            <v/>
          </cell>
          <cell r="P39" t="str">
            <v/>
          </cell>
          <cell r="Q39">
            <v>5.8</v>
          </cell>
          <cell r="R39" t="str">
            <v>UND</v>
          </cell>
          <cell r="S39">
            <v>0</v>
          </cell>
          <cell r="T39">
            <v>0</v>
          </cell>
          <cell r="U39" t="str">
            <v/>
          </cell>
          <cell r="V39" t="str">
            <v>PRO10</v>
          </cell>
          <cell r="W39">
            <v>0</v>
          </cell>
        </row>
        <row r="40">
          <cell r="C40" t="str">
            <v>VE1/2CANSS06-2</v>
          </cell>
          <cell r="D40" t="str">
            <v>PRINC</v>
          </cell>
          <cell r="E40" t="str">
            <v>00002</v>
          </cell>
          <cell r="F40" t="str">
            <v>CADENAS DE TRANSMISION</v>
          </cell>
          <cell r="G40" t="str">
            <v>PRINCIPAL</v>
          </cell>
          <cell r="H40">
            <v>46004</v>
          </cell>
          <cell r="I40" t="str">
            <v>SALDO INICIAL</v>
          </cell>
          <cell r="J40">
            <v>8</v>
          </cell>
          <cell r="K40">
            <v>17.862857999999999</v>
          </cell>
          <cell r="L40">
            <v>2.2328570000000001</v>
          </cell>
          <cell r="M40">
            <v>2.2328572499999999</v>
          </cell>
          <cell r="N40" t="str">
            <v/>
          </cell>
          <cell r="O40" t="str">
            <v/>
          </cell>
          <cell r="P40" t="str">
            <v/>
          </cell>
          <cell r="Q40">
            <v>5.6</v>
          </cell>
          <cell r="R40" t="str">
            <v>UND</v>
          </cell>
          <cell r="S40">
            <v>0</v>
          </cell>
          <cell r="T40">
            <v>0</v>
          </cell>
          <cell r="U40" t="str">
            <v/>
          </cell>
          <cell r="V40" t="str">
            <v>PRO10</v>
          </cell>
          <cell r="W40">
            <v>0</v>
          </cell>
        </row>
        <row r="41">
          <cell r="C41" t="str">
            <v>LBMC06B-2SS</v>
          </cell>
          <cell r="D41" t="str">
            <v>PRINC</v>
          </cell>
          <cell r="E41" t="str">
            <v>00002</v>
          </cell>
          <cell r="F41" t="str">
            <v>CADENAS DE TRANSMISION</v>
          </cell>
          <cell r="G41" t="str">
            <v>PRINCIPAL</v>
          </cell>
          <cell r="H41">
            <v>46004</v>
          </cell>
          <cell r="I41" t="str">
            <v>SALDO INICIAL</v>
          </cell>
          <cell r="J41">
            <v>2</v>
          </cell>
          <cell r="K41">
            <v>4.7633340000000004</v>
          </cell>
          <cell r="L41">
            <v>2.3816670000000002</v>
          </cell>
          <cell r="M41">
            <v>2.3816670000000002</v>
          </cell>
          <cell r="N41" t="str">
            <v/>
          </cell>
          <cell r="O41" t="str">
            <v/>
          </cell>
          <cell r="P41" t="str">
            <v/>
          </cell>
          <cell r="Q41">
            <v>5.25</v>
          </cell>
          <cell r="R41" t="str">
            <v>UND</v>
          </cell>
          <cell r="S41">
            <v>0</v>
          </cell>
          <cell r="T41">
            <v>0</v>
          </cell>
          <cell r="U41" t="str">
            <v/>
          </cell>
          <cell r="V41" t="str">
            <v>PRO10</v>
          </cell>
          <cell r="W41">
            <v>0</v>
          </cell>
        </row>
        <row r="42">
          <cell r="C42" t="str">
            <v>VE1/2CANSS08-2</v>
          </cell>
          <cell r="D42" t="str">
            <v>PRINC</v>
          </cell>
          <cell r="E42" t="str">
            <v>00002</v>
          </cell>
          <cell r="F42" t="str">
            <v>CADENAS DE TRANSMISION</v>
          </cell>
          <cell r="G42" t="str">
            <v>PRINCIPAL</v>
          </cell>
          <cell r="H42">
            <v>46004</v>
          </cell>
          <cell r="I42" t="str">
            <v>SALDO INICIAL</v>
          </cell>
          <cell r="J42">
            <v>24</v>
          </cell>
          <cell r="K42">
            <v>106.069992</v>
          </cell>
          <cell r="L42">
            <v>0</v>
          </cell>
          <cell r="M42">
            <v>4.4195830000000003</v>
          </cell>
          <cell r="N42" t="str">
            <v/>
          </cell>
          <cell r="O42" t="str">
            <v/>
          </cell>
          <cell r="P42" t="str">
            <v/>
          </cell>
          <cell r="Q42">
            <v>11.05</v>
          </cell>
          <cell r="R42" t="str">
            <v>UND</v>
          </cell>
          <cell r="S42">
            <v>0</v>
          </cell>
          <cell r="T42">
            <v>0</v>
          </cell>
          <cell r="U42" t="str">
            <v/>
          </cell>
          <cell r="V42" t="str">
            <v>PRO10</v>
          </cell>
          <cell r="W42">
            <v>0</v>
          </cell>
        </row>
        <row r="43">
          <cell r="C43" t="str">
            <v>LBMC08B-2SS</v>
          </cell>
          <cell r="D43" t="str">
            <v>PRINC</v>
          </cell>
          <cell r="E43" t="str">
            <v>00002</v>
          </cell>
          <cell r="F43" t="str">
            <v>CADENAS DE TRANSMISION</v>
          </cell>
          <cell r="G43" t="str">
            <v>PRINCIPAL</v>
          </cell>
          <cell r="H43">
            <v>46004</v>
          </cell>
          <cell r="I43" t="str">
            <v>SALDO INICIAL</v>
          </cell>
          <cell r="J43">
            <v>24</v>
          </cell>
          <cell r="K43">
            <v>68.19</v>
          </cell>
          <cell r="L43">
            <v>0</v>
          </cell>
          <cell r="M43">
            <v>2.8412500000000001</v>
          </cell>
          <cell r="N43" t="str">
            <v/>
          </cell>
          <cell r="O43" t="str">
            <v/>
          </cell>
          <cell r="P43" t="str">
            <v/>
          </cell>
          <cell r="Q43">
            <v>6.25</v>
          </cell>
          <cell r="R43" t="str">
            <v>UND</v>
          </cell>
          <cell r="S43">
            <v>0</v>
          </cell>
          <cell r="T43">
            <v>0</v>
          </cell>
          <cell r="U43" t="str">
            <v/>
          </cell>
          <cell r="V43" t="str">
            <v>PRO10</v>
          </cell>
          <cell r="W43">
            <v>0</v>
          </cell>
        </row>
        <row r="44">
          <cell r="C44" t="str">
            <v>LBMC40-2SS</v>
          </cell>
          <cell r="D44" t="str">
            <v>PRINC</v>
          </cell>
          <cell r="E44" t="str">
            <v>00002</v>
          </cell>
          <cell r="F44" t="str">
            <v>CADENAS DE TRANSMISION</v>
          </cell>
          <cell r="G44" t="str">
            <v>PRINCIPAL</v>
          </cell>
          <cell r="H44">
            <v>46004</v>
          </cell>
          <cell r="I44" t="str">
            <v>SALDO INICIAL</v>
          </cell>
          <cell r="J44">
            <v>60</v>
          </cell>
          <cell r="K44">
            <v>186.5205</v>
          </cell>
          <cell r="L44">
            <v>3.1086749999999999</v>
          </cell>
          <cell r="M44">
            <v>3.1086749999999999</v>
          </cell>
          <cell r="N44" t="str">
            <v/>
          </cell>
          <cell r="O44" t="str">
            <v/>
          </cell>
          <cell r="P44" t="str">
            <v/>
          </cell>
          <cell r="Q44">
            <v>8.5500000000000007</v>
          </cell>
          <cell r="R44" t="str">
            <v>UND</v>
          </cell>
          <cell r="S44">
            <v>0</v>
          </cell>
          <cell r="T44">
            <v>0</v>
          </cell>
          <cell r="U44" t="str">
            <v/>
          </cell>
          <cell r="V44" t="str">
            <v>PRO10</v>
          </cell>
          <cell r="W44">
            <v>0</v>
          </cell>
        </row>
        <row r="45">
          <cell r="C45" t="str">
            <v>VE1/2CANSS40-2</v>
          </cell>
          <cell r="D45" t="str">
            <v>PRINC</v>
          </cell>
          <cell r="E45" t="str">
            <v>00002</v>
          </cell>
          <cell r="F45" t="str">
            <v>CADENAS DE TRANSMISION</v>
          </cell>
          <cell r="G45" t="str">
            <v>PRINCIPAL</v>
          </cell>
          <cell r="H45">
            <v>46004</v>
          </cell>
          <cell r="I45" t="str">
            <v>SALDO INICIAL</v>
          </cell>
          <cell r="J45">
            <v>50</v>
          </cell>
          <cell r="K45">
            <v>132.41</v>
          </cell>
          <cell r="L45">
            <v>3.5834999999999999</v>
          </cell>
          <cell r="M45">
            <v>2.6482000000000001</v>
          </cell>
          <cell r="N45" t="str">
            <v/>
          </cell>
          <cell r="O45" t="str">
            <v/>
          </cell>
          <cell r="P45" t="str">
            <v/>
          </cell>
          <cell r="Q45">
            <v>7.2</v>
          </cell>
          <cell r="R45" t="str">
            <v>UND</v>
          </cell>
          <cell r="S45">
            <v>0</v>
          </cell>
          <cell r="T45">
            <v>0</v>
          </cell>
          <cell r="U45" t="str">
            <v/>
          </cell>
          <cell r="V45" t="str">
            <v>PRO10</v>
          </cell>
          <cell r="W45">
            <v>0</v>
          </cell>
        </row>
        <row r="46">
          <cell r="C46" t="str">
            <v>LBMC50-2SS</v>
          </cell>
          <cell r="D46" t="str">
            <v>PRINC</v>
          </cell>
          <cell r="E46" t="str">
            <v>00002</v>
          </cell>
          <cell r="F46" t="str">
            <v>CADENAS DE TRANSMISION</v>
          </cell>
          <cell r="G46" t="str">
            <v>PRINCIPAL</v>
          </cell>
          <cell r="H46">
            <v>46004</v>
          </cell>
          <cell r="I46" t="str">
            <v>SALDO INICIAL</v>
          </cell>
          <cell r="J46">
            <v>44</v>
          </cell>
          <cell r="K46">
            <v>209.62479999999999</v>
          </cell>
          <cell r="L46">
            <v>4.7641999999999998</v>
          </cell>
          <cell r="M46">
            <v>4.7641999999999998</v>
          </cell>
          <cell r="N46" t="str">
            <v/>
          </cell>
          <cell r="O46" t="str">
            <v/>
          </cell>
          <cell r="P46" t="str">
            <v/>
          </cell>
          <cell r="Q46">
            <v>10.5</v>
          </cell>
          <cell r="R46" t="str">
            <v>UND</v>
          </cell>
          <cell r="S46">
            <v>0</v>
          </cell>
          <cell r="T46">
            <v>0</v>
          </cell>
          <cell r="U46" t="str">
            <v/>
          </cell>
          <cell r="V46" t="str">
            <v>PRO10</v>
          </cell>
          <cell r="W46">
            <v>0</v>
          </cell>
        </row>
        <row r="47">
          <cell r="C47" t="str">
            <v>VE1/2CANSS50-2</v>
          </cell>
          <cell r="D47" t="str">
            <v>PRINC</v>
          </cell>
          <cell r="E47" t="str">
            <v>00002</v>
          </cell>
          <cell r="F47" t="str">
            <v>CADENAS DE TRANSMISION</v>
          </cell>
          <cell r="G47" t="str">
            <v>PRINCIPAL</v>
          </cell>
          <cell r="H47">
            <v>46004</v>
          </cell>
          <cell r="I47" t="str">
            <v>SALDO INICIAL</v>
          </cell>
          <cell r="J47">
            <v>8</v>
          </cell>
          <cell r="K47">
            <v>48.064</v>
          </cell>
          <cell r="L47">
            <v>6.008</v>
          </cell>
          <cell r="M47">
            <v>6.008</v>
          </cell>
          <cell r="N47" t="str">
            <v/>
          </cell>
          <cell r="O47" t="str">
            <v/>
          </cell>
          <cell r="P47" t="str">
            <v/>
          </cell>
          <cell r="Q47">
            <v>12</v>
          </cell>
          <cell r="R47" t="str">
            <v>UND</v>
          </cell>
          <cell r="S47">
            <v>0</v>
          </cell>
          <cell r="T47">
            <v>0</v>
          </cell>
          <cell r="U47" t="str">
            <v/>
          </cell>
          <cell r="V47" t="str">
            <v>PRO10</v>
          </cell>
          <cell r="W47">
            <v>0</v>
          </cell>
        </row>
        <row r="48">
          <cell r="C48" t="str">
            <v>LBMC60-2SS</v>
          </cell>
          <cell r="D48" t="str">
            <v>PRINC</v>
          </cell>
          <cell r="E48" t="str">
            <v>00002</v>
          </cell>
          <cell r="F48" t="str">
            <v>CADENAS DE TRANSMISION</v>
          </cell>
          <cell r="G48" t="str">
            <v>PRINCIPAL</v>
          </cell>
          <cell r="H48">
            <v>46004</v>
          </cell>
          <cell r="I48" t="str">
            <v>SALDO INICIAL</v>
          </cell>
          <cell r="J48">
            <v>5</v>
          </cell>
          <cell r="K48">
            <v>32.768335</v>
          </cell>
          <cell r="L48">
            <v>6.5536669999999999</v>
          </cell>
          <cell r="M48">
            <v>6.5536669999999999</v>
          </cell>
          <cell r="N48" t="str">
            <v/>
          </cell>
          <cell r="O48" t="str">
            <v/>
          </cell>
          <cell r="P48" t="str">
            <v/>
          </cell>
          <cell r="Q48">
            <v>13.75</v>
          </cell>
          <cell r="R48" t="str">
            <v>UND</v>
          </cell>
          <cell r="S48">
            <v>0</v>
          </cell>
          <cell r="T48">
            <v>0</v>
          </cell>
          <cell r="U48" t="str">
            <v/>
          </cell>
          <cell r="V48" t="str">
            <v>PRO10</v>
          </cell>
          <cell r="W48">
            <v>0</v>
          </cell>
        </row>
        <row r="49">
          <cell r="C49" t="str">
            <v>LBMC80-2SS</v>
          </cell>
          <cell r="D49" t="str">
            <v>PRINC</v>
          </cell>
          <cell r="E49" t="str">
            <v>00002</v>
          </cell>
          <cell r="F49" t="str">
            <v>CADENAS DE TRANSMISION</v>
          </cell>
          <cell r="G49" t="str">
            <v>PRINCIPAL</v>
          </cell>
          <cell r="H49">
            <v>46004</v>
          </cell>
          <cell r="I49" t="str">
            <v>SALDO INICIAL</v>
          </cell>
          <cell r="J49">
            <v>15</v>
          </cell>
          <cell r="K49">
            <v>171.57749999999999</v>
          </cell>
          <cell r="L49">
            <v>11.438499999999999</v>
          </cell>
          <cell r="M49">
            <v>11.438499999999999</v>
          </cell>
          <cell r="N49" t="str">
            <v/>
          </cell>
          <cell r="O49" t="str">
            <v/>
          </cell>
          <cell r="P49" t="str">
            <v/>
          </cell>
          <cell r="Q49">
            <v>22.9</v>
          </cell>
          <cell r="R49" t="str">
            <v>UND</v>
          </cell>
          <cell r="S49">
            <v>0</v>
          </cell>
          <cell r="T49">
            <v>0</v>
          </cell>
          <cell r="U49" t="str">
            <v/>
          </cell>
          <cell r="V49" t="str">
            <v>PRO10</v>
          </cell>
          <cell r="W49">
            <v>0</v>
          </cell>
        </row>
        <row r="50">
          <cell r="C50" t="str">
            <v>LBMC08B-1</v>
          </cell>
          <cell r="D50" t="str">
            <v>PRINC</v>
          </cell>
          <cell r="E50" t="str">
            <v>00002</v>
          </cell>
          <cell r="F50" t="str">
            <v>CADENAS DE TRANSMISION</v>
          </cell>
          <cell r="G50" t="str">
            <v>PRINCIPAL</v>
          </cell>
          <cell r="H50">
            <v>46004</v>
          </cell>
          <cell r="I50" t="str">
            <v>SALDO INICIAL</v>
          </cell>
          <cell r="J50">
            <v>20</v>
          </cell>
          <cell r="K50">
            <v>18.760000000000002</v>
          </cell>
          <cell r="L50">
            <v>0</v>
          </cell>
          <cell r="M50">
            <v>0.93799999999999994</v>
          </cell>
          <cell r="N50" t="str">
            <v/>
          </cell>
          <cell r="O50" t="str">
            <v/>
          </cell>
          <cell r="P50" t="str">
            <v/>
          </cell>
          <cell r="Q50">
            <v>2.0499999999999998</v>
          </cell>
          <cell r="R50" t="str">
            <v>UND</v>
          </cell>
          <cell r="S50">
            <v>0</v>
          </cell>
          <cell r="T50">
            <v>0</v>
          </cell>
          <cell r="U50" t="str">
            <v/>
          </cell>
          <cell r="V50" t="str">
            <v>PRO10</v>
          </cell>
          <cell r="W50">
            <v>0</v>
          </cell>
        </row>
        <row r="51">
          <cell r="C51" t="str">
            <v>LBMC100-1</v>
          </cell>
          <cell r="D51" t="str">
            <v>PRINC</v>
          </cell>
          <cell r="E51" t="str">
            <v>00002</v>
          </cell>
          <cell r="F51" t="str">
            <v>CADENAS DE TRANSMISION</v>
          </cell>
          <cell r="G51" t="str">
            <v>PRINCIPAL</v>
          </cell>
          <cell r="H51">
            <v>46004</v>
          </cell>
          <cell r="I51" t="str">
            <v>SALDO INICIAL</v>
          </cell>
          <cell r="J51">
            <v>50</v>
          </cell>
          <cell r="K51">
            <v>174.12</v>
          </cell>
          <cell r="L51">
            <v>0</v>
          </cell>
          <cell r="M51">
            <v>3.4824000000000002</v>
          </cell>
          <cell r="N51" t="str">
            <v/>
          </cell>
          <cell r="O51" t="str">
            <v/>
          </cell>
          <cell r="P51" t="str">
            <v/>
          </cell>
          <cell r="Q51">
            <v>7.65</v>
          </cell>
          <cell r="R51" t="str">
            <v>UND</v>
          </cell>
          <cell r="S51">
            <v>0</v>
          </cell>
          <cell r="T51">
            <v>0</v>
          </cell>
          <cell r="U51" t="str">
            <v/>
          </cell>
          <cell r="V51" t="str">
            <v>PRO10</v>
          </cell>
          <cell r="W51">
            <v>0</v>
          </cell>
        </row>
        <row r="52">
          <cell r="C52" t="str">
            <v>LBMC10B-1</v>
          </cell>
          <cell r="D52" t="str">
            <v>PRINC</v>
          </cell>
          <cell r="E52" t="str">
            <v>00002</v>
          </cell>
          <cell r="F52" t="str">
            <v>CADENAS DE TRANSMISION</v>
          </cell>
          <cell r="G52" t="str">
            <v>PRINCIPAL</v>
          </cell>
          <cell r="H52">
            <v>46004</v>
          </cell>
          <cell r="I52" t="str">
            <v>SALDO INICIAL</v>
          </cell>
          <cell r="J52">
            <v>11</v>
          </cell>
          <cell r="K52">
            <v>11.528</v>
          </cell>
          <cell r="L52">
            <v>1.048</v>
          </cell>
          <cell r="M52">
            <v>1.048</v>
          </cell>
          <cell r="N52" t="str">
            <v/>
          </cell>
          <cell r="O52" t="str">
            <v/>
          </cell>
          <cell r="P52" t="str">
            <v/>
          </cell>
          <cell r="Q52">
            <v>2.2999999999999998</v>
          </cell>
          <cell r="R52" t="str">
            <v>UND</v>
          </cell>
          <cell r="S52">
            <v>0</v>
          </cell>
          <cell r="T52">
            <v>0</v>
          </cell>
          <cell r="U52" t="str">
            <v/>
          </cell>
          <cell r="V52" t="str">
            <v>PRO10</v>
          </cell>
          <cell r="W52">
            <v>0</v>
          </cell>
        </row>
        <row r="53">
          <cell r="C53" t="str">
            <v>LBMC120-1</v>
          </cell>
          <cell r="D53" t="str">
            <v>PRINC</v>
          </cell>
          <cell r="E53" t="str">
            <v>00002</v>
          </cell>
          <cell r="F53" t="str">
            <v>CADENAS DE TRANSMISION</v>
          </cell>
          <cell r="G53" t="str">
            <v>PRINCIPAL</v>
          </cell>
          <cell r="H53">
            <v>46004</v>
          </cell>
          <cell r="I53" t="str">
            <v>SALDO INICIAL</v>
          </cell>
          <cell r="J53">
            <v>20</v>
          </cell>
          <cell r="K53">
            <v>111.11</v>
          </cell>
          <cell r="L53">
            <v>0</v>
          </cell>
          <cell r="M53">
            <v>5.5555000000000003</v>
          </cell>
          <cell r="N53" t="str">
            <v/>
          </cell>
          <cell r="O53" t="str">
            <v/>
          </cell>
          <cell r="P53" t="str">
            <v/>
          </cell>
          <cell r="Q53">
            <v>12.2</v>
          </cell>
          <cell r="R53" t="str">
            <v>UND</v>
          </cell>
          <cell r="S53">
            <v>0</v>
          </cell>
          <cell r="T53">
            <v>0</v>
          </cell>
          <cell r="U53" t="str">
            <v/>
          </cell>
          <cell r="V53" t="str">
            <v>PRO10</v>
          </cell>
          <cell r="W53">
            <v>0</v>
          </cell>
        </row>
        <row r="54">
          <cell r="C54" t="str">
            <v>LBMC12B-1</v>
          </cell>
          <cell r="D54" t="str">
            <v>PRINC</v>
          </cell>
          <cell r="E54" t="str">
            <v>00002</v>
          </cell>
          <cell r="F54" t="str">
            <v>CADENAS DE TRANSMISION</v>
          </cell>
          <cell r="G54" t="str">
            <v>PRINCIPAL</v>
          </cell>
          <cell r="H54">
            <v>46004</v>
          </cell>
          <cell r="I54" t="str">
            <v>SALDO INICIAL</v>
          </cell>
          <cell r="J54">
            <v>20</v>
          </cell>
          <cell r="K54">
            <v>26.8</v>
          </cell>
          <cell r="L54">
            <v>0</v>
          </cell>
          <cell r="M54">
            <v>1.34</v>
          </cell>
          <cell r="N54" t="str">
            <v/>
          </cell>
          <cell r="O54" t="str">
            <v/>
          </cell>
          <cell r="P54" t="str">
            <v/>
          </cell>
          <cell r="Q54">
            <v>2.95</v>
          </cell>
          <cell r="R54" t="str">
            <v>UND</v>
          </cell>
          <cell r="S54">
            <v>0</v>
          </cell>
          <cell r="T54">
            <v>0</v>
          </cell>
          <cell r="U54" t="str">
            <v/>
          </cell>
          <cell r="V54" t="str">
            <v>PRO10</v>
          </cell>
          <cell r="W54">
            <v>0</v>
          </cell>
        </row>
        <row r="55">
          <cell r="C55" t="str">
            <v>VE1/2CANFE16B</v>
          </cell>
          <cell r="D55" t="str">
            <v>PRINC</v>
          </cell>
          <cell r="E55" t="str">
            <v>00002</v>
          </cell>
          <cell r="F55" t="str">
            <v>CADENAS DE TRANSMISION</v>
          </cell>
          <cell r="G55" t="str">
            <v>PRINCIPAL</v>
          </cell>
          <cell r="H55">
            <v>46004</v>
          </cell>
          <cell r="I55" t="str">
            <v>SALDO INICIAL</v>
          </cell>
          <cell r="J55">
            <v>10</v>
          </cell>
          <cell r="K55">
            <v>17.5</v>
          </cell>
          <cell r="L55">
            <v>0</v>
          </cell>
          <cell r="M55">
            <v>1.75</v>
          </cell>
          <cell r="N55" t="str">
            <v/>
          </cell>
          <cell r="O55" t="str">
            <v/>
          </cell>
          <cell r="P55" t="str">
            <v/>
          </cell>
          <cell r="Q55">
            <v>3.5</v>
          </cell>
          <cell r="R55" t="str">
            <v>UND</v>
          </cell>
          <cell r="S55">
            <v>0</v>
          </cell>
          <cell r="T55">
            <v>0</v>
          </cell>
          <cell r="U55" t="str">
            <v/>
          </cell>
          <cell r="V55" t="str">
            <v>PRO10</v>
          </cell>
          <cell r="W55">
            <v>0</v>
          </cell>
        </row>
        <row r="56">
          <cell r="C56" t="str">
            <v>LBRC40-1/2</v>
          </cell>
          <cell r="D56" t="str">
            <v>PRINC</v>
          </cell>
          <cell r="E56" t="str">
            <v>00002</v>
          </cell>
          <cell r="F56" t="str">
            <v>CADENAS DE TRANSMISION</v>
          </cell>
          <cell r="G56" t="str">
            <v>PRINCIPAL</v>
          </cell>
          <cell r="H56">
            <v>46004</v>
          </cell>
          <cell r="I56" t="str">
            <v>SALDO INICIAL</v>
          </cell>
          <cell r="J56">
            <v>466</v>
          </cell>
          <cell r="K56">
            <v>296.35294399999998</v>
          </cell>
          <cell r="L56">
            <v>0.63595100000000004</v>
          </cell>
          <cell r="M56">
            <v>0.63595052399999996</v>
          </cell>
          <cell r="N56" t="str">
            <v/>
          </cell>
          <cell r="O56" t="str">
            <v/>
          </cell>
          <cell r="P56" t="str">
            <v/>
          </cell>
          <cell r="Q56">
            <v>2.1</v>
          </cell>
          <cell r="R56" t="str">
            <v>UND</v>
          </cell>
          <cell r="S56">
            <v>0</v>
          </cell>
          <cell r="T56">
            <v>0</v>
          </cell>
          <cell r="U56" t="str">
            <v/>
          </cell>
          <cell r="V56" t="str">
            <v>PRO10</v>
          </cell>
          <cell r="W56">
            <v>0</v>
          </cell>
        </row>
        <row r="57">
          <cell r="C57" t="str">
            <v>LBRC50-1/2</v>
          </cell>
          <cell r="D57" t="str">
            <v>PRINC</v>
          </cell>
          <cell r="E57" t="str">
            <v>00002</v>
          </cell>
          <cell r="F57" t="str">
            <v>CADENAS DE TRANSMISION</v>
          </cell>
          <cell r="G57" t="str">
            <v>PRINCIPAL</v>
          </cell>
          <cell r="H57">
            <v>46004</v>
          </cell>
          <cell r="I57" t="str">
            <v>SALDO INICIAL</v>
          </cell>
          <cell r="J57">
            <v>443</v>
          </cell>
          <cell r="K57">
            <v>445.89920999999998</v>
          </cell>
          <cell r="L57">
            <v>1.006545</v>
          </cell>
          <cell r="M57">
            <v>1.006544492</v>
          </cell>
          <cell r="N57" t="str">
            <v/>
          </cell>
          <cell r="O57" t="str">
            <v/>
          </cell>
          <cell r="P57" t="str">
            <v/>
          </cell>
          <cell r="Q57">
            <v>3.2</v>
          </cell>
          <cell r="R57" t="str">
            <v>UND</v>
          </cell>
          <cell r="S57">
            <v>0</v>
          </cell>
          <cell r="T57">
            <v>0</v>
          </cell>
          <cell r="U57" t="str">
            <v/>
          </cell>
          <cell r="V57" t="str">
            <v>PRO10</v>
          </cell>
          <cell r="W57">
            <v>0</v>
          </cell>
        </row>
        <row r="58">
          <cell r="C58" t="str">
            <v>LBMC60-1R</v>
          </cell>
          <cell r="D58" t="str">
            <v>PRINC</v>
          </cell>
          <cell r="E58" t="str">
            <v>00002</v>
          </cell>
          <cell r="F58" t="str">
            <v>CADENAS DE TRANSMISION</v>
          </cell>
          <cell r="G58" t="str">
            <v>PRINCIPAL</v>
          </cell>
          <cell r="H58">
            <v>46004</v>
          </cell>
          <cell r="I58" t="str">
            <v>SALDO INICIAL</v>
          </cell>
          <cell r="J58">
            <v>237</v>
          </cell>
          <cell r="K58">
            <v>315.23844000000003</v>
          </cell>
          <cell r="L58">
            <v>1.33012</v>
          </cell>
          <cell r="M58">
            <v>1.33012</v>
          </cell>
          <cell r="N58" t="str">
            <v/>
          </cell>
          <cell r="O58" t="str">
            <v/>
          </cell>
          <cell r="P58" t="str">
            <v/>
          </cell>
          <cell r="Q58">
            <v>3.6</v>
          </cell>
          <cell r="R58" t="str">
            <v>UND</v>
          </cell>
          <cell r="S58">
            <v>0</v>
          </cell>
          <cell r="T58">
            <v>0</v>
          </cell>
          <cell r="U58" t="str">
            <v/>
          </cell>
          <cell r="V58" t="str">
            <v>PRO10</v>
          </cell>
          <cell r="W58">
            <v>0</v>
          </cell>
        </row>
        <row r="59">
          <cell r="C59" t="str">
            <v>LBMC80-1</v>
          </cell>
          <cell r="D59" t="str">
            <v>PRINC</v>
          </cell>
          <cell r="E59" t="str">
            <v>00002</v>
          </cell>
          <cell r="F59" t="str">
            <v>CADENAS DE TRANSMISION</v>
          </cell>
          <cell r="G59" t="str">
            <v>PRINCIPAL</v>
          </cell>
          <cell r="H59">
            <v>46004</v>
          </cell>
          <cell r="I59" t="str">
            <v>SALDO INICIAL</v>
          </cell>
          <cell r="J59">
            <v>64</v>
          </cell>
          <cell r="K59">
            <v>153.6</v>
          </cell>
          <cell r="L59">
            <v>2.4</v>
          </cell>
          <cell r="M59">
            <v>2.4</v>
          </cell>
          <cell r="N59" t="str">
            <v/>
          </cell>
          <cell r="O59" t="str">
            <v/>
          </cell>
          <cell r="P59" t="str">
            <v/>
          </cell>
          <cell r="Q59">
            <v>4.8</v>
          </cell>
          <cell r="R59" t="str">
            <v>UND</v>
          </cell>
          <cell r="S59">
            <v>0</v>
          </cell>
          <cell r="T59">
            <v>0</v>
          </cell>
          <cell r="U59" t="str">
            <v/>
          </cell>
          <cell r="V59" t="str">
            <v>PRO10</v>
          </cell>
          <cell r="W59">
            <v>0</v>
          </cell>
        </row>
        <row r="60">
          <cell r="C60" t="str">
            <v>VE1/2CANSS06</v>
          </cell>
          <cell r="D60" t="str">
            <v>PRINC</v>
          </cell>
          <cell r="E60" t="str">
            <v>00002</v>
          </cell>
          <cell r="F60" t="str">
            <v>CADENAS DE TRANSMISION</v>
          </cell>
          <cell r="G60" t="str">
            <v>PRINCIPAL</v>
          </cell>
          <cell r="H60">
            <v>46004</v>
          </cell>
          <cell r="I60" t="str">
            <v>SALDO INICIAL</v>
          </cell>
          <cell r="J60">
            <v>22</v>
          </cell>
          <cell r="K60">
            <v>32.695996000000001</v>
          </cell>
          <cell r="L60">
            <v>1.636333</v>
          </cell>
          <cell r="M60">
            <v>1.486181636</v>
          </cell>
          <cell r="N60" t="str">
            <v/>
          </cell>
          <cell r="O60" t="str">
            <v/>
          </cell>
          <cell r="P60" t="str">
            <v/>
          </cell>
          <cell r="Q60">
            <v>3</v>
          </cell>
          <cell r="R60" t="str">
            <v>UND</v>
          </cell>
          <cell r="S60">
            <v>0</v>
          </cell>
          <cell r="T60">
            <v>0</v>
          </cell>
          <cell r="U60" t="str">
            <v/>
          </cell>
          <cell r="V60" t="str">
            <v>PRO10</v>
          </cell>
          <cell r="W60">
            <v>0</v>
          </cell>
        </row>
        <row r="61">
          <cell r="C61" t="str">
            <v>LBMC06B-1SS</v>
          </cell>
          <cell r="D61" t="str">
            <v>PRINC</v>
          </cell>
          <cell r="E61" t="str">
            <v>00002</v>
          </cell>
          <cell r="F61" t="str">
            <v>CADENAS DE TRANSMISION</v>
          </cell>
          <cell r="G61" t="str">
            <v>PRINCIPAL</v>
          </cell>
          <cell r="H61">
            <v>46004</v>
          </cell>
          <cell r="I61" t="str">
            <v>SALDO INICIAL</v>
          </cell>
          <cell r="J61">
            <v>20</v>
          </cell>
          <cell r="K61">
            <v>49.59</v>
          </cell>
          <cell r="L61">
            <v>0</v>
          </cell>
          <cell r="M61">
            <v>2.4794999999999998</v>
          </cell>
          <cell r="N61" t="str">
            <v/>
          </cell>
          <cell r="O61" t="str">
            <v/>
          </cell>
          <cell r="P61" t="str">
            <v/>
          </cell>
          <cell r="Q61">
            <v>4.9000000000000004</v>
          </cell>
          <cell r="R61" t="str">
            <v>UND</v>
          </cell>
          <cell r="S61">
            <v>0</v>
          </cell>
          <cell r="T61">
            <v>0</v>
          </cell>
          <cell r="U61" t="str">
            <v/>
          </cell>
          <cell r="V61" t="str">
            <v>PRO10</v>
          </cell>
          <cell r="W61">
            <v>0</v>
          </cell>
        </row>
        <row r="62">
          <cell r="C62" t="str">
            <v>VE1/2CANSS08</v>
          </cell>
          <cell r="D62" t="str">
            <v>PRINC</v>
          </cell>
          <cell r="E62" t="str">
            <v>00002</v>
          </cell>
          <cell r="F62" t="str">
            <v>CADENAS DE TRANSMISION</v>
          </cell>
          <cell r="G62" t="str">
            <v>PRINCIPAL</v>
          </cell>
          <cell r="H62">
            <v>46004</v>
          </cell>
          <cell r="I62" t="str">
            <v>SALDO INICIAL</v>
          </cell>
          <cell r="J62">
            <v>22</v>
          </cell>
          <cell r="K62">
            <v>47.564</v>
          </cell>
          <cell r="L62">
            <v>2.1619999999999999</v>
          </cell>
          <cell r="M62">
            <v>2.1619999999999999</v>
          </cell>
          <cell r="N62" t="str">
            <v/>
          </cell>
          <cell r="O62" t="str">
            <v/>
          </cell>
          <cell r="P62" t="str">
            <v/>
          </cell>
          <cell r="Q62">
            <v>4.3499999999999996</v>
          </cell>
          <cell r="R62" t="str">
            <v>UND</v>
          </cell>
          <cell r="S62">
            <v>0</v>
          </cell>
          <cell r="T62">
            <v>0</v>
          </cell>
          <cell r="U62" t="str">
            <v/>
          </cell>
          <cell r="V62" t="str">
            <v>PRO10</v>
          </cell>
          <cell r="W62">
            <v>0</v>
          </cell>
        </row>
        <row r="63">
          <cell r="C63" t="str">
            <v>LBMC08B-1SS</v>
          </cell>
          <cell r="D63" t="str">
            <v>PRINC</v>
          </cell>
          <cell r="E63" t="str">
            <v>00002</v>
          </cell>
          <cell r="F63" t="str">
            <v>CADENAS DE TRANSMISION</v>
          </cell>
          <cell r="G63" t="str">
            <v>PRINCIPAL</v>
          </cell>
          <cell r="H63">
            <v>46004</v>
          </cell>
          <cell r="I63" t="str">
            <v>SALDO INICIAL</v>
          </cell>
          <cell r="J63">
            <v>20</v>
          </cell>
          <cell r="K63">
            <v>34.82</v>
          </cell>
          <cell r="L63">
            <v>0</v>
          </cell>
          <cell r="M63">
            <v>1.7410000000000001</v>
          </cell>
          <cell r="N63" t="str">
            <v/>
          </cell>
          <cell r="O63" t="str">
            <v/>
          </cell>
          <cell r="P63" t="str">
            <v/>
          </cell>
          <cell r="Q63">
            <v>5.3</v>
          </cell>
          <cell r="R63" t="str">
            <v>UND</v>
          </cell>
          <cell r="S63">
            <v>0</v>
          </cell>
          <cell r="T63">
            <v>0</v>
          </cell>
          <cell r="U63" t="str">
            <v/>
          </cell>
          <cell r="V63" t="str">
            <v>PRO10</v>
          </cell>
          <cell r="W63">
            <v>0</v>
          </cell>
        </row>
        <row r="64">
          <cell r="C64" t="str">
            <v>1/2CANSS35</v>
          </cell>
          <cell r="D64" t="str">
            <v>PRINC</v>
          </cell>
          <cell r="E64" t="str">
            <v>00002</v>
          </cell>
          <cell r="F64" t="str">
            <v>CADENAS DE TRANSMISION</v>
          </cell>
          <cell r="G64" t="str">
            <v>PRINCIPAL</v>
          </cell>
          <cell r="H64">
            <v>46004</v>
          </cell>
          <cell r="I64" t="str">
            <v>SALDO INICIAL</v>
          </cell>
          <cell r="J64">
            <v>1</v>
          </cell>
          <cell r="K64">
            <v>6.82</v>
          </cell>
          <cell r="L64">
            <v>0</v>
          </cell>
          <cell r="M64">
            <v>6.82</v>
          </cell>
          <cell r="N64" t="str">
            <v/>
          </cell>
          <cell r="O64" t="str">
            <v/>
          </cell>
          <cell r="P64" t="str">
            <v/>
          </cell>
          <cell r="Q64">
            <v>0</v>
          </cell>
          <cell r="R64" t="str">
            <v>UND</v>
          </cell>
          <cell r="S64">
            <v>0</v>
          </cell>
          <cell r="T64">
            <v>0</v>
          </cell>
          <cell r="U64" t="str">
            <v/>
          </cell>
          <cell r="V64" t="str">
            <v>PRO10</v>
          </cell>
          <cell r="W64">
            <v>0</v>
          </cell>
        </row>
        <row r="65">
          <cell r="C65" t="str">
            <v>VE1/2CANSS35</v>
          </cell>
          <cell r="D65" t="str">
            <v>PRINC</v>
          </cell>
          <cell r="E65" t="str">
            <v>00002</v>
          </cell>
          <cell r="F65" t="str">
            <v>CADENAS DE TRANSMISION</v>
          </cell>
          <cell r="G65" t="str">
            <v>PRINCIPAL</v>
          </cell>
          <cell r="H65">
            <v>46004</v>
          </cell>
          <cell r="I65" t="str">
            <v>SALDO INICIAL</v>
          </cell>
          <cell r="J65">
            <v>40</v>
          </cell>
          <cell r="K65">
            <v>87.589834999999994</v>
          </cell>
          <cell r="L65">
            <v>2.1897449999999998</v>
          </cell>
          <cell r="M65">
            <v>2.1897458749999998</v>
          </cell>
          <cell r="N65" t="str">
            <v/>
          </cell>
          <cell r="O65" t="str">
            <v/>
          </cell>
          <cell r="P65" t="str">
            <v/>
          </cell>
          <cell r="Q65">
            <v>4.8</v>
          </cell>
          <cell r="R65" t="str">
            <v>UND</v>
          </cell>
          <cell r="S65">
            <v>0</v>
          </cell>
          <cell r="T65">
            <v>0</v>
          </cell>
          <cell r="U65" t="str">
            <v/>
          </cell>
          <cell r="V65" t="str">
            <v>PRO10</v>
          </cell>
          <cell r="W65">
            <v>0</v>
          </cell>
        </row>
        <row r="66">
          <cell r="C66" t="str">
            <v>LBMC40-1SS</v>
          </cell>
          <cell r="D66" t="str">
            <v>PRINC</v>
          </cell>
          <cell r="E66" t="str">
            <v>00002</v>
          </cell>
          <cell r="F66" t="str">
            <v>CADENAS DE TRANSMISION</v>
          </cell>
          <cell r="G66" t="str">
            <v>PRINCIPAL</v>
          </cell>
          <cell r="H66">
            <v>46004</v>
          </cell>
          <cell r="I66" t="str">
            <v>SALDO INICIAL</v>
          </cell>
          <cell r="J66">
            <v>275</v>
          </cell>
          <cell r="K66">
            <v>616.15954199999999</v>
          </cell>
          <cell r="L66">
            <v>2.24058</v>
          </cell>
          <cell r="M66">
            <v>2.2405801529999998</v>
          </cell>
          <cell r="N66" t="str">
            <v/>
          </cell>
          <cell r="O66" t="str">
            <v/>
          </cell>
          <cell r="P66" t="str">
            <v/>
          </cell>
          <cell r="Q66">
            <v>6.8</v>
          </cell>
          <cell r="R66" t="str">
            <v>UND</v>
          </cell>
          <cell r="S66">
            <v>0</v>
          </cell>
          <cell r="T66">
            <v>0</v>
          </cell>
          <cell r="U66" t="str">
            <v/>
          </cell>
          <cell r="V66" t="str">
            <v>PRO10</v>
          </cell>
          <cell r="W66">
            <v>0</v>
          </cell>
        </row>
        <row r="67">
          <cell r="C67" t="str">
            <v>VE1/2CANSS40</v>
          </cell>
          <cell r="D67" t="str">
            <v>PRINC</v>
          </cell>
          <cell r="E67" t="str">
            <v>00002</v>
          </cell>
          <cell r="F67" t="str">
            <v>CADENAS DE TRANSMISION</v>
          </cell>
          <cell r="G67" t="str">
            <v>PRINCIPAL</v>
          </cell>
          <cell r="H67">
            <v>46004</v>
          </cell>
          <cell r="I67" t="str">
            <v>SALDO INICIAL</v>
          </cell>
          <cell r="J67">
            <v>295</v>
          </cell>
          <cell r="K67">
            <v>483.26295499999998</v>
          </cell>
          <cell r="L67">
            <v>1.63818</v>
          </cell>
          <cell r="M67">
            <v>1.6381795079999999</v>
          </cell>
          <cell r="N67" t="str">
            <v/>
          </cell>
          <cell r="O67" t="str">
            <v/>
          </cell>
          <cell r="P67" t="str">
            <v/>
          </cell>
          <cell r="Q67">
            <v>6.5</v>
          </cell>
          <cell r="R67" t="str">
            <v>UND</v>
          </cell>
          <cell r="S67">
            <v>0</v>
          </cell>
          <cell r="T67">
            <v>0</v>
          </cell>
          <cell r="U67" t="str">
            <v/>
          </cell>
          <cell r="V67" t="str">
            <v>PRO10</v>
          </cell>
          <cell r="W67">
            <v>0</v>
          </cell>
        </row>
        <row r="68">
          <cell r="C68" t="str">
            <v>LBMC50-1SS</v>
          </cell>
          <cell r="D68" t="str">
            <v>PRINC</v>
          </cell>
          <cell r="E68" t="str">
            <v>00002</v>
          </cell>
          <cell r="F68" t="str">
            <v>CADENAS DE TRANSMISION</v>
          </cell>
          <cell r="G68" t="str">
            <v>PRINCIPAL</v>
          </cell>
          <cell r="H68">
            <v>46004</v>
          </cell>
          <cell r="I68" t="str">
            <v>SALDO INICIAL</v>
          </cell>
          <cell r="J68">
            <v>199</v>
          </cell>
          <cell r="K68">
            <v>533.643325</v>
          </cell>
          <cell r="L68">
            <v>2.67231</v>
          </cell>
          <cell r="M68">
            <v>2.681624749</v>
          </cell>
          <cell r="N68" t="str">
            <v/>
          </cell>
          <cell r="O68" t="str">
            <v/>
          </cell>
          <cell r="P68" t="str">
            <v/>
          </cell>
          <cell r="Q68">
            <v>8.6999999999999993</v>
          </cell>
          <cell r="R68" t="str">
            <v>UND</v>
          </cell>
          <cell r="S68">
            <v>0</v>
          </cell>
          <cell r="T68">
            <v>0</v>
          </cell>
          <cell r="U68" t="str">
            <v/>
          </cell>
          <cell r="V68" t="str">
            <v>PRO10</v>
          </cell>
          <cell r="W68">
            <v>0</v>
          </cell>
        </row>
        <row r="69">
          <cell r="C69" t="str">
            <v>VE1/2CANSS50</v>
          </cell>
          <cell r="D69" t="str">
            <v>PRINC</v>
          </cell>
          <cell r="E69" t="str">
            <v>00002</v>
          </cell>
          <cell r="F69" t="str">
            <v>CADENAS DE TRANSMISION</v>
          </cell>
          <cell r="G69" t="str">
            <v>PRINCIPAL</v>
          </cell>
          <cell r="H69">
            <v>46004</v>
          </cell>
          <cell r="I69" t="str">
            <v>SALDO INICIAL</v>
          </cell>
          <cell r="J69">
            <v>118</v>
          </cell>
          <cell r="K69">
            <v>386.47359999999998</v>
          </cell>
          <cell r="L69">
            <v>3.2751999999999999</v>
          </cell>
          <cell r="M69">
            <v>3.2751999999999999</v>
          </cell>
          <cell r="N69" t="str">
            <v/>
          </cell>
          <cell r="O69" t="str">
            <v/>
          </cell>
          <cell r="P69" t="str">
            <v/>
          </cell>
          <cell r="Q69">
            <v>7.1</v>
          </cell>
          <cell r="R69" t="str">
            <v>UND</v>
          </cell>
          <cell r="S69">
            <v>0</v>
          </cell>
          <cell r="T69">
            <v>0</v>
          </cell>
          <cell r="U69" t="str">
            <v/>
          </cell>
          <cell r="V69" t="str">
            <v>PRO10</v>
          </cell>
          <cell r="W69">
            <v>0</v>
          </cell>
        </row>
        <row r="70">
          <cell r="C70" t="str">
            <v>LBMC60-1SS</v>
          </cell>
          <cell r="D70" t="str">
            <v>PRINC</v>
          </cell>
          <cell r="E70" t="str">
            <v>00002</v>
          </cell>
          <cell r="F70" t="str">
            <v>CADENAS DE TRANSMISION</v>
          </cell>
          <cell r="G70" t="str">
            <v>PRINCIPAL</v>
          </cell>
          <cell r="H70">
            <v>46004</v>
          </cell>
          <cell r="I70" t="str">
            <v>SALDO INICIAL</v>
          </cell>
          <cell r="J70">
            <v>60</v>
          </cell>
          <cell r="K70">
            <v>217.82400000000001</v>
          </cell>
          <cell r="L70">
            <v>3.6303999999999998</v>
          </cell>
          <cell r="M70">
            <v>3.6303999999999998</v>
          </cell>
          <cell r="N70" t="str">
            <v/>
          </cell>
          <cell r="O70" t="str">
            <v/>
          </cell>
          <cell r="P70" t="str">
            <v/>
          </cell>
          <cell r="Q70">
            <v>11.25</v>
          </cell>
          <cell r="R70" t="str">
            <v>UND</v>
          </cell>
          <cell r="S70">
            <v>0</v>
          </cell>
          <cell r="T70">
            <v>0</v>
          </cell>
          <cell r="U70" t="str">
            <v/>
          </cell>
          <cell r="V70" t="str">
            <v>PRO10</v>
          </cell>
          <cell r="W70">
            <v>0</v>
          </cell>
        </row>
        <row r="71">
          <cell r="C71" t="str">
            <v>VE1/2CANSS60</v>
          </cell>
          <cell r="D71" t="str">
            <v>PRINC</v>
          </cell>
          <cell r="E71" t="str">
            <v>00002</v>
          </cell>
          <cell r="F71" t="str">
            <v>CADENAS DE TRANSMISION</v>
          </cell>
          <cell r="G71" t="str">
            <v>PRINCIPAL</v>
          </cell>
          <cell r="H71">
            <v>46004</v>
          </cell>
          <cell r="I71" t="str">
            <v>SALDO INICIAL</v>
          </cell>
          <cell r="J71">
            <v>145</v>
          </cell>
          <cell r="K71">
            <v>603.79384100000004</v>
          </cell>
          <cell r="L71">
            <v>4.1640959999999998</v>
          </cell>
          <cell r="M71">
            <v>4.164095455</v>
          </cell>
          <cell r="N71" t="str">
            <v/>
          </cell>
          <cell r="O71" t="str">
            <v/>
          </cell>
          <cell r="P71" t="str">
            <v/>
          </cell>
          <cell r="Q71">
            <v>8.6999999999999993</v>
          </cell>
          <cell r="R71" t="str">
            <v>UND</v>
          </cell>
          <cell r="S71">
            <v>0</v>
          </cell>
          <cell r="T71">
            <v>0</v>
          </cell>
          <cell r="U71" t="str">
            <v/>
          </cell>
          <cell r="V71" t="str">
            <v>PRO10</v>
          </cell>
          <cell r="W71">
            <v>0</v>
          </cell>
        </row>
        <row r="72">
          <cell r="C72" t="str">
            <v>LBMC80-1SS</v>
          </cell>
          <cell r="D72" t="str">
            <v>PRINC</v>
          </cell>
          <cell r="E72" t="str">
            <v>00002</v>
          </cell>
          <cell r="F72" t="str">
            <v>CADENAS DE TRANSMISION</v>
          </cell>
          <cell r="G72" t="str">
            <v>PRINCIPAL</v>
          </cell>
          <cell r="H72">
            <v>46004</v>
          </cell>
          <cell r="I72" t="str">
            <v>SALDO INICIAL</v>
          </cell>
          <cell r="J72">
            <v>11</v>
          </cell>
          <cell r="K72">
            <v>68.898499999999999</v>
          </cell>
          <cell r="L72">
            <v>6.2634999999999996</v>
          </cell>
          <cell r="M72">
            <v>6.2634999999999996</v>
          </cell>
          <cell r="N72" t="str">
            <v/>
          </cell>
          <cell r="O72" t="str">
            <v/>
          </cell>
          <cell r="P72" t="str">
            <v/>
          </cell>
          <cell r="Q72">
            <v>17.5</v>
          </cell>
          <cell r="R72" t="str">
            <v>UND</v>
          </cell>
          <cell r="S72">
            <v>0</v>
          </cell>
          <cell r="T72">
            <v>0</v>
          </cell>
          <cell r="U72" t="str">
            <v/>
          </cell>
          <cell r="V72" t="str">
            <v>PRO10</v>
          </cell>
          <cell r="W72">
            <v>0</v>
          </cell>
        </row>
        <row r="73">
          <cell r="C73" t="str">
            <v>VE1/2CANSS80</v>
          </cell>
          <cell r="D73" t="str">
            <v>PRINC</v>
          </cell>
          <cell r="E73" t="str">
            <v>00002</v>
          </cell>
          <cell r="F73" t="str">
            <v>CADENAS DE TRANSMISION</v>
          </cell>
          <cell r="G73" t="str">
            <v>PRINCIPAL</v>
          </cell>
          <cell r="H73">
            <v>46004</v>
          </cell>
          <cell r="I73" t="str">
            <v>SALDO INICIAL</v>
          </cell>
          <cell r="J73">
            <v>3</v>
          </cell>
          <cell r="K73">
            <v>25.827000000000002</v>
          </cell>
          <cell r="L73">
            <v>8.609</v>
          </cell>
          <cell r="M73">
            <v>8.609</v>
          </cell>
          <cell r="N73" t="str">
            <v/>
          </cell>
          <cell r="O73" t="str">
            <v/>
          </cell>
          <cell r="P73" t="str">
            <v/>
          </cell>
          <cell r="Q73">
            <v>17.8</v>
          </cell>
          <cell r="R73" t="str">
            <v>UND</v>
          </cell>
          <cell r="S73">
            <v>0</v>
          </cell>
          <cell r="T73">
            <v>0</v>
          </cell>
          <cell r="U73" t="str">
            <v/>
          </cell>
          <cell r="V73" t="str">
            <v>PRO10</v>
          </cell>
          <cell r="W73">
            <v>0</v>
          </cell>
        </row>
        <row r="74">
          <cell r="C74" t="str">
            <v>VE1/2CANSS40-3</v>
          </cell>
          <cell r="D74" t="str">
            <v>PRINC</v>
          </cell>
          <cell r="E74" t="str">
            <v>00002</v>
          </cell>
          <cell r="F74" t="str">
            <v>CADENAS DE TRANSMISION</v>
          </cell>
          <cell r="G74" t="str">
            <v>PRINCIPAL</v>
          </cell>
          <cell r="H74">
            <v>46004</v>
          </cell>
          <cell r="I74" t="str">
            <v>SALDO INICIAL</v>
          </cell>
          <cell r="J74">
            <v>5</v>
          </cell>
          <cell r="K74">
            <v>17.940000000000001</v>
          </cell>
          <cell r="L74">
            <v>0</v>
          </cell>
          <cell r="M74">
            <v>3.5880000000000001</v>
          </cell>
          <cell r="N74" t="str">
            <v/>
          </cell>
          <cell r="O74" t="str">
            <v/>
          </cell>
          <cell r="P74" t="str">
            <v/>
          </cell>
          <cell r="Q74">
            <v>9.9</v>
          </cell>
          <cell r="R74" t="str">
            <v>UND</v>
          </cell>
          <cell r="S74">
            <v>0</v>
          </cell>
          <cell r="T74">
            <v>0</v>
          </cell>
          <cell r="U74" t="str">
            <v/>
          </cell>
          <cell r="V74" t="str">
            <v>PRO10</v>
          </cell>
          <cell r="W74">
            <v>0</v>
          </cell>
        </row>
        <row r="75">
          <cell r="C75" t="str">
            <v>VE1/2CANSS50-3</v>
          </cell>
          <cell r="D75" t="str">
            <v>PRINC</v>
          </cell>
          <cell r="E75" t="str">
            <v>00002</v>
          </cell>
          <cell r="F75" t="str">
            <v>CADENAS DE TRANSMISION</v>
          </cell>
          <cell r="G75" t="str">
            <v>PRINCIPAL</v>
          </cell>
          <cell r="H75">
            <v>46004</v>
          </cell>
          <cell r="I75" t="str">
            <v>SALDO INICIAL</v>
          </cell>
          <cell r="J75">
            <v>5</v>
          </cell>
          <cell r="K75">
            <v>27.44</v>
          </cell>
          <cell r="L75">
            <v>10.856667</v>
          </cell>
          <cell r="M75">
            <v>5.4880000000000004</v>
          </cell>
          <cell r="N75" t="str">
            <v/>
          </cell>
          <cell r="O75" t="str">
            <v/>
          </cell>
          <cell r="P75" t="str">
            <v/>
          </cell>
          <cell r="Q75">
            <v>15.2</v>
          </cell>
          <cell r="R75" t="str">
            <v>UND</v>
          </cell>
          <cell r="S75">
            <v>0</v>
          </cell>
          <cell r="T75">
            <v>0</v>
          </cell>
          <cell r="U75" t="str">
            <v/>
          </cell>
          <cell r="V75" t="str">
            <v>PRO10</v>
          </cell>
          <cell r="W75">
            <v>0</v>
          </cell>
        </row>
        <row r="76">
          <cell r="C76" t="str">
            <v>RE13/SSC2050</v>
          </cell>
          <cell r="D76" t="str">
            <v>PRINC</v>
          </cell>
          <cell r="E76" t="str">
            <v>00002</v>
          </cell>
          <cell r="F76" t="str">
            <v>CADENAS DE TRANSMISION</v>
          </cell>
          <cell r="G76" t="str">
            <v>PRINCIPAL</v>
          </cell>
          <cell r="H76">
            <v>46004</v>
          </cell>
          <cell r="I76" t="str">
            <v>SALDO INICIAL</v>
          </cell>
          <cell r="J76">
            <v>10</v>
          </cell>
          <cell r="K76">
            <v>56.575000000000003</v>
          </cell>
          <cell r="L76">
            <v>4.2424999999999997</v>
          </cell>
          <cell r="M76">
            <v>5.6574999999999998</v>
          </cell>
          <cell r="N76" t="str">
            <v/>
          </cell>
          <cell r="O76" t="str">
            <v/>
          </cell>
          <cell r="P76" t="str">
            <v/>
          </cell>
          <cell r="Q76">
            <v>0</v>
          </cell>
          <cell r="R76" t="str">
            <v>UND</v>
          </cell>
          <cell r="S76">
            <v>0</v>
          </cell>
          <cell r="T76">
            <v>0</v>
          </cell>
          <cell r="U76" t="str">
            <v/>
          </cell>
          <cell r="V76" t="str">
            <v>PRO10</v>
          </cell>
          <cell r="W76">
            <v>0</v>
          </cell>
        </row>
        <row r="77">
          <cell r="C77" t="str">
            <v>LBRC50-1R</v>
          </cell>
          <cell r="D77" t="str">
            <v>PRINC</v>
          </cell>
          <cell r="E77" t="str">
            <v>00002</v>
          </cell>
          <cell r="F77" t="str">
            <v>CADENAS DE TRANSMISION</v>
          </cell>
          <cell r="G77" t="str">
            <v>PRINCIPAL</v>
          </cell>
          <cell r="H77">
            <v>46004</v>
          </cell>
          <cell r="I77" t="str">
            <v>SALDO INICIAL</v>
          </cell>
          <cell r="J77">
            <v>116</v>
          </cell>
          <cell r="K77">
            <v>3199.212661</v>
          </cell>
          <cell r="L77">
            <v>27.579419999999999</v>
          </cell>
          <cell r="M77">
            <v>27.579419490999999</v>
          </cell>
          <cell r="N77" t="str">
            <v/>
          </cell>
          <cell r="O77" t="str">
            <v/>
          </cell>
          <cell r="P77" t="str">
            <v/>
          </cell>
          <cell r="Q77">
            <v>67</v>
          </cell>
          <cell r="R77" t="str">
            <v>CJA</v>
          </cell>
          <cell r="S77">
            <v>0</v>
          </cell>
          <cell r="T77">
            <v>0</v>
          </cell>
          <cell r="U77" t="str">
            <v/>
          </cell>
          <cell r="V77" t="str">
            <v>PRO10</v>
          </cell>
          <cell r="W77">
            <v>0</v>
          </cell>
        </row>
        <row r="78">
          <cell r="C78" t="str">
            <v>LBRC60-1R</v>
          </cell>
          <cell r="D78" t="str">
            <v>PRINC</v>
          </cell>
          <cell r="E78" t="str">
            <v>00002</v>
          </cell>
          <cell r="F78" t="str">
            <v>CADENAS DE TRANSMISION</v>
          </cell>
          <cell r="G78" t="str">
            <v>PRINCIPAL</v>
          </cell>
          <cell r="H78">
            <v>46004</v>
          </cell>
          <cell r="I78" t="str">
            <v>SALDO INICIAL</v>
          </cell>
          <cell r="J78">
            <v>45</v>
          </cell>
          <cell r="K78">
            <v>1710.432</v>
          </cell>
          <cell r="L78">
            <v>38.009599999999999</v>
          </cell>
          <cell r="M78">
            <v>38.009599999999999</v>
          </cell>
          <cell r="N78" t="str">
            <v/>
          </cell>
          <cell r="O78" t="str">
            <v/>
          </cell>
          <cell r="P78" t="str">
            <v/>
          </cell>
          <cell r="Q78">
            <v>85</v>
          </cell>
          <cell r="R78" t="str">
            <v>CJA</v>
          </cell>
          <cell r="S78">
            <v>0</v>
          </cell>
          <cell r="T78">
            <v>0</v>
          </cell>
          <cell r="U78" t="str">
            <v/>
          </cell>
          <cell r="V78" t="str">
            <v>PRO10</v>
          </cell>
          <cell r="W78">
            <v>0</v>
          </cell>
        </row>
        <row r="79">
          <cell r="C79" t="str">
            <v>LBRC40-1RSS</v>
          </cell>
          <cell r="D79" t="str">
            <v>PRINC</v>
          </cell>
          <cell r="E79" t="str">
            <v>00002</v>
          </cell>
          <cell r="F79" t="str">
            <v>CADENAS DE TRANSMISION</v>
          </cell>
          <cell r="G79" t="str">
            <v>PRINCIPAL</v>
          </cell>
          <cell r="H79">
            <v>46004</v>
          </cell>
          <cell r="I79" t="str">
            <v>SALDO INICIAL</v>
          </cell>
          <cell r="J79">
            <v>6</v>
          </cell>
          <cell r="K79">
            <v>688.30400199999997</v>
          </cell>
          <cell r="L79">
            <v>81.402968000000001</v>
          </cell>
          <cell r="M79">
            <v>114.71733366700001</v>
          </cell>
          <cell r="N79" t="str">
            <v>PVP C/DSCTO $186</v>
          </cell>
          <cell r="O79" t="str">
            <v/>
          </cell>
          <cell r="P79" t="str">
            <v/>
          </cell>
          <cell r="Q79">
            <v>204</v>
          </cell>
          <cell r="R79" t="str">
            <v>CJA</v>
          </cell>
          <cell r="S79">
            <v>0</v>
          </cell>
          <cell r="T79">
            <v>0</v>
          </cell>
          <cell r="U79" t="str">
            <v/>
          </cell>
          <cell r="V79" t="str">
            <v>PRO10</v>
          </cell>
          <cell r="W79">
            <v>0</v>
          </cell>
        </row>
        <row r="80">
          <cell r="C80" t="str">
            <v>LBRC50-1RSS</v>
          </cell>
          <cell r="D80" t="str">
            <v>PRINC</v>
          </cell>
          <cell r="E80" t="str">
            <v>00002</v>
          </cell>
          <cell r="F80" t="str">
            <v>CADENAS DE TRANSMISION</v>
          </cell>
          <cell r="G80" t="str">
            <v>PRINCIPAL</v>
          </cell>
          <cell r="H80">
            <v>46004</v>
          </cell>
          <cell r="I80" t="str">
            <v>SALDO INICIAL</v>
          </cell>
          <cell r="J80">
            <v>69</v>
          </cell>
          <cell r="K80">
            <v>7248.5035079999998</v>
          </cell>
          <cell r="L80">
            <v>105.050776</v>
          </cell>
          <cell r="M80">
            <v>105.05077547800001</v>
          </cell>
          <cell r="N80" t="str">
            <v/>
          </cell>
          <cell r="O80" t="str">
            <v/>
          </cell>
          <cell r="P80" t="str">
            <v/>
          </cell>
          <cell r="Q80">
            <v>305</v>
          </cell>
          <cell r="R80" t="str">
            <v>CJA</v>
          </cell>
          <cell r="S80">
            <v>0</v>
          </cell>
          <cell r="T80">
            <v>0</v>
          </cell>
          <cell r="U80" t="str">
            <v/>
          </cell>
          <cell r="V80" t="str">
            <v>PRO10</v>
          </cell>
          <cell r="W80">
            <v>0</v>
          </cell>
        </row>
        <row r="81">
          <cell r="C81" t="str">
            <v>REA50/296</v>
          </cell>
          <cell r="D81" t="str">
            <v>PRINC</v>
          </cell>
          <cell r="E81" t="str">
            <v>00002</v>
          </cell>
          <cell r="F81" t="str">
            <v>CADENAS DE TRANSMISION</v>
          </cell>
          <cell r="G81" t="str">
            <v>PRINCIPAL</v>
          </cell>
          <cell r="H81">
            <v>46004</v>
          </cell>
          <cell r="I81" t="str">
            <v>SALDO INICIAL</v>
          </cell>
          <cell r="J81">
            <v>3</v>
          </cell>
          <cell r="K81">
            <v>100.98090000000001</v>
          </cell>
          <cell r="L81">
            <v>33.660299999999999</v>
          </cell>
          <cell r="M81">
            <v>33.660299999999999</v>
          </cell>
          <cell r="N81" t="str">
            <v/>
          </cell>
          <cell r="O81" t="str">
            <v/>
          </cell>
          <cell r="P81" t="str">
            <v/>
          </cell>
          <cell r="Q81">
            <v>58.3</v>
          </cell>
          <cell r="R81" t="str">
            <v>CJA</v>
          </cell>
          <cell r="S81">
            <v>0</v>
          </cell>
          <cell r="T81">
            <v>0</v>
          </cell>
          <cell r="U81" t="str">
            <v/>
          </cell>
          <cell r="V81" t="str">
            <v>PRO10</v>
          </cell>
          <cell r="W81">
            <v>0</v>
          </cell>
        </row>
        <row r="82">
          <cell r="C82" t="str">
            <v>REA40-2/013</v>
          </cell>
          <cell r="D82" t="str">
            <v>PRINC</v>
          </cell>
          <cell r="E82" t="str">
            <v>00002</v>
          </cell>
          <cell r="F82" t="str">
            <v>CADENAS DE TRANSMISION</v>
          </cell>
          <cell r="G82" t="str">
            <v>PRINCIPAL</v>
          </cell>
          <cell r="H82">
            <v>46004</v>
          </cell>
          <cell r="I82" t="str">
            <v>SALDO INICIAL</v>
          </cell>
          <cell r="J82">
            <v>1</v>
          </cell>
          <cell r="K82">
            <v>74.670299999999997</v>
          </cell>
          <cell r="L82">
            <v>0</v>
          </cell>
          <cell r="M82">
            <v>74.670299999999997</v>
          </cell>
          <cell r="N82" t="str">
            <v/>
          </cell>
          <cell r="O82" t="str">
            <v/>
          </cell>
          <cell r="P82" t="str">
            <v/>
          </cell>
          <cell r="Q82">
            <v>0</v>
          </cell>
          <cell r="R82" t="str">
            <v>CJA</v>
          </cell>
          <cell r="S82">
            <v>0</v>
          </cell>
          <cell r="T82">
            <v>0</v>
          </cell>
          <cell r="U82" t="str">
            <v/>
          </cell>
          <cell r="V82" t="str">
            <v>PRO10</v>
          </cell>
          <cell r="W82">
            <v>0</v>
          </cell>
        </row>
        <row r="83">
          <cell r="C83" t="str">
            <v>RESSA40-2/00A</v>
          </cell>
          <cell r="D83" t="str">
            <v>PRINC</v>
          </cell>
          <cell r="E83" t="str">
            <v>00002</v>
          </cell>
          <cell r="F83" t="str">
            <v>CADENAS DE TRANSMISION</v>
          </cell>
          <cell r="G83" t="str">
            <v>PRINCIPAL</v>
          </cell>
          <cell r="H83">
            <v>46004</v>
          </cell>
          <cell r="I83" t="str">
            <v>SALDO INICIAL</v>
          </cell>
          <cell r="J83">
            <v>1</v>
          </cell>
          <cell r="K83">
            <v>202.15350000000001</v>
          </cell>
          <cell r="L83">
            <v>202.15350000000001</v>
          </cell>
          <cell r="M83">
            <v>202.15350000000001</v>
          </cell>
          <cell r="N83" t="str">
            <v/>
          </cell>
          <cell r="O83" t="str">
            <v/>
          </cell>
          <cell r="P83" t="str">
            <v/>
          </cell>
          <cell r="Q83">
            <v>330.9</v>
          </cell>
          <cell r="R83" t="str">
            <v>CJA</v>
          </cell>
          <cell r="S83">
            <v>0</v>
          </cell>
          <cell r="T83">
            <v>0</v>
          </cell>
          <cell r="U83" t="str">
            <v/>
          </cell>
          <cell r="V83" t="str">
            <v>PRO10</v>
          </cell>
          <cell r="W83">
            <v>0</v>
          </cell>
        </row>
        <row r="84">
          <cell r="C84" t="str">
            <v>RE10126/000</v>
          </cell>
          <cell r="D84" t="str">
            <v>PRINC</v>
          </cell>
          <cell r="E84" t="str">
            <v>00002</v>
          </cell>
          <cell r="F84" t="str">
            <v>CADENAS DE TRANSMISION</v>
          </cell>
          <cell r="G84" t="str">
            <v>PRINCIPAL</v>
          </cell>
          <cell r="H84">
            <v>46004</v>
          </cell>
          <cell r="I84" t="str">
            <v>SALDO INICIAL</v>
          </cell>
          <cell r="J84">
            <v>0</v>
          </cell>
          <cell r="K84">
            <v>0</v>
          </cell>
          <cell r="L84">
            <v>206.82624999999999</v>
          </cell>
          <cell r="M84">
            <v>0</v>
          </cell>
          <cell r="N84" t="str">
            <v/>
          </cell>
          <cell r="O84" t="str">
            <v/>
          </cell>
          <cell r="P84" t="str">
            <v/>
          </cell>
          <cell r="Q84">
            <v>0</v>
          </cell>
          <cell r="R84" t="str">
            <v>ROL</v>
          </cell>
          <cell r="S84">
            <v>0</v>
          </cell>
          <cell r="T84">
            <v>0</v>
          </cell>
          <cell r="U84" t="str">
            <v/>
          </cell>
          <cell r="V84" t="str">
            <v>PRO10</v>
          </cell>
          <cell r="W84">
            <v>0</v>
          </cell>
        </row>
        <row r="85">
          <cell r="C85" t="str">
            <v>RESS10126/00AFT</v>
          </cell>
          <cell r="D85" t="str">
            <v>PRINC</v>
          </cell>
          <cell r="E85" t="str">
            <v>00002</v>
          </cell>
          <cell r="F85" t="str">
            <v>CADENAS DE TRANSMISION</v>
          </cell>
          <cell r="G85" t="str">
            <v>PRINCIPAL</v>
          </cell>
          <cell r="H85">
            <v>46004</v>
          </cell>
          <cell r="I85" t="str">
            <v>SALDO INICIAL</v>
          </cell>
          <cell r="J85">
            <v>1</v>
          </cell>
          <cell r="K85">
            <v>134.81857099999999</v>
          </cell>
          <cell r="L85">
            <v>134.81857099999999</v>
          </cell>
          <cell r="M85">
            <v>134.81857099999999</v>
          </cell>
          <cell r="N85" t="str">
            <v/>
          </cell>
          <cell r="O85" t="str">
            <v/>
          </cell>
          <cell r="P85" t="str">
            <v/>
          </cell>
          <cell r="Q85">
            <v>0</v>
          </cell>
          <cell r="R85" t="str">
            <v>ROL</v>
          </cell>
          <cell r="S85">
            <v>0</v>
          </cell>
          <cell r="T85">
            <v>0</v>
          </cell>
          <cell r="U85" t="str">
            <v/>
          </cell>
          <cell r="V85" t="str">
            <v>PRO10</v>
          </cell>
          <cell r="W85">
            <v>0</v>
          </cell>
        </row>
        <row r="86">
          <cell r="C86" t="str">
            <v>RESS1068/000A</v>
          </cell>
          <cell r="D86" t="str">
            <v>PRINC</v>
          </cell>
          <cell r="E86" t="str">
            <v>00002</v>
          </cell>
          <cell r="F86" t="str">
            <v>CADENAS DE TRANSMISION</v>
          </cell>
          <cell r="G86" t="str">
            <v>PRINCIPAL</v>
          </cell>
          <cell r="H86">
            <v>46004</v>
          </cell>
          <cell r="I86" t="str">
            <v>SALDO INICIAL</v>
          </cell>
          <cell r="J86">
            <v>14</v>
          </cell>
          <cell r="K86">
            <v>5331.0144979999995</v>
          </cell>
          <cell r="L86">
            <v>361.54924999999997</v>
          </cell>
          <cell r="M86">
            <v>380.78674985700002</v>
          </cell>
          <cell r="N86" t="str">
            <v/>
          </cell>
          <cell r="O86" t="str">
            <v/>
          </cell>
          <cell r="P86" t="str">
            <v/>
          </cell>
          <cell r="Q86">
            <v>0</v>
          </cell>
          <cell r="R86" t="str">
            <v>CJA</v>
          </cell>
          <cell r="S86">
            <v>0</v>
          </cell>
          <cell r="T86">
            <v>0</v>
          </cell>
          <cell r="U86" t="str">
            <v/>
          </cell>
          <cell r="V86" t="str">
            <v>PRO10</v>
          </cell>
          <cell r="W86">
            <v>0</v>
          </cell>
        </row>
        <row r="87">
          <cell r="C87" t="str">
            <v>RESSC2050/7MB</v>
          </cell>
          <cell r="D87" t="str">
            <v>PRINC</v>
          </cell>
          <cell r="E87" t="str">
            <v>00002</v>
          </cell>
          <cell r="F87" t="str">
            <v>CADENAS DE TRANSMISION</v>
          </cell>
          <cell r="G87" t="str">
            <v>PRINCIPAL</v>
          </cell>
          <cell r="H87">
            <v>46004</v>
          </cell>
          <cell r="I87" t="str">
            <v>SALDO INICIAL</v>
          </cell>
          <cell r="J87">
            <v>0</v>
          </cell>
          <cell r="K87">
            <v>-547.32500000000005</v>
          </cell>
          <cell r="L87">
            <v>273.66250000000002</v>
          </cell>
          <cell r="M87">
            <v>0</v>
          </cell>
          <cell r="N87" t="str">
            <v/>
          </cell>
          <cell r="O87" t="str">
            <v/>
          </cell>
          <cell r="P87" t="str">
            <v/>
          </cell>
          <cell r="Q87">
            <v>0</v>
          </cell>
          <cell r="R87" t="str">
            <v>CJA</v>
          </cell>
          <cell r="S87">
            <v>0</v>
          </cell>
          <cell r="T87">
            <v>0</v>
          </cell>
          <cell r="U87" t="str">
            <v/>
          </cell>
          <cell r="V87" t="str">
            <v>PRO10</v>
          </cell>
          <cell r="W87">
            <v>0</v>
          </cell>
        </row>
        <row r="88">
          <cell r="C88" t="str">
            <v>VECADSS06B-2</v>
          </cell>
          <cell r="D88" t="str">
            <v>PRINC</v>
          </cell>
          <cell r="E88" t="str">
            <v>00002</v>
          </cell>
          <cell r="F88" t="str">
            <v>CADENAS DE TRANSMISION</v>
          </cell>
          <cell r="G88" t="str">
            <v>PRINCIPAL</v>
          </cell>
          <cell r="H88">
            <v>46004</v>
          </cell>
          <cell r="I88" t="str">
            <v>SALDO INICIAL</v>
          </cell>
          <cell r="J88">
            <v>5</v>
          </cell>
          <cell r="K88">
            <v>364.03928500000001</v>
          </cell>
          <cell r="L88">
            <v>72.807856999999998</v>
          </cell>
          <cell r="M88">
            <v>72.807856999999998</v>
          </cell>
          <cell r="N88" t="str">
            <v/>
          </cell>
          <cell r="O88" t="str">
            <v/>
          </cell>
          <cell r="P88" t="str">
            <v/>
          </cell>
          <cell r="Q88">
            <v>185</v>
          </cell>
          <cell r="R88" t="str">
            <v>CJA</v>
          </cell>
          <cell r="S88">
            <v>0</v>
          </cell>
          <cell r="T88">
            <v>0</v>
          </cell>
          <cell r="U88" t="str">
            <v/>
          </cell>
          <cell r="V88" t="str">
            <v>PRO10</v>
          </cell>
          <cell r="W88">
            <v>0</v>
          </cell>
        </row>
        <row r="89">
          <cell r="C89" t="str">
            <v>VECADSS08B-2</v>
          </cell>
          <cell r="D89" t="str">
            <v>PRINC</v>
          </cell>
          <cell r="E89" t="str">
            <v>00002</v>
          </cell>
          <cell r="F89" t="str">
            <v>CADENAS DE TRANSMISION</v>
          </cell>
          <cell r="G89" t="str">
            <v>PRINCIPAL</v>
          </cell>
          <cell r="H89">
            <v>46004</v>
          </cell>
          <cell r="I89" t="str">
            <v>SALDO INICIAL</v>
          </cell>
          <cell r="J89">
            <v>2</v>
          </cell>
          <cell r="K89">
            <v>241.29</v>
          </cell>
          <cell r="L89">
            <v>120.645</v>
          </cell>
          <cell r="M89">
            <v>120.645</v>
          </cell>
          <cell r="N89" t="str">
            <v/>
          </cell>
          <cell r="O89" t="str">
            <v/>
          </cell>
          <cell r="P89" t="str">
            <v/>
          </cell>
          <cell r="Q89">
            <v>229.5</v>
          </cell>
          <cell r="R89" t="str">
            <v>CJA</v>
          </cell>
          <cell r="S89">
            <v>0</v>
          </cell>
          <cell r="T89">
            <v>0</v>
          </cell>
          <cell r="U89" t="str">
            <v/>
          </cell>
          <cell r="V89" t="str">
            <v>PRO10</v>
          </cell>
          <cell r="W89">
            <v>0</v>
          </cell>
        </row>
        <row r="90">
          <cell r="C90" t="str">
            <v>VECADSS40-2</v>
          </cell>
          <cell r="D90" t="str">
            <v>PRINC</v>
          </cell>
          <cell r="E90" t="str">
            <v>00002</v>
          </cell>
          <cell r="F90" t="str">
            <v>CADENAS DE TRANSMISION</v>
          </cell>
          <cell r="G90" t="str">
            <v>PRINCIPAL</v>
          </cell>
          <cell r="H90">
            <v>46004</v>
          </cell>
          <cell r="I90" t="str">
            <v>SALDO INICIAL</v>
          </cell>
          <cell r="J90">
            <v>1</v>
          </cell>
          <cell r="K90">
            <v>53.281998999999999</v>
          </cell>
          <cell r="L90">
            <v>53.281999999999996</v>
          </cell>
          <cell r="M90">
            <v>53.281998999999999</v>
          </cell>
          <cell r="N90" t="str">
            <v/>
          </cell>
          <cell r="O90" t="str">
            <v/>
          </cell>
          <cell r="P90" t="str">
            <v/>
          </cell>
          <cell r="Q90">
            <v>203.6</v>
          </cell>
          <cell r="R90" t="str">
            <v>CJA</v>
          </cell>
          <cell r="S90">
            <v>0</v>
          </cell>
          <cell r="T90">
            <v>0</v>
          </cell>
          <cell r="U90" t="str">
            <v/>
          </cell>
          <cell r="V90" t="str">
            <v>PRO10</v>
          </cell>
          <cell r="W90">
            <v>0</v>
          </cell>
        </row>
        <row r="91">
          <cell r="C91" t="str">
            <v>VECADSS50-2</v>
          </cell>
          <cell r="D91" t="str">
            <v>PRINC</v>
          </cell>
          <cell r="E91" t="str">
            <v>00002</v>
          </cell>
          <cell r="F91" t="str">
            <v>CADENAS DE TRANSMISION</v>
          </cell>
          <cell r="G91" t="str">
            <v>PRINCIPAL</v>
          </cell>
          <cell r="H91">
            <v>46004</v>
          </cell>
          <cell r="I91" t="str">
            <v>SALDO INICIAL</v>
          </cell>
          <cell r="J91">
            <v>1</v>
          </cell>
          <cell r="K91">
            <v>148.4555</v>
          </cell>
          <cell r="L91">
            <v>148.4555</v>
          </cell>
          <cell r="M91">
            <v>148.4555</v>
          </cell>
          <cell r="N91" t="str">
            <v/>
          </cell>
          <cell r="O91" t="str">
            <v/>
          </cell>
          <cell r="P91" t="str">
            <v/>
          </cell>
          <cell r="Q91">
            <v>302.39999999999998</v>
          </cell>
          <cell r="R91" t="str">
            <v>CJA</v>
          </cell>
          <cell r="S91">
            <v>0</v>
          </cell>
          <cell r="T91">
            <v>0</v>
          </cell>
          <cell r="U91" t="str">
            <v/>
          </cell>
          <cell r="V91" t="str">
            <v>PRO10</v>
          </cell>
          <cell r="W91">
            <v>0</v>
          </cell>
        </row>
        <row r="92">
          <cell r="C92" t="str">
            <v>VECADSS60-2</v>
          </cell>
          <cell r="D92" t="str">
            <v>PRINC</v>
          </cell>
          <cell r="E92" t="str">
            <v>00002</v>
          </cell>
          <cell r="F92" t="str">
            <v>CADENAS DE TRANSMISION</v>
          </cell>
          <cell r="G92" t="str">
            <v>PRINCIPAL</v>
          </cell>
          <cell r="H92">
            <v>46004</v>
          </cell>
          <cell r="I92" t="str">
            <v>SALDO INICIAL</v>
          </cell>
          <cell r="J92">
            <v>9</v>
          </cell>
          <cell r="K92">
            <v>1910.941875</v>
          </cell>
          <cell r="L92">
            <v>212.326875</v>
          </cell>
          <cell r="M92">
            <v>212.326875</v>
          </cell>
          <cell r="N92" t="str">
            <v/>
          </cell>
          <cell r="O92" t="str">
            <v/>
          </cell>
          <cell r="P92" t="str">
            <v/>
          </cell>
          <cell r="Q92">
            <v>314.45</v>
          </cell>
          <cell r="R92" t="str">
            <v>CJA</v>
          </cell>
          <cell r="S92">
            <v>0</v>
          </cell>
          <cell r="T92">
            <v>0</v>
          </cell>
          <cell r="U92" t="str">
            <v/>
          </cell>
          <cell r="V92" t="str">
            <v>PRO10</v>
          </cell>
          <cell r="W92">
            <v>0</v>
          </cell>
        </row>
        <row r="93">
          <cell r="C93" t="str">
            <v>VECADSS80-2</v>
          </cell>
          <cell r="D93" t="str">
            <v>PRINC</v>
          </cell>
          <cell r="E93" t="str">
            <v>00002</v>
          </cell>
          <cell r="F93" t="str">
            <v>CADENAS DE TRANSMISION</v>
          </cell>
          <cell r="G93" t="str">
            <v>PRINCIPAL</v>
          </cell>
          <cell r="H93">
            <v>46004</v>
          </cell>
          <cell r="I93" t="str">
            <v>SALDO INICIAL</v>
          </cell>
          <cell r="J93">
            <v>4</v>
          </cell>
          <cell r="K93">
            <v>1081.4680000000001</v>
          </cell>
          <cell r="L93">
            <v>270.36700000000002</v>
          </cell>
          <cell r="M93">
            <v>270.36700000000002</v>
          </cell>
          <cell r="N93" t="str">
            <v/>
          </cell>
          <cell r="O93" t="str">
            <v/>
          </cell>
          <cell r="P93" t="str">
            <v/>
          </cell>
          <cell r="Q93">
            <v>400.25</v>
          </cell>
          <cell r="R93" t="str">
            <v>CJA</v>
          </cell>
          <cell r="S93">
            <v>0</v>
          </cell>
          <cell r="T93">
            <v>0</v>
          </cell>
          <cell r="U93" t="str">
            <v/>
          </cell>
          <cell r="V93" t="str">
            <v>PRO10</v>
          </cell>
          <cell r="W93">
            <v>0</v>
          </cell>
        </row>
        <row r="94">
          <cell r="C94" t="str">
            <v>VECADFE100</v>
          </cell>
          <cell r="D94" t="str">
            <v>PRINC</v>
          </cell>
          <cell r="E94" t="str">
            <v>00002</v>
          </cell>
          <cell r="F94" t="str">
            <v>CADENAS DE TRANSMISION</v>
          </cell>
          <cell r="G94" t="str">
            <v>PRINCIPAL</v>
          </cell>
          <cell r="H94">
            <v>46004</v>
          </cell>
          <cell r="I94" t="str">
            <v>SALDO INICIAL</v>
          </cell>
          <cell r="J94">
            <v>11</v>
          </cell>
          <cell r="K94">
            <v>621.69749999999999</v>
          </cell>
          <cell r="L94">
            <v>63.777500000000003</v>
          </cell>
          <cell r="M94">
            <v>56.517954545000002</v>
          </cell>
          <cell r="N94" t="str">
            <v/>
          </cell>
          <cell r="O94" t="str">
            <v/>
          </cell>
          <cell r="P94" t="str">
            <v/>
          </cell>
          <cell r="Q94">
            <v>145</v>
          </cell>
          <cell r="R94" t="str">
            <v>CJA</v>
          </cell>
          <cell r="S94">
            <v>0</v>
          </cell>
          <cell r="T94">
            <v>0</v>
          </cell>
          <cell r="U94" t="str">
            <v/>
          </cell>
          <cell r="V94" t="str">
            <v>PRO10</v>
          </cell>
          <cell r="W94">
            <v>0</v>
          </cell>
        </row>
        <row r="95">
          <cell r="C95" t="str">
            <v>VECADFE120</v>
          </cell>
          <cell r="D95" t="str">
            <v>PRINC</v>
          </cell>
          <cell r="E95" t="str">
            <v>00002</v>
          </cell>
          <cell r="F95" t="str">
            <v>CADENAS DE TRANSMISION</v>
          </cell>
          <cell r="G95" t="str">
            <v>PRINCIPAL</v>
          </cell>
          <cell r="H95">
            <v>46004</v>
          </cell>
          <cell r="I95" t="str">
            <v>SALDO INICIAL</v>
          </cell>
          <cell r="J95">
            <v>10</v>
          </cell>
          <cell r="K95">
            <v>839.386664</v>
          </cell>
          <cell r="L95">
            <v>98.566666999999995</v>
          </cell>
          <cell r="M95">
            <v>83.938666400000002</v>
          </cell>
          <cell r="N95" t="str">
            <v/>
          </cell>
          <cell r="O95" t="str">
            <v/>
          </cell>
          <cell r="P95" t="str">
            <v/>
          </cell>
          <cell r="Q95">
            <v>182.35</v>
          </cell>
          <cell r="R95" t="str">
            <v>CJA</v>
          </cell>
          <cell r="S95">
            <v>0</v>
          </cell>
          <cell r="T95">
            <v>0</v>
          </cell>
          <cell r="U95" t="str">
            <v/>
          </cell>
          <cell r="V95" t="str">
            <v>PRO10</v>
          </cell>
          <cell r="W95">
            <v>0</v>
          </cell>
        </row>
        <row r="96">
          <cell r="C96" t="str">
            <v>VECADFE12B</v>
          </cell>
          <cell r="D96" t="str">
            <v>PRINC</v>
          </cell>
          <cell r="E96" t="str">
            <v>00002</v>
          </cell>
          <cell r="F96" t="str">
            <v>CADENAS DE TRANSMISION</v>
          </cell>
          <cell r="G96" t="str">
            <v>PRINCIPAL</v>
          </cell>
          <cell r="H96">
            <v>46004</v>
          </cell>
          <cell r="I96" t="str">
            <v>SALDO INICIAL</v>
          </cell>
          <cell r="J96">
            <v>20</v>
          </cell>
          <cell r="K96">
            <v>381.93</v>
          </cell>
          <cell r="L96">
            <v>33.93</v>
          </cell>
          <cell r="M96">
            <v>19.096499999999999</v>
          </cell>
          <cell r="N96" t="str">
            <v/>
          </cell>
          <cell r="O96" t="str">
            <v/>
          </cell>
          <cell r="P96" t="str">
            <v/>
          </cell>
          <cell r="Q96">
            <v>36.299999999999997</v>
          </cell>
          <cell r="R96" t="str">
            <v>CJA</v>
          </cell>
          <cell r="S96">
            <v>0</v>
          </cell>
          <cell r="T96">
            <v>0</v>
          </cell>
          <cell r="U96" t="str">
            <v/>
          </cell>
          <cell r="V96" t="str">
            <v>PRO10</v>
          </cell>
          <cell r="W96">
            <v>0</v>
          </cell>
        </row>
        <row r="97">
          <cell r="C97" t="str">
            <v>VECADFE16B</v>
          </cell>
          <cell r="D97" t="str">
            <v>PRINC</v>
          </cell>
          <cell r="E97" t="str">
            <v>00002</v>
          </cell>
          <cell r="F97" t="str">
            <v>CADENAS DE TRANSMISION</v>
          </cell>
          <cell r="G97" t="str">
            <v>PRINCIPAL</v>
          </cell>
          <cell r="H97">
            <v>46004</v>
          </cell>
          <cell r="I97" t="str">
            <v>SALDO INICIAL</v>
          </cell>
          <cell r="J97">
            <v>3</v>
          </cell>
          <cell r="K97">
            <v>121.875</v>
          </cell>
          <cell r="L97">
            <v>40.625</v>
          </cell>
          <cell r="M97">
            <v>40.625</v>
          </cell>
          <cell r="N97" t="str">
            <v/>
          </cell>
          <cell r="O97" t="str">
            <v/>
          </cell>
          <cell r="P97" t="str">
            <v/>
          </cell>
          <cell r="Q97">
            <v>77.2</v>
          </cell>
          <cell r="R97" t="str">
            <v>CJA</v>
          </cell>
          <cell r="S97">
            <v>0</v>
          </cell>
          <cell r="T97">
            <v>0</v>
          </cell>
          <cell r="U97" t="str">
            <v/>
          </cell>
          <cell r="V97" t="str">
            <v>PRO10</v>
          </cell>
          <cell r="W97">
            <v>0</v>
          </cell>
        </row>
        <row r="98">
          <cell r="C98" t="str">
            <v>VECADFE40</v>
          </cell>
          <cell r="D98" t="str">
            <v>PRINC</v>
          </cell>
          <cell r="E98" t="str">
            <v>00002</v>
          </cell>
          <cell r="F98" t="str">
            <v>CADENAS DE TRANSMISION</v>
          </cell>
          <cell r="G98" t="str">
            <v>PRINCIPAL</v>
          </cell>
          <cell r="H98">
            <v>46004</v>
          </cell>
          <cell r="I98" t="str">
            <v>SALDO INICIAL</v>
          </cell>
          <cell r="J98">
            <v>66</v>
          </cell>
          <cell r="K98">
            <v>751.26971200000003</v>
          </cell>
          <cell r="L98">
            <v>11.382873999999999</v>
          </cell>
          <cell r="M98">
            <v>11.382874424000001</v>
          </cell>
          <cell r="N98" t="str">
            <v/>
          </cell>
          <cell r="O98" t="str">
            <v/>
          </cell>
          <cell r="P98" t="str">
            <v/>
          </cell>
          <cell r="Q98">
            <v>19.350000000000001</v>
          </cell>
          <cell r="R98" t="str">
            <v>CJA</v>
          </cell>
          <cell r="S98">
            <v>0</v>
          </cell>
          <cell r="T98">
            <v>0</v>
          </cell>
          <cell r="U98" t="str">
            <v/>
          </cell>
          <cell r="V98" t="str">
            <v>PRO10</v>
          </cell>
          <cell r="W98">
            <v>0</v>
          </cell>
        </row>
        <row r="99">
          <cell r="C99" t="str">
            <v>VECADFE50</v>
          </cell>
          <cell r="D99" t="str">
            <v>PRINC</v>
          </cell>
          <cell r="E99" t="str">
            <v>00002</v>
          </cell>
          <cell r="F99" t="str">
            <v>CADENAS DE TRANSMISION</v>
          </cell>
          <cell r="G99" t="str">
            <v>PRINCIPAL</v>
          </cell>
          <cell r="H99">
            <v>46004</v>
          </cell>
          <cell r="I99" t="str">
            <v>SALDO INICIAL</v>
          </cell>
          <cell r="J99">
            <v>65</v>
          </cell>
          <cell r="K99">
            <v>1152.411752</v>
          </cell>
          <cell r="L99">
            <v>17.729412</v>
          </cell>
          <cell r="M99">
            <v>17.729411569</v>
          </cell>
          <cell r="N99" t="str">
            <v/>
          </cell>
          <cell r="O99" t="str">
            <v/>
          </cell>
          <cell r="P99" t="str">
            <v/>
          </cell>
          <cell r="Q99">
            <v>36</v>
          </cell>
          <cell r="R99" t="str">
            <v>CJA</v>
          </cell>
          <cell r="S99">
            <v>0</v>
          </cell>
          <cell r="T99">
            <v>0</v>
          </cell>
          <cell r="U99" t="str">
            <v/>
          </cell>
          <cell r="V99" t="str">
            <v>PRO10</v>
          </cell>
          <cell r="W99">
            <v>0</v>
          </cell>
        </row>
        <row r="100">
          <cell r="C100" t="str">
            <v>VECADFE60</v>
          </cell>
          <cell r="D100" t="str">
            <v>PRINC</v>
          </cell>
          <cell r="E100" t="str">
            <v>00002</v>
          </cell>
          <cell r="F100" t="str">
            <v>CADENAS DE TRANSMISION</v>
          </cell>
          <cell r="G100" t="str">
            <v>PRINCIPAL</v>
          </cell>
          <cell r="H100">
            <v>46004</v>
          </cell>
          <cell r="I100" t="str">
            <v>SALDO INICIAL</v>
          </cell>
          <cell r="J100">
            <v>11</v>
          </cell>
          <cell r="K100">
            <v>256.72800999999998</v>
          </cell>
          <cell r="L100">
            <v>23.338909999999998</v>
          </cell>
          <cell r="M100">
            <v>23.338909999999998</v>
          </cell>
          <cell r="N100" t="str">
            <v/>
          </cell>
          <cell r="O100" t="str">
            <v/>
          </cell>
          <cell r="P100" t="str">
            <v/>
          </cell>
          <cell r="Q100">
            <v>49</v>
          </cell>
          <cell r="R100" t="str">
            <v>CJA</v>
          </cell>
          <cell r="S100">
            <v>0</v>
          </cell>
          <cell r="T100">
            <v>0</v>
          </cell>
          <cell r="U100" t="str">
            <v/>
          </cell>
          <cell r="V100" t="str">
            <v>PRO10</v>
          </cell>
          <cell r="W100">
            <v>0</v>
          </cell>
        </row>
        <row r="101">
          <cell r="C101" t="str">
            <v>VECADFE80</v>
          </cell>
          <cell r="D101" t="str">
            <v>PRINC</v>
          </cell>
          <cell r="E101" t="str">
            <v>00002</v>
          </cell>
          <cell r="F101" t="str">
            <v>CADENAS DE TRANSMISION</v>
          </cell>
          <cell r="G101" t="str">
            <v>PRINCIPAL</v>
          </cell>
          <cell r="H101">
            <v>46004</v>
          </cell>
          <cell r="I101" t="str">
            <v>SALDO INICIAL</v>
          </cell>
          <cell r="J101">
            <v>5</v>
          </cell>
          <cell r="K101">
            <v>206.69218699999999</v>
          </cell>
          <cell r="L101">
            <v>41.338436999999999</v>
          </cell>
          <cell r="M101">
            <v>41.338437399999997</v>
          </cell>
          <cell r="N101" t="str">
            <v/>
          </cell>
          <cell r="O101" t="str">
            <v/>
          </cell>
          <cell r="P101" t="str">
            <v/>
          </cell>
          <cell r="Q101">
            <v>99</v>
          </cell>
          <cell r="R101" t="str">
            <v>CJA</v>
          </cell>
          <cell r="S101">
            <v>0</v>
          </cell>
          <cell r="T101">
            <v>0</v>
          </cell>
          <cell r="U101" t="str">
            <v/>
          </cell>
          <cell r="V101" t="str">
            <v>PRO10</v>
          </cell>
          <cell r="W101">
            <v>0</v>
          </cell>
        </row>
        <row r="102">
          <cell r="C102" t="str">
            <v>VECADSSC2052</v>
          </cell>
          <cell r="D102" t="str">
            <v>PRINC</v>
          </cell>
          <cell r="E102" t="str">
            <v>00002</v>
          </cell>
          <cell r="F102" t="str">
            <v>CADENAS DE TRANSMISION</v>
          </cell>
          <cell r="G102" t="str">
            <v>PRINCIPAL</v>
          </cell>
          <cell r="H102">
            <v>46004</v>
          </cell>
          <cell r="I102" t="str">
            <v>SALDO INICIAL</v>
          </cell>
          <cell r="J102">
            <v>4</v>
          </cell>
          <cell r="K102">
            <v>396.44666799999999</v>
          </cell>
          <cell r="L102">
            <v>99.111666999999997</v>
          </cell>
          <cell r="M102">
            <v>99.111666999999997</v>
          </cell>
          <cell r="N102" t="str">
            <v>PASO 1.1/4"</v>
          </cell>
          <cell r="O102" t="str">
            <v/>
          </cell>
          <cell r="P102" t="str">
            <v/>
          </cell>
          <cell r="Q102">
            <v>0</v>
          </cell>
          <cell r="R102" t="str">
            <v>CJA</v>
          </cell>
          <cell r="S102">
            <v>0</v>
          </cell>
          <cell r="T102">
            <v>0</v>
          </cell>
          <cell r="U102" t="str">
            <v/>
          </cell>
          <cell r="V102" t="str">
            <v>PRO10</v>
          </cell>
          <cell r="W102">
            <v>0</v>
          </cell>
        </row>
        <row r="103">
          <cell r="C103" t="str">
            <v>VECADSS08</v>
          </cell>
          <cell r="D103" t="str">
            <v>PRINC</v>
          </cell>
          <cell r="E103" t="str">
            <v>00002</v>
          </cell>
          <cell r="F103" t="str">
            <v>CADENAS DE TRANSMISION</v>
          </cell>
          <cell r="G103" t="str">
            <v>PRINCIPAL</v>
          </cell>
          <cell r="H103">
            <v>46004</v>
          </cell>
          <cell r="I103" t="str">
            <v>SALDO INICIAL</v>
          </cell>
          <cell r="J103">
            <v>9</v>
          </cell>
          <cell r="K103">
            <v>669.01499999999999</v>
          </cell>
          <cell r="L103">
            <v>74.334999999999994</v>
          </cell>
          <cell r="M103">
            <v>74.334999999999994</v>
          </cell>
          <cell r="N103" t="str">
            <v/>
          </cell>
          <cell r="O103" t="str">
            <v/>
          </cell>
          <cell r="P103" t="str">
            <v/>
          </cell>
          <cell r="Q103">
            <v>148.69999999999999</v>
          </cell>
          <cell r="R103" t="str">
            <v>CJA</v>
          </cell>
          <cell r="S103">
            <v>0</v>
          </cell>
          <cell r="T103">
            <v>0</v>
          </cell>
          <cell r="U103" t="str">
            <v/>
          </cell>
          <cell r="V103" t="str">
            <v>PRO10</v>
          </cell>
          <cell r="W103">
            <v>0</v>
          </cell>
        </row>
        <row r="104">
          <cell r="C104" t="str">
            <v>VECADSS100</v>
          </cell>
          <cell r="D104" t="str">
            <v>PRINC</v>
          </cell>
          <cell r="E104" t="str">
            <v>00002</v>
          </cell>
          <cell r="F104" t="str">
            <v>CADENAS DE TRANSMISION</v>
          </cell>
          <cell r="G104" t="str">
            <v>PRINCIPAL</v>
          </cell>
          <cell r="H104">
            <v>46004</v>
          </cell>
          <cell r="I104" t="str">
            <v>SALDO INICIAL</v>
          </cell>
          <cell r="J104">
            <v>7</v>
          </cell>
          <cell r="K104">
            <v>1157.8420000000001</v>
          </cell>
          <cell r="L104">
            <v>165.40600000000001</v>
          </cell>
          <cell r="M104">
            <v>165.40600000000001</v>
          </cell>
          <cell r="N104" t="str">
            <v/>
          </cell>
          <cell r="O104" t="str">
            <v/>
          </cell>
          <cell r="P104" t="str">
            <v/>
          </cell>
          <cell r="Q104">
            <v>382.4</v>
          </cell>
          <cell r="R104" t="str">
            <v>CJA</v>
          </cell>
          <cell r="S104">
            <v>0</v>
          </cell>
          <cell r="T104">
            <v>0</v>
          </cell>
          <cell r="U104" t="str">
            <v/>
          </cell>
          <cell r="V104" t="str">
            <v>PRO10</v>
          </cell>
          <cell r="W104">
            <v>0</v>
          </cell>
        </row>
        <row r="105">
          <cell r="C105" t="str">
            <v>VECADSS10B</v>
          </cell>
          <cell r="D105" t="str">
            <v>PRINC</v>
          </cell>
          <cell r="E105" t="str">
            <v>00002</v>
          </cell>
          <cell r="F105" t="str">
            <v>CADENAS DE TRANSMISION</v>
          </cell>
          <cell r="G105" t="str">
            <v>PRINCIPAL</v>
          </cell>
          <cell r="H105">
            <v>46004</v>
          </cell>
          <cell r="I105" t="str">
            <v>SALDO INICIAL</v>
          </cell>
          <cell r="J105">
            <v>4</v>
          </cell>
          <cell r="K105">
            <v>245.92</v>
          </cell>
          <cell r="L105">
            <v>0</v>
          </cell>
          <cell r="M105">
            <v>61.48</v>
          </cell>
          <cell r="N105" t="str">
            <v/>
          </cell>
          <cell r="O105" t="str">
            <v/>
          </cell>
          <cell r="P105" t="str">
            <v/>
          </cell>
          <cell r="Q105">
            <v>123</v>
          </cell>
          <cell r="R105" t="str">
            <v>CJA</v>
          </cell>
          <cell r="S105">
            <v>0</v>
          </cell>
          <cell r="T105">
            <v>0</v>
          </cell>
          <cell r="U105" t="str">
            <v/>
          </cell>
          <cell r="V105" t="str">
            <v>PRO10</v>
          </cell>
          <cell r="W105">
            <v>0</v>
          </cell>
        </row>
        <row r="106">
          <cell r="C106" t="str">
            <v>VECADSS12B</v>
          </cell>
          <cell r="D106" t="str">
            <v>PRINC</v>
          </cell>
          <cell r="E106" t="str">
            <v>00002</v>
          </cell>
          <cell r="F106" t="str">
            <v>CADENAS DE TRANSMISION</v>
          </cell>
          <cell r="G106" t="str">
            <v>PRINCIPAL</v>
          </cell>
          <cell r="H106">
            <v>46004</v>
          </cell>
          <cell r="I106" t="str">
            <v>SALDO INICIAL</v>
          </cell>
          <cell r="J106">
            <v>10</v>
          </cell>
          <cell r="K106">
            <v>540.57000000000005</v>
          </cell>
          <cell r="L106">
            <v>77.781000000000006</v>
          </cell>
          <cell r="M106">
            <v>54.057000000000002</v>
          </cell>
          <cell r="N106" t="str">
            <v/>
          </cell>
          <cell r="O106" t="str">
            <v/>
          </cell>
          <cell r="P106" t="str">
            <v/>
          </cell>
          <cell r="Q106">
            <v>155.6</v>
          </cell>
          <cell r="R106" t="str">
            <v>CJA</v>
          </cell>
          <cell r="S106">
            <v>0</v>
          </cell>
          <cell r="T106">
            <v>0</v>
          </cell>
          <cell r="U106" t="str">
            <v/>
          </cell>
          <cell r="V106" t="str">
            <v>PRO10</v>
          </cell>
          <cell r="W106">
            <v>0</v>
          </cell>
        </row>
        <row r="107">
          <cell r="C107" t="str">
            <v>VECADSS35</v>
          </cell>
          <cell r="D107" t="str">
            <v>PRINC</v>
          </cell>
          <cell r="E107" t="str">
            <v>00002</v>
          </cell>
          <cell r="F107" t="str">
            <v>CADENAS DE TRANSMISION</v>
          </cell>
          <cell r="G107" t="str">
            <v>PRINCIPAL</v>
          </cell>
          <cell r="H107">
            <v>46004</v>
          </cell>
          <cell r="I107" t="str">
            <v>SALDO INICIAL</v>
          </cell>
          <cell r="J107">
            <v>8</v>
          </cell>
          <cell r="K107">
            <v>237.69721799999999</v>
          </cell>
          <cell r="L107">
            <v>29.712153000000001</v>
          </cell>
          <cell r="M107">
            <v>29.712152249999999</v>
          </cell>
          <cell r="N107" t="str">
            <v/>
          </cell>
          <cell r="O107" t="str">
            <v/>
          </cell>
          <cell r="P107" t="str">
            <v/>
          </cell>
          <cell r="Q107">
            <v>75.599999999999994</v>
          </cell>
          <cell r="R107" t="str">
            <v>CJA</v>
          </cell>
          <cell r="S107">
            <v>0</v>
          </cell>
          <cell r="T107">
            <v>0</v>
          </cell>
          <cell r="U107" t="str">
            <v/>
          </cell>
          <cell r="V107" t="str">
            <v>PRO10</v>
          </cell>
          <cell r="W107">
            <v>0</v>
          </cell>
        </row>
        <row r="108">
          <cell r="C108" t="str">
            <v>VECADSS40</v>
          </cell>
          <cell r="D108" t="str">
            <v>PRINC</v>
          </cell>
          <cell r="E108" t="str">
            <v>00002</v>
          </cell>
          <cell r="F108" t="str">
            <v>CADENAS DE TRANSMISION</v>
          </cell>
          <cell r="G108" t="str">
            <v>PRINCIPAL</v>
          </cell>
          <cell r="H108">
            <v>46004</v>
          </cell>
          <cell r="I108" t="str">
            <v>SALDO INICIAL</v>
          </cell>
          <cell r="J108">
            <v>12</v>
          </cell>
          <cell r="K108">
            <v>499.58239900000001</v>
          </cell>
          <cell r="L108">
            <v>41.631867</v>
          </cell>
          <cell r="M108">
            <v>41.631866582999997</v>
          </cell>
          <cell r="N108" t="str">
            <v/>
          </cell>
          <cell r="O108" t="str">
            <v/>
          </cell>
          <cell r="P108" t="str">
            <v/>
          </cell>
          <cell r="Q108">
            <v>95</v>
          </cell>
          <cell r="R108" t="str">
            <v>CJA</v>
          </cell>
          <cell r="S108">
            <v>0</v>
          </cell>
          <cell r="T108">
            <v>0</v>
          </cell>
          <cell r="U108" t="str">
            <v/>
          </cell>
          <cell r="V108" t="str">
            <v>PRO10</v>
          </cell>
          <cell r="W108">
            <v>0</v>
          </cell>
        </row>
        <row r="109">
          <cell r="C109" t="str">
            <v>VECADSS50</v>
          </cell>
          <cell r="D109" t="str">
            <v>PRINC</v>
          </cell>
          <cell r="E109" t="str">
            <v>00002</v>
          </cell>
          <cell r="F109" t="str">
            <v>CADENAS DE TRANSMISION</v>
          </cell>
          <cell r="G109" t="str">
            <v>PRINCIPAL</v>
          </cell>
          <cell r="H109">
            <v>46004</v>
          </cell>
          <cell r="I109" t="str">
            <v>SALDO INICIAL</v>
          </cell>
          <cell r="J109">
            <v>3</v>
          </cell>
          <cell r="K109">
            <v>170.121747</v>
          </cell>
          <cell r="L109">
            <v>56.707248999999997</v>
          </cell>
          <cell r="M109">
            <v>56.707248999999997</v>
          </cell>
          <cell r="N109" t="str">
            <v>PRECIO ESPECIAL $132.2</v>
          </cell>
          <cell r="O109" t="str">
            <v/>
          </cell>
          <cell r="P109" t="str">
            <v/>
          </cell>
          <cell r="Q109">
            <v>170</v>
          </cell>
          <cell r="R109" t="str">
            <v>CJA</v>
          </cell>
          <cell r="S109">
            <v>0</v>
          </cell>
          <cell r="T109">
            <v>0</v>
          </cell>
          <cell r="U109" t="str">
            <v/>
          </cell>
          <cell r="V109" t="str">
            <v>PRO10</v>
          </cell>
          <cell r="W109">
            <v>0</v>
          </cell>
        </row>
        <row r="110">
          <cell r="C110" t="str">
            <v>VECADSS60</v>
          </cell>
          <cell r="D110" t="str">
            <v>PRINC</v>
          </cell>
          <cell r="E110" t="str">
            <v>00002</v>
          </cell>
          <cell r="F110" t="str">
            <v>CADENAS DE TRANSMISION</v>
          </cell>
          <cell r="G110" t="str">
            <v>PRINCIPAL</v>
          </cell>
          <cell r="H110">
            <v>46004</v>
          </cell>
          <cell r="I110" t="str">
            <v>SALDO INICIAL</v>
          </cell>
          <cell r="J110">
            <v>19</v>
          </cell>
          <cell r="K110">
            <v>1632.5712000000001</v>
          </cell>
          <cell r="L110">
            <v>85.924800000000005</v>
          </cell>
          <cell r="M110">
            <v>85.924800000000005</v>
          </cell>
          <cell r="N110" t="str">
            <v>PRECIO ESPECIAL $184.4</v>
          </cell>
          <cell r="O110" t="str">
            <v/>
          </cell>
          <cell r="P110" t="str">
            <v/>
          </cell>
          <cell r="Q110">
            <v>193</v>
          </cell>
          <cell r="R110" t="str">
            <v>CJA</v>
          </cell>
          <cell r="S110">
            <v>0</v>
          </cell>
          <cell r="T110">
            <v>0</v>
          </cell>
          <cell r="U110" t="str">
            <v/>
          </cell>
          <cell r="V110" t="str">
            <v>PRO10</v>
          </cell>
          <cell r="W110">
            <v>0</v>
          </cell>
        </row>
        <row r="111">
          <cell r="C111" t="str">
            <v>VECADSS80</v>
          </cell>
          <cell r="D111" t="str">
            <v>PRINC</v>
          </cell>
          <cell r="E111" t="str">
            <v>00002</v>
          </cell>
          <cell r="F111" t="str">
            <v>CADENAS DE TRANSMISION</v>
          </cell>
          <cell r="G111" t="str">
            <v>PRINCIPAL</v>
          </cell>
          <cell r="H111">
            <v>46004</v>
          </cell>
          <cell r="I111" t="str">
            <v>SALDO INICIAL</v>
          </cell>
          <cell r="J111">
            <v>10</v>
          </cell>
          <cell r="K111">
            <v>1238.5657880000001</v>
          </cell>
          <cell r="L111">
            <v>123.856579</v>
          </cell>
          <cell r="M111">
            <v>123.85657879999999</v>
          </cell>
          <cell r="N111" t="str">
            <v/>
          </cell>
          <cell r="O111" t="str">
            <v/>
          </cell>
          <cell r="P111" t="str">
            <v/>
          </cell>
          <cell r="Q111">
            <v>375</v>
          </cell>
          <cell r="R111" t="str">
            <v>CJA</v>
          </cell>
          <cell r="S111">
            <v>0</v>
          </cell>
          <cell r="T111">
            <v>0</v>
          </cell>
          <cell r="U111" t="str">
            <v/>
          </cell>
          <cell r="V111" t="str">
            <v>PRO10</v>
          </cell>
          <cell r="W111">
            <v>0</v>
          </cell>
        </row>
        <row r="112">
          <cell r="C112" t="str">
            <v>VECADSS40-3</v>
          </cell>
          <cell r="D112" t="str">
            <v>PRINC</v>
          </cell>
          <cell r="E112" t="str">
            <v>00002</v>
          </cell>
          <cell r="F112" t="str">
            <v>CADENAS DE TRANSMISION</v>
          </cell>
          <cell r="G112" t="str">
            <v>PRINCIPAL</v>
          </cell>
          <cell r="H112">
            <v>46004</v>
          </cell>
          <cell r="I112" t="str">
            <v>SALDO INICIAL</v>
          </cell>
          <cell r="J112">
            <v>2</v>
          </cell>
          <cell r="K112">
            <v>279.93</v>
          </cell>
          <cell r="L112">
            <v>0</v>
          </cell>
          <cell r="M112">
            <v>139.965</v>
          </cell>
          <cell r="N112" t="str">
            <v/>
          </cell>
          <cell r="O112" t="str">
            <v/>
          </cell>
          <cell r="P112" t="str">
            <v/>
          </cell>
          <cell r="Q112">
            <v>0</v>
          </cell>
          <cell r="R112" t="str">
            <v>CJA</v>
          </cell>
          <cell r="S112">
            <v>0</v>
          </cell>
          <cell r="T112">
            <v>0</v>
          </cell>
          <cell r="U112" t="str">
            <v/>
          </cell>
          <cell r="V112" t="str">
            <v>PRO10</v>
          </cell>
          <cell r="W112">
            <v>0</v>
          </cell>
        </row>
        <row r="113">
          <cell r="C113" t="str">
            <v>VECADSS50-3</v>
          </cell>
          <cell r="D113" t="str">
            <v>PRINC</v>
          </cell>
          <cell r="E113" t="str">
            <v>00002</v>
          </cell>
          <cell r="F113" t="str">
            <v>CADENAS DE TRANSMISION</v>
          </cell>
          <cell r="G113" t="str">
            <v>PRINCIPAL</v>
          </cell>
          <cell r="H113">
            <v>46004</v>
          </cell>
          <cell r="I113" t="str">
            <v>SALDO INICIAL</v>
          </cell>
          <cell r="J113">
            <v>2</v>
          </cell>
          <cell r="K113">
            <v>330.81</v>
          </cell>
          <cell r="L113">
            <v>0</v>
          </cell>
          <cell r="M113">
            <v>165.405</v>
          </cell>
          <cell r="N113" t="str">
            <v/>
          </cell>
          <cell r="O113" t="str">
            <v/>
          </cell>
          <cell r="P113" t="str">
            <v/>
          </cell>
          <cell r="Q113">
            <v>0</v>
          </cell>
          <cell r="R113" t="str">
            <v>CJA</v>
          </cell>
          <cell r="S113">
            <v>0</v>
          </cell>
          <cell r="T113">
            <v>0</v>
          </cell>
          <cell r="U113" t="str">
            <v/>
          </cell>
          <cell r="V113" t="str">
            <v>PRO10</v>
          </cell>
          <cell r="W113">
            <v>0</v>
          </cell>
        </row>
        <row r="114">
          <cell r="C114" t="str">
            <v>LBCA40-2</v>
          </cell>
          <cell r="D114" t="str">
            <v>PRINC</v>
          </cell>
          <cell r="E114" t="str">
            <v>00002</v>
          </cell>
          <cell r="F114" t="str">
            <v>CADENAS DE TRANSMISION</v>
          </cell>
          <cell r="G114" t="str">
            <v>PRINCIPAL</v>
          </cell>
          <cell r="H114">
            <v>46004</v>
          </cell>
          <cell r="I114" t="str">
            <v>SALDO INICIAL</v>
          </cell>
          <cell r="J114">
            <v>3</v>
          </cell>
          <cell r="K114">
            <v>2.9969999999999999</v>
          </cell>
          <cell r="L114">
            <v>0.999</v>
          </cell>
          <cell r="M114">
            <v>0.999</v>
          </cell>
          <cell r="N114" t="str">
            <v/>
          </cell>
          <cell r="O114" t="str">
            <v/>
          </cell>
          <cell r="P114" t="str">
            <v/>
          </cell>
          <cell r="Q114">
            <v>2</v>
          </cell>
          <cell r="R114" t="str">
            <v>UND</v>
          </cell>
          <cell r="S114">
            <v>0</v>
          </cell>
          <cell r="T114">
            <v>0</v>
          </cell>
          <cell r="U114" t="str">
            <v/>
          </cell>
          <cell r="V114" t="str">
            <v>PRO10</v>
          </cell>
          <cell r="W114">
            <v>0</v>
          </cell>
        </row>
        <row r="115">
          <cell r="C115" t="str">
            <v>LBCA50-2</v>
          </cell>
          <cell r="D115" t="str">
            <v>PRINC</v>
          </cell>
          <cell r="E115" t="str">
            <v>00002</v>
          </cell>
          <cell r="F115" t="str">
            <v>CADENAS DE TRANSMISION</v>
          </cell>
          <cell r="G115" t="str">
            <v>PRINCIPAL</v>
          </cell>
          <cell r="H115">
            <v>46004</v>
          </cell>
          <cell r="I115" t="str">
            <v>SALDO INICIAL</v>
          </cell>
          <cell r="J115">
            <v>2</v>
          </cell>
          <cell r="K115">
            <v>2.442666</v>
          </cell>
          <cell r="L115">
            <v>1.221333</v>
          </cell>
          <cell r="M115">
            <v>1.221333</v>
          </cell>
          <cell r="N115" t="str">
            <v/>
          </cell>
          <cell r="O115" t="str">
            <v/>
          </cell>
          <cell r="P115" t="str">
            <v/>
          </cell>
          <cell r="Q115">
            <v>2.5</v>
          </cell>
          <cell r="R115" t="str">
            <v>UND</v>
          </cell>
          <cell r="S115">
            <v>0</v>
          </cell>
          <cell r="T115">
            <v>0</v>
          </cell>
          <cell r="U115" t="str">
            <v/>
          </cell>
          <cell r="V115" t="str">
            <v>PRO10</v>
          </cell>
          <cell r="W115">
            <v>0</v>
          </cell>
        </row>
        <row r="116">
          <cell r="C116" t="str">
            <v>VECANSS06-2</v>
          </cell>
          <cell r="D116" t="str">
            <v>PRINC</v>
          </cell>
          <cell r="E116" t="str">
            <v>00002</v>
          </cell>
          <cell r="F116" t="str">
            <v>CADENAS DE TRANSMISION</v>
          </cell>
          <cell r="G116" t="str">
            <v>PRINCIPAL</v>
          </cell>
          <cell r="H116">
            <v>46004</v>
          </cell>
          <cell r="I116" t="str">
            <v>SALDO INICIAL</v>
          </cell>
          <cell r="J116">
            <v>6</v>
          </cell>
          <cell r="K116">
            <v>10.541199000000001</v>
          </cell>
          <cell r="L116">
            <v>1.756867</v>
          </cell>
          <cell r="M116">
            <v>1.7568665000000001</v>
          </cell>
          <cell r="N116" t="str">
            <v/>
          </cell>
          <cell r="O116" t="str">
            <v/>
          </cell>
          <cell r="P116" t="str">
            <v/>
          </cell>
          <cell r="Q116">
            <v>6.5</v>
          </cell>
          <cell r="R116" t="str">
            <v>UND</v>
          </cell>
          <cell r="S116">
            <v>0</v>
          </cell>
          <cell r="T116">
            <v>0</v>
          </cell>
          <cell r="U116" t="str">
            <v/>
          </cell>
          <cell r="V116" t="str">
            <v>PRO10</v>
          </cell>
          <cell r="W116">
            <v>0</v>
          </cell>
        </row>
        <row r="117">
          <cell r="C117" t="str">
            <v>LBCA06B-2SS</v>
          </cell>
          <cell r="D117" t="str">
            <v>PRINC</v>
          </cell>
          <cell r="E117" t="str">
            <v>00002</v>
          </cell>
          <cell r="F117" t="str">
            <v>CADENAS DE TRANSMISION</v>
          </cell>
          <cell r="G117" t="str">
            <v>PRINCIPAL</v>
          </cell>
          <cell r="H117">
            <v>46004</v>
          </cell>
          <cell r="I117" t="str">
            <v>SALDO INICIAL</v>
          </cell>
          <cell r="J117">
            <v>9</v>
          </cell>
          <cell r="K117">
            <v>14.58</v>
          </cell>
          <cell r="L117">
            <v>1.62</v>
          </cell>
          <cell r="M117">
            <v>1.62</v>
          </cell>
          <cell r="N117" t="str">
            <v/>
          </cell>
          <cell r="O117" t="str">
            <v/>
          </cell>
          <cell r="P117" t="str">
            <v/>
          </cell>
          <cell r="Q117">
            <v>5.9</v>
          </cell>
          <cell r="R117" t="str">
            <v>UND</v>
          </cell>
          <cell r="S117">
            <v>0</v>
          </cell>
          <cell r="T117">
            <v>0</v>
          </cell>
          <cell r="U117" t="str">
            <v/>
          </cell>
          <cell r="V117" t="str">
            <v>PRO10</v>
          </cell>
          <cell r="W117">
            <v>0</v>
          </cell>
        </row>
        <row r="118">
          <cell r="C118" t="str">
            <v>VECANSS08-2</v>
          </cell>
          <cell r="D118" t="str">
            <v>PRINC</v>
          </cell>
          <cell r="E118" t="str">
            <v>00002</v>
          </cell>
          <cell r="F118" t="str">
            <v>CADENAS DE TRANSMISION</v>
          </cell>
          <cell r="G118" t="str">
            <v>PRINCIPAL</v>
          </cell>
          <cell r="H118">
            <v>46004</v>
          </cell>
          <cell r="I118" t="str">
            <v>SALDO INICIAL</v>
          </cell>
          <cell r="J118">
            <v>5</v>
          </cell>
          <cell r="K118">
            <v>8.82</v>
          </cell>
          <cell r="L118">
            <v>2.1991670000000001</v>
          </cell>
          <cell r="M118">
            <v>1.764</v>
          </cell>
          <cell r="N118" t="str">
            <v/>
          </cell>
          <cell r="O118" t="str">
            <v/>
          </cell>
          <cell r="P118" t="str">
            <v/>
          </cell>
          <cell r="Q118">
            <v>8</v>
          </cell>
          <cell r="R118" t="str">
            <v>UND</v>
          </cell>
          <cell r="S118">
            <v>0</v>
          </cell>
          <cell r="T118">
            <v>0</v>
          </cell>
          <cell r="U118" t="str">
            <v/>
          </cell>
          <cell r="V118" t="str">
            <v>PRO10</v>
          </cell>
          <cell r="W118">
            <v>0</v>
          </cell>
        </row>
        <row r="119">
          <cell r="C119" t="str">
            <v>LBCA50-2SS</v>
          </cell>
          <cell r="D119" t="str">
            <v>PRINC</v>
          </cell>
          <cell r="E119" t="str">
            <v>00002</v>
          </cell>
          <cell r="F119" t="str">
            <v>CADENAS DE TRANSMISION</v>
          </cell>
          <cell r="G119" t="str">
            <v>PRINCIPAL</v>
          </cell>
          <cell r="H119">
            <v>46004</v>
          </cell>
          <cell r="I119" t="str">
            <v>SALDO INICIAL</v>
          </cell>
          <cell r="J119">
            <v>44</v>
          </cell>
          <cell r="K119">
            <v>155.9008</v>
          </cell>
          <cell r="L119">
            <v>3.5432000000000001</v>
          </cell>
          <cell r="M119">
            <v>3.5432000000000001</v>
          </cell>
          <cell r="N119" t="str">
            <v/>
          </cell>
          <cell r="O119" t="str">
            <v/>
          </cell>
          <cell r="P119" t="str">
            <v/>
          </cell>
          <cell r="Q119">
            <v>7.8</v>
          </cell>
          <cell r="R119" t="str">
            <v>UND</v>
          </cell>
          <cell r="S119">
            <v>0</v>
          </cell>
          <cell r="T119">
            <v>0</v>
          </cell>
          <cell r="U119" t="str">
            <v/>
          </cell>
          <cell r="V119" t="str">
            <v>PRO10</v>
          </cell>
          <cell r="W119">
            <v>0</v>
          </cell>
        </row>
        <row r="120">
          <cell r="C120" t="str">
            <v>VECANSS50-2</v>
          </cell>
          <cell r="D120" t="str">
            <v>PRINC</v>
          </cell>
          <cell r="E120" t="str">
            <v>00002</v>
          </cell>
          <cell r="F120" t="str">
            <v>CADENAS DE TRANSMISION</v>
          </cell>
          <cell r="G120" t="str">
            <v>PRINCIPAL</v>
          </cell>
          <cell r="H120">
            <v>46004</v>
          </cell>
          <cell r="I120" t="str">
            <v>SALDO INICIAL</v>
          </cell>
          <cell r="J120">
            <v>4</v>
          </cell>
          <cell r="K120">
            <v>9.5586680000000008</v>
          </cell>
          <cell r="L120">
            <v>2.3896670000000002</v>
          </cell>
          <cell r="M120">
            <v>2.3896670000000002</v>
          </cell>
          <cell r="N120" t="str">
            <v/>
          </cell>
          <cell r="O120" t="str">
            <v/>
          </cell>
          <cell r="P120" t="str">
            <v/>
          </cell>
          <cell r="Q120">
            <v>6.8</v>
          </cell>
          <cell r="R120" t="str">
            <v>UND</v>
          </cell>
          <cell r="S120">
            <v>0</v>
          </cell>
          <cell r="T120">
            <v>0</v>
          </cell>
          <cell r="U120" t="str">
            <v/>
          </cell>
          <cell r="V120" t="str">
            <v>PRO10</v>
          </cell>
          <cell r="W120">
            <v>0</v>
          </cell>
        </row>
        <row r="121">
          <cell r="C121" t="str">
            <v>LBCA80-2SS</v>
          </cell>
          <cell r="D121" t="str">
            <v>PRINC</v>
          </cell>
          <cell r="E121" t="str">
            <v>00002</v>
          </cell>
          <cell r="F121" t="str">
            <v>CADENAS DE TRANSMISION</v>
          </cell>
          <cell r="G121" t="str">
            <v>PRINCIPAL</v>
          </cell>
          <cell r="H121">
            <v>46004</v>
          </cell>
          <cell r="I121" t="str">
            <v>SALDO INICIAL</v>
          </cell>
          <cell r="J121">
            <v>20</v>
          </cell>
          <cell r="K121">
            <v>181.02</v>
          </cell>
          <cell r="L121">
            <v>0</v>
          </cell>
          <cell r="M121">
            <v>9.0510000000000002</v>
          </cell>
          <cell r="N121" t="str">
            <v/>
          </cell>
          <cell r="O121" t="str">
            <v/>
          </cell>
          <cell r="P121" t="str">
            <v/>
          </cell>
          <cell r="Q121">
            <v>18.100000000000001</v>
          </cell>
          <cell r="R121" t="str">
            <v>UND</v>
          </cell>
          <cell r="S121">
            <v>0</v>
          </cell>
          <cell r="T121">
            <v>0</v>
          </cell>
          <cell r="U121" t="str">
            <v/>
          </cell>
          <cell r="V121" t="str">
            <v>PRO10</v>
          </cell>
          <cell r="W121">
            <v>0</v>
          </cell>
        </row>
        <row r="122">
          <cell r="C122" t="str">
            <v>LBCA08B-1</v>
          </cell>
          <cell r="D122" t="str">
            <v>PRINC</v>
          </cell>
          <cell r="E122" t="str">
            <v>00002</v>
          </cell>
          <cell r="F122" t="str">
            <v>CADENAS DE TRANSMISION</v>
          </cell>
          <cell r="G122" t="str">
            <v>PRINCIPAL</v>
          </cell>
          <cell r="H122">
            <v>46004</v>
          </cell>
          <cell r="I122" t="str">
            <v>SALDO INICIAL</v>
          </cell>
          <cell r="J122">
            <v>20</v>
          </cell>
          <cell r="K122">
            <v>10.47</v>
          </cell>
          <cell r="L122">
            <v>0</v>
          </cell>
          <cell r="M122">
            <v>0.52349999999999997</v>
          </cell>
          <cell r="N122" t="str">
            <v/>
          </cell>
          <cell r="O122" t="str">
            <v/>
          </cell>
          <cell r="P122" t="str">
            <v/>
          </cell>
          <cell r="Q122">
            <v>0</v>
          </cell>
          <cell r="R122" t="str">
            <v>UND</v>
          </cell>
          <cell r="S122">
            <v>0</v>
          </cell>
          <cell r="T122">
            <v>0</v>
          </cell>
          <cell r="U122" t="str">
            <v/>
          </cell>
          <cell r="V122" t="str">
            <v>PRO10</v>
          </cell>
          <cell r="W122">
            <v>0</v>
          </cell>
        </row>
        <row r="123">
          <cell r="C123" t="str">
            <v>VECANFE100</v>
          </cell>
          <cell r="D123" t="str">
            <v>PRINC</v>
          </cell>
          <cell r="E123" t="str">
            <v>00002</v>
          </cell>
          <cell r="F123" t="str">
            <v>CADENAS DE TRANSMISION</v>
          </cell>
          <cell r="G123" t="str">
            <v>PRINCIPAL</v>
          </cell>
          <cell r="H123">
            <v>46004</v>
          </cell>
          <cell r="I123" t="str">
            <v>SALDO INICIAL</v>
          </cell>
          <cell r="J123">
            <v>24</v>
          </cell>
          <cell r="K123">
            <v>41.28</v>
          </cell>
          <cell r="L123">
            <v>0</v>
          </cell>
          <cell r="M123">
            <v>1.72</v>
          </cell>
          <cell r="N123" t="str">
            <v/>
          </cell>
          <cell r="O123" t="str">
            <v/>
          </cell>
          <cell r="P123" t="str">
            <v/>
          </cell>
          <cell r="Q123">
            <v>3.95</v>
          </cell>
          <cell r="R123" t="str">
            <v>UND</v>
          </cell>
          <cell r="S123">
            <v>0</v>
          </cell>
          <cell r="T123">
            <v>0</v>
          </cell>
          <cell r="U123" t="str">
            <v/>
          </cell>
          <cell r="V123" t="str">
            <v>PRO10</v>
          </cell>
          <cell r="W123">
            <v>0</v>
          </cell>
        </row>
        <row r="124">
          <cell r="C124" t="str">
            <v>LBCA10B-1</v>
          </cell>
          <cell r="D124" t="str">
            <v>PRINC</v>
          </cell>
          <cell r="E124" t="str">
            <v>00002</v>
          </cell>
          <cell r="F124" t="str">
            <v>CADENAS DE TRANSMISION</v>
          </cell>
          <cell r="G124" t="str">
            <v>PRINCIPAL</v>
          </cell>
          <cell r="H124">
            <v>46004</v>
          </cell>
          <cell r="I124" t="str">
            <v>SALDO INICIAL</v>
          </cell>
          <cell r="J124">
            <v>20</v>
          </cell>
          <cell r="K124">
            <v>14.14</v>
          </cell>
          <cell r="L124">
            <v>0</v>
          </cell>
          <cell r="M124">
            <v>0.70699999999999996</v>
          </cell>
          <cell r="N124" t="str">
            <v/>
          </cell>
          <cell r="O124" t="str">
            <v/>
          </cell>
          <cell r="P124" t="str">
            <v/>
          </cell>
          <cell r="Q124">
            <v>0</v>
          </cell>
          <cell r="R124" t="str">
            <v>UND</v>
          </cell>
          <cell r="S124">
            <v>0</v>
          </cell>
          <cell r="T124">
            <v>0</v>
          </cell>
          <cell r="U124" t="str">
            <v/>
          </cell>
          <cell r="V124" t="str">
            <v>PRO10</v>
          </cell>
          <cell r="W124">
            <v>0</v>
          </cell>
        </row>
        <row r="125">
          <cell r="C125" t="str">
            <v>LBCA120-1</v>
          </cell>
          <cell r="D125" t="str">
            <v>PRINC</v>
          </cell>
          <cell r="E125" t="str">
            <v>00002</v>
          </cell>
          <cell r="F125" t="str">
            <v>CADENAS DE TRANSMISION</v>
          </cell>
          <cell r="G125" t="str">
            <v>PRINCIPAL</v>
          </cell>
          <cell r="H125">
            <v>46004</v>
          </cell>
          <cell r="I125" t="str">
            <v>SALDO INICIAL</v>
          </cell>
          <cell r="J125">
            <v>25</v>
          </cell>
          <cell r="K125">
            <v>86.2</v>
          </cell>
          <cell r="L125">
            <v>0</v>
          </cell>
          <cell r="M125">
            <v>3.448</v>
          </cell>
          <cell r="N125" t="str">
            <v/>
          </cell>
          <cell r="O125" t="str">
            <v/>
          </cell>
          <cell r="P125" t="str">
            <v/>
          </cell>
          <cell r="Q125">
            <v>0</v>
          </cell>
          <cell r="R125" t="str">
            <v>UND</v>
          </cell>
          <cell r="S125">
            <v>0</v>
          </cell>
          <cell r="T125">
            <v>0</v>
          </cell>
          <cell r="U125" t="str">
            <v/>
          </cell>
          <cell r="V125" t="str">
            <v>PRO10</v>
          </cell>
          <cell r="W125">
            <v>0</v>
          </cell>
        </row>
        <row r="126">
          <cell r="C126" t="str">
            <v>VECANFE120</v>
          </cell>
          <cell r="D126" t="str">
            <v>PRINC</v>
          </cell>
          <cell r="E126" t="str">
            <v>00002</v>
          </cell>
          <cell r="F126" t="str">
            <v>CADENAS DE TRANSMISION</v>
          </cell>
          <cell r="G126" t="str">
            <v>PRINCIPAL</v>
          </cell>
          <cell r="H126">
            <v>46004</v>
          </cell>
          <cell r="I126" t="str">
            <v>SALDO INICIAL</v>
          </cell>
          <cell r="J126">
            <v>12</v>
          </cell>
          <cell r="K126">
            <v>38.369999999999997</v>
          </cell>
          <cell r="L126">
            <v>0</v>
          </cell>
          <cell r="M126">
            <v>3.1974999999999998</v>
          </cell>
          <cell r="N126" t="str">
            <v/>
          </cell>
          <cell r="O126" t="str">
            <v/>
          </cell>
          <cell r="P126" t="str">
            <v/>
          </cell>
          <cell r="Q126">
            <v>7.05</v>
          </cell>
          <cell r="R126" t="str">
            <v>UND</v>
          </cell>
          <cell r="S126">
            <v>0</v>
          </cell>
          <cell r="T126">
            <v>0</v>
          </cell>
          <cell r="U126" t="str">
            <v/>
          </cell>
          <cell r="V126" t="str">
            <v>PRO10</v>
          </cell>
          <cell r="W126">
            <v>0</v>
          </cell>
        </row>
        <row r="127">
          <cell r="C127" t="str">
            <v>LBCA12B-1</v>
          </cell>
          <cell r="D127" t="str">
            <v>PRINC</v>
          </cell>
          <cell r="E127" t="str">
            <v>00002</v>
          </cell>
          <cell r="F127" t="str">
            <v>CADENAS DE TRANSMISION</v>
          </cell>
          <cell r="G127" t="str">
            <v>PRINCIPAL</v>
          </cell>
          <cell r="H127">
            <v>46004</v>
          </cell>
          <cell r="I127" t="str">
            <v>SALDO INICIAL</v>
          </cell>
          <cell r="J127">
            <v>8</v>
          </cell>
          <cell r="K127">
            <v>7.5039999999999996</v>
          </cell>
          <cell r="L127">
            <v>0.93799999999999994</v>
          </cell>
          <cell r="M127">
            <v>0.93799999999999994</v>
          </cell>
          <cell r="N127" t="str">
            <v/>
          </cell>
          <cell r="O127" t="str">
            <v/>
          </cell>
          <cell r="P127" t="str">
            <v/>
          </cell>
          <cell r="Q127">
            <v>0</v>
          </cell>
          <cell r="R127" t="str">
            <v>UND</v>
          </cell>
          <cell r="S127">
            <v>0</v>
          </cell>
          <cell r="T127">
            <v>0</v>
          </cell>
          <cell r="U127" t="str">
            <v/>
          </cell>
          <cell r="V127" t="str">
            <v>PRO10</v>
          </cell>
          <cell r="W127">
            <v>0</v>
          </cell>
        </row>
        <row r="128">
          <cell r="C128" t="str">
            <v>VECANFE16B</v>
          </cell>
          <cell r="D128" t="str">
            <v>PRINC</v>
          </cell>
          <cell r="E128" t="str">
            <v>00002</v>
          </cell>
          <cell r="F128" t="str">
            <v>CADENAS DE TRANSMISION</v>
          </cell>
          <cell r="G128" t="str">
            <v>PRINCIPAL</v>
          </cell>
          <cell r="H128">
            <v>46004</v>
          </cell>
          <cell r="I128" t="str">
            <v>SALDO INICIAL</v>
          </cell>
          <cell r="J128">
            <v>6</v>
          </cell>
          <cell r="K128">
            <v>5.5919999999999996</v>
          </cell>
          <cell r="L128">
            <v>0.93200000000000005</v>
          </cell>
          <cell r="M128">
            <v>0.93200000000000005</v>
          </cell>
          <cell r="N128" t="str">
            <v/>
          </cell>
          <cell r="O128" t="str">
            <v/>
          </cell>
          <cell r="P128" t="str">
            <v/>
          </cell>
          <cell r="Q128">
            <v>2.0499999999999998</v>
          </cell>
          <cell r="R128" t="str">
            <v>UND</v>
          </cell>
          <cell r="S128">
            <v>0</v>
          </cell>
          <cell r="T128">
            <v>0</v>
          </cell>
          <cell r="U128" t="str">
            <v/>
          </cell>
          <cell r="V128" t="str">
            <v>PRO10</v>
          </cell>
          <cell r="W128">
            <v>0</v>
          </cell>
        </row>
        <row r="129">
          <cell r="C129" t="str">
            <v>LBRC40-1</v>
          </cell>
          <cell r="D129" t="str">
            <v>PRINC</v>
          </cell>
          <cell r="E129" t="str">
            <v>00002</v>
          </cell>
          <cell r="F129" t="str">
            <v>CADENAS DE TRANSMISION</v>
          </cell>
          <cell r="G129" t="str">
            <v>PRINCIPAL</v>
          </cell>
          <cell r="H129">
            <v>46004</v>
          </cell>
          <cell r="I129" t="str">
            <v>SALDO INICIAL</v>
          </cell>
          <cell r="J129">
            <v>445</v>
          </cell>
          <cell r="K129">
            <v>246.073162</v>
          </cell>
          <cell r="L129">
            <v>0.55297399999999997</v>
          </cell>
          <cell r="M129">
            <v>0.552973398</v>
          </cell>
          <cell r="N129" t="str">
            <v/>
          </cell>
          <cell r="O129" t="str">
            <v/>
          </cell>
          <cell r="P129" t="str">
            <v/>
          </cell>
          <cell r="Q129">
            <v>1.9</v>
          </cell>
          <cell r="R129" t="str">
            <v>UND</v>
          </cell>
          <cell r="S129">
            <v>0</v>
          </cell>
          <cell r="T129">
            <v>0</v>
          </cell>
          <cell r="U129" t="str">
            <v/>
          </cell>
          <cell r="V129" t="str">
            <v>PRO10</v>
          </cell>
          <cell r="W129">
            <v>0</v>
          </cell>
        </row>
        <row r="130">
          <cell r="C130" t="str">
            <v>LBRC50-1</v>
          </cell>
          <cell r="D130" t="str">
            <v>PRINC</v>
          </cell>
          <cell r="E130" t="str">
            <v>00002</v>
          </cell>
          <cell r="F130" t="str">
            <v>CADENAS DE TRANSMISION</v>
          </cell>
          <cell r="G130" t="str">
            <v>PRINCIPAL</v>
          </cell>
          <cell r="H130">
            <v>46004</v>
          </cell>
          <cell r="I130" t="str">
            <v>SALDO INICIAL</v>
          </cell>
          <cell r="J130">
            <v>551</v>
          </cell>
          <cell r="K130">
            <v>395.450624</v>
          </cell>
          <cell r="L130">
            <v>0.717696</v>
          </cell>
          <cell r="M130">
            <v>0.71769623199999999</v>
          </cell>
          <cell r="N130" t="str">
            <v/>
          </cell>
          <cell r="O130" t="str">
            <v/>
          </cell>
          <cell r="P130" t="str">
            <v/>
          </cell>
          <cell r="Q130">
            <v>2.1</v>
          </cell>
          <cell r="R130" t="str">
            <v>UND</v>
          </cell>
          <cell r="S130">
            <v>0</v>
          </cell>
          <cell r="T130">
            <v>0</v>
          </cell>
          <cell r="U130" t="str">
            <v/>
          </cell>
          <cell r="V130" t="str">
            <v>PRO10</v>
          </cell>
          <cell r="W130">
            <v>0</v>
          </cell>
        </row>
        <row r="131">
          <cell r="C131" t="str">
            <v>LBCA60-1</v>
          </cell>
          <cell r="D131" t="str">
            <v>PRINC</v>
          </cell>
          <cell r="E131" t="str">
            <v>00002</v>
          </cell>
          <cell r="F131" t="str">
            <v>CADENAS DE TRANSMISION</v>
          </cell>
          <cell r="G131" t="str">
            <v>PRINCIPAL</v>
          </cell>
          <cell r="H131">
            <v>46004</v>
          </cell>
          <cell r="I131" t="str">
            <v>SALDO INICIAL</v>
          </cell>
          <cell r="J131">
            <v>382</v>
          </cell>
          <cell r="K131">
            <v>335.05220000000003</v>
          </cell>
          <cell r="L131">
            <v>0.87709999999999999</v>
          </cell>
          <cell r="M131">
            <v>0.87709999999999999</v>
          </cell>
          <cell r="N131" t="str">
            <v/>
          </cell>
          <cell r="O131" t="str">
            <v/>
          </cell>
          <cell r="P131" t="str">
            <v/>
          </cell>
          <cell r="Q131">
            <v>2.5</v>
          </cell>
          <cell r="R131" t="str">
            <v>UND</v>
          </cell>
          <cell r="S131">
            <v>0</v>
          </cell>
          <cell r="T131">
            <v>0</v>
          </cell>
          <cell r="U131" t="str">
            <v/>
          </cell>
          <cell r="V131" t="str">
            <v>PRO10</v>
          </cell>
          <cell r="W131">
            <v>0</v>
          </cell>
        </row>
        <row r="132">
          <cell r="C132" t="str">
            <v>LBCA80-1</v>
          </cell>
          <cell r="D132" t="str">
            <v>PRINC</v>
          </cell>
          <cell r="E132" t="str">
            <v>00002</v>
          </cell>
          <cell r="F132" t="str">
            <v>CADENAS DE TRANSMISION</v>
          </cell>
          <cell r="G132" t="str">
            <v>PRINCIPAL</v>
          </cell>
          <cell r="H132">
            <v>46004</v>
          </cell>
          <cell r="I132" t="str">
            <v>SALDO INICIAL</v>
          </cell>
          <cell r="J132">
            <v>87</v>
          </cell>
          <cell r="K132">
            <v>152.6241</v>
          </cell>
          <cell r="L132">
            <v>1.7543</v>
          </cell>
          <cell r="M132">
            <v>1.7543</v>
          </cell>
          <cell r="N132" t="str">
            <v/>
          </cell>
          <cell r="O132" t="str">
            <v/>
          </cell>
          <cell r="P132" t="str">
            <v/>
          </cell>
          <cell r="Q132">
            <v>3.5</v>
          </cell>
          <cell r="R132" t="str">
            <v>UND</v>
          </cell>
          <cell r="S132">
            <v>0</v>
          </cell>
          <cell r="T132">
            <v>0</v>
          </cell>
          <cell r="U132" t="str">
            <v/>
          </cell>
          <cell r="V132" t="str">
            <v>PRO10</v>
          </cell>
          <cell r="W132">
            <v>0</v>
          </cell>
        </row>
        <row r="133">
          <cell r="C133" t="str">
            <v>VECANFE80</v>
          </cell>
          <cell r="D133" t="str">
            <v>PRINC</v>
          </cell>
          <cell r="E133" t="str">
            <v>00002</v>
          </cell>
          <cell r="F133" t="str">
            <v>CADENAS DE TRANSMISION</v>
          </cell>
          <cell r="G133" t="str">
            <v>PRINCIPAL</v>
          </cell>
          <cell r="H133">
            <v>46004</v>
          </cell>
          <cell r="I133" t="str">
            <v>SALDO INICIAL</v>
          </cell>
          <cell r="J133">
            <v>5</v>
          </cell>
          <cell r="K133">
            <v>6.5041650000000004</v>
          </cell>
          <cell r="L133">
            <v>1.3008329999999999</v>
          </cell>
          <cell r="M133">
            <v>1.3008329999999999</v>
          </cell>
          <cell r="N133" t="str">
            <v/>
          </cell>
          <cell r="O133" t="str">
            <v/>
          </cell>
          <cell r="P133" t="str">
            <v/>
          </cell>
          <cell r="Q133">
            <v>3</v>
          </cell>
          <cell r="R133" t="str">
            <v>UND</v>
          </cell>
          <cell r="S133">
            <v>0</v>
          </cell>
          <cell r="T133">
            <v>0</v>
          </cell>
          <cell r="U133" t="str">
            <v/>
          </cell>
          <cell r="V133" t="str">
            <v>PRO10</v>
          </cell>
          <cell r="W133">
            <v>0</v>
          </cell>
        </row>
        <row r="134">
          <cell r="C134" t="str">
            <v>VECANSSC08B</v>
          </cell>
          <cell r="D134" t="str">
            <v>PRINC</v>
          </cell>
          <cell r="E134" t="str">
            <v>00002</v>
          </cell>
          <cell r="F134" t="str">
            <v>CADENAS DE TRANSMISION</v>
          </cell>
          <cell r="G134" t="str">
            <v>PRINCIPAL</v>
          </cell>
          <cell r="H134">
            <v>46004</v>
          </cell>
          <cell r="I134" t="str">
            <v>SALDO INICIAL</v>
          </cell>
          <cell r="J134">
            <v>1</v>
          </cell>
          <cell r="K134">
            <v>0.71666700000000005</v>
          </cell>
          <cell r="L134">
            <v>0.71666700000000005</v>
          </cell>
          <cell r="M134">
            <v>0.71666700000000005</v>
          </cell>
          <cell r="N134" t="str">
            <v/>
          </cell>
          <cell r="O134" t="str">
            <v/>
          </cell>
          <cell r="P134" t="str">
            <v/>
          </cell>
          <cell r="Q134">
            <v>0</v>
          </cell>
          <cell r="R134" t="str">
            <v>UND</v>
          </cell>
          <cell r="S134">
            <v>0</v>
          </cell>
          <cell r="T134">
            <v>0</v>
          </cell>
          <cell r="U134" t="str">
            <v/>
          </cell>
          <cell r="V134" t="str">
            <v>PRO10</v>
          </cell>
          <cell r="W134">
            <v>0</v>
          </cell>
        </row>
        <row r="135">
          <cell r="C135" t="str">
            <v>VECANSS06</v>
          </cell>
          <cell r="D135" t="str">
            <v>PRINC</v>
          </cell>
          <cell r="E135" t="str">
            <v>00002</v>
          </cell>
          <cell r="F135" t="str">
            <v>CADENAS DE TRANSMISION</v>
          </cell>
          <cell r="G135" t="str">
            <v>PRINCIPAL</v>
          </cell>
          <cell r="H135">
            <v>46004</v>
          </cell>
          <cell r="I135" t="str">
            <v>SALDO INICIAL</v>
          </cell>
          <cell r="J135">
            <v>10</v>
          </cell>
          <cell r="K135">
            <v>6.2880000000000003</v>
          </cell>
          <cell r="L135">
            <v>0.62880000000000003</v>
          </cell>
          <cell r="M135">
            <v>0.62880000000000003</v>
          </cell>
          <cell r="N135" t="str">
            <v/>
          </cell>
          <cell r="O135" t="str">
            <v/>
          </cell>
          <cell r="P135" t="str">
            <v/>
          </cell>
          <cell r="Q135">
            <v>2.5</v>
          </cell>
          <cell r="R135" t="str">
            <v>UND</v>
          </cell>
          <cell r="S135">
            <v>0</v>
          </cell>
          <cell r="T135">
            <v>0</v>
          </cell>
          <cell r="U135" t="str">
            <v/>
          </cell>
          <cell r="V135" t="str">
            <v>PRO10</v>
          </cell>
          <cell r="W135">
            <v>0</v>
          </cell>
        </row>
        <row r="136">
          <cell r="C136" t="str">
            <v>LBCA08B-1SS</v>
          </cell>
          <cell r="D136" t="str">
            <v>PRINC</v>
          </cell>
          <cell r="E136" t="str">
            <v>00002</v>
          </cell>
          <cell r="F136" t="str">
            <v>CADENAS DE TRANSMISION</v>
          </cell>
          <cell r="G136" t="str">
            <v>PRINCIPAL</v>
          </cell>
          <cell r="H136">
            <v>46004</v>
          </cell>
          <cell r="I136" t="str">
            <v>SALDO INICIAL</v>
          </cell>
          <cell r="J136">
            <v>20</v>
          </cell>
          <cell r="K136">
            <v>23.22</v>
          </cell>
          <cell r="L136">
            <v>0</v>
          </cell>
          <cell r="M136">
            <v>1.161</v>
          </cell>
          <cell r="N136" t="str">
            <v/>
          </cell>
          <cell r="O136" t="str">
            <v/>
          </cell>
          <cell r="P136" t="str">
            <v/>
          </cell>
          <cell r="Q136">
            <v>0</v>
          </cell>
          <cell r="R136" t="str">
            <v>UND</v>
          </cell>
          <cell r="S136">
            <v>0</v>
          </cell>
          <cell r="T136">
            <v>0</v>
          </cell>
          <cell r="U136" t="str">
            <v/>
          </cell>
          <cell r="V136" t="str">
            <v>PRO10</v>
          </cell>
          <cell r="W136">
            <v>0</v>
          </cell>
        </row>
        <row r="137">
          <cell r="C137" t="str">
            <v>LBCA100-1SS</v>
          </cell>
          <cell r="D137" t="str">
            <v>PRINC</v>
          </cell>
          <cell r="E137" t="str">
            <v>00002</v>
          </cell>
          <cell r="F137" t="str">
            <v>CADENAS DE TRANSMISION</v>
          </cell>
          <cell r="G137" t="str">
            <v>PRINCIPAL</v>
          </cell>
          <cell r="H137">
            <v>46004</v>
          </cell>
          <cell r="I137" t="str">
            <v>SALDO INICIAL</v>
          </cell>
          <cell r="J137">
            <v>57</v>
          </cell>
          <cell r="K137">
            <v>413.53938900000003</v>
          </cell>
          <cell r="L137">
            <v>7.255077</v>
          </cell>
          <cell r="M137">
            <v>7.255077</v>
          </cell>
          <cell r="N137" t="str">
            <v/>
          </cell>
          <cell r="O137" t="str">
            <v/>
          </cell>
          <cell r="P137" t="str">
            <v/>
          </cell>
          <cell r="Q137">
            <v>0</v>
          </cell>
          <cell r="R137" t="str">
            <v>UND</v>
          </cell>
          <cell r="S137">
            <v>0</v>
          </cell>
          <cell r="T137">
            <v>0</v>
          </cell>
          <cell r="U137" t="str">
            <v/>
          </cell>
          <cell r="V137" t="str">
            <v>PRO10</v>
          </cell>
          <cell r="W137">
            <v>0</v>
          </cell>
        </row>
        <row r="138">
          <cell r="C138" t="str">
            <v>VECANSS100</v>
          </cell>
          <cell r="D138" t="str">
            <v>PRINC</v>
          </cell>
          <cell r="E138" t="str">
            <v>00002</v>
          </cell>
          <cell r="F138" t="str">
            <v>CADENAS DE TRANSMISION</v>
          </cell>
          <cell r="G138" t="str">
            <v>PRINCIPAL</v>
          </cell>
          <cell r="H138">
            <v>46004</v>
          </cell>
          <cell r="I138" t="str">
            <v>SALDO INICIAL</v>
          </cell>
          <cell r="J138">
            <v>23</v>
          </cell>
          <cell r="K138">
            <v>158.77024499999999</v>
          </cell>
          <cell r="L138">
            <v>6.903054</v>
          </cell>
          <cell r="M138">
            <v>6.9030541300000001</v>
          </cell>
          <cell r="N138" t="str">
            <v/>
          </cell>
          <cell r="O138" t="str">
            <v/>
          </cell>
          <cell r="P138" t="str">
            <v/>
          </cell>
          <cell r="Q138">
            <v>15</v>
          </cell>
          <cell r="R138" t="str">
            <v>UND</v>
          </cell>
          <cell r="S138">
            <v>0</v>
          </cell>
          <cell r="T138">
            <v>0</v>
          </cell>
          <cell r="U138" t="str">
            <v/>
          </cell>
          <cell r="V138" t="str">
            <v>PRO10</v>
          </cell>
          <cell r="W138">
            <v>0</v>
          </cell>
        </row>
        <row r="139">
          <cell r="C139" t="str">
            <v>LBRC40-1SS</v>
          </cell>
          <cell r="D139" t="str">
            <v>PRINC</v>
          </cell>
          <cell r="E139" t="str">
            <v>00002</v>
          </cell>
          <cell r="F139" t="str">
            <v>CADENAS DE TRANSMISION</v>
          </cell>
          <cell r="G139" t="str">
            <v>PRINCIPAL</v>
          </cell>
          <cell r="H139">
            <v>46004</v>
          </cell>
          <cell r="I139" t="str">
            <v>SALDO INICIAL</v>
          </cell>
          <cell r="J139">
            <v>1053</v>
          </cell>
          <cell r="K139">
            <v>1516.4543610000001</v>
          </cell>
          <cell r="L139">
            <v>1.4401280000000001</v>
          </cell>
          <cell r="M139">
            <v>1.4401275979999999</v>
          </cell>
          <cell r="N139" t="str">
            <v/>
          </cell>
          <cell r="O139" t="str">
            <v/>
          </cell>
          <cell r="P139" t="str">
            <v/>
          </cell>
          <cell r="Q139">
            <v>4.5</v>
          </cell>
          <cell r="R139" t="str">
            <v>UND</v>
          </cell>
          <cell r="S139">
            <v>0</v>
          </cell>
          <cell r="T139">
            <v>0</v>
          </cell>
          <cell r="U139" t="str">
            <v/>
          </cell>
          <cell r="V139" t="str">
            <v>PRO10</v>
          </cell>
          <cell r="W139">
            <v>0</v>
          </cell>
        </row>
        <row r="140">
          <cell r="C140" t="str">
            <v>MOCANSS40</v>
          </cell>
          <cell r="D140" t="str">
            <v>PRINC</v>
          </cell>
          <cell r="E140" t="str">
            <v>00002</v>
          </cell>
          <cell r="F140" t="str">
            <v>CADENAS DE TRANSMISION</v>
          </cell>
          <cell r="G140" t="str">
            <v>PRINCIPAL</v>
          </cell>
          <cell r="H140">
            <v>46004</v>
          </cell>
          <cell r="I140" t="str">
            <v>SALDO INICIAL</v>
          </cell>
          <cell r="J140">
            <v>80</v>
          </cell>
          <cell r="K140">
            <v>183.976</v>
          </cell>
          <cell r="L140">
            <v>2.2997000000000001</v>
          </cell>
          <cell r="M140">
            <v>2.2997000000000001</v>
          </cell>
          <cell r="N140" t="str">
            <v/>
          </cell>
          <cell r="O140" t="str">
            <v/>
          </cell>
          <cell r="P140" t="str">
            <v/>
          </cell>
          <cell r="Q140">
            <v>0</v>
          </cell>
          <cell r="R140" t="str">
            <v>UND</v>
          </cell>
          <cell r="S140">
            <v>0</v>
          </cell>
          <cell r="T140">
            <v>0</v>
          </cell>
          <cell r="U140" t="str">
            <v/>
          </cell>
          <cell r="V140" t="str">
            <v>PRO10</v>
          </cell>
          <cell r="W140">
            <v>0</v>
          </cell>
        </row>
        <row r="141">
          <cell r="C141" t="str">
            <v>VECANSS40</v>
          </cell>
          <cell r="D141" t="str">
            <v>PRINC</v>
          </cell>
          <cell r="E141" t="str">
            <v>00002</v>
          </cell>
          <cell r="F141" t="str">
            <v>CADENAS DE TRANSMISION</v>
          </cell>
          <cell r="G141" t="str">
            <v>PRINCIPAL</v>
          </cell>
          <cell r="H141">
            <v>46004</v>
          </cell>
          <cell r="I141" t="str">
            <v>SALDO INICIAL</v>
          </cell>
          <cell r="J141">
            <v>978</v>
          </cell>
          <cell r="K141">
            <v>1165.1243139999999</v>
          </cell>
          <cell r="L141">
            <v>1.1913339999999999</v>
          </cell>
          <cell r="M141">
            <v>1.1913336539999999</v>
          </cell>
          <cell r="N141" t="str">
            <v/>
          </cell>
          <cell r="O141" t="str">
            <v/>
          </cell>
          <cell r="P141" t="str">
            <v/>
          </cell>
          <cell r="Q141">
            <v>3.5</v>
          </cell>
          <cell r="R141" t="str">
            <v>UND</v>
          </cell>
          <cell r="S141">
            <v>0</v>
          </cell>
          <cell r="T141">
            <v>0</v>
          </cell>
          <cell r="U141" t="str">
            <v/>
          </cell>
          <cell r="V141" t="str">
            <v>PRO10</v>
          </cell>
          <cell r="W141">
            <v>0</v>
          </cell>
        </row>
        <row r="142">
          <cell r="C142" t="str">
            <v>LBRC50-1SS</v>
          </cell>
          <cell r="D142" t="str">
            <v>PRINC</v>
          </cell>
          <cell r="E142" t="str">
            <v>00002</v>
          </cell>
          <cell r="F142" t="str">
            <v>CADENAS DE TRANSMISION</v>
          </cell>
          <cell r="G142" t="str">
            <v>PRINCIPAL</v>
          </cell>
          <cell r="H142">
            <v>46004</v>
          </cell>
          <cell r="I142" t="str">
            <v>SALDO INICIAL</v>
          </cell>
          <cell r="J142">
            <v>252</v>
          </cell>
          <cell r="K142">
            <v>442.08359999999999</v>
          </cell>
          <cell r="L142">
            <v>1.7543</v>
          </cell>
          <cell r="M142">
            <v>1.7543</v>
          </cell>
          <cell r="N142" t="str">
            <v/>
          </cell>
          <cell r="O142" t="str">
            <v/>
          </cell>
          <cell r="P142" t="str">
            <v/>
          </cell>
          <cell r="Q142">
            <v>7</v>
          </cell>
          <cell r="R142" t="str">
            <v>UND</v>
          </cell>
          <cell r="S142">
            <v>0</v>
          </cell>
          <cell r="T142">
            <v>0</v>
          </cell>
          <cell r="U142" t="str">
            <v/>
          </cell>
          <cell r="V142" t="str">
            <v>PRO10</v>
          </cell>
          <cell r="W142">
            <v>0</v>
          </cell>
        </row>
        <row r="143">
          <cell r="C143" t="str">
            <v>LBCA60-1SS</v>
          </cell>
          <cell r="D143" t="str">
            <v>PRINC</v>
          </cell>
          <cell r="E143" t="str">
            <v>00002</v>
          </cell>
          <cell r="F143" t="str">
            <v>CADENAS DE TRANSMISION</v>
          </cell>
          <cell r="G143" t="str">
            <v>PRINCIPAL</v>
          </cell>
          <cell r="H143">
            <v>46004</v>
          </cell>
          <cell r="I143" t="str">
            <v>SALDO INICIAL</v>
          </cell>
          <cell r="J143">
            <v>17</v>
          </cell>
          <cell r="K143">
            <v>42.667513</v>
          </cell>
          <cell r="L143">
            <v>2.5098530000000001</v>
          </cell>
          <cell r="M143">
            <v>2.5098537059999999</v>
          </cell>
          <cell r="N143" t="str">
            <v/>
          </cell>
          <cell r="O143" t="str">
            <v/>
          </cell>
          <cell r="P143" t="str">
            <v/>
          </cell>
          <cell r="Q143">
            <v>8.6</v>
          </cell>
          <cell r="R143" t="str">
            <v>UND</v>
          </cell>
          <cell r="S143">
            <v>0</v>
          </cell>
          <cell r="T143">
            <v>0</v>
          </cell>
          <cell r="U143" t="str">
            <v/>
          </cell>
          <cell r="V143" t="str">
            <v>PRO10</v>
          </cell>
          <cell r="W143">
            <v>0</v>
          </cell>
        </row>
        <row r="144">
          <cell r="C144" t="str">
            <v>VECANSS60</v>
          </cell>
          <cell r="D144" t="str">
            <v>PRINC</v>
          </cell>
          <cell r="E144" t="str">
            <v>00002</v>
          </cell>
          <cell r="F144" t="str">
            <v>CADENAS DE TRANSMISION</v>
          </cell>
          <cell r="G144" t="str">
            <v>PRINCIPAL</v>
          </cell>
          <cell r="H144">
            <v>46004</v>
          </cell>
          <cell r="I144" t="str">
            <v>SALDO INICIAL</v>
          </cell>
          <cell r="J144">
            <v>78</v>
          </cell>
          <cell r="K144">
            <v>119.304626</v>
          </cell>
          <cell r="L144">
            <v>1.5295460000000001</v>
          </cell>
          <cell r="M144">
            <v>1.529546487</v>
          </cell>
          <cell r="N144" t="str">
            <v/>
          </cell>
          <cell r="O144" t="str">
            <v/>
          </cell>
          <cell r="P144" t="str">
            <v/>
          </cell>
          <cell r="Q144">
            <v>5</v>
          </cell>
          <cell r="R144" t="str">
            <v>UND</v>
          </cell>
          <cell r="S144">
            <v>0</v>
          </cell>
          <cell r="T144">
            <v>0</v>
          </cell>
          <cell r="U144" t="str">
            <v/>
          </cell>
          <cell r="V144" t="str">
            <v>PRO10</v>
          </cell>
          <cell r="W144">
            <v>0</v>
          </cell>
        </row>
        <row r="145">
          <cell r="C145" t="str">
            <v>LBCA80-1SS</v>
          </cell>
          <cell r="D145" t="str">
            <v>PRINC</v>
          </cell>
          <cell r="E145" t="str">
            <v>00002</v>
          </cell>
          <cell r="F145" t="str">
            <v>CADENAS DE TRANSMISION</v>
          </cell>
          <cell r="G145" t="str">
            <v>PRINCIPAL</v>
          </cell>
          <cell r="H145">
            <v>46004</v>
          </cell>
          <cell r="I145" t="str">
            <v>SALDO INICIAL</v>
          </cell>
          <cell r="J145">
            <v>27</v>
          </cell>
          <cell r="K145">
            <v>122.102991</v>
          </cell>
          <cell r="L145">
            <v>4.5223329999999997</v>
          </cell>
          <cell r="M145">
            <v>4.5223329999999997</v>
          </cell>
          <cell r="N145" t="str">
            <v/>
          </cell>
          <cell r="O145" t="str">
            <v/>
          </cell>
          <cell r="P145" t="str">
            <v/>
          </cell>
          <cell r="Q145">
            <v>11.5</v>
          </cell>
          <cell r="R145" t="str">
            <v>UND</v>
          </cell>
          <cell r="S145">
            <v>0</v>
          </cell>
          <cell r="T145">
            <v>0</v>
          </cell>
          <cell r="U145" t="str">
            <v/>
          </cell>
          <cell r="V145" t="str">
            <v>PRO10</v>
          </cell>
          <cell r="W145">
            <v>0</v>
          </cell>
        </row>
        <row r="146">
          <cell r="C146" t="str">
            <v>VECANSS80</v>
          </cell>
          <cell r="D146" t="str">
            <v>PRINC</v>
          </cell>
          <cell r="E146" t="str">
            <v>00002</v>
          </cell>
          <cell r="F146" t="str">
            <v>CADENAS DE TRANSMISION</v>
          </cell>
          <cell r="G146" t="str">
            <v>PRINCIPAL</v>
          </cell>
          <cell r="H146">
            <v>46004</v>
          </cell>
          <cell r="I146" t="str">
            <v>SALDO INICIAL</v>
          </cell>
          <cell r="J146">
            <v>28</v>
          </cell>
          <cell r="K146">
            <v>174.952778</v>
          </cell>
          <cell r="L146">
            <v>6.2483129999999996</v>
          </cell>
          <cell r="M146">
            <v>6.2483135000000001</v>
          </cell>
          <cell r="N146" t="str">
            <v/>
          </cell>
          <cell r="O146" t="str">
            <v/>
          </cell>
          <cell r="P146" t="str">
            <v/>
          </cell>
          <cell r="Q146">
            <v>10.6</v>
          </cell>
          <cell r="R146" t="str">
            <v>UND</v>
          </cell>
          <cell r="S146">
            <v>0</v>
          </cell>
          <cell r="T146">
            <v>0</v>
          </cell>
          <cell r="U146" t="str">
            <v/>
          </cell>
          <cell r="V146" t="str">
            <v>PRO10</v>
          </cell>
          <cell r="W146">
            <v>0</v>
          </cell>
        </row>
        <row r="147">
          <cell r="C147" t="str">
            <v>VECANSS40-3</v>
          </cell>
          <cell r="D147" t="str">
            <v>PRINC</v>
          </cell>
          <cell r="E147" t="str">
            <v>00002</v>
          </cell>
          <cell r="F147" t="str">
            <v>CADENAS DE TRANSMISION</v>
          </cell>
          <cell r="G147" t="str">
            <v>PRINCIPAL</v>
          </cell>
          <cell r="H147">
            <v>46004</v>
          </cell>
          <cell r="I147" t="str">
            <v>SALDO INICIAL</v>
          </cell>
          <cell r="J147">
            <v>10</v>
          </cell>
          <cell r="K147">
            <v>16.91</v>
          </cell>
          <cell r="L147">
            <v>0</v>
          </cell>
          <cell r="M147">
            <v>1.6910000000000001</v>
          </cell>
          <cell r="N147" t="str">
            <v/>
          </cell>
          <cell r="O147" t="str">
            <v/>
          </cell>
          <cell r="P147" t="str">
            <v/>
          </cell>
          <cell r="Q147">
            <v>0</v>
          </cell>
          <cell r="R147" t="str">
            <v>UND</v>
          </cell>
          <cell r="S147">
            <v>0</v>
          </cell>
          <cell r="T147">
            <v>0</v>
          </cell>
          <cell r="U147" t="str">
            <v/>
          </cell>
          <cell r="V147" t="str">
            <v>PRO10</v>
          </cell>
          <cell r="W147">
            <v>0</v>
          </cell>
        </row>
        <row r="148">
          <cell r="C148" t="str">
            <v>VECANSS50-3</v>
          </cell>
          <cell r="D148" t="str">
            <v>PRINC</v>
          </cell>
          <cell r="E148" t="str">
            <v>00002</v>
          </cell>
          <cell r="F148" t="str">
            <v>CADENAS DE TRANSMISION</v>
          </cell>
          <cell r="G148" t="str">
            <v>PRINCIPAL</v>
          </cell>
          <cell r="H148">
            <v>46004</v>
          </cell>
          <cell r="I148" t="str">
            <v>SALDO INICIAL</v>
          </cell>
          <cell r="J148">
            <v>15</v>
          </cell>
          <cell r="K148">
            <v>62.575000000000003</v>
          </cell>
          <cell r="L148">
            <v>6.2469999999999999</v>
          </cell>
          <cell r="M148">
            <v>4.1716666670000002</v>
          </cell>
          <cell r="N148" t="str">
            <v/>
          </cell>
          <cell r="O148" t="str">
            <v/>
          </cell>
          <cell r="P148" t="str">
            <v/>
          </cell>
          <cell r="Q148">
            <v>26.3</v>
          </cell>
          <cell r="R148" t="str">
            <v>UND</v>
          </cell>
          <cell r="S148">
            <v>0</v>
          </cell>
          <cell r="T148">
            <v>0</v>
          </cell>
          <cell r="U148" t="str">
            <v/>
          </cell>
          <cell r="V148" t="str">
            <v>PRO10</v>
          </cell>
          <cell r="W148">
            <v>0</v>
          </cell>
        </row>
        <row r="149">
          <cell r="C149" t="str">
            <v>RE25D3/SSC2050</v>
          </cell>
          <cell r="D149" t="str">
            <v>PRINC</v>
          </cell>
          <cell r="E149" t="str">
            <v>00002</v>
          </cell>
          <cell r="F149" t="str">
            <v>CADENAS DE TRANSMISION</v>
          </cell>
          <cell r="G149" t="str">
            <v>PRINCIPAL</v>
          </cell>
          <cell r="H149">
            <v>46004</v>
          </cell>
          <cell r="I149" t="str">
            <v>SALDO INICIAL</v>
          </cell>
          <cell r="J149">
            <v>0</v>
          </cell>
          <cell r="K149">
            <v>-116.82</v>
          </cell>
          <cell r="L149">
            <v>5.8410000000000002</v>
          </cell>
          <cell r="M149">
            <v>0</v>
          </cell>
          <cell r="N149" t="str">
            <v/>
          </cell>
          <cell r="O149" t="str">
            <v/>
          </cell>
          <cell r="P149" t="str">
            <v/>
          </cell>
          <cell r="Q149">
            <v>0</v>
          </cell>
          <cell r="R149" t="str">
            <v>UND</v>
          </cell>
          <cell r="S149">
            <v>0</v>
          </cell>
          <cell r="T149">
            <v>0</v>
          </cell>
          <cell r="U149" t="str">
            <v/>
          </cell>
          <cell r="V149" t="str">
            <v>PRO10</v>
          </cell>
          <cell r="W149">
            <v>0</v>
          </cell>
        </row>
        <row r="150">
          <cell r="C150" t="str">
            <v>RE26/0126</v>
          </cell>
          <cell r="D150" t="str">
            <v>PRINC</v>
          </cell>
          <cell r="E150" t="str">
            <v>00002</v>
          </cell>
          <cell r="F150" t="str">
            <v>CADENAS DE TRANSMISION</v>
          </cell>
          <cell r="G150" t="str">
            <v>PRINCIPAL</v>
          </cell>
          <cell r="H150">
            <v>46004</v>
          </cell>
          <cell r="I150" t="str">
            <v>SALDO INICIAL</v>
          </cell>
          <cell r="J150">
            <v>30</v>
          </cell>
          <cell r="K150">
            <v>32.21499</v>
          </cell>
          <cell r="L150">
            <v>1.073833</v>
          </cell>
          <cell r="M150">
            <v>1.073833</v>
          </cell>
          <cell r="N150" t="str">
            <v/>
          </cell>
          <cell r="O150" t="str">
            <v/>
          </cell>
          <cell r="P150" t="str">
            <v/>
          </cell>
          <cell r="Q150">
            <v>0</v>
          </cell>
          <cell r="R150" t="str">
            <v>UND</v>
          </cell>
          <cell r="S150">
            <v>0</v>
          </cell>
          <cell r="T150">
            <v>0</v>
          </cell>
          <cell r="U150" t="str">
            <v/>
          </cell>
          <cell r="V150" t="str">
            <v>PRO10</v>
          </cell>
          <cell r="W150">
            <v>0</v>
          </cell>
        </row>
        <row r="151">
          <cell r="C151" t="str">
            <v>RE26A/50</v>
          </cell>
          <cell r="D151" t="str">
            <v>PRINC</v>
          </cell>
          <cell r="E151" t="str">
            <v>00002</v>
          </cell>
          <cell r="F151" t="str">
            <v>CADENAS DE TRANSMISION</v>
          </cell>
          <cell r="G151" t="str">
            <v>PRINCIPAL</v>
          </cell>
          <cell r="H151">
            <v>46004</v>
          </cell>
          <cell r="I151" t="str">
            <v>SALDO INICIAL</v>
          </cell>
          <cell r="J151">
            <v>20</v>
          </cell>
          <cell r="K151">
            <v>14.454000000000001</v>
          </cell>
          <cell r="L151">
            <v>0</v>
          </cell>
          <cell r="M151">
            <v>0.72270000000000001</v>
          </cell>
          <cell r="N151" t="str">
            <v/>
          </cell>
          <cell r="O151" t="str">
            <v/>
          </cell>
          <cell r="P151" t="str">
            <v/>
          </cell>
          <cell r="Q151">
            <v>3.2</v>
          </cell>
          <cell r="R151" t="str">
            <v>UND</v>
          </cell>
          <cell r="S151">
            <v>0</v>
          </cell>
          <cell r="T151">
            <v>0</v>
          </cell>
          <cell r="U151" t="str">
            <v/>
          </cell>
          <cell r="V151" t="str">
            <v>PRO10</v>
          </cell>
          <cell r="W151">
            <v>0</v>
          </cell>
        </row>
        <row r="152">
          <cell r="C152" t="str">
            <v>RE26A/60</v>
          </cell>
          <cell r="D152" t="str">
            <v>PRINC</v>
          </cell>
          <cell r="E152" t="str">
            <v>00002</v>
          </cell>
          <cell r="F152" t="str">
            <v>CADENAS DE TRANSMISION</v>
          </cell>
          <cell r="G152" t="str">
            <v>PRINCIPAL</v>
          </cell>
          <cell r="H152">
            <v>46004</v>
          </cell>
          <cell r="I152" t="str">
            <v>SALDO INICIAL</v>
          </cell>
          <cell r="J152">
            <v>6</v>
          </cell>
          <cell r="K152">
            <v>12.937200000000001</v>
          </cell>
          <cell r="L152">
            <v>2.1562000000000001</v>
          </cell>
          <cell r="M152">
            <v>2.1562000000000001</v>
          </cell>
          <cell r="N152" t="str">
            <v/>
          </cell>
          <cell r="O152" t="str">
            <v/>
          </cell>
          <cell r="P152" t="str">
            <v/>
          </cell>
          <cell r="Q152">
            <v>4.0999999999999996</v>
          </cell>
          <cell r="R152" t="str">
            <v>UND</v>
          </cell>
          <cell r="S152">
            <v>0</v>
          </cell>
          <cell r="T152">
            <v>0</v>
          </cell>
          <cell r="U152" t="str">
            <v/>
          </cell>
          <cell r="V152" t="str">
            <v>PRO10</v>
          </cell>
          <cell r="W152">
            <v>0</v>
          </cell>
        </row>
        <row r="153">
          <cell r="C153" t="str">
            <v>RE26/SSA40</v>
          </cell>
          <cell r="D153" t="str">
            <v>PRINC</v>
          </cell>
          <cell r="E153" t="str">
            <v>00002</v>
          </cell>
          <cell r="F153" t="str">
            <v>CADENAS DE TRANSMISION</v>
          </cell>
          <cell r="G153" t="str">
            <v>PRINCIPAL</v>
          </cell>
          <cell r="H153">
            <v>46004</v>
          </cell>
          <cell r="I153" t="str">
            <v>SALDO INICIAL</v>
          </cell>
          <cell r="J153">
            <v>22</v>
          </cell>
          <cell r="K153">
            <v>52.877000000000002</v>
          </cell>
          <cell r="L153">
            <v>2.4035000000000002</v>
          </cell>
          <cell r="M153">
            <v>2.4035000000000002</v>
          </cell>
          <cell r="N153" t="str">
            <v/>
          </cell>
          <cell r="O153" t="str">
            <v/>
          </cell>
          <cell r="P153" t="str">
            <v/>
          </cell>
          <cell r="Q153">
            <v>4.9000000000000004</v>
          </cell>
          <cell r="R153" t="str">
            <v>UND</v>
          </cell>
          <cell r="S153">
            <v>0</v>
          </cell>
          <cell r="T153">
            <v>0</v>
          </cell>
          <cell r="U153" t="str">
            <v/>
          </cell>
          <cell r="V153" t="str">
            <v>PRO10</v>
          </cell>
          <cell r="W153">
            <v>0</v>
          </cell>
        </row>
        <row r="154">
          <cell r="C154" t="str">
            <v>RE26/SSA50</v>
          </cell>
          <cell r="D154" t="str">
            <v>PRINC</v>
          </cell>
          <cell r="E154" t="str">
            <v>00002</v>
          </cell>
          <cell r="F154" t="str">
            <v>CADENAS DE TRANSMISION</v>
          </cell>
          <cell r="G154" t="str">
            <v>PRINCIPAL</v>
          </cell>
          <cell r="H154">
            <v>46004</v>
          </cell>
          <cell r="I154" t="str">
            <v>SALDO INICIAL</v>
          </cell>
          <cell r="J154">
            <v>1</v>
          </cell>
          <cell r="K154">
            <v>2.4691000000000001</v>
          </cell>
          <cell r="L154">
            <v>2.4691000000000001</v>
          </cell>
          <cell r="M154">
            <v>2.4691000000000001</v>
          </cell>
          <cell r="N154" t="str">
            <v/>
          </cell>
          <cell r="O154" t="str">
            <v/>
          </cell>
          <cell r="P154" t="str">
            <v/>
          </cell>
          <cell r="Q154">
            <v>6.2</v>
          </cell>
          <cell r="R154" t="str">
            <v>UND</v>
          </cell>
          <cell r="S154">
            <v>0</v>
          </cell>
          <cell r="T154">
            <v>0</v>
          </cell>
          <cell r="U154" t="str">
            <v/>
          </cell>
          <cell r="V154" t="str">
            <v>PRO10</v>
          </cell>
          <cell r="W154">
            <v>0</v>
          </cell>
        </row>
        <row r="155">
          <cell r="C155" t="str">
            <v>RE26/SSA60</v>
          </cell>
          <cell r="D155" t="str">
            <v>PRINC</v>
          </cell>
          <cell r="E155" t="str">
            <v>00002</v>
          </cell>
          <cell r="F155" t="str">
            <v>CADENAS DE TRANSMISION</v>
          </cell>
          <cell r="G155" t="str">
            <v>PRINCIPAL</v>
          </cell>
          <cell r="H155">
            <v>46004</v>
          </cell>
          <cell r="I155" t="str">
            <v>SALDO INICIAL</v>
          </cell>
          <cell r="J155">
            <v>24</v>
          </cell>
          <cell r="K155">
            <v>100.64400000000001</v>
          </cell>
          <cell r="L155">
            <v>4.1935000000000002</v>
          </cell>
          <cell r="M155">
            <v>4.1935000000000002</v>
          </cell>
          <cell r="N155" t="str">
            <v/>
          </cell>
          <cell r="O155" t="str">
            <v/>
          </cell>
          <cell r="P155" t="str">
            <v/>
          </cell>
          <cell r="Q155">
            <v>10.3</v>
          </cell>
          <cell r="R155" t="str">
            <v>UND</v>
          </cell>
          <cell r="S155">
            <v>0</v>
          </cell>
          <cell r="T155">
            <v>0</v>
          </cell>
          <cell r="U155" t="str">
            <v/>
          </cell>
          <cell r="V155" t="str">
            <v>PRO10</v>
          </cell>
          <cell r="W155">
            <v>0</v>
          </cell>
        </row>
        <row r="156">
          <cell r="C156" t="str">
            <v>RE29/SS10126</v>
          </cell>
          <cell r="D156" t="str">
            <v>PRINC</v>
          </cell>
          <cell r="E156" t="str">
            <v>00002</v>
          </cell>
          <cell r="F156" t="str">
            <v>CADENAS DE TRANSMISION</v>
          </cell>
          <cell r="G156" t="str">
            <v>PRINCIPAL</v>
          </cell>
          <cell r="H156">
            <v>46004</v>
          </cell>
          <cell r="I156" t="str">
            <v>SALDO INICIAL</v>
          </cell>
          <cell r="J156">
            <v>17</v>
          </cell>
          <cell r="K156">
            <v>86.345828999999995</v>
          </cell>
          <cell r="L156">
            <v>6.0282039999999997</v>
          </cell>
          <cell r="M156">
            <v>5.0791664120000002</v>
          </cell>
          <cell r="N156" t="str">
            <v/>
          </cell>
          <cell r="O156" t="str">
            <v/>
          </cell>
          <cell r="P156" t="str">
            <v/>
          </cell>
          <cell r="Q156">
            <v>13.85</v>
          </cell>
          <cell r="R156" t="str">
            <v>UND</v>
          </cell>
          <cell r="S156">
            <v>0</v>
          </cell>
          <cell r="T156">
            <v>0</v>
          </cell>
          <cell r="U156" t="str">
            <v/>
          </cell>
          <cell r="V156" t="str">
            <v>PRO10</v>
          </cell>
          <cell r="W156">
            <v>0</v>
          </cell>
        </row>
        <row r="157">
          <cell r="C157" t="str">
            <v>RE26/A40-2</v>
          </cell>
          <cell r="D157" t="str">
            <v>PRINC</v>
          </cell>
          <cell r="E157" t="str">
            <v>00002</v>
          </cell>
          <cell r="F157" t="str">
            <v>CADENAS DE TRANSMISION</v>
          </cell>
          <cell r="G157" t="str">
            <v>PRINCIPAL</v>
          </cell>
          <cell r="H157">
            <v>46004</v>
          </cell>
          <cell r="I157" t="str">
            <v>SALDO INICIAL</v>
          </cell>
          <cell r="J157">
            <v>10</v>
          </cell>
          <cell r="K157">
            <v>24.591999999999999</v>
          </cell>
          <cell r="L157">
            <v>0</v>
          </cell>
          <cell r="M157">
            <v>2.4592000000000001</v>
          </cell>
          <cell r="N157" t="str">
            <v/>
          </cell>
          <cell r="O157" t="str">
            <v/>
          </cell>
          <cell r="P157" t="str">
            <v/>
          </cell>
          <cell r="Q157">
            <v>4.0999999999999996</v>
          </cell>
          <cell r="R157" t="str">
            <v>UND</v>
          </cell>
          <cell r="S157">
            <v>0</v>
          </cell>
          <cell r="T157">
            <v>0</v>
          </cell>
          <cell r="U157" t="str">
            <v/>
          </cell>
          <cell r="V157" t="str">
            <v>PRO10</v>
          </cell>
          <cell r="W157">
            <v>0</v>
          </cell>
        </row>
        <row r="158">
          <cell r="C158" t="str">
            <v>RE26/SSA40-2</v>
          </cell>
          <cell r="D158" t="str">
            <v>PRINC</v>
          </cell>
          <cell r="E158" t="str">
            <v>00002</v>
          </cell>
          <cell r="F158" t="str">
            <v>CADENAS DE TRANSMISION</v>
          </cell>
          <cell r="G158" t="str">
            <v>PRINCIPAL</v>
          </cell>
          <cell r="H158">
            <v>46004</v>
          </cell>
          <cell r="I158" t="str">
            <v>SALDO INICIAL</v>
          </cell>
          <cell r="J158">
            <v>6</v>
          </cell>
          <cell r="K158">
            <v>26.836200000000002</v>
          </cell>
          <cell r="L158">
            <v>4.4726999999999997</v>
          </cell>
          <cell r="M158">
            <v>4.4726999999999997</v>
          </cell>
          <cell r="N158" t="str">
            <v/>
          </cell>
          <cell r="O158" t="str">
            <v/>
          </cell>
          <cell r="P158" t="str">
            <v/>
          </cell>
          <cell r="Q158">
            <v>7</v>
          </cell>
          <cell r="R158" t="str">
            <v>UND</v>
          </cell>
          <cell r="S158">
            <v>0</v>
          </cell>
          <cell r="T158">
            <v>0</v>
          </cell>
          <cell r="U158" t="str">
            <v/>
          </cell>
          <cell r="V158" t="str">
            <v>PRO10</v>
          </cell>
          <cell r="W158">
            <v>0</v>
          </cell>
        </row>
        <row r="159">
          <cell r="C159" t="str">
            <v>REP803KPA/000</v>
          </cell>
          <cell r="D159" t="str">
            <v>PRINC</v>
          </cell>
          <cell r="E159" t="str">
            <v>00003</v>
          </cell>
          <cell r="F159" t="str">
            <v>CADENAS TABLE TOP SS</v>
          </cell>
          <cell r="G159" t="str">
            <v>PRINCIPAL</v>
          </cell>
          <cell r="H159">
            <v>46004</v>
          </cell>
          <cell r="I159" t="str">
            <v>SALDO INICIAL</v>
          </cell>
          <cell r="J159">
            <v>12</v>
          </cell>
          <cell r="K159">
            <v>779.21499900000003</v>
          </cell>
          <cell r="L159">
            <v>64.956999999999994</v>
          </cell>
          <cell r="M159">
            <v>64.934583250000003</v>
          </cell>
          <cell r="N159" t="str">
            <v/>
          </cell>
          <cell r="O159" t="str">
            <v/>
          </cell>
          <cell r="P159" t="str">
            <v/>
          </cell>
          <cell r="Q159">
            <v>103.9</v>
          </cell>
          <cell r="R159" t="str">
            <v>ROL</v>
          </cell>
          <cell r="S159">
            <v>0</v>
          </cell>
          <cell r="T159">
            <v>0</v>
          </cell>
          <cell r="U159" t="str">
            <v/>
          </cell>
          <cell r="V159" t="str">
            <v>PRO10</v>
          </cell>
          <cell r="W159">
            <v>0</v>
          </cell>
        </row>
        <row r="160">
          <cell r="C160" t="str">
            <v>REP803KFA/000</v>
          </cell>
          <cell r="D160" t="str">
            <v>PRINC</v>
          </cell>
          <cell r="E160" t="str">
            <v>00003</v>
          </cell>
          <cell r="F160" t="str">
            <v>CADENAS TABLE TOP SS</v>
          </cell>
          <cell r="G160" t="str">
            <v>PRINCIPAL</v>
          </cell>
          <cell r="H160">
            <v>46004</v>
          </cell>
          <cell r="I160" t="str">
            <v>SALDO INICIAL</v>
          </cell>
          <cell r="J160">
            <v>0</v>
          </cell>
          <cell r="K160">
            <v>-15.922043</v>
          </cell>
          <cell r="L160">
            <v>64.957695000000001</v>
          </cell>
          <cell r="M160">
            <v>0</v>
          </cell>
          <cell r="N160" t="str">
            <v/>
          </cell>
          <cell r="O160" t="str">
            <v/>
          </cell>
          <cell r="P160" t="str">
            <v/>
          </cell>
          <cell r="Q160">
            <v>114.8</v>
          </cell>
          <cell r="R160" t="str">
            <v>ROL</v>
          </cell>
          <cell r="S160">
            <v>0</v>
          </cell>
          <cell r="T160">
            <v>0</v>
          </cell>
          <cell r="U160" t="str">
            <v/>
          </cell>
          <cell r="V160" t="str">
            <v>PRO10</v>
          </cell>
          <cell r="W160">
            <v>0</v>
          </cell>
        </row>
        <row r="161">
          <cell r="C161" t="str">
            <v>REP820KG/000</v>
          </cell>
          <cell r="D161" t="str">
            <v>PRINC</v>
          </cell>
          <cell r="E161" t="str">
            <v>00003</v>
          </cell>
          <cell r="F161" t="str">
            <v>CADENAS TABLE TOP SS</v>
          </cell>
          <cell r="G161" t="str">
            <v>PRINCIPAL</v>
          </cell>
          <cell r="H161">
            <v>46004</v>
          </cell>
          <cell r="I161" t="str">
            <v>SALDO INICIAL</v>
          </cell>
          <cell r="J161">
            <v>1</v>
          </cell>
          <cell r="K161">
            <v>53.252000000000002</v>
          </cell>
          <cell r="L161">
            <v>53.252000000000002</v>
          </cell>
          <cell r="M161">
            <v>53.252000000000002</v>
          </cell>
          <cell r="N161" t="str">
            <v/>
          </cell>
          <cell r="O161" t="str">
            <v/>
          </cell>
          <cell r="P161" t="str">
            <v/>
          </cell>
          <cell r="Q161">
            <v>126.4</v>
          </cell>
          <cell r="R161" t="str">
            <v>ROL</v>
          </cell>
          <cell r="S161">
            <v>0</v>
          </cell>
          <cell r="T161">
            <v>0</v>
          </cell>
          <cell r="U161" t="str">
            <v/>
          </cell>
          <cell r="V161" t="str">
            <v>PRO10</v>
          </cell>
          <cell r="W161">
            <v>0</v>
          </cell>
        </row>
        <row r="162">
          <cell r="C162" t="str">
            <v>REP915KD/000</v>
          </cell>
          <cell r="D162" t="str">
            <v>PRINC</v>
          </cell>
          <cell r="E162" t="str">
            <v>00003</v>
          </cell>
          <cell r="F162" t="str">
            <v>CADENAS TABLE TOP SS</v>
          </cell>
          <cell r="G162" t="str">
            <v>PRINCIPAL</v>
          </cell>
          <cell r="H162">
            <v>46004</v>
          </cell>
          <cell r="I162" t="str">
            <v>SALDO INICIAL</v>
          </cell>
          <cell r="J162">
            <v>1</v>
          </cell>
          <cell r="K162">
            <v>-30.476222</v>
          </cell>
          <cell r="L162">
            <v>70.138147000000004</v>
          </cell>
          <cell r="M162">
            <v>-30.476222</v>
          </cell>
          <cell r="N162" t="str">
            <v/>
          </cell>
          <cell r="O162" t="str">
            <v/>
          </cell>
          <cell r="P162" t="str">
            <v/>
          </cell>
          <cell r="Q162">
            <v>107</v>
          </cell>
          <cell r="R162" t="str">
            <v>ROL</v>
          </cell>
          <cell r="S162">
            <v>0</v>
          </cell>
          <cell r="T162">
            <v>0</v>
          </cell>
          <cell r="U162" t="str">
            <v/>
          </cell>
          <cell r="V162" t="str">
            <v>PRO10</v>
          </cell>
          <cell r="W162">
            <v>0</v>
          </cell>
        </row>
        <row r="163">
          <cell r="C163" t="str">
            <v>REP915KF/000</v>
          </cell>
          <cell r="D163" t="str">
            <v>PRINC</v>
          </cell>
          <cell r="E163" t="str">
            <v>00003</v>
          </cell>
          <cell r="F163" t="str">
            <v>CADENAS TABLE TOP SS</v>
          </cell>
          <cell r="G163" t="str">
            <v>PRINCIPAL</v>
          </cell>
          <cell r="H163">
            <v>46004</v>
          </cell>
          <cell r="I163" t="str">
            <v>SALDO INICIAL</v>
          </cell>
          <cell r="J163">
            <v>5</v>
          </cell>
          <cell r="K163">
            <v>391.71666499999998</v>
          </cell>
          <cell r="L163">
            <v>78.343333000000001</v>
          </cell>
          <cell r="M163">
            <v>78.343333000000001</v>
          </cell>
          <cell r="N163" t="str">
            <v/>
          </cell>
          <cell r="O163" t="str">
            <v/>
          </cell>
          <cell r="P163" t="str">
            <v/>
          </cell>
          <cell r="Q163">
            <v>132.5</v>
          </cell>
          <cell r="R163" t="str">
            <v>ROL</v>
          </cell>
          <cell r="S163">
            <v>0</v>
          </cell>
          <cell r="T163">
            <v>0</v>
          </cell>
          <cell r="U163" t="str">
            <v/>
          </cell>
          <cell r="V163" t="str">
            <v>PRO10</v>
          </cell>
          <cell r="W163">
            <v>0</v>
          </cell>
        </row>
        <row r="164">
          <cell r="C164" t="str">
            <v>REP915KG/000</v>
          </cell>
          <cell r="D164" t="str">
            <v>PRINC</v>
          </cell>
          <cell r="E164" t="str">
            <v>00003</v>
          </cell>
          <cell r="F164" t="str">
            <v>CADENAS TABLE TOP SS</v>
          </cell>
          <cell r="G164" t="str">
            <v>PRINCIPAL</v>
          </cell>
          <cell r="H164">
            <v>46004</v>
          </cell>
          <cell r="I164" t="str">
            <v>SALDO INICIAL</v>
          </cell>
          <cell r="J164">
            <v>0</v>
          </cell>
          <cell r="K164">
            <v>105.45625</v>
          </cell>
          <cell r="L164">
            <v>98.403750000000002</v>
          </cell>
          <cell r="M164">
            <v>0</v>
          </cell>
          <cell r="N164" t="str">
            <v/>
          </cell>
          <cell r="O164" t="str">
            <v/>
          </cell>
          <cell r="P164" t="str">
            <v/>
          </cell>
          <cell r="Q164">
            <v>137</v>
          </cell>
          <cell r="R164" t="str">
            <v>ROL</v>
          </cell>
          <cell r="S164">
            <v>0</v>
          </cell>
          <cell r="T164">
            <v>0</v>
          </cell>
          <cell r="U164" t="str">
            <v/>
          </cell>
          <cell r="V164" t="str">
            <v>PRO10</v>
          </cell>
          <cell r="W164">
            <v>0</v>
          </cell>
        </row>
        <row r="165">
          <cell r="C165" t="str">
            <v>REP915KH/000</v>
          </cell>
          <cell r="D165" t="str">
            <v>PRINC</v>
          </cell>
          <cell r="E165" t="str">
            <v>00003</v>
          </cell>
          <cell r="F165" t="str">
            <v>CADENAS TABLE TOP SS</v>
          </cell>
          <cell r="G165" t="str">
            <v>PRINCIPAL</v>
          </cell>
          <cell r="H165">
            <v>46004</v>
          </cell>
          <cell r="I165" t="str">
            <v>SALDO INICIAL</v>
          </cell>
          <cell r="J165">
            <v>3</v>
          </cell>
          <cell r="K165">
            <v>388.92085500000002</v>
          </cell>
          <cell r="L165">
            <v>108.904095</v>
          </cell>
          <cell r="M165">
            <v>129.64028500000001</v>
          </cell>
          <cell r="N165" t="str">
            <v/>
          </cell>
          <cell r="O165" t="str">
            <v/>
          </cell>
          <cell r="P165" t="str">
            <v/>
          </cell>
          <cell r="Q165">
            <v>168.8</v>
          </cell>
          <cell r="R165" t="str">
            <v>ROL</v>
          </cell>
          <cell r="S165">
            <v>0</v>
          </cell>
          <cell r="T165">
            <v>0</v>
          </cell>
          <cell r="U165" t="str">
            <v/>
          </cell>
          <cell r="V165" t="str">
            <v>PRO10</v>
          </cell>
          <cell r="W165">
            <v>0</v>
          </cell>
        </row>
        <row r="166">
          <cell r="C166" t="str">
            <v>REP915KL/000</v>
          </cell>
          <cell r="D166" t="str">
            <v>PRINC</v>
          </cell>
          <cell r="E166" t="str">
            <v>00003</v>
          </cell>
          <cell r="F166" t="str">
            <v>CADENAS TABLE TOP SS</v>
          </cell>
          <cell r="G166" t="str">
            <v>PRINCIPAL</v>
          </cell>
          <cell r="H166">
            <v>46004</v>
          </cell>
          <cell r="I166" t="str">
            <v>SALDO INICIAL</v>
          </cell>
          <cell r="J166">
            <v>10</v>
          </cell>
          <cell r="K166">
            <v>1399.4806510000001</v>
          </cell>
          <cell r="L166">
            <v>134.295244</v>
          </cell>
          <cell r="M166">
            <v>139.94806510000001</v>
          </cell>
          <cell r="N166" t="str">
            <v/>
          </cell>
          <cell r="O166" t="str">
            <v/>
          </cell>
          <cell r="P166" t="str">
            <v/>
          </cell>
          <cell r="Q166">
            <v>191.7</v>
          </cell>
          <cell r="R166" t="str">
            <v>ROL</v>
          </cell>
          <cell r="S166">
            <v>0</v>
          </cell>
          <cell r="T166">
            <v>0</v>
          </cell>
          <cell r="U166" t="str">
            <v/>
          </cell>
          <cell r="V166" t="str">
            <v>PRO10</v>
          </cell>
          <cell r="W166">
            <v>0</v>
          </cell>
        </row>
        <row r="167">
          <cell r="C167" t="str">
            <v>REP981KG/000</v>
          </cell>
          <cell r="D167" t="str">
            <v>PRINC</v>
          </cell>
          <cell r="E167" t="str">
            <v>00003</v>
          </cell>
          <cell r="F167" t="str">
            <v>CADENAS TABLE TOP SS</v>
          </cell>
          <cell r="G167" t="str">
            <v>PRINCIPAL</v>
          </cell>
          <cell r="H167">
            <v>46004</v>
          </cell>
          <cell r="I167" t="str">
            <v>SALDO INICIAL</v>
          </cell>
          <cell r="J167">
            <v>0</v>
          </cell>
          <cell r="K167">
            <v>-68.708292999999998</v>
          </cell>
          <cell r="L167">
            <v>121.412412</v>
          </cell>
          <cell r="M167">
            <v>0</v>
          </cell>
          <cell r="N167" t="str">
            <v/>
          </cell>
          <cell r="O167" t="str">
            <v/>
          </cell>
          <cell r="P167" t="str">
            <v/>
          </cell>
          <cell r="Q167">
            <v>255.45</v>
          </cell>
          <cell r="R167" t="str">
            <v>ROL</v>
          </cell>
          <cell r="S167">
            <v>0</v>
          </cell>
          <cell r="T167">
            <v>0</v>
          </cell>
          <cell r="U167" t="str">
            <v/>
          </cell>
          <cell r="V167" t="str">
            <v>PRO10</v>
          </cell>
          <cell r="W167">
            <v>0</v>
          </cell>
        </row>
        <row r="168">
          <cell r="C168" t="str">
            <v>REP981MKD/000</v>
          </cell>
          <cell r="D168" t="str">
            <v>PRINC</v>
          </cell>
          <cell r="E168" t="str">
            <v>00003</v>
          </cell>
          <cell r="F168" t="str">
            <v>CADENAS TABLE TOP SS</v>
          </cell>
          <cell r="G168" t="str">
            <v>PRINCIPAL</v>
          </cell>
          <cell r="H168">
            <v>46004</v>
          </cell>
          <cell r="I168" t="str">
            <v>SALDO INICIAL</v>
          </cell>
          <cell r="J168">
            <v>8</v>
          </cell>
          <cell r="K168">
            <v>-49.646937999999999</v>
          </cell>
          <cell r="L168">
            <v>55.955942999999998</v>
          </cell>
          <cell r="M168">
            <v>-6.2058672499999998</v>
          </cell>
          <cell r="N168" t="str">
            <v/>
          </cell>
          <cell r="O168" t="str">
            <v/>
          </cell>
          <cell r="P168" t="str">
            <v/>
          </cell>
          <cell r="Q168">
            <v>115</v>
          </cell>
          <cell r="R168" t="str">
            <v>ROL</v>
          </cell>
          <cell r="S168">
            <v>0</v>
          </cell>
          <cell r="T168">
            <v>0</v>
          </cell>
          <cell r="U168" t="str">
            <v/>
          </cell>
          <cell r="V168" t="str">
            <v>PRO10</v>
          </cell>
          <cell r="W168">
            <v>0</v>
          </cell>
        </row>
        <row r="169">
          <cell r="C169" t="str">
            <v>REP981MKG/000</v>
          </cell>
          <cell r="D169" t="str">
            <v>PRINC</v>
          </cell>
          <cell r="E169" t="str">
            <v>00003</v>
          </cell>
          <cell r="F169" t="str">
            <v>CADENAS TABLE TOP SS</v>
          </cell>
          <cell r="G169" t="str">
            <v>PRINCIPAL</v>
          </cell>
          <cell r="H169">
            <v>46004</v>
          </cell>
          <cell r="I169" t="str">
            <v>SALDO INICIAL</v>
          </cell>
          <cell r="J169">
            <v>7</v>
          </cell>
          <cell r="K169">
            <v>0</v>
          </cell>
          <cell r="L169">
            <v>0</v>
          </cell>
          <cell r="M169">
            <v>0</v>
          </cell>
          <cell r="N169" t="str">
            <v/>
          </cell>
          <cell r="O169" t="str">
            <v/>
          </cell>
          <cell r="P169" t="str">
            <v/>
          </cell>
          <cell r="Q169">
            <v>164.65</v>
          </cell>
          <cell r="R169" t="str">
            <v>ROL</v>
          </cell>
          <cell r="S169">
            <v>0</v>
          </cell>
          <cell r="T169">
            <v>0</v>
          </cell>
          <cell r="U169" t="str">
            <v/>
          </cell>
          <cell r="V169" t="str">
            <v>PRO10</v>
          </cell>
          <cell r="W169">
            <v>0</v>
          </cell>
        </row>
        <row r="170">
          <cell r="C170" t="str">
            <v>REP981TKD/000</v>
          </cell>
          <cell r="D170" t="str">
            <v>PRINC</v>
          </cell>
          <cell r="E170" t="str">
            <v>00003</v>
          </cell>
          <cell r="F170" t="str">
            <v>CADENAS TABLE TOP SS</v>
          </cell>
          <cell r="G170" t="str">
            <v>PRINCIPAL</v>
          </cell>
          <cell r="H170">
            <v>46004</v>
          </cell>
          <cell r="I170" t="str">
            <v>SALDO INICIAL</v>
          </cell>
          <cell r="J170">
            <v>0</v>
          </cell>
          <cell r="K170">
            <v>-241.383116</v>
          </cell>
          <cell r="L170">
            <v>114.921678</v>
          </cell>
          <cell r="M170">
            <v>0</v>
          </cell>
          <cell r="N170" t="str">
            <v/>
          </cell>
          <cell r="O170" t="str">
            <v/>
          </cell>
          <cell r="P170" t="str">
            <v/>
          </cell>
          <cell r="Q170">
            <v>189</v>
          </cell>
          <cell r="R170" t="str">
            <v>ROL</v>
          </cell>
          <cell r="S170">
            <v>0</v>
          </cell>
          <cell r="T170">
            <v>0</v>
          </cell>
          <cell r="U170" t="str">
            <v/>
          </cell>
          <cell r="V170" t="str">
            <v>PRO10</v>
          </cell>
          <cell r="W170">
            <v>0</v>
          </cell>
        </row>
        <row r="171">
          <cell r="C171" t="str">
            <v>REP981TKG/000</v>
          </cell>
          <cell r="D171" t="str">
            <v>PRINC</v>
          </cell>
          <cell r="E171" t="str">
            <v>00003</v>
          </cell>
          <cell r="F171" t="str">
            <v>CADENAS TABLE TOP SS</v>
          </cell>
          <cell r="G171" t="str">
            <v>PRINCIPAL</v>
          </cell>
          <cell r="H171">
            <v>46004</v>
          </cell>
          <cell r="I171" t="str">
            <v>SALDO INICIAL</v>
          </cell>
          <cell r="J171">
            <v>0</v>
          </cell>
          <cell r="K171">
            <v>81.567262999999997</v>
          </cell>
          <cell r="L171">
            <v>115.488514</v>
          </cell>
          <cell r="M171">
            <v>0</v>
          </cell>
          <cell r="N171" t="str">
            <v/>
          </cell>
          <cell r="O171" t="str">
            <v/>
          </cell>
          <cell r="P171" t="str">
            <v/>
          </cell>
          <cell r="Q171">
            <v>243</v>
          </cell>
          <cell r="R171" t="str">
            <v>ROL</v>
          </cell>
          <cell r="S171">
            <v>0</v>
          </cell>
          <cell r="T171">
            <v>0</v>
          </cell>
          <cell r="U171" t="str">
            <v/>
          </cell>
          <cell r="V171" t="str">
            <v>PRO10</v>
          </cell>
          <cell r="W171">
            <v>0</v>
          </cell>
        </row>
        <row r="172">
          <cell r="C172" t="str">
            <v>REP981TKL/000</v>
          </cell>
          <cell r="D172" t="str">
            <v>PRINC</v>
          </cell>
          <cell r="E172" t="str">
            <v>00003</v>
          </cell>
          <cell r="F172" t="str">
            <v>CADENAS TABLE TOP SS</v>
          </cell>
          <cell r="G172" t="str">
            <v>PRINCIPAL</v>
          </cell>
          <cell r="H172">
            <v>46004</v>
          </cell>
          <cell r="I172" t="str">
            <v>SALDO INICIAL</v>
          </cell>
          <cell r="J172">
            <v>0</v>
          </cell>
          <cell r="K172">
            <v>-93.066035999999997</v>
          </cell>
          <cell r="L172">
            <v>201.73603</v>
          </cell>
          <cell r="M172">
            <v>0</v>
          </cell>
          <cell r="N172" t="str">
            <v/>
          </cell>
          <cell r="O172" t="str">
            <v/>
          </cell>
          <cell r="P172" t="str">
            <v/>
          </cell>
          <cell r="Q172">
            <v>385.8</v>
          </cell>
          <cell r="R172" t="str">
            <v>ROL</v>
          </cell>
          <cell r="S172">
            <v>0</v>
          </cell>
          <cell r="T172">
            <v>0</v>
          </cell>
          <cell r="U172" t="str">
            <v/>
          </cell>
          <cell r="V172" t="str">
            <v>PRO10</v>
          </cell>
          <cell r="W172">
            <v>0</v>
          </cell>
        </row>
        <row r="173">
          <cell r="C173" t="str">
            <v>REPG915KD/000</v>
          </cell>
          <cell r="D173" t="str">
            <v>PRINC</v>
          </cell>
          <cell r="E173" t="str">
            <v>00003</v>
          </cell>
          <cell r="F173" t="str">
            <v>CADENAS TABLE TOP SS</v>
          </cell>
          <cell r="G173" t="str">
            <v>PRINCIPAL</v>
          </cell>
          <cell r="H173">
            <v>46004</v>
          </cell>
          <cell r="I173" t="str">
            <v>SALDO INICIAL</v>
          </cell>
          <cell r="J173">
            <v>35</v>
          </cell>
          <cell r="K173">
            <v>6491.994995</v>
          </cell>
          <cell r="L173">
            <v>188.76833300000001</v>
          </cell>
          <cell r="M173">
            <v>185.48557128600001</v>
          </cell>
          <cell r="N173" t="str">
            <v/>
          </cell>
          <cell r="O173" t="str">
            <v/>
          </cell>
          <cell r="P173" t="str">
            <v/>
          </cell>
          <cell r="Q173">
            <v>283.2</v>
          </cell>
          <cell r="R173" t="str">
            <v>ROL</v>
          </cell>
          <cell r="S173">
            <v>0</v>
          </cell>
          <cell r="T173">
            <v>0</v>
          </cell>
          <cell r="U173" t="str">
            <v/>
          </cell>
          <cell r="V173" t="str">
            <v>PRO10</v>
          </cell>
          <cell r="W173">
            <v>0</v>
          </cell>
        </row>
        <row r="174">
          <cell r="C174" t="str">
            <v>REPHD9157KL/000</v>
          </cell>
          <cell r="D174" t="str">
            <v>PRINC</v>
          </cell>
          <cell r="E174" t="str">
            <v>00003</v>
          </cell>
          <cell r="F174" t="str">
            <v>CADENAS TABLE TOP SS</v>
          </cell>
          <cell r="G174" t="str">
            <v>PRINCIPAL</v>
          </cell>
          <cell r="H174">
            <v>46004</v>
          </cell>
          <cell r="I174" t="str">
            <v>SALDO INICIAL</v>
          </cell>
          <cell r="J174">
            <v>2</v>
          </cell>
          <cell r="K174">
            <v>-291.53056500000002</v>
          </cell>
          <cell r="L174">
            <v>170.81899999999999</v>
          </cell>
          <cell r="M174">
            <v>-145.76528250000001</v>
          </cell>
          <cell r="N174" t="str">
            <v/>
          </cell>
          <cell r="O174" t="str">
            <v/>
          </cell>
          <cell r="P174" t="str">
            <v/>
          </cell>
          <cell r="Q174">
            <v>256.3</v>
          </cell>
          <cell r="R174" t="str">
            <v>ROL</v>
          </cell>
          <cell r="S174">
            <v>0</v>
          </cell>
          <cell r="T174">
            <v>0</v>
          </cell>
          <cell r="U174" t="str">
            <v/>
          </cell>
          <cell r="V174" t="str">
            <v>PRO10</v>
          </cell>
          <cell r="W174">
            <v>0</v>
          </cell>
        </row>
        <row r="175">
          <cell r="C175" t="str">
            <v>REPHD915KD/000</v>
          </cell>
          <cell r="D175" t="str">
            <v>PRINC</v>
          </cell>
          <cell r="E175" t="str">
            <v>00003</v>
          </cell>
          <cell r="F175" t="str">
            <v>CADENAS TABLE TOP SS</v>
          </cell>
          <cell r="G175" t="str">
            <v>PRINCIPAL</v>
          </cell>
          <cell r="H175">
            <v>46004</v>
          </cell>
          <cell r="I175" t="str">
            <v>SALDO INICIAL</v>
          </cell>
          <cell r="J175">
            <v>73</v>
          </cell>
          <cell r="K175">
            <v>0</v>
          </cell>
          <cell r="L175">
            <v>74.126405000000005</v>
          </cell>
          <cell r="M175">
            <v>0</v>
          </cell>
          <cell r="N175" t="str">
            <v/>
          </cell>
          <cell r="O175" t="str">
            <v/>
          </cell>
          <cell r="P175" t="str">
            <v/>
          </cell>
          <cell r="Q175">
            <v>110.7</v>
          </cell>
          <cell r="R175" t="str">
            <v>ROL</v>
          </cell>
          <cell r="S175">
            <v>0</v>
          </cell>
          <cell r="T175">
            <v>0</v>
          </cell>
          <cell r="U175" t="str">
            <v/>
          </cell>
          <cell r="V175" t="str">
            <v>PRO10</v>
          </cell>
          <cell r="W175">
            <v>0</v>
          </cell>
        </row>
        <row r="176">
          <cell r="C176" t="str">
            <v>REPHD915KL/000</v>
          </cell>
          <cell r="D176" t="str">
            <v>PRINC</v>
          </cell>
          <cell r="E176" t="str">
            <v>00003</v>
          </cell>
          <cell r="F176" t="str">
            <v>CADENAS TABLE TOP SS</v>
          </cell>
          <cell r="G176" t="str">
            <v>PRINCIPAL</v>
          </cell>
          <cell r="H176">
            <v>46004</v>
          </cell>
          <cell r="I176" t="str">
            <v>SALDO INICIAL</v>
          </cell>
          <cell r="J176">
            <v>1</v>
          </cell>
          <cell r="K176">
            <v>120.119929</v>
          </cell>
          <cell r="L176">
            <v>120.11993099999999</v>
          </cell>
          <cell r="M176">
            <v>120.119929</v>
          </cell>
          <cell r="N176" t="str">
            <v/>
          </cell>
          <cell r="O176" t="str">
            <v/>
          </cell>
          <cell r="P176" t="str">
            <v/>
          </cell>
          <cell r="Q176">
            <v>235</v>
          </cell>
          <cell r="R176" t="str">
            <v>ROL</v>
          </cell>
          <cell r="S176">
            <v>0</v>
          </cell>
          <cell r="T176">
            <v>0</v>
          </cell>
          <cell r="U176" t="str">
            <v/>
          </cell>
          <cell r="V176" t="str">
            <v>PRO10</v>
          </cell>
          <cell r="W176">
            <v>0</v>
          </cell>
        </row>
        <row r="177">
          <cell r="C177" t="str">
            <v>REPHD981MKD/000</v>
          </cell>
          <cell r="D177" t="str">
            <v>PRINC</v>
          </cell>
          <cell r="E177" t="str">
            <v>00003</v>
          </cell>
          <cell r="F177" t="str">
            <v>CADENAS TABLE TOP SS</v>
          </cell>
          <cell r="G177" t="str">
            <v>PRINCIPAL</v>
          </cell>
          <cell r="H177">
            <v>46004</v>
          </cell>
          <cell r="I177" t="str">
            <v>SALDO INICIAL</v>
          </cell>
          <cell r="J177">
            <v>0</v>
          </cell>
          <cell r="K177">
            <v>-56.492794000000004</v>
          </cell>
          <cell r="L177">
            <v>63.252924999999998</v>
          </cell>
          <cell r="M177">
            <v>0</v>
          </cell>
          <cell r="N177" t="str">
            <v/>
          </cell>
          <cell r="O177" t="str">
            <v/>
          </cell>
          <cell r="P177" t="str">
            <v/>
          </cell>
          <cell r="Q177">
            <v>106.9</v>
          </cell>
          <cell r="R177" t="str">
            <v>ROL</v>
          </cell>
          <cell r="S177">
            <v>0</v>
          </cell>
          <cell r="T177">
            <v>0</v>
          </cell>
          <cell r="U177" t="str">
            <v/>
          </cell>
          <cell r="V177" t="str">
            <v>PRO10</v>
          </cell>
          <cell r="W177">
            <v>0</v>
          </cell>
        </row>
        <row r="178">
          <cell r="C178" t="str">
            <v>REPHD981MKL/000</v>
          </cell>
          <cell r="D178" t="str">
            <v>PRINC</v>
          </cell>
          <cell r="E178" t="str">
            <v>00003</v>
          </cell>
          <cell r="F178" t="str">
            <v>CADENAS TABLE TOP SS</v>
          </cell>
          <cell r="G178" t="str">
            <v>PRINCIPAL</v>
          </cell>
          <cell r="H178">
            <v>46004</v>
          </cell>
          <cell r="I178" t="str">
            <v>SALDO INICIAL</v>
          </cell>
          <cell r="J178">
            <v>10</v>
          </cell>
          <cell r="K178">
            <v>1215.44667</v>
          </cell>
          <cell r="L178">
            <v>121.544667</v>
          </cell>
          <cell r="M178">
            <v>121.544667</v>
          </cell>
          <cell r="N178" t="str">
            <v/>
          </cell>
          <cell r="O178" t="str">
            <v/>
          </cell>
          <cell r="P178" t="str">
            <v/>
          </cell>
          <cell r="Q178">
            <v>212.2</v>
          </cell>
          <cell r="R178" t="str">
            <v>ROL</v>
          </cell>
          <cell r="S178">
            <v>0</v>
          </cell>
          <cell r="T178">
            <v>0</v>
          </cell>
          <cell r="U178" t="str">
            <v/>
          </cell>
          <cell r="V178" t="str">
            <v>PRO10</v>
          </cell>
          <cell r="W178">
            <v>0</v>
          </cell>
        </row>
        <row r="179">
          <cell r="C179" t="str">
            <v>REPHD9857MKL/00</v>
          </cell>
          <cell r="D179" t="str">
            <v>PRINC</v>
          </cell>
          <cell r="E179" t="str">
            <v>00003</v>
          </cell>
          <cell r="F179" t="str">
            <v>CADENAS TABLE TOP SS</v>
          </cell>
          <cell r="G179" t="str">
            <v>PRINCIPAL</v>
          </cell>
          <cell r="H179">
            <v>46004</v>
          </cell>
          <cell r="I179" t="str">
            <v>SALDO INICIAL</v>
          </cell>
          <cell r="J179">
            <v>0</v>
          </cell>
          <cell r="K179">
            <v>0</v>
          </cell>
          <cell r="L179">
            <v>150.83600000000001</v>
          </cell>
          <cell r="M179">
            <v>0</v>
          </cell>
          <cell r="N179" t="str">
            <v/>
          </cell>
          <cell r="O179" t="str">
            <v/>
          </cell>
          <cell r="P179" t="str">
            <v/>
          </cell>
          <cell r="Q179">
            <v>259.3</v>
          </cell>
          <cell r="R179" t="str">
            <v>ROL</v>
          </cell>
          <cell r="S179">
            <v>0</v>
          </cell>
          <cell r="T179">
            <v>0</v>
          </cell>
          <cell r="U179" t="str">
            <v/>
          </cell>
          <cell r="V179" t="str">
            <v>PRO10</v>
          </cell>
          <cell r="W179">
            <v>0</v>
          </cell>
        </row>
        <row r="180">
          <cell r="C180" t="str">
            <v>RESS881KG/000</v>
          </cell>
          <cell r="D180" t="str">
            <v>PRINC</v>
          </cell>
          <cell r="E180" t="str">
            <v>00003</v>
          </cell>
          <cell r="F180" t="str">
            <v>CADENAS TABLE TOP SS</v>
          </cell>
          <cell r="G180" t="str">
            <v>PRINCIPAL</v>
          </cell>
          <cell r="H180">
            <v>46004</v>
          </cell>
          <cell r="I180" t="str">
            <v>SALDO INICIAL</v>
          </cell>
          <cell r="J180">
            <v>0</v>
          </cell>
          <cell r="K180">
            <v>-52.076047000000003</v>
          </cell>
          <cell r="L180">
            <v>233.26092600000001</v>
          </cell>
          <cell r="M180">
            <v>0</v>
          </cell>
          <cell r="N180" t="str">
            <v/>
          </cell>
          <cell r="O180" t="str">
            <v/>
          </cell>
          <cell r="P180" t="str">
            <v/>
          </cell>
          <cell r="Q180">
            <v>300</v>
          </cell>
          <cell r="R180" t="str">
            <v>ROL</v>
          </cell>
          <cell r="S180">
            <v>0</v>
          </cell>
          <cell r="T180">
            <v>0</v>
          </cell>
          <cell r="U180" t="str">
            <v/>
          </cell>
          <cell r="V180" t="str">
            <v>PRO10</v>
          </cell>
          <cell r="W180">
            <v>0</v>
          </cell>
        </row>
        <row r="181">
          <cell r="C181" t="str">
            <v>RESS915KD/000</v>
          </cell>
          <cell r="D181" t="str">
            <v>PRINC</v>
          </cell>
          <cell r="E181" t="str">
            <v>00003</v>
          </cell>
          <cell r="F181" t="str">
            <v>CADENAS TABLE TOP SS</v>
          </cell>
          <cell r="G181" t="str">
            <v>PRINCIPAL</v>
          </cell>
          <cell r="H181">
            <v>46004</v>
          </cell>
          <cell r="I181" t="str">
            <v>SALDO INICIAL</v>
          </cell>
          <cell r="J181">
            <v>7</v>
          </cell>
          <cell r="K181">
            <v>1170.74062</v>
          </cell>
          <cell r="L181">
            <v>132.28899999999999</v>
          </cell>
          <cell r="M181">
            <v>167.24866</v>
          </cell>
          <cell r="N181" t="str">
            <v/>
          </cell>
          <cell r="O181" t="str">
            <v/>
          </cell>
          <cell r="P181" t="str">
            <v/>
          </cell>
          <cell r="Q181">
            <v>231</v>
          </cell>
          <cell r="R181" t="str">
            <v>ROL</v>
          </cell>
          <cell r="S181">
            <v>0</v>
          </cell>
          <cell r="T181">
            <v>0</v>
          </cell>
          <cell r="U181" t="str">
            <v/>
          </cell>
          <cell r="V181" t="str">
            <v>PRO10</v>
          </cell>
          <cell r="W181">
            <v>0</v>
          </cell>
        </row>
        <row r="182">
          <cell r="C182" t="str">
            <v>RESS915KG/000</v>
          </cell>
          <cell r="D182" t="str">
            <v>PRINC</v>
          </cell>
          <cell r="E182" t="str">
            <v>00003</v>
          </cell>
          <cell r="F182" t="str">
            <v>CADENAS TABLE TOP SS</v>
          </cell>
          <cell r="G182" t="str">
            <v>PRINCIPAL</v>
          </cell>
          <cell r="H182">
            <v>46004</v>
          </cell>
          <cell r="I182" t="str">
            <v>SALDO INICIAL</v>
          </cell>
          <cell r="J182">
            <v>3</v>
          </cell>
          <cell r="K182">
            <v>440.397854</v>
          </cell>
          <cell r="L182">
            <v>143.68337399999999</v>
          </cell>
          <cell r="M182">
            <v>146.79928466699999</v>
          </cell>
          <cell r="N182" t="str">
            <v/>
          </cell>
          <cell r="O182" t="str">
            <v/>
          </cell>
          <cell r="P182" t="str">
            <v/>
          </cell>
          <cell r="Q182">
            <v>220</v>
          </cell>
          <cell r="R182" t="str">
            <v>ROL</v>
          </cell>
          <cell r="S182">
            <v>0</v>
          </cell>
          <cell r="T182">
            <v>0</v>
          </cell>
          <cell r="U182" t="str">
            <v/>
          </cell>
          <cell r="V182" t="str">
            <v>PRO10</v>
          </cell>
          <cell r="W182">
            <v>0</v>
          </cell>
        </row>
        <row r="183">
          <cell r="C183" t="str">
            <v>REXP915KD/000</v>
          </cell>
          <cell r="D183" t="str">
            <v>PRINC</v>
          </cell>
          <cell r="E183" t="str">
            <v>00003</v>
          </cell>
          <cell r="F183" t="str">
            <v>CADENAS TABLE TOP SS</v>
          </cell>
          <cell r="G183" t="str">
            <v>PRINCIPAL</v>
          </cell>
          <cell r="H183">
            <v>46004</v>
          </cell>
          <cell r="I183" t="str">
            <v>SALDO INICIAL</v>
          </cell>
          <cell r="J183">
            <v>17</v>
          </cell>
          <cell r="K183">
            <v>1208.037</v>
          </cell>
          <cell r="L183">
            <v>71.061000000000007</v>
          </cell>
          <cell r="M183">
            <v>71.061000000000007</v>
          </cell>
          <cell r="N183" t="str">
            <v/>
          </cell>
          <cell r="O183" t="str">
            <v/>
          </cell>
          <cell r="P183" t="str">
            <v/>
          </cell>
          <cell r="Q183">
            <v>129.19999999999999</v>
          </cell>
          <cell r="R183" t="str">
            <v>CJA</v>
          </cell>
          <cell r="S183">
            <v>0</v>
          </cell>
          <cell r="T183">
            <v>0</v>
          </cell>
          <cell r="U183" t="str">
            <v/>
          </cell>
          <cell r="V183" t="str">
            <v>PRO10</v>
          </cell>
          <cell r="W183">
            <v>0</v>
          </cell>
        </row>
        <row r="184">
          <cell r="C184" t="str">
            <v>PI1LCRRA09000</v>
          </cell>
          <cell r="D184" t="str">
            <v>PRINC</v>
          </cell>
          <cell r="E184" t="str">
            <v>00004</v>
          </cell>
          <cell r="F184" t="str">
            <v>CADENAS TABLE TOP PLASTICAS</v>
          </cell>
          <cell r="G184" t="str">
            <v>PRINCIPAL</v>
          </cell>
          <cell r="H184">
            <v>46004</v>
          </cell>
          <cell r="I184" t="str">
            <v>SALDO INICIAL</v>
          </cell>
          <cell r="J184">
            <v>1</v>
          </cell>
          <cell r="K184">
            <v>26.44</v>
          </cell>
          <cell r="L184">
            <v>0</v>
          </cell>
          <cell r="M184">
            <v>26.44</v>
          </cell>
          <cell r="N184" t="str">
            <v/>
          </cell>
          <cell r="O184" t="str">
            <v/>
          </cell>
          <cell r="P184" t="str">
            <v/>
          </cell>
          <cell r="Q184">
            <v>66.099999999999994</v>
          </cell>
          <cell r="R184" t="str">
            <v>CJA</v>
          </cell>
          <cell r="S184">
            <v>0</v>
          </cell>
          <cell r="T184">
            <v>0</v>
          </cell>
          <cell r="U184" t="str">
            <v/>
          </cell>
          <cell r="V184" t="str">
            <v>PRO10</v>
          </cell>
          <cell r="W184">
            <v>0</v>
          </cell>
        </row>
        <row r="185">
          <cell r="C185" t="str">
            <v>REGD1873UPKD/00</v>
          </cell>
          <cell r="D185" t="str">
            <v>PRINC</v>
          </cell>
          <cell r="E185" t="str">
            <v>00004</v>
          </cell>
          <cell r="F185" t="str">
            <v>CADENAS TABLE TOP PLASTICAS</v>
          </cell>
          <cell r="G185" t="str">
            <v>PRINCIPAL</v>
          </cell>
          <cell r="H185">
            <v>46004</v>
          </cell>
          <cell r="I185" t="str">
            <v>SALDO INICIAL</v>
          </cell>
          <cell r="J185">
            <v>1</v>
          </cell>
          <cell r="K185">
            <v>387.38499899999999</v>
          </cell>
          <cell r="L185">
            <v>387.38499999999999</v>
          </cell>
          <cell r="M185">
            <v>387.38499899999999</v>
          </cell>
          <cell r="N185" t="str">
            <v/>
          </cell>
          <cell r="O185" t="str">
            <v/>
          </cell>
          <cell r="P185" t="str">
            <v/>
          </cell>
          <cell r="Q185">
            <v>619</v>
          </cell>
          <cell r="R185" t="str">
            <v>CJA</v>
          </cell>
          <cell r="S185">
            <v>0</v>
          </cell>
          <cell r="T185">
            <v>0</v>
          </cell>
          <cell r="U185" t="str">
            <v/>
          </cell>
          <cell r="V185" t="str">
            <v>PRO10</v>
          </cell>
          <cell r="W185">
            <v>0</v>
          </cell>
        </row>
        <row r="186">
          <cell r="C186" t="str">
            <v>RELBP882TUPKL/0</v>
          </cell>
          <cell r="D186" t="str">
            <v>PRINC</v>
          </cell>
          <cell r="E186" t="str">
            <v>00004</v>
          </cell>
          <cell r="F186" t="str">
            <v>CADENAS TABLE TOP PLASTICAS</v>
          </cell>
          <cell r="G186" t="str">
            <v>PRINCIPAL</v>
          </cell>
          <cell r="H186">
            <v>46004</v>
          </cell>
          <cell r="I186" t="str">
            <v>SALDO INICIAL</v>
          </cell>
          <cell r="J186">
            <v>3</v>
          </cell>
          <cell r="K186">
            <v>659.05499999999995</v>
          </cell>
          <cell r="L186">
            <v>219.685</v>
          </cell>
          <cell r="M186">
            <v>219.685</v>
          </cell>
          <cell r="N186" t="str">
            <v/>
          </cell>
          <cell r="O186" t="str">
            <v/>
          </cell>
          <cell r="P186" t="str">
            <v/>
          </cell>
          <cell r="Q186">
            <v>373.4</v>
          </cell>
          <cell r="R186" t="str">
            <v>CJA</v>
          </cell>
          <cell r="S186">
            <v>0</v>
          </cell>
          <cell r="T186">
            <v>0</v>
          </cell>
          <cell r="U186" t="str">
            <v/>
          </cell>
          <cell r="V186" t="str">
            <v>PRO10</v>
          </cell>
          <cell r="W186">
            <v>0</v>
          </cell>
        </row>
        <row r="187">
          <cell r="C187" t="str">
            <v>RERR611AUPKAD/0</v>
          </cell>
          <cell r="D187" t="str">
            <v>PRINC</v>
          </cell>
          <cell r="E187" t="str">
            <v>00004</v>
          </cell>
          <cell r="F187" t="str">
            <v>CADENAS TABLE TOP PLASTICAS</v>
          </cell>
          <cell r="G187" t="str">
            <v>PRINCIPAL</v>
          </cell>
          <cell r="H187">
            <v>46004</v>
          </cell>
          <cell r="I187" t="str">
            <v>SALDO INICIAL</v>
          </cell>
          <cell r="J187">
            <v>0</v>
          </cell>
          <cell r="K187">
            <v>16.355</v>
          </cell>
          <cell r="L187">
            <v>282.17099999999999</v>
          </cell>
          <cell r="M187">
            <v>0</v>
          </cell>
          <cell r="N187" t="str">
            <v/>
          </cell>
          <cell r="O187" t="str">
            <v/>
          </cell>
          <cell r="P187" t="str">
            <v/>
          </cell>
          <cell r="Q187">
            <v>0</v>
          </cell>
          <cell r="R187" t="str">
            <v>CJA</v>
          </cell>
          <cell r="S187">
            <v>0</v>
          </cell>
          <cell r="T187">
            <v>0</v>
          </cell>
          <cell r="U187" t="str">
            <v/>
          </cell>
          <cell r="V187" t="str">
            <v>PRO10</v>
          </cell>
          <cell r="W187">
            <v>0</v>
          </cell>
        </row>
        <row r="188">
          <cell r="C188" t="str">
            <v>REUP1863KN/000</v>
          </cell>
          <cell r="D188" t="str">
            <v>PRINC</v>
          </cell>
          <cell r="E188" t="str">
            <v>00004</v>
          </cell>
          <cell r="F188" t="str">
            <v>CADENAS TABLE TOP PLASTICAS</v>
          </cell>
          <cell r="G188" t="str">
            <v>PRINCIPAL</v>
          </cell>
          <cell r="H188">
            <v>46004</v>
          </cell>
          <cell r="I188" t="str">
            <v>SALDO INICIAL</v>
          </cell>
          <cell r="J188">
            <v>3</v>
          </cell>
          <cell r="K188">
            <v>599.82000000000005</v>
          </cell>
          <cell r="L188">
            <v>0</v>
          </cell>
          <cell r="M188">
            <v>199.94</v>
          </cell>
          <cell r="N188" t="str">
            <v/>
          </cell>
          <cell r="O188" t="str">
            <v/>
          </cell>
          <cell r="P188" t="str">
            <v/>
          </cell>
          <cell r="Q188">
            <v>339.6</v>
          </cell>
          <cell r="R188" t="str">
            <v>CJA</v>
          </cell>
          <cell r="S188">
            <v>0</v>
          </cell>
          <cell r="T188">
            <v>0</v>
          </cell>
          <cell r="U188" t="str">
            <v/>
          </cell>
          <cell r="V188" t="str">
            <v>PRO10</v>
          </cell>
          <cell r="W188">
            <v>0</v>
          </cell>
        </row>
        <row r="189">
          <cell r="C189" t="str">
            <v>REUP1873KN/000</v>
          </cell>
          <cell r="D189" t="str">
            <v>PRINC</v>
          </cell>
          <cell r="E189" t="str">
            <v>00004</v>
          </cell>
          <cell r="F189" t="str">
            <v>CADENAS TABLE TOP PLASTICAS</v>
          </cell>
          <cell r="G189" t="str">
            <v>PRINCIPAL</v>
          </cell>
          <cell r="H189">
            <v>46004</v>
          </cell>
          <cell r="I189" t="str">
            <v>SALDO INICIAL</v>
          </cell>
          <cell r="J189">
            <v>0</v>
          </cell>
          <cell r="K189">
            <v>47.58625</v>
          </cell>
          <cell r="L189">
            <v>228.66</v>
          </cell>
          <cell r="M189">
            <v>0</v>
          </cell>
          <cell r="N189" t="str">
            <v/>
          </cell>
          <cell r="O189" t="str">
            <v/>
          </cell>
          <cell r="P189" t="str">
            <v/>
          </cell>
          <cell r="Q189">
            <v>340.1</v>
          </cell>
          <cell r="R189" t="str">
            <v>CJA</v>
          </cell>
          <cell r="S189">
            <v>0</v>
          </cell>
          <cell r="T189">
            <v>0</v>
          </cell>
          <cell r="U189" t="str">
            <v/>
          </cell>
          <cell r="V189" t="str">
            <v>PRO10</v>
          </cell>
          <cell r="W189">
            <v>0</v>
          </cell>
        </row>
        <row r="190">
          <cell r="C190" t="str">
            <v>REUP1873SKD/000</v>
          </cell>
          <cell r="D190" t="str">
            <v>PRINC</v>
          </cell>
          <cell r="E190" t="str">
            <v>00004</v>
          </cell>
          <cell r="F190" t="str">
            <v>CADENAS TABLE TOP PLASTICAS</v>
          </cell>
          <cell r="G190" t="str">
            <v>PRINCIPAL</v>
          </cell>
          <cell r="H190">
            <v>46004</v>
          </cell>
          <cell r="I190" t="str">
            <v>SALDO INICIAL</v>
          </cell>
          <cell r="J190">
            <v>0</v>
          </cell>
          <cell r="K190">
            <v>32.526153000000001</v>
          </cell>
          <cell r="L190">
            <v>246.79</v>
          </cell>
          <cell r="M190">
            <v>0</v>
          </cell>
          <cell r="N190" t="str">
            <v/>
          </cell>
          <cell r="O190" t="str">
            <v/>
          </cell>
          <cell r="P190" t="str">
            <v/>
          </cell>
          <cell r="Q190">
            <v>374</v>
          </cell>
          <cell r="R190" t="str">
            <v>CJA</v>
          </cell>
          <cell r="S190">
            <v>0</v>
          </cell>
          <cell r="T190">
            <v>0</v>
          </cell>
          <cell r="U190" t="str">
            <v/>
          </cell>
          <cell r="V190" t="str">
            <v>PRO10</v>
          </cell>
          <cell r="W190">
            <v>0</v>
          </cell>
        </row>
        <row r="191">
          <cell r="C191" t="str">
            <v>REUP783MKRA/000</v>
          </cell>
          <cell r="D191" t="str">
            <v>PRINC</v>
          </cell>
          <cell r="E191" t="str">
            <v>00004</v>
          </cell>
          <cell r="F191" t="str">
            <v>CADENAS TABLE TOP PLASTICAS</v>
          </cell>
          <cell r="G191" t="str">
            <v>PRINCIPAL</v>
          </cell>
          <cell r="H191">
            <v>46004</v>
          </cell>
          <cell r="I191" t="str">
            <v>SALDO INICIAL</v>
          </cell>
          <cell r="J191">
            <v>21</v>
          </cell>
          <cell r="K191">
            <v>1687.2817250000001</v>
          </cell>
          <cell r="L191">
            <v>80.198599999999999</v>
          </cell>
          <cell r="M191">
            <v>80.346748809999994</v>
          </cell>
          <cell r="N191" t="str">
            <v/>
          </cell>
          <cell r="O191" t="str">
            <v/>
          </cell>
          <cell r="P191" t="str">
            <v/>
          </cell>
          <cell r="Q191">
            <v>153.1</v>
          </cell>
          <cell r="R191" t="str">
            <v>CJA</v>
          </cell>
          <cell r="S191">
            <v>0</v>
          </cell>
          <cell r="T191">
            <v>0</v>
          </cell>
          <cell r="U191" t="str">
            <v/>
          </cell>
          <cell r="V191" t="str">
            <v>PRO10</v>
          </cell>
          <cell r="W191">
            <v>0</v>
          </cell>
        </row>
        <row r="192">
          <cell r="C192" t="str">
            <v>REUP783TKRA/000</v>
          </cell>
          <cell r="D192" t="str">
            <v>PRINC</v>
          </cell>
          <cell r="E192" t="str">
            <v>00004</v>
          </cell>
          <cell r="F192" t="str">
            <v>CADENAS TABLE TOP PLASTICAS</v>
          </cell>
          <cell r="G192" t="str">
            <v>PRINCIPAL</v>
          </cell>
          <cell r="H192">
            <v>46004</v>
          </cell>
          <cell r="I192" t="str">
            <v>SALDO INICIAL</v>
          </cell>
          <cell r="J192">
            <v>0</v>
          </cell>
          <cell r="K192">
            <v>-10.041930000000001</v>
          </cell>
          <cell r="L192">
            <v>97.975730999999996</v>
          </cell>
          <cell r="M192">
            <v>0</v>
          </cell>
          <cell r="N192" t="str">
            <v/>
          </cell>
          <cell r="O192" t="str">
            <v/>
          </cell>
          <cell r="P192" t="str">
            <v/>
          </cell>
          <cell r="Q192">
            <v>154.30000000000001</v>
          </cell>
          <cell r="R192" t="str">
            <v>CJA</v>
          </cell>
          <cell r="S192">
            <v>0</v>
          </cell>
          <cell r="T192">
            <v>0</v>
          </cell>
          <cell r="U192" t="str">
            <v/>
          </cell>
          <cell r="V192" t="str">
            <v>PRO10</v>
          </cell>
          <cell r="W192">
            <v>0</v>
          </cell>
        </row>
        <row r="193">
          <cell r="C193" t="str">
            <v>REUP793MKG/000</v>
          </cell>
          <cell r="D193" t="str">
            <v>PRINC</v>
          </cell>
          <cell r="E193" t="str">
            <v>00004</v>
          </cell>
          <cell r="F193" t="str">
            <v>CADENAS TABLE TOP PLASTICAS</v>
          </cell>
          <cell r="G193" t="str">
            <v>PRINCIPAL</v>
          </cell>
          <cell r="H193">
            <v>46004</v>
          </cell>
          <cell r="I193" t="str">
            <v>SALDO INICIAL</v>
          </cell>
          <cell r="J193">
            <v>3</v>
          </cell>
          <cell r="K193">
            <v>469.28000100000003</v>
          </cell>
          <cell r="L193">
            <v>156.42666700000001</v>
          </cell>
          <cell r="M193">
            <v>156.42666700000001</v>
          </cell>
          <cell r="N193" t="str">
            <v/>
          </cell>
          <cell r="O193" t="str">
            <v/>
          </cell>
          <cell r="P193" t="str">
            <v/>
          </cell>
          <cell r="Q193">
            <v>323</v>
          </cell>
          <cell r="R193" t="str">
            <v>CJA</v>
          </cell>
          <cell r="S193">
            <v>0</v>
          </cell>
          <cell r="T193">
            <v>0</v>
          </cell>
          <cell r="U193" t="str">
            <v/>
          </cell>
          <cell r="V193" t="str">
            <v>PRO10</v>
          </cell>
          <cell r="W193">
            <v>0</v>
          </cell>
        </row>
        <row r="194">
          <cell r="C194" t="str">
            <v>REUP820KD/000</v>
          </cell>
          <cell r="D194" t="str">
            <v>PRINC</v>
          </cell>
          <cell r="E194" t="str">
            <v>00004</v>
          </cell>
          <cell r="F194" t="str">
            <v>CADENAS TABLE TOP PLASTICAS</v>
          </cell>
          <cell r="G194" t="str">
            <v>PRINCIPAL</v>
          </cell>
          <cell r="H194">
            <v>46004</v>
          </cell>
          <cell r="I194" t="str">
            <v>SALDO INICIAL</v>
          </cell>
          <cell r="J194">
            <v>9</v>
          </cell>
          <cell r="K194">
            <v>1205.3596580000001</v>
          </cell>
          <cell r="L194">
            <v>35.960296999999997</v>
          </cell>
          <cell r="M194">
            <v>133.92885088899999</v>
          </cell>
          <cell r="N194" t="str">
            <v>PVP ESPECIAL $65</v>
          </cell>
          <cell r="O194" t="str">
            <v/>
          </cell>
          <cell r="P194" t="str">
            <v/>
          </cell>
          <cell r="Q194">
            <v>84</v>
          </cell>
          <cell r="R194" t="str">
            <v>CJA</v>
          </cell>
          <cell r="S194">
            <v>0</v>
          </cell>
          <cell r="T194">
            <v>0</v>
          </cell>
          <cell r="U194" t="str">
            <v/>
          </cell>
          <cell r="V194" t="str">
            <v>PRO10</v>
          </cell>
          <cell r="W194">
            <v>0</v>
          </cell>
        </row>
        <row r="195">
          <cell r="C195" t="str">
            <v>REUP820KF/000</v>
          </cell>
          <cell r="D195" t="str">
            <v>PRINC</v>
          </cell>
          <cell r="E195" t="str">
            <v>00004</v>
          </cell>
          <cell r="F195" t="str">
            <v>CADENAS TABLE TOP PLASTICAS</v>
          </cell>
          <cell r="G195" t="str">
            <v>PRINCIPAL</v>
          </cell>
          <cell r="H195">
            <v>46004</v>
          </cell>
          <cell r="I195" t="str">
            <v>SALDO INICIAL</v>
          </cell>
          <cell r="J195">
            <v>13</v>
          </cell>
          <cell r="K195">
            <v>207.52055999999999</v>
          </cell>
          <cell r="L195">
            <v>40.674805999999997</v>
          </cell>
          <cell r="M195">
            <v>15.96312</v>
          </cell>
          <cell r="N195" t="str">
            <v>PVP ESPECIAL $70</v>
          </cell>
          <cell r="O195" t="str">
            <v/>
          </cell>
          <cell r="P195" t="str">
            <v/>
          </cell>
          <cell r="Q195">
            <v>109</v>
          </cell>
          <cell r="R195" t="str">
            <v>CJA</v>
          </cell>
          <cell r="S195">
            <v>0</v>
          </cell>
          <cell r="T195">
            <v>0</v>
          </cell>
          <cell r="U195" t="str">
            <v/>
          </cell>
          <cell r="V195" t="str">
            <v>PRO10</v>
          </cell>
          <cell r="W195">
            <v>0</v>
          </cell>
        </row>
        <row r="196">
          <cell r="C196" t="str">
            <v>REUP820KG/000</v>
          </cell>
          <cell r="D196" t="str">
            <v>PRINC</v>
          </cell>
          <cell r="E196" t="str">
            <v>00004</v>
          </cell>
          <cell r="F196" t="str">
            <v>CADENAS TABLE TOP PLASTICAS</v>
          </cell>
          <cell r="G196" t="str">
            <v>PRINCIPAL</v>
          </cell>
          <cell r="H196">
            <v>46004</v>
          </cell>
          <cell r="I196" t="str">
            <v>SALDO INICIAL</v>
          </cell>
          <cell r="J196">
            <v>5</v>
          </cell>
          <cell r="K196">
            <v>541.657015</v>
          </cell>
          <cell r="L196">
            <v>50.161242999999999</v>
          </cell>
          <cell r="M196">
            <v>108.33140299999999</v>
          </cell>
          <cell r="N196" t="str">
            <v>PVP ESPECIAL $77</v>
          </cell>
          <cell r="O196" t="str">
            <v/>
          </cell>
          <cell r="P196" t="str">
            <v/>
          </cell>
          <cell r="Q196">
            <v>114</v>
          </cell>
          <cell r="R196" t="str">
            <v>CJA</v>
          </cell>
          <cell r="S196">
            <v>0</v>
          </cell>
          <cell r="T196">
            <v>0</v>
          </cell>
          <cell r="U196" t="str">
            <v/>
          </cell>
          <cell r="V196" t="str">
            <v>PRO10</v>
          </cell>
          <cell r="W196">
            <v>0</v>
          </cell>
        </row>
        <row r="197">
          <cell r="C197" t="str">
            <v>REUP820KH/000</v>
          </cell>
          <cell r="D197" t="str">
            <v>PRINC</v>
          </cell>
          <cell r="E197" t="str">
            <v>00004</v>
          </cell>
          <cell r="F197" t="str">
            <v>CADENAS TABLE TOP PLASTICAS</v>
          </cell>
          <cell r="G197" t="str">
            <v>PRINCIPAL</v>
          </cell>
          <cell r="H197">
            <v>46004</v>
          </cell>
          <cell r="I197" t="str">
            <v>SALDO INICIAL</v>
          </cell>
          <cell r="J197">
            <v>3</v>
          </cell>
          <cell r="K197">
            <v>168.38878299999999</v>
          </cell>
          <cell r="L197">
            <v>56.078749999999999</v>
          </cell>
          <cell r="M197">
            <v>56.129594333</v>
          </cell>
          <cell r="N197" t="str">
            <v/>
          </cell>
          <cell r="O197" t="str">
            <v/>
          </cell>
          <cell r="P197" t="str">
            <v/>
          </cell>
          <cell r="Q197">
            <v>125</v>
          </cell>
          <cell r="R197" t="str">
            <v>CJA</v>
          </cell>
          <cell r="S197">
            <v>0</v>
          </cell>
          <cell r="T197">
            <v>0</v>
          </cell>
          <cell r="U197" t="str">
            <v/>
          </cell>
          <cell r="V197" t="str">
            <v>PRO10</v>
          </cell>
          <cell r="W197">
            <v>0</v>
          </cell>
        </row>
        <row r="198">
          <cell r="C198" t="str">
            <v>REUP820KL/000</v>
          </cell>
          <cell r="D198" t="str">
            <v>PRINC</v>
          </cell>
          <cell r="E198" t="str">
            <v>00004</v>
          </cell>
          <cell r="F198" t="str">
            <v>CADENAS TABLE TOP PLASTICAS</v>
          </cell>
          <cell r="G198" t="str">
            <v>PRINCIPAL</v>
          </cell>
          <cell r="H198">
            <v>46004</v>
          </cell>
          <cell r="I198" t="str">
            <v>SALDO INICIAL</v>
          </cell>
          <cell r="J198">
            <v>15</v>
          </cell>
          <cell r="K198">
            <v>1090.427999</v>
          </cell>
          <cell r="L198">
            <v>63.393383999999998</v>
          </cell>
          <cell r="M198">
            <v>72.695199932999998</v>
          </cell>
          <cell r="N198" t="str">
            <v>PVP ESPECIAL $95</v>
          </cell>
          <cell r="O198" t="str">
            <v/>
          </cell>
          <cell r="P198" t="str">
            <v/>
          </cell>
          <cell r="Q198">
            <v>145</v>
          </cell>
          <cell r="R198" t="str">
            <v>CJA</v>
          </cell>
          <cell r="S198">
            <v>0</v>
          </cell>
          <cell r="T198">
            <v>0</v>
          </cell>
          <cell r="U198" t="str">
            <v/>
          </cell>
          <cell r="V198" t="str">
            <v>PRO10</v>
          </cell>
          <cell r="W198">
            <v>0</v>
          </cell>
        </row>
        <row r="199">
          <cell r="C199" t="str">
            <v>REUP821KM/000</v>
          </cell>
          <cell r="D199" t="str">
            <v>PRINC</v>
          </cell>
          <cell r="E199" t="str">
            <v>00004</v>
          </cell>
          <cell r="F199" t="str">
            <v>CADENAS TABLE TOP PLASTICAS</v>
          </cell>
          <cell r="G199" t="str">
            <v>PRINCIPAL</v>
          </cell>
          <cell r="H199">
            <v>46004</v>
          </cell>
          <cell r="I199" t="str">
            <v>SALDO INICIAL</v>
          </cell>
          <cell r="J199">
            <v>6</v>
          </cell>
          <cell r="K199">
            <v>963.49538700000005</v>
          </cell>
          <cell r="L199">
            <v>119.93636100000001</v>
          </cell>
          <cell r="M199">
            <v>160.58256449999999</v>
          </cell>
          <cell r="N199" t="str">
            <v/>
          </cell>
          <cell r="O199" t="str">
            <v/>
          </cell>
          <cell r="P199" t="str">
            <v/>
          </cell>
          <cell r="Q199">
            <v>198</v>
          </cell>
          <cell r="R199" t="str">
            <v>CJA</v>
          </cell>
          <cell r="S199">
            <v>0</v>
          </cell>
          <cell r="T199">
            <v>0</v>
          </cell>
          <cell r="U199" t="str">
            <v/>
          </cell>
          <cell r="V199" t="str">
            <v>PRO10</v>
          </cell>
          <cell r="W199">
            <v>0</v>
          </cell>
        </row>
        <row r="200">
          <cell r="C200" t="str">
            <v>REUP821KN/000</v>
          </cell>
          <cell r="D200" t="str">
            <v>PRINC</v>
          </cell>
          <cell r="E200" t="str">
            <v>00004</v>
          </cell>
          <cell r="F200" t="str">
            <v>CADENAS TABLE TOP PLASTICAS</v>
          </cell>
          <cell r="G200" t="str">
            <v>PRINCIPAL</v>
          </cell>
          <cell r="H200">
            <v>46004</v>
          </cell>
          <cell r="I200" t="str">
            <v>SALDO INICIAL</v>
          </cell>
          <cell r="J200">
            <v>7</v>
          </cell>
          <cell r="K200">
            <v>1201.812175</v>
          </cell>
          <cell r="L200">
            <v>132.17006599999999</v>
          </cell>
          <cell r="M200">
            <v>171.68745357099999</v>
          </cell>
          <cell r="N200" t="str">
            <v/>
          </cell>
          <cell r="O200" t="str">
            <v/>
          </cell>
          <cell r="P200" t="str">
            <v/>
          </cell>
          <cell r="Q200">
            <v>218.2</v>
          </cell>
          <cell r="R200" t="str">
            <v>CJA</v>
          </cell>
          <cell r="S200">
            <v>0</v>
          </cell>
          <cell r="T200">
            <v>0</v>
          </cell>
          <cell r="U200" t="str">
            <v/>
          </cell>
          <cell r="V200" t="str">
            <v>PRO10</v>
          </cell>
          <cell r="W200">
            <v>0</v>
          </cell>
        </row>
        <row r="201">
          <cell r="C201" t="str">
            <v>REUP821KL/000</v>
          </cell>
          <cell r="D201" t="str">
            <v>PRINC</v>
          </cell>
          <cell r="E201" t="str">
            <v>00004</v>
          </cell>
          <cell r="F201" t="str">
            <v>CADENAS TABLE TOP PLASTICAS</v>
          </cell>
          <cell r="G201" t="str">
            <v>PRINCIPAL</v>
          </cell>
          <cell r="H201">
            <v>46004</v>
          </cell>
          <cell r="I201" t="str">
            <v>SALDO INICIAL</v>
          </cell>
          <cell r="J201">
            <v>0</v>
          </cell>
          <cell r="K201">
            <v>96.184545</v>
          </cell>
          <cell r="L201">
            <v>108.14848499999999</v>
          </cell>
          <cell r="M201">
            <v>0</v>
          </cell>
          <cell r="N201" t="str">
            <v/>
          </cell>
          <cell r="O201" t="str">
            <v/>
          </cell>
          <cell r="P201" t="str">
            <v/>
          </cell>
          <cell r="Q201">
            <v>185</v>
          </cell>
          <cell r="R201" t="str">
            <v>CJA</v>
          </cell>
          <cell r="S201">
            <v>0</v>
          </cell>
          <cell r="T201">
            <v>0</v>
          </cell>
          <cell r="U201" t="str">
            <v/>
          </cell>
          <cell r="V201" t="str">
            <v>PRO10</v>
          </cell>
          <cell r="W201">
            <v>0</v>
          </cell>
        </row>
        <row r="202">
          <cell r="C202" t="str">
            <v>REUP831KG/000</v>
          </cell>
          <cell r="D202" t="str">
            <v>PRINC</v>
          </cell>
          <cell r="E202" t="str">
            <v>00004</v>
          </cell>
          <cell r="F202" t="str">
            <v>CADENAS TABLE TOP PLASTICAS</v>
          </cell>
          <cell r="G202" t="str">
            <v>PRINCIPAL</v>
          </cell>
          <cell r="H202">
            <v>46004</v>
          </cell>
          <cell r="I202" t="str">
            <v>SALDO INICIAL</v>
          </cell>
          <cell r="J202">
            <v>5</v>
          </cell>
          <cell r="K202">
            <v>0</v>
          </cell>
          <cell r="L202">
            <v>0</v>
          </cell>
          <cell r="M202">
            <v>0</v>
          </cell>
          <cell r="N202" t="str">
            <v/>
          </cell>
          <cell r="O202" t="str">
            <v/>
          </cell>
          <cell r="P202" t="str">
            <v/>
          </cell>
          <cell r="Q202">
            <v>103.2</v>
          </cell>
          <cell r="R202" t="str">
            <v>CJA</v>
          </cell>
          <cell r="S202">
            <v>0</v>
          </cell>
          <cell r="T202">
            <v>0</v>
          </cell>
          <cell r="U202" t="str">
            <v/>
          </cell>
          <cell r="V202" t="str">
            <v>PRO10</v>
          </cell>
          <cell r="W202">
            <v>0</v>
          </cell>
        </row>
        <row r="203">
          <cell r="C203" t="str">
            <v>REUP879TKD/000</v>
          </cell>
          <cell r="D203" t="str">
            <v>PRINC</v>
          </cell>
          <cell r="E203" t="str">
            <v>00004</v>
          </cell>
          <cell r="F203" t="str">
            <v>CADENAS TABLE TOP PLASTICAS</v>
          </cell>
          <cell r="G203" t="str">
            <v>PRINCIPAL</v>
          </cell>
          <cell r="H203">
            <v>46004</v>
          </cell>
          <cell r="I203" t="str">
            <v>SALDO INICIAL</v>
          </cell>
          <cell r="J203">
            <v>7</v>
          </cell>
          <cell r="K203">
            <v>401.95444900000001</v>
          </cell>
          <cell r="L203">
            <v>43.335203</v>
          </cell>
          <cell r="M203">
            <v>57.422064143</v>
          </cell>
          <cell r="N203" t="str">
            <v/>
          </cell>
          <cell r="O203" t="str">
            <v/>
          </cell>
          <cell r="P203" t="str">
            <v/>
          </cell>
          <cell r="Q203">
            <v>94</v>
          </cell>
          <cell r="R203" t="str">
            <v>CJA</v>
          </cell>
          <cell r="S203">
            <v>0</v>
          </cell>
          <cell r="T203">
            <v>0</v>
          </cell>
          <cell r="U203" t="str">
            <v/>
          </cell>
          <cell r="V203" t="str">
            <v>PRO10</v>
          </cell>
          <cell r="W203">
            <v>0</v>
          </cell>
        </row>
        <row r="204">
          <cell r="C204" t="str">
            <v>REUP879TKG/000</v>
          </cell>
          <cell r="D204" t="str">
            <v>PRINC</v>
          </cell>
          <cell r="E204" t="str">
            <v>00004</v>
          </cell>
          <cell r="F204" t="str">
            <v>CADENAS TABLE TOP PLASTICAS</v>
          </cell>
          <cell r="G204" t="str">
            <v>PRINCIPAL</v>
          </cell>
          <cell r="H204">
            <v>46004</v>
          </cell>
          <cell r="I204" t="str">
            <v>SALDO INICIAL</v>
          </cell>
          <cell r="J204">
            <v>0</v>
          </cell>
          <cell r="K204">
            <v>65.535293999999993</v>
          </cell>
          <cell r="L204">
            <v>58.232424000000002</v>
          </cell>
          <cell r="M204">
            <v>0</v>
          </cell>
          <cell r="N204" t="str">
            <v/>
          </cell>
          <cell r="O204" t="str">
            <v/>
          </cell>
          <cell r="P204" t="str">
            <v/>
          </cell>
          <cell r="Q204">
            <v>107</v>
          </cell>
          <cell r="R204" t="str">
            <v>CJA</v>
          </cell>
          <cell r="S204">
            <v>0</v>
          </cell>
          <cell r="T204">
            <v>0</v>
          </cell>
          <cell r="U204" t="str">
            <v/>
          </cell>
          <cell r="V204" t="str">
            <v>PRO10</v>
          </cell>
          <cell r="W204">
            <v>0</v>
          </cell>
        </row>
        <row r="205">
          <cell r="C205" t="str">
            <v>REUP880KG/000</v>
          </cell>
          <cell r="D205" t="str">
            <v>PRINC</v>
          </cell>
          <cell r="E205" t="str">
            <v>00004</v>
          </cell>
          <cell r="F205" t="str">
            <v>CADENAS TABLE TOP PLASTICAS</v>
          </cell>
          <cell r="G205" t="str">
            <v>PRINCIPAL</v>
          </cell>
          <cell r="H205">
            <v>46004</v>
          </cell>
          <cell r="I205" t="str">
            <v>SALDO INICIAL</v>
          </cell>
          <cell r="J205">
            <v>2</v>
          </cell>
          <cell r="K205">
            <v>136.89837199999999</v>
          </cell>
          <cell r="L205">
            <v>58.651370999999997</v>
          </cell>
          <cell r="M205">
            <v>68.449185999999997</v>
          </cell>
          <cell r="N205" t="str">
            <v>PVP C/DSCTO $90</v>
          </cell>
          <cell r="O205" t="str">
            <v/>
          </cell>
          <cell r="P205" t="str">
            <v/>
          </cell>
          <cell r="Q205">
            <v>128</v>
          </cell>
          <cell r="R205" t="str">
            <v>CJA</v>
          </cell>
          <cell r="S205">
            <v>0</v>
          </cell>
          <cell r="T205">
            <v>0</v>
          </cell>
          <cell r="U205" t="str">
            <v/>
          </cell>
          <cell r="V205" t="str">
            <v>PRO10</v>
          </cell>
          <cell r="W205">
            <v>0</v>
          </cell>
        </row>
        <row r="206">
          <cell r="C206" t="str">
            <v>REUP880MRGKD/00</v>
          </cell>
          <cell r="D206" t="str">
            <v>PRINC</v>
          </cell>
          <cell r="E206" t="str">
            <v>00004</v>
          </cell>
          <cell r="F206" t="str">
            <v>CADENAS TABLE TOP PLASTICAS</v>
          </cell>
          <cell r="G206" t="str">
            <v>PRINCIPAL</v>
          </cell>
          <cell r="H206">
            <v>46004</v>
          </cell>
          <cell r="I206" t="str">
            <v>SALDO INICIAL</v>
          </cell>
          <cell r="J206">
            <v>0</v>
          </cell>
          <cell r="K206">
            <v>31.581199999999999</v>
          </cell>
          <cell r="L206">
            <v>37.499940000000002</v>
          </cell>
          <cell r="M206">
            <v>0</v>
          </cell>
          <cell r="N206" t="str">
            <v/>
          </cell>
          <cell r="O206" t="str">
            <v/>
          </cell>
          <cell r="P206" t="str">
            <v/>
          </cell>
          <cell r="Q206">
            <v>90</v>
          </cell>
          <cell r="R206" t="str">
            <v>CJA</v>
          </cell>
          <cell r="S206">
            <v>0</v>
          </cell>
          <cell r="T206">
            <v>0</v>
          </cell>
          <cell r="U206" t="str">
            <v/>
          </cell>
          <cell r="V206" t="str">
            <v>PRO10</v>
          </cell>
          <cell r="W206">
            <v>0</v>
          </cell>
        </row>
        <row r="207">
          <cell r="C207" t="str">
            <v>REUP880TKD/000</v>
          </cell>
          <cell r="D207" t="str">
            <v>PRINC</v>
          </cell>
          <cell r="E207" t="str">
            <v>00004</v>
          </cell>
          <cell r="F207" t="str">
            <v>CADENAS TABLE TOP PLASTICAS</v>
          </cell>
          <cell r="G207" t="str">
            <v>PRINCIPAL</v>
          </cell>
          <cell r="H207">
            <v>46004</v>
          </cell>
          <cell r="I207" t="str">
            <v>SALDO INICIAL</v>
          </cell>
          <cell r="J207">
            <v>49</v>
          </cell>
          <cell r="K207">
            <v>2379.8555419999998</v>
          </cell>
          <cell r="L207">
            <v>40.477215000000001</v>
          </cell>
          <cell r="M207">
            <v>48.568480448999999</v>
          </cell>
          <cell r="N207" t="str">
            <v>PVP ESPECIAL $73</v>
          </cell>
          <cell r="O207" t="str">
            <v/>
          </cell>
          <cell r="P207" t="str">
            <v/>
          </cell>
          <cell r="Q207">
            <v>98</v>
          </cell>
          <cell r="R207" t="str">
            <v>CJA</v>
          </cell>
          <cell r="S207">
            <v>0</v>
          </cell>
          <cell r="T207">
            <v>0</v>
          </cell>
          <cell r="U207" t="str">
            <v/>
          </cell>
          <cell r="V207" t="str">
            <v>PRO10</v>
          </cell>
          <cell r="W207">
            <v>0</v>
          </cell>
        </row>
        <row r="208">
          <cell r="C208" t="str">
            <v>REUP880TKG/000</v>
          </cell>
          <cell r="D208" t="str">
            <v>PRINC</v>
          </cell>
          <cell r="E208" t="str">
            <v>00004</v>
          </cell>
          <cell r="F208" t="str">
            <v>CADENAS TABLE TOP PLASTICAS</v>
          </cell>
          <cell r="G208" t="str">
            <v>PRINCIPAL</v>
          </cell>
          <cell r="H208">
            <v>46004</v>
          </cell>
          <cell r="I208" t="str">
            <v>SALDO INICIAL</v>
          </cell>
          <cell r="J208">
            <v>5</v>
          </cell>
          <cell r="K208">
            <v>72.619093000000007</v>
          </cell>
          <cell r="L208">
            <v>52.487921</v>
          </cell>
          <cell r="M208">
            <v>14.5238186</v>
          </cell>
          <cell r="N208" t="str">
            <v>PVP ESPECIAL $85</v>
          </cell>
          <cell r="O208" t="str">
            <v/>
          </cell>
          <cell r="P208" t="str">
            <v/>
          </cell>
          <cell r="Q208">
            <v>122</v>
          </cell>
          <cell r="R208" t="str">
            <v>CJA</v>
          </cell>
          <cell r="S208">
            <v>0</v>
          </cell>
          <cell r="T208">
            <v>0</v>
          </cell>
          <cell r="U208" t="str">
            <v/>
          </cell>
          <cell r="V208" t="str">
            <v>PRO10</v>
          </cell>
          <cell r="W208">
            <v>0</v>
          </cell>
        </row>
        <row r="209">
          <cell r="C209" t="str">
            <v>REUP882TKM/000º</v>
          </cell>
          <cell r="D209" t="str">
            <v>PRINC</v>
          </cell>
          <cell r="E209" t="str">
            <v>00004</v>
          </cell>
          <cell r="F209" t="str">
            <v>CADENAS TABLE TOP PLASTICAS</v>
          </cell>
          <cell r="G209" t="str">
            <v>PRINCIPAL</v>
          </cell>
          <cell r="H209">
            <v>46004</v>
          </cell>
          <cell r="I209" t="str">
            <v>SALDO INICIAL</v>
          </cell>
          <cell r="J209">
            <v>1</v>
          </cell>
          <cell r="K209">
            <v>92.013499999999993</v>
          </cell>
          <cell r="L209">
            <v>92.013499999999993</v>
          </cell>
          <cell r="M209">
            <v>92.013499999999993</v>
          </cell>
          <cell r="N209" t="str">
            <v/>
          </cell>
          <cell r="O209" t="str">
            <v/>
          </cell>
          <cell r="P209" t="str">
            <v/>
          </cell>
          <cell r="Q209">
            <v>165.6</v>
          </cell>
          <cell r="R209" t="str">
            <v>CJA</v>
          </cell>
          <cell r="S209">
            <v>0</v>
          </cell>
          <cell r="T209">
            <v>0</v>
          </cell>
          <cell r="U209" t="str">
            <v/>
          </cell>
          <cell r="V209" t="str">
            <v>PRO10</v>
          </cell>
          <cell r="W209">
            <v>0</v>
          </cell>
        </row>
        <row r="210">
          <cell r="C210" t="str">
            <v>REUP882TKN/000</v>
          </cell>
          <cell r="D210" t="str">
            <v>PRINC</v>
          </cell>
          <cell r="E210" t="str">
            <v>00004</v>
          </cell>
          <cell r="F210" t="str">
            <v>CADENAS TABLE TOP PLASTICAS</v>
          </cell>
          <cell r="G210" t="str">
            <v>PRINCIPAL</v>
          </cell>
          <cell r="H210">
            <v>46004</v>
          </cell>
          <cell r="I210" t="str">
            <v>SALDO INICIAL</v>
          </cell>
          <cell r="J210">
            <v>0</v>
          </cell>
          <cell r="K210">
            <v>106.522774</v>
          </cell>
          <cell r="L210">
            <v>98.482574999999997</v>
          </cell>
          <cell r="M210">
            <v>0</v>
          </cell>
          <cell r="N210" t="str">
            <v/>
          </cell>
          <cell r="O210" t="str">
            <v/>
          </cell>
          <cell r="P210" t="str">
            <v/>
          </cell>
          <cell r="Q210">
            <v>189</v>
          </cell>
          <cell r="R210" t="str">
            <v>CJA</v>
          </cell>
          <cell r="S210">
            <v>0</v>
          </cell>
          <cell r="T210">
            <v>0</v>
          </cell>
          <cell r="U210" t="str">
            <v/>
          </cell>
          <cell r="V210" t="str">
            <v>PRO10</v>
          </cell>
          <cell r="W210">
            <v>0</v>
          </cell>
        </row>
        <row r="211">
          <cell r="C211" t="str">
            <v>REUP882TKL/000</v>
          </cell>
          <cell r="D211" t="str">
            <v>PRINC</v>
          </cell>
          <cell r="E211" t="str">
            <v>00004</v>
          </cell>
          <cell r="F211" t="str">
            <v>CADENAS TABLE TOP PLASTICAS</v>
          </cell>
          <cell r="G211" t="str">
            <v>PRINCIPAL</v>
          </cell>
          <cell r="H211">
            <v>46004</v>
          </cell>
          <cell r="I211" t="str">
            <v>SALDO INICIAL</v>
          </cell>
          <cell r="J211">
            <v>1</v>
          </cell>
          <cell r="K211">
            <v>79.485973000000001</v>
          </cell>
          <cell r="L211">
            <v>79.485972000000004</v>
          </cell>
          <cell r="M211">
            <v>79.485973000000001</v>
          </cell>
          <cell r="N211" t="str">
            <v/>
          </cell>
          <cell r="O211" t="str">
            <v/>
          </cell>
          <cell r="P211" t="str">
            <v/>
          </cell>
          <cell r="Q211">
            <v>154</v>
          </cell>
          <cell r="R211" t="str">
            <v>CJA</v>
          </cell>
          <cell r="S211">
            <v>0</v>
          </cell>
          <cell r="T211">
            <v>0</v>
          </cell>
          <cell r="U211" t="str">
            <v/>
          </cell>
          <cell r="V211" t="str">
            <v>PRO10</v>
          </cell>
          <cell r="W211">
            <v>0</v>
          </cell>
        </row>
        <row r="212">
          <cell r="C212" t="str">
            <v>REUSPMGATMUP85D</v>
          </cell>
          <cell r="D212" t="str">
            <v>PRINC</v>
          </cell>
          <cell r="E212" t="str">
            <v>00004</v>
          </cell>
          <cell r="F212" t="str">
            <v>CADENAS TABLE TOP PLASTICAS</v>
          </cell>
          <cell r="G212" t="str">
            <v>PRINCIPAL</v>
          </cell>
          <cell r="H212">
            <v>46004</v>
          </cell>
          <cell r="I212" t="str">
            <v>SALDO INICIAL</v>
          </cell>
          <cell r="J212">
            <v>1</v>
          </cell>
          <cell r="K212">
            <v>158.375</v>
          </cell>
          <cell r="L212">
            <v>158.375</v>
          </cell>
          <cell r="M212">
            <v>158.375</v>
          </cell>
          <cell r="N212" t="str">
            <v/>
          </cell>
          <cell r="O212" t="str">
            <v/>
          </cell>
          <cell r="P212" t="str">
            <v/>
          </cell>
          <cell r="Q212">
            <v>0</v>
          </cell>
          <cell r="R212" t="str">
            <v>CJA</v>
          </cell>
          <cell r="S212">
            <v>0</v>
          </cell>
          <cell r="T212">
            <v>0</v>
          </cell>
          <cell r="U212" t="str">
            <v/>
          </cell>
          <cell r="V212" t="str">
            <v>PRO10</v>
          </cell>
          <cell r="W212">
            <v>0</v>
          </cell>
        </row>
        <row r="213">
          <cell r="C213" t="str">
            <v>REUSPMGATMUP85S</v>
          </cell>
          <cell r="D213" t="str">
            <v>PRINC</v>
          </cell>
          <cell r="E213" t="str">
            <v>00004</v>
          </cell>
          <cell r="F213" t="str">
            <v>CADENAS TABLE TOP PLASTICAS</v>
          </cell>
          <cell r="G213" t="str">
            <v>PRINCIPAL</v>
          </cell>
          <cell r="H213">
            <v>46004</v>
          </cell>
          <cell r="I213" t="str">
            <v>SALDO INICIAL</v>
          </cell>
          <cell r="J213">
            <v>1</v>
          </cell>
          <cell r="K213">
            <v>144.26249999999999</v>
          </cell>
          <cell r="L213">
            <v>144.26249999999999</v>
          </cell>
          <cell r="M213">
            <v>144.26249999999999</v>
          </cell>
          <cell r="N213" t="str">
            <v/>
          </cell>
          <cell r="O213" t="str">
            <v/>
          </cell>
          <cell r="P213" t="str">
            <v/>
          </cell>
          <cell r="Q213">
            <v>0</v>
          </cell>
          <cell r="R213" t="str">
            <v>CJA</v>
          </cell>
          <cell r="S213">
            <v>0</v>
          </cell>
          <cell r="T213">
            <v>0</v>
          </cell>
          <cell r="U213" t="str">
            <v/>
          </cell>
          <cell r="V213" t="str">
            <v>PRO10</v>
          </cell>
          <cell r="W213">
            <v>0</v>
          </cell>
        </row>
        <row r="214">
          <cell r="C214" t="str">
            <v>LDCC204W</v>
          </cell>
          <cell r="D214" t="str">
            <v>PRINC</v>
          </cell>
          <cell r="E214" t="str">
            <v>00005</v>
          </cell>
          <cell r="F214" t="str">
            <v>CHUMACERAS Y RODAMIENTOS</v>
          </cell>
          <cell r="G214" t="str">
            <v>PRINCIPAL</v>
          </cell>
          <cell r="H214">
            <v>46004</v>
          </cell>
          <cell r="I214" t="str">
            <v>SALDO INICIAL</v>
          </cell>
          <cell r="J214">
            <v>3</v>
          </cell>
          <cell r="K214">
            <v>1.2255</v>
          </cell>
          <cell r="L214">
            <v>0.40849999999999997</v>
          </cell>
          <cell r="M214">
            <v>0.40849999999999997</v>
          </cell>
          <cell r="N214" t="str">
            <v/>
          </cell>
          <cell r="O214" t="str">
            <v/>
          </cell>
          <cell r="P214" t="str">
            <v/>
          </cell>
          <cell r="Q214">
            <v>0</v>
          </cell>
          <cell r="R214" t="str">
            <v>UND</v>
          </cell>
          <cell r="S214">
            <v>0</v>
          </cell>
          <cell r="T214">
            <v>0</v>
          </cell>
          <cell r="U214" t="str">
            <v/>
          </cell>
          <cell r="V214" t="str">
            <v>PRO10</v>
          </cell>
          <cell r="W214">
            <v>0</v>
          </cell>
        </row>
        <row r="215">
          <cell r="C215" t="str">
            <v>LDCC204Y</v>
          </cell>
          <cell r="D215" t="str">
            <v>PRINC</v>
          </cell>
          <cell r="E215" t="str">
            <v>00005</v>
          </cell>
          <cell r="F215" t="str">
            <v>CHUMACERAS Y RODAMIENTOS</v>
          </cell>
          <cell r="G215" t="str">
            <v>PRINCIPAL</v>
          </cell>
          <cell r="H215">
            <v>46004</v>
          </cell>
          <cell r="I215" t="str">
            <v>SALDO INICIAL</v>
          </cell>
          <cell r="J215">
            <v>73</v>
          </cell>
          <cell r="K215">
            <v>20.829333999999999</v>
          </cell>
          <cell r="L215">
            <v>0.285333</v>
          </cell>
          <cell r="M215">
            <v>0.28533334199999999</v>
          </cell>
          <cell r="N215" t="str">
            <v/>
          </cell>
          <cell r="O215" t="str">
            <v/>
          </cell>
          <cell r="P215" t="str">
            <v/>
          </cell>
          <cell r="Q215">
            <v>0</v>
          </cell>
          <cell r="R215" t="str">
            <v>UND</v>
          </cell>
          <cell r="S215">
            <v>0</v>
          </cell>
          <cell r="T215">
            <v>0</v>
          </cell>
          <cell r="U215" t="str">
            <v/>
          </cell>
          <cell r="V215" t="str">
            <v>PRO10</v>
          </cell>
          <cell r="W215">
            <v>0</v>
          </cell>
        </row>
        <row r="216">
          <cell r="C216" t="str">
            <v>LDCC205W</v>
          </cell>
          <cell r="D216" t="str">
            <v>PRINC</v>
          </cell>
          <cell r="E216" t="str">
            <v>00005</v>
          </cell>
          <cell r="F216" t="str">
            <v>CHUMACERAS Y RODAMIENTOS</v>
          </cell>
          <cell r="G216" t="str">
            <v>PRINCIPAL</v>
          </cell>
          <cell r="H216">
            <v>46004</v>
          </cell>
          <cell r="I216" t="str">
            <v>SALDO INICIAL</v>
          </cell>
          <cell r="J216">
            <v>4</v>
          </cell>
          <cell r="K216">
            <v>0.493618</v>
          </cell>
          <cell r="L216">
            <v>0.35006700000000002</v>
          </cell>
          <cell r="M216">
            <v>0.1234045</v>
          </cell>
          <cell r="N216" t="str">
            <v/>
          </cell>
          <cell r="O216" t="str">
            <v/>
          </cell>
          <cell r="P216" t="str">
            <v/>
          </cell>
          <cell r="Q216">
            <v>0.6</v>
          </cell>
          <cell r="R216" t="str">
            <v>UND</v>
          </cell>
          <cell r="S216">
            <v>0</v>
          </cell>
          <cell r="T216">
            <v>0</v>
          </cell>
          <cell r="U216" t="str">
            <v/>
          </cell>
          <cell r="V216" t="str">
            <v>PRO10</v>
          </cell>
          <cell r="W216">
            <v>0</v>
          </cell>
        </row>
        <row r="217">
          <cell r="C217" t="str">
            <v>LDCC205Y</v>
          </cell>
          <cell r="D217" t="str">
            <v>PRINC</v>
          </cell>
          <cell r="E217" t="str">
            <v>00005</v>
          </cell>
          <cell r="F217" t="str">
            <v>CHUMACERAS Y RODAMIENTOS</v>
          </cell>
          <cell r="G217" t="str">
            <v>PRINCIPAL</v>
          </cell>
          <cell r="H217">
            <v>46004</v>
          </cell>
          <cell r="I217" t="str">
            <v>SALDO INICIAL</v>
          </cell>
          <cell r="J217">
            <v>40</v>
          </cell>
          <cell r="K217">
            <v>16.39</v>
          </cell>
          <cell r="L217">
            <v>0</v>
          </cell>
          <cell r="M217">
            <v>0.40975</v>
          </cell>
          <cell r="N217" t="str">
            <v/>
          </cell>
          <cell r="O217" t="str">
            <v/>
          </cell>
          <cell r="P217" t="str">
            <v/>
          </cell>
          <cell r="Q217">
            <v>0</v>
          </cell>
          <cell r="R217" t="str">
            <v>UND</v>
          </cell>
          <cell r="S217">
            <v>0</v>
          </cell>
          <cell r="T217">
            <v>0</v>
          </cell>
          <cell r="U217" t="str">
            <v/>
          </cell>
          <cell r="V217" t="str">
            <v>PRO10</v>
          </cell>
          <cell r="W217">
            <v>0</v>
          </cell>
        </row>
        <row r="218">
          <cell r="C218" t="str">
            <v>LDCC206W</v>
          </cell>
          <cell r="D218" t="str">
            <v>PRINC</v>
          </cell>
          <cell r="E218" t="str">
            <v>00005</v>
          </cell>
          <cell r="F218" t="str">
            <v>CHUMACERAS Y RODAMIENTOS</v>
          </cell>
          <cell r="G218" t="str">
            <v>PRINCIPAL</v>
          </cell>
          <cell r="H218">
            <v>46004</v>
          </cell>
          <cell r="I218" t="str">
            <v>SALDO INICIAL</v>
          </cell>
          <cell r="J218">
            <v>30</v>
          </cell>
          <cell r="K218">
            <v>9.5300100000000008</v>
          </cell>
          <cell r="L218">
            <v>0.36761500000000003</v>
          </cell>
          <cell r="M218">
            <v>0.31766699999999998</v>
          </cell>
          <cell r="N218" t="str">
            <v/>
          </cell>
          <cell r="O218" t="str">
            <v/>
          </cell>
          <cell r="P218" t="str">
            <v/>
          </cell>
          <cell r="Q218">
            <v>0.65</v>
          </cell>
          <cell r="R218" t="str">
            <v>UND</v>
          </cell>
          <cell r="S218">
            <v>0</v>
          </cell>
          <cell r="T218">
            <v>0</v>
          </cell>
          <cell r="U218" t="str">
            <v/>
          </cell>
          <cell r="V218" t="str">
            <v>PRO10</v>
          </cell>
          <cell r="W218">
            <v>0</v>
          </cell>
        </row>
        <row r="219">
          <cell r="C219" t="str">
            <v>LDCC206Y</v>
          </cell>
          <cell r="D219" t="str">
            <v>PRINC</v>
          </cell>
          <cell r="E219" t="str">
            <v>00005</v>
          </cell>
          <cell r="F219" t="str">
            <v>CHUMACERAS Y RODAMIENTOS</v>
          </cell>
          <cell r="G219" t="str">
            <v>PRINCIPAL</v>
          </cell>
          <cell r="H219">
            <v>46004</v>
          </cell>
          <cell r="I219" t="str">
            <v>SALDO INICIAL</v>
          </cell>
          <cell r="J219">
            <v>4</v>
          </cell>
          <cell r="K219">
            <v>1.658469</v>
          </cell>
          <cell r="L219">
            <v>0.41461500000000001</v>
          </cell>
          <cell r="M219">
            <v>0.41461724999999999</v>
          </cell>
          <cell r="N219" t="str">
            <v/>
          </cell>
          <cell r="O219" t="str">
            <v/>
          </cell>
          <cell r="P219" t="str">
            <v/>
          </cell>
          <cell r="Q219">
            <v>0</v>
          </cell>
          <cell r="R219" t="str">
            <v>UND</v>
          </cell>
          <cell r="S219">
            <v>0</v>
          </cell>
          <cell r="T219">
            <v>0</v>
          </cell>
          <cell r="U219" t="str">
            <v/>
          </cell>
          <cell r="V219" t="str">
            <v>PRO10</v>
          </cell>
          <cell r="W219">
            <v>0</v>
          </cell>
        </row>
        <row r="220">
          <cell r="C220" t="str">
            <v>LDCC207W</v>
          </cell>
          <cell r="D220" t="str">
            <v>PRINC</v>
          </cell>
          <cell r="E220" t="str">
            <v>00005</v>
          </cell>
          <cell r="F220" t="str">
            <v>CHUMACERAS Y RODAMIENTOS</v>
          </cell>
          <cell r="G220" t="str">
            <v>PRINCIPAL</v>
          </cell>
          <cell r="H220">
            <v>46004</v>
          </cell>
          <cell r="I220" t="str">
            <v>SALDO INICIAL</v>
          </cell>
          <cell r="J220">
            <v>55</v>
          </cell>
          <cell r="K220">
            <v>27.775054999999998</v>
          </cell>
          <cell r="L220">
            <v>0.48562499999999997</v>
          </cell>
          <cell r="M220">
            <v>0.50500100000000003</v>
          </cell>
          <cell r="N220" t="str">
            <v/>
          </cell>
          <cell r="O220" t="str">
            <v/>
          </cell>
          <cell r="P220" t="str">
            <v/>
          </cell>
          <cell r="Q220">
            <v>0.7</v>
          </cell>
          <cell r="R220" t="str">
            <v>UND</v>
          </cell>
          <cell r="S220">
            <v>0</v>
          </cell>
          <cell r="T220">
            <v>0</v>
          </cell>
          <cell r="U220" t="str">
            <v/>
          </cell>
          <cell r="V220" t="str">
            <v>PRO10</v>
          </cell>
          <cell r="W220">
            <v>0</v>
          </cell>
        </row>
        <row r="221">
          <cell r="C221" t="str">
            <v>LDCC208W</v>
          </cell>
          <cell r="D221" t="str">
            <v>PRINC</v>
          </cell>
          <cell r="E221" t="str">
            <v>00005</v>
          </cell>
          <cell r="F221" t="str">
            <v>CHUMACERAS Y RODAMIENTOS</v>
          </cell>
          <cell r="G221" t="str">
            <v>PRINCIPAL</v>
          </cell>
          <cell r="H221">
            <v>46004</v>
          </cell>
          <cell r="I221" t="str">
            <v>SALDO INICIAL</v>
          </cell>
          <cell r="J221">
            <v>24</v>
          </cell>
          <cell r="K221">
            <v>9.1164520000000007</v>
          </cell>
          <cell r="L221">
            <v>0.40246599999999999</v>
          </cell>
          <cell r="M221">
            <v>0.37985216700000002</v>
          </cell>
          <cell r="N221" t="str">
            <v/>
          </cell>
          <cell r="O221" t="str">
            <v/>
          </cell>
          <cell r="P221" t="str">
            <v/>
          </cell>
          <cell r="Q221">
            <v>0.75</v>
          </cell>
          <cell r="R221" t="str">
            <v>UND</v>
          </cell>
          <cell r="S221">
            <v>0</v>
          </cell>
          <cell r="T221">
            <v>0</v>
          </cell>
          <cell r="U221" t="str">
            <v/>
          </cell>
          <cell r="V221" t="str">
            <v>PRO10</v>
          </cell>
          <cell r="W221">
            <v>0</v>
          </cell>
        </row>
        <row r="222">
          <cell r="C222" t="str">
            <v>LDCC209W</v>
          </cell>
          <cell r="D222" t="str">
            <v>PRINC</v>
          </cell>
          <cell r="E222" t="str">
            <v>00005</v>
          </cell>
          <cell r="F222" t="str">
            <v>CHUMACERAS Y RODAMIENTOS</v>
          </cell>
          <cell r="G222" t="str">
            <v>PRINCIPAL</v>
          </cell>
          <cell r="H222">
            <v>46004</v>
          </cell>
          <cell r="I222" t="str">
            <v>SALDO INICIAL</v>
          </cell>
          <cell r="J222">
            <v>40</v>
          </cell>
          <cell r="K222">
            <v>14.912000000000001</v>
          </cell>
          <cell r="L222">
            <v>0.37280000000000002</v>
          </cell>
          <cell r="M222">
            <v>0.37280000000000002</v>
          </cell>
          <cell r="N222" t="str">
            <v/>
          </cell>
          <cell r="O222" t="str">
            <v/>
          </cell>
          <cell r="P222" t="str">
            <v/>
          </cell>
          <cell r="Q222">
            <v>0.8</v>
          </cell>
          <cell r="R222" t="str">
            <v>UND</v>
          </cell>
          <cell r="S222">
            <v>0</v>
          </cell>
          <cell r="T222">
            <v>0</v>
          </cell>
          <cell r="U222" t="str">
            <v/>
          </cell>
          <cell r="V222" t="str">
            <v>PRO10</v>
          </cell>
          <cell r="W222">
            <v>0</v>
          </cell>
        </row>
        <row r="223">
          <cell r="C223" t="str">
            <v>DOUCP206-19</v>
          </cell>
          <cell r="D223" t="str">
            <v>PRINC</v>
          </cell>
          <cell r="E223" t="str">
            <v>00005</v>
          </cell>
          <cell r="F223" t="str">
            <v>CHUMACERAS Y RODAMIENTOS</v>
          </cell>
          <cell r="G223" t="str">
            <v>PRINCIPAL</v>
          </cell>
          <cell r="H223">
            <v>46004</v>
          </cell>
          <cell r="I223" t="str">
            <v>SALDO INICIAL</v>
          </cell>
          <cell r="J223">
            <v>1</v>
          </cell>
          <cell r="K223">
            <v>26.06</v>
          </cell>
          <cell r="L223">
            <v>26.06</v>
          </cell>
          <cell r="M223">
            <v>26.06</v>
          </cell>
          <cell r="N223" t="str">
            <v/>
          </cell>
          <cell r="O223" t="str">
            <v/>
          </cell>
          <cell r="P223" t="str">
            <v/>
          </cell>
          <cell r="Q223">
            <v>0</v>
          </cell>
          <cell r="R223" t="str">
            <v>UND</v>
          </cell>
          <cell r="S223">
            <v>0</v>
          </cell>
          <cell r="T223">
            <v>0</v>
          </cell>
          <cell r="U223" t="str">
            <v/>
          </cell>
          <cell r="V223" t="str">
            <v>PRO10</v>
          </cell>
          <cell r="W223">
            <v>0</v>
          </cell>
        </row>
        <row r="224">
          <cell r="C224" t="str">
            <v>HUF250X3/4</v>
          </cell>
          <cell r="D224" t="str">
            <v>PRINC</v>
          </cell>
          <cell r="E224" t="str">
            <v>00005</v>
          </cell>
          <cell r="F224" t="str">
            <v>CHUMACERAS Y RODAMIENTOS</v>
          </cell>
          <cell r="G224" t="str">
            <v>PRINCIPAL</v>
          </cell>
          <cell r="H224">
            <v>46004</v>
          </cell>
          <cell r="I224" t="str">
            <v>SALDO INICIAL</v>
          </cell>
          <cell r="J224">
            <v>46</v>
          </cell>
          <cell r="K224">
            <v>387.59268600000001</v>
          </cell>
          <cell r="L224">
            <v>8.4259280000000008</v>
          </cell>
          <cell r="M224">
            <v>8.4259279570000007</v>
          </cell>
          <cell r="N224" t="str">
            <v/>
          </cell>
          <cell r="O224" t="str">
            <v/>
          </cell>
          <cell r="P224" t="str">
            <v/>
          </cell>
          <cell r="Q224">
            <v>10.95</v>
          </cell>
          <cell r="R224" t="str">
            <v>UND</v>
          </cell>
          <cell r="S224">
            <v>0</v>
          </cell>
          <cell r="T224">
            <v>0</v>
          </cell>
          <cell r="U224" t="str">
            <v/>
          </cell>
          <cell r="V224" t="str">
            <v>PRO10</v>
          </cell>
          <cell r="W224">
            <v>0</v>
          </cell>
        </row>
        <row r="225">
          <cell r="C225" t="str">
            <v>LDGRSS304M6X1</v>
          </cell>
          <cell r="D225" t="str">
            <v>PRINC</v>
          </cell>
          <cell r="E225" t="str">
            <v>00005</v>
          </cell>
          <cell r="F225" t="str">
            <v>CHUMACERAS Y RODAMIENTOS</v>
          </cell>
          <cell r="G225" t="str">
            <v>PRINCIPAL</v>
          </cell>
          <cell r="H225">
            <v>46004</v>
          </cell>
          <cell r="I225" t="str">
            <v>SALDO INICIAL</v>
          </cell>
          <cell r="J225">
            <v>2186</v>
          </cell>
          <cell r="K225">
            <v>522.93492000000003</v>
          </cell>
          <cell r="L225">
            <v>0.23921999999999999</v>
          </cell>
          <cell r="M225">
            <v>0.23921999999999999</v>
          </cell>
          <cell r="N225" t="str">
            <v/>
          </cell>
          <cell r="O225" t="str">
            <v/>
          </cell>
          <cell r="P225" t="str">
            <v/>
          </cell>
          <cell r="Q225">
            <v>0.42</v>
          </cell>
          <cell r="R225" t="str">
            <v>UND</v>
          </cell>
          <cell r="S225">
            <v>0</v>
          </cell>
          <cell r="T225">
            <v>0</v>
          </cell>
          <cell r="U225" t="str">
            <v/>
          </cell>
          <cell r="V225" t="str">
            <v>PRO10</v>
          </cell>
          <cell r="W225">
            <v>0</v>
          </cell>
        </row>
        <row r="226">
          <cell r="C226" t="str">
            <v>LDOC204Y</v>
          </cell>
          <cell r="D226" t="str">
            <v>PRINC</v>
          </cell>
          <cell r="E226" t="str">
            <v>00005</v>
          </cell>
          <cell r="F226" t="str">
            <v>CHUMACERAS Y RODAMIENTOS</v>
          </cell>
          <cell r="G226" t="str">
            <v>PRINCIPAL</v>
          </cell>
          <cell r="H226">
            <v>46004</v>
          </cell>
          <cell r="I226" t="str">
            <v>SALDO INICIAL</v>
          </cell>
          <cell r="J226">
            <v>24</v>
          </cell>
          <cell r="K226">
            <v>7.42</v>
          </cell>
          <cell r="L226">
            <v>0</v>
          </cell>
          <cell r="M226">
            <v>0.30916666700000001</v>
          </cell>
          <cell r="N226" t="str">
            <v/>
          </cell>
          <cell r="O226" t="str">
            <v/>
          </cell>
          <cell r="P226" t="str">
            <v/>
          </cell>
          <cell r="Q226">
            <v>1</v>
          </cell>
          <cell r="R226" t="str">
            <v>UND</v>
          </cell>
          <cell r="S226">
            <v>0</v>
          </cell>
          <cell r="T226">
            <v>0</v>
          </cell>
          <cell r="U226" t="str">
            <v/>
          </cell>
          <cell r="V226" t="str">
            <v>PRO10</v>
          </cell>
          <cell r="W226">
            <v>0</v>
          </cell>
        </row>
        <row r="227">
          <cell r="C227" t="str">
            <v>LDOC205Y</v>
          </cell>
          <cell r="D227" t="str">
            <v>PRINC</v>
          </cell>
          <cell r="E227" t="str">
            <v>00005</v>
          </cell>
          <cell r="F227" t="str">
            <v>CHUMACERAS Y RODAMIENTOS</v>
          </cell>
          <cell r="G227" t="str">
            <v>PRINCIPAL</v>
          </cell>
          <cell r="H227">
            <v>46004</v>
          </cell>
          <cell r="I227" t="str">
            <v>SALDO INICIAL</v>
          </cell>
          <cell r="J227">
            <v>24</v>
          </cell>
          <cell r="K227">
            <v>8.66</v>
          </cell>
          <cell r="L227">
            <v>0</v>
          </cell>
          <cell r="M227">
            <v>0.36083333299999998</v>
          </cell>
          <cell r="N227" t="str">
            <v/>
          </cell>
          <cell r="O227" t="str">
            <v/>
          </cell>
          <cell r="P227" t="str">
            <v/>
          </cell>
          <cell r="Q227">
            <v>1.05</v>
          </cell>
          <cell r="R227" t="str">
            <v>UND</v>
          </cell>
          <cell r="S227">
            <v>0</v>
          </cell>
          <cell r="T227">
            <v>0</v>
          </cell>
          <cell r="U227" t="str">
            <v/>
          </cell>
          <cell r="V227" t="str">
            <v>PRO10</v>
          </cell>
          <cell r="W227">
            <v>0</v>
          </cell>
        </row>
        <row r="228">
          <cell r="C228" t="str">
            <v>HUP250X3/4</v>
          </cell>
          <cell r="D228" t="str">
            <v>PRINC</v>
          </cell>
          <cell r="E228" t="str">
            <v>00005</v>
          </cell>
          <cell r="F228" t="str">
            <v>CHUMACERAS Y RODAMIENTOS</v>
          </cell>
          <cell r="G228" t="str">
            <v>PRINCIPAL</v>
          </cell>
          <cell r="H228">
            <v>46004</v>
          </cell>
          <cell r="I228" t="str">
            <v>SALDO INICIAL</v>
          </cell>
          <cell r="J228">
            <v>39</v>
          </cell>
          <cell r="K228">
            <v>229.61250000000001</v>
          </cell>
          <cell r="L228">
            <v>5.8875000000000002</v>
          </cell>
          <cell r="M228">
            <v>5.8875000000000002</v>
          </cell>
          <cell r="N228" t="str">
            <v/>
          </cell>
          <cell r="O228" t="str">
            <v/>
          </cell>
          <cell r="P228" t="str">
            <v/>
          </cell>
          <cell r="Q228">
            <v>9.4</v>
          </cell>
          <cell r="R228" t="str">
            <v>UND</v>
          </cell>
          <cell r="S228">
            <v>0</v>
          </cell>
          <cell r="T228">
            <v>0</v>
          </cell>
          <cell r="U228" t="str">
            <v/>
          </cell>
          <cell r="V228" t="str">
            <v>PRO10</v>
          </cell>
          <cell r="W228">
            <v>0</v>
          </cell>
        </row>
        <row r="229">
          <cell r="C229" t="str">
            <v>HUPB250X1</v>
          </cell>
          <cell r="D229" t="str">
            <v>PRINC</v>
          </cell>
          <cell r="E229" t="str">
            <v>00005</v>
          </cell>
          <cell r="F229" t="str">
            <v>CHUMACERAS Y RODAMIENTOS</v>
          </cell>
          <cell r="G229" t="str">
            <v>PRINCIPAL</v>
          </cell>
          <cell r="H229">
            <v>46004</v>
          </cell>
          <cell r="I229" t="str">
            <v>SALDO INICIAL</v>
          </cell>
          <cell r="J229">
            <v>6</v>
          </cell>
          <cell r="K229">
            <v>144</v>
          </cell>
          <cell r="L229">
            <v>0</v>
          </cell>
          <cell r="M229">
            <v>24</v>
          </cell>
          <cell r="N229" t="str">
            <v/>
          </cell>
          <cell r="O229" t="str">
            <v/>
          </cell>
          <cell r="P229" t="str">
            <v/>
          </cell>
          <cell r="Q229">
            <v>38.5</v>
          </cell>
          <cell r="R229" t="str">
            <v>UND</v>
          </cell>
          <cell r="S229">
            <v>0</v>
          </cell>
          <cell r="T229">
            <v>0</v>
          </cell>
          <cell r="U229" t="str">
            <v/>
          </cell>
          <cell r="V229" t="str">
            <v>PRO10</v>
          </cell>
          <cell r="W229">
            <v>0</v>
          </cell>
        </row>
        <row r="230">
          <cell r="C230" t="str">
            <v>FAS6204-2RS</v>
          </cell>
          <cell r="D230" t="str">
            <v>PRINC</v>
          </cell>
          <cell r="E230" t="str">
            <v>00005</v>
          </cell>
          <cell r="F230" t="str">
            <v>CHUMACERAS Y RODAMIENTOS</v>
          </cell>
          <cell r="G230" t="str">
            <v>PRINCIPAL</v>
          </cell>
          <cell r="H230">
            <v>46004</v>
          </cell>
          <cell r="I230" t="str">
            <v>SALDO INICIAL</v>
          </cell>
          <cell r="J230">
            <v>6</v>
          </cell>
          <cell r="K230">
            <v>108.89400000000001</v>
          </cell>
          <cell r="L230">
            <v>18.149000000000001</v>
          </cell>
          <cell r="M230">
            <v>18.149000000000001</v>
          </cell>
          <cell r="N230" t="str">
            <v/>
          </cell>
          <cell r="O230" t="str">
            <v/>
          </cell>
          <cell r="P230" t="str">
            <v/>
          </cell>
          <cell r="Q230">
            <v>29.95</v>
          </cell>
          <cell r="R230" t="str">
            <v>UND</v>
          </cell>
          <cell r="S230">
            <v>0</v>
          </cell>
          <cell r="T230">
            <v>0</v>
          </cell>
          <cell r="U230" t="str">
            <v/>
          </cell>
          <cell r="V230" t="str">
            <v>PRO10</v>
          </cell>
          <cell r="W230">
            <v>0</v>
          </cell>
        </row>
        <row r="231">
          <cell r="C231" t="str">
            <v>FAS6205-2RS</v>
          </cell>
          <cell r="D231" t="str">
            <v>PRINC</v>
          </cell>
          <cell r="E231" t="str">
            <v>00005</v>
          </cell>
          <cell r="F231" t="str">
            <v>CHUMACERAS Y RODAMIENTOS</v>
          </cell>
          <cell r="G231" t="str">
            <v>PRINCIPAL</v>
          </cell>
          <cell r="H231">
            <v>46004</v>
          </cell>
          <cell r="I231" t="str">
            <v>SALDO INICIAL</v>
          </cell>
          <cell r="J231">
            <v>10</v>
          </cell>
          <cell r="K231">
            <v>204.18</v>
          </cell>
          <cell r="L231">
            <v>0</v>
          </cell>
          <cell r="M231">
            <v>20.417999999999999</v>
          </cell>
          <cell r="N231" t="str">
            <v/>
          </cell>
          <cell r="O231" t="str">
            <v/>
          </cell>
          <cell r="P231" t="str">
            <v/>
          </cell>
          <cell r="Q231">
            <v>33.700000000000003</v>
          </cell>
          <cell r="R231" t="str">
            <v>UND</v>
          </cell>
          <cell r="S231">
            <v>0</v>
          </cell>
          <cell r="T231">
            <v>0</v>
          </cell>
          <cell r="U231" t="str">
            <v/>
          </cell>
          <cell r="V231" t="str">
            <v>PRO10</v>
          </cell>
          <cell r="W231">
            <v>0</v>
          </cell>
        </row>
        <row r="232">
          <cell r="C232" t="str">
            <v>LDSF204</v>
          </cell>
          <cell r="D232" t="str">
            <v>PRINC</v>
          </cell>
          <cell r="E232" t="str">
            <v>00005</v>
          </cell>
          <cell r="F232" t="str">
            <v>CHUMACERAS Y RODAMIENTOS</v>
          </cell>
          <cell r="G232" t="str">
            <v>PRINCIPAL</v>
          </cell>
          <cell r="H232">
            <v>46004</v>
          </cell>
          <cell r="I232" t="str">
            <v>SALDO INICIAL</v>
          </cell>
          <cell r="J232">
            <v>10</v>
          </cell>
          <cell r="K232">
            <v>60.064480000000003</v>
          </cell>
          <cell r="L232">
            <v>0</v>
          </cell>
          <cell r="M232">
            <v>6.0064479999999998</v>
          </cell>
          <cell r="N232" t="str">
            <v/>
          </cell>
          <cell r="O232" t="str">
            <v/>
          </cell>
          <cell r="P232" t="str">
            <v/>
          </cell>
          <cell r="Q232">
            <v>0</v>
          </cell>
          <cell r="R232" t="str">
            <v>UND</v>
          </cell>
          <cell r="S232">
            <v>0</v>
          </cell>
          <cell r="T232">
            <v>0</v>
          </cell>
          <cell r="U232" t="str">
            <v/>
          </cell>
          <cell r="V232" t="str">
            <v>PRO10</v>
          </cell>
          <cell r="W232">
            <v>0</v>
          </cell>
        </row>
        <row r="233">
          <cell r="C233" t="str">
            <v>LDSF205</v>
          </cell>
          <cell r="D233" t="str">
            <v>PRINC</v>
          </cell>
          <cell r="E233" t="str">
            <v>00005</v>
          </cell>
          <cell r="F233" t="str">
            <v>CHUMACERAS Y RODAMIENTOS</v>
          </cell>
          <cell r="G233" t="str">
            <v>PRINCIPAL</v>
          </cell>
          <cell r="H233">
            <v>46004</v>
          </cell>
          <cell r="I233" t="str">
            <v>SALDO INICIAL</v>
          </cell>
          <cell r="J233">
            <v>1</v>
          </cell>
          <cell r="K233">
            <v>8.7082879999999996</v>
          </cell>
          <cell r="L233">
            <v>8.7082820000000005</v>
          </cell>
          <cell r="M233">
            <v>8.7082879999999996</v>
          </cell>
          <cell r="N233" t="str">
            <v/>
          </cell>
          <cell r="O233" t="str">
            <v/>
          </cell>
          <cell r="P233" t="str">
            <v/>
          </cell>
          <cell r="Q233">
            <v>16.5</v>
          </cell>
          <cell r="R233" t="str">
            <v>UND</v>
          </cell>
          <cell r="S233">
            <v>0</v>
          </cell>
          <cell r="T233">
            <v>0</v>
          </cell>
          <cell r="U233" t="str">
            <v/>
          </cell>
          <cell r="V233" t="str">
            <v>PRO10</v>
          </cell>
          <cell r="W233">
            <v>0</v>
          </cell>
        </row>
        <row r="234">
          <cell r="C234" t="str">
            <v>LDSF207</v>
          </cell>
          <cell r="D234" t="str">
            <v>PRINC</v>
          </cell>
          <cell r="E234" t="str">
            <v>00005</v>
          </cell>
          <cell r="F234" t="str">
            <v>CHUMACERAS Y RODAMIENTOS</v>
          </cell>
          <cell r="G234" t="str">
            <v>PRINCIPAL</v>
          </cell>
          <cell r="H234">
            <v>46004</v>
          </cell>
          <cell r="I234" t="str">
            <v>SALDO INICIAL</v>
          </cell>
          <cell r="J234">
            <v>8</v>
          </cell>
          <cell r="K234">
            <v>110.343344</v>
          </cell>
          <cell r="L234">
            <v>14.195097000000001</v>
          </cell>
          <cell r="M234">
            <v>13.792918</v>
          </cell>
          <cell r="N234" t="str">
            <v/>
          </cell>
          <cell r="O234" t="str">
            <v/>
          </cell>
          <cell r="P234" t="str">
            <v/>
          </cell>
          <cell r="Q234">
            <v>27.6</v>
          </cell>
          <cell r="R234" t="str">
            <v>UND</v>
          </cell>
          <cell r="S234">
            <v>0</v>
          </cell>
          <cell r="T234">
            <v>0</v>
          </cell>
          <cell r="U234" t="str">
            <v/>
          </cell>
          <cell r="V234" t="str">
            <v>PRO10</v>
          </cell>
          <cell r="W234">
            <v>0</v>
          </cell>
        </row>
        <row r="235">
          <cell r="C235" t="str">
            <v>LDSF208</v>
          </cell>
          <cell r="D235" t="str">
            <v>PRINC</v>
          </cell>
          <cell r="E235" t="str">
            <v>00005</v>
          </cell>
          <cell r="F235" t="str">
            <v>CHUMACERAS Y RODAMIENTOS</v>
          </cell>
          <cell r="G235" t="str">
            <v>PRINCIPAL</v>
          </cell>
          <cell r="H235">
            <v>46004</v>
          </cell>
          <cell r="I235" t="str">
            <v>SALDO INICIAL</v>
          </cell>
          <cell r="J235">
            <v>37</v>
          </cell>
          <cell r="K235">
            <v>531.09107300000005</v>
          </cell>
          <cell r="L235">
            <v>14.353813000000001</v>
          </cell>
          <cell r="M235">
            <v>14.353812784</v>
          </cell>
          <cell r="N235" t="str">
            <v/>
          </cell>
          <cell r="O235" t="str">
            <v/>
          </cell>
          <cell r="P235" t="str">
            <v/>
          </cell>
          <cell r="Q235">
            <v>0</v>
          </cell>
          <cell r="R235" t="str">
            <v>UND</v>
          </cell>
          <cell r="S235">
            <v>0</v>
          </cell>
          <cell r="T235">
            <v>0</v>
          </cell>
          <cell r="U235" t="str">
            <v/>
          </cell>
          <cell r="V235" t="str">
            <v>PRO10</v>
          </cell>
          <cell r="W235">
            <v>0</v>
          </cell>
        </row>
        <row r="236">
          <cell r="C236" t="str">
            <v>LDSF210</v>
          </cell>
          <cell r="D236" t="str">
            <v>PRINC</v>
          </cell>
          <cell r="E236" t="str">
            <v>00005</v>
          </cell>
          <cell r="F236" t="str">
            <v>CHUMACERAS Y RODAMIENTOS</v>
          </cell>
          <cell r="G236" t="str">
            <v>PRINCIPAL</v>
          </cell>
          <cell r="H236">
            <v>46004</v>
          </cell>
          <cell r="I236" t="str">
            <v>SALDO INICIAL</v>
          </cell>
          <cell r="J236">
            <v>2</v>
          </cell>
          <cell r="K236">
            <v>38.170952</v>
          </cell>
          <cell r="L236">
            <v>24.331209000000001</v>
          </cell>
          <cell r="M236">
            <v>19.085476</v>
          </cell>
          <cell r="N236" t="str">
            <v/>
          </cell>
          <cell r="O236" t="str">
            <v/>
          </cell>
          <cell r="P236" t="str">
            <v/>
          </cell>
          <cell r="Q236">
            <v>45.9</v>
          </cell>
          <cell r="R236" t="str">
            <v>UND</v>
          </cell>
          <cell r="S236">
            <v>0</v>
          </cell>
          <cell r="T236">
            <v>0</v>
          </cell>
          <cell r="U236" t="str">
            <v/>
          </cell>
          <cell r="V236" t="str">
            <v>PRO10</v>
          </cell>
          <cell r="W236">
            <v>0</v>
          </cell>
        </row>
        <row r="237">
          <cell r="C237" t="str">
            <v>LDSFB207</v>
          </cell>
          <cell r="D237" t="str">
            <v>PRINC</v>
          </cell>
          <cell r="E237" t="str">
            <v>00005</v>
          </cell>
          <cell r="F237" t="str">
            <v>CHUMACERAS Y RODAMIENTOS</v>
          </cell>
          <cell r="G237" t="str">
            <v>PRINCIPAL</v>
          </cell>
          <cell r="H237">
            <v>46004</v>
          </cell>
          <cell r="I237" t="str">
            <v>SALDO INICIAL</v>
          </cell>
          <cell r="J237">
            <v>6</v>
          </cell>
          <cell r="K237">
            <v>80.912927999999994</v>
          </cell>
          <cell r="L237">
            <v>21.57</v>
          </cell>
          <cell r="M237">
            <v>13.485488</v>
          </cell>
          <cell r="N237" t="str">
            <v/>
          </cell>
          <cell r="O237" t="str">
            <v/>
          </cell>
          <cell r="P237" t="str">
            <v/>
          </cell>
          <cell r="Q237">
            <v>26.6</v>
          </cell>
          <cell r="R237" t="str">
            <v>UND</v>
          </cell>
          <cell r="S237">
            <v>0</v>
          </cell>
          <cell r="T237">
            <v>0</v>
          </cell>
          <cell r="U237" t="str">
            <v/>
          </cell>
          <cell r="V237" t="str">
            <v>PRO10</v>
          </cell>
          <cell r="W237">
            <v>0</v>
          </cell>
        </row>
        <row r="238">
          <cell r="C238" t="str">
            <v>LDSFL205</v>
          </cell>
          <cell r="D238" t="str">
            <v>PRINC</v>
          </cell>
          <cell r="E238" t="str">
            <v>00005</v>
          </cell>
          <cell r="F238" t="str">
            <v>CHUMACERAS Y RODAMIENTOS</v>
          </cell>
          <cell r="G238" t="str">
            <v>PRINCIPAL</v>
          </cell>
          <cell r="H238">
            <v>46004</v>
          </cell>
          <cell r="I238" t="str">
            <v>SALDO INICIAL</v>
          </cell>
          <cell r="J238">
            <v>0</v>
          </cell>
          <cell r="K238">
            <v>0</v>
          </cell>
          <cell r="L238">
            <v>7.656129</v>
          </cell>
          <cell r="M238">
            <v>0</v>
          </cell>
          <cell r="N238" t="str">
            <v/>
          </cell>
          <cell r="O238" t="str">
            <v/>
          </cell>
          <cell r="P238" t="str">
            <v/>
          </cell>
          <cell r="Q238">
            <v>12</v>
          </cell>
          <cell r="R238" t="str">
            <v>UND</v>
          </cell>
          <cell r="S238">
            <v>0</v>
          </cell>
          <cell r="T238">
            <v>0</v>
          </cell>
          <cell r="U238" t="str">
            <v/>
          </cell>
          <cell r="V238" t="str">
            <v>PRO10</v>
          </cell>
          <cell r="W238">
            <v>0</v>
          </cell>
        </row>
        <row r="239">
          <cell r="C239" t="str">
            <v>LDSFL207</v>
          </cell>
          <cell r="D239" t="str">
            <v>PRINC</v>
          </cell>
          <cell r="E239" t="str">
            <v>00005</v>
          </cell>
          <cell r="F239" t="str">
            <v>CHUMACERAS Y RODAMIENTOS</v>
          </cell>
          <cell r="G239" t="str">
            <v>PRINCIPAL</v>
          </cell>
          <cell r="H239">
            <v>46004</v>
          </cell>
          <cell r="I239" t="str">
            <v>SALDO INICIAL</v>
          </cell>
          <cell r="J239">
            <v>0</v>
          </cell>
          <cell r="K239">
            <v>0</v>
          </cell>
          <cell r="L239">
            <v>18.899999999999999</v>
          </cell>
          <cell r="M239">
            <v>0</v>
          </cell>
          <cell r="N239" t="str">
            <v/>
          </cell>
          <cell r="O239" t="str">
            <v/>
          </cell>
          <cell r="P239" t="str">
            <v/>
          </cell>
          <cell r="Q239">
            <v>20.6</v>
          </cell>
          <cell r="R239" t="str">
            <v>UND</v>
          </cell>
          <cell r="S239">
            <v>0</v>
          </cell>
          <cell r="T239">
            <v>0</v>
          </cell>
          <cell r="U239" t="str">
            <v/>
          </cell>
          <cell r="V239" t="str">
            <v>PRO10</v>
          </cell>
          <cell r="W239">
            <v>0</v>
          </cell>
        </row>
        <row r="240">
          <cell r="C240" t="str">
            <v>LDSP204</v>
          </cell>
          <cell r="D240" t="str">
            <v>PRINC</v>
          </cell>
          <cell r="E240" t="str">
            <v>00005</v>
          </cell>
          <cell r="F240" t="str">
            <v>CHUMACERAS Y RODAMIENTOS</v>
          </cell>
          <cell r="G240" t="str">
            <v>PRINCIPAL</v>
          </cell>
          <cell r="H240">
            <v>46004</v>
          </cell>
          <cell r="I240" t="str">
            <v>SALDO INICIAL</v>
          </cell>
          <cell r="J240">
            <v>27</v>
          </cell>
          <cell r="K240">
            <v>233.99462299999999</v>
          </cell>
          <cell r="L240">
            <v>10.193545</v>
          </cell>
          <cell r="M240">
            <v>8.6664675189999993</v>
          </cell>
          <cell r="N240" t="str">
            <v/>
          </cell>
          <cell r="O240" t="str">
            <v/>
          </cell>
          <cell r="P240" t="str">
            <v/>
          </cell>
          <cell r="Q240">
            <v>15.5</v>
          </cell>
          <cell r="R240" t="str">
            <v>UND</v>
          </cell>
          <cell r="S240">
            <v>0</v>
          </cell>
          <cell r="T240">
            <v>0</v>
          </cell>
          <cell r="U240" t="str">
            <v/>
          </cell>
          <cell r="V240" t="str">
            <v>PRO10</v>
          </cell>
          <cell r="W240">
            <v>0</v>
          </cell>
        </row>
        <row r="241">
          <cell r="C241" t="str">
            <v>LDSP206</v>
          </cell>
          <cell r="D241" t="str">
            <v>PRINC</v>
          </cell>
          <cell r="E241" t="str">
            <v>00005</v>
          </cell>
          <cell r="F241" t="str">
            <v>CHUMACERAS Y RODAMIENTOS</v>
          </cell>
          <cell r="G241" t="str">
            <v>PRINCIPAL</v>
          </cell>
          <cell r="H241">
            <v>46004</v>
          </cell>
          <cell r="I241" t="str">
            <v>SALDO INICIAL</v>
          </cell>
          <cell r="J241">
            <v>160</v>
          </cell>
          <cell r="K241">
            <v>2206.8434080000002</v>
          </cell>
          <cell r="L241">
            <v>13.792771</v>
          </cell>
          <cell r="M241">
            <v>13.7927713</v>
          </cell>
          <cell r="N241" t="str">
            <v/>
          </cell>
          <cell r="O241" t="str">
            <v/>
          </cell>
          <cell r="P241" t="str">
            <v/>
          </cell>
          <cell r="Q241">
            <v>21.3</v>
          </cell>
          <cell r="R241" t="str">
            <v>UND</v>
          </cell>
          <cell r="S241">
            <v>0</v>
          </cell>
          <cell r="T241">
            <v>0</v>
          </cell>
          <cell r="U241" t="str">
            <v/>
          </cell>
          <cell r="V241" t="str">
            <v>PRO10</v>
          </cell>
          <cell r="W241">
            <v>0</v>
          </cell>
        </row>
        <row r="242">
          <cell r="C242" t="str">
            <v>LDSP207</v>
          </cell>
          <cell r="D242" t="str">
            <v>PRINC</v>
          </cell>
          <cell r="E242" t="str">
            <v>00005</v>
          </cell>
          <cell r="F242" t="str">
            <v>CHUMACERAS Y RODAMIENTOS</v>
          </cell>
          <cell r="G242" t="str">
            <v>PRINCIPAL</v>
          </cell>
          <cell r="H242">
            <v>46004</v>
          </cell>
          <cell r="I242" t="str">
            <v>SALDO INICIAL</v>
          </cell>
          <cell r="J242">
            <v>46</v>
          </cell>
          <cell r="K242">
            <v>705.21880799999997</v>
          </cell>
          <cell r="L242">
            <v>21.15</v>
          </cell>
          <cell r="M242">
            <v>15.330843652</v>
          </cell>
          <cell r="N242" t="str">
            <v/>
          </cell>
          <cell r="O242" t="str">
            <v/>
          </cell>
          <cell r="P242" t="str">
            <v/>
          </cell>
          <cell r="Q242">
            <v>0</v>
          </cell>
          <cell r="R242" t="str">
            <v>UND</v>
          </cell>
          <cell r="S242">
            <v>0</v>
          </cell>
          <cell r="T242">
            <v>0</v>
          </cell>
          <cell r="U242" t="str">
            <v/>
          </cell>
          <cell r="V242" t="str">
            <v>PRO10</v>
          </cell>
          <cell r="W242">
            <v>0</v>
          </cell>
        </row>
        <row r="243">
          <cell r="C243" t="str">
            <v>LDSP208</v>
          </cell>
          <cell r="D243" t="str">
            <v>PRINC</v>
          </cell>
          <cell r="E243" t="str">
            <v>00005</v>
          </cell>
          <cell r="F243" t="str">
            <v>CHUMACERAS Y RODAMIENTOS</v>
          </cell>
          <cell r="G243" t="str">
            <v>PRINCIPAL</v>
          </cell>
          <cell r="H243">
            <v>46004</v>
          </cell>
          <cell r="I243" t="str">
            <v>SALDO INICIAL</v>
          </cell>
          <cell r="J243">
            <v>22</v>
          </cell>
          <cell r="K243">
            <v>487.88275800000002</v>
          </cell>
          <cell r="L243">
            <v>19.427726</v>
          </cell>
          <cell r="M243">
            <v>22.176489</v>
          </cell>
          <cell r="N243" t="str">
            <v/>
          </cell>
          <cell r="O243" t="str">
            <v/>
          </cell>
          <cell r="P243" t="str">
            <v/>
          </cell>
          <cell r="Q243">
            <v>36.5</v>
          </cell>
          <cell r="R243" t="str">
            <v>UND</v>
          </cell>
          <cell r="S243">
            <v>0</v>
          </cell>
          <cell r="T243">
            <v>0</v>
          </cell>
          <cell r="U243" t="str">
            <v/>
          </cell>
          <cell r="V243" t="str">
            <v>PRO10</v>
          </cell>
          <cell r="W243">
            <v>0</v>
          </cell>
        </row>
        <row r="244">
          <cell r="C244" t="str">
            <v>LDSP213</v>
          </cell>
          <cell r="D244" t="str">
            <v>PRINC</v>
          </cell>
          <cell r="E244" t="str">
            <v>00005</v>
          </cell>
          <cell r="F244" t="str">
            <v>CHUMACERAS Y RODAMIENTOS</v>
          </cell>
          <cell r="G244" t="str">
            <v>PRINCIPAL</v>
          </cell>
          <cell r="H244">
            <v>46004</v>
          </cell>
          <cell r="I244" t="str">
            <v>SALDO INICIAL</v>
          </cell>
          <cell r="J244">
            <v>1</v>
          </cell>
          <cell r="K244">
            <v>32.314776000000002</v>
          </cell>
          <cell r="L244">
            <v>71.677619000000007</v>
          </cell>
          <cell r="M244">
            <v>32.314776000000002</v>
          </cell>
          <cell r="N244" t="str">
            <v/>
          </cell>
          <cell r="O244" t="str">
            <v/>
          </cell>
          <cell r="P244" t="str">
            <v/>
          </cell>
          <cell r="Q244">
            <v>121.6</v>
          </cell>
          <cell r="R244" t="str">
            <v>UND</v>
          </cell>
          <cell r="S244">
            <v>0</v>
          </cell>
          <cell r="T244">
            <v>0</v>
          </cell>
          <cell r="U244" t="str">
            <v/>
          </cell>
          <cell r="V244" t="str">
            <v>PRO10</v>
          </cell>
          <cell r="W244">
            <v>0</v>
          </cell>
        </row>
        <row r="245">
          <cell r="C245" t="str">
            <v>LDSP215</v>
          </cell>
          <cell r="D245" t="str">
            <v>PRINC</v>
          </cell>
          <cell r="E245" t="str">
            <v>00005</v>
          </cell>
          <cell r="F245" t="str">
            <v>CHUMACERAS Y RODAMIENTOS</v>
          </cell>
          <cell r="G245" t="str">
            <v>PRINCIPAL</v>
          </cell>
          <cell r="H245">
            <v>46004</v>
          </cell>
          <cell r="I245" t="str">
            <v>SALDO INICIAL</v>
          </cell>
          <cell r="J245">
            <v>6</v>
          </cell>
          <cell r="K245">
            <v>603.75778200000002</v>
          </cell>
          <cell r="L245">
            <v>100.62629699999999</v>
          </cell>
          <cell r="M245">
            <v>100.62629699999999</v>
          </cell>
          <cell r="N245" t="str">
            <v/>
          </cell>
          <cell r="O245" t="str">
            <v/>
          </cell>
          <cell r="P245" t="str">
            <v/>
          </cell>
          <cell r="Q245">
            <v>155.9</v>
          </cell>
          <cell r="R245" t="str">
            <v>UND</v>
          </cell>
          <cell r="S245">
            <v>0</v>
          </cell>
          <cell r="T245">
            <v>0</v>
          </cell>
          <cell r="U245" t="str">
            <v/>
          </cell>
          <cell r="V245" t="str">
            <v>PRO10</v>
          </cell>
          <cell r="W245">
            <v>0</v>
          </cell>
        </row>
        <row r="246">
          <cell r="C246" t="str">
            <v>LDSSUCF202-10</v>
          </cell>
          <cell r="D246" t="str">
            <v>PRINC</v>
          </cell>
          <cell r="E246" t="str">
            <v>00005</v>
          </cell>
          <cell r="F246" t="str">
            <v>CHUMACERAS Y RODAMIENTOS</v>
          </cell>
          <cell r="G246" t="str">
            <v>PRINCIPAL</v>
          </cell>
          <cell r="H246">
            <v>46004</v>
          </cell>
          <cell r="I246" t="str">
            <v>SALDO INICIAL</v>
          </cell>
          <cell r="J246">
            <v>6</v>
          </cell>
          <cell r="K246">
            <v>60.787500000000001</v>
          </cell>
          <cell r="L246">
            <v>10.13125</v>
          </cell>
          <cell r="M246">
            <v>10.13125</v>
          </cell>
          <cell r="N246" t="str">
            <v/>
          </cell>
          <cell r="O246" t="str">
            <v/>
          </cell>
          <cell r="P246" t="str">
            <v/>
          </cell>
          <cell r="Q246">
            <v>0</v>
          </cell>
          <cell r="R246" t="str">
            <v>UND</v>
          </cell>
          <cell r="S246">
            <v>0</v>
          </cell>
          <cell r="T246">
            <v>0</v>
          </cell>
          <cell r="U246" t="str">
            <v/>
          </cell>
          <cell r="V246" t="str">
            <v>PRO10</v>
          </cell>
          <cell r="W246">
            <v>0</v>
          </cell>
        </row>
        <row r="247">
          <cell r="C247" t="str">
            <v>LDSSUCF204</v>
          </cell>
          <cell r="D247" t="str">
            <v>PRINC</v>
          </cell>
          <cell r="E247" t="str">
            <v>00005</v>
          </cell>
          <cell r="F247" t="str">
            <v>CHUMACERAS Y RODAMIENTOS</v>
          </cell>
          <cell r="G247" t="str">
            <v>PRINCIPAL</v>
          </cell>
          <cell r="H247">
            <v>46004</v>
          </cell>
          <cell r="I247" t="str">
            <v>SALDO INICIAL</v>
          </cell>
          <cell r="J247">
            <v>50</v>
          </cell>
          <cell r="K247">
            <v>460.07</v>
          </cell>
          <cell r="L247">
            <v>19.541564000000001</v>
          </cell>
          <cell r="M247">
            <v>9.2013999999999996</v>
          </cell>
          <cell r="N247" t="str">
            <v/>
          </cell>
          <cell r="O247" t="str">
            <v/>
          </cell>
          <cell r="P247" t="str">
            <v/>
          </cell>
          <cell r="Q247">
            <v>23.1</v>
          </cell>
          <cell r="R247" t="str">
            <v>UND</v>
          </cell>
          <cell r="S247">
            <v>0</v>
          </cell>
          <cell r="T247">
            <v>0</v>
          </cell>
          <cell r="U247" t="str">
            <v/>
          </cell>
          <cell r="V247" t="str">
            <v>PRO10</v>
          </cell>
          <cell r="W247">
            <v>0</v>
          </cell>
        </row>
        <row r="248">
          <cell r="C248" t="str">
            <v>LDSSUCF205</v>
          </cell>
          <cell r="D248" t="str">
            <v>PRINC</v>
          </cell>
          <cell r="E248" t="str">
            <v>00005</v>
          </cell>
          <cell r="F248" t="str">
            <v>CHUMACERAS Y RODAMIENTOS</v>
          </cell>
          <cell r="G248" t="str">
            <v>PRINCIPAL</v>
          </cell>
          <cell r="H248">
            <v>46004</v>
          </cell>
          <cell r="I248" t="str">
            <v>SALDO INICIAL</v>
          </cell>
          <cell r="J248">
            <v>1</v>
          </cell>
          <cell r="K248">
            <v>15.270531999999999</v>
          </cell>
          <cell r="L248">
            <v>12.973566</v>
          </cell>
          <cell r="M248">
            <v>15.270531999999999</v>
          </cell>
          <cell r="N248" t="str">
            <v/>
          </cell>
          <cell r="O248" t="str">
            <v/>
          </cell>
          <cell r="P248" t="str">
            <v/>
          </cell>
          <cell r="Q248">
            <v>24.9</v>
          </cell>
          <cell r="R248" t="str">
            <v>UND</v>
          </cell>
          <cell r="S248">
            <v>0</v>
          </cell>
          <cell r="T248">
            <v>0</v>
          </cell>
          <cell r="U248" t="str">
            <v/>
          </cell>
          <cell r="V248" t="str">
            <v>PRO10</v>
          </cell>
          <cell r="W248">
            <v>0</v>
          </cell>
        </row>
        <row r="249">
          <cell r="C249" t="str">
            <v>LDSSUCF205-16</v>
          </cell>
          <cell r="D249" t="str">
            <v>PRINC</v>
          </cell>
          <cell r="E249" t="str">
            <v>00005</v>
          </cell>
          <cell r="F249" t="str">
            <v>CHUMACERAS Y RODAMIENTOS</v>
          </cell>
          <cell r="G249" t="str">
            <v>PRINCIPAL</v>
          </cell>
          <cell r="H249">
            <v>46004</v>
          </cell>
          <cell r="I249" t="str">
            <v>SALDO INICIAL</v>
          </cell>
          <cell r="J249">
            <v>95</v>
          </cell>
          <cell r="K249">
            <v>-2687.0684540000002</v>
          </cell>
          <cell r="L249">
            <v>11.698845</v>
          </cell>
          <cell r="M249">
            <v>-28.284931095000001</v>
          </cell>
          <cell r="N249" t="str">
            <v/>
          </cell>
          <cell r="O249" t="str">
            <v/>
          </cell>
          <cell r="P249" t="str">
            <v/>
          </cell>
          <cell r="Q249">
            <v>24.9</v>
          </cell>
          <cell r="R249" t="str">
            <v>UND</v>
          </cell>
          <cell r="S249">
            <v>0</v>
          </cell>
          <cell r="T249">
            <v>0</v>
          </cell>
          <cell r="U249" t="str">
            <v/>
          </cell>
          <cell r="V249" t="str">
            <v>PRO10</v>
          </cell>
          <cell r="W249">
            <v>0</v>
          </cell>
        </row>
        <row r="250">
          <cell r="C250" t="str">
            <v>LDSSUCF206</v>
          </cell>
          <cell r="D250" t="str">
            <v>PRINC</v>
          </cell>
          <cell r="E250" t="str">
            <v>00005</v>
          </cell>
          <cell r="F250" t="str">
            <v>CHUMACERAS Y RODAMIENTOS</v>
          </cell>
          <cell r="G250" t="str">
            <v>PRINCIPAL</v>
          </cell>
          <cell r="H250">
            <v>46004</v>
          </cell>
          <cell r="I250" t="str">
            <v>SALDO INICIAL</v>
          </cell>
          <cell r="J250">
            <v>0</v>
          </cell>
          <cell r="K250">
            <v>14.279978</v>
          </cell>
          <cell r="L250">
            <v>26.776168999999999</v>
          </cell>
          <cell r="M250">
            <v>0</v>
          </cell>
          <cell r="N250" t="str">
            <v/>
          </cell>
          <cell r="O250" t="str">
            <v/>
          </cell>
          <cell r="P250" t="str">
            <v/>
          </cell>
          <cell r="Q250">
            <v>34.799999999999997</v>
          </cell>
          <cell r="R250" t="str">
            <v>UND</v>
          </cell>
          <cell r="S250">
            <v>0</v>
          </cell>
          <cell r="T250">
            <v>0</v>
          </cell>
          <cell r="U250" t="str">
            <v/>
          </cell>
          <cell r="V250" t="str">
            <v>PRO10</v>
          </cell>
          <cell r="W250">
            <v>0</v>
          </cell>
        </row>
        <row r="251">
          <cell r="C251" t="str">
            <v>LDSSUCF206-20</v>
          </cell>
          <cell r="D251" t="str">
            <v>PRINC</v>
          </cell>
          <cell r="E251" t="str">
            <v>00005</v>
          </cell>
          <cell r="F251" t="str">
            <v>CHUMACERAS Y RODAMIENTOS</v>
          </cell>
          <cell r="G251" t="str">
            <v>PRINCIPAL</v>
          </cell>
          <cell r="H251">
            <v>46004</v>
          </cell>
          <cell r="I251" t="str">
            <v>SALDO INICIAL</v>
          </cell>
          <cell r="J251">
            <v>0</v>
          </cell>
          <cell r="K251">
            <v>-0.13275999999999999</v>
          </cell>
          <cell r="L251">
            <v>19.683534999999999</v>
          </cell>
          <cell r="M251">
            <v>0</v>
          </cell>
          <cell r="N251" t="str">
            <v/>
          </cell>
          <cell r="O251" t="str">
            <v/>
          </cell>
          <cell r="P251" t="str">
            <v/>
          </cell>
          <cell r="Q251">
            <v>34.799999999999997</v>
          </cell>
          <cell r="R251" t="str">
            <v>UND</v>
          </cell>
          <cell r="S251">
            <v>0</v>
          </cell>
          <cell r="T251">
            <v>0</v>
          </cell>
          <cell r="U251" t="str">
            <v/>
          </cell>
          <cell r="V251" t="str">
            <v>PRO10</v>
          </cell>
          <cell r="W251">
            <v>0</v>
          </cell>
        </row>
        <row r="252">
          <cell r="C252" t="str">
            <v>LDSSUCF207</v>
          </cell>
          <cell r="D252" t="str">
            <v>PRINC</v>
          </cell>
          <cell r="E252" t="str">
            <v>00005</v>
          </cell>
          <cell r="F252" t="str">
            <v>CHUMACERAS Y RODAMIENTOS</v>
          </cell>
          <cell r="G252" t="str">
            <v>PRINCIPAL</v>
          </cell>
          <cell r="H252">
            <v>46004</v>
          </cell>
          <cell r="I252" t="str">
            <v>SALDO INICIAL</v>
          </cell>
          <cell r="J252">
            <v>11</v>
          </cell>
          <cell r="K252">
            <v>190.204025</v>
          </cell>
          <cell r="L252">
            <v>21.259499999999999</v>
          </cell>
          <cell r="M252">
            <v>17.291274999999999</v>
          </cell>
          <cell r="N252" t="str">
            <v/>
          </cell>
          <cell r="O252" t="str">
            <v/>
          </cell>
          <cell r="P252" t="str">
            <v/>
          </cell>
          <cell r="Q252">
            <v>41.55</v>
          </cell>
          <cell r="R252" t="str">
            <v>UND</v>
          </cell>
          <cell r="S252">
            <v>0</v>
          </cell>
          <cell r="T252">
            <v>0</v>
          </cell>
          <cell r="U252" t="str">
            <v/>
          </cell>
          <cell r="V252" t="str">
            <v>PRO10</v>
          </cell>
          <cell r="W252">
            <v>0</v>
          </cell>
        </row>
        <row r="253">
          <cell r="C253" t="str">
            <v>LDSSUCF207-20</v>
          </cell>
          <cell r="D253" t="str">
            <v>PRINC</v>
          </cell>
          <cell r="E253" t="str">
            <v>00005</v>
          </cell>
          <cell r="F253" t="str">
            <v>CHUMACERAS Y RODAMIENTOS</v>
          </cell>
          <cell r="G253" t="str">
            <v>PRINCIPAL</v>
          </cell>
          <cell r="H253">
            <v>46004</v>
          </cell>
          <cell r="I253" t="str">
            <v>SALDO INICIAL</v>
          </cell>
          <cell r="J253">
            <v>30</v>
          </cell>
          <cell r="K253">
            <v>831.75569299999995</v>
          </cell>
          <cell r="L253">
            <v>20.949145000000001</v>
          </cell>
          <cell r="M253">
            <v>27.725189767</v>
          </cell>
          <cell r="N253" t="str">
            <v/>
          </cell>
          <cell r="O253" t="str">
            <v/>
          </cell>
          <cell r="P253" t="str">
            <v/>
          </cell>
          <cell r="Q253">
            <v>41.55</v>
          </cell>
          <cell r="R253" t="str">
            <v>UND</v>
          </cell>
          <cell r="S253">
            <v>0</v>
          </cell>
          <cell r="T253">
            <v>0</v>
          </cell>
          <cell r="U253" t="str">
            <v/>
          </cell>
          <cell r="V253" t="str">
            <v>PRO10</v>
          </cell>
          <cell r="W253">
            <v>0</v>
          </cell>
        </row>
        <row r="254">
          <cell r="C254" t="str">
            <v>LDSSUCF207-23</v>
          </cell>
          <cell r="D254" t="str">
            <v>PRINC</v>
          </cell>
          <cell r="E254" t="str">
            <v>00005</v>
          </cell>
          <cell r="F254" t="str">
            <v>CHUMACERAS Y RODAMIENTOS</v>
          </cell>
          <cell r="G254" t="str">
            <v>PRINCIPAL</v>
          </cell>
          <cell r="H254">
            <v>46004</v>
          </cell>
          <cell r="I254" t="str">
            <v>SALDO INICIAL</v>
          </cell>
          <cell r="J254">
            <v>0</v>
          </cell>
          <cell r="K254">
            <v>-10.012124</v>
          </cell>
          <cell r="L254">
            <v>21.26</v>
          </cell>
          <cell r="M254">
            <v>0</v>
          </cell>
          <cell r="N254" t="str">
            <v/>
          </cell>
          <cell r="O254" t="str">
            <v/>
          </cell>
          <cell r="P254" t="str">
            <v/>
          </cell>
          <cell r="Q254">
            <v>41.55</v>
          </cell>
          <cell r="R254" t="str">
            <v>UND</v>
          </cell>
          <cell r="S254">
            <v>0</v>
          </cell>
          <cell r="T254">
            <v>0</v>
          </cell>
          <cell r="U254" t="str">
            <v/>
          </cell>
          <cell r="V254" t="str">
            <v>PRO10</v>
          </cell>
          <cell r="W254">
            <v>0</v>
          </cell>
        </row>
        <row r="255">
          <cell r="C255" t="str">
            <v>LDSSUCF208</v>
          </cell>
          <cell r="D255" t="str">
            <v>PRINC</v>
          </cell>
          <cell r="E255" t="str">
            <v>00005</v>
          </cell>
          <cell r="F255" t="str">
            <v>CHUMACERAS Y RODAMIENTOS</v>
          </cell>
          <cell r="G255" t="str">
            <v>PRINCIPAL</v>
          </cell>
          <cell r="H255">
            <v>46004</v>
          </cell>
          <cell r="I255" t="str">
            <v>SALDO INICIAL</v>
          </cell>
          <cell r="J255">
            <v>0</v>
          </cell>
          <cell r="K255">
            <v>0</v>
          </cell>
          <cell r="L255">
            <v>27.855515</v>
          </cell>
          <cell r="M255">
            <v>0</v>
          </cell>
          <cell r="N255" t="str">
            <v/>
          </cell>
          <cell r="O255" t="str">
            <v/>
          </cell>
          <cell r="P255" t="str">
            <v/>
          </cell>
          <cell r="Q255">
            <v>56.1</v>
          </cell>
          <cell r="R255" t="str">
            <v>UND</v>
          </cell>
          <cell r="S255">
            <v>0</v>
          </cell>
          <cell r="T255">
            <v>0</v>
          </cell>
          <cell r="U255" t="str">
            <v/>
          </cell>
          <cell r="V255" t="str">
            <v>PRO10</v>
          </cell>
          <cell r="W255">
            <v>0</v>
          </cell>
        </row>
        <row r="256">
          <cell r="C256" t="str">
            <v>LDSSUCF208-24</v>
          </cell>
          <cell r="D256" t="str">
            <v>PRINC</v>
          </cell>
          <cell r="E256" t="str">
            <v>00005</v>
          </cell>
          <cell r="F256" t="str">
            <v>CHUMACERAS Y RODAMIENTOS</v>
          </cell>
          <cell r="G256" t="str">
            <v>PRINCIPAL</v>
          </cell>
          <cell r="H256">
            <v>46004</v>
          </cell>
          <cell r="I256" t="str">
            <v>SALDO INICIAL</v>
          </cell>
          <cell r="J256">
            <v>10</v>
          </cell>
          <cell r="K256">
            <v>290.74654800000002</v>
          </cell>
          <cell r="L256">
            <v>27.185268000000001</v>
          </cell>
          <cell r="M256">
            <v>29.074654800000001</v>
          </cell>
          <cell r="N256" t="str">
            <v/>
          </cell>
          <cell r="O256" t="str">
            <v/>
          </cell>
          <cell r="P256" t="str">
            <v/>
          </cell>
          <cell r="Q256">
            <v>56.1</v>
          </cell>
          <cell r="R256" t="str">
            <v>UND</v>
          </cell>
          <cell r="S256">
            <v>0</v>
          </cell>
          <cell r="T256">
            <v>0</v>
          </cell>
          <cell r="U256" t="str">
            <v/>
          </cell>
          <cell r="V256" t="str">
            <v>PRO10</v>
          </cell>
          <cell r="W256">
            <v>0</v>
          </cell>
        </row>
        <row r="257">
          <cell r="C257" t="str">
            <v>LDSSUCF210</v>
          </cell>
          <cell r="D257" t="str">
            <v>PRINC</v>
          </cell>
          <cell r="E257" t="str">
            <v>00005</v>
          </cell>
          <cell r="F257" t="str">
            <v>CHUMACERAS Y RODAMIENTOS</v>
          </cell>
          <cell r="G257" t="str">
            <v>PRINCIPAL</v>
          </cell>
          <cell r="H257">
            <v>46004</v>
          </cell>
          <cell r="I257" t="str">
            <v>SALDO INICIAL</v>
          </cell>
          <cell r="J257">
            <v>9</v>
          </cell>
          <cell r="K257">
            <v>357.22339899999997</v>
          </cell>
          <cell r="L257">
            <v>38.478782000000002</v>
          </cell>
          <cell r="M257">
            <v>39.691488778</v>
          </cell>
          <cell r="N257" t="str">
            <v/>
          </cell>
          <cell r="O257" t="str">
            <v/>
          </cell>
          <cell r="P257" t="str">
            <v/>
          </cell>
          <cell r="Q257">
            <v>80.7</v>
          </cell>
          <cell r="R257" t="str">
            <v>UND</v>
          </cell>
          <cell r="S257">
            <v>0</v>
          </cell>
          <cell r="T257">
            <v>0</v>
          </cell>
          <cell r="U257" t="str">
            <v/>
          </cell>
          <cell r="V257" t="str">
            <v>PRO10</v>
          </cell>
          <cell r="W257">
            <v>0</v>
          </cell>
        </row>
        <row r="258">
          <cell r="C258" t="str">
            <v>LDSSUCF210-32</v>
          </cell>
          <cell r="D258" t="str">
            <v>PRINC</v>
          </cell>
          <cell r="E258" t="str">
            <v>00005</v>
          </cell>
          <cell r="F258" t="str">
            <v>CHUMACERAS Y RODAMIENTOS</v>
          </cell>
          <cell r="G258" t="str">
            <v>PRINCIPAL</v>
          </cell>
          <cell r="H258">
            <v>46004</v>
          </cell>
          <cell r="I258" t="str">
            <v>SALDO INICIAL</v>
          </cell>
          <cell r="J258">
            <v>0</v>
          </cell>
          <cell r="K258">
            <v>-32.935364</v>
          </cell>
          <cell r="L258">
            <v>38.711500000000001</v>
          </cell>
          <cell r="M258">
            <v>0</v>
          </cell>
          <cell r="N258" t="str">
            <v/>
          </cell>
          <cell r="O258" t="str">
            <v/>
          </cell>
          <cell r="P258" t="str">
            <v/>
          </cell>
          <cell r="Q258">
            <v>79.099999999999994</v>
          </cell>
          <cell r="R258" t="str">
            <v>UND</v>
          </cell>
          <cell r="S258">
            <v>0</v>
          </cell>
          <cell r="T258">
            <v>0</v>
          </cell>
          <cell r="U258" t="str">
            <v/>
          </cell>
          <cell r="V258" t="str">
            <v>PRO10</v>
          </cell>
          <cell r="W258">
            <v>0</v>
          </cell>
        </row>
        <row r="259">
          <cell r="C259" t="str">
            <v>LDSSUCF211-32</v>
          </cell>
          <cell r="D259" t="str">
            <v>PRINC</v>
          </cell>
          <cell r="E259" t="str">
            <v>00005</v>
          </cell>
          <cell r="F259" t="str">
            <v>CHUMACERAS Y RODAMIENTOS</v>
          </cell>
          <cell r="G259" t="str">
            <v>PRINCIPAL</v>
          </cell>
          <cell r="H259">
            <v>46004</v>
          </cell>
          <cell r="I259" t="str">
            <v>SALDO INICIAL</v>
          </cell>
          <cell r="J259">
            <v>2</v>
          </cell>
          <cell r="K259">
            <v>44.934201999999999</v>
          </cell>
          <cell r="L259">
            <v>52.397874999999999</v>
          </cell>
          <cell r="M259">
            <v>22.467101</v>
          </cell>
          <cell r="N259" t="str">
            <v/>
          </cell>
          <cell r="O259" t="str">
            <v/>
          </cell>
          <cell r="P259" t="str">
            <v/>
          </cell>
          <cell r="Q259">
            <v>101</v>
          </cell>
          <cell r="R259" t="str">
            <v>UND</v>
          </cell>
          <cell r="S259">
            <v>0</v>
          </cell>
          <cell r="T259">
            <v>0</v>
          </cell>
          <cell r="U259" t="str">
            <v/>
          </cell>
          <cell r="V259" t="str">
            <v>PRO10</v>
          </cell>
          <cell r="W259">
            <v>0</v>
          </cell>
        </row>
        <row r="260">
          <cell r="C260" t="str">
            <v>LDSSUCF212</v>
          </cell>
          <cell r="D260" t="str">
            <v>PRINC</v>
          </cell>
          <cell r="E260" t="str">
            <v>00005</v>
          </cell>
          <cell r="F260" t="str">
            <v>CHUMACERAS Y RODAMIENTOS</v>
          </cell>
          <cell r="G260" t="str">
            <v>PRINCIPAL</v>
          </cell>
          <cell r="H260">
            <v>46004</v>
          </cell>
          <cell r="I260" t="str">
            <v>SALDO INICIAL</v>
          </cell>
          <cell r="J260">
            <v>0</v>
          </cell>
          <cell r="K260">
            <v>-14.803248999999999</v>
          </cell>
          <cell r="L260">
            <v>62.615000000000002</v>
          </cell>
          <cell r="M260">
            <v>0</v>
          </cell>
          <cell r="N260" t="str">
            <v/>
          </cell>
          <cell r="O260" t="str">
            <v/>
          </cell>
          <cell r="P260" t="str">
            <v/>
          </cell>
          <cell r="Q260">
            <v>145.30000000000001</v>
          </cell>
          <cell r="R260" t="str">
            <v>UND</v>
          </cell>
          <cell r="S260">
            <v>0</v>
          </cell>
          <cell r="T260">
            <v>0</v>
          </cell>
          <cell r="U260" t="str">
            <v/>
          </cell>
          <cell r="V260" t="str">
            <v>PRO10</v>
          </cell>
          <cell r="W260">
            <v>0</v>
          </cell>
        </row>
        <row r="261">
          <cell r="C261" t="str">
            <v>LDSSUCF213-40</v>
          </cell>
          <cell r="D261" t="str">
            <v>PRINC</v>
          </cell>
          <cell r="E261" t="str">
            <v>00005</v>
          </cell>
          <cell r="F261" t="str">
            <v>CHUMACERAS Y RODAMIENTOS</v>
          </cell>
          <cell r="G261" t="str">
            <v>PRINCIPAL</v>
          </cell>
          <cell r="H261">
            <v>46004</v>
          </cell>
          <cell r="I261" t="str">
            <v>SALDO INICIAL</v>
          </cell>
          <cell r="J261">
            <v>0</v>
          </cell>
          <cell r="K261">
            <v>4.3239999999999998</v>
          </cell>
          <cell r="L261">
            <v>108.27249999999999</v>
          </cell>
          <cell r="M261">
            <v>0</v>
          </cell>
          <cell r="N261" t="str">
            <v/>
          </cell>
          <cell r="O261" t="str">
            <v/>
          </cell>
          <cell r="P261" t="str">
            <v/>
          </cell>
          <cell r="Q261">
            <v>210</v>
          </cell>
          <cell r="R261" t="str">
            <v>UND</v>
          </cell>
          <cell r="S261">
            <v>0</v>
          </cell>
          <cell r="T261">
            <v>0</v>
          </cell>
          <cell r="U261" t="str">
            <v/>
          </cell>
          <cell r="V261" t="str">
            <v>PRO10</v>
          </cell>
          <cell r="W261">
            <v>0</v>
          </cell>
        </row>
        <row r="262">
          <cell r="C262" t="str">
            <v>LDSSUCF215-48</v>
          </cell>
          <cell r="D262" t="str">
            <v>PRINC</v>
          </cell>
          <cell r="E262" t="str">
            <v>00005</v>
          </cell>
          <cell r="F262" t="str">
            <v>CHUMACERAS Y RODAMIENTOS</v>
          </cell>
          <cell r="G262" t="str">
            <v>PRINCIPAL</v>
          </cell>
          <cell r="H262">
            <v>46004</v>
          </cell>
          <cell r="I262" t="str">
            <v>SALDO INICIAL</v>
          </cell>
          <cell r="J262">
            <v>0</v>
          </cell>
          <cell r="K262">
            <v>-92.238855000000001</v>
          </cell>
          <cell r="L262">
            <v>160.913635</v>
          </cell>
          <cell r="M262">
            <v>0</v>
          </cell>
          <cell r="N262" t="str">
            <v/>
          </cell>
          <cell r="O262" t="str">
            <v/>
          </cell>
          <cell r="P262" t="str">
            <v/>
          </cell>
          <cell r="Q262">
            <v>278</v>
          </cell>
          <cell r="R262" t="str">
            <v>UND</v>
          </cell>
          <cell r="S262">
            <v>0</v>
          </cell>
          <cell r="T262">
            <v>0</v>
          </cell>
          <cell r="U262" t="str">
            <v/>
          </cell>
          <cell r="V262" t="str">
            <v>PRO10</v>
          </cell>
          <cell r="W262">
            <v>0</v>
          </cell>
        </row>
        <row r="263">
          <cell r="C263" t="str">
            <v>LDSSUCFB205</v>
          </cell>
          <cell r="D263" t="str">
            <v>PRINC</v>
          </cell>
          <cell r="E263" t="str">
            <v>00005</v>
          </cell>
          <cell r="F263" t="str">
            <v>CHUMACERAS Y RODAMIENTOS</v>
          </cell>
          <cell r="G263" t="str">
            <v>PRINCIPAL</v>
          </cell>
          <cell r="H263">
            <v>46004</v>
          </cell>
          <cell r="I263" t="str">
            <v>SALDO INICIAL</v>
          </cell>
          <cell r="J263">
            <v>20</v>
          </cell>
          <cell r="K263">
            <v>261.17</v>
          </cell>
          <cell r="L263">
            <v>12.257261</v>
          </cell>
          <cell r="M263">
            <v>13.0585</v>
          </cell>
          <cell r="N263" t="str">
            <v/>
          </cell>
          <cell r="O263" t="str">
            <v/>
          </cell>
          <cell r="P263" t="str">
            <v/>
          </cell>
          <cell r="Q263">
            <v>23.4</v>
          </cell>
          <cell r="R263" t="str">
            <v>UND</v>
          </cell>
          <cell r="S263">
            <v>0</v>
          </cell>
          <cell r="T263">
            <v>0</v>
          </cell>
          <cell r="U263" t="str">
            <v/>
          </cell>
          <cell r="V263" t="str">
            <v>PRO10</v>
          </cell>
          <cell r="W263">
            <v>0</v>
          </cell>
        </row>
        <row r="264">
          <cell r="C264" t="str">
            <v>LDSSUCFB205-16</v>
          </cell>
          <cell r="D264" t="str">
            <v>PRINC</v>
          </cell>
          <cell r="E264" t="str">
            <v>00005</v>
          </cell>
          <cell r="F264" t="str">
            <v>CHUMACERAS Y RODAMIENTOS</v>
          </cell>
          <cell r="G264" t="str">
            <v>PRINCIPAL</v>
          </cell>
          <cell r="H264">
            <v>46004</v>
          </cell>
          <cell r="I264" t="str">
            <v>SALDO INICIAL</v>
          </cell>
          <cell r="J264">
            <v>2</v>
          </cell>
          <cell r="K264">
            <v>24.515999999999998</v>
          </cell>
          <cell r="L264">
            <v>12.257999999999999</v>
          </cell>
          <cell r="M264">
            <v>12.257999999999999</v>
          </cell>
          <cell r="N264" t="str">
            <v/>
          </cell>
          <cell r="O264" t="str">
            <v/>
          </cell>
          <cell r="P264" t="str">
            <v/>
          </cell>
          <cell r="Q264">
            <v>23.4</v>
          </cell>
          <cell r="R264" t="str">
            <v>UND</v>
          </cell>
          <cell r="S264">
            <v>0</v>
          </cell>
          <cell r="T264">
            <v>0</v>
          </cell>
          <cell r="U264" t="str">
            <v/>
          </cell>
          <cell r="V264" t="str">
            <v>PRO10</v>
          </cell>
          <cell r="W264">
            <v>0</v>
          </cell>
        </row>
        <row r="265">
          <cell r="C265" t="str">
            <v>LDSSUCFB207-23</v>
          </cell>
          <cell r="D265" t="str">
            <v>PRINC</v>
          </cell>
          <cell r="E265" t="str">
            <v>00005</v>
          </cell>
          <cell r="F265" t="str">
            <v>CHUMACERAS Y RODAMIENTOS</v>
          </cell>
          <cell r="G265" t="str">
            <v>PRINCIPAL</v>
          </cell>
          <cell r="H265">
            <v>46004</v>
          </cell>
          <cell r="I265" t="str">
            <v>SALDO INICIAL</v>
          </cell>
          <cell r="J265">
            <v>2</v>
          </cell>
          <cell r="K265">
            <v>47.317500000000003</v>
          </cell>
          <cell r="L265">
            <v>23.658750000000001</v>
          </cell>
          <cell r="M265">
            <v>23.658750000000001</v>
          </cell>
          <cell r="N265" t="str">
            <v/>
          </cell>
          <cell r="O265" t="str">
            <v/>
          </cell>
          <cell r="P265" t="str">
            <v/>
          </cell>
          <cell r="Q265">
            <v>46.6</v>
          </cell>
          <cell r="R265" t="str">
            <v>UND</v>
          </cell>
          <cell r="S265">
            <v>0</v>
          </cell>
          <cell r="T265">
            <v>0</v>
          </cell>
          <cell r="U265" t="str">
            <v/>
          </cell>
          <cell r="V265" t="str">
            <v>PRO10</v>
          </cell>
          <cell r="W265">
            <v>0</v>
          </cell>
        </row>
        <row r="266">
          <cell r="C266" t="str">
            <v>LDSSUCFC208-24</v>
          </cell>
          <cell r="D266" t="str">
            <v>PRINC</v>
          </cell>
          <cell r="E266" t="str">
            <v>00005</v>
          </cell>
          <cell r="F266" t="str">
            <v>CHUMACERAS Y RODAMIENTOS</v>
          </cell>
          <cell r="G266" t="str">
            <v>PRINCIPAL</v>
          </cell>
          <cell r="H266">
            <v>46004</v>
          </cell>
          <cell r="I266" t="str">
            <v>SALDO INICIAL</v>
          </cell>
          <cell r="J266">
            <v>3</v>
          </cell>
          <cell r="K266">
            <v>88.582499999999996</v>
          </cell>
          <cell r="L266">
            <v>29.5275</v>
          </cell>
          <cell r="M266">
            <v>29.5275</v>
          </cell>
          <cell r="N266" t="str">
            <v/>
          </cell>
          <cell r="O266" t="str">
            <v/>
          </cell>
          <cell r="P266" t="str">
            <v/>
          </cell>
          <cell r="Q266">
            <v>56.1</v>
          </cell>
          <cell r="R266" t="str">
            <v>UND</v>
          </cell>
          <cell r="S266">
            <v>0</v>
          </cell>
          <cell r="T266">
            <v>0</v>
          </cell>
          <cell r="U266" t="str">
            <v/>
          </cell>
          <cell r="V266" t="str">
            <v>PRO10</v>
          </cell>
          <cell r="W266">
            <v>0</v>
          </cell>
        </row>
        <row r="267">
          <cell r="C267" t="str">
            <v>LDSSUCFL201-8</v>
          </cell>
          <cell r="D267" t="str">
            <v>PRINC</v>
          </cell>
          <cell r="E267" t="str">
            <v>00005</v>
          </cell>
          <cell r="F267" t="str">
            <v>CHUMACERAS Y RODAMIENTOS</v>
          </cell>
          <cell r="G267" t="str">
            <v>PRINCIPAL</v>
          </cell>
          <cell r="H267">
            <v>46004</v>
          </cell>
          <cell r="I267" t="str">
            <v>SALDO INICIAL</v>
          </cell>
          <cell r="J267">
            <v>0</v>
          </cell>
          <cell r="K267">
            <v>0.62498699999999996</v>
          </cell>
          <cell r="L267">
            <v>9.956073</v>
          </cell>
          <cell r="M267">
            <v>0</v>
          </cell>
          <cell r="N267" t="str">
            <v/>
          </cell>
          <cell r="O267" t="str">
            <v/>
          </cell>
          <cell r="P267" t="str">
            <v/>
          </cell>
          <cell r="Q267">
            <v>17.149999999999999</v>
          </cell>
          <cell r="R267" t="str">
            <v>UND</v>
          </cell>
          <cell r="S267">
            <v>0</v>
          </cell>
          <cell r="T267">
            <v>0</v>
          </cell>
          <cell r="U267" t="str">
            <v/>
          </cell>
          <cell r="V267" t="str">
            <v>PRO10</v>
          </cell>
          <cell r="W267">
            <v>0</v>
          </cell>
        </row>
        <row r="268">
          <cell r="C268" t="str">
            <v>LDSSUCFL202-10</v>
          </cell>
          <cell r="D268" t="str">
            <v>PRINC</v>
          </cell>
          <cell r="E268" t="str">
            <v>00005</v>
          </cell>
          <cell r="F268" t="str">
            <v>CHUMACERAS Y RODAMIENTOS</v>
          </cell>
          <cell r="G268" t="str">
            <v>PRINCIPAL</v>
          </cell>
          <cell r="H268">
            <v>46004</v>
          </cell>
          <cell r="I268" t="str">
            <v>SALDO INICIAL</v>
          </cell>
          <cell r="J268">
            <v>9</v>
          </cell>
          <cell r="K268">
            <v>83.646000000000001</v>
          </cell>
          <cell r="L268">
            <v>9.2940000000000005</v>
          </cell>
          <cell r="M268">
            <v>9.2940000000000005</v>
          </cell>
          <cell r="N268" t="str">
            <v/>
          </cell>
          <cell r="O268" t="str">
            <v/>
          </cell>
          <cell r="P268" t="str">
            <v/>
          </cell>
          <cell r="Q268">
            <v>16.5</v>
          </cell>
          <cell r="R268" t="str">
            <v>UND</v>
          </cell>
          <cell r="S268">
            <v>0</v>
          </cell>
          <cell r="T268">
            <v>0</v>
          </cell>
          <cell r="U268" t="str">
            <v/>
          </cell>
          <cell r="V268" t="str">
            <v>PRO10</v>
          </cell>
          <cell r="W268">
            <v>0</v>
          </cell>
        </row>
        <row r="269">
          <cell r="C269" t="str">
            <v>LDSSUCFL204</v>
          </cell>
          <cell r="D269" t="str">
            <v>PRINC</v>
          </cell>
          <cell r="E269" t="str">
            <v>00005</v>
          </cell>
          <cell r="F269" t="str">
            <v>CHUMACERAS Y RODAMIENTOS</v>
          </cell>
          <cell r="G269" t="str">
            <v>PRINCIPAL</v>
          </cell>
          <cell r="H269">
            <v>46004</v>
          </cell>
          <cell r="I269" t="str">
            <v>SALDO INICIAL</v>
          </cell>
          <cell r="J269">
            <v>20</v>
          </cell>
          <cell r="K269">
            <v>174.40656300000001</v>
          </cell>
          <cell r="L269">
            <v>8.8444350000000007</v>
          </cell>
          <cell r="M269">
            <v>8.7203281500000003</v>
          </cell>
          <cell r="N269" t="str">
            <v/>
          </cell>
          <cell r="O269" t="str">
            <v/>
          </cell>
          <cell r="P269" t="str">
            <v/>
          </cell>
          <cell r="Q269">
            <v>16.8</v>
          </cell>
          <cell r="R269" t="str">
            <v>UND</v>
          </cell>
          <cell r="S269">
            <v>0</v>
          </cell>
          <cell r="T269">
            <v>0</v>
          </cell>
          <cell r="U269" t="str">
            <v/>
          </cell>
          <cell r="V269" t="str">
            <v>PRO10</v>
          </cell>
          <cell r="W269">
            <v>0</v>
          </cell>
        </row>
        <row r="270">
          <cell r="C270" t="str">
            <v>LDSSUCFL204-12</v>
          </cell>
          <cell r="D270" t="str">
            <v>PRINC</v>
          </cell>
          <cell r="E270" t="str">
            <v>00005</v>
          </cell>
          <cell r="F270" t="str">
            <v>CHUMACERAS Y RODAMIENTOS</v>
          </cell>
          <cell r="G270" t="str">
            <v>PRINCIPAL</v>
          </cell>
          <cell r="H270">
            <v>46004</v>
          </cell>
          <cell r="I270" t="str">
            <v>SALDO INICIAL</v>
          </cell>
          <cell r="J270">
            <v>38</v>
          </cell>
          <cell r="K270">
            <v>442.24840699999999</v>
          </cell>
          <cell r="L270">
            <v>9.8481719999999999</v>
          </cell>
          <cell r="M270">
            <v>11.638115974</v>
          </cell>
          <cell r="N270" t="str">
            <v/>
          </cell>
          <cell r="O270" t="str">
            <v/>
          </cell>
          <cell r="P270" t="str">
            <v/>
          </cell>
          <cell r="Q270">
            <v>16.8</v>
          </cell>
          <cell r="R270" t="str">
            <v>UND</v>
          </cell>
          <cell r="S270">
            <v>0</v>
          </cell>
          <cell r="T270">
            <v>0</v>
          </cell>
          <cell r="U270" t="str">
            <v/>
          </cell>
          <cell r="V270" t="str">
            <v>PRO10</v>
          </cell>
          <cell r="W270">
            <v>0</v>
          </cell>
        </row>
        <row r="271">
          <cell r="C271" t="str">
            <v>LDSSUCFL205</v>
          </cell>
          <cell r="D271" t="str">
            <v>PRINC</v>
          </cell>
          <cell r="E271" t="str">
            <v>00005</v>
          </cell>
          <cell r="F271" t="str">
            <v>CHUMACERAS Y RODAMIENTOS</v>
          </cell>
          <cell r="G271" t="str">
            <v>PRINCIPAL</v>
          </cell>
          <cell r="H271">
            <v>46004</v>
          </cell>
          <cell r="I271" t="str">
            <v>SALDO INICIAL</v>
          </cell>
          <cell r="J271">
            <v>24</v>
          </cell>
          <cell r="K271">
            <v>-0.17892</v>
          </cell>
          <cell r="L271">
            <v>11.989808</v>
          </cell>
          <cell r="M271">
            <v>-7.4549999999999998E-3</v>
          </cell>
          <cell r="N271" t="str">
            <v/>
          </cell>
          <cell r="O271" t="str">
            <v/>
          </cell>
          <cell r="P271" t="str">
            <v/>
          </cell>
          <cell r="Q271">
            <v>22.8</v>
          </cell>
          <cell r="R271" t="str">
            <v>UND</v>
          </cell>
          <cell r="S271">
            <v>0</v>
          </cell>
          <cell r="T271">
            <v>0</v>
          </cell>
          <cell r="U271" t="str">
            <v/>
          </cell>
          <cell r="V271" t="str">
            <v>PRO10</v>
          </cell>
          <cell r="W271">
            <v>0</v>
          </cell>
        </row>
        <row r="272">
          <cell r="C272" t="str">
            <v>LDSSUCFL205-16</v>
          </cell>
          <cell r="D272" t="str">
            <v>PRINC</v>
          </cell>
          <cell r="E272" t="str">
            <v>00005</v>
          </cell>
          <cell r="F272" t="str">
            <v>CHUMACERAS Y RODAMIENTOS</v>
          </cell>
          <cell r="G272" t="str">
            <v>PRINCIPAL</v>
          </cell>
          <cell r="H272">
            <v>46004</v>
          </cell>
          <cell r="I272" t="str">
            <v>SALDO INICIAL</v>
          </cell>
          <cell r="J272">
            <v>91</v>
          </cell>
          <cell r="K272">
            <v>648.18435099999999</v>
          </cell>
          <cell r="L272">
            <v>12.116716</v>
          </cell>
          <cell r="M272">
            <v>7.1229049560000002</v>
          </cell>
          <cell r="N272" t="str">
            <v/>
          </cell>
          <cell r="O272" t="str">
            <v/>
          </cell>
          <cell r="P272" t="str">
            <v/>
          </cell>
          <cell r="Q272">
            <v>22.8</v>
          </cell>
          <cell r="R272" t="str">
            <v>UND</v>
          </cell>
          <cell r="S272">
            <v>0</v>
          </cell>
          <cell r="T272">
            <v>0</v>
          </cell>
          <cell r="U272" t="str">
            <v/>
          </cell>
          <cell r="V272" t="str">
            <v>PRO10</v>
          </cell>
          <cell r="W272">
            <v>0</v>
          </cell>
        </row>
        <row r="273">
          <cell r="C273" t="str">
            <v>LDSSUCFL206</v>
          </cell>
          <cell r="D273" t="str">
            <v>PRINC</v>
          </cell>
          <cell r="E273" t="str">
            <v>00005</v>
          </cell>
          <cell r="F273" t="str">
            <v>CHUMACERAS Y RODAMIENTOS</v>
          </cell>
          <cell r="G273" t="str">
            <v>PRINCIPAL</v>
          </cell>
          <cell r="H273">
            <v>46004</v>
          </cell>
          <cell r="I273" t="str">
            <v>SALDO INICIAL</v>
          </cell>
          <cell r="J273">
            <v>0</v>
          </cell>
          <cell r="K273">
            <v>-0.48110000000000003</v>
          </cell>
          <cell r="L273">
            <v>16.986785000000001</v>
          </cell>
          <cell r="M273">
            <v>0</v>
          </cell>
          <cell r="N273" t="str">
            <v/>
          </cell>
          <cell r="O273" t="str">
            <v/>
          </cell>
          <cell r="P273" t="str">
            <v/>
          </cell>
          <cell r="Q273">
            <v>26.6</v>
          </cell>
          <cell r="R273" t="str">
            <v>UND</v>
          </cell>
          <cell r="S273">
            <v>0</v>
          </cell>
          <cell r="T273">
            <v>0</v>
          </cell>
          <cell r="U273" t="str">
            <v/>
          </cell>
          <cell r="V273" t="str">
            <v>PRO10</v>
          </cell>
          <cell r="W273">
            <v>0</v>
          </cell>
        </row>
        <row r="274">
          <cell r="C274" t="str">
            <v>LDSSUCFL206-20</v>
          </cell>
          <cell r="D274" t="str">
            <v>PRINC</v>
          </cell>
          <cell r="E274" t="str">
            <v>00005</v>
          </cell>
          <cell r="F274" t="str">
            <v>CHUMACERAS Y RODAMIENTOS</v>
          </cell>
          <cell r="G274" t="str">
            <v>PRINCIPAL</v>
          </cell>
          <cell r="H274">
            <v>46004</v>
          </cell>
          <cell r="I274" t="str">
            <v>SALDO INICIAL</v>
          </cell>
          <cell r="J274">
            <v>0</v>
          </cell>
          <cell r="K274">
            <v>3.685378</v>
          </cell>
          <cell r="L274">
            <v>16.076667</v>
          </cell>
          <cell r="M274">
            <v>0</v>
          </cell>
          <cell r="N274" t="str">
            <v/>
          </cell>
          <cell r="O274" t="str">
            <v/>
          </cell>
          <cell r="P274" t="str">
            <v/>
          </cell>
          <cell r="Q274">
            <v>26.6</v>
          </cell>
          <cell r="R274" t="str">
            <v>UND</v>
          </cell>
          <cell r="S274">
            <v>0</v>
          </cell>
          <cell r="T274">
            <v>0</v>
          </cell>
          <cell r="U274" t="str">
            <v/>
          </cell>
          <cell r="V274" t="str">
            <v>PRO10</v>
          </cell>
          <cell r="W274">
            <v>0</v>
          </cell>
        </row>
        <row r="275">
          <cell r="C275" t="str">
            <v>LDSSUCFL207</v>
          </cell>
          <cell r="D275" t="str">
            <v>PRINC</v>
          </cell>
          <cell r="E275" t="str">
            <v>00005</v>
          </cell>
          <cell r="F275" t="str">
            <v>CHUMACERAS Y RODAMIENTOS</v>
          </cell>
          <cell r="G275" t="str">
            <v>PRINCIPAL</v>
          </cell>
          <cell r="H275">
            <v>46004</v>
          </cell>
          <cell r="I275" t="str">
            <v>SALDO INICIAL</v>
          </cell>
          <cell r="J275">
            <v>20</v>
          </cell>
          <cell r="K275">
            <v>44.13</v>
          </cell>
          <cell r="L275">
            <v>22.065000000000001</v>
          </cell>
          <cell r="M275">
            <v>2.2065000000000001</v>
          </cell>
          <cell r="N275" t="str">
            <v/>
          </cell>
          <cell r="O275" t="str">
            <v/>
          </cell>
          <cell r="P275" t="str">
            <v/>
          </cell>
          <cell r="Q275">
            <v>37.200000000000003</v>
          </cell>
          <cell r="R275" t="str">
            <v>UND</v>
          </cell>
          <cell r="S275">
            <v>0</v>
          </cell>
          <cell r="T275">
            <v>0</v>
          </cell>
          <cell r="U275" t="str">
            <v/>
          </cell>
          <cell r="V275" t="str">
            <v>PRO10</v>
          </cell>
          <cell r="W275">
            <v>0</v>
          </cell>
        </row>
        <row r="276">
          <cell r="C276" t="str">
            <v>LDSSUCFL207-20</v>
          </cell>
          <cell r="D276" t="str">
            <v>PRINC</v>
          </cell>
          <cell r="E276" t="str">
            <v>00005</v>
          </cell>
          <cell r="F276" t="str">
            <v>CHUMACERAS Y RODAMIENTOS</v>
          </cell>
          <cell r="G276" t="str">
            <v>PRINCIPAL</v>
          </cell>
          <cell r="H276">
            <v>46004</v>
          </cell>
          <cell r="I276" t="str">
            <v>SALDO INICIAL</v>
          </cell>
          <cell r="J276">
            <v>1</v>
          </cell>
          <cell r="K276">
            <v>22.219995999999998</v>
          </cell>
          <cell r="L276">
            <v>22.065000000000001</v>
          </cell>
          <cell r="M276">
            <v>22.219995999999998</v>
          </cell>
          <cell r="N276" t="str">
            <v/>
          </cell>
          <cell r="O276" t="str">
            <v/>
          </cell>
          <cell r="P276" t="str">
            <v/>
          </cell>
          <cell r="Q276">
            <v>37.200000000000003</v>
          </cell>
          <cell r="R276" t="str">
            <v>UND</v>
          </cell>
          <cell r="S276">
            <v>0</v>
          </cell>
          <cell r="T276">
            <v>0</v>
          </cell>
          <cell r="U276" t="str">
            <v/>
          </cell>
          <cell r="V276" t="str">
            <v>PRO10</v>
          </cell>
          <cell r="W276">
            <v>0</v>
          </cell>
        </row>
        <row r="277">
          <cell r="C277" t="str">
            <v>LDSSUCFL208-24</v>
          </cell>
          <cell r="D277" t="str">
            <v>PRINC</v>
          </cell>
          <cell r="E277" t="str">
            <v>00005</v>
          </cell>
          <cell r="F277" t="str">
            <v>CHUMACERAS Y RODAMIENTOS</v>
          </cell>
          <cell r="G277" t="str">
            <v>PRINCIPAL</v>
          </cell>
          <cell r="H277">
            <v>46004</v>
          </cell>
          <cell r="I277" t="str">
            <v>SALDO INICIAL</v>
          </cell>
          <cell r="J277">
            <v>17</v>
          </cell>
          <cell r="K277">
            <v>474.36367100000001</v>
          </cell>
          <cell r="L277">
            <v>27.487500000000001</v>
          </cell>
          <cell r="M277">
            <v>27.903745353000001</v>
          </cell>
          <cell r="N277" t="str">
            <v/>
          </cell>
          <cell r="O277" t="str">
            <v/>
          </cell>
          <cell r="P277" t="str">
            <v/>
          </cell>
          <cell r="Q277">
            <v>45.7</v>
          </cell>
          <cell r="R277" t="str">
            <v>UND</v>
          </cell>
          <cell r="S277">
            <v>0</v>
          </cell>
          <cell r="T277">
            <v>0</v>
          </cell>
          <cell r="U277" t="str">
            <v/>
          </cell>
          <cell r="V277" t="str">
            <v>PRO10</v>
          </cell>
          <cell r="W277">
            <v>0</v>
          </cell>
        </row>
        <row r="278">
          <cell r="C278" t="str">
            <v>LDSSUCFL209-28</v>
          </cell>
          <cell r="D278" t="str">
            <v>PRINC</v>
          </cell>
          <cell r="E278" t="str">
            <v>00005</v>
          </cell>
          <cell r="F278" t="str">
            <v>CHUMACERAS Y RODAMIENTOS</v>
          </cell>
          <cell r="G278" t="str">
            <v>PRINCIPAL</v>
          </cell>
          <cell r="H278">
            <v>46004</v>
          </cell>
          <cell r="I278" t="str">
            <v>SALDO INICIAL</v>
          </cell>
          <cell r="J278">
            <v>10</v>
          </cell>
          <cell r="K278">
            <v>356.44</v>
          </cell>
          <cell r="L278">
            <v>34.096924999999999</v>
          </cell>
          <cell r="M278">
            <v>35.643999999999998</v>
          </cell>
          <cell r="N278" t="str">
            <v/>
          </cell>
          <cell r="O278" t="str">
            <v/>
          </cell>
          <cell r="P278" t="str">
            <v/>
          </cell>
          <cell r="Q278">
            <v>58</v>
          </cell>
          <cell r="R278" t="str">
            <v>UND</v>
          </cell>
          <cell r="S278">
            <v>0</v>
          </cell>
          <cell r="T278">
            <v>0</v>
          </cell>
          <cell r="U278" t="str">
            <v/>
          </cell>
          <cell r="V278" t="str">
            <v>PRO10</v>
          </cell>
          <cell r="W278">
            <v>0</v>
          </cell>
        </row>
        <row r="279">
          <cell r="C279" t="str">
            <v>LDSSUCP202-10</v>
          </cell>
          <cell r="D279" t="str">
            <v>PRINC</v>
          </cell>
          <cell r="E279" t="str">
            <v>00005</v>
          </cell>
          <cell r="F279" t="str">
            <v>CHUMACERAS Y RODAMIENTOS</v>
          </cell>
          <cell r="G279" t="str">
            <v>PRINCIPAL</v>
          </cell>
          <cell r="H279">
            <v>46004</v>
          </cell>
          <cell r="I279" t="str">
            <v>SALDO INICIAL</v>
          </cell>
          <cell r="J279">
            <v>14</v>
          </cell>
          <cell r="K279">
            <v>163.02961999999999</v>
          </cell>
          <cell r="L279">
            <v>11.858333</v>
          </cell>
          <cell r="M279">
            <v>11.644972857000001</v>
          </cell>
          <cell r="N279" t="str">
            <v/>
          </cell>
          <cell r="O279" t="str">
            <v/>
          </cell>
          <cell r="P279" t="str">
            <v/>
          </cell>
          <cell r="Q279">
            <v>23</v>
          </cell>
          <cell r="R279" t="str">
            <v>UND</v>
          </cell>
          <cell r="S279">
            <v>0</v>
          </cell>
          <cell r="T279">
            <v>0</v>
          </cell>
          <cell r="U279" t="str">
            <v/>
          </cell>
          <cell r="V279" t="str">
            <v>PRO10</v>
          </cell>
          <cell r="W279">
            <v>0</v>
          </cell>
        </row>
        <row r="280">
          <cell r="C280" t="str">
            <v>LDSSUCP204</v>
          </cell>
          <cell r="D280" t="str">
            <v>PRINC</v>
          </cell>
          <cell r="E280" t="str">
            <v>00005</v>
          </cell>
          <cell r="F280" t="str">
            <v>CHUMACERAS Y RODAMIENTOS</v>
          </cell>
          <cell r="G280" t="str">
            <v>PRINCIPAL</v>
          </cell>
          <cell r="H280">
            <v>46004</v>
          </cell>
          <cell r="I280" t="str">
            <v>SALDO INICIAL</v>
          </cell>
          <cell r="J280">
            <v>50</v>
          </cell>
          <cell r="K280">
            <v>460.13135399999999</v>
          </cell>
          <cell r="L280">
            <v>9.7181999999999995</v>
          </cell>
          <cell r="M280">
            <v>9.2026270799999992</v>
          </cell>
          <cell r="N280" t="str">
            <v/>
          </cell>
          <cell r="O280" t="str">
            <v/>
          </cell>
          <cell r="P280" t="str">
            <v/>
          </cell>
          <cell r="Q280">
            <v>23.5</v>
          </cell>
          <cell r="R280" t="str">
            <v>UND</v>
          </cell>
          <cell r="S280">
            <v>0</v>
          </cell>
          <cell r="T280">
            <v>0</v>
          </cell>
          <cell r="U280" t="str">
            <v/>
          </cell>
          <cell r="V280" t="str">
            <v>PRO10</v>
          </cell>
          <cell r="W280">
            <v>0</v>
          </cell>
        </row>
        <row r="281">
          <cell r="C281" t="str">
            <v>LDSSUCP204-12</v>
          </cell>
          <cell r="D281" t="str">
            <v>PRINC</v>
          </cell>
          <cell r="E281" t="str">
            <v>00005</v>
          </cell>
          <cell r="F281" t="str">
            <v>CHUMACERAS Y RODAMIENTOS</v>
          </cell>
          <cell r="G281" t="str">
            <v>PRINCIPAL</v>
          </cell>
          <cell r="H281">
            <v>46004</v>
          </cell>
          <cell r="I281" t="str">
            <v>SALDO INICIAL</v>
          </cell>
          <cell r="J281">
            <v>20</v>
          </cell>
          <cell r="K281">
            <v>218.40383700000001</v>
          </cell>
          <cell r="L281">
            <v>9.8622399999999999</v>
          </cell>
          <cell r="M281">
            <v>10.92019185</v>
          </cell>
          <cell r="N281" t="str">
            <v/>
          </cell>
          <cell r="O281" t="str">
            <v/>
          </cell>
          <cell r="P281" t="str">
            <v/>
          </cell>
          <cell r="Q281">
            <v>23.5</v>
          </cell>
          <cell r="R281" t="str">
            <v>UND</v>
          </cell>
          <cell r="S281">
            <v>0</v>
          </cell>
          <cell r="T281">
            <v>0</v>
          </cell>
          <cell r="U281" t="str">
            <v/>
          </cell>
          <cell r="V281" t="str">
            <v>PRO10</v>
          </cell>
          <cell r="W281">
            <v>0</v>
          </cell>
        </row>
        <row r="282">
          <cell r="C282" t="str">
            <v>LDSSUCP205-14</v>
          </cell>
          <cell r="D282" t="str">
            <v>PRINC</v>
          </cell>
          <cell r="E282" t="str">
            <v>00005</v>
          </cell>
          <cell r="F282" t="str">
            <v>CHUMACERAS Y RODAMIENTOS</v>
          </cell>
          <cell r="G282" t="str">
            <v>PRINCIPAL</v>
          </cell>
          <cell r="H282">
            <v>46004</v>
          </cell>
          <cell r="I282" t="str">
            <v>SALDO INICIAL</v>
          </cell>
          <cell r="J282">
            <v>2</v>
          </cell>
          <cell r="K282">
            <v>31.1372</v>
          </cell>
          <cell r="L282">
            <v>15.5686</v>
          </cell>
          <cell r="M282">
            <v>15.5686</v>
          </cell>
          <cell r="N282" t="str">
            <v/>
          </cell>
          <cell r="O282" t="str">
            <v/>
          </cell>
          <cell r="P282" t="str">
            <v/>
          </cell>
          <cell r="Q282">
            <v>25</v>
          </cell>
          <cell r="R282" t="str">
            <v>UND</v>
          </cell>
          <cell r="S282">
            <v>0</v>
          </cell>
          <cell r="T282">
            <v>0</v>
          </cell>
          <cell r="U282" t="str">
            <v/>
          </cell>
          <cell r="V282" t="str">
            <v>PRO10</v>
          </cell>
          <cell r="W282">
            <v>0</v>
          </cell>
        </row>
        <row r="283">
          <cell r="C283" t="str">
            <v>LDSSUCP205-16</v>
          </cell>
          <cell r="D283" t="str">
            <v>PRINC</v>
          </cell>
          <cell r="E283" t="str">
            <v>00005</v>
          </cell>
          <cell r="F283" t="str">
            <v>CHUMACERAS Y RODAMIENTOS</v>
          </cell>
          <cell r="G283" t="str">
            <v>PRINCIPAL</v>
          </cell>
          <cell r="H283">
            <v>46004</v>
          </cell>
          <cell r="I283" t="str">
            <v>SALDO INICIAL</v>
          </cell>
          <cell r="J283">
            <v>46</v>
          </cell>
          <cell r="K283">
            <v>-1610.95652</v>
          </cell>
          <cell r="L283">
            <v>13.182345</v>
          </cell>
          <cell r="M283">
            <v>-35.020793912999999</v>
          </cell>
          <cell r="N283" t="str">
            <v/>
          </cell>
          <cell r="O283" t="str">
            <v/>
          </cell>
          <cell r="P283" t="str">
            <v/>
          </cell>
          <cell r="Q283">
            <v>25</v>
          </cell>
          <cell r="R283" t="str">
            <v>UND</v>
          </cell>
          <cell r="S283">
            <v>0</v>
          </cell>
          <cell r="T283">
            <v>0</v>
          </cell>
          <cell r="U283" t="str">
            <v/>
          </cell>
          <cell r="V283" t="str">
            <v>PRO10</v>
          </cell>
          <cell r="W283">
            <v>0</v>
          </cell>
        </row>
        <row r="284">
          <cell r="C284" t="str">
            <v>LDSSUCP206</v>
          </cell>
          <cell r="D284" t="str">
            <v>PRINC</v>
          </cell>
          <cell r="E284" t="str">
            <v>00005</v>
          </cell>
          <cell r="F284" t="str">
            <v>CHUMACERAS Y RODAMIENTOS</v>
          </cell>
          <cell r="G284" t="str">
            <v>PRINCIPAL</v>
          </cell>
          <cell r="H284">
            <v>46004</v>
          </cell>
          <cell r="I284" t="str">
            <v>SALDO INICIAL</v>
          </cell>
          <cell r="J284">
            <v>0</v>
          </cell>
          <cell r="K284">
            <v>0</v>
          </cell>
          <cell r="L284">
            <v>20.191953000000002</v>
          </cell>
          <cell r="M284">
            <v>0</v>
          </cell>
          <cell r="N284" t="str">
            <v/>
          </cell>
          <cell r="O284" t="str">
            <v/>
          </cell>
          <cell r="P284" t="str">
            <v/>
          </cell>
          <cell r="Q284">
            <v>37.5</v>
          </cell>
          <cell r="R284" t="str">
            <v>UND</v>
          </cell>
          <cell r="S284">
            <v>0</v>
          </cell>
          <cell r="T284">
            <v>0</v>
          </cell>
          <cell r="U284" t="str">
            <v/>
          </cell>
          <cell r="V284" t="str">
            <v>PRO10</v>
          </cell>
          <cell r="W284">
            <v>0</v>
          </cell>
        </row>
        <row r="285">
          <cell r="C285" t="str">
            <v>LDSSUCP206-19</v>
          </cell>
          <cell r="D285" t="str">
            <v>PRINC</v>
          </cell>
          <cell r="E285" t="str">
            <v>00005</v>
          </cell>
          <cell r="F285" t="str">
            <v>CHUMACERAS Y RODAMIENTOS</v>
          </cell>
          <cell r="G285" t="str">
            <v>PRINCIPAL</v>
          </cell>
          <cell r="H285">
            <v>46004</v>
          </cell>
          <cell r="I285" t="str">
            <v>SALDO INICIAL</v>
          </cell>
          <cell r="J285">
            <v>10</v>
          </cell>
          <cell r="K285">
            <v>51.799441999999999</v>
          </cell>
          <cell r="L285">
            <v>20.116167999999998</v>
          </cell>
          <cell r="M285">
            <v>5.1799442000000004</v>
          </cell>
          <cell r="N285" t="str">
            <v/>
          </cell>
          <cell r="O285" t="str">
            <v/>
          </cell>
          <cell r="P285" t="str">
            <v/>
          </cell>
          <cell r="Q285">
            <v>37.5</v>
          </cell>
          <cell r="R285" t="str">
            <v>UND</v>
          </cell>
          <cell r="S285">
            <v>0</v>
          </cell>
          <cell r="T285">
            <v>0</v>
          </cell>
          <cell r="U285" t="str">
            <v/>
          </cell>
          <cell r="V285" t="str">
            <v>PRO10</v>
          </cell>
          <cell r="W285">
            <v>0</v>
          </cell>
        </row>
        <row r="286">
          <cell r="C286" t="str">
            <v>LDSSUCP206-20</v>
          </cell>
          <cell r="D286" t="str">
            <v>PRINC</v>
          </cell>
          <cell r="E286" t="str">
            <v>00005</v>
          </cell>
          <cell r="F286" t="str">
            <v>CHUMACERAS Y RODAMIENTOS</v>
          </cell>
          <cell r="G286" t="str">
            <v>PRINCIPAL</v>
          </cell>
          <cell r="H286">
            <v>46004</v>
          </cell>
          <cell r="I286" t="str">
            <v>SALDO INICIAL</v>
          </cell>
          <cell r="J286">
            <v>9</v>
          </cell>
          <cell r="K286">
            <v>214.50371100000001</v>
          </cell>
          <cell r="L286">
            <v>21.832795999999998</v>
          </cell>
          <cell r="M286">
            <v>23.833745666999999</v>
          </cell>
          <cell r="N286" t="str">
            <v/>
          </cell>
          <cell r="O286" t="str">
            <v/>
          </cell>
          <cell r="P286" t="str">
            <v/>
          </cell>
          <cell r="Q286">
            <v>37.5</v>
          </cell>
          <cell r="R286" t="str">
            <v>UND</v>
          </cell>
          <cell r="S286">
            <v>0</v>
          </cell>
          <cell r="T286">
            <v>0</v>
          </cell>
          <cell r="U286" t="str">
            <v/>
          </cell>
          <cell r="V286" t="str">
            <v>PRO10</v>
          </cell>
          <cell r="W286">
            <v>0</v>
          </cell>
        </row>
        <row r="287">
          <cell r="C287" t="str">
            <v>LDSSUCP207</v>
          </cell>
          <cell r="D287" t="str">
            <v>PRINC</v>
          </cell>
          <cell r="E287" t="str">
            <v>00005</v>
          </cell>
          <cell r="F287" t="str">
            <v>CHUMACERAS Y RODAMIENTOS</v>
          </cell>
          <cell r="G287" t="str">
            <v>PRINCIPAL</v>
          </cell>
          <cell r="H287">
            <v>46004</v>
          </cell>
          <cell r="I287" t="str">
            <v>SALDO INICIAL</v>
          </cell>
          <cell r="J287">
            <v>9</v>
          </cell>
          <cell r="K287">
            <v>222.01841300000001</v>
          </cell>
          <cell r="L287">
            <v>25.984425999999999</v>
          </cell>
          <cell r="M287">
            <v>24.668712555999999</v>
          </cell>
          <cell r="N287" t="str">
            <v/>
          </cell>
          <cell r="O287" t="str">
            <v/>
          </cell>
          <cell r="P287" t="str">
            <v/>
          </cell>
          <cell r="Q287">
            <v>45.2</v>
          </cell>
          <cell r="R287" t="str">
            <v>UND</v>
          </cell>
          <cell r="S287">
            <v>0</v>
          </cell>
          <cell r="T287">
            <v>0</v>
          </cell>
          <cell r="U287" t="str">
            <v/>
          </cell>
          <cell r="V287" t="str">
            <v>PRO10</v>
          </cell>
          <cell r="W287">
            <v>0</v>
          </cell>
        </row>
        <row r="288">
          <cell r="C288" t="str">
            <v>LDSSUCP207-20</v>
          </cell>
          <cell r="D288" t="str">
            <v>PRINC</v>
          </cell>
          <cell r="E288" t="str">
            <v>00005</v>
          </cell>
          <cell r="F288" t="str">
            <v>CHUMACERAS Y RODAMIENTOS</v>
          </cell>
          <cell r="G288" t="str">
            <v>PRINCIPAL</v>
          </cell>
          <cell r="H288">
            <v>46004</v>
          </cell>
          <cell r="I288" t="str">
            <v>SALDO INICIAL</v>
          </cell>
          <cell r="J288">
            <v>12</v>
          </cell>
          <cell r="K288">
            <v>436.28669500000001</v>
          </cell>
          <cell r="L288">
            <v>26.541564999999999</v>
          </cell>
          <cell r="M288">
            <v>36.357224582999997</v>
          </cell>
          <cell r="N288" t="str">
            <v/>
          </cell>
          <cell r="O288" t="str">
            <v/>
          </cell>
          <cell r="P288" t="str">
            <v/>
          </cell>
          <cell r="Q288">
            <v>45.2</v>
          </cell>
          <cell r="R288" t="str">
            <v>UND</v>
          </cell>
          <cell r="S288">
            <v>0</v>
          </cell>
          <cell r="T288">
            <v>0</v>
          </cell>
          <cell r="U288" t="str">
            <v/>
          </cell>
          <cell r="V288" t="str">
            <v>PRO10</v>
          </cell>
          <cell r="W288">
            <v>0</v>
          </cell>
        </row>
        <row r="289">
          <cell r="C289" t="str">
            <v>LDSSUCP207-22</v>
          </cell>
          <cell r="D289" t="str">
            <v>PRINC</v>
          </cell>
          <cell r="E289" t="str">
            <v>00005</v>
          </cell>
          <cell r="F289" t="str">
            <v>CHUMACERAS Y RODAMIENTOS</v>
          </cell>
          <cell r="G289" t="str">
            <v>PRINCIPAL</v>
          </cell>
          <cell r="H289">
            <v>46004</v>
          </cell>
          <cell r="I289" t="str">
            <v>SALDO INICIAL</v>
          </cell>
          <cell r="J289">
            <v>12</v>
          </cell>
          <cell r="K289">
            <v>346.512</v>
          </cell>
          <cell r="L289">
            <v>28.876000000000001</v>
          </cell>
          <cell r="M289">
            <v>28.876000000000001</v>
          </cell>
          <cell r="N289" t="str">
            <v/>
          </cell>
          <cell r="O289" t="str">
            <v/>
          </cell>
          <cell r="P289" t="str">
            <v/>
          </cell>
          <cell r="Q289">
            <v>45.2</v>
          </cell>
          <cell r="R289" t="str">
            <v>UND</v>
          </cell>
          <cell r="S289">
            <v>0</v>
          </cell>
          <cell r="T289">
            <v>0</v>
          </cell>
          <cell r="U289" t="str">
            <v/>
          </cell>
          <cell r="V289" t="str">
            <v>PRO10</v>
          </cell>
          <cell r="W289">
            <v>0</v>
          </cell>
        </row>
        <row r="290">
          <cell r="C290" t="str">
            <v>LDSSUCP207-23</v>
          </cell>
          <cell r="D290" t="str">
            <v>PRINC</v>
          </cell>
          <cell r="E290" t="str">
            <v>00005</v>
          </cell>
          <cell r="F290" t="str">
            <v>CHUMACERAS Y RODAMIENTOS</v>
          </cell>
          <cell r="G290" t="str">
            <v>PRINCIPAL</v>
          </cell>
          <cell r="H290">
            <v>46004</v>
          </cell>
          <cell r="I290" t="str">
            <v>SALDO INICIAL</v>
          </cell>
          <cell r="J290">
            <v>0</v>
          </cell>
          <cell r="K290">
            <v>-1.3071820000000001</v>
          </cell>
          <cell r="L290">
            <v>28.750353</v>
          </cell>
          <cell r="M290">
            <v>0</v>
          </cell>
          <cell r="N290" t="str">
            <v/>
          </cell>
          <cell r="O290" t="str">
            <v/>
          </cell>
          <cell r="P290" t="str">
            <v/>
          </cell>
          <cell r="Q290">
            <v>45.2</v>
          </cell>
          <cell r="R290" t="str">
            <v>UND</v>
          </cell>
          <cell r="S290">
            <v>0</v>
          </cell>
          <cell r="T290">
            <v>0</v>
          </cell>
          <cell r="U290" t="str">
            <v/>
          </cell>
          <cell r="V290" t="str">
            <v>PRO10</v>
          </cell>
          <cell r="W290">
            <v>0</v>
          </cell>
        </row>
        <row r="291">
          <cell r="C291" t="str">
            <v>LDSSUCP208</v>
          </cell>
          <cell r="D291" t="str">
            <v>PRINC</v>
          </cell>
          <cell r="E291" t="str">
            <v>00005</v>
          </cell>
          <cell r="F291" t="str">
            <v>CHUMACERAS Y RODAMIENTOS</v>
          </cell>
          <cell r="G291" t="str">
            <v>PRINCIPAL</v>
          </cell>
          <cell r="H291">
            <v>46004</v>
          </cell>
          <cell r="I291" t="str">
            <v>SALDO INICIAL</v>
          </cell>
          <cell r="J291">
            <v>6</v>
          </cell>
          <cell r="K291">
            <v>176.02981500000001</v>
          </cell>
          <cell r="L291">
            <v>31.997333000000001</v>
          </cell>
          <cell r="M291">
            <v>29.338302500000001</v>
          </cell>
          <cell r="N291" t="str">
            <v/>
          </cell>
          <cell r="O291" t="str">
            <v/>
          </cell>
          <cell r="P291" t="str">
            <v/>
          </cell>
          <cell r="Q291">
            <v>56.8</v>
          </cell>
          <cell r="R291" t="str">
            <v>UND</v>
          </cell>
          <cell r="S291">
            <v>0</v>
          </cell>
          <cell r="T291">
            <v>0</v>
          </cell>
          <cell r="U291" t="str">
            <v/>
          </cell>
          <cell r="V291" t="str">
            <v>PRO10</v>
          </cell>
          <cell r="W291">
            <v>0</v>
          </cell>
        </row>
        <row r="292">
          <cell r="C292" t="str">
            <v>LDSSUCP208-24</v>
          </cell>
          <cell r="D292" t="str">
            <v>PRINC</v>
          </cell>
          <cell r="E292" t="str">
            <v>00005</v>
          </cell>
          <cell r="F292" t="str">
            <v>CHUMACERAS Y RODAMIENTOS</v>
          </cell>
          <cell r="G292" t="str">
            <v>PRINCIPAL</v>
          </cell>
          <cell r="H292">
            <v>46004</v>
          </cell>
          <cell r="I292" t="str">
            <v>SALDO INICIAL</v>
          </cell>
          <cell r="J292">
            <v>26</v>
          </cell>
          <cell r="K292">
            <v>879.72910899999999</v>
          </cell>
          <cell r="L292">
            <v>33.778350000000003</v>
          </cell>
          <cell r="M292">
            <v>33.835734961999997</v>
          </cell>
          <cell r="N292" t="str">
            <v/>
          </cell>
          <cell r="O292" t="str">
            <v/>
          </cell>
          <cell r="P292" t="str">
            <v/>
          </cell>
          <cell r="Q292">
            <v>56.8</v>
          </cell>
          <cell r="R292" t="str">
            <v>UND</v>
          </cell>
          <cell r="S292">
            <v>0</v>
          </cell>
          <cell r="T292">
            <v>0</v>
          </cell>
          <cell r="U292" t="str">
            <v/>
          </cell>
          <cell r="V292" t="str">
            <v>PRO10</v>
          </cell>
          <cell r="W292">
            <v>0</v>
          </cell>
        </row>
        <row r="293">
          <cell r="C293" t="str">
            <v>LDSSUCP209</v>
          </cell>
          <cell r="D293" t="str">
            <v>PRINC</v>
          </cell>
          <cell r="E293" t="str">
            <v>00005</v>
          </cell>
          <cell r="F293" t="str">
            <v>CHUMACERAS Y RODAMIENTOS</v>
          </cell>
          <cell r="G293" t="str">
            <v>PRINCIPAL</v>
          </cell>
          <cell r="H293">
            <v>46004</v>
          </cell>
          <cell r="I293" t="str">
            <v>SALDO INICIAL</v>
          </cell>
          <cell r="J293">
            <v>8</v>
          </cell>
          <cell r="K293">
            <v>272.45999999999998</v>
          </cell>
          <cell r="L293">
            <v>38.516249999999999</v>
          </cell>
          <cell r="M293">
            <v>34.057499999999997</v>
          </cell>
          <cell r="N293" t="str">
            <v/>
          </cell>
          <cell r="O293" t="str">
            <v/>
          </cell>
          <cell r="P293" t="str">
            <v/>
          </cell>
          <cell r="Q293">
            <v>66.3</v>
          </cell>
          <cell r="R293" t="str">
            <v>UND</v>
          </cell>
          <cell r="S293">
            <v>0</v>
          </cell>
          <cell r="T293">
            <v>0</v>
          </cell>
          <cell r="U293" t="str">
            <v/>
          </cell>
          <cell r="V293" t="str">
            <v>PRO10</v>
          </cell>
          <cell r="W293">
            <v>0</v>
          </cell>
        </row>
        <row r="294">
          <cell r="C294" t="str">
            <v>LDSSUCP210</v>
          </cell>
          <cell r="D294" t="str">
            <v>PRINC</v>
          </cell>
          <cell r="E294" t="str">
            <v>00005</v>
          </cell>
          <cell r="F294" t="str">
            <v>CHUMACERAS Y RODAMIENTOS</v>
          </cell>
          <cell r="G294" t="str">
            <v>PRINCIPAL</v>
          </cell>
          <cell r="H294">
            <v>46004</v>
          </cell>
          <cell r="I294" t="str">
            <v>SALDO INICIAL</v>
          </cell>
          <cell r="J294">
            <v>2</v>
          </cell>
          <cell r="K294">
            <v>1.1896100000000001</v>
          </cell>
          <cell r="L294">
            <v>48.589295999999997</v>
          </cell>
          <cell r="M294">
            <v>0.59480500000000003</v>
          </cell>
          <cell r="N294" t="str">
            <v/>
          </cell>
          <cell r="O294" t="str">
            <v/>
          </cell>
          <cell r="P294" t="str">
            <v/>
          </cell>
          <cell r="Q294">
            <v>83.5</v>
          </cell>
          <cell r="R294" t="str">
            <v>UND</v>
          </cell>
          <cell r="S294">
            <v>0</v>
          </cell>
          <cell r="T294">
            <v>0</v>
          </cell>
          <cell r="U294" t="str">
            <v/>
          </cell>
          <cell r="V294" t="str">
            <v>PRO10</v>
          </cell>
          <cell r="W294">
            <v>0</v>
          </cell>
        </row>
        <row r="295">
          <cell r="C295" t="str">
            <v>LDSSUCP210-32</v>
          </cell>
          <cell r="D295" t="str">
            <v>PRINC</v>
          </cell>
          <cell r="E295" t="str">
            <v>00005</v>
          </cell>
          <cell r="F295" t="str">
            <v>CHUMACERAS Y RODAMIENTOS</v>
          </cell>
          <cell r="G295" t="str">
            <v>PRINCIPAL</v>
          </cell>
          <cell r="H295">
            <v>46004</v>
          </cell>
          <cell r="I295" t="str">
            <v>SALDO INICIAL</v>
          </cell>
          <cell r="J295">
            <v>6</v>
          </cell>
          <cell r="K295">
            <v>284.08051599999999</v>
          </cell>
          <cell r="L295">
            <v>45.34</v>
          </cell>
          <cell r="M295">
            <v>47.346752666999997</v>
          </cell>
          <cell r="N295" t="str">
            <v/>
          </cell>
          <cell r="O295" t="str">
            <v/>
          </cell>
          <cell r="P295" t="str">
            <v/>
          </cell>
          <cell r="Q295">
            <v>83.5</v>
          </cell>
          <cell r="R295" t="str">
            <v>UND</v>
          </cell>
          <cell r="S295">
            <v>0</v>
          </cell>
          <cell r="T295">
            <v>0</v>
          </cell>
          <cell r="U295" t="str">
            <v/>
          </cell>
          <cell r="V295" t="str">
            <v>PRO10</v>
          </cell>
          <cell r="W295">
            <v>0</v>
          </cell>
        </row>
        <row r="296">
          <cell r="C296" t="str">
            <v>LDSSUCP211-32</v>
          </cell>
          <cell r="D296" t="str">
            <v>PRINC</v>
          </cell>
          <cell r="E296" t="str">
            <v>00005</v>
          </cell>
          <cell r="F296" t="str">
            <v>CHUMACERAS Y RODAMIENTOS</v>
          </cell>
          <cell r="G296" t="str">
            <v>PRINCIPAL</v>
          </cell>
          <cell r="H296">
            <v>46004</v>
          </cell>
          <cell r="I296" t="str">
            <v>SALDO INICIAL</v>
          </cell>
          <cell r="J296">
            <v>2</v>
          </cell>
          <cell r="K296">
            <v>14.092492</v>
          </cell>
          <cell r="L296">
            <v>51.481406</v>
          </cell>
          <cell r="M296">
            <v>7.046246</v>
          </cell>
          <cell r="N296" t="str">
            <v/>
          </cell>
          <cell r="O296" t="str">
            <v/>
          </cell>
          <cell r="P296" t="str">
            <v/>
          </cell>
          <cell r="Q296">
            <v>102.5</v>
          </cell>
          <cell r="R296" t="str">
            <v>UND</v>
          </cell>
          <cell r="S296">
            <v>0</v>
          </cell>
          <cell r="T296">
            <v>0</v>
          </cell>
          <cell r="U296" t="str">
            <v/>
          </cell>
          <cell r="V296" t="str">
            <v>PRO10</v>
          </cell>
          <cell r="W296">
            <v>0</v>
          </cell>
        </row>
        <row r="297">
          <cell r="C297" t="str">
            <v>LDSSUCP212</v>
          </cell>
          <cell r="D297" t="str">
            <v>PRINC</v>
          </cell>
          <cell r="E297" t="str">
            <v>00005</v>
          </cell>
          <cell r="F297" t="str">
            <v>CHUMACERAS Y RODAMIENTOS</v>
          </cell>
          <cell r="G297" t="str">
            <v>PRINCIPAL</v>
          </cell>
          <cell r="H297">
            <v>46004</v>
          </cell>
          <cell r="I297" t="str">
            <v>SALDO INICIAL</v>
          </cell>
          <cell r="J297">
            <v>0</v>
          </cell>
          <cell r="K297">
            <v>-1.0149999999999999</v>
          </cell>
          <cell r="L297">
            <v>69.254999999999995</v>
          </cell>
          <cell r="M297">
            <v>0</v>
          </cell>
          <cell r="N297" t="str">
            <v/>
          </cell>
          <cell r="O297" t="str">
            <v/>
          </cell>
          <cell r="P297" t="str">
            <v/>
          </cell>
          <cell r="Q297">
            <v>133.15</v>
          </cell>
          <cell r="R297" t="str">
            <v>UND</v>
          </cell>
          <cell r="S297">
            <v>0</v>
          </cell>
          <cell r="T297">
            <v>0</v>
          </cell>
          <cell r="U297" t="str">
            <v/>
          </cell>
          <cell r="V297" t="str">
            <v>PRO10</v>
          </cell>
          <cell r="W297">
            <v>0</v>
          </cell>
        </row>
        <row r="298">
          <cell r="C298" t="str">
            <v>LDSSUCP213-40</v>
          </cell>
          <cell r="D298" t="str">
            <v>PRINC</v>
          </cell>
          <cell r="E298" t="str">
            <v>00005</v>
          </cell>
          <cell r="F298" t="str">
            <v>CHUMACERAS Y RODAMIENTOS</v>
          </cell>
          <cell r="G298" t="str">
            <v>PRINCIPAL</v>
          </cell>
          <cell r="H298">
            <v>46004</v>
          </cell>
          <cell r="I298" t="str">
            <v>SALDO INICIAL</v>
          </cell>
          <cell r="J298">
            <v>0</v>
          </cell>
          <cell r="K298">
            <v>23.764635999999999</v>
          </cell>
          <cell r="L298">
            <v>139.76260500000001</v>
          </cell>
          <cell r="M298">
            <v>0</v>
          </cell>
          <cell r="N298" t="str">
            <v/>
          </cell>
          <cell r="O298" t="str">
            <v/>
          </cell>
          <cell r="P298" t="str">
            <v/>
          </cell>
          <cell r="Q298">
            <v>221.1</v>
          </cell>
          <cell r="R298" t="str">
            <v>UND</v>
          </cell>
          <cell r="S298">
            <v>0</v>
          </cell>
          <cell r="T298">
            <v>0</v>
          </cell>
          <cell r="U298" t="str">
            <v/>
          </cell>
          <cell r="V298" t="str">
            <v>PRO10</v>
          </cell>
          <cell r="W298">
            <v>0</v>
          </cell>
        </row>
        <row r="299">
          <cell r="C299" t="str">
            <v>LDSSUCP215</v>
          </cell>
          <cell r="D299" t="str">
            <v>PRINC</v>
          </cell>
          <cell r="E299" t="str">
            <v>00005</v>
          </cell>
          <cell r="F299" t="str">
            <v>CHUMACERAS Y RODAMIENTOS</v>
          </cell>
          <cell r="G299" t="str">
            <v>PRINCIPAL</v>
          </cell>
          <cell r="H299">
            <v>46004</v>
          </cell>
          <cell r="I299" t="str">
            <v>SALDO INICIAL</v>
          </cell>
          <cell r="J299">
            <v>2</v>
          </cell>
          <cell r="K299">
            <v>390.36014599999999</v>
          </cell>
          <cell r="L299">
            <v>195.18007299999999</v>
          </cell>
          <cell r="M299">
            <v>195.18007299999999</v>
          </cell>
          <cell r="N299" t="str">
            <v/>
          </cell>
          <cell r="O299" t="str">
            <v/>
          </cell>
          <cell r="P299" t="str">
            <v/>
          </cell>
          <cell r="Q299">
            <v>292.8</v>
          </cell>
          <cell r="R299" t="str">
            <v>UND</v>
          </cell>
          <cell r="S299">
            <v>0</v>
          </cell>
          <cell r="T299">
            <v>0</v>
          </cell>
          <cell r="U299" t="str">
            <v/>
          </cell>
          <cell r="V299" t="str">
            <v>PRO10</v>
          </cell>
          <cell r="W299">
            <v>0</v>
          </cell>
        </row>
        <row r="300">
          <cell r="C300" t="str">
            <v>LDSSUCPA205-16</v>
          </cell>
          <cell r="D300" t="str">
            <v>PRINC</v>
          </cell>
          <cell r="E300" t="str">
            <v>00005</v>
          </cell>
          <cell r="F300" t="str">
            <v>CHUMACERAS Y RODAMIENTOS</v>
          </cell>
          <cell r="G300" t="str">
            <v>PRINCIPAL</v>
          </cell>
          <cell r="H300">
            <v>46004</v>
          </cell>
          <cell r="I300" t="str">
            <v>SALDO INICIAL</v>
          </cell>
          <cell r="J300">
            <v>30</v>
          </cell>
          <cell r="K300">
            <v>399.60868399999998</v>
          </cell>
          <cell r="L300">
            <v>13.400143</v>
          </cell>
          <cell r="M300">
            <v>13.320289467</v>
          </cell>
          <cell r="N300" t="str">
            <v/>
          </cell>
          <cell r="O300" t="str">
            <v/>
          </cell>
          <cell r="P300" t="str">
            <v/>
          </cell>
          <cell r="Q300">
            <v>22.7</v>
          </cell>
          <cell r="R300" t="str">
            <v>UND</v>
          </cell>
          <cell r="S300">
            <v>0</v>
          </cell>
          <cell r="T300">
            <v>0</v>
          </cell>
          <cell r="U300" t="str">
            <v/>
          </cell>
          <cell r="V300" t="str">
            <v>PRO10</v>
          </cell>
          <cell r="W300">
            <v>0</v>
          </cell>
        </row>
        <row r="301">
          <cell r="C301" t="str">
            <v>LDSSUCPA206</v>
          </cell>
          <cell r="D301" t="str">
            <v>PRINC</v>
          </cell>
          <cell r="E301" t="str">
            <v>00005</v>
          </cell>
          <cell r="F301" t="str">
            <v>CHUMACERAS Y RODAMIENTOS</v>
          </cell>
          <cell r="G301" t="str">
            <v>PRINCIPAL</v>
          </cell>
          <cell r="H301">
            <v>46004</v>
          </cell>
          <cell r="I301" t="str">
            <v>SALDO INICIAL</v>
          </cell>
          <cell r="J301">
            <v>28</v>
          </cell>
          <cell r="K301">
            <v>473.84867600000001</v>
          </cell>
          <cell r="L301">
            <v>16.923166999999999</v>
          </cell>
          <cell r="M301">
            <v>16.923166999999999</v>
          </cell>
          <cell r="N301" t="str">
            <v/>
          </cell>
          <cell r="O301" t="str">
            <v/>
          </cell>
          <cell r="P301" t="str">
            <v/>
          </cell>
          <cell r="Q301">
            <v>35.799999999999997</v>
          </cell>
          <cell r="R301" t="str">
            <v>UND</v>
          </cell>
          <cell r="S301">
            <v>0</v>
          </cell>
          <cell r="T301">
            <v>0</v>
          </cell>
          <cell r="U301" t="str">
            <v/>
          </cell>
          <cell r="V301" t="str">
            <v>PRO10</v>
          </cell>
          <cell r="W301">
            <v>0</v>
          </cell>
        </row>
        <row r="302">
          <cell r="C302" t="str">
            <v>LDSSUCT204-12</v>
          </cell>
          <cell r="D302" t="str">
            <v>PRINC</v>
          </cell>
          <cell r="E302" t="str">
            <v>00005</v>
          </cell>
          <cell r="F302" t="str">
            <v>CHUMACERAS Y RODAMIENTOS</v>
          </cell>
          <cell r="G302" t="str">
            <v>PRINCIPAL</v>
          </cell>
          <cell r="H302">
            <v>46004</v>
          </cell>
          <cell r="I302" t="str">
            <v>SALDO INICIAL</v>
          </cell>
          <cell r="J302">
            <v>10</v>
          </cell>
          <cell r="K302">
            <v>139.54916499999999</v>
          </cell>
          <cell r="L302">
            <v>13.795210000000001</v>
          </cell>
          <cell r="M302">
            <v>13.9549165</v>
          </cell>
          <cell r="N302" t="str">
            <v/>
          </cell>
          <cell r="O302" t="str">
            <v/>
          </cell>
          <cell r="P302" t="str">
            <v/>
          </cell>
          <cell r="Q302">
            <v>22.1</v>
          </cell>
          <cell r="R302" t="str">
            <v>UND</v>
          </cell>
          <cell r="S302">
            <v>0</v>
          </cell>
          <cell r="T302">
            <v>0</v>
          </cell>
          <cell r="U302" t="str">
            <v/>
          </cell>
          <cell r="V302" t="str">
            <v>PRO10</v>
          </cell>
          <cell r="W302">
            <v>0</v>
          </cell>
        </row>
        <row r="303">
          <cell r="C303" t="str">
            <v>LDSSUCT205</v>
          </cell>
          <cell r="D303" t="str">
            <v>PRINC</v>
          </cell>
          <cell r="E303" t="str">
            <v>00005</v>
          </cell>
          <cell r="F303" t="str">
            <v>CHUMACERAS Y RODAMIENTOS</v>
          </cell>
          <cell r="G303" t="str">
            <v>PRINCIPAL</v>
          </cell>
          <cell r="H303">
            <v>46004</v>
          </cell>
          <cell r="I303" t="str">
            <v>SALDO INICIAL</v>
          </cell>
          <cell r="J303">
            <v>20</v>
          </cell>
          <cell r="K303">
            <v>233.02212399999999</v>
          </cell>
          <cell r="L303">
            <v>14.604756999999999</v>
          </cell>
          <cell r="M303">
            <v>11.651106199999999</v>
          </cell>
          <cell r="N303" t="str">
            <v/>
          </cell>
          <cell r="O303" t="str">
            <v/>
          </cell>
          <cell r="P303" t="str">
            <v/>
          </cell>
          <cell r="Q303">
            <v>24.3</v>
          </cell>
          <cell r="R303" t="str">
            <v>UND</v>
          </cell>
          <cell r="S303">
            <v>0</v>
          </cell>
          <cell r="T303">
            <v>0</v>
          </cell>
          <cell r="U303" t="str">
            <v/>
          </cell>
          <cell r="V303" t="str">
            <v>PRO10</v>
          </cell>
          <cell r="W303">
            <v>0</v>
          </cell>
        </row>
        <row r="304">
          <cell r="C304" t="str">
            <v>LDSSUCT205-16</v>
          </cell>
          <cell r="D304" t="str">
            <v>PRINC</v>
          </cell>
          <cell r="E304" t="str">
            <v>00005</v>
          </cell>
          <cell r="F304" t="str">
            <v>CHUMACERAS Y RODAMIENTOS</v>
          </cell>
          <cell r="G304" t="str">
            <v>PRINCIPAL</v>
          </cell>
          <cell r="H304">
            <v>46004</v>
          </cell>
          <cell r="I304" t="str">
            <v>SALDO INICIAL</v>
          </cell>
          <cell r="J304">
            <v>27</v>
          </cell>
          <cell r="K304">
            <v>277.81421399999999</v>
          </cell>
          <cell r="L304">
            <v>11.848057000000001</v>
          </cell>
          <cell r="M304">
            <v>10.289415333000001</v>
          </cell>
          <cell r="N304" t="str">
            <v/>
          </cell>
          <cell r="O304" t="str">
            <v/>
          </cell>
          <cell r="P304" t="str">
            <v/>
          </cell>
          <cell r="Q304">
            <v>24.3</v>
          </cell>
          <cell r="R304" t="str">
            <v>UND</v>
          </cell>
          <cell r="S304">
            <v>0</v>
          </cell>
          <cell r="T304">
            <v>0</v>
          </cell>
          <cell r="U304" t="str">
            <v/>
          </cell>
          <cell r="V304" t="str">
            <v>PRO10</v>
          </cell>
          <cell r="W304">
            <v>0</v>
          </cell>
        </row>
        <row r="305">
          <cell r="C305" t="str">
            <v>LDSSUCT206</v>
          </cell>
          <cell r="D305" t="str">
            <v>PRINC</v>
          </cell>
          <cell r="E305" t="str">
            <v>00005</v>
          </cell>
          <cell r="F305" t="str">
            <v>CHUMACERAS Y RODAMIENTOS</v>
          </cell>
          <cell r="G305" t="str">
            <v>PRINCIPAL</v>
          </cell>
          <cell r="H305">
            <v>46004</v>
          </cell>
          <cell r="I305" t="str">
            <v>SALDO INICIAL</v>
          </cell>
          <cell r="J305">
            <v>2</v>
          </cell>
          <cell r="K305">
            <v>36.292000000000002</v>
          </cell>
          <cell r="L305">
            <v>18.146000000000001</v>
          </cell>
          <cell r="M305">
            <v>18.146000000000001</v>
          </cell>
          <cell r="N305" t="str">
            <v/>
          </cell>
          <cell r="O305" t="str">
            <v/>
          </cell>
          <cell r="P305" t="str">
            <v/>
          </cell>
          <cell r="Q305">
            <v>37.700000000000003</v>
          </cell>
          <cell r="R305" t="str">
            <v>UND</v>
          </cell>
          <cell r="S305">
            <v>0</v>
          </cell>
          <cell r="T305">
            <v>0</v>
          </cell>
          <cell r="U305" t="str">
            <v/>
          </cell>
          <cell r="V305" t="str">
            <v>PRO10</v>
          </cell>
          <cell r="W305">
            <v>0</v>
          </cell>
        </row>
        <row r="306">
          <cell r="C306" t="str">
            <v>LDSSUCT206-19</v>
          </cell>
          <cell r="D306" t="str">
            <v>PRINC</v>
          </cell>
          <cell r="E306" t="str">
            <v>00005</v>
          </cell>
          <cell r="F306" t="str">
            <v>CHUMACERAS Y RODAMIENTOS</v>
          </cell>
          <cell r="G306" t="str">
            <v>PRINCIPAL</v>
          </cell>
          <cell r="H306">
            <v>46004</v>
          </cell>
          <cell r="I306" t="str">
            <v>SALDO INICIAL</v>
          </cell>
          <cell r="J306">
            <v>9</v>
          </cell>
          <cell r="K306">
            <v>163.31399999999999</v>
          </cell>
          <cell r="L306">
            <v>18.146000000000001</v>
          </cell>
          <cell r="M306">
            <v>18.146000000000001</v>
          </cell>
          <cell r="N306" t="str">
            <v/>
          </cell>
          <cell r="O306" t="str">
            <v/>
          </cell>
          <cell r="P306" t="str">
            <v/>
          </cell>
          <cell r="Q306">
            <v>37.700000000000003</v>
          </cell>
          <cell r="R306" t="str">
            <v>UND</v>
          </cell>
          <cell r="S306">
            <v>0</v>
          </cell>
          <cell r="T306">
            <v>0</v>
          </cell>
          <cell r="U306" t="str">
            <v/>
          </cell>
          <cell r="V306" t="str">
            <v>PRO10</v>
          </cell>
          <cell r="W306">
            <v>0</v>
          </cell>
        </row>
        <row r="307">
          <cell r="C307" t="str">
            <v>LDSSUCT207-20</v>
          </cell>
          <cell r="D307" t="str">
            <v>PRINC</v>
          </cell>
          <cell r="E307" t="str">
            <v>00005</v>
          </cell>
          <cell r="F307" t="str">
            <v>CHUMACERAS Y RODAMIENTOS</v>
          </cell>
          <cell r="G307" t="str">
            <v>PRINCIPAL</v>
          </cell>
          <cell r="H307">
            <v>46004</v>
          </cell>
          <cell r="I307" t="str">
            <v>SALDO INICIAL</v>
          </cell>
          <cell r="J307">
            <v>12</v>
          </cell>
          <cell r="K307">
            <v>328.99325599999997</v>
          </cell>
          <cell r="L307">
            <v>25.251467000000002</v>
          </cell>
          <cell r="M307">
            <v>27.416104666999999</v>
          </cell>
          <cell r="N307" t="str">
            <v/>
          </cell>
          <cell r="O307" t="str">
            <v/>
          </cell>
          <cell r="P307" t="str">
            <v/>
          </cell>
          <cell r="Q307">
            <v>42.95</v>
          </cell>
          <cell r="R307" t="str">
            <v>UND</v>
          </cell>
          <cell r="S307">
            <v>0</v>
          </cell>
          <cell r="T307">
            <v>0</v>
          </cell>
          <cell r="U307" t="str">
            <v/>
          </cell>
          <cell r="V307" t="str">
            <v>PRO10</v>
          </cell>
          <cell r="W307">
            <v>0</v>
          </cell>
        </row>
        <row r="308">
          <cell r="C308" t="str">
            <v>LDSSUCT208</v>
          </cell>
          <cell r="D308" t="str">
            <v>PRINC</v>
          </cell>
          <cell r="E308" t="str">
            <v>00005</v>
          </cell>
          <cell r="F308" t="str">
            <v>CHUMACERAS Y RODAMIENTOS</v>
          </cell>
          <cell r="G308" t="str">
            <v>PRINCIPAL</v>
          </cell>
          <cell r="H308">
            <v>46004</v>
          </cell>
          <cell r="I308" t="str">
            <v>SALDO INICIAL</v>
          </cell>
          <cell r="J308">
            <v>4</v>
          </cell>
          <cell r="K308">
            <v>157.784108</v>
          </cell>
          <cell r="L308">
            <v>37.81879</v>
          </cell>
          <cell r="M308">
            <v>39.446027000000001</v>
          </cell>
          <cell r="N308" t="str">
            <v/>
          </cell>
          <cell r="O308" t="str">
            <v/>
          </cell>
          <cell r="P308" t="str">
            <v/>
          </cell>
          <cell r="Q308">
            <v>62.3</v>
          </cell>
          <cell r="R308" t="str">
            <v>UND</v>
          </cell>
          <cell r="S308">
            <v>0</v>
          </cell>
          <cell r="T308">
            <v>0</v>
          </cell>
          <cell r="U308" t="str">
            <v/>
          </cell>
          <cell r="V308" t="str">
            <v>PRO10</v>
          </cell>
          <cell r="W308">
            <v>0</v>
          </cell>
        </row>
        <row r="309">
          <cell r="C309" t="str">
            <v>LDSSUCT208-24</v>
          </cell>
          <cell r="D309" t="str">
            <v>PRINC</v>
          </cell>
          <cell r="E309" t="str">
            <v>00005</v>
          </cell>
          <cell r="F309" t="str">
            <v>CHUMACERAS Y RODAMIENTOS</v>
          </cell>
          <cell r="G309" t="str">
            <v>PRINCIPAL</v>
          </cell>
          <cell r="H309">
            <v>46004</v>
          </cell>
          <cell r="I309" t="str">
            <v>SALDO INICIAL</v>
          </cell>
          <cell r="J309">
            <v>3</v>
          </cell>
          <cell r="K309">
            <v>86.580629000000002</v>
          </cell>
          <cell r="L309">
            <v>36.181949000000003</v>
          </cell>
          <cell r="M309">
            <v>28.860209666999999</v>
          </cell>
          <cell r="N309" t="str">
            <v/>
          </cell>
          <cell r="O309" t="str">
            <v/>
          </cell>
          <cell r="P309" t="str">
            <v/>
          </cell>
          <cell r="Q309">
            <v>62.3</v>
          </cell>
          <cell r="R309" t="str">
            <v>UND</v>
          </cell>
          <cell r="S309">
            <v>0</v>
          </cell>
          <cell r="T309">
            <v>0</v>
          </cell>
          <cell r="U309" t="str">
            <v/>
          </cell>
          <cell r="V309" t="str">
            <v>PRO10</v>
          </cell>
          <cell r="W309">
            <v>0</v>
          </cell>
        </row>
        <row r="310">
          <cell r="C310" t="str">
            <v>LDSSUCT209</v>
          </cell>
          <cell r="D310" t="str">
            <v>PRINC</v>
          </cell>
          <cell r="E310" t="str">
            <v>00005</v>
          </cell>
          <cell r="F310" t="str">
            <v>CHUMACERAS Y RODAMIENTOS</v>
          </cell>
          <cell r="G310" t="str">
            <v>PRINCIPAL</v>
          </cell>
          <cell r="H310">
            <v>46004</v>
          </cell>
          <cell r="I310" t="str">
            <v>SALDO INICIAL</v>
          </cell>
          <cell r="J310">
            <v>10</v>
          </cell>
          <cell r="K310">
            <v>390.11</v>
          </cell>
          <cell r="L310">
            <v>36.500729</v>
          </cell>
          <cell r="M310">
            <v>39.011000000000003</v>
          </cell>
          <cell r="N310" t="str">
            <v/>
          </cell>
          <cell r="O310" t="str">
            <v/>
          </cell>
          <cell r="P310" t="str">
            <v/>
          </cell>
          <cell r="Q310">
            <v>66.5</v>
          </cell>
          <cell r="R310" t="str">
            <v>UND</v>
          </cell>
          <cell r="S310">
            <v>0</v>
          </cell>
          <cell r="T310">
            <v>0</v>
          </cell>
          <cell r="U310" t="str">
            <v/>
          </cell>
          <cell r="V310" t="str">
            <v>PRO10</v>
          </cell>
          <cell r="W310">
            <v>0</v>
          </cell>
        </row>
        <row r="311">
          <cell r="C311" t="str">
            <v>LDSSUCT211-32</v>
          </cell>
          <cell r="D311" t="str">
            <v>PRINC</v>
          </cell>
          <cell r="E311" t="str">
            <v>00005</v>
          </cell>
          <cell r="F311" t="str">
            <v>CHUMACERAS Y RODAMIENTOS</v>
          </cell>
          <cell r="G311" t="str">
            <v>PRINCIPAL</v>
          </cell>
          <cell r="H311">
            <v>46004</v>
          </cell>
          <cell r="I311" t="str">
            <v>SALDO INICIAL</v>
          </cell>
          <cell r="J311">
            <v>2</v>
          </cell>
          <cell r="K311">
            <v>111.923</v>
          </cell>
          <cell r="L311">
            <v>55.961500000000001</v>
          </cell>
          <cell r="M311">
            <v>55.961500000000001</v>
          </cell>
          <cell r="N311" t="str">
            <v/>
          </cell>
          <cell r="O311" t="str">
            <v/>
          </cell>
          <cell r="P311" t="str">
            <v/>
          </cell>
          <cell r="Q311">
            <v>106.3</v>
          </cell>
          <cell r="R311" t="str">
            <v>UND</v>
          </cell>
          <cell r="S311">
            <v>0</v>
          </cell>
          <cell r="T311">
            <v>0</v>
          </cell>
          <cell r="U311" t="str">
            <v/>
          </cell>
          <cell r="V311" t="str">
            <v>PRO10</v>
          </cell>
          <cell r="W311">
            <v>0</v>
          </cell>
        </row>
        <row r="312">
          <cell r="C312" t="str">
            <v>LDSSUCT213-40</v>
          </cell>
          <cell r="D312" t="str">
            <v>PRINC</v>
          </cell>
          <cell r="E312" t="str">
            <v>00005</v>
          </cell>
          <cell r="F312" t="str">
            <v>CHUMACERAS Y RODAMIENTOS</v>
          </cell>
          <cell r="G312" t="str">
            <v>PRINCIPAL</v>
          </cell>
          <cell r="H312">
            <v>46004</v>
          </cell>
          <cell r="I312" t="str">
            <v>SALDO INICIAL</v>
          </cell>
          <cell r="J312">
            <v>2</v>
          </cell>
          <cell r="K312">
            <v>245.08</v>
          </cell>
          <cell r="L312">
            <v>135.565</v>
          </cell>
          <cell r="M312">
            <v>122.54</v>
          </cell>
          <cell r="N312" t="str">
            <v/>
          </cell>
          <cell r="O312" t="str">
            <v/>
          </cell>
          <cell r="P312" t="str">
            <v/>
          </cell>
          <cell r="Q312">
            <v>213.5</v>
          </cell>
          <cell r="R312" t="str">
            <v>UND</v>
          </cell>
          <cell r="S312">
            <v>0</v>
          </cell>
          <cell r="T312">
            <v>0</v>
          </cell>
          <cell r="U312" t="str">
            <v/>
          </cell>
          <cell r="V312" t="str">
            <v>PRO10</v>
          </cell>
          <cell r="W312">
            <v>0</v>
          </cell>
        </row>
        <row r="313">
          <cell r="C313" t="str">
            <v>LDST210</v>
          </cell>
          <cell r="D313" t="str">
            <v>PRINC</v>
          </cell>
          <cell r="E313" t="str">
            <v>00005</v>
          </cell>
          <cell r="F313" t="str">
            <v>CHUMACERAS Y RODAMIENTOS</v>
          </cell>
          <cell r="G313" t="str">
            <v>PRINCIPAL</v>
          </cell>
          <cell r="H313">
            <v>46004</v>
          </cell>
          <cell r="I313" t="str">
            <v>SALDO INICIAL</v>
          </cell>
          <cell r="J313">
            <v>5</v>
          </cell>
          <cell r="K313">
            <v>124.567049</v>
          </cell>
          <cell r="L313">
            <v>24.913409999999999</v>
          </cell>
          <cell r="M313">
            <v>24.9134098</v>
          </cell>
          <cell r="N313" t="str">
            <v/>
          </cell>
          <cell r="O313" t="str">
            <v/>
          </cell>
          <cell r="P313" t="str">
            <v/>
          </cell>
          <cell r="Q313">
            <v>0</v>
          </cell>
          <cell r="R313" t="str">
            <v>UND</v>
          </cell>
          <cell r="S313">
            <v>0</v>
          </cell>
          <cell r="T313">
            <v>0</v>
          </cell>
          <cell r="U313" t="str">
            <v/>
          </cell>
          <cell r="V313" t="str">
            <v>PRO10</v>
          </cell>
          <cell r="W313">
            <v>0</v>
          </cell>
        </row>
        <row r="314">
          <cell r="C314" t="str">
            <v>LDSUC201-8</v>
          </cell>
          <cell r="D314" t="str">
            <v>PRINC</v>
          </cell>
          <cell r="E314" t="str">
            <v>00005</v>
          </cell>
          <cell r="F314" t="str">
            <v>CHUMACERAS Y RODAMIENTOS</v>
          </cell>
          <cell r="G314" t="str">
            <v>PRINCIPAL</v>
          </cell>
          <cell r="H314">
            <v>46004</v>
          </cell>
          <cell r="I314" t="str">
            <v>SALDO INICIAL</v>
          </cell>
          <cell r="J314">
            <v>0</v>
          </cell>
          <cell r="K314">
            <v>-1.012035</v>
          </cell>
          <cell r="L314">
            <v>4.8897449999999996</v>
          </cell>
          <cell r="M314">
            <v>0</v>
          </cell>
          <cell r="N314" t="str">
            <v/>
          </cell>
          <cell r="O314" t="str">
            <v/>
          </cell>
          <cell r="P314" t="str">
            <v/>
          </cell>
          <cell r="Q314">
            <v>9</v>
          </cell>
          <cell r="R314" t="str">
            <v>UND</v>
          </cell>
          <cell r="S314">
            <v>0</v>
          </cell>
          <cell r="T314">
            <v>0</v>
          </cell>
          <cell r="U314" t="str">
            <v/>
          </cell>
          <cell r="V314" t="str">
            <v>PRO10</v>
          </cell>
          <cell r="W314">
            <v>0</v>
          </cell>
        </row>
        <row r="315">
          <cell r="C315" t="str">
            <v>LDSUC202-10</v>
          </cell>
          <cell r="D315" t="str">
            <v>PRINC</v>
          </cell>
          <cell r="E315" t="str">
            <v>00005</v>
          </cell>
          <cell r="F315" t="str">
            <v>CHUMACERAS Y RODAMIENTOS</v>
          </cell>
          <cell r="G315" t="str">
            <v>PRINCIPAL</v>
          </cell>
          <cell r="H315">
            <v>46004</v>
          </cell>
          <cell r="I315" t="str">
            <v>SALDO INICIAL</v>
          </cell>
          <cell r="J315">
            <v>0</v>
          </cell>
          <cell r="K315">
            <v>-7.6359969999999997</v>
          </cell>
          <cell r="L315">
            <v>4.6949389999999998</v>
          </cell>
          <cell r="M315">
            <v>0</v>
          </cell>
          <cell r="N315" t="str">
            <v/>
          </cell>
          <cell r="O315" t="str">
            <v/>
          </cell>
          <cell r="P315" t="str">
            <v/>
          </cell>
          <cell r="Q315">
            <v>9.1999999999999993</v>
          </cell>
          <cell r="R315" t="str">
            <v>UND</v>
          </cell>
          <cell r="S315">
            <v>0</v>
          </cell>
          <cell r="T315">
            <v>0</v>
          </cell>
          <cell r="U315" t="str">
            <v/>
          </cell>
          <cell r="V315" t="str">
            <v>PRO10</v>
          </cell>
          <cell r="W315">
            <v>0</v>
          </cell>
        </row>
        <row r="316">
          <cell r="C316" t="str">
            <v>LDSUC203</v>
          </cell>
          <cell r="D316" t="str">
            <v>PRINC</v>
          </cell>
          <cell r="E316" t="str">
            <v>00005</v>
          </cell>
          <cell r="F316" t="str">
            <v>CHUMACERAS Y RODAMIENTOS</v>
          </cell>
          <cell r="G316" t="str">
            <v>PRINCIPAL</v>
          </cell>
          <cell r="H316">
            <v>46004</v>
          </cell>
          <cell r="I316" t="str">
            <v>SALDO INICIAL</v>
          </cell>
          <cell r="J316">
            <v>29</v>
          </cell>
          <cell r="K316">
            <v>137.76318900000001</v>
          </cell>
          <cell r="L316">
            <v>5.1183329999999998</v>
          </cell>
          <cell r="M316">
            <v>4.7504547930000003</v>
          </cell>
          <cell r="N316" t="str">
            <v/>
          </cell>
          <cell r="O316" t="str">
            <v/>
          </cell>
          <cell r="P316" t="str">
            <v/>
          </cell>
          <cell r="Q316">
            <v>9.35</v>
          </cell>
          <cell r="R316" t="str">
            <v>UND</v>
          </cell>
          <cell r="S316">
            <v>0</v>
          </cell>
          <cell r="T316">
            <v>0</v>
          </cell>
          <cell r="U316" t="str">
            <v/>
          </cell>
          <cell r="V316" t="str">
            <v>PRO10</v>
          </cell>
          <cell r="W316">
            <v>0</v>
          </cell>
        </row>
        <row r="317">
          <cell r="C317" t="str">
            <v>LDSUC204</v>
          </cell>
          <cell r="D317" t="str">
            <v>PRINC</v>
          </cell>
          <cell r="E317" t="str">
            <v>00005</v>
          </cell>
          <cell r="F317" t="str">
            <v>CHUMACERAS Y RODAMIENTOS</v>
          </cell>
          <cell r="G317" t="str">
            <v>PRINCIPAL</v>
          </cell>
          <cell r="H317">
            <v>46004</v>
          </cell>
          <cell r="I317" t="str">
            <v>SALDO INICIAL</v>
          </cell>
          <cell r="J317">
            <v>5</v>
          </cell>
          <cell r="K317">
            <v>25.632263999999999</v>
          </cell>
          <cell r="L317">
            <v>3.645556</v>
          </cell>
          <cell r="M317">
            <v>5.1264528</v>
          </cell>
          <cell r="N317" t="str">
            <v/>
          </cell>
          <cell r="O317" t="str">
            <v/>
          </cell>
          <cell r="P317" t="str">
            <v/>
          </cell>
          <cell r="Q317">
            <v>9.5</v>
          </cell>
          <cell r="R317" t="str">
            <v>UND</v>
          </cell>
          <cell r="S317">
            <v>0</v>
          </cell>
          <cell r="T317">
            <v>0</v>
          </cell>
          <cell r="U317" t="str">
            <v/>
          </cell>
          <cell r="V317" t="str">
            <v>PRO10</v>
          </cell>
          <cell r="W317">
            <v>0</v>
          </cell>
        </row>
        <row r="318">
          <cell r="C318" t="str">
            <v>LDSUC204-12</v>
          </cell>
          <cell r="D318" t="str">
            <v>PRINC</v>
          </cell>
          <cell r="E318" t="str">
            <v>00005</v>
          </cell>
          <cell r="F318" t="str">
            <v>CHUMACERAS Y RODAMIENTOS</v>
          </cell>
          <cell r="G318" t="str">
            <v>PRINCIPAL</v>
          </cell>
          <cell r="H318">
            <v>46004</v>
          </cell>
          <cell r="I318" t="str">
            <v>SALDO INICIAL</v>
          </cell>
          <cell r="J318">
            <v>153</v>
          </cell>
          <cell r="K318">
            <v>565.964336</v>
          </cell>
          <cell r="L318">
            <v>4.3076910000000002</v>
          </cell>
          <cell r="M318">
            <v>3.6991133070000002</v>
          </cell>
          <cell r="N318" t="str">
            <v/>
          </cell>
          <cell r="O318" t="str">
            <v/>
          </cell>
          <cell r="P318" t="str">
            <v/>
          </cell>
          <cell r="Q318">
            <v>9.5</v>
          </cell>
          <cell r="R318" t="str">
            <v>UND</v>
          </cell>
          <cell r="S318">
            <v>0</v>
          </cell>
          <cell r="T318">
            <v>0</v>
          </cell>
          <cell r="U318" t="str">
            <v/>
          </cell>
          <cell r="V318" t="str">
            <v>PRO10</v>
          </cell>
          <cell r="W318">
            <v>0</v>
          </cell>
        </row>
        <row r="319">
          <cell r="C319" t="str">
            <v>LDSUC205</v>
          </cell>
          <cell r="D319" t="str">
            <v>PRINC</v>
          </cell>
          <cell r="E319" t="str">
            <v>00005</v>
          </cell>
          <cell r="F319" t="str">
            <v>CHUMACERAS Y RODAMIENTOS</v>
          </cell>
          <cell r="G319" t="str">
            <v>PRINCIPAL</v>
          </cell>
          <cell r="H319">
            <v>46004</v>
          </cell>
          <cell r="I319" t="str">
            <v>SALDO INICIAL</v>
          </cell>
          <cell r="J319">
            <v>60</v>
          </cell>
          <cell r="K319">
            <v>266.75103999999999</v>
          </cell>
          <cell r="L319">
            <v>4.3336790000000001</v>
          </cell>
          <cell r="M319">
            <v>4.4458506670000002</v>
          </cell>
          <cell r="N319" t="str">
            <v/>
          </cell>
          <cell r="O319" t="str">
            <v/>
          </cell>
          <cell r="P319" t="str">
            <v/>
          </cell>
          <cell r="Q319">
            <v>10.9</v>
          </cell>
          <cell r="R319" t="str">
            <v>UND</v>
          </cell>
          <cell r="S319">
            <v>0</v>
          </cell>
          <cell r="T319">
            <v>0</v>
          </cell>
          <cell r="U319" t="str">
            <v/>
          </cell>
          <cell r="V319" t="str">
            <v>PRO10</v>
          </cell>
          <cell r="W319">
            <v>0</v>
          </cell>
        </row>
        <row r="320">
          <cell r="C320" t="str">
            <v>LDSUC205-14</v>
          </cell>
          <cell r="D320" t="str">
            <v>PRINC</v>
          </cell>
          <cell r="E320" t="str">
            <v>00005</v>
          </cell>
          <cell r="F320" t="str">
            <v>CHUMACERAS Y RODAMIENTOS</v>
          </cell>
          <cell r="G320" t="str">
            <v>PRINCIPAL</v>
          </cell>
          <cell r="H320">
            <v>46004</v>
          </cell>
          <cell r="I320" t="str">
            <v>SALDO INICIAL</v>
          </cell>
          <cell r="J320">
            <v>24</v>
          </cell>
          <cell r="K320">
            <v>136.47299000000001</v>
          </cell>
          <cell r="L320">
            <v>5.686375</v>
          </cell>
          <cell r="M320">
            <v>5.6863745830000001</v>
          </cell>
          <cell r="N320" t="str">
            <v/>
          </cell>
          <cell r="O320" t="str">
            <v/>
          </cell>
          <cell r="P320" t="str">
            <v/>
          </cell>
          <cell r="Q320">
            <v>10.9</v>
          </cell>
          <cell r="R320" t="str">
            <v>UND</v>
          </cell>
          <cell r="S320">
            <v>0</v>
          </cell>
          <cell r="T320">
            <v>0</v>
          </cell>
          <cell r="U320" t="str">
            <v/>
          </cell>
          <cell r="V320" t="str">
            <v>PRO10</v>
          </cell>
          <cell r="W320">
            <v>0</v>
          </cell>
        </row>
        <row r="321">
          <cell r="C321" t="str">
            <v>LDSUC205-16</v>
          </cell>
          <cell r="D321" t="str">
            <v>PRINC</v>
          </cell>
          <cell r="E321" t="str">
            <v>00005</v>
          </cell>
          <cell r="F321" t="str">
            <v>CHUMACERAS Y RODAMIENTOS</v>
          </cell>
          <cell r="G321" t="str">
            <v>PRINCIPAL</v>
          </cell>
          <cell r="H321">
            <v>46004</v>
          </cell>
          <cell r="I321" t="str">
            <v>SALDO INICIAL</v>
          </cell>
          <cell r="J321">
            <v>187</v>
          </cell>
          <cell r="K321">
            <v>-331.70179300000001</v>
          </cell>
          <cell r="L321">
            <v>4.7255050000000001</v>
          </cell>
          <cell r="M321">
            <v>-1.7738063799999999</v>
          </cell>
          <cell r="N321" t="str">
            <v/>
          </cell>
          <cell r="O321" t="str">
            <v/>
          </cell>
          <cell r="P321" t="str">
            <v/>
          </cell>
          <cell r="Q321">
            <v>10.9</v>
          </cell>
          <cell r="R321" t="str">
            <v>UND</v>
          </cell>
          <cell r="S321">
            <v>0</v>
          </cell>
          <cell r="T321">
            <v>0</v>
          </cell>
          <cell r="U321" t="str">
            <v/>
          </cell>
          <cell r="V321" t="str">
            <v>PRO10</v>
          </cell>
          <cell r="W321">
            <v>0</v>
          </cell>
        </row>
        <row r="322">
          <cell r="C322" t="str">
            <v>LDSUC206</v>
          </cell>
          <cell r="D322" t="str">
            <v>PRINC</v>
          </cell>
          <cell r="E322" t="str">
            <v>00005</v>
          </cell>
          <cell r="F322" t="str">
            <v>CHUMACERAS Y RODAMIENTOS</v>
          </cell>
          <cell r="G322" t="str">
            <v>PRINCIPAL</v>
          </cell>
          <cell r="H322">
            <v>46004</v>
          </cell>
          <cell r="I322" t="str">
            <v>SALDO INICIAL</v>
          </cell>
          <cell r="J322">
            <v>44</v>
          </cell>
          <cell r="K322">
            <v>420.06727699999999</v>
          </cell>
          <cell r="L322">
            <v>6.9782200000000003</v>
          </cell>
          <cell r="M322">
            <v>9.5469835679999999</v>
          </cell>
          <cell r="N322" t="str">
            <v/>
          </cell>
          <cell r="O322" t="str">
            <v/>
          </cell>
          <cell r="P322" t="str">
            <v/>
          </cell>
          <cell r="Q322">
            <v>14.6</v>
          </cell>
          <cell r="R322" t="str">
            <v>UND</v>
          </cell>
          <cell r="S322">
            <v>0</v>
          </cell>
          <cell r="T322">
            <v>0</v>
          </cell>
          <cell r="U322" t="str">
            <v/>
          </cell>
          <cell r="V322" t="str">
            <v>PRO10</v>
          </cell>
          <cell r="W322">
            <v>0</v>
          </cell>
        </row>
        <row r="323">
          <cell r="C323" t="str">
            <v>LDSUC206-19</v>
          </cell>
          <cell r="D323" t="str">
            <v>PRINC</v>
          </cell>
          <cell r="E323" t="str">
            <v>00005</v>
          </cell>
          <cell r="F323" t="str">
            <v>CHUMACERAS Y RODAMIENTOS</v>
          </cell>
          <cell r="G323" t="str">
            <v>PRINCIPAL</v>
          </cell>
          <cell r="H323">
            <v>46004</v>
          </cell>
          <cell r="I323" t="str">
            <v>SALDO INICIAL</v>
          </cell>
          <cell r="J323">
            <v>78</v>
          </cell>
          <cell r="K323">
            <v>273.324412</v>
          </cell>
          <cell r="L323">
            <v>6.3237959999999998</v>
          </cell>
          <cell r="M323">
            <v>3.504159128</v>
          </cell>
          <cell r="N323" t="str">
            <v/>
          </cell>
          <cell r="O323" t="str">
            <v/>
          </cell>
          <cell r="P323" t="str">
            <v/>
          </cell>
          <cell r="Q323">
            <v>14.6</v>
          </cell>
          <cell r="R323" t="str">
            <v>UND</v>
          </cell>
          <cell r="S323">
            <v>0</v>
          </cell>
          <cell r="T323">
            <v>0</v>
          </cell>
          <cell r="U323" t="str">
            <v/>
          </cell>
          <cell r="V323" t="str">
            <v>PRO10</v>
          </cell>
          <cell r="W323">
            <v>0</v>
          </cell>
        </row>
        <row r="324">
          <cell r="C324" t="str">
            <v>LDSUC206-20</v>
          </cell>
          <cell r="D324" t="str">
            <v>PRINC</v>
          </cell>
          <cell r="E324" t="str">
            <v>00005</v>
          </cell>
          <cell r="F324" t="str">
            <v>CHUMACERAS Y RODAMIENTOS</v>
          </cell>
          <cell r="G324" t="str">
            <v>PRINCIPAL</v>
          </cell>
          <cell r="H324">
            <v>46004</v>
          </cell>
          <cell r="I324" t="str">
            <v>SALDO INICIAL</v>
          </cell>
          <cell r="J324">
            <v>235</v>
          </cell>
          <cell r="K324">
            <v>1848.8554220000001</v>
          </cell>
          <cell r="L324">
            <v>7.9209440000000004</v>
          </cell>
          <cell r="M324">
            <v>7.8674698809999999</v>
          </cell>
          <cell r="N324" t="str">
            <v/>
          </cell>
          <cell r="O324" t="str">
            <v/>
          </cell>
          <cell r="P324" t="str">
            <v/>
          </cell>
          <cell r="Q324">
            <v>14.6</v>
          </cell>
          <cell r="R324" t="str">
            <v>UND</v>
          </cell>
          <cell r="S324">
            <v>0</v>
          </cell>
          <cell r="T324">
            <v>0</v>
          </cell>
          <cell r="U324" t="str">
            <v/>
          </cell>
          <cell r="V324" t="str">
            <v>PRO10</v>
          </cell>
          <cell r="W324">
            <v>0</v>
          </cell>
        </row>
        <row r="325">
          <cell r="C325" t="str">
            <v>LDSUC207</v>
          </cell>
          <cell r="D325" t="str">
            <v>PRINC</v>
          </cell>
          <cell r="E325" t="str">
            <v>00005</v>
          </cell>
          <cell r="F325" t="str">
            <v>CHUMACERAS Y RODAMIENTOS</v>
          </cell>
          <cell r="G325" t="str">
            <v>PRINCIPAL</v>
          </cell>
          <cell r="H325">
            <v>46004</v>
          </cell>
          <cell r="I325" t="str">
            <v>SALDO INICIAL</v>
          </cell>
          <cell r="J325">
            <v>63</v>
          </cell>
          <cell r="K325">
            <v>30.747001999999998</v>
          </cell>
          <cell r="L325">
            <v>10.010707999999999</v>
          </cell>
          <cell r="M325">
            <v>0.48804765100000003</v>
          </cell>
          <cell r="N325" t="str">
            <v/>
          </cell>
          <cell r="O325" t="str">
            <v/>
          </cell>
          <cell r="P325" t="str">
            <v/>
          </cell>
          <cell r="Q325">
            <v>19.600000000000001</v>
          </cell>
          <cell r="R325" t="str">
            <v>UND</v>
          </cell>
          <cell r="S325">
            <v>0</v>
          </cell>
          <cell r="T325">
            <v>0</v>
          </cell>
          <cell r="U325" t="str">
            <v/>
          </cell>
          <cell r="V325" t="str">
            <v>PRO10</v>
          </cell>
          <cell r="W325">
            <v>0</v>
          </cell>
        </row>
        <row r="326">
          <cell r="C326" t="str">
            <v>LDSUC207-20</v>
          </cell>
          <cell r="D326" t="str">
            <v>PRINC</v>
          </cell>
          <cell r="E326" t="str">
            <v>00005</v>
          </cell>
          <cell r="F326" t="str">
            <v>CHUMACERAS Y RODAMIENTOS</v>
          </cell>
          <cell r="G326" t="str">
            <v>PRINCIPAL</v>
          </cell>
          <cell r="H326">
            <v>46004</v>
          </cell>
          <cell r="I326" t="str">
            <v>SALDO INICIAL</v>
          </cell>
          <cell r="J326">
            <v>80</v>
          </cell>
          <cell r="K326">
            <v>876.47847899999999</v>
          </cell>
          <cell r="L326">
            <v>10.067023000000001</v>
          </cell>
          <cell r="M326">
            <v>10.955980988</v>
          </cell>
          <cell r="N326" t="str">
            <v/>
          </cell>
          <cell r="O326" t="str">
            <v/>
          </cell>
          <cell r="P326" t="str">
            <v/>
          </cell>
          <cell r="Q326">
            <v>19.600000000000001</v>
          </cell>
          <cell r="R326" t="str">
            <v>UND</v>
          </cell>
          <cell r="S326">
            <v>0</v>
          </cell>
          <cell r="T326">
            <v>0</v>
          </cell>
          <cell r="U326" t="str">
            <v/>
          </cell>
          <cell r="V326" t="str">
            <v>PRO10</v>
          </cell>
          <cell r="W326">
            <v>0</v>
          </cell>
        </row>
        <row r="327">
          <cell r="C327" t="str">
            <v>LDSUC207-22</v>
          </cell>
          <cell r="D327" t="str">
            <v>PRINC</v>
          </cell>
          <cell r="E327" t="str">
            <v>00005</v>
          </cell>
          <cell r="F327" t="str">
            <v>CHUMACERAS Y RODAMIENTOS</v>
          </cell>
          <cell r="G327" t="str">
            <v>PRINCIPAL</v>
          </cell>
          <cell r="H327">
            <v>46004</v>
          </cell>
          <cell r="I327" t="str">
            <v>SALDO INICIAL</v>
          </cell>
          <cell r="J327">
            <v>22</v>
          </cell>
          <cell r="K327">
            <v>253.95586599999999</v>
          </cell>
          <cell r="L327">
            <v>11.353044000000001</v>
          </cell>
          <cell r="M327">
            <v>11.543448455</v>
          </cell>
          <cell r="N327" t="str">
            <v/>
          </cell>
          <cell r="O327" t="str">
            <v/>
          </cell>
          <cell r="P327" t="str">
            <v/>
          </cell>
          <cell r="Q327">
            <v>19.600000000000001</v>
          </cell>
          <cell r="R327" t="str">
            <v>UND</v>
          </cell>
          <cell r="S327">
            <v>0</v>
          </cell>
          <cell r="T327">
            <v>0</v>
          </cell>
          <cell r="U327" t="str">
            <v/>
          </cell>
          <cell r="V327" t="str">
            <v>PRO10</v>
          </cell>
          <cell r="W327">
            <v>0</v>
          </cell>
        </row>
        <row r="328">
          <cell r="C328" t="str">
            <v>LDSUC207-23</v>
          </cell>
          <cell r="D328" t="str">
            <v>PRINC</v>
          </cell>
          <cell r="E328" t="str">
            <v>00005</v>
          </cell>
          <cell r="F328" t="str">
            <v>CHUMACERAS Y RODAMIENTOS</v>
          </cell>
          <cell r="G328" t="str">
            <v>PRINCIPAL</v>
          </cell>
          <cell r="H328">
            <v>46004</v>
          </cell>
          <cell r="I328" t="str">
            <v>SALDO INICIAL</v>
          </cell>
          <cell r="J328">
            <v>0</v>
          </cell>
          <cell r="K328">
            <v>77.840012999999999</v>
          </cell>
          <cell r="L328">
            <v>10.175302</v>
          </cell>
          <cell r="M328">
            <v>0</v>
          </cell>
          <cell r="N328" t="str">
            <v/>
          </cell>
          <cell r="O328" t="str">
            <v/>
          </cell>
          <cell r="P328" t="str">
            <v/>
          </cell>
          <cell r="Q328">
            <v>19.600000000000001</v>
          </cell>
          <cell r="R328" t="str">
            <v>UND</v>
          </cell>
          <cell r="S328">
            <v>0</v>
          </cell>
          <cell r="T328">
            <v>0</v>
          </cell>
          <cell r="U328" t="str">
            <v/>
          </cell>
          <cell r="V328" t="str">
            <v>PRO10</v>
          </cell>
          <cell r="W328">
            <v>0</v>
          </cell>
        </row>
        <row r="329">
          <cell r="C329" t="str">
            <v>LDSUC208</v>
          </cell>
          <cell r="D329" t="str">
            <v>PRINC</v>
          </cell>
          <cell r="E329" t="str">
            <v>00005</v>
          </cell>
          <cell r="F329" t="str">
            <v>CHUMACERAS Y RODAMIENTOS</v>
          </cell>
          <cell r="G329" t="str">
            <v>PRINCIPAL</v>
          </cell>
          <cell r="H329">
            <v>46004</v>
          </cell>
          <cell r="I329" t="str">
            <v>SALDO INICIAL</v>
          </cell>
          <cell r="J329">
            <v>15</v>
          </cell>
          <cell r="K329">
            <v>182.74323799999999</v>
          </cell>
          <cell r="L329">
            <v>13.353965000000001</v>
          </cell>
          <cell r="M329">
            <v>12.182882533000001</v>
          </cell>
          <cell r="N329" t="str">
            <v/>
          </cell>
          <cell r="O329" t="str">
            <v/>
          </cell>
          <cell r="P329" t="str">
            <v/>
          </cell>
          <cell r="Q329">
            <v>25.5</v>
          </cell>
          <cell r="R329" t="str">
            <v>UND</v>
          </cell>
          <cell r="S329">
            <v>0</v>
          </cell>
          <cell r="T329">
            <v>0</v>
          </cell>
          <cell r="U329" t="str">
            <v/>
          </cell>
          <cell r="V329" t="str">
            <v>PRO10</v>
          </cell>
          <cell r="W329">
            <v>0</v>
          </cell>
        </row>
        <row r="330">
          <cell r="C330" t="str">
            <v>LDSUC208-24</v>
          </cell>
          <cell r="D330" t="str">
            <v>PRINC</v>
          </cell>
          <cell r="E330" t="str">
            <v>00005</v>
          </cell>
          <cell r="F330" t="str">
            <v>CHUMACERAS Y RODAMIENTOS</v>
          </cell>
          <cell r="G330" t="str">
            <v>PRINCIPAL</v>
          </cell>
          <cell r="H330">
            <v>46004</v>
          </cell>
          <cell r="I330" t="str">
            <v>SALDO INICIAL</v>
          </cell>
          <cell r="J330">
            <v>36</v>
          </cell>
          <cell r="K330">
            <v>349.19364899999999</v>
          </cell>
          <cell r="L330">
            <v>12.83334</v>
          </cell>
          <cell r="M330">
            <v>9.6998235830000006</v>
          </cell>
          <cell r="N330" t="str">
            <v/>
          </cell>
          <cell r="O330" t="str">
            <v/>
          </cell>
          <cell r="P330" t="str">
            <v/>
          </cell>
          <cell r="Q330">
            <v>25.5</v>
          </cell>
          <cell r="R330" t="str">
            <v>UND</v>
          </cell>
          <cell r="S330">
            <v>0</v>
          </cell>
          <cell r="T330">
            <v>0</v>
          </cell>
          <cell r="U330" t="str">
            <v/>
          </cell>
          <cell r="V330" t="str">
            <v>PRO10</v>
          </cell>
          <cell r="W330">
            <v>0</v>
          </cell>
        </row>
        <row r="331">
          <cell r="C331" t="str">
            <v>LDSUC208-25</v>
          </cell>
          <cell r="D331" t="str">
            <v>PRINC</v>
          </cell>
          <cell r="E331" t="str">
            <v>00005</v>
          </cell>
          <cell r="F331" t="str">
            <v>CHUMACERAS Y RODAMIENTOS</v>
          </cell>
          <cell r="G331" t="str">
            <v>PRINCIPAL</v>
          </cell>
          <cell r="H331">
            <v>46004</v>
          </cell>
          <cell r="I331" t="str">
            <v>SALDO INICIAL</v>
          </cell>
          <cell r="J331">
            <v>6</v>
          </cell>
          <cell r="K331">
            <v>76.498889000000005</v>
          </cell>
          <cell r="L331">
            <v>13.01</v>
          </cell>
          <cell r="M331">
            <v>12.749814833</v>
          </cell>
          <cell r="N331" t="str">
            <v/>
          </cell>
          <cell r="O331" t="str">
            <v/>
          </cell>
          <cell r="P331" t="str">
            <v/>
          </cell>
          <cell r="Q331">
            <v>25.5</v>
          </cell>
          <cell r="R331" t="str">
            <v>UND</v>
          </cell>
          <cell r="S331">
            <v>0</v>
          </cell>
          <cell r="T331">
            <v>0</v>
          </cell>
          <cell r="U331" t="str">
            <v/>
          </cell>
          <cell r="V331" t="str">
            <v>PRO10</v>
          </cell>
          <cell r="W331">
            <v>0</v>
          </cell>
        </row>
        <row r="332">
          <cell r="C332" t="str">
            <v>LDSUC209</v>
          </cell>
          <cell r="D332" t="str">
            <v>PRINC</v>
          </cell>
          <cell r="E332" t="str">
            <v>00005</v>
          </cell>
          <cell r="F332" t="str">
            <v>CHUMACERAS Y RODAMIENTOS</v>
          </cell>
          <cell r="G332" t="str">
            <v>PRINCIPAL</v>
          </cell>
          <cell r="H332">
            <v>46004</v>
          </cell>
          <cell r="I332" t="str">
            <v>SALDO INICIAL</v>
          </cell>
          <cell r="J332">
            <v>1</v>
          </cell>
          <cell r="K332">
            <v>23.402104999999999</v>
          </cell>
          <cell r="L332">
            <v>23.402104999999999</v>
          </cell>
          <cell r="M332">
            <v>23.402104999999999</v>
          </cell>
          <cell r="N332" t="str">
            <v/>
          </cell>
          <cell r="O332" t="str">
            <v/>
          </cell>
          <cell r="P332" t="str">
            <v/>
          </cell>
          <cell r="Q332">
            <v>28.6</v>
          </cell>
          <cell r="R332" t="str">
            <v>UND</v>
          </cell>
          <cell r="S332">
            <v>0</v>
          </cell>
          <cell r="T332">
            <v>0</v>
          </cell>
          <cell r="U332" t="str">
            <v/>
          </cell>
          <cell r="V332" t="str">
            <v>PRO10</v>
          </cell>
          <cell r="W332">
            <v>0</v>
          </cell>
        </row>
        <row r="333">
          <cell r="C333" t="str">
            <v>LDSUC209-26</v>
          </cell>
          <cell r="D333" t="str">
            <v>PRINC</v>
          </cell>
          <cell r="E333" t="str">
            <v>00005</v>
          </cell>
          <cell r="F333" t="str">
            <v>CHUMACERAS Y RODAMIENTOS</v>
          </cell>
          <cell r="G333" t="str">
            <v>PRINCIPAL</v>
          </cell>
          <cell r="H333">
            <v>46004</v>
          </cell>
          <cell r="I333" t="str">
            <v>SALDO INICIAL</v>
          </cell>
          <cell r="J333">
            <v>10</v>
          </cell>
          <cell r="K333">
            <v>172.57065</v>
          </cell>
          <cell r="L333">
            <v>16.832129999999999</v>
          </cell>
          <cell r="M333">
            <v>17.257065000000001</v>
          </cell>
          <cell r="N333" t="str">
            <v/>
          </cell>
          <cell r="O333" t="str">
            <v/>
          </cell>
          <cell r="P333" t="str">
            <v/>
          </cell>
          <cell r="Q333">
            <v>28.6</v>
          </cell>
          <cell r="R333" t="str">
            <v>UND</v>
          </cell>
          <cell r="S333">
            <v>0</v>
          </cell>
          <cell r="T333">
            <v>0</v>
          </cell>
          <cell r="U333" t="str">
            <v/>
          </cell>
          <cell r="V333" t="str">
            <v>PRO10</v>
          </cell>
          <cell r="W333">
            <v>0</v>
          </cell>
        </row>
        <row r="334">
          <cell r="C334" t="str">
            <v>LDSUC209-27</v>
          </cell>
          <cell r="D334" t="str">
            <v>PRINC</v>
          </cell>
          <cell r="E334" t="str">
            <v>00005</v>
          </cell>
          <cell r="F334" t="str">
            <v>CHUMACERAS Y RODAMIENTOS</v>
          </cell>
          <cell r="G334" t="str">
            <v>PRINCIPAL</v>
          </cell>
          <cell r="H334">
            <v>46004</v>
          </cell>
          <cell r="I334" t="str">
            <v>SALDO INICIAL</v>
          </cell>
          <cell r="J334">
            <v>6</v>
          </cell>
          <cell r="K334">
            <v>106.2426</v>
          </cell>
          <cell r="L334">
            <v>0</v>
          </cell>
          <cell r="M334">
            <v>17.707100000000001</v>
          </cell>
          <cell r="N334" t="str">
            <v/>
          </cell>
          <cell r="O334" t="str">
            <v/>
          </cell>
          <cell r="P334" t="str">
            <v/>
          </cell>
          <cell r="Q334">
            <v>28.6</v>
          </cell>
          <cell r="R334" t="str">
            <v>UND</v>
          </cell>
          <cell r="S334">
            <v>0</v>
          </cell>
          <cell r="T334">
            <v>0</v>
          </cell>
          <cell r="U334" t="str">
            <v/>
          </cell>
          <cell r="V334" t="str">
            <v>PRO10</v>
          </cell>
          <cell r="W334">
            <v>0</v>
          </cell>
        </row>
        <row r="335">
          <cell r="C335" t="str">
            <v>LDSUC210</v>
          </cell>
          <cell r="D335" t="str">
            <v>PRINC</v>
          </cell>
          <cell r="E335" t="str">
            <v>00005</v>
          </cell>
          <cell r="F335" t="str">
            <v>CHUMACERAS Y RODAMIENTOS</v>
          </cell>
          <cell r="G335" t="str">
            <v>PRINCIPAL</v>
          </cell>
          <cell r="H335">
            <v>46004</v>
          </cell>
          <cell r="I335" t="str">
            <v>SALDO INICIAL</v>
          </cell>
          <cell r="J335">
            <v>0</v>
          </cell>
          <cell r="K335">
            <v>-3.7135570000000002</v>
          </cell>
          <cell r="L335">
            <v>19.387188999999999</v>
          </cell>
          <cell r="M335">
            <v>0</v>
          </cell>
          <cell r="N335" t="str">
            <v/>
          </cell>
          <cell r="O335" t="str">
            <v/>
          </cell>
          <cell r="P335" t="str">
            <v/>
          </cell>
          <cell r="Q335">
            <v>35.299999999999997</v>
          </cell>
          <cell r="R335" t="str">
            <v>UND</v>
          </cell>
          <cell r="S335">
            <v>0</v>
          </cell>
          <cell r="T335">
            <v>0</v>
          </cell>
          <cell r="U335" t="str">
            <v/>
          </cell>
          <cell r="V335" t="str">
            <v>PRO10</v>
          </cell>
          <cell r="W335">
            <v>0</v>
          </cell>
        </row>
        <row r="336">
          <cell r="C336" t="str">
            <v>LDSUC210-31</v>
          </cell>
          <cell r="D336" t="str">
            <v>PRINC</v>
          </cell>
          <cell r="E336" t="str">
            <v>00005</v>
          </cell>
          <cell r="F336" t="str">
            <v>CHUMACERAS Y RODAMIENTOS</v>
          </cell>
          <cell r="G336" t="str">
            <v>PRINCIPAL</v>
          </cell>
          <cell r="H336">
            <v>46004</v>
          </cell>
          <cell r="I336" t="str">
            <v>SALDO INICIAL</v>
          </cell>
          <cell r="J336">
            <v>2</v>
          </cell>
          <cell r="K336">
            <v>36.722000000000001</v>
          </cell>
          <cell r="L336">
            <v>18.361000000000001</v>
          </cell>
          <cell r="M336">
            <v>18.361000000000001</v>
          </cell>
          <cell r="N336" t="str">
            <v/>
          </cell>
          <cell r="O336" t="str">
            <v/>
          </cell>
          <cell r="P336" t="str">
            <v/>
          </cell>
          <cell r="Q336">
            <v>35.299999999999997</v>
          </cell>
          <cell r="R336" t="str">
            <v>UND</v>
          </cell>
          <cell r="S336">
            <v>0</v>
          </cell>
          <cell r="T336">
            <v>0</v>
          </cell>
          <cell r="U336" t="str">
            <v/>
          </cell>
          <cell r="V336" t="str">
            <v>PRO10</v>
          </cell>
          <cell r="W336">
            <v>0</v>
          </cell>
        </row>
        <row r="337">
          <cell r="C337" t="str">
            <v>LDSUC210-32</v>
          </cell>
          <cell r="D337" t="str">
            <v>PRINC</v>
          </cell>
          <cell r="E337" t="str">
            <v>00005</v>
          </cell>
          <cell r="F337" t="str">
            <v>CHUMACERAS Y RODAMIENTOS</v>
          </cell>
          <cell r="G337" t="str">
            <v>PRINCIPAL</v>
          </cell>
          <cell r="H337">
            <v>46004</v>
          </cell>
          <cell r="I337" t="str">
            <v>SALDO INICIAL</v>
          </cell>
          <cell r="J337">
            <v>9</v>
          </cell>
          <cell r="K337">
            <v>173.82451699999999</v>
          </cell>
          <cell r="L337">
            <v>19.732441999999999</v>
          </cell>
          <cell r="M337">
            <v>19.313835222000002</v>
          </cell>
          <cell r="N337" t="str">
            <v/>
          </cell>
          <cell r="O337" t="str">
            <v/>
          </cell>
          <cell r="P337" t="str">
            <v/>
          </cell>
          <cell r="Q337">
            <v>35.299999999999997</v>
          </cell>
          <cell r="R337" t="str">
            <v>UND</v>
          </cell>
          <cell r="S337">
            <v>0</v>
          </cell>
          <cell r="T337">
            <v>0</v>
          </cell>
          <cell r="U337" t="str">
            <v/>
          </cell>
          <cell r="V337" t="str">
            <v>PRO10</v>
          </cell>
          <cell r="W337">
            <v>0</v>
          </cell>
        </row>
        <row r="338">
          <cell r="C338" t="str">
            <v>LDSU211</v>
          </cell>
          <cell r="D338" t="str">
            <v>PRINC</v>
          </cell>
          <cell r="E338" t="str">
            <v>00005</v>
          </cell>
          <cell r="F338" t="str">
            <v>CHUMACERAS Y RODAMIENTOS</v>
          </cell>
          <cell r="G338" t="str">
            <v>PRINCIPAL</v>
          </cell>
          <cell r="H338">
            <v>46004</v>
          </cell>
          <cell r="I338" t="str">
            <v>SALDO INICIAL</v>
          </cell>
          <cell r="J338">
            <v>2</v>
          </cell>
          <cell r="K338">
            <v>47.37</v>
          </cell>
          <cell r="L338">
            <v>23.684999999999999</v>
          </cell>
          <cell r="M338">
            <v>23.684999999999999</v>
          </cell>
          <cell r="N338" t="str">
            <v/>
          </cell>
          <cell r="O338" t="str">
            <v/>
          </cell>
          <cell r="P338" t="str">
            <v/>
          </cell>
          <cell r="Q338">
            <v>46.8</v>
          </cell>
          <cell r="R338" t="str">
            <v>UND</v>
          </cell>
          <cell r="S338">
            <v>0</v>
          </cell>
          <cell r="T338">
            <v>0</v>
          </cell>
          <cell r="U338" t="str">
            <v/>
          </cell>
          <cell r="V338" t="str">
            <v>PRO10</v>
          </cell>
          <cell r="W338">
            <v>0</v>
          </cell>
        </row>
        <row r="339">
          <cell r="C339" t="str">
            <v>LDSUC211-32</v>
          </cell>
          <cell r="D339" t="str">
            <v>PRINC</v>
          </cell>
          <cell r="E339" t="str">
            <v>00005</v>
          </cell>
          <cell r="F339" t="str">
            <v>CHUMACERAS Y RODAMIENTOS</v>
          </cell>
          <cell r="G339" t="str">
            <v>PRINCIPAL</v>
          </cell>
          <cell r="H339">
            <v>46004</v>
          </cell>
          <cell r="I339" t="str">
            <v>SALDO INICIAL</v>
          </cell>
          <cell r="J339">
            <v>6</v>
          </cell>
          <cell r="K339">
            <v>113.307602</v>
          </cell>
          <cell r="L339">
            <v>24.302503999999999</v>
          </cell>
          <cell r="M339">
            <v>18.884600333000002</v>
          </cell>
          <cell r="N339" t="str">
            <v/>
          </cell>
          <cell r="O339" t="str">
            <v/>
          </cell>
          <cell r="P339" t="str">
            <v/>
          </cell>
          <cell r="Q339">
            <v>46.8</v>
          </cell>
          <cell r="R339" t="str">
            <v>UND</v>
          </cell>
          <cell r="S339">
            <v>0</v>
          </cell>
          <cell r="T339">
            <v>0</v>
          </cell>
          <cell r="U339" t="str">
            <v/>
          </cell>
          <cell r="V339" t="str">
            <v>PRO10</v>
          </cell>
          <cell r="W339">
            <v>0</v>
          </cell>
        </row>
        <row r="340">
          <cell r="C340" t="str">
            <v>LDSUC212</v>
          </cell>
          <cell r="D340" t="str">
            <v>PRINC</v>
          </cell>
          <cell r="E340" t="str">
            <v>00005</v>
          </cell>
          <cell r="F340" t="str">
            <v>CHUMACERAS Y RODAMIENTOS</v>
          </cell>
          <cell r="G340" t="str">
            <v>PRINCIPAL</v>
          </cell>
          <cell r="H340">
            <v>46004</v>
          </cell>
          <cell r="I340" t="str">
            <v>SALDO INICIAL</v>
          </cell>
          <cell r="J340">
            <v>2</v>
          </cell>
          <cell r="K340">
            <v>60.232726</v>
          </cell>
          <cell r="L340">
            <v>30.116364000000001</v>
          </cell>
          <cell r="M340">
            <v>30.116363</v>
          </cell>
          <cell r="N340" t="str">
            <v/>
          </cell>
          <cell r="O340" t="str">
            <v/>
          </cell>
          <cell r="P340" t="str">
            <v/>
          </cell>
          <cell r="Q340">
            <v>55.7</v>
          </cell>
          <cell r="R340" t="str">
            <v>UND</v>
          </cell>
          <cell r="S340">
            <v>0</v>
          </cell>
          <cell r="T340">
            <v>0</v>
          </cell>
          <cell r="U340" t="str">
            <v/>
          </cell>
          <cell r="V340" t="str">
            <v>PRO10</v>
          </cell>
          <cell r="W340">
            <v>0</v>
          </cell>
        </row>
        <row r="341">
          <cell r="C341" t="str">
            <v>LDSUC212-38</v>
          </cell>
          <cell r="D341" t="str">
            <v>PRINC</v>
          </cell>
          <cell r="E341" t="str">
            <v>00005</v>
          </cell>
          <cell r="F341" t="str">
            <v>CHUMACERAS Y RODAMIENTOS</v>
          </cell>
          <cell r="G341" t="str">
            <v>PRINCIPAL</v>
          </cell>
          <cell r="H341">
            <v>46004</v>
          </cell>
          <cell r="I341" t="str">
            <v>SALDO INICIAL</v>
          </cell>
          <cell r="J341">
            <v>4</v>
          </cell>
          <cell r="K341">
            <v>130.80000000000001</v>
          </cell>
          <cell r="L341">
            <v>32.700000000000003</v>
          </cell>
          <cell r="M341">
            <v>32.700000000000003</v>
          </cell>
          <cell r="N341" t="str">
            <v/>
          </cell>
          <cell r="O341" t="str">
            <v/>
          </cell>
          <cell r="P341" t="str">
            <v/>
          </cell>
          <cell r="Q341">
            <v>55.7</v>
          </cell>
          <cell r="R341" t="str">
            <v>UND</v>
          </cell>
          <cell r="S341">
            <v>0</v>
          </cell>
          <cell r="T341">
            <v>0</v>
          </cell>
          <cell r="U341" t="str">
            <v/>
          </cell>
          <cell r="V341" t="str">
            <v>PRO10</v>
          </cell>
          <cell r="W341">
            <v>0</v>
          </cell>
        </row>
        <row r="342">
          <cell r="C342" t="str">
            <v>LDSUC212-39</v>
          </cell>
          <cell r="D342" t="str">
            <v>PRINC</v>
          </cell>
          <cell r="E342" t="str">
            <v>00005</v>
          </cell>
          <cell r="F342" t="str">
            <v>CHUMACERAS Y RODAMIENTOS</v>
          </cell>
          <cell r="G342" t="str">
            <v>PRINCIPAL</v>
          </cell>
          <cell r="H342">
            <v>46004</v>
          </cell>
          <cell r="I342" t="str">
            <v>SALDO INICIAL</v>
          </cell>
          <cell r="J342">
            <v>4</v>
          </cell>
          <cell r="K342">
            <v>116.6</v>
          </cell>
          <cell r="L342">
            <v>29.15</v>
          </cell>
          <cell r="M342">
            <v>29.15</v>
          </cell>
          <cell r="N342" t="str">
            <v/>
          </cell>
          <cell r="O342" t="str">
            <v/>
          </cell>
          <cell r="P342" t="str">
            <v/>
          </cell>
          <cell r="Q342">
            <v>55.7</v>
          </cell>
          <cell r="R342" t="str">
            <v>UND</v>
          </cell>
          <cell r="S342">
            <v>0</v>
          </cell>
          <cell r="T342">
            <v>0</v>
          </cell>
          <cell r="U342" t="str">
            <v/>
          </cell>
          <cell r="V342" t="str">
            <v>PRO10</v>
          </cell>
          <cell r="W342">
            <v>0</v>
          </cell>
        </row>
        <row r="343">
          <cell r="C343" t="str">
            <v>LDSUC213</v>
          </cell>
          <cell r="D343" t="str">
            <v>PRINC</v>
          </cell>
          <cell r="E343" t="str">
            <v>00005</v>
          </cell>
          <cell r="F343" t="str">
            <v>CHUMACERAS Y RODAMIENTOS</v>
          </cell>
          <cell r="G343" t="str">
            <v>PRINCIPAL</v>
          </cell>
          <cell r="H343">
            <v>46004</v>
          </cell>
          <cell r="I343" t="str">
            <v>SALDO INICIAL</v>
          </cell>
          <cell r="J343">
            <v>10</v>
          </cell>
          <cell r="K343">
            <v>583.07000200000004</v>
          </cell>
          <cell r="L343">
            <v>67.44</v>
          </cell>
          <cell r="M343">
            <v>58.307000199999997</v>
          </cell>
          <cell r="N343" t="str">
            <v/>
          </cell>
          <cell r="O343" t="str">
            <v/>
          </cell>
          <cell r="P343" t="str">
            <v/>
          </cell>
          <cell r="Q343">
            <v>107.4</v>
          </cell>
          <cell r="R343" t="str">
            <v>UND</v>
          </cell>
          <cell r="S343">
            <v>0</v>
          </cell>
          <cell r="T343">
            <v>0</v>
          </cell>
          <cell r="U343" t="str">
            <v/>
          </cell>
          <cell r="V343" t="str">
            <v>PRO10</v>
          </cell>
          <cell r="W343">
            <v>0</v>
          </cell>
        </row>
        <row r="344">
          <cell r="C344" t="str">
            <v>LDSUC213-40</v>
          </cell>
          <cell r="D344" t="str">
            <v>PRINC</v>
          </cell>
          <cell r="E344" t="str">
            <v>00005</v>
          </cell>
          <cell r="F344" t="str">
            <v>CHUMACERAS Y RODAMIENTOS</v>
          </cell>
          <cell r="G344" t="str">
            <v>PRINCIPAL</v>
          </cell>
          <cell r="H344">
            <v>46004</v>
          </cell>
          <cell r="I344" t="str">
            <v>SALDO INICIAL</v>
          </cell>
          <cell r="J344">
            <v>0</v>
          </cell>
          <cell r="K344">
            <v>-24.612469000000001</v>
          </cell>
          <cell r="L344">
            <v>68.084986000000001</v>
          </cell>
          <cell r="M344">
            <v>0</v>
          </cell>
          <cell r="N344" t="str">
            <v/>
          </cell>
          <cell r="O344" t="str">
            <v/>
          </cell>
          <cell r="P344" t="str">
            <v/>
          </cell>
          <cell r="Q344">
            <v>107.4</v>
          </cell>
          <cell r="R344" t="str">
            <v>UND</v>
          </cell>
          <cell r="S344">
            <v>0</v>
          </cell>
          <cell r="T344">
            <v>0</v>
          </cell>
          <cell r="U344" t="str">
            <v/>
          </cell>
          <cell r="V344" t="str">
            <v>PRO10</v>
          </cell>
          <cell r="W344">
            <v>0</v>
          </cell>
        </row>
        <row r="345">
          <cell r="C345" t="str">
            <v>LDSUC215</v>
          </cell>
          <cell r="D345" t="str">
            <v>PRINC</v>
          </cell>
          <cell r="E345" t="str">
            <v>00005</v>
          </cell>
          <cell r="F345" t="str">
            <v>CHUMACERAS Y RODAMIENTOS</v>
          </cell>
          <cell r="G345" t="str">
            <v>PRINCIPAL</v>
          </cell>
          <cell r="H345">
            <v>46004</v>
          </cell>
          <cell r="I345" t="str">
            <v>SALDO INICIAL</v>
          </cell>
          <cell r="J345">
            <v>9</v>
          </cell>
          <cell r="K345">
            <v>991.84880699999997</v>
          </cell>
          <cell r="L345">
            <v>110.205423</v>
          </cell>
          <cell r="M345">
            <v>110.205423</v>
          </cell>
          <cell r="N345" t="str">
            <v/>
          </cell>
          <cell r="O345" t="str">
            <v/>
          </cell>
          <cell r="P345" t="str">
            <v/>
          </cell>
          <cell r="Q345">
            <v>165.5</v>
          </cell>
          <cell r="R345" t="str">
            <v>UND</v>
          </cell>
          <cell r="S345">
            <v>0</v>
          </cell>
          <cell r="T345">
            <v>0</v>
          </cell>
          <cell r="U345" t="str">
            <v/>
          </cell>
          <cell r="V345" t="str">
            <v>PRO10</v>
          </cell>
          <cell r="W345">
            <v>0</v>
          </cell>
        </row>
        <row r="346">
          <cell r="C346" t="str">
            <v>LDSUC215-48</v>
          </cell>
          <cell r="D346" t="str">
            <v>PRINC</v>
          </cell>
          <cell r="E346" t="str">
            <v>00005</v>
          </cell>
          <cell r="F346" t="str">
            <v>CHUMACERAS Y RODAMIENTOS</v>
          </cell>
          <cell r="G346" t="str">
            <v>PRINCIPAL</v>
          </cell>
          <cell r="H346">
            <v>46004</v>
          </cell>
          <cell r="I346" t="str">
            <v>SALDO INICIAL</v>
          </cell>
          <cell r="J346">
            <v>2</v>
          </cell>
          <cell r="K346">
            <v>142.17605599999999</v>
          </cell>
          <cell r="L346">
            <v>107.897656</v>
          </cell>
          <cell r="M346">
            <v>71.088027999999994</v>
          </cell>
          <cell r="N346" t="str">
            <v/>
          </cell>
          <cell r="O346" t="str">
            <v/>
          </cell>
          <cell r="P346" t="str">
            <v/>
          </cell>
          <cell r="Q346">
            <v>165.5</v>
          </cell>
          <cell r="R346" t="str">
            <v>UND</v>
          </cell>
          <cell r="S346">
            <v>0</v>
          </cell>
          <cell r="T346">
            <v>0</v>
          </cell>
          <cell r="U346" t="str">
            <v/>
          </cell>
          <cell r="V346" t="str">
            <v>PRO10</v>
          </cell>
          <cell r="W346">
            <v>0</v>
          </cell>
        </row>
        <row r="347">
          <cell r="C347" t="str">
            <v>LDTAPAPLASTM6</v>
          </cell>
          <cell r="D347" t="str">
            <v>PRINC</v>
          </cell>
          <cell r="E347" t="str">
            <v>00005</v>
          </cell>
          <cell r="F347" t="str">
            <v>CHUMACERAS Y RODAMIENTOS</v>
          </cell>
          <cell r="G347" t="str">
            <v>PRINCIPAL</v>
          </cell>
          <cell r="H347">
            <v>46004</v>
          </cell>
          <cell r="I347" t="str">
            <v>SALDO INICIAL</v>
          </cell>
          <cell r="J347">
            <v>1486</v>
          </cell>
          <cell r="K347">
            <v>37.447200000000002</v>
          </cell>
          <cell r="L347">
            <v>2.52E-2</v>
          </cell>
          <cell r="M347">
            <v>2.52E-2</v>
          </cell>
          <cell r="N347" t="str">
            <v/>
          </cell>
          <cell r="O347" t="str">
            <v/>
          </cell>
          <cell r="P347" t="str">
            <v/>
          </cell>
          <cell r="Q347">
            <v>0</v>
          </cell>
          <cell r="R347" t="str">
            <v>UND</v>
          </cell>
          <cell r="S347">
            <v>0</v>
          </cell>
          <cell r="T347">
            <v>0</v>
          </cell>
          <cell r="U347" t="str">
            <v/>
          </cell>
          <cell r="V347" t="str">
            <v>PRO10</v>
          </cell>
          <cell r="W347">
            <v>0</v>
          </cell>
        </row>
        <row r="348">
          <cell r="C348" t="str">
            <v>LDTPF204</v>
          </cell>
          <cell r="D348" t="str">
            <v>PRINC</v>
          </cell>
          <cell r="E348" t="str">
            <v>00005</v>
          </cell>
          <cell r="F348" t="str">
            <v>CHUMACERAS Y RODAMIENTOS</v>
          </cell>
          <cell r="G348" t="str">
            <v>PRINCIPAL</v>
          </cell>
          <cell r="H348">
            <v>46004</v>
          </cell>
          <cell r="I348" t="str">
            <v>SALDO INICIAL</v>
          </cell>
          <cell r="J348">
            <v>2</v>
          </cell>
          <cell r="K348">
            <v>6.8875140000000004</v>
          </cell>
          <cell r="L348">
            <v>3.45</v>
          </cell>
          <cell r="M348">
            <v>3.4437570000000002</v>
          </cell>
          <cell r="N348" t="str">
            <v/>
          </cell>
          <cell r="O348" t="str">
            <v/>
          </cell>
          <cell r="P348" t="str">
            <v/>
          </cell>
          <cell r="Q348">
            <v>5.7</v>
          </cell>
          <cell r="R348" t="str">
            <v>UND</v>
          </cell>
          <cell r="S348">
            <v>0</v>
          </cell>
          <cell r="T348">
            <v>0</v>
          </cell>
          <cell r="U348" t="str">
            <v/>
          </cell>
          <cell r="V348" t="str">
            <v>PRO10</v>
          </cell>
          <cell r="W348">
            <v>0</v>
          </cell>
        </row>
        <row r="349">
          <cell r="C349" t="str">
            <v>LDTPF206</v>
          </cell>
          <cell r="D349" t="str">
            <v>PRINC</v>
          </cell>
          <cell r="E349" t="str">
            <v>00005</v>
          </cell>
          <cell r="F349" t="str">
            <v>CHUMACERAS Y RODAMIENTOS</v>
          </cell>
          <cell r="G349" t="str">
            <v>PRINCIPAL</v>
          </cell>
          <cell r="H349">
            <v>46004</v>
          </cell>
          <cell r="I349" t="str">
            <v>SALDO INICIAL</v>
          </cell>
          <cell r="J349">
            <v>54</v>
          </cell>
          <cell r="K349">
            <v>200.43444400000001</v>
          </cell>
          <cell r="L349">
            <v>3.7117490000000002</v>
          </cell>
          <cell r="M349">
            <v>3.7117489629999998</v>
          </cell>
          <cell r="N349" t="str">
            <v/>
          </cell>
          <cell r="O349" t="str">
            <v/>
          </cell>
          <cell r="P349" t="str">
            <v/>
          </cell>
          <cell r="Q349">
            <v>7.05</v>
          </cell>
          <cell r="R349" t="str">
            <v>UND</v>
          </cell>
          <cell r="S349">
            <v>0</v>
          </cell>
          <cell r="T349">
            <v>0</v>
          </cell>
          <cell r="U349" t="str">
            <v/>
          </cell>
          <cell r="V349" t="str">
            <v>PRO10</v>
          </cell>
          <cell r="W349">
            <v>0</v>
          </cell>
        </row>
        <row r="350">
          <cell r="C350" t="str">
            <v>LDTPF207</v>
          </cell>
          <cell r="D350" t="str">
            <v>PRINC</v>
          </cell>
          <cell r="E350" t="str">
            <v>00005</v>
          </cell>
          <cell r="F350" t="str">
            <v>CHUMACERAS Y RODAMIENTOS</v>
          </cell>
          <cell r="G350" t="str">
            <v>PRINCIPAL</v>
          </cell>
          <cell r="H350">
            <v>46004</v>
          </cell>
          <cell r="I350" t="str">
            <v>SALDO INICIAL</v>
          </cell>
          <cell r="J350">
            <v>122</v>
          </cell>
          <cell r="K350">
            <v>261.139792</v>
          </cell>
          <cell r="L350">
            <v>3.2687059999999999</v>
          </cell>
          <cell r="M350">
            <v>2.1404900979999999</v>
          </cell>
          <cell r="N350" t="str">
            <v/>
          </cell>
          <cell r="O350" t="str">
            <v/>
          </cell>
          <cell r="P350" t="str">
            <v/>
          </cell>
          <cell r="Q350">
            <v>0</v>
          </cell>
          <cell r="R350" t="str">
            <v>UND</v>
          </cell>
          <cell r="S350">
            <v>0</v>
          </cell>
          <cell r="T350">
            <v>0</v>
          </cell>
          <cell r="U350" t="str">
            <v/>
          </cell>
          <cell r="V350" t="str">
            <v>PRO10</v>
          </cell>
          <cell r="W350">
            <v>0</v>
          </cell>
        </row>
        <row r="351">
          <cell r="C351" t="str">
            <v>LDTPFB207</v>
          </cell>
          <cell r="D351" t="str">
            <v>PRINC</v>
          </cell>
          <cell r="E351" t="str">
            <v>00005</v>
          </cell>
          <cell r="F351" t="str">
            <v>CHUMACERAS Y RODAMIENTOS</v>
          </cell>
          <cell r="G351" t="str">
            <v>PRINCIPAL</v>
          </cell>
          <cell r="H351">
            <v>46004</v>
          </cell>
          <cell r="I351" t="str">
            <v>SALDO INICIAL</v>
          </cell>
          <cell r="J351">
            <v>2</v>
          </cell>
          <cell r="K351">
            <v>10.508889999999999</v>
          </cell>
          <cell r="L351">
            <v>0</v>
          </cell>
          <cell r="M351">
            <v>5.2544449999999996</v>
          </cell>
          <cell r="N351" t="str">
            <v/>
          </cell>
          <cell r="O351" t="str">
            <v/>
          </cell>
          <cell r="P351" t="str">
            <v/>
          </cell>
          <cell r="Q351">
            <v>0</v>
          </cell>
          <cell r="R351" t="str">
            <v>UND</v>
          </cell>
          <cell r="S351">
            <v>0</v>
          </cell>
          <cell r="T351">
            <v>0</v>
          </cell>
          <cell r="U351" t="str">
            <v/>
          </cell>
          <cell r="V351" t="str">
            <v>PRO10</v>
          </cell>
          <cell r="W351">
            <v>0</v>
          </cell>
        </row>
        <row r="352">
          <cell r="C352" t="str">
            <v>LDTPFL204</v>
          </cell>
          <cell r="D352" t="str">
            <v>PRINC</v>
          </cell>
          <cell r="E352" t="str">
            <v>00005</v>
          </cell>
          <cell r="F352" t="str">
            <v>CHUMACERAS Y RODAMIENTOS</v>
          </cell>
          <cell r="G352" t="str">
            <v>PRINCIPAL</v>
          </cell>
          <cell r="H352">
            <v>46004</v>
          </cell>
          <cell r="I352" t="str">
            <v>SALDO INICIAL</v>
          </cell>
          <cell r="J352">
            <v>1</v>
          </cell>
          <cell r="K352">
            <v>2.5210680000000001</v>
          </cell>
          <cell r="L352">
            <v>0</v>
          </cell>
          <cell r="M352">
            <v>2.5210680000000001</v>
          </cell>
          <cell r="N352" t="str">
            <v/>
          </cell>
          <cell r="O352" t="str">
            <v/>
          </cell>
          <cell r="P352" t="str">
            <v/>
          </cell>
          <cell r="Q352">
            <v>0</v>
          </cell>
          <cell r="R352" t="str">
            <v>UND</v>
          </cell>
          <cell r="S352">
            <v>0</v>
          </cell>
          <cell r="T352">
            <v>0</v>
          </cell>
          <cell r="U352" t="str">
            <v/>
          </cell>
          <cell r="V352" t="str">
            <v>PRO10</v>
          </cell>
          <cell r="W352">
            <v>0</v>
          </cell>
        </row>
        <row r="353">
          <cell r="C353" t="str">
            <v>LDTPFL207</v>
          </cell>
          <cell r="D353" t="str">
            <v>PRINC</v>
          </cell>
          <cell r="E353" t="str">
            <v>00005</v>
          </cell>
          <cell r="F353" t="str">
            <v>CHUMACERAS Y RODAMIENTOS</v>
          </cell>
          <cell r="G353" t="str">
            <v>PRINCIPAL</v>
          </cell>
          <cell r="H353">
            <v>46004</v>
          </cell>
          <cell r="I353" t="str">
            <v>SALDO INICIAL</v>
          </cell>
          <cell r="J353">
            <v>24</v>
          </cell>
          <cell r="K353">
            <v>81.510383000000004</v>
          </cell>
          <cell r="L353">
            <v>3.3962659999999998</v>
          </cell>
          <cell r="M353">
            <v>3.3962659579999999</v>
          </cell>
          <cell r="N353" t="str">
            <v/>
          </cell>
          <cell r="O353" t="str">
            <v/>
          </cell>
          <cell r="P353" t="str">
            <v/>
          </cell>
          <cell r="Q353">
            <v>7.2</v>
          </cell>
          <cell r="R353" t="str">
            <v>UND</v>
          </cell>
          <cell r="S353">
            <v>0</v>
          </cell>
          <cell r="T353">
            <v>0</v>
          </cell>
          <cell r="U353" t="str">
            <v/>
          </cell>
          <cell r="V353" t="str">
            <v>PRO10</v>
          </cell>
          <cell r="W353">
            <v>0</v>
          </cell>
        </row>
        <row r="354">
          <cell r="C354" t="str">
            <v>LDTPFL208</v>
          </cell>
          <cell r="D354" t="str">
            <v>PRINC</v>
          </cell>
          <cell r="E354" t="str">
            <v>00005</v>
          </cell>
          <cell r="F354" t="str">
            <v>CHUMACERAS Y RODAMIENTOS</v>
          </cell>
          <cell r="G354" t="str">
            <v>PRINCIPAL</v>
          </cell>
          <cell r="H354">
            <v>46004</v>
          </cell>
          <cell r="I354" t="str">
            <v>SALDO INICIAL</v>
          </cell>
          <cell r="J354">
            <v>1</v>
          </cell>
          <cell r="K354">
            <v>4.4260000000000002</v>
          </cell>
          <cell r="L354">
            <v>4.4260000000000002</v>
          </cell>
          <cell r="M354">
            <v>4.4260000000000002</v>
          </cell>
          <cell r="N354" t="str">
            <v/>
          </cell>
          <cell r="O354" t="str">
            <v/>
          </cell>
          <cell r="P354" t="str">
            <v/>
          </cell>
          <cell r="Q354">
            <v>8.1</v>
          </cell>
          <cell r="R354" t="str">
            <v>UND</v>
          </cell>
          <cell r="S354">
            <v>0</v>
          </cell>
          <cell r="T354">
            <v>0</v>
          </cell>
          <cell r="U354" t="str">
            <v/>
          </cell>
          <cell r="V354" t="str">
            <v>PRO10</v>
          </cell>
          <cell r="W354">
            <v>0</v>
          </cell>
        </row>
        <row r="355">
          <cell r="C355" t="str">
            <v>LDTPP204</v>
          </cell>
          <cell r="D355" t="str">
            <v>PRINC</v>
          </cell>
          <cell r="E355" t="str">
            <v>00005</v>
          </cell>
          <cell r="F355" t="str">
            <v>CHUMACERAS Y RODAMIENTOS</v>
          </cell>
          <cell r="G355" t="str">
            <v>PRINCIPAL</v>
          </cell>
          <cell r="H355">
            <v>46004</v>
          </cell>
          <cell r="I355" t="str">
            <v>SALDO INICIAL</v>
          </cell>
          <cell r="J355">
            <v>59</v>
          </cell>
          <cell r="K355">
            <v>135.88776200000001</v>
          </cell>
          <cell r="L355">
            <v>2.352106</v>
          </cell>
          <cell r="M355">
            <v>2.303182407</v>
          </cell>
          <cell r="N355" t="str">
            <v/>
          </cell>
          <cell r="O355" t="str">
            <v/>
          </cell>
          <cell r="P355" t="str">
            <v/>
          </cell>
          <cell r="Q355">
            <v>3.6</v>
          </cell>
          <cell r="R355" t="str">
            <v>UND</v>
          </cell>
          <cell r="S355">
            <v>0</v>
          </cell>
          <cell r="T355">
            <v>0</v>
          </cell>
          <cell r="U355" t="str">
            <v/>
          </cell>
          <cell r="V355" t="str">
            <v>PRO10</v>
          </cell>
          <cell r="W355">
            <v>0</v>
          </cell>
        </row>
        <row r="356">
          <cell r="C356" t="str">
            <v>LDTPP206</v>
          </cell>
          <cell r="D356" t="str">
            <v>PRINC</v>
          </cell>
          <cell r="E356" t="str">
            <v>00005</v>
          </cell>
          <cell r="F356" t="str">
            <v>CHUMACERAS Y RODAMIENTOS</v>
          </cell>
          <cell r="G356" t="str">
            <v>PRINCIPAL</v>
          </cell>
          <cell r="H356">
            <v>46004</v>
          </cell>
          <cell r="I356" t="str">
            <v>SALDO INICIAL</v>
          </cell>
          <cell r="J356">
            <v>2</v>
          </cell>
          <cell r="K356">
            <v>5.4595779999999996</v>
          </cell>
          <cell r="L356">
            <v>2.7297889999999998</v>
          </cell>
          <cell r="M356">
            <v>2.7297889999999998</v>
          </cell>
          <cell r="N356" t="str">
            <v/>
          </cell>
          <cell r="O356" t="str">
            <v/>
          </cell>
          <cell r="P356" t="str">
            <v/>
          </cell>
          <cell r="Q356">
            <v>7.1</v>
          </cell>
          <cell r="R356" t="str">
            <v>UND</v>
          </cell>
          <cell r="S356">
            <v>0</v>
          </cell>
          <cell r="T356">
            <v>0</v>
          </cell>
          <cell r="U356" t="str">
            <v/>
          </cell>
          <cell r="V356" t="str">
            <v>PRO10</v>
          </cell>
          <cell r="W356">
            <v>0</v>
          </cell>
        </row>
        <row r="357">
          <cell r="C357" t="str">
            <v>LDTPP207</v>
          </cell>
          <cell r="D357" t="str">
            <v>PRINC</v>
          </cell>
          <cell r="E357" t="str">
            <v>00005</v>
          </cell>
          <cell r="F357" t="str">
            <v>CHUMACERAS Y RODAMIENTOS</v>
          </cell>
          <cell r="G357" t="str">
            <v>PRINCIPAL</v>
          </cell>
          <cell r="H357">
            <v>46004</v>
          </cell>
          <cell r="I357" t="str">
            <v>SALDO INICIAL</v>
          </cell>
          <cell r="J357">
            <v>49</v>
          </cell>
          <cell r="K357">
            <v>193.73883000000001</v>
          </cell>
          <cell r="L357">
            <v>3.6507260000000001</v>
          </cell>
          <cell r="M357">
            <v>3.9538536729999998</v>
          </cell>
          <cell r="N357" t="str">
            <v/>
          </cell>
          <cell r="O357" t="str">
            <v/>
          </cell>
          <cell r="P357" t="str">
            <v/>
          </cell>
          <cell r="Q357">
            <v>7.9</v>
          </cell>
          <cell r="R357" t="str">
            <v>UND</v>
          </cell>
          <cell r="S357">
            <v>0</v>
          </cell>
          <cell r="T357">
            <v>0</v>
          </cell>
          <cell r="U357" t="str">
            <v/>
          </cell>
          <cell r="V357" t="str">
            <v>PRO10</v>
          </cell>
          <cell r="W357">
            <v>0</v>
          </cell>
        </row>
        <row r="358">
          <cell r="C358" t="str">
            <v>LDTPP208</v>
          </cell>
          <cell r="D358" t="str">
            <v>PRINC</v>
          </cell>
          <cell r="E358" t="str">
            <v>00005</v>
          </cell>
          <cell r="F358" t="str">
            <v>CHUMACERAS Y RODAMIENTOS</v>
          </cell>
          <cell r="G358" t="str">
            <v>PRINCIPAL</v>
          </cell>
          <cell r="H358">
            <v>46004</v>
          </cell>
          <cell r="I358" t="str">
            <v>SALDO INICIAL</v>
          </cell>
          <cell r="J358">
            <v>24</v>
          </cell>
          <cell r="K358">
            <v>129.38711599999999</v>
          </cell>
          <cell r="L358">
            <v>5.3911300000000004</v>
          </cell>
          <cell r="M358">
            <v>5.3911298329999999</v>
          </cell>
          <cell r="N358" t="str">
            <v/>
          </cell>
          <cell r="O358" t="str">
            <v/>
          </cell>
          <cell r="P358" t="str">
            <v/>
          </cell>
          <cell r="Q358">
            <v>10</v>
          </cell>
          <cell r="R358" t="str">
            <v>UND</v>
          </cell>
          <cell r="S358">
            <v>0</v>
          </cell>
          <cell r="T358">
            <v>0</v>
          </cell>
          <cell r="U358" t="str">
            <v/>
          </cell>
          <cell r="V358" t="str">
            <v>PRO10</v>
          </cell>
          <cell r="W358">
            <v>0</v>
          </cell>
        </row>
        <row r="359">
          <cell r="C359" t="str">
            <v>LDTPP209</v>
          </cell>
          <cell r="D359" t="str">
            <v>PRINC</v>
          </cell>
          <cell r="E359" t="str">
            <v>00005</v>
          </cell>
          <cell r="F359" t="str">
            <v>CHUMACERAS Y RODAMIENTOS</v>
          </cell>
          <cell r="G359" t="str">
            <v>PRINCIPAL</v>
          </cell>
          <cell r="H359">
            <v>46004</v>
          </cell>
          <cell r="I359" t="str">
            <v>SALDO INICIAL</v>
          </cell>
          <cell r="J359">
            <v>8</v>
          </cell>
          <cell r="K359">
            <v>45.8</v>
          </cell>
          <cell r="L359">
            <v>0</v>
          </cell>
          <cell r="M359">
            <v>5.7249999999999996</v>
          </cell>
          <cell r="N359" t="str">
            <v/>
          </cell>
          <cell r="O359" t="str">
            <v/>
          </cell>
          <cell r="P359" t="str">
            <v/>
          </cell>
          <cell r="Q359">
            <v>10.4</v>
          </cell>
          <cell r="R359" t="str">
            <v>UND</v>
          </cell>
          <cell r="S359">
            <v>0</v>
          </cell>
          <cell r="T359">
            <v>0</v>
          </cell>
          <cell r="U359" t="str">
            <v/>
          </cell>
          <cell r="V359" t="str">
            <v>PRO10</v>
          </cell>
          <cell r="W359">
            <v>0</v>
          </cell>
        </row>
        <row r="360">
          <cell r="C360" t="str">
            <v>LDTPSSBLF201-8</v>
          </cell>
          <cell r="D360" t="str">
            <v>PRINC</v>
          </cell>
          <cell r="E360" t="str">
            <v>00005</v>
          </cell>
          <cell r="F360" t="str">
            <v>CHUMACERAS Y RODAMIENTOS</v>
          </cell>
          <cell r="G360" t="str">
            <v>PRINCIPAL</v>
          </cell>
          <cell r="H360">
            <v>46004</v>
          </cell>
          <cell r="I360" t="str">
            <v>SALDO INICIAL</v>
          </cell>
          <cell r="J360">
            <v>8</v>
          </cell>
          <cell r="K360">
            <v>51.271999999999998</v>
          </cell>
          <cell r="L360">
            <v>6.4089999999999998</v>
          </cell>
          <cell r="M360">
            <v>6.4089999999999998</v>
          </cell>
          <cell r="N360" t="str">
            <v/>
          </cell>
          <cell r="O360" t="str">
            <v/>
          </cell>
          <cell r="P360" t="str">
            <v/>
          </cell>
          <cell r="Q360">
            <v>13.05</v>
          </cell>
          <cell r="R360" t="str">
            <v>UND</v>
          </cell>
          <cell r="S360">
            <v>0</v>
          </cell>
          <cell r="T360">
            <v>0</v>
          </cell>
          <cell r="U360" t="str">
            <v/>
          </cell>
          <cell r="V360" t="str">
            <v>PRO10</v>
          </cell>
          <cell r="W360">
            <v>0</v>
          </cell>
        </row>
        <row r="361">
          <cell r="C361" t="str">
            <v>LDTPSSBLF202-10</v>
          </cell>
          <cell r="D361" t="str">
            <v>PRINC</v>
          </cell>
          <cell r="E361" t="str">
            <v>00005</v>
          </cell>
          <cell r="F361" t="str">
            <v>CHUMACERAS Y RODAMIENTOS</v>
          </cell>
          <cell r="G361" t="str">
            <v>PRINCIPAL</v>
          </cell>
          <cell r="H361">
            <v>46004</v>
          </cell>
          <cell r="I361" t="str">
            <v>SALDO INICIAL</v>
          </cell>
          <cell r="J361">
            <v>10</v>
          </cell>
          <cell r="K361">
            <v>61.51</v>
          </cell>
          <cell r="L361">
            <v>0</v>
          </cell>
          <cell r="M361">
            <v>6.1509999999999998</v>
          </cell>
          <cell r="N361" t="str">
            <v/>
          </cell>
          <cell r="O361" t="str">
            <v/>
          </cell>
          <cell r="P361" t="str">
            <v/>
          </cell>
          <cell r="Q361">
            <v>12.5</v>
          </cell>
          <cell r="R361" t="str">
            <v>UND</v>
          </cell>
          <cell r="S361">
            <v>0</v>
          </cell>
          <cell r="T361">
            <v>0</v>
          </cell>
          <cell r="U361" t="str">
            <v/>
          </cell>
          <cell r="V361" t="str">
            <v>PRO10</v>
          </cell>
          <cell r="W361">
            <v>0</v>
          </cell>
        </row>
        <row r="362">
          <cell r="C362" t="str">
            <v>LDTPSSBLF204</v>
          </cell>
          <cell r="D362" t="str">
            <v>PRINC</v>
          </cell>
          <cell r="E362" t="str">
            <v>00005</v>
          </cell>
          <cell r="F362" t="str">
            <v>CHUMACERAS Y RODAMIENTOS</v>
          </cell>
          <cell r="G362" t="str">
            <v>PRINCIPAL</v>
          </cell>
          <cell r="H362">
            <v>46004</v>
          </cell>
          <cell r="I362" t="str">
            <v>SALDO INICIAL</v>
          </cell>
          <cell r="J362">
            <v>12</v>
          </cell>
          <cell r="K362">
            <v>76.92</v>
          </cell>
          <cell r="L362">
            <v>7.7190000000000003</v>
          </cell>
          <cell r="M362">
            <v>6.41</v>
          </cell>
          <cell r="N362" t="str">
            <v/>
          </cell>
          <cell r="O362" t="str">
            <v/>
          </cell>
          <cell r="P362" t="str">
            <v/>
          </cell>
          <cell r="Q362">
            <v>13.25</v>
          </cell>
          <cell r="R362" t="str">
            <v>UND</v>
          </cell>
          <cell r="S362">
            <v>0</v>
          </cell>
          <cell r="T362">
            <v>0</v>
          </cell>
          <cell r="U362" t="str">
            <v/>
          </cell>
          <cell r="V362" t="str">
            <v>PRO10</v>
          </cell>
          <cell r="W362">
            <v>0</v>
          </cell>
        </row>
        <row r="363">
          <cell r="C363" t="str">
            <v>LDTPSSBLF204-12</v>
          </cell>
          <cell r="D363" t="str">
            <v>PRINC</v>
          </cell>
          <cell r="E363" t="str">
            <v>00005</v>
          </cell>
          <cell r="F363" t="str">
            <v>CHUMACERAS Y RODAMIENTOS</v>
          </cell>
          <cell r="G363" t="str">
            <v>PRINCIPAL</v>
          </cell>
          <cell r="H363">
            <v>46004</v>
          </cell>
          <cell r="I363" t="str">
            <v>SALDO INICIAL</v>
          </cell>
          <cell r="J363">
            <v>14</v>
          </cell>
          <cell r="K363">
            <v>100.1</v>
          </cell>
          <cell r="L363">
            <v>7.15</v>
          </cell>
          <cell r="M363">
            <v>7.15</v>
          </cell>
          <cell r="N363" t="str">
            <v/>
          </cell>
          <cell r="O363" t="str">
            <v/>
          </cell>
          <cell r="P363" t="str">
            <v/>
          </cell>
          <cell r="Q363">
            <v>15.9</v>
          </cell>
          <cell r="R363" t="str">
            <v>UND</v>
          </cell>
          <cell r="S363">
            <v>0</v>
          </cell>
          <cell r="T363">
            <v>0</v>
          </cell>
          <cell r="U363" t="str">
            <v/>
          </cell>
          <cell r="V363" t="str">
            <v>PRO10</v>
          </cell>
          <cell r="W363">
            <v>0</v>
          </cell>
        </row>
        <row r="364">
          <cell r="C364" t="str">
            <v>LDTPSSBLF205</v>
          </cell>
          <cell r="D364" t="str">
            <v>PRINC</v>
          </cell>
          <cell r="E364" t="str">
            <v>00005</v>
          </cell>
          <cell r="F364" t="str">
            <v>CHUMACERAS Y RODAMIENTOS</v>
          </cell>
          <cell r="G364" t="str">
            <v>PRINCIPAL</v>
          </cell>
          <cell r="H364">
            <v>46004</v>
          </cell>
          <cell r="I364" t="str">
            <v>SALDO INICIAL</v>
          </cell>
          <cell r="J364">
            <v>6</v>
          </cell>
          <cell r="K364">
            <v>52.661999999999999</v>
          </cell>
          <cell r="L364">
            <v>8.7769999999999992</v>
          </cell>
          <cell r="M364">
            <v>8.7769999999999992</v>
          </cell>
          <cell r="N364" t="str">
            <v/>
          </cell>
          <cell r="O364" t="str">
            <v/>
          </cell>
          <cell r="P364" t="str">
            <v/>
          </cell>
          <cell r="Q364">
            <v>16.8</v>
          </cell>
          <cell r="R364" t="str">
            <v>UND</v>
          </cell>
          <cell r="S364">
            <v>0</v>
          </cell>
          <cell r="T364">
            <v>0</v>
          </cell>
          <cell r="U364" t="str">
            <v/>
          </cell>
          <cell r="V364" t="str">
            <v>PRO10</v>
          </cell>
          <cell r="W364">
            <v>0</v>
          </cell>
        </row>
        <row r="365">
          <cell r="C365" t="str">
            <v>LDTPSSBLF205-16</v>
          </cell>
          <cell r="D365" t="str">
            <v>PRINC</v>
          </cell>
          <cell r="E365" t="str">
            <v>00005</v>
          </cell>
          <cell r="F365" t="str">
            <v>CHUMACERAS Y RODAMIENTOS</v>
          </cell>
          <cell r="G365" t="str">
            <v>PRINCIPAL</v>
          </cell>
          <cell r="H365">
            <v>46004</v>
          </cell>
          <cell r="I365" t="str">
            <v>SALDO INICIAL</v>
          </cell>
          <cell r="J365">
            <v>12</v>
          </cell>
          <cell r="K365">
            <v>96.986947999999998</v>
          </cell>
          <cell r="L365">
            <v>8.0809999999999995</v>
          </cell>
          <cell r="M365">
            <v>8.0822456670000005</v>
          </cell>
          <cell r="N365" t="str">
            <v/>
          </cell>
          <cell r="O365" t="str">
            <v/>
          </cell>
          <cell r="P365" t="str">
            <v/>
          </cell>
          <cell r="Q365">
            <v>16.8</v>
          </cell>
          <cell r="R365" t="str">
            <v>UND</v>
          </cell>
          <cell r="S365">
            <v>0</v>
          </cell>
          <cell r="T365">
            <v>0</v>
          </cell>
          <cell r="U365" t="str">
            <v/>
          </cell>
          <cell r="V365" t="str">
            <v>PRO10</v>
          </cell>
          <cell r="W365">
            <v>0</v>
          </cell>
        </row>
        <row r="366">
          <cell r="C366" t="str">
            <v>LDTPSUCF201-8</v>
          </cell>
          <cell r="D366" t="str">
            <v>PRINC</v>
          </cell>
          <cell r="E366" t="str">
            <v>00005</v>
          </cell>
          <cell r="F366" t="str">
            <v>CHUMACERAS Y RODAMIENTOS</v>
          </cell>
          <cell r="G366" t="str">
            <v>PRINCIPAL</v>
          </cell>
          <cell r="H366">
            <v>46004</v>
          </cell>
          <cell r="I366" t="str">
            <v>SALDO INICIAL</v>
          </cell>
          <cell r="J366">
            <v>1</v>
          </cell>
          <cell r="K366">
            <v>9.0579680000000007</v>
          </cell>
          <cell r="L366">
            <v>9.0579689999999999</v>
          </cell>
          <cell r="M366">
            <v>9.0579680000000007</v>
          </cell>
          <cell r="N366" t="str">
            <v/>
          </cell>
          <cell r="O366" t="str">
            <v/>
          </cell>
          <cell r="P366" t="str">
            <v/>
          </cell>
          <cell r="Q366">
            <v>0</v>
          </cell>
          <cell r="R366" t="str">
            <v>UND</v>
          </cell>
          <cell r="S366">
            <v>0</v>
          </cell>
          <cell r="T366">
            <v>0</v>
          </cell>
          <cell r="U366" t="str">
            <v/>
          </cell>
          <cell r="V366" t="str">
            <v>PRO10</v>
          </cell>
          <cell r="W366">
            <v>0</v>
          </cell>
        </row>
        <row r="367">
          <cell r="C367" t="str">
            <v>LDTPSUCF202-10</v>
          </cell>
          <cell r="D367" t="str">
            <v>PRINC</v>
          </cell>
          <cell r="E367" t="str">
            <v>00005</v>
          </cell>
          <cell r="F367" t="str">
            <v>CHUMACERAS Y RODAMIENTOS</v>
          </cell>
          <cell r="G367" t="str">
            <v>PRINCIPAL</v>
          </cell>
          <cell r="H367">
            <v>46004</v>
          </cell>
          <cell r="I367" t="str">
            <v>SALDO INICIAL</v>
          </cell>
          <cell r="J367">
            <v>1</v>
          </cell>
          <cell r="K367">
            <v>6.72</v>
          </cell>
          <cell r="L367">
            <v>0</v>
          </cell>
          <cell r="M367">
            <v>6.72</v>
          </cell>
          <cell r="N367" t="str">
            <v/>
          </cell>
          <cell r="O367" t="str">
            <v/>
          </cell>
          <cell r="P367" t="str">
            <v/>
          </cell>
          <cell r="Q367">
            <v>13.7</v>
          </cell>
          <cell r="R367" t="str">
            <v>UND</v>
          </cell>
          <cell r="S367">
            <v>0</v>
          </cell>
          <cell r="T367">
            <v>0</v>
          </cell>
          <cell r="U367" t="str">
            <v/>
          </cell>
          <cell r="V367" t="str">
            <v>PRO10</v>
          </cell>
          <cell r="W367">
            <v>0</v>
          </cell>
        </row>
        <row r="368">
          <cell r="C368" t="str">
            <v>LDTPSUCF204</v>
          </cell>
          <cell r="D368" t="str">
            <v>PRINC</v>
          </cell>
          <cell r="E368" t="str">
            <v>00005</v>
          </cell>
          <cell r="F368" t="str">
            <v>CHUMACERAS Y RODAMIENTOS</v>
          </cell>
          <cell r="G368" t="str">
            <v>PRINCIPAL</v>
          </cell>
          <cell r="H368">
            <v>46004</v>
          </cell>
          <cell r="I368" t="str">
            <v>SALDO INICIAL</v>
          </cell>
          <cell r="J368">
            <v>15</v>
          </cell>
          <cell r="K368">
            <v>86.85</v>
          </cell>
          <cell r="L368">
            <v>8.0184250000000006</v>
          </cell>
          <cell r="M368">
            <v>5.79</v>
          </cell>
          <cell r="N368" t="str">
            <v/>
          </cell>
          <cell r="O368" t="str">
            <v/>
          </cell>
          <cell r="P368" t="str">
            <v/>
          </cell>
          <cell r="Q368">
            <v>15.2</v>
          </cell>
          <cell r="R368" t="str">
            <v>UND</v>
          </cell>
          <cell r="S368">
            <v>0</v>
          </cell>
          <cell r="T368">
            <v>0</v>
          </cell>
          <cell r="U368" t="str">
            <v/>
          </cell>
          <cell r="V368" t="str">
            <v>PRO10</v>
          </cell>
          <cell r="W368">
            <v>0</v>
          </cell>
        </row>
        <row r="369">
          <cell r="C369" t="str">
            <v>LDTPSUCF204-12</v>
          </cell>
          <cell r="D369" t="str">
            <v>PRINC</v>
          </cell>
          <cell r="E369" t="str">
            <v>00005</v>
          </cell>
          <cell r="F369" t="str">
            <v>CHUMACERAS Y RODAMIENTOS</v>
          </cell>
          <cell r="G369" t="str">
            <v>PRINCIPAL</v>
          </cell>
          <cell r="H369">
            <v>46004</v>
          </cell>
          <cell r="I369" t="str">
            <v>SALDO INICIAL</v>
          </cell>
          <cell r="J369">
            <v>14</v>
          </cell>
          <cell r="K369">
            <v>92.164293999999998</v>
          </cell>
          <cell r="L369">
            <v>6.5831650000000002</v>
          </cell>
          <cell r="M369">
            <v>6.5831638569999997</v>
          </cell>
          <cell r="N369" t="str">
            <v/>
          </cell>
          <cell r="O369" t="str">
            <v/>
          </cell>
          <cell r="P369" t="str">
            <v/>
          </cell>
          <cell r="Q369">
            <v>15.2</v>
          </cell>
          <cell r="R369" t="str">
            <v>UND</v>
          </cell>
          <cell r="S369">
            <v>0</v>
          </cell>
          <cell r="T369">
            <v>0</v>
          </cell>
          <cell r="U369" t="str">
            <v/>
          </cell>
          <cell r="V369" t="str">
            <v>PRO10</v>
          </cell>
          <cell r="W369">
            <v>0</v>
          </cell>
        </row>
        <row r="370">
          <cell r="C370" t="str">
            <v>LDTPSUCF205</v>
          </cell>
          <cell r="D370" t="str">
            <v>PRINC</v>
          </cell>
          <cell r="E370" t="str">
            <v>00005</v>
          </cell>
          <cell r="F370" t="str">
            <v>CHUMACERAS Y RODAMIENTOS</v>
          </cell>
          <cell r="G370" t="str">
            <v>PRINCIPAL</v>
          </cell>
          <cell r="H370">
            <v>46004</v>
          </cell>
          <cell r="I370" t="str">
            <v>SALDO INICIAL</v>
          </cell>
          <cell r="J370">
            <v>34</v>
          </cell>
          <cell r="K370">
            <v>239.08136200000001</v>
          </cell>
          <cell r="L370">
            <v>6.8515090000000001</v>
          </cell>
          <cell r="M370">
            <v>7.0318047650000004</v>
          </cell>
          <cell r="N370" t="str">
            <v/>
          </cell>
          <cell r="O370" t="str">
            <v/>
          </cell>
          <cell r="P370" t="str">
            <v/>
          </cell>
          <cell r="Q370">
            <v>16.8</v>
          </cell>
          <cell r="R370" t="str">
            <v>UND</v>
          </cell>
          <cell r="S370">
            <v>0</v>
          </cell>
          <cell r="T370">
            <v>0</v>
          </cell>
          <cell r="U370" t="str">
            <v/>
          </cell>
          <cell r="V370" t="str">
            <v>PRO10</v>
          </cell>
          <cell r="W370">
            <v>0</v>
          </cell>
        </row>
        <row r="371">
          <cell r="C371" t="str">
            <v>LDTPSUCF205-16</v>
          </cell>
          <cell r="D371" t="str">
            <v>PRINC</v>
          </cell>
          <cell r="E371" t="str">
            <v>00005</v>
          </cell>
          <cell r="F371" t="str">
            <v>CHUMACERAS Y RODAMIENTOS</v>
          </cell>
          <cell r="G371" t="str">
            <v>PRINCIPAL</v>
          </cell>
          <cell r="H371">
            <v>46004</v>
          </cell>
          <cell r="I371" t="str">
            <v>SALDO INICIAL</v>
          </cell>
          <cell r="J371">
            <v>235</v>
          </cell>
          <cell r="K371">
            <v>1710.7259610000001</v>
          </cell>
          <cell r="L371">
            <v>7.2980070000000001</v>
          </cell>
          <cell r="M371">
            <v>7.2796849400000001</v>
          </cell>
          <cell r="N371" t="str">
            <v/>
          </cell>
          <cell r="O371" t="str">
            <v/>
          </cell>
          <cell r="P371" t="str">
            <v/>
          </cell>
          <cell r="Q371">
            <v>16.8</v>
          </cell>
          <cell r="R371" t="str">
            <v>UND</v>
          </cell>
          <cell r="S371">
            <v>0</v>
          </cell>
          <cell r="T371">
            <v>0</v>
          </cell>
          <cell r="U371" t="str">
            <v/>
          </cell>
          <cell r="V371" t="str">
            <v>PRO10</v>
          </cell>
          <cell r="W371">
            <v>0</v>
          </cell>
        </row>
        <row r="372">
          <cell r="C372" t="str">
            <v>LDTPSUCF206</v>
          </cell>
          <cell r="D372" t="str">
            <v>PRINC</v>
          </cell>
          <cell r="E372" t="str">
            <v>00005</v>
          </cell>
          <cell r="F372" t="str">
            <v>CHUMACERAS Y RODAMIENTOS</v>
          </cell>
          <cell r="G372" t="str">
            <v>PRINCIPAL</v>
          </cell>
          <cell r="H372">
            <v>46004</v>
          </cell>
          <cell r="I372" t="str">
            <v>SALDO INICIAL</v>
          </cell>
          <cell r="J372">
            <v>4</v>
          </cell>
          <cell r="K372">
            <v>-1.1724969999999999</v>
          </cell>
          <cell r="L372">
            <v>10.364694999999999</v>
          </cell>
          <cell r="M372">
            <v>-0.29312424999999998</v>
          </cell>
          <cell r="N372" t="str">
            <v/>
          </cell>
          <cell r="O372" t="str">
            <v/>
          </cell>
          <cell r="P372" t="str">
            <v/>
          </cell>
          <cell r="Q372">
            <v>22.8</v>
          </cell>
          <cell r="R372" t="str">
            <v>UND</v>
          </cell>
          <cell r="S372">
            <v>0</v>
          </cell>
          <cell r="T372">
            <v>0</v>
          </cell>
          <cell r="U372" t="str">
            <v/>
          </cell>
          <cell r="V372" t="str">
            <v>PRO10</v>
          </cell>
          <cell r="W372">
            <v>0</v>
          </cell>
        </row>
        <row r="373">
          <cell r="C373" t="str">
            <v>LDTPSUCF206-19</v>
          </cell>
          <cell r="D373" t="str">
            <v>PRINC</v>
          </cell>
          <cell r="E373" t="str">
            <v>00005</v>
          </cell>
          <cell r="F373" t="str">
            <v>CHUMACERAS Y RODAMIENTOS</v>
          </cell>
          <cell r="G373" t="str">
            <v>PRINCIPAL</v>
          </cell>
          <cell r="H373">
            <v>46004</v>
          </cell>
          <cell r="I373" t="str">
            <v>SALDO INICIAL</v>
          </cell>
          <cell r="J373">
            <v>1</v>
          </cell>
          <cell r="K373">
            <v>11.2088</v>
          </cell>
          <cell r="L373">
            <v>11.2088</v>
          </cell>
          <cell r="M373">
            <v>11.2088</v>
          </cell>
          <cell r="N373" t="str">
            <v/>
          </cell>
          <cell r="O373" t="str">
            <v/>
          </cell>
          <cell r="P373" t="str">
            <v/>
          </cell>
          <cell r="Q373">
            <v>22.8</v>
          </cell>
          <cell r="R373" t="str">
            <v>UND</v>
          </cell>
          <cell r="S373">
            <v>0</v>
          </cell>
          <cell r="T373">
            <v>0</v>
          </cell>
          <cell r="U373" t="str">
            <v/>
          </cell>
          <cell r="V373" t="str">
            <v>PRO10</v>
          </cell>
          <cell r="W373">
            <v>0</v>
          </cell>
        </row>
        <row r="374">
          <cell r="C374" t="str">
            <v>LDTPSUCF206-20</v>
          </cell>
          <cell r="D374" t="str">
            <v>PRINC</v>
          </cell>
          <cell r="E374" t="str">
            <v>00005</v>
          </cell>
          <cell r="F374" t="str">
            <v>CHUMACERAS Y RODAMIENTOS</v>
          </cell>
          <cell r="G374" t="str">
            <v>PRINCIPAL</v>
          </cell>
          <cell r="H374">
            <v>46004</v>
          </cell>
          <cell r="I374" t="str">
            <v>SALDO INICIAL</v>
          </cell>
          <cell r="J374">
            <v>7</v>
          </cell>
          <cell r="K374">
            <v>83.628677999999994</v>
          </cell>
          <cell r="L374">
            <v>10.957554999999999</v>
          </cell>
          <cell r="M374">
            <v>11.946954</v>
          </cell>
          <cell r="N374" t="str">
            <v/>
          </cell>
          <cell r="O374" t="str">
            <v/>
          </cell>
          <cell r="P374" t="str">
            <v/>
          </cell>
          <cell r="Q374">
            <v>22.8</v>
          </cell>
          <cell r="R374" t="str">
            <v>UND</v>
          </cell>
          <cell r="S374">
            <v>0</v>
          </cell>
          <cell r="T374">
            <v>0</v>
          </cell>
          <cell r="U374" t="str">
            <v/>
          </cell>
          <cell r="V374" t="str">
            <v>PRO10</v>
          </cell>
          <cell r="W374">
            <v>0</v>
          </cell>
        </row>
        <row r="375">
          <cell r="C375" t="str">
            <v>LDTPSUCF207</v>
          </cell>
          <cell r="D375" t="str">
            <v>PRINC</v>
          </cell>
          <cell r="E375" t="str">
            <v>00005</v>
          </cell>
          <cell r="F375" t="str">
            <v>CHUMACERAS Y RODAMIENTOS</v>
          </cell>
          <cell r="G375" t="str">
            <v>PRINCIPAL</v>
          </cell>
          <cell r="H375">
            <v>46004</v>
          </cell>
          <cell r="I375" t="str">
            <v>SALDO INICIAL</v>
          </cell>
          <cell r="J375">
            <v>16</v>
          </cell>
          <cell r="K375">
            <v>228.72088500000001</v>
          </cell>
          <cell r="L375">
            <v>14.237259</v>
          </cell>
          <cell r="M375">
            <v>14.295055313000001</v>
          </cell>
          <cell r="N375" t="str">
            <v/>
          </cell>
          <cell r="O375" t="str">
            <v/>
          </cell>
          <cell r="P375" t="str">
            <v/>
          </cell>
          <cell r="Q375">
            <v>27.6</v>
          </cell>
          <cell r="R375" t="str">
            <v>UND</v>
          </cell>
          <cell r="S375">
            <v>0</v>
          </cell>
          <cell r="T375">
            <v>0</v>
          </cell>
          <cell r="U375" t="str">
            <v/>
          </cell>
          <cell r="V375" t="str">
            <v>PRO10</v>
          </cell>
          <cell r="W375">
            <v>0</v>
          </cell>
        </row>
        <row r="376">
          <cell r="C376" t="str">
            <v>LDTPSUCF207-20</v>
          </cell>
          <cell r="D376" t="str">
            <v>PRINC</v>
          </cell>
          <cell r="E376" t="str">
            <v>00005</v>
          </cell>
          <cell r="F376" t="str">
            <v>CHUMACERAS Y RODAMIENTOS</v>
          </cell>
          <cell r="G376" t="str">
            <v>PRINCIPAL</v>
          </cell>
          <cell r="H376">
            <v>46004</v>
          </cell>
          <cell r="I376" t="str">
            <v>SALDO INICIAL</v>
          </cell>
          <cell r="J376">
            <v>135</v>
          </cell>
          <cell r="K376">
            <v>1734.918083</v>
          </cell>
          <cell r="L376">
            <v>13.625143</v>
          </cell>
          <cell r="M376">
            <v>12.851245059</v>
          </cell>
          <cell r="N376" t="str">
            <v/>
          </cell>
          <cell r="O376" t="str">
            <v/>
          </cell>
          <cell r="P376" t="str">
            <v/>
          </cell>
          <cell r="Q376">
            <v>27.6</v>
          </cell>
          <cell r="R376" t="str">
            <v>UND</v>
          </cell>
          <cell r="S376">
            <v>0</v>
          </cell>
          <cell r="T376">
            <v>0</v>
          </cell>
          <cell r="U376" t="str">
            <v/>
          </cell>
          <cell r="V376" t="str">
            <v>PRO10</v>
          </cell>
          <cell r="W376">
            <v>0</v>
          </cell>
        </row>
        <row r="377">
          <cell r="C377" t="str">
            <v>LDTPSUCF207-22</v>
          </cell>
          <cell r="D377" t="str">
            <v>PRINC</v>
          </cell>
          <cell r="E377" t="str">
            <v>00005</v>
          </cell>
          <cell r="F377" t="str">
            <v>CHUMACERAS Y RODAMIENTOS</v>
          </cell>
          <cell r="G377" t="str">
            <v>PRINCIPAL</v>
          </cell>
          <cell r="H377">
            <v>46004</v>
          </cell>
          <cell r="I377" t="str">
            <v>SALDO INICIAL</v>
          </cell>
          <cell r="J377">
            <v>14</v>
          </cell>
          <cell r="K377">
            <v>195.33733000000001</v>
          </cell>
          <cell r="L377">
            <v>13.952666000000001</v>
          </cell>
          <cell r="M377">
            <v>13.952666429000001</v>
          </cell>
          <cell r="N377" t="str">
            <v/>
          </cell>
          <cell r="O377" t="str">
            <v/>
          </cell>
          <cell r="P377" t="str">
            <v/>
          </cell>
          <cell r="Q377">
            <v>27.6</v>
          </cell>
          <cell r="R377" t="str">
            <v>UND</v>
          </cell>
          <cell r="S377">
            <v>0</v>
          </cell>
          <cell r="T377">
            <v>0</v>
          </cell>
          <cell r="U377" t="str">
            <v/>
          </cell>
          <cell r="V377" t="str">
            <v>PRO10</v>
          </cell>
          <cell r="W377">
            <v>0</v>
          </cell>
        </row>
        <row r="378">
          <cell r="C378" t="str">
            <v>LDTPSUCF208</v>
          </cell>
          <cell r="D378" t="str">
            <v>PRINC</v>
          </cell>
          <cell r="E378" t="str">
            <v>00005</v>
          </cell>
          <cell r="F378" t="str">
            <v>CHUMACERAS Y RODAMIENTOS</v>
          </cell>
          <cell r="G378" t="str">
            <v>PRINCIPAL</v>
          </cell>
          <cell r="H378">
            <v>46004</v>
          </cell>
          <cell r="I378" t="str">
            <v>SALDO INICIAL</v>
          </cell>
          <cell r="J378">
            <v>3</v>
          </cell>
          <cell r="K378">
            <v>51.028278</v>
          </cell>
          <cell r="L378">
            <v>16.827500000000001</v>
          </cell>
          <cell r="M378">
            <v>17.009426000000001</v>
          </cell>
          <cell r="N378" t="str">
            <v/>
          </cell>
          <cell r="O378" t="str">
            <v/>
          </cell>
          <cell r="P378" t="str">
            <v/>
          </cell>
          <cell r="Q378">
            <v>30.7</v>
          </cell>
          <cell r="R378" t="str">
            <v>UND</v>
          </cell>
          <cell r="S378">
            <v>0</v>
          </cell>
          <cell r="T378">
            <v>0</v>
          </cell>
          <cell r="U378" t="str">
            <v/>
          </cell>
          <cell r="V378" t="str">
            <v>PRO10</v>
          </cell>
          <cell r="W378">
            <v>0</v>
          </cell>
        </row>
        <row r="379">
          <cell r="C379" t="str">
            <v>LDTPSUCF208-24</v>
          </cell>
          <cell r="D379" t="str">
            <v>PRINC</v>
          </cell>
          <cell r="E379" t="str">
            <v>00005</v>
          </cell>
          <cell r="F379" t="str">
            <v>CHUMACERAS Y RODAMIENTOS</v>
          </cell>
          <cell r="G379" t="str">
            <v>PRINCIPAL</v>
          </cell>
          <cell r="H379">
            <v>46004</v>
          </cell>
          <cell r="I379" t="str">
            <v>SALDO INICIAL</v>
          </cell>
          <cell r="J379">
            <v>0</v>
          </cell>
          <cell r="K379">
            <v>11.76962</v>
          </cell>
          <cell r="L379">
            <v>16.807062999999999</v>
          </cell>
          <cell r="M379">
            <v>0</v>
          </cell>
          <cell r="N379" t="str">
            <v/>
          </cell>
          <cell r="O379" t="str">
            <v/>
          </cell>
          <cell r="P379" t="str">
            <v/>
          </cell>
          <cell r="Q379">
            <v>30.7</v>
          </cell>
          <cell r="R379" t="str">
            <v>UND</v>
          </cell>
          <cell r="S379">
            <v>0</v>
          </cell>
          <cell r="T379">
            <v>0</v>
          </cell>
          <cell r="U379" t="str">
            <v/>
          </cell>
          <cell r="V379" t="str">
            <v>PRO10</v>
          </cell>
          <cell r="W379">
            <v>0</v>
          </cell>
        </row>
        <row r="380">
          <cell r="C380" t="str">
            <v>LDTPSUCF209</v>
          </cell>
          <cell r="D380" t="str">
            <v>PRINC</v>
          </cell>
          <cell r="E380" t="str">
            <v>00005</v>
          </cell>
          <cell r="F380" t="str">
            <v>CHUMACERAS Y RODAMIENTOS</v>
          </cell>
          <cell r="G380" t="str">
            <v>PRINCIPAL</v>
          </cell>
          <cell r="H380">
            <v>46004</v>
          </cell>
          <cell r="I380" t="str">
            <v>SALDO INICIAL</v>
          </cell>
          <cell r="J380">
            <v>20</v>
          </cell>
          <cell r="K380">
            <v>393.63600000000002</v>
          </cell>
          <cell r="L380">
            <v>19.681799999999999</v>
          </cell>
          <cell r="M380">
            <v>19.681799999999999</v>
          </cell>
          <cell r="N380" t="str">
            <v/>
          </cell>
          <cell r="O380" t="str">
            <v/>
          </cell>
          <cell r="P380" t="str">
            <v/>
          </cell>
          <cell r="Q380">
            <v>37.4</v>
          </cell>
          <cell r="R380" t="str">
            <v>UND</v>
          </cell>
          <cell r="S380">
            <v>0</v>
          </cell>
          <cell r="T380">
            <v>0</v>
          </cell>
          <cell r="U380" t="str">
            <v/>
          </cell>
          <cell r="V380" t="str">
            <v>PRO10</v>
          </cell>
          <cell r="W380">
            <v>0</v>
          </cell>
        </row>
        <row r="381">
          <cell r="C381" t="str">
            <v>LDTPSUCF209-28</v>
          </cell>
          <cell r="D381" t="str">
            <v>PRINC</v>
          </cell>
          <cell r="E381" t="str">
            <v>00005</v>
          </cell>
          <cell r="F381" t="str">
            <v>CHUMACERAS Y RODAMIENTOS</v>
          </cell>
          <cell r="G381" t="str">
            <v>PRINCIPAL</v>
          </cell>
          <cell r="H381">
            <v>46004</v>
          </cell>
          <cell r="I381" t="str">
            <v>SALDO INICIAL</v>
          </cell>
          <cell r="J381">
            <v>5</v>
          </cell>
          <cell r="K381">
            <v>100.39225</v>
          </cell>
          <cell r="L381">
            <v>19.902249999999999</v>
          </cell>
          <cell r="M381">
            <v>20.07845</v>
          </cell>
          <cell r="N381" t="str">
            <v/>
          </cell>
          <cell r="O381" t="str">
            <v/>
          </cell>
          <cell r="P381" t="str">
            <v/>
          </cell>
          <cell r="Q381">
            <v>37.4</v>
          </cell>
          <cell r="R381" t="str">
            <v>UND</v>
          </cell>
          <cell r="S381">
            <v>0</v>
          </cell>
          <cell r="T381">
            <v>0</v>
          </cell>
          <cell r="U381" t="str">
            <v/>
          </cell>
          <cell r="V381" t="str">
            <v>PRO10</v>
          </cell>
          <cell r="W381">
            <v>0</v>
          </cell>
        </row>
        <row r="382">
          <cell r="C382" t="str">
            <v>LDTPSUCFB204</v>
          </cell>
          <cell r="D382" t="str">
            <v>PRINC</v>
          </cell>
          <cell r="E382" t="str">
            <v>00005</v>
          </cell>
          <cell r="F382" t="str">
            <v>CHUMACERAS Y RODAMIENTOS</v>
          </cell>
          <cell r="G382" t="str">
            <v>PRINCIPAL</v>
          </cell>
          <cell r="H382">
            <v>46004</v>
          </cell>
          <cell r="I382" t="str">
            <v>SALDO INICIAL</v>
          </cell>
          <cell r="J382">
            <v>8</v>
          </cell>
          <cell r="K382">
            <v>45.488</v>
          </cell>
          <cell r="L382">
            <v>5.6859999999999999</v>
          </cell>
          <cell r="M382">
            <v>5.6859999999999999</v>
          </cell>
          <cell r="N382" t="str">
            <v/>
          </cell>
          <cell r="O382" t="str">
            <v/>
          </cell>
          <cell r="P382" t="str">
            <v/>
          </cell>
          <cell r="Q382">
            <v>13.5</v>
          </cell>
          <cell r="R382" t="str">
            <v>UND</v>
          </cell>
          <cell r="S382">
            <v>0</v>
          </cell>
          <cell r="T382">
            <v>0</v>
          </cell>
          <cell r="U382" t="str">
            <v/>
          </cell>
          <cell r="V382" t="str">
            <v>PRO10</v>
          </cell>
          <cell r="W382">
            <v>0</v>
          </cell>
        </row>
        <row r="383">
          <cell r="C383" t="str">
            <v>LDTPSUCFB205</v>
          </cell>
          <cell r="D383" t="str">
            <v>PRINC</v>
          </cell>
          <cell r="E383" t="str">
            <v>00005</v>
          </cell>
          <cell r="F383" t="str">
            <v>CHUMACERAS Y RODAMIENTOS</v>
          </cell>
          <cell r="G383" t="str">
            <v>PRINCIPAL</v>
          </cell>
          <cell r="H383">
            <v>46004</v>
          </cell>
          <cell r="I383" t="str">
            <v>SALDO INICIAL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 t="str">
            <v/>
          </cell>
          <cell r="O383" t="str">
            <v/>
          </cell>
          <cell r="P383" t="str">
            <v/>
          </cell>
          <cell r="Q383">
            <v>15.1</v>
          </cell>
          <cell r="R383" t="str">
            <v>UND</v>
          </cell>
          <cell r="S383">
            <v>0</v>
          </cell>
          <cell r="T383">
            <v>0</v>
          </cell>
          <cell r="U383" t="str">
            <v/>
          </cell>
          <cell r="V383" t="str">
            <v>PRO10</v>
          </cell>
          <cell r="W383">
            <v>0</v>
          </cell>
        </row>
        <row r="384">
          <cell r="C384" t="str">
            <v>LDTPSUCFB205-16</v>
          </cell>
          <cell r="D384" t="str">
            <v>PRINC</v>
          </cell>
          <cell r="E384" t="str">
            <v>00005</v>
          </cell>
          <cell r="F384" t="str">
            <v>CHUMACERAS Y RODAMIENTOS</v>
          </cell>
          <cell r="G384" t="str">
            <v>PRINCIPAL</v>
          </cell>
          <cell r="H384">
            <v>46004</v>
          </cell>
          <cell r="I384" t="str">
            <v>SALDO INICIAL</v>
          </cell>
          <cell r="J384">
            <v>0</v>
          </cell>
          <cell r="K384">
            <v>0</v>
          </cell>
          <cell r="L384">
            <v>6.4089999999999998</v>
          </cell>
          <cell r="M384">
            <v>0</v>
          </cell>
          <cell r="N384" t="str">
            <v/>
          </cell>
          <cell r="O384" t="str">
            <v/>
          </cell>
          <cell r="P384" t="str">
            <v/>
          </cell>
          <cell r="Q384">
            <v>15.1</v>
          </cell>
          <cell r="R384" t="str">
            <v>UND</v>
          </cell>
          <cell r="S384">
            <v>0</v>
          </cell>
          <cell r="T384">
            <v>0</v>
          </cell>
          <cell r="U384" t="str">
            <v/>
          </cell>
          <cell r="V384" t="str">
            <v>PRO10</v>
          </cell>
          <cell r="W384">
            <v>0</v>
          </cell>
        </row>
        <row r="385">
          <cell r="C385" t="str">
            <v>LDTPSUCFB206</v>
          </cell>
          <cell r="D385" t="str">
            <v>PRINC</v>
          </cell>
          <cell r="E385" t="str">
            <v>00005</v>
          </cell>
          <cell r="F385" t="str">
            <v>CHUMACERAS Y RODAMIENTOS</v>
          </cell>
          <cell r="G385" t="str">
            <v>PRINCIPAL</v>
          </cell>
          <cell r="H385">
            <v>46004</v>
          </cell>
          <cell r="I385" t="str">
            <v>SALDO INICIAL</v>
          </cell>
          <cell r="J385">
            <v>3</v>
          </cell>
          <cell r="K385">
            <v>33.525477000000002</v>
          </cell>
          <cell r="L385">
            <v>0</v>
          </cell>
          <cell r="M385">
            <v>11.175159000000001</v>
          </cell>
          <cell r="N385" t="str">
            <v/>
          </cell>
          <cell r="O385" t="str">
            <v/>
          </cell>
          <cell r="P385" t="str">
            <v/>
          </cell>
          <cell r="Q385">
            <v>0</v>
          </cell>
          <cell r="R385" t="str">
            <v>UND</v>
          </cell>
          <cell r="S385">
            <v>0</v>
          </cell>
          <cell r="T385">
            <v>0</v>
          </cell>
          <cell r="U385" t="str">
            <v/>
          </cell>
          <cell r="V385" t="str">
            <v>PRO10</v>
          </cell>
          <cell r="W385">
            <v>0</v>
          </cell>
        </row>
        <row r="386">
          <cell r="C386" t="str">
            <v>LDTPSUCFB206-19</v>
          </cell>
          <cell r="D386" t="str">
            <v>PRINC</v>
          </cell>
          <cell r="E386" t="str">
            <v>00005</v>
          </cell>
          <cell r="F386" t="str">
            <v>CHUMACERAS Y RODAMIENTOS</v>
          </cell>
          <cell r="G386" t="str">
            <v>PRINCIPAL</v>
          </cell>
          <cell r="H386">
            <v>46004</v>
          </cell>
          <cell r="I386" t="str">
            <v>SALDO INICIAL</v>
          </cell>
          <cell r="J386">
            <v>5</v>
          </cell>
          <cell r="K386">
            <v>54.225000000000001</v>
          </cell>
          <cell r="L386">
            <v>10.845000000000001</v>
          </cell>
          <cell r="M386">
            <v>10.845000000000001</v>
          </cell>
          <cell r="N386" t="str">
            <v/>
          </cell>
          <cell r="O386" t="str">
            <v/>
          </cell>
          <cell r="P386" t="str">
            <v/>
          </cell>
          <cell r="Q386">
            <v>21.7</v>
          </cell>
          <cell r="R386" t="str">
            <v>UND</v>
          </cell>
          <cell r="S386">
            <v>0</v>
          </cell>
          <cell r="T386">
            <v>0</v>
          </cell>
          <cell r="U386" t="str">
            <v/>
          </cell>
          <cell r="V386" t="str">
            <v>PRO10</v>
          </cell>
          <cell r="W386">
            <v>0</v>
          </cell>
        </row>
        <row r="387">
          <cell r="C387" t="str">
            <v>LDTPSUCFB206-2</v>
          </cell>
          <cell r="D387" t="str">
            <v>PRINC</v>
          </cell>
          <cell r="E387" t="str">
            <v>00005</v>
          </cell>
          <cell r="F387" t="str">
            <v>CHUMACERAS Y RODAMIENTOS</v>
          </cell>
          <cell r="G387" t="str">
            <v>PRINCIPAL</v>
          </cell>
          <cell r="H387">
            <v>46004</v>
          </cell>
          <cell r="I387" t="str">
            <v>SALDO INICIAL</v>
          </cell>
          <cell r="J387">
            <v>12</v>
          </cell>
          <cell r="K387">
            <v>124.990646</v>
          </cell>
          <cell r="L387">
            <v>10.515129999999999</v>
          </cell>
          <cell r="M387">
            <v>10.415887166999999</v>
          </cell>
          <cell r="N387" t="str">
            <v/>
          </cell>
          <cell r="O387" t="str">
            <v/>
          </cell>
          <cell r="P387" t="str">
            <v/>
          </cell>
          <cell r="Q387">
            <v>21.7</v>
          </cell>
          <cell r="R387" t="str">
            <v>UND</v>
          </cell>
          <cell r="S387">
            <v>0</v>
          </cell>
          <cell r="T387">
            <v>0</v>
          </cell>
          <cell r="U387" t="str">
            <v/>
          </cell>
          <cell r="V387" t="str">
            <v>PRO10</v>
          </cell>
          <cell r="W387">
            <v>0</v>
          </cell>
        </row>
        <row r="388">
          <cell r="C388" t="str">
            <v>LDTPSUCFB208-24</v>
          </cell>
          <cell r="D388" t="str">
            <v>PRINC</v>
          </cell>
          <cell r="E388" t="str">
            <v>00005</v>
          </cell>
          <cell r="F388" t="str">
            <v>CHUMACERAS Y RODAMIENTOS</v>
          </cell>
          <cell r="G388" t="str">
            <v>PRINCIPAL</v>
          </cell>
          <cell r="H388">
            <v>46004</v>
          </cell>
          <cell r="I388" t="str">
            <v>SALDO INICIAL</v>
          </cell>
          <cell r="J388">
            <v>6</v>
          </cell>
          <cell r="K388">
            <v>97.159998000000002</v>
          </cell>
          <cell r="L388">
            <v>16.826667</v>
          </cell>
          <cell r="M388">
            <v>16.193332999999999</v>
          </cell>
          <cell r="N388" t="str">
            <v/>
          </cell>
          <cell r="O388" t="str">
            <v/>
          </cell>
          <cell r="P388" t="str">
            <v/>
          </cell>
          <cell r="Q388">
            <v>32</v>
          </cell>
          <cell r="R388" t="str">
            <v>UND</v>
          </cell>
          <cell r="S388">
            <v>0</v>
          </cell>
          <cell r="T388">
            <v>0</v>
          </cell>
          <cell r="U388" t="str">
            <v/>
          </cell>
          <cell r="V388" t="str">
            <v>PRO10</v>
          </cell>
          <cell r="W388">
            <v>0</v>
          </cell>
        </row>
        <row r="389">
          <cell r="C389" t="str">
            <v>LDTPSUCFL201-8</v>
          </cell>
          <cell r="D389" t="str">
            <v>PRINC</v>
          </cell>
          <cell r="E389" t="str">
            <v>00005</v>
          </cell>
          <cell r="F389" t="str">
            <v>CHUMACERAS Y RODAMIENTOS</v>
          </cell>
          <cell r="G389" t="str">
            <v>PRINCIPAL</v>
          </cell>
          <cell r="H389">
            <v>46004</v>
          </cell>
          <cell r="I389" t="str">
            <v>SALDO INICIAL</v>
          </cell>
          <cell r="J389">
            <v>0</v>
          </cell>
          <cell r="K389">
            <v>5.061496</v>
          </cell>
          <cell r="L389">
            <v>6.3313499999999996</v>
          </cell>
          <cell r="M389">
            <v>0</v>
          </cell>
          <cell r="N389" t="str">
            <v/>
          </cell>
          <cell r="O389" t="str">
            <v/>
          </cell>
          <cell r="P389" t="str">
            <v/>
          </cell>
          <cell r="Q389">
            <v>12.9</v>
          </cell>
          <cell r="R389" t="str">
            <v>UND</v>
          </cell>
          <cell r="S389">
            <v>0</v>
          </cell>
          <cell r="T389">
            <v>0</v>
          </cell>
          <cell r="U389" t="str">
            <v/>
          </cell>
          <cell r="V389" t="str">
            <v>PRO10</v>
          </cell>
          <cell r="W389">
            <v>0</v>
          </cell>
        </row>
        <row r="390">
          <cell r="C390" t="str">
            <v>LDTPSUCFL202-10</v>
          </cell>
          <cell r="D390" t="str">
            <v>PRINC</v>
          </cell>
          <cell r="E390" t="str">
            <v>00005</v>
          </cell>
          <cell r="F390" t="str">
            <v>CHUMACERAS Y RODAMIENTOS</v>
          </cell>
          <cell r="G390" t="str">
            <v>PRINCIPAL</v>
          </cell>
          <cell r="H390">
            <v>46004</v>
          </cell>
          <cell r="I390" t="str">
            <v>SALDO INICIAL</v>
          </cell>
          <cell r="J390">
            <v>9</v>
          </cell>
          <cell r="K390">
            <v>63.296999999999997</v>
          </cell>
          <cell r="L390">
            <v>7.0330000000000004</v>
          </cell>
          <cell r="M390">
            <v>7.0330000000000004</v>
          </cell>
          <cell r="N390" t="str">
            <v/>
          </cell>
          <cell r="O390" t="str">
            <v/>
          </cell>
          <cell r="P390" t="str">
            <v/>
          </cell>
          <cell r="Q390">
            <v>13.15</v>
          </cell>
          <cell r="R390" t="str">
            <v>UND</v>
          </cell>
          <cell r="S390">
            <v>0</v>
          </cell>
          <cell r="T390">
            <v>0</v>
          </cell>
          <cell r="U390" t="str">
            <v/>
          </cell>
          <cell r="V390" t="str">
            <v>PRO10</v>
          </cell>
          <cell r="W390">
            <v>0</v>
          </cell>
        </row>
        <row r="391">
          <cell r="C391" t="str">
            <v>LDTPSUCFL203</v>
          </cell>
          <cell r="D391" t="str">
            <v>PRINC</v>
          </cell>
          <cell r="E391" t="str">
            <v>00005</v>
          </cell>
          <cell r="F391" t="str">
            <v>CHUMACERAS Y RODAMIENTOS</v>
          </cell>
          <cell r="G391" t="str">
            <v>PRINCIPAL</v>
          </cell>
          <cell r="H391">
            <v>46004</v>
          </cell>
          <cell r="I391" t="str">
            <v>SALDO INICIAL</v>
          </cell>
          <cell r="J391">
            <v>20</v>
          </cell>
          <cell r="K391">
            <v>130.99</v>
          </cell>
          <cell r="L391">
            <v>6.3171249999999999</v>
          </cell>
          <cell r="M391">
            <v>6.5495000000000001</v>
          </cell>
          <cell r="N391" t="str">
            <v/>
          </cell>
          <cell r="O391" t="str">
            <v/>
          </cell>
          <cell r="P391" t="str">
            <v/>
          </cell>
          <cell r="Q391">
            <v>11.6</v>
          </cell>
          <cell r="R391" t="str">
            <v>UND</v>
          </cell>
          <cell r="S391">
            <v>0</v>
          </cell>
          <cell r="T391">
            <v>0</v>
          </cell>
          <cell r="U391" t="str">
            <v/>
          </cell>
          <cell r="V391" t="str">
            <v>PRO10</v>
          </cell>
          <cell r="W391">
            <v>0</v>
          </cell>
        </row>
        <row r="392">
          <cell r="C392" t="str">
            <v>LDTPSUCFL204</v>
          </cell>
          <cell r="D392" t="str">
            <v>PRINC</v>
          </cell>
          <cell r="E392" t="str">
            <v>00005</v>
          </cell>
          <cell r="F392" t="str">
            <v>CHUMACERAS Y RODAMIENTOS</v>
          </cell>
          <cell r="G392" t="str">
            <v>PRINCIPAL</v>
          </cell>
          <cell r="H392">
            <v>46004</v>
          </cell>
          <cell r="I392" t="str">
            <v>SALDO INICIAL</v>
          </cell>
          <cell r="J392">
            <v>28</v>
          </cell>
          <cell r="K392">
            <v>165.67836</v>
          </cell>
          <cell r="L392">
            <v>5.9054000000000002</v>
          </cell>
          <cell r="M392">
            <v>5.9170842859999997</v>
          </cell>
          <cell r="N392" t="str">
            <v/>
          </cell>
          <cell r="O392" t="str">
            <v/>
          </cell>
          <cell r="P392" t="str">
            <v/>
          </cell>
          <cell r="Q392">
            <v>12.8</v>
          </cell>
          <cell r="R392" t="str">
            <v>UND</v>
          </cell>
          <cell r="S392">
            <v>0</v>
          </cell>
          <cell r="T392">
            <v>0</v>
          </cell>
          <cell r="U392" t="str">
            <v/>
          </cell>
          <cell r="V392" t="str">
            <v>PRO10</v>
          </cell>
          <cell r="W392">
            <v>0</v>
          </cell>
        </row>
        <row r="393">
          <cell r="C393" t="str">
            <v>LDTPSUCFL204-12</v>
          </cell>
          <cell r="D393" t="str">
            <v>PRINC</v>
          </cell>
          <cell r="E393" t="str">
            <v>00005</v>
          </cell>
          <cell r="F393" t="str">
            <v>CHUMACERAS Y RODAMIENTOS</v>
          </cell>
          <cell r="G393" t="str">
            <v>PRINCIPAL</v>
          </cell>
          <cell r="H393">
            <v>46004</v>
          </cell>
          <cell r="I393" t="str">
            <v>SALDO INICIAL</v>
          </cell>
          <cell r="J393">
            <v>69</v>
          </cell>
          <cell r="K393">
            <v>394.605143</v>
          </cell>
          <cell r="L393">
            <v>5.7685849999999999</v>
          </cell>
          <cell r="M393">
            <v>5.7189151159999998</v>
          </cell>
          <cell r="N393" t="str">
            <v/>
          </cell>
          <cell r="O393" t="str">
            <v/>
          </cell>
          <cell r="P393" t="str">
            <v/>
          </cell>
          <cell r="Q393">
            <v>12.8</v>
          </cell>
          <cell r="R393" t="str">
            <v>UND</v>
          </cell>
          <cell r="S393">
            <v>0</v>
          </cell>
          <cell r="T393">
            <v>0</v>
          </cell>
          <cell r="U393" t="str">
            <v/>
          </cell>
          <cell r="V393" t="str">
            <v>PRO10</v>
          </cell>
          <cell r="W393">
            <v>0</v>
          </cell>
        </row>
        <row r="394">
          <cell r="C394" t="str">
            <v>LDTPSUCFL205</v>
          </cell>
          <cell r="D394" t="str">
            <v>PRINC</v>
          </cell>
          <cell r="E394" t="str">
            <v>00005</v>
          </cell>
          <cell r="F394" t="str">
            <v>CHUMACERAS Y RODAMIENTOS</v>
          </cell>
          <cell r="G394" t="str">
            <v>PRINCIPAL</v>
          </cell>
          <cell r="H394">
            <v>46004</v>
          </cell>
          <cell r="I394" t="str">
            <v>SALDO INICIAL</v>
          </cell>
          <cell r="J394">
            <v>115</v>
          </cell>
          <cell r="K394">
            <v>794.47675000000004</v>
          </cell>
          <cell r="L394">
            <v>6.9083600000000001</v>
          </cell>
          <cell r="M394">
            <v>6.9084934779999996</v>
          </cell>
          <cell r="N394" t="str">
            <v/>
          </cell>
          <cell r="O394" t="str">
            <v/>
          </cell>
          <cell r="P394" t="str">
            <v/>
          </cell>
          <cell r="Q394">
            <v>14.4</v>
          </cell>
          <cell r="R394" t="str">
            <v>UND</v>
          </cell>
          <cell r="S394">
            <v>0</v>
          </cell>
          <cell r="T394">
            <v>0</v>
          </cell>
          <cell r="U394" t="str">
            <v/>
          </cell>
          <cell r="V394" t="str">
            <v>PRO10</v>
          </cell>
          <cell r="W394">
            <v>0</v>
          </cell>
        </row>
        <row r="395">
          <cell r="C395" t="str">
            <v>LDTPSUCFL205-16</v>
          </cell>
          <cell r="D395" t="str">
            <v>PRINC</v>
          </cell>
          <cell r="E395" t="str">
            <v>00005</v>
          </cell>
          <cell r="F395" t="str">
            <v>CHUMACERAS Y RODAMIENTOS</v>
          </cell>
          <cell r="G395" t="str">
            <v>PRINCIPAL</v>
          </cell>
          <cell r="H395">
            <v>46004</v>
          </cell>
          <cell r="I395" t="str">
            <v>SALDO INICIAL</v>
          </cell>
          <cell r="J395">
            <v>55</v>
          </cell>
          <cell r="K395">
            <v>334.913003</v>
          </cell>
          <cell r="L395">
            <v>6.3398719999999997</v>
          </cell>
          <cell r="M395">
            <v>6.0893273270000003</v>
          </cell>
          <cell r="N395" t="str">
            <v/>
          </cell>
          <cell r="O395" t="str">
            <v/>
          </cell>
          <cell r="P395" t="str">
            <v/>
          </cell>
          <cell r="Q395">
            <v>14.4</v>
          </cell>
          <cell r="R395" t="str">
            <v>UND</v>
          </cell>
          <cell r="S395">
            <v>0</v>
          </cell>
          <cell r="T395">
            <v>0</v>
          </cell>
          <cell r="U395" t="str">
            <v/>
          </cell>
          <cell r="V395" t="str">
            <v>PRO10</v>
          </cell>
          <cell r="W395">
            <v>0</v>
          </cell>
        </row>
        <row r="396">
          <cell r="C396" t="str">
            <v>LDTPSUCFL206-19</v>
          </cell>
          <cell r="D396" t="str">
            <v>PRINC</v>
          </cell>
          <cell r="E396" t="str">
            <v>00005</v>
          </cell>
          <cell r="F396" t="str">
            <v>CHUMACERAS Y RODAMIENTOS</v>
          </cell>
          <cell r="G396" t="str">
            <v>PRINCIPAL</v>
          </cell>
          <cell r="H396">
            <v>46004</v>
          </cell>
          <cell r="I396" t="str">
            <v>SALDO INICIAL</v>
          </cell>
          <cell r="J396">
            <v>14</v>
          </cell>
          <cell r="K396">
            <v>154.197622</v>
          </cell>
          <cell r="L396">
            <v>16.86</v>
          </cell>
          <cell r="M396">
            <v>11.014115857</v>
          </cell>
          <cell r="N396" t="str">
            <v/>
          </cell>
          <cell r="O396" t="str">
            <v/>
          </cell>
          <cell r="P396" t="str">
            <v/>
          </cell>
          <cell r="Q396">
            <v>22.2</v>
          </cell>
          <cell r="R396" t="str">
            <v>UND</v>
          </cell>
          <cell r="S396">
            <v>0</v>
          </cell>
          <cell r="T396">
            <v>0</v>
          </cell>
          <cell r="U396" t="str">
            <v/>
          </cell>
          <cell r="V396" t="str">
            <v>PRO10</v>
          </cell>
          <cell r="W396">
            <v>0</v>
          </cell>
        </row>
        <row r="397">
          <cell r="C397" t="str">
            <v>LDTPSUCFL206-20</v>
          </cell>
          <cell r="D397" t="str">
            <v>PRINC</v>
          </cell>
          <cell r="E397" t="str">
            <v>00005</v>
          </cell>
          <cell r="F397" t="str">
            <v>CHUMACERAS Y RODAMIENTOS</v>
          </cell>
          <cell r="G397" t="str">
            <v>PRINCIPAL</v>
          </cell>
          <cell r="H397">
            <v>46004</v>
          </cell>
          <cell r="I397" t="str">
            <v>SALDO INICIAL</v>
          </cell>
          <cell r="J397">
            <v>8</v>
          </cell>
          <cell r="K397">
            <v>84.676946999999998</v>
          </cell>
          <cell r="L397">
            <v>10.584619</v>
          </cell>
          <cell r="M397">
            <v>10.584618375</v>
          </cell>
          <cell r="N397" t="str">
            <v/>
          </cell>
          <cell r="O397" t="str">
            <v/>
          </cell>
          <cell r="P397" t="str">
            <v/>
          </cell>
          <cell r="Q397">
            <v>22.2</v>
          </cell>
          <cell r="R397" t="str">
            <v>UND</v>
          </cell>
          <cell r="S397">
            <v>0</v>
          </cell>
          <cell r="T397">
            <v>0</v>
          </cell>
          <cell r="U397" t="str">
            <v/>
          </cell>
          <cell r="V397" t="str">
            <v>PRO10</v>
          </cell>
          <cell r="W397">
            <v>0</v>
          </cell>
        </row>
        <row r="398">
          <cell r="C398" t="str">
            <v>LDTPSUCFL207-20</v>
          </cell>
          <cell r="D398" t="str">
            <v>PRINC</v>
          </cell>
          <cell r="E398" t="str">
            <v>00005</v>
          </cell>
          <cell r="F398" t="str">
            <v>CHUMACERAS Y RODAMIENTOS</v>
          </cell>
          <cell r="G398" t="str">
            <v>PRINCIPAL</v>
          </cell>
          <cell r="H398">
            <v>46004</v>
          </cell>
          <cell r="I398" t="str">
            <v>SALDO INICIAL</v>
          </cell>
          <cell r="J398">
            <v>6</v>
          </cell>
          <cell r="K398">
            <v>9.8935700000000004</v>
          </cell>
          <cell r="L398">
            <v>13.463289</v>
          </cell>
          <cell r="M398">
            <v>1.648928333</v>
          </cell>
          <cell r="N398" t="str">
            <v/>
          </cell>
          <cell r="O398" t="str">
            <v/>
          </cell>
          <cell r="P398" t="str">
            <v/>
          </cell>
          <cell r="Q398">
            <v>26.5</v>
          </cell>
          <cell r="R398" t="str">
            <v>UND</v>
          </cell>
          <cell r="S398">
            <v>0</v>
          </cell>
          <cell r="T398">
            <v>0</v>
          </cell>
          <cell r="U398" t="str">
            <v/>
          </cell>
          <cell r="V398" t="str">
            <v>PRO10</v>
          </cell>
          <cell r="W398">
            <v>0</v>
          </cell>
        </row>
        <row r="399">
          <cell r="C399" t="str">
            <v>LDTPSUCFL207-22</v>
          </cell>
          <cell r="D399" t="str">
            <v>PRINC</v>
          </cell>
          <cell r="E399" t="str">
            <v>00005</v>
          </cell>
          <cell r="F399" t="str">
            <v>CHUMACERAS Y RODAMIENTOS</v>
          </cell>
          <cell r="G399" t="str">
            <v>PRINCIPAL</v>
          </cell>
          <cell r="H399">
            <v>46004</v>
          </cell>
          <cell r="I399" t="str">
            <v>SALDO INICIAL</v>
          </cell>
          <cell r="J399">
            <v>2</v>
          </cell>
          <cell r="K399">
            <v>25.9328</v>
          </cell>
          <cell r="L399">
            <v>12.9664</v>
          </cell>
          <cell r="M399">
            <v>12.9664</v>
          </cell>
          <cell r="N399" t="str">
            <v/>
          </cell>
          <cell r="O399" t="str">
            <v/>
          </cell>
          <cell r="P399" t="str">
            <v/>
          </cell>
          <cell r="Q399">
            <v>26.5</v>
          </cell>
          <cell r="R399" t="str">
            <v>UND</v>
          </cell>
          <cell r="S399">
            <v>0</v>
          </cell>
          <cell r="T399">
            <v>0</v>
          </cell>
          <cell r="U399" t="str">
            <v/>
          </cell>
          <cell r="V399" t="str">
            <v>PRO10</v>
          </cell>
          <cell r="W399">
            <v>0</v>
          </cell>
        </row>
        <row r="400">
          <cell r="C400" t="str">
            <v>LDTPSUCFL208-24</v>
          </cell>
          <cell r="D400" t="str">
            <v>PRINC</v>
          </cell>
          <cell r="E400" t="str">
            <v>00005</v>
          </cell>
          <cell r="F400" t="str">
            <v>CHUMACERAS Y RODAMIENTOS</v>
          </cell>
          <cell r="G400" t="str">
            <v>PRINCIPAL</v>
          </cell>
          <cell r="H400">
            <v>46004</v>
          </cell>
          <cell r="I400" t="str">
            <v>SALDO INICIAL</v>
          </cell>
          <cell r="J400">
            <v>2</v>
          </cell>
          <cell r="K400">
            <v>37.240848</v>
          </cell>
          <cell r="L400">
            <v>18.620424</v>
          </cell>
          <cell r="M400">
            <v>18.620424</v>
          </cell>
          <cell r="N400" t="str">
            <v/>
          </cell>
          <cell r="O400" t="str">
            <v/>
          </cell>
          <cell r="P400" t="str">
            <v/>
          </cell>
          <cell r="Q400">
            <v>0</v>
          </cell>
          <cell r="R400" t="str">
            <v>UND</v>
          </cell>
          <cell r="S400">
            <v>0</v>
          </cell>
          <cell r="T400">
            <v>0</v>
          </cell>
          <cell r="U400" t="str">
            <v/>
          </cell>
          <cell r="V400" t="str">
            <v>PRO10</v>
          </cell>
          <cell r="W400">
            <v>0</v>
          </cell>
        </row>
        <row r="401">
          <cell r="C401" t="str">
            <v>LDTPSUCFL209-28</v>
          </cell>
          <cell r="D401" t="str">
            <v>PRINC</v>
          </cell>
          <cell r="E401" t="str">
            <v>00005</v>
          </cell>
          <cell r="F401" t="str">
            <v>CHUMACERAS Y RODAMIENTOS</v>
          </cell>
          <cell r="G401" t="str">
            <v>PRINCIPAL</v>
          </cell>
          <cell r="H401">
            <v>46004</v>
          </cell>
          <cell r="I401" t="str">
            <v>SALDO INICIAL</v>
          </cell>
          <cell r="J401">
            <v>15</v>
          </cell>
          <cell r="K401">
            <v>350.94900000000001</v>
          </cell>
          <cell r="L401">
            <v>23.396599999999999</v>
          </cell>
          <cell r="M401">
            <v>23.396599999999999</v>
          </cell>
          <cell r="N401" t="str">
            <v/>
          </cell>
          <cell r="O401" t="str">
            <v/>
          </cell>
          <cell r="P401" t="str">
            <v/>
          </cell>
          <cell r="Q401">
            <v>39.799999999999997</v>
          </cell>
          <cell r="R401" t="str">
            <v>UND</v>
          </cell>
          <cell r="S401">
            <v>0</v>
          </cell>
          <cell r="T401">
            <v>0</v>
          </cell>
          <cell r="U401" t="str">
            <v/>
          </cell>
          <cell r="V401" t="str">
            <v>PRO10</v>
          </cell>
          <cell r="W401">
            <v>0</v>
          </cell>
        </row>
        <row r="402">
          <cell r="C402" t="str">
            <v>LDTPSUCFL210-30</v>
          </cell>
          <cell r="D402" t="str">
            <v>PRINC</v>
          </cell>
          <cell r="E402" t="str">
            <v>00005</v>
          </cell>
          <cell r="F402" t="str">
            <v>CHUMACERAS Y RODAMIENTOS</v>
          </cell>
          <cell r="G402" t="str">
            <v>PRINCIPAL</v>
          </cell>
          <cell r="H402">
            <v>46004</v>
          </cell>
          <cell r="I402" t="str">
            <v>SALDO INICIAL</v>
          </cell>
          <cell r="J402">
            <v>6</v>
          </cell>
          <cell r="K402">
            <v>133.72000199999999</v>
          </cell>
          <cell r="L402">
            <v>28.702500000000001</v>
          </cell>
          <cell r="M402">
            <v>22.286667000000001</v>
          </cell>
          <cell r="N402" t="str">
            <v/>
          </cell>
          <cell r="O402" t="str">
            <v/>
          </cell>
          <cell r="P402" t="str">
            <v/>
          </cell>
          <cell r="Q402">
            <v>42.3</v>
          </cell>
          <cell r="R402" t="str">
            <v>UND</v>
          </cell>
          <cell r="S402">
            <v>0</v>
          </cell>
          <cell r="T402">
            <v>0</v>
          </cell>
          <cell r="U402" t="str">
            <v/>
          </cell>
          <cell r="V402" t="str">
            <v>PRO10</v>
          </cell>
          <cell r="W402">
            <v>0</v>
          </cell>
        </row>
        <row r="403">
          <cell r="C403" t="str">
            <v>LDTPSUCP201-8</v>
          </cell>
          <cell r="D403" t="str">
            <v>PRINC</v>
          </cell>
          <cell r="E403" t="str">
            <v>00005</v>
          </cell>
          <cell r="F403" t="str">
            <v>CHUMACERAS Y RODAMIENTOS</v>
          </cell>
          <cell r="G403" t="str">
            <v>PRINCIPAL</v>
          </cell>
          <cell r="H403">
            <v>46004</v>
          </cell>
          <cell r="I403" t="str">
            <v>SALDO INICIAL</v>
          </cell>
          <cell r="J403">
            <v>1</v>
          </cell>
          <cell r="K403">
            <v>6.7725</v>
          </cell>
          <cell r="L403">
            <v>6.7725</v>
          </cell>
          <cell r="M403">
            <v>6.7725</v>
          </cell>
          <cell r="N403" t="str">
            <v/>
          </cell>
          <cell r="O403" t="str">
            <v/>
          </cell>
          <cell r="P403" t="str">
            <v/>
          </cell>
          <cell r="Q403">
            <v>15</v>
          </cell>
          <cell r="R403" t="str">
            <v>UND</v>
          </cell>
          <cell r="S403">
            <v>0</v>
          </cell>
          <cell r="T403">
            <v>0</v>
          </cell>
          <cell r="U403" t="str">
            <v/>
          </cell>
          <cell r="V403" t="str">
            <v>PRO10</v>
          </cell>
          <cell r="W403">
            <v>0</v>
          </cell>
        </row>
        <row r="404">
          <cell r="C404" t="str">
            <v>LDTPSUCP202-10</v>
          </cell>
          <cell r="D404" t="str">
            <v>PRINC</v>
          </cell>
          <cell r="E404" t="str">
            <v>00005</v>
          </cell>
          <cell r="F404" t="str">
            <v>CHUMACERAS Y RODAMIENTOS</v>
          </cell>
          <cell r="G404" t="str">
            <v>PRINCIPAL</v>
          </cell>
          <cell r="H404">
            <v>46004</v>
          </cell>
          <cell r="I404" t="str">
            <v>SALDO INICIAL</v>
          </cell>
          <cell r="J404">
            <v>2</v>
          </cell>
          <cell r="K404">
            <v>13.13</v>
          </cell>
          <cell r="L404">
            <v>6.5650000000000004</v>
          </cell>
          <cell r="M404">
            <v>6.5650000000000004</v>
          </cell>
          <cell r="N404" t="str">
            <v/>
          </cell>
          <cell r="O404" t="str">
            <v/>
          </cell>
          <cell r="P404" t="str">
            <v/>
          </cell>
          <cell r="Q404">
            <v>0</v>
          </cell>
          <cell r="R404" t="str">
            <v>UND</v>
          </cell>
          <cell r="S404">
            <v>0</v>
          </cell>
          <cell r="T404">
            <v>0</v>
          </cell>
          <cell r="U404" t="str">
            <v/>
          </cell>
          <cell r="V404" t="str">
            <v>PRO10</v>
          </cell>
          <cell r="W404">
            <v>0</v>
          </cell>
        </row>
        <row r="405">
          <cell r="C405" t="str">
            <v>LDTPSUCP204-12</v>
          </cell>
          <cell r="D405" t="str">
            <v>PRINC</v>
          </cell>
          <cell r="E405" t="str">
            <v>00005</v>
          </cell>
          <cell r="F405" t="str">
            <v>CHUMACERAS Y RODAMIENTOS</v>
          </cell>
          <cell r="G405" t="str">
            <v>PRINCIPAL</v>
          </cell>
          <cell r="H405">
            <v>46004</v>
          </cell>
          <cell r="I405" t="str">
            <v>SALDO INICIAL</v>
          </cell>
          <cell r="J405">
            <v>17</v>
          </cell>
          <cell r="K405">
            <v>122.69410000000001</v>
          </cell>
          <cell r="L405">
            <v>7.2172999999999998</v>
          </cell>
          <cell r="M405">
            <v>7.2172999999999998</v>
          </cell>
          <cell r="N405" t="str">
            <v/>
          </cell>
          <cell r="O405" t="str">
            <v/>
          </cell>
          <cell r="P405" t="str">
            <v/>
          </cell>
          <cell r="Q405">
            <v>15.5</v>
          </cell>
          <cell r="R405" t="str">
            <v>UND</v>
          </cell>
          <cell r="S405">
            <v>0</v>
          </cell>
          <cell r="T405">
            <v>0</v>
          </cell>
          <cell r="U405" t="str">
            <v/>
          </cell>
          <cell r="V405" t="str">
            <v>PRO10</v>
          </cell>
          <cell r="W405">
            <v>0</v>
          </cell>
        </row>
        <row r="406">
          <cell r="C406" t="str">
            <v>LDTPSUCP205</v>
          </cell>
          <cell r="D406" t="str">
            <v>PRINC</v>
          </cell>
          <cell r="E406" t="str">
            <v>00005</v>
          </cell>
          <cell r="F406" t="str">
            <v>CHUMACERAS Y RODAMIENTOS</v>
          </cell>
          <cell r="G406" t="str">
            <v>PRINCIPAL</v>
          </cell>
          <cell r="H406">
            <v>46004</v>
          </cell>
          <cell r="I406" t="str">
            <v>SALDO INICIAL</v>
          </cell>
          <cell r="J406">
            <v>31</v>
          </cell>
          <cell r="K406">
            <v>213.047054</v>
          </cell>
          <cell r="L406">
            <v>7.7104150000000002</v>
          </cell>
          <cell r="M406">
            <v>6.8724856130000003</v>
          </cell>
          <cell r="N406" t="str">
            <v/>
          </cell>
          <cell r="O406" t="str">
            <v/>
          </cell>
          <cell r="P406" t="str">
            <v/>
          </cell>
          <cell r="Q406">
            <v>17</v>
          </cell>
          <cell r="R406" t="str">
            <v>UND</v>
          </cell>
          <cell r="S406">
            <v>0</v>
          </cell>
          <cell r="T406">
            <v>0</v>
          </cell>
          <cell r="U406" t="str">
            <v/>
          </cell>
          <cell r="V406" t="str">
            <v>PRO10</v>
          </cell>
          <cell r="W406">
            <v>0</v>
          </cell>
        </row>
        <row r="407">
          <cell r="C407" t="str">
            <v>LDTPSUCP205-16</v>
          </cell>
          <cell r="D407" t="str">
            <v>PRINC</v>
          </cell>
          <cell r="E407" t="str">
            <v>00005</v>
          </cell>
          <cell r="F407" t="str">
            <v>CHUMACERAS Y RODAMIENTOS</v>
          </cell>
          <cell r="G407" t="str">
            <v>PRINCIPAL</v>
          </cell>
          <cell r="H407">
            <v>46004</v>
          </cell>
          <cell r="I407" t="str">
            <v>SALDO INICIAL</v>
          </cell>
          <cell r="J407">
            <v>163</v>
          </cell>
          <cell r="K407">
            <v>1330.8989120000001</v>
          </cell>
          <cell r="L407">
            <v>8.2196669999999994</v>
          </cell>
          <cell r="M407">
            <v>8.1650240000000007</v>
          </cell>
          <cell r="N407" t="str">
            <v/>
          </cell>
          <cell r="O407" t="str">
            <v/>
          </cell>
          <cell r="P407" t="str">
            <v/>
          </cell>
          <cell r="Q407">
            <v>17</v>
          </cell>
          <cell r="R407" t="str">
            <v>UND</v>
          </cell>
          <cell r="S407">
            <v>0</v>
          </cell>
          <cell r="T407">
            <v>0</v>
          </cell>
          <cell r="U407" t="str">
            <v/>
          </cell>
          <cell r="V407" t="str">
            <v>PRO10</v>
          </cell>
          <cell r="W407">
            <v>0</v>
          </cell>
        </row>
        <row r="408">
          <cell r="C408" t="str">
            <v>LDTPSUCP206</v>
          </cell>
          <cell r="D408" t="str">
            <v>PRINC</v>
          </cell>
          <cell r="E408" t="str">
            <v>00005</v>
          </cell>
          <cell r="F408" t="str">
            <v>CHUMACERAS Y RODAMIENTOS</v>
          </cell>
          <cell r="G408" t="str">
            <v>PRINCIPAL</v>
          </cell>
          <cell r="H408">
            <v>46004</v>
          </cell>
          <cell r="I408" t="str">
            <v>SALDO INICIAL</v>
          </cell>
          <cell r="J408">
            <v>0</v>
          </cell>
          <cell r="K408">
            <v>-0.82957400000000003</v>
          </cell>
          <cell r="L408">
            <v>9.7080090000000006</v>
          </cell>
          <cell r="M408">
            <v>0</v>
          </cell>
          <cell r="N408" t="str">
            <v/>
          </cell>
          <cell r="O408" t="str">
            <v/>
          </cell>
          <cell r="P408" t="str">
            <v/>
          </cell>
          <cell r="Q408">
            <v>23</v>
          </cell>
          <cell r="R408" t="str">
            <v>UND</v>
          </cell>
          <cell r="S408">
            <v>0</v>
          </cell>
          <cell r="T408">
            <v>0</v>
          </cell>
          <cell r="U408" t="str">
            <v/>
          </cell>
          <cell r="V408" t="str">
            <v>PRO10</v>
          </cell>
          <cell r="W408">
            <v>0</v>
          </cell>
        </row>
        <row r="409">
          <cell r="C409" t="str">
            <v>LDTPSUCP206-19</v>
          </cell>
          <cell r="D409" t="str">
            <v>PRINC</v>
          </cell>
          <cell r="E409" t="str">
            <v>00005</v>
          </cell>
          <cell r="F409" t="str">
            <v>CHUMACERAS Y RODAMIENTOS</v>
          </cell>
          <cell r="G409" t="str">
            <v>PRINCIPAL</v>
          </cell>
          <cell r="H409">
            <v>46004</v>
          </cell>
          <cell r="I409" t="str">
            <v>SALDO INICIAL</v>
          </cell>
          <cell r="J409">
            <v>9</v>
          </cell>
          <cell r="K409">
            <v>95.891611999999995</v>
          </cell>
          <cell r="L409">
            <v>10.615</v>
          </cell>
          <cell r="M409">
            <v>10.654623556000001</v>
          </cell>
          <cell r="N409" t="str">
            <v/>
          </cell>
          <cell r="O409" t="str">
            <v/>
          </cell>
          <cell r="P409" t="str">
            <v/>
          </cell>
          <cell r="Q409">
            <v>23</v>
          </cell>
          <cell r="R409" t="str">
            <v>UND</v>
          </cell>
          <cell r="S409">
            <v>0</v>
          </cell>
          <cell r="T409">
            <v>0</v>
          </cell>
          <cell r="U409" t="str">
            <v/>
          </cell>
          <cell r="V409" t="str">
            <v>PRO10</v>
          </cell>
          <cell r="W409">
            <v>0</v>
          </cell>
        </row>
        <row r="410">
          <cell r="C410" t="str">
            <v>LDTPSUCP207</v>
          </cell>
          <cell r="D410" t="str">
            <v>PRINC</v>
          </cell>
          <cell r="E410" t="str">
            <v>00005</v>
          </cell>
          <cell r="F410" t="str">
            <v>CHUMACERAS Y RODAMIENTOS</v>
          </cell>
          <cell r="G410" t="str">
            <v>PRINCIPAL</v>
          </cell>
          <cell r="H410">
            <v>46004</v>
          </cell>
          <cell r="I410" t="str">
            <v>SALDO INICIAL</v>
          </cell>
          <cell r="J410">
            <v>17</v>
          </cell>
          <cell r="K410">
            <v>263.89530000000002</v>
          </cell>
          <cell r="L410">
            <v>14.6426</v>
          </cell>
          <cell r="M410">
            <v>15.523252941000001</v>
          </cell>
          <cell r="N410" t="str">
            <v/>
          </cell>
          <cell r="O410" t="str">
            <v/>
          </cell>
          <cell r="P410" t="str">
            <v/>
          </cell>
          <cell r="Q410">
            <v>27.9</v>
          </cell>
          <cell r="R410" t="str">
            <v>UND</v>
          </cell>
          <cell r="S410">
            <v>0</v>
          </cell>
          <cell r="T410">
            <v>0</v>
          </cell>
          <cell r="U410" t="str">
            <v/>
          </cell>
          <cell r="V410" t="str">
            <v>PRO10</v>
          </cell>
          <cell r="W410">
            <v>0</v>
          </cell>
        </row>
        <row r="411">
          <cell r="C411" t="str">
            <v>LDTPSUCP207-20</v>
          </cell>
          <cell r="D411" t="str">
            <v>PRINC</v>
          </cell>
          <cell r="E411" t="str">
            <v>00005</v>
          </cell>
          <cell r="F411" t="str">
            <v>CHUMACERAS Y RODAMIENTOS</v>
          </cell>
          <cell r="G411" t="str">
            <v>PRINCIPAL</v>
          </cell>
          <cell r="H411">
            <v>46004</v>
          </cell>
          <cell r="I411" t="str">
            <v>SALDO INICIAL</v>
          </cell>
          <cell r="J411">
            <v>32</v>
          </cell>
          <cell r="K411">
            <v>485.70780300000001</v>
          </cell>
          <cell r="L411">
            <v>14.518053</v>
          </cell>
          <cell r="M411">
            <v>15.178368844</v>
          </cell>
          <cell r="N411" t="str">
            <v/>
          </cell>
          <cell r="O411" t="str">
            <v/>
          </cell>
          <cell r="P411" t="str">
            <v/>
          </cell>
          <cell r="Q411">
            <v>27.9</v>
          </cell>
          <cell r="R411" t="str">
            <v>UND</v>
          </cell>
          <cell r="S411">
            <v>0</v>
          </cell>
          <cell r="T411">
            <v>0</v>
          </cell>
          <cell r="U411" t="str">
            <v/>
          </cell>
          <cell r="V411" t="str">
            <v>PRO10</v>
          </cell>
          <cell r="W411">
            <v>0</v>
          </cell>
        </row>
        <row r="412">
          <cell r="C412" t="str">
            <v>LDTPSUCP208-24</v>
          </cell>
          <cell r="D412" t="str">
            <v>PRINC</v>
          </cell>
          <cell r="E412" t="str">
            <v>00005</v>
          </cell>
          <cell r="F412" t="str">
            <v>CHUMACERAS Y RODAMIENTOS</v>
          </cell>
          <cell r="G412" t="str">
            <v>PRINCIPAL</v>
          </cell>
          <cell r="H412">
            <v>46004</v>
          </cell>
          <cell r="I412" t="str">
            <v>SALDO INICIAL</v>
          </cell>
          <cell r="J412">
            <v>2</v>
          </cell>
          <cell r="K412">
            <v>36.682155999999999</v>
          </cell>
          <cell r="L412">
            <v>17.680244999999999</v>
          </cell>
          <cell r="M412">
            <v>18.341078</v>
          </cell>
          <cell r="N412" t="str">
            <v/>
          </cell>
          <cell r="O412" t="str">
            <v/>
          </cell>
          <cell r="P412" t="str">
            <v/>
          </cell>
          <cell r="Q412">
            <v>30.9</v>
          </cell>
          <cell r="R412" t="str">
            <v>UND</v>
          </cell>
          <cell r="S412">
            <v>0</v>
          </cell>
          <cell r="T412">
            <v>0</v>
          </cell>
          <cell r="U412" t="str">
            <v/>
          </cell>
          <cell r="V412" t="str">
            <v>PRO10</v>
          </cell>
          <cell r="W412">
            <v>0</v>
          </cell>
        </row>
        <row r="413">
          <cell r="C413" t="str">
            <v>LDTPSUCP211-32</v>
          </cell>
          <cell r="D413" t="str">
            <v>PRINC</v>
          </cell>
          <cell r="E413" t="str">
            <v>00005</v>
          </cell>
          <cell r="F413" t="str">
            <v>CHUMACERAS Y RODAMIENTOS</v>
          </cell>
          <cell r="G413" t="str">
            <v>PRINCIPAL</v>
          </cell>
          <cell r="H413">
            <v>46004</v>
          </cell>
          <cell r="I413" t="str">
            <v>SALDO INICIAL</v>
          </cell>
          <cell r="J413">
            <v>8</v>
          </cell>
          <cell r="K413">
            <v>283.06799999999998</v>
          </cell>
          <cell r="L413">
            <v>35.383499999999998</v>
          </cell>
          <cell r="M413">
            <v>35.383499999999998</v>
          </cell>
          <cell r="N413" t="str">
            <v/>
          </cell>
          <cell r="O413" t="str">
            <v/>
          </cell>
          <cell r="P413" t="str">
            <v/>
          </cell>
          <cell r="Q413">
            <v>56.6</v>
          </cell>
          <cell r="R413" t="str">
            <v>UND</v>
          </cell>
          <cell r="S413">
            <v>0</v>
          </cell>
          <cell r="T413">
            <v>0</v>
          </cell>
          <cell r="U413" t="str">
            <v/>
          </cell>
          <cell r="V413" t="str">
            <v>PRO10</v>
          </cell>
          <cell r="W413">
            <v>0</v>
          </cell>
        </row>
        <row r="414">
          <cell r="C414" t="str">
            <v>LDTPSUCT205</v>
          </cell>
          <cell r="D414" t="str">
            <v>PRINC</v>
          </cell>
          <cell r="E414" t="str">
            <v>00005</v>
          </cell>
          <cell r="F414" t="str">
            <v>CHUMACERAS Y RODAMIENTOS</v>
          </cell>
          <cell r="G414" t="str">
            <v>PRINCIPAL</v>
          </cell>
          <cell r="H414">
            <v>46004</v>
          </cell>
          <cell r="I414" t="str">
            <v>SALDO INICIAL</v>
          </cell>
          <cell r="J414">
            <v>11</v>
          </cell>
          <cell r="K414">
            <v>88.478499999999997</v>
          </cell>
          <cell r="L414">
            <v>8.0434999999999999</v>
          </cell>
          <cell r="M414">
            <v>8.0434999999999999</v>
          </cell>
          <cell r="N414" t="str">
            <v/>
          </cell>
          <cell r="O414" t="str">
            <v/>
          </cell>
          <cell r="P414" t="str">
            <v/>
          </cell>
          <cell r="Q414">
            <v>14.7</v>
          </cell>
          <cell r="R414" t="str">
            <v>UND</v>
          </cell>
          <cell r="S414">
            <v>0</v>
          </cell>
          <cell r="T414">
            <v>0</v>
          </cell>
          <cell r="U414" t="str">
            <v/>
          </cell>
          <cell r="V414" t="str">
            <v>PRO10</v>
          </cell>
          <cell r="W414">
            <v>0</v>
          </cell>
        </row>
        <row r="415">
          <cell r="C415" t="str">
            <v>LDTPSUCT205-16</v>
          </cell>
          <cell r="D415" t="str">
            <v>PRINC</v>
          </cell>
          <cell r="E415" t="str">
            <v>00005</v>
          </cell>
          <cell r="F415" t="str">
            <v>CHUMACERAS Y RODAMIENTOS</v>
          </cell>
          <cell r="G415" t="str">
            <v>PRINCIPAL</v>
          </cell>
          <cell r="H415">
            <v>46004</v>
          </cell>
          <cell r="I415" t="str">
            <v>SALDO INICIAL</v>
          </cell>
          <cell r="J415">
            <v>69</v>
          </cell>
          <cell r="K415">
            <v>625.02269999999999</v>
          </cell>
          <cell r="L415">
            <v>9.0582999999999991</v>
          </cell>
          <cell r="M415">
            <v>9.0582999999999991</v>
          </cell>
          <cell r="N415" t="str">
            <v/>
          </cell>
          <cell r="O415" t="str">
            <v/>
          </cell>
          <cell r="P415" t="str">
            <v/>
          </cell>
          <cell r="Q415">
            <v>14.7</v>
          </cell>
          <cell r="R415" t="str">
            <v>UND</v>
          </cell>
          <cell r="S415">
            <v>0</v>
          </cell>
          <cell r="T415">
            <v>0</v>
          </cell>
          <cell r="U415" t="str">
            <v/>
          </cell>
          <cell r="V415" t="str">
            <v>PRO10</v>
          </cell>
          <cell r="W415">
            <v>0</v>
          </cell>
        </row>
        <row r="416">
          <cell r="C416" t="str">
            <v>LDTPSUCT206</v>
          </cell>
          <cell r="D416" t="str">
            <v>PRINC</v>
          </cell>
          <cell r="E416" t="str">
            <v>00005</v>
          </cell>
          <cell r="F416" t="str">
            <v>CHUMACERAS Y RODAMIENTOS</v>
          </cell>
          <cell r="G416" t="str">
            <v>PRINCIPAL</v>
          </cell>
          <cell r="H416">
            <v>46004</v>
          </cell>
          <cell r="I416" t="str">
            <v>SALDO INICIAL</v>
          </cell>
          <cell r="J416">
            <v>6</v>
          </cell>
          <cell r="K416">
            <v>0</v>
          </cell>
          <cell r="L416">
            <v>0</v>
          </cell>
          <cell r="M416">
            <v>0</v>
          </cell>
          <cell r="N416" t="str">
            <v/>
          </cell>
          <cell r="O416" t="str">
            <v/>
          </cell>
          <cell r="P416" t="str">
            <v/>
          </cell>
          <cell r="Q416">
            <v>0</v>
          </cell>
          <cell r="R416" t="str">
            <v>UND</v>
          </cell>
          <cell r="S416">
            <v>0</v>
          </cell>
          <cell r="T416">
            <v>0</v>
          </cell>
          <cell r="U416" t="str">
            <v/>
          </cell>
          <cell r="V416" t="str">
            <v>PRO10</v>
          </cell>
          <cell r="W416">
            <v>0</v>
          </cell>
        </row>
        <row r="417">
          <cell r="C417" t="str">
            <v>LDTPSUCT206-20</v>
          </cell>
          <cell r="D417" t="str">
            <v>PRINC</v>
          </cell>
          <cell r="E417" t="str">
            <v>00005</v>
          </cell>
          <cell r="F417" t="str">
            <v>CHUMACERAS Y RODAMIENTOS</v>
          </cell>
          <cell r="G417" t="str">
            <v>PRINCIPAL</v>
          </cell>
          <cell r="H417">
            <v>46004</v>
          </cell>
          <cell r="I417" t="str">
            <v>SALDO INICIAL</v>
          </cell>
          <cell r="J417">
            <v>0</v>
          </cell>
          <cell r="K417">
            <v>0</v>
          </cell>
          <cell r="L417">
            <v>12.610333000000001</v>
          </cell>
          <cell r="M417">
            <v>0</v>
          </cell>
          <cell r="N417" t="str">
            <v/>
          </cell>
          <cell r="O417" t="str">
            <v/>
          </cell>
          <cell r="P417" t="str">
            <v/>
          </cell>
          <cell r="Q417">
            <v>22.7</v>
          </cell>
          <cell r="R417" t="str">
            <v>UND</v>
          </cell>
          <cell r="S417">
            <v>0</v>
          </cell>
          <cell r="T417">
            <v>0</v>
          </cell>
          <cell r="U417" t="str">
            <v/>
          </cell>
          <cell r="V417" t="str">
            <v>PRO10</v>
          </cell>
          <cell r="W417">
            <v>0</v>
          </cell>
        </row>
        <row r="418">
          <cell r="C418" t="str">
            <v>LDTPSUCT207-20</v>
          </cell>
          <cell r="D418" t="str">
            <v>PRINC</v>
          </cell>
          <cell r="E418" t="str">
            <v>00005</v>
          </cell>
          <cell r="F418" t="str">
            <v>CHUMACERAS Y RODAMIENTOS</v>
          </cell>
          <cell r="G418" t="str">
            <v>PRINCIPAL</v>
          </cell>
          <cell r="H418">
            <v>46004</v>
          </cell>
          <cell r="I418" t="str">
            <v>SALDO INICIAL</v>
          </cell>
          <cell r="J418">
            <v>4</v>
          </cell>
          <cell r="K418">
            <v>56.22</v>
          </cell>
          <cell r="L418">
            <v>0</v>
          </cell>
          <cell r="M418">
            <v>14.055</v>
          </cell>
          <cell r="N418" t="str">
            <v/>
          </cell>
          <cell r="O418" t="str">
            <v/>
          </cell>
          <cell r="P418" t="str">
            <v/>
          </cell>
          <cell r="Q418">
            <v>25.3</v>
          </cell>
          <cell r="R418" t="str">
            <v>UND</v>
          </cell>
          <cell r="S418">
            <v>0</v>
          </cell>
          <cell r="T418">
            <v>0</v>
          </cell>
          <cell r="U418" t="str">
            <v/>
          </cell>
          <cell r="V418" t="str">
            <v>PRO10</v>
          </cell>
          <cell r="W418">
            <v>0</v>
          </cell>
        </row>
        <row r="419">
          <cell r="C419" t="str">
            <v>LDTPSUCT208-24</v>
          </cell>
          <cell r="D419" t="str">
            <v>PRINC</v>
          </cell>
          <cell r="E419" t="str">
            <v>00005</v>
          </cell>
          <cell r="F419" t="str">
            <v>CHUMACERAS Y RODAMIENTOS</v>
          </cell>
          <cell r="G419" t="str">
            <v>PRINCIPAL</v>
          </cell>
          <cell r="H419">
            <v>46004</v>
          </cell>
          <cell r="I419" t="str">
            <v>SALDO INICIAL</v>
          </cell>
          <cell r="J419">
            <v>3</v>
          </cell>
          <cell r="K419">
            <v>50.79</v>
          </cell>
          <cell r="L419">
            <v>16.93</v>
          </cell>
          <cell r="M419">
            <v>16.93</v>
          </cell>
          <cell r="N419" t="str">
            <v/>
          </cell>
          <cell r="O419" t="str">
            <v/>
          </cell>
          <cell r="P419" t="str">
            <v/>
          </cell>
          <cell r="Q419">
            <v>30.5</v>
          </cell>
          <cell r="R419" t="str">
            <v>UND</v>
          </cell>
          <cell r="S419">
            <v>0</v>
          </cell>
          <cell r="T419">
            <v>0</v>
          </cell>
          <cell r="U419" t="str">
            <v/>
          </cell>
          <cell r="V419" t="str">
            <v>PRO10</v>
          </cell>
          <cell r="W419">
            <v>0</v>
          </cell>
        </row>
        <row r="420">
          <cell r="C420" t="str">
            <v>BRVF4S-212</v>
          </cell>
          <cell r="D420" t="str">
            <v>PRINC</v>
          </cell>
          <cell r="E420" t="str">
            <v>00005</v>
          </cell>
          <cell r="F420" t="str">
            <v>CHUMACERAS Y RODAMIENTOS</v>
          </cell>
          <cell r="G420" t="str">
            <v>PRINCIPAL</v>
          </cell>
          <cell r="H420">
            <v>46004</v>
          </cell>
          <cell r="I420" t="str">
            <v>SALDO INICIAL</v>
          </cell>
          <cell r="J420">
            <v>149</v>
          </cell>
          <cell r="K420">
            <v>2746.9510919999998</v>
          </cell>
          <cell r="L420">
            <v>18.241876000000001</v>
          </cell>
          <cell r="M420">
            <v>18.435913369000001</v>
          </cell>
          <cell r="N420" t="str">
            <v/>
          </cell>
          <cell r="O420" t="str">
            <v/>
          </cell>
          <cell r="P420" t="str">
            <v/>
          </cell>
          <cell r="Q420">
            <v>34.5</v>
          </cell>
          <cell r="R420" t="str">
            <v>UND</v>
          </cell>
          <cell r="S420">
            <v>0</v>
          </cell>
          <cell r="T420">
            <v>0</v>
          </cell>
          <cell r="U420" t="str">
            <v/>
          </cell>
          <cell r="V420" t="str">
            <v>PRO10</v>
          </cell>
          <cell r="W420">
            <v>0</v>
          </cell>
        </row>
        <row r="421">
          <cell r="C421" t="str">
            <v>BRVF4S-216</v>
          </cell>
          <cell r="D421" t="str">
            <v>PRINC</v>
          </cell>
          <cell r="E421" t="str">
            <v>00005</v>
          </cell>
          <cell r="F421" t="str">
            <v>CHUMACERAS Y RODAMIENTOS</v>
          </cell>
          <cell r="G421" t="str">
            <v>PRINCIPAL</v>
          </cell>
          <cell r="H421">
            <v>46004</v>
          </cell>
          <cell r="I421" t="str">
            <v>SALDO INICIAL</v>
          </cell>
          <cell r="J421">
            <v>105</v>
          </cell>
          <cell r="K421">
            <v>4031.8461600000001</v>
          </cell>
          <cell r="L421">
            <v>20.066652999999999</v>
          </cell>
          <cell r="M421">
            <v>38.398534857000001</v>
          </cell>
          <cell r="N421" t="str">
            <v>PVP ESPECIAL $32.75</v>
          </cell>
          <cell r="O421" t="str">
            <v/>
          </cell>
          <cell r="P421" t="str">
            <v/>
          </cell>
          <cell r="Q421">
            <v>36.200000000000003</v>
          </cell>
          <cell r="R421" t="str">
            <v>UND</v>
          </cell>
          <cell r="S421">
            <v>0</v>
          </cell>
          <cell r="T421">
            <v>0</v>
          </cell>
          <cell r="U421" t="str">
            <v/>
          </cell>
          <cell r="V421" t="str">
            <v>PRO10</v>
          </cell>
          <cell r="W421">
            <v>0</v>
          </cell>
        </row>
        <row r="422">
          <cell r="C422" t="str">
            <v>BRVF4S-219</v>
          </cell>
          <cell r="D422" t="str">
            <v>PRINC</v>
          </cell>
          <cell r="E422" t="str">
            <v>00005</v>
          </cell>
          <cell r="F422" t="str">
            <v>CHUMACERAS Y RODAMIENTOS</v>
          </cell>
          <cell r="G422" t="str">
            <v>PRINCIPAL</v>
          </cell>
          <cell r="H422">
            <v>46004</v>
          </cell>
          <cell r="I422" t="str">
            <v>SALDO INICIAL</v>
          </cell>
          <cell r="J422">
            <v>156</v>
          </cell>
          <cell r="K422">
            <v>3964.7476059999999</v>
          </cell>
          <cell r="L422">
            <v>24.978818</v>
          </cell>
          <cell r="M422">
            <v>25.415048756000001</v>
          </cell>
          <cell r="N422" t="str">
            <v>PVP ESPECIAL $42.50</v>
          </cell>
          <cell r="O422" t="str">
            <v/>
          </cell>
          <cell r="P422" t="str">
            <v/>
          </cell>
          <cell r="Q422">
            <v>44.85</v>
          </cell>
          <cell r="R422" t="str">
            <v>UND</v>
          </cell>
          <cell r="S422">
            <v>0</v>
          </cell>
          <cell r="T422">
            <v>0</v>
          </cell>
          <cell r="U422" t="str">
            <v/>
          </cell>
          <cell r="V422" t="str">
            <v>PRO10</v>
          </cell>
          <cell r="W422">
            <v>0</v>
          </cell>
        </row>
        <row r="423">
          <cell r="C423" t="str">
            <v>BRVPS-212</v>
          </cell>
          <cell r="D423" t="str">
            <v>PRINC</v>
          </cell>
          <cell r="E423" t="str">
            <v>00005</v>
          </cell>
          <cell r="F423" t="str">
            <v>CHUMACERAS Y RODAMIENTOS</v>
          </cell>
          <cell r="G423" t="str">
            <v>PRINCIPAL</v>
          </cell>
          <cell r="H423">
            <v>46004</v>
          </cell>
          <cell r="I423" t="str">
            <v>SALDO INICIAL</v>
          </cell>
          <cell r="J423">
            <v>16</v>
          </cell>
          <cell r="K423">
            <v>358.92940900000002</v>
          </cell>
          <cell r="L423">
            <v>18.486132999999999</v>
          </cell>
          <cell r="M423">
            <v>22.433088063</v>
          </cell>
          <cell r="N423" t="str">
            <v>PVP ESPECIAL $33.45</v>
          </cell>
          <cell r="O423" t="str">
            <v/>
          </cell>
          <cell r="P423" t="str">
            <v/>
          </cell>
          <cell r="Q423">
            <v>34.4</v>
          </cell>
          <cell r="R423" t="str">
            <v>UND</v>
          </cell>
          <cell r="S423">
            <v>0</v>
          </cell>
          <cell r="T423">
            <v>0</v>
          </cell>
          <cell r="U423" t="str">
            <v/>
          </cell>
          <cell r="V423" t="str">
            <v>PRO10</v>
          </cell>
          <cell r="W423">
            <v>0</v>
          </cell>
        </row>
        <row r="424">
          <cell r="C424" t="str">
            <v>BRVPS-216</v>
          </cell>
          <cell r="D424" t="str">
            <v>PRINC</v>
          </cell>
          <cell r="E424" t="str">
            <v>00005</v>
          </cell>
          <cell r="F424" t="str">
            <v>CHUMACERAS Y RODAMIENTOS</v>
          </cell>
          <cell r="G424" t="str">
            <v>PRINCIPAL</v>
          </cell>
          <cell r="H424">
            <v>46004</v>
          </cell>
          <cell r="I424" t="str">
            <v>SALDO INICIAL</v>
          </cell>
          <cell r="J424">
            <v>59</v>
          </cell>
          <cell r="K424">
            <v>1618.665626</v>
          </cell>
          <cell r="L424">
            <v>19.559339000000001</v>
          </cell>
          <cell r="M424">
            <v>27.435010609999999</v>
          </cell>
          <cell r="N424" t="str">
            <v>PVP ESPECIAL $35.60</v>
          </cell>
          <cell r="O424" t="str">
            <v/>
          </cell>
          <cell r="P424" t="str">
            <v/>
          </cell>
          <cell r="Q424">
            <v>36.700000000000003</v>
          </cell>
          <cell r="R424" t="str">
            <v>UND</v>
          </cell>
          <cell r="S424">
            <v>0</v>
          </cell>
          <cell r="T424">
            <v>0</v>
          </cell>
          <cell r="U424" t="str">
            <v/>
          </cell>
          <cell r="V424" t="str">
            <v>PRO10</v>
          </cell>
          <cell r="W424">
            <v>0</v>
          </cell>
        </row>
        <row r="425">
          <cell r="C425" t="str">
            <v>BRVPS-219</v>
          </cell>
          <cell r="D425" t="str">
            <v>PRINC</v>
          </cell>
          <cell r="E425" t="str">
            <v>00005</v>
          </cell>
          <cell r="F425" t="str">
            <v>CHUMACERAS Y RODAMIENTOS</v>
          </cell>
          <cell r="G425" t="str">
            <v>PRINCIPAL</v>
          </cell>
          <cell r="H425">
            <v>46004</v>
          </cell>
          <cell r="I425" t="str">
            <v>SALDO INICIAL</v>
          </cell>
          <cell r="J425">
            <v>12</v>
          </cell>
          <cell r="K425">
            <v>510.396861</v>
          </cell>
          <cell r="L425">
            <v>23.510739000000001</v>
          </cell>
          <cell r="M425">
            <v>42.533071749999998</v>
          </cell>
          <cell r="N425" t="str">
            <v>PVP ESPECIAL $42.15</v>
          </cell>
          <cell r="O425" t="str">
            <v/>
          </cell>
          <cell r="P425" t="str">
            <v/>
          </cell>
          <cell r="Q425">
            <v>43.15</v>
          </cell>
          <cell r="R425" t="str">
            <v>UND</v>
          </cell>
          <cell r="S425">
            <v>0</v>
          </cell>
          <cell r="T425">
            <v>0</v>
          </cell>
          <cell r="U425" t="str">
            <v/>
          </cell>
          <cell r="V425" t="str">
            <v>PRO10</v>
          </cell>
          <cell r="W425">
            <v>0</v>
          </cell>
        </row>
        <row r="426">
          <cell r="C426" t="str">
            <v>BRVS-116</v>
          </cell>
          <cell r="D426" t="str">
            <v>PRINC</v>
          </cell>
          <cell r="E426" t="str">
            <v>00005</v>
          </cell>
          <cell r="F426" t="str">
            <v>CHUMACERAS Y RODAMIENTOS</v>
          </cell>
          <cell r="G426" t="str">
            <v>PRINCIPAL</v>
          </cell>
          <cell r="H426">
            <v>46004</v>
          </cell>
          <cell r="I426" t="str">
            <v>SALDO INICIAL</v>
          </cell>
          <cell r="J426">
            <v>33</v>
          </cell>
          <cell r="K426">
            <v>654.76480600000002</v>
          </cell>
          <cell r="L426">
            <v>17.793246</v>
          </cell>
          <cell r="M426">
            <v>19.841357758000001</v>
          </cell>
          <cell r="N426" t="str">
            <v>PVP ESPECIAL $31.65</v>
          </cell>
          <cell r="O426" t="str">
            <v/>
          </cell>
          <cell r="P426" t="str">
            <v/>
          </cell>
          <cell r="Q426">
            <v>33.15</v>
          </cell>
          <cell r="R426" t="str">
            <v>UND</v>
          </cell>
          <cell r="S426">
            <v>0</v>
          </cell>
          <cell r="T426">
            <v>0</v>
          </cell>
          <cell r="U426" t="str">
            <v/>
          </cell>
          <cell r="V426" t="str">
            <v>PRO10</v>
          </cell>
          <cell r="W426">
            <v>0</v>
          </cell>
        </row>
        <row r="427">
          <cell r="C427" t="str">
            <v>BRVS-119</v>
          </cell>
          <cell r="D427" t="str">
            <v>PRINC</v>
          </cell>
          <cell r="E427" t="str">
            <v>00005</v>
          </cell>
          <cell r="F427" t="str">
            <v>CHUMACERAS Y RODAMIENTOS</v>
          </cell>
          <cell r="G427" t="str">
            <v>PRINCIPAL</v>
          </cell>
          <cell r="H427">
            <v>46004</v>
          </cell>
          <cell r="I427" t="str">
            <v>SALDO INICIAL</v>
          </cell>
          <cell r="J427">
            <v>35</v>
          </cell>
          <cell r="K427">
            <v>678.16042400000003</v>
          </cell>
          <cell r="L427">
            <v>21.079704</v>
          </cell>
          <cell r="M427">
            <v>19.376012114000002</v>
          </cell>
          <cell r="N427" t="str">
            <v>PVP ESPECIAL $36.85</v>
          </cell>
          <cell r="O427" t="str">
            <v/>
          </cell>
          <cell r="P427" t="str">
            <v/>
          </cell>
          <cell r="Q427">
            <v>39.4</v>
          </cell>
          <cell r="R427" t="str">
            <v>UND</v>
          </cell>
          <cell r="S427">
            <v>0</v>
          </cell>
          <cell r="T427">
            <v>0</v>
          </cell>
          <cell r="U427" t="str">
            <v/>
          </cell>
          <cell r="V427" t="str">
            <v>PRO10</v>
          </cell>
          <cell r="W427">
            <v>0</v>
          </cell>
        </row>
        <row r="428">
          <cell r="C428" t="str">
            <v>BRVS-212</v>
          </cell>
          <cell r="D428" t="str">
            <v>PRINC</v>
          </cell>
          <cell r="E428" t="str">
            <v>00005</v>
          </cell>
          <cell r="F428" t="str">
            <v>CHUMACERAS Y RODAMIENTOS</v>
          </cell>
          <cell r="G428" t="str">
            <v>PRINCIPAL</v>
          </cell>
          <cell r="H428">
            <v>46004</v>
          </cell>
          <cell r="I428" t="str">
            <v>SALDO INICIAL</v>
          </cell>
          <cell r="J428">
            <v>29</v>
          </cell>
          <cell r="K428">
            <v>411.815135</v>
          </cell>
          <cell r="L428">
            <v>16.069552999999999</v>
          </cell>
          <cell r="M428">
            <v>14.200521897</v>
          </cell>
          <cell r="N428" t="str">
            <v>PVP ESPECIAL $28.45</v>
          </cell>
          <cell r="O428" t="str">
            <v/>
          </cell>
          <cell r="P428" t="str">
            <v/>
          </cell>
          <cell r="Q428">
            <v>30.4</v>
          </cell>
          <cell r="R428" t="str">
            <v>UND</v>
          </cell>
          <cell r="S428">
            <v>0</v>
          </cell>
          <cell r="T428">
            <v>0</v>
          </cell>
          <cell r="U428" t="str">
            <v/>
          </cell>
          <cell r="V428" t="str">
            <v>PRO10</v>
          </cell>
          <cell r="W428">
            <v>0</v>
          </cell>
        </row>
        <row r="429">
          <cell r="C429" t="str">
            <v>BRVS-216</v>
          </cell>
          <cell r="D429" t="str">
            <v>PRINC</v>
          </cell>
          <cell r="E429" t="str">
            <v>00005</v>
          </cell>
          <cell r="F429" t="str">
            <v>CHUMACERAS Y RODAMIENTOS</v>
          </cell>
          <cell r="G429" t="str">
            <v>PRINCIPAL</v>
          </cell>
          <cell r="H429">
            <v>46004</v>
          </cell>
          <cell r="I429" t="str">
            <v>SALDO INICIAL</v>
          </cell>
          <cell r="J429">
            <v>186</v>
          </cell>
          <cell r="K429">
            <v>4079.4945080000002</v>
          </cell>
          <cell r="L429">
            <v>17.897027999999999</v>
          </cell>
          <cell r="M429">
            <v>21.932766172000001</v>
          </cell>
          <cell r="N429" t="str">
            <v>PVP ESPECIAL $31.65</v>
          </cell>
          <cell r="O429" t="str">
            <v/>
          </cell>
          <cell r="P429" t="str">
            <v/>
          </cell>
          <cell r="Q429">
            <v>32.6</v>
          </cell>
          <cell r="R429" t="str">
            <v>UND</v>
          </cell>
          <cell r="S429">
            <v>0</v>
          </cell>
          <cell r="T429">
            <v>0</v>
          </cell>
          <cell r="U429" t="str">
            <v/>
          </cell>
          <cell r="V429" t="str">
            <v>PRO10</v>
          </cell>
          <cell r="W429">
            <v>0</v>
          </cell>
        </row>
        <row r="430">
          <cell r="C430" t="str">
            <v>BRVS-219</v>
          </cell>
          <cell r="D430" t="str">
            <v>PRINC</v>
          </cell>
          <cell r="E430" t="str">
            <v>00005</v>
          </cell>
          <cell r="F430" t="str">
            <v>CHUMACERAS Y RODAMIENTOS</v>
          </cell>
          <cell r="G430" t="str">
            <v>PRINCIPAL</v>
          </cell>
          <cell r="H430">
            <v>46004</v>
          </cell>
          <cell r="I430" t="str">
            <v>SALDO INICIAL</v>
          </cell>
          <cell r="J430">
            <v>131</v>
          </cell>
          <cell r="K430">
            <v>3444.39095</v>
          </cell>
          <cell r="L430">
            <v>21.070418</v>
          </cell>
          <cell r="M430">
            <v>26.293060687000001</v>
          </cell>
          <cell r="N430" t="str">
            <v>PVP ESPECIAL $36.85</v>
          </cell>
          <cell r="O430" t="str">
            <v/>
          </cell>
          <cell r="P430" t="str">
            <v/>
          </cell>
          <cell r="Q430">
            <v>38.299999999999997</v>
          </cell>
          <cell r="R430" t="str">
            <v>UND</v>
          </cell>
          <cell r="S430">
            <v>0</v>
          </cell>
          <cell r="T430">
            <v>0</v>
          </cell>
          <cell r="U430" t="str">
            <v/>
          </cell>
          <cell r="V430" t="str">
            <v>PRO10</v>
          </cell>
          <cell r="W430">
            <v>0</v>
          </cell>
        </row>
        <row r="431">
          <cell r="C431" t="str">
            <v>RO685302</v>
          </cell>
          <cell r="D431" t="str">
            <v>PRINC</v>
          </cell>
          <cell r="E431" t="str">
            <v>00007</v>
          </cell>
          <cell r="F431" t="str">
            <v>EJES</v>
          </cell>
          <cell r="G431" t="str">
            <v>PRINCIPAL</v>
          </cell>
          <cell r="H431">
            <v>46004</v>
          </cell>
          <cell r="I431" t="str">
            <v>SALDO INICIAL</v>
          </cell>
          <cell r="J431">
            <v>1.41</v>
          </cell>
          <cell r="K431">
            <v>250.50765000000001</v>
          </cell>
          <cell r="L431">
            <v>177.66499999999999</v>
          </cell>
          <cell r="M431">
            <v>177.66499999999999</v>
          </cell>
          <cell r="N431" t="str">
            <v/>
          </cell>
          <cell r="O431" t="str">
            <v/>
          </cell>
          <cell r="P431" t="str">
            <v/>
          </cell>
          <cell r="Q431">
            <v>355.3</v>
          </cell>
          <cell r="R431" t="str">
            <v>MT</v>
          </cell>
          <cell r="S431">
            <v>0</v>
          </cell>
          <cell r="T431">
            <v>0</v>
          </cell>
          <cell r="U431" t="str">
            <v/>
          </cell>
          <cell r="V431" t="str">
            <v>PRO10</v>
          </cell>
          <cell r="W431">
            <v>0</v>
          </cell>
        </row>
        <row r="432">
          <cell r="C432" t="str">
            <v>RO218350</v>
          </cell>
          <cell r="D432" t="str">
            <v>PRINC</v>
          </cell>
          <cell r="E432" t="str">
            <v>00007</v>
          </cell>
          <cell r="F432" t="str">
            <v>EJES</v>
          </cell>
          <cell r="G432" t="str">
            <v>PRINCIPAL</v>
          </cell>
          <cell r="H432">
            <v>46004</v>
          </cell>
          <cell r="I432" t="str">
            <v>SALDO INICIAL</v>
          </cell>
          <cell r="J432">
            <v>8.01</v>
          </cell>
          <cell r="K432">
            <v>362.89753899999999</v>
          </cell>
          <cell r="L432">
            <v>64.335361000000006</v>
          </cell>
          <cell r="M432">
            <v>45.305560423999999</v>
          </cell>
          <cell r="N432" t="str">
            <v/>
          </cell>
          <cell r="O432" t="str">
            <v/>
          </cell>
          <cell r="P432" t="str">
            <v/>
          </cell>
          <cell r="Q432">
            <v>140.25</v>
          </cell>
          <cell r="R432" t="str">
            <v>MTS</v>
          </cell>
          <cell r="S432">
            <v>0</v>
          </cell>
          <cell r="T432">
            <v>0</v>
          </cell>
          <cell r="U432" t="str">
            <v/>
          </cell>
          <cell r="V432" t="str">
            <v>PRO10</v>
          </cell>
          <cell r="W432">
            <v>0</v>
          </cell>
        </row>
        <row r="433">
          <cell r="C433" t="str">
            <v>RO101182</v>
          </cell>
          <cell r="D433" t="str">
            <v>PRINC</v>
          </cell>
          <cell r="E433" t="str">
            <v>00007</v>
          </cell>
          <cell r="F433" t="str">
            <v>EJES</v>
          </cell>
          <cell r="G433" t="str">
            <v>PRINCIPAL</v>
          </cell>
          <cell r="H433">
            <v>46004</v>
          </cell>
          <cell r="I433" t="str">
            <v>SALDO INICIAL</v>
          </cell>
          <cell r="J433">
            <v>2.0499999999999998</v>
          </cell>
          <cell r="K433">
            <v>379.49698000000001</v>
          </cell>
          <cell r="L433">
            <v>185.12047699999999</v>
          </cell>
          <cell r="M433">
            <v>185.12047804900001</v>
          </cell>
          <cell r="N433" t="str">
            <v/>
          </cell>
          <cell r="O433" t="str">
            <v/>
          </cell>
          <cell r="P433" t="str">
            <v/>
          </cell>
          <cell r="Q433">
            <v>373.15</v>
          </cell>
          <cell r="R433" t="str">
            <v>MT</v>
          </cell>
          <cell r="S433">
            <v>0</v>
          </cell>
          <cell r="T433">
            <v>0</v>
          </cell>
          <cell r="U433" t="str">
            <v/>
          </cell>
          <cell r="V433" t="str">
            <v>PRO10</v>
          </cell>
          <cell r="W433">
            <v>0</v>
          </cell>
        </row>
        <row r="434">
          <cell r="C434" t="str">
            <v>RO329974</v>
          </cell>
          <cell r="D434" t="str">
            <v>PRINC</v>
          </cell>
          <cell r="E434" t="str">
            <v>00007</v>
          </cell>
          <cell r="F434" t="str">
            <v>EJES</v>
          </cell>
          <cell r="G434" t="str">
            <v>PRINCIPAL</v>
          </cell>
          <cell r="H434">
            <v>46004</v>
          </cell>
          <cell r="I434" t="str">
            <v>SALDO INICIAL</v>
          </cell>
          <cell r="J434">
            <v>149.19999999999999</v>
          </cell>
          <cell r="K434">
            <v>531.12551699999995</v>
          </cell>
          <cell r="L434">
            <v>3.559822</v>
          </cell>
          <cell r="M434">
            <v>3.5598225000000001</v>
          </cell>
          <cell r="N434" t="str">
            <v/>
          </cell>
          <cell r="O434" t="str">
            <v/>
          </cell>
          <cell r="P434" t="str">
            <v/>
          </cell>
          <cell r="Q434">
            <v>14.35</v>
          </cell>
          <cell r="R434" t="str">
            <v>MTS</v>
          </cell>
          <cell r="S434">
            <v>0</v>
          </cell>
          <cell r="T434">
            <v>0</v>
          </cell>
          <cell r="U434" t="str">
            <v/>
          </cell>
          <cell r="V434" t="str">
            <v>PRO10</v>
          </cell>
          <cell r="W434">
            <v>0</v>
          </cell>
        </row>
        <row r="435">
          <cell r="C435" t="str">
            <v>RO212354</v>
          </cell>
          <cell r="D435" t="str">
            <v>PRINC</v>
          </cell>
          <cell r="E435" t="str">
            <v>00007</v>
          </cell>
          <cell r="F435" t="str">
            <v>EJES</v>
          </cell>
          <cell r="G435" t="str">
            <v>PRINCIPAL</v>
          </cell>
          <cell r="H435">
            <v>46004</v>
          </cell>
          <cell r="I435" t="str">
            <v>SALDO INICIAL</v>
          </cell>
          <cell r="J435">
            <v>115</v>
          </cell>
          <cell r="K435">
            <v>1085.20398</v>
          </cell>
          <cell r="L435">
            <v>9.4148060000000005</v>
          </cell>
          <cell r="M435">
            <v>9.4365563479999999</v>
          </cell>
          <cell r="N435" t="str">
            <v/>
          </cell>
          <cell r="O435" t="str">
            <v/>
          </cell>
          <cell r="P435" t="str">
            <v/>
          </cell>
          <cell r="Q435">
            <v>20.3</v>
          </cell>
          <cell r="R435" t="str">
            <v>MTS</v>
          </cell>
          <cell r="S435">
            <v>0</v>
          </cell>
          <cell r="T435">
            <v>0</v>
          </cell>
          <cell r="U435" t="str">
            <v/>
          </cell>
          <cell r="V435" t="str">
            <v>PRO10</v>
          </cell>
          <cell r="W435">
            <v>0</v>
          </cell>
        </row>
        <row r="436">
          <cell r="C436" t="str">
            <v>RO370522</v>
          </cell>
          <cell r="D436" t="str">
            <v>PRINC</v>
          </cell>
          <cell r="E436" t="str">
            <v>00007</v>
          </cell>
          <cell r="F436" t="str">
            <v>EJES</v>
          </cell>
          <cell r="G436" t="str">
            <v>PRINCIPAL</v>
          </cell>
          <cell r="H436">
            <v>46004</v>
          </cell>
          <cell r="I436" t="str">
            <v>SALDO INICIAL</v>
          </cell>
          <cell r="J436">
            <v>25.02</v>
          </cell>
          <cell r="K436">
            <v>375.27381200000002</v>
          </cell>
          <cell r="L436">
            <v>15.023992</v>
          </cell>
          <cell r="M436">
            <v>14.998953317</v>
          </cell>
          <cell r="N436" t="str">
            <v/>
          </cell>
          <cell r="O436" t="str">
            <v/>
          </cell>
          <cell r="P436" t="str">
            <v/>
          </cell>
          <cell r="Q436">
            <v>30</v>
          </cell>
          <cell r="R436" t="str">
            <v>MTS</v>
          </cell>
          <cell r="S436">
            <v>0</v>
          </cell>
          <cell r="T436">
            <v>0</v>
          </cell>
          <cell r="U436" t="str">
            <v/>
          </cell>
          <cell r="V436" t="str">
            <v>PRO10</v>
          </cell>
          <cell r="W436">
            <v>0</v>
          </cell>
        </row>
        <row r="437">
          <cell r="C437" t="str">
            <v>RO212357</v>
          </cell>
          <cell r="D437" t="str">
            <v>PRINC</v>
          </cell>
          <cell r="E437" t="str">
            <v>00007</v>
          </cell>
          <cell r="F437" t="str">
            <v>EJES</v>
          </cell>
          <cell r="G437" t="str">
            <v>PRINCIPAL</v>
          </cell>
          <cell r="H437">
            <v>46004</v>
          </cell>
          <cell r="I437" t="str">
            <v>SALDO INICIAL</v>
          </cell>
          <cell r="J437">
            <v>1.8</v>
          </cell>
          <cell r="K437">
            <v>53.033132999999999</v>
          </cell>
          <cell r="L437">
            <v>29.458656000000001</v>
          </cell>
          <cell r="M437">
            <v>29.462851666999999</v>
          </cell>
          <cell r="N437" t="str">
            <v/>
          </cell>
          <cell r="O437" t="str">
            <v/>
          </cell>
          <cell r="P437" t="str">
            <v/>
          </cell>
          <cell r="Q437">
            <v>52.6</v>
          </cell>
          <cell r="R437" t="str">
            <v>MT</v>
          </cell>
          <cell r="S437">
            <v>0</v>
          </cell>
          <cell r="T437">
            <v>0</v>
          </cell>
          <cell r="U437" t="str">
            <v/>
          </cell>
          <cell r="V437" t="str">
            <v>PRO10</v>
          </cell>
          <cell r="W437">
            <v>0</v>
          </cell>
        </row>
        <row r="438">
          <cell r="C438" t="str">
            <v>RO442656</v>
          </cell>
          <cell r="D438" t="str">
            <v>PRINC</v>
          </cell>
          <cell r="E438" t="str">
            <v>00007</v>
          </cell>
          <cell r="F438" t="str">
            <v>EJES</v>
          </cell>
          <cell r="G438" t="str">
            <v>PRINCIPAL</v>
          </cell>
          <cell r="H438">
            <v>46004</v>
          </cell>
          <cell r="I438" t="str">
            <v>SALDO INICIAL</v>
          </cell>
          <cell r="J438">
            <v>61</v>
          </cell>
          <cell r="K438">
            <v>2792.1063239999999</v>
          </cell>
          <cell r="L438">
            <v>45.553122000000002</v>
          </cell>
          <cell r="M438">
            <v>45.772234820000001</v>
          </cell>
          <cell r="N438" t="str">
            <v/>
          </cell>
          <cell r="O438" t="str">
            <v/>
          </cell>
          <cell r="P438" t="str">
            <v/>
          </cell>
          <cell r="Q438">
            <v>78.7</v>
          </cell>
          <cell r="R438" t="str">
            <v>MTS</v>
          </cell>
          <cell r="S438">
            <v>0</v>
          </cell>
          <cell r="T438">
            <v>0</v>
          </cell>
          <cell r="U438" t="str">
            <v/>
          </cell>
          <cell r="V438" t="str">
            <v>PRO10</v>
          </cell>
          <cell r="W438">
            <v>0</v>
          </cell>
        </row>
        <row r="439">
          <cell r="C439" t="str">
            <v>RO242261-101174</v>
          </cell>
          <cell r="D439" t="str">
            <v>PRINC</v>
          </cell>
          <cell r="E439" t="str">
            <v>00007</v>
          </cell>
          <cell r="F439" t="str">
            <v>EJES</v>
          </cell>
          <cell r="G439" t="str">
            <v>PRINCIPAL</v>
          </cell>
          <cell r="H439">
            <v>46004</v>
          </cell>
          <cell r="I439" t="str">
            <v>SALDO INICIAL</v>
          </cell>
          <cell r="J439">
            <v>10.94</v>
          </cell>
          <cell r="K439">
            <v>583.23755000000006</v>
          </cell>
          <cell r="L439">
            <v>55.035201000000001</v>
          </cell>
          <cell r="M439">
            <v>53.312390311000001</v>
          </cell>
          <cell r="N439" t="str">
            <v/>
          </cell>
          <cell r="O439" t="str">
            <v/>
          </cell>
          <cell r="P439" t="str">
            <v/>
          </cell>
          <cell r="Q439">
            <v>93.6</v>
          </cell>
          <cell r="R439" t="str">
            <v>MTS</v>
          </cell>
          <cell r="S439">
            <v>0</v>
          </cell>
          <cell r="T439">
            <v>0</v>
          </cell>
          <cell r="U439" t="str">
            <v/>
          </cell>
          <cell r="V439" t="str">
            <v>PRO10</v>
          </cell>
          <cell r="W439">
            <v>0</v>
          </cell>
        </row>
        <row r="440">
          <cell r="C440" t="str">
            <v>IMEJESSC1.1/2</v>
          </cell>
          <cell r="D440" t="str">
            <v>PRINC</v>
          </cell>
          <cell r="E440" t="str">
            <v>00007</v>
          </cell>
          <cell r="F440" t="str">
            <v>EJES</v>
          </cell>
          <cell r="G440" t="str">
            <v>PRINCIPAL</v>
          </cell>
          <cell r="H440">
            <v>46004</v>
          </cell>
          <cell r="I440" t="str">
            <v>SALDO INICIAL</v>
          </cell>
          <cell r="J440">
            <v>499.2</v>
          </cell>
          <cell r="K440">
            <v>35422.558327999999</v>
          </cell>
          <cell r="L440">
            <v>70.958651000000003</v>
          </cell>
          <cell r="M440">
            <v>70.958650496999994</v>
          </cell>
          <cell r="N440" t="str">
            <v/>
          </cell>
          <cell r="O440" t="str">
            <v/>
          </cell>
          <cell r="P440" t="str">
            <v/>
          </cell>
          <cell r="Q440">
            <v>155</v>
          </cell>
          <cell r="R440" t="str">
            <v>MTS</v>
          </cell>
          <cell r="S440">
            <v>0</v>
          </cell>
          <cell r="T440">
            <v>0</v>
          </cell>
          <cell r="U440" t="str">
            <v/>
          </cell>
          <cell r="V440" t="str">
            <v>PRO10</v>
          </cell>
          <cell r="W440">
            <v>0</v>
          </cell>
        </row>
        <row r="441">
          <cell r="C441" t="str">
            <v>WAEJESSC25</v>
          </cell>
          <cell r="D441" t="str">
            <v>PRINC</v>
          </cell>
          <cell r="E441" t="str">
            <v>00007</v>
          </cell>
          <cell r="F441" t="str">
            <v>EJES</v>
          </cell>
          <cell r="G441" t="str">
            <v>PRINCIPAL</v>
          </cell>
          <cell r="H441">
            <v>46004</v>
          </cell>
          <cell r="I441" t="str">
            <v>SALDO INICIAL</v>
          </cell>
          <cell r="J441">
            <v>235.72</v>
          </cell>
          <cell r="K441">
            <v>7203.7399180000002</v>
          </cell>
          <cell r="L441">
            <v>0</v>
          </cell>
          <cell r="M441">
            <v>30.560580001999998</v>
          </cell>
          <cell r="N441" t="str">
            <v/>
          </cell>
          <cell r="O441" t="str">
            <v/>
          </cell>
          <cell r="P441" t="str">
            <v/>
          </cell>
          <cell r="Q441">
            <v>62.65</v>
          </cell>
          <cell r="R441" t="str">
            <v>MT</v>
          </cell>
          <cell r="S441">
            <v>0</v>
          </cell>
          <cell r="T441">
            <v>0</v>
          </cell>
          <cell r="U441" t="str">
            <v/>
          </cell>
          <cell r="V441" t="str">
            <v>PRO10</v>
          </cell>
          <cell r="W441">
            <v>0</v>
          </cell>
        </row>
        <row r="442">
          <cell r="C442" t="str">
            <v>EJESUS6G75</v>
          </cell>
          <cell r="D442" t="str">
            <v>PRINC</v>
          </cell>
          <cell r="E442" t="str">
            <v>00007</v>
          </cell>
          <cell r="F442" t="str">
            <v>EJES</v>
          </cell>
          <cell r="G442" t="str">
            <v>PRINCIPAL</v>
          </cell>
          <cell r="H442">
            <v>46004</v>
          </cell>
          <cell r="I442" t="str">
            <v>SALDO INICIAL</v>
          </cell>
          <cell r="J442">
            <v>2.9</v>
          </cell>
          <cell r="K442">
            <v>84.941000000000003</v>
          </cell>
          <cell r="L442">
            <v>29.29</v>
          </cell>
          <cell r="M442">
            <v>29.29</v>
          </cell>
          <cell r="N442" t="str">
            <v/>
          </cell>
          <cell r="O442" t="str">
            <v/>
          </cell>
          <cell r="P442" t="str">
            <v/>
          </cell>
          <cell r="Q442">
            <v>54.3</v>
          </cell>
          <cell r="R442" t="str">
            <v>MTS</v>
          </cell>
          <cell r="S442">
            <v>0</v>
          </cell>
          <cell r="T442">
            <v>0</v>
          </cell>
          <cell r="U442" t="str">
            <v/>
          </cell>
          <cell r="V442" t="str">
            <v>PRO10</v>
          </cell>
          <cell r="W442">
            <v>0</v>
          </cell>
        </row>
        <row r="443">
          <cell r="C443" t="str">
            <v>KEK200LH</v>
          </cell>
          <cell r="D443" t="str">
            <v>PRINC</v>
          </cell>
          <cell r="E443" t="str">
            <v>00009</v>
          </cell>
          <cell r="F443" t="str">
            <v>MAQUINAS PARA VENTA</v>
          </cell>
          <cell r="G443" t="str">
            <v>PRINCIPAL</v>
          </cell>
          <cell r="H443">
            <v>46004</v>
          </cell>
          <cell r="I443" t="str">
            <v>SALDO INICIAL</v>
          </cell>
          <cell r="J443">
            <v>1</v>
          </cell>
          <cell r="K443">
            <v>1980.2449999999999</v>
          </cell>
          <cell r="L443">
            <v>1980.2449999999999</v>
          </cell>
          <cell r="M443">
            <v>1980.2449999999999</v>
          </cell>
          <cell r="N443" t="str">
            <v/>
          </cell>
          <cell r="O443" t="str">
            <v/>
          </cell>
          <cell r="P443" t="str">
            <v/>
          </cell>
          <cell r="Q443">
            <v>0</v>
          </cell>
          <cell r="R443" t="str">
            <v>UND</v>
          </cell>
          <cell r="S443">
            <v>0</v>
          </cell>
          <cell r="T443">
            <v>0</v>
          </cell>
          <cell r="U443" t="str">
            <v/>
          </cell>
          <cell r="V443" t="str">
            <v>PRO10</v>
          </cell>
          <cell r="W443">
            <v>0</v>
          </cell>
        </row>
        <row r="444">
          <cell r="C444" t="str">
            <v>AFPB-260E</v>
          </cell>
          <cell r="D444" t="str">
            <v>PRINC</v>
          </cell>
          <cell r="E444" t="str">
            <v>00010</v>
          </cell>
          <cell r="F444" t="str">
            <v>AF MAQUINARIA Y EQUIPO</v>
          </cell>
          <cell r="G444" t="str">
            <v>PRINCIPAL</v>
          </cell>
          <cell r="H444">
            <v>46004</v>
          </cell>
          <cell r="I444" t="str">
            <v>SALDO INICIAL</v>
          </cell>
          <cell r="J444">
            <v>1</v>
          </cell>
          <cell r="K444">
            <v>5200</v>
          </cell>
          <cell r="L444">
            <v>5200</v>
          </cell>
          <cell r="M444">
            <v>5200</v>
          </cell>
          <cell r="N444" t="str">
            <v/>
          </cell>
          <cell r="O444" t="str">
            <v/>
          </cell>
          <cell r="P444" t="str">
            <v/>
          </cell>
          <cell r="Q444">
            <v>0</v>
          </cell>
          <cell r="R444" t="str">
            <v>UND</v>
          </cell>
          <cell r="S444">
            <v>0</v>
          </cell>
          <cell r="T444">
            <v>0</v>
          </cell>
          <cell r="U444" t="str">
            <v/>
          </cell>
          <cell r="V444" t="str">
            <v>PRO10</v>
          </cell>
          <cell r="W444">
            <v>0</v>
          </cell>
        </row>
        <row r="445">
          <cell r="C445" t="str">
            <v>AFPXR-H450W</v>
          </cell>
          <cell r="D445" t="str">
            <v>PRINC</v>
          </cell>
          <cell r="E445" t="str">
            <v>00010</v>
          </cell>
          <cell r="F445" t="str">
            <v>AF MAQUINARIA Y EQUIPO</v>
          </cell>
          <cell r="G445" t="str">
            <v>PRINCIPAL</v>
          </cell>
          <cell r="H445">
            <v>46004</v>
          </cell>
          <cell r="I445" t="str">
            <v>SALDO INICIAL</v>
          </cell>
          <cell r="J445">
            <v>1</v>
          </cell>
          <cell r="K445">
            <v>6000</v>
          </cell>
          <cell r="L445">
            <v>0</v>
          </cell>
          <cell r="M445">
            <v>6000</v>
          </cell>
          <cell r="N445" t="str">
            <v/>
          </cell>
          <cell r="O445" t="str">
            <v/>
          </cell>
          <cell r="P445" t="str">
            <v/>
          </cell>
          <cell r="Q445">
            <v>0</v>
          </cell>
          <cell r="R445" t="str">
            <v>UND</v>
          </cell>
          <cell r="S445">
            <v>0</v>
          </cell>
          <cell r="T445">
            <v>0</v>
          </cell>
          <cell r="U445" t="str">
            <v/>
          </cell>
          <cell r="V445" t="str">
            <v>PRO10</v>
          </cell>
          <cell r="W445">
            <v>0</v>
          </cell>
        </row>
        <row r="446">
          <cell r="C446" t="str">
            <v>AFRX-SD160W</v>
          </cell>
          <cell r="D446" t="str">
            <v>PRINC</v>
          </cell>
          <cell r="E446" t="str">
            <v>00010</v>
          </cell>
          <cell r="F446" t="str">
            <v>AF MAQUINARIA Y EQUIPO</v>
          </cell>
          <cell r="G446" t="str">
            <v>PRINCIPAL</v>
          </cell>
          <cell r="H446">
            <v>46004</v>
          </cell>
          <cell r="I446" t="str">
            <v>SALDO INICIAL</v>
          </cell>
          <cell r="J446">
            <v>1</v>
          </cell>
          <cell r="K446">
            <v>5791</v>
          </cell>
          <cell r="L446">
            <v>5791</v>
          </cell>
          <cell r="M446">
            <v>5791</v>
          </cell>
          <cell r="N446" t="str">
            <v/>
          </cell>
          <cell r="O446" t="str">
            <v/>
          </cell>
          <cell r="P446" t="str">
            <v/>
          </cell>
          <cell r="Q446">
            <v>0</v>
          </cell>
          <cell r="R446" t="str">
            <v>UND</v>
          </cell>
          <cell r="S446">
            <v>0</v>
          </cell>
          <cell r="T446">
            <v>0</v>
          </cell>
          <cell r="U446" t="str">
            <v/>
          </cell>
          <cell r="V446" t="str">
            <v>PRO10</v>
          </cell>
          <cell r="W446">
            <v>0</v>
          </cell>
        </row>
        <row r="447">
          <cell r="C447" t="str">
            <v>FREG0731-8"X30"</v>
          </cell>
          <cell r="D447" t="str">
            <v>PRINC</v>
          </cell>
          <cell r="E447" t="str">
            <v>00010</v>
          </cell>
          <cell r="F447" t="str">
            <v>AF MAQUINARIA Y EQUIPO</v>
          </cell>
          <cell r="G447" t="str">
            <v>PRINCIPAL</v>
          </cell>
          <cell r="H447">
            <v>46004</v>
          </cell>
          <cell r="I447" t="str">
            <v>SALDO INICIAL</v>
          </cell>
          <cell r="J447">
            <v>1</v>
          </cell>
          <cell r="K447">
            <v>5600</v>
          </cell>
          <cell r="L447">
            <v>0</v>
          </cell>
          <cell r="M447">
            <v>5600</v>
          </cell>
          <cell r="N447" t="str">
            <v/>
          </cell>
          <cell r="O447" t="str">
            <v/>
          </cell>
          <cell r="P447" t="str">
            <v/>
          </cell>
          <cell r="Q447">
            <v>0</v>
          </cell>
          <cell r="R447" t="str">
            <v>UND</v>
          </cell>
          <cell r="S447">
            <v>0</v>
          </cell>
          <cell r="T447">
            <v>0</v>
          </cell>
          <cell r="U447" t="str">
            <v/>
          </cell>
          <cell r="V447" t="str">
            <v>PRO10</v>
          </cell>
          <cell r="W447">
            <v>0</v>
          </cell>
        </row>
        <row r="448">
          <cell r="C448" t="str">
            <v>TOCNC1100MX</v>
          </cell>
          <cell r="D448" t="str">
            <v>PRINC</v>
          </cell>
          <cell r="E448" t="str">
            <v>00010</v>
          </cell>
          <cell r="F448" t="str">
            <v>AF MAQUINARIA Y EQUIPO</v>
          </cell>
          <cell r="G448" t="str">
            <v>PRINCIPAL</v>
          </cell>
          <cell r="H448">
            <v>46004</v>
          </cell>
          <cell r="I448" t="str">
            <v>SALDO INICIAL</v>
          </cell>
          <cell r="J448">
            <v>1</v>
          </cell>
          <cell r="K448">
            <v>58454.5</v>
          </cell>
          <cell r="L448">
            <v>0</v>
          </cell>
          <cell r="M448">
            <v>58454.5</v>
          </cell>
          <cell r="N448" t="str">
            <v/>
          </cell>
          <cell r="O448" t="str">
            <v/>
          </cell>
          <cell r="P448" t="str">
            <v/>
          </cell>
          <cell r="Q448">
            <v>0</v>
          </cell>
          <cell r="R448" t="str">
            <v>UND</v>
          </cell>
          <cell r="S448">
            <v>0</v>
          </cell>
          <cell r="T448">
            <v>0</v>
          </cell>
          <cell r="U448" t="str">
            <v/>
          </cell>
          <cell r="V448" t="str">
            <v>PRO10</v>
          </cell>
          <cell r="W448">
            <v>0</v>
          </cell>
        </row>
        <row r="449">
          <cell r="C449" t="str">
            <v>ACCI19Q75</v>
          </cell>
          <cell r="D449" t="str">
            <v>PRINC</v>
          </cell>
          <cell r="E449" t="str">
            <v>00011</v>
          </cell>
          <cell r="F449" t="str">
            <v>MOTORES Y REDUCTORES Y ACCES.</v>
          </cell>
          <cell r="G449" t="str">
            <v>PRINCIPAL</v>
          </cell>
          <cell r="H449">
            <v>46004</v>
          </cell>
          <cell r="I449" t="str">
            <v>SALDO INICIAL</v>
          </cell>
          <cell r="J449">
            <v>1</v>
          </cell>
          <cell r="K449">
            <v>20</v>
          </cell>
          <cell r="L449">
            <v>20</v>
          </cell>
          <cell r="M449">
            <v>20</v>
          </cell>
          <cell r="N449" t="str">
            <v/>
          </cell>
          <cell r="O449" t="str">
            <v/>
          </cell>
          <cell r="P449" t="str">
            <v/>
          </cell>
          <cell r="Q449">
            <v>0</v>
          </cell>
          <cell r="R449" t="str">
            <v>UND</v>
          </cell>
          <cell r="S449">
            <v>0</v>
          </cell>
          <cell r="T449">
            <v>0</v>
          </cell>
          <cell r="U449" t="str">
            <v/>
          </cell>
          <cell r="V449" t="str">
            <v>PRO10</v>
          </cell>
          <cell r="W449">
            <v>0</v>
          </cell>
        </row>
        <row r="450">
          <cell r="C450" t="str">
            <v>ACCI24Q75</v>
          </cell>
          <cell r="D450" t="str">
            <v>PRINC</v>
          </cell>
          <cell r="E450" t="str">
            <v>00011</v>
          </cell>
          <cell r="F450" t="str">
            <v>MOTORES Y REDUCTORES Y ACCES.</v>
          </cell>
          <cell r="G450" t="str">
            <v>PRINCIPAL</v>
          </cell>
          <cell r="H450">
            <v>46004</v>
          </cell>
          <cell r="I450" t="str">
            <v>SALDO INICIAL</v>
          </cell>
          <cell r="J450">
            <v>5</v>
          </cell>
          <cell r="K450">
            <v>100</v>
          </cell>
          <cell r="L450">
            <v>0</v>
          </cell>
          <cell r="M450">
            <v>20</v>
          </cell>
          <cell r="N450" t="str">
            <v/>
          </cell>
          <cell r="O450" t="str">
            <v/>
          </cell>
          <cell r="P450" t="str">
            <v/>
          </cell>
          <cell r="Q450">
            <v>0</v>
          </cell>
          <cell r="R450" t="str">
            <v>UND</v>
          </cell>
          <cell r="S450">
            <v>0</v>
          </cell>
          <cell r="T450">
            <v>0</v>
          </cell>
          <cell r="U450" t="str">
            <v/>
          </cell>
          <cell r="V450" t="str">
            <v>PRO10</v>
          </cell>
          <cell r="W450">
            <v>0</v>
          </cell>
        </row>
        <row r="451">
          <cell r="C451" t="str">
            <v>HMK0305091P</v>
          </cell>
          <cell r="D451" t="str">
            <v>PRINC</v>
          </cell>
          <cell r="E451" t="str">
            <v>00011</v>
          </cell>
          <cell r="F451" t="str">
            <v>MOTORES Y REDUCTORES Y ACCES.</v>
          </cell>
          <cell r="G451" t="str">
            <v>PRINCIPAL</v>
          </cell>
          <cell r="H451">
            <v>46004</v>
          </cell>
          <cell r="I451" t="str">
            <v>SALDO INICIAL</v>
          </cell>
          <cell r="J451">
            <v>84</v>
          </cell>
          <cell r="K451">
            <v>114.97550200000001</v>
          </cell>
          <cell r="L451">
            <v>1.3687560000000001</v>
          </cell>
          <cell r="M451">
            <v>1.3687559760000001</v>
          </cell>
          <cell r="N451" t="str">
            <v/>
          </cell>
          <cell r="O451" t="str">
            <v/>
          </cell>
          <cell r="P451" t="str">
            <v/>
          </cell>
          <cell r="Q451">
            <v>2.15</v>
          </cell>
          <cell r="R451" t="str">
            <v>UND</v>
          </cell>
          <cell r="S451">
            <v>0</v>
          </cell>
          <cell r="T451">
            <v>0</v>
          </cell>
          <cell r="U451" t="str">
            <v/>
          </cell>
          <cell r="V451" t="str">
            <v>PRO10</v>
          </cell>
          <cell r="W451">
            <v>0</v>
          </cell>
        </row>
        <row r="452">
          <cell r="C452" t="str">
            <v>HMKC355091P</v>
          </cell>
          <cell r="D452" t="str">
            <v>PRINC</v>
          </cell>
          <cell r="E452" t="str">
            <v>00011</v>
          </cell>
          <cell r="F452" t="str">
            <v>MOTORES Y REDUCTORES Y ACCES.</v>
          </cell>
          <cell r="G452" t="str">
            <v>PRINCIPAL</v>
          </cell>
          <cell r="H452">
            <v>46004</v>
          </cell>
          <cell r="I452" t="str">
            <v>SALDO INICIAL</v>
          </cell>
          <cell r="J452">
            <v>140</v>
          </cell>
          <cell r="K452">
            <v>147.17957799999999</v>
          </cell>
          <cell r="L452">
            <v>1.055833</v>
          </cell>
          <cell r="M452">
            <v>1.0512827</v>
          </cell>
          <cell r="N452" t="str">
            <v/>
          </cell>
          <cell r="O452" t="str">
            <v/>
          </cell>
          <cell r="P452" t="str">
            <v/>
          </cell>
          <cell r="Q452">
            <v>2.2999999999999998</v>
          </cell>
          <cell r="R452" t="str">
            <v>UND</v>
          </cell>
          <cell r="S452">
            <v>0</v>
          </cell>
          <cell r="T452">
            <v>0</v>
          </cell>
          <cell r="U452" t="str">
            <v/>
          </cell>
          <cell r="V452" t="str">
            <v>PRO10</v>
          </cell>
          <cell r="W452">
            <v>0</v>
          </cell>
        </row>
        <row r="453">
          <cell r="C453" t="str">
            <v>HMK0505091P</v>
          </cell>
          <cell r="D453" t="str">
            <v>PRINC</v>
          </cell>
          <cell r="E453" t="str">
            <v>00011</v>
          </cell>
          <cell r="F453" t="str">
            <v>MOTORES Y REDUCTORES Y ACCES.</v>
          </cell>
          <cell r="G453" t="str">
            <v>PRINCIPAL</v>
          </cell>
          <cell r="H453">
            <v>46004</v>
          </cell>
          <cell r="I453" t="str">
            <v>SALDO INICIAL</v>
          </cell>
          <cell r="J453">
            <v>41</v>
          </cell>
          <cell r="K453">
            <v>48.326818000000003</v>
          </cell>
          <cell r="L453">
            <v>1.1795</v>
          </cell>
          <cell r="M453">
            <v>1.178702878</v>
          </cell>
          <cell r="N453" t="str">
            <v/>
          </cell>
          <cell r="O453" t="str">
            <v/>
          </cell>
          <cell r="P453" t="str">
            <v/>
          </cell>
          <cell r="Q453">
            <v>2.4500000000000002</v>
          </cell>
          <cell r="R453" t="str">
            <v>UND</v>
          </cell>
          <cell r="S453">
            <v>0</v>
          </cell>
          <cell r="T453">
            <v>0</v>
          </cell>
          <cell r="U453" t="str">
            <v/>
          </cell>
          <cell r="V453" t="str">
            <v>PRO10</v>
          </cell>
          <cell r="W453">
            <v>0</v>
          </cell>
        </row>
        <row r="454">
          <cell r="C454" t="str">
            <v>HMKC405091P</v>
          </cell>
          <cell r="D454" t="str">
            <v>PRINC</v>
          </cell>
          <cell r="E454" t="str">
            <v>00011</v>
          </cell>
          <cell r="F454" t="str">
            <v>MOTORES Y REDUCTORES Y ACCES.</v>
          </cell>
          <cell r="G454" t="str">
            <v>PRINCIPAL</v>
          </cell>
          <cell r="H454">
            <v>46004</v>
          </cell>
          <cell r="I454" t="str">
            <v>SALDO INICIAL</v>
          </cell>
          <cell r="J454">
            <v>20</v>
          </cell>
          <cell r="K454">
            <v>24.81</v>
          </cell>
          <cell r="L454">
            <v>1.2404999999999999</v>
          </cell>
          <cell r="M454">
            <v>1.2404999999999999</v>
          </cell>
          <cell r="N454" t="str">
            <v/>
          </cell>
          <cell r="O454" t="str">
            <v/>
          </cell>
          <cell r="P454" t="str">
            <v/>
          </cell>
          <cell r="Q454">
            <v>2.6</v>
          </cell>
          <cell r="R454" t="str">
            <v>UND</v>
          </cell>
          <cell r="S454">
            <v>0</v>
          </cell>
          <cell r="T454">
            <v>0</v>
          </cell>
          <cell r="U454" t="str">
            <v/>
          </cell>
          <cell r="V454" t="str">
            <v>PRO10</v>
          </cell>
          <cell r="W454">
            <v>0</v>
          </cell>
        </row>
        <row r="455">
          <cell r="C455" t="str">
            <v>HMK0505092P</v>
          </cell>
          <cell r="D455" t="str">
            <v>PRINC</v>
          </cell>
          <cell r="E455" t="str">
            <v>00011</v>
          </cell>
          <cell r="F455" t="str">
            <v>MOTORES Y REDUCTORES Y ACCES.</v>
          </cell>
          <cell r="G455" t="str">
            <v>PRINCIPAL</v>
          </cell>
          <cell r="H455">
            <v>46004</v>
          </cell>
          <cell r="I455" t="str">
            <v>SALDO INICIAL</v>
          </cell>
          <cell r="J455">
            <v>162</v>
          </cell>
          <cell r="K455">
            <v>249.41198900000001</v>
          </cell>
          <cell r="L455">
            <v>1.5395799999999999</v>
          </cell>
          <cell r="M455">
            <v>1.5395801790000001</v>
          </cell>
          <cell r="N455" t="str">
            <v/>
          </cell>
          <cell r="O455" t="str">
            <v/>
          </cell>
          <cell r="P455" t="str">
            <v/>
          </cell>
          <cell r="Q455">
            <v>2.4500000000000002</v>
          </cell>
          <cell r="R455" t="str">
            <v>UND</v>
          </cell>
          <cell r="S455">
            <v>0</v>
          </cell>
          <cell r="T455">
            <v>0</v>
          </cell>
          <cell r="U455" t="str">
            <v/>
          </cell>
          <cell r="V455" t="str">
            <v>PRO10</v>
          </cell>
          <cell r="W455">
            <v>0</v>
          </cell>
        </row>
        <row r="456">
          <cell r="C456" t="str">
            <v>HMKC405092P</v>
          </cell>
          <cell r="D456" t="str">
            <v>PRINC</v>
          </cell>
          <cell r="E456" t="str">
            <v>00011</v>
          </cell>
          <cell r="F456" t="str">
            <v>MOTORES Y REDUCTORES Y ACCES.</v>
          </cell>
          <cell r="G456" t="str">
            <v>PRINCIPAL</v>
          </cell>
          <cell r="H456">
            <v>46004</v>
          </cell>
          <cell r="I456" t="str">
            <v>SALDO INICIAL</v>
          </cell>
          <cell r="J456">
            <v>35</v>
          </cell>
          <cell r="K456">
            <v>43.417499999999997</v>
          </cell>
          <cell r="L456">
            <v>1.2404999999999999</v>
          </cell>
          <cell r="M456">
            <v>1.2404999999999999</v>
          </cell>
          <cell r="N456" t="str">
            <v/>
          </cell>
          <cell r="O456" t="str">
            <v/>
          </cell>
          <cell r="P456" t="str">
            <v/>
          </cell>
          <cell r="Q456">
            <v>2.6</v>
          </cell>
          <cell r="R456" t="str">
            <v>UND</v>
          </cell>
          <cell r="S456">
            <v>0</v>
          </cell>
          <cell r="T456">
            <v>0</v>
          </cell>
          <cell r="U456" t="str">
            <v/>
          </cell>
          <cell r="V456" t="str">
            <v>PRO10</v>
          </cell>
          <cell r="W456">
            <v>0</v>
          </cell>
        </row>
        <row r="457">
          <cell r="C457" t="str">
            <v>HMK0305090P</v>
          </cell>
          <cell r="D457" t="str">
            <v>PRINC</v>
          </cell>
          <cell r="E457" t="str">
            <v>00011</v>
          </cell>
          <cell r="F457" t="str">
            <v>MOTORES Y REDUCTORES Y ACCES.</v>
          </cell>
          <cell r="G457" t="str">
            <v>PRINCIPAL</v>
          </cell>
          <cell r="H457">
            <v>46004</v>
          </cell>
          <cell r="I457" t="str">
            <v>SALDO INICIAL</v>
          </cell>
          <cell r="J457">
            <v>60</v>
          </cell>
          <cell r="K457">
            <v>57.52</v>
          </cell>
          <cell r="L457">
            <v>1.044</v>
          </cell>
          <cell r="M457">
            <v>0.95866666700000003</v>
          </cell>
          <cell r="N457" t="str">
            <v/>
          </cell>
          <cell r="O457" t="str">
            <v/>
          </cell>
          <cell r="P457" t="str">
            <v/>
          </cell>
          <cell r="Q457">
            <v>2.15</v>
          </cell>
          <cell r="R457" t="str">
            <v>UND</v>
          </cell>
          <cell r="S457">
            <v>0</v>
          </cell>
          <cell r="T457">
            <v>0</v>
          </cell>
          <cell r="U457" t="str">
            <v/>
          </cell>
          <cell r="V457" t="str">
            <v>PRO10</v>
          </cell>
          <cell r="W457">
            <v>0</v>
          </cell>
        </row>
        <row r="458">
          <cell r="C458" t="str">
            <v>HMKC355090P</v>
          </cell>
          <cell r="D458" t="str">
            <v>PRINC</v>
          </cell>
          <cell r="E458" t="str">
            <v>00011</v>
          </cell>
          <cell r="F458" t="str">
            <v>MOTORES Y REDUCTORES Y ACCES.</v>
          </cell>
          <cell r="G458" t="str">
            <v>PRINCIPAL</v>
          </cell>
          <cell r="H458">
            <v>46004</v>
          </cell>
          <cell r="I458" t="str">
            <v>SALDO INICIAL</v>
          </cell>
          <cell r="J458">
            <v>40</v>
          </cell>
          <cell r="K458">
            <v>45.878985999999998</v>
          </cell>
          <cell r="L458">
            <v>1.1180000000000001</v>
          </cell>
          <cell r="M458">
            <v>1.14697465</v>
          </cell>
          <cell r="N458" t="str">
            <v/>
          </cell>
          <cell r="O458" t="str">
            <v/>
          </cell>
          <cell r="P458" t="str">
            <v/>
          </cell>
          <cell r="Q458">
            <v>2.31</v>
          </cell>
          <cell r="R458" t="str">
            <v>UND</v>
          </cell>
          <cell r="S458">
            <v>0</v>
          </cell>
          <cell r="T458">
            <v>0</v>
          </cell>
          <cell r="U458" t="str">
            <v/>
          </cell>
          <cell r="V458" t="str">
            <v>PRO10</v>
          </cell>
          <cell r="W458">
            <v>0</v>
          </cell>
        </row>
        <row r="459">
          <cell r="C459" t="str">
            <v>HMK0505090P</v>
          </cell>
          <cell r="D459" t="str">
            <v>PRINC</v>
          </cell>
          <cell r="E459" t="str">
            <v>00011</v>
          </cell>
          <cell r="F459" t="str">
            <v>MOTORES Y REDUCTORES Y ACCES.</v>
          </cell>
          <cell r="G459" t="str">
            <v>PRINCIPAL</v>
          </cell>
          <cell r="H459">
            <v>46004</v>
          </cell>
          <cell r="I459" t="str">
            <v>SALDO INICIAL</v>
          </cell>
          <cell r="J459">
            <v>21</v>
          </cell>
          <cell r="K459">
            <v>24.821408000000002</v>
          </cell>
          <cell r="L459">
            <v>1.1795</v>
          </cell>
          <cell r="M459">
            <v>1.1819718100000001</v>
          </cell>
          <cell r="N459" t="str">
            <v/>
          </cell>
          <cell r="O459" t="str">
            <v/>
          </cell>
          <cell r="P459" t="str">
            <v/>
          </cell>
          <cell r="Q459">
            <v>2.4500000000000002</v>
          </cell>
          <cell r="R459" t="str">
            <v>UND</v>
          </cell>
          <cell r="S459">
            <v>0</v>
          </cell>
          <cell r="T459">
            <v>0</v>
          </cell>
          <cell r="U459" t="str">
            <v/>
          </cell>
          <cell r="V459" t="str">
            <v>PRO10</v>
          </cell>
          <cell r="W459">
            <v>0</v>
          </cell>
        </row>
        <row r="460">
          <cell r="C460" t="str">
            <v>BMAIS9/Q30</v>
          </cell>
          <cell r="D460" t="str">
            <v>PRINC</v>
          </cell>
          <cell r="E460" t="str">
            <v>00011</v>
          </cell>
          <cell r="F460" t="str">
            <v>MOTORES Y REDUCTORES Y ACCES.</v>
          </cell>
          <cell r="G460" t="str">
            <v>PRINCIPAL</v>
          </cell>
          <cell r="H460">
            <v>46004</v>
          </cell>
          <cell r="I460" t="str">
            <v>SALDO INICIAL</v>
          </cell>
          <cell r="J460">
            <v>2</v>
          </cell>
          <cell r="K460">
            <v>60</v>
          </cell>
          <cell r="L460">
            <v>30</v>
          </cell>
          <cell r="M460">
            <v>30</v>
          </cell>
          <cell r="N460" t="str">
            <v/>
          </cell>
          <cell r="O460" t="str">
            <v/>
          </cell>
          <cell r="P460" t="str">
            <v/>
          </cell>
          <cell r="Q460">
            <v>0</v>
          </cell>
          <cell r="R460" t="str">
            <v>UND</v>
          </cell>
          <cell r="S460">
            <v>0</v>
          </cell>
          <cell r="T460">
            <v>0</v>
          </cell>
          <cell r="U460" t="str">
            <v/>
          </cell>
          <cell r="V460" t="str">
            <v>PRO10</v>
          </cell>
          <cell r="W460">
            <v>0</v>
          </cell>
        </row>
        <row r="461">
          <cell r="C461" t="str">
            <v>G110-3/4HP</v>
          </cell>
          <cell r="D461" t="str">
            <v>PRINC</v>
          </cell>
          <cell r="E461" t="str">
            <v>00011</v>
          </cell>
          <cell r="F461" t="str">
            <v>MOTORES Y REDUCTORES Y ACCES.</v>
          </cell>
          <cell r="G461" t="str">
            <v>PRINCIPAL</v>
          </cell>
          <cell r="H461">
            <v>46004</v>
          </cell>
          <cell r="I461" t="str">
            <v>SALDO INICIAL</v>
          </cell>
          <cell r="J461">
            <v>1</v>
          </cell>
          <cell r="K461">
            <v>214.27</v>
          </cell>
          <cell r="L461">
            <v>214.27</v>
          </cell>
          <cell r="M461">
            <v>214.27</v>
          </cell>
          <cell r="N461" t="str">
            <v/>
          </cell>
          <cell r="O461" t="str">
            <v/>
          </cell>
          <cell r="P461" t="str">
            <v/>
          </cell>
          <cell r="Q461">
            <v>0</v>
          </cell>
          <cell r="R461" t="str">
            <v>UND</v>
          </cell>
          <cell r="S461">
            <v>0</v>
          </cell>
          <cell r="T461">
            <v>0</v>
          </cell>
          <cell r="U461" t="str">
            <v/>
          </cell>
          <cell r="V461" t="str">
            <v>PRO10</v>
          </cell>
          <cell r="W461">
            <v>0</v>
          </cell>
        </row>
        <row r="462">
          <cell r="C462" t="str">
            <v>HMK0505093Z</v>
          </cell>
          <cell r="D462" t="str">
            <v>PRINC</v>
          </cell>
          <cell r="E462" t="str">
            <v>00011</v>
          </cell>
          <cell r="F462" t="str">
            <v>MOTORES Y REDUCTORES Y ACCES.</v>
          </cell>
          <cell r="G462" t="str">
            <v>PRINCIPAL</v>
          </cell>
          <cell r="H462">
            <v>46004</v>
          </cell>
          <cell r="I462" t="str">
            <v>SALDO INICIAL</v>
          </cell>
          <cell r="J462">
            <v>152</v>
          </cell>
          <cell r="K462">
            <v>365.21382799999998</v>
          </cell>
          <cell r="L462">
            <v>2.4027229999999999</v>
          </cell>
          <cell r="M462">
            <v>2.4027225529999998</v>
          </cell>
          <cell r="N462" t="str">
            <v/>
          </cell>
          <cell r="O462" t="str">
            <v/>
          </cell>
          <cell r="P462" t="str">
            <v/>
          </cell>
          <cell r="Q462">
            <v>4.3</v>
          </cell>
          <cell r="R462" t="str">
            <v>KIT</v>
          </cell>
          <cell r="S462">
            <v>0</v>
          </cell>
          <cell r="T462">
            <v>0</v>
          </cell>
          <cell r="U462" t="str">
            <v/>
          </cell>
          <cell r="V462" t="str">
            <v>PRO10</v>
          </cell>
          <cell r="W462">
            <v>0</v>
          </cell>
        </row>
        <row r="463">
          <cell r="C463" t="str">
            <v>HMKC405094Z</v>
          </cell>
          <cell r="D463" t="str">
            <v>PRINC</v>
          </cell>
          <cell r="E463" t="str">
            <v>00011</v>
          </cell>
          <cell r="F463" t="str">
            <v>MOTORES Y REDUCTORES Y ACCES.</v>
          </cell>
          <cell r="G463" t="str">
            <v>PRINCIPAL</v>
          </cell>
          <cell r="H463">
            <v>46004</v>
          </cell>
          <cell r="I463" t="str">
            <v>SALDO INICIAL</v>
          </cell>
          <cell r="J463">
            <v>37</v>
          </cell>
          <cell r="K463">
            <v>95.321250000000006</v>
          </cell>
          <cell r="L463">
            <v>2.5762499999999999</v>
          </cell>
          <cell r="M463">
            <v>2.5762499999999999</v>
          </cell>
          <cell r="N463" t="str">
            <v/>
          </cell>
          <cell r="O463" t="str">
            <v/>
          </cell>
          <cell r="P463" t="str">
            <v/>
          </cell>
          <cell r="Q463">
            <v>4.05</v>
          </cell>
          <cell r="R463" t="str">
            <v>KIT</v>
          </cell>
          <cell r="S463">
            <v>0</v>
          </cell>
          <cell r="T463">
            <v>0</v>
          </cell>
          <cell r="U463" t="str">
            <v/>
          </cell>
          <cell r="V463" t="str">
            <v>PRO10</v>
          </cell>
          <cell r="W463">
            <v>0</v>
          </cell>
        </row>
        <row r="464">
          <cell r="C464" t="str">
            <v>HMKC505094Z</v>
          </cell>
          <cell r="D464" t="str">
            <v>PRINC</v>
          </cell>
          <cell r="E464" t="str">
            <v>00011</v>
          </cell>
          <cell r="F464" t="str">
            <v>MOTORES Y REDUCTORES Y ACCES.</v>
          </cell>
          <cell r="G464" t="str">
            <v>PRINCIPAL</v>
          </cell>
          <cell r="H464">
            <v>46004</v>
          </cell>
          <cell r="I464" t="str">
            <v>SALDO INICIAL</v>
          </cell>
          <cell r="J464">
            <v>74</v>
          </cell>
          <cell r="K464">
            <v>323.17152199999998</v>
          </cell>
          <cell r="L464">
            <v>4.3671829999999998</v>
          </cell>
          <cell r="M464">
            <v>4.3671827299999997</v>
          </cell>
          <cell r="N464" t="str">
            <v/>
          </cell>
          <cell r="O464" t="str">
            <v/>
          </cell>
          <cell r="P464" t="str">
            <v/>
          </cell>
          <cell r="Q464">
            <v>7</v>
          </cell>
          <cell r="R464" t="str">
            <v>KIT</v>
          </cell>
          <cell r="S464">
            <v>0</v>
          </cell>
          <cell r="T464">
            <v>0</v>
          </cell>
          <cell r="U464" t="str">
            <v/>
          </cell>
          <cell r="V464" t="str">
            <v>PRO10</v>
          </cell>
          <cell r="W464">
            <v>0</v>
          </cell>
        </row>
        <row r="465">
          <cell r="C465" t="str">
            <v>HMKC355092P</v>
          </cell>
          <cell r="D465" t="str">
            <v>PRINC</v>
          </cell>
          <cell r="E465" t="str">
            <v>00011</v>
          </cell>
          <cell r="F465" t="str">
            <v>MOTORES Y REDUCTORES Y ACCES.</v>
          </cell>
          <cell r="G465" t="str">
            <v>PRINCIPAL</v>
          </cell>
          <cell r="H465">
            <v>46004</v>
          </cell>
          <cell r="I465" t="str">
            <v>SALDO INICIAL</v>
          </cell>
          <cell r="J465">
            <v>124</v>
          </cell>
          <cell r="K465">
            <v>202.041833</v>
          </cell>
          <cell r="L465">
            <v>1.62937</v>
          </cell>
          <cell r="M465">
            <v>1.6293696209999999</v>
          </cell>
          <cell r="N465" t="str">
            <v/>
          </cell>
          <cell r="O465" t="str">
            <v/>
          </cell>
          <cell r="P465" t="str">
            <v/>
          </cell>
          <cell r="Q465">
            <v>2.6</v>
          </cell>
          <cell r="R465" t="str">
            <v>KIT</v>
          </cell>
          <cell r="S465">
            <v>0</v>
          </cell>
          <cell r="T465">
            <v>0</v>
          </cell>
          <cell r="U465" t="str">
            <v/>
          </cell>
          <cell r="V465" t="str">
            <v>PRO10</v>
          </cell>
          <cell r="W465">
            <v>0</v>
          </cell>
        </row>
        <row r="466">
          <cell r="C466" t="str">
            <v>HMKC505092P</v>
          </cell>
          <cell r="D466" t="str">
            <v>PRINC</v>
          </cell>
          <cell r="E466" t="str">
            <v>00011</v>
          </cell>
          <cell r="F466" t="str">
            <v>MOTORES Y REDUCTORES Y ACCES.</v>
          </cell>
          <cell r="G466" t="str">
            <v>PRINCIPAL</v>
          </cell>
          <cell r="H466">
            <v>46004</v>
          </cell>
          <cell r="I466" t="str">
            <v>SALDO INICIAL</v>
          </cell>
          <cell r="J466">
            <v>40</v>
          </cell>
          <cell r="K466">
            <v>67.8</v>
          </cell>
          <cell r="L466">
            <v>0</v>
          </cell>
          <cell r="M466">
            <v>1.6950000000000001</v>
          </cell>
          <cell r="N466" t="str">
            <v/>
          </cell>
          <cell r="O466" t="str">
            <v/>
          </cell>
          <cell r="P466" t="str">
            <v/>
          </cell>
          <cell r="Q466">
            <v>2.75</v>
          </cell>
          <cell r="R466" t="str">
            <v>KIT</v>
          </cell>
          <cell r="S466">
            <v>0</v>
          </cell>
          <cell r="T466">
            <v>0</v>
          </cell>
          <cell r="U466" t="str">
            <v/>
          </cell>
          <cell r="V466" t="str">
            <v>PRO10</v>
          </cell>
          <cell r="W466">
            <v>0</v>
          </cell>
        </row>
        <row r="467">
          <cell r="C467" t="str">
            <v>HMKC405093P</v>
          </cell>
          <cell r="D467" t="str">
            <v>PRINC</v>
          </cell>
          <cell r="E467" t="str">
            <v>00011</v>
          </cell>
          <cell r="F467" t="str">
            <v>MOTORES Y REDUCTORES Y ACCES.</v>
          </cell>
          <cell r="G467" t="str">
            <v>PRINCIPAL</v>
          </cell>
          <cell r="H467">
            <v>46004</v>
          </cell>
          <cell r="I467" t="str">
            <v>SALDO INICIAL</v>
          </cell>
          <cell r="J467">
            <v>44</v>
          </cell>
          <cell r="K467">
            <v>76.521662000000006</v>
          </cell>
          <cell r="L467">
            <v>1.7391289999999999</v>
          </cell>
          <cell r="M467">
            <v>1.739128682</v>
          </cell>
          <cell r="N467" t="str">
            <v/>
          </cell>
          <cell r="O467" t="str">
            <v/>
          </cell>
          <cell r="P467" t="str">
            <v/>
          </cell>
          <cell r="Q467">
            <v>2.8</v>
          </cell>
          <cell r="R467" t="str">
            <v>KIT</v>
          </cell>
          <cell r="S467">
            <v>0</v>
          </cell>
          <cell r="T467">
            <v>0</v>
          </cell>
          <cell r="U467" t="str">
            <v/>
          </cell>
          <cell r="V467" t="str">
            <v>PRO10</v>
          </cell>
          <cell r="W467">
            <v>0</v>
          </cell>
        </row>
        <row r="468">
          <cell r="C468" t="str">
            <v>HMKC505093P</v>
          </cell>
          <cell r="D468" t="str">
            <v>PRINC</v>
          </cell>
          <cell r="E468" t="str">
            <v>00011</v>
          </cell>
          <cell r="F468" t="str">
            <v>MOTORES Y REDUCTORES Y ACCES.</v>
          </cell>
          <cell r="G468" t="str">
            <v>PRINCIPAL</v>
          </cell>
          <cell r="H468">
            <v>46004</v>
          </cell>
          <cell r="I468" t="str">
            <v>SALDO INICIAL</v>
          </cell>
          <cell r="J468">
            <v>69</v>
          </cell>
          <cell r="K468">
            <v>117.224699</v>
          </cell>
          <cell r="L468">
            <v>1.698909</v>
          </cell>
          <cell r="M468">
            <v>1.698908681</v>
          </cell>
          <cell r="N468" t="str">
            <v/>
          </cell>
          <cell r="O468" t="str">
            <v/>
          </cell>
          <cell r="P468" t="str">
            <v/>
          </cell>
          <cell r="Q468">
            <v>4</v>
          </cell>
          <cell r="R468" t="str">
            <v>KIT</v>
          </cell>
          <cell r="S468">
            <v>0</v>
          </cell>
          <cell r="T468">
            <v>0</v>
          </cell>
          <cell r="U468" t="str">
            <v/>
          </cell>
          <cell r="V468" t="str">
            <v>PRO10</v>
          </cell>
          <cell r="W468">
            <v>0</v>
          </cell>
        </row>
        <row r="469">
          <cell r="C469" t="str">
            <v>HMKC505095Z</v>
          </cell>
          <cell r="D469" t="str">
            <v>PRINC</v>
          </cell>
          <cell r="E469" t="str">
            <v>00011</v>
          </cell>
          <cell r="F469" t="str">
            <v>MOTORES Y REDUCTORES Y ACCES.</v>
          </cell>
          <cell r="G469" t="str">
            <v>PRINCIPAL</v>
          </cell>
          <cell r="H469">
            <v>46004</v>
          </cell>
          <cell r="I469" t="str">
            <v>SALDO INICIAL</v>
          </cell>
          <cell r="J469">
            <v>20</v>
          </cell>
          <cell r="K469">
            <v>97.24</v>
          </cell>
          <cell r="L469">
            <v>0</v>
          </cell>
          <cell r="M469">
            <v>4.8620000000000001</v>
          </cell>
          <cell r="N469" t="str">
            <v/>
          </cell>
          <cell r="O469" t="str">
            <v/>
          </cell>
          <cell r="P469" t="str">
            <v/>
          </cell>
          <cell r="Q469">
            <v>0</v>
          </cell>
          <cell r="R469" t="str">
            <v>UND</v>
          </cell>
          <cell r="S469">
            <v>0</v>
          </cell>
          <cell r="T469">
            <v>0</v>
          </cell>
          <cell r="U469" t="str">
            <v/>
          </cell>
          <cell r="V469" t="str">
            <v>PRO10</v>
          </cell>
          <cell r="W469">
            <v>0</v>
          </cell>
        </row>
        <row r="470">
          <cell r="C470" t="str">
            <v>HMK0639027</v>
          </cell>
          <cell r="D470" t="str">
            <v>PRINC</v>
          </cell>
          <cell r="E470" t="str">
            <v>00011</v>
          </cell>
          <cell r="F470" t="str">
            <v>MOTORES Y REDUCTORES Y ACCES.</v>
          </cell>
          <cell r="G470" t="str">
            <v>PRINCIPAL</v>
          </cell>
          <cell r="H470">
            <v>46004</v>
          </cell>
          <cell r="I470" t="str">
            <v>SALDO INICIAL</v>
          </cell>
          <cell r="J470">
            <v>1</v>
          </cell>
          <cell r="K470">
            <v>18.047000000000001</v>
          </cell>
          <cell r="L470">
            <v>18.047000000000001</v>
          </cell>
          <cell r="M470">
            <v>18.047000000000001</v>
          </cell>
          <cell r="N470" t="str">
            <v/>
          </cell>
          <cell r="O470" t="str">
            <v/>
          </cell>
          <cell r="P470" t="str">
            <v/>
          </cell>
          <cell r="Q470">
            <v>37.35</v>
          </cell>
          <cell r="R470" t="str">
            <v>KIT</v>
          </cell>
          <cell r="S470">
            <v>0</v>
          </cell>
          <cell r="T470">
            <v>0</v>
          </cell>
          <cell r="U470" t="str">
            <v/>
          </cell>
          <cell r="V470" t="str">
            <v>PRO10</v>
          </cell>
          <cell r="W470">
            <v>0</v>
          </cell>
        </row>
        <row r="471">
          <cell r="C471" t="str">
            <v>HMKQ759027</v>
          </cell>
          <cell r="D471" t="str">
            <v>PRINC</v>
          </cell>
          <cell r="E471" t="str">
            <v>00011</v>
          </cell>
          <cell r="F471" t="str">
            <v>MOTORES Y REDUCTORES Y ACCES.</v>
          </cell>
          <cell r="G471" t="str">
            <v>PRINCIPAL</v>
          </cell>
          <cell r="H471">
            <v>46004</v>
          </cell>
          <cell r="I471" t="str">
            <v>SALDO INICIAL</v>
          </cell>
          <cell r="J471">
            <v>1</v>
          </cell>
          <cell r="K471">
            <v>22.137778000000001</v>
          </cell>
          <cell r="L471">
            <v>22.137778000000001</v>
          </cell>
          <cell r="M471">
            <v>22.137778000000001</v>
          </cell>
          <cell r="N471" t="str">
            <v/>
          </cell>
          <cell r="O471" t="str">
            <v/>
          </cell>
          <cell r="P471" t="str">
            <v/>
          </cell>
          <cell r="Q471">
            <v>45.85</v>
          </cell>
          <cell r="R471" t="str">
            <v>KIT</v>
          </cell>
          <cell r="S471">
            <v>0</v>
          </cell>
          <cell r="T471">
            <v>0</v>
          </cell>
          <cell r="U471" t="str">
            <v/>
          </cell>
          <cell r="V471" t="str">
            <v>PRO10</v>
          </cell>
          <cell r="W471">
            <v>0</v>
          </cell>
        </row>
        <row r="472">
          <cell r="C472" t="str">
            <v>HMKQ309010</v>
          </cell>
          <cell r="D472" t="str">
            <v>PRINC</v>
          </cell>
          <cell r="E472" t="str">
            <v>00011</v>
          </cell>
          <cell r="F472" t="str">
            <v>MOTORES Y REDUCTORES Y ACCES.</v>
          </cell>
          <cell r="G472" t="str">
            <v>PRINCIPAL</v>
          </cell>
          <cell r="H472">
            <v>46004</v>
          </cell>
          <cell r="I472" t="str">
            <v>SALDO INICIAL</v>
          </cell>
          <cell r="J472">
            <v>9</v>
          </cell>
          <cell r="K472">
            <v>74.911151000000004</v>
          </cell>
          <cell r="L472">
            <v>7.373513</v>
          </cell>
          <cell r="M472">
            <v>8.3234612220000006</v>
          </cell>
          <cell r="N472" t="str">
            <v/>
          </cell>
          <cell r="O472" t="str">
            <v/>
          </cell>
          <cell r="P472" t="str">
            <v/>
          </cell>
          <cell r="Q472">
            <v>16.600000000000001</v>
          </cell>
          <cell r="R472" t="str">
            <v>KIT</v>
          </cell>
          <cell r="S472">
            <v>0</v>
          </cell>
          <cell r="T472">
            <v>0</v>
          </cell>
          <cell r="U472" t="str">
            <v/>
          </cell>
          <cell r="V472" t="str">
            <v>PRO10</v>
          </cell>
          <cell r="W472">
            <v>0</v>
          </cell>
        </row>
        <row r="473">
          <cell r="C473" t="str">
            <v>HMKSQ459012</v>
          </cell>
          <cell r="D473" t="str">
            <v>PRINC</v>
          </cell>
          <cell r="E473" t="str">
            <v>00011</v>
          </cell>
          <cell r="F473" t="str">
            <v>MOTORES Y REDUCTORES Y ACCES.</v>
          </cell>
          <cell r="G473" t="str">
            <v>PRINCIPAL</v>
          </cell>
          <cell r="H473">
            <v>46004</v>
          </cell>
          <cell r="I473" t="str">
            <v>SALDO INICIAL</v>
          </cell>
          <cell r="J473">
            <v>2</v>
          </cell>
          <cell r="K473">
            <v>16.981946000000001</v>
          </cell>
          <cell r="L473">
            <v>6.6519599999999999</v>
          </cell>
          <cell r="M473">
            <v>8.4909730000000003</v>
          </cell>
          <cell r="N473" t="str">
            <v/>
          </cell>
          <cell r="O473" t="str">
            <v/>
          </cell>
          <cell r="P473" t="str">
            <v/>
          </cell>
          <cell r="Q473">
            <v>12.7</v>
          </cell>
          <cell r="R473" t="str">
            <v>KIT</v>
          </cell>
          <cell r="S473">
            <v>0</v>
          </cell>
          <cell r="T473">
            <v>0</v>
          </cell>
          <cell r="U473" t="str">
            <v/>
          </cell>
          <cell r="V473" t="str">
            <v>PRO10</v>
          </cell>
          <cell r="W473">
            <v>0</v>
          </cell>
        </row>
        <row r="474">
          <cell r="C474" t="str">
            <v>HMKSQ509012</v>
          </cell>
          <cell r="D474" t="str">
            <v>PRINC</v>
          </cell>
          <cell r="E474" t="str">
            <v>00011</v>
          </cell>
          <cell r="F474" t="str">
            <v>MOTORES Y REDUCTORES Y ACCES.</v>
          </cell>
          <cell r="G474" t="str">
            <v>PRINCIPAL</v>
          </cell>
          <cell r="H474">
            <v>46004</v>
          </cell>
          <cell r="I474" t="str">
            <v>SALDO INICIAL</v>
          </cell>
          <cell r="J474">
            <v>3</v>
          </cell>
          <cell r="K474">
            <v>34.091093999999998</v>
          </cell>
          <cell r="L474">
            <v>9.2700859999999992</v>
          </cell>
          <cell r="M474">
            <v>11.363697999999999</v>
          </cell>
          <cell r="N474" t="str">
            <v/>
          </cell>
          <cell r="O474" t="str">
            <v/>
          </cell>
          <cell r="P474" t="str">
            <v/>
          </cell>
          <cell r="Q474">
            <v>15.95</v>
          </cell>
          <cell r="R474" t="str">
            <v>KIT</v>
          </cell>
          <cell r="S474">
            <v>0</v>
          </cell>
          <cell r="T474">
            <v>0</v>
          </cell>
          <cell r="U474" t="str">
            <v/>
          </cell>
          <cell r="V474" t="str">
            <v>PRO10</v>
          </cell>
          <cell r="W474">
            <v>0</v>
          </cell>
        </row>
        <row r="475">
          <cell r="C475" t="str">
            <v>HMKSQ509013</v>
          </cell>
          <cell r="D475" t="str">
            <v>PRINC</v>
          </cell>
          <cell r="E475" t="str">
            <v>00011</v>
          </cell>
          <cell r="F475" t="str">
            <v>MOTORES Y REDUCTORES Y ACCES.</v>
          </cell>
          <cell r="G475" t="str">
            <v>PRINCIPAL</v>
          </cell>
          <cell r="H475">
            <v>46004</v>
          </cell>
          <cell r="I475" t="str">
            <v>SALDO INICIAL</v>
          </cell>
          <cell r="J475">
            <v>3</v>
          </cell>
          <cell r="K475">
            <v>35.729939000000002</v>
          </cell>
          <cell r="L475">
            <v>8.5109030000000008</v>
          </cell>
          <cell r="M475">
            <v>11.909979667</v>
          </cell>
          <cell r="N475" t="str">
            <v/>
          </cell>
          <cell r="O475" t="str">
            <v/>
          </cell>
          <cell r="P475" t="str">
            <v/>
          </cell>
          <cell r="Q475">
            <v>17.55</v>
          </cell>
          <cell r="R475" t="str">
            <v>KIT</v>
          </cell>
          <cell r="S475">
            <v>0</v>
          </cell>
          <cell r="T475">
            <v>0</v>
          </cell>
          <cell r="U475" t="str">
            <v/>
          </cell>
          <cell r="V475" t="str">
            <v>PRO10</v>
          </cell>
          <cell r="W475">
            <v>0</v>
          </cell>
        </row>
        <row r="476">
          <cell r="C476" t="str">
            <v>HMKQ639010</v>
          </cell>
          <cell r="D476" t="str">
            <v>PRINC</v>
          </cell>
          <cell r="E476" t="str">
            <v>00011</v>
          </cell>
          <cell r="F476" t="str">
            <v>MOTORES Y REDUCTORES Y ACCES.</v>
          </cell>
          <cell r="G476" t="str">
            <v>PRINCIPAL</v>
          </cell>
          <cell r="H476">
            <v>46004</v>
          </cell>
          <cell r="I476" t="str">
            <v>SALDO INICIAL</v>
          </cell>
          <cell r="J476">
            <v>1</v>
          </cell>
          <cell r="K476">
            <v>10.555</v>
          </cell>
          <cell r="L476">
            <v>10.555</v>
          </cell>
          <cell r="M476">
            <v>10.555</v>
          </cell>
          <cell r="N476" t="str">
            <v/>
          </cell>
          <cell r="O476" t="str">
            <v/>
          </cell>
          <cell r="P476" t="str">
            <v/>
          </cell>
          <cell r="Q476">
            <v>0</v>
          </cell>
          <cell r="R476" t="str">
            <v>UND</v>
          </cell>
          <cell r="S476">
            <v>0</v>
          </cell>
          <cell r="T476">
            <v>0</v>
          </cell>
          <cell r="U476" t="str">
            <v/>
          </cell>
          <cell r="V476" t="str">
            <v>PRO10</v>
          </cell>
          <cell r="W476">
            <v>0</v>
          </cell>
        </row>
        <row r="477">
          <cell r="C477" t="str">
            <v>HMKQ759010</v>
          </cell>
          <cell r="D477" t="str">
            <v>PRINC</v>
          </cell>
          <cell r="E477" t="str">
            <v>00011</v>
          </cell>
          <cell r="F477" t="str">
            <v>MOTORES Y REDUCTORES Y ACCES.</v>
          </cell>
          <cell r="G477" t="str">
            <v>PRINCIPAL</v>
          </cell>
          <cell r="H477">
            <v>46004</v>
          </cell>
          <cell r="I477" t="str">
            <v>SALDO INICIAL</v>
          </cell>
          <cell r="J477">
            <v>1</v>
          </cell>
          <cell r="K477">
            <v>30.791329999999999</v>
          </cell>
          <cell r="L477">
            <v>20.172667000000001</v>
          </cell>
          <cell r="M477">
            <v>30.791329999999999</v>
          </cell>
          <cell r="N477" t="str">
            <v/>
          </cell>
          <cell r="O477" t="str">
            <v/>
          </cell>
          <cell r="P477" t="str">
            <v/>
          </cell>
          <cell r="Q477">
            <v>36.25</v>
          </cell>
          <cell r="R477" t="str">
            <v>KIT</v>
          </cell>
          <cell r="S477">
            <v>0</v>
          </cell>
          <cell r="T477">
            <v>0</v>
          </cell>
          <cell r="U477" t="str">
            <v/>
          </cell>
          <cell r="V477" t="str">
            <v>PRO10</v>
          </cell>
          <cell r="W477">
            <v>0</v>
          </cell>
        </row>
        <row r="478">
          <cell r="C478" t="str">
            <v>HMK0854047</v>
          </cell>
          <cell r="D478" t="str">
            <v>PRINC</v>
          </cell>
          <cell r="E478" t="str">
            <v>00011</v>
          </cell>
          <cell r="F478" t="str">
            <v>MOTORES Y REDUCTORES Y ACCES.</v>
          </cell>
          <cell r="G478" t="str">
            <v>PRINCIPAL</v>
          </cell>
          <cell r="H478">
            <v>46004</v>
          </cell>
          <cell r="I478" t="str">
            <v>SALDO INICIAL</v>
          </cell>
          <cell r="J478">
            <v>0</v>
          </cell>
          <cell r="K478">
            <v>-0.243335</v>
          </cell>
          <cell r="L478">
            <v>12.484667</v>
          </cell>
          <cell r="M478">
            <v>0</v>
          </cell>
          <cell r="N478" t="str">
            <v/>
          </cell>
          <cell r="O478" t="str">
            <v/>
          </cell>
          <cell r="P478" t="str">
            <v/>
          </cell>
          <cell r="Q478">
            <v>23.75</v>
          </cell>
          <cell r="R478" t="str">
            <v>KIT</v>
          </cell>
          <cell r="S478">
            <v>0</v>
          </cell>
          <cell r="T478">
            <v>0</v>
          </cell>
          <cell r="U478" t="str">
            <v/>
          </cell>
          <cell r="V478" t="str">
            <v>PRO10</v>
          </cell>
          <cell r="W478">
            <v>0</v>
          </cell>
        </row>
        <row r="479">
          <cell r="C479" t="str">
            <v>HMK0304046</v>
          </cell>
          <cell r="D479" t="str">
            <v>PRINC</v>
          </cell>
          <cell r="E479" t="str">
            <v>00011</v>
          </cell>
          <cell r="F479" t="str">
            <v>MOTORES Y REDUCTORES Y ACCES.</v>
          </cell>
          <cell r="G479" t="str">
            <v>PRINCIPAL</v>
          </cell>
          <cell r="H479">
            <v>46004</v>
          </cell>
          <cell r="I479" t="str">
            <v>SALDO INICIAL</v>
          </cell>
          <cell r="J479">
            <v>1</v>
          </cell>
          <cell r="K479">
            <v>6.9790000000000001</v>
          </cell>
          <cell r="L479">
            <v>6.9790000000000001</v>
          </cell>
          <cell r="M479">
            <v>6.9790000000000001</v>
          </cell>
          <cell r="N479" t="str">
            <v/>
          </cell>
          <cell r="O479" t="str">
            <v/>
          </cell>
          <cell r="P479" t="str">
            <v/>
          </cell>
          <cell r="Q479">
            <v>13.3</v>
          </cell>
          <cell r="R479" t="str">
            <v>KIT</v>
          </cell>
          <cell r="S479">
            <v>0</v>
          </cell>
          <cell r="T479">
            <v>0</v>
          </cell>
          <cell r="U479" t="str">
            <v/>
          </cell>
          <cell r="V479" t="str">
            <v>PRO10</v>
          </cell>
          <cell r="W479">
            <v>0</v>
          </cell>
        </row>
        <row r="480">
          <cell r="C480" t="str">
            <v>HMK0304045</v>
          </cell>
          <cell r="D480" t="str">
            <v>PRINC</v>
          </cell>
          <cell r="E480" t="str">
            <v>00011</v>
          </cell>
          <cell r="F480" t="str">
            <v>MOTORES Y REDUCTORES Y ACCES.</v>
          </cell>
          <cell r="G480" t="str">
            <v>PRINCIPAL</v>
          </cell>
          <cell r="H480">
            <v>46004</v>
          </cell>
          <cell r="I480" t="str">
            <v>SALDO INICIAL</v>
          </cell>
          <cell r="J480">
            <v>0</v>
          </cell>
          <cell r="K480">
            <v>0</v>
          </cell>
          <cell r="L480">
            <v>6.688739</v>
          </cell>
          <cell r="M480">
            <v>0</v>
          </cell>
          <cell r="N480" t="str">
            <v/>
          </cell>
          <cell r="O480" t="str">
            <v/>
          </cell>
          <cell r="P480" t="str">
            <v/>
          </cell>
          <cell r="Q480">
            <v>12.7</v>
          </cell>
          <cell r="R480" t="str">
            <v>KIT</v>
          </cell>
          <cell r="S480">
            <v>0</v>
          </cell>
          <cell r="T480">
            <v>0</v>
          </cell>
          <cell r="U480" t="str">
            <v/>
          </cell>
          <cell r="V480" t="str">
            <v>PRO10</v>
          </cell>
          <cell r="W480">
            <v>0</v>
          </cell>
        </row>
        <row r="481">
          <cell r="C481" t="str">
            <v>HMK0504047</v>
          </cell>
          <cell r="D481" t="str">
            <v>PRINC</v>
          </cell>
          <cell r="E481" t="str">
            <v>00011</v>
          </cell>
          <cell r="F481" t="str">
            <v>MOTORES Y REDUCTORES Y ACCES.</v>
          </cell>
          <cell r="G481" t="str">
            <v>PRINCIPAL</v>
          </cell>
          <cell r="H481">
            <v>46004</v>
          </cell>
          <cell r="I481" t="str">
            <v>SALDO INICIAL</v>
          </cell>
          <cell r="J481">
            <v>5</v>
          </cell>
          <cell r="K481">
            <v>29.039165000000001</v>
          </cell>
          <cell r="L481">
            <v>5.8078329999999996</v>
          </cell>
          <cell r="M481">
            <v>5.8078329999999996</v>
          </cell>
          <cell r="N481" t="str">
            <v/>
          </cell>
          <cell r="O481" t="str">
            <v/>
          </cell>
          <cell r="P481" t="str">
            <v/>
          </cell>
          <cell r="Q481">
            <v>11</v>
          </cell>
          <cell r="R481" t="str">
            <v>KIT</v>
          </cell>
          <cell r="S481">
            <v>0</v>
          </cell>
          <cell r="T481">
            <v>0</v>
          </cell>
          <cell r="U481" t="str">
            <v/>
          </cell>
          <cell r="V481" t="str">
            <v>PRO10</v>
          </cell>
          <cell r="W481">
            <v>0</v>
          </cell>
        </row>
        <row r="482">
          <cell r="C482" t="str">
            <v>HMK0634041</v>
          </cell>
          <cell r="D482" t="str">
            <v>PRINC</v>
          </cell>
          <cell r="E482" t="str">
            <v>00011</v>
          </cell>
          <cell r="F482" t="str">
            <v>MOTORES Y REDUCTORES Y ACCES.</v>
          </cell>
          <cell r="G482" t="str">
            <v>PRINCIPAL</v>
          </cell>
          <cell r="H482">
            <v>46004</v>
          </cell>
          <cell r="I482" t="str">
            <v>SALDO INICIAL</v>
          </cell>
          <cell r="J482">
            <v>0</v>
          </cell>
          <cell r="K482">
            <v>0.31245400000000001</v>
          </cell>
          <cell r="L482">
            <v>7.9008589999999996</v>
          </cell>
          <cell r="M482">
            <v>0</v>
          </cell>
          <cell r="N482" t="str">
            <v/>
          </cell>
          <cell r="O482" t="str">
            <v/>
          </cell>
          <cell r="P482" t="str">
            <v/>
          </cell>
          <cell r="Q482">
            <v>15</v>
          </cell>
          <cell r="R482" t="str">
            <v>KIT</v>
          </cell>
          <cell r="S482">
            <v>0</v>
          </cell>
          <cell r="T482">
            <v>0</v>
          </cell>
          <cell r="U482" t="str">
            <v/>
          </cell>
          <cell r="V482" t="str">
            <v>PRO10</v>
          </cell>
          <cell r="W482">
            <v>0</v>
          </cell>
        </row>
        <row r="483">
          <cell r="C483" t="str">
            <v>HMK0504045</v>
          </cell>
          <cell r="D483" t="str">
            <v>PRINC</v>
          </cell>
          <cell r="E483" t="str">
            <v>00011</v>
          </cell>
          <cell r="F483" t="str">
            <v>MOTORES Y REDUCTORES Y ACCES.</v>
          </cell>
          <cell r="G483" t="str">
            <v>PRINCIPAL</v>
          </cell>
          <cell r="H483">
            <v>46004</v>
          </cell>
          <cell r="I483" t="str">
            <v>SALDO INICIAL</v>
          </cell>
          <cell r="J483">
            <v>0</v>
          </cell>
          <cell r="K483">
            <v>-4.3254840000000003</v>
          </cell>
          <cell r="L483">
            <v>5.9253010000000002</v>
          </cell>
          <cell r="M483">
            <v>0</v>
          </cell>
          <cell r="N483" t="str">
            <v/>
          </cell>
          <cell r="O483" t="str">
            <v/>
          </cell>
          <cell r="P483" t="str">
            <v/>
          </cell>
          <cell r="Q483">
            <v>12.41</v>
          </cell>
          <cell r="R483" t="str">
            <v>KIT</v>
          </cell>
          <cell r="S483">
            <v>0</v>
          </cell>
          <cell r="T483">
            <v>0</v>
          </cell>
          <cell r="U483" t="str">
            <v/>
          </cell>
          <cell r="V483" t="str">
            <v>PRO10</v>
          </cell>
          <cell r="W483">
            <v>0</v>
          </cell>
        </row>
        <row r="484">
          <cell r="C484" t="str">
            <v>HMK0634047</v>
          </cell>
          <cell r="D484" t="str">
            <v>PRINC</v>
          </cell>
          <cell r="E484" t="str">
            <v>00011</v>
          </cell>
          <cell r="F484" t="str">
            <v>MOTORES Y REDUCTORES Y ACCES.</v>
          </cell>
          <cell r="G484" t="str">
            <v>PRINCIPAL</v>
          </cell>
          <cell r="H484">
            <v>46004</v>
          </cell>
          <cell r="I484" t="str">
            <v>SALDO INICIAL</v>
          </cell>
          <cell r="J484">
            <v>1</v>
          </cell>
          <cell r="K484">
            <v>7.2336669999999996</v>
          </cell>
          <cell r="L484">
            <v>7.2336669999999996</v>
          </cell>
          <cell r="M484">
            <v>7.2336669999999996</v>
          </cell>
          <cell r="N484" t="str">
            <v/>
          </cell>
          <cell r="O484" t="str">
            <v/>
          </cell>
          <cell r="P484" t="str">
            <v/>
          </cell>
          <cell r="Q484">
            <v>13.75</v>
          </cell>
          <cell r="R484" t="str">
            <v>KIT</v>
          </cell>
          <cell r="S484">
            <v>0</v>
          </cell>
          <cell r="T484">
            <v>0</v>
          </cell>
          <cell r="U484" t="str">
            <v/>
          </cell>
          <cell r="V484" t="str">
            <v>PRO10</v>
          </cell>
          <cell r="W484">
            <v>0</v>
          </cell>
        </row>
        <row r="485">
          <cell r="C485" t="str">
            <v>HMK0234042</v>
          </cell>
          <cell r="D485" t="str">
            <v>PRINC</v>
          </cell>
          <cell r="E485" t="str">
            <v>00011</v>
          </cell>
          <cell r="F485" t="str">
            <v>MOTORES Y REDUCTORES Y ACCES.</v>
          </cell>
          <cell r="G485" t="str">
            <v>PRINCIPAL</v>
          </cell>
          <cell r="H485">
            <v>46004</v>
          </cell>
          <cell r="I485" t="str">
            <v>SALDO INICIAL</v>
          </cell>
          <cell r="J485">
            <v>0</v>
          </cell>
          <cell r="K485">
            <v>0.97499999999999998</v>
          </cell>
          <cell r="L485">
            <v>11.1045</v>
          </cell>
          <cell r="M485">
            <v>0</v>
          </cell>
          <cell r="N485" t="str">
            <v/>
          </cell>
          <cell r="O485" t="str">
            <v/>
          </cell>
          <cell r="P485" t="str">
            <v/>
          </cell>
          <cell r="Q485">
            <v>22.8</v>
          </cell>
          <cell r="R485" t="str">
            <v>KIT</v>
          </cell>
          <cell r="S485">
            <v>0</v>
          </cell>
          <cell r="T485">
            <v>0</v>
          </cell>
          <cell r="U485" t="str">
            <v/>
          </cell>
          <cell r="V485" t="str">
            <v>PRO10</v>
          </cell>
          <cell r="W485">
            <v>0</v>
          </cell>
        </row>
        <row r="486">
          <cell r="C486" t="str">
            <v>HMK0504046</v>
          </cell>
          <cell r="D486" t="str">
            <v>PRINC</v>
          </cell>
          <cell r="E486" t="str">
            <v>00011</v>
          </cell>
          <cell r="F486" t="str">
            <v>MOTORES Y REDUCTORES Y ACCES.</v>
          </cell>
          <cell r="G486" t="str">
            <v>PRINCIPAL</v>
          </cell>
          <cell r="H486">
            <v>46004</v>
          </cell>
          <cell r="I486" t="str">
            <v>SALDO INICIAL</v>
          </cell>
          <cell r="J486">
            <v>3</v>
          </cell>
          <cell r="K486">
            <v>16.832750999999998</v>
          </cell>
          <cell r="L486">
            <v>5.6109169999999997</v>
          </cell>
          <cell r="M486">
            <v>5.6109169999999997</v>
          </cell>
          <cell r="N486" t="str">
            <v/>
          </cell>
          <cell r="O486" t="str">
            <v/>
          </cell>
          <cell r="P486" t="str">
            <v/>
          </cell>
          <cell r="Q486">
            <v>10.65</v>
          </cell>
          <cell r="R486" t="str">
            <v>KIT</v>
          </cell>
          <cell r="S486">
            <v>0</v>
          </cell>
          <cell r="T486">
            <v>0</v>
          </cell>
          <cell r="U486" t="str">
            <v/>
          </cell>
          <cell r="V486" t="str">
            <v>PRO10</v>
          </cell>
          <cell r="W486">
            <v>0</v>
          </cell>
        </row>
        <row r="487">
          <cell r="C487" t="str">
            <v>HMK0634046</v>
          </cell>
          <cell r="D487" t="str">
            <v>PRINC</v>
          </cell>
          <cell r="E487" t="str">
            <v>00011</v>
          </cell>
          <cell r="F487" t="str">
            <v>MOTORES Y REDUCTORES Y ACCES.</v>
          </cell>
          <cell r="G487" t="str">
            <v>PRINCIPAL</v>
          </cell>
          <cell r="H487">
            <v>46004</v>
          </cell>
          <cell r="I487" t="str">
            <v>SALDO INICIAL</v>
          </cell>
          <cell r="J487">
            <v>3</v>
          </cell>
          <cell r="K487">
            <v>21.319331999999999</v>
          </cell>
          <cell r="L487">
            <v>7.1064439999999998</v>
          </cell>
          <cell r="M487">
            <v>7.1064439999999998</v>
          </cell>
          <cell r="N487" t="str">
            <v/>
          </cell>
          <cell r="O487" t="str">
            <v/>
          </cell>
          <cell r="P487" t="str">
            <v/>
          </cell>
          <cell r="Q487">
            <v>13.5</v>
          </cell>
          <cell r="R487" t="str">
            <v>KIT</v>
          </cell>
          <cell r="S487">
            <v>0</v>
          </cell>
          <cell r="T487">
            <v>0</v>
          </cell>
          <cell r="U487" t="str">
            <v/>
          </cell>
          <cell r="V487" t="str">
            <v>PRO10</v>
          </cell>
          <cell r="W487">
            <v>0</v>
          </cell>
        </row>
        <row r="488">
          <cell r="C488" t="str">
            <v>HMK0854046</v>
          </cell>
          <cell r="D488" t="str">
            <v>PRINC</v>
          </cell>
          <cell r="E488" t="str">
            <v>00011</v>
          </cell>
          <cell r="F488" t="str">
            <v>MOTORES Y REDUCTORES Y ACCES.</v>
          </cell>
          <cell r="G488" t="str">
            <v>PRINCIPAL</v>
          </cell>
          <cell r="H488">
            <v>46004</v>
          </cell>
          <cell r="I488" t="str">
            <v>SALDO INICIAL</v>
          </cell>
          <cell r="J488">
            <v>0</v>
          </cell>
          <cell r="K488">
            <v>-16.476600999999999</v>
          </cell>
          <cell r="L488">
            <v>11.643916000000001</v>
          </cell>
          <cell r="M488">
            <v>0</v>
          </cell>
          <cell r="N488" t="str">
            <v/>
          </cell>
          <cell r="O488" t="str">
            <v/>
          </cell>
          <cell r="P488" t="str">
            <v/>
          </cell>
          <cell r="Q488">
            <v>24.45</v>
          </cell>
          <cell r="R488" t="str">
            <v>KIT</v>
          </cell>
          <cell r="S488">
            <v>0</v>
          </cell>
          <cell r="T488">
            <v>0</v>
          </cell>
          <cell r="U488" t="str">
            <v/>
          </cell>
          <cell r="V488" t="str">
            <v>PRO10</v>
          </cell>
          <cell r="W488">
            <v>0</v>
          </cell>
        </row>
        <row r="489">
          <cell r="C489" t="str">
            <v>HMK0504043</v>
          </cell>
          <cell r="D489" t="str">
            <v>PRINC</v>
          </cell>
          <cell r="E489" t="str">
            <v>00011</v>
          </cell>
          <cell r="F489" t="str">
            <v>MOTORES Y REDUCTORES Y ACCES.</v>
          </cell>
          <cell r="G489" t="str">
            <v>PRINCIPAL</v>
          </cell>
          <cell r="H489">
            <v>46004</v>
          </cell>
          <cell r="I489" t="str">
            <v>SALDO INICIAL</v>
          </cell>
          <cell r="J489">
            <v>1</v>
          </cell>
          <cell r="K489">
            <v>5.9950000000000001</v>
          </cell>
          <cell r="L489">
            <v>5.9950000000000001</v>
          </cell>
          <cell r="M489">
            <v>5.9950000000000001</v>
          </cell>
          <cell r="N489" t="str">
            <v/>
          </cell>
          <cell r="O489" t="str">
            <v/>
          </cell>
          <cell r="P489" t="str">
            <v/>
          </cell>
          <cell r="Q489">
            <v>12.4</v>
          </cell>
          <cell r="R489" t="str">
            <v>KIT</v>
          </cell>
          <cell r="S489">
            <v>0</v>
          </cell>
          <cell r="T489">
            <v>0</v>
          </cell>
          <cell r="U489" t="str">
            <v/>
          </cell>
          <cell r="V489" t="str">
            <v>PRO10</v>
          </cell>
          <cell r="W489">
            <v>0</v>
          </cell>
        </row>
        <row r="490">
          <cell r="C490" t="str">
            <v>HMK0854045</v>
          </cell>
          <cell r="D490" t="str">
            <v>PRINC</v>
          </cell>
          <cell r="E490" t="str">
            <v>00011</v>
          </cell>
          <cell r="F490" t="str">
            <v>MOTORES Y REDUCTORES Y ACCES.</v>
          </cell>
          <cell r="G490" t="str">
            <v>PRINCIPAL</v>
          </cell>
          <cell r="H490">
            <v>46004</v>
          </cell>
          <cell r="I490" t="str">
            <v>SALDO INICIAL</v>
          </cell>
          <cell r="J490">
            <v>3</v>
          </cell>
          <cell r="K490">
            <v>4.1134259999999996</v>
          </cell>
          <cell r="L490">
            <v>12.020066</v>
          </cell>
          <cell r="M490">
            <v>1.3711420000000001</v>
          </cell>
          <cell r="N490" t="str">
            <v/>
          </cell>
          <cell r="O490" t="str">
            <v/>
          </cell>
          <cell r="P490" t="str">
            <v/>
          </cell>
          <cell r="Q490">
            <v>26.2</v>
          </cell>
          <cell r="R490" t="str">
            <v>KIT</v>
          </cell>
          <cell r="S490">
            <v>0</v>
          </cell>
          <cell r="T490">
            <v>0</v>
          </cell>
          <cell r="U490" t="str">
            <v/>
          </cell>
          <cell r="V490" t="str">
            <v>PRO10</v>
          </cell>
          <cell r="W490">
            <v>0</v>
          </cell>
        </row>
        <row r="491">
          <cell r="C491" t="str">
            <v>CGKI0505028</v>
          </cell>
          <cell r="D491" t="str">
            <v>PRINC</v>
          </cell>
          <cell r="E491" t="str">
            <v>00011</v>
          </cell>
          <cell r="F491" t="str">
            <v>MOTORES Y REDUCTORES Y ACCES.</v>
          </cell>
          <cell r="G491" t="str">
            <v>PRINCIPAL</v>
          </cell>
          <cell r="H491">
            <v>46004</v>
          </cell>
          <cell r="I491" t="str">
            <v>SALDO INICIAL</v>
          </cell>
          <cell r="J491">
            <v>1</v>
          </cell>
          <cell r="K491">
            <v>64.760000000000005</v>
          </cell>
          <cell r="L491">
            <v>64.760000000000005</v>
          </cell>
          <cell r="M491">
            <v>64.760000000000005</v>
          </cell>
          <cell r="N491" t="str">
            <v/>
          </cell>
          <cell r="O491" t="str">
            <v/>
          </cell>
          <cell r="P491" t="str">
            <v/>
          </cell>
          <cell r="Q491">
            <v>0</v>
          </cell>
          <cell r="R491" t="str">
            <v>UND</v>
          </cell>
          <cell r="S491">
            <v>0</v>
          </cell>
          <cell r="T491">
            <v>0</v>
          </cell>
          <cell r="U491" t="str">
            <v/>
          </cell>
          <cell r="V491" t="str">
            <v>PRO10</v>
          </cell>
          <cell r="W491">
            <v>0</v>
          </cell>
        </row>
        <row r="492">
          <cell r="C492" t="str">
            <v>SPS9I180GA</v>
          </cell>
          <cell r="D492" t="str">
            <v>PRINC</v>
          </cell>
          <cell r="E492" t="str">
            <v>00011</v>
          </cell>
          <cell r="F492" t="str">
            <v>MOTORES Y REDUCTORES Y ACCES.</v>
          </cell>
          <cell r="G492" t="str">
            <v>PRINCIPAL</v>
          </cell>
          <cell r="H492">
            <v>46004</v>
          </cell>
          <cell r="I492" t="str">
            <v>SALDO INICIAL</v>
          </cell>
          <cell r="J492">
            <v>1</v>
          </cell>
          <cell r="K492">
            <v>144.97</v>
          </cell>
          <cell r="L492">
            <v>144.97</v>
          </cell>
          <cell r="M492">
            <v>144.97</v>
          </cell>
          <cell r="N492" t="str">
            <v/>
          </cell>
          <cell r="O492" t="str">
            <v/>
          </cell>
          <cell r="P492" t="str">
            <v/>
          </cell>
          <cell r="Q492">
            <v>176.8</v>
          </cell>
          <cell r="R492" t="str">
            <v>UND</v>
          </cell>
          <cell r="S492">
            <v>0</v>
          </cell>
          <cell r="T492">
            <v>0</v>
          </cell>
          <cell r="U492" t="str">
            <v/>
          </cell>
          <cell r="V492" t="str">
            <v>PRO10</v>
          </cell>
          <cell r="W492">
            <v>0</v>
          </cell>
        </row>
        <row r="493">
          <cell r="C493" t="str">
            <v>CGSPMCKF4JTENN</v>
          </cell>
          <cell r="D493" t="str">
            <v>PRINC</v>
          </cell>
          <cell r="E493" t="str">
            <v>00011</v>
          </cell>
          <cell r="F493" t="str">
            <v>MOTORES Y REDUCTORES Y ACCES.</v>
          </cell>
          <cell r="G493" t="str">
            <v>PRINCIPAL</v>
          </cell>
          <cell r="H493">
            <v>46004</v>
          </cell>
          <cell r="I493" t="str">
            <v>SALDO INICIAL</v>
          </cell>
          <cell r="J493">
            <v>1</v>
          </cell>
          <cell r="K493">
            <v>0</v>
          </cell>
          <cell r="L493">
            <v>0</v>
          </cell>
          <cell r="M493">
            <v>0</v>
          </cell>
          <cell r="N493" t="str">
            <v/>
          </cell>
          <cell r="O493" t="str">
            <v/>
          </cell>
          <cell r="P493" t="str">
            <v/>
          </cell>
          <cell r="Q493">
            <v>656</v>
          </cell>
          <cell r="R493" t="str">
            <v>UND</v>
          </cell>
          <cell r="S493">
            <v>0</v>
          </cell>
          <cell r="T493">
            <v>0</v>
          </cell>
          <cell r="U493" t="str">
            <v/>
          </cell>
          <cell r="V493" t="str">
            <v>PRO10</v>
          </cell>
          <cell r="W493">
            <v>0</v>
          </cell>
        </row>
        <row r="494">
          <cell r="C494" t="str">
            <v>CGSPMDKG4JTENN</v>
          </cell>
          <cell r="D494" t="str">
            <v>PRINC</v>
          </cell>
          <cell r="E494" t="str">
            <v>00011</v>
          </cell>
          <cell r="F494" t="str">
            <v>MOTORES Y REDUCTORES Y ACCES.</v>
          </cell>
          <cell r="G494" t="str">
            <v>PRINCIPAL</v>
          </cell>
          <cell r="H494">
            <v>46004</v>
          </cell>
          <cell r="I494" t="str">
            <v>SALDO INICIAL</v>
          </cell>
          <cell r="J494">
            <v>1</v>
          </cell>
          <cell r="K494">
            <v>479.58</v>
          </cell>
          <cell r="L494">
            <v>479.58</v>
          </cell>
          <cell r="M494">
            <v>479.58</v>
          </cell>
          <cell r="N494" t="str">
            <v/>
          </cell>
          <cell r="O494" t="str">
            <v/>
          </cell>
          <cell r="P494" t="str">
            <v/>
          </cell>
          <cell r="Q494">
            <v>752</v>
          </cell>
          <cell r="R494" t="str">
            <v>UND</v>
          </cell>
          <cell r="S494">
            <v>0</v>
          </cell>
          <cell r="T494">
            <v>0</v>
          </cell>
          <cell r="U494" t="str">
            <v/>
          </cell>
          <cell r="V494" t="str">
            <v>PRO10</v>
          </cell>
          <cell r="W494">
            <v>0</v>
          </cell>
        </row>
        <row r="495">
          <cell r="C495" t="str">
            <v>SPS9D90-90K</v>
          </cell>
          <cell r="D495" t="str">
            <v>PRINC</v>
          </cell>
          <cell r="E495" t="str">
            <v>00011</v>
          </cell>
          <cell r="F495" t="str">
            <v>MOTORES Y REDUCTORES Y ACCES.</v>
          </cell>
          <cell r="G495" t="str">
            <v>PRINCIPAL</v>
          </cell>
          <cell r="H495">
            <v>46004</v>
          </cell>
          <cell r="I495" t="str">
            <v>SALDO INICIAL</v>
          </cell>
          <cell r="J495">
            <v>1</v>
          </cell>
          <cell r="K495">
            <v>153.19999999999999</v>
          </cell>
          <cell r="L495">
            <v>153.19999999999999</v>
          </cell>
          <cell r="M495">
            <v>153.19999999999999</v>
          </cell>
          <cell r="N495" t="str">
            <v/>
          </cell>
          <cell r="O495" t="str">
            <v/>
          </cell>
          <cell r="P495" t="str">
            <v/>
          </cell>
          <cell r="Q495">
            <v>192.5</v>
          </cell>
          <cell r="R495" t="str">
            <v>UND</v>
          </cell>
          <cell r="S495">
            <v>0</v>
          </cell>
          <cell r="T495">
            <v>0</v>
          </cell>
          <cell r="U495" t="str">
            <v/>
          </cell>
          <cell r="V495" t="str">
            <v>PRO10</v>
          </cell>
          <cell r="W495">
            <v>0</v>
          </cell>
        </row>
        <row r="496">
          <cell r="C496" t="str">
            <v>EL1Q0712T22A</v>
          </cell>
          <cell r="D496" t="str">
            <v>PRINC</v>
          </cell>
          <cell r="E496" t="str">
            <v>00011</v>
          </cell>
          <cell r="F496" t="str">
            <v>MOTORES Y REDUCTORES Y ACCES.</v>
          </cell>
          <cell r="G496" t="str">
            <v>PRINCIPAL</v>
          </cell>
          <cell r="H496">
            <v>46004</v>
          </cell>
          <cell r="I496" t="str">
            <v>SALDO INICIAL</v>
          </cell>
          <cell r="J496">
            <v>2</v>
          </cell>
          <cell r="K496">
            <v>193.486073</v>
          </cell>
          <cell r="L496">
            <v>96.743036000000004</v>
          </cell>
          <cell r="M496">
            <v>96.743036500000002</v>
          </cell>
          <cell r="N496" t="str">
            <v/>
          </cell>
          <cell r="O496" t="str">
            <v/>
          </cell>
          <cell r="P496" t="str">
            <v/>
          </cell>
          <cell r="Q496">
            <v>152.44999999999999</v>
          </cell>
          <cell r="R496" t="str">
            <v>UND</v>
          </cell>
          <cell r="S496">
            <v>0</v>
          </cell>
          <cell r="T496">
            <v>0</v>
          </cell>
          <cell r="U496" t="str">
            <v/>
          </cell>
          <cell r="V496" t="str">
            <v>PRO10</v>
          </cell>
          <cell r="W496">
            <v>0</v>
          </cell>
        </row>
        <row r="497">
          <cell r="C497" t="str">
            <v>EL1Q0713T22A</v>
          </cell>
          <cell r="D497" t="str">
            <v>PRINC</v>
          </cell>
          <cell r="E497" t="str">
            <v>00011</v>
          </cell>
          <cell r="F497" t="str">
            <v>MOTORES Y REDUCTORES Y ACCES.</v>
          </cell>
          <cell r="G497" t="str">
            <v>PRINCIPAL</v>
          </cell>
          <cell r="H497">
            <v>46004</v>
          </cell>
          <cell r="I497" t="str">
            <v>SALDO INICIAL</v>
          </cell>
          <cell r="J497">
            <v>3</v>
          </cell>
          <cell r="K497">
            <v>312.93</v>
          </cell>
          <cell r="L497">
            <v>0</v>
          </cell>
          <cell r="M497">
            <v>104.31</v>
          </cell>
          <cell r="N497" t="str">
            <v/>
          </cell>
          <cell r="O497" t="str">
            <v/>
          </cell>
          <cell r="P497" t="str">
            <v/>
          </cell>
          <cell r="Q497">
            <v>166.9</v>
          </cell>
          <cell r="R497" t="str">
            <v>UND</v>
          </cell>
          <cell r="S497">
            <v>0</v>
          </cell>
          <cell r="T497">
            <v>0</v>
          </cell>
          <cell r="U497" t="str">
            <v/>
          </cell>
          <cell r="V497" t="str">
            <v>PRO10</v>
          </cell>
          <cell r="W497">
            <v>0</v>
          </cell>
        </row>
        <row r="498">
          <cell r="C498" t="str">
            <v>EL1Q0802T22A</v>
          </cell>
          <cell r="D498" t="str">
            <v>PRINC</v>
          </cell>
          <cell r="E498" t="str">
            <v>00011</v>
          </cell>
          <cell r="F498" t="str">
            <v>MOTORES Y REDUCTORES Y ACCES.</v>
          </cell>
          <cell r="G498" t="str">
            <v>PRINCIPAL</v>
          </cell>
          <cell r="H498">
            <v>46004</v>
          </cell>
          <cell r="I498" t="str">
            <v>SALDO INICIAL</v>
          </cell>
          <cell r="J498">
            <v>3</v>
          </cell>
          <cell r="K498">
            <v>398.84000099999997</v>
          </cell>
          <cell r="L498">
            <v>0</v>
          </cell>
          <cell r="M498">
            <v>132.94666699999999</v>
          </cell>
          <cell r="N498" t="str">
            <v/>
          </cell>
          <cell r="O498" t="str">
            <v/>
          </cell>
          <cell r="P498" t="str">
            <v/>
          </cell>
          <cell r="Q498">
            <v>212.7</v>
          </cell>
          <cell r="R498" t="str">
            <v>UND</v>
          </cell>
          <cell r="S498">
            <v>0</v>
          </cell>
          <cell r="T498">
            <v>0</v>
          </cell>
          <cell r="U498" t="str">
            <v/>
          </cell>
          <cell r="V498" t="str">
            <v>PRO10</v>
          </cell>
          <cell r="W498">
            <v>0</v>
          </cell>
        </row>
        <row r="499">
          <cell r="C499" t="str">
            <v>EL2B0631E20A</v>
          </cell>
          <cell r="D499" t="str">
            <v>PRINC</v>
          </cell>
          <cell r="E499" t="str">
            <v>00011</v>
          </cell>
          <cell r="F499" t="str">
            <v>MOTORES Y REDUCTORES Y ACCES.</v>
          </cell>
          <cell r="G499" t="str">
            <v>PRINCIPAL</v>
          </cell>
          <cell r="H499">
            <v>46004</v>
          </cell>
          <cell r="I499" t="str">
            <v>SALDO INICIAL</v>
          </cell>
          <cell r="J499">
            <v>4</v>
          </cell>
          <cell r="K499">
            <v>248.05600000000001</v>
          </cell>
          <cell r="L499">
            <v>62.014000000000003</v>
          </cell>
          <cell r="M499">
            <v>62.014000000000003</v>
          </cell>
          <cell r="N499" t="str">
            <v/>
          </cell>
          <cell r="O499" t="str">
            <v/>
          </cell>
          <cell r="P499" t="str">
            <v/>
          </cell>
          <cell r="Q499">
            <v>99.3</v>
          </cell>
          <cell r="R499" t="str">
            <v>UND</v>
          </cell>
          <cell r="S499">
            <v>0</v>
          </cell>
          <cell r="T499">
            <v>0</v>
          </cell>
          <cell r="U499" t="str">
            <v/>
          </cell>
          <cell r="V499" t="str">
            <v>PRO10</v>
          </cell>
          <cell r="W499">
            <v>0</v>
          </cell>
        </row>
        <row r="500">
          <cell r="C500" t="str">
            <v>EL2B0632E20A</v>
          </cell>
          <cell r="D500" t="str">
            <v>PRINC</v>
          </cell>
          <cell r="E500" t="str">
            <v>00011</v>
          </cell>
          <cell r="F500" t="str">
            <v>MOTORES Y REDUCTORES Y ACCES.</v>
          </cell>
          <cell r="G500" t="str">
            <v>PRINCIPAL</v>
          </cell>
          <cell r="H500">
            <v>46004</v>
          </cell>
          <cell r="I500" t="str">
            <v>SALDO INICIAL</v>
          </cell>
          <cell r="J500">
            <v>9</v>
          </cell>
          <cell r="K500">
            <v>569.44799999999998</v>
          </cell>
          <cell r="L500">
            <v>63.271999999999998</v>
          </cell>
          <cell r="M500">
            <v>63.271999999999998</v>
          </cell>
          <cell r="N500" t="str">
            <v/>
          </cell>
          <cell r="O500" t="str">
            <v/>
          </cell>
          <cell r="P500" t="str">
            <v/>
          </cell>
          <cell r="Q500">
            <v>101.3</v>
          </cell>
          <cell r="R500" t="str">
            <v>UND</v>
          </cell>
          <cell r="S500">
            <v>0</v>
          </cell>
          <cell r="T500">
            <v>0</v>
          </cell>
          <cell r="U500" t="str">
            <v/>
          </cell>
          <cell r="V500" t="str">
            <v>PRO10</v>
          </cell>
          <cell r="W500">
            <v>0</v>
          </cell>
        </row>
        <row r="501">
          <cell r="C501" t="str">
            <v>EL2B0633E20A</v>
          </cell>
          <cell r="D501" t="str">
            <v>PRINC</v>
          </cell>
          <cell r="E501" t="str">
            <v>00011</v>
          </cell>
          <cell r="F501" t="str">
            <v>MOTORES Y REDUCTORES Y ACCES.</v>
          </cell>
          <cell r="G501" t="str">
            <v>PRINCIPAL</v>
          </cell>
          <cell r="H501">
            <v>46004</v>
          </cell>
          <cell r="I501" t="str">
            <v>SALDO INICIAL</v>
          </cell>
          <cell r="J501">
            <v>2</v>
          </cell>
          <cell r="K501">
            <v>150.584</v>
          </cell>
          <cell r="L501">
            <v>75.292000000000002</v>
          </cell>
          <cell r="M501">
            <v>75.292000000000002</v>
          </cell>
          <cell r="N501" t="str">
            <v/>
          </cell>
          <cell r="O501" t="str">
            <v/>
          </cell>
          <cell r="P501" t="str">
            <v/>
          </cell>
          <cell r="Q501">
            <v>120.5</v>
          </cell>
          <cell r="R501" t="str">
            <v>UND</v>
          </cell>
          <cell r="S501">
            <v>0</v>
          </cell>
          <cell r="T501">
            <v>0</v>
          </cell>
          <cell r="U501" t="str">
            <v/>
          </cell>
          <cell r="V501" t="str">
            <v>PRO10</v>
          </cell>
          <cell r="W501">
            <v>0</v>
          </cell>
        </row>
        <row r="502">
          <cell r="C502" t="str">
            <v>EL2B0711E20A</v>
          </cell>
          <cell r="D502" t="str">
            <v>PRINC</v>
          </cell>
          <cell r="E502" t="str">
            <v>00011</v>
          </cell>
          <cell r="F502" t="str">
            <v>MOTORES Y REDUCTORES Y ACCES.</v>
          </cell>
          <cell r="G502" t="str">
            <v>PRINCIPAL</v>
          </cell>
          <cell r="H502">
            <v>46004</v>
          </cell>
          <cell r="I502" t="str">
            <v>SALDO INICIAL</v>
          </cell>
          <cell r="J502">
            <v>1</v>
          </cell>
          <cell r="K502">
            <v>75.292000000000002</v>
          </cell>
          <cell r="L502">
            <v>75.292000000000002</v>
          </cell>
          <cell r="M502">
            <v>75.292000000000002</v>
          </cell>
          <cell r="N502" t="str">
            <v/>
          </cell>
          <cell r="O502" t="str">
            <v/>
          </cell>
          <cell r="P502" t="str">
            <v/>
          </cell>
          <cell r="Q502">
            <v>120.5</v>
          </cell>
          <cell r="R502" t="str">
            <v>UND</v>
          </cell>
          <cell r="S502">
            <v>0</v>
          </cell>
          <cell r="T502">
            <v>0</v>
          </cell>
          <cell r="U502" t="str">
            <v/>
          </cell>
          <cell r="V502" t="str">
            <v>PRO10</v>
          </cell>
          <cell r="W502">
            <v>0</v>
          </cell>
        </row>
        <row r="503">
          <cell r="C503" t="str">
            <v>EL2B0712E20A</v>
          </cell>
          <cell r="D503" t="str">
            <v>PRINC</v>
          </cell>
          <cell r="E503" t="str">
            <v>00011</v>
          </cell>
          <cell r="F503" t="str">
            <v>MOTORES Y REDUCTORES Y ACCES.</v>
          </cell>
          <cell r="G503" t="str">
            <v>PRINCIPAL</v>
          </cell>
          <cell r="H503">
            <v>46004</v>
          </cell>
          <cell r="I503" t="str">
            <v>SALDO INICIAL</v>
          </cell>
          <cell r="J503">
            <v>17</v>
          </cell>
          <cell r="K503">
            <v>1391.099698</v>
          </cell>
          <cell r="L503">
            <v>81.829393999999994</v>
          </cell>
          <cell r="M503">
            <v>81.829393999999994</v>
          </cell>
          <cell r="N503" t="str">
            <v/>
          </cell>
          <cell r="O503" t="str">
            <v/>
          </cell>
          <cell r="P503" t="str">
            <v/>
          </cell>
          <cell r="Q503">
            <v>131</v>
          </cell>
          <cell r="R503" t="str">
            <v>UND</v>
          </cell>
          <cell r="S503">
            <v>0</v>
          </cell>
          <cell r="T503">
            <v>0</v>
          </cell>
          <cell r="U503" t="str">
            <v/>
          </cell>
          <cell r="V503" t="str">
            <v>PRO10</v>
          </cell>
          <cell r="W503">
            <v>0</v>
          </cell>
        </row>
        <row r="504">
          <cell r="C504" t="str">
            <v>EL2B0802E20A</v>
          </cell>
          <cell r="D504" t="str">
            <v>PRINC</v>
          </cell>
          <cell r="E504" t="str">
            <v>00011</v>
          </cell>
          <cell r="F504" t="str">
            <v>MOTORES Y REDUCTORES Y ACCES.</v>
          </cell>
          <cell r="G504" t="str">
            <v>PRINCIPAL</v>
          </cell>
          <cell r="H504">
            <v>46004</v>
          </cell>
          <cell r="I504" t="str">
            <v>SALDO INICIAL</v>
          </cell>
          <cell r="J504">
            <v>78</v>
          </cell>
          <cell r="K504">
            <v>9052.9883339999997</v>
          </cell>
          <cell r="L504">
            <v>116.063953</v>
          </cell>
          <cell r="M504">
            <v>116.063953</v>
          </cell>
          <cell r="N504" t="str">
            <v/>
          </cell>
          <cell r="O504" t="str">
            <v/>
          </cell>
          <cell r="P504" t="str">
            <v/>
          </cell>
          <cell r="Q504">
            <v>185.7</v>
          </cell>
          <cell r="R504" t="str">
            <v>UND</v>
          </cell>
          <cell r="S504">
            <v>0</v>
          </cell>
          <cell r="T504">
            <v>0</v>
          </cell>
          <cell r="U504" t="str">
            <v/>
          </cell>
          <cell r="V504" t="str">
            <v>PRO10</v>
          </cell>
          <cell r="W504">
            <v>0</v>
          </cell>
        </row>
        <row r="505">
          <cell r="C505" t="str">
            <v>EL2B0803E20A</v>
          </cell>
          <cell r="D505" t="str">
            <v>PRINC</v>
          </cell>
          <cell r="E505" t="str">
            <v>00011</v>
          </cell>
          <cell r="F505" t="str">
            <v>MOTORES Y REDUCTORES Y ACCES.</v>
          </cell>
          <cell r="G505" t="str">
            <v>PRINCIPAL</v>
          </cell>
          <cell r="H505">
            <v>46004</v>
          </cell>
          <cell r="I505" t="str">
            <v>SALDO INICIAL</v>
          </cell>
          <cell r="J505">
            <v>15</v>
          </cell>
          <cell r="K505">
            <v>2248.3058850000002</v>
          </cell>
          <cell r="L505">
            <v>149.88705899999999</v>
          </cell>
          <cell r="M505">
            <v>149.88705899999999</v>
          </cell>
          <cell r="N505" t="str">
            <v/>
          </cell>
          <cell r="O505" t="str">
            <v/>
          </cell>
          <cell r="P505" t="str">
            <v/>
          </cell>
          <cell r="Q505">
            <v>239.8</v>
          </cell>
          <cell r="R505" t="str">
            <v>UND</v>
          </cell>
          <cell r="S505">
            <v>0</v>
          </cell>
          <cell r="T505">
            <v>0</v>
          </cell>
          <cell r="U505" t="str">
            <v/>
          </cell>
          <cell r="V505" t="str">
            <v>PRO10</v>
          </cell>
          <cell r="W505">
            <v>0</v>
          </cell>
        </row>
        <row r="506">
          <cell r="C506" t="str">
            <v>EL2B0902E20A</v>
          </cell>
          <cell r="D506" t="str">
            <v>PRINC</v>
          </cell>
          <cell r="E506" t="str">
            <v>00011</v>
          </cell>
          <cell r="F506" t="str">
            <v>MOTORES Y REDUCTORES Y ACCES.</v>
          </cell>
          <cell r="G506" t="str">
            <v>PRINCIPAL</v>
          </cell>
          <cell r="H506">
            <v>46004</v>
          </cell>
          <cell r="I506" t="str">
            <v>SALDO INICIAL</v>
          </cell>
          <cell r="J506">
            <v>10</v>
          </cell>
          <cell r="K506">
            <v>1664.5571399999999</v>
          </cell>
          <cell r="L506">
            <v>166.455714</v>
          </cell>
          <cell r="M506">
            <v>166.455714</v>
          </cell>
          <cell r="N506" t="str">
            <v/>
          </cell>
          <cell r="O506" t="str">
            <v/>
          </cell>
          <cell r="P506" t="str">
            <v/>
          </cell>
          <cell r="Q506">
            <v>266.39999999999998</v>
          </cell>
          <cell r="R506" t="str">
            <v>UND</v>
          </cell>
          <cell r="S506">
            <v>0</v>
          </cell>
          <cell r="T506">
            <v>0</v>
          </cell>
          <cell r="U506" t="str">
            <v/>
          </cell>
          <cell r="V506" t="str">
            <v>PRO10</v>
          </cell>
          <cell r="W506">
            <v>0</v>
          </cell>
        </row>
        <row r="507">
          <cell r="C507" t="str">
            <v>CGM075KWI63SS30</v>
          </cell>
          <cell r="D507" t="str">
            <v>PRINC</v>
          </cell>
          <cell r="E507" t="str">
            <v>00011</v>
          </cell>
          <cell r="F507" t="str">
            <v>MOTORES Y REDUCTORES Y ACCES.</v>
          </cell>
          <cell r="G507" t="str">
            <v>PRINCIPAL</v>
          </cell>
          <cell r="H507">
            <v>46004</v>
          </cell>
          <cell r="I507" t="str">
            <v>SALDO INICIAL</v>
          </cell>
          <cell r="J507">
            <v>0</v>
          </cell>
          <cell r="K507">
            <v>0</v>
          </cell>
          <cell r="L507">
            <v>1339.9466669999999</v>
          </cell>
          <cell r="M507">
            <v>0</v>
          </cell>
          <cell r="N507" t="str">
            <v>MI63UNIN060MHICO-RB3-D</v>
          </cell>
          <cell r="O507" t="str">
            <v/>
          </cell>
          <cell r="P507" t="str">
            <v/>
          </cell>
          <cell r="Q507">
            <v>0</v>
          </cell>
          <cell r="R507" t="str">
            <v>UND</v>
          </cell>
          <cell r="S507">
            <v>0</v>
          </cell>
          <cell r="T507">
            <v>0</v>
          </cell>
          <cell r="U507" t="str">
            <v/>
          </cell>
          <cell r="V507" t="str">
            <v>PRO10</v>
          </cell>
          <cell r="W507">
            <v>0</v>
          </cell>
        </row>
        <row r="508">
          <cell r="C508" t="str">
            <v>BRCBN3201-5-56</v>
          </cell>
          <cell r="D508" t="str">
            <v>PRINC</v>
          </cell>
          <cell r="E508" t="str">
            <v>00011</v>
          </cell>
          <cell r="F508" t="str">
            <v>MOTORES Y REDUCTORES Y ACCES.</v>
          </cell>
          <cell r="G508" t="str">
            <v>PRINCIPAL</v>
          </cell>
          <cell r="H508">
            <v>46004</v>
          </cell>
          <cell r="I508" t="str">
            <v>SALDO INICIAL</v>
          </cell>
          <cell r="J508">
            <v>1</v>
          </cell>
          <cell r="K508">
            <v>1252.6600000000001</v>
          </cell>
          <cell r="L508">
            <v>1252.6600000000001</v>
          </cell>
          <cell r="M508">
            <v>1252.6600000000001</v>
          </cell>
          <cell r="N508" t="str">
            <v/>
          </cell>
          <cell r="O508" t="str">
            <v/>
          </cell>
          <cell r="P508" t="str">
            <v/>
          </cell>
          <cell r="Q508">
            <v>1877.8</v>
          </cell>
          <cell r="R508" t="str">
            <v>UND</v>
          </cell>
          <cell r="S508">
            <v>0</v>
          </cell>
          <cell r="T508">
            <v>0</v>
          </cell>
          <cell r="U508" t="str">
            <v/>
          </cell>
          <cell r="V508" t="str">
            <v>PRO10</v>
          </cell>
          <cell r="W508">
            <v>0</v>
          </cell>
        </row>
        <row r="509">
          <cell r="C509" t="str">
            <v>CGPI45SSI21E18B</v>
          </cell>
          <cell r="D509" t="str">
            <v>PRINC</v>
          </cell>
          <cell r="E509" t="str">
            <v>00011</v>
          </cell>
          <cell r="F509" t="str">
            <v>MOTORES Y REDUCTORES Y ACCES.</v>
          </cell>
          <cell r="G509" t="str">
            <v>PRINCIPAL</v>
          </cell>
          <cell r="H509">
            <v>46004</v>
          </cell>
          <cell r="I509" t="str">
            <v>SALDO INICIAL</v>
          </cell>
          <cell r="J509">
            <v>1</v>
          </cell>
          <cell r="K509">
            <v>0</v>
          </cell>
          <cell r="L509">
            <v>0</v>
          </cell>
          <cell r="M509">
            <v>0</v>
          </cell>
          <cell r="N509" t="str">
            <v>PI45FLLR040MBICN-QB3-C</v>
          </cell>
          <cell r="O509" t="str">
            <v/>
          </cell>
          <cell r="P509" t="str">
            <v/>
          </cell>
          <cell r="Q509">
            <v>796.4</v>
          </cell>
          <cell r="R509" t="str">
            <v>UND</v>
          </cell>
          <cell r="S509">
            <v>0</v>
          </cell>
          <cell r="T509">
            <v>0</v>
          </cell>
          <cell r="U509" t="str">
            <v/>
          </cell>
          <cell r="V509" t="str">
            <v>PRO10</v>
          </cell>
          <cell r="W509">
            <v>0</v>
          </cell>
        </row>
        <row r="510">
          <cell r="C510" t="str">
            <v>CGPI50SSI26E25B</v>
          </cell>
          <cell r="D510" t="str">
            <v>PRINC</v>
          </cell>
          <cell r="E510" t="str">
            <v>00011</v>
          </cell>
          <cell r="F510" t="str">
            <v>MOTORES Y REDUCTORES Y ACCES.</v>
          </cell>
          <cell r="G510" t="str">
            <v>PRINCIPAL</v>
          </cell>
          <cell r="H510">
            <v>46004</v>
          </cell>
          <cell r="I510" t="str">
            <v>SALDO INICIAL</v>
          </cell>
          <cell r="J510">
            <v>1</v>
          </cell>
          <cell r="K510">
            <v>606.98</v>
          </cell>
          <cell r="L510">
            <v>606.98</v>
          </cell>
          <cell r="M510">
            <v>606.98</v>
          </cell>
          <cell r="N510" t="str">
            <v>PI50FLLR050MFICN-RB3-D</v>
          </cell>
          <cell r="O510" t="str">
            <v/>
          </cell>
          <cell r="P510" t="str">
            <v/>
          </cell>
          <cell r="Q510">
            <v>952.2</v>
          </cell>
          <cell r="R510" t="str">
            <v>UND</v>
          </cell>
          <cell r="S510">
            <v>0</v>
          </cell>
          <cell r="T510">
            <v>0</v>
          </cell>
          <cell r="U510" t="str">
            <v/>
          </cell>
          <cell r="V510" t="str">
            <v>PRO10</v>
          </cell>
          <cell r="W510">
            <v>0</v>
          </cell>
        </row>
        <row r="511">
          <cell r="C511" t="str">
            <v>HMBQ30FB06C0-MB</v>
          </cell>
          <cell r="D511" t="str">
            <v>PRINC</v>
          </cell>
          <cell r="E511" t="str">
            <v>00011</v>
          </cell>
          <cell r="F511" t="str">
            <v>MOTORES Y REDUCTORES Y ACCES.</v>
          </cell>
          <cell r="G511" t="str">
            <v>PRINCIPAL</v>
          </cell>
          <cell r="H511">
            <v>46004</v>
          </cell>
          <cell r="I511" t="str">
            <v>SALDO INICIAL</v>
          </cell>
          <cell r="J511">
            <v>1</v>
          </cell>
          <cell r="K511">
            <v>55.994</v>
          </cell>
          <cell r="L511">
            <v>55.994</v>
          </cell>
          <cell r="M511">
            <v>55.994</v>
          </cell>
          <cell r="N511" t="str">
            <v/>
          </cell>
          <cell r="O511" t="str">
            <v/>
          </cell>
          <cell r="P511" t="str">
            <v/>
          </cell>
          <cell r="Q511">
            <v>115.9</v>
          </cell>
          <cell r="R511" t="str">
            <v>UND</v>
          </cell>
          <cell r="S511">
            <v>0</v>
          </cell>
          <cell r="T511">
            <v>0</v>
          </cell>
          <cell r="U511" t="str">
            <v/>
          </cell>
          <cell r="V511" t="str">
            <v>PRO10</v>
          </cell>
          <cell r="W511">
            <v>0</v>
          </cell>
        </row>
        <row r="512">
          <cell r="C512" t="str">
            <v>HMBQ30FB07C0-MB</v>
          </cell>
          <cell r="D512" t="str">
            <v>PRINC</v>
          </cell>
          <cell r="E512" t="str">
            <v>00011</v>
          </cell>
          <cell r="F512" t="str">
            <v>MOTORES Y REDUCTORES Y ACCES.</v>
          </cell>
          <cell r="G512" t="str">
            <v>PRINCIPAL</v>
          </cell>
          <cell r="H512">
            <v>46004</v>
          </cell>
          <cell r="I512" t="str">
            <v>SALDO INICIAL</v>
          </cell>
          <cell r="J512">
            <v>0</v>
          </cell>
          <cell r="K512">
            <v>0</v>
          </cell>
          <cell r="L512">
            <v>55.994500000000002</v>
          </cell>
          <cell r="M512">
            <v>0</v>
          </cell>
          <cell r="N512" t="str">
            <v/>
          </cell>
          <cell r="O512" t="str">
            <v/>
          </cell>
          <cell r="P512" t="str">
            <v/>
          </cell>
          <cell r="Q512">
            <v>115.9</v>
          </cell>
          <cell r="R512" t="str">
            <v>UND</v>
          </cell>
          <cell r="S512">
            <v>0</v>
          </cell>
          <cell r="T512">
            <v>0</v>
          </cell>
          <cell r="U512" t="str">
            <v/>
          </cell>
          <cell r="V512" t="str">
            <v>PRO10</v>
          </cell>
          <cell r="W512">
            <v>0</v>
          </cell>
        </row>
        <row r="513">
          <cell r="C513" t="str">
            <v>HMBQ45FB04C0-MB</v>
          </cell>
          <cell r="D513" t="str">
            <v>PRINC</v>
          </cell>
          <cell r="E513" t="str">
            <v>00011</v>
          </cell>
          <cell r="F513" t="str">
            <v>MOTORES Y REDUCTORES Y ACCES.</v>
          </cell>
          <cell r="G513" t="str">
            <v>PRINCIPAL</v>
          </cell>
          <cell r="H513">
            <v>46004</v>
          </cell>
          <cell r="I513" t="str">
            <v>SALDO INICIAL</v>
          </cell>
          <cell r="J513">
            <v>0</v>
          </cell>
          <cell r="K513">
            <v>4.7525009999999996</v>
          </cell>
          <cell r="L513">
            <v>74.752499999999998</v>
          </cell>
          <cell r="M513">
            <v>0</v>
          </cell>
          <cell r="N513" t="str">
            <v/>
          </cell>
          <cell r="O513" t="str">
            <v/>
          </cell>
          <cell r="P513" t="str">
            <v/>
          </cell>
          <cell r="Q513">
            <v>144.9</v>
          </cell>
          <cell r="R513" t="str">
            <v>UND</v>
          </cell>
          <cell r="S513">
            <v>0</v>
          </cell>
          <cell r="T513">
            <v>0</v>
          </cell>
          <cell r="U513" t="str">
            <v/>
          </cell>
          <cell r="V513" t="str">
            <v>PRO10</v>
          </cell>
          <cell r="W513">
            <v>0</v>
          </cell>
        </row>
        <row r="514">
          <cell r="C514" t="str">
            <v>HMBQ45FB05C0-MB</v>
          </cell>
          <cell r="D514" t="str">
            <v>PRINC</v>
          </cell>
          <cell r="E514" t="str">
            <v>00011</v>
          </cell>
          <cell r="F514" t="str">
            <v>MOTORES Y REDUCTORES Y ACCES.</v>
          </cell>
          <cell r="G514" t="str">
            <v>PRINCIPAL</v>
          </cell>
          <cell r="H514">
            <v>46004</v>
          </cell>
          <cell r="I514" t="str">
            <v>SALDO INICIAL</v>
          </cell>
          <cell r="J514">
            <v>2</v>
          </cell>
          <cell r="K514">
            <v>140</v>
          </cell>
          <cell r="L514">
            <v>70</v>
          </cell>
          <cell r="M514">
            <v>70</v>
          </cell>
          <cell r="N514" t="str">
            <v/>
          </cell>
          <cell r="O514" t="str">
            <v/>
          </cell>
          <cell r="P514" t="str">
            <v/>
          </cell>
          <cell r="Q514">
            <v>144.9</v>
          </cell>
          <cell r="R514" t="str">
            <v>UND</v>
          </cell>
          <cell r="S514">
            <v>0</v>
          </cell>
          <cell r="T514">
            <v>0</v>
          </cell>
          <cell r="U514" t="str">
            <v/>
          </cell>
          <cell r="V514" t="str">
            <v>PRO10</v>
          </cell>
          <cell r="W514">
            <v>0</v>
          </cell>
        </row>
        <row r="515">
          <cell r="C515" t="str">
            <v>HMBQ45FB07C0-MB</v>
          </cell>
          <cell r="D515" t="str">
            <v>PRINC</v>
          </cell>
          <cell r="E515" t="str">
            <v>00011</v>
          </cell>
          <cell r="F515" t="str">
            <v>MOTORES Y REDUCTORES Y ACCES.</v>
          </cell>
          <cell r="G515" t="str">
            <v>PRINCIPAL</v>
          </cell>
          <cell r="H515">
            <v>46004</v>
          </cell>
          <cell r="I515" t="str">
            <v>SALDO INICIAL</v>
          </cell>
          <cell r="J515">
            <v>2</v>
          </cell>
          <cell r="K515">
            <v>139.99923000000001</v>
          </cell>
          <cell r="L515">
            <v>69.999615000000006</v>
          </cell>
          <cell r="M515">
            <v>69.999615000000006</v>
          </cell>
          <cell r="N515" t="str">
            <v/>
          </cell>
          <cell r="O515" t="str">
            <v/>
          </cell>
          <cell r="P515" t="str">
            <v/>
          </cell>
          <cell r="Q515">
            <v>144.9</v>
          </cell>
          <cell r="R515" t="str">
            <v>UND</v>
          </cell>
          <cell r="S515">
            <v>0</v>
          </cell>
          <cell r="T515">
            <v>0</v>
          </cell>
          <cell r="U515" t="str">
            <v/>
          </cell>
          <cell r="V515" t="str">
            <v>PRO10</v>
          </cell>
          <cell r="W515">
            <v>0</v>
          </cell>
        </row>
        <row r="516">
          <cell r="C516" t="str">
            <v>HMBQ50FB02C0-MB</v>
          </cell>
          <cell r="D516" t="str">
            <v>PRINC</v>
          </cell>
          <cell r="E516" t="str">
            <v>00011</v>
          </cell>
          <cell r="F516" t="str">
            <v>MOTORES Y REDUCTORES Y ACCES.</v>
          </cell>
          <cell r="G516" t="str">
            <v>PRINCIPAL</v>
          </cell>
          <cell r="H516">
            <v>46004</v>
          </cell>
          <cell r="I516" t="str">
            <v>SALDO INICIAL</v>
          </cell>
          <cell r="J516">
            <v>0</v>
          </cell>
          <cell r="K516">
            <v>-0.69039899999999998</v>
          </cell>
          <cell r="L516">
            <v>96.836799999999997</v>
          </cell>
          <cell r="M516">
            <v>0</v>
          </cell>
          <cell r="N516" t="str">
            <v/>
          </cell>
          <cell r="O516" t="str">
            <v/>
          </cell>
          <cell r="P516" t="str">
            <v/>
          </cell>
          <cell r="Q516">
            <v>185.4</v>
          </cell>
          <cell r="R516" t="str">
            <v>UND</v>
          </cell>
          <cell r="S516">
            <v>0</v>
          </cell>
          <cell r="T516">
            <v>0</v>
          </cell>
          <cell r="U516" t="str">
            <v/>
          </cell>
          <cell r="V516" t="str">
            <v>PRO10</v>
          </cell>
          <cell r="W516">
            <v>0</v>
          </cell>
        </row>
        <row r="517">
          <cell r="C517" t="str">
            <v>HMBQ50FB05C0-MB</v>
          </cell>
          <cell r="D517" t="str">
            <v>PRINC</v>
          </cell>
          <cell r="E517" t="str">
            <v>00011</v>
          </cell>
          <cell r="F517" t="str">
            <v>MOTORES Y REDUCTORES Y ACCES.</v>
          </cell>
          <cell r="G517" t="str">
            <v>PRINCIPAL</v>
          </cell>
          <cell r="H517">
            <v>46004</v>
          </cell>
          <cell r="I517" t="str">
            <v>SALDO INICIAL</v>
          </cell>
          <cell r="J517">
            <v>1</v>
          </cell>
          <cell r="K517">
            <v>96.605999999999995</v>
          </cell>
          <cell r="L517">
            <v>96.605999999999995</v>
          </cell>
          <cell r="M517">
            <v>96.605999999999995</v>
          </cell>
          <cell r="N517" t="str">
            <v/>
          </cell>
          <cell r="O517" t="str">
            <v/>
          </cell>
          <cell r="P517" t="str">
            <v/>
          </cell>
          <cell r="Q517">
            <v>185.4</v>
          </cell>
          <cell r="R517" t="str">
            <v>UND</v>
          </cell>
          <cell r="S517">
            <v>0</v>
          </cell>
          <cell r="T517">
            <v>0</v>
          </cell>
          <cell r="U517" t="str">
            <v/>
          </cell>
          <cell r="V517" t="str">
            <v>PRO10</v>
          </cell>
          <cell r="W517">
            <v>0</v>
          </cell>
        </row>
        <row r="518">
          <cell r="C518" t="str">
            <v>HMBQ50FB12C0-MB</v>
          </cell>
          <cell r="D518" t="str">
            <v>PRINC</v>
          </cell>
          <cell r="E518" t="str">
            <v>00011</v>
          </cell>
          <cell r="F518" t="str">
            <v>MOTORES Y REDUCTORES Y ACCES.</v>
          </cell>
          <cell r="G518" t="str">
            <v>PRINCIPAL</v>
          </cell>
          <cell r="H518">
            <v>46004</v>
          </cell>
          <cell r="I518" t="str">
            <v>SALDO INICIAL</v>
          </cell>
          <cell r="J518">
            <v>1</v>
          </cell>
          <cell r="K518">
            <v>89.533000000000001</v>
          </cell>
          <cell r="L518">
            <v>89.533000000000001</v>
          </cell>
          <cell r="M518">
            <v>89.533000000000001</v>
          </cell>
          <cell r="N518" t="str">
            <v/>
          </cell>
          <cell r="O518" t="str">
            <v/>
          </cell>
          <cell r="P518" t="str">
            <v/>
          </cell>
          <cell r="Q518">
            <v>185.4</v>
          </cell>
          <cell r="R518" t="str">
            <v>UND</v>
          </cell>
          <cell r="S518">
            <v>0</v>
          </cell>
          <cell r="T518">
            <v>0</v>
          </cell>
          <cell r="U518" t="str">
            <v/>
          </cell>
          <cell r="V518" t="str">
            <v>PRO10</v>
          </cell>
          <cell r="W518">
            <v>0</v>
          </cell>
        </row>
        <row r="519">
          <cell r="C519" t="str">
            <v>HMBQ50FB07C0-MB</v>
          </cell>
          <cell r="D519" t="str">
            <v>PRINC</v>
          </cell>
          <cell r="E519" t="str">
            <v>00011</v>
          </cell>
          <cell r="F519" t="str">
            <v>MOTORES Y REDUCTORES Y ACCES.</v>
          </cell>
          <cell r="G519" t="str">
            <v>PRINCIPAL</v>
          </cell>
          <cell r="H519">
            <v>46004</v>
          </cell>
          <cell r="I519" t="str">
            <v>SALDO INICIAL</v>
          </cell>
          <cell r="J519">
            <v>3</v>
          </cell>
          <cell r="K519">
            <v>268.66320000000002</v>
          </cell>
          <cell r="L519">
            <v>89.554400000000001</v>
          </cell>
          <cell r="M519">
            <v>89.554400000000001</v>
          </cell>
          <cell r="N519" t="str">
            <v/>
          </cell>
          <cell r="O519" t="str">
            <v/>
          </cell>
          <cell r="P519" t="str">
            <v/>
          </cell>
          <cell r="Q519">
            <v>185.4</v>
          </cell>
          <cell r="R519" t="str">
            <v>UND</v>
          </cell>
          <cell r="S519">
            <v>0</v>
          </cell>
          <cell r="T519">
            <v>0</v>
          </cell>
          <cell r="U519" t="str">
            <v/>
          </cell>
          <cell r="V519" t="str">
            <v>PRO10</v>
          </cell>
          <cell r="W519">
            <v>0</v>
          </cell>
        </row>
        <row r="520">
          <cell r="C520" t="str">
            <v>HMBQ50FB08C0-MB</v>
          </cell>
          <cell r="D520" t="str">
            <v>PRINC</v>
          </cell>
          <cell r="E520" t="str">
            <v>00011</v>
          </cell>
          <cell r="F520" t="str">
            <v>MOTORES Y REDUCTORES Y ACCES.</v>
          </cell>
          <cell r="G520" t="str">
            <v>PRINCIPAL</v>
          </cell>
          <cell r="H520">
            <v>46004</v>
          </cell>
          <cell r="I520" t="str">
            <v>SALDO INICIAL</v>
          </cell>
          <cell r="J520">
            <v>0</v>
          </cell>
          <cell r="K520">
            <v>39.064999999999998</v>
          </cell>
          <cell r="L520">
            <v>93.439499999999995</v>
          </cell>
          <cell r="M520">
            <v>0</v>
          </cell>
          <cell r="N520" t="str">
            <v/>
          </cell>
          <cell r="O520" t="str">
            <v/>
          </cell>
          <cell r="P520" t="str">
            <v/>
          </cell>
          <cell r="Q520">
            <v>185.4</v>
          </cell>
          <cell r="R520" t="str">
            <v>UND</v>
          </cell>
          <cell r="S520">
            <v>0</v>
          </cell>
          <cell r="T520">
            <v>0</v>
          </cell>
          <cell r="U520" t="str">
            <v/>
          </cell>
          <cell r="V520" t="str">
            <v>PRO10</v>
          </cell>
          <cell r="W520">
            <v>0</v>
          </cell>
        </row>
        <row r="521">
          <cell r="C521" t="str">
            <v>HMBQ50FB10C0-MB</v>
          </cell>
          <cell r="D521" t="str">
            <v>PRINC</v>
          </cell>
          <cell r="E521" t="str">
            <v>00011</v>
          </cell>
          <cell r="F521" t="str">
            <v>MOTORES Y REDUCTORES Y ACCES.</v>
          </cell>
          <cell r="G521" t="str">
            <v>PRINCIPAL</v>
          </cell>
          <cell r="H521">
            <v>46004</v>
          </cell>
          <cell r="I521" t="str">
            <v>SALDO INICIAL</v>
          </cell>
          <cell r="J521">
            <v>0</v>
          </cell>
          <cell r="K521">
            <v>17.650770000000001</v>
          </cell>
          <cell r="L521">
            <v>95.416922999999997</v>
          </cell>
          <cell r="M521">
            <v>0</v>
          </cell>
          <cell r="N521" t="str">
            <v/>
          </cell>
          <cell r="O521" t="str">
            <v/>
          </cell>
          <cell r="P521" t="str">
            <v/>
          </cell>
          <cell r="Q521">
            <v>185.4</v>
          </cell>
          <cell r="R521" t="str">
            <v>UND</v>
          </cell>
          <cell r="S521">
            <v>0</v>
          </cell>
          <cell r="T521">
            <v>0</v>
          </cell>
          <cell r="U521" t="str">
            <v/>
          </cell>
          <cell r="V521" t="str">
            <v>PRO10</v>
          </cell>
          <cell r="W521">
            <v>0</v>
          </cell>
        </row>
        <row r="522">
          <cell r="C522" t="str">
            <v>HMBQ63FB02C0-MB</v>
          </cell>
          <cell r="D522" t="str">
            <v>PRINC</v>
          </cell>
          <cell r="E522" t="str">
            <v>00011</v>
          </cell>
          <cell r="F522" t="str">
            <v>MOTORES Y REDUCTORES Y ACCES.</v>
          </cell>
          <cell r="G522" t="str">
            <v>PRINCIPAL</v>
          </cell>
          <cell r="H522">
            <v>46004</v>
          </cell>
          <cell r="I522" t="str">
            <v>SALDO INICIAL</v>
          </cell>
          <cell r="J522">
            <v>1</v>
          </cell>
          <cell r="K522">
            <v>0</v>
          </cell>
          <cell r="L522">
            <v>0</v>
          </cell>
          <cell r="M522">
            <v>0</v>
          </cell>
          <cell r="N522" t="str">
            <v/>
          </cell>
          <cell r="O522" t="str">
            <v/>
          </cell>
          <cell r="P522" t="str">
            <v/>
          </cell>
          <cell r="Q522">
            <v>287.7</v>
          </cell>
          <cell r="R522" t="str">
            <v>UND</v>
          </cell>
          <cell r="S522">
            <v>0</v>
          </cell>
          <cell r="T522">
            <v>0</v>
          </cell>
          <cell r="U522" t="str">
            <v/>
          </cell>
          <cell r="V522" t="str">
            <v>PRO10</v>
          </cell>
          <cell r="W522">
            <v>0</v>
          </cell>
        </row>
        <row r="523">
          <cell r="C523" t="str">
            <v>HMBQ63FB13C0-MB</v>
          </cell>
          <cell r="D523" t="str">
            <v>PRINC</v>
          </cell>
          <cell r="E523" t="str">
            <v>00011</v>
          </cell>
          <cell r="F523" t="str">
            <v>MOTORES Y REDUCTORES Y ACCES.</v>
          </cell>
          <cell r="G523" t="str">
            <v>PRINCIPAL</v>
          </cell>
          <cell r="H523">
            <v>46004</v>
          </cell>
          <cell r="I523" t="str">
            <v>SALDO INICIAL</v>
          </cell>
          <cell r="J523">
            <v>1</v>
          </cell>
          <cell r="K523">
            <v>190.379614</v>
          </cell>
          <cell r="L523">
            <v>151.81115399999999</v>
          </cell>
          <cell r="M523">
            <v>190.379614</v>
          </cell>
          <cell r="N523" t="str">
            <v/>
          </cell>
          <cell r="O523" t="str">
            <v/>
          </cell>
          <cell r="P523" t="str">
            <v/>
          </cell>
          <cell r="Q523">
            <v>287.7</v>
          </cell>
          <cell r="R523" t="str">
            <v>UND</v>
          </cell>
          <cell r="S523">
            <v>0</v>
          </cell>
          <cell r="T523">
            <v>0</v>
          </cell>
          <cell r="U523" t="str">
            <v/>
          </cell>
          <cell r="V523" t="str">
            <v>PRO10</v>
          </cell>
          <cell r="W523">
            <v>0</v>
          </cell>
        </row>
        <row r="524">
          <cell r="C524" t="str">
            <v>HMBQ63FB12C0-MB</v>
          </cell>
          <cell r="D524" t="str">
            <v>PRINC</v>
          </cell>
          <cell r="E524" t="str">
            <v>00011</v>
          </cell>
          <cell r="F524" t="str">
            <v>MOTORES Y REDUCTORES Y ACCES.</v>
          </cell>
          <cell r="G524" t="str">
            <v>PRINCIPAL</v>
          </cell>
          <cell r="H524">
            <v>46004</v>
          </cell>
          <cell r="I524" t="str">
            <v>SALDO INICIAL</v>
          </cell>
          <cell r="J524">
            <v>1</v>
          </cell>
          <cell r="K524">
            <v>166.810664</v>
          </cell>
          <cell r="L524">
            <v>148.23955599999999</v>
          </cell>
          <cell r="M524">
            <v>166.810664</v>
          </cell>
          <cell r="N524" t="str">
            <v/>
          </cell>
          <cell r="O524" t="str">
            <v/>
          </cell>
          <cell r="P524" t="str">
            <v/>
          </cell>
          <cell r="Q524">
            <v>287.7</v>
          </cell>
          <cell r="R524" t="str">
            <v>UND</v>
          </cell>
          <cell r="S524">
            <v>0</v>
          </cell>
          <cell r="T524">
            <v>0</v>
          </cell>
          <cell r="U524" t="str">
            <v/>
          </cell>
          <cell r="V524" t="str">
            <v>PRO10</v>
          </cell>
          <cell r="W524">
            <v>0</v>
          </cell>
        </row>
        <row r="525">
          <cell r="C525" t="str">
            <v>HMBQ75FB04C0-MB</v>
          </cell>
          <cell r="D525" t="str">
            <v>PRINC</v>
          </cell>
          <cell r="E525" t="str">
            <v>00011</v>
          </cell>
          <cell r="F525" t="str">
            <v>MOTORES Y REDUCTORES Y ACCES.</v>
          </cell>
          <cell r="G525" t="str">
            <v>PRINCIPAL</v>
          </cell>
          <cell r="H525">
            <v>46004</v>
          </cell>
          <cell r="I525" t="str">
            <v>SALDO INICIAL</v>
          </cell>
          <cell r="J525">
            <v>1</v>
          </cell>
          <cell r="K525">
            <v>185.10333299999999</v>
          </cell>
          <cell r="L525">
            <v>185.10333299999999</v>
          </cell>
          <cell r="M525">
            <v>185.10333299999999</v>
          </cell>
          <cell r="N525" t="str">
            <v/>
          </cell>
          <cell r="O525" t="str">
            <v/>
          </cell>
          <cell r="P525" t="str">
            <v/>
          </cell>
          <cell r="Q525">
            <v>341.5</v>
          </cell>
          <cell r="R525" t="str">
            <v>UND</v>
          </cell>
          <cell r="S525">
            <v>0</v>
          </cell>
          <cell r="T525">
            <v>0</v>
          </cell>
          <cell r="U525" t="str">
            <v/>
          </cell>
          <cell r="V525" t="str">
            <v>PRO10</v>
          </cell>
          <cell r="W525">
            <v>0</v>
          </cell>
        </row>
        <row r="526">
          <cell r="C526" t="str">
            <v>HMBQ75FB07C0-MB</v>
          </cell>
          <cell r="D526" t="str">
            <v>PRINC</v>
          </cell>
          <cell r="E526" t="str">
            <v>00011</v>
          </cell>
          <cell r="F526" t="str">
            <v>MOTORES Y REDUCTORES Y ACCES.</v>
          </cell>
          <cell r="G526" t="str">
            <v>PRINCIPAL</v>
          </cell>
          <cell r="H526">
            <v>46004</v>
          </cell>
          <cell r="I526" t="str">
            <v>SALDO INICIAL</v>
          </cell>
          <cell r="J526">
            <v>1</v>
          </cell>
          <cell r="K526">
            <v>0</v>
          </cell>
          <cell r="L526">
            <v>0</v>
          </cell>
          <cell r="M526">
            <v>0</v>
          </cell>
          <cell r="N526" t="str">
            <v/>
          </cell>
          <cell r="O526" t="str">
            <v/>
          </cell>
          <cell r="P526" t="str">
            <v/>
          </cell>
          <cell r="Q526">
            <v>341.5</v>
          </cell>
          <cell r="R526" t="str">
            <v>UND</v>
          </cell>
          <cell r="S526">
            <v>0</v>
          </cell>
          <cell r="T526">
            <v>0</v>
          </cell>
          <cell r="U526" t="str">
            <v/>
          </cell>
          <cell r="V526" t="str">
            <v>PRO10</v>
          </cell>
          <cell r="W526">
            <v>0</v>
          </cell>
        </row>
        <row r="527">
          <cell r="C527" t="str">
            <v>HMBQ75FB10C0-MB</v>
          </cell>
          <cell r="D527" t="str">
            <v>PRINC</v>
          </cell>
          <cell r="E527" t="str">
            <v>00011</v>
          </cell>
          <cell r="F527" t="str">
            <v>MOTORES Y REDUCTORES Y ACCES.</v>
          </cell>
          <cell r="G527" t="str">
            <v>PRINCIPAL</v>
          </cell>
          <cell r="H527">
            <v>46004</v>
          </cell>
          <cell r="I527" t="str">
            <v>SALDO INICIAL</v>
          </cell>
          <cell r="J527">
            <v>1</v>
          </cell>
          <cell r="K527">
            <v>185.102</v>
          </cell>
          <cell r="L527">
            <v>185.102</v>
          </cell>
          <cell r="M527">
            <v>185.102</v>
          </cell>
          <cell r="N527" t="str">
            <v/>
          </cell>
          <cell r="O527" t="str">
            <v/>
          </cell>
          <cell r="P527" t="str">
            <v/>
          </cell>
          <cell r="Q527">
            <v>341.5</v>
          </cell>
          <cell r="R527" t="str">
            <v>UND</v>
          </cell>
          <cell r="S527">
            <v>0</v>
          </cell>
          <cell r="T527">
            <v>0</v>
          </cell>
          <cell r="U527" t="str">
            <v/>
          </cell>
          <cell r="V527" t="str">
            <v>PRO10</v>
          </cell>
          <cell r="W527">
            <v>0</v>
          </cell>
        </row>
        <row r="528">
          <cell r="C528" t="str">
            <v>LES183006700</v>
          </cell>
          <cell r="D528" t="str">
            <v>PRINC</v>
          </cell>
          <cell r="E528" t="str">
            <v>00011</v>
          </cell>
          <cell r="F528" t="str">
            <v>MOTORES Y REDUCTORES Y ACCES.</v>
          </cell>
          <cell r="G528" t="str">
            <v>PRINCIPAL</v>
          </cell>
          <cell r="H528">
            <v>46004</v>
          </cell>
          <cell r="I528" t="str">
            <v>SALDO INICIAL</v>
          </cell>
          <cell r="J528">
            <v>1</v>
          </cell>
          <cell r="K528">
            <v>1532.54</v>
          </cell>
          <cell r="L528">
            <v>1532.54</v>
          </cell>
          <cell r="M528">
            <v>1532.54</v>
          </cell>
          <cell r="N528" t="str">
            <v/>
          </cell>
          <cell r="O528" t="str">
            <v/>
          </cell>
          <cell r="P528" t="str">
            <v/>
          </cell>
          <cell r="Q528">
            <v>1871</v>
          </cell>
          <cell r="R528" t="str">
            <v>UND</v>
          </cell>
          <cell r="S528">
            <v>0</v>
          </cell>
          <cell r="T528">
            <v>0</v>
          </cell>
          <cell r="U528" t="str">
            <v/>
          </cell>
          <cell r="V528" t="str">
            <v>PRO10</v>
          </cell>
          <cell r="W528">
            <v>0</v>
          </cell>
        </row>
        <row r="529">
          <cell r="C529" t="str">
            <v>REDCM040I60</v>
          </cell>
          <cell r="D529" t="str">
            <v>PRINC</v>
          </cell>
          <cell r="E529" t="str">
            <v>00011</v>
          </cell>
          <cell r="F529" t="str">
            <v>MOTORES Y REDUCTORES Y ACCES.</v>
          </cell>
          <cell r="G529" t="str">
            <v>PRINCIPAL</v>
          </cell>
          <cell r="H529">
            <v>46004</v>
          </cell>
          <cell r="I529" t="str">
            <v>SALDO INICIAL</v>
          </cell>
          <cell r="J529">
            <v>1</v>
          </cell>
          <cell r="K529">
            <v>412.5</v>
          </cell>
          <cell r="L529">
            <v>0</v>
          </cell>
          <cell r="M529">
            <v>412.5</v>
          </cell>
          <cell r="N529" t="str">
            <v/>
          </cell>
          <cell r="O529" t="str">
            <v/>
          </cell>
          <cell r="P529" t="str">
            <v/>
          </cell>
          <cell r="Q529">
            <v>0</v>
          </cell>
          <cell r="R529" t="str">
            <v>UND</v>
          </cell>
          <cell r="S529">
            <v>0</v>
          </cell>
          <cell r="T529">
            <v>0</v>
          </cell>
          <cell r="U529" t="str">
            <v/>
          </cell>
          <cell r="V529" t="str">
            <v>PRO10</v>
          </cell>
          <cell r="W529">
            <v>0</v>
          </cell>
        </row>
        <row r="530">
          <cell r="C530" t="str">
            <v>SPSC8HA100</v>
          </cell>
          <cell r="D530" t="str">
            <v>PRINC</v>
          </cell>
          <cell r="E530" t="str">
            <v>00011</v>
          </cell>
          <cell r="F530" t="str">
            <v>MOTORES Y REDUCTORES Y ACCES.</v>
          </cell>
          <cell r="G530" t="str">
            <v>PRINCIPAL</v>
          </cell>
          <cell r="H530">
            <v>46004</v>
          </cell>
          <cell r="I530" t="str">
            <v>SALDO INICIAL</v>
          </cell>
          <cell r="J530">
            <v>1</v>
          </cell>
          <cell r="K530">
            <v>141.57749999999999</v>
          </cell>
          <cell r="L530">
            <v>141.57749999999999</v>
          </cell>
          <cell r="M530">
            <v>141.57749999999999</v>
          </cell>
          <cell r="N530" t="str">
            <v/>
          </cell>
          <cell r="O530" t="str">
            <v/>
          </cell>
          <cell r="P530" t="str">
            <v/>
          </cell>
          <cell r="Q530">
            <v>181.5</v>
          </cell>
          <cell r="R530" t="str">
            <v>UND</v>
          </cell>
          <cell r="S530">
            <v>0</v>
          </cell>
          <cell r="T530">
            <v>0</v>
          </cell>
          <cell r="U530" t="str">
            <v/>
          </cell>
          <cell r="V530" t="str">
            <v>PRO10</v>
          </cell>
          <cell r="W530">
            <v>0</v>
          </cell>
        </row>
        <row r="531">
          <cell r="C531" t="str">
            <v>SPSC8KA100</v>
          </cell>
          <cell r="D531" t="str">
            <v>PRINC</v>
          </cell>
          <cell r="E531" t="str">
            <v>00011</v>
          </cell>
          <cell r="F531" t="str">
            <v>MOTORES Y REDUCTORES Y ACCES.</v>
          </cell>
          <cell r="G531" t="str">
            <v>PRINCIPAL</v>
          </cell>
          <cell r="H531">
            <v>46004</v>
          </cell>
          <cell r="I531" t="str">
            <v>SALDO INICIAL</v>
          </cell>
          <cell r="J531">
            <v>1</v>
          </cell>
          <cell r="K531">
            <v>114.95</v>
          </cell>
          <cell r="L531">
            <v>114.95</v>
          </cell>
          <cell r="M531">
            <v>114.95</v>
          </cell>
          <cell r="N531" t="str">
            <v/>
          </cell>
          <cell r="O531" t="str">
            <v/>
          </cell>
          <cell r="P531" t="str">
            <v/>
          </cell>
          <cell r="Q531">
            <v>143.30000000000001</v>
          </cell>
          <cell r="R531" t="str">
            <v>UND</v>
          </cell>
          <cell r="S531">
            <v>0</v>
          </cell>
          <cell r="T531">
            <v>0</v>
          </cell>
          <cell r="U531" t="str">
            <v/>
          </cell>
          <cell r="V531" t="str">
            <v>PRO10</v>
          </cell>
          <cell r="W531">
            <v>0</v>
          </cell>
        </row>
        <row r="532">
          <cell r="C532" t="str">
            <v>ADAPC1.5EC1</v>
          </cell>
          <cell r="D532" t="str">
            <v>PRINC</v>
          </cell>
          <cell r="E532" t="str">
            <v>00013</v>
          </cell>
          <cell r="F532" t="str">
            <v>COMPONENTES P/ SISTEMAS Y TRANSP.</v>
          </cell>
          <cell r="G532" t="str">
            <v>PRINCIPAL</v>
          </cell>
          <cell r="H532">
            <v>46004</v>
          </cell>
          <cell r="I532" t="str">
            <v>SALDO INICIAL</v>
          </cell>
          <cell r="J532">
            <v>37</v>
          </cell>
          <cell r="K532">
            <v>55.598999999999997</v>
          </cell>
          <cell r="L532">
            <v>1.5</v>
          </cell>
          <cell r="M532">
            <v>1.502675676</v>
          </cell>
          <cell r="N532" t="str">
            <v/>
          </cell>
          <cell r="O532" t="str">
            <v/>
          </cell>
          <cell r="P532" t="str">
            <v/>
          </cell>
          <cell r="Q532">
            <v>4.5</v>
          </cell>
          <cell r="R532" t="str">
            <v>UND</v>
          </cell>
          <cell r="S532">
            <v>0</v>
          </cell>
          <cell r="T532">
            <v>0</v>
          </cell>
          <cell r="U532" t="str">
            <v/>
          </cell>
          <cell r="V532" t="str">
            <v>PRO10</v>
          </cell>
          <cell r="W532">
            <v>0</v>
          </cell>
        </row>
        <row r="533">
          <cell r="C533" t="str">
            <v>ADAPC1.5ER1</v>
          </cell>
          <cell r="D533" t="str">
            <v>PRINC</v>
          </cell>
          <cell r="E533" t="str">
            <v>00013</v>
          </cell>
          <cell r="F533" t="str">
            <v>COMPONENTES P/ SISTEMAS Y TRANSP.</v>
          </cell>
          <cell r="G533" t="str">
            <v>PRINCIPAL</v>
          </cell>
          <cell r="H533">
            <v>46004</v>
          </cell>
          <cell r="I533" t="str">
            <v>SALDO INICIAL</v>
          </cell>
          <cell r="J533">
            <v>6</v>
          </cell>
          <cell r="K533">
            <v>9.0051539999999992</v>
          </cell>
          <cell r="L533">
            <v>1.500858</v>
          </cell>
          <cell r="M533">
            <v>1.5008589999999999</v>
          </cell>
          <cell r="N533" t="str">
            <v/>
          </cell>
          <cell r="O533" t="str">
            <v/>
          </cell>
          <cell r="P533" t="str">
            <v/>
          </cell>
          <cell r="Q533">
            <v>4.5</v>
          </cell>
          <cell r="R533" t="str">
            <v>UND</v>
          </cell>
          <cell r="S533">
            <v>0</v>
          </cell>
          <cell r="T533">
            <v>0</v>
          </cell>
          <cell r="U533" t="str">
            <v/>
          </cell>
          <cell r="V533" t="str">
            <v>PRO10</v>
          </cell>
          <cell r="W533">
            <v>0</v>
          </cell>
        </row>
        <row r="534">
          <cell r="C534" t="str">
            <v>PI1BBAC001442</v>
          </cell>
          <cell r="D534" t="str">
            <v>PRINC</v>
          </cell>
          <cell r="E534" t="str">
            <v>00013</v>
          </cell>
          <cell r="F534" t="str">
            <v>COMPONENTES P/ SISTEMAS Y TRANSP.</v>
          </cell>
          <cell r="G534" t="str">
            <v>PRINCIPAL</v>
          </cell>
          <cell r="H534">
            <v>46004</v>
          </cell>
          <cell r="I534" t="str">
            <v>SALDO INICIAL</v>
          </cell>
          <cell r="J534">
            <v>35</v>
          </cell>
          <cell r="K534">
            <v>412.408523</v>
          </cell>
          <cell r="L534">
            <v>11.783101</v>
          </cell>
          <cell r="M534">
            <v>11.783100657</v>
          </cell>
          <cell r="N534" t="str">
            <v/>
          </cell>
          <cell r="O534" t="str">
            <v/>
          </cell>
          <cell r="P534" t="str">
            <v/>
          </cell>
          <cell r="Q534">
            <v>35.85</v>
          </cell>
          <cell r="R534" t="str">
            <v>UND</v>
          </cell>
          <cell r="S534">
            <v>0</v>
          </cell>
          <cell r="T534">
            <v>0</v>
          </cell>
          <cell r="U534" t="str">
            <v/>
          </cell>
          <cell r="V534" t="str">
            <v>PRO10</v>
          </cell>
          <cell r="W534">
            <v>0</v>
          </cell>
        </row>
        <row r="535">
          <cell r="C535" t="str">
            <v>TE501/86993</v>
          </cell>
          <cell r="D535" t="str">
            <v>PRINC</v>
          </cell>
          <cell r="E535" t="str">
            <v>00013</v>
          </cell>
          <cell r="F535" t="str">
            <v>COMPONENTES P/ SISTEMAS Y TRANSP.</v>
          </cell>
          <cell r="G535" t="str">
            <v>PRINCIPAL</v>
          </cell>
          <cell r="H535">
            <v>46004</v>
          </cell>
          <cell r="I535" t="str">
            <v>SALDO INICIAL</v>
          </cell>
          <cell r="J535">
            <v>3</v>
          </cell>
          <cell r="K535">
            <v>859.92</v>
          </cell>
          <cell r="L535">
            <v>278.85000000000002</v>
          </cell>
          <cell r="M535">
            <v>286.64</v>
          </cell>
          <cell r="N535" t="str">
            <v/>
          </cell>
          <cell r="O535" t="str">
            <v/>
          </cell>
          <cell r="P535" t="str">
            <v/>
          </cell>
          <cell r="Q535">
            <v>641.36</v>
          </cell>
          <cell r="R535" t="str">
            <v>UND</v>
          </cell>
          <cell r="S535">
            <v>0</v>
          </cell>
          <cell r="T535">
            <v>0</v>
          </cell>
          <cell r="U535" t="str">
            <v/>
          </cell>
          <cell r="V535" t="str">
            <v>PRO10</v>
          </cell>
          <cell r="W535">
            <v>0</v>
          </cell>
        </row>
        <row r="536">
          <cell r="C536" t="str">
            <v>PI1BBAC000005</v>
          </cell>
          <cell r="D536" t="str">
            <v>PRINC</v>
          </cell>
          <cell r="E536" t="str">
            <v>00013</v>
          </cell>
          <cell r="F536" t="str">
            <v>COMPONENTES P/ SISTEMAS Y TRANSP.</v>
          </cell>
          <cell r="G536" t="str">
            <v>PRINCIPAL</v>
          </cell>
          <cell r="H536">
            <v>46004</v>
          </cell>
          <cell r="I536" t="str">
            <v>SALDO INICIAL</v>
          </cell>
          <cell r="J536">
            <v>6</v>
          </cell>
          <cell r="K536">
            <v>83.101464000000007</v>
          </cell>
          <cell r="L536">
            <v>20.297169</v>
          </cell>
          <cell r="M536">
            <v>13.850244</v>
          </cell>
          <cell r="N536" t="str">
            <v/>
          </cell>
          <cell r="O536" t="str">
            <v/>
          </cell>
          <cell r="P536" t="str">
            <v/>
          </cell>
          <cell r="Q536">
            <v>45</v>
          </cell>
          <cell r="R536" t="str">
            <v>UND</v>
          </cell>
          <cell r="S536">
            <v>0</v>
          </cell>
          <cell r="T536">
            <v>0</v>
          </cell>
          <cell r="U536" t="str">
            <v/>
          </cell>
          <cell r="V536" t="str">
            <v>PRO10</v>
          </cell>
          <cell r="W536">
            <v>0</v>
          </cell>
        </row>
        <row r="537">
          <cell r="C537" t="str">
            <v>PI1GBAS000089</v>
          </cell>
          <cell r="D537" t="str">
            <v>PRINC</v>
          </cell>
          <cell r="E537" t="str">
            <v>00013</v>
          </cell>
          <cell r="F537" t="str">
            <v>COMPONENTES P/ SISTEMAS Y TRANSP.</v>
          </cell>
          <cell r="G537" t="str">
            <v>PRINCIPAL</v>
          </cell>
          <cell r="H537">
            <v>46004</v>
          </cell>
          <cell r="I537" t="str">
            <v>SALDO INICIAL</v>
          </cell>
          <cell r="J537">
            <v>9</v>
          </cell>
          <cell r="K537">
            <v>230.438997</v>
          </cell>
          <cell r="L537">
            <v>25.604333</v>
          </cell>
          <cell r="M537">
            <v>25.604333</v>
          </cell>
          <cell r="N537" t="str">
            <v/>
          </cell>
          <cell r="O537" t="str">
            <v/>
          </cell>
          <cell r="P537" t="str">
            <v/>
          </cell>
          <cell r="Q537">
            <v>71.7</v>
          </cell>
          <cell r="R537" t="str">
            <v>UND</v>
          </cell>
          <cell r="S537">
            <v>0</v>
          </cell>
          <cell r="T537">
            <v>0</v>
          </cell>
          <cell r="U537" t="str">
            <v/>
          </cell>
          <cell r="V537" t="str">
            <v>PRO10</v>
          </cell>
          <cell r="W537">
            <v>0</v>
          </cell>
        </row>
        <row r="538">
          <cell r="C538" t="str">
            <v>PI1GSOP000415</v>
          </cell>
          <cell r="D538" t="str">
            <v>PRINC</v>
          </cell>
          <cell r="E538" t="str">
            <v>00013</v>
          </cell>
          <cell r="F538" t="str">
            <v>COMPONENTES P/ SISTEMAS Y TRANSP.</v>
          </cell>
          <cell r="G538" t="str">
            <v>PRINCIPAL</v>
          </cell>
          <cell r="H538">
            <v>46004</v>
          </cell>
          <cell r="I538" t="str">
            <v>SALDO INICIAL</v>
          </cell>
          <cell r="J538">
            <v>20</v>
          </cell>
          <cell r="K538">
            <v>636.58194000000003</v>
          </cell>
          <cell r="L538">
            <v>31.829097000000001</v>
          </cell>
          <cell r="M538">
            <v>31.829097000000001</v>
          </cell>
          <cell r="N538" t="str">
            <v/>
          </cell>
          <cell r="O538" t="str">
            <v/>
          </cell>
          <cell r="P538" t="str">
            <v/>
          </cell>
          <cell r="Q538">
            <v>78.400000000000006</v>
          </cell>
          <cell r="R538" t="str">
            <v>UND</v>
          </cell>
          <cell r="S538">
            <v>0</v>
          </cell>
          <cell r="T538">
            <v>0</v>
          </cell>
          <cell r="U538" t="str">
            <v/>
          </cell>
          <cell r="V538" t="str">
            <v>PRO10</v>
          </cell>
          <cell r="W538">
            <v>0</v>
          </cell>
        </row>
        <row r="539">
          <cell r="C539" t="str">
            <v>TE201/80617</v>
          </cell>
          <cell r="D539" t="str">
            <v>PRINC</v>
          </cell>
          <cell r="E539" t="str">
            <v>00013</v>
          </cell>
          <cell r="F539" t="str">
            <v>COMPONENTES P/ SISTEMAS Y TRANSP.</v>
          </cell>
          <cell r="G539" t="str">
            <v>PRINCIPAL</v>
          </cell>
          <cell r="H539">
            <v>46004</v>
          </cell>
          <cell r="I539" t="str">
            <v>SALDO INICIAL</v>
          </cell>
          <cell r="J539">
            <v>59</v>
          </cell>
          <cell r="K539">
            <v>810.60495300000002</v>
          </cell>
          <cell r="L539">
            <v>13.739067</v>
          </cell>
          <cell r="M539">
            <v>13.739067</v>
          </cell>
          <cell r="N539" t="str">
            <v/>
          </cell>
          <cell r="O539" t="str">
            <v/>
          </cell>
          <cell r="P539" t="str">
            <v/>
          </cell>
          <cell r="Q539">
            <v>39.85</v>
          </cell>
          <cell r="R539" t="str">
            <v>UND</v>
          </cell>
          <cell r="S539">
            <v>0</v>
          </cell>
          <cell r="T539">
            <v>0</v>
          </cell>
          <cell r="U539" t="str">
            <v/>
          </cell>
          <cell r="V539" t="str">
            <v>PRO10</v>
          </cell>
          <cell r="W539">
            <v>0</v>
          </cell>
        </row>
        <row r="540">
          <cell r="C540" t="str">
            <v>TE202/80627</v>
          </cell>
          <cell r="D540" t="str">
            <v>PRINC</v>
          </cell>
          <cell r="E540" t="str">
            <v>00013</v>
          </cell>
          <cell r="F540" t="str">
            <v>COMPONENTES P/ SISTEMAS Y TRANSP.</v>
          </cell>
          <cell r="G540" t="str">
            <v>PRINCIPAL</v>
          </cell>
          <cell r="H540">
            <v>46004</v>
          </cell>
          <cell r="I540" t="str">
            <v>SALDO INICIAL</v>
          </cell>
          <cell r="J540">
            <v>32</v>
          </cell>
          <cell r="K540">
            <v>384.2432</v>
          </cell>
          <cell r="L540">
            <v>12.0076</v>
          </cell>
          <cell r="M540">
            <v>12.0076</v>
          </cell>
          <cell r="N540" t="str">
            <v/>
          </cell>
          <cell r="O540" t="str">
            <v/>
          </cell>
          <cell r="P540" t="str">
            <v/>
          </cell>
          <cell r="Q540">
            <v>35</v>
          </cell>
          <cell r="R540" t="str">
            <v>UND</v>
          </cell>
          <cell r="S540">
            <v>0</v>
          </cell>
          <cell r="T540">
            <v>0</v>
          </cell>
          <cell r="U540" t="str">
            <v/>
          </cell>
          <cell r="V540" t="str">
            <v>PRO10</v>
          </cell>
          <cell r="W540">
            <v>0</v>
          </cell>
        </row>
        <row r="541">
          <cell r="C541" t="str">
            <v>TE203/80635</v>
          </cell>
          <cell r="D541" t="str">
            <v>PRINC</v>
          </cell>
          <cell r="E541" t="str">
            <v>00013</v>
          </cell>
          <cell r="F541" t="str">
            <v>COMPONENTES P/ SISTEMAS Y TRANSP.</v>
          </cell>
          <cell r="G541" t="str">
            <v>PRINCIPAL</v>
          </cell>
          <cell r="H541">
            <v>46004</v>
          </cell>
          <cell r="I541" t="str">
            <v>SALDO INICIAL</v>
          </cell>
          <cell r="J541">
            <v>11</v>
          </cell>
          <cell r="K541">
            <v>151.58799999999999</v>
          </cell>
          <cell r="L541">
            <v>11.747999999999999</v>
          </cell>
          <cell r="M541">
            <v>13.780727273</v>
          </cell>
          <cell r="N541" t="str">
            <v/>
          </cell>
          <cell r="O541" t="str">
            <v/>
          </cell>
          <cell r="P541" t="str">
            <v/>
          </cell>
          <cell r="Q541">
            <v>34.07</v>
          </cell>
          <cell r="R541" t="str">
            <v>UND</v>
          </cell>
          <cell r="S541">
            <v>0</v>
          </cell>
          <cell r="T541">
            <v>0</v>
          </cell>
          <cell r="U541" t="str">
            <v/>
          </cell>
          <cell r="V541" t="str">
            <v>PRO10</v>
          </cell>
          <cell r="W541">
            <v>0</v>
          </cell>
        </row>
        <row r="542">
          <cell r="C542" t="str">
            <v>PI1GBAS000084</v>
          </cell>
          <cell r="D542" t="str">
            <v>PRINC</v>
          </cell>
          <cell r="E542" t="str">
            <v>00013</v>
          </cell>
          <cell r="F542" t="str">
            <v>COMPONENTES P/ SISTEMAS Y TRANSP.</v>
          </cell>
          <cell r="G542" t="str">
            <v>PRINCIPAL</v>
          </cell>
          <cell r="H542">
            <v>46004</v>
          </cell>
          <cell r="I542" t="str">
            <v>SALDO INICIAL</v>
          </cell>
          <cell r="J542">
            <v>13</v>
          </cell>
          <cell r="K542">
            <v>489.18567100000001</v>
          </cell>
          <cell r="L542">
            <v>37.629666999999998</v>
          </cell>
          <cell r="M542">
            <v>37.629666999999998</v>
          </cell>
          <cell r="N542" t="str">
            <v/>
          </cell>
          <cell r="O542" t="str">
            <v/>
          </cell>
          <cell r="P542" t="str">
            <v/>
          </cell>
          <cell r="Q542">
            <v>86.25</v>
          </cell>
          <cell r="R542" t="str">
            <v>UND</v>
          </cell>
          <cell r="S542">
            <v>0</v>
          </cell>
          <cell r="T542">
            <v>0</v>
          </cell>
          <cell r="U542" t="str">
            <v/>
          </cell>
          <cell r="V542" t="str">
            <v>PRO10</v>
          </cell>
          <cell r="W542">
            <v>0</v>
          </cell>
        </row>
        <row r="543">
          <cell r="C543" t="str">
            <v>TE200/80591</v>
          </cell>
          <cell r="D543" t="str">
            <v>PRINC</v>
          </cell>
          <cell r="E543" t="str">
            <v>00013</v>
          </cell>
          <cell r="F543" t="str">
            <v>COMPONENTES P/ SISTEMAS Y TRANSP.</v>
          </cell>
          <cell r="G543" t="str">
            <v>PRINCIPAL</v>
          </cell>
          <cell r="H543">
            <v>46004</v>
          </cell>
          <cell r="I543" t="str">
            <v>SALDO INICIAL</v>
          </cell>
          <cell r="J543">
            <v>9</v>
          </cell>
          <cell r="K543">
            <v>108.06480000000001</v>
          </cell>
          <cell r="L543">
            <v>12.007199999999999</v>
          </cell>
          <cell r="M543">
            <v>12.007199999999999</v>
          </cell>
          <cell r="N543" t="str">
            <v/>
          </cell>
          <cell r="O543" t="str">
            <v/>
          </cell>
          <cell r="P543" t="str">
            <v/>
          </cell>
          <cell r="Q543">
            <v>38</v>
          </cell>
          <cell r="R543" t="str">
            <v>UND</v>
          </cell>
          <cell r="S543">
            <v>0</v>
          </cell>
          <cell r="T543">
            <v>0</v>
          </cell>
          <cell r="U543" t="str">
            <v/>
          </cell>
          <cell r="V543" t="str">
            <v>PRO10</v>
          </cell>
          <cell r="W543">
            <v>0</v>
          </cell>
        </row>
        <row r="544">
          <cell r="C544" t="str">
            <v>PI1IBIS000148</v>
          </cell>
          <cell r="D544" t="str">
            <v>PRINC</v>
          </cell>
          <cell r="E544" t="str">
            <v>00013</v>
          </cell>
          <cell r="F544" t="str">
            <v>COMPONENTES P/ SISTEMAS Y TRANSP.</v>
          </cell>
          <cell r="G544" t="str">
            <v>PRINCIPAL</v>
          </cell>
          <cell r="H544">
            <v>46004</v>
          </cell>
          <cell r="I544" t="str">
            <v>SALDO INICIAL</v>
          </cell>
          <cell r="J544">
            <v>0</v>
          </cell>
          <cell r="K544">
            <v>15.706799</v>
          </cell>
          <cell r="L544">
            <v>3.2444000000000002</v>
          </cell>
          <cell r="M544">
            <v>0</v>
          </cell>
          <cell r="N544" t="str">
            <v/>
          </cell>
          <cell r="O544" t="str">
            <v/>
          </cell>
          <cell r="P544" t="str">
            <v/>
          </cell>
          <cell r="Q544">
            <v>8.0500000000000007</v>
          </cell>
          <cell r="R544" t="str">
            <v>UND</v>
          </cell>
          <cell r="S544">
            <v>0</v>
          </cell>
          <cell r="T544">
            <v>0</v>
          </cell>
          <cell r="U544" t="str">
            <v/>
          </cell>
          <cell r="V544" t="str">
            <v>PRO10</v>
          </cell>
          <cell r="W544">
            <v>0</v>
          </cell>
        </row>
        <row r="545">
          <cell r="C545" t="str">
            <v>TE233/80774</v>
          </cell>
          <cell r="D545" t="str">
            <v>PRINC</v>
          </cell>
          <cell r="E545" t="str">
            <v>00013</v>
          </cell>
          <cell r="F545" t="str">
            <v>COMPONENTES P/ SISTEMAS Y TRANSP.</v>
          </cell>
          <cell r="G545" t="str">
            <v>PRINCIPAL</v>
          </cell>
          <cell r="H545">
            <v>46004</v>
          </cell>
          <cell r="I545" t="str">
            <v>SALDO INICIAL</v>
          </cell>
          <cell r="J545">
            <v>45</v>
          </cell>
          <cell r="K545">
            <v>79.607826000000003</v>
          </cell>
          <cell r="L545">
            <v>1.7690630000000001</v>
          </cell>
          <cell r="M545">
            <v>1.7690627999999999</v>
          </cell>
          <cell r="N545" t="str">
            <v/>
          </cell>
          <cell r="O545" t="str">
            <v/>
          </cell>
          <cell r="P545" t="str">
            <v/>
          </cell>
          <cell r="Q545">
            <v>3.95</v>
          </cell>
          <cell r="R545" t="str">
            <v>UND</v>
          </cell>
          <cell r="S545">
            <v>0</v>
          </cell>
          <cell r="T545">
            <v>0</v>
          </cell>
          <cell r="U545" t="str">
            <v/>
          </cell>
          <cell r="V545" t="str">
            <v>PRO10</v>
          </cell>
          <cell r="W545">
            <v>0</v>
          </cell>
        </row>
        <row r="546">
          <cell r="C546" t="str">
            <v>TE234/80776</v>
          </cell>
          <cell r="D546" t="str">
            <v>PRINC</v>
          </cell>
          <cell r="E546" t="str">
            <v>00013</v>
          </cell>
          <cell r="F546" t="str">
            <v>COMPONENTES P/ SISTEMAS Y TRANSP.</v>
          </cell>
          <cell r="G546" t="str">
            <v>PRINCIPAL</v>
          </cell>
          <cell r="H546">
            <v>46004</v>
          </cell>
          <cell r="I546" t="str">
            <v>SALDO INICIAL</v>
          </cell>
          <cell r="J546">
            <v>58</v>
          </cell>
          <cell r="K546">
            <v>153.690484</v>
          </cell>
          <cell r="L546">
            <v>2.4913090000000002</v>
          </cell>
          <cell r="M546">
            <v>2.6498359310000001</v>
          </cell>
          <cell r="N546" t="str">
            <v/>
          </cell>
          <cell r="O546" t="str">
            <v/>
          </cell>
          <cell r="P546" t="str">
            <v/>
          </cell>
          <cell r="Q546">
            <v>5.8</v>
          </cell>
          <cell r="R546" t="str">
            <v>UND</v>
          </cell>
          <cell r="S546">
            <v>0</v>
          </cell>
          <cell r="T546">
            <v>0</v>
          </cell>
          <cell r="U546" t="str">
            <v/>
          </cell>
          <cell r="V546" t="str">
            <v>PRO10</v>
          </cell>
          <cell r="W546">
            <v>0</v>
          </cell>
        </row>
        <row r="547">
          <cell r="C547" t="str">
            <v>PICABO205-14</v>
          </cell>
          <cell r="D547" t="str">
            <v>PRINC</v>
          </cell>
          <cell r="E547" t="str">
            <v>00013</v>
          </cell>
          <cell r="F547" t="str">
            <v>COMPONENTES P/ SISTEMAS Y TRANSP.</v>
          </cell>
          <cell r="G547" t="str">
            <v>PRINCIPAL</v>
          </cell>
          <cell r="H547">
            <v>46004</v>
          </cell>
          <cell r="I547" t="str">
            <v>SALDO INICIAL</v>
          </cell>
          <cell r="J547">
            <v>96</v>
          </cell>
          <cell r="K547">
            <v>124.802241</v>
          </cell>
          <cell r="L547">
            <v>1.3000229999999999</v>
          </cell>
          <cell r="M547">
            <v>1.300023344</v>
          </cell>
          <cell r="N547" t="str">
            <v/>
          </cell>
          <cell r="O547" t="str">
            <v/>
          </cell>
          <cell r="P547" t="str">
            <v/>
          </cell>
          <cell r="Q547">
            <v>6.15</v>
          </cell>
          <cell r="R547" t="str">
            <v>UND</v>
          </cell>
          <cell r="S547">
            <v>0</v>
          </cell>
          <cell r="T547">
            <v>0</v>
          </cell>
          <cell r="U547" t="str">
            <v/>
          </cell>
          <cell r="V547" t="str">
            <v>PRO10</v>
          </cell>
          <cell r="W547">
            <v>0</v>
          </cell>
        </row>
        <row r="548">
          <cell r="C548" t="str">
            <v>TE221/80670</v>
          </cell>
          <cell r="D548" t="str">
            <v>PRINC</v>
          </cell>
          <cell r="E548" t="str">
            <v>00013</v>
          </cell>
          <cell r="F548" t="str">
            <v>COMPONENTES P/ SISTEMAS Y TRANSP.</v>
          </cell>
          <cell r="G548" t="str">
            <v>PRINCIPAL</v>
          </cell>
          <cell r="H548">
            <v>46004</v>
          </cell>
          <cell r="I548" t="str">
            <v>SALDO INICIAL</v>
          </cell>
          <cell r="J548">
            <v>161</v>
          </cell>
          <cell r="K548">
            <v>465.67243500000001</v>
          </cell>
          <cell r="L548">
            <v>2.8923749999999999</v>
          </cell>
          <cell r="M548">
            <v>2.8923753730000001</v>
          </cell>
          <cell r="N548" t="str">
            <v/>
          </cell>
          <cell r="O548" t="str">
            <v/>
          </cell>
          <cell r="P548" t="str">
            <v/>
          </cell>
          <cell r="Q548">
            <v>6.65</v>
          </cell>
          <cell r="R548" t="str">
            <v>UND</v>
          </cell>
          <cell r="S548">
            <v>0</v>
          </cell>
          <cell r="T548">
            <v>0</v>
          </cell>
          <cell r="U548" t="str">
            <v/>
          </cell>
          <cell r="V548" t="str">
            <v>PRO10</v>
          </cell>
          <cell r="W548">
            <v>0</v>
          </cell>
        </row>
        <row r="549">
          <cell r="C549" t="str">
            <v>TE223/84226</v>
          </cell>
          <cell r="D549" t="str">
            <v>PRINC</v>
          </cell>
          <cell r="E549" t="str">
            <v>00013</v>
          </cell>
          <cell r="F549" t="str">
            <v>COMPONENTES P/ SISTEMAS Y TRANSP.</v>
          </cell>
          <cell r="G549" t="str">
            <v>PRINCIPAL</v>
          </cell>
          <cell r="H549">
            <v>46004</v>
          </cell>
          <cell r="I549" t="str">
            <v>SALDO INICIAL</v>
          </cell>
          <cell r="J549">
            <v>22</v>
          </cell>
          <cell r="K549">
            <v>176.161326</v>
          </cell>
          <cell r="L549">
            <v>8.0073329999999991</v>
          </cell>
          <cell r="M549">
            <v>8.0073329999999991</v>
          </cell>
          <cell r="N549" t="str">
            <v/>
          </cell>
          <cell r="O549" t="str">
            <v/>
          </cell>
          <cell r="P549" t="str">
            <v/>
          </cell>
          <cell r="Q549">
            <v>18.420000000000002</v>
          </cell>
          <cell r="R549" t="str">
            <v>UND</v>
          </cell>
          <cell r="S549">
            <v>0</v>
          </cell>
          <cell r="T549">
            <v>0</v>
          </cell>
          <cell r="U549" t="str">
            <v/>
          </cell>
          <cell r="V549" t="str">
            <v>PRO10</v>
          </cell>
          <cell r="W549">
            <v>0</v>
          </cell>
        </row>
        <row r="550">
          <cell r="C550" t="str">
            <v>PI1ECLA000201</v>
          </cell>
          <cell r="D550" t="str">
            <v>PRINC</v>
          </cell>
          <cell r="E550" t="str">
            <v>00013</v>
          </cell>
          <cell r="F550" t="str">
            <v>COMPONENTES P/ SISTEMAS Y TRANSP.</v>
          </cell>
          <cell r="G550" t="str">
            <v>PRINCIPAL</v>
          </cell>
          <cell r="H550">
            <v>46004</v>
          </cell>
          <cell r="I550" t="str">
            <v>SALDO INICIAL</v>
          </cell>
          <cell r="J550">
            <v>157</v>
          </cell>
          <cell r="K550">
            <v>887.48630600000001</v>
          </cell>
          <cell r="L550">
            <v>3.5418440000000002</v>
          </cell>
          <cell r="M550">
            <v>5.6527790189999996</v>
          </cell>
          <cell r="N550" t="str">
            <v/>
          </cell>
          <cell r="O550" t="str">
            <v/>
          </cell>
          <cell r="P550" t="str">
            <v/>
          </cell>
          <cell r="Q550">
            <v>6.8</v>
          </cell>
          <cell r="R550" t="str">
            <v>UND</v>
          </cell>
          <cell r="S550">
            <v>0</v>
          </cell>
          <cell r="T550">
            <v>0</v>
          </cell>
          <cell r="U550" t="str">
            <v/>
          </cell>
          <cell r="V550" t="str">
            <v>PRO10</v>
          </cell>
          <cell r="W550">
            <v>0</v>
          </cell>
        </row>
        <row r="551">
          <cell r="C551" t="str">
            <v>PI1ECLA303002</v>
          </cell>
          <cell r="D551" t="str">
            <v>PRINC</v>
          </cell>
          <cell r="E551" t="str">
            <v>00013</v>
          </cell>
          <cell r="F551" t="str">
            <v>COMPONENTES P/ SISTEMAS Y TRANSP.</v>
          </cell>
          <cell r="G551" t="str">
            <v>PRINCIPAL</v>
          </cell>
          <cell r="H551">
            <v>46004</v>
          </cell>
          <cell r="I551" t="str">
            <v>SALDO INICIAL</v>
          </cell>
          <cell r="J551">
            <v>5</v>
          </cell>
          <cell r="K551">
            <v>29.924053000000001</v>
          </cell>
          <cell r="L551">
            <v>3.2795960000000002</v>
          </cell>
          <cell r="M551">
            <v>5.9848106000000003</v>
          </cell>
          <cell r="N551" t="str">
            <v/>
          </cell>
          <cell r="O551" t="str">
            <v/>
          </cell>
          <cell r="P551" t="str">
            <v/>
          </cell>
          <cell r="Q551">
            <v>6.8</v>
          </cell>
          <cell r="R551" t="str">
            <v>UND</v>
          </cell>
          <cell r="S551">
            <v>0</v>
          </cell>
          <cell r="T551">
            <v>0</v>
          </cell>
          <cell r="U551" t="str">
            <v/>
          </cell>
          <cell r="V551" t="str">
            <v>PRO10</v>
          </cell>
          <cell r="W551">
            <v>0</v>
          </cell>
        </row>
        <row r="552">
          <cell r="C552" t="str">
            <v>TE238/80986</v>
          </cell>
          <cell r="D552" t="str">
            <v>PRINC</v>
          </cell>
          <cell r="E552" t="str">
            <v>00013</v>
          </cell>
          <cell r="F552" t="str">
            <v>COMPONENTES P/ SISTEMAS Y TRANSP.</v>
          </cell>
          <cell r="G552" t="str">
            <v>PRINCIPAL</v>
          </cell>
          <cell r="H552">
            <v>46004</v>
          </cell>
          <cell r="I552" t="str">
            <v>SALDO INICIAL</v>
          </cell>
          <cell r="J552">
            <v>29</v>
          </cell>
          <cell r="K552">
            <v>46.515999999999998</v>
          </cell>
          <cell r="L552">
            <v>1.6040000000000001</v>
          </cell>
          <cell r="M552">
            <v>1.6040000000000001</v>
          </cell>
          <cell r="N552" t="str">
            <v/>
          </cell>
          <cell r="O552" t="str">
            <v/>
          </cell>
          <cell r="P552" t="str">
            <v/>
          </cell>
          <cell r="Q552">
            <v>4.5</v>
          </cell>
          <cell r="R552" t="str">
            <v>UND</v>
          </cell>
          <cell r="S552">
            <v>0</v>
          </cell>
          <cell r="T552">
            <v>0</v>
          </cell>
          <cell r="U552" t="str">
            <v/>
          </cell>
          <cell r="V552" t="str">
            <v>PRO10</v>
          </cell>
          <cell r="W552">
            <v>0</v>
          </cell>
        </row>
        <row r="553">
          <cell r="C553" t="str">
            <v>TE297/82658</v>
          </cell>
          <cell r="D553" t="str">
            <v>PRINC</v>
          </cell>
          <cell r="E553" t="str">
            <v>00013</v>
          </cell>
          <cell r="F553" t="str">
            <v>COMPONENTES P/ SISTEMAS Y TRANSP.</v>
          </cell>
          <cell r="G553" t="str">
            <v>PRINCIPAL</v>
          </cell>
          <cell r="H553">
            <v>46004</v>
          </cell>
          <cell r="I553" t="str">
            <v>SALDO INICIAL</v>
          </cell>
          <cell r="J553">
            <v>18</v>
          </cell>
          <cell r="K553">
            <v>78.573744000000005</v>
          </cell>
          <cell r="L553">
            <v>4.365208</v>
          </cell>
          <cell r="M553">
            <v>4.365208</v>
          </cell>
          <cell r="N553" t="str">
            <v/>
          </cell>
          <cell r="O553" t="str">
            <v/>
          </cell>
          <cell r="P553" t="str">
            <v/>
          </cell>
          <cell r="Q553">
            <v>9.6</v>
          </cell>
          <cell r="R553" t="str">
            <v>UND</v>
          </cell>
          <cell r="S553">
            <v>0</v>
          </cell>
          <cell r="T553">
            <v>0</v>
          </cell>
          <cell r="U553" t="str">
            <v/>
          </cell>
          <cell r="V553" t="str">
            <v>PRO10</v>
          </cell>
          <cell r="W553">
            <v>0</v>
          </cell>
        </row>
        <row r="554">
          <cell r="C554" t="str">
            <v>RET80KD1A/1000</v>
          </cell>
          <cell r="D554" t="str">
            <v>PRINC</v>
          </cell>
          <cell r="E554" t="str">
            <v>00013</v>
          </cell>
          <cell r="F554" t="str">
            <v>COMPONENTES P/ SISTEMAS Y TRANSP.</v>
          </cell>
          <cell r="G554" t="str">
            <v>PRINCIPAL</v>
          </cell>
          <cell r="H554">
            <v>46004</v>
          </cell>
          <cell r="I554" t="str">
            <v>SALDO INICIAL</v>
          </cell>
          <cell r="J554">
            <v>0</v>
          </cell>
          <cell r="K554">
            <v>12.788</v>
          </cell>
          <cell r="L554">
            <v>73.737853999999999</v>
          </cell>
          <cell r="M554">
            <v>0</v>
          </cell>
          <cell r="N554" t="str">
            <v/>
          </cell>
          <cell r="O554" t="str">
            <v/>
          </cell>
          <cell r="P554" t="str">
            <v/>
          </cell>
          <cell r="Q554">
            <v>320</v>
          </cell>
          <cell r="R554" t="str">
            <v>PAR</v>
          </cell>
          <cell r="S554">
            <v>0</v>
          </cell>
          <cell r="T554">
            <v>0</v>
          </cell>
          <cell r="U554" t="str">
            <v/>
          </cell>
          <cell r="V554" t="str">
            <v>PRO10</v>
          </cell>
          <cell r="W554">
            <v>0</v>
          </cell>
        </row>
        <row r="555">
          <cell r="C555" t="str">
            <v>RET80KD1C/1000</v>
          </cell>
          <cell r="D555" t="str">
            <v>PRINC</v>
          </cell>
          <cell r="E555" t="str">
            <v>00013</v>
          </cell>
          <cell r="F555" t="str">
            <v>COMPONENTES P/ SISTEMAS Y TRANSP.</v>
          </cell>
          <cell r="G555" t="str">
            <v>PRINCIPAL</v>
          </cell>
          <cell r="H555">
            <v>46004</v>
          </cell>
          <cell r="I555" t="str">
            <v>SALDO INICIAL</v>
          </cell>
          <cell r="J555">
            <v>1</v>
          </cell>
          <cell r="K555">
            <v>100.54300000000001</v>
          </cell>
          <cell r="L555">
            <v>106.18807700000001</v>
          </cell>
          <cell r="M555">
            <v>100.54300000000001</v>
          </cell>
          <cell r="N555" t="str">
            <v/>
          </cell>
          <cell r="O555" t="str">
            <v/>
          </cell>
          <cell r="P555" t="str">
            <v/>
          </cell>
          <cell r="Q555">
            <v>350</v>
          </cell>
          <cell r="R555" t="str">
            <v>PAR</v>
          </cell>
          <cell r="S555">
            <v>0</v>
          </cell>
          <cell r="T555">
            <v>0</v>
          </cell>
          <cell r="U555" t="str">
            <v/>
          </cell>
          <cell r="V555" t="str">
            <v>PRO10</v>
          </cell>
          <cell r="W555">
            <v>0</v>
          </cell>
        </row>
        <row r="556">
          <cell r="C556" t="str">
            <v>RET80KG1C/1000</v>
          </cell>
          <cell r="D556" t="str">
            <v>PRINC</v>
          </cell>
          <cell r="E556" t="str">
            <v>00013</v>
          </cell>
          <cell r="F556" t="str">
            <v>COMPONENTES P/ SISTEMAS Y TRANSP.</v>
          </cell>
          <cell r="G556" t="str">
            <v>PRINCIPAL</v>
          </cell>
          <cell r="H556">
            <v>46004</v>
          </cell>
          <cell r="I556" t="str">
            <v>SALDO INICIAL</v>
          </cell>
          <cell r="J556">
            <v>0</v>
          </cell>
          <cell r="K556">
            <v>-56.221832999999997</v>
          </cell>
          <cell r="L556">
            <v>116.37</v>
          </cell>
          <cell r="M556">
            <v>0</v>
          </cell>
          <cell r="N556" t="str">
            <v/>
          </cell>
          <cell r="O556" t="str">
            <v/>
          </cell>
          <cell r="P556" t="str">
            <v/>
          </cell>
          <cell r="Q556">
            <v>420</v>
          </cell>
          <cell r="R556" t="str">
            <v>PAR</v>
          </cell>
          <cell r="S556">
            <v>0</v>
          </cell>
          <cell r="T556">
            <v>0</v>
          </cell>
          <cell r="U556" t="str">
            <v/>
          </cell>
          <cell r="V556" t="str">
            <v>PRO10</v>
          </cell>
          <cell r="W556">
            <v>0</v>
          </cell>
        </row>
        <row r="557">
          <cell r="C557" t="str">
            <v>CC881K7501VR850</v>
          </cell>
          <cell r="D557" t="str">
            <v>PRINC</v>
          </cell>
          <cell r="E557" t="str">
            <v>00013</v>
          </cell>
          <cell r="F557" t="str">
            <v>COMPONENTES P/ SISTEMAS Y TRANSP.</v>
          </cell>
          <cell r="G557" t="str">
            <v>PRINCIPAL</v>
          </cell>
          <cell r="H557">
            <v>46004</v>
          </cell>
          <cell r="I557" t="str">
            <v>SALDO INICIAL</v>
          </cell>
          <cell r="J557">
            <v>0</v>
          </cell>
          <cell r="K557">
            <v>-579.90248699999995</v>
          </cell>
          <cell r="L557">
            <v>317.66370000000001</v>
          </cell>
          <cell r="M557">
            <v>0</v>
          </cell>
          <cell r="N557" t="str">
            <v/>
          </cell>
          <cell r="O557" t="str">
            <v/>
          </cell>
          <cell r="P557" t="str">
            <v/>
          </cell>
          <cell r="Q557">
            <v>0</v>
          </cell>
          <cell r="R557" t="str">
            <v>PAR</v>
          </cell>
          <cell r="S557">
            <v>0</v>
          </cell>
          <cell r="T557">
            <v>0</v>
          </cell>
          <cell r="U557" t="str">
            <v/>
          </cell>
          <cell r="V557" t="str">
            <v>PRO10</v>
          </cell>
          <cell r="W557">
            <v>0</v>
          </cell>
        </row>
        <row r="558">
          <cell r="C558" t="str">
            <v>REMF01AAY/101</v>
          </cell>
          <cell r="D558" t="str">
            <v>PRINC</v>
          </cell>
          <cell r="E558" t="str">
            <v>00013</v>
          </cell>
          <cell r="F558" t="str">
            <v>COMPONENTES P/ SISTEMAS Y TRANSP.</v>
          </cell>
          <cell r="G558" t="str">
            <v>PRINCIPAL</v>
          </cell>
          <cell r="H558">
            <v>46004</v>
          </cell>
          <cell r="I558" t="str">
            <v>SALDO INICIAL</v>
          </cell>
          <cell r="J558">
            <v>0</v>
          </cell>
          <cell r="K558">
            <v>-147.79926499999999</v>
          </cell>
          <cell r="L558">
            <v>347.21206899999999</v>
          </cell>
          <cell r="M558">
            <v>0</v>
          </cell>
          <cell r="N558" t="str">
            <v/>
          </cell>
          <cell r="O558" t="str">
            <v/>
          </cell>
          <cell r="P558" t="str">
            <v/>
          </cell>
          <cell r="Q558">
            <v>768.03</v>
          </cell>
          <cell r="R558" t="str">
            <v>UND</v>
          </cell>
          <cell r="S558">
            <v>0</v>
          </cell>
          <cell r="T558">
            <v>0</v>
          </cell>
          <cell r="U558" t="str">
            <v/>
          </cell>
          <cell r="V558" t="str">
            <v>PRO10</v>
          </cell>
          <cell r="W558">
            <v>0</v>
          </cell>
        </row>
        <row r="559">
          <cell r="C559" t="str">
            <v>C981K450-90-16</v>
          </cell>
          <cell r="D559" t="str">
            <v>PRINC</v>
          </cell>
          <cell r="E559" t="str">
            <v>00013</v>
          </cell>
          <cell r="F559" t="str">
            <v>COMPONENTES P/ SISTEMAS Y TRANSP.</v>
          </cell>
          <cell r="G559" t="str">
            <v>PRINCIPAL</v>
          </cell>
          <cell r="H559">
            <v>46004</v>
          </cell>
          <cell r="I559" t="str">
            <v>SALDO INICIAL</v>
          </cell>
          <cell r="J559">
            <v>3</v>
          </cell>
          <cell r="K559">
            <v>66.885998999999998</v>
          </cell>
          <cell r="L559">
            <v>22.295332999999999</v>
          </cell>
          <cell r="M559">
            <v>22.295332999999999</v>
          </cell>
          <cell r="N559" t="str">
            <v/>
          </cell>
          <cell r="O559" t="str">
            <v/>
          </cell>
          <cell r="P559" t="str">
            <v/>
          </cell>
          <cell r="Q559">
            <v>42.36</v>
          </cell>
          <cell r="R559" t="str">
            <v>JGO</v>
          </cell>
          <cell r="S559">
            <v>0</v>
          </cell>
          <cell r="T559">
            <v>0</v>
          </cell>
          <cell r="U559" t="str">
            <v/>
          </cell>
          <cell r="V559" t="str">
            <v>PRO10</v>
          </cell>
          <cell r="W559">
            <v>0</v>
          </cell>
        </row>
        <row r="560">
          <cell r="C560" t="str">
            <v>TE68/82713</v>
          </cell>
          <cell r="D560" t="str">
            <v>PRINC</v>
          </cell>
          <cell r="E560" t="str">
            <v>00013</v>
          </cell>
          <cell r="F560" t="str">
            <v>COMPONENTES P/ SISTEMAS Y TRANSP.</v>
          </cell>
          <cell r="G560" t="str">
            <v>PRINCIPAL</v>
          </cell>
          <cell r="H560">
            <v>46004</v>
          </cell>
          <cell r="I560" t="str">
            <v>SALDO INICIAL</v>
          </cell>
          <cell r="J560">
            <v>91</v>
          </cell>
          <cell r="K560">
            <v>143.533525</v>
          </cell>
          <cell r="L560">
            <v>1.577291</v>
          </cell>
          <cell r="M560">
            <v>1.5772914840000001</v>
          </cell>
          <cell r="N560" t="str">
            <v/>
          </cell>
          <cell r="O560" t="str">
            <v/>
          </cell>
          <cell r="P560" t="str">
            <v/>
          </cell>
          <cell r="Q560">
            <v>3.47</v>
          </cell>
          <cell r="R560" t="str">
            <v>UND</v>
          </cell>
          <cell r="S560">
            <v>0</v>
          </cell>
          <cell r="T560">
            <v>0</v>
          </cell>
          <cell r="U560" t="str">
            <v/>
          </cell>
          <cell r="V560" t="str">
            <v>PRO10</v>
          </cell>
          <cell r="W560">
            <v>0</v>
          </cell>
        </row>
        <row r="561">
          <cell r="C561" t="str">
            <v>TE68/7242</v>
          </cell>
          <cell r="D561" t="str">
            <v>PRINC</v>
          </cell>
          <cell r="E561" t="str">
            <v>00013</v>
          </cell>
          <cell r="F561" t="str">
            <v>COMPONENTES P/ SISTEMAS Y TRANSP.</v>
          </cell>
          <cell r="G561" t="str">
            <v>PRINCIPAL</v>
          </cell>
          <cell r="H561">
            <v>46004</v>
          </cell>
          <cell r="I561" t="str">
            <v>SALDO INICIAL</v>
          </cell>
          <cell r="J561">
            <v>108</v>
          </cell>
          <cell r="K561">
            <v>159.90748400000001</v>
          </cell>
          <cell r="L561">
            <v>1.4806250000000001</v>
          </cell>
          <cell r="M561">
            <v>1.480624852</v>
          </cell>
          <cell r="N561" t="str">
            <v/>
          </cell>
          <cell r="O561" t="str">
            <v/>
          </cell>
          <cell r="P561" t="str">
            <v/>
          </cell>
          <cell r="Q561">
            <v>3.26</v>
          </cell>
          <cell r="R561" t="str">
            <v>UND</v>
          </cell>
          <cell r="S561">
            <v>0</v>
          </cell>
          <cell r="T561">
            <v>0</v>
          </cell>
          <cell r="U561" t="str">
            <v/>
          </cell>
          <cell r="V561" t="str">
            <v>PRO10</v>
          </cell>
          <cell r="W561">
            <v>0</v>
          </cell>
        </row>
        <row r="562">
          <cell r="C562" t="str">
            <v>TE68/7244</v>
          </cell>
          <cell r="D562" t="str">
            <v>PRINC</v>
          </cell>
          <cell r="E562" t="str">
            <v>00013</v>
          </cell>
          <cell r="F562" t="str">
            <v>COMPONENTES P/ SISTEMAS Y TRANSP.</v>
          </cell>
          <cell r="G562" t="str">
            <v>PRINCIPAL</v>
          </cell>
          <cell r="H562">
            <v>46004</v>
          </cell>
          <cell r="I562" t="str">
            <v>SALDO INICIAL</v>
          </cell>
          <cell r="J562">
            <v>237</v>
          </cell>
          <cell r="K562">
            <v>363.39812599999999</v>
          </cell>
          <cell r="L562">
            <v>1.533325</v>
          </cell>
          <cell r="M562">
            <v>1.533325426</v>
          </cell>
          <cell r="N562" t="str">
            <v/>
          </cell>
          <cell r="O562" t="str">
            <v/>
          </cell>
          <cell r="P562" t="str">
            <v/>
          </cell>
          <cell r="Q562">
            <v>3.37</v>
          </cell>
          <cell r="R562" t="str">
            <v>UND</v>
          </cell>
          <cell r="S562">
            <v>0</v>
          </cell>
          <cell r="T562">
            <v>0</v>
          </cell>
          <cell r="U562" t="str">
            <v/>
          </cell>
          <cell r="V562" t="str">
            <v>PRO10</v>
          </cell>
          <cell r="W562">
            <v>0</v>
          </cell>
        </row>
        <row r="563">
          <cell r="C563" t="str">
            <v>TE64/7221</v>
          </cell>
          <cell r="D563" t="str">
            <v>PRINC</v>
          </cell>
          <cell r="E563" t="str">
            <v>00013</v>
          </cell>
          <cell r="F563" t="str">
            <v>COMPONENTES P/ SISTEMAS Y TRANSP.</v>
          </cell>
          <cell r="G563" t="str">
            <v>PRINCIPAL</v>
          </cell>
          <cell r="H563">
            <v>46004</v>
          </cell>
          <cell r="I563" t="str">
            <v>SALDO INICIAL</v>
          </cell>
          <cell r="J563">
            <v>238</v>
          </cell>
          <cell r="K563">
            <v>461.52960000000002</v>
          </cell>
          <cell r="L563">
            <v>1.9392</v>
          </cell>
          <cell r="M563">
            <v>1.9392</v>
          </cell>
          <cell r="N563" t="str">
            <v/>
          </cell>
          <cell r="O563" t="str">
            <v/>
          </cell>
          <cell r="P563" t="str">
            <v/>
          </cell>
          <cell r="Q563">
            <v>4.2699999999999996</v>
          </cell>
          <cell r="R563" t="str">
            <v>UND</v>
          </cell>
          <cell r="S563">
            <v>0</v>
          </cell>
          <cell r="T563">
            <v>0</v>
          </cell>
          <cell r="U563" t="str">
            <v/>
          </cell>
          <cell r="V563" t="str">
            <v>PRO10</v>
          </cell>
          <cell r="W563">
            <v>0</v>
          </cell>
        </row>
        <row r="564">
          <cell r="C564" t="str">
            <v>PI1IMAN000136</v>
          </cell>
          <cell r="D564" t="str">
            <v>PRINC</v>
          </cell>
          <cell r="E564" t="str">
            <v>00013</v>
          </cell>
          <cell r="F564" t="str">
            <v>COMPONENTES P/ SISTEMAS Y TRANSP.</v>
          </cell>
          <cell r="G564" t="str">
            <v>PRINCIPAL</v>
          </cell>
          <cell r="H564">
            <v>46004</v>
          </cell>
          <cell r="I564" t="str">
            <v>SALDO INICIAL</v>
          </cell>
          <cell r="J564">
            <v>0</v>
          </cell>
          <cell r="K564">
            <v>-16.111919</v>
          </cell>
          <cell r="L564">
            <v>5.5864330000000004</v>
          </cell>
          <cell r="M564">
            <v>0</v>
          </cell>
          <cell r="N564" t="str">
            <v/>
          </cell>
          <cell r="O564" t="str">
            <v/>
          </cell>
          <cell r="P564" t="str">
            <v/>
          </cell>
          <cell r="Q564">
            <v>10.27</v>
          </cell>
          <cell r="R564" t="str">
            <v>UND</v>
          </cell>
          <cell r="S564">
            <v>0</v>
          </cell>
          <cell r="T564">
            <v>0</v>
          </cell>
          <cell r="U564" t="str">
            <v/>
          </cell>
          <cell r="V564" t="str">
            <v>PRO10</v>
          </cell>
          <cell r="W564">
            <v>0</v>
          </cell>
        </row>
        <row r="565">
          <cell r="C565" t="str">
            <v>PI1BMOR001246</v>
          </cell>
          <cell r="D565" t="str">
            <v>PRINC</v>
          </cell>
          <cell r="E565" t="str">
            <v>00013</v>
          </cell>
          <cell r="F565" t="str">
            <v>COMPONENTES P/ SISTEMAS Y TRANSP.</v>
          </cell>
          <cell r="G565" t="str">
            <v>PRINCIPAL</v>
          </cell>
          <cell r="H565">
            <v>46004</v>
          </cell>
          <cell r="I565" t="str">
            <v>SALDO INICIAL</v>
          </cell>
          <cell r="J565">
            <v>24</v>
          </cell>
          <cell r="K565">
            <v>283.63000799999998</v>
          </cell>
          <cell r="L565">
            <v>0</v>
          </cell>
          <cell r="M565">
            <v>11.817917</v>
          </cell>
          <cell r="N565" t="str">
            <v/>
          </cell>
          <cell r="O565" t="str">
            <v/>
          </cell>
          <cell r="P565" t="str">
            <v/>
          </cell>
          <cell r="Q565">
            <v>23.77</v>
          </cell>
          <cell r="R565" t="str">
            <v>UND</v>
          </cell>
          <cell r="S565">
            <v>0</v>
          </cell>
          <cell r="T565">
            <v>0</v>
          </cell>
          <cell r="U565" t="str">
            <v/>
          </cell>
          <cell r="V565" t="str">
            <v>PRO10</v>
          </cell>
          <cell r="W565">
            <v>0</v>
          </cell>
        </row>
        <row r="566">
          <cell r="C566" t="str">
            <v>PI1ESOP001825</v>
          </cell>
          <cell r="D566" t="str">
            <v>PRINC</v>
          </cell>
          <cell r="E566" t="str">
            <v>00013</v>
          </cell>
          <cell r="F566" t="str">
            <v>COMPONENTES P/ SISTEMAS Y TRANSP.</v>
          </cell>
          <cell r="G566" t="str">
            <v>PRINCIPAL</v>
          </cell>
          <cell r="H566">
            <v>46004</v>
          </cell>
          <cell r="I566" t="str">
            <v>SALDO INICIAL</v>
          </cell>
          <cell r="J566">
            <v>5</v>
          </cell>
          <cell r="K566">
            <v>51.77</v>
          </cell>
          <cell r="L566">
            <v>0</v>
          </cell>
          <cell r="M566">
            <v>10.353999999999999</v>
          </cell>
          <cell r="N566" t="str">
            <v/>
          </cell>
          <cell r="O566" t="str">
            <v/>
          </cell>
          <cell r="P566" t="str">
            <v/>
          </cell>
          <cell r="Q566">
            <v>20.82</v>
          </cell>
          <cell r="R566" t="str">
            <v>UND</v>
          </cell>
          <cell r="S566">
            <v>0</v>
          </cell>
          <cell r="T566">
            <v>0</v>
          </cell>
          <cell r="U566" t="str">
            <v/>
          </cell>
          <cell r="V566" t="str">
            <v>PRO10</v>
          </cell>
          <cell r="W566">
            <v>0</v>
          </cell>
        </row>
        <row r="567">
          <cell r="C567" t="str">
            <v>PI1EMOR000303</v>
          </cell>
          <cell r="D567" t="str">
            <v>PRINC</v>
          </cell>
          <cell r="E567" t="str">
            <v>00013</v>
          </cell>
          <cell r="F567" t="str">
            <v>COMPONENTES P/ SISTEMAS Y TRANSP.</v>
          </cell>
          <cell r="G567" t="str">
            <v>PRINCIPAL</v>
          </cell>
          <cell r="H567">
            <v>46004</v>
          </cell>
          <cell r="I567" t="str">
            <v>SALDO INICIAL</v>
          </cell>
          <cell r="J567">
            <v>67</v>
          </cell>
          <cell r="K567">
            <v>349.01639999999998</v>
          </cell>
          <cell r="L567">
            <v>5.2092000000000001</v>
          </cell>
          <cell r="M567">
            <v>5.2092000000000001</v>
          </cell>
          <cell r="N567" t="str">
            <v/>
          </cell>
          <cell r="O567" t="str">
            <v/>
          </cell>
          <cell r="P567" t="str">
            <v/>
          </cell>
          <cell r="Q567">
            <v>7.55</v>
          </cell>
          <cell r="R567" t="str">
            <v>UND</v>
          </cell>
          <cell r="S567">
            <v>0</v>
          </cell>
          <cell r="T567">
            <v>0</v>
          </cell>
          <cell r="U567" t="str">
            <v/>
          </cell>
          <cell r="V567" t="str">
            <v>PRO10</v>
          </cell>
          <cell r="W567">
            <v>0</v>
          </cell>
        </row>
        <row r="568">
          <cell r="C568" t="str">
            <v>PI1EMOR000130</v>
          </cell>
          <cell r="D568" t="str">
            <v>PRINC</v>
          </cell>
          <cell r="E568" t="str">
            <v>00013</v>
          </cell>
          <cell r="F568" t="str">
            <v>COMPONENTES P/ SISTEMAS Y TRANSP.</v>
          </cell>
          <cell r="G568" t="str">
            <v>PRINCIPAL</v>
          </cell>
          <cell r="H568">
            <v>46004</v>
          </cell>
          <cell r="I568" t="str">
            <v>SALDO INICIAL</v>
          </cell>
          <cell r="J568">
            <v>201</v>
          </cell>
          <cell r="K568">
            <v>863.26242200000002</v>
          </cell>
          <cell r="L568">
            <v>4.2902610000000001</v>
          </cell>
          <cell r="M568">
            <v>4.29483792</v>
          </cell>
          <cell r="N568" t="str">
            <v/>
          </cell>
          <cell r="O568" t="str">
            <v/>
          </cell>
          <cell r="P568" t="str">
            <v/>
          </cell>
          <cell r="Q568">
            <v>7.7</v>
          </cell>
          <cell r="R568" t="str">
            <v>UND</v>
          </cell>
          <cell r="S568">
            <v>0</v>
          </cell>
          <cell r="T568">
            <v>0</v>
          </cell>
          <cell r="U568" t="str">
            <v/>
          </cell>
          <cell r="V568" t="str">
            <v>PRO10</v>
          </cell>
          <cell r="W568">
            <v>0</v>
          </cell>
        </row>
        <row r="569">
          <cell r="C569" t="str">
            <v>PI1EMOR001213</v>
          </cell>
          <cell r="D569" t="str">
            <v>PRINC</v>
          </cell>
          <cell r="E569" t="str">
            <v>00013</v>
          </cell>
          <cell r="F569" t="str">
            <v>COMPONENTES P/ SISTEMAS Y TRANSP.</v>
          </cell>
          <cell r="G569" t="str">
            <v>PRINCIPAL</v>
          </cell>
          <cell r="H569">
            <v>46004</v>
          </cell>
          <cell r="I569" t="str">
            <v>SALDO INICIAL</v>
          </cell>
          <cell r="J569">
            <v>4</v>
          </cell>
          <cell r="K569">
            <v>16.543299999999999</v>
          </cell>
          <cell r="L569">
            <v>4.93851</v>
          </cell>
          <cell r="M569">
            <v>4.1358249999999996</v>
          </cell>
          <cell r="N569" t="str">
            <v/>
          </cell>
          <cell r="O569" t="str">
            <v/>
          </cell>
          <cell r="P569" t="str">
            <v/>
          </cell>
          <cell r="Q569">
            <v>7.9</v>
          </cell>
          <cell r="R569" t="str">
            <v>UND</v>
          </cell>
          <cell r="S569">
            <v>0</v>
          </cell>
          <cell r="T569">
            <v>0</v>
          </cell>
          <cell r="U569" t="str">
            <v/>
          </cell>
          <cell r="V569" t="str">
            <v>PRO10</v>
          </cell>
          <cell r="W569">
            <v>0</v>
          </cell>
        </row>
        <row r="570">
          <cell r="C570" t="str">
            <v>PI1EMOR000852</v>
          </cell>
          <cell r="D570" t="str">
            <v>PRINC</v>
          </cell>
          <cell r="E570" t="str">
            <v>00013</v>
          </cell>
          <cell r="F570" t="str">
            <v>COMPONENTES P/ SISTEMAS Y TRANSP.</v>
          </cell>
          <cell r="G570" t="str">
            <v>PRINCIPAL</v>
          </cell>
          <cell r="H570">
            <v>46004</v>
          </cell>
          <cell r="I570" t="str">
            <v>SALDO INICIAL</v>
          </cell>
          <cell r="J570">
            <v>117</v>
          </cell>
          <cell r="K570">
            <v>474.75165700000002</v>
          </cell>
          <cell r="L570">
            <v>4.0577059999999996</v>
          </cell>
          <cell r="M570">
            <v>4.0577064700000003</v>
          </cell>
          <cell r="N570" t="str">
            <v/>
          </cell>
          <cell r="O570" t="str">
            <v/>
          </cell>
          <cell r="P570" t="str">
            <v/>
          </cell>
          <cell r="Q570">
            <v>10.75</v>
          </cell>
          <cell r="R570" t="str">
            <v>UND</v>
          </cell>
          <cell r="S570">
            <v>0</v>
          </cell>
          <cell r="T570">
            <v>0</v>
          </cell>
          <cell r="U570" t="str">
            <v/>
          </cell>
          <cell r="V570" t="str">
            <v>PRO10</v>
          </cell>
          <cell r="W570">
            <v>0</v>
          </cell>
        </row>
        <row r="571">
          <cell r="C571" t="str">
            <v>PI1EMOR000131</v>
          </cell>
          <cell r="D571" t="str">
            <v>PRINC</v>
          </cell>
          <cell r="E571" t="str">
            <v>00013</v>
          </cell>
          <cell r="F571" t="str">
            <v>COMPONENTES P/ SISTEMAS Y TRANSP.</v>
          </cell>
          <cell r="G571" t="str">
            <v>PRINCIPAL</v>
          </cell>
          <cell r="H571">
            <v>46004</v>
          </cell>
          <cell r="I571" t="str">
            <v>SALDO INICIAL</v>
          </cell>
          <cell r="J571">
            <v>5</v>
          </cell>
          <cell r="K571">
            <v>-36.550289999999997</v>
          </cell>
          <cell r="L571">
            <v>2.07396</v>
          </cell>
          <cell r="M571">
            <v>-7.3100579999999997</v>
          </cell>
          <cell r="N571" t="str">
            <v/>
          </cell>
          <cell r="O571" t="str">
            <v/>
          </cell>
          <cell r="P571" t="str">
            <v/>
          </cell>
          <cell r="Q571">
            <v>4.8</v>
          </cell>
          <cell r="R571" t="str">
            <v>UND</v>
          </cell>
          <cell r="S571">
            <v>0</v>
          </cell>
          <cell r="T571">
            <v>0</v>
          </cell>
          <cell r="U571" t="str">
            <v/>
          </cell>
          <cell r="V571" t="str">
            <v>PRO10</v>
          </cell>
          <cell r="W571">
            <v>0</v>
          </cell>
        </row>
        <row r="572">
          <cell r="C572" t="str">
            <v>PI1EMOR000132</v>
          </cell>
          <cell r="D572" t="str">
            <v>PRINC</v>
          </cell>
          <cell r="E572" t="str">
            <v>00013</v>
          </cell>
          <cell r="F572" t="str">
            <v>COMPONENTES P/ SISTEMAS Y TRANSP.</v>
          </cell>
          <cell r="G572" t="str">
            <v>PRINCIPAL</v>
          </cell>
          <cell r="H572">
            <v>46004</v>
          </cell>
          <cell r="I572" t="str">
            <v>SALDO INICIAL</v>
          </cell>
          <cell r="J572">
            <v>147</v>
          </cell>
          <cell r="K572">
            <v>337.88199600000002</v>
          </cell>
          <cell r="L572">
            <v>2.205813</v>
          </cell>
          <cell r="M572">
            <v>2.29851698</v>
          </cell>
          <cell r="N572" t="str">
            <v/>
          </cell>
          <cell r="O572" t="str">
            <v/>
          </cell>
          <cell r="P572" t="str">
            <v/>
          </cell>
          <cell r="Q572">
            <v>4.8</v>
          </cell>
          <cell r="R572" t="str">
            <v>UND</v>
          </cell>
          <cell r="S572">
            <v>0</v>
          </cell>
          <cell r="T572">
            <v>0</v>
          </cell>
          <cell r="U572" t="str">
            <v/>
          </cell>
          <cell r="V572" t="str">
            <v>PRO10</v>
          </cell>
          <cell r="W572">
            <v>0</v>
          </cell>
        </row>
        <row r="573">
          <cell r="C573" t="str">
            <v>PI1EMOR001212</v>
          </cell>
          <cell r="D573" t="str">
            <v>PRINC</v>
          </cell>
          <cell r="E573" t="str">
            <v>00013</v>
          </cell>
          <cell r="F573" t="str">
            <v>COMPONENTES P/ SISTEMAS Y TRANSP.</v>
          </cell>
          <cell r="G573" t="str">
            <v>PRINCIPAL</v>
          </cell>
          <cell r="H573">
            <v>46004</v>
          </cell>
          <cell r="I573" t="str">
            <v>SALDO INICIAL</v>
          </cell>
          <cell r="J573">
            <v>70</v>
          </cell>
          <cell r="K573">
            <v>227.11975100000001</v>
          </cell>
          <cell r="L573">
            <v>3.2881800000000001</v>
          </cell>
          <cell r="M573">
            <v>3.2445678710000001</v>
          </cell>
          <cell r="N573" t="str">
            <v/>
          </cell>
          <cell r="O573" t="str">
            <v/>
          </cell>
          <cell r="P573" t="str">
            <v/>
          </cell>
          <cell r="Q573">
            <v>5.7</v>
          </cell>
          <cell r="R573" t="str">
            <v>UND</v>
          </cell>
          <cell r="S573">
            <v>0</v>
          </cell>
          <cell r="T573">
            <v>0</v>
          </cell>
          <cell r="U573" t="str">
            <v/>
          </cell>
          <cell r="V573" t="str">
            <v>PRO10</v>
          </cell>
          <cell r="W573">
            <v>0</v>
          </cell>
        </row>
        <row r="574">
          <cell r="C574" t="str">
            <v>TE229/80681</v>
          </cell>
          <cell r="D574" t="str">
            <v>PRINC</v>
          </cell>
          <cell r="E574" t="str">
            <v>00013</v>
          </cell>
          <cell r="F574" t="str">
            <v>COMPONENTES P/ SISTEMAS Y TRANSP.</v>
          </cell>
          <cell r="G574" t="str">
            <v>PRINCIPAL</v>
          </cell>
          <cell r="H574">
            <v>46004</v>
          </cell>
          <cell r="I574" t="str">
            <v>SALDO INICIAL</v>
          </cell>
          <cell r="J574">
            <v>93</v>
          </cell>
          <cell r="K574">
            <v>392.91100499999999</v>
          </cell>
          <cell r="L574">
            <v>4.2248489999999999</v>
          </cell>
          <cell r="M574">
            <v>4.2248495159999999</v>
          </cell>
          <cell r="N574" t="str">
            <v/>
          </cell>
          <cell r="O574" t="str">
            <v/>
          </cell>
          <cell r="P574" t="str">
            <v/>
          </cell>
          <cell r="Q574">
            <v>8.58</v>
          </cell>
          <cell r="R574" t="str">
            <v>UND</v>
          </cell>
          <cell r="S574">
            <v>0</v>
          </cell>
          <cell r="T574">
            <v>0</v>
          </cell>
          <cell r="U574" t="str">
            <v/>
          </cell>
          <cell r="V574" t="str">
            <v>PRO10</v>
          </cell>
          <cell r="W574">
            <v>0</v>
          </cell>
        </row>
        <row r="575">
          <cell r="C575" t="str">
            <v>TE405/84327</v>
          </cell>
          <cell r="D575" t="str">
            <v>PRINC</v>
          </cell>
          <cell r="E575" t="str">
            <v>00013</v>
          </cell>
          <cell r="F575" t="str">
            <v>COMPONENTES P/ SISTEMAS Y TRANSP.</v>
          </cell>
          <cell r="G575" t="str">
            <v>PRINCIPAL</v>
          </cell>
          <cell r="H575">
            <v>46004</v>
          </cell>
          <cell r="I575" t="str">
            <v>SALDO INICIAL</v>
          </cell>
          <cell r="J575">
            <v>98</v>
          </cell>
          <cell r="K575">
            <v>1073.2568000000001</v>
          </cell>
          <cell r="L575">
            <v>10.951599999999999</v>
          </cell>
          <cell r="M575">
            <v>10.951599999999999</v>
          </cell>
          <cell r="N575" t="str">
            <v/>
          </cell>
          <cell r="O575" t="str">
            <v/>
          </cell>
          <cell r="P575" t="str">
            <v/>
          </cell>
          <cell r="Q575">
            <v>24.2</v>
          </cell>
          <cell r="R575" t="str">
            <v>UND</v>
          </cell>
          <cell r="S575">
            <v>0</v>
          </cell>
          <cell r="T575">
            <v>0</v>
          </cell>
          <cell r="U575" t="str">
            <v/>
          </cell>
          <cell r="V575" t="str">
            <v>PRO10</v>
          </cell>
          <cell r="W575">
            <v>0</v>
          </cell>
        </row>
        <row r="576">
          <cell r="C576" t="str">
            <v>TE232/80688</v>
          </cell>
          <cell r="D576" t="str">
            <v>PRINC</v>
          </cell>
          <cell r="E576" t="str">
            <v>00013</v>
          </cell>
          <cell r="F576" t="str">
            <v>COMPONENTES P/ SISTEMAS Y TRANSP.</v>
          </cell>
          <cell r="G576" t="str">
            <v>PRINCIPAL</v>
          </cell>
          <cell r="H576">
            <v>46004</v>
          </cell>
          <cell r="I576" t="str">
            <v>SALDO INICIAL</v>
          </cell>
          <cell r="J576">
            <v>40</v>
          </cell>
          <cell r="K576">
            <v>61.4</v>
          </cell>
          <cell r="L576">
            <v>1.5349999999999999</v>
          </cell>
          <cell r="M576">
            <v>1.5349999999999999</v>
          </cell>
          <cell r="N576" t="str">
            <v/>
          </cell>
          <cell r="O576" t="str">
            <v/>
          </cell>
          <cell r="P576" t="str">
            <v/>
          </cell>
          <cell r="Q576">
            <v>3.4</v>
          </cell>
          <cell r="R576" t="str">
            <v>UND</v>
          </cell>
          <cell r="S576">
            <v>0</v>
          </cell>
          <cell r="T576">
            <v>0</v>
          </cell>
          <cell r="U576" t="str">
            <v/>
          </cell>
          <cell r="V576" t="str">
            <v>PRO10</v>
          </cell>
          <cell r="W576">
            <v>0</v>
          </cell>
        </row>
        <row r="577">
          <cell r="C577" t="str">
            <v>TE483/87037</v>
          </cell>
          <cell r="D577" t="str">
            <v>PRINC</v>
          </cell>
          <cell r="E577" t="str">
            <v>00013</v>
          </cell>
          <cell r="F577" t="str">
            <v>COMPONENTES P/ SISTEMAS Y TRANSP.</v>
          </cell>
          <cell r="G577" t="str">
            <v>PRINCIPAL</v>
          </cell>
          <cell r="H577">
            <v>46004</v>
          </cell>
          <cell r="I577" t="str">
            <v>SALDO INICIAL</v>
          </cell>
          <cell r="J577">
            <v>100</v>
          </cell>
          <cell r="K577">
            <v>104.96</v>
          </cell>
          <cell r="L577">
            <v>0</v>
          </cell>
          <cell r="M577">
            <v>1.0496000000000001</v>
          </cell>
          <cell r="N577" t="str">
            <v/>
          </cell>
          <cell r="O577" t="str">
            <v/>
          </cell>
          <cell r="P577" t="str">
            <v/>
          </cell>
          <cell r="Q577">
            <v>0</v>
          </cell>
          <cell r="R577" t="str">
            <v>UND</v>
          </cell>
          <cell r="S577">
            <v>0</v>
          </cell>
          <cell r="T577">
            <v>0</v>
          </cell>
          <cell r="U577" t="str">
            <v/>
          </cell>
          <cell r="V577" t="str">
            <v>PRO10</v>
          </cell>
          <cell r="W577">
            <v>0</v>
          </cell>
        </row>
        <row r="578">
          <cell r="C578" t="str">
            <v>TE483/87038</v>
          </cell>
          <cell r="D578" t="str">
            <v>PRINC</v>
          </cell>
          <cell r="E578" t="str">
            <v>00013</v>
          </cell>
          <cell r="F578" t="str">
            <v>COMPONENTES P/ SISTEMAS Y TRANSP.</v>
          </cell>
          <cell r="G578" t="str">
            <v>PRINCIPAL</v>
          </cell>
          <cell r="H578">
            <v>46004</v>
          </cell>
          <cell r="I578" t="str">
            <v>SALDO INICIAL</v>
          </cell>
          <cell r="J578">
            <v>100</v>
          </cell>
          <cell r="K578">
            <v>104.96</v>
          </cell>
          <cell r="L578">
            <v>0</v>
          </cell>
          <cell r="M578">
            <v>1.0496000000000001</v>
          </cell>
          <cell r="N578" t="str">
            <v/>
          </cell>
          <cell r="O578" t="str">
            <v/>
          </cell>
          <cell r="P578" t="str">
            <v/>
          </cell>
          <cell r="Q578">
            <v>0</v>
          </cell>
          <cell r="R578" t="str">
            <v>UND</v>
          </cell>
          <cell r="S578">
            <v>0</v>
          </cell>
          <cell r="T578">
            <v>0</v>
          </cell>
          <cell r="U578" t="str">
            <v/>
          </cell>
          <cell r="V578" t="str">
            <v>PRO10</v>
          </cell>
          <cell r="W578">
            <v>0</v>
          </cell>
        </row>
        <row r="579">
          <cell r="C579" t="str">
            <v>TE411/84486</v>
          </cell>
          <cell r="D579" t="str">
            <v>PRINC</v>
          </cell>
          <cell r="E579" t="str">
            <v>00013</v>
          </cell>
          <cell r="F579" t="str">
            <v>COMPONENTES P/ SISTEMAS Y TRANSP.</v>
          </cell>
          <cell r="G579" t="str">
            <v>PRINCIPAL</v>
          </cell>
          <cell r="H579">
            <v>46004</v>
          </cell>
          <cell r="I579" t="str">
            <v>SALDO INICIAL</v>
          </cell>
          <cell r="J579">
            <v>23</v>
          </cell>
          <cell r="K579">
            <v>31.94125</v>
          </cell>
          <cell r="L579">
            <v>1.3887499999999999</v>
          </cell>
          <cell r="M579">
            <v>1.3887499999999999</v>
          </cell>
          <cell r="N579" t="str">
            <v/>
          </cell>
          <cell r="O579" t="str">
            <v/>
          </cell>
          <cell r="P579" t="str">
            <v/>
          </cell>
          <cell r="Q579">
            <v>3.08</v>
          </cell>
          <cell r="R579" t="str">
            <v>UND</v>
          </cell>
          <cell r="S579">
            <v>0</v>
          </cell>
          <cell r="T579">
            <v>0</v>
          </cell>
          <cell r="U579" t="str">
            <v/>
          </cell>
          <cell r="V579" t="str">
            <v>PRO10</v>
          </cell>
          <cell r="W579">
            <v>0</v>
          </cell>
        </row>
        <row r="580">
          <cell r="C580" t="str">
            <v>TE101/83145</v>
          </cell>
          <cell r="D580" t="str">
            <v>PRINC</v>
          </cell>
          <cell r="E580" t="str">
            <v>00013</v>
          </cell>
          <cell r="F580" t="str">
            <v>COMPONENTES P/ SISTEMAS Y TRANSP.</v>
          </cell>
          <cell r="G580" t="str">
            <v>PRINCIPAL</v>
          </cell>
          <cell r="H580">
            <v>46004</v>
          </cell>
          <cell r="I580" t="str">
            <v>SALDO INICIAL</v>
          </cell>
          <cell r="J580">
            <v>120</v>
          </cell>
          <cell r="K580">
            <v>1518.281007</v>
          </cell>
          <cell r="L580">
            <v>12.652342000000001</v>
          </cell>
          <cell r="M580">
            <v>12.652341724999999</v>
          </cell>
          <cell r="N580" t="str">
            <v/>
          </cell>
          <cell r="O580" t="str">
            <v/>
          </cell>
          <cell r="P580" t="str">
            <v/>
          </cell>
          <cell r="Q580">
            <v>24.4</v>
          </cell>
          <cell r="R580" t="str">
            <v>UND</v>
          </cell>
          <cell r="S580">
            <v>0</v>
          </cell>
          <cell r="T580">
            <v>0</v>
          </cell>
          <cell r="U580" t="str">
            <v/>
          </cell>
          <cell r="V580" t="str">
            <v>PRO10</v>
          </cell>
          <cell r="W580">
            <v>0</v>
          </cell>
        </row>
        <row r="581">
          <cell r="C581" t="str">
            <v>TE38/83291</v>
          </cell>
          <cell r="D581" t="str">
            <v>PRINC</v>
          </cell>
          <cell r="E581" t="str">
            <v>00013</v>
          </cell>
          <cell r="F581" t="str">
            <v>COMPONENTES P/ SISTEMAS Y TRANSP.</v>
          </cell>
          <cell r="G581" t="str">
            <v>PRINCIPAL</v>
          </cell>
          <cell r="H581">
            <v>46004</v>
          </cell>
          <cell r="I581" t="str">
            <v>SALDO INICIAL</v>
          </cell>
          <cell r="J581">
            <v>404</v>
          </cell>
          <cell r="K581">
            <v>3033.657925</v>
          </cell>
          <cell r="L581">
            <v>7.5090539999999999</v>
          </cell>
          <cell r="M581">
            <v>7.50905427</v>
          </cell>
          <cell r="N581" t="str">
            <v/>
          </cell>
          <cell r="O581" t="str">
            <v/>
          </cell>
          <cell r="P581" t="str">
            <v/>
          </cell>
          <cell r="Q581">
            <v>14.9</v>
          </cell>
          <cell r="R581" t="str">
            <v>UND</v>
          </cell>
          <cell r="S581">
            <v>0</v>
          </cell>
          <cell r="T581">
            <v>0</v>
          </cell>
          <cell r="U581" t="str">
            <v/>
          </cell>
          <cell r="V581" t="str">
            <v>PRO10</v>
          </cell>
          <cell r="W581">
            <v>0</v>
          </cell>
        </row>
        <row r="582">
          <cell r="C582" t="str">
            <v>TE38/7113</v>
          </cell>
          <cell r="D582" t="str">
            <v>PRINC</v>
          </cell>
          <cell r="E582" t="str">
            <v>00013</v>
          </cell>
          <cell r="F582" t="str">
            <v>COMPONENTES P/ SISTEMAS Y TRANSP.</v>
          </cell>
          <cell r="G582" t="str">
            <v>PRINCIPAL</v>
          </cell>
          <cell r="H582">
            <v>46004</v>
          </cell>
          <cell r="I582" t="str">
            <v>SALDO INICIAL</v>
          </cell>
          <cell r="J582">
            <v>578</v>
          </cell>
          <cell r="K582">
            <v>2827.514056</v>
          </cell>
          <cell r="L582">
            <v>4.099539</v>
          </cell>
          <cell r="M582">
            <v>4.8918928299999997</v>
          </cell>
          <cell r="N582" t="str">
            <v/>
          </cell>
          <cell r="O582" t="str">
            <v/>
          </cell>
          <cell r="P582" t="str">
            <v/>
          </cell>
          <cell r="Q582">
            <v>9.0500000000000007</v>
          </cell>
          <cell r="R582" t="str">
            <v>UND</v>
          </cell>
          <cell r="S582">
            <v>0</v>
          </cell>
          <cell r="T582">
            <v>0</v>
          </cell>
          <cell r="U582" t="str">
            <v/>
          </cell>
          <cell r="V582" t="str">
            <v>PRO10</v>
          </cell>
          <cell r="W582">
            <v>0</v>
          </cell>
        </row>
        <row r="583">
          <cell r="C583" t="str">
            <v>TE25/87799</v>
          </cell>
          <cell r="D583" t="str">
            <v>PRINC</v>
          </cell>
          <cell r="E583" t="str">
            <v>00013</v>
          </cell>
          <cell r="F583" t="str">
            <v>COMPONENTES P/ SISTEMAS Y TRANSP.</v>
          </cell>
          <cell r="G583" t="str">
            <v>PRINCIPAL</v>
          </cell>
          <cell r="H583">
            <v>46004</v>
          </cell>
          <cell r="I583" t="str">
            <v>SALDO INICIAL</v>
          </cell>
          <cell r="J583">
            <v>12</v>
          </cell>
          <cell r="K583">
            <v>39.416663999999997</v>
          </cell>
          <cell r="L583">
            <v>3.2847219999999999</v>
          </cell>
          <cell r="M583">
            <v>3.2847219999999999</v>
          </cell>
          <cell r="N583" t="str">
            <v/>
          </cell>
          <cell r="O583" t="str">
            <v/>
          </cell>
          <cell r="P583" t="str">
            <v/>
          </cell>
          <cell r="Q583">
            <v>7.3</v>
          </cell>
          <cell r="R583" t="str">
            <v>UND</v>
          </cell>
          <cell r="S583">
            <v>0</v>
          </cell>
          <cell r="T583">
            <v>0</v>
          </cell>
          <cell r="U583" t="str">
            <v/>
          </cell>
          <cell r="V583" t="str">
            <v>PRO10</v>
          </cell>
          <cell r="W583">
            <v>0</v>
          </cell>
        </row>
        <row r="584">
          <cell r="C584" t="str">
            <v>TE25/7081</v>
          </cell>
          <cell r="D584" t="str">
            <v>PRINC</v>
          </cell>
          <cell r="E584" t="str">
            <v>00013</v>
          </cell>
          <cell r="F584" t="str">
            <v>COMPONENTES P/ SISTEMAS Y TRANSP.</v>
          </cell>
          <cell r="G584" t="str">
            <v>PRINCIPAL</v>
          </cell>
          <cell r="H584">
            <v>46004</v>
          </cell>
          <cell r="I584" t="str">
            <v>SALDO INICIAL</v>
          </cell>
          <cell r="J584">
            <v>24</v>
          </cell>
          <cell r="K584">
            <v>75.048407999999995</v>
          </cell>
          <cell r="L584">
            <v>3.1270159999999998</v>
          </cell>
          <cell r="M584">
            <v>3.1270169999999999</v>
          </cell>
          <cell r="N584" t="str">
            <v/>
          </cell>
          <cell r="O584" t="str">
            <v/>
          </cell>
          <cell r="P584" t="str">
            <v/>
          </cell>
          <cell r="Q584">
            <v>7.3</v>
          </cell>
          <cell r="R584" t="str">
            <v>UND</v>
          </cell>
          <cell r="S584">
            <v>0</v>
          </cell>
          <cell r="T584">
            <v>0</v>
          </cell>
          <cell r="U584" t="str">
            <v/>
          </cell>
          <cell r="V584" t="str">
            <v>PRO10</v>
          </cell>
          <cell r="W584">
            <v>0</v>
          </cell>
        </row>
        <row r="585">
          <cell r="C585" t="str">
            <v>TE25/7091</v>
          </cell>
          <cell r="D585" t="str">
            <v>PRINC</v>
          </cell>
          <cell r="E585" t="str">
            <v>00013</v>
          </cell>
          <cell r="F585" t="str">
            <v>COMPONENTES P/ SISTEMAS Y TRANSP.</v>
          </cell>
          <cell r="G585" t="str">
            <v>PRINCIPAL</v>
          </cell>
          <cell r="H585">
            <v>46004</v>
          </cell>
          <cell r="I585" t="str">
            <v>SALDO INICIAL</v>
          </cell>
          <cell r="J585">
            <v>246</v>
          </cell>
          <cell r="K585">
            <v>1163.0142000000001</v>
          </cell>
          <cell r="L585">
            <v>4.7276999999999996</v>
          </cell>
          <cell r="M585">
            <v>4.7276999999999996</v>
          </cell>
          <cell r="N585" t="str">
            <v/>
          </cell>
          <cell r="O585" t="str">
            <v/>
          </cell>
          <cell r="P585" t="str">
            <v/>
          </cell>
          <cell r="Q585">
            <v>7.6</v>
          </cell>
          <cell r="R585" t="str">
            <v>UND</v>
          </cell>
          <cell r="S585">
            <v>0</v>
          </cell>
          <cell r="T585">
            <v>0</v>
          </cell>
          <cell r="U585" t="str">
            <v/>
          </cell>
          <cell r="V585" t="str">
            <v>PRO10</v>
          </cell>
          <cell r="W585">
            <v>0</v>
          </cell>
        </row>
        <row r="586">
          <cell r="C586" t="str">
            <v>TE92/83299</v>
          </cell>
          <cell r="D586" t="str">
            <v>PRINC</v>
          </cell>
          <cell r="E586" t="str">
            <v>00013</v>
          </cell>
          <cell r="F586" t="str">
            <v>COMPONENTES P/ SISTEMAS Y TRANSP.</v>
          </cell>
          <cell r="G586" t="str">
            <v>PRINCIPAL</v>
          </cell>
          <cell r="H586">
            <v>46004</v>
          </cell>
          <cell r="I586" t="str">
            <v>SALDO INICIAL</v>
          </cell>
          <cell r="J586">
            <v>14</v>
          </cell>
          <cell r="K586">
            <v>112.095106</v>
          </cell>
          <cell r="L586">
            <v>8.006793</v>
          </cell>
          <cell r="M586">
            <v>8.0067932860000006</v>
          </cell>
          <cell r="N586" t="str">
            <v/>
          </cell>
          <cell r="O586" t="str">
            <v/>
          </cell>
          <cell r="P586" t="str">
            <v/>
          </cell>
          <cell r="Q586">
            <v>16.5</v>
          </cell>
          <cell r="R586" t="str">
            <v>UND</v>
          </cell>
          <cell r="S586">
            <v>0</v>
          </cell>
          <cell r="T586">
            <v>0</v>
          </cell>
          <cell r="U586" t="str">
            <v/>
          </cell>
          <cell r="V586" t="str">
            <v>PRO10</v>
          </cell>
          <cell r="W586">
            <v>0</v>
          </cell>
        </row>
        <row r="587">
          <cell r="C587" t="str">
            <v>TE92/7785</v>
          </cell>
          <cell r="D587" t="str">
            <v>PRINC</v>
          </cell>
          <cell r="E587" t="str">
            <v>00013</v>
          </cell>
          <cell r="F587" t="str">
            <v>COMPONENTES P/ SISTEMAS Y TRANSP.</v>
          </cell>
          <cell r="G587" t="str">
            <v>PRINCIPAL</v>
          </cell>
          <cell r="H587">
            <v>46004</v>
          </cell>
          <cell r="I587" t="str">
            <v>SALDO INICIAL</v>
          </cell>
          <cell r="J587">
            <v>30</v>
          </cell>
          <cell r="K587">
            <v>162.59001000000001</v>
          </cell>
          <cell r="L587">
            <v>4.7020309999999998</v>
          </cell>
          <cell r="M587">
            <v>5.4196669999999996</v>
          </cell>
          <cell r="N587" t="str">
            <v/>
          </cell>
          <cell r="O587" t="str">
            <v/>
          </cell>
          <cell r="P587" t="str">
            <v/>
          </cell>
          <cell r="Q587">
            <v>9.75</v>
          </cell>
          <cell r="R587" t="str">
            <v>UND</v>
          </cell>
          <cell r="S587">
            <v>0</v>
          </cell>
          <cell r="T587">
            <v>0</v>
          </cell>
          <cell r="U587" t="str">
            <v/>
          </cell>
          <cell r="V587" t="str">
            <v>PRO10</v>
          </cell>
          <cell r="W587">
            <v>0</v>
          </cell>
        </row>
        <row r="588">
          <cell r="C588" t="str">
            <v>TE10/7003</v>
          </cell>
          <cell r="D588" t="str">
            <v>PRINC</v>
          </cell>
          <cell r="E588" t="str">
            <v>00013</v>
          </cell>
          <cell r="F588" t="str">
            <v>COMPONENTES P/ SISTEMAS Y TRANSP.</v>
          </cell>
          <cell r="G588" t="str">
            <v>PRINCIPAL</v>
          </cell>
          <cell r="H588">
            <v>46004</v>
          </cell>
          <cell r="I588" t="str">
            <v>SALDO INICIAL</v>
          </cell>
          <cell r="J588">
            <v>50</v>
          </cell>
          <cell r="K588">
            <v>115.9</v>
          </cell>
          <cell r="L588">
            <v>2.8718270000000001</v>
          </cell>
          <cell r="M588">
            <v>2.3180000000000001</v>
          </cell>
          <cell r="N588" t="str">
            <v/>
          </cell>
          <cell r="O588" t="str">
            <v/>
          </cell>
          <cell r="P588" t="str">
            <v/>
          </cell>
          <cell r="Q588">
            <v>4.55</v>
          </cell>
          <cell r="R588" t="str">
            <v>UND</v>
          </cell>
          <cell r="S588">
            <v>0</v>
          </cell>
          <cell r="T588">
            <v>0</v>
          </cell>
          <cell r="U588" t="str">
            <v/>
          </cell>
          <cell r="V588" t="str">
            <v>PRO10</v>
          </cell>
          <cell r="W588">
            <v>0</v>
          </cell>
        </row>
        <row r="589">
          <cell r="C589" t="str">
            <v>TE113/83795</v>
          </cell>
          <cell r="D589" t="str">
            <v>PRINC</v>
          </cell>
          <cell r="E589" t="str">
            <v>00013</v>
          </cell>
          <cell r="F589" t="str">
            <v>COMPONENTES P/ SISTEMAS Y TRANSP.</v>
          </cell>
          <cell r="G589" t="str">
            <v>PRINCIPAL</v>
          </cell>
          <cell r="H589">
            <v>46004</v>
          </cell>
          <cell r="I589" t="str">
            <v>SALDO INICIAL</v>
          </cell>
          <cell r="J589">
            <v>18</v>
          </cell>
          <cell r="K589">
            <v>110.426256</v>
          </cell>
          <cell r="L589">
            <v>6.134792</v>
          </cell>
          <cell r="M589">
            <v>6.134792</v>
          </cell>
          <cell r="N589" t="str">
            <v/>
          </cell>
          <cell r="O589" t="str">
            <v/>
          </cell>
          <cell r="P589" t="str">
            <v/>
          </cell>
          <cell r="Q589">
            <v>13.8</v>
          </cell>
          <cell r="R589" t="str">
            <v>UND</v>
          </cell>
          <cell r="S589">
            <v>0</v>
          </cell>
          <cell r="T589">
            <v>0</v>
          </cell>
          <cell r="U589" t="str">
            <v/>
          </cell>
          <cell r="V589" t="str">
            <v>PRO10</v>
          </cell>
          <cell r="W589">
            <v>0</v>
          </cell>
        </row>
        <row r="590">
          <cell r="C590" t="str">
            <v>TE113/83822</v>
          </cell>
          <cell r="D590" t="str">
            <v>PRINC</v>
          </cell>
          <cell r="E590" t="str">
            <v>00013</v>
          </cell>
          <cell r="F590" t="str">
            <v>COMPONENTES P/ SISTEMAS Y TRANSP.</v>
          </cell>
          <cell r="G590" t="str">
            <v>PRINCIPAL</v>
          </cell>
          <cell r="H590">
            <v>46004</v>
          </cell>
          <cell r="I590" t="str">
            <v>SALDO INICIAL</v>
          </cell>
          <cell r="J590">
            <v>66</v>
          </cell>
          <cell r="K590">
            <v>460.3698</v>
          </cell>
          <cell r="L590">
            <v>6.9752999999999998</v>
          </cell>
          <cell r="M590">
            <v>6.9752999999999998</v>
          </cell>
          <cell r="N590" t="str">
            <v/>
          </cell>
          <cell r="O590" t="str">
            <v/>
          </cell>
          <cell r="P590" t="str">
            <v/>
          </cell>
          <cell r="Q590">
            <v>13.8</v>
          </cell>
          <cell r="R590" t="str">
            <v>UND</v>
          </cell>
          <cell r="S590">
            <v>0</v>
          </cell>
          <cell r="T590">
            <v>0</v>
          </cell>
          <cell r="U590" t="str">
            <v/>
          </cell>
          <cell r="V590" t="str">
            <v>PRO10</v>
          </cell>
          <cell r="W590">
            <v>0</v>
          </cell>
        </row>
        <row r="591">
          <cell r="C591" t="str">
            <v>TE18/7039</v>
          </cell>
          <cell r="D591" t="str">
            <v>PRINC</v>
          </cell>
          <cell r="E591" t="str">
            <v>00013</v>
          </cell>
          <cell r="F591" t="str">
            <v>COMPONENTES P/ SISTEMAS Y TRANSP.</v>
          </cell>
          <cell r="G591" t="str">
            <v>PRINCIPAL</v>
          </cell>
          <cell r="H591">
            <v>46004</v>
          </cell>
          <cell r="I591" t="str">
            <v>SALDO INICIAL</v>
          </cell>
          <cell r="J591">
            <v>114</v>
          </cell>
          <cell r="K591">
            <v>332.51369999999997</v>
          </cell>
          <cell r="L591">
            <v>2.9167860000000001</v>
          </cell>
          <cell r="M591">
            <v>2.916786842</v>
          </cell>
          <cell r="N591" t="str">
            <v/>
          </cell>
          <cell r="O591" t="str">
            <v/>
          </cell>
          <cell r="P591" t="str">
            <v/>
          </cell>
          <cell r="Q591">
            <v>6.3</v>
          </cell>
          <cell r="R591" t="str">
            <v>UND</v>
          </cell>
          <cell r="S591">
            <v>0</v>
          </cell>
          <cell r="T591">
            <v>0</v>
          </cell>
          <cell r="U591" t="str">
            <v/>
          </cell>
          <cell r="V591" t="str">
            <v>PRO10</v>
          </cell>
          <cell r="W591">
            <v>0</v>
          </cell>
        </row>
        <row r="592">
          <cell r="C592" t="str">
            <v>TE101/83076</v>
          </cell>
          <cell r="D592" t="str">
            <v>PRINC</v>
          </cell>
          <cell r="E592" t="str">
            <v>00013</v>
          </cell>
          <cell r="F592" t="str">
            <v>COMPONENTES P/ SISTEMAS Y TRANSP.</v>
          </cell>
          <cell r="G592" t="str">
            <v>PRINCIPAL</v>
          </cell>
          <cell r="H592">
            <v>46004</v>
          </cell>
          <cell r="I592" t="str">
            <v>SALDO INICIAL</v>
          </cell>
          <cell r="J592">
            <v>24</v>
          </cell>
          <cell r="K592">
            <v>259.63999200000001</v>
          </cell>
          <cell r="L592">
            <v>10.818333000000001</v>
          </cell>
          <cell r="M592">
            <v>10.818333000000001</v>
          </cell>
          <cell r="N592" t="str">
            <v/>
          </cell>
          <cell r="O592" t="str">
            <v/>
          </cell>
          <cell r="P592" t="str">
            <v/>
          </cell>
          <cell r="Q592">
            <v>21.6</v>
          </cell>
          <cell r="R592" t="str">
            <v>UND</v>
          </cell>
          <cell r="S592">
            <v>0</v>
          </cell>
          <cell r="T592">
            <v>0</v>
          </cell>
          <cell r="U592" t="str">
            <v/>
          </cell>
          <cell r="V592" t="str">
            <v>PRO10</v>
          </cell>
          <cell r="W592">
            <v>0</v>
          </cell>
        </row>
        <row r="593">
          <cell r="C593" t="str">
            <v>PI1ENUE000204</v>
          </cell>
          <cell r="D593" t="str">
            <v>PRINC</v>
          </cell>
          <cell r="E593" t="str">
            <v>00013</v>
          </cell>
          <cell r="F593" t="str">
            <v>COMPONENTES P/ SISTEMAS Y TRANSP.</v>
          </cell>
          <cell r="G593" t="str">
            <v>PRINCIPAL</v>
          </cell>
          <cell r="H593">
            <v>46004</v>
          </cell>
          <cell r="I593" t="str">
            <v>SALDO INICIAL</v>
          </cell>
          <cell r="J593">
            <v>184</v>
          </cell>
          <cell r="K593">
            <v>654.478024</v>
          </cell>
          <cell r="L593">
            <v>3.3862969999999999</v>
          </cell>
          <cell r="M593">
            <v>3.5569457830000002</v>
          </cell>
          <cell r="N593" t="str">
            <v/>
          </cell>
          <cell r="O593" t="str">
            <v/>
          </cell>
          <cell r="P593" t="str">
            <v/>
          </cell>
          <cell r="Q593">
            <v>6.65</v>
          </cell>
          <cell r="R593" t="str">
            <v>UND</v>
          </cell>
          <cell r="S593">
            <v>0</v>
          </cell>
          <cell r="T593">
            <v>0</v>
          </cell>
          <cell r="U593" t="str">
            <v/>
          </cell>
          <cell r="V593" t="str">
            <v>PRO10</v>
          </cell>
          <cell r="W593">
            <v>0</v>
          </cell>
        </row>
        <row r="594">
          <cell r="C594" t="str">
            <v>PI1ENUE000055</v>
          </cell>
          <cell r="D594" t="str">
            <v>PRINC</v>
          </cell>
          <cell r="E594" t="str">
            <v>00013</v>
          </cell>
          <cell r="F594" t="str">
            <v>COMPONENTES P/ SISTEMAS Y TRANSP.</v>
          </cell>
          <cell r="G594" t="str">
            <v>PRINCIPAL</v>
          </cell>
          <cell r="H594">
            <v>46004</v>
          </cell>
          <cell r="I594" t="str">
            <v>SALDO INICIAL</v>
          </cell>
          <cell r="J594">
            <v>0</v>
          </cell>
          <cell r="K594">
            <v>-0.34710800000000003</v>
          </cell>
          <cell r="L594">
            <v>3.436102</v>
          </cell>
          <cell r="M594">
            <v>0</v>
          </cell>
          <cell r="N594" t="str">
            <v/>
          </cell>
          <cell r="O594" t="str">
            <v/>
          </cell>
          <cell r="P594" t="str">
            <v/>
          </cell>
          <cell r="Q594">
            <v>6.75</v>
          </cell>
          <cell r="R594" t="str">
            <v>UND</v>
          </cell>
          <cell r="S594">
            <v>0</v>
          </cell>
          <cell r="T594">
            <v>0</v>
          </cell>
          <cell r="U594" t="str">
            <v/>
          </cell>
          <cell r="V594" t="str">
            <v>PRO10</v>
          </cell>
          <cell r="W594">
            <v>0</v>
          </cell>
        </row>
        <row r="595">
          <cell r="C595" t="str">
            <v>PI1ENUE000206</v>
          </cell>
          <cell r="D595" t="str">
            <v>PRINC</v>
          </cell>
          <cell r="E595" t="str">
            <v>00013</v>
          </cell>
          <cell r="F595" t="str">
            <v>COMPONENTES P/ SISTEMAS Y TRANSP.</v>
          </cell>
          <cell r="G595" t="str">
            <v>PRINCIPAL</v>
          </cell>
          <cell r="H595">
            <v>46004</v>
          </cell>
          <cell r="I595" t="str">
            <v>SALDO INICIAL</v>
          </cell>
          <cell r="J595">
            <v>8</v>
          </cell>
          <cell r="K595">
            <v>30.9</v>
          </cell>
          <cell r="L595">
            <v>3.8624999999999998</v>
          </cell>
          <cell r="M595">
            <v>3.8624999999999998</v>
          </cell>
          <cell r="N595" t="str">
            <v/>
          </cell>
          <cell r="O595" t="str">
            <v/>
          </cell>
          <cell r="P595" t="str">
            <v/>
          </cell>
          <cell r="Q595">
            <v>6.9</v>
          </cell>
          <cell r="R595" t="str">
            <v>UND</v>
          </cell>
          <cell r="S595">
            <v>0</v>
          </cell>
          <cell r="T595">
            <v>0</v>
          </cell>
          <cell r="U595" t="str">
            <v/>
          </cell>
          <cell r="V595" t="str">
            <v>PRO10</v>
          </cell>
          <cell r="W595">
            <v>0</v>
          </cell>
        </row>
        <row r="596">
          <cell r="C596" t="str">
            <v>TE239/80994</v>
          </cell>
          <cell r="D596" t="str">
            <v>PRINC</v>
          </cell>
          <cell r="E596" t="str">
            <v>00013</v>
          </cell>
          <cell r="F596" t="str">
            <v>COMPONENTES P/ SISTEMAS Y TRANSP.</v>
          </cell>
          <cell r="G596" t="str">
            <v>PRINCIPAL</v>
          </cell>
          <cell r="H596">
            <v>46004</v>
          </cell>
          <cell r="I596" t="str">
            <v>SALDO INICIAL</v>
          </cell>
          <cell r="J596">
            <v>148</v>
          </cell>
          <cell r="K596">
            <v>281.60641600000002</v>
          </cell>
          <cell r="L596">
            <v>1.902746</v>
          </cell>
          <cell r="M596">
            <v>1.9027460540000001</v>
          </cell>
          <cell r="N596" t="str">
            <v/>
          </cell>
          <cell r="O596" t="str">
            <v/>
          </cell>
          <cell r="P596" t="str">
            <v/>
          </cell>
          <cell r="Q596">
            <v>3.5</v>
          </cell>
          <cell r="R596" t="str">
            <v>UND</v>
          </cell>
          <cell r="S596">
            <v>0</v>
          </cell>
          <cell r="T596">
            <v>0</v>
          </cell>
          <cell r="U596" t="str">
            <v/>
          </cell>
          <cell r="V596" t="str">
            <v>PRO10</v>
          </cell>
          <cell r="W596">
            <v>0</v>
          </cell>
        </row>
        <row r="597">
          <cell r="C597" t="str">
            <v>PI1EMAN000809</v>
          </cell>
          <cell r="D597" t="str">
            <v>PRINC</v>
          </cell>
          <cell r="E597" t="str">
            <v>00013</v>
          </cell>
          <cell r="F597" t="str">
            <v>COMPONENTES P/ SISTEMAS Y TRANSP.</v>
          </cell>
          <cell r="G597" t="str">
            <v>PRINCIPAL</v>
          </cell>
          <cell r="H597">
            <v>46004</v>
          </cell>
          <cell r="I597" t="str">
            <v>SALDO INICIAL</v>
          </cell>
          <cell r="J597">
            <v>3</v>
          </cell>
          <cell r="K597">
            <v>9.2659079999999996</v>
          </cell>
          <cell r="L597">
            <v>3.0886360000000002</v>
          </cell>
          <cell r="M597">
            <v>3.0886360000000002</v>
          </cell>
          <cell r="N597" t="str">
            <v/>
          </cell>
          <cell r="O597" t="str">
            <v/>
          </cell>
          <cell r="P597" t="str">
            <v/>
          </cell>
          <cell r="Q597">
            <v>9.5</v>
          </cell>
          <cell r="R597" t="str">
            <v>UND</v>
          </cell>
          <cell r="S597">
            <v>0</v>
          </cell>
          <cell r="T597">
            <v>0</v>
          </cell>
          <cell r="U597" t="str">
            <v/>
          </cell>
          <cell r="V597" t="str">
            <v>PRO10</v>
          </cell>
          <cell r="W597">
            <v>0</v>
          </cell>
        </row>
        <row r="598">
          <cell r="C598" t="str">
            <v>PI1EMAN000807</v>
          </cell>
          <cell r="D598" t="str">
            <v>PRINC</v>
          </cell>
          <cell r="E598" t="str">
            <v>00013</v>
          </cell>
          <cell r="F598" t="str">
            <v>COMPONENTES P/ SISTEMAS Y TRANSP.</v>
          </cell>
          <cell r="G598" t="str">
            <v>PRINCIPAL</v>
          </cell>
          <cell r="H598">
            <v>46004</v>
          </cell>
          <cell r="I598" t="str">
            <v>SALDO INICIAL</v>
          </cell>
          <cell r="J598">
            <v>0</v>
          </cell>
          <cell r="K598">
            <v>0</v>
          </cell>
          <cell r="L598">
            <v>5.2084450000000002</v>
          </cell>
          <cell r="M598">
            <v>0</v>
          </cell>
          <cell r="N598" t="str">
            <v/>
          </cell>
          <cell r="O598" t="str">
            <v/>
          </cell>
          <cell r="P598" t="str">
            <v/>
          </cell>
          <cell r="Q598">
            <v>12.3</v>
          </cell>
          <cell r="R598" t="str">
            <v>UND</v>
          </cell>
          <cell r="S598">
            <v>0</v>
          </cell>
          <cell r="T598">
            <v>0</v>
          </cell>
          <cell r="U598" t="str">
            <v/>
          </cell>
          <cell r="V598" t="str">
            <v>PRO10</v>
          </cell>
          <cell r="W598">
            <v>0</v>
          </cell>
        </row>
        <row r="599">
          <cell r="C599" t="str">
            <v>PI1EMAN000805</v>
          </cell>
          <cell r="D599" t="str">
            <v>PRINC</v>
          </cell>
          <cell r="E599" t="str">
            <v>00013</v>
          </cell>
          <cell r="F599" t="str">
            <v>COMPONENTES P/ SISTEMAS Y TRANSP.</v>
          </cell>
          <cell r="G599" t="str">
            <v>PRINCIPAL</v>
          </cell>
          <cell r="H599">
            <v>46004</v>
          </cell>
          <cell r="I599" t="str">
            <v>SALDO INICIAL</v>
          </cell>
          <cell r="J599">
            <v>2</v>
          </cell>
          <cell r="K599">
            <v>9.9256460000000004</v>
          </cell>
          <cell r="L599">
            <v>4.9628240000000003</v>
          </cell>
          <cell r="M599">
            <v>4.9628230000000002</v>
          </cell>
          <cell r="N599" t="str">
            <v/>
          </cell>
          <cell r="O599" t="str">
            <v/>
          </cell>
          <cell r="P599" t="str">
            <v/>
          </cell>
          <cell r="Q599">
            <v>11.2</v>
          </cell>
          <cell r="R599" t="str">
            <v>UND</v>
          </cell>
          <cell r="S599">
            <v>0</v>
          </cell>
          <cell r="T599">
            <v>0</v>
          </cell>
          <cell r="U599" t="str">
            <v/>
          </cell>
          <cell r="V599" t="str">
            <v>PRO10</v>
          </cell>
          <cell r="W599">
            <v>0</v>
          </cell>
        </row>
        <row r="600">
          <cell r="C600" t="str">
            <v>PI1EPER990001</v>
          </cell>
          <cell r="D600" t="str">
            <v>PRINC</v>
          </cell>
          <cell r="E600" t="str">
            <v>00013</v>
          </cell>
          <cell r="F600" t="str">
            <v>COMPONENTES P/ SISTEMAS Y TRANSP.</v>
          </cell>
          <cell r="G600" t="str">
            <v>PRINCIPAL</v>
          </cell>
          <cell r="H600">
            <v>46004</v>
          </cell>
          <cell r="I600" t="str">
            <v>SALDO INICIAL</v>
          </cell>
          <cell r="J600">
            <v>2</v>
          </cell>
          <cell r="K600">
            <v>5.1112000000000002</v>
          </cell>
          <cell r="L600">
            <v>2.5556000000000001</v>
          </cell>
          <cell r="M600">
            <v>2.5556000000000001</v>
          </cell>
          <cell r="N600" t="str">
            <v/>
          </cell>
          <cell r="O600" t="str">
            <v/>
          </cell>
          <cell r="P600" t="str">
            <v/>
          </cell>
          <cell r="Q600">
            <v>7.85</v>
          </cell>
          <cell r="R600" t="str">
            <v>UND</v>
          </cell>
          <cell r="S600">
            <v>0</v>
          </cell>
          <cell r="T600">
            <v>0</v>
          </cell>
          <cell r="U600" t="str">
            <v/>
          </cell>
          <cell r="V600" t="str">
            <v>PRO10</v>
          </cell>
          <cell r="W600">
            <v>0</v>
          </cell>
        </row>
        <row r="601">
          <cell r="C601" t="str">
            <v>PI1EPER000111</v>
          </cell>
          <cell r="D601" t="str">
            <v>PRINC</v>
          </cell>
          <cell r="E601" t="str">
            <v>00013</v>
          </cell>
          <cell r="F601" t="str">
            <v>COMPONENTES P/ SISTEMAS Y TRANSP.</v>
          </cell>
          <cell r="G601" t="str">
            <v>PRINCIPAL</v>
          </cell>
          <cell r="H601">
            <v>46004</v>
          </cell>
          <cell r="I601" t="str">
            <v>SALDO INICIAL</v>
          </cell>
          <cell r="J601">
            <v>0</v>
          </cell>
          <cell r="K601">
            <v>-0.43197099999999999</v>
          </cell>
          <cell r="L601">
            <v>1.831566</v>
          </cell>
          <cell r="M601">
            <v>0</v>
          </cell>
          <cell r="N601" t="str">
            <v/>
          </cell>
          <cell r="O601" t="str">
            <v/>
          </cell>
          <cell r="P601" t="str">
            <v/>
          </cell>
          <cell r="Q601">
            <v>3.7</v>
          </cell>
          <cell r="R601" t="str">
            <v>UND</v>
          </cell>
          <cell r="S601">
            <v>0</v>
          </cell>
          <cell r="T601">
            <v>0</v>
          </cell>
          <cell r="U601" t="str">
            <v/>
          </cell>
          <cell r="V601" t="str">
            <v>PRO10</v>
          </cell>
          <cell r="W601">
            <v>0</v>
          </cell>
        </row>
        <row r="602">
          <cell r="C602" t="str">
            <v>PI1EPER000110</v>
          </cell>
          <cell r="D602" t="str">
            <v>PRINC</v>
          </cell>
          <cell r="E602" t="str">
            <v>00013</v>
          </cell>
          <cell r="F602" t="str">
            <v>COMPONENTES P/ SISTEMAS Y TRANSP.</v>
          </cell>
          <cell r="G602" t="str">
            <v>PRINCIPAL</v>
          </cell>
          <cell r="H602">
            <v>46004</v>
          </cell>
          <cell r="I602" t="str">
            <v>SALDO INICIAL</v>
          </cell>
          <cell r="J602">
            <v>5</v>
          </cell>
          <cell r="K602">
            <v>10.536293000000001</v>
          </cell>
          <cell r="L602">
            <v>2.1091850000000001</v>
          </cell>
          <cell r="M602">
            <v>2.1072586000000002</v>
          </cell>
          <cell r="N602" t="str">
            <v/>
          </cell>
          <cell r="O602" t="str">
            <v/>
          </cell>
          <cell r="P602" t="str">
            <v/>
          </cell>
          <cell r="Q602">
            <v>3.7</v>
          </cell>
          <cell r="R602" t="str">
            <v>UND</v>
          </cell>
          <cell r="S602">
            <v>0</v>
          </cell>
          <cell r="T602">
            <v>0</v>
          </cell>
          <cell r="U602" t="str">
            <v/>
          </cell>
          <cell r="V602" t="str">
            <v>PRO10</v>
          </cell>
          <cell r="W602">
            <v>0</v>
          </cell>
        </row>
        <row r="603">
          <cell r="C603" t="str">
            <v>TE400/86693</v>
          </cell>
          <cell r="D603" t="str">
            <v>PRINC</v>
          </cell>
          <cell r="E603" t="str">
            <v>00013</v>
          </cell>
          <cell r="F603" t="str">
            <v>COMPONENTES P/ SISTEMAS Y TRANSP.</v>
          </cell>
          <cell r="G603" t="str">
            <v>PRINCIPAL</v>
          </cell>
          <cell r="H603">
            <v>46004</v>
          </cell>
          <cell r="I603" t="str">
            <v>SALDO INICIAL</v>
          </cell>
          <cell r="J603">
            <v>20</v>
          </cell>
          <cell r="K603">
            <v>94.35</v>
          </cell>
          <cell r="L603">
            <v>4.3893329999999997</v>
          </cell>
          <cell r="M603">
            <v>4.7175000000000002</v>
          </cell>
          <cell r="N603" t="str">
            <v/>
          </cell>
          <cell r="O603" t="str">
            <v/>
          </cell>
          <cell r="P603" t="str">
            <v/>
          </cell>
          <cell r="Q603">
            <v>9</v>
          </cell>
          <cell r="R603" t="str">
            <v>UND</v>
          </cell>
          <cell r="S603">
            <v>0</v>
          </cell>
          <cell r="T603">
            <v>0</v>
          </cell>
          <cell r="U603" t="str">
            <v/>
          </cell>
          <cell r="V603" t="str">
            <v>PRO10</v>
          </cell>
          <cell r="W603">
            <v>0</v>
          </cell>
        </row>
        <row r="604">
          <cell r="C604" t="str">
            <v>TE313/82848</v>
          </cell>
          <cell r="D604" t="str">
            <v>PRINC</v>
          </cell>
          <cell r="E604" t="str">
            <v>00013</v>
          </cell>
          <cell r="F604" t="str">
            <v>COMPONENTES P/ SISTEMAS Y TRANSP.</v>
          </cell>
          <cell r="G604" t="str">
            <v>PRINCIPAL</v>
          </cell>
          <cell r="H604">
            <v>46004</v>
          </cell>
          <cell r="I604" t="str">
            <v>SALDO INICIAL</v>
          </cell>
          <cell r="J604">
            <v>18</v>
          </cell>
          <cell r="K604">
            <v>21.810006000000001</v>
          </cell>
          <cell r="L604">
            <v>1.211667</v>
          </cell>
          <cell r="M604">
            <v>1.211667</v>
          </cell>
          <cell r="N604" t="str">
            <v/>
          </cell>
          <cell r="O604" t="str">
            <v/>
          </cell>
          <cell r="P604" t="str">
            <v/>
          </cell>
          <cell r="Q604">
            <v>2.65</v>
          </cell>
          <cell r="R604" t="str">
            <v>UND</v>
          </cell>
          <cell r="S604">
            <v>0</v>
          </cell>
          <cell r="T604">
            <v>0</v>
          </cell>
          <cell r="U604" t="str">
            <v/>
          </cell>
          <cell r="V604" t="str">
            <v>PRO10</v>
          </cell>
          <cell r="W604">
            <v>0</v>
          </cell>
        </row>
        <row r="605">
          <cell r="C605" t="str">
            <v>TE294/82588</v>
          </cell>
          <cell r="D605" t="str">
            <v>PRINC</v>
          </cell>
          <cell r="E605" t="str">
            <v>00013</v>
          </cell>
          <cell r="F605" t="str">
            <v>COMPONENTES P/ SISTEMAS Y TRANSP.</v>
          </cell>
          <cell r="G605" t="str">
            <v>PRINCIPAL</v>
          </cell>
          <cell r="H605">
            <v>46004</v>
          </cell>
          <cell r="I605" t="str">
            <v>SALDO INICIAL</v>
          </cell>
          <cell r="J605">
            <v>21</v>
          </cell>
          <cell r="K605">
            <v>41.706000000000003</v>
          </cell>
          <cell r="L605">
            <v>1.986</v>
          </cell>
          <cell r="M605">
            <v>1.986</v>
          </cell>
          <cell r="N605" t="str">
            <v/>
          </cell>
          <cell r="O605" t="str">
            <v/>
          </cell>
          <cell r="P605" t="str">
            <v/>
          </cell>
          <cell r="Q605">
            <v>3.54</v>
          </cell>
          <cell r="R605" t="str">
            <v>UND</v>
          </cell>
          <cell r="S605">
            <v>0</v>
          </cell>
          <cell r="T605">
            <v>0</v>
          </cell>
          <cell r="U605" t="str">
            <v/>
          </cell>
          <cell r="V605" t="str">
            <v>PRO10</v>
          </cell>
          <cell r="W605">
            <v>0</v>
          </cell>
        </row>
        <row r="606">
          <cell r="C606" t="str">
            <v>TE294/82805</v>
          </cell>
          <cell r="D606" t="str">
            <v>PRINC</v>
          </cell>
          <cell r="E606" t="str">
            <v>00013</v>
          </cell>
          <cell r="F606" t="str">
            <v>COMPONENTES P/ SISTEMAS Y TRANSP.</v>
          </cell>
          <cell r="G606" t="str">
            <v>PRINCIPAL</v>
          </cell>
          <cell r="H606">
            <v>46004</v>
          </cell>
          <cell r="I606" t="str">
            <v>SALDO INICIAL</v>
          </cell>
          <cell r="J606">
            <v>20</v>
          </cell>
          <cell r="K606">
            <v>40.89</v>
          </cell>
          <cell r="L606">
            <v>1.962</v>
          </cell>
          <cell r="M606">
            <v>2.0445000000000002</v>
          </cell>
          <cell r="N606" t="str">
            <v/>
          </cell>
          <cell r="O606" t="str">
            <v/>
          </cell>
          <cell r="P606" t="str">
            <v/>
          </cell>
          <cell r="Q606">
            <v>4.25</v>
          </cell>
          <cell r="R606" t="str">
            <v>UND</v>
          </cell>
          <cell r="S606">
            <v>0</v>
          </cell>
          <cell r="T606">
            <v>0</v>
          </cell>
          <cell r="U606" t="str">
            <v/>
          </cell>
          <cell r="V606" t="str">
            <v>PRO10</v>
          </cell>
          <cell r="W606">
            <v>0</v>
          </cell>
        </row>
        <row r="607">
          <cell r="C607" t="str">
            <v>TE226/81147</v>
          </cell>
          <cell r="D607" t="str">
            <v>PRINC</v>
          </cell>
          <cell r="E607" t="str">
            <v>00013</v>
          </cell>
          <cell r="F607" t="str">
            <v>COMPONENTES P/ SISTEMAS Y TRANSP.</v>
          </cell>
          <cell r="G607" t="str">
            <v>PRINCIPAL</v>
          </cell>
          <cell r="H607">
            <v>46004</v>
          </cell>
          <cell r="I607" t="str">
            <v>SALDO INICIAL</v>
          </cell>
          <cell r="J607">
            <v>57</v>
          </cell>
          <cell r="K607">
            <v>85.852041999999997</v>
          </cell>
          <cell r="L607">
            <v>1.506176</v>
          </cell>
          <cell r="M607">
            <v>1.506176175</v>
          </cell>
          <cell r="N607" t="str">
            <v/>
          </cell>
          <cell r="O607" t="str">
            <v/>
          </cell>
          <cell r="P607" t="str">
            <v/>
          </cell>
          <cell r="Q607">
            <v>2.1</v>
          </cell>
          <cell r="R607" t="str">
            <v>UND</v>
          </cell>
          <cell r="S607">
            <v>0</v>
          </cell>
          <cell r="T607">
            <v>0</v>
          </cell>
          <cell r="U607" t="str">
            <v/>
          </cell>
          <cell r="V607" t="str">
            <v>PRO10</v>
          </cell>
          <cell r="W607">
            <v>0</v>
          </cell>
        </row>
        <row r="608">
          <cell r="C608" t="str">
            <v>TE406/84330</v>
          </cell>
          <cell r="D608" t="str">
            <v>PRINC</v>
          </cell>
          <cell r="E608" t="str">
            <v>00013</v>
          </cell>
          <cell r="F608" t="str">
            <v>COMPONENTES P/ SISTEMAS Y TRANSP.</v>
          </cell>
          <cell r="G608" t="str">
            <v>PRINCIPAL</v>
          </cell>
          <cell r="H608">
            <v>46004</v>
          </cell>
          <cell r="I608" t="str">
            <v>SALDO INICIAL</v>
          </cell>
          <cell r="J608">
            <v>50</v>
          </cell>
          <cell r="K608">
            <v>191.83822000000001</v>
          </cell>
          <cell r="L608">
            <v>3.8367650000000002</v>
          </cell>
          <cell r="M608">
            <v>3.8367643999999999</v>
          </cell>
          <cell r="N608" t="str">
            <v/>
          </cell>
          <cell r="O608" t="str">
            <v/>
          </cell>
          <cell r="P608" t="str">
            <v/>
          </cell>
          <cell r="Q608">
            <v>7.9</v>
          </cell>
          <cell r="R608" t="str">
            <v>UND</v>
          </cell>
          <cell r="S608">
            <v>0</v>
          </cell>
          <cell r="T608">
            <v>0</v>
          </cell>
          <cell r="U608" t="str">
            <v/>
          </cell>
          <cell r="V608" t="str">
            <v>PRO10</v>
          </cell>
          <cell r="W608">
            <v>0</v>
          </cell>
        </row>
        <row r="609">
          <cell r="C609" t="str">
            <v>TE246/81135</v>
          </cell>
          <cell r="D609" t="str">
            <v>PRINC</v>
          </cell>
          <cell r="E609" t="str">
            <v>00013</v>
          </cell>
          <cell r="F609" t="str">
            <v>COMPONENTES P/ SISTEMAS Y TRANSP.</v>
          </cell>
          <cell r="G609" t="str">
            <v>PRINCIPAL</v>
          </cell>
          <cell r="H609">
            <v>46004</v>
          </cell>
          <cell r="I609" t="str">
            <v>SALDO INICIAL</v>
          </cell>
          <cell r="J609">
            <v>280</v>
          </cell>
          <cell r="K609">
            <v>501.18445400000002</v>
          </cell>
          <cell r="L609">
            <v>1.789944</v>
          </cell>
          <cell r="M609">
            <v>1.7899444790000001</v>
          </cell>
          <cell r="N609" t="str">
            <v/>
          </cell>
          <cell r="O609" t="str">
            <v/>
          </cell>
          <cell r="P609" t="str">
            <v/>
          </cell>
          <cell r="Q609">
            <v>3.95</v>
          </cell>
          <cell r="R609" t="str">
            <v>UND</v>
          </cell>
          <cell r="S609">
            <v>0</v>
          </cell>
          <cell r="T609">
            <v>0</v>
          </cell>
          <cell r="U609" t="str">
            <v/>
          </cell>
          <cell r="V609" t="str">
            <v>PRO10</v>
          </cell>
          <cell r="W609">
            <v>0</v>
          </cell>
        </row>
        <row r="610">
          <cell r="C610" t="str">
            <v>PERNO1/4X1.1/4</v>
          </cell>
          <cell r="D610" t="str">
            <v>PRINC</v>
          </cell>
          <cell r="E610" t="str">
            <v>00013</v>
          </cell>
          <cell r="F610" t="str">
            <v>COMPONENTES P/ SISTEMAS Y TRANSP.</v>
          </cell>
          <cell r="G610" t="str">
            <v>PRINCIPAL</v>
          </cell>
          <cell r="H610">
            <v>46004</v>
          </cell>
          <cell r="I610" t="str">
            <v>SALDO INICIAL</v>
          </cell>
          <cell r="J610">
            <v>-200</v>
          </cell>
          <cell r="K610">
            <v>0</v>
          </cell>
          <cell r="L610">
            <v>0</v>
          </cell>
          <cell r="M610">
            <v>0</v>
          </cell>
          <cell r="N610" t="str">
            <v/>
          </cell>
          <cell r="O610" t="str">
            <v/>
          </cell>
          <cell r="P610" t="str">
            <v/>
          </cell>
          <cell r="Q610">
            <v>0.35</v>
          </cell>
          <cell r="R610" t="str">
            <v>UND</v>
          </cell>
          <cell r="S610">
            <v>0</v>
          </cell>
          <cell r="T610">
            <v>0</v>
          </cell>
          <cell r="U610" t="str">
            <v/>
          </cell>
          <cell r="V610" t="str">
            <v>PRO10</v>
          </cell>
          <cell r="W610">
            <v>0</v>
          </cell>
        </row>
        <row r="611">
          <cell r="C611" t="str">
            <v>PERNO1/4X1</v>
          </cell>
          <cell r="D611" t="str">
            <v>PRINC</v>
          </cell>
          <cell r="E611" t="str">
            <v>00013</v>
          </cell>
          <cell r="F611" t="str">
            <v>COMPONENTES P/ SISTEMAS Y TRANSP.</v>
          </cell>
          <cell r="G611" t="str">
            <v>PRINCIPAL</v>
          </cell>
          <cell r="H611">
            <v>46004</v>
          </cell>
          <cell r="I611" t="str">
            <v>SALDO INICIAL</v>
          </cell>
          <cell r="J611">
            <v>-400</v>
          </cell>
          <cell r="K611">
            <v>0</v>
          </cell>
          <cell r="L611">
            <v>0</v>
          </cell>
          <cell r="M611">
            <v>0</v>
          </cell>
          <cell r="N611" t="str">
            <v/>
          </cell>
          <cell r="O611" t="str">
            <v/>
          </cell>
          <cell r="P611" t="str">
            <v/>
          </cell>
          <cell r="Q611">
            <v>0.35</v>
          </cell>
          <cell r="R611" t="str">
            <v>UND</v>
          </cell>
          <cell r="S611">
            <v>0</v>
          </cell>
          <cell r="T611">
            <v>0</v>
          </cell>
          <cell r="U611" t="str">
            <v/>
          </cell>
          <cell r="V611" t="str">
            <v>PRO10</v>
          </cell>
          <cell r="W611">
            <v>0</v>
          </cell>
        </row>
        <row r="612">
          <cell r="C612" t="str">
            <v>PI1FROL000145</v>
          </cell>
          <cell r="D612" t="str">
            <v>PRINC</v>
          </cell>
          <cell r="E612" t="str">
            <v>00013</v>
          </cell>
          <cell r="F612" t="str">
            <v>COMPONENTES P/ SISTEMAS Y TRANSP.</v>
          </cell>
          <cell r="G612" t="str">
            <v>PRINCIPAL</v>
          </cell>
          <cell r="H612">
            <v>46004</v>
          </cell>
          <cell r="I612" t="str">
            <v>SALDO INICIAL</v>
          </cell>
          <cell r="J612">
            <v>25</v>
          </cell>
          <cell r="K612">
            <v>90.050875000000005</v>
          </cell>
          <cell r="L612">
            <v>3.602033</v>
          </cell>
          <cell r="M612">
            <v>3.6020349999999999</v>
          </cell>
          <cell r="N612" t="str">
            <v/>
          </cell>
          <cell r="O612" t="str">
            <v/>
          </cell>
          <cell r="P612" t="str">
            <v/>
          </cell>
          <cell r="Q612">
            <v>3.22</v>
          </cell>
          <cell r="R612" t="str">
            <v>UND</v>
          </cell>
          <cell r="S612">
            <v>0</v>
          </cell>
          <cell r="T612">
            <v>0</v>
          </cell>
          <cell r="U612" t="str">
            <v/>
          </cell>
          <cell r="V612" t="str">
            <v>PRO10</v>
          </cell>
          <cell r="W612">
            <v>0</v>
          </cell>
        </row>
        <row r="613">
          <cell r="C613" t="str">
            <v>PI1FROL000044</v>
          </cell>
          <cell r="D613" t="str">
            <v>PRINC</v>
          </cell>
          <cell r="E613" t="str">
            <v>00013</v>
          </cell>
          <cell r="F613" t="str">
            <v>COMPONENTES P/ SISTEMAS Y TRANSP.</v>
          </cell>
          <cell r="G613" t="str">
            <v>PRINCIPAL</v>
          </cell>
          <cell r="H613">
            <v>46004</v>
          </cell>
          <cell r="I613" t="str">
            <v>SALDO INICIAL</v>
          </cell>
          <cell r="J613">
            <v>4</v>
          </cell>
          <cell r="K613">
            <v>14.103649000000001</v>
          </cell>
          <cell r="L613">
            <v>3.525925</v>
          </cell>
          <cell r="M613">
            <v>3.5259122500000002</v>
          </cell>
          <cell r="N613" t="str">
            <v/>
          </cell>
          <cell r="O613" t="str">
            <v/>
          </cell>
          <cell r="P613" t="str">
            <v/>
          </cell>
          <cell r="Q613">
            <v>3.85</v>
          </cell>
          <cell r="R613" t="str">
            <v>UND</v>
          </cell>
          <cell r="S613">
            <v>0</v>
          </cell>
          <cell r="T613">
            <v>0</v>
          </cell>
          <cell r="U613" t="str">
            <v/>
          </cell>
          <cell r="V613" t="str">
            <v>PRO10</v>
          </cell>
          <cell r="W613">
            <v>0</v>
          </cell>
        </row>
        <row r="614">
          <cell r="C614" t="str">
            <v>PI1GTAZ000604</v>
          </cell>
          <cell r="D614" t="str">
            <v>PRINC</v>
          </cell>
          <cell r="E614" t="str">
            <v>00013</v>
          </cell>
          <cell r="F614" t="str">
            <v>COMPONENTES P/ SISTEMAS Y TRANSP.</v>
          </cell>
          <cell r="G614" t="str">
            <v>PRINCIPAL</v>
          </cell>
          <cell r="H614">
            <v>46004</v>
          </cell>
          <cell r="I614" t="str">
            <v>SALDO INICIAL</v>
          </cell>
          <cell r="J614">
            <v>54</v>
          </cell>
          <cell r="K614">
            <v>186.31539900000001</v>
          </cell>
          <cell r="L614">
            <v>3.450285</v>
          </cell>
          <cell r="M614">
            <v>3.4502851670000001</v>
          </cell>
          <cell r="N614" t="str">
            <v/>
          </cell>
          <cell r="O614" t="str">
            <v/>
          </cell>
          <cell r="P614" t="str">
            <v/>
          </cell>
          <cell r="Q614">
            <v>7.95</v>
          </cell>
          <cell r="R614" t="str">
            <v>UND</v>
          </cell>
          <cell r="S614">
            <v>0</v>
          </cell>
          <cell r="T614">
            <v>0</v>
          </cell>
          <cell r="U614" t="str">
            <v/>
          </cell>
          <cell r="V614" t="str">
            <v>PRO10</v>
          </cell>
          <cell r="W614">
            <v>0</v>
          </cell>
        </row>
        <row r="615">
          <cell r="C615" t="str">
            <v>PI1GTAZ000605</v>
          </cell>
          <cell r="D615" t="str">
            <v>PRINC</v>
          </cell>
          <cell r="E615" t="str">
            <v>00013</v>
          </cell>
          <cell r="F615" t="str">
            <v>COMPONENTES P/ SISTEMAS Y TRANSP.</v>
          </cell>
          <cell r="G615" t="str">
            <v>PRINCIPAL</v>
          </cell>
          <cell r="H615">
            <v>46004</v>
          </cell>
          <cell r="I615" t="str">
            <v>SALDO INICIAL</v>
          </cell>
          <cell r="J615">
            <v>0</v>
          </cell>
          <cell r="K615">
            <v>-11.692500000000001</v>
          </cell>
          <cell r="L615">
            <v>5.92</v>
          </cell>
          <cell r="M615">
            <v>0</v>
          </cell>
          <cell r="N615" t="str">
            <v/>
          </cell>
          <cell r="O615" t="str">
            <v/>
          </cell>
          <cell r="P615" t="str">
            <v/>
          </cell>
          <cell r="Q615">
            <v>9.1999999999999993</v>
          </cell>
          <cell r="R615" t="str">
            <v>UND</v>
          </cell>
          <cell r="S615">
            <v>0</v>
          </cell>
          <cell r="T615">
            <v>0</v>
          </cell>
          <cell r="U615" t="str">
            <v/>
          </cell>
          <cell r="V615" t="str">
            <v>PRO10</v>
          </cell>
          <cell r="W615">
            <v>0</v>
          </cell>
        </row>
        <row r="616">
          <cell r="C616" t="str">
            <v>PI1GTAZ000603</v>
          </cell>
          <cell r="D616" t="str">
            <v>PRINC</v>
          </cell>
          <cell r="E616" t="str">
            <v>00013</v>
          </cell>
          <cell r="F616" t="str">
            <v>COMPONENTES P/ SISTEMAS Y TRANSP.</v>
          </cell>
          <cell r="G616" t="str">
            <v>PRINCIPAL</v>
          </cell>
          <cell r="H616">
            <v>46004</v>
          </cell>
          <cell r="I616" t="str">
            <v>SALDO INICIAL</v>
          </cell>
          <cell r="J616">
            <v>103</v>
          </cell>
          <cell r="K616">
            <v>376.59171300000003</v>
          </cell>
          <cell r="L616">
            <v>3.826133</v>
          </cell>
          <cell r="M616">
            <v>3.6562302230000001</v>
          </cell>
          <cell r="N616" t="str">
            <v/>
          </cell>
          <cell r="O616" t="str">
            <v/>
          </cell>
          <cell r="P616" t="str">
            <v/>
          </cell>
          <cell r="Q616">
            <v>7.15</v>
          </cell>
          <cell r="R616" t="str">
            <v>UND</v>
          </cell>
          <cell r="S616">
            <v>0</v>
          </cell>
          <cell r="T616">
            <v>0</v>
          </cell>
          <cell r="U616" t="str">
            <v/>
          </cell>
          <cell r="V616" t="str">
            <v>PRO10</v>
          </cell>
          <cell r="W616">
            <v>0</v>
          </cell>
        </row>
        <row r="617">
          <cell r="C617" t="str">
            <v>PI1GTAZ000595</v>
          </cell>
          <cell r="D617" t="str">
            <v>PRINC</v>
          </cell>
          <cell r="E617" t="str">
            <v>00013</v>
          </cell>
          <cell r="F617" t="str">
            <v>COMPONENTES P/ SISTEMAS Y TRANSP.</v>
          </cell>
          <cell r="G617" t="str">
            <v>PRINCIPAL</v>
          </cell>
          <cell r="H617">
            <v>46004</v>
          </cell>
          <cell r="I617" t="str">
            <v>SALDO INICIAL</v>
          </cell>
          <cell r="J617">
            <v>80</v>
          </cell>
          <cell r="K617">
            <v>485.34898399999997</v>
          </cell>
          <cell r="L617">
            <v>6.1863149999999996</v>
          </cell>
          <cell r="M617">
            <v>6.0668623000000004</v>
          </cell>
          <cell r="N617" t="str">
            <v/>
          </cell>
          <cell r="O617" t="str">
            <v/>
          </cell>
          <cell r="P617" t="str">
            <v/>
          </cell>
          <cell r="Q617">
            <v>12.65</v>
          </cell>
          <cell r="R617" t="str">
            <v>UND</v>
          </cell>
          <cell r="S617">
            <v>0</v>
          </cell>
          <cell r="T617">
            <v>0</v>
          </cell>
          <cell r="U617" t="str">
            <v/>
          </cell>
          <cell r="V617" t="str">
            <v>PRO10</v>
          </cell>
          <cell r="W617">
            <v>0</v>
          </cell>
        </row>
        <row r="618">
          <cell r="C618" t="str">
            <v>PI1GTAZ000601</v>
          </cell>
          <cell r="D618" t="str">
            <v>PRINC</v>
          </cell>
          <cell r="E618" t="str">
            <v>00013</v>
          </cell>
          <cell r="F618" t="str">
            <v>COMPONENTES P/ SISTEMAS Y TRANSP.</v>
          </cell>
          <cell r="G618" t="str">
            <v>PRINCIPAL</v>
          </cell>
          <cell r="H618">
            <v>46004</v>
          </cell>
          <cell r="I618" t="str">
            <v>SALDO INICIAL</v>
          </cell>
          <cell r="J618">
            <v>0</v>
          </cell>
          <cell r="K618">
            <v>-292.15835199999998</v>
          </cell>
          <cell r="L618">
            <v>5.8697189999999999</v>
          </cell>
          <cell r="M618">
            <v>0</v>
          </cell>
          <cell r="N618" t="str">
            <v/>
          </cell>
          <cell r="O618" t="str">
            <v/>
          </cell>
          <cell r="P618" t="str">
            <v/>
          </cell>
          <cell r="Q618">
            <v>12.65</v>
          </cell>
          <cell r="R618" t="str">
            <v>UND</v>
          </cell>
          <cell r="S618">
            <v>0</v>
          </cell>
          <cell r="T618">
            <v>0</v>
          </cell>
          <cell r="U618" t="str">
            <v/>
          </cell>
          <cell r="V618" t="str">
            <v>PRO10</v>
          </cell>
          <cell r="W618">
            <v>0</v>
          </cell>
        </row>
        <row r="619">
          <cell r="C619" t="str">
            <v>PI1GTAZ000602</v>
          </cell>
          <cell r="D619" t="str">
            <v>PRINC</v>
          </cell>
          <cell r="E619" t="str">
            <v>00013</v>
          </cell>
          <cell r="F619" t="str">
            <v>COMPONENTES P/ SISTEMAS Y TRANSP.</v>
          </cell>
          <cell r="G619" t="str">
            <v>PRINCIPAL</v>
          </cell>
          <cell r="H619">
            <v>46004</v>
          </cell>
          <cell r="I619" t="str">
            <v>SALDO INICIAL</v>
          </cell>
          <cell r="J619">
            <v>6</v>
          </cell>
          <cell r="K619">
            <v>67.172828999999993</v>
          </cell>
          <cell r="L619">
            <v>11.162793000000001</v>
          </cell>
          <cell r="M619">
            <v>11.1954715</v>
          </cell>
          <cell r="N619" t="str">
            <v/>
          </cell>
          <cell r="O619" t="str">
            <v/>
          </cell>
          <cell r="P619" t="str">
            <v/>
          </cell>
          <cell r="Q619">
            <v>17.3</v>
          </cell>
          <cell r="R619" t="str">
            <v>UND</v>
          </cell>
          <cell r="S619">
            <v>0</v>
          </cell>
          <cell r="T619">
            <v>0</v>
          </cell>
          <cell r="U619" t="str">
            <v/>
          </cell>
          <cell r="V619" t="str">
            <v>PRO10</v>
          </cell>
          <cell r="W619">
            <v>0</v>
          </cell>
        </row>
        <row r="620">
          <cell r="C620" t="str">
            <v>PI1GTAZ000600</v>
          </cell>
          <cell r="D620" t="str">
            <v>PRINC</v>
          </cell>
          <cell r="E620" t="str">
            <v>00013</v>
          </cell>
          <cell r="F620" t="str">
            <v>COMPONENTES P/ SISTEMAS Y TRANSP.</v>
          </cell>
          <cell r="G620" t="str">
            <v>PRINCIPAL</v>
          </cell>
          <cell r="H620">
            <v>46004</v>
          </cell>
          <cell r="I620" t="str">
            <v>SALDO INICIAL</v>
          </cell>
          <cell r="J620">
            <v>64</v>
          </cell>
          <cell r="K620">
            <v>233.324679</v>
          </cell>
          <cell r="L620">
            <v>3.6623869999999998</v>
          </cell>
          <cell r="M620">
            <v>3.645698109</v>
          </cell>
          <cell r="N620" t="str">
            <v/>
          </cell>
          <cell r="O620" t="str">
            <v/>
          </cell>
          <cell r="P620" t="str">
            <v/>
          </cell>
          <cell r="Q620">
            <v>9.1999999999999993</v>
          </cell>
          <cell r="R620" t="str">
            <v>UND</v>
          </cell>
          <cell r="S620">
            <v>0</v>
          </cell>
          <cell r="T620">
            <v>0</v>
          </cell>
          <cell r="U620" t="str">
            <v/>
          </cell>
          <cell r="V620" t="str">
            <v>PRO10</v>
          </cell>
          <cell r="W620">
            <v>0</v>
          </cell>
        </row>
        <row r="621">
          <cell r="C621" t="str">
            <v>EUCLU40ACA</v>
          </cell>
          <cell r="D621" t="str">
            <v>PRINC</v>
          </cell>
          <cell r="E621" t="str">
            <v>00013</v>
          </cell>
          <cell r="F621" t="str">
            <v>COMPONENTES P/ SISTEMAS Y TRANSP.</v>
          </cell>
          <cell r="G621" t="str">
            <v>PRINCIPAL</v>
          </cell>
          <cell r="H621">
            <v>46004</v>
          </cell>
          <cell r="I621" t="str">
            <v>SALDO INICIAL</v>
          </cell>
          <cell r="J621">
            <v>488</v>
          </cell>
          <cell r="K621">
            <v>1014.6984</v>
          </cell>
          <cell r="L621">
            <v>2.0792999999999999</v>
          </cell>
          <cell r="M621">
            <v>2.0792999999999999</v>
          </cell>
          <cell r="N621" t="str">
            <v/>
          </cell>
          <cell r="O621" t="str">
            <v/>
          </cell>
          <cell r="P621" t="str">
            <v/>
          </cell>
          <cell r="Q621">
            <v>6</v>
          </cell>
          <cell r="R621" t="str">
            <v>UND</v>
          </cell>
          <cell r="S621">
            <v>0</v>
          </cell>
          <cell r="T621">
            <v>0</v>
          </cell>
          <cell r="U621" t="str">
            <v/>
          </cell>
          <cell r="V621" t="str">
            <v>PRO10</v>
          </cell>
          <cell r="W621">
            <v>0</v>
          </cell>
        </row>
        <row r="622">
          <cell r="C622" t="str">
            <v>EUCLU38ACG</v>
          </cell>
          <cell r="D622" t="str">
            <v>PRINC</v>
          </cell>
          <cell r="E622" t="str">
            <v>00013</v>
          </cell>
          <cell r="F622" t="str">
            <v>COMPONENTES P/ SISTEMAS Y TRANSP.</v>
          </cell>
          <cell r="G622" t="str">
            <v>PRINCIPAL</v>
          </cell>
          <cell r="H622">
            <v>46004</v>
          </cell>
          <cell r="I622" t="str">
            <v>SALDO INICIAL</v>
          </cell>
          <cell r="J622">
            <v>900</v>
          </cell>
          <cell r="K622">
            <v>1817.97766</v>
          </cell>
          <cell r="L622">
            <v>2.1501109999999999</v>
          </cell>
          <cell r="M622">
            <v>2.0199751780000001</v>
          </cell>
          <cell r="N622" t="str">
            <v/>
          </cell>
          <cell r="O622" t="str">
            <v/>
          </cell>
          <cell r="P622" t="str">
            <v/>
          </cell>
          <cell r="Q622">
            <v>5.5</v>
          </cell>
          <cell r="R622" t="str">
            <v>UND</v>
          </cell>
          <cell r="S622">
            <v>0</v>
          </cell>
          <cell r="T622">
            <v>0</v>
          </cell>
          <cell r="U622" t="str">
            <v/>
          </cell>
          <cell r="V622" t="str">
            <v>PRO10</v>
          </cell>
          <cell r="W622">
            <v>0</v>
          </cell>
        </row>
        <row r="623">
          <cell r="C623" t="str">
            <v>PI1FANI001449</v>
          </cell>
          <cell r="D623" t="str">
            <v>PRINC</v>
          </cell>
          <cell r="E623" t="str">
            <v>00013</v>
          </cell>
          <cell r="F623" t="str">
            <v>COMPONENTES P/ SISTEMAS Y TRANSP.</v>
          </cell>
          <cell r="G623" t="str">
            <v>PRINCIPAL</v>
          </cell>
          <cell r="H623">
            <v>46004</v>
          </cell>
          <cell r="I623" t="str">
            <v>SALDO INICIAL</v>
          </cell>
          <cell r="J623">
            <v>0</v>
          </cell>
          <cell r="K623">
            <v>1.3643320000000001</v>
          </cell>
          <cell r="L623">
            <v>2.2962009999999999</v>
          </cell>
          <cell r="M623">
            <v>0</v>
          </cell>
          <cell r="N623" t="str">
            <v/>
          </cell>
          <cell r="O623" t="str">
            <v/>
          </cell>
          <cell r="P623" t="str">
            <v/>
          </cell>
          <cell r="Q623">
            <v>6.15</v>
          </cell>
          <cell r="R623" t="str">
            <v>UND</v>
          </cell>
          <cell r="S623">
            <v>0</v>
          </cell>
          <cell r="T623">
            <v>0</v>
          </cell>
          <cell r="U623" t="str">
            <v/>
          </cell>
          <cell r="V623" t="str">
            <v>PRO10</v>
          </cell>
          <cell r="W623">
            <v>0</v>
          </cell>
        </row>
        <row r="624">
          <cell r="C624" t="str">
            <v>PI1FANI000358</v>
          </cell>
          <cell r="D624" t="str">
            <v>PRINC</v>
          </cell>
          <cell r="E624" t="str">
            <v>00013</v>
          </cell>
          <cell r="F624" t="str">
            <v>COMPONENTES P/ SISTEMAS Y TRANSP.</v>
          </cell>
          <cell r="G624" t="str">
            <v>PRINCIPAL</v>
          </cell>
          <cell r="H624">
            <v>46004</v>
          </cell>
          <cell r="I624" t="str">
            <v>SALDO INICIAL</v>
          </cell>
          <cell r="J624">
            <v>8</v>
          </cell>
          <cell r="K624">
            <v>25.844404000000001</v>
          </cell>
          <cell r="L624">
            <v>3.23055</v>
          </cell>
          <cell r="M624">
            <v>3.2305505000000001</v>
          </cell>
          <cell r="N624" t="str">
            <v/>
          </cell>
          <cell r="O624" t="str">
            <v/>
          </cell>
          <cell r="P624" t="str">
            <v/>
          </cell>
          <cell r="Q624">
            <v>5.6</v>
          </cell>
          <cell r="R624" t="str">
            <v>UND</v>
          </cell>
          <cell r="S624">
            <v>0</v>
          </cell>
          <cell r="T624">
            <v>0</v>
          </cell>
          <cell r="U624" t="str">
            <v/>
          </cell>
          <cell r="V624" t="str">
            <v>PRO10</v>
          </cell>
          <cell r="W624">
            <v>0</v>
          </cell>
        </row>
        <row r="625">
          <cell r="C625" t="str">
            <v>TE376/90546</v>
          </cell>
          <cell r="D625" t="str">
            <v>PRINC</v>
          </cell>
          <cell r="E625" t="str">
            <v>00013</v>
          </cell>
          <cell r="F625" t="str">
            <v>COMPONENTES P/ SISTEMAS Y TRANSP.</v>
          </cell>
          <cell r="G625" t="str">
            <v>PRINCIPAL</v>
          </cell>
          <cell r="H625">
            <v>46004</v>
          </cell>
          <cell r="I625" t="str">
            <v>SALDO INICIAL</v>
          </cell>
          <cell r="J625">
            <v>100</v>
          </cell>
          <cell r="K625">
            <v>186.58</v>
          </cell>
          <cell r="L625">
            <v>0</v>
          </cell>
          <cell r="M625">
            <v>1.8657999999999999</v>
          </cell>
          <cell r="N625" t="str">
            <v/>
          </cell>
          <cell r="O625" t="str">
            <v/>
          </cell>
          <cell r="P625" t="str">
            <v/>
          </cell>
          <cell r="Q625">
            <v>0</v>
          </cell>
          <cell r="R625" t="str">
            <v>UND</v>
          </cell>
          <cell r="S625">
            <v>0</v>
          </cell>
          <cell r="T625">
            <v>0</v>
          </cell>
          <cell r="U625" t="str">
            <v/>
          </cell>
          <cell r="V625" t="str">
            <v>PRO10</v>
          </cell>
          <cell r="W625">
            <v>0</v>
          </cell>
        </row>
        <row r="626">
          <cell r="C626" t="str">
            <v>TE288/82565</v>
          </cell>
          <cell r="D626" t="str">
            <v>PRINC</v>
          </cell>
          <cell r="E626" t="str">
            <v>00013</v>
          </cell>
          <cell r="F626" t="str">
            <v>COMPONENTES P/ SISTEMAS Y TRANSP.</v>
          </cell>
          <cell r="G626" t="str">
            <v>PRINCIPAL</v>
          </cell>
          <cell r="H626">
            <v>46004</v>
          </cell>
          <cell r="I626" t="str">
            <v>SALDO INICIAL</v>
          </cell>
          <cell r="J626">
            <v>100</v>
          </cell>
          <cell r="K626">
            <v>151.94</v>
          </cell>
          <cell r="L626">
            <v>1.1950000000000001</v>
          </cell>
          <cell r="M626">
            <v>1.5194000000000001</v>
          </cell>
          <cell r="N626" t="str">
            <v/>
          </cell>
          <cell r="O626" t="str">
            <v/>
          </cell>
          <cell r="P626" t="str">
            <v/>
          </cell>
          <cell r="Q626">
            <v>2.65</v>
          </cell>
          <cell r="R626" t="str">
            <v>UND</v>
          </cell>
          <cell r="S626">
            <v>0</v>
          </cell>
          <cell r="T626">
            <v>0</v>
          </cell>
          <cell r="U626" t="str">
            <v/>
          </cell>
          <cell r="V626" t="str">
            <v>PRO10</v>
          </cell>
          <cell r="W626">
            <v>0</v>
          </cell>
        </row>
        <row r="627">
          <cell r="C627" t="str">
            <v>PI1GSOP000085</v>
          </cell>
          <cell r="D627" t="str">
            <v>PRINC</v>
          </cell>
          <cell r="E627" t="str">
            <v>00013</v>
          </cell>
          <cell r="F627" t="str">
            <v>COMPONENTES P/ SISTEMAS Y TRANSP.</v>
          </cell>
          <cell r="G627" t="str">
            <v>PRINCIPAL</v>
          </cell>
          <cell r="H627">
            <v>46004</v>
          </cell>
          <cell r="I627" t="str">
            <v>SALDO INICIAL</v>
          </cell>
          <cell r="J627">
            <v>68</v>
          </cell>
          <cell r="K627">
            <v>641.30706799999996</v>
          </cell>
          <cell r="L627">
            <v>9.430987</v>
          </cell>
          <cell r="M627">
            <v>9.4309862940000002</v>
          </cell>
          <cell r="N627" t="str">
            <v/>
          </cell>
          <cell r="O627" t="str">
            <v/>
          </cell>
          <cell r="P627" t="str">
            <v/>
          </cell>
          <cell r="Q627">
            <v>21.15</v>
          </cell>
          <cell r="R627" t="str">
            <v>UND</v>
          </cell>
          <cell r="S627">
            <v>0</v>
          </cell>
          <cell r="T627">
            <v>0</v>
          </cell>
          <cell r="U627" t="str">
            <v/>
          </cell>
          <cell r="V627" t="str">
            <v>PRO10</v>
          </cell>
          <cell r="W627">
            <v>0</v>
          </cell>
        </row>
        <row r="628">
          <cell r="C628" t="str">
            <v>TE212/80651</v>
          </cell>
          <cell r="D628" t="str">
            <v>PRINC</v>
          </cell>
          <cell r="E628" t="str">
            <v>00013</v>
          </cell>
          <cell r="F628" t="str">
            <v>COMPONENTES P/ SISTEMAS Y TRANSP.</v>
          </cell>
          <cell r="G628" t="str">
            <v>PRINCIPAL</v>
          </cell>
          <cell r="H628">
            <v>46004</v>
          </cell>
          <cell r="I628" t="str">
            <v>SALDO INICIAL</v>
          </cell>
          <cell r="J628">
            <v>69</v>
          </cell>
          <cell r="K628">
            <v>215.41800000000001</v>
          </cell>
          <cell r="L628">
            <v>3.1219999999999999</v>
          </cell>
          <cell r="M628">
            <v>3.1219999999999999</v>
          </cell>
          <cell r="N628" t="str">
            <v/>
          </cell>
          <cell r="O628" t="str">
            <v/>
          </cell>
          <cell r="P628" t="str">
            <v/>
          </cell>
          <cell r="Q628">
            <v>9</v>
          </cell>
          <cell r="R628" t="str">
            <v>UND</v>
          </cell>
          <cell r="S628">
            <v>0</v>
          </cell>
          <cell r="T628">
            <v>0</v>
          </cell>
          <cell r="U628" t="str">
            <v/>
          </cell>
          <cell r="V628" t="str">
            <v>PRO10</v>
          </cell>
          <cell r="W628">
            <v>0</v>
          </cell>
        </row>
        <row r="629">
          <cell r="C629" t="str">
            <v>TE211/80649</v>
          </cell>
          <cell r="D629" t="str">
            <v>PRINC</v>
          </cell>
          <cell r="E629" t="str">
            <v>00013</v>
          </cell>
          <cell r="F629" t="str">
            <v>COMPONENTES P/ SISTEMAS Y TRANSP.</v>
          </cell>
          <cell r="G629" t="str">
            <v>PRINCIPAL</v>
          </cell>
          <cell r="H629">
            <v>46004</v>
          </cell>
          <cell r="I629" t="str">
            <v>SALDO INICIAL</v>
          </cell>
          <cell r="J629">
            <v>46</v>
          </cell>
          <cell r="K629">
            <v>198.2508</v>
          </cell>
          <cell r="L629">
            <v>4.3098000000000001</v>
          </cell>
          <cell r="M629">
            <v>4.3098000000000001</v>
          </cell>
          <cell r="N629" t="str">
            <v/>
          </cell>
          <cell r="O629" t="str">
            <v/>
          </cell>
          <cell r="P629" t="str">
            <v/>
          </cell>
          <cell r="Q629">
            <v>10.5</v>
          </cell>
          <cell r="R629" t="str">
            <v>UND</v>
          </cell>
          <cell r="S629">
            <v>0</v>
          </cell>
          <cell r="T629">
            <v>0</v>
          </cell>
          <cell r="U629" t="str">
            <v/>
          </cell>
          <cell r="V629" t="str">
            <v>PRO10</v>
          </cell>
          <cell r="W629">
            <v>0</v>
          </cell>
        </row>
        <row r="630">
          <cell r="C630" t="str">
            <v>TE409/84440</v>
          </cell>
          <cell r="D630" t="str">
            <v>PRINC</v>
          </cell>
          <cell r="E630" t="str">
            <v>00013</v>
          </cell>
          <cell r="F630" t="str">
            <v>COMPONENTES P/ SISTEMAS Y TRANSP.</v>
          </cell>
          <cell r="G630" t="str">
            <v>PRINCIPAL</v>
          </cell>
          <cell r="H630">
            <v>46004</v>
          </cell>
          <cell r="I630" t="str">
            <v>SALDO INICIAL</v>
          </cell>
          <cell r="J630">
            <v>48</v>
          </cell>
          <cell r="K630">
            <v>1102.1499839999999</v>
          </cell>
          <cell r="L630">
            <v>0</v>
          </cell>
          <cell r="M630">
            <v>22.961458</v>
          </cell>
          <cell r="N630" t="str">
            <v/>
          </cell>
          <cell r="O630" t="str">
            <v/>
          </cell>
          <cell r="P630" t="str">
            <v/>
          </cell>
          <cell r="Q630">
            <v>40.869999999999997</v>
          </cell>
          <cell r="R630" t="str">
            <v>UND</v>
          </cell>
          <cell r="S630">
            <v>0</v>
          </cell>
          <cell r="T630">
            <v>0</v>
          </cell>
          <cell r="U630" t="str">
            <v/>
          </cell>
          <cell r="V630" t="str">
            <v>PRO10</v>
          </cell>
          <cell r="W630">
            <v>0</v>
          </cell>
        </row>
        <row r="631">
          <cell r="C631" t="str">
            <v>PI1ESOP000050</v>
          </cell>
          <cell r="D631" t="str">
            <v>PRINC</v>
          </cell>
          <cell r="E631" t="str">
            <v>00013</v>
          </cell>
          <cell r="F631" t="str">
            <v>COMPONENTES P/ SISTEMAS Y TRANSP.</v>
          </cell>
          <cell r="G631" t="str">
            <v>PRINCIPAL</v>
          </cell>
          <cell r="H631">
            <v>46004</v>
          </cell>
          <cell r="I631" t="str">
            <v>SALDO INICIAL</v>
          </cell>
          <cell r="J631">
            <v>0</v>
          </cell>
          <cell r="K631">
            <v>-10.02914</v>
          </cell>
          <cell r="L631">
            <v>7.3464359999999997</v>
          </cell>
          <cell r="M631">
            <v>0</v>
          </cell>
          <cell r="N631" t="str">
            <v/>
          </cell>
          <cell r="O631" t="str">
            <v/>
          </cell>
          <cell r="P631" t="str">
            <v/>
          </cell>
          <cell r="Q631">
            <v>15.5</v>
          </cell>
          <cell r="R631" t="str">
            <v>UND</v>
          </cell>
          <cell r="S631">
            <v>0</v>
          </cell>
          <cell r="T631">
            <v>0</v>
          </cell>
          <cell r="U631" t="str">
            <v/>
          </cell>
          <cell r="V631" t="str">
            <v>PRO10</v>
          </cell>
          <cell r="W631">
            <v>0</v>
          </cell>
        </row>
        <row r="632">
          <cell r="C632" t="str">
            <v>PISBAR198</v>
          </cell>
          <cell r="D632" t="str">
            <v>PRINC</v>
          </cell>
          <cell r="E632" t="str">
            <v>00013</v>
          </cell>
          <cell r="F632" t="str">
            <v>COMPONENTES P/ SISTEMAS Y TRANSP.</v>
          </cell>
          <cell r="G632" t="str">
            <v>PRINCIPAL</v>
          </cell>
          <cell r="H632">
            <v>46004</v>
          </cell>
          <cell r="I632" t="str">
            <v>SALDO INICIAL</v>
          </cell>
          <cell r="J632">
            <v>117</v>
          </cell>
          <cell r="K632">
            <v>483.94062700000001</v>
          </cell>
          <cell r="L632">
            <v>4.1362449999999997</v>
          </cell>
          <cell r="M632">
            <v>4.1362446750000004</v>
          </cell>
          <cell r="N632" t="str">
            <v/>
          </cell>
          <cell r="O632" t="str">
            <v/>
          </cell>
          <cell r="P632" t="str">
            <v/>
          </cell>
          <cell r="Q632">
            <v>8.9499999999999993</v>
          </cell>
          <cell r="R632" t="str">
            <v>UND</v>
          </cell>
          <cell r="S632">
            <v>0</v>
          </cell>
          <cell r="T632">
            <v>0</v>
          </cell>
          <cell r="U632" t="str">
            <v/>
          </cell>
          <cell r="V632" t="str">
            <v>PRO10</v>
          </cell>
          <cell r="W632">
            <v>0</v>
          </cell>
        </row>
        <row r="633">
          <cell r="C633" t="str">
            <v>PI1ESOP000051</v>
          </cell>
          <cell r="D633" t="str">
            <v>PRINC</v>
          </cell>
          <cell r="E633" t="str">
            <v>00013</v>
          </cell>
          <cell r="F633" t="str">
            <v>COMPONENTES P/ SISTEMAS Y TRANSP.</v>
          </cell>
          <cell r="G633" t="str">
            <v>PRINCIPAL</v>
          </cell>
          <cell r="H633">
            <v>46004</v>
          </cell>
          <cell r="I633" t="str">
            <v>SALDO INICIAL</v>
          </cell>
          <cell r="J633">
            <v>0</v>
          </cell>
          <cell r="K633">
            <v>-262.88611800000001</v>
          </cell>
          <cell r="L633">
            <v>7.5876799999999998</v>
          </cell>
          <cell r="M633">
            <v>0</v>
          </cell>
          <cell r="N633" t="str">
            <v/>
          </cell>
          <cell r="O633" t="str">
            <v/>
          </cell>
          <cell r="P633" t="str">
            <v/>
          </cell>
          <cell r="Q633">
            <v>16.25</v>
          </cell>
          <cell r="R633" t="str">
            <v>UND</v>
          </cell>
          <cell r="S633">
            <v>0</v>
          </cell>
          <cell r="T633">
            <v>0</v>
          </cell>
          <cell r="U633" t="str">
            <v/>
          </cell>
          <cell r="V633" t="str">
            <v>PRO10</v>
          </cell>
          <cell r="W633">
            <v>0</v>
          </cell>
        </row>
        <row r="634">
          <cell r="C634" t="str">
            <v>PISBAR205</v>
          </cell>
          <cell r="D634" t="str">
            <v>PRINC</v>
          </cell>
          <cell r="E634" t="str">
            <v>00013</v>
          </cell>
          <cell r="F634" t="str">
            <v>COMPONENTES P/ SISTEMAS Y TRANSP.</v>
          </cell>
          <cell r="G634" t="str">
            <v>PRINCIPAL</v>
          </cell>
          <cell r="H634">
            <v>46004</v>
          </cell>
          <cell r="I634" t="str">
            <v>SALDO INICIAL</v>
          </cell>
          <cell r="J634">
            <v>3</v>
          </cell>
          <cell r="K634">
            <v>15.768456</v>
          </cell>
          <cell r="L634">
            <v>5.2561520000000002</v>
          </cell>
          <cell r="M634">
            <v>5.2561520000000002</v>
          </cell>
          <cell r="N634" t="str">
            <v/>
          </cell>
          <cell r="O634" t="str">
            <v/>
          </cell>
          <cell r="P634" t="str">
            <v/>
          </cell>
          <cell r="Q634">
            <v>12.45</v>
          </cell>
          <cell r="R634" t="str">
            <v>UND</v>
          </cell>
          <cell r="S634">
            <v>0</v>
          </cell>
          <cell r="T634">
            <v>0</v>
          </cell>
          <cell r="U634" t="str">
            <v/>
          </cell>
          <cell r="V634" t="str">
            <v>PRO10</v>
          </cell>
          <cell r="W634">
            <v>0</v>
          </cell>
        </row>
        <row r="635">
          <cell r="C635" t="str">
            <v>PI1ESOP000436</v>
          </cell>
          <cell r="D635" t="str">
            <v>PRINC</v>
          </cell>
          <cell r="E635" t="str">
            <v>00013</v>
          </cell>
          <cell r="F635" t="str">
            <v>COMPONENTES P/ SISTEMAS Y TRANSP.</v>
          </cell>
          <cell r="G635" t="str">
            <v>PRINCIPAL</v>
          </cell>
          <cell r="H635">
            <v>46004</v>
          </cell>
          <cell r="I635" t="str">
            <v>SALDO INICIAL</v>
          </cell>
          <cell r="J635">
            <v>3</v>
          </cell>
          <cell r="K635">
            <v>13.234023000000001</v>
          </cell>
          <cell r="L635">
            <v>8.7124930000000003</v>
          </cell>
          <cell r="M635">
            <v>4.4113410000000002</v>
          </cell>
          <cell r="N635" t="str">
            <v/>
          </cell>
          <cell r="O635" t="str">
            <v/>
          </cell>
          <cell r="P635" t="str">
            <v/>
          </cell>
          <cell r="Q635">
            <v>20.149999999999999</v>
          </cell>
          <cell r="R635" t="str">
            <v>UND</v>
          </cell>
          <cell r="S635">
            <v>0</v>
          </cell>
          <cell r="T635">
            <v>0</v>
          </cell>
          <cell r="U635" t="str">
            <v/>
          </cell>
          <cell r="V635" t="str">
            <v>PRO10</v>
          </cell>
          <cell r="W635">
            <v>0</v>
          </cell>
        </row>
        <row r="636">
          <cell r="C636" t="str">
            <v>PI1ESOP000437</v>
          </cell>
          <cell r="D636" t="str">
            <v>PRINC</v>
          </cell>
          <cell r="E636" t="str">
            <v>00013</v>
          </cell>
          <cell r="F636" t="str">
            <v>COMPONENTES P/ SISTEMAS Y TRANSP.</v>
          </cell>
          <cell r="G636" t="str">
            <v>PRINCIPAL</v>
          </cell>
          <cell r="H636">
            <v>46004</v>
          </cell>
          <cell r="I636" t="str">
            <v>SALDO INICIAL</v>
          </cell>
          <cell r="J636">
            <v>0</v>
          </cell>
          <cell r="K636">
            <v>-51.596820000000001</v>
          </cell>
          <cell r="L636">
            <v>14.016406999999999</v>
          </cell>
          <cell r="M636">
            <v>0</v>
          </cell>
          <cell r="N636" t="str">
            <v/>
          </cell>
          <cell r="O636" t="str">
            <v/>
          </cell>
          <cell r="P636" t="str">
            <v/>
          </cell>
          <cell r="Q636">
            <v>22.55</v>
          </cell>
          <cell r="R636" t="str">
            <v>UND</v>
          </cell>
          <cell r="S636">
            <v>0</v>
          </cell>
          <cell r="T636">
            <v>0</v>
          </cell>
          <cell r="U636" t="str">
            <v/>
          </cell>
          <cell r="V636" t="str">
            <v>PRO10</v>
          </cell>
          <cell r="W636">
            <v>0</v>
          </cell>
        </row>
        <row r="637">
          <cell r="C637" t="str">
            <v>TE242/81002</v>
          </cell>
          <cell r="D637" t="str">
            <v>PRINC</v>
          </cell>
          <cell r="E637" t="str">
            <v>00013</v>
          </cell>
          <cell r="F637" t="str">
            <v>COMPONENTES P/ SISTEMAS Y TRANSP.</v>
          </cell>
          <cell r="G637" t="str">
            <v>PRINCIPAL</v>
          </cell>
          <cell r="H637">
            <v>46004</v>
          </cell>
          <cell r="I637" t="str">
            <v>SALDO INICIAL</v>
          </cell>
          <cell r="J637">
            <v>1</v>
          </cell>
          <cell r="K637">
            <v>3.11</v>
          </cell>
          <cell r="L637">
            <v>3.11</v>
          </cell>
          <cell r="M637">
            <v>3.11</v>
          </cell>
          <cell r="N637" t="str">
            <v/>
          </cell>
          <cell r="O637" t="str">
            <v/>
          </cell>
          <cell r="P637" t="str">
            <v/>
          </cell>
          <cell r="Q637">
            <v>6.76</v>
          </cell>
          <cell r="R637" t="str">
            <v>UND</v>
          </cell>
          <cell r="S637">
            <v>0</v>
          </cell>
          <cell r="T637">
            <v>0</v>
          </cell>
          <cell r="U637" t="str">
            <v/>
          </cell>
          <cell r="V637" t="str">
            <v>PRO10</v>
          </cell>
          <cell r="W637">
            <v>0</v>
          </cell>
        </row>
        <row r="638">
          <cell r="C638" t="str">
            <v>TE213/80654</v>
          </cell>
          <cell r="D638" t="str">
            <v>PRINC</v>
          </cell>
          <cell r="E638" t="str">
            <v>00013</v>
          </cell>
          <cell r="F638" t="str">
            <v>COMPONENTES P/ SISTEMAS Y TRANSP.</v>
          </cell>
          <cell r="G638" t="str">
            <v>PRINCIPAL</v>
          </cell>
          <cell r="H638">
            <v>46004</v>
          </cell>
          <cell r="I638" t="str">
            <v>SALDO INICIAL</v>
          </cell>
          <cell r="J638">
            <v>323</v>
          </cell>
          <cell r="K638">
            <v>1275.125675</v>
          </cell>
          <cell r="L638">
            <v>3.6258919999999999</v>
          </cell>
          <cell r="M638">
            <v>3.947757508</v>
          </cell>
          <cell r="N638" t="str">
            <v/>
          </cell>
          <cell r="O638" t="str">
            <v/>
          </cell>
          <cell r="P638" t="str">
            <v/>
          </cell>
          <cell r="Q638">
            <v>7.45</v>
          </cell>
          <cell r="R638" t="str">
            <v>UND</v>
          </cell>
          <cell r="S638">
            <v>0</v>
          </cell>
          <cell r="T638">
            <v>0</v>
          </cell>
          <cell r="U638" t="str">
            <v/>
          </cell>
          <cell r="V638" t="str">
            <v>PRO10</v>
          </cell>
          <cell r="W638">
            <v>0</v>
          </cell>
        </row>
        <row r="639">
          <cell r="C639" t="str">
            <v>TE558/90814</v>
          </cell>
          <cell r="D639" t="str">
            <v>PRINC</v>
          </cell>
          <cell r="E639" t="str">
            <v>00013</v>
          </cell>
          <cell r="F639" t="str">
            <v>COMPONENTES P/ SISTEMAS Y TRANSP.</v>
          </cell>
          <cell r="G639" t="str">
            <v>PRINCIPAL</v>
          </cell>
          <cell r="H639">
            <v>46004</v>
          </cell>
          <cell r="I639" t="str">
            <v>SALDO INICIAL</v>
          </cell>
          <cell r="J639">
            <v>286</v>
          </cell>
          <cell r="K639">
            <v>1559.1004</v>
          </cell>
          <cell r="L639">
            <v>5.4513999999999996</v>
          </cell>
          <cell r="M639">
            <v>5.4513999999999996</v>
          </cell>
          <cell r="N639" t="str">
            <v/>
          </cell>
          <cell r="O639" t="str">
            <v/>
          </cell>
          <cell r="P639" t="str">
            <v/>
          </cell>
          <cell r="Q639">
            <v>10.9</v>
          </cell>
          <cell r="R639" t="str">
            <v>UND</v>
          </cell>
          <cell r="S639">
            <v>0</v>
          </cell>
          <cell r="T639">
            <v>0</v>
          </cell>
          <cell r="U639" t="str">
            <v/>
          </cell>
          <cell r="V639" t="str">
            <v>PRO10</v>
          </cell>
          <cell r="W639">
            <v>0</v>
          </cell>
        </row>
        <row r="640">
          <cell r="C640" t="str">
            <v>TE243/81005</v>
          </cell>
          <cell r="D640" t="str">
            <v>PRINC</v>
          </cell>
          <cell r="E640" t="str">
            <v>00013</v>
          </cell>
          <cell r="F640" t="str">
            <v>COMPONENTES P/ SISTEMAS Y TRANSP.</v>
          </cell>
          <cell r="G640" t="str">
            <v>PRINCIPAL</v>
          </cell>
          <cell r="H640">
            <v>46004</v>
          </cell>
          <cell r="I640" t="str">
            <v>SALDO INICIAL</v>
          </cell>
          <cell r="J640">
            <v>489</v>
          </cell>
          <cell r="K640">
            <v>2972.7365840000002</v>
          </cell>
          <cell r="L640">
            <v>6.0792159999999997</v>
          </cell>
          <cell r="M640">
            <v>6.0792159180000001</v>
          </cell>
          <cell r="N640" t="str">
            <v/>
          </cell>
          <cell r="O640" t="str">
            <v/>
          </cell>
          <cell r="P640" t="str">
            <v/>
          </cell>
          <cell r="Q640">
            <v>14.35</v>
          </cell>
          <cell r="R640" t="str">
            <v>UND</v>
          </cell>
          <cell r="S640">
            <v>0</v>
          </cell>
          <cell r="T640">
            <v>0</v>
          </cell>
          <cell r="U640" t="str">
            <v/>
          </cell>
          <cell r="V640" t="str">
            <v>PRO10</v>
          </cell>
          <cell r="W640">
            <v>0</v>
          </cell>
        </row>
        <row r="641">
          <cell r="C641" t="str">
            <v>TE281/82132</v>
          </cell>
          <cell r="D641" t="str">
            <v>PRINC</v>
          </cell>
          <cell r="E641" t="str">
            <v>00013</v>
          </cell>
          <cell r="F641" t="str">
            <v>COMPONENTES P/ SISTEMAS Y TRANSP.</v>
          </cell>
          <cell r="G641" t="str">
            <v>PRINCIPAL</v>
          </cell>
          <cell r="H641">
            <v>46004</v>
          </cell>
          <cell r="I641" t="str">
            <v>SALDO INICIAL</v>
          </cell>
          <cell r="J641">
            <v>205</v>
          </cell>
          <cell r="K641">
            <v>1185.5534379999999</v>
          </cell>
          <cell r="L641">
            <v>5.7831869999999999</v>
          </cell>
          <cell r="M641">
            <v>5.7831875019999996</v>
          </cell>
          <cell r="N641" t="str">
            <v/>
          </cell>
          <cell r="O641" t="str">
            <v/>
          </cell>
          <cell r="P641" t="str">
            <v/>
          </cell>
          <cell r="Q641">
            <v>15.7</v>
          </cell>
          <cell r="R641" t="str">
            <v>UND</v>
          </cell>
          <cell r="S641">
            <v>0</v>
          </cell>
          <cell r="T641">
            <v>0</v>
          </cell>
          <cell r="U641" t="str">
            <v/>
          </cell>
          <cell r="V641" t="str">
            <v>PRO10</v>
          </cell>
          <cell r="W641">
            <v>0</v>
          </cell>
        </row>
        <row r="642">
          <cell r="C642" t="str">
            <v>TE441/85241</v>
          </cell>
          <cell r="D642" t="str">
            <v>PRINC</v>
          </cell>
          <cell r="E642" t="str">
            <v>00013</v>
          </cell>
          <cell r="F642" t="str">
            <v>COMPONENTES P/ SISTEMAS Y TRANSP.</v>
          </cell>
          <cell r="G642" t="str">
            <v>PRINCIPAL</v>
          </cell>
          <cell r="H642">
            <v>46004</v>
          </cell>
          <cell r="I642" t="str">
            <v>SALDO INICIAL</v>
          </cell>
          <cell r="J642">
            <v>127</v>
          </cell>
          <cell r="K642">
            <v>1524.896461</v>
          </cell>
          <cell r="L642">
            <v>12.007059</v>
          </cell>
          <cell r="M642">
            <v>12.007058748</v>
          </cell>
          <cell r="N642" t="str">
            <v/>
          </cell>
          <cell r="O642" t="str">
            <v/>
          </cell>
          <cell r="P642" t="str">
            <v/>
          </cell>
          <cell r="Q642">
            <v>29.18</v>
          </cell>
          <cell r="R642" t="str">
            <v>UND</v>
          </cell>
          <cell r="S642">
            <v>0</v>
          </cell>
          <cell r="T642">
            <v>0</v>
          </cell>
          <cell r="U642" t="str">
            <v/>
          </cell>
          <cell r="V642" t="str">
            <v>PRO10</v>
          </cell>
          <cell r="W642">
            <v>0</v>
          </cell>
        </row>
        <row r="643">
          <cell r="C643" t="str">
            <v>PI1EMOR303030</v>
          </cell>
          <cell r="D643" t="str">
            <v>PRINC</v>
          </cell>
          <cell r="E643" t="str">
            <v>00013</v>
          </cell>
          <cell r="F643" t="str">
            <v>COMPONENTES P/ SISTEMAS Y TRANSP.</v>
          </cell>
          <cell r="G643" t="str">
            <v>PRINCIPAL</v>
          </cell>
          <cell r="H643">
            <v>46004</v>
          </cell>
          <cell r="I643" t="str">
            <v>SALDO INICIAL</v>
          </cell>
          <cell r="J643">
            <v>1</v>
          </cell>
          <cell r="K643">
            <v>4.4899899999999997</v>
          </cell>
          <cell r="L643">
            <v>3</v>
          </cell>
          <cell r="M643">
            <v>4.4899899999999997</v>
          </cell>
          <cell r="N643" t="str">
            <v/>
          </cell>
          <cell r="O643" t="str">
            <v/>
          </cell>
          <cell r="P643" t="str">
            <v/>
          </cell>
          <cell r="Q643">
            <v>6.8</v>
          </cell>
          <cell r="R643" t="str">
            <v>UND</v>
          </cell>
          <cell r="S643">
            <v>0</v>
          </cell>
          <cell r="T643">
            <v>0</v>
          </cell>
          <cell r="U643" t="str">
            <v/>
          </cell>
          <cell r="V643" t="str">
            <v>PRO10</v>
          </cell>
          <cell r="W643">
            <v>0</v>
          </cell>
        </row>
        <row r="644">
          <cell r="C644" t="str">
            <v>PI1EMOR000309</v>
          </cell>
          <cell r="D644" t="str">
            <v>PRINC</v>
          </cell>
          <cell r="E644" t="str">
            <v>00013</v>
          </cell>
          <cell r="F644" t="str">
            <v>COMPONENTES P/ SISTEMAS Y TRANSP.</v>
          </cell>
          <cell r="G644" t="str">
            <v>PRINCIPAL</v>
          </cell>
          <cell r="H644">
            <v>46004</v>
          </cell>
          <cell r="I644" t="str">
            <v>SALDO INICIAL</v>
          </cell>
          <cell r="J644">
            <v>4</v>
          </cell>
          <cell r="K644">
            <v>16.945781</v>
          </cell>
          <cell r="L644">
            <v>4.2364449999999998</v>
          </cell>
          <cell r="M644">
            <v>4.2364452500000001</v>
          </cell>
          <cell r="N644" t="str">
            <v/>
          </cell>
          <cell r="O644" t="str">
            <v/>
          </cell>
          <cell r="P644" t="str">
            <v/>
          </cell>
          <cell r="Q644">
            <v>7.6</v>
          </cell>
          <cell r="R644" t="str">
            <v>UND</v>
          </cell>
          <cell r="S644">
            <v>0</v>
          </cell>
          <cell r="T644">
            <v>0</v>
          </cell>
          <cell r="U644" t="str">
            <v/>
          </cell>
          <cell r="V644" t="str">
            <v>PRO10</v>
          </cell>
          <cell r="W644">
            <v>0</v>
          </cell>
        </row>
        <row r="645">
          <cell r="C645" t="str">
            <v>PI1GTAZ302101</v>
          </cell>
          <cell r="D645" t="str">
            <v>PRINC</v>
          </cell>
          <cell r="E645" t="str">
            <v>00013</v>
          </cell>
          <cell r="F645" t="str">
            <v>COMPONENTES P/ SISTEMAS Y TRANSP.</v>
          </cell>
          <cell r="G645" t="str">
            <v>PRINCIPAL</v>
          </cell>
          <cell r="H645">
            <v>46004</v>
          </cell>
          <cell r="I645" t="str">
            <v>SALDO INICIAL</v>
          </cell>
          <cell r="J645">
            <v>1</v>
          </cell>
          <cell r="K645">
            <v>1.2859929999999999</v>
          </cell>
          <cell r="L645">
            <v>0</v>
          </cell>
          <cell r="M645">
            <v>1.2859929999999999</v>
          </cell>
          <cell r="N645" t="str">
            <v/>
          </cell>
          <cell r="O645" t="str">
            <v/>
          </cell>
          <cell r="P645" t="str">
            <v/>
          </cell>
          <cell r="Q645">
            <v>4</v>
          </cell>
          <cell r="R645" t="str">
            <v>UND</v>
          </cell>
          <cell r="S645">
            <v>0</v>
          </cell>
          <cell r="T645">
            <v>0</v>
          </cell>
          <cell r="U645" t="str">
            <v/>
          </cell>
          <cell r="V645" t="str">
            <v>PRO10</v>
          </cell>
          <cell r="W645">
            <v>0</v>
          </cell>
        </row>
        <row r="646">
          <cell r="C646" t="str">
            <v>PI1GTAZ000677</v>
          </cell>
          <cell r="D646" t="str">
            <v>PRINC</v>
          </cell>
          <cell r="E646" t="str">
            <v>00013</v>
          </cell>
          <cell r="F646" t="str">
            <v>COMPONENTES P/ SISTEMAS Y TRANSP.</v>
          </cell>
          <cell r="G646" t="str">
            <v>PRINCIPAL</v>
          </cell>
          <cell r="H646">
            <v>46004</v>
          </cell>
          <cell r="I646" t="str">
            <v>SALDO INICIAL</v>
          </cell>
          <cell r="J646">
            <v>68</v>
          </cell>
          <cell r="K646">
            <v>108.469127</v>
          </cell>
          <cell r="L646">
            <v>1.827685</v>
          </cell>
          <cell r="M646">
            <v>1.5951342209999999</v>
          </cell>
          <cell r="N646" t="str">
            <v/>
          </cell>
          <cell r="O646" t="str">
            <v/>
          </cell>
          <cell r="P646" t="str">
            <v/>
          </cell>
          <cell r="Q646">
            <v>4.05</v>
          </cell>
          <cell r="R646" t="str">
            <v>UND</v>
          </cell>
          <cell r="S646">
            <v>0</v>
          </cell>
          <cell r="T646">
            <v>0</v>
          </cell>
          <cell r="U646" t="str">
            <v/>
          </cell>
          <cell r="V646" t="str">
            <v>PRO10</v>
          </cell>
          <cell r="W646">
            <v>0</v>
          </cell>
        </row>
        <row r="647">
          <cell r="C647" t="str">
            <v>PI1GTAZ000960</v>
          </cell>
          <cell r="D647" t="str">
            <v>PRINC</v>
          </cell>
          <cell r="E647" t="str">
            <v>00013</v>
          </cell>
          <cell r="F647" t="str">
            <v>COMPONENTES P/ SISTEMAS Y TRANSP.</v>
          </cell>
          <cell r="G647" t="str">
            <v>PRINCIPAL</v>
          </cell>
          <cell r="H647">
            <v>46004</v>
          </cell>
          <cell r="I647" t="str">
            <v>SALDO INICIAL</v>
          </cell>
          <cell r="J647">
            <v>0</v>
          </cell>
          <cell r="K647">
            <v>-48.679986</v>
          </cell>
          <cell r="L647">
            <v>1.5456650000000001</v>
          </cell>
          <cell r="M647">
            <v>0</v>
          </cell>
          <cell r="N647" t="str">
            <v/>
          </cell>
          <cell r="O647" t="str">
            <v/>
          </cell>
          <cell r="P647" t="str">
            <v/>
          </cell>
          <cell r="Q647">
            <v>3.6</v>
          </cell>
          <cell r="R647" t="str">
            <v>UND</v>
          </cell>
          <cell r="S647">
            <v>0</v>
          </cell>
          <cell r="T647">
            <v>0</v>
          </cell>
          <cell r="U647" t="str">
            <v/>
          </cell>
          <cell r="V647" t="str">
            <v>PRO10</v>
          </cell>
          <cell r="W647">
            <v>0</v>
          </cell>
        </row>
        <row r="648">
          <cell r="C648" t="str">
            <v>PI1GTAZ000906</v>
          </cell>
          <cell r="D648" t="str">
            <v>PRINC</v>
          </cell>
          <cell r="E648" t="str">
            <v>00013</v>
          </cell>
          <cell r="F648" t="str">
            <v>COMPONENTES P/ SISTEMAS Y TRANSP.</v>
          </cell>
          <cell r="G648" t="str">
            <v>PRINCIPAL</v>
          </cell>
          <cell r="H648">
            <v>46004</v>
          </cell>
          <cell r="I648" t="str">
            <v>SALDO INICIAL</v>
          </cell>
          <cell r="J648">
            <v>1</v>
          </cell>
          <cell r="K648">
            <v>-18.047999999999998</v>
          </cell>
          <cell r="L648">
            <v>6.2720000000000002</v>
          </cell>
          <cell r="M648">
            <v>-18.047999999999998</v>
          </cell>
          <cell r="N648" t="str">
            <v/>
          </cell>
          <cell r="O648" t="str">
            <v/>
          </cell>
          <cell r="P648" t="str">
            <v/>
          </cell>
          <cell r="Q648">
            <v>10.95</v>
          </cell>
          <cell r="R648" t="str">
            <v>UND</v>
          </cell>
          <cell r="S648">
            <v>0</v>
          </cell>
          <cell r="T648">
            <v>0</v>
          </cell>
          <cell r="U648" t="str">
            <v/>
          </cell>
          <cell r="V648" t="str">
            <v>PRO10</v>
          </cell>
          <cell r="W648">
            <v>0</v>
          </cell>
        </row>
        <row r="649">
          <cell r="C649" t="str">
            <v>RELTP-3RKG</v>
          </cell>
          <cell r="D649" t="str">
            <v>PRINC</v>
          </cell>
          <cell r="E649" t="str">
            <v>00013</v>
          </cell>
          <cell r="F649" t="str">
            <v>COMPONENTES P/ SISTEMAS Y TRANSP.</v>
          </cell>
          <cell r="G649" t="str">
            <v>PRINCIPAL</v>
          </cell>
          <cell r="H649">
            <v>46004</v>
          </cell>
          <cell r="I649" t="str">
            <v>SALDO INICIAL</v>
          </cell>
          <cell r="J649">
            <v>0</v>
          </cell>
          <cell r="K649">
            <v>-0.99666999999999994</v>
          </cell>
          <cell r="L649">
            <v>5.5538889999999999</v>
          </cell>
          <cell r="M649">
            <v>0</v>
          </cell>
          <cell r="N649" t="str">
            <v/>
          </cell>
          <cell r="O649" t="str">
            <v/>
          </cell>
          <cell r="P649" t="str">
            <v/>
          </cell>
          <cell r="Q649">
            <v>13.9</v>
          </cell>
          <cell r="R649" t="str">
            <v>UND</v>
          </cell>
          <cell r="S649">
            <v>0</v>
          </cell>
          <cell r="T649">
            <v>0</v>
          </cell>
          <cell r="U649" t="str">
            <v/>
          </cell>
          <cell r="V649" t="str">
            <v>PRO10</v>
          </cell>
          <cell r="W649">
            <v>0</v>
          </cell>
        </row>
        <row r="650">
          <cell r="C650" t="str">
            <v>RELTP-5RKG</v>
          </cell>
          <cell r="D650" t="str">
            <v>PRINC</v>
          </cell>
          <cell r="E650" t="str">
            <v>00013</v>
          </cell>
          <cell r="F650" t="str">
            <v>COMPONENTES P/ SISTEMAS Y TRANSP.</v>
          </cell>
          <cell r="G650" t="str">
            <v>PRINCIPAL</v>
          </cell>
          <cell r="H650">
            <v>46004</v>
          </cell>
          <cell r="I650" t="str">
            <v>SALDO INICIAL</v>
          </cell>
          <cell r="J650">
            <v>0</v>
          </cell>
          <cell r="K650">
            <v>23.94961</v>
          </cell>
          <cell r="L650">
            <v>7.5796250000000001</v>
          </cell>
          <cell r="M650">
            <v>0</v>
          </cell>
          <cell r="N650" t="str">
            <v/>
          </cell>
          <cell r="O650" t="str">
            <v/>
          </cell>
          <cell r="P650" t="str">
            <v/>
          </cell>
          <cell r="Q650">
            <v>19.8</v>
          </cell>
          <cell r="R650" t="str">
            <v>UND</v>
          </cell>
          <cell r="S650">
            <v>0</v>
          </cell>
          <cell r="T650">
            <v>0</v>
          </cell>
          <cell r="U650" t="str">
            <v/>
          </cell>
          <cell r="V650" t="str">
            <v>PRO10</v>
          </cell>
          <cell r="W650">
            <v>0</v>
          </cell>
        </row>
        <row r="651">
          <cell r="C651" t="str">
            <v>TE261/82001</v>
          </cell>
          <cell r="D651" t="str">
            <v>PRINC</v>
          </cell>
          <cell r="E651" t="str">
            <v>00013</v>
          </cell>
          <cell r="F651" t="str">
            <v>COMPONENTES P/ SISTEMAS Y TRANSP.</v>
          </cell>
          <cell r="G651" t="str">
            <v>PRINCIPAL</v>
          </cell>
          <cell r="H651">
            <v>46004</v>
          </cell>
          <cell r="I651" t="str">
            <v>SALDO INICIAL</v>
          </cell>
          <cell r="J651">
            <v>39</v>
          </cell>
          <cell r="K651">
            <v>168.31703400000001</v>
          </cell>
          <cell r="L651">
            <v>4.0932700000000004</v>
          </cell>
          <cell r="M651">
            <v>4.3158213849999996</v>
          </cell>
          <cell r="N651" t="str">
            <v/>
          </cell>
          <cell r="O651" t="str">
            <v/>
          </cell>
          <cell r="P651" t="str">
            <v/>
          </cell>
          <cell r="Q651">
            <v>9.4499999999999993</v>
          </cell>
          <cell r="R651" t="str">
            <v>UND</v>
          </cell>
          <cell r="S651">
            <v>0</v>
          </cell>
          <cell r="T651">
            <v>0</v>
          </cell>
          <cell r="U651" t="str">
            <v/>
          </cell>
          <cell r="V651" t="str">
            <v>PRO10</v>
          </cell>
          <cell r="W651">
            <v>0</v>
          </cell>
        </row>
        <row r="652">
          <cell r="C652" t="str">
            <v>TE260/82002</v>
          </cell>
          <cell r="D652" t="str">
            <v>PRINC</v>
          </cell>
          <cell r="E652" t="str">
            <v>00013</v>
          </cell>
          <cell r="F652" t="str">
            <v>COMPONENTES P/ SISTEMAS Y TRANSP.</v>
          </cell>
          <cell r="G652" t="str">
            <v>PRINCIPAL</v>
          </cell>
          <cell r="H652">
            <v>46004</v>
          </cell>
          <cell r="I652" t="str">
            <v>SALDO INICIAL</v>
          </cell>
          <cell r="J652">
            <v>5</v>
          </cell>
          <cell r="K652">
            <v>30.330835</v>
          </cell>
          <cell r="L652">
            <v>6.0661670000000001</v>
          </cell>
          <cell r="M652">
            <v>6.0661670000000001</v>
          </cell>
          <cell r="N652" t="str">
            <v/>
          </cell>
          <cell r="O652" t="str">
            <v/>
          </cell>
          <cell r="P652" t="str">
            <v/>
          </cell>
          <cell r="Q652">
            <v>13.35</v>
          </cell>
          <cell r="R652" t="str">
            <v>UND</v>
          </cell>
          <cell r="S652">
            <v>0</v>
          </cell>
          <cell r="T652">
            <v>0</v>
          </cell>
          <cell r="U652" t="str">
            <v/>
          </cell>
          <cell r="V652" t="str">
            <v>PRO10</v>
          </cell>
          <cell r="W652">
            <v>0</v>
          </cell>
        </row>
        <row r="653">
          <cell r="C653" t="str">
            <v>TE257/82005</v>
          </cell>
          <cell r="D653" t="str">
            <v>PRINC</v>
          </cell>
          <cell r="E653" t="str">
            <v>00013</v>
          </cell>
          <cell r="F653" t="str">
            <v>COMPONENTES P/ SISTEMAS Y TRANSP.</v>
          </cell>
          <cell r="G653" t="str">
            <v>PRINCIPAL</v>
          </cell>
          <cell r="H653">
            <v>46004</v>
          </cell>
          <cell r="I653" t="str">
            <v>SALDO INICIAL</v>
          </cell>
          <cell r="J653">
            <v>87</v>
          </cell>
          <cell r="K653">
            <v>686.41547100000003</v>
          </cell>
          <cell r="L653">
            <v>7.8898330000000003</v>
          </cell>
          <cell r="M653">
            <v>7.8898330000000003</v>
          </cell>
          <cell r="N653" t="str">
            <v/>
          </cell>
          <cell r="O653" t="str">
            <v/>
          </cell>
          <cell r="P653" t="str">
            <v/>
          </cell>
          <cell r="Q653">
            <v>16.399999999999999</v>
          </cell>
          <cell r="R653" t="str">
            <v>UND</v>
          </cell>
          <cell r="S653">
            <v>0</v>
          </cell>
          <cell r="T653">
            <v>0</v>
          </cell>
          <cell r="U653" t="str">
            <v/>
          </cell>
          <cell r="V653" t="str">
            <v>PRO10</v>
          </cell>
          <cell r="W653">
            <v>0</v>
          </cell>
        </row>
        <row r="654">
          <cell r="C654" t="str">
            <v>TE257/85004</v>
          </cell>
          <cell r="D654" t="str">
            <v>PRINC</v>
          </cell>
          <cell r="E654" t="str">
            <v>00013</v>
          </cell>
          <cell r="F654" t="str">
            <v>COMPONENTES P/ SISTEMAS Y TRANSP.</v>
          </cell>
          <cell r="G654" t="str">
            <v>PRINCIPAL</v>
          </cell>
          <cell r="H654">
            <v>46004</v>
          </cell>
          <cell r="I654" t="str">
            <v>SALDO INICIAL</v>
          </cell>
          <cell r="J654">
            <v>15</v>
          </cell>
          <cell r="K654">
            <v>286.44</v>
          </cell>
          <cell r="L654">
            <v>19.096</v>
          </cell>
          <cell r="M654">
            <v>19.096</v>
          </cell>
          <cell r="N654" t="str">
            <v/>
          </cell>
          <cell r="O654" t="str">
            <v/>
          </cell>
          <cell r="P654" t="str">
            <v/>
          </cell>
          <cell r="Q654">
            <v>33.25</v>
          </cell>
          <cell r="R654" t="str">
            <v>UND</v>
          </cell>
          <cell r="S654">
            <v>0</v>
          </cell>
          <cell r="T654">
            <v>0</v>
          </cell>
          <cell r="U654" t="str">
            <v/>
          </cell>
          <cell r="V654" t="str">
            <v>PRO10</v>
          </cell>
          <cell r="W654">
            <v>0</v>
          </cell>
        </row>
        <row r="655">
          <cell r="C655" t="str">
            <v>TE210/80643</v>
          </cell>
          <cell r="D655" t="str">
            <v>PRINC</v>
          </cell>
          <cell r="E655" t="str">
            <v>00013</v>
          </cell>
          <cell r="F655" t="str">
            <v>COMPONENTES P/ SISTEMAS Y TRANSP.</v>
          </cell>
          <cell r="G655" t="str">
            <v>PRINCIPAL</v>
          </cell>
          <cell r="H655">
            <v>46004</v>
          </cell>
          <cell r="I655" t="str">
            <v>SALDO INICIAL</v>
          </cell>
          <cell r="J655">
            <v>50</v>
          </cell>
          <cell r="K655">
            <v>246.52</v>
          </cell>
          <cell r="L655">
            <v>0</v>
          </cell>
          <cell r="M655">
            <v>4.9303999999999997</v>
          </cell>
          <cell r="N655" t="str">
            <v/>
          </cell>
          <cell r="O655" t="str">
            <v/>
          </cell>
          <cell r="P655" t="str">
            <v/>
          </cell>
          <cell r="Q655">
            <v>12</v>
          </cell>
          <cell r="R655" t="str">
            <v>UND</v>
          </cell>
          <cell r="S655">
            <v>0</v>
          </cell>
          <cell r="T655">
            <v>0</v>
          </cell>
          <cell r="U655" t="str">
            <v/>
          </cell>
          <cell r="V655" t="str">
            <v>PRO10</v>
          </cell>
          <cell r="W655">
            <v>0</v>
          </cell>
        </row>
        <row r="656">
          <cell r="C656" t="str">
            <v>TE401/84323</v>
          </cell>
          <cell r="D656" t="str">
            <v>PRINC</v>
          </cell>
          <cell r="E656" t="str">
            <v>00013</v>
          </cell>
          <cell r="F656" t="str">
            <v>COMPONENTES P/ SISTEMAS Y TRANSP.</v>
          </cell>
          <cell r="G656" t="str">
            <v>PRINCIPAL</v>
          </cell>
          <cell r="H656">
            <v>46004</v>
          </cell>
          <cell r="I656" t="str">
            <v>SALDO INICIAL</v>
          </cell>
          <cell r="J656">
            <v>12</v>
          </cell>
          <cell r="K656">
            <v>139.82000400000001</v>
          </cell>
          <cell r="L656">
            <v>0</v>
          </cell>
          <cell r="M656">
            <v>11.651667</v>
          </cell>
          <cell r="N656" t="str">
            <v/>
          </cell>
          <cell r="O656" t="str">
            <v/>
          </cell>
          <cell r="P656" t="str">
            <v/>
          </cell>
          <cell r="Q656">
            <v>20.74</v>
          </cell>
          <cell r="R656" t="str">
            <v>UND</v>
          </cell>
          <cell r="S656">
            <v>0</v>
          </cell>
          <cell r="T656">
            <v>0</v>
          </cell>
          <cell r="U656" t="str">
            <v/>
          </cell>
          <cell r="V656" t="str">
            <v>PRO10</v>
          </cell>
          <cell r="W656">
            <v>0</v>
          </cell>
        </row>
        <row r="657">
          <cell r="C657" t="str">
            <v>TE404/84326</v>
          </cell>
          <cell r="D657" t="str">
            <v>PRINC</v>
          </cell>
          <cell r="E657" t="str">
            <v>00013</v>
          </cell>
          <cell r="F657" t="str">
            <v>COMPONENTES P/ SISTEMAS Y TRANSP.</v>
          </cell>
          <cell r="G657" t="str">
            <v>PRINCIPAL</v>
          </cell>
          <cell r="H657">
            <v>46004</v>
          </cell>
          <cell r="I657" t="str">
            <v>SALDO INICIAL</v>
          </cell>
          <cell r="J657">
            <v>24</v>
          </cell>
          <cell r="K657">
            <v>193.75999200000001</v>
          </cell>
          <cell r="L657">
            <v>0</v>
          </cell>
          <cell r="M657">
            <v>8.0733329999999999</v>
          </cell>
          <cell r="N657" t="str">
            <v/>
          </cell>
          <cell r="O657" t="str">
            <v/>
          </cell>
          <cell r="P657" t="str">
            <v/>
          </cell>
          <cell r="Q657">
            <v>14.37</v>
          </cell>
          <cell r="R657" t="str">
            <v>UND</v>
          </cell>
          <cell r="S657">
            <v>0</v>
          </cell>
          <cell r="T657">
            <v>0</v>
          </cell>
          <cell r="U657" t="str">
            <v/>
          </cell>
          <cell r="V657" t="str">
            <v>PRO10</v>
          </cell>
          <cell r="W657">
            <v>0</v>
          </cell>
        </row>
        <row r="658">
          <cell r="C658" t="str">
            <v>PI1EMOR000951</v>
          </cell>
          <cell r="D658" t="str">
            <v>PRINC</v>
          </cell>
          <cell r="E658" t="str">
            <v>00013</v>
          </cell>
          <cell r="F658" t="str">
            <v>COMPONENTES P/ SISTEMAS Y TRANSP.</v>
          </cell>
          <cell r="G658" t="str">
            <v>PRINCIPAL</v>
          </cell>
          <cell r="H658">
            <v>46004</v>
          </cell>
          <cell r="I658" t="str">
            <v>SALDO INICIAL</v>
          </cell>
          <cell r="J658">
            <v>62</v>
          </cell>
          <cell r="K658">
            <v>91.712091000000001</v>
          </cell>
          <cell r="L658">
            <v>1.479228</v>
          </cell>
          <cell r="M658">
            <v>1.4792272740000001</v>
          </cell>
          <cell r="N658" t="str">
            <v/>
          </cell>
          <cell r="O658" t="str">
            <v/>
          </cell>
          <cell r="P658" t="str">
            <v/>
          </cell>
          <cell r="Q658">
            <v>3.8</v>
          </cell>
          <cell r="R658" t="str">
            <v>UND</v>
          </cell>
          <cell r="S658">
            <v>0</v>
          </cell>
          <cell r="T658">
            <v>0</v>
          </cell>
          <cell r="U658" t="str">
            <v/>
          </cell>
          <cell r="V658" t="str">
            <v>PRO10</v>
          </cell>
          <cell r="W658">
            <v>0</v>
          </cell>
        </row>
        <row r="659">
          <cell r="C659" t="str">
            <v>TE413/84488</v>
          </cell>
          <cell r="D659" t="str">
            <v>PRINC</v>
          </cell>
          <cell r="E659" t="str">
            <v>00013</v>
          </cell>
          <cell r="F659" t="str">
            <v>COMPONENTES P/ SISTEMAS Y TRANSP.</v>
          </cell>
          <cell r="G659" t="str">
            <v>PRINCIPAL</v>
          </cell>
          <cell r="H659">
            <v>46004</v>
          </cell>
          <cell r="I659" t="str">
            <v>SALDO INICIAL</v>
          </cell>
          <cell r="J659">
            <v>24</v>
          </cell>
          <cell r="K659">
            <v>101.44000800000001</v>
          </cell>
          <cell r="L659">
            <v>0</v>
          </cell>
          <cell r="M659">
            <v>4.226667</v>
          </cell>
          <cell r="N659" t="str">
            <v/>
          </cell>
          <cell r="O659" t="str">
            <v/>
          </cell>
          <cell r="P659" t="str">
            <v/>
          </cell>
          <cell r="Q659">
            <v>7.52</v>
          </cell>
          <cell r="R659" t="str">
            <v>UND</v>
          </cell>
          <cell r="S659">
            <v>0</v>
          </cell>
          <cell r="T659">
            <v>0</v>
          </cell>
          <cell r="U659" t="str">
            <v/>
          </cell>
          <cell r="V659" t="str">
            <v>PRO10</v>
          </cell>
          <cell r="W659">
            <v>0</v>
          </cell>
        </row>
        <row r="660">
          <cell r="C660" t="str">
            <v>EUUN10ACG</v>
          </cell>
          <cell r="D660" t="str">
            <v>PRINC</v>
          </cell>
          <cell r="E660" t="str">
            <v>00013</v>
          </cell>
          <cell r="F660" t="str">
            <v>COMPONENTES P/ SISTEMAS Y TRANSP.</v>
          </cell>
          <cell r="G660" t="str">
            <v>PRINCIPAL</v>
          </cell>
          <cell r="H660">
            <v>46004</v>
          </cell>
          <cell r="I660" t="str">
            <v>SALDO INICIAL</v>
          </cell>
          <cell r="J660">
            <v>0</v>
          </cell>
          <cell r="K660">
            <v>58.636991000000002</v>
          </cell>
          <cell r="L660">
            <v>8.3816000000000006</v>
          </cell>
          <cell r="M660">
            <v>0</v>
          </cell>
          <cell r="N660" t="str">
            <v/>
          </cell>
          <cell r="O660" t="str">
            <v/>
          </cell>
          <cell r="P660" t="str">
            <v/>
          </cell>
          <cell r="Q660">
            <v>20</v>
          </cell>
          <cell r="R660" t="str">
            <v>UND</v>
          </cell>
          <cell r="S660">
            <v>0</v>
          </cell>
          <cell r="T660">
            <v>0</v>
          </cell>
          <cell r="U660" t="str">
            <v/>
          </cell>
          <cell r="V660" t="str">
            <v>PRO10</v>
          </cell>
          <cell r="W660">
            <v>0</v>
          </cell>
        </row>
        <row r="661">
          <cell r="C661" t="str">
            <v>EUUN8NYN</v>
          </cell>
          <cell r="D661" t="str">
            <v>PRINC</v>
          </cell>
          <cell r="E661" t="str">
            <v>00013</v>
          </cell>
          <cell r="F661" t="str">
            <v>COMPONENTES P/ SISTEMAS Y TRANSP.</v>
          </cell>
          <cell r="G661" t="str">
            <v>PRINCIPAL</v>
          </cell>
          <cell r="H661">
            <v>46004</v>
          </cell>
          <cell r="I661" t="str">
            <v>SALDO INICIAL</v>
          </cell>
          <cell r="J661">
            <v>12</v>
          </cell>
          <cell r="K661">
            <v>58.86</v>
          </cell>
          <cell r="L661">
            <v>0</v>
          </cell>
          <cell r="M661">
            <v>4.9050000000000002</v>
          </cell>
          <cell r="N661" t="str">
            <v/>
          </cell>
          <cell r="O661" t="str">
            <v/>
          </cell>
          <cell r="P661" t="str">
            <v/>
          </cell>
          <cell r="Q661">
            <v>17.5</v>
          </cell>
          <cell r="R661" t="str">
            <v>UND</v>
          </cell>
          <cell r="S661">
            <v>0</v>
          </cell>
          <cell r="T661">
            <v>0</v>
          </cell>
          <cell r="U661" t="str">
            <v/>
          </cell>
          <cell r="V661" t="str">
            <v>PRO10</v>
          </cell>
          <cell r="W661">
            <v>0</v>
          </cell>
        </row>
        <row r="662">
          <cell r="C662" t="str">
            <v>EUUN10NYO</v>
          </cell>
          <cell r="D662" t="str">
            <v>PRINC</v>
          </cell>
          <cell r="E662" t="str">
            <v>00013</v>
          </cell>
          <cell r="F662" t="str">
            <v>COMPONENTES P/ SISTEMAS Y TRANSP.</v>
          </cell>
          <cell r="G662" t="str">
            <v>PRINCIPAL</v>
          </cell>
          <cell r="H662">
            <v>46004</v>
          </cell>
          <cell r="I662" t="str">
            <v>SALDO INICIAL</v>
          </cell>
          <cell r="J662">
            <v>29</v>
          </cell>
          <cell r="K662">
            <v>158.63</v>
          </cell>
          <cell r="L662">
            <v>5.47</v>
          </cell>
          <cell r="M662">
            <v>5.47</v>
          </cell>
          <cell r="N662" t="str">
            <v/>
          </cell>
          <cell r="O662" t="str">
            <v/>
          </cell>
          <cell r="P662" t="str">
            <v/>
          </cell>
          <cell r="Q662">
            <v>18.5</v>
          </cell>
          <cell r="R662" t="str">
            <v>UND</v>
          </cell>
          <cell r="S662">
            <v>0</v>
          </cell>
          <cell r="T662">
            <v>0</v>
          </cell>
          <cell r="U662" t="str">
            <v/>
          </cell>
          <cell r="V662" t="str">
            <v>PRO10</v>
          </cell>
          <cell r="W662">
            <v>0</v>
          </cell>
        </row>
        <row r="663">
          <cell r="C663" t="str">
            <v>RETC1500-01</v>
          </cell>
          <cell r="D663" t="str">
            <v>PRINC</v>
          </cell>
          <cell r="E663" t="str">
            <v>00013</v>
          </cell>
          <cell r="F663" t="str">
            <v>COMPONENTES P/ SISTEMAS Y TRANSP.</v>
          </cell>
          <cell r="G663" t="str">
            <v>PRINCIPAL</v>
          </cell>
          <cell r="H663">
            <v>46004</v>
          </cell>
          <cell r="I663" t="str">
            <v>SALDO INICIAL</v>
          </cell>
          <cell r="J663">
            <v>28</v>
          </cell>
          <cell r="K663">
            <v>236.94765000000001</v>
          </cell>
          <cell r="L663">
            <v>8.4852690000000006</v>
          </cell>
          <cell r="M663">
            <v>8.4624160709999998</v>
          </cell>
          <cell r="N663" t="str">
            <v/>
          </cell>
          <cell r="O663" t="str">
            <v/>
          </cell>
          <cell r="P663" t="str">
            <v/>
          </cell>
          <cell r="Q663">
            <v>17.2</v>
          </cell>
          <cell r="R663" t="str">
            <v>UND</v>
          </cell>
          <cell r="S663">
            <v>0</v>
          </cell>
          <cell r="T663">
            <v>0</v>
          </cell>
          <cell r="U663" t="str">
            <v/>
          </cell>
          <cell r="V663" t="str">
            <v>PRO10</v>
          </cell>
          <cell r="W663">
            <v>0</v>
          </cell>
        </row>
        <row r="664">
          <cell r="C664" t="str">
            <v>RETC611-03</v>
          </cell>
          <cell r="D664" t="str">
            <v>PRINC</v>
          </cell>
          <cell r="E664" t="str">
            <v>00013</v>
          </cell>
          <cell r="F664" t="str">
            <v>COMPONENTES P/ SISTEMAS Y TRANSP.</v>
          </cell>
          <cell r="G664" t="str">
            <v>PRINCIPAL</v>
          </cell>
          <cell r="H664">
            <v>46004</v>
          </cell>
          <cell r="I664" t="str">
            <v>SALDO INICIAL</v>
          </cell>
          <cell r="J664">
            <v>6</v>
          </cell>
          <cell r="K664">
            <v>61.778061999999998</v>
          </cell>
          <cell r="L664">
            <v>9.5554539999999992</v>
          </cell>
          <cell r="M664">
            <v>10.296343667</v>
          </cell>
          <cell r="N664" t="str">
            <v/>
          </cell>
          <cell r="O664" t="str">
            <v/>
          </cell>
          <cell r="P664" t="str">
            <v/>
          </cell>
          <cell r="Q664">
            <v>17</v>
          </cell>
          <cell r="R664" t="str">
            <v>UND</v>
          </cell>
          <cell r="S664">
            <v>0</v>
          </cell>
          <cell r="T664">
            <v>0</v>
          </cell>
          <cell r="U664" t="str">
            <v/>
          </cell>
          <cell r="V664" t="str">
            <v>PRO10</v>
          </cell>
          <cell r="W664">
            <v>0</v>
          </cell>
        </row>
        <row r="665">
          <cell r="C665" t="str">
            <v>RETC3000-01</v>
          </cell>
          <cell r="D665" t="str">
            <v>PRINC</v>
          </cell>
          <cell r="E665" t="str">
            <v>00013</v>
          </cell>
          <cell r="F665" t="str">
            <v>COMPONENTES P/ SISTEMAS Y TRANSP.</v>
          </cell>
          <cell r="G665" t="str">
            <v>PRINCIPAL</v>
          </cell>
          <cell r="H665">
            <v>46004</v>
          </cell>
          <cell r="I665" t="str">
            <v>SALDO INICIAL</v>
          </cell>
          <cell r="J665">
            <v>3</v>
          </cell>
          <cell r="K665">
            <v>34.600529999999999</v>
          </cell>
          <cell r="L665">
            <v>8.3663790000000002</v>
          </cell>
          <cell r="M665">
            <v>11.53351</v>
          </cell>
          <cell r="N665" t="str">
            <v/>
          </cell>
          <cell r="O665" t="str">
            <v/>
          </cell>
          <cell r="P665" t="str">
            <v/>
          </cell>
          <cell r="Q665">
            <v>18.100000000000001</v>
          </cell>
          <cell r="R665" t="str">
            <v>UND</v>
          </cell>
          <cell r="S665">
            <v>0</v>
          </cell>
          <cell r="T665">
            <v>0</v>
          </cell>
          <cell r="U665" t="str">
            <v/>
          </cell>
          <cell r="V665" t="str">
            <v>PRO10</v>
          </cell>
          <cell r="W665">
            <v>0</v>
          </cell>
        </row>
        <row r="666">
          <cell r="C666" t="str">
            <v>PI1ESOP000071</v>
          </cell>
          <cell r="D666" t="str">
            <v>PRINC</v>
          </cell>
          <cell r="E666" t="str">
            <v>00013</v>
          </cell>
          <cell r="F666" t="str">
            <v>COMPONENTES P/ SISTEMAS Y TRANSP.</v>
          </cell>
          <cell r="G666" t="str">
            <v>PRINCIPAL</v>
          </cell>
          <cell r="H666">
            <v>46004</v>
          </cell>
          <cell r="I666" t="str">
            <v>SALDO INICIAL</v>
          </cell>
          <cell r="J666">
            <v>0</v>
          </cell>
          <cell r="K666">
            <v>-18.501460999999999</v>
          </cell>
          <cell r="L666">
            <v>1.8099069999999999</v>
          </cell>
          <cell r="M666">
            <v>0</v>
          </cell>
          <cell r="N666" t="str">
            <v/>
          </cell>
          <cell r="O666" t="str">
            <v/>
          </cell>
          <cell r="P666" t="str">
            <v/>
          </cell>
          <cell r="Q666">
            <v>3.65</v>
          </cell>
          <cell r="R666" t="str">
            <v>UND</v>
          </cell>
          <cell r="S666">
            <v>0</v>
          </cell>
          <cell r="T666">
            <v>0</v>
          </cell>
          <cell r="U666" t="str">
            <v/>
          </cell>
          <cell r="V666" t="str">
            <v>PRO10</v>
          </cell>
          <cell r="W666">
            <v>0</v>
          </cell>
        </row>
        <row r="667">
          <cell r="C667" t="str">
            <v>TE526/87381</v>
          </cell>
          <cell r="D667" t="str">
            <v>PRINC</v>
          </cell>
          <cell r="E667" t="str">
            <v>00013</v>
          </cell>
          <cell r="F667" t="str">
            <v>COMPONENTES P/ SISTEMAS Y TRANSP.</v>
          </cell>
          <cell r="G667" t="str">
            <v>PRINCIPAL</v>
          </cell>
          <cell r="H667">
            <v>46004</v>
          </cell>
          <cell r="I667" t="str">
            <v>SALDO INICIAL</v>
          </cell>
          <cell r="J667">
            <v>227</v>
          </cell>
          <cell r="K667">
            <v>377.09591499999999</v>
          </cell>
          <cell r="L667">
            <v>1.6612150000000001</v>
          </cell>
          <cell r="M667">
            <v>1.661215485</v>
          </cell>
          <cell r="N667" t="str">
            <v/>
          </cell>
          <cell r="O667" t="str">
            <v/>
          </cell>
          <cell r="P667" t="str">
            <v/>
          </cell>
          <cell r="Q667">
            <v>3.7</v>
          </cell>
          <cell r="R667" t="str">
            <v>UND</v>
          </cell>
          <cell r="S667">
            <v>0</v>
          </cell>
          <cell r="T667">
            <v>0</v>
          </cell>
          <cell r="U667" t="str">
            <v/>
          </cell>
          <cell r="V667" t="str">
            <v>PRO10</v>
          </cell>
          <cell r="W667">
            <v>0</v>
          </cell>
        </row>
        <row r="668">
          <cell r="C668" t="str">
            <v>TE526/87382</v>
          </cell>
          <cell r="D668" t="str">
            <v>PRINC</v>
          </cell>
          <cell r="E668" t="str">
            <v>00013</v>
          </cell>
          <cell r="F668" t="str">
            <v>COMPONENTES P/ SISTEMAS Y TRANSP.</v>
          </cell>
          <cell r="G668" t="str">
            <v>PRINCIPAL</v>
          </cell>
          <cell r="H668">
            <v>46004</v>
          </cell>
          <cell r="I668" t="str">
            <v>SALDO INICIAL</v>
          </cell>
          <cell r="J668">
            <v>139</v>
          </cell>
          <cell r="K668">
            <v>284.55659700000001</v>
          </cell>
          <cell r="L668">
            <v>2.0471699999999999</v>
          </cell>
          <cell r="M668">
            <v>2.0471697629999999</v>
          </cell>
          <cell r="N668" t="str">
            <v/>
          </cell>
          <cell r="O668" t="str">
            <v/>
          </cell>
          <cell r="P668" t="str">
            <v/>
          </cell>
          <cell r="Q668">
            <v>4.5599999999999996</v>
          </cell>
          <cell r="R668" t="str">
            <v>UND</v>
          </cell>
          <cell r="S668">
            <v>0</v>
          </cell>
          <cell r="T668">
            <v>0</v>
          </cell>
          <cell r="U668" t="str">
            <v/>
          </cell>
          <cell r="V668" t="str">
            <v>PRO10</v>
          </cell>
          <cell r="W668">
            <v>0</v>
          </cell>
        </row>
        <row r="669">
          <cell r="C669" t="str">
            <v>PI1EMAN000928</v>
          </cell>
          <cell r="D669" t="str">
            <v>PRINC</v>
          </cell>
          <cell r="E669" t="str">
            <v>00013</v>
          </cell>
          <cell r="F669" t="str">
            <v>COMPONENTES P/ SISTEMAS Y TRANSP.</v>
          </cell>
          <cell r="G669" t="str">
            <v>PRINCIPAL</v>
          </cell>
          <cell r="H669">
            <v>46004</v>
          </cell>
          <cell r="I669" t="str">
            <v>SALDO INICIAL</v>
          </cell>
          <cell r="J669">
            <v>0</v>
          </cell>
          <cell r="K669">
            <v>0.79386000000000001</v>
          </cell>
          <cell r="L669">
            <v>7.5761950000000002</v>
          </cell>
          <cell r="M669">
            <v>0</v>
          </cell>
          <cell r="N669" t="str">
            <v/>
          </cell>
          <cell r="O669" t="str">
            <v/>
          </cell>
          <cell r="P669" t="str">
            <v/>
          </cell>
          <cell r="Q669">
            <v>23</v>
          </cell>
          <cell r="R669" t="str">
            <v>UND</v>
          </cell>
          <cell r="S669">
            <v>0</v>
          </cell>
          <cell r="T669">
            <v>0</v>
          </cell>
          <cell r="U669" t="str">
            <v/>
          </cell>
          <cell r="V669" t="str">
            <v>PRO10</v>
          </cell>
          <cell r="W669">
            <v>0</v>
          </cell>
        </row>
        <row r="670">
          <cell r="C670" t="str">
            <v>PI1EMAN000927</v>
          </cell>
          <cell r="D670" t="str">
            <v>PRINC</v>
          </cell>
          <cell r="E670" t="str">
            <v>00013</v>
          </cell>
          <cell r="F670" t="str">
            <v>COMPONENTES P/ SISTEMAS Y TRANSP.</v>
          </cell>
          <cell r="G670" t="str">
            <v>PRINCIPAL</v>
          </cell>
          <cell r="H670">
            <v>46004</v>
          </cell>
          <cell r="I670" t="str">
            <v>SALDO INICIAL</v>
          </cell>
          <cell r="J670">
            <v>-1</v>
          </cell>
          <cell r="K670">
            <v>-3.4234399999999998</v>
          </cell>
          <cell r="L670">
            <v>15.34</v>
          </cell>
          <cell r="M670">
            <v>3.4234399999999998</v>
          </cell>
          <cell r="N670" t="str">
            <v/>
          </cell>
          <cell r="O670" t="str">
            <v/>
          </cell>
          <cell r="P670" t="str">
            <v/>
          </cell>
          <cell r="Q670">
            <v>20</v>
          </cell>
          <cell r="R670" t="str">
            <v>UND</v>
          </cell>
          <cell r="S670">
            <v>0</v>
          </cell>
          <cell r="T670">
            <v>0</v>
          </cell>
          <cell r="U670" t="str">
            <v/>
          </cell>
          <cell r="V670" t="str">
            <v>PRO10</v>
          </cell>
          <cell r="W670">
            <v>0</v>
          </cell>
        </row>
        <row r="671">
          <cell r="C671" t="str">
            <v>PI1APRF000282</v>
          </cell>
          <cell r="D671" t="str">
            <v>PRINC</v>
          </cell>
          <cell r="E671" t="str">
            <v>00014</v>
          </cell>
          <cell r="F671" t="str">
            <v>PERFILES Y TUBOS</v>
          </cell>
          <cell r="G671" t="str">
            <v>PRINCIPAL</v>
          </cell>
          <cell r="H671">
            <v>46004</v>
          </cell>
          <cell r="I671" t="str">
            <v>SALDO INICIAL</v>
          </cell>
          <cell r="J671">
            <v>33</v>
          </cell>
          <cell r="K671">
            <v>241.46174999999999</v>
          </cell>
          <cell r="L671">
            <v>7.3170229999999998</v>
          </cell>
          <cell r="M671">
            <v>7.3170227270000003</v>
          </cell>
          <cell r="N671" t="str">
            <v/>
          </cell>
          <cell r="O671" t="str">
            <v/>
          </cell>
          <cell r="P671" t="str">
            <v/>
          </cell>
          <cell r="Q671">
            <v>18.149999999999999</v>
          </cell>
          <cell r="R671" t="str">
            <v>MTS</v>
          </cell>
          <cell r="S671">
            <v>0</v>
          </cell>
          <cell r="T671">
            <v>0</v>
          </cell>
          <cell r="U671" t="str">
            <v/>
          </cell>
          <cell r="V671" t="str">
            <v>PRO10</v>
          </cell>
          <cell r="W671">
            <v>0</v>
          </cell>
        </row>
        <row r="672">
          <cell r="C672" t="str">
            <v>PERALUC22</v>
          </cell>
          <cell r="D672" t="str">
            <v>PRINC</v>
          </cell>
          <cell r="E672" t="str">
            <v>00014</v>
          </cell>
          <cell r="F672" t="str">
            <v>PERFILES Y TUBOS</v>
          </cell>
          <cell r="G672" t="str">
            <v>PRINCIPAL</v>
          </cell>
          <cell r="H672">
            <v>46004</v>
          </cell>
          <cell r="I672" t="str">
            <v>SALDO INICIAL</v>
          </cell>
          <cell r="J672">
            <v>294</v>
          </cell>
          <cell r="K672">
            <v>576.83268299999997</v>
          </cell>
          <cell r="L672">
            <v>1.962016</v>
          </cell>
          <cell r="M672">
            <v>1.9620159290000001</v>
          </cell>
          <cell r="N672" t="str">
            <v/>
          </cell>
          <cell r="O672" t="str">
            <v/>
          </cell>
          <cell r="P672" t="str">
            <v/>
          </cell>
          <cell r="Q672">
            <v>6.5</v>
          </cell>
          <cell r="R672" t="str">
            <v>MTS</v>
          </cell>
          <cell r="S672">
            <v>0</v>
          </cell>
          <cell r="T672">
            <v>0</v>
          </cell>
          <cell r="U672" t="str">
            <v/>
          </cell>
          <cell r="V672" t="str">
            <v>PRO10</v>
          </cell>
          <cell r="W672">
            <v>0</v>
          </cell>
        </row>
        <row r="673">
          <cell r="C673" t="str">
            <v>PI1APRF701004</v>
          </cell>
          <cell r="D673" t="str">
            <v>PRINC</v>
          </cell>
          <cell r="E673" t="str">
            <v>00014</v>
          </cell>
          <cell r="F673" t="str">
            <v>PERFILES Y TUBOS</v>
          </cell>
          <cell r="G673" t="str">
            <v>PRINCIPAL</v>
          </cell>
          <cell r="H673">
            <v>46004</v>
          </cell>
          <cell r="I673" t="str">
            <v>SALDO INICIAL</v>
          </cell>
          <cell r="J673">
            <v>487</v>
          </cell>
          <cell r="K673">
            <v>3083.3042959999998</v>
          </cell>
          <cell r="L673">
            <v>7.5928570000000004</v>
          </cell>
          <cell r="M673">
            <v>6.3312203199999999</v>
          </cell>
          <cell r="N673" t="str">
            <v/>
          </cell>
          <cell r="O673" t="str">
            <v/>
          </cell>
          <cell r="P673" t="str">
            <v/>
          </cell>
          <cell r="Q673">
            <v>22</v>
          </cell>
          <cell r="R673" t="str">
            <v>MTS</v>
          </cell>
          <cell r="S673">
            <v>0</v>
          </cell>
          <cell r="T673">
            <v>0</v>
          </cell>
          <cell r="U673" t="str">
            <v/>
          </cell>
          <cell r="V673" t="str">
            <v>PRO10</v>
          </cell>
          <cell r="W673">
            <v>0</v>
          </cell>
        </row>
        <row r="674">
          <cell r="C674" t="str">
            <v>PI1APRF001764</v>
          </cell>
          <cell r="D674" t="str">
            <v>PRINC</v>
          </cell>
          <cell r="E674" t="str">
            <v>00014</v>
          </cell>
          <cell r="F674" t="str">
            <v>PERFILES Y TUBOS</v>
          </cell>
          <cell r="G674" t="str">
            <v>PRINCIPAL</v>
          </cell>
          <cell r="H674">
            <v>46004</v>
          </cell>
          <cell r="I674" t="str">
            <v>SALDO INICIAL</v>
          </cell>
          <cell r="J674">
            <v>0</v>
          </cell>
          <cell r="K674">
            <v>-0.325714</v>
          </cell>
          <cell r="L674">
            <v>5.8</v>
          </cell>
          <cell r="M674">
            <v>0</v>
          </cell>
          <cell r="N674" t="str">
            <v/>
          </cell>
          <cell r="O674" t="str">
            <v/>
          </cell>
          <cell r="P674" t="str">
            <v/>
          </cell>
          <cell r="Q674">
            <v>0</v>
          </cell>
          <cell r="R674" t="str">
            <v>MTS</v>
          </cell>
          <cell r="S674">
            <v>0</v>
          </cell>
          <cell r="T674">
            <v>0</v>
          </cell>
          <cell r="U674" t="str">
            <v/>
          </cell>
          <cell r="V674" t="str">
            <v>PRO10</v>
          </cell>
          <cell r="W674">
            <v>0</v>
          </cell>
        </row>
        <row r="675">
          <cell r="C675" t="str">
            <v>ROPERPE1/4X1</v>
          </cell>
          <cell r="D675" t="str">
            <v>PRINC</v>
          </cell>
          <cell r="E675" t="str">
            <v>00014</v>
          </cell>
          <cell r="F675" t="str">
            <v>PERFILES Y TUBOS</v>
          </cell>
          <cell r="G675" t="str">
            <v>PRINCIPAL</v>
          </cell>
          <cell r="H675">
            <v>46004</v>
          </cell>
          <cell r="I675" t="str">
            <v>SALDO INICIAL</v>
          </cell>
          <cell r="J675">
            <v>132</v>
          </cell>
          <cell r="K675">
            <v>212.96621999999999</v>
          </cell>
          <cell r="L675">
            <v>1.61338</v>
          </cell>
          <cell r="M675">
            <v>1.6133804549999999</v>
          </cell>
          <cell r="N675" t="str">
            <v/>
          </cell>
          <cell r="O675" t="str">
            <v/>
          </cell>
          <cell r="P675" t="str">
            <v/>
          </cell>
          <cell r="Q675">
            <v>5.05</v>
          </cell>
          <cell r="R675" t="str">
            <v>MTS</v>
          </cell>
          <cell r="S675">
            <v>0</v>
          </cell>
          <cell r="T675">
            <v>0</v>
          </cell>
          <cell r="U675" t="str">
            <v/>
          </cell>
          <cell r="V675" t="str">
            <v>PRO10</v>
          </cell>
          <cell r="W675">
            <v>0</v>
          </cell>
        </row>
        <row r="676">
          <cell r="C676" t="str">
            <v>ROPE1/4X1.1/2</v>
          </cell>
          <cell r="D676" t="str">
            <v>PRINC</v>
          </cell>
          <cell r="E676" t="str">
            <v>00014</v>
          </cell>
          <cell r="F676" t="str">
            <v>PERFILES Y TUBOS</v>
          </cell>
          <cell r="G676" t="str">
            <v>PRINCIPAL</v>
          </cell>
          <cell r="H676">
            <v>46004</v>
          </cell>
          <cell r="I676" t="str">
            <v>SALDO INICIAL</v>
          </cell>
          <cell r="J676">
            <v>845</v>
          </cell>
          <cell r="K676">
            <v>1878.754021</v>
          </cell>
          <cell r="L676">
            <v>2.2233770000000002</v>
          </cell>
          <cell r="M676">
            <v>2.22337754</v>
          </cell>
          <cell r="N676" t="str">
            <v/>
          </cell>
          <cell r="O676" t="str">
            <v/>
          </cell>
          <cell r="P676" t="str">
            <v/>
          </cell>
          <cell r="Q676">
            <v>6.4</v>
          </cell>
          <cell r="R676" t="str">
            <v>MTS</v>
          </cell>
          <cell r="S676">
            <v>0</v>
          </cell>
          <cell r="T676">
            <v>0</v>
          </cell>
          <cell r="U676" t="str">
            <v/>
          </cell>
          <cell r="V676" t="str">
            <v>PRO10</v>
          </cell>
          <cell r="W676">
            <v>0</v>
          </cell>
        </row>
        <row r="677">
          <cell r="C677" t="str">
            <v>ROPE1/4X1.1/4</v>
          </cell>
          <cell r="D677" t="str">
            <v>PRINC</v>
          </cell>
          <cell r="E677" t="str">
            <v>00014</v>
          </cell>
          <cell r="F677" t="str">
            <v>PERFILES Y TUBOS</v>
          </cell>
          <cell r="G677" t="str">
            <v>PRINCIPAL</v>
          </cell>
          <cell r="H677">
            <v>46004</v>
          </cell>
          <cell r="I677" t="str">
            <v>SALDO INICIAL</v>
          </cell>
          <cell r="J677">
            <v>1266</v>
          </cell>
          <cell r="K677">
            <v>2512.8073020000002</v>
          </cell>
          <cell r="L677">
            <v>1.9848399999999999</v>
          </cell>
          <cell r="M677">
            <v>1.984839891</v>
          </cell>
          <cell r="N677" t="str">
            <v/>
          </cell>
          <cell r="O677" t="str">
            <v/>
          </cell>
          <cell r="P677" t="str">
            <v/>
          </cell>
          <cell r="Q677">
            <v>5.35</v>
          </cell>
          <cell r="R677" t="str">
            <v>MTS</v>
          </cell>
          <cell r="S677">
            <v>0</v>
          </cell>
          <cell r="T677">
            <v>0</v>
          </cell>
          <cell r="U677" t="str">
            <v/>
          </cell>
          <cell r="V677" t="str">
            <v>PRO10</v>
          </cell>
          <cell r="W677">
            <v>0</v>
          </cell>
        </row>
        <row r="678">
          <cell r="C678" t="str">
            <v>ROPE1/4X2</v>
          </cell>
          <cell r="D678" t="str">
            <v>PRINC</v>
          </cell>
          <cell r="E678" t="str">
            <v>00014</v>
          </cell>
          <cell r="F678" t="str">
            <v>PERFILES Y TUBOS</v>
          </cell>
          <cell r="G678" t="str">
            <v>PRINCIPAL</v>
          </cell>
          <cell r="H678">
            <v>46004</v>
          </cell>
          <cell r="I678" t="str">
            <v>SALDO INICIAL</v>
          </cell>
          <cell r="J678">
            <v>165</v>
          </cell>
          <cell r="K678">
            <v>431.503714</v>
          </cell>
          <cell r="L678">
            <v>2.6151740000000001</v>
          </cell>
          <cell r="M678">
            <v>2.6151740239999999</v>
          </cell>
          <cell r="N678" t="str">
            <v/>
          </cell>
          <cell r="O678" t="str">
            <v/>
          </cell>
          <cell r="P678" t="str">
            <v/>
          </cell>
          <cell r="Q678">
            <v>7.85</v>
          </cell>
          <cell r="R678" t="str">
            <v>MTS</v>
          </cell>
          <cell r="S678">
            <v>0</v>
          </cell>
          <cell r="T678">
            <v>0</v>
          </cell>
          <cell r="U678" t="str">
            <v/>
          </cell>
          <cell r="V678" t="str">
            <v>PRO10</v>
          </cell>
          <cell r="W678">
            <v>0</v>
          </cell>
        </row>
        <row r="679">
          <cell r="C679" t="str">
            <v>ROPE1/4X3</v>
          </cell>
          <cell r="D679" t="str">
            <v>PRINC</v>
          </cell>
          <cell r="E679" t="str">
            <v>00014</v>
          </cell>
          <cell r="F679" t="str">
            <v>PERFILES Y TUBOS</v>
          </cell>
          <cell r="G679" t="str">
            <v>PRINCIPAL</v>
          </cell>
          <cell r="H679">
            <v>46004</v>
          </cell>
          <cell r="I679" t="str">
            <v>SALDO INICIAL</v>
          </cell>
          <cell r="J679">
            <v>78</v>
          </cell>
          <cell r="K679">
            <v>308.18634600000001</v>
          </cell>
          <cell r="L679">
            <v>3.7235770000000001</v>
          </cell>
          <cell r="M679">
            <v>3.9511069999999999</v>
          </cell>
          <cell r="N679" t="str">
            <v/>
          </cell>
          <cell r="O679" t="str">
            <v/>
          </cell>
          <cell r="P679" t="str">
            <v/>
          </cell>
          <cell r="Q679">
            <v>9.5</v>
          </cell>
          <cell r="R679" t="str">
            <v>MTS</v>
          </cell>
          <cell r="S679">
            <v>0</v>
          </cell>
          <cell r="T679">
            <v>0</v>
          </cell>
          <cell r="U679" t="str">
            <v/>
          </cell>
          <cell r="V679" t="str">
            <v>PRO10</v>
          </cell>
          <cell r="W679">
            <v>0</v>
          </cell>
        </row>
        <row r="680">
          <cell r="C680" t="str">
            <v>PI1APRF000994</v>
          </cell>
          <cell r="D680" t="str">
            <v>PRINC</v>
          </cell>
          <cell r="E680" t="str">
            <v>00014</v>
          </cell>
          <cell r="F680" t="str">
            <v>PERFILES Y TUBOS</v>
          </cell>
          <cell r="G680" t="str">
            <v>PRINCIPAL</v>
          </cell>
          <cell r="H680">
            <v>46004</v>
          </cell>
          <cell r="I680" t="str">
            <v>SALDO INICIAL</v>
          </cell>
          <cell r="J680">
            <v>392</v>
          </cell>
          <cell r="K680">
            <v>1270.5817380000001</v>
          </cell>
          <cell r="L680">
            <v>3.2412800000000002</v>
          </cell>
          <cell r="M680">
            <v>3.241279944</v>
          </cell>
          <cell r="N680" t="str">
            <v/>
          </cell>
          <cell r="O680" t="str">
            <v/>
          </cell>
          <cell r="P680" t="str">
            <v/>
          </cell>
          <cell r="Q680">
            <v>7.7</v>
          </cell>
          <cell r="R680" t="str">
            <v>MTS</v>
          </cell>
          <cell r="S680">
            <v>0</v>
          </cell>
          <cell r="T680">
            <v>0</v>
          </cell>
          <cell r="U680" t="str">
            <v/>
          </cell>
          <cell r="V680" t="str">
            <v>PRO10</v>
          </cell>
          <cell r="W680">
            <v>0</v>
          </cell>
        </row>
        <row r="681">
          <cell r="C681" t="str">
            <v>PI1APRF002299</v>
          </cell>
          <cell r="D681" t="str">
            <v>PRINC</v>
          </cell>
          <cell r="E681" t="str">
            <v>00014</v>
          </cell>
          <cell r="F681" t="str">
            <v>PERFILES Y TUBOS</v>
          </cell>
          <cell r="G681" t="str">
            <v>PRINCIPAL</v>
          </cell>
          <cell r="H681">
            <v>46004</v>
          </cell>
          <cell r="I681" t="str">
            <v>SALDO INICIAL</v>
          </cell>
          <cell r="J681">
            <v>1358.25</v>
          </cell>
          <cell r="K681">
            <v>2259.4551630000001</v>
          </cell>
          <cell r="L681">
            <v>1.663505</v>
          </cell>
          <cell r="M681">
            <v>1.663504629</v>
          </cell>
          <cell r="N681" t="str">
            <v/>
          </cell>
          <cell r="O681" t="str">
            <v/>
          </cell>
          <cell r="P681" t="str">
            <v/>
          </cell>
          <cell r="Q681">
            <v>5.15</v>
          </cell>
          <cell r="R681" t="str">
            <v>MTS</v>
          </cell>
          <cell r="S681">
            <v>0</v>
          </cell>
          <cell r="T681">
            <v>0</v>
          </cell>
          <cell r="U681" t="str">
            <v/>
          </cell>
          <cell r="V681" t="str">
            <v>PRO10</v>
          </cell>
          <cell r="W681">
            <v>0</v>
          </cell>
        </row>
        <row r="682">
          <cell r="C682" t="str">
            <v>PI1APRF002142</v>
          </cell>
          <cell r="D682" t="str">
            <v>PRINC</v>
          </cell>
          <cell r="E682" t="str">
            <v>00014</v>
          </cell>
          <cell r="F682" t="str">
            <v>PERFILES Y TUBOS</v>
          </cell>
          <cell r="G682" t="str">
            <v>PRINCIPAL</v>
          </cell>
          <cell r="H682">
            <v>46004</v>
          </cell>
          <cell r="I682" t="str">
            <v>SALDO INICIAL</v>
          </cell>
          <cell r="J682">
            <v>30.3</v>
          </cell>
          <cell r="K682">
            <v>249.56751600000001</v>
          </cell>
          <cell r="L682">
            <v>5.6569039999999999</v>
          </cell>
          <cell r="M682">
            <v>8.2365516830000001</v>
          </cell>
          <cell r="N682" t="str">
            <v/>
          </cell>
          <cell r="O682" t="str">
            <v/>
          </cell>
          <cell r="P682" t="str">
            <v/>
          </cell>
          <cell r="Q682">
            <v>8.8000000000000007</v>
          </cell>
          <cell r="R682" t="str">
            <v>MTS</v>
          </cell>
          <cell r="S682">
            <v>0</v>
          </cell>
          <cell r="T682">
            <v>0</v>
          </cell>
          <cell r="U682" t="str">
            <v/>
          </cell>
          <cell r="V682" t="str">
            <v>PRO10</v>
          </cell>
          <cell r="W682">
            <v>0</v>
          </cell>
        </row>
        <row r="683">
          <cell r="C683" t="str">
            <v>PI1APRF001790</v>
          </cell>
          <cell r="D683" t="str">
            <v>PRINC</v>
          </cell>
          <cell r="E683" t="str">
            <v>00014</v>
          </cell>
          <cell r="F683" t="str">
            <v>PERFILES Y TUBOS</v>
          </cell>
          <cell r="G683" t="str">
            <v>PRINCIPAL</v>
          </cell>
          <cell r="H683">
            <v>46004</v>
          </cell>
          <cell r="I683" t="str">
            <v>SALDO INICIAL</v>
          </cell>
          <cell r="J683">
            <v>298.45</v>
          </cell>
          <cell r="K683">
            <v>2085.2395569999999</v>
          </cell>
          <cell r="L683">
            <v>6.9868969999999999</v>
          </cell>
          <cell r="M683">
            <v>6.9868974939999999</v>
          </cell>
          <cell r="N683" t="str">
            <v/>
          </cell>
          <cell r="O683" t="str">
            <v/>
          </cell>
          <cell r="P683" t="str">
            <v/>
          </cell>
          <cell r="Q683">
            <v>14</v>
          </cell>
          <cell r="R683" t="str">
            <v>MTS</v>
          </cell>
          <cell r="S683">
            <v>0</v>
          </cell>
          <cell r="T683">
            <v>0</v>
          </cell>
          <cell r="U683" t="str">
            <v/>
          </cell>
          <cell r="V683" t="str">
            <v>PRO10</v>
          </cell>
          <cell r="W683">
            <v>0</v>
          </cell>
        </row>
        <row r="684">
          <cell r="C684" t="str">
            <v>PI1APRF001985</v>
          </cell>
          <cell r="D684" t="str">
            <v>PRINC</v>
          </cell>
          <cell r="E684" t="str">
            <v>00014</v>
          </cell>
          <cell r="F684" t="str">
            <v>PERFILES Y TUBOS</v>
          </cell>
          <cell r="G684" t="str">
            <v>PRINCIPAL</v>
          </cell>
          <cell r="H684">
            <v>46004</v>
          </cell>
          <cell r="I684" t="str">
            <v>SALDO INICIAL</v>
          </cell>
          <cell r="J684">
            <v>0</v>
          </cell>
          <cell r="K684">
            <v>-33.384951999999998</v>
          </cell>
          <cell r="L684">
            <v>18.538451999999999</v>
          </cell>
          <cell r="M684">
            <v>0</v>
          </cell>
          <cell r="N684" t="str">
            <v/>
          </cell>
          <cell r="O684" t="str">
            <v/>
          </cell>
          <cell r="P684" t="str">
            <v/>
          </cell>
          <cell r="Q684">
            <v>32.5</v>
          </cell>
          <cell r="R684" t="str">
            <v>MTS</v>
          </cell>
          <cell r="S684">
            <v>0</v>
          </cell>
          <cell r="T684">
            <v>0</v>
          </cell>
          <cell r="U684" t="str">
            <v/>
          </cell>
          <cell r="V684" t="str">
            <v>PRO10</v>
          </cell>
          <cell r="W684">
            <v>0</v>
          </cell>
        </row>
        <row r="685">
          <cell r="C685" t="str">
            <v>PI1APRF001200</v>
          </cell>
          <cell r="D685" t="str">
            <v>PRINC</v>
          </cell>
          <cell r="E685" t="str">
            <v>00014</v>
          </cell>
          <cell r="F685" t="str">
            <v>PERFILES Y TUBOS</v>
          </cell>
          <cell r="G685" t="str">
            <v>PRINCIPAL</v>
          </cell>
          <cell r="H685">
            <v>46004</v>
          </cell>
          <cell r="I685" t="str">
            <v>SALDO INICIAL</v>
          </cell>
          <cell r="J685">
            <v>0</v>
          </cell>
          <cell r="K685">
            <v>29.159662000000001</v>
          </cell>
          <cell r="L685">
            <v>16.438164</v>
          </cell>
          <cell r="M685">
            <v>0</v>
          </cell>
          <cell r="N685" t="str">
            <v/>
          </cell>
          <cell r="O685" t="str">
            <v/>
          </cell>
          <cell r="P685" t="str">
            <v/>
          </cell>
          <cell r="Q685">
            <v>30.1</v>
          </cell>
          <cell r="R685" t="str">
            <v>MTS</v>
          </cell>
          <cell r="S685">
            <v>0</v>
          </cell>
          <cell r="T685">
            <v>0</v>
          </cell>
          <cell r="U685" t="str">
            <v/>
          </cell>
          <cell r="V685" t="str">
            <v>PRO10</v>
          </cell>
          <cell r="W685">
            <v>0</v>
          </cell>
        </row>
        <row r="686">
          <cell r="C686" t="str">
            <v>PI1APRF000245</v>
          </cell>
          <cell r="D686" t="str">
            <v>PRINC</v>
          </cell>
          <cell r="E686" t="str">
            <v>00014</v>
          </cell>
          <cell r="F686" t="str">
            <v>PERFILES Y TUBOS</v>
          </cell>
          <cell r="G686" t="str">
            <v>PRINCIPAL</v>
          </cell>
          <cell r="H686">
            <v>46004</v>
          </cell>
          <cell r="I686" t="str">
            <v>SALDO INICIAL</v>
          </cell>
          <cell r="J686">
            <v>150</v>
          </cell>
          <cell r="K686">
            <v>370.51843300000002</v>
          </cell>
          <cell r="L686">
            <v>2.4701230000000001</v>
          </cell>
          <cell r="M686">
            <v>2.470122887</v>
          </cell>
          <cell r="N686" t="str">
            <v/>
          </cell>
          <cell r="O686" t="str">
            <v/>
          </cell>
          <cell r="P686" t="str">
            <v/>
          </cell>
          <cell r="Q686">
            <v>7.7</v>
          </cell>
          <cell r="R686" t="str">
            <v>MTS</v>
          </cell>
          <cell r="S686">
            <v>0</v>
          </cell>
          <cell r="T686">
            <v>0</v>
          </cell>
          <cell r="U686" t="str">
            <v/>
          </cell>
          <cell r="V686" t="str">
            <v>PRO10</v>
          </cell>
          <cell r="W686">
            <v>0</v>
          </cell>
        </row>
        <row r="687">
          <cell r="C687" t="str">
            <v>PI1APRF000079</v>
          </cell>
          <cell r="D687" t="str">
            <v>PRINC</v>
          </cell>
          <cell r="E687" t="str">
            <v>00014</v>
          </cell>
          <cell r="F687" t="str">
            <v>PERFILES Y TUBOS</v>
          </cell>
          <cell r="G687" t="str">
            <v>PRINCIPAL</v>
          </cell>
          <cell r="H687">
            <v>46004</v>
          </cell>
          <cell r="I687" t="str">
            <v>SALDO INICIAL</v>
          </cell>
          <cell r="J687">
            <v>364</v>
          </cell>
          <cell r="K687">
            <v>1850.1326790000001</v>
          </cell>
          <cell r="L687">
            <v>5.0827819999999999</v>
          </cell>
          <cell r="M687">
            <v>5.0827820849999998</v>
          </cell>
          <cell r="N687" t="str">
            <v/>
          </cell>
          <cell r="O687" t="str">
            <v/>
          </cell>
          <cell r="P687" t="str">
            <v/>
          </cell>
          <cell r="Q687">
            <v>8</v>
          </cell>
          <cell r="R687" t="str">
            <v>MTS</v>
          </cell>
          <cell r="S687">
            <v>0</v>
          </cell>
          <cell r="T687">
            <v>0</v>
          </cell>
          <cell r="U687" t="str">
            <v/>
          </cell>
          <cell r="V687" t="str">
            <v>PRO10</v>
          </cell>
          <cell r="W687">
            <v>0</v>
          </cell>
        </row>
        <row r="688">
          <cell r="C688" t="str">
            <v>PI1APRF000231</v>
          </cell>
          <cell r="D688" t="str">
            <v>PRINC</v>
          </cell>
          <cell r="E688" t="str">
            <v>00014</v>
          </cell>
          <cell r="F688" t="str">
            <v>PERFILES Y TUBOS</v>
          </cell>
          <cell r="G688" t="str">
            <v>PRINCIPAL</v>
          </cell>
          <cell r="H688">
            <v>46004</v>
          </cell>
          <cell r="I688" t="str">
            <v>SALDO INICIAL</v>
          </cell>
          <cell r="J688">
            <v>179</v>
          </cell>
          <cell r="K688">
            <v>522.67999999999995</v>
          </cell>
          <cell r="L688">
            <v>2.92</v>
          </cell>
          <cell r="M688">
            <v>2.92</v>
          </cell>
          <cell r="N688" t="str">
            <v/>
          </cell>
          <cell r="O688" t="str">
            <v/>
          </cell>
          <cell r="P688" t="str">
            <v/>
          </cell>
          <cell r="Q688">
            <v>6.15</v>
          </cell>
          <cell r="R688" t="str">
            <v>MTS</v>
          </cell>
          <cell r="S688">
            <v>0</v>
          </cell>
          <cell r="T688">
            <v>0</v>
          </cell>
          <cell r="U688" t="str">
            <v/>
          </cell>
          <cell r="V688" t="str">
            <v>PRO10</v>
          </cell>
          <cell r="W688">
            <v>0</v>
          </cell>
        </row>
        <row r="689">
          <cell r="C689" t="str">
            <v>PI1APRF001317</v>
          </cell>
          <cell r="D689" t="str">
            <v>PRINC</v>
          </cell>
          <cell r="E689" t="str">
            <v>00014</v>
          </cell>
          <cell r="F689" t="str">
            <v>PERFILES Y TUBOS</v>
          </cell>
          <cell r="G689" t="str">
            <v>PRINCIPAL</v>
          </cell>
          <cell r="H689">
            <v>46004</v>
          </cell>
          <cell r="I689" t="str">
            <v>SALDO INICIAL</v>
          </cell>
          <cell r="J689">
            <v>3</v>
          </cell>
          <cell r="K689">
            <v>-2.4580340000000001</v>
          </cell>
          <cell r="L689">
            <v>1.8661479999999999</v>
          </cell>
          <cell r="M689">
            <v>-0.81934466699999997</v>
          </cell>
          <cell r="N689" t="str">
            <v/>
          </cell>
          <cell r="O689" t="str">
            <v/>
          </cell>
          <cell r="P689" t="str">
            <v/>
          </cell>
          <cell r="Q689">
            <v>4.05</v>
          </cell>
          <cell r="R689" t="str">
            <v>MTS</v>
          </cell>
          <cell r="S689">
            <v>0</v>
          </cell>
          <cell r="T689">
            <v>0</v>
          </cell>
          <cell r="U689" t="str">
            <v/>
          </cell>
          <cell r="V689" t="str">
            <v>PRO10</v>
          </cell>
          <cell r="W689">
            <v>0</v>
          </cell>
        </row>
        <row r="690">
          <cell r="C690" t="str">
            <v>PI1APRF000080</v>
          </cell>
          <cell r="D690" t="str">
            <v>PRINC</v>
          </cell>
          <cell r="E690" t="str">
            <v>00014</v>
          </cell>
          <cell r="F690" t="str">
            <v>PERFILES Y TUBOS</v>
          </cell>
          <cell r="G690" t="str">
            <v>PRINCIPAL</v>
          </cell>
          <cell r="H690">
            <v>46004</v>
          </cell>
          <cell r="I690" t="str">
            <v>SALDO INICIAL</v>
          </cell>
          <cell r="J690">
            <v>0</v>
          </cell>
          <cell r="K690">
            <v>-4.951867</v>
          </cell>
          <cell r="L690">
            <v>6.02</v>
          </cell>
          <cell r="M690">
            <v>0</v>
          </cell>
          <cell r="N690" t="str">
            <v/>
          </cell>
          <cell r="O690" t="str">
            <v/>
          </cell>
          <cell r="P690" t="str">
            <v/>
          </cell>
          <cell r="Q690">
            <v>7.4</v>
          </cell>
          <cell r="R690" t="str">
            <v>MTS</v>
          </cell>
          <cell r="S690">
            <v>0</v>
          </cell>
          <cell r="T690">
            <v>0</v>
          </cell>
          <cell r="U690" t="str">
            <v/>
          </cell>
          <cell r="V690" t="str">
            <v>PRO10</v>
          </cell>
          <cell r="W690">
            <v>0</v>
          </cell>
        </row>
        <row r="691">
          <cell r="C691" t="str">
            <v>PI1APRF000283</v>
          </cell>
          <cell r="D691" t="str">
            <v>PRINC</v>
          </cell>
          <cell r="E691" t="str">
            <v>00014</v>
          </cell>
          <cell r="F691" t="str">
            <v>PERFILES Y TUBOS</v>
          </cell>
          <cell r="G691" t="str">
            <v>PRINCIPAL</v>
          </cell>
          <cell r="H691">
            <v>46004</v>
          </cell>
          <cell r="I691" t="str">
            <v>SALDO INICIAL</v>
          </cell>
          <cell r="J691">
            <v>63.4</v>
          </cell>
          <cell r="K691">
            <v>80.276951999999994</v>
          </cell>
          <cell r="L691">
            <v>1.3269120000000001</v>
          </cell>
          <cell r="M691">
            <v>1.2661979809999999</v>
          </cell>
          <cell r="N691" t="str">
            <v/>
          </cell>
          <cell r="O691" t="str">
            <v/>
          </cell>
          <cell r="P691" t="str">
            <v/>
          </cell>
          <cell r="Q691">
            <v>4.25</v>
          </cell>
          <cell r="R691" t="str">
            <v>MTS</v>
          </cell>
          <cell r="S691">
            <v>0</v>
          </cell>
          <cell r="T691">
            <v>0</v>
          </cell>
          <cell r="U691" t="str">
            <v/>
          </cell>
          <cell r="V691" t="str">
            <v>PRO10</v>
          </cell>
          <cell r="W691">
            <v>0</v>
          </cell>
        </row>
        <row r="692">
          <cell r="C692" t="str">
            <v>PI1APRF202120</v>
          </cell>
          <cell r="D692" t="str">
            <v>PRINC</v>
          </cell>
          <cell r="E692" t="str">
            <v>00014</v>
          </cell>
          <cell r="F692" t="str">
            <v>PERFILES Y TUBOS</v>
          </cell>
          <cell r="G692" t="str">
            <v>PRINCIPAL</v>
          </cell>
          <cell r="H692">
            <v>46004</v>
          </cell>
          <cell r="I692" t="str">
            <v>SALDO INICIAL</v>
          </cell>
          <cell r="J692">
            <v>93</v>
          </cell>
          <cell r="K692">
            <v>148.04669999999999</v>
          </cell>
          <cell r="L692">
            <v>0</v>
          </cell>
          <cell r="M692">
            <v>1.5919000000000001</v>
          </cell>
          <cell r="N692" t="str">
            <v/>
          </cell>
          <cell r="O692" t="str">
            <v/>
          </cell>
          <cell r="P692" t="str">
            <v/>
          </cell>
          <cell r="Q692">
            <v>3.35</v>
          </cell>
          <cell r="R692" t="str">
            <v>MTS</v>
          </cell>
          <cell r="S692">
            <v>0</v>
          </cell>
          <cell r="T692">
            <v>0</v>
          </cell>
          <cell r="U692" t="str">
            <v/>
          </cell>
          <cell r="V692" t="str">
            <v>PRO10</v>
          </cell>
          <cell r="W692">
            <v>0</v>
          </cell>
        </row>
        <row r="693">
          <cell r="C693" t="str">
            <v>PI1APRF202355</v>
          </cell>
          <cell r="D693" t="str">
            <v>PRINC</v>
          </cell>
          <cell r="E693" t="str">
            <v>00014</v>
          </cell>
          <cell r="F693" t="str">
            <v>PERFILES Y TUBOS</v>
          </cell>
          <cell r="G693" t="str">
            <v>PRINCIPAL</v>
          </cell>
          <cell r="H693">
            <v>46004</v>
          </cell>
          <cell r="I693" t="str">
            <v>SALDO INICIAL</v>
          </cell>
          <cell r="J693">
            <v>32.369999999999997</v>
          </cell>
          <cell r="K693">
            <v>74.680826999999994</v>
          </cell>
          <cell r="L693">
            <v>2.3071000000000002</v>
          </cell>
          <cell r="M693">
            <v>2.3071000000000002</v>
          </cell>
          <cell r="N693" t="str">
            <v/>
          </cell>
          <cell r="O693" t="str">
            <v/>
          </cell>
          <cell r="P693" t="str">
            <v/>
          </cell>
          <cell r="Q693">
            <v>6.05</v>
          </cell>
          <cell r="R693" t="str">
            <v>MTS</v>
          </cell>
          <cell r="S693">
            <v>0</v>
          </cell>
          <cell r="T693">
            <v>0</v>
          </cell>
          <cell r="U693" t="str">
            <v/>
          </cell>
          <cell r="V693" t="str">
            <v>PRO10</v>
          </cell>
          <cell r="W693">
            <v>0</v>
          </cell>
        </row>
        <row r="694">
          <cell r="C694" t="str">
            <v>PI1APRF001271</v>
          </cell>
          <cell r="D694" t="str">
            <v>PRINC</v>
          </cell>
          <cell r="E694" t="str">
            <v>00014</v>
          </cell>
          <cell r="F694" t="str">
            <v>PERFILES Y TUBOS</v>
          </cell>
          <cell r="G694" t="str">
            <v>PRINCIPAL</v>
          </cell>
          <cell r="H694">
            <v>46004</v>
          </cell>
          <cell r="I694" t="str">
            <v>SALDO INICIAL</v>
          </cell>
          <cell r="J694">
            <v>83</v>
          </cell>
          <cell r="K694">
            <v>328.59069199999999</v>
          </cell>
          <cell r="L694">
            <v>3.9589240000000001</v>
          </cell>
          <cell r="M694">
            <v>3.9589240000000001</v>
          </cell>
          <cell r="N694" t="str">
            <v/>
          </cell>
          <cell r="O694" t="str">
            <v/>
          </cell>
          <cell r="P694" t="str">
            <v/>
          </cell>
          <cell r="Q694">
            <v>8.85</v>
          </cell>
          <cell r="R694" t="str">
            <v>MT</v>
          </cell>
          <cell r="S694">
            <v>0</v>
          </cell>
          <cell r="T694">
            <v>0</v>
          </cell>
          <cell r="U694" t="str">
            <v/>
          </cell>
          <cell r="V694" t="str">
            <v>PRO10</v>
          </cell>
          <cell r="W694">
            <v>0</v>
          </cell>
        </row>
        <row r="695">
          <cell r="C695" t="str">
            <v>PI1APRF002143</v>
          </cell>
          <cell r="D695" t="str">
            <v>PRINC</v>
          </cell>
          <cell r="E695" t="str">
            <v>00014</v>
          </cell>
          <cell r="F695" t="str">
            <v>PERFILES Y TUBOS</v>
          </cell>
          <cell r="G695" t="str">
            <v>PRINCIPAL</v>
          </cell>
          <cell r="H695">
            <v>46004</v>
          </cell>
          <cell r="I695" t="str">
            <v>SALDO INICIAL</v>
          </cell>
          <cell r="J695">
            <v>1.7</v>
          </cell>
          <cell r="K695">
            <v>4.4723699999999997</v>
          </cell>
          <cell r="L695">
            <v>2.6308090000000002</v>
          </cell>
          <cell r="M695">
            <v>2.6308058820000002</v>
          </cell>
          <cell r="N695" t="str">
            <v/>
          </cell>
          <cell r="O695" t="str">
            <v/>
          </cell>
          <cell r="P695" t="str">
            <v/>
          </cell>
          <cell r="Q695">
            <v>5.8</v>
          </cell>
          <cell r="R695" t="str">
            <v>MTS</v>
          </cell>
          <cell r="S695">
            <v>0</v>
          </cell>
          <cell r="T695">
            <v>0</v>
          </cell>
          <cell r="U695" t="str">
            <v/>
          </cell>
          <cell r="V695" t="str">
            <v>PRO10</v>
          </cell>
          <cell r="W695">
            <v>0</v>
          </cell>
        </row>
        <row r="696">
          <cell r="C696" t="str">
            <v>PI1APRF000273</v>
          </cell>
          <cell r="D696" t="str">
            <v>PRINC</v>
          </cell>
          <cell r="E696" t="str">
            <v>00014</v>
          </cell>
          <cell r="F696" t="str">
            <v>PERFILES Y TUBOS</v>
          </cell>
          <cell r="G696" t="str">
            <v>PRINCIPAL</v>
          </cell>
          <cell r="H696">
            <v>46004</v>
          </cell>
          <cell r="I696" t="str">
            <v>SALDO INICIAL</v>
          </cell>
          <cell r="J696">
            <v>5.9</v>
          </cell>
          <cell r="K696">
            <v>23.904095999999999</v>
          </cell>
          <cell r="L696">
            <v>3.6183529999999999</v>
          </cell>
          <cell r="M696">
            <v>4.0515416950000001</v>
          </cell>
          <cell r="N696" t="str">
            <v/>
          </cell>
          <cell r="O696" t="str">
            <v/>
          </cell>
          <cell r="P696" t="str">
            <v/>
          </cell>
          <cell r="Q696">
            <v>5.8</v>
          </cell>
          <cell r="R696" t="str">
            <v>MTS</v>
          </cell>
          <cell r="S696">
            <v>0</v>
          </cell>
          <cell r="T696">
            <v>0</v>
          </cell>
          <cell r="U696" t="str">
            <v/>
          </cell>
          <cell r="V696" t="str">
            <v>PRO10</v>
          </cell>
          <cell r="W696">
            <v>0</v>
          </cell>
        </row>
        <row r="697">
          <cell r="C697" t="str">
            <v>PI1APRF000223</v>
          </cell>
          <cell r="D697" t="str">
            <v>PRINC</v>
          </cell>
          <cell r="E697" t="str">
            <v>00014</v>
          </cell>
          <cell r="F697" t="str">
            <v>PERFILES Y TUBOS</v>
          </cell>
          <cell r="G697" t="str">
            <v>PRINCIPAL</v>
          </cell>
          <cell r="H697">
            <v>46004</v>
          </cell>
          <cell r="I697" t="str">
            <v>SALDO INICIAL</v>
          </cell>
          <cell r="J697">
            <v>13.6</v>
          </cell>
          <cell r="K697">
            <v>50.794181999999999</v>
          </cell>
          <cell r="L697">
            <v>3.7348669999999999</v>
          </cell>
          <cell r="M697">
            <v>3.734866324</v>
          </cell>
          <cell r="N697" t="str">
            <v/>
          </cell>
          <cell r="O697" t="str">
            <v/>
          </cell>
          <cell r="P697" t="str">
            <v/>
          </cell>
          <cell r="Q697">
            <v>6.65</v>
          </cell>
          <cell r="R697" t="str">
            <v>MTS</v>
          </cell>
          <cell r="S697">
            <v>0</v>
          </cell>
          <cell r="T697">
            <v>0</v>
          </cell>
          <cell r="U697" t="str">
            <v/>
          </cell>
          <cell r="V697" t="str">
            <v>PRO10</v>
          </cell>
          <cell r="W697">
            <v>0</v>
          </cell>
        </row>
        <row r="698">
          <cell r="C698" t="str">
            <v>PI1APRF000224</v>
          </cell>
          <cell r="D698" t="str">
            <v>PRINC</v>
          </cell>
          <cell r="E698" t="str">
            <v>00014</v>
          </cell>
          <cell r="F698" t="str">
            <v>PERFILES Y TUBOS</v>
          </cell>
          <cell r="G698" t="str">
            <v>PRINCIPAL</v>
          </cell>
          <cell r="H698">
            <v>46004</v>
          </cell>
          <cell r="I698" t="str">
            <v>SALDO INICIAL</v>
          </cell>
          <cell r="J698">
            <v>29.6</v>
          </cell>
          <cell r="K698">
            <v>143.04186799999999</v>
          </cell>
          <cell r="L698">
            <v>4.8324949999999998</v>
          </cell>
          <cell r="M698">
            <v>4.8324955410000001</v>
          </cell>
          <cell r="N698" t="str">
            <v/>
          </cell>
          <cell r="O698" t="str">
            <v/>
          </cell>
          <cell r="P698" t="str">
            <v/>
          </cell>
          <cell r="Q698">
            <v>8.1999999999999993</v>
          </cell>
          <cell r="R698" t="str">
            <v>MTS</v>
          </cell>
          <cell r="S698">
            <v>0</v>
          </cell>
          <cell r="T698">
            <v>0</v>
          </cell>
          <cell r="U698" t="str">
            <v/>
          </cell>
          <cell r="V698" t="str">
            <v>PRO10</v>
          </cell>
          <cell r="W698">
            <v>0</v>
          </cell>
        </row>
        <row r="699">
          <cell r="C699" t="str">
            <v>RO420273</v>
          </cell>
          <cell r="D699" t="str">
            <v>PRINC</v>
          </cell>
          <cell r="E699" t="str">
            <v>00014</v>
          </cell>
          <cell r="F699" t="str">
            <v>PERFILES Y TUBOS</v>
          </cell>
          <cell r="G699" t="str">
            <v>PRINCIPAL</v>
          </cell>
          <cell r="H699">
            <v>46004</v>
          </cell>
          <cell r="I699" t="str">
            <v>SALDO INICIAL</v>
          </cell>
          <cell r="J699">
            <v>570</v>
          </cell>
          <cell r="K699">
            <v>2500.8277149999999</v>
          </cell>
          <cell r="L699">
            <v>4.3498000000000001</v>
          </cell>
          <cell r="M699">
            <v>4.3874170440000002</v>
          </cell>
          <cell r="N699" t="str">
            <v/>
          </cell>
          <cell r="O699" t="str">
            <v/>
          </cell>
          <cell r="P699" t="str">
            <v/>
          </cell>
          <cell r="Q699">
            <v>10.95</v>
          </cell>
          <cell r="R699" t="str">
            <v>MTS</v>
          </cell>
          <cell r="S699">
            <v>0</v>
          </cell>
          <cell r="T699">
            <v>0</v>
          </cell>
          <cell r="U699" t="str">
            <v/>
          </cell>
          <cell r="V699" t="str">
            <v>PRO10</v>
          </cell>
          <cell r="W699">
            <v>0</v>
          </cell>
        </row>
        <row r="700">
          <cell r="C700" t="str">
            <v>RO478563</v>
          </cell>
          <cell r="D700" t="str">
            <v>PRINC</v>
          </cell>
          <cell r="E700" t="str">
            <v>00014</v>
          </cell>
          <cell r="F700" t="str">
            <v>PERFILES Y TUBOS</v>
          </cell>
          <cell r="G700" t="str">
            <v>PRINCIPAL</v>
          </cell>
          <cell r="H700">
            <v>46004</v>
          </cell>
          <cell r="I700" t="str">
            <v>SALDO INICIAL</v>
          </cell>
          <cell r="J700">
            <v>138.80000000000001</v>
          </cell>
          <cell r="K700">
            <v>785.654989</v>
          </cell>
          <cell r="L700">
            <v>5.6603389999999996</v>
          </cell>
          <cell r="M700">
            <v>5.6603385370000003</v>
          </cell>
          <cell r="N700" t="str">
            <v/>
          </cell>
          <cell r="O700" t="str">
            <v/>
          </cell>
          <cell r="P700" t="str">
            <v/>
          </cell>
          <cell r="Q700">
            <v>11.2</v>
          </cell>
          <cell r="R700" t="str">
            <v>MT</v>
          </cell>
          <cell r="S700">
            <v>0</v>
          </cell>
          <cell r="T700">
            <v>0</v>
          </cell>
          <cell r="U700" t="str">
            <v/>
          </cell>
          <cell r="V700" t="str">
            <v>PRO10</v>
          </cell>
          <cell r="W700">
            <v>0</v>
          </cell>
        </row>
        <row r="701">
          <cell r="C701" t="str">
            <v>RO229310</v>
          </cell>
          <cell r="D701" t="str">
            <v>PRINC</v>
          </cell>
          <cell r="E701" t="str">
            <v>00014</v>
          </cell>
          <cell r="F701" t="str">
            <v>PERFILES Y TUBOS</v>
          </cell>
          <cell r="G701" t="str">
            <v>PRINCIPAL</v>
          </cell>
          <cell r="H701">
            <v>46004</v>
          </cell>
          <cell r="I701" t="str">
            <v>SALDO INICIAL</v>
          </cell>
          <cell r="J701">
            <v>333.1</v>
          </cell>
          <cell r="K701">
            <v>468.19411400000001</v>
          </cell>
          <cell r="L701">
            <v>1.644023</v>
          </cell>
          <cell r="M701">
            <v>1.405566238</v>
          </cell>
          <cell r="N701" t="str">
            <v/>
          </cell>
          <cell r="O701" t="str">
            <v/>
          </cell>
          <cell r="P701" t="str">
            <v/>
          </cell>
          <cell r="Q701">
            <v>5.8</v>
          </cell>
          <cell r="R701" t="str">
            <v>MTS</v>
          </cell>
          <cell r="S701">
            <v>0</v>
          </cell>
          <cell r="T701">
            <v>0</v>
          </cell>
          <cell r="U701" t="str">
            <v/>
          </cell>
          <cell r="V701" t="str">
            <v>PRO10</v>
          </cell>
          <cell r="W701">
            <v>0</v>
          </cell>
        </row>
        <row r="702">
          <cell r="C702" t="str">
            <v>RO258009</v>
          </cell>
          <cell r="D702" t="str">
            <v>PRINC</v>
          </cell>
          <cell r="E702" t="str">
            <v>00014</v>
          </cell>
          <cell r="F702" t="str">
            <v>PERFILES Y TUBOS</v>
          </cell>
          <cell r="G702" t="str">
            <v>PRINCIPAL</v>
          </cell>
          <cell r="H702">
            <v>46004</v>
          </cell>
          <cell r="I702" t="str">
            <v>SALDO INICIAL</v>
          </cell>
          <cell r="J702">
            <v>275</v>
          </cell>
          <cell r="K702">
            <v>739.88750000000005</v>
          </cell>
          <cell r="L702">
            <v>2.6905000000000001</v>
          </cell>
          <cell r="M702">
            <v>2.6905000000000001</v>
          </cell>
          <cell r="N702" t="str">
            <v/>
          </cell>
          <cell r="O702" t="str">
            <v/>
          </cell>
          <cell r="P702" t="str">
            <v/>
          </cell>
          <cell r="Q702">
            <v>7.3</v>
          </cell>
          <cell r="R702" t="str">
            <v>MT</v>
          </cell>
          <cell r="S702">
            <v>0</v>
          </cell>
          <cell r="T702">
            <v>0</v>
          </cell>
          <cell r="U702" t="str">
            <v/>
          </cell>
          <cell r="V702" t="str">
            <v>PRO10</v>
          </cell>
          <cell r="W702">
            <v>0</v>
          </cell>
        </row>
        <row r="703">
          <cell r="C703" t="str">
            <v>RO225457</v>
          </cell>
          <cell r="D703" t="str">
            <v>PRINC</v>
          </cell>
          <cell r="E703" t="str">
            <v>00014</v>
          </cell>
          <cell r="F703" t="str">
            <v>PERFILES Y TUBOS</v>
          </cell>
          <cell r="G703" t="str">
            <v>PRINCIPAL</v>
          </cell>
          <cell r="H703">
            <v>46004</v>
          </cell>
          <cell r="I703" t="str">
            <v>SALDO INICIAL</v>
          </cell>
          <cell r="J703">
            <v>466</v>
          </cell>
          <cell r="K703">
            <v>1348.846088</v>
          </cell>
          <cell r="L703">
            <v>2.6968999999999999</v>
          </cell>
          <cell r="M703">
            <v>2.8945195020000001</v>
          </cell>
          <cell r="N703" t="str">
            <v/>
          </cell>
          <cell r="O703" t="str">
            <v/>
          </cell>
          <cell r="P703" t="str">
            <v/>
          </cell>
          <cell r="Q703">
            <v>8.0500000000000007</v>
          </cell>
          <cell r="R703" t="str">
            <v>MTS</v>
          </cell>
          <cell r="S703">
            <v>0</v>
          </cell>
          <cell r="T703">
            <v>0</v>
          </cell>
          <cell r="U703" t="str">
            <v/>
          </cell>
          <cell r="V703" t="str">
            <v>PRO10</v>
          </cell>
          <cell r="W703">
            <v>0</v>
          </cell>
        </row>
        <row r="704">
          <cell r="C704" t="str">
            <v>RO478564</v>
          </cell>
          <cell r="D704" t="str">
            <v>PRINC</v>
          </cell>
          <cell r="E704" t="str">
            <v>00014</v>
          </cell>
          <cell r="F704" t="str">
            <v>PERFILES Y TUBOS</v>
          </cell>
          <cell r="G704" t="str">
            <v>PRINCIPAL</v>
          </cell>
          <cell r="H704">
            <v>46004</v>
          </cell>
          <cell r="I704" t="str">
            <v>SALDO INICIAL</v>
          </cell>
          <cell r="J704">
            <v>1140</v>
          </cell>
          <cell r="K704">
            <v>3660.1979999999999</v>
          </cell>
          <cell r="L704">
            <v>3.2107000000000001</v>
          </cell>
          <cell r="M704">
            <v>3.2107000000000001</v>
          </cell>
          <cell r="N704" t="str">
            <v/>
          </cell>
          <cell r="O704" t="str">
            <v/>
          </cell>
          <cell r="P704" t="str">
            <v/>
          </cell>
          <cell r="Q704">
            <v>5.75</v>
          </cell>
          <cell r="R704" t="str">
            <v>MT</v>
          </cell>
          <cell r="S704">
            <v>0</v>
          </cell>
          <cell r="T704">
            <v>0</v>
          </cell>
          <cell r="U704" t="str">
            <v/>
          </cell>
          <cell r="V704" t="str">
            <v>PRO10</v>
          </cell>
          <cell r="W704">
            <v>0</v>
          </cell>
        </row>
        <row r="705">
          <cell r="C705" t="str">
            <v>RO246198</v>
          </cell>
          <cell r="D705" t="str">
            <v>PRINC</v>
          </cell>
          <cell r="E705" t="str">
            <v>00014</v>
          </cell>
          <cell r="F705" t="str">
            <v>PERFILES Y TUBOS</v>
          </cell>
          <cell r="G705" t="str">
            <v>PRINCIPAL</v>
          </cell>
          <cell r="H705">
            <v>46004</v>
          </cell>
          <cell r="I705" t="str">
            <v>SALDO INICIAL</v>
          </cell>
          <cell r="J705">
            <v>123</v>
          </cell>
          <cell r="K705">
            <v>322.09794099999999</v>
          </cell>
          <cell r="L705">
            <v>2.6186820000000002</v>
          </cell>
          <cell r="M705">
            <v>2.6186824469999999</v>
          </cell>
          <cell r="N705" t="str">
            <v/>
          </cell>
          <cell r="O705" t="str">
            <v/>
          </cell>
          <cell r="P705" t="str">
            <v/>
          </cell>
          <cell r="Q705">
            <v>5.05</v>
          </cell>
          <cell r="R705" t="str">
            <v>MTS</v>
          </cell>
          <cell r="S705">
            <v>0</v>
          </cell>
          <cell r="T705">
            <v>0</v>
          </cell>
          <cell r="U705" t="str">
            <v/>
          </cell>
          <cell r="V705" t="str">
            <v>PRO10</v>
          </cell>
          <cell r="W705">
            <v>0</v>
          </cell>
        </row>
        <row r="706">
          <cell r="C706" t="str">
            <v>RO228835</v>
          </cell>
          <cell r="D706" t="str">
            <v>PRINC</v>
          </cell>
          <cell r="E706" t="str">
            <v>00014</v>
          </cell>
          <cell r="F706" t="str">
            <v>PERFILES Y TUBOS</v>
          </cell>
          <cell r="G706" t="str">
            <v>PRINCIPAL</v>
          </cell>
          <cell r="H706">
            <v>46004</v>
          </cell>
          <cell r="I706" t="str">
            <v>SALDO INICIAL</v>
          </cell>
          <cell r="J706">
            <v>310.55</v>
          </cell>
          <cell r="K706">
            <v>445.07932799999998</v>
          </cell>
          <cell r="L706">
            <v>1.4331970000000001</v>
          </cell>
          <cell r="M706">
            <v>1.433196999</v>
          </cell>
          <cell r="N706" t="str">
            <v/>
          </cell>
          <cell r="O706" t="str">
            <v/>
          </cell>
          <cell r="P706" t="str">
            <v/>
          </cell>
          <cell r="Q706">
            <v>5.15</v>
          </cell>
          <cell r="R706" t="str">
            <v>MTS</v>
          </cell>
          <cell r="S706">
            <v>0</v>
          </cell>
          <cell r="T706">
            <v>0</v>
          </cell>
          <cell r="U706" t="str">
            <v/>
          </cell>
          <cell r="V706" t="str">
            <v>PRO10</v>
          </cell>
          <cell r="W706">
            <v>0</v>
          </cell>
        </row>
        <row r="707">
          <cell r="C707" t="str">
            <v>RO212463</v>
          </cell>
          <cell r="D707" t="str">
            <v>PRINC</v>
          </cell>
          <cell r="E707" t="str">
            <v>00014</v>
          </cell>
          <cell r="F707" t="str">
            <v>PERFILES Y TUBOS</v>
          </cell>
          <cell r="G707" t="str">
            <v>PRINCIPAL</v>
          </cell>
          <cell r="H707">
            <v>46004</v>
          </cell>
          <cell r="I707" t="str">
            <v>SALDO INICIAL</v>
          </cell>
          <cell r="J707">
            <v>241</v>
          </cell>
          <cell r="K707">
            <v>994.70339999999999</v>
          </cell>
          <cell r="L707">
            <v>4.1273999999999997</v>
          </cell>
          <cell r="M707">
            <v>4.1273999999999997</v>
          </cell>
          <cell r="N707" t="str">
            <v/>
          </cell>
          <cell r="O707" t="str">
            <v/>
          </cell>
          <cell r="P707" t="str">
            <v/>
          </cell>
          <cell r="Q707">
            <v>7.4</v>
          </cell>
          <cell r="R707" t="str">
            <v>MTS</v>
          </cell>
          <cell r="S707">
            <v>0</v>
          </cell>
          <cell r="T707">
            <v>0</v>
          </cell>
          <cell r="U707" t="str">
            <v/>
          </cell>
          <cell r="V707" t="str">
            <v>PRO10</v>
          </cell>
          <cell r="W707">
            <v>0</v>
          </cell>
        </row>
        <row r="708">
          <cell r="C708" t="str">
            <v>RO246227</v>
          </cell>
          <cell r="D708" t="str">
            <v>PRINC</v>
          </cell>
          <cell r="E708" t="str">
            <v>00014</v>
          </cell>
          <cell r="F708" t="str">
            <v>PERFILES Y TUBOS</v>
          </cell>
          <cell r="G708" t="str">
            <v>PRINCIPAL</v>
          </cell>
          <cell r="H708">
            <v>46004</v>
          </cell>
          <cell r="I708" t="str">
            <v>SALDO INICIAL</v>
          </cell>
          <cell r="J708">
            <v>8.4499999999999993</v>
          </cell>
          <cell r="K708">
            <v>13.405400999999999</v>
          </cell>
          <cell r="L708">
            <v>1.586438</v>
          </cell>
          <cell r="M708">
            <v>1.5864379879999999</v>
          </cell>
          <cell r="N708" t="str">
            <v/>
          </cell>
          <cell r="O708" t="str">
            <v/>
          </cell>
          <cell r="P708" t="str">
            <v/>
          </cell>
          <cell r="Q708">
            <v>5.95</v>
          </cell>
          <cell r="R708" t="str">
            <v>MTS</v>
          </cell>
          <cell r="S708">
            <v>0</v>
          </cell>
          <cell r="T708">
            <v>0</v>
          </cell>
          <cell r="U708" t="str">
            <v/>
          </cell>
          <cell r="V708" t="str">
            <v>PRO10</v>
          </cell>
          <cell r="W708">
            <v>0</v>
          </cell>
        </row>
        <row r="709">
          <cell r="C709" t="str">
            <v>TE370/83726</v>
          </cell>
          <cell r="D709" t="str">
            <v>PRINC</v>
          </cell>
          <cell r="E709" t="str">
            <v>00014</v>
          </cell>
          <cell r="F709" t="str">
            <v>PERFILES Y TUBOS</v>
          </cell>
          <cell r="G709" t="str">
            <v>PRINCIPAL</v>
          </cell>
          <cell r="H709">
            <v>46004</v>
          </cell>
          <cell r="I709" t="str">
            <v>SALDO INICIAL</v>
          </cell>
          <cell r="J709">
            <v>142.5</v>
          </cell>
          <cell r="K709">
            <v>998.65898800000002</v>
          </cell>
          <cell r="L709">
            <v>7.0081329999999999</v>
          </cell>
          <cell r="M709">
            <v>7.0081332490000001</v>
          </cell>
          <cell r="N709" t="str">
            <v/>
          </cell>
          <cell r="O709" t="str">
            <v/>
          </cell>
          <cell r="P709" t="str">
            <v/>
          </cell>
          <cell r="Q709">
            <v>11.2</v>
          </cell>
          <cell r="R709" t="str">
            <v>MT</v>
          </cell>
          <cell r="S709">
            <v>0</v>
          </cell>
          <cell r="T709">
            <v>0</v>
          </cell>
          <cell r="U709" t="str">
            <v/>
          </cell>
          <cell r="V709" t="str">
            <v>PRO10</v>
          </cell>
          <cell r="W709">
            <v>0</v>
          </cell>
        </row>
        <row r="710">
          <cell r="C710" t="str">
            <v>TE354/84199</v>
          </cell>
          <cell r="D710" t="str">
            <v>PRINC</v>
          </cell>
          <cell r="E710" t="str">
            <v>00014</v>
          </cell>
          <cell r="F710" t="str">
            <v>PERFILES Y TUBOS</v>
          </cell>
          <cell r="G710" t="str">
            <v>PRINCIPAL</v>
          </cell>
          <cell r="H710">
            <v>46004</v>
          </cell>
          <cell r="I710" t="str">
            <v>SALDO INICIAL</v>
          </cell>
          <cell r="J710">
            <v>102</v>
          </cell>
          <cell r="K710">
            <v>1001.68</v>
          </cell>
          <cell r="L710">
            <v>9.5170779999999997</v>
          </cell>
          <cell r="M710">
            <v>9.8203921570000006</v>
          </cell>
          <cell r="N710" t="str">
            <v/>
          </cell>
          <cell r="O710" t="str">
            <v/>
          </cell>
          <cell r="P710" t="str">
            <v/>
          </cell>
          <cell r="Q710">
            <v>26</v>
          </cell>
          <cell r="R710" t="str">
            <v>MT</v>
          </cell>
          <cell r="S710">
            <v>0</v>
          </cell>
          <cell r="T710">
            <v>0</v>
          </cell>
          <cell r="U710" t="str">
            <v/>
          </cell>
          <cell r="V710" t="str">
            <v>PRO10</v>
          </cell>
          <cell r="W710">
            <v>0</v>
          </cell>
        </row>
        <row r="711">
          <cell r="C711" t="str">
            <v>TE514/87118</v>
          </cell>
          <cell r="D711" t="str">
            <v>PRINC</v>
          </cell>
          <cell r="E711" t="str">
            <v>00014</v>
          </cell>
          <cell r="F711" t="str">
            <v>PERFILES Y TUBOS</v>
          </cell>
          <cell r="G711" t="str">
            <v>PRINCIPAL</v>
          </cell>
          <cell r="H711">
            <v>46004</v>
          </cell>
          <cell r="I711" t="str">
            <v>SALDO INICIAL</v>
          </cell>
          <cell r="J711">
            <v>288</v>
          </cell>
          <cell r="K711">
            <v>4791.2255999999998</v>
          </cell>
          <cell r="L711">
            <v>16.636199999999999</v>
          </cell>
          <cell r="M711">
            <v>16.636199999999999</v>
          </cell>
          <cell r="N711" t="str">
            <v/>
          </cell>
          <cell r="O711" t="str">
            <v/>
          </cell>
          <cell r="P711" t="str">
            <v/>
          </cell>
          <cell r="Q711">
            <v>21.75</v>
          </cell>
          <cell r="R711" t="str">
            <v>MT</v>
          </cell>
          <cell r="S711">
            <v>0</v>
          </cell>
          <cell r="T711">
            <v>0</v>
          </cell>
          <cell r="U711" t="str">
            <v/>
          </cell>
          <cell r="V711" t="str">
            <v>PRO10</v>
          </cell>
          <cell r="W711">
            <v>0</v>
          </cell>
        </row>
        <row r="712">
          <cell r="C712" t="str">
            <v>TE363/83719</v>
          </cell>
          <cell r="D712" t="str">
            <v>PRINC</v>
          </cell>
          <cell r="E712" t="str">
            <v>00014</v>
          </cell>
          <cell r="F712" t="str">
            <v>PERFILES Y TUBOS</v>
          </cell>
          <cell r="G712" t="str">
            <v>PRINCIPAL</v>
          </cell>
          <cell r="H712">
            <v>46004</v>
          </cell>
          <cell r="I712" t="str">
            <v>SALDO INICIAL</v>
          </cell>
          <cell r="J712">
            <v>240</v>
          </cell>
          <cell r="K712">
            <v>842.47199999999998</v>
          </cell>
          <cell r="L712">
            <v>3.5103</v>
          </cell>
          <cell r="M712">
            <v>3.5103</v>
          </cell>
          <cell r="N712" t="str">
            <v/>
          </cell>
          <cell r="O712" t="str">
            <v/>
          </cell>
          <cell r="P712" t="str">
            <v/>
          </cell>
          <cell r="Q712">
            <v>5.6</v>
          </cell>
          <cell r="R712" t="str">
            <v>MT</v>
          </cell>
          <cell r="S712">
            <v>0</v>
          </cell>
          <cell r="T712">
            <v>0</v>
          </cell>
          <cell r="U712" t="str">
            <v/>
          </cell>
          <cell r="V712" t="str">
            <v>PRO10</v>
          </cell>
          <cell r="W712">
            <v>0</v>
          </cell>
        </row>
        <row r="713">
          <cell r="C713" t="str">
            <v>TE368/83724</v>
          </cell>
          <cell r="D713" t="str">
            <v>PRINC</v>
          </cell>
          <cell r="E713" t="str">
            <v>00014</v>
          </cell>
          <cell r="F713" t="str">
            <v>PERFILES Y TUBOS</v>
          </cell>
          <cell r="G713" t="str">
            <v>PRINCIPAL</v>
          </cell>
          <cell r="H713">
            <v>46004</v>
          </cell>
          <cell r="I713" t="str">
            <v>SALDO INICIAL</v>
          </cell>
          <cell r="J713">
            <v>120</v>
          </cell>
          <cell r="K713">
            <v>340.22003999999998</v>
          </cell>
          <cell r="L713">
            <v>0</v>
          </cell>
          <cell r="M713">
            <v>2.8351670000000002</v>
          </cell>
          <cell r="N713" t="str">
            <v/>
          </cell>
          <cell r="O713" t="str">
            <v/>
          </cell>
          <cell r="P713" t="str">
            <v/>
          </cell>
          <cell r="Q713">
            <v>4.55</v>
          </cell>
          <cell r="R713" t="str">
            <v>MT</v>
          </cell>
          <cell r="S713">
            <v>0</v>
          </cell>
          <cell r="T713">
            <v>0</v>
          </cell>
          <cell r="U713" t="str">
            <v/>
          </cell>
          <cell r="V713" t="str">
            <v>PRO10</v>
          </cell>
          <cell r="W713">
            <v>0</v>
          </cell>
        </row>
        <row r="714">
          <cell r="C714" t="str">
            <v>TE90/448</v>
          </cell>
          <cell r="D714" t="str">
            <v>PRINC</v>
          </cell>
          <cell r="E714" t="str">
            <v>00014</v>
          </cell>
          <cell r="F714" t="str">
            <v>PERFILES Y TUBOS</v>
          </cell>
          <cell r="G714" t="str">
            <v>PRINCIPAL</v>
          </cell>
          <cell r="H714">
            <v>46004</v>
          </cell>
          <cell r="I714" t="str">
            <v>SALDO INICIAL</v>
          </cell>
          <cell r="J714">
            <v>69</v>
          </cell>
          <cell r="K714">
            <v>331.34151900000001</v>
          </cell>
          <cell r="L714">
            <v>4.8020509999999996</v>
          </cell>
          <cell r="M714">
            <v>4.8020509999999996</v>
          </cell>
          <cell r="N714" t="str">
            <v/>
          </cell>
          <cell r="O714" t="str">
            <v/>
          </cell>
          <cell r="P714" t="str">
            <v/>
          </cell>
          <cell r="Q714">
            <v>7.95</v>
          </cell>
          <cell r="R714" t="str">
            <v>MT</v>
          </cell>
          <cell r="S714">
            <v>0</v>
          </cell>
          <cell r="T714">
            <v>0</v>
          </cell>
          <cell r="U714" t="str">
            <v/>
          </cell>
          <cell r="V714" t="str">
            <v>PRO10</v>
          </cell>
          <cell r="W714">
            <v>0</v>
          </cell>
        </row>
        <row r="715">
          <cell r="C715" t="str">
            <v>TE90/449</v>
          </cell>
          <cell r="D715" t="str">
            <v>PRINC</v>
          </cell>
          <cell r="E715" t="str">
            <v>00014</v>
          </cell>
          <cell r="F715" t="str">
            <v>PERFILES Y TUBOS</v>
          </cell>
          <cell r="G715" t="str">
            <v>PRINCIPAL</v>
          </cell>
          <cell r="H715">
            <v>46004</v>
          </cell>
          <cell r="I715" t="str">
            <v>SALDO INICIAL</v>
          </cell>
          <cell r="J715">
            <v>55.95</v>
          </cell>
          <cell r="K715">
            <v>302.98357299999998</v>
          </cell>
          <cell r="L715">
            <v>5.4152560000000003</v>
          </cell>
          <cell r="M715">
            <v>5.415255996</v>
          </cell>
          <cell r="N715" t="str">
            <v/>
          </cell>
          <cell r="O715" t="str">
            <v/>
          </cell>
          <cell r="P715" t="str">
            <v/>
          </cell>
          <cell r="Q715">
            <v>8.9499999999999993</v>
          </cell>
          <cell r="R715" t="str">
            <v>MT</v>
          </cell>
          <cell r="S715">
            <v>0</v>
          </cell>
          <cell r="T715">
            <v>0</v>
          </cell>
          <cell r="U715" t="str">
            <v/>
          </cell>
          <cell r="V715" t="str">
            <v>PRO10</v>
          </cell>
          <cell r="W715">
            <v>0</v>
          </cell>
        </row>
        <row r="716">
          <cell r="C716" t="str">
            <v>X0036TBIKJ</v>
          </cell>
          <cell r="D716" t="str">
            <v>PRINC</v>
          </cell>
          <cell r="E716" t="str">
            <v>00015</v>
          </cell>
          <cell r="F716" t="str">
            <v>PIÑONES METALICOS</v>
          </cell>
          <cell r="G716" t="str">
            <v>PRINCIPAL</v>
          </cell>
          <cell r="H716">
            <v>46004</v>
          </cell>
          <cell r="I716" t="str">
            <v>SALDO INICIAL</v>
          </cell>
          <cell r="J716">
            <v>-2</v>
          </cell>
          <cell r="K716">
            <v>0</v>
          </cell>
          <cell r="L716">
            <v>0</v>
          </cell>
          <cell r="M716">
            <v>0</v>
          </cell>
          <cell r="N716" t="str">
            <v/>
          </cell>
          <cell r="O716" t="str">
            <v/>
          </cell>
          <cell r="P716" t="str">
            <v/>
          </cell>
          <cell r="Q716">
            <v>0</v>
          </cell>
          <cell r="R716" t="str">
            <v>UND</v>
          </cell>
          <cell r="S716">
            <v>0</v>
          </cell>
          <cell r="T716">
            <v>0</v>
          </cell>
          <cell r="U716" t="str">
            <v/>
          </cell>
          <cell r="V716" t="str">
            <v>PRO10</v>
          </cell>
          <cell r="W716">
            <v>0</v>
          </cell>
        </row>
        <row r="717">
          <cell r="C717" t="str">
            <v>X003C8VW4</v>
          </cell>
          <cell r="D717" t="str">
            <v>PRINC</v>
          </cell>
          <cell r="E717" t="str">
            <v>00015</v>
          </cell>
          <cell r="F717" t="str">
            <v>PIÑONES METALICOS</v>
          </cell>
          <cell r="G717" t="str">
            <v>PRINCIPAL</v>
          </cell>
          <cell r="H717">
            <v>46004</v>
          </cell>
          <cell r="I717" t="str">
            <v>SALDO INICIAL</v>
          </cell>
          <cell r="J717">
            <v>-2</v>
          </cell>
          <cell r="K717">
            <v>0</v>
          </cell>
          <cell r="L717">
            <v>0</v>
          </cell>
          <cell r="M717">
            <v>0</v>
          </cell>
          <cell r="N717" t="str">
            <v/>
          </cell>
          <cell r="O717" t="str">
            <v/>
          </cell>
          <cell r="P717" t="str">
            <v/>
          </cell>
          <cell r="Q717">
            <v>0</v>
          </cell>
          <cell r="R717" t="str">
            <v>UND</v>
          </cell>
          <cell r="S717">
            <v>0</v>
          </cell>
          <cell r="T717">
            <v>0</v>
          </cell>
          <cell r="U717" t="str">
            <v/>
          </cell>
          <cell r="V717" t="str">
            <v>PRO10</v>
          </cell>
          <cell r="W717">
            <v>0</v>
          </cell>
        </row>
        <row r="718">
          <cell r="C718" t="str">
            <v>VEPIÑSS50B20-2</v>
          </cell>
          <cell r="D718" t="str">
            <v>PRINC</v>
          </cell>
          <cell r="E718" t="str">
            <v>00015</v>
          </cell>
          <cell r="F718" t="str">
            <v>PIÑONES METALICOS</v>
          </cell>
          <cell r="G718" t="str">
            <v>PRINCIPAL</v>
          </cell>
          <cell r="H718">
            <v>46004</v>
          </cell>
          <cell r="I718" t="str">
            <v>SALDO INICIAL</v>
          </cell>
          <cell r="J718">
            <v>2</v>
          </cell>
          <cell r="K718">
            <v>185.61252400000001</v>
          </cell>
          <cell r="L718">
            <v>93</v>
          </cell>
          <cell r="M718">
            <v>92.806262000000004</v>
          </cell>
          <cell r="N718" t="str">
            <v/>
          </cell>
          <cell r="O718" t="str">
            <v/>
          </cell>
          <cell r="P718" t="str">
            <v/>
          </cell>
          <cell r="Q718">
            <v>158.1</v>
          </cell>
          <cell r="R718" t="str">
            <v>UND</v>
          </cell>
          <cell r="S718">
            <v>0</v>
          </cell>
          <cell r="T718">
            <v>0</v>
          </cell>
          <cell r="U718" t="str">
            <v/>
          </cell>
          <cell r="V718" t="str">
            <v>PRO10</v>
          </cell>
          <cell r="W718">
            <v>0</v>
          </cell>
        </row>
        <row r="719">
          <cell r="C719" t="str">
            <v>VEPIÑSS50B28-2</v>
          </cell>
          <cell r="D719" t="str">
            <v>PRINC</v>
          </cell>
          <cell r="E719" t="str">
            <v>00015</v>
          </cell>
          <cell r="F719" t="str">
            <v>PIÑONES METALICOS</v>
          </cell>
          <cell r="G719" t="str">
            <v>PRINCIPAL</v>
          </cell>
          <cell r="H719">
            <v>46004</v>
          </cell>
          <cell r="I719" t="str">
            <v>SALDO INICIAL</v>
          </cell>
          <cell r="J719">
            <v>1</v>
          </cell>
          <cell r="K719">
            <v>139.69999999999999</v>
          </cell>
          <cell r="L719">
            <v>155.68</v>
          </cell>
          <cell r="M719">
            <v>139.69999999999999</v>
          </cell>
          <cell r="N719" t="str">
            <v/>
          </cell>
          <cell r="O719" t="str">
            <v/>
          </cell>
          <cell r="P719" t="str">
            <v/>
          </cell>
          <cell r="Q719">
            <v>237.5</v>
          </cell>
          <cell r="R719" t="str">
            <v>UND</v>
          </cell>
          <cell r="S719">
            <v>0</v>
          </cell>
          <cell r="T719">
            <v>0</v>
          </cell>
          <cell r="U719" t="str">
            <v/>
          </cell>
          <cell r="V719" t="str">
            <v>PRO10</v>
          </cell>
          <cell r="W719">
            <v>0</v>
          </cell>
        </row>
        <row r="720">
          <cell r="C720" t="str">
            <v>EUE50Z06C38IXN</v>
          </cell>
          <cell r="D720" t="str">
            <v>PRINC</v>
          </cell>
          <cell r="E720" t="str">
            <v>00015</v>
          </cell>
          <cell r="F720" t="str">
            <v>PIÑONES METALICOS</v>
          </cell>
          <cell r="G720" t="str">
            <v>PRINCIPAL</v>
          </cell>
          <cell r="H720">
            <v>46004</v>
          </cell>
          <cell r="I720" t="str">
            <v>SALDO INICIAL</v>
          </cell>
          <cell r="J720">
            <v>4</v>
          </cell>
          <cell r="K720">
            <v>164.15</v>
          </cell>
          <cell r="L720">
            <v>39.83625</v>
          </cell>
          <cell r="M720">
            <v>41.037500000000001</v>
          </cell>
          <cell r="N720" t="str">
            <v/>
          </cell>
          <cell r="O720" t="str">
            <v/>
          </cell>
          <cell r="P720" t="str">
            <v/>
          </cell>
          <cell r="Q720">
            <v>70</v>
          </cell>
          <cell r="R720" t="str">
            <v>UND</v>
          </cell>
          <cell r="S720">
            <v>0</v>
          </cell>
          <cell r="T720">
            <v>0</v>
          </cell>
          <cell r="U720" t="str">
            <v/>
          </cell>
          <cell r="V720" t="str">
            <v>PRO10</v>
          </cell>
          <cell r="W720">
            <v>0</v>
          </cell>
        </row>
        <row r="721">
          <cell r="C721" t="str">
            <v>EUE50Z10C38IXN</v>
          </cell>
          <cell r="D721" t="str">
            <v>PRINC</v>
          </cell>
          <cell r="E721" t="str">
            <v>00015</v>
          </cell>
          <cell r="F721" t="str">
            <v>PIÑONES METALICOS</v>
          </cell>
          <cell r="G721" t="str">
            <v>PRINCIPAL</v>
          </cell>
          <cell r="H721">
            <v>46004</v>
          </cell>
          <cell r="I721" t="str">
            <v>SALDO INICIAL</v>
          </cell>
          <cell r="J721">
            <v>26</v>
          </cell>
          <cell r="K721">
            <v>1327.493342</v>
          </cell>
          <cell r="L721">
            <v>50.565204000000001</v>
          </cell>
          <cell r="M721">
            <v>51.057436230999997</v>
          </cell>
          <cell r="N721" t="str">
            <v/>
          </cell>
          <cell r="O721" t="str">
            <v/>
          </cell>
          <cell r="P721" t="str">
            <v/>
          </cell>
          <cell r="Q721">
            <v>85</v>
          </cell>
          <cell r="R721" t="str">
            <v>UND</v>
          </cell>
          <cell r="S721">
            <v>0</v>
          </cell>
          <cell r="T721">
            <v>0</v>
          </cell>
          <cell r="U721" t="str">
            <v/>
          </cell>
          <cell r="V721" t="str">
            <v>PRO10</v>
          </cell>
          <cell r="W721">
            <v>0</v>
          </cell>
        </row>
        <row r="722">
          <cell r="C722" t="str">
            <v>EUE50Z10C40IXN</v>
          </cell>
          <cell r="D722" t="str">
            <v>PRINC</v>
          </cell>
          <cell r="E722" t="str">
            <v>00015</v>
          </cell>
          <cell r="F722" t="str">
            <v>PIÑONES METALICOS</v>
          </cell>
          <cell r="G722" t="str">
            <v>PRINCIPAL</v>
          </cell>
          <cell r="H722">
            <v>46004</v>
          </cell>
          <cell r="I722" t="str">
            <v>SALDO INICIAL</v>
          </cell>
          <cell r="J722">
            <v>10</v>
          </cell>
          <cell r="K722">
            <v>672.63</v>
          </cell>
          <cell r="L722">
            <v>0</v>
          </cell>
          <cell r="M722">
            <v>67.263000000000005</v>
          </cell>
          <cell r="N722" t="str">
            <v/>
          </cell>
          <cell r="O722" t="str">
            <v/>
          </cell>
          <cell r="P722" t="str">
            <v/>
          </cell>
          <cell r="Q722">
            <v>95</v>
          </cell>
          <cell r="R722" t="str">
            <v>UND</v>
          </cell>
          <cell r="S722">
            <v>0</v>
          </cell>
          <cell r="T722">
            <v>0</v>
          </cell>
          <cell r="U722" t="str">
            <v/>
          </cell>
          <cell r="V722" t="str">
            <v>PRO10</v>
          </cell>
          <cell r="W722">
            <v>0</v>
          </cell>
        </row>
        <row r="723">
          <cell r="C723" t="str">
            <v>PIÑFE40B16</v>
          </cell>
          <cell r="D723" t="str">
            <v>PRINC</v>
          </cell>
          <cell r="E723" t="str">
            <v>00015</v>
          </cell>
          <cell r="F723" t="str">
            <v>PIÑONES METALICOS</v>
          </cell>
          <cell r="G723" t="str">
            <v>PRINCIPAL</v>
          </cell>
          <cell r="H723">
            <v>46004</v>
          </cell>
          <cell r="I723" t="str">
            <v>SALDO INICIAL</v>
          </cell>
          <cell r="J723">
            <v>1</v>
          </cell>
          <cell r="K723">
            <v>5.032794</v>
          </cell>
          <cell r="L723">
            <v>5.0327950000000001</v>
          </cell>
          <cell r="M723">
            <v>5.032794</v>
          </cell>
          <cell r="N723" t="str">
            <v/>
          </cell>
          <cell r="O723" t="str">
            <v/>
          </cell>
          <cell r="P723" t="str">
            <v/>
          </cell>
          <cell r="Q723">
            <v>0</v>
          </cell>
          <cell r="R723" t="str">
            <v>UND</v>
          </cell>
          <cell r="S723">
            <v>0</v>
          </cell>
          <cell r="T723">
            <v>0</v>
          </cell>
          <cell r="U723" t="str">
            <v/>
          </cell>
          <cell r="V723" t="str">
            <v>PRO10</v>
          </cell>
          <cell r="W723">
            <v>0</v>
          </cell>
        </row>
        <row r="724">
          <cell r="C724" t="str">
            <v>VEPIÑFE40B20B1</v>
          </cell>
          <cell r="D724" t="str">
            <v>PRINC</v>
          </cell>
          <cell r="E724" t="str">
            <v>00015</v>
          </cell>
          <cell r="F724" t="str">
            <v>PIÑONES METALICOS</v>
          </cell>
          <cell r="G724" t="str">
            <v>PRINCIPAL</v>
          </cell>
          <cell r="H724">
            <v>46004</v>
          </cell>
          <cell r="I724" t="str">
            <v>SALDO INICIAL</v>
          </cell>
          <cell r="J724">
            <v>14</v>
          </cell>
          <cell r="K724">
            <v>547.54</v>
          </cell>
          <cell r="L724">
            <v>39.11</v>
          </cell>
          <cell r="M724">
            <v>39.11</v>
          </cell>
          <cell r="N724" t="str">
            <v/>
          </cell>
          <cell r="O724" t="str">
            <v/>
          </cell>
          <cell r="P724" t="str">
            <v/>
          </cell>
          <cell r="Q724">
            <v>66.8</v>
          </cell>
          <cell r="R724" t="str">
            <v>UND</v>
          </cell>
          <cell r="S724">
            <v>0</v>
          </cell>
          <cell r="T724">
            <v>0</v>
          </cell>
          <cell r="U724" t="str">
            <v/>
          </cell>
          <cell r="V724" t="str">
            <v>PRO10</v>
          </cell>
          <cell r="W724">
            <v>0</v>
          </cell>
        </row>
        <row r="725">
          <cell r="C725" t="str">
            <v>VEPIÑFE40B20B1.</v>
          </cell>
          <cell r="D725" t="str">
            <v>PRINC</v>
          </cell>
          <cell r="E725" t="str">
            <v>00015</v>
          </cell>
          <cell r="F725" t="str">
            <v>PIÑONES METALICOS</v>
          </cell>
          <cell r="G725" t="str">
            <v>PRINCIPAL</v>
          </cell>
          <cell r="H725">
            <v>46004</v>
          </cell>
          <cell r="I725" t="str">
            <v>SALDO INICIAL</v>
          </cell>
          <cell r="J725">
            <v>3</v>
          </cell>
          <cell r="K725">
            <v>121.65</v>
          </cell>
          <cell r="L725">
            <v>40.549999999999997</v>
          </cell>
          <cell r="M725">
            <v>40.549999999999997</v>
          </cell>
          <cell r="N725" t="str">
            <v/>
          </cell>
          <cell r="O725" t="str">
            <v/>
          </cell>
          <cell r="P725" t="str">
            <v/>
          </cell>
          <cell r="Q725">
            <v>66.8</v>
          </cell>
          <cell r="R725" t="str">
            <v>UND</v>
          </cell>
          <cell r="S725">
            <v>0</v>
          </cell>
          <cell r="T725">
            <v>0</v>
          </cell>
          <cell r="U725" t="str">
            <v/>
          </cell>
          <cell r="V725" t="str">
            <v>PRO10</v>
          </cell>
          <cell r="W725">
            <v>0</v>
          </cell>
        </row>
        <row r="726">
          <cell r="C726" t="str">
            <v>PIÑFE40B30</v>
          </cell>
          <cell r="D726" t="str">
            <v>PRINC</v>
          </cell>
          <cell r="E726" t="str">
            <v>00015</v>
          </cell>
          <cell r="F726" t="str">
            <v>PIÑONES METALICOS</v>
          </cell>
          <cell r="G726" t="str">
            <v>PRINCIPAL</v>
          </cell>
          <cell r="H726">
            <v>46004</v>
          </cell>
          <cell r="I726" t="str">
            <v>SALDO INICIAL</v>
          </cell>
          <cell r="J726">
            <v>1</v>
          </cell>
          <cell r="K726">
            <v>11.36</v>
          </cell>
          <cell r="L726">
            <v>0</v>
          </cell>
          <cell r="M726">
            <v>11.36</v>
          </cell>
          <cell r="N726" t="str">
            <v/>
          </cell>
          <cell r="O726" t="str">
            <v/>
          </cell>
          <cell r="P726" t="str">
            <v/>
          </cell>
          <cell r="Q726">
            <v>0</v>
          </cell>
          <cell r="R726" t="str">
            <v>UND</v>
          </cell>
          <cell r="S726">
            <v>0</v>
          </cell>
          <cell r="T726">
            <v>0</v>
          </cell>
          <cell r="U726" t="str">
            <v/>
          </cell>
          <cell r="V726" t="str">
            <v>PRO10</v>
          </cell>
          <cell r="W726">
            <v>0</v>
          </cell>
        </row>
        <row r="727">
          <cell r="C727" t="str">
            <v>PIÑFE35B32</v>
          </cell>
          <cell r="D727" t="str">
            <v>PRINC</v>
          </cell>
          <cell r="E727" t="str">
            <v>00015</v>
          </cell>
          <cell r="F727" t="str">
            <v>PIÑONES METALICOS</v>
          </cell>
          <cell r="G727" t="str">
            <v>PRINCIPAL</v>
          </cell>
          <cell r="H727">
            <v>46004</v>
          </cell>
          <cell r="I727" t="str">
            <v>SALDO INICIAL</v>
          </cell>
          <cell r="J727">
            <v>1</v>
          </cell>
          <cell r="K727">
            <v>15.714964</v>
          </cell>
          <cell r="L727">
            <v>15.58</v>
          </cell>
          <cell r="M727">
            <v>15.714964</v>
          </cell>
          <cell r="N727" t="str">
            <v/>
          </cell>
          <cell r="O727" t="str">
            <v/>
          </cell>
          <cell r="P727" t="str">
            <v/>
          </cell>
          <cell r="Q727">
            <v>0</v>
          </cell>
          <cell r="R727" t="str">
            <v>UND</v>
          </cell>
          <cell r="S727">
            <v>0</v>
          </cell>
          <cell r="T727">
            <v>0</v>
          </cell>
          <cell r="U727" t="str">
            <v/>
          </cell>
          <cell r="V727" t="str">
            <v>PRO10</v>
          </cell>
          <cell r="W727">
            <v>0</v>
          </cell>
        </row>
        <row r="728">
          <cell r="C728" t="str">
            <v>CHPIÑFE35B32</v>
          </cell>
          <cell r="D728" t="str">
            <v>PRINC</v>
          </cell>
          <cell r="E728" t="str">
            <v>00015</v>
          </cell>
          <cell r="F728" t="str">
            <v>PIÑONES METALICOS</v>
          </cell>
          <cell r="G728" t="str">
            <v>PRINCIPAL</v>
          </cell>
          <cell r="H728">
            <v>46004</v>
          </cell>
          <cell r="I728" t="str">
            <v>SALDO INICIAL</v>
          </cell>
          <cell r="J728">
            <v>1</v>
          </cell>
          <cell r="K728">
            <v>12.35</v>
          </cell>
          <cell r="L728">
            <v>13.2</v>
          </cell>
          <cell r="M728">
            <v>12.35</v>
          </cell>
          <cell r="N728" t="str">
            <v/>
          </cell>
          <cell r="O728" t="str">
            <v/>
          </cell>
          <cell r="P728" t="str">
            <v/>
          </cell>
          <cell r="Q728">
            <v>0</v>
          </cell>
          <cell r="R728" t="str">
            <v>UND</v>
          </cell>
          <cell r="S728">
            <v>0</v>
          </cell>
          <cell r="T728">
            <v>0</v>
          </cell>
          <cell r="U728" t="str">
            <v/>
          </cell>
          <cell r="V728" t="str">
            <v>PRO10</v>
          </cell>
          <cell r="W728">
            <v>0</v>
          </cell>
        </row>
        <row r="729">
          <cell r="C729" t="str">
            <v>ITPIÑBS06B15</v>
          </cell>
          <cell r="D729" t="str">
            <v>PRINC</v>
          </cell>
          <cell r="E729" t="str">
            <v>00015</v>
          </cell>
          <cell r="F729" t="str">
            <v>PIÑONES METALICOS</v>
          </cell>
          <cell r="G729" t="str">
            <v>PRINCIPAL</v>
          </cell>
          <cell r="H729">
            <v>46004</v>
          </cell>
          <cell r="I729" t="str">
            <v>SALDO INICIAL</v>
          </cell>
          <cell r="J729">
            <v>4</v>
          </cell>
          <cell r="K729">
            <v>101.4</v>
          </cell>
          <cell r="L729">
            <v>0</v>
          </cell>
          <cell r="M729">
            <v>25.35</v>
          </cell>
          <cell r="N729" t="str">
            <v/>
          </cell>
          <cell r="O729" t="str">
            <v/>
          </cell>
          <cell r="P729" t="str">
            <v/>
          </cell>
          <cell r="Q729">
            <v>0</v>
          </cell>
          <cell r="R729" t="str">
            <v>UND</v>
          </cell>
          <cell r="S729">
            <v>0</v>
          </cell>
          <cell r="T729">
            <v>0</v>
          </cell>
          <cell r="U729" t="str">
            <v/>
          </cell>
          <cell r="V729" t="str">
            <v>PRO10</v>
          </cell>
          <cell r="W729">
            <v>0</v>
          </cell>
        </row>
        <row r="730">
          <cell r="C730" t="str">
            <v>ITPIÑBS40B16</v>
          </cell>
          <cell r="D730" t="str">
            <v>PRINC</v>
          </cell>
          <cell r="E730" t="str">
            <v>00015</v>
          </cell>
          <cell r="F730" t="str">
            <v>PIÑONES METALICOS</v>
          </cell>
          <cell r="G730" t="str">
            <v>PRINCIPAL</v>
          </cell>
          <cell r="H730">
            <v>46004</v>
          </cell>
          <cell r="I730" t="str">
            <v>SALDO INICIAL</v>
          </cell>
          <cell r="J730">
            <v>8</v>
          </cell>
          <cell r="K730">
            <v>63.763199999999998</v>
          </cell>
          <cell r="L730">
            <v>0</v>
          </cell>
          <cell r="M730">
            <v>7.9703999999999997</v>
          </cell>
          <cell r="N730" t="str">
            <v/>
          </cell>
          <cell r="O730" t="str">
            <v/>
          </cell>
          <cell r="P730" t="str">
            <v/>
          </cell>
          <cell r="Q730">
            <v>20</v>
          </cell>
          <cell r="R730" t="str">
            <v>UND</v>
          </cell>
          <cell r="S730">
            <v>0</v>
          </cell>
          <cell r="T730">
            <v>0</v>
          </cell>
          <cell r="U730" t="str">
            <v/>
          </cell>
          <cell r="V730" t="str">
            <v>PRO10</v>
          </cell>
          <cell r="W730">
            <v>0</v>
          </cell>
        </row>
        <row r="731">
          <cell r="C731" t="str">
            <v>ITPIÑFE40B10</v>
          </cell>
          <cell r="D731" t="str">
            <v>PRINC</v>
          </cell>
          <cell r="E731" t="str">
            <v>00015</v>
          </cell>
          <cell r="F731" t="str">
            <v>PIÑONES METALICOS</v>
          </cell>
          <cell r="G731" t="str">
            <v>PRINCIPAL</v>
          </cell>
          <cell r="H731">
            <v>46004</v>
          </cell>
          <cell r="I731" t="str">
            <v>SALDO INICIAL</v>
          </cell>
          <cell r="J731">
            <v>1</v>
          </cell>
          <cell r="K731">
            <v>3.9394</v>
          </cell>
          <cell r="L731">
            <v>3.9394</v>
          </cell>
          <cell r="M731">
            <v>3.9394</v>
          </cell>
          <cell r="N731" t="str">
            <v/>
          </cell>
          <cell r="O731" t="str">
            <v/>
          </cell>
          <cell r="P731" t="str">
            <v/>
          </cell>
          <cell r="Q731">
            <v>7.6</v>
          </cell>
          <cell r="R731" t="str">
            <v>UND</v>
          </cell>
          <cell r="S731">
            <v>0</v>
          </cell>
          <cell r="T731">
            <v>0</v>
          </cell>
          <cell r="U731" t="str">
            <v/>
          </cell>
          <cell r="V731" t="str">
            <v>PRO10</v>
          </cell>
          <cell r="W731">
            <v>0</v>
          </cell>
        </row>
        <row r="732">
          <cell r="C732" t="str">
            <v>ITPIÑFE40B11</v>
          </cell>
          <cell r="D732" t="str">
            <v>PRINC</v>
          </cell>
          <cell r="E732" t="str">
            <v>00015</v>
          </cell>
          <cell r="F732" t="str">
            <v>PIÑONES METALICOS</v>
          </cell>
          <cell r="G732" t="str">
            <v>PRINCIPAL</v>
          </cell>
          <cell r="H732">
            <v>46004</v>
          </cell>
          <cell r="I732" t="str">
            <v>SALDO INICIAL</v>
          </cell>
          <cell r="J732">
            <v>7</v>
          </cell>
          <cell r="K732">
            <v>28.808499999999999</v>
          </cell>
          <cell r="L732">
            <v>4.1154999999999999</v>
          </cell>
          <cell r="M732">
            <v>4.1154999999999999</v>
          </cell>
          <cell r="N732" t="str">
            <v/>
          </cell>
          <cell r="O732" t="str">
            <v/>
          </cell>
          <cell r="P732" t="str">
            <v/>
          </cell>
          <cell r="Q732">
            <v>7.95</v>
          </cell>
          <cell r="R732" t="str">
            <v>UND</v>
          </cell>
          <cell r="S732">
            <v>0</v>
          </cell>
          <cell r="T732">
            <v>0</v>
          </cell>
          <cell r="U732" t="str">
            <v/>
          </cell>
          <cell r="V732" t="str">
            <v>PRO10</v>
          </cell>
          <cell r="W732">
            <v>0</v>
          </cell>
        </row>
        <row r="733">
          <cell r="C733" t="str">
            <v>ITPIÑFE40B12</v>
          </cell>
          <cell r="D733" t="str">
            <v>PRINC</v>
          </cell>
          <cell r="E733" t="str">
            <v>00015</v>
          </cell>
          <cell r="F733" t="str">
            <v>PIÑONES METALICOS</v>
          </cell>
          <cell r="G733" t="str">
            <v>PRINCIPAL</v>
          </cell>
          <cell r="H733">
            <v>46004</v>
          </cell>
          <cell r="I733" t="str">
            <v>SALDO INICIAL</v>
          </cell>
          <cell r="J733">
            <v>9</v>
          </cell>
          <cell r="K733">
            <v>38.524500000000003</v>
          </cell>
          <cell r="L733">
            <v>4.2805</v>
          </cell>
          <cell r="M733">
            <v>4.2805</v>
          </cell>
          <cell r="N733" t="str">
            <v/>
          </cell>
          <cell r="O733" t="str">
            <v/>
          </cell>
          <cell r="P733" t="str">
            <v/>
          </cell>
          <cell r="Q733">
            <v>8.3000000000000007</v>
          </cell>
          <cell r="R733" t="str">
            <v>UND</v>
          </cell>
          <cell r="S733">
            <v>0</v>
          </cell>
          <cell r="T733">
            <v>0</v>
          </cell>
          <cell r="U733" t="str">
            <v/>
          </cell>
          <cell r="V733" t="str">
            <v>PRO10</v>
          </cell>
          <cell r="W733">
            <v>0</v>
          </cell>
        </row>
        <row r="734">
          <cell r="C734" t="str">
            <v>ITPIÑFE40B13</v>
          </cell>
          <cell r="D734" t="str">
            <v>PRINC</v>
          </cell>
          <cell r="E734" t="str">
            <v>00015</v>
          </cell>
          <cell r="F734" t="str">
            <v>PIÑONES METALICOS</v>
          </cell>
          <cell r="G734" t="str">
            <v>PRINCIPAL</v>
          </cell>
          <cell r="H734">
            <v>46004</v>
          </cell>
          <cell r="I734" t="str">
            <v>SALDO INICIAL</v>
          </cell>
          <cell r="J734">
            <v>1</v>
          </cell>
          <cell r="K734">
            <v>4.5776000000000003</v>
          </cell>
          <cell r="L734">
            <v>4.5776000000000003</v>
          </cell>
          <cell r="M734">
            <v>4.5776000000000003</v>
          </cell>
          <cell r="N734" t="str">
            <v/>
          </cell>
          <cell r="O734" t="str">
            <v/>
          </cell>
          <cell r="P734" t="str">
            <v/>
          </cell>
          <cell r="Q734">
            <v>8.9</v>
          </cell>
          <cell r="R734" t="str">
            <v>UND</v>
          </cell>
          <cell r="S734">
            <v>0</v>
          </cell>
          <cell r="T734">
            <v>0</v>
          </cell>
          <cell r="U734" t="str">
            <v/>
          </cell>
          <cell r="V734" t="str">
            <v>PRO10</v>
          </cell>
          <cell r="W734">
            <v>0</v>
          </cell>
        </row>
        <row r="735">
          <cell r="C735" t="str">
            <v>ITPIÑFE40B14</v>
          </cell>
          <cell r="D735" t="str">
            <v>PRINC</v>
          </cell>
          <cell r="E735" t="str">
            <v>00015</v>
          </cell>
          <cell r="F735" t="str">
            <v>PIÑONES METALICOS</v>
          </cell>
          <cell r="G735" t="str">
            <v>PRINCIPAL</v>
          </cell>
          <cell r="H735">
            <v>46004</v>
          </cell>
          <cell r="I735" t="str">
            <v>SALDO INICIAL</v>
          </cell>
          <cell r="J735">
            <v>19</v>
          </cell>
          <cell r="K735">
            <v>86.891170000000002</v>
          </cell>
          <cell r="L735">
            <v>4.5732200000000001</v>
          </cell>
          <cell r="M735">
            <v>4.5732194740000001</v>
          </cell>
          <cell r="N735" t="str">
            <v/>
          </cell>
          <cell r="O735" t="str">
            <v/>
          </cell>
          <cell r="P735" t="str">
            <v/>
          </cell>
          <cell r="Q735">
            <v>8.9</v>
          </cell>
          <cell r="R735" t="str">
            <v>UND</v>
          </cell>
          <cell r="S735">
            <v>0</v>
          </cell>
          <cell r="T735">
            <v>0</v>
          </cell>
          <cell r="U735" t="str">
            <v/>
          </cell>
          <cell r="V735" t="str">
            <v>PRO10</v>
          </cell>
          <cell r="W735">
            <v>0</v>
          </cell>
        </row>
        <row r="736">
          <cell r="C736" t="str">
            <v>ITPIÑFE40B15</v>
          </cell>
          <cell r="D736" t="str">
            <v>PRINC</v>
          </cell>
          <cell r="E736" t="str">
            <v>00015</v>
          </cell>
          <cell r="F736" t="str">
            <v>PIÑONES METALICOS</v>
          </cell>
          <cell r="G736" t="str">
            <v>PRINCIPAL</v>
          </cell>
          <cell r="H736">
            <v>46004</v>
          </cell>
          <cell r="I736" t="str">
            <v>SALDO INICIAL</v>
          </cell>
          <cell r="J736">
            <v>5</v>
          </cell>
          <cell r="K736">
            <v>23.735299999999999</v>
          </cell>
          <cell r="L736">
            <v>4.8636999999999997</v>
          </cell>
          <cell r="M736">
            <v>4.7470600000000003</v>
          </cell>
          <cell r="N736" t="str">
            <v/>
          </cell>
          <cell r="O736" t="str">
            <v/>
          </cell>
          <cell r="P736" t="str">
            <v/>
          </cell>
          <cell r="Q736">
            <v>9.4</v>
          </cell>
          <cell r="R736" t="str">
            <v>UND</v>
          </cell>
          <cell r="S736">
            <v>0</v>
          </cell>
          <cell r="T736">
            <v>0</v>
          </cell>
          <cell r="U736" t="str">
            <v/>
          </cell>
          <cell r="V736" t="str">
            <v>PRO10</v>
          </cell>
          <cell r="W736">
            <v>0</v>
          </cell>
        </row>
        <row r="737">
          <cell r="C737" t="str">
            <v>ITPIÑFE40B17</v>
          </cell>
          <cell r="D737" t="str">
            <v>PRINC</v>
          </cell>
          <cell r="E737" t="str">
            <v>00015</v>
          </cell>
          <cell r="F737" t="str">
            <v>PIÑONES METALICOS</v>
          </cell>
          <cell r="G737" t="str">
            <v>PRINCIPAL</v>
          </cell>
          <cell r="H737">
            <v>46004</v>
          </cell>
          <cell r="I737" t="str">
            <v>SALDO INICIAL</v>
          </cell>
          <cell r="J737">
            <v>14</v>
          </cell>
          <cell r="K737">
            <v>81.957400000000007</v>
          </cell>
          <cell r="L737">
            <v>5.8540999999999999</v>
          </cell>
          <cell r="M737">
            <v>5.8540999999999999</v>
          </cell>
          <cell r="N737" t="str">
            <v/>
          </cell>
          <cell r="O737" t="str">
            <v/>
          </cell>
          <cell r="P737" t="str">
            <v/>
          </cell>
          <cell r="Q737">
            <v>11.4</v>
          </cell>
          <cell r="R737" t="str">
            <v>UND</v>
          </cell>
          <cell r="S737">
            <v>0</v>
          </cell>
          <cell r="T737">
            <v>0</v>
          </cell>
          <cell r="U737" t="str">
            <v/>
          </cell>
          <cell r="V737" t="str">
            <v>PRO10</v>
          </cell>
          <cell r="W737">
            <v>0</v>
          </cell>
        </row>
        <row r="738">
          <cell r="C738" t="str">
            <v>ITPIÑFE50B17</v>
          </cell>
          <cell r="D738" t="str">
            <v>PRINC</v>
          </cell>
          <cell r="E738" t="str">
            <v>00015</v>
          </cell>
          <cell r="F738" t="str">
            <v>PIÑONES METALICOS</v>
          </cell>
          <cell r="G738" t="str">
            <v>PRINCIPAL</v>
          </cell>
          <cell r="H738">
            <v>46004</v>
          </cell>
          <cell r="I738" t="str">
            <v>SALDO INICIAL</v>
          </cell>
          <cell r="J738">
            <v>3</v>
          </cell>
          <cell r="K738">
            <v>30.238800000000001</v>
          </cell>
          <cell r="L738">
            <v>10.079599999999999</v>
          </cell>
          <cell r="M738">
            <v>10.079599999999999</v>
          </cell>
          <cell r="N738" t="str">
            <v/>
          </cell>
          <cell r="O738" t="str">
            <v/>
          </cell>
          <cell r="P738" t="str">
            <v/>
          </cell>
          <cell r="Q738">
            <v>19.5</v>
          </cell>
          <cell r="R738" t="str">
            <v>UND</v>
          </cell>
          <cell r="S738">
            <v>0</v>
          </cell>
          <cell r="T738">
            <v>0</v>
          </cell>
          <cell r="U738" t="str">
            <v/>
          </cell>
          <cell r="V738" t="str">
            <v>PRO10</v>
          </cell>
          <cell r="W738">
            <v>0</v>
          </cell>
        </row>
        <row r="739">
          <cell r="C739" t="str">
            <v>ITPIÑFE40B19</v>
          </cell>
          <cell r="D739" t="str">
            <v>PRINC</v>
          </cell>
          <cell r="E739" t="str">
            <v>00015</v>
          </cell>
          <cell r="F739" t="str">
            <v>PIÑONES METALICOS</v>
          </cell>
          <cell r="G739" t="str">
            <v>PRINCIPAL</v>
          </cell>
          <cell r="H739">
            <v>46004</v>
          </cell>
          <cell r="I739" t="str">
            <v>SALDO INICIAL</v>
          </cell>
          <cell r="J739">
            <v>10</v>
          </cell>
          <cell r="K739">
            <v>76.477000000000004</v>
          </cell>
          <cell r="L739">
            <v>0</v>
          </cell>
          <cell r="M739">
            <v>7.6477000000000004</v>
          </cell>
          <cell r="N739" t="str">
            <v/>
          </cell>
          <cell r="O739" t="str">
            <v/>
          </cell>
          <cell r="P739" t="str">
            <v/>
          </cell>
          <cell r="Q739">
            <v>14.8</v>
          </cell>
          <cell r="R739" t="str">
            <v>UND</v>
          </cell>
          <cell r="S739">
            <v>0</v>
          </cell>
          <cell r="T739">
            <v>0</v>
          </cell>
          <cell r="U739" t="str">
            <v/>
          </cell>
          <cell r="V739" t="str">
            <v>PRO10</v>
          </cell>
          <cell r="W739">
            <v>0</v>
          </cell>
        </row>
        <row r="740">
          <cell r="C740" t="str">
            <v>ITPIÑFE40B21</v>
          </cell>
          <cell r="D740" t="str">
            <v>PRINC</v>
          </cell>
          <cell r="E740" t="str">
            <v>00015</v>
          </cell>
          <cell r="F740" t="str">
            <v>PIÑONES METALICOS</v>
          </cell>
          <cell r="G740" t="str">
            <v>PRINCIPAL</v>
          </cell>
          <cell r="H740">
            <v>46004</v>
          </cell>
          <cell r="I740" t="str">
            <v>SALDO INICIAL</v>
          </cell>
          <cell r="J740">
            <v>5</v>
          </cell>
          <cell r="K740">
            <v>47.481499999999997</v>
          </cell>
          <cell r="L740">
            <v>9.4962999999999997</v>
          </cell>
          <cell r="M740">
            <v>9.4962999999999997</v>
          </cell>
          <cell r="N740" t="str">
            <v/>
          </cell>
          <cell r="O740" t="str">
            <v/>
          </cell>
          <cell r="P740" t="str">
            <v/>
          </cell>
          <cell r="Q740">
            <v>18.399999999999999</v>
          </cell>
          <cell r="R740" t="str">
            <v>UND</v>
          </cell>
          <cell r="S740">
            <v>0</v>
          </cell>
          <cell r="T740">
            <v>0</v>
          </cell>
          <cell r="U740" t="str">
            <v/>
          </cell>
          <cell r="V740" t="str">
            <v>PRO10</v>
          </cell>
          <cell r="W740">
            <v>0</v>
          </cell>
        </row>
        <row r="741">
          <cell r="C741" t="str">
            <v>ITPIÑFE40B22</v>
          </cell>
          <cell r="D741" t="str">
            <v>PRINC</v>
          </cell>
          <cell r="E741" t="str">
            <v>00015</v>
          </cell>
          <cell r="F741" t="str">
            <v>PIÑONES METALICOS</v>
          </cell>
          <cell r="G741" t="str">
            <v>PRINCIPAL</v>
          </cell>
          <cell r="H741">
            <v>46004</v>
          </cell>
          <cell r="I741" t="str">
            <v>SALDO INICIAL</v>
          </cell>
          <cell r="J741">
            <v>8</v>
          </cell>
          <cell r="K741">
            <v>80.636799999999994</v>
          </cell>
          <cell r="L741">
            <v>10.079599999999999</v>
          </cell>
          <cell r="M741">
            <v>10.079599999999999</v>
          </cell>
          <cell r="N741" t="str">
            <v/>
          </cell>
          <cell r="O741" t="str">
            <v/>
          </cell>
          <cell r="P741" t="str">
            <v/>
          </cell>
          <cell r="Q741">
            <v>19.5</v>
          </cell>
          <cell r="R741" t="str">
            <v>UND</v>
          </cell>
          <cell r="S741">
            <v>0</v>
          </cell>
          <cell r="T741">
            <v>0</v>
          </cell>
          <cell r="U741" t="str">
            <v/>
          </cell>
          <cell r="V741" t="str">
            <v>PRO10</v>
          </cell>
          <cell r="W741">
            <v>0</v>
          </cell>
        </row>
        <row r="742">
          <cell r="C742" t="str">
            <v>ITPIÑFE40B23</v>
          </cell>
          <cell r="D742" t="str">
            <v>PRINC</v>
          </cell>
          <cell r="E742" t="str">
            <v>00015</v>
          </cell>
          <cell r="F742" t="str">
            <v>PIÑONES METALICOS</v>
          </cell>
          <cell r="G742" t="str">
            <v>PRINCIPAL</v>
          </cell>
          <cell r="H742">
            <v>46004</v>
          </cell>
          <cell r="I742" t="str">
            <v>SALDO INICIAL</v>
          </cell>
          <cell r="J742">
            <v>2</v>
          </cell>
          <cell r="K742">
            <v>21.083400000000001</v>
          </cell>
          <cell r="L742">
            <v>10.541700000000001</v>
          </cell>
          <cell r="M742">
            <v>10.541700000000001</v>
          </cell>
          <cell r="N742" t="str">
            <v/>
          </cell>
          <cell r="O742" t="str">
            <v/>
          </cell>
          <cell r="P742" t="str">
            <v/>
          </cell>
          <cell r="Q742">
            <v>20.399999999999999</v>
          </cell>
          <cell r="R742" t="str">
            <v>UND</v>
          </cell>
          <cell r="S742">
            <v>0</v>
          </cell>
          <cell r="T742">
            <v>0</v>
          </cell>
          <cell r="U742" t="str">
            <v/>
          </cell>
          <cell r="V742" t="str">
            <v>PRO10</v>
          </cell>
          <cell r="W742">
            <v>0</v>
          </cell>
        </row>
        <row r="743">
          <cell r="C743" t="str">
            <v>ITPIÑFE50B23</v>
          </cell>
          <cell r="D743" t="str">
            <v>PRINC</v>
          </cell>
          <cell r="E743" t="str">
            <v>00015</v>
          </cell>
          <cell r="F743" t="str">
            <v>PIÑONES METALICOS</v>
          </cell>
          <cell r="G743" t="str">
            <v>PRINCIPAL</v>
          </cell>
          <cell r="H743">
            <v>46004</v>
          </cell>
          <cell r="I743" t="str">
            <v>SALDO INICIAL</v>
          </cell>
          <cell r="J743">
            <v>13</v>
          </cell>
          <cell r="K743">
            <v>225.87629999999999</v>
          </cell>
          <cell r="L743">
            <v>17.3751</v>
          </cell>
          <cell r="M743">
            <v>17.3751</v>
          </cell>
          <cell r="N743" t="str">
            <v/>
          </cell>
          <cell r="O743" t="str">
            <v/>
          </cell>
          <cell r="P743" t="str">
            <v/>
          </cell>
          <cell r="Q743">
            <v>33.6</v>
          </cell>
          <cell r="R743" t="str">
            <v>UND</v>
          </cell>
          <cell r="S743">
            <v>0</v>
          </cell>
          <cell r="T743">
            <v>0</v>
          </cell>
          <cell r="U743" t="str">
            <v/>
          </cell>
          <cell r="V743" t="str">
            <v>PRO10</v>
          </cell>
          <cell r="W743">
            <v>0</v>
          </cell>
        </row>
        <row r="744">
          <cell r="C744" t="str">
            <v>ITPIÑFE40B24</v>
          </cell>
          <cell r="D744" t="str">
            <v>PRINC</v>
          </cell>
          <cell r="E744" t="str">
            <v>00015</v>
          </cell>
          <cell r="F744" t="str">
            <v>PIÑONES METALICOS</v>
          </cell>
          <cell r="G744" t="str">
            <v>PRINCIPAL</v>
          </cell>
          <cell r="H744">
            <v>46004</v>
          </cell>
          <cell r="I744" t="str">
            <v>SALDO INICIAL</v>
          </cell>
          <cell r="J744">
            <v>8</v>
          </cell>
          <cell r="K744">
            <v>89.4392</v>
          </cell>
          <cell r="L744">
            <v>11.1799</v>
          </cell>
          <cell r="M744">
            <v>11.1799</v>
          </cell>
          <cell r="N744" t="str">
            <v/>
          </cell>
          <cell r="O744" t="str">
            <v/>
          </cell>
          <cell r="P744" t="str">
            <v/>
          </cell>
          <cell r="Q744">
            <v>21.7</v>
          </cell>
          <cell r="R744" t="str">
            <v>UND</v>
          </cell>
          <cell r="S744">
            <v>0</v>
          </cell>
          <cell r="T744">
            <v>0</v>
          </cell>
          <cell r="U744" t="str">
            <v/>
          </cell>
          <cell r="V744" t="str">
            <v>PRO10</v>
          </cell>
          <cell r="W744">
            <v>0</v>
          </cell>
        </row>
        <row r="745">
          <cell r="C745" t="str">
            <v>ITPIÑFE40B25</v>
          </cell>
          <cell r="D745" t="str">
            <v>PRINC</v>
          </cell>
          <cell r="E745" t="str">
            <v>00015</v>
          </cell>
          <cell r="F745" t="str">
            <v>PIÑONES METALICOS</v>
          </cell>
          <cell r="G745" t="str">
            <v>PRINCIPAL</v>
          </cell>
          <cell r="H745">
            <v>46004</v>
          </cell>
          <cell r="I745" t="str">
            <v>SALDO INICIAL</v>
          </cell>
          <cell r="J745">
            <v>9</v>
          </cell>
          <cell r="K745">
            <v>109.4337</v>
          </cell>
          <cell r="L745">
            <v>12.1593</v>
          </cell>
          <cell r="M745">
            <v>12.1593</v>
          </cell>
          <cell r="N745" t="str">
            <v/>
          </cell>
          <cell r="O745" t="str">
            <v/>
          </cell>
          <cell r="P745" t="str">
            <v/>
          </cell>
          <cell r="Q745">
            <v>23.5</v>
          </cell>
          <cell r="R745" t="str">
            <v>UND</v>
          </cell>
          <cell r="S745">
            <v>0</v>
          </cell>
          <cell r="T745">
            <v>0</v>
          </cell>
          <cell r="U745" t="str">
            <v/>
          </cell>
          <cell r="V745" t="str">
            <v>PRO10</v>
          </cell>
          <cell r="W745">
            <v>0</v>
          </cell>
        </row>
        <row r="746">
          <cell r="C746" t="str">
            <v>ITPIÑFE50B25</v>
          </cell>
          <cell r="D746" t="str">
            <v>PRINC</v>
          </cell>
          <cell r="E746" t="str">
            <v>00015</v>
          </cell>
          <cell r="F746" t="str">
            <v>PIÑONES METALICOS</v>
          </cell>
          <cell r="G746" t="str">
            <v>PRINCIPAL</v>
          </cell>
          <cell r="H746">
            <v>46004</v>
          </cell>
          <cell r="I746" t="str">
            <v>SALDO INICIAL</v>
          </cell>
          <cell r="J746">
            <v>15</v>
          </cell>
          <cell r="K746">
            <v>277.95749999999998</v>
          </cell>
          <cell r="L746">
            <v>0</v>
          </cell>
          <cell r="M746">
            <v>18.5305</v>
          </cell>
          <cell r="N746" t="str">
            <v/>
          </cell>
          <cell r="O746" t="str">
            <v/>
          </cell>
          <cell r="P746" t="str">
            <v/>
          </cell>
          <cell r="Q746">
            <v>35.9</v>
          </cell>
          <cell r="R746" t="str">
            <v>UND</v>
          </cell>
          <cell r="S746">
            <v>0</v>
          </cell>
          <cell r="T746">
            <v>0</v>
          </cell>
          <cell r="U746" t="str">
            <v/>
          </cell>
          <cell r="V746" t="str">
            <v>PRO10</v>
          </cell>
          <cell r="W746">
            <v>0</v>
          </cell>
        </row>
        <row r="747">
          <cell r="C747" t="str">
            <v>ITPIÑFE35B28</v>
          </cell>
          <cell r="D747" t="str">
            <v>PRINC</v>
          </cell>
          <cell r="E747" t="str">
            <v>00015</v>
          </cell>
          <cell r="F747" t="str">
            <v>PIÑONES METALICOS</v>
          </cell>
          <cell r="G747" t="str">
            <v>PRINCIPAL</v>
          </cell>
          <cell r="H747">
            <v>46004</v>
          </cell>
          <cell r="I747" t="str">
            <v>SALDO INICIAL</v>
          </cell>
          <cell r="J747">
            <v>7</v>
          </cell>
          <cell r="K747">
            <v>62.854399999999998</v>
          </cell>
          <cell r="L747">
            <v>8.9792000000000005</v>
          </cell>
          <cell r="M747">
            <v>8.9792000000000005</v>
          </cell>
          <cell r="N747" t="str">
            <v/>
          </cell>
          <cell r="O747" t="str">
            <v/>
          </cell>
          <cell r="P747" t="str">
            <v/>
          </cell>
          <cell r="Q747">
            <v>17.399999999999999</v>
          </cell>
          <cell r="R747" t="str">
            <v>UND</v>
          </cell>
          <cell r="S747">
            <v>0</v>
          </cell>
          <cell r="T747">
            <v>0</v>
          </cell>
          <cell r="U747" t="str">
            <v/>
          </cell>
          <cell r="V747" t="str">
            <v>PRO10</v>
          </cell>
          <cell r="W747">
            <v>0</v>
          </cell>
        </row>
        <row r="748">
          <cell r="C748" t="str">
            <v>ITPIÑSS40B11</v>
          </cell>
          <cell r="D748" t="str">
            <v>PRINC</v>
          </cell>
          <cell r="E748" t="str">
            <v>00015</v>
          </cell>
          <cell r="F748" t="str">
            <v>PIÑONES METALICOS</v>
          </cell>
          <cell r="G748" t="str">
            <v>PRINCIPAL</v>
          </cell>
          <cell r="H748">
            <v>46004</v>
          </cell>
          <cell r="I748" t="str">
            <v>SALDO INICIAL</v>
          </cell>
          <cell r="J748">
            <v>8</v>
          </cell>
          <cell r="K748">
            <v>86.166399999999996</v>
          </cell>
          <cell r="L748">
            <v>10.770799999999999</v>
          </cell>
          <cell r="M748">
            <v>10.770799999999999</v>
          </cell>
          <cell r="N748" t="str">
            <v/>
          </cell>
          <cell r="O748" t="str">
            <v/>
          </cell>
          <cell r="P748" t="str">
            <v/>
          </cell>
          <cell r="Q748">
            <v>18</v>
          </cell>
          <cell r="R748" t="str">
            <v>UND</v>
          </cell>
          <cell r="S748">
            <v>0</v>
          </cell>
          <cell r="T748">
            <v>0</v>
          </cell>
          <cell r="U748" t="str">
            <v/>
          </cell>
          <cell r="V748" t="str">
            <v>PRO10</v>
          </cell>
          <cell r="W748">
            <v>0</v>
          </cell>
        </row>
        <row r="749">
          <cell r="C749" t="str">
            <v>ITPIÑSS40B13</v>
          </cell>
          <cell r="D749" t="str">
            <v>PRINC</v>
          </cell>
          <cell r="E749" t="str">
            <v>00015</v>
          </cell>
          <cell r="F749" t="str">
            <v>PIÑONES METALICOS</v>
          </cell>
          <cell r="G749" t="str">
            <v>PRINCIPAL</v>
          </cell>
          <cell r="H749">
            <v>46004</v>
          </cell>
          <cell r="I749" t="str">
            <v>SALDO INICIAL</v>
          </cell>
          <cell r="J749">
            <v>2</v>
          </cell>
          <cell r="K749">
            <v>27.412800000000001</v>
          </cell>
          <cell r="L749">
            <v>13.7064</v>
          </cell>
          <cell r="M749">
            <v>13.7064</v>
          </cell>
          <cell r="N749" t="str">
            <v/>
          </cell>
          <cell r="O749" t="str">
            <v/>
          </cell>
          <cell r="P749" t="str">
            <v/>
          </cell>
          <cell r="Q749">
            <v>24.3</v>
          </cell>
          <cell r="R749" t="str">
            <v>UND</v>
          </cell>
          <cell r="S749">
            <v>0</v>
          </cell>
          <cell r="T749">
            <v>0</v>
          </cell>
          <cell r="U749" t="str">
            <v/>
          </cell>
          <cell r="V749" t="str">
            <v>PRO10</v>
          </cell>
          <cell r="W749">
            <v>0</v>
          </cell>
        </row>
        <row r="750">
          <cell r="C750" t="str">
            <v>ITPIÑSS50B13</v>
          </cell>
          <cell r="D750" t="str">
            <v>PRINC</v>
          </cell>
          <cell r="E750" t="str">
            <v>00015</v>
          </cell>
          <cell r="F750" t="str">
            <v>PIÑONES METALICOS</v>
          </cell>
          <cell r="G750" t="str">
            <v>PRINCIPAL</v>
          </cell>
          <cell r="H750">
            <v>46004</v>
          </cell>
          <cell r="I750" t="str">
            <v>SALDO INICIAL</v>
          </cell>
          <cell r="J750">
            <v>3</v>
          </cell>
          <cell r="K750">
            <v>79.2804</v>
          </cell>
          <cell r="L750">
            <v>26.4268</v>
          </cell>
          <cell r="M750">
            <v>26.4268</v>
          </cell>
          <cell r="N750" t="str">
            <v/>
          </cell>
          <cell r="O750" t="str">
            <v/>
          </cell>
          <cell r="P750" t="str">
            <v/>
          </cell>
          <cell r="Q750">
            <v>43</v>
          </cell>
          <cell r="R750" t="str">
            <v>UND</v>
          </cell>
          <cell r="S750">
            <v>0</v>
          </cell>
          <cell r="T750">
            <v>0</v>
          </cell>
          <cell r="U750" t="str">
            <v/>
          </cell>
          <cell r="V750" t="str">
            <v>PRO10</v>
          </cell>
          <cell r="W750">
            <v>0</v>
          </cell>
        </row>
        <row r="751">
          <cell r="C751" t="str">
            <v>ITPIÑSS50B14</v>
          </cell>
          <cell r="D751" t="str">
            <v>PRINC</v>
          </cell>
          <cell r="E751" t="str">
            <v>00015</v>
          </cell>
          <cell r="F751" t="str">
            <v>PIÑONES METALICOS</v>
          </cell>
          <cell r="G751" t="str">
            <v>PRINCIPAL</v>
          </cell>
          <cell r="H751">
            <v>46004</v>
          </cell>
          <cell r="I751" t="str">
            <v>SALDO INICIAL</v>
          </cell>
          <cell r="J751">
            <v>1</v>
          </cell>
          <cell r="K751">
            <v>33.865099999999998</v>
          </cell>
          <cell r="L751">
            <v>33.865099999999998</v>
          </cell>
          <cell r="M751">
            <v>33.865099999999998</v>
          </cell>
          <cell r="N751" t="str">
            <v/>
          </cell>
          <cell r="O751" t="str">
            <v/>
          </cell>
          <cell r="P751" t="str">
            <v/>
          </cell>
          <cell r="Q751">
            <v>55.1</v>
          </cell>
          <cell r="R751" t="str">
            <v>UND</v>
          </cell>
          <cell r="S751">
            <v>0</v>
          </cell>
          <cell r="T751">
            <v>0</v>
          </cell>
          <cell r="U751" t="str">
            <v/>
          </cell>
          <cell r="V751" t="str">
            <v>PRO10</v>
          </cell>
          <cell r="W751">
            <v>0</v>
          </cell>
        </row>
        <row r="752">
          <cell r="C752" t="str">
            <v>ITPIÑSS50B17</v>
          </cell>
          <cell r="D752" t="str">
            <v>PRINC</v>
          </cell>
          <cell r="E752" t="str">
            <v>00015</v>
          </cell>
          <cell r="F752" t="str">
            <v>PIÑONES METALICOS</v>
          </cell>
          <cell r="G752" t="str">
            <v>PRINCIPAL</v>
          </cell>
          <cell r="H752">
            <v>46004</v>
          </cell>
          <cell r="I752" t="str">
            <v>SALDO INICIAL</v>
          </cell>
          <cell r="J752">
            <v>6</v>
          </cell>
          <cell r="K752">
            <v>281.74079999999998</v>
          </cell>
          <cell r="L752">
            <v>46.956800000000001</v>
          </cell>
          <cell r="M752">
            <v>46.956800000000001</v>
          </cell>
          <cell r="N752" t="str">
            <v/>
          </cell>
          <cell r="O752" t="str">
            <v/>
          </cell>
          <cell r="P752" t="str">
            <v/>
          </cell>
          <cell r="Q752">
            <v>76.400000000000006</v>
          </cell>
          <cell r="R752" t="str">
            <v>UND</v>
          </cell>
          <cell r="S752">
            <v>0</v>
          </cell>
          <cell r="T752">
            <v>0</v>
          </cell>
          <cell r="U752" t="str">
            <v/>
          </cell>
          <cell r="V752" t="str">
            <v>PRO10</v>
          </cell>
          <cell r="W752">
            <v>0</v>
          </cell>
        </row>
        <row r="753">
          <cell r="C753" t="str">
            <v>ITPIÑSS80B17</v>
          </cell>
          <cell r="D753" t="str">
            <v>PRINC</v>
          </cell>
          <cell r="E753" t="str">
            <v>00015</v>
          </cell>
          <cell r="F753" t="str">
            <v>PIÑONES METALICOS</v>
          </cell>
          <cell r="G753" t="str">
            <v>PRINCIPAL</v>
          </cell>
          <cell r="H753">
            <v>46004</v>
          </cell>
          <cell r="I753" t="str">
            <v>SALDO INICIAL</v>
          </cell>
          <cell r="J753">
            <v>1</v>
          </cell>
          <cell r="K753">
            <v>104.05800000000001</v>
          </cell>
          <cell r="L753">
            <v>0</v>
          </cell>
          <cell r="M753">
            <v>104.05800000000001</v>
          </cell>
          <cell r="N753" t="str">
            <v/>
          </cell>
          <cell r="O753" t="str">
            <v/>
          </cell>
          <cell r="P753" t="str">
            <v/>
          </cell>
          <cell r="Q753">
            <v>166.5</v>
          </cell>
          <cell r="R753" t="str">
            <v>UND</v>
          </cell>
          <cell r="S753">
            <v>0</v>
          </cell>
          <cell r="T753">
            <v>0</v>
          </cell>
          <cell r="U753" t="str">
            <v/>
          </cell>
          <cell r="V753" t="str">
            <v>PRO10</v>
          </cell>
          <cell r="W753">
            <v>0</v>
          </cell>
        </row>
        <row r="754">
          <cell r="C754" t="str">
            <v>ITPIÑSS40B21</v>
          </cell>
          <cell r="D754" t="str">
            <v>PRINC</v>
          </cell>
          <cell r="E754" t="str">
            <v>00015</v>
          </cell>
          <cell r="F754" t="str">
            <v>PIÑONES METALICOS</v>
          </cell>
          <cell r="G754" t="str">
            <v>PRINCIPAL</v>
          </cell>
          <cell r="H754">
            <v>46004</v>
          </cell>
          <cell r="I754" t="str">
            <v>SALDO INICIAL</v>
          </cell>
          <cell r="J754">
            <v>1</v>
          </cell>
          <cell r="K754">
            <v>46.985799999999998</v>
          </cell>
          <cell r="L754">
            <v>46.985799999999998</v>
          </cell>
          <cell r="M754">
            <v>46.985799999999998</v>
          </cell>
          <cell r="N754" t="str">
            <v/>
          </cell>
          <cell r="O754" t="str">
            <v/>
          </cell>
          <cell r="P754" t="str">
            <v/>
          </cell>
          <cell r="Q754">
            <v>75.2</v>
          </cell>
          <cell r="R754" t="str">
            <v>UND</v>
          </cell>
          <cell r="S754">
            <v>0</v>
          </cell>
          <cell r="T754">
            <v>0</v>
          </cell>
          <cell r="U754" t="str">
            <v/>
          </cell>
          <cell r="V754" t="str">
            <v>PRO10</v>
          </cell>
          <cell r="W754">
            <v>0</v>
          </cell>
        </row>
        <row r="755">
          <cell r="C755" t="str">
            <v>ITPIÑSS80B22</v>
          </cell>
          <cell r="D755" t="str">
            <v>PRINC</v>
          </cell>
          <cell r="E755" t="str">
            <v>00015</v>
          </cell>
          <cell r="F755" t="str">
            <v>PIÑONES METALICOS</v>
          </cell>
          <cell r="G755" t="str">
            <v>PRINCIPAL</v>
          </cell>
          <cell r="H755">
            <v>46004</v>
          </cell>
          <cell r="I755" t="str">
            <v>SALDO INICIAL</v>
          </cell>
          <cell r="J755">
            <v>2</v>
          </cell>
          <cell r="K755">
            <v>284.63900000000001</v>
          </cell>
          <cell r="L755">
            <v>0</v>
          </cell>
          <cell r="M755">
            <v>142.31950000000001</v>
          </cell>
          <cell r="N755" t="str">
            <v/>
          </cell>
          <cell r="O755" t="str">
            <v/>
          </cell>
          <cell r="P755" t="str">
            <v/>
          </cell>
          <cell r="Q755">
            <v>227.7</v>
          </cell>
          <cell r="R755" t="str">
            <v>UND</v>
          </cell>
          <cell r="S755">
            <v>0</v>
          </cell>
          <cell r="T755">
            <v>0</v>
          </cell>
          <cell r="U755" t="str">
            <v/>
          </cell>
          <cell r="V755" t="str">
            <v>PRO10</v>
          </cell>
          <cell r="W755">
            <v>0</v>
          </cell>
        </row>
        <row r="756">
          <cell r="C756" t="str">
            <v>ITPIÑSS40B23</v>
          </cell>
          <cell r="D756" t="str">
            <v>PRINC</v>
          </cell>
          <cell r="E756" t="str">
            <v>00015</v>
          </cell>
          <cell r="F756" t="str">
            <v>PIÑONES METALICOS</v>
          </cell>
          <cell r="G756" t="str">
            <v>PRINCIPAL</v>
          </cell>
          <cell r="H756">
            <v>46004</v>
          </cell>
          <cell r="I756" t="str">
            <v>SALDO INICIAL</v>
          </cell>
          <cell r="J756">
            <v>4</v>
          </cell>
          <cell r="K756">
            <v>199.0616</v>
          </cell>
          <cell r="L756">
            <v>49.7654</v>
          </cell>
          <cell r="M756">
            <v>49.7654</v>
          </cell>
          <cell r="N756" t="str">
            <v/>
          </cell>
          <cell r="O756" t="str">
            <v/>
          </cell>
          <cell r="P756" t="str">
            <v/>
          </cell>
          <cell r="Q756">
            <v>79.599999999999994</v>
          </cell>
          <cell r="R756" t="str">
            <v>UND</v>
          </cell>
          <cell r="S756">
            <v>0</v>
          </cell>
          <cell r="T756">
            <v>0</v>
          </cell>
          <cell r="U756" t="str">
            <v/>
          </cell>
          <cell r="V756" t="str">
            <v>PRO10</v>
          </cell>
          <cell r="W756">
            <v>0</v>
          </cell>
        </row>
        <row r="757">
          <cell r="C757" t="str">
            <v>ITPIÑSS50B25</v>
          </cell>
          <cell r="D757" t="str">
            <v>PRINC</v>
          </cell>
          <cell r="E757" t="str">
            <v>00015</v>
          </cell>
          <cell r="F757" t="str">
            <v>PIÑONES METALICOS</v>
          </cell>
          <cell r="G757" t="str">
            <v>PRINCIPAL</v>
          </cell>
          <cell r="H757">
            <v>46004</v>
          </cell>
          <cell r="I757" t="str">
            <v>SALDO INICIAL</v>
          </cell>
          <cell r="J757">
            <v>1</v>
          </cell>
          <cell r="K757">
            <v>51.124600000000001</v>
          </cell>
          <cell r="L757">
            <v>51.124600000000001</v>
          </cell>
          <cell r="M757">
            <v>51.124600000000001</v>
          </cell>
          <cell r="N757" t="str">
            <v/>
          </cell>
          <cell r="O757" t="str">
            <v/>
          </cell>
          <cell r="P757" t="str">
            <v/>
          </cell>
          <cell r="Q757">
            <v>136.5</v>
          </cell>
          <cell r="R757" t="str">
            <v>UND</v>
          </cell>
          <cell r="S757">
            <v>0</v>
          </cell>
          <cell r="T757">
            <v>0</v>
          </cell>
          <cell r="U757" t="str">
            <v/>
          </cell>
          <cell r="V757" t="str">
            <v>PRO10</v>
          </cell>
          <cell r="W757">
            <v>0</v>
          </cell>
        </row>
        <row r="758">
          <cell r="C758" t="str">
            <v>ITPIÑSS50B26</v>
          </cell>
          <cell r="D758" t="str">
            <v>PRINC</v>
          </cell>
          <cell r="E758" t="str">
            <v>00015</v>
          </cell>
          <cell r="F758" t="str">
            <v>PIÑONES METALICOS</v>
          </cell>
          <cell r="G758" t="str">
            <v>PRINCIPAL</v>
          </cell>
          <cell r="H758">
            <v>46004</v>
          </cell>
          <cell r="I758" t="str">
            <v>SALDO INICIAL</v>
          </cell>
          <cell r="J758">
            <v>2</v>
          </cell>
          <cell r="K758">
            <v>102.3916</v>
          </cell>
          <cell r="L758">
            <v>51.195799999999998</v>
          </cell>
          <cell r="M758">
            <v>51.195799999999998</v>
          </cell>
          <cell r="N758" t="str">
            <v/>
          </cell>
          <cell r="O758" t="str">
            <v/>
          </cell>
          <cell r="P758" t="str">
            <v/>
          </cell>
          <cell r="Q758">
            <v>138.4</v>
          </cell>
          <cell r="R758" t="str">
            <v>UND</v>
          </cell>
          <cell r="S758">
            <v>0</v>
          </cell>
          <cell r="T758">
            <v>0</v>
          </cell>
          <cell r="U758" t="str">
            <v/>
          </cell>
          <cell r="V758" t="str">
            <v>PRO10</v>
          </cell>
          <cell r="W758">
            <v>0</v>
          </cell>
        </row>
        <row r="759">
          <cell r="C759" t="str">
            <v>ITPIÑSS40B27</v>
          </cell>
          <cell r="D759" t="str">
            <v>PRINC</v>
          </cell>
          <cell r="E759" t="str">
            <v>00015</v>
          </cell>
          <cell r="F759" t="str">
            <v>PIÑONES METALICOS</v>
          </cell>
          <cell r="G759" t="str">
            <v>PRINCIPAL</v>
          </cell>
          <cell r="H759">
            <v>46004</v>
          </cell>
          <cell r="I759" t="str">
            <v>SALDO INICIAL</v>
          </cell>
          <cell r="J759">
            <v>13</v>
          </cell>
          <cell r="K759">
            <v>833.83429999999998</v>
          </cell>
          <cell r="L759">
            <v>64.141099999999994</v>
          </cell>
          <cell r="M759">
            <v>64.141099999999994</v>
          </cell>
          <cell r="N759" t="str">
            <v/>
          </cell>
          <cell r="O759" t="str">
            <v/>
          </cell>
          <cell r="P759" t="str">
            <v/>
          </cell>
          <cell r="Q759">
            <v>102.7</v>
          </cell>
          <cell r="R759" t="str">
            <v>UND</v>
          </cell>
          <cell r="S759">
            <v>0</v>
          </cell>
          <cell r="T759">
            <v>0</v>
          </cell>
          <cell r="U759" t="str">
            <v/>
          </cell>
          <cell r="V759" t="str">
            <v>PRO10</v>
          </cell>
          <cell r="W759">
            <v>0</v>
          </cell>
        </row>
        <row r="760">
          <cell r="C760" t="str">
            <v>ITPIÑSS50B27</v>
          </cell>
          <cell r="D760" t="str">
            <v>PRINC</v>
          </cell>
          <cell r="E760" t="str">
            <v>00015</v>
          </cell>
          <cell r="F760" t="str">
            <v>PIÑONES METALICOS</v>
          </cell>
          <cell r="G760" t="str">
            <v>PRINCIPAL</v>
          </cell>
          <cell r="H760">
            <v>46004</v>
          </cell>
          <cell r="I760" t="str">
            <v>SALDO INICIAL</v>
          </cell>
          <cell r="J760">
            <v>8</v>
          </cell>
          <cell r="K760">
            <v>430.6576</v>
          </cell>
          <cell r="L760">
            <v>53.8322</v>
          </cell>
          <cell r="M760">
            <v>53.8322</v>
          </cell>
          <cell r="N760" t="str">
            <v/>
          </cell>
          <cell r="O760" t="str">
            <v/>
          </cell>
          <cell r="P760" t="str">
            <v/>
          </cell>
          <cell r="Q760">
            <v>139.6</v>
          </cell>
          <cell r="R760" t="str">
            <v>UND</v>
          </cell>
          <cell r="S760">
            <v>0</v>
          </cell>
          <cell r="T760">
            <v>0</v>
          </cell>
          <cell r="U760" t="str">
            <v/>
          </cell>
          <cell r="V760" t="str">
            <v>PRO10</v>
          </cell>
          <cell r="W760">
            <v>0</v>
          </cell>
        </row>
        <row r="761">
          <cell r="C761" t="str">
            <v>ITPIÑSS40B28</v>
          </cell>
          <cell r="D761" t="str">
            <v>PRINC</v>
          </cell>
          <cell r="E761" t="str">
            <v>00015</v>
          </cell>
          <cell r="F761" t="str">
            <v>PIÑONES METALICOS</v>
          </cell>
          <cell r="G761" t="str">
            <v>PRINCIPAL</v>
          </cell>
          <cell r="H761">
            <v>46004</v>
          </cell>
          <cell r="I761" t="str">
            <v>SALDO INICIAL</v>
          </cell>
          <cell r="J761">
            <v>3</v>
          </cell>
          <cell r="K761">
            <v>217.29300000000001</v>
          </cell>
          <cell r="L761">
            <v>0</v>
          </cell>
          <cell r="M761">
            <v>72.430999999999997</v>
          </cell>
          <cell r="N761" t="str">
            <v/>
          </cell>
          <cell r="O761" t="str">
            <v/>
          </cell>
          <cell r="P761" t="str">
            <v/>
          </cell>
          <cell r="Q761">
            <v>115.9</v>
          </cell>
          <cell r="R761" t="str">
            <v>UND</v>
          </cell>
          <cell r="S761">
            <v>0</v>
          </cell>
          <cell r="T761">
            <v>0</v>
          </cell>
          <cell r="U761" t="str">
            <v/>
          </cell>
          <cell r="V761" t="str">
            <v>PRO10</v>
          </cell>
          <cell r="W761">
            <v>0</v>
          </cell>
        </row>
        <row r="762">
          <cell r="C762" t="str">
            <v>ITPIÑSS40B29</v>
          </cell>
          <cell r="D762" t="str">
            <v>PRINC</v>
          </cell>
          <cell r="E762" t="str">
            <v>00015</v>
          </cell>
          <cell r="F762" t="str">
            <v>PIÑONES METALICOS</v>
          </cell>
          <cell r="G762" t="str">
            <v>PRINCIPAL</v>
          </cell>
          <cell r="H762">
            <v>46004</v>
          </cell>
          <cell r="I762" t="str">
            <v>SALDO INICIAL</v>
          </cell>
          <cell r="J762">
            <v>7</v>
          </cell>
          <cell r="K762">
            <v>479.95080000000002</v>
          </cell>
          <cell r="L762">
            <v>68.564400000000006</v>
          </cell>
          <cell r="M762">
            <v>68.564400000000006</v>
          </cell>
          <cell r="N762" t="str">
            <v/>
          </cell>
          <cell r="O762" t="str">
            <v/>
          </cell>
          <cell r="P762" t="str">
            <v/>
          </cell>
          <cell r="Q762">
            <v>121.7</v>
          </cell>
          <cell r="R762" t="str">
            <v>UND</v>
          </cell>
          <cell r="S762">
            <v>0</v>
          </cell>
          <cell r="T762">
            <v>0</v>
          </cell>
          <cell r="U762" t="str">
            <v/>
          </cell>
          <cell r="V762" t="str">
            <v>PRO10</v>
          </cell>
          <cell r="W762">
            <v>0</v>
          </cell>
        </row>
        <row r="763">
          <cell r="C763" t="str">
            <v>ITPIÑSS50B33</v>
          </cell>
          <cell r="D763" t="str">
            <v>PRINC</v>
          </cell>
          <cell r="E763" t="str">
            <v>00015</v>
          </cell>
          <cell r="F763" t="str">
            <v>PIÑONES METALICOS</v>
          </cell>
          <cell r="G763" t="str">
            <v>PRINCIPAL</v>
          </cell>
          <cell r="H763">
            <v>46004</v>
          </cell>
          <cell r="I763" t="str">
            <v>SALDO INICIAL</v>
          </cell>
          <cell r="J763">
            <v>3</v>
          </cell>
          <cell r="K763">
            <v>202.6875</v>
          </cell>
          <cell r="L763">
            <v>67.5625</v>
          </cell>
          <cell r="M763">
            <v>67.5625</v>
          </cell>
          <cell r="N763" t="str">
            <v/>
          </cell>
          <cell r="O763" t="str">
            <v/>
          </cell>
          <cell r="P763" t="str">
            <v/>
          </cell>
          <cell r="Q763">
            <v>165.2</v>
          </cell>
          <cell r="R763" t="str">
            <v>UND</v>
          </cell>
          <cell r="S763">
            <v>0</v>
          </cell>
          <cell r="T763">
            <v>0</v>
          </cell>
          <cell r="U763" t="str">
            <v/>
          </cell>
          <cell r="V763" t="str">
            <v>PRO10</v>
          </cell>
          <cell r="W763">
            <v>0</v>
          </cell>
        </row>
        <row r="764">
          <cell r="C764" t="str">
            <v>ITPIÑSS50B38</v>
          </cell>
          <cell r="D764" t="str">
            <v>PRINC</v>
          </cell>
          <cell r="E764" t="str">
            <v>00015</v>
          </cell>
          <cell r="F764" t="str">
            <v>PIÑONES METALICOS</v>
          </cell>
          <cell r="G764" t="str">
            <v>PRINCIPAL</v>
          </cell>
          <cell r="H764">
            <v>46004</v>
          </cell>
          <cell r="I764" t="str">
            <v>SALDO INICIAL</v>
          </cell>
          <cell r="J764">
            <v>1</v>
          </cell>
          <cell r="K764">
            <v>83.925700000000006</v>
          </cell>
          <cell r="L764">
            <v>83.925700000000006</v>
          </cell>
          <cell r="M764">
            <v>83.925700000000006</v>
          </cell>
          <cell r="N764" t="str">
            <v/>
          </cell>
          <cell r="O764" t="str">
            <v/>
          </cell>
          <cell r="P764" t="str">
            <v/>
          </cell>
          <cell r="Q764">
            <v>176.7</v>
          </cell>
          <cell r="R764" t="str">
            <v>UND</v>
          </cell>
          <cell r="S764">
            <v>0</v>
          </cell>
          <cell r="T764">
            <v>0</v>
          </cell>
          <cell r="U764" t="str">
            <v/>
          </cell>
          <cell r="V764" t="str">
            <v>PRO10</v>
          </cell>
          <cell r="W764">
            <v>0</v>
          </cell>
        </row>
        <row r="765">
          <cell r="C765" t="str">
            <v>VEPIÑSS50B10</v>
          </cell>
          <cell r="D765" t="str">
            <v>PRINC</v>
          </cell>
          <cell r="E765" t="str">
            <v>00015</v>
          </cell>
          <cell r="F765" t="str">
            <v>PIÑONES METALICOS</v>
          </cell>
          <cell r="G765" t="str">
            <v>PRINCIPAL</v>
          </cell>
          <cell r="H765">
            <v>46004</v>
          </cell>
          <cell r="I765" t="str">
            <v>SALDO INICIAL</v>
          </cell>
          <cell r="J765">
            <v>6</v>
          </cell>
          <cell r="K765">
            <v>68.839997999999994</v>
          </cell>
          <cell r="L765">
            <v>0</v>
          </cell>
          <cell r="M765">
            <v>11.473333</v>
          </cell>
          <cell r="N765" t="str">
            <v/>
          </cell>
          <cell r="O765" t="str">
            <v/>
          </cell>
          <cell r="P765" t="str">
            <v/>
          </cell>
          <cell r="Q765">
            <v>26.4</v>
          </cell>
          <cell r="R765" t="str">
            <v>UND</v>
          </cell>
          <cell r="S765">
            <v>0</v>
          </cell>
          <cell r="T765">
            <v>0</v>
          </cell>
          <cell r="U765" t="str">
            <v/>
          </cell>
          <cell r="V765" t="str">
            <v>PRO10</v>
          </cell>
          <cell r="W765">
            <v>0</v>
          </cell>
        </row>
        <row r="766">
          <cell r="C766" t="str">
            <v>VEPIÑSS80B10</v>
          </cell>
          <cell r="D766" t="str">
            <v>PRINC</v>
          </cell>
          <cell r="E766" t="str">
            <v>00015</v>
          </cell>
          <cell r="F766" t="str">
            <v>PIÑONES METALICOS</v>
          </cell>
          <cell r="G766" t="str">
            <v>PRINCIPAL</v>
          </cell>
          <cell r="H766">
            <v>46004</v>
          </cell>
          <cell r="I766" t="str">
            <v>SALDO INICIAL</v>
          </cell>
          <cell r="J766">
            <v>3</v>
          </cell>
          <cell r="K766">
            <v>155.715</v>
          </cell>
          <cell r="L766">
            <v>51.905000000000001</v>
          </cell>
          <cell r="M766">
            <v>51.905000000000001</v>
          </cell>
          <cell r="N766" t="str">
            <v/>
          </cell>
          <cell r="O766" t="str">
            <v/>
          </cell>
          <cell r="P766" t="str">
            <v/>
          </cell>
          <cell r="Q766">
            <v>83</v>
          </cell>
          <cell r="R766" t="str">
            <v>UND</v>
          </cell>
          <cell r="S766">
            <v>0</v>
          </cell>
          <cell r="T766">
            <v>0</v>
          </cell>
          <cell r="U766" t="str">
            <v/>
          </cell>
          <cell r="V766" t="str">
            <v>PRO10</v>
          </cell>
          <cell r="W766">
            <v>0</v>
          </cell>
        </row>
        <row r="767">
          <cell r="C767" t="str">
            <v>VEPIÑSS60B11</v>
          </cell>
          <cell r="D767" t="str">
            <v>PRINC</v>
          </cell>
          <cell r="E767" t="str">
            <v>00015</v>
          </cell>
          <cell r="F767" t="str">
            <v>PIÑONES METALICOS</v>
          </cell>
          <cell r="G767" t="str">
            <v>PRINCIPAL</v>
          </cell>
          <cell r="H767">
            <v>46004</v>
          </cell>
          <cell r="I767" t="str">
            <v>SALDO INICIAL</v>
          </cell>
          <cell r="J767">
            <v>4</v>
          </cell>
          <cell r="K767">
            <v>77.19</v>
          </cell>
          <cell r="L767">
            <v>0</v>
          </cell>
          <cell r="M767">
            <v>19.297499999999999</v>
          </cell>
          <cell r="N767" t="str">
            <v/>
          </cell>
          <cell r="O767" t="str">
            <v/>
          </cell>
          <cell r="P767" t="str">
            <v/>
          </cell>
          <cell r="Q767">
            <v>43.4</v>
          </cell>
          <cell r="R767" t="str">
            <v>UND</v>
          </cell>
          <cell r="S767">
            <v>0</v>
          </cell>
          <cell r="T767">
            <v>0</v>
          </cell>
          <cell r="U767" t="str">
            <v/>
          </cell>
          <cell r="V767" t="str">
            <v>PRO10</v>
          </cell>
          <cell r="W767">
            <v>0</v>
          </cell>
        </row>
        <row r="768">
          <cell r="C768" t="str">
            <v>VEPIÑSS80B11</v>
          </cell>
          <cell r="D768" t="str">
            <v>PRINC</v>
          </cell>
          <cell r="E768" t="str">
            <v>00015</v>
          </cell>
          <cell r="F768" t="str">
            <v>PIÑONES METALICOS</v>
          </cell>
          <cell r="G768" t="str">
            <v>PRINCIPAL</v>
          </cell>
          <cell r="H768">
            <v>46004</v>
          </cell>
          <cell r="I768" t="str">
            <v>SALDO INICIAL</v>
          </cell>
          <cell r="J768">
            <v>4</v>
          </cell>
          <cell r="K768">
            <v>182.99</v>
          </cell>
          <cell r="L768">
            <v>66.474999999999994</v>
          </cell>
          <cell r="M768">
            <v>45.747500000000002</v>
          </cell>
          <cell r="N768" t="str">
            <v/>
          </cell>
          <cell r="O768" t="str">
            <v/>
          </cell>
          <cell r="P768" t="str">
            <v/>
          </cell>
          <cell r="Q768">
            <v>86.9</v>
          </cell>
          <cell r="R768" t="str">
            <v>UND</v>
          </cell>
          <cell r="S768">
            <v>0</v>
          </cell>
          <cell r="T768">
            <v>0</v>
          </cell>
          <cell r="U768" t="str">
            <v/>
          </cell>
          <cell r="V768" t="str">
            <v>PRO10</v>
          </cell>
          <cell r="W768">
            <v>0</v>
          </cell>
        </row>
        <row r="769">
          <cell r="C769" t="str">
            <v>VEPIÑSS40B12</v>
          </cell>
          <cell r="D769" t="str">
            <v>PRINC</v>
          </cell>
          <cell r="E769" t="str">
            <v>00015</v>
          </cell>
          <cell r="F769" t="str">
            <v>PIÑONES METALICOS</v>
          </cell>
          <cell r="G769" t="str">
            <v>PRINCIPAL</v>
          </cell>
          <cell r="H769">
            <v>46004</v>
          </cell>
          <cell r="I769" t="str">
            <v>SALDO INICIAL</v>
          </cell>
          <cell r="J769">
            <v>16</v>
          </cell>
          <cell r="K769">
            <v>168.94944000000001</v>
          </cell>
          <cell r="L769">
            <v>10.559340000000001</v>
          </cell>
          <cell r="M769">
            <v>10.559340000000001</v>
          </cell>
          <cell r="N769" t="str">
            <v/>
          </cell>
          <cell r="O769" t="str">
            <v/>
          </cell>
          <cell r="P769" t="str">
            <v/>
          </cell>
          <cell r="Q769">
            <v>21.65</v>
          </cell>
          <cell r="R769" t="str">
            <v>UND</v>
          </cell>
          <cell r="S769">
            <v>0</v>
          </cell>
          <cell r="T769">
            <v>0</v>
          </cell>
          <cell r="U769" t="str">
            <v/>
          </cell>
          <cell r="V769" t="str">
            <v>PRO10</v>
          </cell>
          <cell r="W769">
            <v>0</v>
          </cell>
        </row>
        <row r="770">
          <cell r="C770" t="str">
            <v>VEPIÑSS50B12</v>
          </cell>
          <cell r="D770" t="str">
            <v>PRINC</v>
          </cell>
          <cell r="E770" t="str">
            <v>00015</v>
          </cell>
          <cell r="F770" t="str">
            <v>PIÑONES METALICOS</v>
          </cell>
          <cell r="G770" t="str">
            <v>PRINCIPAL</v>
          </cell>
          <cell r="H770">
            <v>46004</v>
          </cell>
          <cell r="I770" t="str">
            <v>SALDO INICIAL</v>
          </cell>
          <cell r="J770">
            <v>2</v>
          </cell>
          <cell r="K770">
            <v>27.166</v>
          </cell>
          <cell r="L770">
            <v>13.583</v>
          </cell>
          <cell r="M770">
            <v>13.583</v>
          </cell>
          <cell r="N770" t="str">
            <v/>
          </cell>
          <cell r="O770" t="str">
            <v/>
          </cell>
          <cell r="P770" t="str">
            <v/>
          </cell>
          <cell r="Q770">
            <v>30.1</v>
          </cell>
          <cell r="R770" t="str">
            <v>UND</v>
          </cell>
          <cell r="S770">
            <v>0</v>
          </cell>
          <cell r="T770">
            <v>0</v>
          </cell>
          <cell r="U770" t="str">
            <v/>
          </cell>
          <cell r="V770" t="str">
            <v>PRO10</v>
          </cell>
          <cell r="W770">
            <v>0</v>
          </cell>
        </row>
        <row r="771">
          <cell r="C771" t="str">
            <v>VEPIÑSS60B12</v>
          </cell>
          <cell r="D771" t="str">
            <v>PRINC</v>
          </cell>
          <cell r="E771" t="str">
            <v>00015</v>
          </cell>
          <cell r="F771" t="str">
            <v>PIÑONES METALICOS</v>
          </cell>
          <cell r="G771" t="str">
            <v>PRINCIPAL</v>
          </cell>
          <cell r="H771">
            <v>46004</v>
          </cell>
          <cell r="I771" t="str">
            <v>SALDO INICIAL</v>
          </cell>
          <cell r="J771">
            <v>4</v>
          </cell>
          <cell r="K771">
            <v>102.58176400000001</v>
          </cell>
          <cell r="L771">
            <v>25.645441999999999</v>
          </cell>
          <cell r="M771">
            <v>25.645441000000002</v>
          </cell>
          <cell r="N771" t="str">
            <v/>
          </cell>
          <cell r="O771" t="str">
            <v/>
          </cell>
          <cell r="P771" t="str">
            <v/>
          </cell>
          <cell r="Q771">
            <v>42.5</v>
          </cell>
          <cell r="R771" t="str">
            <v>UND</v>
          </cell>
          <cell r="S771">
            <v>0</v>
          </cell>
          <cell r="T771">
            <v>0</v>
          </cell>
          <cell r="U771" t="str">
            <v/>
          </cell>
          <cell r="V771" t="str">
            <v>PRO10</v>
          </cell>
          <cell r="W771">
            <v>0</v>
          </cell>
        </row>
        <row r="772">
          <cell r="C772" t="str">
            <v>VEPIÑSS40B13</v>
          </cell>
          <cell r="D772" t="str">
            <v>PRINC</v>
          </cell>
          <cell r="E772" t="str">
            <v>00015</v>
          </cell>
          <cell r="F772" t="str">
            <v>PIÑONES METALICOS</v>
          </cell>
          <cell r="G772" t="str">
            <v>PRINCIPAL</v>
          </cell>
          <cell r="H772">
            <v>46004</v>
          </cell>
          <cell r="I772" t="str">
            <v>SALDO INICIAL</v>
          </cell>
          <cell r="J772">
            <v>17</v>
          </cell>
          <cell r="K772">
            <v>204.95388800000001</v>
          </cell>
          <cell r="L772">
            <v>12.056111</v>
          </cell>
          <cell r="M772">
            <v>12.056111058999999</v>
          </cell>
          <cell r="N772" t="str">
            <v/>
          </cell>
          <cell r="O772" t="str">
            <v/>
          </cell>
          <cell r="P772" t="str">
            <v/>
          </cell>
          <cell r="Q772">
            <v>24.65</v>
          </cell>
          <cell r="R772" t="str">
            <v>UND</v>
          </cell>
          <cell r="S772">
            <v>0</v>
          </cell>
          <cell r="T772">
            <v>0</v>
          </cell>
          <cell r="U772" t="str">
            <v/>
          </cell>
          <cell r="V772" t="str">
            <v>PRO10</v>
          </cell>
          <cell r="W772">
            <v>0</v>
          </cell>
        </row>
        <row r="773">
          <cell r="C773" t="str">
            <v>VEPIÑSS50B13</v>
          </cell>
          <cell r="D773" t="str">
            <v>PRINC</v>
          </cell>
          <cell r="E773" t="str">
            <v>00015</v>
          </cell>
          <cell r="F773" t="str">
            <v>PIÑONES METALICOS</v>
          </cell>
          <cell r="G773" t="str">
            <v>PRINCIPAL</v>
          </cell>
          <cell r="H773">
            <v>46004</v>
          </cell>
          <cell r="I773" t="str">
            <v>SALDO INICIAL</v>
          </cell>
          <cell r="J773">
            <v>16</v>
          </cell>
          <cell r="K773">
            <v>241.89</v>
          </cell>
          <cell r="L773">
            <v>20.58</v>
          </cell>
          <cell r="M773">
            <v>15.118124999999999</v>
          </cell>
          <cell r="N773" t="str">
            <v/>
          </cell>
          <cell r="O773" t="str">
            <v/>
          </cell>
          <cell r="P773" t="str">
            <v/>
          </cell>
          <cell r="Q773">
            <v>35.1</v>
          </cell>
          <cell r="R773" t="str">
            <v>UND</v>
          </cell>
          <cell r="S773">
            <v>0</v>
          </cell>
          <cell r="T773">
            <v>0</v>
          </cell>
          <cell r="U773" t="str">
            <v/>
          </cell>
          <cell r="V773" t="str">
            <v>PRO10</v>
          </cell>
          <cell r="W773">
            <v>0</v>
          </cell>
        </row>
        <row r="774">
          <cell r="C774" t="str">
            <v>VEPIÑSS60B13</v>
          </cell>
          <cell r="D774" t="str">
            <v>PRINC</v>
          </cell>
          <cell r="E774" t="str">
            <v>00015</v>
          </cell>
          <cell r="F774" t="str">
            <v>PIÑONES METALICOS</v>
          </cell>
          <cell r="G774" t="str">
            <v>PRINCIPAL</v>
          </cell>
          <cell r="H774">
            <v>46004</v>
          </cell>
          <cell r="I774" t="str">
            <v>SALDO INICIAL</v>
          </cell>
          <cell r="J774">
            <v>5</v>
          </cell>
          <cell r="K774">
            <v>101.09375</v>
          </cell>
          <cell r="L774">
            <v>20.21875</v>
          </cell>
          <cell r="M774">
            <v>20.21875</v>
          </cell>
          <cell r="N774" t="str">
            <v/>
          </cell>
          <cell r="O774" t="str">
            <v/>
          </cell>
          <cell r="P774" t="str">
            <v/>
          </cell>
          <cell r="Q774">
            <v>45.4</v>
          </cell>
          <cell r="R774" t="str">
            <v>UND</v>
          </cell>
          <cell r="S774">
            <v>0</v>
          </cell>
          <cell r="T774">
            <v>0</v>
          </cell>
          <cell r="U774" t="str">
            <v/>
          </cell>
          <cell r="V774" t="str">
            <v>PRO10</v>
          </cell>
          <cell r="W774">
            <v>0</v>
          </cell>
        </row>
        <row r="775">
          <cell r="C775" t="str">
            <v>VEPIÑSS80B13</v>
          </cell>
          <cell r="D775" t="str">
            <v>PRINC</v>
          </cell>
          <cell r="E775" t="str">
            <v>00015</v>
          </cell>
          <cell r="F775" t="str">
            <v>PIÑONES METALICOS</v>
          </cell>
          <cell r="G775" t="str">
            <v>PRINCIPAL</v>
          </cell>
          <cell r="H775">
            <v>46004</v>
          </cell>
          <cell r="I775" t="str">
            <v>SALDO INICIAL</v>
          </cell>
          <cell r="J775">
            <v>2</v>
          </cell>
          <cell r="K775">
            <v>66.739999999999995</v>
          </cell>
          <cell r="L775">
            <v>0</v>
          </cell>
          <cell r="M775">
            <v>33.369999999999997</v>
          </cell>
          <cell r="N775" t="str">
            <v/>
          </cell>
          <cell r="O775" t="str">
            <v/>
          </cell>
          <cell r="P775" t="str">
            <v/>
          </cell>
          <cell r="Q775">
            <v>0</v>
          </cell>
          <cell r="R775" t="str">
            <v>UND</v>
          </cell>
          <cell r="S775">
            <v>0</v>
          </cell>
          <cell r="T775">
            <v>0</v>
          </cell>
          <cell r="U775" t="str">
            <v/>
          </cell>
          <cell r="V775" t="str">
            <v>PRO10</v>
          </cell>
          <cell r="W775">
            <v>0</v>
          </cell>
        </row>
        <row r="776">
          <cell r="C776" t="str">
            <v>VEPIÑSS40B14</v>
          </cell>
          <cell r="D776" t="str">
            <v>PRINC</v>
          </cell>
          <cell r="E776" t="str">
            <v>00015</v>
          </cell>
          <cell r="F776" t="str">
            <v>PIÑONES METALICOS</v>
          </cell>
          <cell r="G776" t="str">
            <v>PRINCIPAL</v>
          </cell>
          <cell r="H776">
            <v>46004</v>
          </cell>
          <cell r="I776" t="str">
            <v>SALDO INICIAL</v>
          </cell>
          <cell r="J776">
            <v>41</v>
          </cell>
          <cell r="K776">
            <v>491.90159999999997</v>
          </cell>
          <cell r="L776">
            <v>11.9976</v>
          </cell>
          <cell r="M776">
            <v>11.9976</v>
          </cell>
          <cell r="N776" t="str">
            <v/>
          </cell>
          <cell r="O776" t="str">
            <v/>
          </cell>
          <cell r="P776" t="str">
            <v/>
          </cell>
          <cell r="Q776">
            <v>29.7</v>
          </cell>
          <cell r="R776" t="str">
            <v>UND</v>
          </cell>
          <cell r="S776">
            <v>0</v>
          </cell>
          <cell r="T776">
            <v>0</v>
          </cell>
          <cell r="U776" t="str">
            <v/>
          </cell>
          <cell r="V776" t="str">
            <v>PRO10</v>
          </cell>
          <cell r="W776">
            <v>0</v>
          </cell>
        </row>
        <row r="777">
          <cell r="C777" t="str">
            <v>VEPIÑSS50B14</v>
          </cell>
          <cell r="D777" t="str">
            <v>PRINC</v>
          </cell>
          <cell r="E777" t="str">
            <v>00015</v>
          </cell>
          <cell r="F777" t="str">
            <v>PIÑONES METALICOS</v>
          </cell>
          <cell r="G777" t="str">
            <v>PRINCIPAL</v>
          </cell>
          <cell r="H777">
            <v>46004</v>
          </cell>
          <cell r="I777" t="str">
            <v>SALDO INICIAL</v>
          </cell>
          <cell r="J777">
            <v>7</v>
          </cell>
          <cell r="K777">
            <v>119.831024</v>
          </cell>
          <cell r="L777">
            <v>17.118718000000001</v>
          </cell>
          <cell r="M777">
            <v>17.118717713999999</v>
          </cell>
          <cell r="N777" t="str">
            <v/>
          </cell>
          <cell r="O777" t="str">
            <v/>
          </cell>
          <cell r="P777" t="str">
            <v/>
          </cell>
          <cell r="Q777">
            <v>38.25</v>
          </cell>
          <cell r="R777" t="str">
            <v>UND</v>
          </cell>
          <cell r="S777">
            <v>0</v>
          </cell>
          <cell r="T777">
            <v>0</v>
          </cell>
          <cell r="U777" t="str">
            <v/>
          </cell>
          <cell r="V777" t="str">
            <v>PRO10</v>
          </cell>
          <cell r="W777">
            <v>0</v>
          </cell>
        </row>
        <row r="778">
          <cell r="C778" t="str">
            <v>VEPIÑSS40B15</v>
          </cell>
          <cell r="D778" t="str">
            <v>PRINC</v>
          </cell>
          <cell r="E778" t="str">
            <v>00015</v>
          </cell>
          <cell r="F778" t="str">
            <v>PIÑONES METALICOS</v>
          </cell>
          <cell r="G778" t="str">
            <v>PRINCIPAL</v>
          </cell>
          <cell r="H778">
            <v>46004</v>
          </cell>
          <cell r="I778" t="str">
            <v>SALDO INICIAL</v>
          </cell>
          <cell r="J778">
            <v>8</v>
          </cell>
          <cell r="K778">
            <v>113.574366</v>
          </cell>
          <cell r="L778">
            <v>14.196795</v>
          </cell>
          <cell r="M778">
            <v>14.19679575</v>
          </cell>
          <cell r="N778" t="str">
            <v/>
          </cell>
          <cell r="O778" t="str">
            <v/>
          </cell>
          <cell r="P778" t="str">
            <v/>
          </cell>
          <cell r="Q778">
            <v>30.6</v>
          </cell>
          <cell r="R778" t="str">
            <v>UND</v>
          </cell>
          <cell r="S778">
            <v>0</v>
          </cell>
          <cell r="T778">
            <v>0</v>
          </cell>
          <cell r="U778" t="str">
            <v/>
          </cell>
          <cell r="V778" t="str">
            <v>PRO10</v>
          </cell>
          <cell r="W778">
            <v>0</v>
          </cell>
        </row>
        <row r="779">
          <cell r="C779" t="str">
            <v>VEPIÑSS80B15</v>
          </cell>
          <cell r="D779" t="str">
            <v>PRINC</v>
          </cell>
          <cell r="E779" t="str">
            <v>00015</v>
          </cell>
          <cell r="F779" t="str">
            <v>PIÑONES METALICOS</v>
          </cell>
          <cell r="G779" t="str">
            <v>PRINCIPAL</v>
          </cell>
          <cell r="H779">
            <v>46004</v>
          </cell>
          <cell r="I779" t="str">
            <v>SALDO INICIAL</v>
          </cell>
          <cell r="J779">
            <v>4</v>
          </cell>
          <cell r="K779">
            <v>186.58</v>
          </cell>
          <cell r="L779">
            <v>46.645000000000003</v>
          </cell>
          <cell r="M779">
            <v>46.645000000000003</v>
          </cell>
          <cell r="N779" t="str">
            <v/>
          </cell>
          <cell r="O779" t="str">
            <v/>
          </cell>
          <cell r="P779" t="str">
            <v/>
          </cell>
          <cell r="Q779">
            <v>115.5</v>
          </cell>
          <cell r="R779" t="str">
            <v>UND</v>
          </cell>
          <cell r="S779">
            <v>0</v>
          </cell>
          <cell r="T779">
            <v>0</v>
          </cell>
          <cell r="U779" t="str">
            <v/>
          </cell>
          <cell r="V779" t="str">
            <v>PRO10</v>
          </cell>
          <cell r="W779">
            <v>0</v>
          </cell>
        </row>
        <row r="780">
          <cell r="C780" t="str">
            <v>VEPIÑSS40B16</v>
          </cell>
          <cell r="D780" t="str">
            <v>PRINC</v>
          </cell>
          <cell r="E780" t="str">
            <v>00015</v>
          </cell>
          <cell r="F780" t="str">
            <v>PIÑONES METALICOS</v>
          </cell>
          <cell r="G780" t="str">
            <v>PRINCIPAL</v>
          </cell>
          <cell r="H780">
            <v>46004</v>
          </cell>
          <cell r="I780" t="str">
            <v>SALDO INICIAL</v>
          </cell>
          <cell r="J780">
            <v>9</v>
          </cell>
          <cell r="K780">
            <v>126.813712</v>
          </cell>
          <cell r="L780">
            <v>14.090413</v>
          </cell>
          <cell r="M780">
            <v>14.090412444</v>
          </cell>
          <cell r="N780" t="str">
            <v/>
          </cell>
          <cell r="O780" t="str">
            <v/>
          </cell>
          <cell r="P780" t="str">
            <v/>
          </cell>
          <cell r="Q780">
            <v>37.6</v>
          </cell>
          <cell r="R780" t="str">
            <v>UND</v>
          </cell>
          <cell r="S780">
            <v>0</v>
          </cell>
          <cell r="T780">
            <v>0</v>
          </cell>
          <cell r="U780" t="str">
            <v/>
          </cell>
          <cell r="V780" t="str">
            <v>PRO10</v>
          </cell>
          <cell r="W780">
            <v>0</v>
          </cell>
        </row>
        <row r="781">
          <cell r="C781" t="str">
            <v>VEPIÑSS50B16</v>
          </cell>
          <cell r="D781" t="str">
            <v>PRINC</v>
          </cell>
          <cell r="E781" t="str">
            <v>00015</v>
          </cell>
          <cell r="F781" t="str">
            <v>PIÑONES METALICOS</v>
          </cell>
          <cell r="G781" t="str">
            <v>PRINCIPAL</v>
          </cell>
          <cell r="H781">
            <v>46004</v>
          </cell>
          <cell r="I781" t="str">
            <v>SALDO INICIAL</v>
          </cell>
          <cell r="J781">
            <v>21</v>
          </cell>
          <cell r="K781">
            <v>443.91884399999998</v>
          </cell>
          <cell r="L781">
            <v>21.138991999999998</v>
          </cell>
          <cell r="M781">
            <v>21.138992570999999</v>
          </cell>
          <cell r="N781" t="str">
            <v/>
          </cell>
          <cell r="O781" t="str">
            <v/>
          </cell>
          <cell r="P781" t="str">
            <v/>
          </cell>
          <cell r="Q781">
            <v>41.1</v>
          </cell>
          <cell r="R781" t="str">
            <v>UND</v>
          </cell>
          <cell r="S781">
            <v>0</v>
          </cell>
          <cell r="T781">
            <v>0</v>
          </cell>
          <cell r="U781" t="str">
            <v/>
          </cell>
          <cell r="V781" t="str">
            <v>PRO10</v>
          </cell>
          <cell r="W781">
            <v>0</v>
          </cell>
        </row>
        <row r="782">
          <cell r="C782" t="str">
            <v>VEPIÑSS40B17</v>
          </cell>
          <cell r="D782" t="str">
            <v>PRINC</v>
          </cell>
          <cell r="E782" t="str">
            <v>00015</v>
          </cell>
          <cell r="F782" t="str">
            <v>PIÑONES METALICOS</v>
          </cell>
          <cell r="G782" t="str">
            <v>PRINCIPAL</v>
          </cell>
          <cell r="H782">
            <v>46004</v>
          </cell>
          <cell r="I782" t="str">
            <v>SALDO INICIAL</v>
          </cell>
          <cell r="J782">
            <v>10</v>
          </cell>
          <cell r="K782">
            <v>151.17294200000001</v>
          </cell>
          <cell r="L782">
            <v>15.117293999999999</v>
          </cell>
          <cell r="M782">
            <v>15.1172942</v>
          </cell>
          <cell r="N782" t="str">
            <v/>
          </cell>
          <cell r="O782" t="str">
            <v/>
          </cell>
          <cell r="P782" t="str">
            <v/>
          </cell>
          <cell r="Q782">
            <v>40.9</v>
          </cell>
          <cell r="R782" t="str">
            <v>UND</v>
          </cell>
          <cell r="S782">
            <v>0</v>
          </cell>
          <cell r="T782">
            <v>0</v>
          </cell>
          <cell r="U782" t="str">
            <v/>
          </cell>
          <cell r="V782" t="str">
            <v>PRO10</v>
          </cell>
          <cell r="W782">
            <v>0</v>
          </cell>
        </row>
        <row r="783">
          <cell r="C783" t="str">
            <v>VEPIÑSS60B17</v>
          </cell>
          <cell r="D783" t="str">
            <v>PRINC</v>
          </cell>
          <cell r="E783" t="str">
            <v>00015</v>
          </cell>
          <cell r="F783" t="str">
            <v>PIÑONES METALICOS</v>
          </cell>
          <cell r="G783" t="str">
            <v>PRINCIPAL</v>
          </cell>
          <cell r="H783">
            <v>46004</v>
          </cell>
          <cell r="I783" t="str">
            <v>SALDO INICIAL</v>
          </cell>
          <cell r="J783">
            <v>7</v>
          </cell>
          <cell r="K783">
            <v>227.00416899999999</v>
          </cell>
          <cell r="L783">
            <v>32.429167</v>
          </cell>
          <cell r="M783">
            <v>32.429167</v>
          </cell>
          <cell r="N783" t="str">
            <v/>
          </cell>
          <cell r="O783" t="str">
            <v/>
          </cell>
          <cell r="P783" t="str">
            <v/>
          </cell>
          <cell r="Q783">
            <v>68.3</v>
          </cell>
          <cell r="R783" t="str">
            <v>UND</v>
          </cell>
          <cell r="S783">
            <v>0</v>
          </cell>
          <cell r="T783">
            <v>0</v>
          </cell>
          <cell r="U783" t="str">
            <v/>
          </cell>
          <cell r="V783" t="str">
            <v>PRO10</v>
          </cell>
          <cell r="W783">
            <v>0</v>
          </cell>
        </row>
        <row r="784">
          <cell r="C784" t="str">
            <v>VEPIÑSS80B17</v>
          </cell>
          <cell r="D784" t="str">
            <v>PRINC</v>
          </cell>
          <cell r="E784" t="str">
            <v>00015</v>
          </cell>
          <cell r="F784" t="str">
            <v>PIÑONES METALICOS</v>
          </cell>
          <cell r="G784" t="str">
            <v>PRINCIPAL</v>
          </cell>
          <cell r="H784">
            <v>46004</v>
          </cell>
          <cell r="I784" t="str">
            <v>SALDO INICIAL</v>
          </cell>
          <cell r="J784">
            <v>7</v>
          </cell>
          <cell r="K784">
            <v>360.00666699999999</v>
          </cell>
          <cell r="L784">
            <v>78.426666999999995</v>
          </cell>
          <cell r="M784">
            <v>51.429523857</v>
          </cell>
          <cell r="N784" t="str">
            <v/>
          </cell>
          <cell r="O784" t="str">
            <v/>
          </cell>
          <cell r="P784" t="str">
            <v/>
          </cell>
          <cell r="Q784">
            <v>129.4</v>
          </cell>
          <cell r="R784" t="str">
            <v>UND</v>
          </cell>
          <cell r="S784">
            <v>0</v>
          </cell>
          <cell r="T784">
            <v>0</v>
          </cell>
          <cell r="U784" t="str">
            <v/>
          </cell>
          <cell r="V784" t="str">
            <v>PRO10</v>
          </cell>
          <cell r="W784">
            <v>0</v>
          </cell>
        </row>
        <row r="785">
          <cell r="C785" t="str">
            <v>VEPIÑSS40B18</v>
          </cell>
          <cell r="D785" t="str">
            <v>PRINC</v>
          </cell>
          <cell r="E785" t="str">
            <v>00015</v>
          </cell>
          <cell r="F785" t="str">
            <v>PIÑONES METALICOS</v>
          </cell>
          <cell r="G785" t="str">
            <v>PRINCIPAL</v>
          </cell>
          <cell r="H785">
            <v>46004</v>
          </cell>
          <cell r="I785" t="str">
            <v>SALDO INICIAL</v>
          </cell>
          <cell r="J785">
            <v>40</v>
          </cell>
          <cell r="K785">
            <v>690.36201600000004</v>
          </cell>
          <cell r="L785">
            <v>17.259049999999998</v>
          </cell>
          <cell r="M785">
            <v>17.2590504</v>
          </cell>
          <cell r="N785" t="str">
            <v/>
          </cell>
          <cell r="O785" t="str">
            <v/>
          </cell>
          <cell r="P785" t="str">
            <v/>
          </cell>
          <cell r="Q785">
            <v>43</v>
          </cell>
          <cell r="R785" t="str">
            <v>UND</v>
          </cell>
          <cell r="S785">
            <v>0</v>
          </cell>
          <cell r="T785">
            <v>0</v>
          </cell>
          <cell r="U785" t="str">
            <v/>
          </cell>
          <cell r="V785" t="str">
            <v>PRO10</v>
          </cell>
          <cell r="W785">
            <v>0</v>
          </cell>
        </row>
        <row r="786">
          <cell r="C786" t="str">
            <v>VEPIÑSS50B18</v>
          </cell>
          <cell r="D786" t="str">
            <v>PRINC</v>
          </cell>
          <cell r="E786" t="str">
            <v>00015</v>
          </cell>
          <cell r="F786" t="str">
            <v>PIÑONES METALICOS</v>
          </cell>
          <cell r="G786" t="str">
            <v>PRINCIPAL</v>
          </cell>
          <cell r="H786">
            <v>46004</v>
          </cell>
          <cell r="I786" t="str">
            <v>SALDO INICIAL</v>
          </cell>
          <cell r="J786">
            <v>16</v>
          </cell>
          <cell r="K786">
            <v>258.69332800000001</v>
          </cell>
          <cell r="L786">
            <v>16.168333000000001</v>
          </cell>
          <cell r="M786">
            <v>16.168333000000001</v>
          </cell>
          <cell r="N786" t="str">
            <v/>
          </cell>
          <cell r="O786" t="str">
            <v/>
          </cell>
          <cell r="P786" t="str">
            <v/>
          </cell>
          <cell r="Q786">
            <v>46.7</v>
          </cell>
          <cell r="R786" t="str">
            <v>UND</v>
          </cell>
          <cell r="S786">
            <v>0</v>
          </cell>
          <cell r="T786">
            <v>0</v>
          </cell>
          <cell r="U786" t="str">
            <v/>
          </cell>
          <cell r="V786" t="str">
            <v>PRO10</v>
          </cell>
          <cell r="W786">
            <v>0</v>
          </cell>
        </row>
        <row r="787">
          <cell r="C787" t="str">
            <v>VEPIÑSS40B19</v>
          </cell>
          <cell r="D787" t="str">
            <v>PRINC</v>
          </cell>
          <cell r="E787" t="str">
            <v>00015</v>
          </cell>
          <cell r="F787" t="str">
            <v>PIÑONES METALICOS</v>
          </cell>
          <cell r="G787" t="str">
            <v>PRINCIPAL</v>
          </cell>
          <cell r="H787">
            <v>46004</v>
          </cell>
          <cell r="I787" t="str">
            <v>SALDO INICIAL</v>
          </cell>
          <cell r="J787">
            <v>9</v>
          </cell>
          <cell r="K787">
            <v>153.06</v>
          </cell>
          <cell r="L787">
            <v>17.7</v>
          </cell>
          <cell r="M787">
            <v>17.006666667000001</v>
          </cell>
          <cell r="N787" t="str">
            <v/>
          </cell>
          <cell r="O787" t="str">
            <v/>
          </cell>
          <cell r="P787" t="str">
            <v/>
          </cell>
          <cell r="Q787">
            <v>45.2</v>
          </cell>
          <cell r="R787" t="str">
            <v>UND</v>
          </cell>
          <cell r="S787">
            <v>0</v>
          </cell>
          <cell r="T787">
            <v>0</v>
          </cell>
          <cell r="U787" t="str">
            <v/>
          </cell>
          <cell r="V787" t="str">
            <v>PRO10</v>
          </cell>
          <cell r="W787">
            <v>0</v>
          </cell>
        </row>
        <row r="788">
          <cell r="C788" t="str">
            <v>VEPIÑSS50B19</v>
          </cell>
          <cell r="D788" t="str">
            <v>PRINC</v>
          </cell>
          <cell r="E788" t="str">
            <v>00015</v>
          </cell>
          <cell r="F788" t="str">
            <v>PIÑONES METALICOS</v>
          </cell>
          <cell r="G788" t="str">
            <v>PRINCIPAL</v>
          </cell>
          <cell r="H788">
            <v>46004</v>
          </cell>
          <cell r="I788" t="str">
            <v>SALDO INICIAL</v>
          </cell>
          <cell r="J788">
            <v>4</v>
          </cell>
          <cell r="K788">
            <v>106.218002</v>
          </cell>
          <cell r="L788">
            <v>26.554500000000001</v>
          </cell>
          <cell r="M788">
            <v>26.5545005</v>
          </cell>
          <cell r="N788" t="str">
            <v/>
          </cell>
          <cell r="O788" t="str">
            <v/>
          </cell>
          <cell r="P788" t="str">
            <v/>
          </cell>
          <cell r="Q788">
            <v>53.65</v>
          </cell>
          <cell r="R788" t="str">
            <v>UND</v>
          </cell>
          <cell r="S788">
            <v>0</v>
          </cell>
          <cell r="T788">
            <v>0</v>
          </cell>
          <cell r="U788" t="str">
            <v/>
          </cell>
          <cell r="V788" t="str">
            <v>PRO10</v>
          </cell>
          <cell r="W788">
            <v>0</v>
          </cell>
        </row>
        <row r="789">
          <cell r="C789" t="str">
            <v>VEPIÑSS60B19</v>
          </cell>
          <cell r="D789" t="str">
            <v>PRINC</v>
          </cell>
          <cell r="E789" t="str">
            <v>00015</v>
          </cell>
          <cell r="F789" t="str">
            <v>PIÑONES METALICOS</v>
          </cell>
          <cell r="G789" t="str">
            <v>PRINCIPAL</v>
          </cell>
          <cell r="H789">
            <v>46004</v>
          </cell>
          <cell r="I789" t="str">
            <v>SALDO INICIAL</v>
          </cell>
          <cell r="J789">
            <v>3</v>
          </cell>
          <cell r="K789">
            <v>93.855000000000004</v>
          </cell>
          <cell r="L789">
            <v>31.285</v>
          </cell>
          <cell r="M789">
            <v>31.285</v>
          </cell>
          <cell r="N789" t="str">
            <v/>
          </cell>
          <cell r="O789" t="str">
            <v/>
          </cell>
          <cell r="P789" t="str">
            <v/>
          </cell>
          <cell r="Q789">
            <v>61</v>
          </cell>
          <cell r="R789" t="str">
            <v>UND</v>
          </cell>
          <cell r="S789">
            <v>0</v>
          </cell>
          <cell r="T789">
            <v>0</v>
          </cell>
          <cell r="U789" t="str">
            <v/>
          </cell>
          <cell r="V789" t="str">
            <v>PRO10</v>
          </cell>
          <cell r="W789">
            <v>0</v>
          </cell>
        </row>
        <row r="790">
          <cell r="C790" t="str">
            <v>VEPIÑSS40B20</v>
          </cell>
          <cell r="D790" t="str">
            <v>PRINC</v>
          </cell>
          <cell r="E790" t="str">
            <v>00015</v>
          </cell>
          <cell r="F790" t="str">
            <v>PIÑONES METALICOS</v>
          </cell>
          <cell r="G790" t="str">
            <v>PRINCIPAL</v>
          </cell>
          <cell r="H790">
            <v>46004</v>
          </cell>
          <cell r="I790" t="str">
            <v>SALDO INICIAL</v>
          </cell>
          <cell r="J790">
            <v>30</v>
          </cell>
          <cell r="K790">
            <v>619.72492499999998</v>
          </cell>
          <cell r="L790">
            <v>20.657498</v>
          </cell>
          <cell r="M790">
            <v>20.657497500000002</v>
          </cell>
          <cell r="N790" t="str">
            <v/>
          </cell>
          <cell r="O790" t="str">
            <v/>
          </cell>
          <cell r="P790" t="str">
            <v/>
          </cell>
          <cell r="Q790">
            <v>46.2</v>
          </cell>
          <cell r="R790" t="str">
            <v>UND</v>
          </cell>
          <cell r="S790">
            <v>0</v>
          </cell>
          <cell r="T790">
            <v>0</v>
          </cell>
          <cell r="U790" t="str">
            <v/>
          </cell>
          <cell r="V790" t="str">
            <v>PRO10</v>
          </cell>
          <cell r="W790">
            <v>0</v>
          </cell>
        </row>
        <row r="791">
          <cell r="C791" t="str">
            <v>VEPIÑSS50B20</v>
          </cell>
          <cell r="D791" t="str">
            <v>PRINC</v>
          </cell>
          <cell r="E791" t="str">
            <v>00015</v>
          </cell>
          <cell r="F791" t="str">
            <v>PIÑONES METALICOS</v>
          </cell>
          <cell r="G791" t="str">
            <v>PRINCIPAL</v>
          </cell>
          <cell r="H791">
            <v>46004</v>
          </cell>
          <cell r="I791" t="str">
            <v>SALDO INICIAL</v>
          </cell>
          <cell r="J791">
            <v>21</v>
          </cell>
          <cell r="K791">
            <v>428.897041</v>
          </cell>
          <cell r="L791">
            <v>20.423669</v>
          </cell>
          <cell r="M791">
            <v>20.423668619000001</v>
          </cell>
          <cell r="N791" t="str">
            <v/>
          </cell>
          <cell r="O791" t="str">
            <v/>
          </cell>
          <cell r="P791" t="str">
            <v/>
          </cell>
          <cell r="Q791">
            <v>55.8</v>
          </cell>
          <cell r="R791" t="str">
            <v>UND</v>
          </cell>
          <cell r="S791">
            <v>0</v>
          </cell>
          <cell r="T791">
            <v>0</v>
          </cell>
          <cell r="U791" t="str">
            <v/>
          </cell>
          <cell r="V791" t="str">
            <v>PRO10</v>
          </cell>
          <cell r="W791">
            <v>0</v>
          </cell>
        </row>
        <row r="792">
          <cell r="C792" t="str">
            <v>VEPIÑSS60B20</v>
          </cell>
          <cell r="D792" t="str">
            <v>PRINC</v>
          </cell>
          <cell r="E792" t="str">
            <v>00015</v>
          </cell>
          <cell r="F792" t="str">
            <v>PIÑONES METALICOS</v>
          </cell>
          <cell r="G792" t="str">
            <v>PRINCIPAL</v>
          </cell>
          <cell r="H792">
            <v>46004</v>
          </cell>
          <cell r="I792" t="str">
            <v>SALDO INICIAL</v>
          </cell>
          <cell r="J792">
            <v>7</v>
          </cell>
          <cell r="K792">
            <v>287.58916900000003</v>
          </cell>
          <cell r="L792">
            <v>41.084167000000001</v>
          </cell>
          <cell r="M792">
            <v>41.084167000000001</v>
          </cell>
          <cell r="N792" t="str">
            <v/>
          </cell>
          <cell r="O792" t="str">
            <v/>
          </cell>
          <cell r="P792" t="str">
            <v/>
          </cell>
          <cell r="Q792">
            <v>78</v>
          </cell>
          <cell r="R792" t="str">
            <v>UND</v>
          </cell>
          <cell r="S792">
            <v>0</v>
          </cell>
          <cell r="T792">
            <v>0</v>
          </cell>
          <cell r="U792" t="str">
            <v/>
          </cell>
          <cell r="V792" t="str">
            <v>PRO10</v>
          </cell>
          <cell r="W792">
            <v>0</v>
          </cell>
        </row>
        <row r="793">
          <cell r="C793" t="str">
            <v>VEPIÑSS80B20</v>
          </cell>
          <cell r="D793" t="str">
            <v>PRINC</v>
          </cell>
          <cell r="E793" t="str">
            <v>00015</v>
          </cell>
          <cell r="F793" t="str">
            <v>PIÑONES METALICOS</v>
          </cell>
          <cell r="G793" t="str">
            <v>PRINCIPAL</v>
          </cell>
          <cell r="H793">
            <v>46004</v>
          </cell>
          <cell r="I793" t="str">
            <v>SALDO INICIAL</v>
          </cell>
          <cell r="J793">
            <v>2</v>
          </cell>
          <cell r="K793">
            <v>114.72</v>
          </cell>
          <cell r="L793">
            <v>88.864999999999995</v>
          </cell>
          <cell r="M793">
            <v>57.36</v>
          </cell>
          <cell r="N793" t="str">
            <v/>
          </cell>
          <cell r="O793" t="str">
            <v/>
          </cell>
          <cell r="P793" t="str">
            <v/>
          </cell>
          <cell r="Q793">
            <v>145.19999999999999</v>
          </cell>
          <cell r="R793" t="str">
            <v>UND</v>
          </cell>
          <cell r="S793">
            <v>0</v>
          </cell>
          <cell r="T793">
            <v>0</v>
          </cell>
          <cell r="U793" t="str">
            <v/>
          </cell>
          <cell r="V793" t="str">
            <v>PRO10</v>
          </cell>
          <cell r="W793">
            <v>0</v>
          </cell>
        </row>
        <row r="794">
          <cell r="C794" t="str">
            <v>VEPIÑSS40B21</v>
          </cell>
          <cell r="D794" t="str">
            <v>PRINC</v>
          </cell>
          <cell r="E794" t="str">
            <v>00015</v>
          </cell>
          <cell r="F794" t="str">
            <v>PIÑONES METALICOS</v>
          </cell>
          <cell r="G794" t="str">
            <v>PRINCIPAL</v>
          </cell>
          <cell r="H794">
            <v>46004</v>
          </cell>
          <cell r="I794" t="str">
            <v>SALDO INICIAL</v>
          </cell>
          <cell r="J794">
            <v>9</v>
          </cell>
          <cell r="K794">
            <v>163.604997</v>
          </cell>
          <cell r="L794">
            <v>18.178332999999999</v>
          </cell>
          <cell r="M794">
            <v>18.178332999999999</v>
          </cell>
          <cell r="N794" t="str">
            <v/>
          </cell>
          <cell r="O794" t="str">
            <v/>
          </cell>
          <cell r="P794" t="str">
            <v/>
          </cell>
          <cell r="Q794">
            <v>46.9</v>
          </cell>
          <cell r="R794" t="str">
            <v>UND</v>
          </cell>
          <cell r="S794">
            <v>0</v>
          </cell>
          <cell r="T794">
            <v>0</v>
          </cell>
          <cell r="U794" t="str">
            <v/>
          </cell>
          <cell r="V794" t="str">
            <v>PRO10</v>
          </cell>
          <cell r="W794">
            <v>0</v>
          </cell>
        </row>
        <row r="795">
          <cell r="C795" t="str">
            <v>VEPIÑSS50B21</v>
          </cell>
          <cell r="D795" t="str">
            <v>PRINC</v>
          </cell>
          <cell r="E795" t="str">
            <v>00015</v>
          </cell>
          <cell r="F795" t="str">
            <v>PIÑONES METALICOS</v>
          </cell>
          <cell r="G795" t="str">
            <v>PRINCIPAL</v>
          </cell>
          <cell r="H795">
            <v>46004</v>
          </cell>
          <cell r="I795" t="str">
            <v>SALDO INICIAL</v>
          </cell>
          <cell r="J795">
            <v>18</v>
          </cell>
          <cell r="K795">
            <v>559.71900000000005</v>
          </cell>
          <cell r="L795">
            <v>31.095500000000001</v>
          </cell>
          <cell r="M795">
            <v>31.095500000000001</v>
          </cell>
          <cell r="N795" t="str">
            <v/>
          </cell>
          <cell r="O795" t="str">
            <v/>
          </cell>
          <cell r="P795" t="str">
            <v/>
          </cell>
          <cell r="Q795">
            <v>56.2</v>
          </cell>
          <cell r="R795" t="str">
            <v>UND</v>
          </cell>
          <cell r="S795">
            <v>0</v>
          </cell>
          <cell r="T795">
            <v>0</v>
          </cell>
          <cell r="U795" t="str">
            <v/>
          </cell>
          <cell r="V795" t="str">
            <v>PRO10</v>
          </cell>
          <cell r="W795">
            <v>0</v>
          </cell>
        </row>
        <row r="796">
          <cell r="C796" t="str">
            <v>VEPIÑSS60B21</v>
          </cell>
          <cell r="D796" t="str">
            <v>PRINC</v>
          </cell>
          <cell r="E796" t="str">
            <v>00015</v>
          </cell>
          <cell r="F796" t="str">
            <v>PIÑONES METALICOS</v>
          </cell>
          <cell r="G796" t="str">
            <v>PRINCIPAL</v>
          </cell>
          <cell r="H796">
            <v>46004</v>
          </cell>
          <cell r="I796" t="str">
            <v>SALDO INICIAL</v>
          </cell>
          <cell r="J796">
            <v>4</v>
          </cell>
          <cell r="K796">
            <v>141.83000000000001</v>
          </cell>
          <cell r="L796">
            <v>44.686250000000001</v>
          </cell>
          <cell r="M796">
            <v>35.457500000000003</v>
          </cell>
          <cell r="N796" t="str">
            <v/>
          </cell>
          <cell r="O796" t="str">
            <v/>
          </cell>
          <cell r="P796" t="str">
            <v/>
          </cell>
          <cell r="Q796">
            <v>90.35</v>
          </cell>
          <cell r="R796" t="str">
            <v>UND</v>
          </cell>
          <cell r="S796">
            <v>0</v>
          </cell>
          <cell r="T796">
            <v>0</v>
          </cell>
          <cell r="U796" t="str">
            <v/>
          </cell>
          <cell r="V796" t="str">
            <v>PRO10</v>
          </cell>
          <cell r="W796">
            <v>0</v>
          </cell>
        </row>
        <row r="797">
          <cell r="C797" t="str">
            <v>VEPIÑSS80B21</v>
          </cell>
          <cell r="D797" t="str">
            <v>PRINC</v>
          </cell>
          <cell r="E797" t="str">
            <v>00015</v>
          </cell>
          <cell r="F797" t="str">
            <v>PIÑONES METALICOS</v>
          </cell>
          <cell r="G797" t="str">
            <v>PRINCIPAL</v>
          </cell>
          <cell r="H797">
            <v>46004</v>
          </cell>
          <cell r="I797" t="str">
            <v>SALDO INICIAL</v>
          </cell>
          <cell r="J797">
            <v>8</v>
          </cell>
          <cell r="K797">
            <v>637.66999999999996</v>
          </cell>
          <cell r="L797">
            <v>92.424999999999997</v>
          </cell>
          <cell r="M797">
            <v>79.708749999999995</v>
          </cell>
          <cell r="N797" t="str">
            <v/>
          </cell>
          <cell r="O797" t="str">
            <v/>
          </cell>
          <cell r="P797" t="str">
            <v/>
          </cell>
          <cell r="Q797">
            <v>150.1</v>
          </cell>
          <cell r="R797" t="str">
            <v>UND</v>
          </cell>
          <cell r="S797">
            <v>0</v>
          </cell>
          <cell r="T797">
            <v>0</v>
          </cell>
          <cell r="U797" t="str">
            <v/>
          </cell>
          <cell r="V797" t="str">
            <v>PRO10</v>
          </cell>
          <cell r="W797">
            <v>0</v>
          </cell>
        </row>
        <row r="798">
          <cell r="C798" t="str">
            <v>VEPIÑSS40B22</v>
          </cell>
          <cell r="D798" t="str">
            <v>PRINC</v>
          </cell>
          <cell r="E798" t="str">
            <v>00015</v>
          </cell>
          <cell r="F798" t="str">
            <v>PIÑONES METALICOS</v>
          </cell>
          <cell r="G798" t="str">
            <v>PRINCIPAL</v>
          </cell>
          <cell r="H798">
            <v>46004</v>
          </cell>
          <cell r="I798" t="str">
            <v>SALDO INICIAL</v>
          </cell>
          <cell r="J798">
            <v>5</v>
          </cell>
          <cell r="K798">
            <v>91.075704999999999</v>
          </cell>
          <cell r="L798">
            <v>18.215140999999999</v>
          </cell>
          <cell r="M798">
            <v>18.215140999999999</v>
          </cell>
          <cell r="N798" t="str">
            <v/>
          </cell>
          <cell r="O798" t="str">
            <v/>
          </cell>
          <cell r="P798" t="str">
            <v/>
          </cell>
          <cell r="Q798">
            <v>47.2</v>
          </cell>
          <cell r="R798" t="str">
            <v>UND</v>
          </cell>
          <cell r="S798">
            <v>0</v>
          </cell>
          <cell r="T798">
            <v>0</v>
          </cell>
          <cell r="U798" t="str">
            <v/>
          </cell>
          <cell r="V798" t="str">
            <v>PRO10</v>
          </cell>
          <cell r="W798">
            <v>0</v>
          </cell>
        </row>
        <row r="799">
          <cell r="C799" t="str">
            <v>VEPIÑSS50B22</v>
          </cell>
          <cell r="D799" t="str">
            <v>PRINC</v>
          </cell>
          <cell r="E799" t="str">
            <v>00015</v>
          </cell>
          <cell r="F799" t="str">
            <v>PIÑONES METALICOS</v>
          </cell>
          <cell r="G799" t="str">
            <v>PRINCIPAL</v>
          </cell>
          <cell r="H799">
            <v>46004</v>
          </cell>
          <cell r="I799" t="str">
            <v>SALDO INICIAL</v>
          </cell>
          <cell r="J799">
            <v>10</v>
          </cell>
          <cell r="K799">
            <v>372.31579599999998</v>
          </cell>
          <cell r="L799">
            <v>37.231579000000004</v>
          </cell>
          <cell r="M799">
            <v>37.231579600000003</v>
          </cell>
          <cell r="N799" t="str">
            <v/>
          </cell>
          <cell r="O799" t="str">
            <v/>
          </cell>
          <cell r="P799" t="str">
            <v/>
          </cell>
          <cell r="Q799">
            <v>70.7</v>
          </cell>
          <cell r="R799" t="str">
            <v>UND</v>
          </cell>
          <cell r="S799">
            <v>0</v>
          </cell>
          <cell r="T799">
            <v>0</v>
          </cell>
          <cell r="U799" t="str">
            <v/>
          </cell>
          <cell r="V799" t="str">
            <v>PRO10</v>
          </cell>
          <cell r="W799">
            <v>0</v>
          </cell>
        </row>
        <row r="800">
          <cell r="C800" t="str">
            <v>VEPIÑSS60B22</v>
          </cell>
          <cell r="D800" t="str">
            <v>PRINC</v>
          </cell>
          <cell r="E800" t="str">
            <v>00015</v>
          </cell>
          <cell r="F800" t="str">
            <v>PIÑONES METALICOS</v>
          </cell>
          <cell r="G800" t="str">
            <v>PRINCIPAL</v>
          </cell>
          <cell r="H800">
            <v>46004</v>
          </cell>
          <cell r="I800" t="str">
            <v>SALDO INICIAL</v>
          </cell>
          <cell r="J800">
            <v>2</v>
          </cell>
          <cell r="K800">
            <v>83.900831999999994</v>
          </cell>
          <cell r="L800">
            <v>41.950417000000002</v>
          </cell>
          <cell r="M800">
            <v>41.950415999999997</v>
          </cell>
          <cell r="N800" t="str">
            <v/>
          </cell>
          <cell r="O800" t="str">
            <v/>
          </cell>
          <cell r="P800" t="str">
            <v/>
          </cell>
          <cell r="Q800">
            <v>95.4</v>
          </cell>
          <cell r="R800" t="str">
            <v>UND</v>
          </cell>
          <cell r="S800">
            <v>0</v>
          </cell>
          <cell r="T800">
            <v>0</v>
          </cell>
          <cell r="U800" t="str">
            <v/>
          </cell>
          <cell r="V800" t="str">
            <v>PRO10</v>
          </cell>
          <cell r="W800">
            <v>0</v>
          </cell>
        </row>
        <row r="801">
          <cell r="C801" t="str">
            <v>VEPIÑSS80B22</v>
          </cell>
          <cell r="D801" t="str">
            <v>PRINC</v>
          </cell>
          <cell r="E801" t="str">
            <v>00015</v>
          </cell>
          <cell r="F801" t="str">
            <v>PIÑONES METALICOS</v>
          </cell>
          <cell r="G801" t="str">
            <v>PRINCIPAL</v>
          </cell>
          <cell r="H801">
            <v>46004</v>
          </cell>
          <cell r="I801" t="str">
            <v>SALDO INICIAL</v>
          </cell>
          <cell r="J801">
            <v>4</v>
          </cell>
          <cell r="K801">
            <v>275.29000000000002</v>
          </cell>
          <cell r="L801">
            <v>105.0975</v>
          </cell>
          <cell r="M801">
            <v>68.822500000000005</v>
          </cell>
          <cell r="N801" t="str">
            <v/>
          </cell>
          <cell r="O801" t="str">
            <v/>
          </cell>
          <cell r="P801" t="str">
            <v/>
          </cell>
          <cell r="Q801">
            <v>130.75</v>
          </cell>
          <cell r="R801" t="str">
            <v>UND</v>
          </cell>
          <cell r="S801">
            <v>0</v>
          </cell>
          <cell r="T801">
            <v>0</v>
          </cell>
          <cell r="U801" t="str">
            <v/>
          </cell>
          <cell r="V801" t="str">
            <v>PRO10</v>
          </cell>
          <cell r="W801">
            <v>0</v>
          </cell>
        </row>
        <row r="802">
          <cell r="C802" t="str">
            <v>VEPIÑSS40B23</v>
          </cell>
          <cell r="D802" t="str">
            <v>PRINC</v>
          </cell>
          <cell r="E802" t="str">
            <v>00015</v>
          </cell>
          <cell r="F802" t="str">
            <v>PIÑONES METALICOS</v>
          </cell>
          <cell r="G802" t="str">
            <v>PRINCIPAL</v>
          </cell>
          <cell r="H802">
            <v>46004</v>
          </cell>
          <cell r="I802" t="str">
            <v>SALDO INICIAL</v>
          </cell>
          <cell r="J802">
            <v>3</v>
          </cell>
          <cell r="K802">
            <v>91.403999999999996</v>
          </cell>
          <cell r="L802">
            <v>30.468</v>
          </cell>
          <cell r="M802">
            <v>30.468</v>
          </cell>
          <cell r="N802" t="str">
            <v/>
          </cell>
          <cell r="O802" t="str">
            <v/>
          </cell>
          <cell r="P802" t="str">
            <v/>
          </cell>
          <cell r="Q802">
            <v>57.9</v>
          </cell>
          <cell r="R802" t="str">
            <v>UND</v>
          </cell>
          <cell r="S802">
            <v>0</v>
          </cell>
          <cell r="T802">
            <v>0</v>
          </cell>
          <cell r="U802" t="str">
            <v/>
          </cell>
          <cell r="V802" t="str">
            <v>PRO10</v>
          </cell>
          <cell r="W802">
            <v>0</v>
          </cell>
        </row>
        <row r="803">
          <cell r="C803" t="str">
            <v>VEPIÑSS60B23</v>
          </cell>
          <cell r="D803" t="str">
            <v>PRINC</v>
          </cell>
          <cell r="E803" t="str">
            <v>00015</v>
          </cell>
          <cell r="F803" t="str">
            <v>PIÑONES METALICOS</v>
          </cell>
          <cell r="G803" t="str">
            <v>PRINCIPAL</v>
          </cell>
          <cell r="H803">
            <v>46004</v>
          </cell>
          <cell r="I803" t="str">
            <v>SALDO INICIAL</v>
          </cell>
          <cell r="J803">
            <v>4</v>
          </cell>
          <cell r="K803">
            <v>202.23</v>
          </cell>
          <cell r="L803">
            <v>0</v>
          </cell>
          <cell r="M803">
            <v>50.557499999999997</v>
          </cell>
          <cell r="N803" t="str">
            <v/>
          </cell>
          <cell r="O803" t="str">
            <v/>
          </cell>
          <cell r="P803" t="str">
            <v/>
          </cell>
          <cell r="Q803">
            <v>96.3</v>
          </cell>
          <cell r="R803" t="str">
            <v>UND</v>
          </cell>
          <cell r="S803">
            <v>0</v>
          </cell>
          <cell r="T803">
            <v>0</v>
          </cell>
          <cell r="U803" t="str">
            <v/>
          </cell>
          <cell r="V803" t="str">
            <v>PRO10</v>
          </cell>
          <cell r="W803">
            <v>0</v>
          </cell>
        </row>
        <row r="804">
          <cell r="C804" t="str">
            <v>VEPIÑSS40B24</v>
          </cell>
          <cell r="D804" t="str">
            <v>PRINC</v>
          </cell>
          <cell r="E804" t="str">
            <v>00015</v>
          </cell>
          <cell r="F804" t="str">
            <v>PIÑONES METALICOS</v>
          </cell>
          <cell r="G804" t="str">
            <v>PRINCIPAL</v>
          </cell>
          <cell r="H804">
            <v>46004</v>
          </cell>
          <cell r="I804" t="str">
            <v>SALDO INICIAL</v>
          </cell>
          <cell r="J804">
            <v>9</v>
          </cell>
          <cell r="K804">
            <v>173.11326700000001</v>
          </cell>
          <cell r="L804">
            <v>19.234808000000001</v>
          </cell>
          <cell r="M804">
            <v>19.234807444000001</v>
          </cell>
          <cell r="N804" t="str">
            <v/>
          </cell>
          <cell r="O804" t="str">
            <v/>
          </cell>
          <cell r="P804" t="str">
            <v/>
          </cell>
          <cell r="Q804">
            <v>52.9</v>
          </cell>
          <cell r="R804" t="str">
            <v>UND</v>
          </cell>
          <cell r="S804">
            <v>0</v>
          </cell>
          <cell r="T804">
            <v>0</v>
          </cell>
          <cell r="U804" t="str">
            <v/>
          </cell>
          <cell r="V804" t="str">
            <v>PRO10</v>
          </cell>
          <cell r="W804">
            <v>0</v>
          </cell>
        </row>
        <row r="805">
          <cell r="C805" t="str">
            <v>VEPIÑSS50B24</v>
          </cell>
          <cell r="D805" t="str">
            <v>PRINC</v>
          </cell>
          <cell r="E805" t="str">
            <v>00015</v>
          </cell>
          <cell r="F805" t="str">
            <v>PIÑONES METALICOS</v>
          </cell>
          <cell r="G805" t="str">
            <v>PRINCIPAL</v>
          </cell>
          <cell r="H805">
            <v>46004</v>
          </cell>
          <cell r="I805" t="str">
            <v>SALDO INICIAL</v>
          </cell>
          <cell r="J805">
            <v>1</v>
          </cell>
          <cell r="K805">
            <v>27.038482999999999</v>
          </cell>
          <cell r="L805">
            <v>27.038485000000001</v>
          </cell>
          <cell r="M805">
            <v>27.038482999999999</v>
          </cell>
          <cell r="N805" t="str">
            <v/>
          </cell>
          <cell r="O805" t="str">
            <v/>
          </cell>
          <cell r="P805" t="str">
            <v/>
          </cell>
          <cell r="Q805">
            <v>66.599999999999994</v>
          </cell>
          <cell r="R805" t="str">
            <v>UND</v>
          </cell>
          <cell r="S805">
            <v>0</v>
          </cell>
          <cell r="T805">
            <v>0</v>
          </cell>
          <cell r="U805" t="str">
            <v/>
          </cell>
          <cell r="V805" t="str">
            <v>PRO10</v>
          </cell>
          <cell r="W805">
            <v>0</v>
          </cell>
        </row>
        <row r="806">
          <cell r="C806" t="str">
            <v>VEPIÑSS60B24</v>
          </cell>
          <cell r="D806" t="str">
            <v>PRINC</v>
          </cell>
          <cell r="E806" t="str">
            <v>00015</v>
          </cell>
          <cell r="F806" t="str">
            <v>PIÑONES METALICOS</v>
          </cell>
          <cell r="G806" t="str">
            <v>PRINCIPAL</v>
          </cell>
          <cell r="H806">
            <v>46004</v>
          </cell>
          <cell r="I806" t="str">
            <v>SALDO INICIAL</v>
          </cell>
          <cell r="J806">
            <v>10</v>
          </cell>
          <cell r="K806">
            <v>469.31</v>
          </cell>
          <cell r="L806">
            <v>62.947499000000001</v>
          </cell>
          <cell r="M806">
            <v>46.930999999999997</v>
          </cell>
          <cell r="N806" t="str">
            <v/>
          </cell>
          <cell r="O806" t="str">
            <v/>
          </cell>
          <cell r="P806" t="str">
            <v/>
          </cell>
          <cell r="Q806">
            <v>105.3</v>
          </cell>
          <cell r="R806" t="str">
            <v>UND</v>
          </cell>
          <cell r="S806">
            <v>0</v>
          </cell>
          <cell r="T806">
            <v>0</v>
          </cell>
          <cell r="U806" t="str">
            <v/>
          </cell>
          <cell r="V806" t="str">
            <v>PRO10</v>
          </cell>
          <cell r="W806">
            <v>0</v>
          </cell>
        </row>
        <row r="807">
          <cell r="C807" t="str">
            <v>VEPIÑSS40B25</v>
          </cell>
          <cell r="D807" t="str">
            <v>PRINC</v>
          </cell>
          <cell r="E807" t="str">
            <v>00015</v>
          </cell>
          <cell r="F807" t="str">
            <v>PIÑONES METALICOS</v>
          </cell>
          <cell r="G807" t="str">
            <v>PRINCIPAL</v>
          </cell>
          <cell r="H807">
            <v>46004</v>
          </cell>
          <cell r="I807" t="str">
            <v>SALDO INICIAL</v>
          </cell>
          <cell r="J807">
            <v>11</v>
          </cell>
          <cell r="K807">
            <v>274.62875000000003</v>
          </cell>
          <cell r="L807">
            <v>24.966249999999999</v>
          </cell>
          <cell r="M807">
            <v>24.966249999999999</v>
          </cell>
          <cell r="N807" t="str">
            <v/>
          </cell>
          <cell r="O807" t="str">
            <v/>
          </cell>
          <cell r="P807" t="str">
            <v/>
          </cell>
          <cell r="Q807">
            <v>53.8</v>
          </cell>
          <cell r="R807" t="str">
            <v>UND</v>
          </cell>
          <cell r="S807">
            <v>0</v>
          </cell>
          <cell r="T807">
            <v>0</v>
          </cell>
          <cell r="U807" t="str">
            <v/>
          </cell>
          <cell r="V807" t="str">
            <v>PRO10</v>
          </cell>
          <cell r="W807">
            <v>0</v>
          </cell>
        </row>
        <row r="808">
          <cell r="C808" t="str">
            <v>VEPIÑSS50B25</v>
          </cell>
          <cell r="D808" t="str">
            <v>PRINC</v>
          </cell>
          <cell r="E808" t="str">
            <v>00015</v>
          </cell>
          <cell r="F808" t="str">
            <v>PIÑONES METALICOS</v>
          </cell>
          <cell r="G808" t="str">
            <v>PRINCIPAL</v>
          </cell>
          <cell r="H808">
            <v>46004</v>
          </cell>
          <cell r="I808" t="str">
            <v>SALDO INICIAL</v>
          </cell>
          <cell r="J808">
            <v>17</v>
          </cell>
          <cell r="K808">
            <v>640.53402800000003</v>
          </cell>
          <cell r="L808">
            <v>37.678471999999999</v>
          </cell>
          <cell r="M808">
            <v>37.678472235000001</v>
          </cell>
          <cell r="N808" t="str">
            <v/>
          </cell>
          <cell r="O808" t="str">
            <v/>
          </cell>
          <cell r="P808" t="str">
            <v/>
          </cell>
          <cell r="Q808">
            <v>69.849999999999994</v>
          </cell>
          <cell r="R808" t="str">
            <v>UND</v>
          </cell>
          <cell r="S808">
            <v>0</v>
          </cell>
          <cell r="T808">
            <v>0</v>
          </cell>
          <cell r="U808" t="str">
            <v/>
          </cell>
          <cell r="V808" t="str">
            <v>PRO10</v>
          </cell>
          <cell r="W808">
            <v>0</v>
          </cell>
        </row>
        <row r="809">
          <cell r="C809" t="str">
            <v>VEPIÑSS60B25</v>
          </cell>
          <cell r="D809" t="str">
            <v>PRINC</v>
          </cell>
          <cell r="E809" t="str">
            <v>00015</v>
          </cell>
          <cell r="F809" t="str">
            <v>PIÑONES METALICOS</v>
          </cell>
          <cell r="G809" t="str">
            <v>PRINCIPAL</v>
          </cell>
          <cell r="H809">
            <v>46004</v>
          </cell>
          <cell r="I809" t="str">
            <v>SALDO INICIAL</v>
          </cell>
          <cell r="J809">
            <v>7</v>
          </cell>
          <cell r="K809">
            <v>350.708123</v>
          </cell>
          <cell r="L809">
            <v>62.898125999999998</v>
          </cell>
          <cell r="M809">
            <v>50.101160428999997</v>
          </cell>
          <cell r="N809" t="str">
            <v/>
          </cell>
          <cell r="O809" t="str">
            <v/>
          </cell>
          <cell r="P809" t="str">
            <v/>
          </cell>
          <cell r="Q809">
            <v>112.5</v>
          </cell>
          <cell r="R809" t="str">
            <v>UND</v>
          </cell>
          <cell r="S809">
            <v>0</v>
          </cell>
          <cell r="T809">
            <v>0</v>
          </cell>
          <cell r="U809" t="str">
            <v/>
          </cell>
          <cell r="V809" t="str">
            <v>PRO10</v>
          </cell>
          <cell r="W809">
            <v>0</v>
          </cell>
        </row>
        <row r="810">
          <cell r="C810" t="str">
            <v>VEPIÑSS40B26</v>
          </cell>
          <cell r="D810" t="str">
            <v>PRINC</v>
          </cell>
          <cell r="E810" t="str">
            <v>00015</v>
          </cell>
          <cell r="F810" t="str">
            <v>PIÑONES METALICOS</v>
          </cell>
          <cell r="G810" t="str">
            <v>PRINCIPAL</v>
          </cell>
          <cell r="H810">
            <v>46004</v>
          </cell>
          <cell r="I810" t="str">
            <v>SALDO INICIAL</v>
          </cell>
          <cell r="J810">
            <v>1</v>
          </cell>
          <cell r="K810">
            <v>20.34</v>
          </cell>
          <cell r="L810">
            <v>20.34</v>
          </cell>
          <cell r="M810">
            <v>20.34</v>
          </cell>
          <cell r="N810" t="str">
            <v/>
          </cell>
          <cell r="O810" t="str">
            <v/>
          </cell>
          <cell r="P810" t="str">
            <v/>
          </cell>
          <cell r="Q810">
            <v>56.55</v>
          </cell>
          <cell r="R810" t="str">
            <v>UND</v>
          </cell>
          <cell r="S810">
            <v>0</v>
          </cell>
          <cell r="T810">
            <v>0</v>
          </cell>
          <cell r="U810" t="str">
            <v/>
          </cell>
          <cell r="V810" t="str">
            <v>PRO10</v>
          </cell>
          <cell r="W810">
            <v>0</v>
          </cell>
        </row>
        <row r="811">
          <cell r="C811" t="str">
            <v>VEPIÑSS50B26</v>
          </cell>
          <cell r="D811" t="str">
            <v>PRINC</v>
          </cell>
          <cell r="E811" t="str">
            <v>00015</v>
          </cell>
          <cell r="F811" t="str">
            <v>PIÑONES METALICOS</v>
          </cell>
          <cell r="G811" t="str">
            <v>PRINCIPAL</v>
          </cell>
          <cell r="H811">
            <v>46004</v>
          </cell>
          <cell r="I811" t="str">
            <v>SALDO INICIAL</v>
          </cell>
          <cell r="J811">
            <v>7</v>
          </cell>
          <cell r="K811">
            <v>193.42400000000001</v>
          </cell>
          <cell r="L811">
            <v>27.632000000000001</v>
          </cell>
          <cell r="M811">
            <v>27.632000000000001</v>
          </cell>
          <cell r="N811" t="str">
            <v/>
          </cell>
          <cell r="O811" t="str">
            <v/>
          </cell>
          <cell r="P811" t="str">
            <v/>
          </cell>
          <cell r="Q811">
            <v>72.599999999999994</v>
          </cell>
          <cell r="R811" t="str">
            <v>UND</v>
          </cell>
          <cell r="S811">
            <v>0</v>
          </cell>
          <cell r="T811">
            <v>0</v>
          </cell>
          <cell r="U811" t="str">
            <v/>
          </cell>
          <cell r="V811" t="str">
            <v>PRO10</v>
          </cell>
          <cell r="W811">
            <v>0</v>
          </cell>
        </row>
        <row r="812">
          <cell r="C812" t="str">
            <v>VEPIÑSS60B26</v>
          </cell>
          <cell r="D812" t="str">
            <v>PRINC</v>
          </cell>
          <cell r="E812" t="str">
            <v>00015</v>
          </cell>
          <cell r="F812" t="str">
            <v>PIÑONES METALICOS</v>
          </cell>
          <cell r="G812" t="str">
            <v>PRINCIPAL</v>
          </cell>
          <cell r="H812">
            <v>46004</v>
          </cell>
          <cell r="I812" t="str">
            <v>SALDO INICIAL</v>
          </cell>
          <cell r="J812">
            <v>2</v>
          </cell>
          <cell r="K812">
            <v>129.88999999999999</v>
          </cell>
          <cell r="L812">
            <v>64.944999999999993</v>
          </cell>
          <cell r="M812">
            <v>64.944999999999993</v>
          </cell>
          <cell r="N812" t="str">
            <v/>
          </cell>
          <cell r="O812" t="str">
            <v/>
          </cell>
          <cell r="P812" t="str">
            <v/>
          </cell>
          <cell r="Q812">
            <v>127.7</v>
          </cell>
          <cell r="R812" t="str">
            <v>UND</v>
          </cell>
          <cell r="S812">
            <v>0</v>
          </cell>
          <cell r="T812">
            <v>0</v>
          </cell>
          <cell r="U812" t="str">
            <v/>
          </cell>
          <cell r="V812" t="str">
            <v>PRO10</v>
          </cell>
          <cell r="W812">
            <v>0</v>
          </cell>
        </row>
        <row r="813">
          <cell r="C813" t="str">
            <v>VEPIÑSS60B28</v>
          </cell>
          <cell r="D813" t="str">
            <v>PRINC</v>
          </cell>
          <cell r="E813" t="str">
            <v>00015</v>
          </cell>
          <cell r="F813" t="str">
            <v>PIÑONES METALICOS</v>
          </cell>
          <cell r="G813" t="str">
            <v>PRINCIPAL</v>
          </cell>
          <cell r="H813">
            <v>46004</v>
          </cell>
          <cell r="I813" t="str">
            <v>SALDO INICIAL</v>
          </cell>
          <cell r="J813">
            <v>4</v>
          </cell>
          <cell r="K813">
            <v>350.48</v>
          </cell>
          <cell r="L813">
            <v>0</v>
          </cell>
          <cell r="M813">
            <v>87.62</v>
          </cell>
          <cell r="N813" t="str">
            <v/>
          </cell>
          <cell r="O813" t="str">
            <v/>
          </cell>
          <cell r="P813" t="str">
            <v/>
          </cell>
          <cell r="Q813">
            <v>140.19999999999999</v>
          </cell>
          <cell r="R813" t="str">
            <v>UND</v>
          </cell>
          <cell r="S813">
            <v>0</v>
          </cell>
          <cell r="T813">
            <v>0</v>
          </cell>
          <cell r="U813" t="str">
            <v/>
          </cell>
          <cell r="V813" t="str">
            <v>PRO10</v>
          </cell>
          <cell r="W813">
            <v>0</v>
          </cell>
        </row>
        <row r="814">
          <cell r="C814" t="str">
            <v>VEPIÑSS40B30</v>
          </cell>
          <cell r="D814" t="str">
            <v>PRINC</v>
          </cell>
          <cell r="E814" t="str">
            <v>00015</v>
          </cell>
          <cell r="F814" t="str">
            <v>PIÑONES METALICOS</v>
          </cell>
          <cell r="G814" t="str">
            <v>PRINCIPAL</v>
          </cell>
          <cell r="H814">
            <v>46004</v>
          </cell>
          <cell r="I814" t="str">
            <v>SALDO INICIAL</v>
          </cell>
          <cell r="J814">
            <v>1</v>
          </cell>
          <cell r="K814">
            <v>35.969555</v>
          </cell>
          <cell r="L814">
            <v>35.969555999999997</v>
          </cell>
          <cell r="M814">
            <v>35.969555</v>
          </cell>
          <cell r="N814" t="str">
            <v/>
          </cell>
          <cell r="O814" t="str">
            <v/>
          </cell>
          <cell r="P814" t="str">
            <v/>
          </cell>
          <cell r="Q814">
            <v>72.5</v>
          </cell>
          <cell r="R814" t="str">
            <v>UND</v>
          </cell>
          <cell r="S814">
            <v>0</v>
          </cell>
          <cell r="T814">
            <v>0</v>
          </cell>
          <cell r="U814" t="str">
            <v/>
          </cell>
          <cell r="V814" t="str">
            <v>PRO10</v>
          </cell>
          <cell r="W814">
            <v>0</v>
          </cell>
        </row>
        <row r="815">
          <cell r="C815" t="str">
            <v>VEPIÑSS50B30</v>
          </cell>
          <cell r="D815" t="str">
            <v>PRINC</v>
          </cell>
          <cell r="E815" t="str">
            <v>00015</v>
          </cell>
          <cell r="F815" t="str">
            <v>PIÑONES METALICOS</v>
          </cell>
          <cell r="G815" t="str">
            <v>PRINCIPAL</v>
          </cell>
          <cell r="H815">
            <v>46004</v>
          </cell>
          <cell r="I815" t="str">
            <v>SALDO INICIAL</v>
          </cell>
          <cell r="J815">
            <v>2</v>
          </cell>
          <cell r="K815">
            <v>75.234001000000006</v>
          </cell>
          <cell r="L815">
            <v>37.616999999999997</v>
          </cell>
          <cell r="M815">
            <v>37.617000500000003</v>
          </cell>
          <cell r="N815" t="str">
            <v/>
          </cell>
          <cell r="O815" t="str">
            <v/>
          </cell>
          <cell r="P815" t="str">
            <v/>
          </cell>
          <cell r="Q815">
            <v>87.6</v>
          </cell>
          <cell r="R815" t="str">
            <v>UND</v>
          </cell>
          <cell r="S815">
            <v>0</v>
          </cell>
          <cell r="T815">
            <v>0</v>
          </cell>
          <cell r="U815" t="str">
            <v/>
          </cell>
          <cell r="V815" t="str">
            <v>PRO10</v>
          </cell>
          <cell r="W815">
            <v>0</v>
          </cell>
        </row>
        <row r="816">
          <cell r="C816" t="str">
            <v>VEPIÑSS60B30</v>
          </cell>
          <cell r="D816" t="str">
            <v>PRINC</v>
          </cell>
          <cell r="E816" t="str">
            <v>00015</v>
          </cell>
          <cell r="F816" t="str">
            <v>PIÑONES METALICOS</v>
          </cell>
          <cell r="G816" t="str">
            <v>PRINCIPAL</v>
          </cell>
          <cell r="H816">
            <v>46004</v>
          </cell>
          <cell r="I816" t="str">
            <v>SALDO INICIAL</v>
          </cell>
          <cell r="J816">
            <v>3</v>
          </cell>
          <cell r="K816">
            <v>168.93</v>
          </cell>
          <cell r="L816">
            <v>77.747500000000002</v>
          </cell>
          <cell r="M816">
            <v>56.31</v>
          </cell>
          <cell r="N816" t="str">
            <v/>
          </cell>
          <cell r="O816" t="str">
            <v/>
          </cell>
          <cell r="P816" t="str">
            <v/>
          </cell>
          <cell r="Q816">
            <v>145.4</v>
          </cell>
          <cell r="R816" t="str">
            <v>UND</v>
          </cell>
          <cell r="S816">
            <v>0</v>
          </cell>
          <cell r="T816">
            <v>0</v>
          </cell>
          <cell r="U816" t="str">
            <v/>
          </cell>
          <cell r="V816" t="str">
            <v>PRO10</v>
          </cell>
          <cell r="W816">
            <v>0</v>
          </cell>
        </row>
        <row r="817">
          <cell r="C817" t="str">
            <v>VEPIÑSS80B30</v>
          </cell>
          <cell r="D817" t="str">
            <v>PRINC</v>
          </cell>
          <cell r="E817" t="str">
            <v>00015</v>
          </cell>
          <cell r="F817" t="str">
            <v>PIÑONES METALICOS</v>
          </cell>
          <cell r="G817" t="str">
            <v>PRINCIPAL</v>
          </cell>
          <cell r="H817">
            <v>46004</v>
          </cell>
          <cell r="I817" t="str">
            <v>SALDO INICIAL</v>
          </cell>
          <cell r="J817">
            <v>1</v>
          </cell>
          <cell r="K817">
            <v>130.58750000000001</v>
          </cell>
          <cell r="L817">
            <v>130.58750000000001</v>
          </cell>
          <cell r="M817">
            <v>130.58750000000001</v>
          </cell>
          <cell r="N817" t="str">
            <v/>
          </cell>
          <cell r="O817" t="str">
            <v/>
          </cell>
          <cell r="P817" t="str">
            <v/>
          </cell>
          <cell r="Q817">
            <v>216.3</v>
          </cell>
          <cell r="R817" t="str">
            <v>UND</v>
          </cell>
          <cell r="S817">
            <v>0</v>
          </cell>
          <cell r="T817">
            <v>0</v>
          </cell>
          <cell r="U817" t="str">
            <v/>
          </cell>
          <cell r="V817" t="str">
            <v>PRO10</v>
          </cell>
          <cell r="W817">
            <v>0</v>
          </cell>
        </row>
        <row r="818">
          <cell r="C818" t="str">
            <v>VEPIÑSS40B32</v>
          </cell>
          <cell r="D818" t="str">
            <v>PRINC</v>
          </cell>
          <cell r="E818" t="str">
            <v>00015</v>
          </cell>
          <cell r="F818" t="str">
            <v>PIÑONES METALICOS</v>
          </cell>
          <cell r="G818" t="str">
            <v>PRINCIPAL</v>
          </cell>
          <cell r="H818">
            <v>46004</v>
          </cell>
          <cell r="I818" t="str">
            <v>SALDO INICIAL</v>
          </cell>
          <cell r="J818">
            <v>8</v>
          </cell>
          <cell r="K818">
            <v>236.11199999999999</v>
          </cell>
          <cell r="L818">
            <v>29.513999999999999</v>
          </cell>
          <cell r="M818">
            <v>29.513999999999999</v>
          </cell>
          <cell r="N818" t="str">
            <v/>
          </cell>
          <cell r="O818" t="str">
            <v/>
          </cell>
          <cell r="P818" t="str">
            <v/>
          </cell>
          <cell r="Q818">
            <v>76.8</v>
          </cell>
          <cell r="R818" t="str">
            <v>UND</v>
          </cell>
          <cell r="S818">
            <v>0</v>
          </cell>
          <cell r="T818">
            <v>0</v>
          </cell>
          <cell r="U818" t="str">
            <v/>
          </cell>
          <cell r="V818" t="str">
            <v>PRO10</v>
          </cell>
          <cell r="W818">
            <v>0</v>
          </cell>
        </row>
        <row r="819">
          <cell r="C819" t="str">
            <v>VEPIÑSS50B32</v>
          </cell>
          <cell r="D819" t="str">
            <v>PRINC</v>
          </cell>
          <cell r="E819" t="str">
            <v>00015</v>
          </cell>
          <cell r="F819" t="str">
            <v>PIÑONES METALICOS</v>
          </cell>
          <cell r="G819" t="str">
            <v>PRINCIPAL</v>
          </cell>
          <cell r="H819">
            <v>46004</v>
          </cell>
          <cell r="I819" t="str">
            <v>SALDO INICIAL</v>
          </cell>
          <cell r="J819">
            <v>1</v>
          </cell>
          <cell r="K819">
            <v>59.264000000000003</v>
          </cell>
          <cell r="L819">
            <v>59.264000000000003</v>
          </cell>
          <cell r="M819">
            <v>59.264000000000003</v>
          </cell>
          <cell r="N819" t="str">
            <v/>
          </cell>
          <cell r="O819" t="str">
            <v/>
          </cell>
          <cell r="P819" t="str">
            <v/>
          </cell>
          <cell r="Q819">
            <v>97.8</v>
          </cell>
          <cell r="R819" t="str">
            <v>UND</v>
          </cell>
          <cell r="S819">
            <v>0</v>
          </cell>
          <cell r="T819">
            <v>0</v>
          </cell>
          <cell r="U819" t="str">
            <v/>
          </cell>
          <cell r="V819" t="str">
            <v>PRO10</v>
          </cell>
          <cell r="W819">
            <v>0</v>
          </cell>
        </row>
        <row r="820">
          <cell r="C820" t="str">
            <v>VEPIÑSS60B32</v>
          </cell>
          <cell r="D820" t="str">
            <v>PRINC</v>
          </cell>
          <cell r="E820" t="str">
            <v>00015</v>
          </cell>
          <cell r="F820" t="str">
            <v>PIÑONES METALICOS</v>
          </cell>
          <cell r="G820" t="str">
            <v>PRINCIPAL</v>
          </cell>
          <cell r="H820">
            <v>46004</v>
          </cell>
          <cell r="I820" t="str">
            <v>SALDO INICIAL</v>
          </cell>
          <cell r="J820">
            <v>1</v>
          </cell>
          <cell r="K820">
            <v>107.69504499999999</v>
          </cell>
          <cell r="L820">
            <v>107.69504499999999</v>
          </cell>
          <cell r="M820">
            <v>107.69504499999999</v>
          </cell>
          <cell r="N820" t="str">
            <v/>
          </cell>
          <cell r="O820" t="str">
            <v/>
          </cell>
          <cell r="P820" t="str">
            <v/>
          </cell>
          <cell r="Q820">
            <v>168.4</v>
          </cell>
          <cell r="R820" t="str">
            <v>UND</v>
          </cell>
          <cell r="S820">
            <v>0</v>
          </cell>
          <cell r="T820">
            <v>0</v>
          </cell>
          <cell r="U820" t="str">
            <v/>
          </cell>
          <cell r="V820" t="str">
            <v>PRO10</v>
          </cell>
          <cell r="W820">
            <v>0</v>
          </cell>
        </row>
        <row r="821">
          <cell r="C821" t="str">
            <v>VEPIÑSS50B33</v>
          </cell>
          <cell r="D821" t="str">
            <v>PRINC</v>
          </cell>
          <cell r="E821" t="str">
            <v>00015</v>
          </cell>
          <cell r="F821" t="str">
            <v>PIÑONES METALICOS</v>
          </cell>
          <cell r="G821" t="str">
            <v>PRINCIPAL</v>
          </cell>
          <cell r="H821">
            <v>46004</v>
          </cell>
          <cell r="I821" t="str">
            <v>SALDO INICIAL</v>
          </cell>
          <cell r="J821">
            <v>2</v>
          </cell>
          <cell r="K821">
            <v>79.260000000000005</v>
          </cell>
          <cell r="L821">
            <v>0</v>
          </cell>
          <cell r="M821">
            <v>39.630000000000003</v>
          </cell>
          <cell r="N821" t="str">
            <v/>
          </cell>
          <cell r="O821" t="str">
            <v/>
          </cell>
          <cell r="P821" t="str">
            <v/>
          </cell>
          <cell r="Q821">
            <v>103.6</v>
          </cell>
          <cell r="R821" t="str">
            <v>UND</v>
          </cell>
          <cell r="S821">
            <v>0</v>
          </cell>
          <cell r="T821">
            <v>0</v>
          </cell>
          <cell r="U821" t="str">
            <v/>
          </cell>
          <cell r="V821" t="str">
            <v>PRO10</v>
          </cell>
          <cell r="W821">
            <v>0</v>
          </cell>
        </row>
        <row r="822">
          <cell r="C822" t="str">
            <v>VEPIÑSS40B34</v>
          </cell>
          <cell r="D822" t="str">
            <v>PRINC</v>
          </cell>
          <cell r="E822" t="str">
            <v>00015</v>
          </cell>
          <cell r="F822" t="str">
            <v>PIÑONES METALICOS</v>
          </cell>
          <cell r="G822" t="str">
            <v>PRINCIPAL</v>
          </cell>
          <cell r="H822">
            <v>46004</v>
          </cell>
          <cell r="I822" t="str">
            <v>SALDO INICIAL</v>
          </cell>
          <cell r="J822">
            <v>2</v>
          </cell>
          <cell r="K822">
            <v>79.650000000000006</v>
          </cell>
          <cell r="L822">
            <v>0</v>
          </cell>
          <cell r="M822">
            <v>39.825000000000003</v>
          </cell>
          <cell r="N822" t="str">
            <v/>
          </cell>
          <cell r="O822" t="str">
            <v/>
          </cell>
          <cell r="P822" t="str">
            <v/>
          </cell>
          <cell r="Q822">
            <v>81.599999999999994</v>
          </cell>
          <cell r="R822" t="str">
            <v>UND</v>
          </cell>
          <cell r="S822">
            <v>0</v>
          </cell>
          <cell r="T822">
            <v>0</v>
          </cell>
          <cell r="U822" t="str">
            <v/>
          </cell>
          <cell r="V822" t="str">
            <v>PRO10</v>
          </cell>
          <cell r="W822">
            <v>0</v>
          </cell>
        </row>
        <row r="823">
          <cell r="C823" t="str">
            <v>VEPIÑSS50B34</v>
          </cell>
          <cell r="D823" t="str">
            <v>PRINC</v>
          </cell>
          <cell r="E823" t="str">
            <v>00015</v>
          </cell>
          <cell r="F823" t="str">
            <v>PIÑONES METALICOS</v>
          </cell>
          <cell r="G823" t="str">
            <v>PRINCIPAL</v>
          </cell>
          <cell r="H823">
            <v>46004</v>
          </cell>
          <cell r="I823" t="str">
            <v>SALDO INICIAL</v>
          </cell>
          <cell r="J823">
            <v>2</v>
          </cell>
          <cell r="K823">
            <v>106.11</v>
          </cell>
          <cell r="L823">
            <v>0</v>
          </cell>
          <cell r="M823">
            <v>53.055</v>
          </cell>
          <cell r="N823" t="str">
            <v/>
          </cell>
          <cell r="O823" t="str">
            <v/>
          </cell>
          <cell r="P823" t="str">
            <v/>
          </cell>
          <cell r="Q823">
            <v>108.8</v>
          </cell>
          <cell r="R823" t="str">
            <v>UND</v>
          </cell>
          <cell r="S823">
            <v>0</v>
          </cell>
          <cell r="T823">
            <v>0</v>
          </cell>
          <cell r="U823" t="str">
            <v/>
          </cell>
          <cell r="V823" t="str">
            <v>PRO10</v>
          </cell>
          <cell r="W823">
            <v>0</v>
          </cell>
        </row>
        <row r="824">
          <cell r="C824" t="str">
            <v>VEPIÑSS60B34</v>
          </cell>
          <cell r="D824" t="str">
            <v>PRINC</v>
          </cell>
          <cell r="E824" t="str">
            <v>00015</v>
          </cell>
          <cell r="F824" t="str">
            <v>PIÑONES METALICOS</v>
          </cell>
          <cell r="G824" t="str">
            <v>PRINCIPAL</v>
          </cell>
          <cell r="H824">
            <v>46004</v>
          </cell>
          <cell r="I824" t="str">
            <v>SALDO INICIAL</v>
          </cell>
          <cell r="J824">
            <v>2</v>
          </cell>
          <cell r="K824">
            <v>129.30000000000001</v>
          </cell>
          <cell r="L824">
            <v>117.22</v>
          </cell>
          <cell r="M824">
            <v>64.650000000000006</v>
          </cell>
          <cell r="N824" t="str">
            <v/>
          </cell>
          <cell r="O824" t="str">
            <v/>
          </cell>
          <cell r="P824" t="str">
            <v/>
          </cell>
          <cell r="Q824">
            <v>171.3</v>
          </cell>
          <cell r="R824" t="str">
            <v>UND</v>
          </cell>
          <cell r="S824">
            <v>0</v>
          </cell>
          <cell r="T824">
            <v>0</v>
          </cell>
          <cell r="U824" t="str">
            <v/>
          </cell>
          <cell r="V824" t="str">
            <v>PRO10</v>
          </cell>
          <cell r="W824">
            <v>0</v>
          </cell>
        </row>
        <row r="825">
          <cell r="C825" t="str">
            <v>PIÑSS40B36</v>
          </cell>
          <cell r="D825" t="str">
            <v>PRINC</v>
          </cell>
          <cell r="E825" t="str">
            <v>00015</v>
          </cell>
          <cell r="F825" t="str">
            <v>PIÑONES METALICOS</v>
          </cell>
          <cell r="G825" t="str">
            <v>PRINCIPAL</v>
          </cell>
          <cell r="H825">
            <v>46004</v>
          </cell>
          <cell r="I825" t="str">
            <v>SALDO INICIAL</v>
          </cell>
          <cell r="J825">
            <v>0</v>
          </cell>
          <cell r="K825">
            <v>7.4662000000000006E-2</v>
          </cell>
          <cell r="L825">
            <v>66.770667000000003</v>
          </cell>
          <cell r="M825">
            <v>0</v>
          </cell>
          <cell r="N825" t="str">
            <v/>
          </cell>
          <cell r="O825" t="str">
            <v/>
          </cell>
          <cell r="P825" t="str">
            <v/>
          </cell>
          <cell r="Q825">
            <v>110</v>
          </cell>
          <cell r="R825" t="str">
            <v>UND</v>
          </cell>
          <cell r="S825">
            <v>0</v>
          </cell>
          <cell r="T825">
            <v>0</v>
          </cell>
          <cell r="U825" t="str">
            <v/>
          </cell>
          <cell r="V825" t="str">
            <v>PRO10</v>
          </cell>
          <cell r="W825">
            <v>0</v>
          </cell>
        </row>
        <row r="826">
          <cell r="C826" t="str">
            <v>VEPIÑSS40B36</v>
          </cell>
          <cell r="D826" t="str">
            <v>PRINC</v>
          </cell>
          <cell r="E826" t="str">
            <v>00015</v>
          </cell>
          <cell r="F826" t="str">
            <v>PIÑONES METALICOS</v>
          </cell>
          <cell r="G826" t="str">
            <v>PRINCIPAL</v>
          </cell>
          <cell r="H826">
            <v>46004</v>
          </cell>
          <cell r="I826" t="str">
            <v>SALDO INICIAL</v>
          </cell>
          <cell r="J826">
            <v>39</v>
          </cell>
          <cell r="K826">
            <v>1344.877915</v>
          </cell>
          <cell r="L826">
            <v>34.484048999999999</v>
          </cell>
          <cell r="M826">
            <v>34.484049102999997</v>
          </cell>
          <cell r="N826" t="str">
            <v/>
          </cell>
          <cell r="O826" t="str">
            <v/>
          </cell>
          <cell r="P826" t="str">
            <v/>
          </cell>
          <cell r="Q826">
            <v>86.15</v>
          </cell>
          <cell r="R826" t="str">
            <v>UND</v>
          </cell>
          <cell r="S826">
            <v>0</v>
          </cell>
          <cell r="T826">
            <v>0</v>
          </cell>
          <cell r="U826" t="str">
            <v/>
          </cell>
          <cell r="V826" t="str">
            <v>PRO10</v>
          </cell>
          <cell r="W826">
            <v>0</v>
          </cell>
        </row>
        <row r="827">
          <cell r="C827" t="str">
            <v>VEPIÑSS60B36</v>
          </cell>
          <cell r="D827" t="str">
            <v>PRINC</v>
          </cell>
          <cell r="E827" t="str">
            <v>00015</v>
          </cell>
          <cell r="F827" t="str">
            <v>PIÑONES METALICOS</v>
          </cell>
          <cell r="G827" t="str">
            <v>PRINCIPAL</v>
          </cell>
          <cell r="H827">
            <v>46004</v>
          </cell>
          <cell r="I827" t="str">
            <v>SALDO INICIAL</v>
          </cell>
          <cell r="J827">
            <v>3</v>
          </cell>
          <cell r="K827">
            <v>203.3475</v>
          </cell>
          <cell r="L827">
            <v>67.782499999999999</v>
          </cell>
          <cell r="M827">
            <v>67.782499999999999</v>
          </cell>
          <cell r="N827" t="str">
            <v/>
          </cell>
          <cell r="O827" t="str">
            <v/>
          </cell>
          <cell r="P827" t="str">
            <v/>
          </cell>
          <cell r="Q827">
            <v>178.6</v>
          </cell>
          <cell r="R827" t="str">
            <v>UND</v>
          </cell>
          <cell r="S827">
            <v>0</v>
          </cell>
          <cell r="T827">
            <v>0</v>
          </cell>
          <cell r="U827" t="str">
            <v/>
          </cell>
          <cell r="V827" t="str">
            <v>PRO10</v>
          </cell>
          <cell r="W827">
            <v>0</v>
          </cell>
        </row>
        <row r="828">
          <cell r="C828" t="str">
            <v>VEPIÑSS50B38</v>
          </cell>
          <cell r="D828" t="str">
            <v>PRINC</v>
          </cell>
          <cell r="E828" t="str">
            <v>00015</v>
          </cell>
          <cell r="F828" t="str">
            <v>PIÑONES METALICOS</v>
          </cell>
          <cell r="G828" t="str">
            <v>PRINCIPAL</v>
          </cell>
          <cell r="H828">
            <v>46004</v>
          </cell>
          <cell r="I828" t="str">
            <v>SALDO INICIAL</v>
          </cell>
          <cell r="J828">
            <v>2</v>
          </cell>
          <cell r="K828">
            <v>95.95</v>
          </cell>
          <cell r="L828">
            <v>0</v>
          </cell>
          <cell r="M828">
            <v>47.975000000000001</v>
          </cell>
          <cell r="N828" t="str">
            <v/>
          </cell>
          <cell r="O828" t="str">
            <v/>
          </cell>
          <cell r="P828" t="str">
            <v/>
          </cell>
          <cell r="Q828">
            <v>126.2</v>
          </cell>
          <cell r="R828" t="str">
            <v>UND</v>
          </cell>
          <cell r="S828">
            <v>0</v>
          </cell>
          <cell r="T828">
            <v>0</v>
          </cell>
          <cell r="U828" t="str">
            <v/>
          </cell>
          <cell r="V828" t="str">
            <v>PRO10</v>
          </cell>
          <cell r="W828">
            <v>0</v>
          </cell>
        </row>
        <row r="829">
          <cell r="C829" t="str">
            <v>VEPIÑSS80B38</v>
          </cell>
          <cell r="D829" t="str">
            <v>PRINC</v>
          </cell>
          <cell r="E829" t="str">
            <v>00015</v>
          </cell>
          <cell r="F829" t="str">
            <v>PIÑONES METALICOS</v>
          </cell>
          <cell r="G829" t="str">
            <v>PRINCIPAL</v>
          </cell>
          <cell r="H829">
            <v>46004</v>
          </cell>
          <cell r="I829" t="str">
            <v>SALDO INICIAL</v>
          </cell>
          <cell r="J829">
            <v>2</v>
          </cell>
          <cell r="K829">
            <v>324.97000000000003</v>
          </cell>
          <cell r="L829">
            <v>389</v>
          </cell>
          <cell r="M829">
            <v>162.48500000000001</v>
          </cell>
          <cell r="N829" t="str">
            <v/>
          </cell>
          <cell r="O829" t="str">
            <v/>
          </cell>
          <cell r="P829" t="str">
            <v/>
          </cell>
          <cell r="Q829">
            <v>260</v>
          </cell>
          <cell r="R829" t="str">
            <v>UND</v>
          </cell>
          <cell r="S829">
            <v>0</v>
          </cell>
          <cell r="T829">
            <v>0</v>
          </cell>
          <cell r="U829" t="str">
            <v/>
          </cell>
          <cell r="V829" t="str">
            <v>PRO10</v>
          </cell>
          <cell r="W829">
            <v>0</v>
          </cell>
        </row>
        <row r="830">
          <cell r="C830" t="str">
            <v>VEPIÑSS40B40</v>
          </cell>
          <cell r="D830" t="str">
            <v>PRINC</v>
          </cell>
          <cell r="E830" t="str">
            <v>00015</v>
          </cell>
          <cell r="F830" t="str">
            <v>PIÑONES METALICOS</v>
          </cell>
          <cell r="G830" t="str">
            <v>PRINCIPAL</v>
          </cell>
          <cell r="H830">
            <v>46004</v>
          </cell>
          <cell r="I830" t="str">
            <v>SALDO INICIAL</v>
          </cell>
          <cell r="J830">
            <v>4</v>
          </cell>
          <cell r="K830">
            <v>185.03</v>
          </cell>
          <cell r="L830">
            <v>53.63</v>
          </cell>
          <cell r="M830">
            <v>46.2575</v>
          </cell>
          <cell r="N830" t="str">
            <v/>
          </cell>
          <cell r="O830" t="str">
            <v/>
          </cell>
          <cell r="P830" t="str">
            <v/>
          </cell>
          <cell r="Q830">
            <v>91.2</v>
          </cell>
          <cell r="R830" t="str">
            <v>UND</v>
          </cell>
          <cell r="S830">
            <v>0</v>
          </cell>
          <cell r="T830">
            <v>0</v>
          </cell>
          <cell r="U830" t="str">
            <v/>
          </cell>
          <cell r="V830" t="str">
            <v>PRO10</v>
          </cell>
          <cell r="W830">
            <v>0</v>
          </cell>
        </row>
        <row r="831">
          <cell r="C831" t="str">
            <v>VEPIÑSS50B40</v>
          </cell>
          <cell r="D831" t="str">
            <v>PRINC</v>
          </cell>
          <cell r="E831" t="str">
            <v>00015</v>
          </cell>
          <cell r="F831" t="str">
            <v>PIÑONES METALICOS</v>
          </cell>
          <cell r="G831" t="str">
            <v>PRINCIPAL</v>
          </cell>
          <cell r="H831">
            <v>46004</v>
          </cell>
          <cell r="I831" t="str">
            <v>SALDO INICIAL</v>
          </cell>
          <cell r="J831">
            <v>8</v>
          </cell>
          <cell r="K831">
            <v>610.75346000000002</v>
          </cell>
          <cell r="L831">
            <v>0</v>
          </cell>
          <cell r="M831">
            <v>76.344182500000002</v>
          </cell>
          <cell r="N831" t="str">
            <v/>
          </cell>
          <cell r="O831" t="str">
            <v/>
          </cell>
          <cell r="P831" t="str">
            <v/>
          </cell>
          <cell r="Q831">
            <v>145.80000000000001</v>
          </cell>
          <cell r="R831" t="str">
            <v>UND</v>
          </cell>
          <cell r="S831">
            <v>0</v>
          </cell>
          <cell r="T831">
            <v>0</v>
          </cell>
          <cell r="U831" t="str">
            <v/>
          </cell>
          <cell r="V831" t="str">
            <v>PRO10</v>
          </cell>
          <cell r="W831">
            <v>0</v>
          </cell>
        </row>
        <row r="832">
          <cell r="C832" t="str">
            <v>VEPIÑSS60B40</v>
          </cell>
          <cell r="D832" t="str">
            <v>PRINC</v>
          </cell>
          <cell r="E832" t="str">
            <v>00015</v>
          </cell>
          <cell r="F832" t="str">
            <v>PIÑONES METALICOS</v>
          </cell>
          <cell r="G832" t="str">
            <v>PRINCIPAL</v>
          </cell>
          <cell r="H832">
            <v>46004</v>
          </cell>
          <cell r="I832" t="str">
            <v>SALDO INICIAL</v>
          </cell>
          <cell r="J832">
            <v>2</v>
          </cell>
          <cell r="K832">
            <v>152.246666</v>
          </cell>
          <cell r="L832">
            <v>76.123333000000002</v>
          </cell>
          <cell r="M832">
            <v>76.123333000000002</v>
          </cell>
          <cell r="N832" t="str">
            <v/>
          </cell>
          <cell r="O832" t="str">
            <v/>
          </cell>
          <cell r="P832" t="str">
            <v/>
          </cell>
          <cell r="Q832">
            <v>201.7</v>
          </cell>
          <cell r="R832" t="str">
            <v>UND</v>
          </cell>
          <cell r="S832">
            <v>0</v>
          </cell>
          <cell r="T832">
            <v>0</v>
          </cell>
          <cell r="U832" t="str">
            <v/>
          </cell>
          <cell r="V832" t="str">
            <v>PRO10</v>
          </cell>
          <cell r="W832">
            <v>0</v>
          </cell>
        </row>
        <row r="833">
          <cell r="C833" t="str">
            <v>VEPIÑSS50B42</v>
          </cell>
          <cell r="D833" t="str">
            <v>PRINC</v>
          </cell>
          <cell r="E833" t="str">
            <v>00015</v>
          </cell>
          <cell r="F833" t="str">
            <v>PIÑONES METALICOS</v>
          </cell>
          <cell r="G833" t="str">
            <v>PRINCIPAL</v>
          </cell>
          <cell r="H833">
            <v>46004</v>
          </cell>
          <cell r="I833" t="str">
            <v>SALDO INICIAL</v>
          </cell>
          <cell r="J833">
            <v>2</v>
          </cell>
          <cell r="K833">
            <v>116.8</v>
          </cell>
          <cell r="L833">
            <v>0</v>
          </cell>
          <cell r="M833">
            <v>58.4</v>
          </cell>
          <cell r="N833" t="str">
            <v/>
          </cell>
          <cell r="O833" t="str">
            <v/>
          </cell>
          <cell r="P833" t="str">
            <v/>
          </cell>
          <cell r="Q833">
            <v>149.5</v>
          </cell>
          <cell r="R833" t="str">
            <v>UND</v>
          </cell>
          <cell r="S833">
            <v>0</v>
          </cell>
          <cell r="T833">
            <v>0</v>
          </cell>
          <cell r="U833" t="str">
            <v/>
          </cell>
          <cell r="V833" t="str">
            <v>PRO10</v>
          </cell>
          <cell r="W833">
            <v>0</v>
          </cell>
        </row>
        <row r="834">
          <cell r="C834" t="str">
            <v>VEPIÑSS50B44</v>
          </cell>
          <cell r="D834" t="str">
            <v>PRINC</v>
          </cell>
          <cell r="E834" t="str">
            <v>00015</v>
          </cell>
          <cell r="F834" t="str">
            <v>PIÑONES METALICOS</v>
          </cell>
          <cell r="G834" t="str">
            <v>PRINCIPAL</v>
          </cell>
          <cell r="H834">
            <v>46004</v>
          </cell>
          <cell r="I834" t="str">
            <v>SALDO INICIAL</v>
          </cell>
          <cell r="J834">
            <v>2</v>
          </cell>
          <cell r="K834">
            <v>125.14</v>
          </cell>
          <cell r="L834">
            <v>0</v>
          </cell>
          <cell r="M834">
            <v>62.57</v>
          </cell>
          <cell r="N834" t="str">
            <v/>
          </cell>
          <cell r="O834" t="str">
            <v/>
          </cell>
          <cell r="P834" t="str">
            <v/>
          </cell>
          <cell r="Q834">
            <v>156.4</v>
          </cell>
          <cell r="R834" t="str">
            <v>UND</v>
          </cell>
          <cell r="S834">
            <v>0</v>
          </cell>
          <cell r="T834">
            <v>0</v>
          </cell>
          <cell r="U834" t="str">
            <v/>
          </cell>
          <cell r="V834" t="str">
            <v>PRO10</v>
          </cell>
          <cell r="W834">
            <v>0</v>
          </cell>
        </row>
        <row r="835">
          <cell r="C835" t="str">
            <v>VEPIÑSS60B44</v>
          </cell>
          <cell r="D835" t="str">
            <v>PRINC</v>
          </cell>
          <cell r="E835" t="str">
            <v>00015</v>
          </cell>
          <cell r="F835" t="str">
            <v>PIÑONES METALICOS</v>
          </cell>
          <cell r="G835" t="str">
            <v>PRINCIPAL</v>
          </cell>
          <cell r="H835">
            <v>46004</v>
          </cell>
          <cell r="I835" t="str">
            <v>SALDO INICIAL</v>
          </cell>
          <cell r="J835">
            <v>2</v>
          </cell>
          <cell r="K835">
            <v>177.27</v>
          </cell>
          <cell r="L835">
            <v>315.76</v>
          </cell>
          <cell r="M835">
            <v>88.635000000000005</v>
          </cell>
          <cell r="N835" t="str">
            <v/>
          </cell>
          <cell r="O835" t="str">
            <v/>
          </cell>
          <cell r="P835" t="str">
            <v/>
          </cell>
          <cell r="Q835">
            <v>234.9</v>
          </cell>
          <cell r="R835" t="str">
            <v>UND</v>
          </cell>
          <cell r="S835">
            <v>0</v>
          </cell>
          <cell r="T835">
            <v>0</v>
          </cell>
          <cell r="U835" t="str">
            <v/>
          </cell>
          <cell r="V835" t="str">
            <v>PRO10</v>
          </cell>
          <cell r="W835">
            <v>0</v>
          </cell>
        </row>
        <row r="836">
          <cell r="C836" t="str">
            <v>VEPIÑSS60B45</v>
          </cell>
          <cell r="D836" t="str">
            <v>PRINC</v>
          </cell>
          <cell r="E836" t="str">
            <v>00015</v>
          </cell>
          <cell r="F836" t="str">
            <v>PIÑONES METALICOS</v>
          </cell>
          <cell r="G836" t="str">
            <v>PRINCIPAL</v>
          </cell>
          <cell r="H836">
            <v>46004</v>
          </cell>
          <cell r="I836" t="str">
            <v>SALDO INICIAL</v>
          </cell>
          <cell r="J836">
            <v>2</v>
          </cell>
          <cell r="K836">
            <v>354.85</v>
          </cell>
          <cell r="L836">
            <v>0</v>
          </cell>
          <cell r="M836">
            <v>177.42500000000001</v>
          </cell>
          <cell r="N836" t="str">
            <v/>
          </cell>
          <cell r="O836" t="str">
            <v/>
          </cell>
          <cell r="P836" t="str">
            <v/>
          </cell>
          <cell r="Q836">
            <v>251.8</v>
          </cell>
          <cell r="R836" t="str">
            <v>UND</v>
          </cell>
          <cell r="S836">
            <v>0</v>
          </cell>
          <cell r="T836">
            <v>0</v>
          </cell>
          <cell r="U836" t="str">
            <v/>
          </cell>
          <cell r="V836" t="str">
            <v>PRO10</v>
          </cell>
          <cell r="W836">
            <v>0</v>
          </cell>
        </row>
        <row r="837">
          <cell r="C837" t="str">
            <v>VEPIÑSS50B46</v>
          </cell>
          <cell r="D837" t="str">
            <v>PRINC</v>
          </cell>
          <cell r="E837" t="str">
            <v>00015</v>
          </cell>
          <cell r="F837" t="str">
            <v>PIÑONES METALICOS</v>
          </cell>
          <cell r="G837" t="str">
            <v>PRINCIPAL</v>
          </cell>
          <cell r="H837">
            <v>46004</v>
          </cell>
          <cell r="I837" t="str">
            <v>SALDO INICIAL</v>
          </cell>
          <cell r="J837">
            <v>2</v>
          </cell>
          <cell r="K837">
            <v>131.41</v>
          </cell>
          <cell r="L837">
            <v>0</v>
          </cell>
          <cell r="M837">
            <v>65.704999999999998</v>
          </cell>
          <cell r="N837" t="str">
            <v/>
          </cell>
          <cell r="O837" t="str">
            <v/>
          </cell>
          <cell r="P837" t="str">
            <v/>
          </cell>
          <cell r="Q837">
            <v>162.69999999999999</v>
          </cell>
          <cell r="R837" t="str">
            <v>UND</v>
          </cell>
          <cell r="S837">
            <v>0</v>
          </cell>
          <cell r="T837">
            <v>0</v>
          </cell>
          <cell r="U837" t="str">
            <v/>
          </cell>
          <cell r="V837" t="str">
            <v>PRO10</v>
          </cell>
          <cell r="W837">
            <v>0</v>
          </cell>
        </row>
        <row r="838">
          <cell r="C838" t="str">
            <v>VEPIÑSS60B46</v>
          </cell>
          <cell r="D838" t="str">
            <v>PRINC</v>
          </cell>
          <cell r="E838" t="str">
            <v>00015</v>
          </cell>
          <cell r="F838" t="str">
            <v>PIÑONES METALICOS</v>
          </cell>
          <cell r="G838" t="str">
            <v>PRINCIPAL</v>
          </cell>
          <cell r="H838">
            <v>46004</v>
          </cell>
          <cell r="I838" t="str">
            <v>SALDO INICIAL</v>
          </cell>
          <cell r="J838">
            <v>2</v>
          </cell>
          <cell r="K838">
            <v>191.89</v>
          </cell>
          <cell r="L838">
            <v>173.988</v>
          </cell>
          <cell r="M838">
            <v>95.944999999999993</v>
          </cell>
          <cell r="N838" t="str">
            <v/>
          </cell>
          <cell r="O838" t="str">
            <v/>
          </cell>
          <cell r="P838" t="str">
            <v/>
          </cell>
          <cell r="Q838">
            <v>254.3</v>
          </cell>
          <cell r="R838" t="str">
            <v>UND</v>
          </cell>
          <cell r="S838">
            <v>0</v>
          </cell>
          <cell r="T838">
            <v>0</v>
          </cell>
          <cell r="U838" t="str">
            <v/>
          </cell>
          <cell r="V838" t="str">
            <v>PRO10</v>
          </cell>
          <cell r="W838">
            <v>0</v>
          </cell>
        </row>
        <row r="839">
          <cell r="C839" t="str">
            <v>VEPIÑSS40B48</v>
          </cell>
          <cell r="D839" t="str">
            <v>PRINC</v>
          </cell>
          <cell r="E839" t="str">
            <v>00015</v>
          </cell>
          <cell r="F839" t="str">
            <v>PIÑONES METALICOS</v>
          </cell>
          <cell r="G839" t="str">
            <v>PRINCIPAL</v>
          </cell>
          <cell r="H839">
            <v>46004</v>
          </cell>
          <cell r="I839" t="str">
            <v>SALDO INICIAL</v>
          </cell>
          <cell r="J839">
            <v>3</v>
          </cell>
          <cell r="K839">
            <v>202.06</v>
          </cell>
          <cell r="L839">
            <v>0</v>
          </cell>
          <cell r="M839">
            <v>67.353333332999995</v>
          </cell>
          <cell r="N839" t="str">
            <v/>
          </cell>
          <cell r="O839" t="str">
            <v/>
          </cell>
          <cell r="P839" t="str">
            <v/>
          </cell>
          <cell r="Q839">
            <v>114.5</v>
          </cell>
          <cell r="R839" t="str">
            <v>UND</v>
          </cell>
          <cell r="S839">
            <v>0</v>
          </cell>
          <cell r="T839">
            <v>0</v>
          </cell>
          <cell r="U839" t="str">
            <v/>
          </cell>
          <cell r="V839" t="str">
            <v>PRO10</v>
          </cell>
          <cell r="W839">
            <v>0</v>
          </cell>
        </row>
        <row r="840">
          <cell r="C840" t="str">
            <v>VEPIÑSS50B48</v>
          </cell>
          <cell r="D840" t="str">
            <v>PRINC</v>
          </cell>
          <cell r="E840" t="str">
            <v>00015</v>
          </cell>
          <cell r="F840" t="str">
            <v>PIÑONES METALICOS</v>
          </cell>
          <cell r="G840" t="str">
            <v>PRINCIPAL</v>
          </cell>
          <cell r="H840">
            <v>46004</v>
          </cell>
          <cell r="I840" t="str">
            <v>SALDO INICIAL</v>
          </cell>
          <cell r="J840">
            <v>1</v>
          </cell>
          <cell r="K840">
            <v>67.784999999999997</v>
          </cell>
          <cell r="L840">
            <v>67.784999999999997</v>
          </cell>
          <cell r="M840">
            <v>67.784999999999997</v>
          </cell>
          <cell r="N840" t="str">
            <v/>
          </cell>
          <cell r="O840" t="str">
            <v/>
          </cell>
          <cell r="P840" t="str">
            <v/>
          </cell>
          <cell r="Q840">
            <v>167.3</v>
          </cell>
          <cell r="R840" t="str">
            <v>UND</v>
          </cell>
          <cell r="S840">
            <v>0</v>
          </cell>
          <cell r="T840">
            <v>0</v>
          </cell>
          <cell r="U840" t="str">
            <v/>
          </cell>
          <cell r="V840" t="str">
            <v>PRO10</v>
          </cell>
          <cell r="W840">
            <v>0</v>
          </cell>
        </row>
        <row r="841">
          <cell r="C841" t="str">
            <v>VEPIÑSS60B48</v>
          </cell>
          <cell r="D841" t="str">
            <v>PRINC</v>
          </cell>
          <cell r="E841" t="str">
            <v>00015</v>
          </cell>
          <cell r="F841" t="str">
            <v>PIÑONES METALICOS</v>
          </cell>
          <cell r="G841" t="str">
            <v>PRINCIPAL</v>
          </cell>
          <cell r="H841">
            <v>46004</v>
          </cell>
          <cell r="I841" t="str">
            <v>SALDO INICIAL</v>
          </cell>
          <cell r="J841">
            <v>2</v>
          </cell>
          <cell r="K841">
            <v>255.51</v>
          </cell>
          <cell r="L841">
            <v>228.5</v>
          </cell>
          <cell r="M841">
            <v>127.755</v>
          </cell>
          <cell r="N841" t="str">
            <v/>
          </cell>
          <cell r="O841" t="str">
            <v/>
          </cell>
          <cell r="P841" t="str">
            <v/>
          </cell>
          <cell r="Q841">
            <v>276.3</v>
          </cell>
          <cell r="R841" t="str">
            <v>UND</v>
          </cell>
          <cell r="S841">
            <v>0</v>
          </cell>
          <cell r="T841">
            <v>0</v>
          </cell>
          <cell r="U841" t="str">
            <v/>
          </cell>
          <cell r="V841" t="str">
            <v>PRO10</v>
          </cell>
          <cell r="W841">
            <v>0</v>
          </cell>
        </row>
        <row r="842">
          <cell r="C842" t="str">
            <v>VEPIÑSS40B52</v>
          </cell>
          <cell r="D842" t="str">
            <v>PRINC</v>
          </cell>
          <cell r="E842" t="str">
            <v>00015</v>
          </cell>
          <cell r="F842" t="str">
            <v>PIÑONES METALICOS</v>
          </cell>
          <cell r="G842" t="str">
            <v>PRINCIPAL</v>
          </cell>
          <cell r="H842">
            <v>46004</v>
          </cell>
          <cell r="I842" t="str">
            <v>SALDO INICIAL</v>
          </cell>
          <cell r="J842">
            <v>2</v>
          </cell>
          <cell r="K842">
            <v>175.89</v>
          </cell>
          <cell r="L842">
            <v>84.85</v>
          </cell>
          <cell r="M842">
            <v>87.944999999999993</v>
          </cell>
          <cell r="N842" t="str">
            <v/>
          </cell>
          <cell r="O842" t="str">
            <v/>
          </cell>
          <cell r="P842" t="str">
            <v/>
          </cell>
          <cell r="Q842">
            <v>140</v>
          </cell>
          <cell r="R842" t="str">
            <v>UND</v>
          </cell>
          <cell r="S842">
            <v>0</v>
          </cell>
          <cell r="T842">
            <v>0</v>
          </cell>
          <cell r="U842" t="str">
            <v/>
          </cell>
          <cell r="V842" t="str">
            <v>PRO10</v>
          </cell>
          <cell r="W842">
            <v>0</v>
          </cell>
        </row>
        <row r="843">
          <cell r="C843" t="str">
            <v>EUA24Z13C38ACM</v>
          </cell>
          <cell r="D843" t="str">
            <v>PRINC</v>
          </cell>
          <cell r="E843" t="str">
            <v>00016</v>
          </cell>
          <cell r="F843" t="str">
            <v>PIÑONES PLASTICOS</v>
          </cell>
          <cell r="G843" t="str">
            <v>PRINCIPAL</v>
          </cell>
          <cell r="H843">
            <v>46004</v>
          </cell>
          <cell r="I843" t="str">
            <v>SALDO INICIAL</v>
          </cell>
          <cell r="J843">
            <v>11</v>
          </cell>
          <cell r="K843">
            <v>80.940314999999998</v>
          </cell>
          <cell r="L843">
            <v>7.3582099999999997</v>
          </cell>
          <cell r="M843">
            <v>7.358210455</v>
          </cell>
          <cell r="N843" t="str">
            <v/>
          </cell>
          <cell r="O843" t="str">
            <v/>
          </cell>
          <cell r="P843" t="str">
            <v/>
          </cell>
          <cell r="Q843">
            <v>18</v>
          </cell>
          <cell r="R843" t="str">
            <v>UND</v>
          </cell>
          <cell r="S843">
            <v>0</v>
          </cell>
          <cell r="T843">
            <v>0</v>
          </cell>
          <cell r="U843" t="str">
            <v/>
          </cell>
          <cell r="V843" t="str">
            <v>PRO10</v>
          </cell>
          <cell r="W843">
            <v>0</v>
          </cell>
        </row>
        <row r="844">
          <cell r="C844" t="str">
            <v>EUA24Z20C38ACM</v>
          </cell>
          <cell r="D844" t="str">
            <v>PRINC</v>
          </cell>
          <cell r="E844" t="str">
            <v>00016</v>
          </cell>
          <cell r="F844" t="str">
            <v>PIÑONES PLASTICOS</v>
          </cell>
          <cell r="G844" t="str">
            <v>PRINCIPAL</v>
          </cell>
          <cell r="H844">
            <v>46004</v>
          </cell>
          <cell r="I844" t="str">
            <v>SALDO INICIAL</v>
          </cell>
          <cell r="J844">
            <v>40</v>
          </cell>
          <cell r="K844">
            <v>407.15436</v>
          </cell>
          <cell r="L844">
            <v>10.097882</v>
          </cell>
          <cell r="M844">
            <v>10.178858999999999</v>
          </cell>
          <cell r="N844" t="str">
            <v/>
          </cell>
          <cell r="O844" t="str">
            <v/>
          </cell>
          <cell r="P844" t="str">
            <v/>
          </cell>
          <cell r="Q844">
            <v>25</v>
          </cell>
          <cell r="R844" t="str">
            <v>UND</v>
          </cell>
          <cell r="S844">
            <v>0</v>
          </cell>
          <cell r="T844">
            <v>0</v>
          </cell>
          <cell r="U844" t="str">
            <v/>
          </cell>
          <cell r="V844" t="str">
            <v>PRO10</v>
          </cell>
          <cell r="W844">
            <v>0</v>
          </cell>
        </row>
        <row r="845">
          <cell r="C845" t="str">
            <v>EUB50Z06C40ACB</v>
          </cell>
          <cell r="D845" t="str">
            <v>PRINC</v>
          </cell>
          <cell r="E845" t="str">
            <v>00016</v>
          </cell>
          <cell r="F845" t="str">
            <v>PIÑONES PLASTICOS</v>
          </cell>
          <cell r="G845" t="str">
            <v>PRINCIPAL</v>
          </cell>
          <cell r="H845">
            <v>46004</v>
          </cell>
          <cell r="I845" t="str">
            <v>SALDO INICIAL</v>
          </cell>
          <cell r="J845">
            <v>30</v>
          </cell>
          <cell r="K845">
            <v>262.03107199999999</v>
          </cell>
          <cell r="L845">
            <v>8.7343689999999992</v>
          </cell>
          <cell r="M845">
            <v>8.7343690669999994</v>
          </cell>
          <cell r="N845" t="str">
            <v/>
          </cell>
          <cell r="O845" t="str">
            <v/>
          </cell>
          <cell r="P845" t="str">
            <v/>
          </cell>
          <cell r="Q845">
            <v>18</v>
          </cell>
          <cell r="R845" t="str">
            <v>UND</v>
          </cell>
          <cell r="S845">
            <v>0</v>
          </cell>
          <cell r="T845">
            <v>0</v>
          </cell>
          <cell r="U845" t="str">
            <v/>
          </cell>
          <cell r="V845" t="str">
            <v>PRO10</v>
          </cell>
          <cell r="W845">
            <v>0</v>
          </cell>
        </row>
        <row r="846">
          <cell r="C846" t="str">
            <v>EUB50Z08C40ACBA</v>
          </cell>
          <cell r="D846" t="str">
            <v>PRINC</v>
          </cell>
          <cell r="E846" t="str">
            <v>00016</v>
          </cell>
          <cell r="F846" t="str">
            <v>PIÑONES PLASTICOS</v>
          </cell>
          <cell r="G846" t="str">
            <v>PRINCIPAL</v>
          </cell>
          <cell r="H846">
            <v>46004</v>
          </cell>
          <cell r="I846" t="str">
            <v>SALDO INICIAL</v>
          </cell>
          <cell r="J846">
            <v>15</v>
          </cell>
          <cell r="K846">
            <v>309.889995</v>
          </cell>
          <cell r="L846">
            <v>20.659333</v>
          </cell>
          <cell r="M846">
            <v>20.659333</v>
          </cell>
          <cell r="N846" t="str">
            <v/>
          </cell>
          <cell r="O846" t="str">
            <v/>
          </cell>
          <cell r="P846" t="str">
            <v/>
          </cell>
          <cell r="Q846">
            <v>33.5</v>
          </cell>
          <cell r="R846" t="str">
            <v>UND</v>
          </cell>
          <cell r="S846">
            <v>0</v>
          </cell>
          <cell r="T846">
            <v>0</v>
          </cell>
          <cell r="U846" t="str">
            <v/>
          </cell>
          <cell r="V846" t="str">
            <v>PRO10</v>
          </cell>
          <cell r="W846">
            <v>0</v>
          </cell>
        </row>
        <row r="847">
          <cell r="C847" t="str">
            <v>EUB50Z10C40ACB</v>
          </cell>
          <cell r="D847" t="str">
            <v>PRINC</v>
          </cell>
          <cell r="E847" t="str">
            <v>00016</v>
          </cell>
          <cell r="F847" t="str">
            <v>PIÑONES PLASTICOS</v>
          </cell>
          <cell r="G847" t="str">
            <v>PRINCIPAL</v>
          </cell>
          <cell r="H847">
            <v>46004</v>
          </cell>
          <cell r="I847" t="str">
            <v>SALDO INICIAL</v>
          </cell>
          <cell r="J847">
            <v>0</v>
          </cell>
          <cell r="K847">
            <v>5.966075</v>
          </cell>
          <cell r="L847">
            <v>13.863667</v>
          </cell>
          <cell r="M847">
            <v>0</v>
          </cell>
          <cell r="N847" t="str">
            <v/>
          </cell>
          <cell r="O847" t="str">
            <v/>
          </cell>
          <cell r="P847" t="str">
            <v/>
          </cell>
          <cell r="Q847">
            <v>25</v>
          </cell>
          <cell r="R847" t="str">
            <v>UND</v>
          </cell>
          <cell r="S847">
            <v>0</v>
          </cell>
          <cell r="T847">
            <v>0</v>
          </cell>
          <cell r="U847" t="str">
            <v/>
          </cell>
          <cell r="V847" t="str">
            <v>PRO10</v>
          </cell>
          <cell r="W847">
            <v>0</v>
          </cell>
        </row>
        <row r="848">
          <cell r="C848" t="str">
            <v>EUB50Z06C38ACM</v>
          </cell>
          <cell r="D848" t="str">
            <v>PRINC</v>
          </cell>
          <cell r="E848" t="str">
            <v>00016</v>
          </cell>
          <cell r="F848" t="str">
            <v>PIÑONES PLASTICOS</v>
          </cell>
          <cell r="G848" t="str">
            <v>PRINCIPAL</v>
          </cell>
          <cell r="H848">
            <v>46004</v>
          </cell>
          <cell r="I848" t="str">
            <v>SALDO INICIAL</v>
          </cell>
          <cell r="J848">
            <v>57</v>
          </cell>
          <cell r="K848">
            <v>505.78065400000003</v>
          </cell>
          <cell r="L848">
            <v>8.7177500000000006</v>
          </cell>
          <cell r="M848">
            <v>8.8733448070000005</v>
          </cell>
          <cell r="N848" t="str">
            <v/>
          </cell>
          <cell r="O848" t="str">
            <v/>
          </cell>
          <cell r="P848" t="str">
            <v/>
          </cell>
          <cell r="Q848">
            <v>18</v>
          </cell>
          <cell r="R848" t="str">
            <v>UND</v>
          </cell>
          <cell r="S848">
            <v>0</v>
          </cell>
          <cell r="T848">
            <v>0</v>
          </cell>
          <cell r="U848" t="str">
            <v/>
          </cell>
          <cell r="V848" t="str">
            <v>PRO10</v>
          </cell>
          <cell r="W848">
            <v>0</v>
          </cell>
        </row>
        <row r="849">
          <cell r="C849" t="str">
            <v>EUB50Z08C38ACM</v>
          </cell>
          <cell r="D849" t="str">
            <v>PRINC</v>
          </cell>
          <cell r="E849" t="str">
            <v>00016</v>
          </cell>
          <cell r="F849" t="str">
            <v>PIÑONES PLASTICOS</v>
          </cell>
          <cell r="G849" t="str">
            <v>PRINCIPAL</v>
          </cell>
          <cell r="H849">
            <v>46004</v>
          </cell>
          <cell r="I849" t="str">
            <v>SALDO INICIAL</v>
          </cell>
          <cell r="J849">
            <v>21</v>
          </cell>
          <cell r="K849">
            <v>587.76267900000005</v>
          </cell>
          <cell r="L849">
            <v>10.009738</v>
          </cell>
          <cell r="M849">
            <v>27.988699</v>
          </cell>
          <cell r="N849" t="str">
            <v/>
          </cell>
          <cell r="O849" t="str">
            <v/>
          </cell>
          <cell r="P849" t="str">
            <v/>
          </cell>
          <cell r="Q849">
            <v>21</v>
          </cell>
          <cell r="R849" t="str">
            <v>UND</v>
          </cell>
          <cell r="S849">
            <v>0</v>
          </cell>
          <cell r="T849">
            <v>0</v>
          </cell>
          <cell r="U849" t="str">
            <v/>
          </cell>
          <cell r="V849" t="str">
            <v>PRO10</v>
          </cell>
          <cell r="W849">
            <v>0</v>
          </cell>
        </row>
        <row r="850">
          <cell r="C850" t="str">
            <v>EUB50Z10C38ACM</v>
          </cell>
          <cell r="D850" t="str">
            <v>PRINC</v>
          </cell>
          <cell r="E850" t="str">
            <v>00016</v>
          </cell>
          <cell r="F850" t="str">
            <v>PIÑONES PLASTICOS</v>
          </cell>
          <cell r="G850" t="str">
            <v>PRINCIPAL</v>
          </cell>
          <cell r="H850">
            <v>46004</v>
          </cell>
          <cell r="I850" t="str">
            <v>SALDO INICIAL</v>
          </cell>
          <cell r="J850">
            <v>-11</v>
          </cell>
          <cell r="K850">
            <v>-113.79506600000001</v>
          </cell>
          <cell r="L850">
            <v>13.655951</v>
          </cell>
          <cell r="M850">
            <v>10.345006</v>
          </cell>
          <cell r="N850" t="str">
            <v/>
          </cell>
          <cell r="O850" t="str">
            <v/>
          </cell>
          <cell r="P850" t="str">
            <v/>
          </cell>
          <cell r="Q850">
            <v>25</v>
          </cell>
          <cell r="R850" t="str">
            <v>UND</v>
          </cell>
          <cell r="S850">
            <v>0</v>
          </cell>
          <cell r="T850">
            <v>0</v>
          </cell>
          <cell r="U850" t="str">
            <v/>
          </cell>
          <cell r="V850" t="str">
            <v>PRO10</v>
          </cell>
          <cell r="W850">
            <v>0</v>
          </cell>
        </row>
        <row r="851">
          <cell r="C851" t="str">
            <v>EUB50Z12C38ACM</v>
          </cell>
          <cell r="D851" t="str">
            <v>PRINC</v>
          </cell>
          <cell r="E851" t="str">
            <v>00016</v>
          </cell>
          <cell r="F851" t="str">
            <v>PIÑONES PLASTICOS</v>
          </cell>
          <cell r="G851" t="str">
            <v>PRINCIPAL</v>
          </cell>
          <cell r="H851">
            <v>46004</v>
          </cell>
          <cell r="I851" t="str">
            <v>SALDO INICIAL</v>
          </cell>
          <cell r="J851">
            <v>41</v>
          </cell>
          <cell r="K851">
            <v>801.03192999999999</v>
          </cell>
          <cell r="L851">
            <v>13.388747</v>
          </cell>
          <cell r="M851">
            <v>19.537364146000002</v>
          </cell>
          <cell r="N851" t="str">
            <v/>
          </cell>
          <cell r="O851" t="str">
            <v/>
          </cell>
          <cell r="P851" t="str">
            <v/>
          </cell>
          <cell r="Q851">
            <v>26.5</v>
          </cell>
          <cell r="R851" t="str">
            <v>UND</v>
          </cell>
          <cell r="S851">
            <v>0</v>
          </cell>
          <cell r="T851">
            <v>0</v>
          </cell>
          <cell r="U851" t="str">
            <v/>
          </cell>
          <cell r="V851" t="str">
            <v>PRO10</v>
          </cell>
          <cell r="W851">
            <v>0</v>
          </cell>
        </row>
        <row r="852">
          <cell r="C852" t="str">
            <v>EUB50Z16C63ACM</v>
          </cell>
          <cell r="D852" t="str">
            <v>PRINC</v>
          </cell>
          <cell r="E852" t="str">
            <v>00016</v>
          </cell>
          <cell r="F852" t="str">
            <v>PIÑONES PLASTICOS</v>
          </cell>
          <cell r="G852" t="str">
            <v>PRINCIPAL</v>
          </cell>
          <cell r="H852">
            <v>46004</v>
          </cell>
          <cell r="I852" t="str">
            <v>SALDO INICIAL</v>
          </cell>
          <cell r="J852">
            <v>14</v>
          </cell>
          <cell r="K852">
            <v>301.10000200000002</v>
          </cell>
          <cell r="L852">
            <v>20.280101999999999</v>
          </cell>
          <cell r="M852">
            <v>21.507142999999999</v>
          </cell>
          <cell r="N852" t="str">
            <v/>
          </cell>
          <cell r="O852" t="str">
            <v/>
          </cell>
          <cell r="P852" t="str">
            <v/>
          </cell>
          <cell r="Q852">
            <v>34.5</v>
          </cell>
          <cell r="R852" t="str">
            <v>UND</v>
          </cell>
          <cell r="S852">
            <v>0</v>
          </cell>
          <cell r="T852">
            <v>0</v>
          </cell>
          <cell r="U852" t="str">
            <v/>
          </cell>
          <cell r="V852" t="str">
            <v>PRO10</v>
          </cell>
          <cell r="W852">
            <v>0</v>
          </cell>
        </row>
        <row r="853">
          <cell r="C853" t="str">
            <v>EUB50Z10C38PPA</v>
          </cell>
          <cell r="D853" t="str">
            <v>PRINC</v>
          </cell>
          <cell r="E853" t="str">
            <v>00016</v>
          </cell>
          <cell r="F853" t="str">
            <v>PIÑONES PLASTICOS</v>
          </cell>
          <cell r="G853" t="str">
            <v>PRINCIPAL</v>
          </cell>
          <cell r="H853">
            <v>46004</v>
          </cell>
          <cell r="I853" t="str">
            <v>SALDO INICIAL</v>
          </cell>
          <cell r="J853">
            <v>2</v>
          </cell>
          <cell r="K853">
            <v>30.720155999999999</v>
          </cell>
          <cell r="L853">
            <v>12.842301000000001</v>
          </cell>
          <cell r="M853">
            <v>15.360078</v>
          </cell>
          <cell r="N853" t="str">
            <v/>
          </cell>
          <cell r="O853" t="str">
            <v/>
          </cell>
          <cell r="P853" t="str">
            <v/>
          </cell>
          <cell r="Q853">
            <v>25</v>
          </cell>
          <cell r="R853" t="str">
            <v>UND</v>
          </cell>
          <cell r="S853">
            <v>0</v>
          </cell>
          <cell r="T853">
            <v>0</v>
          </cell>
          <cell r="U853" t="str">
            <v/>
          </cell>
          <cell r="V853" t="str">
            <v>PRO10</v>
          </cell>
          <cell r="W853">
            <v>0</v>
          </cell>
        </row>
        <row r="854">
          <cell r="C854" t="str">
            <v>EUC12Z16C25ACB</v>
          </cell>
          <cell r="D854" t="str">
            <v>PRINC</v>
          </cell>
          <cell r="E854" t="str">
            <v>00016</v>
          </cell>
          <cell r="F854" t="str">
            <v>PIÑONES PLASTICOS</v>
          </cell>
          <cell r="G854" t="str">
            <v>PRINCIPAL</v>
          </cell>
          <cell r="H854">
            <v>46004</v>
          </cell>
          <cell r="I854" t="str">
            <v>SALDO INICIAL</v>
          </cell>
          <cell r="J854">
            <v>52</v>
          </cell>
          <cell r="K854">
            <v>307.85486500000002</v>
          </cell>
          <cell r="L854">
            <v>5.9202849999999998</v>
          </cell>
          <cell r="M854">
            <v>5.9202858650000003</v>
          </cell>
          <cell r="N854" t="str">
            <v/>
          </cell>
          <cell r="O854" t="str">
            <v/>
          </cell>
          <cell r="P854" t="str">
            <v/>
          </cell>
          <cell r="Q854">
            <v>13</v>
          </cell>
          <cell r="R854" t="str">
            <v>UND</v>
          </cell>
          <cell r="S854">
            <v>0</v>
          </cell>
          <cell r="T854">
            <v>0</v>
          </cell>
          <cell r="U854" t="str">
            <v/>
          </cell>
          <cell r="V854" t="str">
            <v>PRO10</v>
          </cell>
          <cell r="W854">
            <v>0</v>
          </cell>
        </row>
        <row r="855">
          <cell r="C855" t="str">
            <v>EUC12Z20C40ACB</v>
          </cell>
          <cell r="D855" t="str">
            <v>PRINC</v>
          </cell>
          <cell r="E855" t="str">
            <v>00016</v>
          </cell>
          <cell r="F855" t="str">
            <v>PIÑONES PLASTICOS</v>
          </cell>
          <cell r="G855" t="str">
            <v>PRINCIPAL</v>
          </cell>
          <cell r="H855">
            <v>46004</v>
          </cell>
          <cell r="I855" t="str">
            <v>SALDO INICIAL</v>
          </cell>
          <cell r="J855">
            <v>16</v>
          </cell>
          <cell r="K855">
            <v>116.295136</v>
          </cell>
          <cell r="L855">
            <v>6.7705710000000003</v>
          </cell>
          <cell r="M855">
            <v>7.268446</v>
          </cell>
          <cell r="N855" t="str">
            <v/>
          </cell>
          <cell r="O855" t="str">
            <v/>
          </cell>
          <cell r="P855" t="str">
            <v/>
          </cell>
          <cell r="Q855">
            <v>15</v>
          </cell>
          <cell r="R855" t="str">
            <v>UND</v>
          </cell>
          <cell r="S855">
            <v>0</v>
          </cell>
          <cell r="T855">
            <v>0</v>
          </cell>
          <cell r="U855" t="str">
            <v/>
          </cell>
          <cell r="V855" t="str">
            <v>PRO10</v>
          </cell>
          <cell r="W855">
            <v>0</v>
          </cell>
        </row>
        <row r="856">
          <cell r="C856" t="str">
            <v>EUC12Z26RCH26AC</v>
          </cell>
          <cell r="D856" t="str">
            <v>PRINC</v>
          </cell>
          <cell r="E856" t="str">
            <v>00016</v>
          </cell>
          <cell r="F856" t="str">
            <v>PIÑONES PLASTICOS</v>
          </cell>
          <cell r="G856" t="str">
            <v>PRINCIPAL</v>
          </cell>
          <cell r="H856">
            <v>46004</v>
          </cell>
          <cell r="I856" t="str">
            <v>SALDO INICIAL</v>
          </cell>
          <cell r="J856">
            <v>10</v>
          </cell>
          <cell r="K856">
            <v>106.2</v>
          </cell>
          <cell r="L856">
            <v>10.62</v>
          </cell>
          <cell r="M856">
            <v>10.62</v>
          </cell>
          <cell r="N856" t="str">
            <v/>
          </cell>
          <cell r="O856" t="str">
            <v/>
          </cell>
          <cell r="P856" t="str">
            <v/>
          </cell>
          <cell r="Q856">
            <v>18</v>
          </cell>
          <cell r="R856" t="str">
            <v>UND</v>
          </cell>
          <cell r="S856">
            <v>0</v>
          </cell>
          <cell r="T856">
            <v>0</v>
          </cell>
          <cell r="U856" t="str">
            <v/>
          </cell>
          <cell r="V856" t="str">
            <v>PRO10</v>
          </cell>
          <cell r="W856">
            <v>0</v>
          </cell>
        </row>
        <row r="857">
          <cell r="C857" t="str">
            <v>EUC12Z31C40ACB</v>
          </cell>
          <cell r="D857" t="str">
            <v>PRINC</v>
          </cell>
          <cell r="E857" t="str">
            <v>00016</v>
          </cell>
          <cell r="F857" t="str">
            <v>PIÑONES PLASTICOS</v>
          </cell>
          <cell r="G857" t="str">
            <v>PRINCIPAL</v>
          </cell>
          <cell r="H857">
            <v>46004</v>
          </cell>
          <cell r="I857" t="str">
            <v>SALDO INICIAL</v>
          </cell>
          <cell r="J857">
            <v>50</v>
          </cell>
          <cell r="K857">
            <v>434.94</v>
          </cell>
          <cell r="L857">
            <v>0</v>
          </cell>
          <cell r="M857">
            <v>8.6988000000000003</v>
          </cell>
          <cell r="N857" t="str">
            <v/>
          </cell>
          <cell r="O857" t="str">
            <v/>
          </cell>
          <cell r="P857" t="str">
            <v/>
          </cell>
          <cell r="Q857">
            <v>0</v>
          </cell>
          <cell r="R857" t="str">
            <v>UND</v>
          </cell>
          <cell r="S857">
            <v>0</v>
          </cell>
          <cell r="T857">
            <v>0</v>
          </cell>
          <cell r="U857" t="str">
            <v/>
          </cell>
          <cell r="V857" t="str">
            <v>PRO10</v>
          </cell>
          <cell r="W857">
            <v>0</v>
          </cell>
        </row>
        <row r="858">
          <cell r="C858" t="str">
            <v>EUC12Z31RCH40AC</v>
          </cell>
          <cell r="D858" t="str">
            <v>PRINC</v>
          </cell>
          <cell r="E858" t="str">
            <v>00016</v>
          </cell>
          <cell r="F858" t="str">
            <v>PIÑONES PLASTICOS</v>
          </cell>
          <cell r="G858" t="str">
            <v>PRINCIPAL</v>
          </cell>
          <cell r="H858">
            <v>46004</v>
          </cell>
          <cell r="I858" t="str">
            <v>SALDO INICIAL</v>
          </cell>
          <cell r="J858">
            <v>10</v>
          </cell>
          <cell r="K858">
            <v>169.547</v>
          </cell>
          <cell r="L858">
            <v>0</v>
          </cell>
          <cell r="M858">
            <v>16.954699999999999</v>
          </cell>
          <cell r="N858" t="str">
            <v/>
          </cell>
          <cell r="O858" t="str">
            <v/>
          </cell>
          <cell r="P858" t="str">
            <v/>
          </cell>
          <cell r="Q858">
            <v>21.5</v>
          </cell>
          <cell r="R858" t="str">
            <v>UND</v>
          </cell>
          <cell r="S858">
            <v>0</v>
          </cell>
          <cell r="T858">
            <v>0</v>
          </cell>
          <cell r="U858" t="str">
            <v/>
          </cell>
          <cell r="V858" t="str">
            <v>PRO10</v>
          </cell>
          <cell r="W858">
            <v>0</v>
          </cell>
        </row>
        <row r="859">
          <cell r="C859" t="str">
            <v>EUC12Z20C38ACM</v>
          </cell>
          <cell r="D859" t="str">
            <v>PRINC</v>
          </cell>
          <cell r="E859" t="str">
            <v>00016</v>
          </cell>
          <cell r="F859" t="str">
            <v>PIÑONES PLASTICOS</v>
          </cell>
          <cell r="G859" t="str">
            <v>PRINCIPAL</v>
          </cell>
          <cell r="H859">
            <v>46004</v>
          </cell>
          <cell r="I859" t="str">
            <v>SALDO INICIAL</v>
          </cell>
          <cell r="J859">
            <v>76</v>
          </cell>
          <cell r="K859">
            <v>532.16226300000005</v>
          </cell>
          <cell r="L859">
            <v>7.0186330000000003</v>
          </cell>
          <cell r="M859">
            <v>7.0021350389999997</v>
          </cell>
          <cell r="N859" t="str">
            <v/>
          </cell>
          <cell r="O859" t="str">
            <v/>
          </cell>
          <cell r="P859" t="str">
            <v/>
          </cell>
          <cell r="Q859">
            <v>15</v>
          </cell>
          <cell r="R859" t="str">
            <v>UND</v>
          </cell>
          <cell r="S859">
            <v>0</v>
          </cell>
          <cell r="T859">
            <v>0</v>
          </cell>
          <cell r="U859" t="str">
            <v/>
          </cell>
          <cell r="V859" t="str">
            <v>PRO10</v>
          </cell>
          <cell r="W859">
            <v>0</v>
          </cell>
        </row>
        <row r="860">
          <cell r="C860" t="str">
            <v>EUC12Z26C38ACM</v>
          </cell>
          <cell r="D860" t="str">
            <v>PRINC</v>
          </cell>
          <cell r="E860" t="str">
            <v>00016</v>
          </cell>
          <cell r="F860" t="str">
            <v>PIÑONES PLASTICOS</v>
          </cell>
          <cell r="G860" t="str">
            <v>PRINCIPAL</v>
          </cell>
          <cell r="H860">
            <v>46004</v>
          </cell>
          <cell r="I860" t="str">
            <v>SALDO INICIAL</v>
          </cell>
          <cell r="J860">
            <v>65</v>
          </cell>
          <cell r="K860">
            <v>539.73180400000001</v>
          </cell>
          <cell r="L860">
            <v>8.1681819999999998</v>
          </cell>
          <cell r="M860">
            <v>8.303566215</v>
          </cell>
          <cell r="N860" t="str">
            <v/>
          </cell>
          <cell r="O860" t="str">
            <v/>
          </cell>
          <cell r="P860" t="str">
            <v/>
          </cell>
          <cell r="Q860">
            <v>18</v>
          </cell>
          <cell r="R860" t="str">
            <v>UND</v>
          </cell>
          <cell r="S860">
            <v>0</v>
          </cell>
          <cell r="T860">
            <v>0</v>
          </cell>
          <cell r="U860" t="str">
            <v/>
          </cell>
          <cell r="V860" t="str">
            <v>PRO10</v>
          </cell>
          <cell r="W860">
            <v>0</v>
          </cell>
        </row>
        <row r="861">
          <cell r="C861" t="str">
            <v>EUC12Z31C38ACM</v>
          </cell>
          <cell r="D861" t="str">
            <v>PRINC</v>
          </cell>
          <cell r="E861" t="str">
            <v>00016</v>
          </cell>
          <cell r="F861" t="str">
            <v>PIÑONES PLASTICOS</v>
          </cell>
          <cell r="G861" t="str">
            <v>PRINCIPAL</v>
          </cell>
          <cell r="H861">
            <v>46004</v>
          </cell>
          <cell r="I861" t="str">
            <v>SALDO INICIAL</v>
          </cell>
          <cell r="J861">
            <v>0</v>
          </cell>
          <cell r="K861">
            <v>85.653063000000003</v>
          </cell>
          <cell r="L861">
            <v>8.1033200000000001</v>
          </cell>
          <cell r="M861">
            <v>0</v>
          </cell>
          <cell r="N861" t="str">
            <v/>
          </cell>
          <cell r="O861" t="str">
            <v/>
          </cell>
          <cell r="P861" t="str">
            <v/>
          </cell>
          <cell r="Q861">
            <v>20</v>
          </cell>
          <cell r="R861" t="str">
            <v>UND</v>
          </cell>
          <cell r="S861">
            <v>0</v>
          </cell>
          <cell r="T861">
            <v>0</v>
          </cell>
          <cell r="U861" t="str">
            <v/>
          </cell>
          <cell r="V861" t="str">
            <v>PRO10</v>
          </cell>
          <cell r="W861">
            <v>0</v>
          </cell>
        </row>
        <row r="862">
          <cell r="C862" t="str">
            <v>EUC12Z40C38ACM</v>
          </cell>
          <cell r="D862" t="str">
            <v>PRINC</v>
          </cell>
          <cell r="E862" t="str">
            <v>00016</v>
          </cell>
          <cell r="F862" t="str">
            <v>PIÑONES PLASTICOS</v>
          </cell>
          <cell r="G862" t="str">
            <v>PRINCIPAL</v>
          </cell>
          <cell r="H862">
            <v>46004</v>
          </cell>
          <cell r="I862" t="str">
            <v>SALDO INICIAL</v>
          </cell>
          <cell r="J862">
            <v>20</v>
          </cell>
          <cell r="K862">
            <v>236.021783</v>
          </cell>
          <cell r="L862">
            <v>9.2499610000000008</v>
          </cell>
          <cell r="M862">
            <v>11.801089149999999</v>
          </cell>
          <cell r="N862" t="str">
            <v/>
          </cell>
          <cell r="O862" t="str">
            <v/>
          </cell>
          <cell r="P862" t="str">
            <v/>
          </cell>
          <cell r="Q862">
            <v>25</v>
          </cell>
          <cell r="R862" t="str">
            <v>UND</v>
          </cell>
          <cell r="S862">
            <v>0</v>
          </cell>
          <cell r="T862">
            <v>0</v>
          </cell>
          <cell r="U862" t="str">
            <v/>
          </cell>
          <cell r="V862" t="str">
            <v>PRO10</v>
          </cell>
          <cell r="W862">
            <v>0</v>
          </cell>
        </row>
        <row r="863">
          <cell r="C863" t="str">
            <v>EUE20Z08C20ACB</v>
          </cell>
          <cell r="D863" t="str">
            <v>PRINC</v>
          </cell>
          <cell r="E863" t="str">
            <v>00016</v>
          </cell>
          <cell r="F863" t="str">
            <v>PIÑONES PLASTICOS</v>
          </cell>
          <cell r="G863" t="str">
            <v>PRINCIPAL</v>
          </cell>
          <cell r="H863">
            <v>46004</v>
          </cell>
          <cell r="I863" t="str">
            <v>SALDO INICIAL</v>
          </cell>
          <cell r="J863">
            <v>52</v>
          </cell>
          <cell r="K863">
            <v>346.929216</v>
          </cell>
          <cell r="L863">
            <v>5.3096069999999997</v>
          </cell>
          <cell r="M863">
            <v>6.6717156920000003</v>
          </cell>
          <cell r="N863" t="str">
            <v/>
          </cell>
          <cell r="O863" t="str">
            <v/>
          </cell>
          <cell r="P863" t="str">
            <v/>
          </cell>
          <cell r="Q863">
            <v>13</v>
          </cell>
          <cell r="R863" t="str">
            <v>UND</v>
          </cell>
          <cell r="S863">
            <v>0</v>
          </cell>
          <cell r="T863">
            <v>0</v>
          </cell>
          <cell r="U863" t="str">
            <v/>
          </cell>
          <cell r="V863" t="str">
            <v>PRO10</v>
          </cell>
          <cell r="W863">
            <v>0</v>
          </cell>
        </row>
        <row r="864">
          <cell r="C864" t="str">
            <v>EUE20Z24C40ACB</v>
          </cell>
          <cell r="D864" t="str">
            <v>PRINC</v>
          </cell>
          <cell r="E864" t="str">
            <v>00016</v>
          </cell>
          <cell r="F864" t="str">
            <v>PIÑONES PLASTICOS</v>
          </cell>
          <cell r="G864" t="str">
            <v>PRINCIPAL</v>
          </cell>
          <cell r="H864">
            <v>46004</v>
          </cell>
          <cell r="I864" t="str">
            <v>SALDO INICIAL</v>
          </cell>
          <cell r="J864">
            <v>30</v>
          </cell>
          <cell r="K864">
            <v>335.58999</v>
          </cell>
          <cell r="L864">
            <v>0</v>
          </cell>
          <cell r="M864">
            <v>11.186332999999999</v>
          </cell>
          <cell r="N864" t="str">
            <v/>
          </cell>
          <cell r="O864" t="str">
            <v/>
          </cell>
          <cell r="P864" t="str">
            <v/>
          </cell>
          <cell r="Q864">
            <v>0</v>
          </cell>
          <cell r="R864" t="str">
            <v>UND</v>
          </cell>
          <cell r="S864">
            <v>0</v>
          </cell>
          <cell r="T864">
            <v>0</v>
          </cell>
          <cell r="U864" t="str">
            <v/>
          </cell>
          <cell r="V864" t="str">
            <v>PRO10</v>
          </cell>
          <cell r="W864">
            <v>0</v>
          </cell>
        </row>
        <row r="865">
          <cell r="C865" t="str">
            <v>EUE20Z16C38ACM</v>
          </cell>
          <cell r="D865" t="str">
            <v>PRINC</v>
          </cell>
          <cell r="E865" t="str">
            <v>00016</v>
          </cell>
          <cell r="F865" t="str">
            <v>PIÑONES PLASTICOS</v>
          </cell>
          <cell r="G865" t="str">
            <v>PRINCIPAL</v>
          </cell>
          <cell r="H865">
            <v>46004</v>
          </cell>
          <cell r="I865" t="str">
            <v>SALDO INICIAL</v>
          </cell>
          <cell r="J865">
            <v>7</v>
          </cell>
          <cell r="K865">
            <v>98.701803999999996</v>
          </cell>
          <cell r="L865">
            <v>7.5109339999999998</v>
          </cell>
          <cell r="M865">
            <v>14.100257714</v>
          </cell>
          <cell r="N865" t="str">
            <v/>
          </cell>
          <cell r="O865" t="str">
            <v/>
          </cell>
          <cell r="P865" t="str">
            <v/>
          </cell>
          <cell r="Q865">
            <v>18</v>
          </cell>
          <cell r="R865" t="str">
            <v>UND</v>
          </cell>
          <cell r="S865">
            <v>0</v>
          </cell>
          <cell r="T865">
            <v>0</v>
          </cell>
          <cell r="U865" t="str">
            <v/>
          </cell>
          <cell r="V865" t="str">
            <v>PRO10</v>
          </cell>
          <cell r="W865">
            <v>0</v>
          </cell>
        </row>
        <row r="866">
          <cell r="C866" t="str">
            <v>EUE20Z24C38ACM</v>
          </cell>
          <cell r="D866" t="str">
            <v>PRINC</v>
          </cell>
          <cell r="E866" t="str">
            <v>00016</v>
          </cell>
          <cell r="F866" t="str">
            <v>PIÑONES PLASTICOS</v>
          </cell>
          <cell r="G866" t="str">
            <v>PRINCIPAL</v>
          </cell>
          <cell r="H866">
            <v>46004</v>
          </cell>
          <cell r="I866" t="str">
            <v>SALDO INICIAL</v>
          </cell>
          <cell r="J866">
            <v>9</v>
          </cell>
          <cell r="K866">
            <v>94.727369999999993</v>
          </cell>
          <cell r="L866">
            <v>10.525263000000001</v>
          </cell>
          <cell r="M866">
            <v>10.525263333</v>
          </cell>
          <cell r="N866" t="str">
            <v/>
          </cell>
          <cell r="O866" t="str">
            <v/>
          </cell>
          <cell r="P866" t="str">
            <v/>
          </cell>
          <cell r="Q866">
            <v>0</v>
          </cell>
          <cell r="R866" t="str">
            <v>UND</v>
          </cell>
          <cell r="S866">
            <v>0</v>
          </cell>
          <cell r="T866">
            <v>0</v>
          </cell>
          <cell r="U866" t="str">
            <v/>
          </cell>
          <cell r="V866" t="str">
            <v>PRO10</v>
          </cell>
          <cell r="W866">
            <v>0</v>
          </cell>
        </row>
        <row r="867">
          <cell r="C867" t="str">
            <v>EUE30Z06C25ACB</v>
          </cell>
          <cell r="D867" t="str">
            <v>PRINC</v>
          </cell>
          <cell r="E867" t="str">
            <v>00016</v>
          </cell>
          <cell r="F867" t="str">
            <v>PIÑONES PLASTICOS</v>
          </cell>
          <cell r="G867" t="str">
            <v>PRINCIPAL</v>
          </cell>
          <cell r="H867">
            <v>46004</v>
          </cell>
          <cell r="I867" t="str">
            <v>SALDO INICIAL</v>
          </cell>
          <cell r="J867">
            <v>58</v>
          </cell>
          <cell r="K867">
            <v>384.55420199999998</v>
          </cell>
          <cell r="L867">
            <v>5.1843539999999999</v>
          </cell>
          <cell r="M867">
            <v>6.6302448619999996</v>
          </cell>
          <cell r="N867" t="str">
            <v/>
          </cell>
          <cell r="O867" t="str">
            <v/>
          </cell>
          <cell r="P867" t="str">
            <v/>
          </cell>
          <cell r="Q867">
            <v>15</v>
          </cell>
          <cell r="R867" t="str">
            <v>UND</v>
          </cell>
          <cell r="S867">
            <v>0</v>
          </cell>
          <cell r="T867">
            <v>0</v>
          </cell>
          <cell r="U867" t="str">
            <v/>
          </cell>
          <cell r="V867" t="str">
            <v>PRO10</v>
          </cell>
          <cell r="W867">
            <v>0</v>
          </cell>
        </row>
        <row r="868">
          <cell r="C868" t="str">
            <v>EUE30Z09R26ACB</v>
          </cell>
          <cell r="D868" t="str">
            <v>PRINC</v>
          </cell>
          <cell r="E868" t="str">
            <v>00016</v>
          </cell>
          <cell r="F868" t="str">
            <v>PIÑONES PLASTICOS</v>
          </cell>
          <cell r="G868" t="str">
            <v>PRINCIPAL</v>
          </cell>
          <cell r="H868">
            <v>46004</v>
          </cell>
          <cell r="I868" t="str">
            <v>SALDO INICIAL</v>
          </cell>
          <cell r="J868">
            <v>15</v>
          </cell>
          <cell r="K868">
            <v>122.95938700000001</v>
          </cell>
          <cell r="L868">
            <v>8.1553850000000008</v>
          </cell>
          <cell r="M868">
            <v>8.1972924670000005</v>
          </cell>
          <cell r="N868" t="str">
            <v/>
          </cell>
          <cell r="O868" t="str">
            <v/>
          </cell>
          <cell r="P868" t="str">
            <v/>
          </cell>
          <cell r="Q868">
            <v>16</v>
          </cell>
          <cell r="R868" t="str">
            <v>UND</v>
          </cell>
          <cell r="S868">
            <v>0</v>
          </cell>
          <cell r="T868">
            <v>0</v>
          </cell>
          <cell r="U868" t="str">
            <v/>
          </cell>
          <cell r="V868" t="str">
            <v>PRO10</v>
          </cell>
          <cell r="W868">
            <v>0</v>
          </cell>
        </row>
        <row r="869">
          <cell r="C869" t="str">
            <v>EUE30Z09RCH26AC</v>
          </cell>
          <cell r="D869" t="str">
            <v>PRINC</v>
          </cell>
          <cell r="E869" t="str">
            <v>00016</v>
          </cell>
          <cell r="F869" t="str">
            <v>PIÑONES PLASTICOS</v>
          </cell>
          <cell r="G869" t="str">
            <v>PRINCIPAL</v>
          </cell>
          <cell r="H869">
            <v>46004</v>
          </cell>
          <cell r="I869" t="str">
            <v>SALDO INICIAL</v>
          </cell>
          <cell r="J869">
            <v>0</v>
          </cell>
          <cell r="K869">
            <v>-11.948454</v>
          </cell>
          <cell r="L869">
            <v>15</v>
          </cell>
          <cell r="M869">
            <v>0</v>
          </cell>
          <cell r="N869" t="str">
            <v/>
          </cell>
          <cell r="O869" t="str">
            <v/>
          </cell>
          <cell r="P869" t="str">
            <v/>
          </cell>
          <cell r="Q869">
            <v>18</v>
          </cell>
          <cell r="R869" t="str">
            <v>UND</v>
          </cell>
          <cell r="S869">
            <v>0</v>
          </cell>
          <cell r="T869">
            <v>0</v>
          </cell>
          <cell r="U869" t="str">
            <v/>
          </cell>
          <cell r="V869" t="str">
            <v>PRO10</v>
          </cell>
          <cell r="W869">
            <v>0</v>
          </cell>
        </row>
        <row r="870">
          <cell r="C870" t="str">
            <v>EUE30Z09RCH25AC</v>
          </cell>
          <cell r="D870" t="str">
            <v>PRINC</v>
          </cell>
          <cell r="E870" t="str">
            <v>00016</v>
          </cell>
          <cell r="F870" t="str">
            <v>PIÑONES PLASTICOS</v>
          </cell>
          <cell r="G870" t="str">
            <v>PRINCIPAL</v>
          </cell>
          <cell r="H870">
            <v>46004</v>
          </cell>
          <cell r="I870" t="str">
            <v>SALDO INICIAL</v>
          </cell>
          <cell r="J870">
            <v>17</v>
          </cell>
          <cell r="K870">
            <v>228.334115</v>
          </cell>
          <cell r="L870">
            <v>13.431419</v>
          </cell>
          <cell r="M870">
            <v>13.431418529</v>
          </cell>
          <cell r="N870" t="str">
            <v/>
          </cell>
          <cell r="O870" t="str">
            <v/>
          </cell>
          <cell r="P870" t="str">
            <v/>
          </cell>
          <cell r="Q870">
            <v>18</v>
          </cell>
          <cell r="R870" t="str">
            <v>UND</v>
          </cell>
          <cell r="S870">
            <v>0</v>
          </cell>
          <cell r="T870">
            <v>0</v>
          </cell>
          <cell r="U870" t="str">
            <v/>
          </cell>
          <cell r="V870" t="str">
            <v>PRO10</v>
          </cell>
          <cell r="W870">
            <v>0</v>
          </cell>
        </row>
        <row r="871">
          <cell r="C871" t="str">
            <v>EUE30Z11C40ACB</v>
          </cell>
          <cell r="D871" t="str">
            <v>PRINC</v>
          </cell>
          <cell r="E871" t="str">
            <v>00016</v>
          </cell>
          <cell r="F871" t="str">
            <v>PIÑONES PLASTICOS</v>
          </cell>
          <cell r="G871" t="str">
            <v>PRINCIPAL</v>
          </cell>
          <cell r="H871">
            <v>46004</v>
          </cell>
          <cell r="I871" t="str">
            <v>SALDO INICIAL</v>
          </cell>
          <cell r="J871">
            <v>34</v>
          </cell>
          <cell r="K871">
            <v>310.24169799999999</v>
          </cell>
          <cell r="L871">
            <v>8.7431400000000004</v>
          </cell>
          <cell r="M871">
            <v>9.1247558239999993</v>
          </cell>
          <cell r="N871" t="str">
            <v/>
          </cell>
          <cell r="O871" t="str">
            <v/>
          </cell>
          <cell r="P871" t="str">
            <v/>
          </cell>
          <cell r="Q871">
            <v>18</v>
          </cell>
          <cell r="R871" t="str">
            <v>UND</v>
          </cell>
          <cell r="S871">
            <v>0</v>
          </cell>
          <cell r="T871">
            <v>0</v>
          </cell>
          <cell r="U871" t="str">
            <v/>
          </cell>
          <cell r="V871" t="str">
            <v>PRO10</v>
          </cell>
          <cell r="W871">
            <v>0</v>
          </cell>
        </row>
        <row r="872">
          <cell r="C872" t="str">
            <v>EUE30Z11R254ACB</v>
          </cell>
          <cell r="D872" t="str">
            <v>PRINC</v>
          </cell>
          <cell r="E872" t="str">
            <v>00016</v>
          </cell>
          <cell r="F872" t="str">
            <v>PIÑONES PLASTICOS</v>
          </cell>
          <cell r="G872" t="str">
            <v>PRINCIPAL</v>
          </cell>
          <cell r="H872">
            <v>46004</v>
          </cell>
          <cell r="I872" t="str">
            <v>SALDO INICIAL</v>
          </cell>
          <cell r="J872">
            <v>0</v>
          </cell>
          <cell r="K872">
            <v>12.669098999999999</v>
          </cell>
          <cell r="L872">
            <v>7.7792289999999999</v>
          </cell>
          <cell r="M872">
            <v>0</v>
          </cell>
          <cell r="N872" t="str">
            <v/>
          </cell>
          <cell r="O872" t="str">
            <v/>
          </cell>
          <cell r="P872" t="str">
            <v/>
          </cell>
          <cell r="Q872">
            <v>18</v>
          </cell>
          <cell r="R872" t="str">
            <v>UND</v>
          </cell>
          <cell r="S872">
            <v>0</v>
          </cell>
          <cell r="T872">
            <v>0</v>
          </cell>
          <cell r="U872" t="str">
            <v/>
          </cell>
          <cell r="V872" t="str">
            <v>PRO10</v>
          </cell>
          <cell r="W872">
            <v>0</v>
          </cell>
        </row>
        <row r="873">
          <cell r="C873" t="str">
            <v>EUE30Z11RCH24AC</v>
          </cell>
          <cell r="D873" t="str">
            <v>PRINC</v>
          </cell>
          <cell r="E873" t="str">
            <v>00016</v>
          </cell>
          <cell r="F873" t="str">
            <v>PIÑONES PLASTICOS</v>
          </cell>
          <cell r="G873" t="str">
            <v>PRINCIPAL</v>
          </cell>
          <cell r="H873">
            <v>46004</v>
          </cell>
          <cell r="I873" t="str">
            <v>SALDO INICIAL</v>
          </cell>
          <cell r="J873">
            <v>0</v>
          </cell>
          <cell r="K873">
            <v>8.2662990000000001</v>
          </cell>
          <cell r="L873">
            <v>9.6625270000000008</v>
          </cell>
          <cell r="M873">
            <v>0</v>
          </cell>
          <cell r="N873" t="str">
            <v/>
          </cell>
          <cell r="O873" t="str">
            <v/>
          </cell>
          <cell r="P873" t="str">
            <v/>
          </cell>
          <cell r="Q873">
            <v>21</v>
          </cell>
          <cell r="R873" t="str">
            <v>UND</v>
          </cell>
          <cell r="S873">
            <v>0</v>
          </cell>
          <cell r="T873">
            <v>0</v>
          </cell>
          <cell r="U873" t="str">
            <v/>
          </cell>
          <cell r="V873" t="str">
            <v>PRO10</v>
          </cell>
          <cell r="W873">
            <v>0</v>
          </cell>
        </row>
        <row r="874">
          <cell r="C874" t="str">
            <v>EUE30Z16C38ACB</v>
          </cell>
          <cell r="D874" t="str">
            <v>PRINC</v>
          </cell>
          <cell r="E874" t="str">
            <v>00016</v>
          </cell>
          <cell r="F874" t="str">
            <v>PIÑONES PLASTICOS</v>
          </cell>
          <cell r="G874" t="str">
            <v>PRINCIPAL</v>
          </cell>
          <cell r="H874">
            <v>46004</v>
          </cell>
          <cell r="I874" t="str">
            <v>SALDO INICIAL</v>
          </cell>
          <cell r="J874">
            <v>10</v>
          </cell>
          <cell r="K874">
            <v>153.86751000000001</v>
          </cell>
          <cell r="L874">
            <v>0</v>
          </cell>
          <cell r="M874">
            <v>15.386751</v>
          </cell>
          <cell r="N874" t="str">
            <v/>
          </cell>
          <cell r="O874" t="str">
            <v/>
          </cell>
          <cell r="P874" t="str">
            <v/>
          </cell>
          <cell r="Q874">
            <v>0</v>
          </cell>
          <cell r="R874" t="str">
            <v>UND</v>
          </cell>
          <cell r="S874">
            <v>0</v>
          </cell>
          <cell r="T874">
            <v>0</v>
          </cell>
          <cell r="U874" t="str">
            <v/>
          </cell>
          <cell r="V874" t="str">
            <v>PRO10</v>
          </cell>
          <cell r="W874">
            <v>0</v>
          </cell>
        </row>
        <row r="875">
          <cell r="C875" t="str">
            <v>EUE30Z16C40ACB</v>
          </cell>
          <cell r="D875" t="str">
            <v>PRINC</v>
          </cell>
          <cell r="E875" t="str">
            <v>00016</v>
          </cell>
          <cell r="F875" t="str">
            <v>PIÑONES PLASTICOS</v>
          </cell>
          <cell r="G875" t="str">
            <v>PRINCIPAL</v>
          </cell>
          <cell r="H875">
            <v>46004</v>
          </cell>
          <cell r="I875" t="str">
            <v>SALDO INICIAL</v>
          </cell>
          <cell r="J875">
            <v>12</v>
          </cell>
          <cell r="K875">
            <v>168.50385</v>
          </cell>
          <cell r="L875">
            <v>11.812531</v>
          </cell>
          <cell r="M875">
            <v>14.041987499999999</v>
          </cell>
          <cell r="N875" t="str">
            <v/>
          </cell>
          <cell r="O875" t="str">
            <v/>
          </cell>
          <cell r="P875" t="str">
            <v/>
          </cell>
          <cell r="Q875">
            <v>25</v>
          </cell>
          <cell r="R875" t="str">
            <v>UND</v>
          </cell>
          <cell r="S875">
            <v>0</v>
          </cell>
          <cell r="T875">
            <v>0</v>
          </cell>
          <cell r="U875" t="str">
            <v/>
          </cell>
          <cell r="V875" t="str">
            <v>PRO10</v>
          </cell>
          <cell r="W875">
            <v>0</v>
          </cell>
        </row>
        <row r="876">
          <cell r="C876" t="str">
            <v>EUE30Z16C60ACB</v>
          </cell>
          <cell r="D876" t="str">
            <v>PRINC</v>
          </cell>
          <cell r="E876" t="str">
            <v>00016</v>
          </cell>
          <cell r="F876" t="str">
            <v>PIÑONES PLASTICOS</v>
          </cell>
          <cell r="G876" t="str">
            <v>PRINCIPAL</v>
          </cell>
          <cell r="H876">
            <v>46004</v>
          </cell>
          <cell r="I876" t="str">
            <v>SALDO INICIAL</v>
          </cell>
          <cell r="J876">
            <v>8</v>
          </cell>
          <cell r="K876">
            <v>98.353999999999999</v>
          </cell>
          <cell r="L876">
            <v>12.29425</v>
          </cell>
          <cell r="M876">
            <v>12.29425</v>
          </cell>
          <cell r="N876" t="str">
            <v/>
          </cell>
          <cell r="O876" t="str">
            <v/>
          </cell>
          <cell r="P876" t="str">
            <v/>
          </cell>
          <cell r="Q876">
            <v>25</v>
          </cell>
          <cell r="R876" t="str">
            <v>UND</v>
          </cell>
          <cell r="S876">
            <v>0</v>
          </cell>
          <cell r="T876">
            <v>0</v>
          </cell>
          <cell r="U876" t="str">
            <v/>
          </cell>
          <cell r="V876" t="str">
            <v>PRO10</v>
          </cell>
          <cell r="W876">
            <v>0</v>
          </cell>
        </row>
        <row r="877">
          <cell r="C877" t="str">
            <v>EUE30Z16R254ACB</v>
          </cell>
          <cell r="D877" t="str">
            <v>PRINC</v>
          </cell>
          <cell r="E877" t="str">
            <v>00016</v>
          </cell>
          <cell r="F877" t="str">
            <v>PIÑONES PLASTICOS</v>
          </cell>
          <cell r="G877" t="str">
            <v>PRINCIPAL</v>
          </cell>
          <cell r="H877">
            <v>46004</v>
          </cell>
          <cell r="I877" t="str">
            <v>SALDO INICIAL</v>
          </cell>
          <cell r="J877">
            <v>3</v>
          </cell>
          <cell r="K877">
            <v>35.013998999999998</v>
          </cell>
          <cell r="L877">
            <v>11.671333000000001</v>
          </cell>
          <cell r="M877">
            <v>11.671333000000001</v>
          </cell>
          <cell r="N877" t="str">
            <v/>
          </cell>
          <cell r="O877" t="str">
            <v/>
          </cell>
          <cell r="P877" t="str">
            <v/>
          </cell>
          <cell r="Q877">
            <v>25</v>
          </cell>
          <cell r="R877" t="str">
            <v>UND</v>
          </cell>
          <cell r="S877">
            <v>0</v>
          </cell>
          <cell r="T877">
            <v>0</v>
          </cell>
          <cell r="U877" t="str">
            <v/>
          </cell>
          <cell r="V877" t="str">
            <v>PRO10</v>
          </cell>
          <cell r="W877">
            <v>0</v>
          </cell>
        </row>
        <row r="878">
          <cell r="C878" t="str">
            <v>EUE30Z16RCH26AC</v>
          </cell>
          <cell r="D878" t="str">
            <v>PRINC</v>
          </cell>
          <cell r="E878" t="str">
            <v>00016</v>
          </cell>
          <cell r="F878" t="str">
            <v>PIÑONES PLASTICOS</v>
          </cell>
          <cell r="G878" t="str">
            <v>PRINCIPAL</v>
          </cell>
          <cell r="H878">
            <v>46004</v>
          </cell>
          <cell r="I878" t="str">
            <v>SALDO INICIAL</v>
          </cell>
          <cell r="J878">
            <v>12</v>
          </cell>
          <cell r="K878">
            <v>175.04157799999999</v>
          </cell>
          <cell r="L878">
            <v>15.721912</v>
          </cell>
          <cell r="M878">
            <v>14.586798167</v>
          </cell>
          <cell r="N878" t="str">
            <v/>
          </cell>
          <cell r="O878" t="str">
            <v/>
          </cell>
          <cell r="P878" t="str">
            <v/>
          </cell>
          <cell r="Q878">
            <v>28.3</v>
          </cell>
          <cell r="R878" t="str">
            <v>UND</v>
          </cell>
          <cell r="S878">
            <v>0</v>
          </cell>
          <cell r="T878">
            <v>0</v>
          </cell>
          <cell r="U878" t="str">
            <v/>
          </cell>
          <cell r="V878" t="str">
            <v>PRO10</v>
          </cell>
          <cell r="W878">
            <v>0</v>
          </cell>
        </row>
        <row r="879">
          <cell r="C879" t="str">
            <v>EUE30Z16R381ACB</v>
          </cell>
          <cell r="D879" t="str">
            <v>PRINC</v>
          </cell>
          <cell r="E879" t="str">
            <v>00016</v>
          </cell>
          <cell r="F879" t="str">
            <v>PIÑONES PLASTICOS</v>
          </cell>
          <cell r="G879" t="str">
            <v>PRINCIPAL</v>
          </cell>
          <cell r="H879">
            <v>46004</v>
          </cell>
          <cell r="I879" t="str">
            <v>SALDO INICIAL</v>
          </cell>
          <cell r="J879">
            <v>26</v>
          </cell>
          <cell r="K879">
            <v>296.95023200000003</v>
          </cell>
          <cell r="L879">
            <v>11.140397999999999</v>
          </cell>
          <cell r="M879">
            <v>11.421162769</v>
          </cell>
          <cell r="N879" t="str">
            <v/>
          </cell>
          <cell r="O879" t="str">
            <v/>
          </cell>
          <cell r="P879" t="str">
            <v/>
          </cell>
          <cell r="Q879">
            <v>25</v>
          </cell>
          <cell r="R879" t="str">
            <v>UND</v>
          </cell>
          <cell r="S879">
            <v>0</v>
          </cell>
          <cell r="T879">
            <v>0</v>
          </cell>
          <cell r="U879" t="str">
            <v/>
          </cell>
          <cell r="V879" t="str">
            <v>PRO10</v>
          </cell>
          <cell r="W879">
            <v>0</v>
          </cell>
        </row>
        <row r="880">
          <cell r="C880" t="str">
            <v>EUE30Z16RCH38AC</v>
          </cell>
          <cell r="D880" t="str">
            <v>PRINC</v>
          </cell>
          <cell r="E880" t="str">
            <v>00016</v>
          </cell>
          <cell r="F880" t="str">
            <v>PIÑONES PLASTICOS</v>
          </cell>
          <cell r="G880" t="str">
            <v>PRINCIPAL</v>
          </cell>
          <cell r="H880">
            <v>46004</v>
          </cell>
          <cell r="I880" t="str">
            <v>SALDO INICIAL</v>
          </cell>
          <cell r="J880">
            <v>1</v>
          </cell>
          <cell r="K880">
            <v>30.852260000000001</v>
          </cell>
          <cell r="L880">
            <v>14.046105000000001</v>
          </cell>
          <cell r="M880">
            <v>30.852260000000001</v>
          </cell>
          <cell r="N880" t="str">
            <v/>
          </cell>
          <cell r="O880" t="str">
            <v/>
          </cell>
          <cell r="P880" t="str">
            <v/>
          </cell>
          <cell r="Q880">
            <v>28.3</v>
          </cell>
          <cell r="R880" t="str">
            <v>UND</v>
          </cell>
          <cell r="S880">
            <v>0</v>
          </cell>
          <cell r="T880">
            <v>0</v>
          </cell>
          <cell r="U880" t="str">
            <v/>
          </cell>
          <cell r="V880" t="str">
            <v>PRO10</v>
          </cell>
          <cell r="W880">
            <v>0</v>
          </cell>
        </row>
        <row r="881">
          <cell r="C881" t="str">
            <v>EUE30Z06C254ACM</v>
          </cell>
          <cell r="D881" t="str">
            <v>PRINC</v>
          </cell>
          <cell r="E881" t="str">
            <v>00016</v>
          </cell>
          <cell r="F881" t="str">
            <v>PIÑONES PLASTICOS</v>
          </cell>
          <cell r="G881" t="str">
            <v>PRINCIPAL</v>
          </cell>
          <cell r="H881">
            <v>46004</v>
          </cell>
          <cell r="I881" t="str">
            <v>SALDO INICIAL</v>
          </cell>
          <cell r="J881">
            <v>15</v>
          </cell>
          <cell r="K881">
            <v>94.157032999999998</v>
          </cell>
          <cell r="L881">
            <v>6.3550050000000002</v>
          </cell>
          <cell r="M881">
            <v>6.277135533</v>
          </cell>
          <cell r="N881" t="str">
            <v/>
          </cell>
          <cell r="O881" t="str">
            <v/>
          </cell>
          <cell r="P881" t="str">
            <v/>
          </cell>
          <cell r="Q881">
            <v>13</v>
          </cell>
          <cell r="R881" t="str">
            <v>UND</v>
          </cell>
          <cell r="S881">
            <v>0</v>
          </cell>
          <cell r="T881">
            <v>0</v>
          </cell>
          <cell r="U881" t="str">
            <v/>
          </cell>
          <cell r="V881" t="str">
            <v>PRO10</v>
          </cell>
          <cell r="W881">
            <v>0</v>
          </cell>
        </row>
        <row r="882">
          <cell r="C882" t="str">
            <v>EUE30Z09C38ACM</v>
          </cell>
          <cell r="D882" t="str">
            <v>PRINC</v>
          </cell>
          <cell r="E882" t="str">
            <v>00016</v>
          </cell>
          <cell r="F882" t="str">
            <v>PIÑONES PLASTICOS</v>
          </cell>
          <cell r="G882" t="str">
            <v>PRINCIPAL</v>
          </cell>
          <cell r="H882">
            <v>46004</v>
          </cell>
          <cell r="I882" t="str">
            <v>SALDO INICIAL</v>
          </cell>
          <cell r="J882">
            <v>18</v>
          </cell>
          <cell r="K882">
            <v>167.01243099999999</v>
          </cell>
          <cell r="L882">
            <v>7.2537180000000001</v>
          </cell>
          <cell r="M882">
            <v>9.2784683890000004</v>
          </cell>
          <cell r="N882" t="str">
            <v/>
          </cell>
          <cell r="O882" t="str">
            <v/>
          </cell>
          <cell r="P882" t="str">
            <v/>
          </cell>
          <cell r="Q882">
            <v>16</v>
          </cell>
          <cell r="R882" t="str">
            <v>UND</v>
          </cell>
          <cell r="S882">
            <v>0</v>
          </cell>
          <cell r="T882">
            <v>0</v>
          </cell>
          <cell r="U882" t="str">
            <v/>
          </cell>
          <cell r="V882" t="str">
            <v>PRO10</v>
          </cell>
          <cell r="W882">
            <v>0</v>
          </cell>
        </row>
        <row r="883">
          <cell r="C883" t="str">
            <v>EUE30Z11C38ACM</v>
          </cell>
          <cell r="D883" t="str">
            <v>PRINC</v>
          </cell>
          <cell r="E883" t="str">
            <v>00016</v>
          </cell>
          <cell r="F883" t="str">
            <v>PIÑONES PLASTICOS</v>
          </cell>
          <cell r="G883" t="str">
            <v>PRINCIPAL</v>
          </cell>
          <cell r="H883">
            <v>46004</v>
          </cell>
          <cell r="I883" t="str">
            <v>SALDO INICIAL</v>
          </cell>
          <cell r="J883">
            <v>89</v>
          </cell>
          <cell r="K883">
            <v>1180.7689049999999</v>
          </cell>
          <cell r="L883">
            <v>8.840344</v>
          </cell>
          <cell r="M883">
            <v>13.267066348</v>
          </cell>
          <cell r="N883" t="str">
            <v/>
          </cell>
          <cell r="O883" t="str">
            <v/>
          </cell>
          <cell r="P883" t="str">
            <v/>
          </cell>
          <cell r="Q883">
            <v>18</v>
          </cell>
          <cell r="R883" t="str">
            <v>UND</v>
          </cell>
          <cell r="S883">
            <v>0</v>
          </cell>
          <cell r="T883">
            <v>0</v>
          </cell>
          <cell r="U883" t="str">
            <v/>
          </cell>
          <cell r="V883" t="str">
            <v>PRO10</v>
          </cell>
          <cell r="W883">
            <v>0</v>
          </cell>
        </row>
        <row r="884">
          <cell r="C884" t="str">
            <v>EUE30Z14C38ACM</v>
          </cell>
          <cell r="D884" t="str">
            <v>PRINC</v>
          </cell>
          <cell r="E884" t="str">
            <v>00016</v>
          </cell>
          <cell r="F884" t="str">
            <v>PIÑONES PLASTICOS</v>
          </cell>
          <cell r="G884" t="str">
            <v>PRINCIPAL</v>
          </cell>
          <cell r="H884">
            <v>46004</v>
          </cell>
          <cell r="I884" t="str">
            <v>SALDO INICIAL</v>
          </cell>
          <cell r="J884">
            <v>27</v>
          </cell>
          <cell r="K884">
            <v>237.534066</v>
          </cell>
          <cell r="L884">
            <v>8.7975580000000004</v>
          </cell>
          <cell r="M884">
            <v>8.7975580000000004</v>
          </cell>
          <cell r="N884" t="str">
            <v/>
          </cell>
          <cell r="O884" t="str">
            <v/>
          </cell>
          <cell r="P884" t="str">
            <v/>
          </cell>
          <cell r="Q884">
            <v>21</v>
          </cell>
          <cell r="R884" t="str">
            <v>UND</v>
          </cell>
          <cell r="S884">
            <v>0</v>
          </cell>
          <cell r="T884">
            <v>0</v>
          </cell>
          <cell r="U884" t="str">
            <v/>
          </cell>
          <cell r="V884" t="str">
            <v>PRO10</v>
          </cell>
          <cell r="W884">
            <v>0</v>
          </cell>
        </row>
        <row r="885">
          <cell r="C885" t="str">
            <v>EUE30Z16C38ACM</v>
          </cell>
          <cell r="D885" t="str">
            <v>PRINC</v>
          </cell>
          <cell r="E885" t="str">
            <v>00016</v>
          </cell>
          <cell r="F885" t="str">
            <v>PIÑONES PLASTICOS</v>
          </cell>
          <cell r="G885" t="str">
            <v>PRINCIPAL</v>
          </cell>
          <cell r="H885">
            <v>46004</v>
          </cell>
          <cell r="I885" t="str">
            <v>SALDO INICIAL</v>
          </cell>
          <cell r="J885">
            <v>50</v>
          </cell>
          <cell r="K885">
            <v>1162.1254039999999</v>
          </cell>
          <cell r="L885">
            <v>12.404365</v>
          </cell>
          <cell r="M885">
            <v>23.24250808</v>
          </cell>
          <cell r="N885" t="str">
            <v/>
          </cell>
          <cell r="O885" t="str">
            <v/>
          </cell>
          <cell r="P885" t="str">
            <v/>
          </cell>
          <cell r="Q885">
            <v>25</v>
          </cell>
          <cell r="R885" t="str">
            <v>UND</v>
          </cell>
          <cell r="S885">
            <v>0</v>
          </cell>
          <cell r="T885">
            <v>0</v>
          </cell>
          <cell r="U885" t="str">
            <v/>
          </cell>
          <cell r="V885" t="str">
            <v>PRO10</v>
          </cell>
          <cell r="W885">
            <v>0</v>
          </cell>
        </row>
        <row r="886">
          <cell r="C886" t="str">
            <v>EUE30Z09C38PPA</v>
          </cell>
          <cell r="D886" t="str">
            <v>PRINC</v>
          </cell>
          <cell r="E886" t="str">
            <v>00016</v>
          </cell>
          <cell r="F886" t="str">
            <v>PIÑONES PLASTICOS</v>
          </cell>
          <cell r="G886" t="str">
            <v>PRINCIPAL</v>
          </cell>
          <cell r="H886">
            <v>46004</v>
          </cell>
          <cell r="I886" t="str">
            <v>SALDO INICIAL</v>
          </cell>
          <cell r="J886">
            <v>7</v>
          </cell>
          <cell r="K886">
            <v>48.188141000000002</v>
          </cell>
          <cell r="L886">
            <v>6.8752550000000001</v>
          </cell>
          <cell r="M886">
            <v>6.8840201429999999</v>
          </cell>
          <cell r="N886" t="str">
            <v/>
          </cell>
          <cell r="O886" t="str">
            <v/>
          </cell>
          <cell r="P886" t="str">
            <v/>
          </cell>
          <cell r="Q886">
            <v>13</v>
          </cell>
          <cell r="R886" t="str">
            <v>UND</v>
          </cell>
          <cell r="S886">
            <v>0</v>
          </cell>
          <cell r="T886">
            <v>0</v>
          </cell>
          <cell r="U886" t="str">
            <v/>
          </cell>
          <cell r="V886" t="str">
            <v>PRO10</v>
          </cell>
          <cell r="W886">
            <v>0</v>
          </cell>
        </row>
        <row r="887">
          <cell r="C887" t="str">
            <v>EUE30Z11C38PPA</v>
          </cell>
          <cell r="D887" t="str">
            <v>PRINC</v>
          </cell>
          <cell r="E887" t="str">
            <v>00016</v>
          </cell>
          <cell r="F887" t="str">
            <v>PIÑONES PLASTICOS</v>
          </cell>
          <cell r="G887" t="str">
            <v>PRINCIPAL</v>
          </cell>
          <cell r="H887">
            <v>46004</v>
          </cell>
          <cell r="I887" t="str">
            <v>SALDO INICIAL</v>
          </cell>
          <cell r="J887">
            <v>21</v>
          </cell>
          <cell r="K887">
            <v>169.87855999999999</v>
          </cell>
          <cell r="L887">
            <v>8.0894549999999992</v>
          </cell>
          <cell r="M887">
            <v>8.0894552379999993</v>
          </cell>
          <cell r="N887" t="str">
            <v/>
          </cell>
          <cell r="O887" t="str">
            <v/>
          </cell>
          <cell r="P887" t="str">
            <v/>
          </cell>
          <cell r="Q887">
            <v>16.5</v>
          </cell>
          <cell r="R887" t="str">
            <v>UND</v>
          </cell>
          <cell r="S887">
            <v>0</v>
          </cell>
          <cell r="T887">
            <v>0</v>
          </cell>
          <cell r="U887" t="str">
            <v/>
          </cell>
          <cell r="V887" t="str">
            <v>PRO10</v>
          </cell>
          <cell r="W887">
            <v>0</v>
          </cell>
        </row>
        <row r="888">
          <cell r="C888" t="str">
            <v>EUE30Z20C38PPA</v>
          </cell>
          <cell r="D888" t="str">
            <v>PRINC</v>
          </cell>
          <cell r="E888" t="str">
            <v>00016</v>
          </cell>
          <cell r="F888" t="str">
            <v>PIÑONES PLASTICOS</v>
          </cell>
          <cell r="G888" t="str">
            <v>PRINCIPAL</v>
          </cell>
          <cell r="H888">
            <v>46004</v>
          </cell>
          <cell r="I888" t="str">
            <v>SALDO INICIAL</v>
          </cell>
          <cell r="J888">
            <v>20</v>
          </cell>
          <cell r="K888">
            <v>221.09</v>
          </cell>
          <cell r="L888">
            <v>0</v>
          </cell>
          <cell r="M888">
            <v>11.054500000000001</v>
          </cell>
          <cell r="N888" t="str">
            <v/>
          </cell>
          <cell r="O888" t="str">
            <v/>
          </cell>
          <cell r="P888" t="str">
            <v/>
          </cell>
          <cell r="Q888">
            <v>26.5</v>
          </cell>
          <cell r="R888" t="str">
            <v>UND</v>
          </cell>
          <cell r="S888">
            <v>0</v>
          </cell>
          <cell r="T888">
            <v>0</v>
          </cell>
          <cell r="U888" t="str">
            <v/>
          </cell>
          <cell r="V888" t="str">
            <v>PRO10</v>
          </cell>
          <cell r="W888">
            <v>0</v>
          </cell>
        </row>
        <row r="889">
          <cell r="C889" t="str">
            <v>E40Z08C38ACB</v>
          </cell>
          <cell r="D889" t="str">
            <v>PRINC</v>
          </cell>
          <cell r="E889" t="str">
            <v>00016</v>
          </cell>
          <cell r="F889" t="str">
            <v>PIÑONES PLASTICOS</v>
          </cell>
          <cell r="G889" t="str">
            <v>PRINCIPAL</v>
          </cell>
          <cell r="H889">
            <v>46004</v>
          </cell>
          <cell r="I889" t="str">
            <v>SALDO INICIAL</v>
          </cell>
          <cell r="J889">
            <v>8</v>
          </cell>
          <cell r="K889">
            <v>39.101407999999999</v>
          </cell>
          <cell r="L889">
            <v>4.8876759999999999</v>
          </cell>
          <cell r="M889">
            <v>4.8876759999999999</v>
          </cell>
          <cell r="N889" t="str">
            <v/>
          </cell>
          <cell r="O889" t="str">
            <v/>
          </cell>
          <cell r="P889" t="str">
            <v/>
          </cell>
          <cell r="Q889">
            <v>0</v>
          </cell>
          <cell r="R889" t="str">
            <v>UND</v>
          </cell>
          <cell r="S889">
            <v>0</v>
          </cell>
          <cell r="T889">
            <v>0</v>
          </cell>
          <cell r="U889" t="str">
            <v/>
          </cell>
          <cell r="V889" t="str">
            <v>PRO10</v>
          </cell>
          <cell r="W889">
            <v>0</v>
          </cell>
        </row>
        <row r="890">
          <cell r="C890" t="str">
            <v>EUE40Z13C40ACB</v>
          </cell>
          <cell r="D890" t="str">
            <v>PRINC</v>
          </cell>
          <cell r="E890" t="str">
            <v>00016</v>
          </cell>
          <cell r="F890" t="str">
            <v>PIÑONES PLASTICOS</v>
          </cell>
          <cell r="G890" t="str">
            <v>PRINCIPAL</v>
          </cell>
          <cell r="H890">
            <v>46004</v>
          </cell>
          <cell r="I890" t="str">
            <v>SALDO INICIAL</v>
          </cell>
          <cell r="J890">
            <v>19</v>
          </cell>
          <cell r="K890">
            <v>267.80689999999998</v>
          </cell>
          <cell r="L890">
            <v>14.0951</v>
          </cell>
          <cell r="M890">
            <v>14.0951</v>
          </cell>
          <cell r="N890" t="str">
            <v/>
          </cell>
          <cell r="O890" t="str">
            <v/>
          </cell>
          <cell r="P890" t="str">
            <v/>
          </cell>
          <cell r="Q890">
            <v>25</v>
          </cell>
          <cell r="R890" t="str">
            <v>UND</v>
          </cell>
          <cell r="S890">
            <v>0</v>
          </cell>
          <cell r="T890">
            <v>0</v>
          </cell>
          <cell r="U890" t="str">
            <v/>
          </cell>
          <cell r="V890" t="str">
            <v>PRO10</v>
          </cell>
          <cell r="W890">
            <v>0</v>
          </cell>
        </row>
        <row r="891">
          <cell r="C891" t="str">
            <v>EUE40Z20C60ACB</v>
          </cell>
          <cell r="D891" t="str">
            <v>PRINC</v>
          </cell>
          <cell r="E891" t="str">
            <v>00016</v>
          </cell>
          <cell r="F891" t="str">
            <v>PIÑONES PLASTICOS</v>
          </cell>
          <cell r="G891" t="str">
            <v>PRINCIPAL</v>
          </cell>
          <cell r="H891">
            <v>46004</v>
          </cell>
          <cell r="I891" t="str">
            <v>SALDO INICIAL</v>
          </cell>
          <cell r="J891">
            <v>15</v>
          </cell>
          <cell r="K891">
            <v>299.95000499999998</v>
          </cell>
          <cell r="L891">
            <v>0</v>
          </cell>
          <cell r="M891">
            <v>19.996666999999999</v>
          </cell>
          <cell r="N891" t="str">
            <v/>
          </cell>
          <cell r="O891" t="str">
            <v/>
          </cell>
          <cell r="P891" t="str">
            <v/>
          </cell>
          <cell r="Q891">
            <v>45</v>
          </cell>
          <cell r="R891" t="str">
            <v>UND</v>
          </cell>
          <cell r="S891">
            <v>0</v>
          </cell>
          <cell r="T891">
            <v>0</v>
          </cell>
          <cell r="U891" t="str">
            <v/>
          </cell>
          <cell r="V891" t="str">
            <v>PRO10</v>
          </cell>
          <cell r="W891">
            <v>0</v>
          </cell>
        </row>
        <row r="892">
          <cell r="C892" t="str">
            <v>EUE40Z08C38ACM</v>
          </cell>
          <cell r="D892" t="str">
            <v>PRINC</v>
          </cell>
          <cell r="E892" t="str">
            <v>00016</v>
          </cell>
          <cell r="F892" t="str">
            <v>PIÑONES PLASTICOS</v>
          </cell>
          <cell r="G892" t="str">
            <v>PRINCIPAL</v>
          </cell>
          <cell r="H892">
            <v>46004</v>
          </cell>
          <cell r="I892" t="str">
            <v>SALDO INICIAL</v>
          </cell>
          <cell r="J892">
            <v>25</v>
          </cell>
          <cell r="K892">
            <v>203.392944</v>
          </cell>
          <cell r="L892">
            <v>8.1357180000000007</v>
          </cell>
          <cell r="M892">
            <v>8.1357177600000004</v>
          </cell>
          <cell r="N892" t="str">
            <v/>
          </cell>
          <cell r="O892" t="str">
            <v/>
          </cell>
          <cell r="P892" t="str">
            <v/>
          </cell>
          <cell r="Q892">
            <v>18</v>
          </cell>
          <cell r="R892" t="str">
            <v>UND</v>
          </cell>
          <cell r="S892">
            <v>0</v>
          </cell>
          <cell r="T892">
            <v>0</v>
          </cell>
          <cell r="U892" t="str">
            <v/>
          </cell>
          <cell r="V892" t="str">
            <v>PRO10</v>
          </cell>
          <cell r="W892">
            <v>0</v>
          </cell>
        </row>
        <row r="893">
          <cell r="C893" t="str">
            <v>EUE40Z13C38ACM</v>
          </cell>
          <cell r="D893" t="str">
            <v>PRINC</v>
          </cell>
          <cell r="E893" t="str">
            <v>00016</v>
          </cell>
          <cell r="F893" t="str">
            <v>PIÑONES PLASTICOS</v>
          </cell>
          <cell r="G893" t="str">
            <v>PRINCIPAL</v>
          </cell>
          <cell r="H893">
            <v>46004</v>
          </cell>
          <cell r="I893" t="str">
            <v>SALDO INICIAL</v>
          </cell>
          <cell r="J893">
            <v>12</v>
          </cell>
          <cell r="K893">
            <v>150.45448999999999</v>
          </cell>
          <cell r="L893">
            <v>9.2747209999999995</v>
          </cell>
          <cell r="M893">
            <v>12.537874167</v>
          </cell>
          <cell r="N893" t="str">
            <v/>
          </cell>
          <cell r="O893" t="str">
            <v/>
          </cell>
          <cell r="P893" t="str">
            <v/>
          </cell>
          <cell r="Q893">
            <v>25</v>
          </cell>
          <cell r="R893" t="str">
            <v>UND</v>
          </cell>
          <cell r="S893">
            <v>0</v>
          </cell>
          <cell r="T893">
            <v>0</v>
          </cell>
          <cell r="U893" t="str">
            <v/>
          </cell>
          <cell r="V893" t="str">
            <v>PRO10</v>
          </cell>
          <cell r="W893">
            <v>0</v>
          </cell>
        </row>
        <row r="894">
          <cell r="C894" t="str">
            <v>EUE40Z08C38PPA</v>
          </cell>
          <cell r="D894" t="str">
            <v>PRINC</v>
          </cell>
          <cell r="E894" t="str">
            <v>00016</v>
          </cell>
          <cell r="F894" t="str">
            <v>PIÑONES PLASTICOS</v>
          </cell>
          <cell r="G894" t="str">
            <v>PRINCIPAL</v>
          </cell>
          <cell r="H894">
            <v>46004</v>
          </cell>
          <cell r="I894" t="str">
            <v>SALDO INICIAL</v>
          </cell>
          <cell r="J894">
            <v>16</v>
          </cell>
          <cell r="K894">
            <v>129.176005</v>
          </cell>
          <cell r="L894">
            <v>8.1519999999999992</v>
          </cell>
          <cell r="M894">
            <v>8.0735003130000003</v>
          </cell>
          <cell r="N894" t="str">
            <v/>
          </cell>
          <cell r="O894" t="str">
            <v/>
          </cell>
          <cell r="P894" t="str">
            <v/>
          </cell>
          <cell r="Q894">
            <v>0</v>
          </cell>
          <cell r="R894" t="str">
            <v>UND</v>
          </cell>
          <cell r="S894">
            <v>0</v>
          </cell>
          <cell r="T894">
            <v>0</v>
          </cell>
          <cell r="U894" t="str">
            <v/>
          </cell>
          <cell r="V894" t="str">
            <v>PRO10</v>
          </cell>
          <cell r="W894">
            <v>0</v>
          </cell>
        </row>
        <row r="895">
          <cell r="C895" t="str">
            <v>EUE50Z06C40ACB</v>
          </cell>
          <cell r="D895" t="str">
            <v>PRINC</v>
          </cell>
          <cell r="E895" t="str">
            <v>00016</v>
          </cell>
          <cell r="F895" t="str">
            <v>PIÑONES PLASTICOS</v>
          </cell>
          <cell r="G895" t="str">
            <v>PRINCIPAL</v>
          </cell>
          <cell r="H895">
            <v>46004</v>
          </cell>
          <cell r="I895" t="str">
            <v>SALDO INICIAL</v>
          </cell>
          <cell r="J895">
            <v>18</v>
          </cell>
          <cell r="K895">
            <v>160.34344999999999</v>
          </cell>
          <cell r="L895">
            <v>8.9079709999999999</v>
          </cell>
          <cell r="M895">
            <v>8.9079694440000008</v>
          </cell>
          <cell r="N895" t="str">
            <v/>
          </cell>
          <cell r="O895" t="str">
            <v/>
          </cell>
          <cell r="P895" t="str">
            <v/>
          </cell>
          <cell r="Q895">
            <v>18</v>
          </cell>
          <cell r="R895" t="str">
            <v>UND</v>
          </cell>
          <cell r="S895">
            <v>0</v>
          </cell>
          <cell r="T895">
            <v>0</v>
          </cell>
          <cell r="U895" t="str">
            <v/>
          </cell>
          <cell r="V895" t="str">
            <v>PRO10</v>
          </cell>
          <cell r="W895">
            <v>0</v>
          </cell>
        </row>
        <row r="896">
          <cell r="C896" t="str">
            <v>EUE50Z08C40ACB</v>
          </cell>
          <cell r="D896" t="str">
            <v>PRINC</v>
          </cell>
          <cell r="E896" t="str">
            <v>00016</v>
          </cell>
          <cell r="F896" t="str">
            <v>PIÑONES PLASTICOS</v>
          </cell>
          <cell r="G896" t="str">
            <v>PRINCIPAL</v>
          </cell>
          <cell r="H896">
            <v>46004</v>
          </cell>
          <cell r="I896" t="str">
            <v>SALDO INICIAL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 t="str">
            <v/>
          </cell>
          <cell r="O896" t="str">
            <v/>
          </cell>
          <cell r="P896" t="str">
            <v/>
          </cell>
          <cell r="Q896">
            <v>0</v>
          </cell>
          <cell r="R896" t="str">
            <v>UND</v>
          </cell>
          <cell r="S896">
            <v>0</v>
          </cell>
          <cell r="T896">
            <v>0</v>
          </cell>
          <cell r="U896" t="str">
            <v/>
          </cell>
          <cell r="V896" t="str">
            <v>PRO10</v>
          </cell>
          <cell r="W896">
            <v>0</v>
          </cell>
        </row>
        <row r="897">
          <cell r="C897" t="str">
            <v>EUE50Z10C40ACB</v>
          </cell>
          <cell r="D897" t="str">
            <v>PRINC</v>
          </cell>
          <cell r="E897" t="str">
            <v>00016</v>
          </cell>
          <cell r="F897" t="str">
            <v>PIÑONES PLASTICOS</v>
          </cell>
          <cell r="G897" t="str">
            <v>PRINCIPAL</v>
          </cell>
          <cell r="H897">
            <v>46004</v>
          </cell>
          <cell r="I897" t="str">
            <v>SALDO INICIAL</v>
          </cell>
          <cell r="J897">
            <v>12</v>
          </cell>
          <cell r="K897">
            <v>145.30799999999999</v>
          </cell>
          <cell r="L897">
            <v>12.109</v>
          </cell>
          <cell r="M897">
            <v>12.109</v>
          </cell>
          <cell r="N897" t="str">
            <v/>
          </cell>
          <cell r="O897" t="str">
            <v/>
          </cell>
          <cell r="P897" t="str">
            <v/>
          </cell>
          <cell r="Q897">
            <v>25</v>
          </cell>
          <cell r="R897" t="str">
            <v>UND</v>
          </cell>
          <cell r="S897">
            <v>0</v>
          </cell>
          <cell r="T897">
            <v>0</v>
          </cell>
          <cell r="U897" t="str">
            <v/>
          </cell>
          <cell r="V897" t="str">
            <v>PRO10</v>
          </cell>
          <cell r="W897">
            <v>0</v>
          </cell>
        </row>
        <row r="898">
          <cell r="C898" t="str">
            <v>EUE50Z06C38ACM</v>
          </cell>
          <cell r="D898" t="str">
            <v>PRINC</v>
          </cell>
          <cell r="E898" t="str">
            <v>00016</v>
          </cell>
          <cell r="F898" t="str">
            <v>PIÑONES PLASTICOS</v>
          </cell>
          <cell r="G898" t="str">
            <v>PRINCIPAL</v>
          </cell>
          <cell r="H898">
            <v>46004</v>
          </cell>
          <cell r="I898" t="str">
            <v>SALDO INICIAL</v>
          </cell>
          <cell r="J898">
            <v>30</v>
          </cell>
          <cell r="K898">
            <v>274.117704</v>
          </cell>
          <cell r="L898">
            <v>8.9436</v>
          </cell>
          <cell r="M898">
            <v>9.1372567999999994</v>
          </cell>
          <cell r="N898" t="str">
            <v/>
          </cell>
          <cell r="O898" t="str">
            <v/>
          </cell>
          <cell r="P898" t="str">
            <v/>
          </cell>
          <cell r="Q898">
            <v>18</v>
          </cell>
          <cell r="R898" t="str">
            <v>UND</v>
          </cell>
          <cell r="S898">
            <v>0</v>
          </cell>
          <cell r="T898">
            <v>0</v>
          </cell>
          <cell r="U898" t="str">
            <v/>
          </cell>
          <cell r="V898" t="str">
            <v>PRO10</v>
          </cell>
          <cell r="W898">
            <v>0</v>
          </cell>
        </row>
        <row r="899">
          <cell r="C899" t="str">
            <v>EUE50Z08C38ACM</v>
          </cell>
          <cell r="D899" t="str">
            <v>PRINC</v>
          </cell>
          <cell r="E899" t="str">
            <v>00016</v>
          </cell>
          <cell r="F899" t="str">
            <v>PIÑONES PLASTICOS</v>
          </cell>
          <cell r="G899" t="str">
            <v>PRINCIPAL</v>
          </cell>
          <cell r="H899">
            <v>46004</v>
          </cell>
          <cell r="I899" t="str">
            <v>SALDO INICIAL</v>
          </cell>
          <cell r="J899">
            <v>30</v>
          </cell>
          <cell r="K899">
            <v>0</v>
          </cell>
          <cell r="L899">
            <v>0</v>
          </cell>
          <cell r="M899">
            <v>0</v>
          </cell>
          <cell r="N899" t="str">
            <v/>
          </cell>
          <cell r="O899" t="str">
            <v/>
          </cell>
          <cell r="P899" t="str">
            <v/>
          </cell>
          <cell r="Q899">
            <v>20</v>
          </cell>
          <cell r="R899" t="str">
            <v>UND</v>
          </cell>
          <cell r="S899">
            <v>0</v>
          </cell>
          <cell r="T899">
            <v>0</v>
          </cell>
          <cell r="U899" t="str">
            <v/>
          </cell>
          <cell r="V899" t="str">
            <v>PRO10</v>
          </cell>
          <cell r="W899">
            <v>0</v>
          </cell>
        </row>
        <row r="900">
          <cell r="C900" t="str">
            <v>EUE50Z10C38ACM</v>
          </cell>
          <cell r="D900" t="str">
            <v>PRINC</v>
          </cell>
          <cell r="E900" t="str">
            <v>00016</v>
          </cell>
          <cell r="F900" t="str">
            <v>PIÑONES PLASTICOS</v>
          </cell>
          <cell r="G900" t="str">
            <v>PRINCIPAL</v>
          </cell>
          <cell r="H900">
            <v>46004</v>
          </cell>
          <cell r="I900" t="str">
            <v>SALDO INICIAL</v>
          </cell>
          <cell r="J900">
            <v>59</v>
          </cell>
          <cell r="K900">
            <v>828.62556099999995</v>
          </cell>
          <cell r="L900">
            <v>12.130148</v>
          </cell>
          <cell r="M900">
            <v>14.044501034</v>
          </cell>
          <cell r="N900" t="str">
            <v/>
          </cell>
          <cell r="O900" t="str">
            <v/>
          </cell>
          <cell r="P900" t="str">
            <v/>
          </cell>
          <cell r="Q900">
            <v>25</v>
          </cell>
          <cell r="R900" t="str">
            <v>UND</v>
          </cell>
          <cell r="S900">
            <v>0</v>
          </cell>
          <cell r="T900">
            <v>0</v>
          </cell>
          <cell r="U900" t="str">
            <v/>
          </cell>
          <cell r="V900" t="str">
            <v>PRO10</v>
          </cell>
          <cell r="W900">
            <v>0</v>
          </cell>
        </row>
        <row r="901">
          <cell r="C901" t="str">
            <v>EUE50Z10C63ACM</v>
          </cell>
          <cell r="D901" t="str">
            <v>PRINC</v>
          </cell>
          <cell r="E901" t="str">
            <v>00016</v>
          </cell>
          <cell r="F901" t="str">
            <v>PIÑONES PLASTICOS</v>
          </cell>
          <cell r="G901" t="str">
            <v>PRINCIPAL</v>
          </cell>
          <cell r="H901">
            <v>46004</v>
          </cell>
          <cell r="I901" t="str">
            <v>SALDO INICIAL</v>
          </cell>
          <cell r="J901">
            <v>19</v>
          </cell>
          <cell r="K901">
            <v>186.00606300000001</v>
          </cell>
          <cell r="L901">
            <v>9.7897920000000003</v>
          </cell>
          <cell r="M901">
            <v>9.7897927889999998</v>
          </cell>
          <cell r="N901" t="str">
            <v/>
          </cell>
          <cell r="O901" t="str">
            <v/>
          </cell>
          <cell r="P901" t="str">
            <v/>
          </cell>
          <cell r="Q901">
            <v>25</v>
          </cell>
          <cell r="R901" t="str">
            <v>UND</v>
          </cell>
          <cell r="S901">
            <v>0</v>
          </cell>
          <cell r="T901">
            <v>0</v>
          </cell>
          <cell r="U901" t="str">
            <v/>
          </cell>
          <cell r="V901" t="str">
            <v>PRO10</v>
          </cell>
          <cell r="W901">
            <v>0</v>
          </cell>
        </row>
        <row r="902">
          <cell r="C902" t="str">
            <v>EUE50Z16C38ACM</v>
          </cell>
          <cell r="D902" t="str">
            <v>PRINC</v>
          </cell>
          <cell r="E902" t="str">
            <v>00016</v>
          </cell>
          <cell r="F902" t="str">
            <v>PIÑONES PLASTICOS</v>
          </cell>
          <cell r="G902" t="str">
            <v>PRINCIPAL</v>
          </cell>
          <cell r="H902">
            <v>46004</v>
          </cell>
          <cell r="I902" t="str">
            <v>SALDO INICIAL</v>
          </cell>
          <cell r="J902">
            <v>13</v>
          </cell>
          <cell r="K902">
            <v>271.179552</v>
          </cell>
          <cell r="L902">
            <v>19.730868999999998</v>
          </cell>
          <cell r="M902">
            <v>20.859965538000001</v>
          </cell>
          <cell r="N902" t="str">
            <v/>
          </cell>
          <cell r="O902" t="str">
            <v/>
          </cell>
          <cell r="P902" t="str">
            <v/>
          </cell>
          <cell r="Q902">
            <v>34.5</v>
          </cell>
          <cell r="R902" t="str">
            <v>UND</v>
          </cell>
          <cell r="S902">
            <v>0</v>
          </cell>
          <cell r="T902">
            <v>0</v>
          </cell>
          <cell r="U902" t="str">
            <v/>
          </cell>
          <cell r="V902" t="str">
            <v>PRO10</v>
          </cell>
          <cell r="W902">
            <v>0</v>
          </cell>
        </row>
        <row r="903">
          <cell r="C903" t="str">
            <v>EUE50Z16C63ACM</v>
          </cell>
          <cell r="D903" t="str">
            <v>PRINC</v>
          </cell>
          <cell r="E903" t="str">
            <v>00016</v>
          </cell>
          <cell r="F903" t="str">
            <v>PIÑONES PLASTICOS</v>
          </cell>
          <cell r="G903" t="str">
            <v>PRINCIPAL</v>
          </cell>
          <cell r="H903">
            <v>46004</v>
          </cell>
          <cell r="I903" t="str">
            <v>SALDO INICIAL</v>
          </cell>
          <cell r="J903">
            <v>19</v>
          </cell>
          <cell r="K903">
            <v>357.02667000000002</v>
          </cell>
          <cell r="L903">
            <v>19.101111</v>
          </cell>
          <cell r="M903">
            <v>18.790877368</v>
          </cell>
          <cell r="N903" t="str">
            <v/>
          </cell>
          <cell r="O903" t="str">
            <v/>
          </cell>
          <cell r="P903" t="str">
            <v/>
          </cell>
          <cell r="Q903">
            <v>34.5</v>
          </cell>
          <cell r="R903" t="str">
            <v>UND</v>
          </cell>
          <cell r="S903">
            <v>0</v>
          </cell>
          <cell r="T903">
            <v>0</v>
          </cell>
          <cell r="U903" t="str">
            <v/>
          </cell>
          <cell r="V903" t="str">
            <v>PRO10</v>
          </cell>
          <cell r="W903">
            <v>0</v>
          </cell>
        </row>
        <row r="904">
          <cell r="C904" t="str">
            <v>EUE92Z12C38ACM</v>
          </cell>
          <cell r="D904" t="str">
            <v>PRINC</v>
          </cell>
          <cell r="E904" t="str">
            <v>00016</v>
          </cell>
          <cell r="F904" t="str">
            <v>PIÑONES PLASTICOS</v>
          </cell>
          <cell r="G904" t="str">
            <v>PRINCIPAL</v>
          </cell>
          <cell r="H904">
            <v>46004</v>
          </cell>
          <cell r="I904" t="str">
            <v>SALDO INICIAL</v>
          </cell>
          <cell r="J904">
            <v>53</v>
          </cell>
          <cell r="K904">
            <v>470.82177999999999</v>
          </cell>
          <cell r="L904">
            <v>8.8834289999999996</v>
          </cell>
          <cell r="M904">
            <v>8.8834298109999992</v>
          </cell>
          <cell r="N904" t="str">
            <v/>
          </cell>
          <cell r="O904" t="str">
            <v/>
          </cell>
          <cell r="P904" t="str">
            <v/>
          </cell>
          <cell r="Q904">
            <v>18</v>
          </cell>
          <cell r="R904" t="str">
            <v>UND</v>
          </cell>
          <cell r="S904">
            <v>0</v>
          </cell>
          <cell r="T904">
            <v>0</v>
          </cell>
          <cell r="U904" t="str">
            <v/>
          </cell>
          <cell r="V904" t="str">
            <v>PRO10</v>
          </cell>
          <cell r="W904">
            <v>0</v>
          </cell>
        </row>
        <row r="905">
          <cell r="C905" t="str">
            <v>EUE92Z16C38ACM</v>
          </cell>
          <cell r="D905" t="str">
            <v>PRINC</v>
          </cell>
          <cell r="E905" t="str">
            <v>00016</v>
          </cell>
          <cell r="F905" t="str">
            <v>PIÑONES PLASTICOS</v>
          </cell>
          <cell r="G905" t="str">
            <v>PRINCIPAL</v>
          </cell>
          <cell r="H905">
            <v>46004</v>
          </cell>
          <cell r="I905" t="str">
            <v>SALDO INICIAL</v>
          </cell>
          <cell r="J905">
            <v>9</v>
          </cell>
          <cell r="K905">
            <v>96.947999999999993</v>
          </cell>
          <cell r="L905">
            <v>10.772</v>
          </cell>
          <cell r="M905">
            <v>10.772</v>
          </cell>
          <cell r="N905" t="str">
            <v/>
          </cell>
          <cell r="O905" t="str">
            <v/>
          </cell>
          <cell r="P905" t="str">
            <v/>
          </cell>
          <cell r="Q905">
            <v>25</v>
          </cell>
          <cell r="R905" t="str">
            <v>UND</v>
          </cell>
          <cell r="S905">
            <v>0</v>
          </cell>
          <cell r="T905">
            <v>0</v>
          </cell>
          <cell r="U905" t="str">
            <v/>
          </cell>
          <cell r="V905" t="str">
            <v>PRO10</v>
          </cell>
          <cell r="W905">
            <v>0</v>
          </cell>
        </row>
        <row r="906">
          <cell r="C906" t="str">
            <v>EUE93Z11C38ACM</v>
          </cell>
          <cell r="D906" t="str">
            <v>PRINC</v>
          </cell>
          <cell r="E906" t="str">
            <v>00016</v>
          </cell>
          <cell r="F906" t="str">
            <v>PIÑONES PLASTICOS</v>
          </cell>
          <cell r="G906" t="str">
            <v>PRINCIPAL</v>
          </cell>
          <cell r="H906">
            <v>46004</v>
          </cell>
          <cell r="I906" t="str">
            <v>SALDO INICIAL</v>
          </cell>
          <cell r="J906">
            <v>40</v>
          </cell>
          <cell r="K906">
            <v>340.11038500000001</v>
          </cell>
          <cell r="L906">
            <v>8.7696459999999998</v>
          </cell>
          <cell r="M906">
            <v>8.5027596249999995</v>
          </cell>
          <cell r="N906" t="str">
            <v/>
          </cell>
          <cell r="O906" t="str">
            <v/>
          </cell>
          <cell r="P906" t="str">
            <v/>
          </cell>
          <cell r="Q906">
            <v>20</v>
          </cell>
          <cell r="R906" t="str">
            <v>UND</v>
          </cell>
          <cell r="S906">
            <v>0</v>
          </cell>
          <cell r="T906">
            <v>0</v>
          </cell>
          <cell r="U906" t="str">
            <v/>
          </cell>
          <cell r="V906" t="str">
            <v>PRO10</v>
          </cell>
          <cell r="W906">
            <v>0</v>
          </cell>
        </row>
        <row r="907">
          <cell r="C907" t="str">
            <v>EUE93Z16C38ACM</v>
          </cell>
          <cell r="D907" t="str">
            <v>PRINC</v>
          </cell>
          <cell r="E907" t="str">
            <v>00016</v>
          </cell>
          <cell r="F907" t="str">
            <v>PIÑONES PLASTICOS</v>
          </cell>
          <cell r="G907" t="str">
            <v>PRINCIPAL</v>
          </cell>
          <cell r="H907">
            <v>46004</v>
          </cell>
          <cell r="I907" t="str">
            <v>SALDO INICIAL</v>
          </cell>
          <cell r="J907">
            <v>34</v>
          </cell>
          <cell r="K907">
            <v>-26.860610000000001</v>
          </cell>
          <cell r="L907">
            <v>12.23861</v>
          </cell>
          <cell r="M907">
            <v>-0.790017941</v>
          </cell>
          <cell r="N907" t="str">
            <v/>
          </cell>
          <cell r="O907" t="str">
            <v/>
          </cell>
          <cell r="P907" t="str">
            <v/>
          </cell>
          <cell r="Q907">
            <v>27</v>
          </cell>
          <cell r="R907" t="str">
            <v>UND</v>
          </cell>
          <cell r="S907">
            <v>0</v>
          </cell>
          <cell r="T907">
            <v>0</v>
          </cell>
          <cell r="U907" t="str">
            <v/>
          </cell>
          <cell r="V907" t="str">
            <v>PRO10</v>
          </cell>
          <cell r="W907">
            <v>0</v>
          </cell>
        </row>
        <row r="908">
          <cell r="C908" t="str">
            <v>EUE93Z11C38PPA</v>
          </cell>
          <cell r="D908" t="str">
            <v>PRINC</v>
          </cell>
          <cell r="E908" t="str">
            <v>00016</v>
          </cell>
          <cell r="F908" t="str">
            <v>PIÑONES PLASTICOS</v>
          </cell>
          <cell r="G908" t="str">
            <v>PRINCIPAL</v>
          </cell>
          <cell r="H908">
            <v>46004</v>
          </cell>
          <cell r="I908" t="str">
            <v>SALDO INICIAL</v>
          </cell>
          <cell r="J908">
            <v>20</v>
          </cell>
          <cell r="K908">
            <v>160.05417600000001</v>
          </cell>
          <cell r="L908">
            <v>8.0027100000000004</v>
          </cell>
          <cell r="M908">
            <v>8.0027088000000006</v>
          </cell>
          <cell r="N908" t="str">
            <v/>
          </cell>
          <cell r="O908" t="str">
            <v/>
          </cell>
          <cell r="P908" t="str">
            <v/>
          </cell>
          <cell r="Q908">
            <v>17</v>
          </cell>
          <cell r="R908" t="str">
            <v>UND</v>
          </cell>
          <cell r="S908">
            <v>0</v>
          </cell>
          <cell r="T908">
            <v>0</v>
          </cell>
          <cell r="U908" t="str">
            <v/>
          </cell>
          <cell r="V908" t="str">
            <v>PRO10</v>
          </cell>
          <cell r="W908">
            <v>0</v>
          </cell>
        </row>
        <row r="909">
          <cell r="C909" t="str">
            <v>ROPNY1700Z10D25</v>
          </cell>
          <cell r="D909" t="str">
            <v>PRINC</v>
          </cell>
          <cell r="E909" t="str">
            <v>00016</v>
          </cell>
          <cell r="F909" t="str">
            <v>PIÑONES PLASTICOS</v>
          </cell>
          <cell r="G909" t="str">
            <v>PRINCIPAL</v>
          </cell>
          <cell r="H909">
            <v>46004</v>
          </cell>
          <cell r="I909" t="str">
            <v>SALDO INICIAL</v>
          </cell>
          <cell r="J909">
            <v>2</v>
          </cell>
          <cell r="K909">
            <v>24.39415</v>
          </cell>
          <cell r="L909">
            <v>0</v>
          </cell>
          <cell r="M909">
            <v>12.197075</v>
          </cell>
          <cell r="N909" t="str">
            <v/>
          </cell>
          <cell r="O909" t="str">
            <v/>
          </cell>
          <cell r="P909" t="str">
            <v/>
          </cell>
          <cell r="Q909">
            <v>0</v>
          </cell>
          <cell r="R909" t="str">
            <v>UND</v>
          </cell>
          <cell r="S909">
            <v>0</v>
          </cell>
          <cell r="T909">
            <v>0</v>
          </cell>
          <cell r="U909" t="str">
            <v/>
          </cell>
          <cell r="V909" t="str">
            <v>PRO10</v>
          </cell>
          <cell r="W909">
            <v>0</v>
          </cell>
        </row>
        <row r="910">
          <cell r="C910" t="str">
            <v>ROPNY1700Z12D25</v>
          </cell>
          <cell r="D910" t="str">
            <v>PRINC</v>
          </cell>
          <cell r="E910" t="str">
            <v>00016</v>
          </cell>
          <cell r="F910" t="str">
            <v>PIÑONES PLASTICOS</v>
          </cell>
          <cell r="G910" t="str">
            <v>PRINCIPAL</v>
          </cell>
          <cell r="H910">
            <v>46004</v>
          </cell>
          <cell r="I910" t="str">
            <v>SALDO INICIAL</v>
          </cell>
          <cell r="J910">
            <v>0</v>
          </cell>
          <cell r="K910">
            <v>-131.71535</v>
          </cell>
          <cell r="L910">
            <v>26.343070000000001</v>
          </cell>
          <cell r="M910">
            <v>0</v>
          </cell>
          <cell r="N910" t="str">
            <v/>
          </cell>
          <cell r="O910" t="str">
            <v/>
          </cell>
          <cell r="P910" t="str">
            <v/>
          </cell>
          <cell r="Q910">
            <v>0</v>
          </cell>
          <cell r="R910" t="str">
            <v>UND</v>
          </cell>
          <cell r="S910">
            <v>0</v>
          </cell>
          <cell r="T910">
            <v>0</v>
          </cell>
          <cell r="U910" t="str">
            <v/>
          </cell>
          <cell r="V910" t="str">
            <v>PRO10</v>
          </cell>
          <cell r="W910">
            <v>0</v>
          </cell>
        </row>
        <row r="911">
          <cell r="C911" t="str">
            <v>PI1FPIÑ001056</v>
          </cell>
          <cell r="D911" t="str">
            <v>PRINC</v>
          </cell>
          <cell r="E911" t="str">
            <v>00016</v>
          </cell>
          <cell r="F911" t="str">
            <v>PIÑONES PLASTICOS</v>
          </cell>
          <cell r="G911" t="str">
            <v>PRINCIPAL</v>
          </cell>
          <cell r="H911">
            <v>46004</v>
          </cell>
          <cell r="I911" t="str">
            <v>SALDO INICIAL</v>
          </cell>
          <cell r="J911">
            <v>14</v>
          </cell>
          <cell r="K911">
            <v>215.6</v>
          </cell>
          <cell r="L911">
            <v>15.4</v>
          </cell>
          <cell r="M911">
            <v>15.4</v>
          </cell>
          <cell r="N911" t="str">
            <v/>
          </cell>
          <cell r="O911" t="str">
            <v/>
          </cell>
          <cell r="P911" t="str">
            <v/>
          </cell>
          <cell r="Q911">
            <v>24.6</v>
          </cell>
          <cell r="R911" t="str">
            <v>UND</v>
          </cell>
          <cell r="S911">
            <v>0</v>
          </cell>
          <cell r="T911">
            <v>0</v>
          </cell>
          <cell r="U911" t="str">
            <v/>
          </cell>
          <cell r="V911" t="str">
            <v>PRO10</v>
          </cell>
          <cell r="W911">
            <v>0</v>
          </cell>
        </row>
        <row r="912">
          <cell r="C912" t="str">
            <v>RECMT027821602</v>
          </cell>
          <cell r="D912" t="str">
            <v>PRINC</v>
          </cell>
          <cell r="E912" t="str">
            <v>00016</v>
          </cell>
          <cell r="F912" t="str">
            <v>PIÑONES PLASTICOS</v>
          </cell>
          <cell r="G912" t="str">
            <v>PRINCIPAL</v>
          </cell>
          <cell r="H912">
            <v>46004</v>
          </cell>
          <cell r="I912" t="str">
            <v>SALDO INICIAL</v>
          </cell>
          <cell r="J912">
            <v>6</v>
          </cell>
          <cell r="K912">
            <v>66.561538999999996</v>
          </cell>
          <cell r="L912">
            <v>11.093590000000001</v>
          </cell>
          <cell r="M912">
            <v>11.093589832999999</v>
          </cell>
          <cell r="N912" t="str">
            <v/>
          </cell>
          <cell r="O912" t="str">
            <v/>
          </cell>
          <cell r="P912" t="str">
            <v/>
          </cell>
          <cell r="Q912">
            <v>32</v>
          </cell>
          <cell r="R912" t="str">
            <v>UND</v>
          </cell>
          <cell r="S912">
            <v>0</v>
          </cell>
          <cell r="T912">
            <v>0</v>
          </cell>
          <cell r="U912" t="str">
            <v/>
          </cell>
          <cell r="V912" t="str">
            <v>PRO10</v>
          </cell>
          <cell r="W912">
            <v>0</v>
          </cell>
        </row>
        <row r="913">
          <cell r="C913" t="str">
            <v>RECMT027821801</v>
          </cell>
          <cell r="D913" t="str">
            <v>PRINC</v>
          </cell>
          <cell r="E913" t="str">
            <v>00016</v>
          </cell>
          <cell r="F913" t="str">
            <v>PIÑONES PLASTICOS</v>
          </cell>
          <cell r="G913" t="str">
            <v>PRINCIPAL</v>
          </cell>
          <cell r="H913">
            <v>46004</v>
          </cell>
          <cell r="I913" t="str">
            <v>SALDO INICIAL</v>
          </cell>
          <cell r="J913">
            <v>4</v>
          </cell>
          <cell r="K913">
            <v>44.49</v>
          </cell>
          <cell r="L913">
            <v>0</v>
          </cell>
          <cell r="M913">
            <v>11.1225</v>
          </cell>
          <cell r="N913" t="str">
            <v/>
          </cell>
          <cell r="O913" t="str">
            <v/>
          </cell>
          <cell r="P913" t="str">
            <v/>
          </cell>
          <cell r="Q913">
            <v>0</v>
          </cell>
          <cell r="R913" t="str">
            <v>UND</v>
          </cell>
          <cell r="S913">
            <v>0</v>
          </cell>
          <cell r="T913">
            <v>0</v>
          </cell>
          <cell r="U913" t="str">
            <v/>
          </cell>
          <cell r="V913" t="str">
            <v>PRO10</v>
          </cell>
          <cell r="W913">
            <v>0</v>
          </cell>
        </row>
        <row r="914">
          <cell r="C914" t="str">
            <v>RECMT027821802</v>
          </cell>
          <cell r="D914" t="str">
            <v>PRINC</v>
          </cell>
          <cell r="E914" t="str">
            <v>00016</v>
          </cell>
          <cell r="F914" t="str">
            <v>PIÑONES PLASTICOS</v>
          </cell>
          <cell r="G914" t="str">
            <v>PRINCIPAL</v>
          </cell>
          <cell r="H914">
            <v>46004</v>
          </cell>
          <cell r="I914" t="str">
            <v>SALDO INICIAL</v>
          </cell>
          <cell r="J914">
            <v>7</v>
          </cell>
          <cell r="K914">
            <v>66.645004999999998</v>
          </cell>
          <cell r="L914">
            <v>9.5207149999999992</v>
          </cell>
          <cell r="M914">
            <v>9.5207149999999992</v>
          </cell>
          <cell r="N914" t="str">
            <v/>
          </cell>
          <cell r="O914" t="str">
            <v/>
          </cell>
          <cell r="P914" t="str">
            <v/>
          </cell>
          <cell r="Q914">
            <v>0</v>
          </cell>
          <cell r="R914" t="str">
            <v>UND</v>
          </cell>
          <cell r="S914">
            <v>0</v>
          </cell>
          <cell r="T914">
            <v>0</v>
          </cell>
          <cell r="U914" t="str">
            <v/>
          </cell>
          <cell r="V914" t="str">
            <v>PRO10</v>
          </cell>
          <cell r="W914">
            <v>0</v>
          </cell>
        </row>
        <row r="915">
          <cell r="C915" t="str">
            <v>RECMT027821804</v>
          </cell>
          <cell r="D915" t="str">
            <v>PRINC</v>
          </cell>
          <cell r="E915" t="str">
            <v>00016</v>
          </cell>
          <cell r="F915" t="str">
            <v>PIÑONES PLASTICOS</v>
          </cell>
          <cell r="G915" t="str">
            <v>PRINCIPAL</v>
          </cell>
          <cell r="H915">
            <v>46004</v>
          </cell>
          <cell r="I915" t="str">
            <v>SALDO INICIAL</v>
          </cell>
          <cell r="J915">
            <v>4</v>
          </cell>
          <cell r="K915">
            <v>46.100918999999998</v>
          </cell>
          <cell r="L915">
            <v>9.4963630000000006</v>
          </cell>
          <cell r="M915">
            <v>11.525229749999999</v>
          </cell>
          <cell r="N915" t="str">
            <v/>
          </cell>
          <cell r="O915" t="str">
            <v/>
          </cell>
          <cell r="P915" t="str">
            <v/>
          </cell>
          <cell r="Q915">
            <v>31</v>
          </cell>
          <cell r="R915" t="str">
            <v>UND</v>
          </cell>
          <cell r="S915">
            <v>0</v>
          </cell>
          <cell r="T915">
            <v>0</v>
          </cell>
          <cell r="U915" t="str">
            <v/>
          </cell>
          <cell r="V915" t="str">
            <v>PRO10</v>
          </cell>
          <cell r="W915">
            <v>0</v>
          </cell>
        </row>
        <row r="916">
          <cell r="C916" t="str">
            <v>RECMT028152106</v>
          </cell>
          <cell r="D916" t="str">
            <v>PRINC</v>
          </cell>
          <cell r="E916" t="str">
            <v>00016</v>
          </cell>
          <cell r="F916" t="str">
            <v>PIÑONES PLASTICOS</v>
          </cell>
          <cell r="G916" t="str">
            <v>PRINCIPAL</v>
          </cell>
          <cell r="H916">
            <v>46004</v>
          </cell>
          <cell r="I916" t="str">
            <v>SALDO INICIAL</v>
          </cell>
          <cell r="J916">
            <v>2</v>
          </cell>
          <cell r="K916">
            <v>18.342654</v>
          </cell>
          <cell r="L916">
            <v>9.1713269999999998</v>
          </cell>
          <cell r="M916">
            <v>9.1713269999999998</v>
          </cell>
          <cell r="N916" t="str">
            <v/>
          </cell>
          <cell r="O916" t="str">
            <v/>
          </cell>
          <cell r="P916" t="str">
            <v/>
          </cell>
          <cell r="Q916">
            <v>25</v>
          </cell>
          <cell r="R916" t="str">
            <v>UND</v>
          </cell>
          <cell r="S916">
            <v>0</v>
          </cell>
          <cell r="T916">
            <v>0</v>
          </cell>
          <cell r="U916" t="str">
            <v/>
          </cell>
          <cell r="V916" t="str">
            <v>PRO10</v>
          </cell>
          <cell r="W916">
            <v>0</v>
          </cell>
        </row>
        <row r="917">
          <cell r="C917" t="str">
            <v>RECMT028152101</v>
          </cell>
          <cell r="D917" t="str">
            <v>PRINC</v>
          </cell>
          <cell r="E917" t="str">
            <v>00016</v>
          </cell>
          <cell r="F917" t="str">
            <v>PIÑONES PLASTICOS</v>
          </cell>
          <cell r="G917" t="str">
            <v>PRINCIPAL</v>
          </cell>
          <cell r="H917">
            <v>46004</v>
          </cell>
          <cell r="I917" t="str">
            <v>SALDO INICIAL</v>
          </cell>
          <cell r="J917">
            <v>0</v>
          </cell>
          <cell r="K917">
            <v>9.3727879999999999</v>
          </cell>
          <cell r="L917">
            <v>9.8020899999999997</v>
          </cell>
          <cell r="M917">
            <v>0</v>
          </cell>
          <cell r="N917" t="str">
            <v/>
          </cell>
          <cell r="O917" t="str">
            <v/>
          </cell>
          <cell r="P917" t="str">
            <v/>
          </cell>
          <cell r="Q917">
            <v>25</v>
          </cell>
          <cell r="R917" t="str">
            <v>UND</v>
          </cell>
          <cell r="S917">
            <v>0</v>
          </cell>
          <cell r="T917">
            <v>0</v>
          </cell>
          <cell r="U917" t="str">
            <v/>
          </cell>
          <cell r="V917" t="str">
            <v>PRO10</v>
          </cell>
          <cell r="W917">
            <v>0</v>
          </cell>
        </row>
        <row r="918">
          <cell r="C918" t="str">
            <v>RECMT028152102</v>
          </cell>
          <cell r="D918" t="str">
            <v>PRINC</v>
          </cell>
          <cell r="E918" t="str">
            <v>00016</v>
          </cell>
          <cell r="F918" t="str">
            <v>PIÑONES PLASTICOS</v>
          </cell>
          <cell r="G918" t="str">
            <v>PRINCIPAL</v>
          </cell>
          <cell r="H918">
            <v>46004</v>
          </cell>
          <cell r="I918" t="str">
            <v>SALDO INICIAL</v>
          </cell>
          <cell r="J918">
            <v>6</v>
          </cell>
          <cell r="K918">
            <v>60.539785999999999</v>
          </cell>
          <cell r="L918">
            <v>10.089967</v>
          </cell>
          <cell r="M918">
            <v>10.089964332999999</v>
          </cell>
          <cell r="N918" t="str">
            <v/>
          </cell>
          <cell r="O918" t="str">
            <v/>
          </cell>
          <cell r="P918" t="str">
            <v/>
          </cell>
          <cell r="Q918">
            <v>25</v>
          </cell>
          <cell r="R918" t="str">
            <v>UND</v>
          </cell>
          <cell r="S918">
            <v>0</v>
          </cell>
          <cell r="T918">
            <v>0</v>
          </cell>
          <cell r="U918" t="str">
            <v/>
          </cell>
          <cell r="V918" t="str">
            <v>PRO10</v>
          </cell>
          <cell r="W918">
            <v>0</v>
          </cell>
        </row>
        <row r="919">
          <cell r="C919" t="str">
            <v>RECMT028152103</v>
          </cell>
          <cell r="D919" t="str">
            <v>PRINC</v>
          </cell>
          <cell r="E919" t="str">
            <v>00016</v>
          </cell>
          <cell r="F919" t="str">
            <v>PIÑONES PLASTICOS</v>
          </cell>
          <cell r="G919" t="str">
            <v>PRINCIPAL</v>
          </cell>
          <cell r="H919">
            <v>46004</v>
          </cell>
          <cell r="I919" t="str">
            <v>SALDO INICIAL</v>
          </cell>
          <cell r="J919">
            <v>16</v>
          </cell>
          <cell r="K919">
            <v>150.45333600000001</v>
          </cell>
          <cell r="L919">
            <v>9.4033339999999992</v>
          </cell>
          <cell r="M919">
            <v>9.4033335000000005</v>
          </cell>
          <cell r="N919" t="str">
            <v/>
          </cell>
          <cell r="O919" t="str">
            <v/>
          </cell>
          <cell r="P919" t="str">
            <v/>
          </cell>
          <cell r="Q919">
            <v>25</v>
          </cell>
          <cell r="R919" t="str">
            <v>UND</v>
          </cell>
          <cell r="S919">
            <v>0</v>
          </cell>
          <cell r="T919">
            <v>0</v>
          </cell>
          <cell r="U919" t="str">
            <v/>
          </cell>
          <cell r="V919" t="str">
            <v>PRO10</v>
          </cell>
          <cell r="W919">
            <v>0</v>
          </cell>
        </row>
        <row r="920">
          <cell r="C920" t="str">
            <v>RECMT028152104</v>
          </cell>
          <cell r="D920" t="str">
            <v>PRINC</v>
          </cell>
          <cell r="E920" t="str">
            <v>00016</v>
          </cell>
          <cell r="F920" t="str">
            <v>PIÑONES PLASTICOS</v>
          </cell>
          <cell r="G920" t="str">
            <v>PRINCIPAL</v>
          </cell>
          <cell r="H920">
            <v>46004</v>
          </cell>
          <cell r="I920" t="str">
            <v>SALDO INICIAL</v>
          </cell>
          <cell r="J920">
            <v>0</v>
          </cell>
          <cell r="K920">
            <v>-15.19491</v>
          </cell>
          <cell r="L920">
            <v>22.250005999999999</v>
          </cell>
          <cell r="M920">
            <v>0</v>
          </cell>
          <cell r="N920" t="str">
            <v/>
          </cell>
          <cell r="O920" t="str">
            <v/>
          </cell>
          <cell r="P920" t="str">
            <v/>
          </cell>
          <cell r="Q920">
            <v>25</v>
          </cell>
          <cell r="R920" t="str">
            <v>UND</v>
          </cell>
          <cell r="S920">
            <v>0</v>
          </cell>
          <cell r="T920">
            <v>0</v>
          </cell>
          <cell r="U920" t="str">
            <v/>
          </cell>
          <cell r="V920" t="str">
            <v>PRO10</v>
          </cell>
          <cell r="W920">
            <v>0</v>
          </cell>
        </row>
        <row r="921">
          <cell r="C921" t="str">
            <v>RECMT028152306</v>
          </cell>
          <cell r="D921" t="str">
            <v>PRINC</v>
          </cell>
          <cell r="E921" t="str">
            <v>00016</v>
          </cell>
          <cell r="F921" t="str">
            <v>PIÑONES PLASTICOS</v>
          </cell>
          <cell r="G921" t="str">
            <v>PRINCIPAL</v>
          </cell>
          <cell r="H921">
            <v>46004</v>
          </cell>
          <cell r="I921" t="str">
            <v>SALDO INICIAL</v>
          </cell>
          <cell r="J921">
            <v>6</v>
          </cell>
          <cell r="K921">
            <v>69.812906999999996</v>
          </cell>
          <cell r="L921">
            <v>9.0380629999999993</v>
          </cell>
          <cell r="M921">
            <v>11.6354845</v>
          </cell>
          <cell r="N921" t="str">
            <v/>
          </cell>
          <cell r="O921" t="str">
            <v/>
          </cell>
          <cell r="P921" t="str">
            <v/>
          </cell>
          <cell r="Q921">
            <v>26.5</v>
          </cell>
          <cell r="R921" t="str">
            <v>UND</v>
          </cell>
          <cell r="S921">
            <v>0</v>
          </cell>
          <cell r="T921">
            <v>0</v>
          </cell>
          <cell r="U921" t="str">
            <v/>
          </cell>
          <cell r="V921" t="str">
            <v>PRO10</v>
          </cell>
          <cell r="W921">
            <v>0</v>
          </cell>
        </row>
        <row r="922">
          <cell r="C922" t="str">
            <v>RECMT028152302</v>
          </cell>
          <cell r="D922" t="str">
            <v>PRINC</v>
          </cell>
          <cell r="E922" t="str">
            <v>00016</v>
          </cell>
          <cell r="F922" t="str">
            <v>PIÑONES PLASTICOS</v>
          </cell>
          <cell r="G922" t="str">
            <v>PRINCIPAL</v>
          </cell>
          <cell r="H922">
            <v>46004</v>
          </cell>
          <cell r="I922" t="str">
            <v>SALDO INICIAL</v>
          </cell>
          <cell r="J922">
            <v>3</v>
          </cell>
          <cell r="K922">
            <v>27.959776000000002</v>
          </cell>
          <cell r="L922">
            <v>9.3853500000000007</v>
          </cell>
          <cell r="M922">
            <v>9.3199253330000005</v>
          </cell>
          <cell r="N922" t="str">
            <v/>
          </cell>
          <cell r="O922" t="str">
            <v/>
          </cell>
          <cell r="P922" t="str">
            <v/>
          </cell>
          <cell r="Q922">
            <v>26.5</v>
          </cell>
          <cell r="R922" t="str">
            <v>UND</v>
          </cell>
          <cell r="S922">
            <v>0</v>
          </cell>
          <cell r="T922">
            <v>0</v>
          </cell>
          <cell r="U922" t="str">
            <v/>
          </cell>
          <cell r="V922" t="str">
            <v>PRO10</v>
          </cell>
          <cell r="W922">
            <v>0</v>
          </cell>
        </row>
        <row r="923">
          <cell r="C923" t="str">
            <v>RECMT028152303</v>
          </cell>
          <cell r="D923" t="str">
            <v>PRINC</v>
          </cell>
          <cell r="E923" t="str">
            <v>00016</v>
          </cell>
          <cell r="F923" t="str">
            <v>PIÑONES PLASTICOS</v>
          </cell>
          <cell r="G923" t="str">
            <v>PRINCIPAL</v>
          </cell>
          <cell r="H923">
            <v>46004</v>
          </cell>
          <cell r="I923" t="str">
            <v>SALDO INICIAL</v>
          </cell>
          <cell r="J923">
            <v>3</v>
          </cell>
          <cell r="K923">
            <v>27.848623</v>
          </cell>
          <cell r="L923">
            <v>9.3101140000000004</v>
          </cell>
          <cell r="M923">
            <v>9.2828743330000005</v>
          </cell>
          <cell r="N923" t="str">
            <v/>
          </cell>
          <cell r="O923" t="str">
            <v/>
          </cell>
          <cell r="P923" t="str">
            <v/>
          </cell>
          <cell r="Q923">
            <v>26.5</v>
          </cell>
          <cell r="R923" t="str">
            <v>UND</v>
          </cell>
          <cell r="S923">
            <v>0</v>
          </cell>
          <cell r="T923">
            <v>0</v>
          </cell>
          <cell r="U923" t="str">
            <v/>
          </cell>
          <cell r="V923" t="str">
            <v>PRO10</v>
          </cell>
          <cell r="W923">
            <v>0</v>
          </cell>
        </row>
        <row r="924">
          <cell r="C924" t="str">
            <v>RECMT028152501</v>
          </cell>
          <cell r="D924" t="str">
            <v>PRINC</v>
          </cell>
          <cell r="E924" t="str">
            <v>00016</v>
          </cell>
          <cell r="F924" t="str">
            <v>PIÑONES PLASTICOS</v>
          </cell>
          <cell r="G924" t="str">
            <v>PRINCIPAL</v>
          </cell>
          <cell r="H924">
            <v>46004</v>
          </cell>
          <cell r="I924" t="str">
            <v>SALDO INICIAL</v>
          </cell>
          <cell r="J924">
            <v>0</v>
          </cell>
          <cell r="K924">
            <v>6.8883219999999996</v>
          </cell>
          <cell r="L924">
            <v>12.2561</v>
          </cell>
          <cell r="M924">
            <v>0</v>
          </cell>
          <cell r="N924" t="str">
            <v/>
          </cell>
          <cell r="O924" t="str">
            <v/>
          </cell>
          <cell r="P924" t="str">
            <v/>
          </cell>
          <cell r="Q924">
            <v>28</v>
          </cell>
          <cell r="R924" t="str">
            <v>UND</v>
          </cell>
          <cell r="S924">
            <v>0</v>
          </cell>
          <cell r="T924">
            <v>0</v>
          </cell>
          <cell r="U924" t="str">
            <v/>
          </cell>
          <cell r="V924" t="str">
            <v>PRO10</v>
          </cell>
          <cell r="W924">
            <v>0</v>
          </cell>
        </row>
        <row r="925">
          <cell r="C925" t="str">
            <v>RECMT028152502</v>
          </cell>
          <cell r="D925" t="str">
            <v>PRINC</v>
          </cell>
          <cell r="E925" t="str">
            <v>00016</v>
          </cell>
          <cell r="F925" t="str">
            <v>PIÑONES PLASTICOS</v>
          </cell>
          <cell r="G925" t="str">
            <v>PRINCIPAL</v>
          </cell>
          <cell r="H925">
            <v>46004</v>
          </cell>
          <cell r="I925" t="str">
            <v>SALDO INICIAL</v>
          </cell>
          <cell r="J925">
            <v>3</v>
          </cell>
          <cell r="K925">
            <v>19.868828000000001</v>
          </cell>
          <cell r="L925">
            <v>11.205876</v>
          </cell>
          <cell r="M925">
            <v>6.6229426670000002</v>
          </cell>
          <cell r="N925" t="str">
            <v/>
          </cell>
          <cell r="O925" t="str">
            <v/>
          </cell>
          <cell r="P925" t="str">
            <v/>
          </cell>
          <cell r="Q925">
            <v>28</v>
          </cell>
          <cell r="R925" t="str">
            <v>UND</v>
          </cell>
          <cell r="S925">
            <v>0</v>
          </cell>
          <cell r="T925">
            <v>0</v>
          </cell>
          <cell r="U925" t="str">
            <v/>
          </cell>
          <cell r="V925" t="str">
            <v>PRO10</v>
          </cell>
          <cell r="W925">
            <v>0</v>
          </cell>
        </row>
        <row r="926">
          <cell r="C926" t="str">
            <v>RECMT028152503</v>
          </cell>
          <cell r="D926" t="str">
            <v>PRINC</v>
          </cell>
          <cell r="E926" t="str">
            <v>00016</v>
          </cell>
          <cell r="F926" t="str">
            <v>PIÑONES PLASTICOS</v>
          </cell>
          <cell r="G926" t="str">
            <v>PRINCIPAL</v>
          </cell>
          <cell r="H926">
            <v>46004</v>
          </cell>
          <cell r="I926" t="str">
            <v>SALDO INICIAL</v>
          </cell>
          <cell r="J926">
            <v>5</v>
          </cell>
          <cell r="K926">
            <v>55.396723999999999</v>
          </cell>
          <cell r="L926">
            <v>11.549868</v>
          </cell>
          <cell r="M926">
            <v>11.079344799999999</v>
          </cell>
          <cell r="N926" t="str">
            <v/>
          </cell>
          <cell r="O926" t="str">
            <v/>
          </cell>
          <cell r="P926" t="str">
            <v/>
          </cell>
          <cell r="Q926">
            <v>28</v>
          </cell>
          <cell r="R926" t="str">
            <v>UND</v>
          </cell>
          <cell r="S926">
            <v>0</v>
          </cell>
          <cell r="T926">
            <v>0</v>
          </cell>
          <cell r="U926" t="str">
            <v/>
          </cell>
          <cell r="V926" t="str">
            <v>PRO10</v>
          </cell>
          <cell r="W926">
            <v>0</v>
          </cell>
        </row>
        <row r="927">
          <cell r="C927" t="str">
            <v>RECMT028152504</v>
          </cell>
          <cell r="D927" t="str">
            <v>PRINC</v>
          </cell>
          <cell r="E927" t="str">
            <v>00016</v>
          </cell>
          <cell r="F927" t="str">
            <v>PIÑONES PLASTICOS</v>
          </cell>
          <cell r="G927" t="str">
            <v>PRINCIPAL</v>
          </cell>
          <cell r="H927">
            <v>46004</v>
          </cell>
          <cell r="I927" t="str">
            <v>SALDO INICIAL</v>
          </cell>
          <cell r="J927">
            <v>0</v>
          </cell>
          <cell r="K927">
            <v>0.242341</v>
          </cell>
          <cell r="L927">
            <v>12.255833000000001</v>
          </cell>
          <cell r="M927">
            <v>0</v>
          </cell>
          <cell r="N927" t="str">
            <v/>
          </cell>
          <cell r="O927" t="str">
            <v/>
          </cell>
          <cell r="P927" t="str">
            <v/>
          </cell>
          <cell r="Q927">
            <v>28</v>
          </cell>
          <cell r="R927" t="str">
            <v>UND</v>
          </cell>
          <cell r="S927">
            <v>0</v>
          </cell>
          <cell r="T927">
            <v>0</v>
          </cell>
          <cell r="U927" t="str">
            <v/>
          </cell>
          <cell r="V927" t="str">
            <v>PRO10</v>
          </cell>
          <cell r="W927">
            <v>0</v>
          </cell>
        </row>
        <row r="928">
          <cell r="C928" t="str">
            <v>RECMT028152505</v>
          </cell>
          <cell r="D928" t="str">
            <v>PRINC</v>
          </cell>
          <cell r="E928" t="str">
            <v>00016</v>
          </cell>
          <cell r="F928" t="str">
            <v>PIÑONES PLASTICOS</v>
          </cell>
          <cell r="G928" t="str">
            <v>PRINCIPAL</v>
          </cell>
          <cell r="H928">
            <v>46004</v>
          </cell>
          <cell r="I928" t="str">
            <v>SALDO INICIAL</v>
          </cell>
          <cell r="J928">
            <v>0</v>
          </cell>
          <cell r="K928">
            <v>0.34825800000000001</v>
          </cell>
          <cell r="L928">
            <v>11.681105000000001</v>
          </cell>
          <cell r="M928">
            <v>0</v>
          </cell>
          <cell r="N928" t="str">
            <v/>
          </cell>
          <cell r="O928" t="str">
            <v/>
          </cell>
          <cell r="P928" t="str">
            <v/>
          </cell>
          <cell r="Q928">
            <v>28</v>
          </cell>
          <cell r="R928" t="str">
            <v>UND</v>
          </cell>
          <cell r="S928">
            <v>0</v>
          </cell>
          <cell r="T928">
            <v>0</v>
          </cell>
          <cell r="U928" t="str">
            <v/>
          </cell>
          <cell r="V928" t="str">
            <v>PRO10</v>
          </cell>
          <cell r="W928">
            <v>0</v>
          </cell>
        </row>
        <row r="929">
          <cell r="C929" t="str">
            <v>RECMT038201906</v>
          </cell>
          <cell r="D929" t="str">
            <v>PRINC</v>
          </cell>
          <cell r="E929" t="str">
            <v>00016</v>
          </cell>
          <cell r="F929" t="str">
            <v>PIÑONES PLASTICOS</v>
          </cell>
          <cell r="G929" t="str">
            <v>PRINCIPAL</v>
          </cell>
          <cell r="H929">
            <v>46004</v>
          </cell>
          <cell r="I929" t="str">
            <v>SALDO INICIAL</v>
          </cell>
          <cell r="J929">
            <v>3</v>
          </cell>
          <cell r="K929">
            <v>26.018999999999998</v>
          </cell>
          <cell r="L929">
            <v>8.673</v>
          </cell>
          <cell r="M929">
            <v>8.673</v>
          </cell>
          <cell r="N929" t="str">
            <v/>
          </cell>
          <cell r="O929" t="str">
            <v/>
          </cell>
          <cell r="P929" t="str">
            <v/>
          </cell>
          <cell r="Q929">
            <v>0</v>
          </cell>
          <cell r="R929" t="str">
            <v>UND</v>
          </cell>
          <cell r="S929">
            <v>0</v>
          </cell>
          <cell r="T929">
            <v>0</v>
          </cell>
          <cell r="U929" t="str">
            <v/>
          </cell>
          <cell r="V929" t="str">
            <v>PRO10</v>
          </cell>
          <cell r="W929">
            <v>0</v>
          </cell>
        </row>
        <row r="930">
          <cell r="C930" t="str">
            <v>RECMT028202106</v>
          </cell>
          <cell r="D930" t="str">
            <v>PRINC</v>
          </cell>
          <cell r="E930" t="str">
            <v>00016</v>
          </cell>
          <cell r="F930" t="str">
            <v>PIÑONES PLASTICOS</v>
          </cell>
          <cell r="G930" t="str">
            <v>PRINCIPAL</v>
          </cell>
          <cell r="H930">
            <v>46004</v>
          </cell>
          <cell r="I930" t="str">
            <v>SALDO INICIAL</v>
          </cell>
          <cell r="J930">
            <v>5</v>
          </cell>
          <cell r="K930">
            <v>65.994403000000005</v>
          </cell>
          <cell r="L930">
            <v>11.391791</v>
          </cell>
          <cell r="M930">
            <v>13.198880600000001</v>
          </cell>
          <cell r="N930" t="str">
            <v/>
          </cell>
          <cell r="O930" t="str">
            <v/>
          </cell>
          <cell r="P930" t="str">
            <v/>
          </cell>
          <cell r="Q930">
            <v>25</v>
          </cell>
          <cell r="R930" t="str">
            <v>UND</v>
          </cell>
          <cell r="S930">
            <v>0</v>
          </cell>
          <cell r="T930">
            <v>0</v>
          </cell>
          <cell r="U930" t="str">
            <v/>
          </cell>
          <cell r="V930" t="str">
            <v>PRO10</v>
          </cell>
          <cell r="W930">
            <v>0</v>
          </cell>
        </row>
        <row r="931">
          <cell r="C931" t="str">
            <v>RECMT028202101</v>
          </cell>
          <cell r="D931" t="str">
            <v>PRINC</v>
          </cell>
          <cell r="E931" t="str">
            <v>00016</v>
          </cell>
          <cell r="F931" t="str">
            <v>PIÑONES PLASTICOS</v>
          </cell>
          <cell r="G931" t="str">
            <v>PRINCIPAL</v>
          </cell>
          <cell r="H931">
            <v>46004</v>
          </cell>
          <cell r="I931" t="str">
            <v>SALDO INICIAL</v>
          </cell>
          <cell r="J931">
            <v>1</v>
          </cell>
          <cell r="K931">
            <v>20.252410000000001</v>
          </cell>
          <cell r="L931">
            <v>11.436199999999999</v>
          </cell>
          <cell r="M931">
            <v>20.252410000000001</v>
          </cell>
          <cell r="N931" t="str">
            <v/>
          </cell>
          <cell r="O931" t="str">
            <v/>
          </cell>
          <cell r="P931" t="str">
            <v/>
          </cell>
          <cell r="Q931">
            <v>25</v>
          </cell>
          <cell r="R931" t="str">
            <v>UND</v>
          </cell>
          <cell r="S931">
            <v>0</v>
          </cell>
          <cell r="T931">
            <v>0</v>
          </cell>
          <cell r="U931" t="str">
            <v/>
          </cell>
          <cell r="V931" t="str">
            <v>PRO10</v>
          </cell>
          <cell r="W931">
            <v>0</v>
          </cell>
        </row>
        <row r="932">
          <cell r="C932" t="str">
            <v>RECMT028202102</v>
          </cell>
          <cell r="D932" t="str">
            <v>PRINC</v>
          </cell>
          <cell r="E932" t="str">
            <v>00016</v>
          </cell>
          <cell r="F932" t="str">
            <v>PIÑONES PLASTICOS</v>
          </cell>
          <cell r="G932" t="str">
            <v>PRINCIPAL</v>
          </cell>
          <cell r="H932">
            <v>46004</v>
          </cell>
          <cell r="I932" t="str">
            <v>SALDO INICIAL</v>
          </cell>
          <cell r="J932">
            <v>2</v>
          </cell>
          <cell r="K932">
            <v>8.5903670000000005</v>
          </cell>
          <cell r="L932">
            <v>8.5997000000000003</v>
          </cell>
          <cell r="M932">
            <v>4.2951835000000003</v>
          </cell>
          <cell r="N932" t="str">
            <v/>
          </cell>
          <cell r="O932" t="str">
            <v/>
          </cell>
          <cell r="P932" t="str">
            <v/>
          </cell>
          <cell r="Q932">
            <v>25</v>
          </cell>
          <cell r="R932" t="str">
            <v>UND</v>
          </cell>
          <cell r="S932">
            <v>0</v>
          </cell>
          <cell r="T932">
            <v>0</v>
          </cell>
          <cell r="U932" t="str">
            <v/>
          </cell>
          <cell r="V932" t="str">
            <v>PRO10</v>
          </cell>
          <cell r="W932">
            <v>0</v>
          </cell>
        </row>
        <row r="933">
          <cell r="C933" t="str">
            <v>RECMT028202103</v>
          </cell>
          <cell r="D933" t="str">
            <v>PRINC</v>
          </cell>
          <cell r="E933" t="str">
            <v>00016</v>
          </cell>
          <cell r="F933" t="str">
            <v>PIÑONES PLASTICOS</v>
          </cell>
          <cell r="G933" t="str">
            <v>PRINCIPAL</v>
          </cell>
          <cell r="H933">
            <v>46004</v>
          </cell>
          <cell r="I933" t="str">
            <v>SALDO INICIAL</v>
          </cell>
          <cell r="J933">
            <v>7</v>
          </cell>
          <cell r="K933">
            <v>44.165891000000002</v>
          </cell>
          <cell r="L933">
            <v>8.7715549999999993</v>
          </cell>
          <cell r="M933">
            <v>6.3094130000000002</v>
          </cell>
          <cell r="N933" t="str">
            <v/>
          </cell>
          <cell r="O933" t="str">
            <v/>
          </cell>
          <cell r="P933" t="str">
            <v/>
          </cell>
          <cell r="Q933">
            <v>25</v>
          </cell>
          <cell r="R933" t="str">
            <v>UND</v>
          </cell>
          <cell r="S933">
            <v>0</v>
          </cell>
          <cell r="T933">
            <v>0</v>
          </cell>
          <cell r="U933" t="str">
            <v/>
          </cell>
          <cell r="V933" t="str">
            <v>PRO10</v>
          </cell>
          <cell r="W933">
            <v>0</v>
          </cell>
        </row>
        <row r="934">
          <cell r="C934" t="str">
            <v>RECMT028202302</v>
          </cell>
          <cell r="D934" t="str">
            <v>PRINC</v>
          </cell>
          <cell r="E934" t="str">
            <v>00016</v>
          </cell>
          <cell r="F934" t="str">
            <v>PIÑONES PLASTICOS</v>
          </cell>
          <cell r="G934" t="str">
            <v>PRINCIPAL</v>
          </cell>
          <cell r="H934">
            <v>46004</v>
          </cell>
          <cell r="I934" t="str">
            <v>SALDO INICIAL</v>
          </cell>
          <cell r="J934">
            <v>16</v>
          </cell>
          <cell r="K934">
            <v>153.32951399999999</v>
          </cell>
          <cell r="L934">
            <v>9.1457770000000007</v>
          </cell>
          <cell r="M934">
            <v>9.5830946249999993</v>
          </cell>
          <cell r="N934" t="str">
            <v/>
          </cell>
          <cell r="O934" t="str">
            <v/>
          </cell>
          <cell r="P934" t="str">
            <v/>
          </cell>
          <cell r="Q934">
            <v>26.5</v>
          </cell>
          <cell r="R934" t="str">
            <v>UND</v>
          </cell>
          <cell r="S934">
            <v>0</v>
          </cell>
          <cell r="T934">
            <v>0</v>
          </cell>
          <cell r="U934" t="str">
            <v/>
          </cell>
          <cell r="V934" t="str">
            <v>PRO10</v>
          </cell>
          <cell r="W934">
            <v>0</v>
          </cell>
        </row>
        <row r="935">
          <cell r="C935" t="str">
            <v>RECMT028202332</v>
          </cell>
          <cell r="D935" t="str">
            <v>PRINC</v>
          </cell>
          <cell r="E935" t="str">
            <v>00016</v>
          </cell>
          <cell r="F935" t="str">
            <v>PIÑONES PLASTICOS</v>
          </cell>
          <cell r="G935" t="str">
            <v>PRINCIPAL</v>
          </cell>
          <cell r="H935">
            <v>46004</v>
          </cell>
          <cell r="I935" t="str">
            <v>SALDO INICIAL</v>
          </cell>
          <cell r="J935">
            <v>1</v>
          </cell>
          <cell r="K935">
            <v>8.48</v>
          </cell>
          <cell r="L935">
            <v>8.48</v>
          </cell>
          <cell r="M935">
            <v>8.48</v>
          </cell>
          <cell r="N935" t="str">
            <v/>
          </cell>
          <cell r="O935" t="str">
            <v/>
          </cell>
          <cell r="P935" t="str">
            <v/>
          </cell>
          <cell r="Q935">
            <v>0</v>
          </cell>
          <cell r="R935" t="str">
            <v>UND</v>
          </cell>
          <cell r="S935">
            <v>0</v>
          </cell>
          <cell r="T935">
            <v>0</v>
          </cell>
          <cell r="U935" t="str">
            <v/>
          </cell>
          <cell r="V935" t="str">
            <v>PRO10</v>
          </cell>
          <cell r="W935">
            <v>0</v>
          </cell>
        </row>
        <row r="936">
          <cell r="C936" t="str">
            <v>RECMT028202303</v>
          </cell>
          <cell r="D936" t="str">
            <v>PRINC</v>
          </cell>
          <cell r="E936" t="str">
            <v>00016</v>
          </cell>
          <cell r="F936" t="str">
            <v>PIÑONES PLASTICOS</v>
          </cell>
          <cell r="G936" t="str">
            <v>PRINCIPAL</v>
          </cell>
          <cell r="H936">
            <v>46004</v>
          </cell>
          <cell r="I936" t="str">
            <v>SALDO INICIAL</v>
          </cell>
          <cell r="J936">
            <v>19</v>
          </cell>
          <cell r="K936">
            <v>165.71462700000001</v>
          </cell>
          <cell r="L936">
            <v>8.5709099999999996</v>
          </cell>
          <cell r="M936">
            <v>8.7218224739999997</v>
          </cell>
          <cell r="N936" t="str">
            <v/>
          </cell>
          <cell r="O936" t="str">
            <v/>
          </cell>
          <cell r="P936" t="str">
            <v/>
          </cell>
          <cell r="Q936">
            <v>26.5</v>
          </cell>
          <cell r="R936" t="str">
            <v>UND</v>
          </cell>
          <cell r="S936">
            <v>0</v>
          </cell>
          <cell r="T936">
            <v>0</v>
          </cell>
          <cell r="U936" t="str">
            <v/>
          </cell>
          <cell r="V936" t="str">
            <v>PRO10</v>
          </cell>
          <cell r="W936">
            <v>0</v>
          </cell>
        </row>
        <row r="937">
          <cell r="C937" t="str">
            <v>RECMT028202501</v>
          </cell>
          <cell r="D937" t="str">
            <v>PRINC</v>
          </cell>
          <cell r="E937" t="str">
            <v>00016</v>
          </cell>
          <cell r="F937" t="str">
            <v>PIÑONES PLASTICOS</v>
          </cell>
          <cell r="G937" t="str">
            <v>PRINCIPAL</v>
          </cell>
          <cell r="H937">
            <v>46004</v>
          </cell>
          <cell r="I937" t="str">
            <v>SALDO INICIAL</v>
          </cell>
          <cell r="J937">
            <v>0</v>
          </cell>
          <cell r="K937">
            <v>4.2744590000000002</v>
          </cell>
          <cell r="L937">
            <v>9.9013790000000004</v>
          </cell>
          <cell r="M937">
            <v>0</v>
          </cell>
          <cell r="N937" t="str">
            <v/>
          </cell>
          <cell r="O937" t="str">
            <v/>
          </cell>
          <cell r="P937" t="str">
            <v/>
          </cell>
          <cell r="Q937">
            <v>28</v>
          </cell>
          <cell r="R937" t="str">
            <v>UND</v>
          </cell>
          <cell r="S937">
            <v>0</v>
          </cell>
          <cell r="T937">
            <v>0</v>
          </cell>
          <cell r="U937" t="str">
            <v/>
          </cell>
          <cell r="V937" t="str">
            <v>PRO10</v>
          </cell>
          <cell r="W937">
            <v>0</v>
          </cell>
        </row>
        <row r="938">
          <cell r="C938" t="str">
            <v>RECMT028202502</v>
          </cell>
          <cell r="D938" t="str">
            <v>PRINC</v>
          </cell>
          <cell r="E938" t="str">
            <v>00016</v>
          </cell>
          <cell r="F938" t="str">
            <v>PIÑONES PLASTICOS</v>
          </cell>
          <cell r="G938" t="str">
            <v>PRINCIPAL</v>
          </cell>
          <cell r="H938">
            <v>46004</v>
          </cell>
          <cell r="I938" t="str">
            <v>SALDO INICIAL</v>
          </cell>
          <cell r="J938">
            <v>0</v>
          </cell>
          <cell r="K938">
            <v>-1.259393</v>
          </cell>
          <cell r="L938">
            <v>8.818816</v>
          </cell>
          <cell r="M938">
            <v>0</v>
          </cell>
          <cell r="N938" t="str">
            <v/>
          </cell>
          <cell r="O938" t="str">
            <v/>
          </cell>
          <cell r="P938" t="str">
            <v/>
          </cell>
          <cell r="Q938">
            <v>28</v>
          </cell>
          <cell r="R938" t="str">
            <v>UND</v>
          </cell>
          <cell r="S938">
            <v>0</v>
          </cell>
          <cell r="T938">
            <v>0</v>
          </cell>
          <cell r="U938" t="str">
            <v/>
          </cell>
          <cell r="V938" t="str">
            <v>PRO10</v>
          </cell>
          <cell r="W938">
            <v>0</v>
          </cell>
        </row>
        <row r="939">
          <cell r="C939" t="str">
            <v>RECMT028202503</v>
          </cell>
          <cell r="D939" t="str">
            <v>PRINC</v>
          </cell>
          <cell r="E939" t="str">
            <v>00016</v>
          </cell>
          <cell r="F939" t="str">
            <v>PIÑONES PLASTICOS</v>
          </cell>
          <cell r="G939" t="str">
            <v>PRINCIPAL</v>
          </cell>
          <cell r="H939">
            <v>46004</v>
          </cell>
          <cell r="I939" t="str">
            <v>SALDO INICIAL</v>
          </cell>
          <cell r="J939">
            <v>6</v>
          </cell>
          <cell r="K939">
            <v>51.828000000000003</v>
          </cell>
          <cell r="L939">
            <v>8.6379999999999999</v>
          </cell>
          <cell r="M939">
            <v>8.6379999999999999</v>
          </cell>
          <cell r="N939" t="str">
            <v/>
          </cell>
          <cell r="O939" t="str">
            <v/>
          </cell>
          <cell r="P939" t="str">
            <v/>
          </cell>
          <cell r="Q939">
            <v>28</v>
          </cell>
          <cell r="R939" t="str">
            <v>UND</v>
          </cell>
          <cell r="S939">
            <v>0</v>
          </cell>
          <cell r="T939">
            <v>0</v>
          </cell>
          <cell r="U939" t="str">
            <v/>
          </cell>
          <cell r="V939" t="str">
            <v>PRO10</v>
          </cell>
          <cell r="W939">
            <v>0</v>
          </cell>
        </row>
        <row r="940">
          <cell r="C940" t="str">
            <v>RECMT028202505</v>
          </cell>
          <cell r="D940" t="str">
            <v>PRINC</v>
          </cell>
          <cell r="E940" t="str">
            <v>00016</v>
          </cell>
          <cell r="F940" t="str">
            <v>PIÑONES PLASTICOS</v>
          </cell>
          <cell r="G940" t="str">
            <v>PRINCIPAL</v>
          </cell>
          <cell r="H940">
            <v>46004</v>
          </cell>
          <cell r="I940" t="str">
            <v>SALDO INICIAL</v>
          </cell>
          <cell r="J940">
            <v>3</v>
          </cell>
          <cell r="K940">
            <v>32.774071999999997</v>
          </cell>
          <cell r="L940">
            <v>10.92469</v>
          </cell>
          <cell r="M940">
            <v>10.924690667</v>
          </cell>
          <cell r="N940" t="str">
            <v/>
          </cell>
          <cell r="O940" t="str">
            <v/>
          </cell>
          <cell r="P940" t="str">
            <v/>
          </cell>
          <cell r="Q940">
            <v>28</v>
          </cell>
          <cell r="R940" t="str">
            <v>UND</v>
          </cell>
          <cell r="S940">
            <v>0</v>
          </cell>
          <cell r="T940">
            <v>0</v>
          </cell>
          <cell r="U940" t="str">
            <v/>
          </cell>
          <cell r="V940" t="str">
            <v>PRO10</v>
          </cell>
          <cell r="W940">
            <v>0</v>
          </cell>
        </row>
        <row r="941">
          <cell r="C941" t="str">
            <v>RECMT028801001</v>
          </cell>
          <cell r="D941" t="str">
            <v>PRINC</v>
          </cell>
          <cell r="E941" t="str">
            <v>00016</v>
          </cell>
          <cell r="F941" t="str">
            <v>PIÑONES PLASTICOS</v>
          </cell>
          <cell r="G941" t="str">
            <v>PRINCIPAL</v>
          </cell>
          <cell r="H941">
            <v>46004</v>
          </cell>
          <cell r="I941" t="str">
            <v>SALDO INICIAL</v>
          </cell>
          <cell r="J941">
            <v>0</v>
          </cell>
          <cell r="K941">
            <v>0.90913999999999995</v>
          </cell>
          <cell r="L941">
            <v>8.4501439999999999</v>
          </cell>
          <cell r="M941">
            <v>0</v>
          </cell>
          <cell r="N941" t="str">
            <v/>
          </cell>
          <cell r="O941" t="str">
            <v/>
          </cell>
          <cell r="P941" t="str">
            <v/>
          </cell>
          <cell r="Q941">
            <v>25</v>
          </cell>
          <cell r="R941" t="str">
            <v>UND</v>
          </cell>
          <cell r="S941">
            <v>0</v>
          </cell>
          <cell r="T941">
            <v>0</v>
          </cell>
          <cell r="U941" t="str">
            <v/>
          </cell>
          <cell r="V941" t="str">
            <v>PRO10</v>
          </cell>
          <cell r="W941">
            <v>0</v>
          </cell>
        </row>
        <row r="942">
          <cell r="C942" t="str">
            <v>RECMT028801201</v>
          </cell>
          <cell r="D942" t="str">
            <v>PRINC</v>
          </cell>
          <cell r="E942" t="str">
            <v>00016</v>
          </cell>
          <cell r="F942" t="str">
            <v>PIÑONES PLASTICOS</v>
          </cell>
          <cell r="G942" t="str">
            <v>PRINCIPAL</v>
          </cell>
          <cell r="H942">
            <v>46004</v>
          </cell>
          <cell r="I942" t="str">
            <v>SALDO INICIAL</v>
          </cell>
          <cell r="J942">
            <v>0</v>
          </cell>
          <cell r="K942">
            <v>21.670860000000001</v>
          </cell>
          <cell r="L942">
            <v>8.6445129999999999</v>
          </cell>
          <cell r="M942">
            <v>0</v>
          </cell>
          <cell r="N942" t="str">
            <v/>
          </cell>
          <cell r="O942" t="str">
            <v/>
          </cell>
          <cell r="P942" t="str">
            <v/>
          </cell>
          <cell r="Q942">
            <v>26.5</v>
          </cell>
          <cell r="R942" t="str">
            <v>UND</v>
          </cell>
          <cell r="S942">
            <v>0</v>
          </cell>
          <cell r="T942">
            <v>0</v>
          </cell>
          <cell r="U942" t="str">
            <v/>
          </cell>
          <cell r="V942" t="str">
            <v>PRO10</v>
          </cell>
          <cell r="W942">
            <v>0</v>
          </cell>
        </row>
        <row r="943">
          <cell r="C943" t="str">
            <v>RECMT028812102</v>
          </cell>
          <cell r="D943" t="str">
            <v>PRINC</v>
          </cell>
          <cell r="E943" t="str">
            <v>00016</v>
          </cell>
          <cell r="F943" t="str">
            <v>PIÑONES PLASTICOS</v>
          </cell>
          <cell r="G943" t="str">
            <v>PRINCIPAL</v>
          </cell>
          <cell r="H943">
            <v>46004</v>
          </cell>
          <cell r="I943" t="str">
            <v>SALDO INICIAL</v>
          </cell>
          <cell r="J943">
            <v>3</v>
          </cell>
          <cell r="K943">
            <v>34.942799999999998</v>
          </cell>
          <cell r="L943">
            <v>11.647600000000001</v>
          </cell>
          <cell r="M943">
            <v>11.647600000000001</v>
          </cell>
          <cell r="N943" t="str">
            <v/>
          </cell>
          <cell r="O943" t="str">
            <v/>
          </cell>
          <cell r="P943" t="str">
            <v/>
          </cell>
          <cell r="Q943">
            <v>25</v>
          </cell>
          <cell r="R943" t="str">
            <v>UND</v>
          </cell>
          <cell r="S943">
            <v>0</v>
          </cell>
          <cell r="T943">
            <v>0</v>
          </cell>
          <cell r="U943" t="str">
            <v/>
          </cell>
          <cell r="V943" t="str">
            <v>PRO10</v>
          </cell>
          <cell r="W943">
            <v>0</v>
          </cell>
        </row>
        <row r="944">
          <cell r="C944" t="str">
            <v>RECMT028812302</v>
          </cell>
          <cell r="D944" t="str">
            <v>PRINC</v>
          </cell>
          <cell r="E944" t="str">
            <v>00016</v>
          </cell>
          <cell r="F944" t="str">
            <v>PIÑONES PLASTICOS</v>
          </cell>
          <cell r="G944" t="str">
            <v>PRINCIPAL</v>
          </cell>
          <cell r="H944">
            <v>46004</v>
          </cell>
          <cell r="I944" t="str">
            <v>SALDO INICIAL</v>
          </cell>
          <cell r="J944">
            <v>8</v>
          </cell>
          <cell r="K944">
            <v>101.68</v>
          </cell>
          <cell r="L944">
            <v>12.71</v>
          </cell>
          <cell r="M944">
            <v>12.71</v>
          </cell>
          <cell r="N944" t="str">
            <v/>
          </cell>
          <cell r="O944" t="str">
            <v/>
          </cell>
          <cell r="P944" t="str">
            <v/>
          </cell>
          <cell r="Q944">
            <v>0</v>
          </cell>
          <cell r="R944" t="str">
            <v>UND</v>
          </cell>
          <cell r="S944">
            <v>0</v>
          </cell>
          <cell r="T944">
            <v>0</v>
          </cell>
          <cell r="U944" t="str">
            <v/>
          </cell>
          <cell r="V944" t="str">
            <v>PRO10</v>
          </cell>
          <cell r="W944">
            <v>0</v>
          </cell>
        </row>
        <row r="945">
          <cell r="C945" t="str">
            <v>RECMT028812303</v>
          </cell>
          <cell r="D945" t="str">
            <v>PRINC</v>
          </cell>
          <cell r="E945" t="str">
            <v>00016</v>
          </cell>
          <cell r="F945" t="str">
            <v>PIÑONES PLASTICOS</v>
          </cell>
          <cell r="G945" t="str">
            <v>PRINCIPAL</v>
          </cell>
          <cell r="H945">
            <v>46004</v>
          </cell>
          <cell r="I945" t="str">
            <v>SALDO INICIAL</v>
          </cell>
          <cell r="J945">
            <v>10</v>
          </cell>
          <cell r="K945">
            <v>93.101140000000001</v>
          </cell>
          <cell r="L945">
            <v>9.3142010000000006</v>
          </cell>
          <cell r="M945">
            <v>9.3101140000000004</v>
          </cell>
          <cell r="N945" t="str">
            <v/>
          </cell>
          <cell r="O945" t="str">
            <v/>
          </cell>
          <cell r="P945" t="str">
            <v/>
          </cell>
          <cell r="Q945">
            <v>0</v>
          </cell>
          <cell r="R945" t="str">
            <v>UND</v>
          </cell>
          <cell r="S945">
            <v>0</v>
          </cell>
          <cell r="T945">
            <v>0</v>
          </cell>
          <cell r="U945" t="str">
            <v/>
          </cell>
          <cell r="V945" t="str">
            <v>PRO10</v>
          </cell>
          <cell r="W945">
            <v>0</v>
          </cell>
        </row>
        <row r="946">
          <cell r="C946" t="str">
            <v>RECMT028812501</v>
          </cell>
          <cell r="D946" t="str">
            <v>PRINC</v>
          </cell>
          <cell r="E946" t="str">
            <v>00016</v>
          </cell>
          <cell r="F946" t="str">
            <v>PIÑONES PLASTICOS</v>
          </cell>
          <cell r="G946" t="str">
            <v>PRINCIPAL</v>
          </cell>
          <cell r="H946">
            <v>46004</v>
          </cell>
          <cell r="I946" t="str">
            <v>SALDO INICIAL</v>
          </cell>
          <cell r="J946">
            <v>1</v>
          </cell>
          <cell r="K946">
            <v>15.027519</v>
          </cell>
          <cell r="L946">
            <v>9.1686879999999995</v>
          </cell>
          <cell r="M946">
            <v>15.027519</v>
          </cell>
          <cell r="N946" t="str">
            <v/>
          </cell>
          <cell r="O946" t="str">
            <v/>
          </cell>
          <cell r="P946" t="str">
            <v/>
          </cell>
          <cell r="Q946">
            <v>29</v>
          </cell>
          <cell r="R946" t="str">
            <v>UND</v>
          </cell>
          <cell r="S946">
            <v>0</v>
          </cell>
          <cell r="T946">
            <v>0</v>
          </cell>
          <cell r="U946" t="str">
            <v/>
          </cell>
          <cell r="V946" t="str">
            <v>PRO10</v>
          </cell>
          <cell r="W946">
            <v>0</v>
          </cell>
        </row>
        <row r="947">
          <cell r="C947" t="str">
            <v>RECMT028812502</v>
          </cell>
          <cell r="D947" t="str">
            <v>PRINC</v>
          </cell>
          <cell r="E947" t="str">
            <v>00016</v>
          </cell>
          <cell r="F947" t="str">
            <v>PIÑONES PLASTICOS</v>
          </cell>
          <cell r="G947" t="str">
            <v>PRINCIPAL</v>
          </cell>
          <cell r="H947">
            <v>46004</v>
          </cell>
          <cell r="I947" t="str">
            <v>SALDO INICIAL</v>
          </cell>
          <cell r="J947">
            <v>9</v>
          </cell>
          <cell r="K947">
            <v>79.483789999999999</v>
          </cell>
          <cell r="L947">
            <v>8.8656539999999993</v>
          </cell>
          <cell r="M947">
            <v>8.8315322219999999</v>
          </cell>
          <cell r="N947" t="str">
            <v/>
          </cell>
          <cell r="O947" t="str">
            <v/>
          </cell>
          <cell r="P947" t="str">
            <v/>
          </cell>
          <cell r="Q947">
            <v>29</v>
          </cell>
          <cell r="R947" t="str">
            <v>UND</v>
          </cell>
          <cell r="S947">
            <v>0</v>
          </cell>
          <cell r="T947">
            <v>0</v>
          </cell>
          <cell r="U947" t="str">
            <v/>
          </cell>
          <cell r="V947" t="str">
            <v>PRO10</v>
          </cell>
          <cell r="W947">
            <v>0</v>
          </cell>
        </row>
        <row r="948">
          <cell r="C948" t="str">
            <v>RECMT028812503</v>
          </cell>
          <cell r="D948" t="str">
            <v>PRINC</v>
          </cell>
          <cell r="E948" t="str">
            <v>00016</v>
          </cell>
          <cell r="F948" t="str">
            <v>PIÑONES PLASTICOS</v>
          </cell>
          <cell r="G948" t="str">
            <v>PRINCIPAL</v>
          </cell>
          <cell r="H948">
            <v>46004</v>
          </cell>
          <cell r="I948" t="str">
            <v>SALDO INICIAL</v>
          </cell>
          <cell r="J948">
            <v>0</v>
          </cell>
          <cell r="K948">
            <v>20.112500000000001</v>
          </cell>
          <cell r="L948">
            <v>12.503826999999999</v>
          </cell>
          <cell r="M948">
            <v>0</v>
          </cell>
          <cell r="N948" t="str">
            <v/>
          </cell>
          <cell r="O948" t="str">
            <v/>
          </cell>
          <cell r="P948" t="str">
            <v/>
          </cell>
          <cell r="Q948">
            <v>29</v>
          </cell>
          <cell r="R948" t="str">
            <v>UND</v>
          </cell>
          <cell r="S948">
            <v>0</v>
          </cell>
          <cell r="T948">
            <v>0</v>
          </cell>
          <cell r="U948" t="str">
            <v/>
          </cell>
          <cell r="V948" t="str">
            <v>PRO10</v>
          </cell>
          <cell r="W948">
            <v>0</v>
          </cell>
        </row>
        <row r="949">
          <cell r="C949" t="str">
            <v>RECMT028812504</v>
          </cell>
          <cell r="D949" t="str">
            <v>PRINC</v>
          </cell>
          <cell r="E949" t="str">
            <v>00016</v>
          </cell>
          <cell r="F949" t="str">
            <v>PIÑONES PLASTICOS</v>
          </cell>
          <cell r="G949" t="str">
            <v>PRINCIPAL</v>
          </cell>
          <cell r="H949">
            <v>46004</v>
          </cell>
          <cell r="I949" t="str">
            <v>SALDO INICIAL</v>
          </cell>
          <cell r="J949">
            <v>1</v>
          </cell>
          <cell r="K949">
            <v>12.057</v>
          </cell>
          <cell r="L949">
            <v>12.057</v>
          </cell>
          <cell r="M949">
            <v>12.057</v>
          </cell>
          <cell r="N949" t="str">
            <v/>
          </cell>
          <cell r="O949" t="str">
            <v/>
          </cell>
          <cell r="P949" t="str">
            <v/>
          </cell>
          <cell r="Q949">
            <v>29</v>
          </cell>
          <cell r="R949" t="str">
            <v>UND</v>
          </cell>
          <cell r="S949">
            <v>0</v>
          </cell>
          <cell r="T949">
            <v>0</v>
          </cell>
          <cell r="U949" t="str">
            <v/>
          </cell>
          <cell r="V949" t="str">
            <v>PRO10</v>
          </cell>
          <cell r="W949">
            <v>0</v>
          </cell>
        </row>
        <row r="950">
          <cell r="C950" t="str">
            <v>RECMT028821206</v>
          </cell>
          <cell r="D950" t="str">
            <v>PRINC</v>
          </cell>
          <cell r="E950" t="str">
            <v>00016</v>
          </cell>
          <cell r="F950" t="str">
            <v>PIÑONES PLASTICOS</v>
          </cell>
          <cell r="G950" t="str">
            <v>PRINCIPAL</v>
          </cell>
          <cell r="H950">
            <v>46004</v>
          </cell>
          <cell r="I950" t="str">
            <v>SALDO INICIAL</v>
          </cell>
          <cell r="J950">
            <v>9</v>
          </cell>
          <cell r="K950">
            <v>79.259399999999999</v>
          </cell>
          <cell r="L950">
            <v>8.8065999999999995</v>
          </cell>
          <cell r="M950">
            <v>8.8065999999999995</v>
          </cell>
          <cell r="N950" t="str">
            <v/>
          </cell>
          <cell r="O950" t="str">
            <v/>
          </cell>
          <cell r="P950" t="str">
            <v/>
          </cell>
          <cell r="Q950">
            <v>27.5</v>
          </cell>
          <cell r="R950" t="str">
            <v>UND</v>
          </cell>
          <cell r="S950">
            <v>0</v>
          </cell>
          <cell r="T950">
            <v>0</v>
          </cell>
          <cell r="U950" t="str">
            <v/>
          </cell>
          <cell r="V950" t="str">
            <v>PRO10</v>
          </cell>
          <cell r="W950">
            <v>0</v>
          </cell>
        </row>
        <row r="951">
          <cell r="C951" t="str">
            <v>RECMT028821201</v>
          </cell>
          <cell r="D951" t="str">
            <v>PRINC</v>
          </cell>
          <cell r="E951" t="str">
            <v>00016</v>
          </cell>
          <cell r="F951" t="str">
            <v>PIÑONES PLASTICOS</v>
          </cell>
          <cell r="G951" t="str">
            <v>PRINCIPAL</v>
          </cell>
          <cell r="H951">
            <v>46004</v>
          </cell>
          <cell r="I951" t="str">
            <v>SALDO INICIAL</v>
          </cell>
          <cell r="J951">
            <v>0</v>
          </cell>
          <cell r="K951">
            <v>-0.48103800000000002</v>
          </cell>
          <cell r="L951">
            <v>9.0233159999999994</v>
          </cell>
          <cell r="M951">
            <v>0</v>
          </cell>
          <cell r="N951" t="str">
            <v/>
          </cell>
          <cell r="O951" t="str">
            <v/>
          </cell>
          <cell r="P951" t="str">
            <v/>
          </cell>
          <cell r="Q951">
            <v>27.5</v>
          </cell>
          <cell r="R951" t="str">
            <v>UND</v>
          </cell>
          <cell r="S951">
            <v>0</v>
          </cell>
          <cell r="T951">
            <v>0</v>
          </cell>
          <cell r="U951" t="str">
            <v/>
          </cell>
          <cell r="V951" t="str">
            <v>PRO10</v>
          </cell>
          <cell r="W951">
            <v>0</v>
          </cell>
        </row>
        <row r="952">
          <cell r="C952" t="str">
            <v>REMPBASQ7300213</v>
          </cell>
          <cell r="D952" t="str">
            <v>PRINC</v>
          </cell>
          <cell r="E952" t="str">
            <v>00016</v>
          </cell>
          <cell r="F952" t="str">
            <v>PIÑONES PLASTICOS</v>
          </cell>
          <cell r="G952" t="str">
            <v>PRINCIPAL</v>
          </cell>
          <cell r="H952">
            <v>46004</v>
          </cell>
          <cell r="I952" t="str">
            <v>SALDO INICIAL</v>
          </cell>
          <cell r="J952">
            <v>0</v>
          </cell>
          <cell r="K952">
            <v>-75.902955000000006</v>
          </cell>
          <cell r="L952">
            <v>33.020783999999999</v>
          </cell>
          <cell r="M952">
            <v>0</v>
          </cell>
          <cell r="N952" t="str">
            <v/>
          </cell>
          <cell r="O952" t="str">
            <v/>
          </cell>
          <cell r="P952" t="str">
            <v/>
          </cell>
          <cell r="Q952">
            <v>53</v>
          </cell>
          <cell r="R952" t="str">
            <v>UND</v>
          </cell>
          <cell r="S952">
            <v>0</v>
          </cell>
          <cell r="T952">
            <v>0</v>
          </cell>
          <cell r="U952" t="str">
            <v/>
          </cell>
          <cell r="V952" t="str">
            <v>PRO10</v>
          </cell>
          <cell r="W952">
            <v>0</v>
          </cell>
        </row>
        <row r="953">
          <cell r="C953" t="str">
            <v>REMPBSF10101830</v>
          </cell>
          <cell r="D953" t="str">
            <v>PRINC</v>
          </cell>
          <cell r="E953" t="str">
            <v>00016</v>
          </cell>
          <cell r="F953" t="str">
            <v>PIÑONES PLASTICOS</v>
          </cell>
          <cell r="G953" t="str">
            <v>PRINCIPAL</v>
          </cell>
          <cell r="H953">
            <v>46004</v>
          </cell>
          <cell r="I953" t="str">
            <v>SALDO INICIAL</v>
          </cell>
          <cell r="J953">
            <v>0</v>
          </cell>
          <cell r="K953">
            <v>0.46500000000000002</v>
          </cell>
          <cell r="L953">
            <v>11.766042000000001</v>
          </cell>
          <cell r="M953">
            <v>0</v>
          </cell>
          <cell r="N953" t="str">
            <v/>
          </cell>
          <cell r="O953" t="str">
            <v/>
          </cell>
          <cell r="P953" t="str">
            <v/>
          </cell>
          <cell r="Q953">
            <v>0</v>
          </cell>
          <cell r="R953" t="str">
            <v>UND</v>
          </cell>
          <cell r="S953">
            <v>0</v>
          </cell>
          <cell r="T953">
            <v>0</v>
          </cell>
          <cell r="U953" t="str">
            <v/>
          </cell>
          <cell r="V953" t="str">
            <v>PRO10</v>
          </cell>
          <cell r="W953">
            <v>0</v>
          </cell>
        </row>
        <row r="954">
          <cell r="C954" t="str">
            <v>REMPBSF10102030</v>
          </cell>
          <cell r="D954" t="str">
            <v>PRINC</v>
          </cell>
          <cell r="E954" t="str">
            <v>00016</v>
          </cell>
          <cell r="F954" t="str">
            <v>PIÑONES PLASTICOS</v>
          </cell>
          <cell r="G954" t="str">
            <v>PRINCIPAL</v>
          </cell>
          <cell r="H954">
            <v>46004</v>
          </cell>
          <cell r="I954" t="str">
            <v>SALDO INICIAL</v>
          </cell>
          <cell r="J954">
            <v>10</v>
          </cell>
          <cell r="K954">
            <v>102.74000100000001</v>
          </cell>
          <cell r="L954">
            <v>10.273999999999999</v>
          </cell>
          <cell r="M954">
            <v>10.2740001</v>
          </cell>
          <cell r="N954" t="str">
            <v/>
          </cell>
          <cell r="O954" t="str">
            <v/>
          </cell>
          <cell r="P954" t="str">
            <v/>
          </cell>
          <cell r="Q954">
            <v>0</v>
          </cell>
          <cell r="R954" t="str">
            <v>UND</v>
          </cell>
          <cell r="S954">
            <v>0</v>
          </cell>
          <cell r="T954">
            <v>0</v>
          </cell>
          <cell r="U954" t="str">
            <v/>
          </cell>
          <cell r="V954" t="str">
            <v>PRO10</v>
          </cell>
          <cell r="W954">
            <v>0</v>
          </cell>
        </row>
        <row r="955">
          <cell r="C955" t="str">
            <v>REMPBSFUSP1840</v>
          </cell>
          <cell r="D955" t="str">
            <v>PRINC</v>
          </cell>
          <cell r="E955" t="str">
            <v>00016</v>
          </cell>
          <cell r="F955" t="str">
            <v>PIÑONES PLASTICOS</v>
          </cell>
          <cell r="G955" t="str">
            <v>PRINCIPAL</v>
          </cell>
          <cell r="H955">
            <v>46004</v>
          </cell>
          <cell r="I955" t="str">
            <v>SALDO INICIAL</v>
          </cell>
          <cell r="J955">
            <v>0</v>
          </cell>
          <cell r="K955">
            <v>14.799541</v>
          </cell>
          <cell r="L955">
            <v>11.834554000000001</v>
          </cell>
          <cell r="M955">
            <v>0</v>
          </cell>
          <cell r="N955" t="str">
            <v/>
          </cell>
          <cell r="O955" t="str">
            <v/>
          </cell>
          <cell r="P955" t="str">
            <v/>
          </cell>
          <cell r="Q955">
            <v>41.5</v>
          </cell>
          <cell r="R955" t="str">
            <v>UND</v>
          </cell>
          <cell r="S955">
            <v>0</v>
          </cell>
          <cell r="T955">
            <v>0</v>
          </cell>
          <cell r="U955" t="str">
            <v/>
          </cell>
          <cell r="V955" t="str">
            <v>PRO10</v>
          </cell>
          <cell r="W955">
            <v>0</v>
          </cell>
        </row>
        <row r="956">
          <cell r="C956" t="str">
            <v>REMPBSQUSP18381</v>
          </cell>
          <cell r="D956" t="str">
            <v>PRINC</v>
          </cell>
          <cell r="E956" t="str">
            <v>00016</v>
          </cell>
          <cell r="F956" t="str">
            <v>PIÑONES PLASTICOS</v>
          </cell>
          <cell r="G956" t="str">
            <v>PRINCIPAL</v>
          </cell>
          <cell r="H956">
            <v>46004</v>
          </cell>
          <cell r="I956" t="str">
            <v>SALDO INICIAL</v>
          </cell>
          <cell r="J956">
            <v>28</v>
          </cell>
          <cell r="K956">
            <v>513.52782000000002</v>
          </cell>
          <cell r="L956">
            <v>18.340278999999999</v>
          </cell>
          <cell r="M956">
            <v>18.340279286000001</v>
          </cell>
          <cell r="N956" t="str">
            <v/>
          </cell>
          <cell r="O956" t="str">
            <v/>
          </cell>
          <cell r="P956" t="str">
            <v/>
          </cell>
          <cell r="Q956">
            <v>0</v>
          </cell>
          <cell r="R956" t="str">
            <v>UND</v>
          </cell>
          <cell r="S956">
            <v>0</v>
          </cell>
          <cell r="T956">
            <v>0</v>
          </cell>
          <cell r="U956" t="str">
            <v/>
          </cell>
          <cell r="V956" t="str">
            <v>PRO10</v>
          </cell>
          <cell r="W956">
            <v>0</v>
          </cell>
        </row>
        <row r="957">
          <cell r="C957" t="str">
            <v>REMPBST10101630</v>
          </cell>
          <cell r="D957" t="str">
            <v>PRINC</v>
          </cell>
          <cell r="E957" t="str">
            <v>00016</v>
          </cell>
          <cell r="F957" t="str">
            <v>PIÑONES PLASTICOS</v>
          </cell>
          <cell r="G957" t="str">
            <v>PRINCIPAL</v>
          </cell>
          <cell r="H957">
            <v>46004</v>
          </cell>
          <cell r="I957" t="str">
            <v>SALDO INICIAL</v>
          </cell>
          <cell r="J957">
            <v>6</v>
          </cell>
          <cell r="K957">
            <v>65.53125</v>
          </cell>
          <cell r="L957">
            <v>10.921875</v>
          </cell>
          <cell r="M957">
            <v>10.921875</v>
          </cell>
          <cell r="N957" t="str">
            <v/>
          </cell>
          <cell r="O957" t="str">
            <v/>
          </cell>
          <cell r="P957" t="str">
            <v/>
          </cell>
          <cell r="Q957">
            <v>28.6</v>
          </cell>
          <cell r="R957" t="str">
            <v>UND</v>
          </cell>
          <cell r="S957">
            <v>0</v>
          </cell>
          <cell r="T957">
            <v>0</v>
          </cell>
          <cell r="U957" t="str">
            <v/>
          </cell>
          <cell r="V957" t="str">
            <v>PRO10</v>
          </cell>
          <cell r="W957">
            <v>0</v>
          </cell>
        </row>
        <row r="958">
          <cell r="C958" t="str">
            <v>REMPBST10101830</v>
          </cell>
          <cell r="D958" t="str">
            <v>PRINC</v>
          </cell>
          <cell r="E958" t="str">
            <v>00016</v>
          </cell>
          <cell r="F958" t="str">
            <v>PIÑONES PLASTICOS</v>
          </cell>
          <cell r="G958" t="str">
            <v>PRINCIPAL</v>
          </cell>
          <cell r="H958">
            <v>46004</v>
          </cell>
          <cell r="I958" t="str">
            <v>SALDO INICIAL</v>
          </cell>
          <cell r="J958">
            <v>14</v>
          </cell>
          <cell r="K958">
            <v>174.51016999999999</v>
          </cell>
          <cell r="L958">
            <v>12.396667000000001</v>
          </cell>
          <cell r="M958">
            <v>12.465012142999999</v>
          </cell>
          <cell r="N958" t="str">
            <v/>
          </cell>
          <cell r="O958" t="str">
            <v/>
          </cell>
          <cell r="P958" t="str">
            <v/>
          </cell>
          <cell r="Q958">
            <v>30.2</v>
          </cell>
          <cell r="R958" t="str">
            <v>UND</v>
          </cell>
          <cell r="S958">
            <v>0</v>
          </cell>
          <cell r="T958">
            <v>0</v>
          </cell>
          <cell r="U958" t="str">
            <v/>
          </cell>
          <cell r="V958" t="str">
            <v>PRO10</v>
          </cell>
          <cell r="W958">
            <v>0</v>
          </cell>
        </row>
        <row r="959">
          <cell r="C959" t="str">
            <v>REMPBST10101835</v>
          </cell>
          <cell r="D959" t="str">
            <v>PRINC</v>
          </cell>
          <cell r="E959" t="str">
            <v>00016</v>
          </cell>
          <cell r="F959" t="str">
            <v>PIÑONES PLASTICOS</v>
          </cell>
          <cell r="G959" t="str">
            <v>PRINCIPAL</v>
          </cell>
          <cell r="H959">
            <v>46004</v>
          </cell>
          <cell r="I959" t="str">
            <v>SALDO INICIAL</v>
          </cell>
          <cell r="J959">
            <v>8</v>
          </cell>
          <cell r="K959">
            <v>1.6384559999999999</v>
          </cell>
          <cell r="L959">
            <v>12.635064</v>
          </cell>
          <cell r="M959">
            <v>0.20480699999999999</v>
          </cell>
          <cell r="N959" t="str">
            <v/>
          </cell>
          <cell r="O959" t="str">
            <v/>
          </cell>
          <cell r="P959" t="str">
            <v/>
          </cell>
          <cell r="Q959">
            <v>30.2</v>
          </cell>
          <cell r="R959" t="str">
            <v>UND</v>
          </cell>
          <cell r="S959">
            <v>0</v>
          </cell>
          <cell r="T959">
            <v>0</v>
          </cell>
          <cell r="U959" t="str">
            <v/>
          </cell>
          <cell r="V959" t="str">
            <v>PRO10</v>
          </cell>
          <cell r="W959">
            <v>0</v>
          </cell>
        </row>
        <row r="960">
          <cell r="C960" t="str">
            <v>REMPBST10101840</v>
          </cell>
          <cell r="D960" t="str">
            <v>PRINC</v>
          </cell>
          <cell r="E960" t="str">
            <v>00016</v>
          </cell>
          <cell r="F960" t="str">
            <v>PIÑONES PLASTICOS</v>
          </cell>
          <cell r="G960" t="str">
            <v>PRINCIPAL</v>
          </cell>
          <cell r="H960">
            <v>46004</v>
          </cell>
          <cell r="I960" t="str">
            <v>SALDO INICIAL</v>
          </cell>
          <cell r="J960">
            <v>1</v>
          </cell>
          <cell r="K960">
            <v>9.0229169999999996</v>
          </cell>
          <cell r="L960">
            <v>9.0229169999999996</v>
          </cell>
          <cell r="M960">
            <v>9.0229169999999996</v>
          </cell>
          <cell r="N960" t="str">
            <v/>
          </cell>
          <cell r="O960" t="str">
            <v/>
          </cell>
          <cell r="P960" t="str">
            <v/>
          </cell>
          <cell r="Q960">
            <v>30.2</v>
          </cell>
          <cell r="R960" t="str">
            <v>UND</v>
          </cell>
          <cell r="S960">
            <v>0</v>
          </cell>
          <cell r="T960">
            <v>0</v>
          </cell>
          <cell r="U960" t="str">
            <v/>
          </cell>
          <cell r="V960" t="str">
            <v>PRO10</v>
          </cell>
          <cell r="W960">
            <v>0</v>
          </cell>
        </row>
        <row r="961">
          <cell r="C961" t="str">
            <v>REMPBST10102030</v>
          </cell>
          <cell r="D961" t="str">
            <v>PRINC</v>
          </cell>
          <cell r="E961" t="str">
            <v>00016</v>
          </cell>
          <cell r="F961" t="str">
            <v>PIÑONES PLASTICOS</v>
          </cell>
          <cell r="G961" t="str">
            <v>PRINCIPAL</v>
          </cell>
          <cell r="H961">
            <v>46004</v>
          </cell>
          <cell r="I961" t="str">
            <v>SALDO INICIAL</v>
          </cell>
          <cell r="J961">
            <v>2</v>
          </cell>
          <cell r="K961">
            <v>21.576000000000001</v>
          </cell>
          <cell r="L961">
            <v>10.788</v>
          </cell>
          <cell r="M961">
            <v>10.788</v>
          </cell>
          <cell r="N961" t="str">
            <v/>
          </cell>
          <cell r="O961" t="str">
            <v/>
          </cell>
          <cell r="P961" t="str">
            <v/>
          </cell>
          <cell r="Q961">
            <v>31.8</v>
          </cell>
          <cell r="R961" t="str">
            <v>UND</v>
          </cell>
          <cell r="S961">
            <v>0</v>
          </cell>
          <cell r="T961">
            <v>0</v>
          </cell>
          <cell r="U961" t="str">
            <v/>
          </cell>
          <cell r="V961" t="str">
            <v>PRO10</v>
          </cell>
          <cell r="W961">
            <v>0</v>
          </cell>
        </row>
        <row r="962">
          <cell r="C962" t="str">
            <v>REMPBST10102035</v>
          </cell>
          <cell r="D962" t="str">
            <v>PRINC</v>
          </cell>
          <cell r="E962" t="str">
            <v>00016</v>
          </cell>
          <cell r="F962" t="str">
            <v>PIÑONES PLASTICOS</v>
          </cell>
          <cell r="G962" t="str">
            <v>PRINCIPAL</v>
          </cell>
          <cell r="H962">
            <v>46004</v>
          </cell>
          <cell r="I962" t="str">
            <v>SALDO INICIAL</v>
          </cell>
          <cell r="J962">
            <v>0</v>
          </cell>
          <cell r="K962">
            <v>1.5519959999999999</v>
          </cell>
          <cell r="L962">
            <v>13.449</v>
          </cell>
          <cell r="M962">
            <v>0</v>
          </cell>
          <cell r="N962" t="str">
            <v/>
          </cell>
          <cell r="O962" t="str">
            <v/>
          </cell>
          <cell r="P962" t="str">
            <v/>
          </cell>
          <cell r="Q962">
            <v>31.8</v>
          </cell>
          <cell r="R962" t="str">
            <v>UND</v>
          </cell>
          <cell r="S962">
            <v>0</v>
          </cell>
          <cell r="T962">
            <v>0</v>
          </cell>
          <cell r="U962" t="str">
            <v/>
          </cell>
          <cell r="V962" t="str">
            <v>PRO10</v>
          </cell>
          <cell r="W962">
            <v>0</v>
          </cell>
        </row>
        <row r="963">
          <cell r="C963" t="str">
            <v>REMPBST10102040</v>
          </cell>
          <cell r="D963" t="str">
            <v>PRINC</v>
          </cell>
          <cell r="E963" t="str">
            <v>00016</v>
          </cell>
          <cell r="F963" t="str">
            <v>PIÑONES PLASTICOS</v>
          </cell>
          <cell r="G963" t="str">
            <v>PRINCIPAL</v>
          </cell>
          <cell r="H963">
            <v>46004</v>
          </cell>
          <cell r="I963" t="str">
            <v>SALDO INICIAL</v>
          </cell>
          <cell r="J963">
            <v>2</v>
          </cell>
          <cell r="K963">
            <v>0</v>
          </cell>
          <cell r="L963">
            <v>0</v>
          </cell>
          <cell r="M963">
            <v>0</v>
          </cell>
          <cell r="N963" t="str">
            <v/>
          </cell>
          <cell r="O963" t="str">
            <v/>
          </cell>
          <cell r="P963" t="str">
            <v/>
          </cell>
          <cell r="Q963">
            <v>31.8</v>
          </cell>
          <cell r="R963" t="str">
            <v>UND</v>
          </cell>
          <cell r="S963">
            <v>0</v>
          </cell>
          <cell r="T963">
            <v>0</v>
          </cell>
          <cell r="U963" t="str">
            <v/>
          </cell>
          <cell r="V963" t="str">
            <v>PRO10</v>
          </cell>
          <cell r="W963">
            <v>0</v>
          </cell>
        </row>
        <row r="964">
          <cell r="C964" t="str">
            <v>REMPBST6112825</v>
          </cell>
          <cell r="D964" t="str">
            <v>PRINC</v>
          </cell>
          <cell r="E964" t="str">
            <v>00016</v>
          </cell>
          <cell r="F964" t="str">
            <v>PIÑONES PLASTICOS</v>
          </cell>
          <cell r="G964" t="str">
            <v>PRINCIPAL</v>
          </cell>
          <cell r="H964">
            <v>46004</v>
          </cell>
          <cell r="I964" t="str">
            <v>SALDO INICIAL</v>
          </cell>
          <cell r="J964">
            <v>6</v>
          </cell>
          <cell r="K964">
            <v>67.319999999999993</v>
          </cell>
          <cell r="L964">
            <v>0</v>
          </cell>
          <cell r="M964">
            <v>11.22</v>
          </cell>
          <cell r="N964" t="str">
            <v/>
          </cell>
          <cell r="O964" t="str">
            <v/>
          </cell>
          <cell r="P964" t="str">
            <v/>
          </cell>
          <cell r="Q964">
            <v>0</v>
          </cell>
          <cell r="R964" t="str">
            <v>UND</v>
          </cell>
          <cell r="S964">
            <v>0</v>
          </cell>
          <cell r="T964">
            <v>0</v>
          </cell>
          <cell r="U964" t="str">
            <v/>
          </cell>
          <cell r="V964" t="str">
            <v>PRO10</v>
          </cell>
          <cell r="W964">
            <v>0</v>
          </cell>
        </row>
        <row r="965">
          <cell r="C965" t="str">
            <v>REMPBSTUSP1835</v>
          </cell>
          <cell r="D965" t="str">
            <v>PRINC</v>
          </cell>
          <cell r="E965" t="str">
            <v>00016</v>
          </cell>
          <cell r="F965" t="str">
            <v>PIÑONES PLASTICOS</v>
          </cell>
          <cell r="G965" t="str">
            <v>PRINCIPAL</v>
          </cell>
          <cell r="H965">
            <v>46004</v>
          </cell>
          <cell r="I965" t="str">
            <v>SALDO INICIAL</v>
          </cell>
          <cell r="J965">
            <v>16</v>
          </cell>
          <cell r="K965">
            <v>0</v>
          </cell>
          <cell r="L965">
            <v>0</v>
          </cell>
          <cell r="M965">
            <v>0</v>
          </cell>
          <cell r="N965" t="str">
            <v/>
          </cell>
          <cell r="O965" t="str">
            <v/>
          </cell>
          <cell r="P965" t="str">
            <v/>
          </cell>
          <cell r="Q965">
            <v>41.5</v>
          </cell>
          <cell r="R965" t="str">
            <v>UND</v>
          </cell>
          <cell r="S965">
            <v>0</v>
          </cell>
          <cell r="T965">
            <v>0</v>
          </cell>
          <cell r="U965" t="str">
            <v/>
          </cell>
          <cell r="V965" t="str">
            <v>PRO10</v>
          </cell>
          <cell r="W965">
            <v>0</v>
          </cell>
        </row>
        <row r="966">
          <cell r="C966" t="str">
            <v>REMPBSTUSP1840</v>
          </cell>
          <cell r="D966" t="str">
            <v>PRINC</v>
          </cell>
          <cell r="E966" t="str">
            <v>00016</v>
          </cell>
          <cell r="F966" t="str">
            <v>PIÑONES PLASTICOS</v>
          </cell>
          <cell r="G966" t="str">
            <v>PRINCIPAL</v>
          </cell>
          <cell r="H966">
            <v>46004</v>
          </cell>
          <cell r="I966" t="str">
            <v>SALDO INICIAL</v>
          </cell>
          <cell r="J966">
            <v>8</v>
          </cell>
          <cell r="K966">
            <v>116.715265</v>
          </cell>
          <cell r="L966">
            <v>14.357533</v>
          </cell>
          <cell r="M966">
            <v>14.589408125</v>
          </cell>
          <cell r="N966" t="str">
            <v/>
          </cell>
          <cell r="O966" t="str">
            <v/>
          </cell>
          <cell r="P966" t="str">
            <v/>
          </cell>
          <cell r="Q966">
            <v>41.5</v>
          </cell>
          <cell r="R966" t="str">
            <v>UND</v>
          </cell>
          <cell r="S966">
            <v>0</v>
          </cell>
          <cell r="T966">
            <v>0</v>
          </cell>
          <cell r="U966" t="str">
            <v/>
          </cell>
          <cell r="V966" t="str">
            <v>PRO10</v>
          </cell>
          <cell r="W966">
            <v>0</v>
          </cell>
        </row>
        <row r="967">
          <cell r="C967" t="str">
            <v>RECMAS021700102</v>
          </cell>
          <cell r="D967" t="str">
            <v>PRINC</v>
          </cell>
          <cell r="E967" t="str">
            <v>00016</v>
          </cell>
          <cell r="F967" t="str">
            <v>PIÑONES PLASTICOS</v>
          </cell>
          <cell r="G967" t="str">
            <v>PRINCIPAL</v>
          </cell>
          <cell r="H967">
            <v>46004</v>
          </cell>
          <cell r="I967" t="str">
            <v>SALDO INICIAL</v>
          </cell>
          <cell r="J967">
            <v>0</v>
          </cell>
          <cell r="K967">
            <v>0.76231700000000002</v>
          </cell>
          <cell r="L967">
            <v>12.197075</v>
          </cell>
          <cell r="M967">
            <v>0</v>
          </cell>
          <cell r="N967" t="str">
            <v/>
          </cell>
          <cell r="O967" t="str">
            <v/>
          </cell>
          <cell r="P967" t="str">
            <v/>
          </cell>
          <cell r="Q967">
            <v>33</v>
          </cell>
          <cell r="R967" t="str">
            <v>UND</v>
          </cell>
          <cell r="S967">
            <v>0</v>
          </cell>
          <cell r="T967">
            <v>0</v>
          </cell>
          <cell r="U967" t="str">
            <v/>
          </cell>
          <cell r="V967" t="str">
            <v>PRO10</v>
          </cell>
          <cell r="W967">
            <v>0</v>
          </cell>
        </row>
        <row r="968">
          <cell r="C968" t="str">
            <v>RECMAS021700132</v>
          </cell>
          <cell r="D968" t="str">
            <v>PRINC</v>
          </cell>
          <cell r="E968" t="str">
            <v>00016</v>
          </cell>
          <cell r="F968" t="str">
            <v>PIÑONES PLASTICOS</v>
          </cell>
          <cell r="G968" t="str">
            <v>PRINCIPAL</v>
          </cell>
          <cell r="H968">
            <v>46004</v>
          </cell>
          <cell r="I968" t="str">
            <v>SALDO INICIAL</v>
          </cell>
          <cell r="J968">
            <v>3</v>
          </cell>
          <cell r="K968">
            <v>111.687</v>
          </cell>
          <cell r="L968">
            <v>37.228999999999999</v>
          </cell>
          <cell r="M968">
            <v>37.228999999999999</v>
          </cell>
          <cell r="N968" t="str">
            <v/>
          </cell>
          <cell r="O968" t="str">
            <v/>
          </cell>
          <cell r="P968" t="str">
            <v/>
          </cell>
          <cell r="Q968">
            <v>61</v>
          </cell>
          <cell r="R968" t="str">
            <v>UND</v>
          </cell>
          <cell r="S968">
            <v>0</v>
          </cell>
          <cell r="T968">
            <v>0</v>
          </cell>
          <cell r="U968" t="str">
            <v/>
          </cell>
          <cell r="V968" t="str">
            <v>PRO10</v>
          </cell>
          <cell r="W968">
            <v>0</v>
          </cell>
        </row>
        <row r="969">
          <cell r="C969" t="str">
            <v>RECMAS022815216</v>
          </cell>
          <cell r="D969" t="str">
            <v>PRINC</v>
          </cell>
          <cell r="E969" t="str">
            <v>00016</v>
          </cell>
          <cell r="F969" t="str">
            <v>PIÑONES PLASTICOS</v>
          </cell>
          <cell r="G969" t="str">
            <v>PRINCIPAL</v>
          </cell>
          <cell r="H969">
            <v>46004</v>
          </cell>
          <cell r="I969" t="str">
            <v>SALDO INICIAL</v>
          </cell>
          <cell r="J969">
            <v>4</v>
          </cell>
          <cell r="K969">
            <v>118.368588</v>
          </cell>
          <cell r="L969">
            <v>30.066587999999999</v>
          </cell>
          <cell r="M969">
            <v>29.592147000000001</v>
          </cell>
          <cell r="N969" t="str">
            <v/>
          </cell>
          <cell r="O969" t="str">
            <v/>
          </cell>
          <cell r="P969" t="str">
            <v/>
          </cell>
          <cell r="Q969">
            <v>68</v>
          </cell>
          <cell r="R969" t="str">
            <v>UND</v>
          </cell>
          <cell r="S969">
            <v>0</v>
          </cell>
          <cell r="T969">
            <v>0</v>
          </cell>
          <cell r="U969" t="str">
            <v/>
          </cell>
          <cell r="V969" t="str">
            <v>PRO10</v>
          </cell>
          <cell r="W969">
            <v>0</v>
          </cell>
        </row>
        <row r="970">
          <cell r="C970" t="str">
            <v>RECMAS022815212</v>
          </cell>
          <cell r="D970" t="str">
            <v>PRINC</v>
          </cell>
          <cell r="E970" t="str">
            <v>00016</v>
          </cell>
          <cell r="F970" t="str">
            <v>PIÑONES PLASTICOS</v>
          </cell>
          <cell r="G970" t="str">
            <v>PRINCIPAL</v>
          </cell>
          <cell r="H970">
            <v>46004</v>
          </cell>
          <cell r="I970" t="str">
            <v>SALDO INICIAL</v>
          </cell>
          <cell r="J970">
            <v>0</v>
          </cell>
          <cell r="K970">
            <v>-3.3901859999999999</v>
          </cell>
          <cell r="L970">
            <v>31.111636000000001</v>
          </cell>
          <cell r="M970">
            <v>0</v>
          </cell>
          <cell r="N970" t="str">
            <v/>
          </cell>
          <cell r="O970" t="str">
            <v/>
          </cell>
          <cell r="P970" t="str">
            <v/>
          </cell>
          <cell r="Q970">
            <v>68</v>
          </cell>
          <cell r="R970" t="str">
            <v>UND</v>
          </cell>
          <cell r="S970">
            <v>0</v>
          </cell>
          <cell r="T970">
            <v>0</v>
          </cell>
          <cell r="U970" t="str">
            <v/>
          </cell>
          <cell r="V970" t="str">
            <v>PRO10</v>
          </cell>
          <cell r="W970">
            <v>0</v>
          </cell>
        </row>
        <row r="971">
          <cell r="C971" t="str">
            <v>RECMAS022815251</v>
          </cell>
          <cell r="D971" t="str">
            <v>PRINC</v>
          </cell>
          <cell r="E971" t="str">
            <v>00016</v>
          </cell>
          <cell r="F971" t="str">
            <v>PIÑONES PLASTICOS</v>
          </cell>
          <cell r="G971" t="str">
            <v>PRINCIPAL</v>
          </cell>
          <cell r="H971">
            <v>46004</v>
          </cell>
          <cell r="I971" t="str">
            <v>SALDO INICIAL</v>
          </cell>
          <cell r="J971">
            <v>1</v>
          </cell>
          <cell r="K971">
            <v>32.181666999999997</v>
          </cell>
          <cell r="L971">
            <v>32.181666999999997</v>
          </cell>
          <cell r="M971">
            <v>32.181666999999997</v>
          </cell>
          <cell r="N971" t="str">
            <v/>
          </cell>
          <cell r="O971" t="str">
            <v/>
          </cell>
          <cell r="P971" t="str">
            <v/>
          </cell>
          <cell r="Q971">
            <v>69</v>
          </cell>
          <cell r="R971" t="str">
            <v>UND</v>
          </cell>
          <cell r="S971">
            <v>0</v>
          </cell>
          <cell r="T971">
            <v>0</v>
          </cell>
          <cell r="U971" t="str">
            <v/>
          </cell>
          <cell r="V971" t="str">
            <v>PRO10</v>
          </cell>
          <cell r="W971">
            <v>0</v>
          </cell>
        </row>
        <row r="972">
          <cell r="C972" t="str">
            <v>RECMAS028152130</v>
          </cell>
          <cell r="D972" t="str">
            <v>PRINC</v>
          </cell>
          <cell r="E972" t="str">
            <v>00016</v>
          </cell>
          <cell r="F972" t="str">
            <v>PIÑONES PLASTICOS</v>
          </cell>
          <cell r="G972" t="str">
            <v>PRINCIPAL</v>
          </cell>
          <cell r="H972">
            <v>46004</v>
          </cell>
          <cell r="I972" t="str">
            <v>SALDO INICIAL</v>
          </cell>
          <cell r="J972">
            <v>0</v>
          </cell>
          <cell r="K972">
            <v>-13.19143</v>
          </cell>
          <cell r="L972">
            <v>18.334928999999999</v>
          </cell>
          <cell r="M972">
            <v>0</v>
          </cell>
          <cell r="N972" t="str">
            <v/>
          </cell>
          <cell r="O972" t="str">
            <v/>
          </cell>
          <cell r="P972" t="str">
            <v/>
          </cell>
          <cell r="Q972">
            <v>39</v>
          </cell>
          <cell r="R972" t="str">
            <v>UND</v>
          </cell>
          <cell r="S972">
            <v>0</v>
          </cell>
          <cell r="T972">
            <v>0</v>
          </cell>
          <cell r="U972" t="str">
            <v/>
          </cell>
          <cell r="V972" t="str">
            <v>PRO10</v>
          </cell>
          <cell r="W972">
            <v>0</v>
          </cell>
        </row>
        <row r="973">
          <cell r="C973" t="str">
            <v>RECMAS028152140</v>
          </cell>
          <cell r="D973" t="str">
            <v>PRINC</v>
          </cell>
          <cell r="E973" t="str">
            <v>00016</v>
          </cell>
          <cell r="F973" t="str">
            <v>PIÑONES PLASTICOS</v>
          </cell>
          <cell r="G973" t="str">
            <v>PRINCIPAL</v>
          </cell>
          <cell r="H973">
            <v>46004</v>
          </cell>
          <cell r="I973" t="str">
            <v>SALDO INICIAL</v>
          </cell>
          <cell r="J973">
            <v>7</v>
          </cell>
          <cell r="K973">
            <v>103.70899900000001</v>
          </cell>
          <cell r="L973">
            <v>21.063666999999999</v>
          </cell>
          <cell r="M973">
            <v>14.815571286000001</v>
          </cell>
          <cell r="N973" t="str">
            <v/>
          </cell>
          <cell r="O973" t="str">
            <v/>
          </cell>
          <cell r="P973" t="str">
            <v/>
          </cell>
          <cell r="Q973">
            <v>39</v>
          </cell>
          <cell r="R973" t="str">
            <v>UND</v>
          </cell>
          <cell r="S973">
            <v>0</v>
          </cell>
          <cell r="T973">
            <v>0</v>
          </cell>
          <cell r="U973" t="str">
            <v/>
          </cell>
          <cell r="V973" t="str">
            <v>PRO10</v>
          </cell>
          <cell r="W973">
            <v>0</v>
          </cell>
        </row>
        <row r="974">
          <cell r="C974" t="str">
            <v>RECMAS02815251</v>
          </cell>
          <cell r="D974" t="str">
            <v>PRINC</v>
          </cell>
          <cell r="E974" t="str">
            <v>00016</v>
          </cell>
          <cell r="F974" t="str">
            <v>PIÑONES PLASTICOS</v>
          </cell>
          <cell r="G974" t="str">
            <v>PRINCIPAL</v>
          </cell>
          <cell r="H974">
            <v>46004</v>
          </cell>
          <cell r="I974" t="str">
            <v>SALDO INICIAL</v>
          </cell>
          <cell r="J974">
            <v>1</v>
          </cell>
          <cell r="K974">
            <v>12.066667000000001</v>
          </cell>
          <cell r="L974">
            <v>12.066667000000001</v>
          </cell>
          <cell r="M974">
            <v>12.066667000000001</v>
          </cell>
          <cell r="N974" t="str">
            <v/>
          </cell>
          <cell r="O974" t="str">
            <v/>
          </cell>
          <cell r="P974" t="str">
            <v/>
          </cell>
          <cell r="Q974">
            <v>35</v>
          </cell>
          <cell r="R974" t="str">
            <v>UND</v>
          </cell>
          <cell r="S974">
            <v>0</v>
          </cell>
          <cell r="T974">
            <v>0</v>
          </cell>
          <cell r="U974" t="str">
            <v/>
          </cell>
          <cell r="V974" t="str">
            <v>PRO10</v>
          </cell>
          <cell r="W974">
            <v>0</v>
          </cell>
        </row>
        <row r="975">
          <cell r="C975" t="str">
            <v>RECMAS028152535</v>
          </cell>
          <cell r="D975" t="str">
            <v>PRINC</v>
          </cell>
          <cell r="E975" t="str">
            <v>00016</v>
          </cell>
          <cell r="F975" t="str">
            <v>PIÑONES PLASTICOS</v>
          </cell>
          <cell r="G975" t="str">
            <v>PRINCIPAL</v>
          </cell>
          <cell r="H975">
            <v>46004</v>
          </cell>
          <cell r="I975" t="str">
            <v>SALDO INICIAL</v>
          </cell>
          <cell r="J975">
            <v>0</v>
          </cell>
          <cell r="K975">
            <v>-12.645</v>
          </cell>
          <cell r="L975">
            <v>20.806000000000001</v>
          </cell>
          <cell r="M975">
            <v>0</v>
          </cell>
          <cell r="N975" t="str">
            <v/>
          </cell>
          <cell r="O975" t="str">
            <v/>
          </cell>
          <cell r="P975" t="str">
            <v/>
          </cell>
          <cell r="Q975">
            <v>40</v>
          </cell>
          <cell r="R975" t="str">
            <v>UND</v>
          </cell>
          <cell r="S975">
            <v>0</v>
          </cell>
          <cell r="T975">
            <v>0</v>
          </cell>
          <cell r="U975" t="str">
            <v/>
          </cell>
          <cell r="V975" t="str">
            <v>PRO10</v>
          </cell>
          <cell r="W975">
            <v>0</v>
          </cell>
        </row>
        <row r="976">
          <cell r="C976" t="str">
            <v>RECMAS028152540</v>
          </cell>
          <cell r="D976" t="str">
            <v>PRINC</v>
          </cell>
          <cell r="E976" t="str">
            <v>00016</v>
          </cell>
          <cell r="F976" t="str">
            <v>PIÑONES PLASTICOS</v>
          </cell>
          <cell r="G976" t="str">
            <v>PRINCIPAL</v>
          </cell>
          <cell r="H976">
            <v>46004</v>
          </cell>
          <cell r="I976" t="str">
            <v>SALDO INICIAL</v>
          </cell>
          <cell r="J976">
            <v>5</v>
          </cell>
          <cell r="K976">
            <v>57.218037000000002</v>
          </cell>
          <cell r="L976">
            <v>16.895202000000001</v>
          </cell>
          <cell r="M976">
            <v>11.443607399999999</v>
          </cell>
          <cell r="N976" t="str">
            <v/>
          </cell>
          <cell r="O976" t="str">
            <v/>
          </cell>
          <cell r="P976" t="str">
            <v/>
          </cell>
          <cell r="Q976">
            <v>40</v>
          </cell>
          <cell r="R976" t="str">
            <v>UND</v>
          </cell>
          <cell r="S976">
            <v>0</v>
          </cell>
          <cell r="T976">
            <v>0</v>
          </cell>
          <cell r="U976" t="str">
            <v/>
          </cell>
          <cell r="V976" t="str">
            <v>PRO10</v>
          </cell>
          <cell r="W976">
            <v>0</v>
          </cell>
        </row>
        <row r="977">
          <cell r="C977" t="str">
            <v>RECMAS028801025</v>
          </cell>
          <cell r="D977" t="str">
            <v>PRINC</v>
          </cell>
          <cell r="E977" t="str">
            <v>00016</v>
          </cell>
          <cell r="F977" t="str">
            <v>PIÑONES PLASTICOS</v>
          </cell>
          <cell r="G977" t="str">
            <v>PRINCIPAL</v>
          </cell>
          <cell r="H977">
            <v>46004</v>
          </cell>
          <cell r="I977" t="str">
            <v>SALDO INICIAL</v>
          </cell>
          <cell r="J977">
            <v>5</v>
          </cell>
          <cell r="K977">
            <v>87.822500000000005</v>
          </cell>
          <cell r="L977">
            <v>17.564499999999999</v>
          </cell>
          <cell r="M977">
            <v>17.564499999999999</v>
          </cell>
          <cell r="N977" t="str">
            <v/>
          </cell>
          <cell r="O977" t="str">
            <v/>
          </cell>
          <cell r="P977" t="str">
            <v/>
          </cell>
          <cell r="Q977">
            <v>36.799999999999997</v>
          </cell>
          <cell r="R977" t="str">
            <v>UND</v>
          </cell>
          <cell r="S977">
            <v>0</v>
          </cell>
          <cell r="T977">
            <v>0</v>
          </cell>
          <cell r="U977" t="str">
            <v/>
          </cell>
          <cell r="V977" t="str">
            <v>PRO10</v>
          </cell>
          <cell r="W977">
            <v>0</v>
          </cell>
        </row>
        <row r="978">
          <cell r="C978" t="str">
            <v>REMPBASTUSP1638</v>
          </cell>
          <cell r="D978" t="str">
            <v>PRINC</v>
          </cell>
          <cell r="E978" t="str">
            <v>00016</v>
          </cell>
          <cell r="F978" t="str">
            <v>PIÑONES PLASTICOS</v>
          </cell>
          <cell r="G978" t="str">
            <v>PRINCIPAL</v>
          </cell>
          <cell r="H978">
            <v>46004</v>
          </cell>
          <cell r="I978" t="str">
            <v>SALDO INICIAL</v>
          </cell>
          <cell r="J978">
            <v>1</v>
          </cell>
          <cell r="K978">
            <v>36.182917000000003</v>
          </cell>
          <cell r="L978">
            <v>36.182917000000003</v>
          </cell>
          <cell r="M978">
            <v>36.182917000000003</v>
          </cell>
          <cell r="N978" t="str">
            <v/>
          </cell>
          <cell r="O978" t="str">
            <v/>
          </cell>
          <cell r="P978" t="str">
            <v/>
          </cell>
          <cell r="Q978">
            <v>0</v>
          </cell>
          <cell r="R978" t="str">
            <v>UND</v>
          </cell>
          <cell r="S978">
            <v>0</v>
          </cell>
          <cell r="T978">
            <v>0</v>
          </cell>
          <cell r="U978" t="str">
            <v/>
          </cell>
          <cell r="V978" t="str">
            <v>PRO10</v>
          </cell>
          <cell r="W978">
            <v>0</v>
          </cell>
        </row>
        <row r="979">
          <cell r="C979" t="str">
            <v>REMPBASTUSP1635</v>
          </cell>
          <cell r="D979" t="str">
            <v>PRINC</v>
          </cell>
          <cell r="E979" t="str">
            <v>00016</v>
          </cell>
          <cell r="F979" t="str">
            <v>PIÑONES PLASTICOS</v>
          </cell>
          <cell r="G979" t="str">
            <v>PRINCIPAL</v>
          </cell>
          <cell r="H979">
            <v>46004</v>
          </cell>
          <cell r="I979" t="str">
            <v>SALDO INICIAL</v>
          </cell>
          <cell r="J979">
            <v>3</v>
          </cell>
          <cell r="K979">
            <v>131.57319000000001</v>
          </cell>
          <cell r="L979">
            <v>43.857731999999999</v>
          </cell>
          <cell r="M979">
            <v>43.857729999999997</v>
          </cell>
          <cell r="N979" t="str">
            <v/>
          </cell>
          <cell r="O979" t="str">
            <v/>
          </cell>
          <cell r="P979" t="str">
            <v/>
          </cell>
          <cell r="Q979">
            <v>0</v>
          </cell>
          <cell r="R979" t="str">
            <v>UND</v>
          </cell>
          <cell r="S979">
            <v>0</v>
          </cell>
          <cell r="T979">
            <v>0</v>
          </cell>
          <cell r="U979" t="str">
            <v/>
          </cell>
          <cell r="V979" t="str">
            <v>PRO10</v>
          </cell>
          <cell r="W979">
            <v>0</v>
          </cell>
        </row>
        <row r="980">
          <cell r="C980" t="str">
            <v>VEP1400AC8R3/4</v>
          </cell>
          <cell r="D980" t="str">
            <v>PRINC</v>
          </cell>
          <cell r="E980" t="str">
            <v>00016</v>
          </cell>
          <cell r="F980" t="str">
            <v>PIÑONES PLASTICOS</v>
          </cell>
          <cell r="G980" t="str">
            <v>PRINCIPAL</v>
          </cell>
          <cell r="H980">
            <v>46004</v>
          </cell>
          <cell r="I980" t="str">
            <v>SALDO INICIAL</v>
          </cell>
          <cell r="J980">
            <v>2</v>
          </cell>
          <cell r="K980">
            <v>84.52</v>
          </cell>
          <cell r="L980">
            <v>0</v>
          </cell>
          <cell r="M980">
            <v>42.26</v>
          </cell>
          <cell r="N980" t="str">
            <v/>
          </cell>
          <cell r="O980" t="str">
            <v/>
          </cell>
          <cell r="P980" t="str">
            <v/>
          </cell>
          <cell r="Q980">
            <v>76.099999999999994</v>
          </cell>
          <cell r="R980" t="str">
            <v>UND</v>
          </cell>
          <cell r="S980">
            <v>0</v>
          </cell>
          <cell r="T980">
            <v>0</v>
          </cell>
          <cell r="U980" t="str">
            <v/>
          </cell>
          <cell r="V980" t="str">
            <v>PRO10</v>
          </cell>
          <cell r="W980">
            <v>0</v>
          </cell>
        </row>
        <row r="981">
          <cell r="C981" t="str">
            <v>UNPSPB1700-10</v>
          </cell>
          <cell r="D981" t="str">
            <v>PRINC</v>
          </cell>
          <cell r="E981" t="str">
            <v>00016</v>
          </cell>
          <cell r="F981" t="str">
            <v>PIÑONES PLASTICOS</v>
          </cell>
          <cell r="G981" t="str">
            <v>PRINCIPAL</v>
          </cell>
          <cell r="H981">
            <v>46004</v>
          </cell>
          <cell r="I981" t="str">
            <v>SALDO INICIAL</v>
          </cell>
          <cell r="J981">
            <v>6</v>
          </cell>
          <cell r="K981">
            <v>136.20660000000001</v>
          </cell>
          <cell r="L981">
            <v>0</v>
          </cell>
          <cell r="M981">
            <v>22.7011</v>
          </cell>
          <cell r="N981" t="str">
            <v/>
          </cell>
          <cell r="O981" t="str">
            <v/>
          </cell>
          <cell r="P981" t="str">
            <v/>
          </cell>
          <cell r="Q981">
            <v>34</v>
          </cell>
          <cell r="R981" t="str">
            <v>UND</v>
          </cell>
          <cell r="S981">
            <v>0</v>
          </cell>
          <cell r="T981">
            <v>0</v>
          </cell>
          <cell r="U981" t="str">
            <v/>
          </cell>
          <cell r="V981" t="str">
            <v>PRO10</v>
          </cell>
          <cell r="W981">
            <v>0</v>
          </cell>
        </row>
        <row r="982">
          <cell r="C982" t="str">
            <v>PI1FROL000858</v>
          </cell>
          <cell r="D982" t="str">
            <v>PRINC</v>
          </cell>
          <cell r="E982" t="str">
            <v>00016</v>
          </cell>
          <cell r="F982" t="str">
            <v>PIÑONES PLASTICOS</v>
          </cell>
          <cell r="G982" t="str">
            <v>PRINCIPAL</v>
          </cell>
          <cell r="H982">
            <v>46004</v>
          </cell>
          <cell r="I982" t="str">
            <v>SALDO INICIAL</v>
          </cell>
          <cell r="J982">
            <v>16</v>
          </cell>
          <cell r="K982">
            <v>193.92</v>
          </cell>
          <cell r="L982">
            <v>12.12</v>
          </cell>
          <cell r="M982">
            <v>12.12</v>
          </cell>
          <cell r="N982" t="str">
            <v/>
          </cell>
          <cell r="O982" t="str">
            <v/>
          </cell>
          <cell r="P982" t="str">
            <v/>
          </cell>
          <cell r="Q982">
            <v>21.5</v>
          </cell>
          <cell r="R982" t="str">
            <v>UND</v>
          </cell>
          <cell r="S982">
            <v>0</v>
          </cell>
          <cell r="T982">
            <v>0</v>
          </cell>
          <cell r="U982" t="str">
            <v/>
          </cell>
          <cell r="V982" t="str">
            <v>PRO10</v>
          </cell>
          <cell r="W982">
            <v>0</v>
          </cell>
        </row>
        <row r="983">
          <cell r="C983" t="str">
            <v>RECMT032502106</v>
          </cell>
          <cell r="D983" t="str">
            <v>PRINC</v>
          </cell>
          <cell r="E983" t="str">
            <v>00016</v>
          </cell>
          <cell r="F983" t="str">
            <v>PIÑONES PLASTICOS</v>
          </cell>
          <cell r="G983" t="str">
            <v>PRINCIPAL</v>
          </cell>
          <cell r="H983">
            <v>46004</v>
          </cell>
          <cell r="I983" t="str">
            <v>SALDO INICIAL</v>
          </cell>
          <cell r="J983">
            <v>2</v>
          </cell>
          <cell r="K983">
            <v>4.9738030000000002</v>
          </cell>
          <cell r="L983">
            <v>3.1731259999999999</v>
          </cell>
          <cell r="M983">
            <v>2.4869015000000001</v>
          </cell>
          <cell r="N983" t="str">
            <v/>
          </cell>
          <cell r="O983" t="str">
            <v/>
          </cell>
          <cell r="P983" t="str">
            <v/>
          </cell>
          <cell r="Q983">
            <v>0</v>
          </cell>
          <cell r="R983" t="str">
            <v>UND</v>
          </cell>
          <cell r="S983">
            <v>0</v>
          </cell>
          <cell r="T983">
            <v>0</v>
          </cell>
          <cell r="U983" t="str">
            <v/>
          </cell>
          <cell r="V983" t="str">
            <v>PRO10</v>
          </cell>
          <cell r="W983">
            <v>0</v>
          </cell>
        </row>
        <row r="984">
          <cell r="C984" t="str">
            <v>RECMTS04815211</v>
          </cell>
          <cell r="D984" t="str">
            <v>PRINC</v>
          </cell>
          <cell r="E984" t="str">
            <v>00016</v>
          </cell>
          <cell r="F984" t="str">
            <v>PIÑONES PLASTICOS</v>
          </cell>
          <cell r="G984" t="str">
            <v>PRINCIPAL</v>
          </cell>
          <cell r="H984">
            <v>46004</v>
          </cell>
          <cell r="I984" t="str">
            <v>SALDO INICIAL</v>
          </cell>
          <cell r="J984">
            <v>6</v>
          </cell>
          <cell r="K984">
            <v>33.651907000000001</v>
          </cell>
          <cell r="L984">
            <v>5.2808840000000004</v>
          </cell>
          <cell r="M984">
            <v>5.6086511669999997</v>
          </cell>
          <cell r="N984" t="str">
            <v/>
          </cell>
          <cell r="O984" t="str">
            <v/>
          </cell>
          <cell r="P984" t="str">
            <v/>
          </cell>
          <cell r="Q984">
            <v>20</v>
          </cell>
          <cell r="R984" t="str">
            <v>UND</v>
          </cell>
          <cell r="S984">
            <v>0</v>
          </cell>
          <cell r="T984">
            <v>0</v>
          </cell>
          <cell r="U984" t="str">
            <v/>
          </cell>
          <cell r="V984" t="str">
            <v>PRO10</v>
          </cell>
          <cell r="W984">
            <v>0</v>
          </cell>
        </row>
        <row r="985">
          <cell r="C985" t="str">
            <v>RECMTS048152125</v>
          </cell>
          <cell r="D985" t="str">
            <v>PRINC</v>
          </cell>
          <cell r="E985" t="str">
            <v>00016</v>
          </cell>
          <cell r="F985" t="str">
            <v>PIÑONES PLASTICOS</v>
          </cell>
          <cell r="G985" t="str">
            <v>PRINCIPAL</v>
          </cell>
          <cell r="H985">
            <v>46004</v>
          </cell>
          <cell r="I985" t="str">
            <v>SALDO INICIAL</v>
          </cell>
          <cell r="J985">
            <v>9</v>
          </cell>
          <cell r="K985">
            <v>60.470035000000003</v>
          </cell>
          <cell r="L985">
            <v>5.1951179999999999</v>
          </cell>
          <cell r="M985">
            <v>6.7188927779999998</v>
          </cell>
          <cell r="N985" t="str">
            <v/>
          </cell>
          <cell r="O985" t="str">
            <v/>
          </cell>
          <cell r="P985" t="str">
            <v/>
          </cell>
          <cell r="Q985">
            <v>20</v>
          </cell>
          <cell r="R985" t="str">
            <v>UND</v>
          </cell>
          <cell r="S985">
            <v>0</v>
          </cell>
          <cell r="T985">
            <v>0</v>
          </cell>
          <cell r="U985" t="str">
            <v/>
          </cell>
          <cell r="V985" t="str">
            <v>PRO10</v>
          </cell>
          <cell r="W985">
            <v>0</v>
          </cell>
        </row>
        <row r="986">
          <cell r="C986" t="str">
            <v>RECMTS048152130</v>
          </cell>
          <cell r="D986" t="str">
            <v>PRINC</v>
          </cell>
          <cell r="E986" t="str">
            <v>00016</v>
          </cell>
          <cell r="F986" t="str">
            <v>PIÑONES PLASTICOS</v>
          </cell>
          <cell r="G986" t="str">
            <v>PRINCIPAL</v>
          </cell>
          <cell r="H986">
            <v>46004</v>
          </cell>
          <cell r="I986" t="str">
            <v>SALDO INICIAL</v>
          </cell>
          <cell r="J986">
            <v>8</v>
          </cell>
          <cell r="K986">
            <v>32.171328000000003</v>
          </cell>
          <cell r="L986">
            <v>4.6526670000000001</v>
          </cell>
          <cell r="M986">
            <v>4.0214160000000003</v>
          </cell>
          <cell r="N986" t="str">
            <v/>
          </cell>
          <cell r="O986" t="str">
            <v/>
          </cell>
          <cell r="P986" t="str">
            <v/>
          </cell>
          <cell r="Q986">
            <v>20</v>
          </cell>
          <cell r="R986" t="str">
            <v>UND</v>
          </cell>
          <cell r="S986">
            <v>0</v>
          </cell>
          <cell r="T986">
            <v>0</v>
          </cell>
          <cell r="U986" t="str">
            <v/>
          </cell>
          <cell r="V986" t="str">
            <v>PRO10</v>
          </cell>
          <cell r="W986">
            <v>0</v>
          </cell>
        </row>
        <row r="987">
          <cell r="C987" t="str">
            <v>RECMTS048152140</v>
          </cell>
          <cell r="D987" t="str">
            <v>PRINC</v>
          </cell>
          <cell r="E987" t="str">
            <v>00016</v>
          </cell>
          <cell r="F987" t="str">
            <v>PIÑONES PLASTICOS</v>
          </cell>
          <cell r="G987" t="str">
            <v>PRINCIPAL</v>
          </cell>
          <cell r="H987">
            <v>46004</v>
          </cell>
          <cell r="I987" t="str">
            <v>SALDO INICIAL</v>
          </cell>
          <cell r="J987">
            <v>9</v>
          </cell>
          <cell r="K987">
            <v>42.854204000000003</v>
          </cell>
          <cell r="L987">
            <v>4.9251379999999996</v>
          </cell>
          <cell r="M987">
            <v>4.7615782219999998</v>
          </cell>
          <cell r="N987" t="str">
            <v/>
          </cell>
          <cell r="O987" t="str">
            <v/>
          </cell>
          <cell r="P987" t="str">
            <v/>
          </cell>
          <cell r="Q987">
            <v>20</v>
          </cell>
          <cell r="R987" t="str">
            <v>UND</v>
          </cell>
          <cell r="S987">
            <v>0</v>
          </cell>
          <cell r="T987">
            <v>0</v>
          </cell>
          <cell r="U987" t="str">
            <v/>
          </cell>
          <cell r="V987" t="str">
            <v>PRO10</v>
          </cell>
          <cell r="W987">
            <v>0</v>
          </cell>
        </row>
        <row r="988">
          <cell r="C988" t="str">
            <v>RECMTS048152325</v>
          </cell>
          <cell r="D988" t="str">
            <v>PRINC</v>
          </cell>
          <cell r="E988" t="str">
            <v>00016</v>
          </cell>
          <cell r="F988" t="str">
            <v>PIÑONES PLASTICOS</v>
          </cell>
          <cell r="G988" t="str">
            <v>PRINCIPAL</v>
          </cell>
          <cell r="H988">
            <v>46004</v>
          </cell>
          <cell r="I988" t="str">
            <v>SALDO INICIAL</v>
          </cell>
          <cell r="J988">
            <v>3</v>
          </cell>
          <cell r="K988">
            <v>42.023217000000002</v>
          </cell>
          <cell r="L988">
            <v>5.7742610000000001</v>
          </cell>
          <cell r="M988">
            <v>14.007739000000001</v>
          </cell>
          <cell r="N988" t="str">
            <v/>
          </cell>
          <cell r="O988" t="str">
            <v/>
          </cell>
          <cell r="P988" t="str">
            <v/>
          </cell>
          <cell r="Q988">
            <v>21.5</v>
          </cell>
          <cell r="R988" t="str">
            <v>UND</v>
          </cell>
          <cell r="S988">
            <v>0</v>
          </cell>
          <cell r="T988">
            <v>0</v>
          </cell>
          <cell r="U988" t="str">
            <v/>
          </cell>
          <cell r="V988" t="str">
            <v>PRO10</v>
          </cell>
          <cell r="W988">
            <v>0</v>
          </cell>
        </row>
        <row r="989">
          <cell r="C989" t="str">
            <v>RECMTS048152330</v>
          </cell>
          <cell r="D989" t="str">
            <v>PRINC</v>
          </cell>
          <cell r="E989" t="str">
            <v>00016</v>
          </cell>
          <cell r="F989" t="str">
            <v>PIÑONES PLASTICOS</v>
          </cell>
          <cell r="G989" t="str">
            <v>PRINCIPAL</v>
          </cell>
          <cell r="H989">
            <v>46004</v>
          </cell>
          <cell r="I989" t="str">
            <v>SALDO INICIAL</v>
          </cell>
          <cell r="J989">
            <v>30</v>
          </cell>
          <cell r="K989">
            <v>182.01750999999999</v>
          </cell>
          <cell r="L989">
            <v>6.0672499999999996</v>
          </cell>
          <cell r="M989">
            <v>6.0672503329999996</v>
          </cell>
          <cell r="N989" t="str">
            <v/>
          </cell>
          <cell r="O989" t="str">
            <v/>
          </cell>
          <cell r="P989" t="str">
            <v/>
          </cell>
          <cell r="Q989">
            <v>21.5</v>
          </cell>
          <cell r="R989" t="str">
            <v>UND</v>
          </cell>
          <cell r="S989">
            <v>0</v>
          </cell>
          <cell r="T989">
            <v>0</v>
          </cell>
          <cell r="U989" t="str">
            <v/>
          </cell>
          <cell r="V989" t="str">
            <v>PRO10</v>
          </cell>
          <cell r="W989">
            <v>0</v>
          </cell>
        </row>
        <row r="990">
          <cell r="C990" t="str">
            <v>RECMTS048152335</v>
          </cell>
          <cell r="D990" t="str">
            <v>PRINC</v>
          </cell>
          <cell r="E990" t="str">
            <v>00016</v>
          </cell>
          <cell r="F990" t="str">
            <v>PIÑONES PLASTICOS</v>
          </cell>
          <cell r="G990" t="str">
            <v>PRINCIPAL</v>
          </cell>
          <cell r="H990">
            <v>46004</v>
          </cell>
          <cell r="I990" t="str">
            <v>SALDO INICIAL</v>
          </cell>
          <cell r="J990">
            <v>16</v>
          </cell>
          <cell r="K990">
            <v>76.682671999999997</v>
          </cell>
          <cell r="L990">
            <v>4.7926669999999998</v>
          </cell>
          <cell r="M990">
            <v>4.7926669999999998</v>
          </cell>
          <cell r="N990" t="str">
            <v/>
          </cell>
          <cell r="O990" t="str">
            <v/>
          </cell>
          <cell r="P990" t="str">
            <v/>
          </cell>
          <cell r="Q990">
            <v>21.5</v>
          </cell>
          <cell r="R990" t="str">
            <v>UND</v>
          </cell>
          <cell r="S990">
            <v>0</v>
          </cell>
          <cell r="T990">
            <v>0</v>
          </cell>
          <cell r="U990" t="str">
            <v/>
          </cell>
          <cell r="V990" t="str">
            <v>PRO10</v>
          </cell>
          <cell r="W990">
            <v>0</v>
          </cell>
        </row>
        <row r="991">
          <cell r="C991" t="str">
            <v>RECMTS048152340</v>
          </cell>
          <cell r="D991" t="str">
            <v>PRINC</v>
          </cell>
          <cell r="E991" t="str">
            <v>00016</v>
          </cell>
          <cell r="F991" t="str">
            <v>PIÑONES PLASTICOS</v>
          </cell>
          <cell r="G991" t="str">
            <v>PRINCIPAL</v>
          </cell>
          <cell r="H991">
            <v>46004</v>
          </cell>
          <cell r="I991" t="str">
            <v>SALDO INICIAL</v>
          </cell>
          <cell r="J991">
            <v>10</v>
          </cell>
          <cell r="K991">
            <v>98.910003000000003</v>
          </cell>
          <cell r="L991">
            <v>0</v>
          </cell>
          <cell r="M991">
            <v>9.8910003</v>
          </cell>
          <cell r="N991" t="str">
            <v/>
          </cell>
          <cell r="O991" t="str">
            <v/>
          </cell>
          <cell r="P991" t="str">
            <v/>
          </cell>
          <cell r="Q991">
            <v>21.5</v>
          </cell>
          <cell r="R991" t="str">
            <v>UND</v>
          </cell>
          <cell r="S991">
            <v>0</v>
          </cell>
          <cell r="T991">
            <v>0</v>
          </cell>
          <cell r="U991" t="str">
            <v/>
          </cell>
          <cell r="V991" t="str">
            <v>PRO10</v>
          </cell>
          <cell r="W991">
            <v>0</v>
          </cell>
        </row>
        <row r="992">
          <cell r="C992" t="str">
            <v>RECMTS048152525</v>
          </cell>
          <cell r="D992" t="str">
            <v>PRINC</v>
          </cell>
          <cell r="E992" t="str">
            <v>00016</v>
          </cell>
          <cell r="F992" t="str">
            <v>PIÑONES PLASTICOS</v>
          </cell>
          <cell r="G992" t="str">
            <v>PRINCIPAL</v>
          </cell>
          <cell r="H992">
            <v>46004</v>
          </cell>
          <cell r="I992" t="str">
            <v>SALDO INICIAL</v>
          </cell>
          <cell r="J992">
            <v>0</v>
          </cell>
          <cell r="K992">
            <v>2.453932</v>
          </cell>
          <cell r="L992">
            <v>6.2920129999999999</v>
          </cell>
          <cell r="M992">
            <v>0</v>
          </cell>
          <cell r="N992" t="str">
            <v/>
          </cell>
          <cell r="O992" t="str">
            <v/>
          </cell>
          <cell r="P992" t="str">
            <v/>
          </cell>
          <cell r="Q992">
            <v>23</v>
          </cell>
          <cell r="R992" t="str">
            <v>UND</v>
          </cell>
          <cell r="S992">
            <v>0</v>
          </cell>
          <cell r="T992">
            <v>0</v>
          </cell>
          <cell r="U992" t="str">
            <v/>
          </cell>
          <cell r="V992" t="str">
            <v>PRO10</v>
          </cell>
          <cell r="W992">
            <v>0</v>
          </cell>
        </row>
        <row r="993">
          <cell r="C993" t="str">
            <v>RECMTS048152530</v>
          </cell>
          <cell r="D993" t="str">
            <v>PRINC</v>
          </cell>
          <cell r="E993" t="str">
            <v>00016</v>
          </cell>
          <cell r="F993" t="str">
            <v>PIÑONES PLASTICOS</v>
          </cell>
          <cell r="G993" t="str">
            <v>PRINCIPAL</v>
          </cell>
          <cell r="H993">
            <v>46004</v>
          </cell>
          <cell r="I993" t="str">
            <v>SALDO INICIAL</v>
          </cell>
          <cell r="J993">
            <v>55</v>
          </cell>
          <cell r="K993">
            <v>444.13646899999998</v>
          </cell>
          <cell r="L993">
            <v>8.0752079999999999</v>
          </cell>
          <cell r="M993">
            <v>8.0752085269999991</v>
          </cell>
          <cell r="N993" t="str">
            <v/>
          </cell>
          <cell r="O993" t="str">
            <v/>
          </cell>
          <cell r="P993" t="str">
            <v/>
          </cell>
          <cell r="Q993">
            <v>23</v>
          </cell>
          <cell r="R993" t="str">
            <v>UND</v>
          </cell>
          <cell r="S993">
            <v>0</v>
          </cell>
          <cell r="T993">
            <v>0</v>
          </cell>
          <cell r="U993" t="str">
            <v/>
          </cell>
          <cell r="V993" t="str">
            <v>PRO10</v>
          </cell>
          <cell r="W993">
            <v>0</v>
          </cell>
        </row>
        <row r="994">
          <cell r="C994" t="str">
            <v>RECMTS048152535</v>
          </cell>
          <cell r="D994" t="str">
            <v>PRINC</v>
          </cell>
          <cell r="E994" t="str">
            <v>00016</v>
          </cell>
          <cell r="F994" t="str">
            <v>PIÑONES PLASTICOS</v>
          </cell>
          <cell r="G994" t="str">
            <v>PRINCIPAL</v>
          </cell>
          <cell r="H994">
            <v>46004</v>
          </cell>
          <cell r="I994" t="str">
            <v>SALDO INICIAL</v>
          </cell>
          <cell r="J994">
            <v>6</v>
          </cell>
          <cell r="K994">
            <v>122.020324</v>
          </cell>
          <cell r="L994">
            <v>6.458297</v>
          </cell>
          <cell r="M994">
            <v>20.336720667000002</v>
          </cell>
          <cell r="N994" t="str">
            <v/>
          </cell>
          <cell r="O994" t="str">
            <v/>
          </cell>
          <cell r="P994" t="str">
            <v/>
          </cell>
          <cell r="Q994">
            <v>23</v>
          </cell>
          <cell r="R994" t="str">
            <v>UND</v>
          </cell>
          <cell r="S994">
            <v>0</v>
          </cell>
          <cell r="T994">
            <v>0</v>
          </cell>
          <cell r="U994" t="str">
            <v/>
          </cell>
          <cell r="V994" t="str">
            <v>PRO10</v>
          </cell>
          <cell r="W994">
            <v>0</v>
          </cell>
        </row>
        <row r="995">
          <cell r="C995" t="str">
            <v>RECMTS048152545</v>
          </cell>
          <cell r="D995" t="str">
            <v>PRINC</v>
          </cell>
          <cell r="E995" t="str">
            <v>00016</v>
          </cell>
          <cell r="F995" t="str">
            <v>PIÑONES PLASTICOS</v>
          </cell>
          <cell r="G995" t="str">
            <v>PRINCIPAL</v>
          </cell>
          <cell r="H995">
            <v>46004</v>
          </cell>
          <cell r="I995" t="str">
            <v>SALDO INICIAL</v>
          </cell>
          <cell r="J995">
            <v>36</v>
          </cell>
          <cell r="K995">
            <v>208.39320000000001</v>
          </cell>
          <cell r="L995">
            <v>5.7887000000000004</v>
          </cell>
          <cell r="M995">
            <v>5.7887000000000004</v>
          </cell>
          <cell r="N995" t="str">
            <v/>
          </cell>
          <cell r="O995" t="str">
            <v/>
          </cell>
          <cell r="P995" t="str">
            <v/>
          </cell>
          <cell r="Q995">
            <v>23</v>
          </cell>
          <cell r="R995" t="str">
            <v>UND</v>
          </cell>
          <cell r="S995">
            <v>0</v>
          </cell>
          <cell r="T995">
            <v>0</v>
          </cell>
          <cell r="U995" t="str">
            <v/>
          </cell>
          <cell r="V995" t="str">
            <v>PRO10</v>
          </cell>
          <cell r="W995">
            <v>0</v>
          </cell>
        </row>
        <row r="996">
          <cell r="C996" t="str">
            <v>RECMAS048152140</v>
          </cell>
          <cell r="D996" t="str">
            <v>PRINC</v>
          </cell>
          <cell r="E996" t="str">
            <v>00016</v>
          </cell>
          <cell r="F996" t="str">
            <v>PIÑONES PLASTICOS</v>
          </cell>
          <cell r="G996" t="str">
            <v>PRINCIPAL</v>
          </cell>
          <cell r="H996">
            <v>46004</v>
          </cell>
          <cell r="I996" t="str">
            <v>SALDO INICIAL</v>
          </cell>
          <cell r="J996">
            <v>1</v>
          </cell>
          <cell r="K996">
            <v>21.253</v>
          </cell>
          <cell r="L996">
            <v>21.253</v>
          </cell>
          <cell r="M996">
            <v>21.253</v>
          </cell>
          <cell r="N996" t="str">
            <v/>
          </cell>
          <cell r="O996" t="str">
            <v/>
          </cell>
          <cell r="P996" t="str">
            <v/>
          </cell>
          <cell r="Q996">
            <v>33.700000000000003</v>
          </cell>
          <cell r="R996" t="str">
            <v>UND</v>
          </cell>
          <cell r="S996">
            <v>0</v>
          </cell>
          <cell r="T996">
            <v>0</v>
          </cell>
          <cell r="U996" t="str">
            <v/>
          </cell>
          <cell r="V996" t="str">
            <v>PRO10</v>
          </cell>
          <cell r="W996">
            <v>0</v>
          </cell>
        </row>
        <row r="997">
          <cell r="C997" t="str">
            <v>RECMAS048152530</v>
          </cell>
          <cell r="D997" t="str">
            <v>PRINC</v>
          </cell>
          <cell r="E997" t="str">
            <v>00016</v>
          </cell>
          <cell r="F997" t="str">
            <v>PIÑONES PLASTICOS</v>
          </cell>
          <cell r="G997" t="str">
            <v>PRINCIPAL</v>
          </cell>
          <cell r="H997">
            <v>46004</v>
          </cell>
          <cell r="I997" t="str">
            <v>SALDO INICIAL</v>
          </cell>
          <cell r="J997">
            <v>7</v>
          </cell>
          <cell r="K997">
            <v>65.332750000000004</v>
          </cell>
          <cell r="L997">
            <v>9.3332499999999996</v>
          </cell>
          <cell r="M997">
            <v>9.3332499999999996</v>
          </cell>
          <cell r="N997" t="str">
            <v/>
          </cell>
          <cell r="O997" t="str">
            <v/>
          </cell>
          <cell r="P997" t="str">
            <v/>
          </cell>
          <cell r="Q997">
            <v>38</v>
          </cell>
          <cell r="R997" t="str">
            <v>UND</v>
          </cell>
          <cell r="S997">
            <v>0</v>
          </cell>
          <cell r="T997">
            <v>0</v>
          </cell>
          <cell r="U997" t="str">
            <v/>
          </cell>
          <cell r="V997" t="str">
            <v>PRO10</v>
          </cell>
          <cell r="W997">
            <v>0</v>
          </cell>
        </row>
        <row r="998">
          <cell r="C998" t="str">
            <v>RECMAS048152535</v>
          </cell>
          <cell r="D998" t="str">
            <v>PRINC</v>
          </cell>
          <cell r="E998" t="str">
            <v>00016</v>
          </cell>
          <cell r="F998" t="str">
            <v>PIÑONES PLASTICOS</v>
          </cell>
          <cell r="G998" t="str">
            <v>PRINCIPAL</v>
          </cell>
          <cell r="H998">
            <v>46004</v>
          </cell>
          <cell r="I998" t="str">
            <v>SALDO INICIAL</v>
          </cell>
          <cell r="J998">
            <v>24</v>
          </cell>
          <cell r="K998">
            <v>308.27991800000001</v>
          </cell>
          <cell r="L998">
            <v>12.844996</v>
          </cell>
          <cell r="M998">
            <v>12.844996583</v>
          </cell>
          <cell r="N998" t="str">
            <v/>
          </cell>
          <cell r="O998" t="str">
            <v/>
          </cell>
          <cell r="P998" t="str">
            <v/>
          </cell>
          <cell r="Q998">
            <v>38</v>
          </cell>
          <cell r="R998" t="str">
            <v>UND</v>
          </cell>
          <cell r="S998">
            <v>0</v>
          </cell>
          <cell r="T998">
            <v>0</v>
          </cell>
          <cell r="U998" t="str">
            <v/>
          </cell>
          <cell r="V998" t="str">
            <v>PRO10</v>
          </cell>
          <cell r="W998">
            <v>0</v>
          </cell>
        </row>
        <row r="999">
          <cell r="C999" t="str">
            <v>RECMAS048152540</v>
          </cell>
          <cell r="D999" t="str">
            <v>PRINC</v>
          </cell>
          <cell r="E999" t="str">
            <v>00016</v>
          </cell>
          <cell r="F999" t="str">
            <v>PIÑONES PLASTICOS</v>
          </cell>
          <cell r="G999" t="str">
            <v>PRINCIPAL</v>
          </cell>
          <cell r="H999">
            <v>46004</v>
          </cell>
          <cell r="I999" t="str">
            <v>SALDO INICIAL</v>
          </cell>
          <cell r="J999">
            <v>30</v>
          </cell>
          <cell r="K999">
            <v>370.38067000000001</v>
          </cell>
          <cell r="L999">
            <v>12.346022</v>
          </cell>
          <cell r="M999">
            <v>12.346022333000001</v>
          </cell>
          <cell r="N999" t="str">
            <v/>
          </cell>
          <cell r="O999" t="str">
            <v/>
          </cell>
          <cell r="P999" t="str">
            <v/>
          </cell>
          <cell r="Q999">
            <v>38</v>
          </cell>
          <cell r="R999" t="str">
            <v>UND</v>
          </cell>
          <cell r="S999">
            <v>0</v>
          </cell>
          <cell r="T999">
            <v>0</v>
          </cell>
          <cell r="U999" t="str">
            <v/>
          </cell>
          <cell r="V999" t="str">
            <v>PRO10</v>
          </cell>
          <cell r="W999">
            <v>0</v>
          </cell>
        </row>
        <row r="1000">
          <cell r="C1000" t="str">
            <v>RECMAS048212525</v>
          </cell>
          <cell r="D1000" t="str">
            <v>PRINC</v>
          </cell>
          <cell r="E1000" t="str">
            <v>00016</v>
          </cell>
          <cell r="F1000" t="str">
            <v>PIÑONES PLASTICOS</v>
          </cell>
          <cell r="G1000" t="str">
            <v>PRINCIPAL</v>
          </cell>
          <cell r="H1000">
            <v>46004</v>
          </cell>
          <cell r="I1000" t="str">
            <v>SALDO INICIAL</v>
          </cell>
          <cell r="J1000">
            <v>5</v>
          </cell>
          <cell r="K1000">
            <v>275.27300000000002</v>
          </cell>
          <cell r="L1000">
            <v>0</v>
          </cell>
          <cell r="M1000">
            <v>55.054600000000001</v>
          </cell>
          <cell r="N1000" t="str">
            <v/>
          </cell>
          <cell r="O1000" t="str">
            <v/>
          </cell>
          <cell r="P1000" t="str">
            <v/>
          </cell>
          <cell r="Q1000">
            <v>78.5</v>
          </cell>
          <cell r="R1000" t="str">
            <v>UND</v>
          </cell>
          <cell r="S1000">
            <v>0</v>
          </cell>
          <cell r="T1000">
            <v>0</v>
          </cell>
          <cell r="U1000" t="str">
            <v/>
          </cell>
          <cell r="V1000" t="str">
            <v>PRO10</v>
          </cell>
          <cell r="W1000">
            <v>0</v>
          </cell>
        </row>
        <row r="1001">
          <cell r="C1001" t="str">
            <v>RO102471</v>
          </cell>
          <cell r="D1001" t="str">
            <v>PRINC</v>
          </cell>
          <cell r="E1001" t="str">
            <v>00017</v>
          </cell>
          <cell r="F1001" t="str">
            <v>PLANCHAS</v>
          </cell>
          <cell r="G1001" t="str">
            <v>PRINCIPAL</v>
          </cell>
          <cell r="H1001">
            <v>46004</v>
          </cell>
          <cell r="I1001" t="str">
            <v>SALDO INICIAL</v>
          </cell>
          <cell r="J1001">
            <v>2.2400000000000002</v>
          </cell>
          <cell r="K1001">
            <v>-115.78664000000001</v>
          </cell>
          <cell r="L1001">
            <v>37.976503999999998</v>
          </cell>
          <cell r="M1001">
            <v>-51.690464286000001</v>
          </cell>
          <cell r="N1001" t="str">
            <v>MEDIDA ANC:0.62 LAR:3</v>
          </cell>
          <cell r="O1001" t="str">
            <v/>
          </cell>
          <cell r="P1001" t="str">
            <v/>
          </cell>
          <cell r="Q1001">
            <v>97.85</v>
          </cell>
          <cell r="R1001" t="str">
            <v>FT²</v>
          </cell>
          <cell r="S1001">
            <v>0</v>
          </cell>
          <cell r="T1001">
            <v>0</v>
          </cell>
          <cell r="U1001" t="str">
            <v/>
          </cell>
          <cell r="V1001" t="str">
            <v>PRO10</v>
          </cell>
          <cell r="W1001">
            <v>0</v>
          </cell>
        </row>
        <row r="1002">
          <cell r="C1002" t="str">
            <v>RO102228</v>
          </cell>
          <cell r="D1002" t="str">
            <v>PRINC</v>
          </cell>
          <cell r="E1002" t="str">
            <v>00017</v>
          </cell>
          <cell r="F1002" t="str">
            <v>PLANCHAS</v>
          </cell>
          <cell r="G1002" t="str">
            <v>PRINCIPAL</v>
          </cell>
          <cell r="H1002">
            <v>46004</v>
          </cell>
          <cell r="I1002" t="str">
            <v>SALDO INICIAL</v>
          </cell>
          <cell r="J1002">
            <v>0</v>
          </cell>
          <cell r="K1002">
            <v>-52.124015999999997</v>
          </cell>
          <cell r="L1002">
            <v>34.976278999999998</v>
          </cell>
          <cell r="M1002">
            <v>0</v>
          </cell>
          <cell r="N1002" t="str">
            <v>MEDIDA ANC: 1.25 LAR: 2.5</v>
          </cell>
          <cell r="O1002" t="str">
            <v/>
          </cell>
          <cell r="P1002" t="str">
            <v/>
          </cell>
          <cell r="Q1002">
            <v>75.3</v>
          </cell>
          <cell r="R1002" t="str">
            <v>FT²</v>
          </cell>
          <cell r="S1002">
            <v>0</v>
          </cell>
          <cell r="T1002">
            <v>0</v>
          </cell>
          <cell r="U1002" t="str">
            <v/>
          </cell>
          <cell r="V1002" t="str">
            <v>PRO10</v>
          </cell>
          <cell r="W1002">
            <v>0</v>
          </cell>
        </row>
        <row r="1003">
          <cell r="C1003" t="str">
            <v>RO101005</v>
          </cell>
          <cell r="D1003" t="str">
            <v>PRINC</v>
          </cell>
          <cell r="E1003" t="str">
            <v>00017</v>
          </cell>
          <cell r="F1003" t="str">
            <v>PLANCHAS</v>
          </cell>
          <cell r="G1003" t="str">
            <v>PRINCIPAL</v>
          </cell>
          <cell r="H1003">
            <v>46004</v>
          </cell>
          <cell r="I1003" t="str">
            <v>SALDO INICIAL</v>
          </cell>
          <cell r="J1003">
            <v>544.67999999999995</v>
          </cell>
          <cell r="K1003">
            <v>4087.0213869999998</v>
          </cell>
          <cell r="L1003">
            <v>7.5035280000000002</v>
          </cell>
          <cell r="M1003">
            <v>7.5035275520000004</v>
          </cell>
          <cell r="N1003" t="str">
            <v>MEDIDA: ANC 1.25MT LAR 3MT</v>
          </cell>
          <cell r="O1003" t="str">
            <v/>
          </cell>
          <cell r="P1003" t="str">
            <v/>
          </cell>
          <cell r="Q1003">
            <v>15.45</v>
          </cell>
          <cell r="R1003" t="str">
            <v>FT²</v>
          </cell>
          <cell r="S1003">
            <v>0</v>
          </cell>
          <cell r="T1003">
            <v>0</v>
          </cell>
          <cell r="U1003" t="str">
            <v/>
          </cell>
          <cell r="V1003" t="str">
            <v>PRO10</v>
          </cell>
          <cell r="W1003">
            <v>0</v>
          </cell>
        </row>
        <row r="1004">
          <cell r="C1004" t="str">
            <v>RO101006</v>
          </cell>
          <cell r="D1004" t="str">
            <v>PRINC</v>
          </cell>
          <cell r="E1004" t="str">
            <v>00017</v>
          </cell>
          <cell r="F1004" t="str">
            <v>PLANCHAS</v>
          </cell>
          <cell r="G1004" t="str">
            <v>PRINCIPAL</v>
          </cell>
          <cell r="H1004">
            <v>46004</v>
          </cell>
          <cell r="I1004" t="str">
            <v>SALDO INICIAL</v>
          </cell>
          <cell r="J1004">
            <v>297.36</v>
          </cell>
          <cell r="K1004">
            <v>2605.0328420000001</v>
          </cell>
          <cell r="L1004">
            <v>8.7605350000000008</v>
          </cell>
          <cell r="M1004">
            <v>8.7605355189999994</v>
          </cell>
          <cell r="N1004" t="str">
            <v>MEDIDA: ANC 1.25MT LAR 3MT</v>
          </cell>
          <cell r="O1004" t="str">
            <v/>
          </cell>
          <cell r="P1004" t="str">
            <v/>
          </cell>
          <cell r="Q1004">
            <v>18.5</v>
          </cell>
          <cell r="R1004" t="str">
            <v>FT²</v>
          </cell>
          <cell r="S1004">
            <v>0</v>
          </cell>
          <cell r="T1004">
            <v>0</v>
          </cell>
          <cell r="U1004" t="str">
            <v/>
          </cell>
          <cell r="V1004" t="str">
            <v>PRO10</v>
          </cell>
          <cell r="W1004">
            <v>0</v>
          </cell>
        </row>
        <row r="1005">
          <cell r="C1005" t="str">
            <v>ROPLANPE13</v>
          </cell>
          <cell r="D1005" t="str">
            <v>PRINC</v>
          </cell>
          <cell r="E1005" t="str">
            <v>00017</v>
          </cell>
          <cell r="F1005" t="str">
            <v>PLANCHAS</v>
          </cell>
          <cell r="G1005" t="str">
            <v>PRINCIPAL</v>
          </cell>
          <cell r="H1005">
            <v>46004</v>
          </cell>
          <cell r="I1005" t="str">
            <v>SALDO INICIAL</v>
          </cell>
          <cell r="J1005">
            <v>158.11000000000001</v>
          </cell>
          <cell r="K1005">
            <v>1680.3035950000001</v>
          </cell>
          <cell r="L1005">
            <v>10.627416999999999</v>
          </cell>
          <cell r="M1005">
            <v>10.627434033</v>
          </cell>
          <cell r="N1005" t="str">
            <v>MEDIDA: ANC 1.25MT LAR 3MT</v>
          </cell>
          <cell r="O1005" t="str">
            <v/>
          </cell>
          <cell r="P1005" t="str">
            <v/>
          </cell>
          <cell r="Q1005">
            <v>19.7</v>
          </cell>
          <cell r="R1005" t="str">
            <v>FT²</v>
          </cell>
          <cell r="S1005">
            <v>0</v>
          </cell>
          <cell r="T1005">
            <v>0</v>
          </cell>
          <cell r="U1005" t="str">
            <v/>
          </cell>
          <cell r="V1005" t="str">
            <v>PRO10</v>
          </cell>
          <cell r="W1005">
            <v>0</v>
          </cell>
        </row>
        <row r="1006">
          <cell r="C1006" t="str">
            <v>RO238832</v>
          </cell>
          <cell r="D1006" t="str">
            <v>PRINC</v>
          </cell>
          <cell r="E1006" t="str">
            <v>00017</v>
          </cell>
          <cell r="F1006" t="str">
            <v>PLANCHAS</v>
          </cell>
          <cell r="G1006" t="str">
            <v>PRINCIPAL</v>
          </cell>
          <cell r="H1006">
            <v>46004</v>
          </cell>
          <cell r="I1006" t="str">
            <v>SALDO INICIAL</v>
          </cell>
          <cell r="J1006">
            <v>4.7300000000000004</v>
          </cell>
          <cell r="K1006">
            <v>42.652487000000001</v>
          </cell>
          <cell r="L1006">
            <v>9.0174249999999994</v>
          </cell>
          <cell r="M1006">
            <v>9.0174391119999999</v>
          </cell>
          <cell r="N1006" t="str">
            <v>MEDIDA: ANC 1.25MT LAR 3MT</v>
          </cell>
          <cell r="O1006" t="str">
            <v/>
          </cell>
          <cell r="P1006" t="str">
            <v/>
          </cell>
          <cell r="Q1006">
            <v>20.85</v>
          </cell>
          <cell r="R1006" t="str">
            <v>FT²</v>
          </cell>
          <cell r="S1006">
            <v>0</v>
          </cell>
          <cell r="T1006">
            <v>0</v>
          </cell>
          <cell r="U1006" t="str">
            <v/>
          </cell>
          <cell r="V1006" t="str">
            <v>PRO10</v>
          </cell>
          <cell r="W1006">
            <v>0</v>
          </cell>
        </row>
        <row r="1007">
          <cell r="C1007" t="str">
            <v>RO101008</v>
          </cell>
          <cell r="D1007" t="str">
            <v>PRINC</v>
          </cell>
          <cell r="E1007" t="str">
            <v>00017</v>
          </cell>
          <cell r="F1007" t="str">
            <v>PLANCHAS</v>
          </cell>
          <cell r="G1007" t="str">
            <v>PRINCIPAL</v>
          </cell>
          <cell r="H1007">
            <v>46004</v>
          </cell>
          <cell r="I1007" t="str">
            <v>SALDO INICIAL</v>
          </cell>
          <cell r="J1007">
            <v>18.95</v>
          </cell>
          <cell r="K1007">
            <v>196.594617</v>
          </cell>
          <cell r="L1007">
            <v>10.374387</v>
          </cell>
          <cell r="M1007">
            <v>10.374386121000001</v>
          </cell>
          <cell r="N1007" t="str">
            <v>MEDIDA: ANC 1.25MT LAR 3MT</v>
          </cell>
          <cell r="O1007" t="str">
            <v/>
          </cell>
          <cell r="P1007" t="str">
            <v/>
          </cell>
          <cell r="Q1007">
            <v>23.45</v>
          </cell>
          <cell r="R1007" t="str">
            <v>FT²</v>
          </cell>
          <cell r="S1007">
            <v>0</v>
          </cell>
          <cell r="T1007">
            <v>0</v>
          </cell>
          <cell r="U1007" t="str">
            <v/>
          </cell>
          <cell r="V1007" t="str">
            <v>PRO10</v>
          </cell>
          <cell r="W1007">
            <v>0</v>
          </cell>
        </row>
        <row r="1008">
          <cell r="C1008" t="str">
            <v>RO101009</v>
          </cell>
          <cell r="D1008" t="str">
            <v>PRINC</v>
          </cell>
          <cell r="E1008" t="str">
            <v>00017</v>
          </cell>
          <cell r="F1008" t="str">
            <v>PLANCHAS</v>
          </cell>
          <cell r="G1008" t="str">
            <v>PRINCIPAL</v>
          </cell>
          <cell r="H1008">
            <v>46004</v>
          </cell>
          <cell r="I1008" t="str">
            <v>SALDO INICIAL</v>
          </cell>
          <cell r="J1008">
            <v>64.27</v>
          </cell>
          <cell r="K1008">
            <v>890.82854899999995</v>
          </cell>
          <cell r="L1008">
            <v>13.860723</v>
          </cell>
          <cell r="M1008">
            <v>13.860721161000001</v>
          </cell>
          <cell r="N1008" t="str">
            <v>MEDIDA: ANC 1.25MT LAR 3MT</v>
          </cell>
          <cell r="O1008" t="str">
            <v/>
          </cell>
          <cell r="P1008" t="str">
            <v/>
          </cell>
          <cell r="Q1008">
            <v>31.7</v>
          </cell>
          <cell r="R1008" t="str">
            <v>FT²</v>
          </cell>
          <cell r="S1008">
            <v>0</v>
          </cell>
          <cell r="T1008">
            <v>0</v>
          </cell>
          <cell r="U1008" t="str">
            <v/>
          </cell>
          <cell r="V1008" t="str">
            <v>PRO10</v>
          </cell>
          <cell r="W1008">
            <v>0</v>
          </cell>
        </row>
        <row r="1009">
          <cell r="C1009" t="str">
            <v>RO212508</v>
          </cell>
          <cell r="D1009" t="str">
            <v>PRINC</v>
          </cell>
          <cell r="E1009" t="str">
            <v>00017</v>
          </cell>
          <cell r="F1009" t="str">
            <v>PLANCHAS</v>
          </cell>
          <cell r="G1009" t="str">
            <v>PRINCIPAL</v>
          </cell>
          <cell r="H1009">
            <v>46004</v>
          </cell>
          <cell r="I1009" t="str">
            <v>SALDO INICIAL</v>
          </cell>
          <cell r="J1009">
            <v>0</v>
          </cell>
          <cell r="K1009">
            <v>166.98992699999999</v>
          </cell>
          <cell r="L1009">
            <v>15.883184999999999</v>
          </cell>
          <cell r="M1009">
            <v>0</v>
          </cell>
          <cell r="N1009" t="str">
            <v>MEDIDA: ANC 1.25MT LAR 3MT</v>
          </cell>
          <cell r="O1009" t="str">
            <v/>
          </cell>
          <cell r="P1009" t="str">
            <v/>
          </cell>
          <cell r="Q1009">
            <v>35.4</v>
          </cell>
          <cell r="R1009" t="str">
            <v>FT²</v>
          </cell>
          <cell r="S1009">
            <v>0</v>
          </cell>
          <cell r="T1009">
            <v>0</v>
          </cell>
          <cell r="U1009" t="str">
            <v/>
          </cell>
          <cell r="V1009" t="str">
            <v>PRO10</v>
          </cell>
          <cell r="W1009">
            <v>0</v>
          </cell>
        </row>
        <row r="1010">
          <cell r="C1010" t="str">
            <v>RO236696</v>
          </cell>
          <cell r="D1010" t="str">
            <v>PRINC</v>
          </cell>
          <cell r="E1010" t="str">
            <v>00017</v>
          </cell>
          <cell r="F1010" t="str">
            <v>PLANCHAS</v>
          </cell>
          <cell r="G1010" t="str">
            <v>PRINCIPAL</v>
          </cell>
          <cell r="H1010">
            <v>46004</v>
          </cell>
          <cell r="I1010" t="str">
            <v>SALDO INICIAL</v>
          </cell>
          <cell r="J1010">
            <v>14.03</v>
          </cell>
          <cell r="K1010">
            <v>402.19217400000002</v>
          </cell>
          <cell r="L1010">
            <v>28.666584</v>
          </cell>
          <cell r="M1010">
            <v>28.666584034</v>
          </cell>
          <cell r="N1010" t="str">
            <v>MEDIDA: ANC 1.25MT LAR 3MT</v>
          </cell>
          <cell r="O1010" t="str">
            <v/>
          </cell>
          <cell r="P1010" t="str">
            <v/>
          </cell>
          <cell r="Q1010">
            <v>59.35</v>
          </cell>
          <cell r="R1010" t="str">
            <v>FT²</v>
          </cell>
          <cell r="S1010">
            <v>0</v>
          </cell>
          <cell r="T1010">
            <v>0</v>
          </cell>
          <cell r="U1010" t="str">
            <v/>
          </cell>
          <cell r="V1010" t="str">
            <v>PRO10</v>
          </cell>
          <cell r="W1010">
            <v>0</v>
          </cell>
        </row>
        <row r="1011">
          <cell r="C1011" t="str">
            <v>RO212374</v>
          </cell>
          <cell r="D1011" t="str">
            <v>PRINC</v>
          </cell>
          <cell r="E1011" t="str">
            <v>00017</v>
          </cell>
          <cell r="F1011" t="str">
            <v>PLANCHAS</v>
          </cell>
          <cell r="G1011" t="str">
            <v>PRINCIPAL</v>
          </cell>
          <cell r="H1011">
            <v>46004</v>
          </cell>
          <cell r="I1011" t="str">
            <v>SALDO INICIAL</v>
          </cell>
          <cell r="J1011">
            <v>2118.48</v>
          </cell>
          <cell r="K1011">
            <v>10115.999244000001</v>
          </cell>
          <cell r="L1011">
            <v>4.7751219999999996</v>
          </cell>
          <cell r="M1011">
            <v>4.7751214290000004</v>
          </cell>
          <cell r="N1011" t="str">
            <v>MEDIDA: ANCHO 1MT, LARGO 3MTS</v>
          </cell>
          <cell r="O1011" t="str">
            <v>TOTAL 32.27 FT²</v>
          </cell>
          <cell r="P1011" t="str">
            <v/>
          </cell>
          <cell r="Q1011">
            <v>13.3</v>
          </cell>
          <cell r="R1011" t="str">
            <v>FT²</v>
          </cell>
          <cell r="S1011">
            <v>0</v>
          </cell>
          <cell r="T1011">
            <v>0</v>
          </cell>
          <cell r="U1011" t="str">
            <v/>
          </cell>
          <cell r="V1011" t="str">
            <v>PRO10</v>
          </cell>
          <cell r="W1011">
            <v>0</v>
          </cell>
        </row>
        <row r="1012">
          <cell r="C1012" t="str">
            <v>RO212342</v>
          </cell>
          <cell r="D1012" t="str">
            <v>PRINC</v>
          </cell>
          <cell r="E1012" t="str">
            <v>00017</v>
          </cell>
          <cell r="F1012" t="str">
            <v>PLANCHAS</v>
          </cell>
          <cell r="G1012" t="str">
            <v>PRINCIPAL</v>
          </cell>
          <cell r="H1012">
            <v>46004</v>
          </cell>
          <cell r="I1012" t="str">
            <v>SALDO INICIAL</v>
          </cell>
          <cell r="J1012">
            <v>34.479999999999997</v>
          </cell>
          <cell r="K1012">
            <v>187.47543200000001</v>
          </cell>
          <cell r="L1012">
            <v>5.4372239999999996</v>
          </cell>
          <cell r="M1012">
            <v>5.4372225060000003</v>
          </cell>
          <cell r="N1012" t="str">
            <v>MEDIDA: ANCHO 1.2MTS, LARGO 3M</v>
          </cell>
          <cell r="O1012" t="str">
            <v/>
          </cell>
          <cell r="P1012" t="str">
            <v/>
          </cell>
          <cell r="Q1012">
            <v>14</v>
          </cell>
          <cell r="R1012" t="str">
            <v>FT²</v>
          </cell>
          <cell r="S1012">
            <v>0</v>
          </cell>
          <cell r="T1012">
            <v>0</v>
          </cell>
          <cell r="U1012" t="str">
            <v/>
          </cell>
          <cell r="V1012" t="str">
            <v>PRO10</v>
          </cell>
          <cell r="W1012">
            <v>0</v>
          </cell>
        </row>
        <row r="1013">
          <cell r="C1013" t="str">
            <v>W100-0210-110</v>
          </cell>
          <cell r="D1013" t="str">
            <v>PRINC</v>
          </cell>
          <cell r="E1013" t="str">
            <v>00018</v>
          </cell>
          <cell r="F1013" t="str">
            <v>REPUESTOS</v>
          </cell>
          <cell r="G1013" t="str">
            <v>PRINCIPAL</v>
          </cell>
          <cell r="H1013">
            <v>46004</v>
          </cell>
          <cell r="I1013" t="str">
            <v>SALDO INICIAL</v>
          </cell>
          <cell r="J1013">
            <v>4</v>
          </cell>
          <cell r="K1013">
            <v>6.6159999999999997</v>
          </cell>
          <cell r="L1013">
            <v>1.6539999999999999</v>
          </cell>
          <cell r="M1013">
            <v>1.6539999999999999</v>
          </cell>
          <cell r="N1013" t="str">
            <v/>
          </cell>
          <cell r="O1013" t="str">
            <v/>
          </cell>
          <cell r="P1013" t="str">
            <v/>
          </cell>
          <cell r="Q1013">
            <v>27.8</v>
          </cell>
          <cell r="R1013" t="str">
            <v>UND</v>
          </cell>
          <cell r="S1013">
            <v>0</v>
          </cell>
          <cell r="T1013">
            <v>0</v>
          </cell>
          <cell r="U1013" t="str">
            <v/>
          </cell>
          <cell r="V1013" t="str">
            <v>PRO10</v>
          </cell>
          <cell r="W1013">
            <v>0</v>
          </cell>
        </row>
        <row r="1014">
          <cell r="C1014" t="str">
            <v>BLIMPIEZA</v>
          </cell>
          <cell r="D1014" t="str">
            <v>PRINC</v>
          </cell>
          <cell r="E1014" t="str">
            <v>00018</v>
          </cell>
          <cell r="F1014" t="str">
            <v>REPUESTOS</v>
          </cell>
          <cell r="G1014" t="str">
            <v>PRINCIPAL</v>
          </cell>
          <cell r="H1014">
            <v>46004</v>
          </cell>
          <cell r="I1014" t="str">
            <v>SALDO INICIAL</v>
          </cell>
          <cell r="J1014">
            <v>1</v>
          </cell>
          <cell r="K1014">
            <v>7</v>
          </cell>
          <cell r="L1014">
            <v>6.2</v>
          </cell>
          <cell r="M1014">
            <v>7</v>
          </cell>
          <cell r="N1014" t="str">
            <v/>
          </cell>
          <cell r="O1014" t="str">
            <v/>
          </cell>
          <cell r="P1014" t="str">
            <v/>
          </cell>
          <cell r="Q1014">
            <v>10.5</v>
          </cell>
          <cell r="R1014" t="str">
            <v>UND</v>
          </cell>
          <cell r="S1014">
            <v>0</v>
          </cell>
          <cell r="T1014">
            <v>0</v>
          </cell>
          <cell r="U1014" t="str">
            <v/>
          </cell>
          <cell r="V1014" t="str">
            <v>PRO10</v>
          </cell>
          <cell r="W1014">
            <v>0</v>
          </cell>
        </row>
        <row r="1015">
          <cell r="C1015" t="str">
            <v>KECONTROLK50/20</v>
          </cell>
          <cell r="D1015" t="str">
            <v>PRINC</v>
          </cell>
          <cell r="E1015" t="str">
            <v>00018</v>
          </cell>
          <cell r="F1015" t="str">
            <v>REPUESTOS</v>
          </cell>
          <cell r="G1015" t="str">
            <v>PRINCIPAL</v>
          </cell>
          <cell r="H1015">
            <v>46004</v>
          </cell>
          <cell r="I1015" t="str">
            <v>SALDO INICIAL</v>
          </cell>
          <cell r="J1015">
            <v>1</v>
          </cell>
          <cell r="K1015">
            <v>482.76333299999999</v>
          </cell>
          <cell r="L1015">
            <v>482.76333299999999</v>
          </cell>
          <cell r="M1015">
            <v>482.76333299999999</v>
          </cell>
          <cell r="N1015" t="str">
            <v/>
          </cell>
          <cell r="O1015" t="str">
            <v/>
          </cell>
          <cell r="P1015" t="str">
            <v/>
          </cell>
          <cell r="Q1015">
            <v>0</v>
          </cell>
          <cell r="R1015" t="str">
            <v>UND</v>
          </cell>
          <cell r="S1015">
            <v>0</v>
          </cell>
          <cell r="T1015">
            <v>0</v>
          </cell>
          <cell r="U1015" t="str">
            <v/>
          </cell>
          <cell r="V1015" t="str">
            <v>PRO10</v>
          </cell>
          <cell r="W1015">
            <v>0</v>
          </cell>
        </row>
        <row r="1016">
          <cell r="C1016" t="str">
            <v>KEKTP-000643</v>
          </cell>
          <cell r="D1016" t="str">
            <v>PRINC</v>
          </cell>
          <cell r="E1016" t="str">
            <v>00018</v>
          </cell>
          <cell r="F1016" t="str">
            <v>REPUESTOS</v>
          </cell>
          <cell r="G1016" t="str">
            <v>PRINCIPAL</v>
          </cell>
          <cell r="H1016">
            <v>46004</v>
          </cell>
          <cell r="I1016" t="str">
            <v>SALDO INICIAL</v>
          </cell>
          <cell r="J1016">
            <v>4</v>
          </cell>
          <cell r="K1016">
            <v>41.8</v>
          </cell>
          <cell r="L1016">
            <v>0</v>
          </cell>
          <cell r="M1016">
            <v>10.45</v>
          </cell>
          <cell r="N1016" t="str">
            <v/>
          </cell>
          <cell r="O1016" t="str">
            <v/>
          </cell>
          <cell r="P1016" t="str">
            <v/>
          </cell>
          <cell r="Q1016">
            <v>106.3</v>
          </cell>
          <cell r="R1016" t="str">
            <v>UND</v>
          </cell>
          <cell r="S1016">
            <v>0</v>
          </cell>
          <cell r="T1016">
            <v>0</v>
          </cell>
          <cell r="U1016" t="str">
            <v/>
          </cell>
          <cell r="V1016" t="str">
            <v>PRO10</v>
          </cell>
          <cell r="W1016">
            <v>0</v>
          </cell>
        </row>
        <row r="1017">
          <cell r="C1017" t="str">
            <v>KEMOTK50/200</v>
          </cell>
          <cell r="D1017" t="str">
            <v>PRINC</v>
          </cell>
          <cell r="E1017" t="str">
            <v>00018</v>
          </cell>
          <cell r="F1017" t="str">
            <v>REPUESTOS</v>
          </cell>
          <cell r="G1017" t="str">
            <v>PRINCIPAL</v>
          </cell>
          <cell r="H1017">
            <v>46004</v>
          </cell>
          <cell r="I1017" t="str">
            <v>SALDO INICIAL</v>
          </cell>
          <cell r="J1017">
            <v>4</v>
          </cell>
          <cell r="K1017">
            <v>695.55</v>
          </cell>
          <cell r="L1017">
            <v>0</v>
          </cell>
          <cell r="M1017">
            <v>173.88749999999999</v>
          </cell>
          <cell r="N1017" t="str">
            <v/>
          </cell>
          <cell r="O1017" t="str">
            <v/>
          </cell>
          <cell r="P1017" t="str">
            <v/>
          </cell>
          <cell r="Q1017">
            <v>0</v>
          </cell>
          <cell r="R1017" t="str">
            <v>UND</v>
          </cell>
          <cell r="S1017">
            <v>0</v>
          </cell>
          <cell r="T1017">
            <v>0</v>
          </cell>
          <cell r="U1017" t="str">
            <v/>
          </cell>
          <cell r="V1017" t="str">
            <v>PRO10</v>
          </cell>
          <cell r="W1017">
            <v>0</v>
          </cell>
        </row>
        <row r="1018">
          <cell r="C1018" t="str">
            <v>KERODENG-ETIQAM</v>
          </cell>
          <cell r="D1018" t="str">
            <v>PRINC</v>
          </cell>
          <cell r="E1018" t="str">
            <v>00018</v>
          </cell>
          <cell r="F1018" t="str">
            <v>REPUESTOS</v>
          </cell>
          <cell r="G1018" t="str">
            <v>PRINCIPAL</v>
          </cell>
          <cell r="H1018">
            <v>46004</v>
          </cell>
          <cell r="I1018" t="str">
            <v>SALDO INICIAL</v>
          </cell>
          <cell r="J1018">
            <v>3</v>
          </cell>
          <cell r="K1018">
            <v>312.315</v>
          </cell>
          <cell r="L1018">
            <v>104.105</v>
          </cell>
          <cell r="M1018">
            <v>104.105</v>
          </cell>
          <cell r="N1018" t="str">
            <v/>
          </cell>
          <cell r="O1018" t="str">
            <v/>
          </cell>
          <cell r="P1018" t="str">
            <v/>
          </cell>
          <cell r="Q1018">
            <v>0</v>
          </cell>
          <cell r="R1018" t="str">
            <v>UND</v>
          </cell>
          <cell r="S1018">
            <v>0</v>
          </cell>
          <cell r="T1018">
            <v>0</v>
          </cell>
          <cell r="U1018" t="str">
            <v/>
          </cell>
          <cell r="V1018" t="str">
            <v>PRO10</v>
          </cell>
          <cell r="W1018">
            <v>0</v>
          </cell>
        </row>
        <row r="1019">
          <cell r="C1019" t="str">
            <v>BR100-DDT</v>
          </cell>
          <cell r="D1019" t="str">
            <v>PRINC</v>
          </cell>
          <cell r="E1019" t="str">
            <v>00018</v>
          </cell>
          <cell r="F1019" t="str">
            <v>REPUESTOS</v>
          </cell>
          <cell r="G1019" t="str">
            <v>PRINCIPAL</v>
          </cell>
          <cell r="H1019">
            <v>46004</v>
          </cell>
          <cell r="I1019" t="str">
            <v>SALDO INICIAL</v>
          </cell>
          <cell r="J1019">
            <v>1</v>
          </cell>
          <cell r="K1019">
            <v>54.4</v>
          </cell>
          <cell r="L1019">
            <v>54.4</v>
          </cell>
          <cell r="M1019">
            <v>54.4</v>
          </cell>
          <cell r="N1019" t="str">
            <v/>
          </cell>
          <cell r="O1019" t="str">
            <v/>
          </cell>
          <cell r="P1019" t="str">
            <v/>
          </cell>
          <cell r="Q1019">
            <v>0</v>
          </cell>
          <cell r="R1019" t="str">
            <v>UND</v>
          </cell>
          <cell r="S1019">
            <v>0</v>
          </cell>
          <cell r="T1019">
            <v>0</v>
          </cell>
          <cell r="U1019" t="str">
            <v/>
          </cell>
          <cell r="V1019" t="str">
            <v>PRO10</v>
          </cell>
          <cell r="W1019">
            <v>0</v>
          </cell>
        </row>
        <row r="1020">
          <cell r="C1020" t="str">
            <v>BR3M-MDT</v>
          </cell>
          <cell r="D1020" t="str">
            <v>PRINC</v>
          </cell>
          <cell r="E1020" t="str">
            <v>00018</v>
          </cell>
          <cell r="F1020" t="str">
            <v>REPUESTOS</v>
          </cell>
          <cell r="G1020" t="str">
            <v>PRINCIPAL</v>
          </cell>
          <cell r="H1020">
            <v>46004</v>
          </cell>
          <cell r="I1020" t="str">
            <v>SALDO INICIAL</v>
          </cell>
          <cell r="J1020">
            <v>1</v>
          </cell>
          <cell r="K1020">
            <v>64</v>
          </cell>
          <cell r="L1020">
            <v>0</v>
          </cell>
          <cell r="M1020">
            <v>64</v>
          </cell>
          <cell r="N1020" t="str">
            <v/>
          </cell>
          <cell r="O1020" t="str">
            <v/>
          </cell>
          <cell r="P1020" t="str">
            <v/>
          </cell>
          <cell r="Q1020">
            <v>0</v>
          </cell>
          <cell r="R1020" t="str">
            <v>UND</v>
          </cell>
          <cell r="S1020">
            <v>0</v>
          </cell>
          <cell r="T1020">
            <v>0</v>
          </cell>
          <cell r="U1020" t="str">
            <v/>
          </cell>
          <cell r="V1020" t="str">
            <v>PRO10</v>
          </cell>
          <cell r="W1020">
            <v>0</v>
          </cell>
        </row>
        <row r="1021">
          <cell r="C1021" t="str">
            <v>KEKTP-000326</v>
          </cell>
          <cell r="D1021" t="str">
            <v>PRINC</v>
          </cell>
          <cell r="E1021" t="str">
            <v>00018</v>
          </cell>
          <cell r="F1021" t="str">
            <v>REPUESTOS</v>
          </cell>
          <cell r="G1021" t="str">
            <v>PRINCIPAL</v>
          </cell>
          <cell r="H1021">
            <v>46004</v>
          </cell>
          <cell r="I1021" t="str">
            <v>SALDO INICIAL</v>
          </cell>
          <cell r="J1021">
            <v>4</v>
          </cell>
          <cell r="K1021">
            <v>41.806668000000002</v>
          </cell>
          <cell r="L1021">
            <v>10.451667</v>
          </cell>
          <cell r="M1021">
            <v>10.451667</v>
          </cell>
          <cell r="N1021" t="str">
            <v/>
          </cell>
          <cell r="O1021" t="str">
            <v/>
          </cell>
          <cell r="P1021" t="str">
            <v/>
          </cell>
          <cell r="Q1021">
            <v>85.15</v>
          </cell>
          <cell r="R1021" t="str">
            <v>UND</v>
          </cell>
          <cell r="S1021">
            <v>0</v>
          </cell>
          <cell r="T1021">
            <v>0</v>
          </cell>
          <cell r="U1021" t="str">
            <v/>
          </cell>
          <cell r="V1021" t="str">
            <v>PRO10</v>
          </cell>
          <cell r="W1021">
            <v>0</v>
          </cell>
        </row>
        <row r="1022">
          <cell r="C1022" t="str">
            <v>SETK50LH</v>
          </cell>
          <cell r="D1022" t="str">
            <v>PRINC</v>
          </cell>
          <cell r="E1022" t="str">
            <v>00019</v>
          </cell>
          <cell r="F1022" t="str">
            <v>SISTEMAS Y TRANSPORTADORES</v>
          </cell>
          <cell r="G1022" t="str">
            <v>PRINCIPAL</v>
          </cell>
          <cell r="H1022">
            <v>46004</v>
          </cell>
          <cell r="I1022" t="str">
            <v>SALDO INICIAL</v>
          </cell>
          <cell r="J1022">
            <v>1</v>
          </cell>
          <cell r="K1022">
            <v>2000.9843980000001</v>
          </cell>
          <cell r="L1022">
            <v>1913.075585</v>
          </cell>
          <cell r="M1022">
            <v>2000.9843980000001</v>
          </cell>
          <cell r="N1022" t="str">
            <v/>
          </cell>
          <cell r="O1022" t="str">
            <v/>
          </cell>
          <cell r="P1022" t="str">
            <v/>
          </cell>
          <cell r="Q1022">
            <v>0</v>
          </cell>
          <cell r="R1022" t="str">
            <v>UND</v>
          </cell>
          <cell r="S1022">
            <v>0</v>
          </cell>
          <cell r="T1022">
            <v>0</v>
          </cell>
          <cell r="U1022" t="str">
            <v/>
          </cell>
          <cell r="V1022" t="str">
            <v>PRO10</v>
          </cell>
          <cell r="W1022">
            <v>0</v>
          </cell>
        </row>
        <row r="1023">
          <cell r="C1023" t="str">
            <v>SESPENV</v>
          </cell>
          <cell r="D1023" t="str">
            <v>PRINC</v>
          </cell>
          <cell r="E1023" t="str">
            <v>00019</v>
          </cell>
          <cell r="F1023" t="str">
            <v>SISTEMAS Y TRANSPORTADORES</v>
          </cell>
          <cell r="G1023" t="str">
            <v>PRINCIPAL</v>
          </cell>
          <cell r="H1023">
            <v>46004</v>
          </cell>
          <cell r="I1023" t="str">
            <v>SALDO INICIAL</v>
          </cell>
          <cell r="J1023">
            <v>1</v>
          </cell>
          <cell r="K1023">
            <v>422.05707200000001</v>
          </cell>
          <cell r="L1023">
            <v>345.70375000000001</v>
          </cell>
          <cell r="M1023">
            <v>422.05707200000001</v>
          </cell>
          <cell r="N1023" t="str">
            <v/>
          </cell>
          <cell r="O1023" t="str">
            <v/>
          </cell>
          <cell r="P1023" t="str">
            <v/>
          </cell>
          <cell r="Q1023">
            <v>0</v>
          </cell>
          <cell r="R1023" t="str">
            <v>UND</v>
          </cell>
          <cell r="S1023">
            <v>0</v>
          </cell>
          <cell r="T1023">
            <v>0</v>
          </cell>
          <cell r="U1023" t="str">
            <v/>
          </cell>
          <cell r="V1023" t="str">
            <v>PRO10</v>
          </cell>
          <cell r="W1023">
            <v>0</v>
          </cell>
        </row>
        <row r="1024">
          <cell r="C1024" t="str">
            <v>TFECORYPOL1.1X1</v>
          </cell>
          <cell r="D1024" t="str">
            <v>PRINC</v>
          </cell>
          <cell r="E1024" t="str">
            <v>00019</v>
          </cell>
          <cell r="F1024" t="str">
            <v>SISTEMAS Y TRANSPORTADORES</v>
          </cell>
          <cell r="G1024" t="str">
            <v>PRINCIPAL</v>
          </cell>
          <cell r="H1024">
            <v>46004</v>
          </cell>
          <cell r="I1024" t="str">
            <v>SALDO INICIAL</v>
          </cell>
          <cell r="J1024">
            <v>1</v>
          </cell>
          <cell r="K1024">
            <v>423.36763999999999</v>
          </cell>
          <cell r="L1024">
            <v>0</v>
          </cell>
          <cell r="M1024">
            <v>423.36763999999999</v>
          </cell>
          <cell r="N1024" t="str">
            <v/>
          </cell>
          <cell r="O1024" t="str">
            <v/>
          </cell>
          <cell r="P1024" t="str">
            <v/>
          </cell>
          <cell r="Q1024">
            <v>0</v>
          </cell>
          <cell r="R1024" t="str">
            <v>UND</v>
          </cell>
          <cell r="S1024">
            <v>0</v>
          </cell>
          <cell r="T1024">
            <v>0</v>
          </cell>
          <cell r="U1024" t="str">
            <v/>
          </cell>
          <cell r="V1024" t="str">
            <v>PRO10</v>
          </cell>
          <cell r="W1024">
            <v>0</v>
          </cell>
        </row>
        <row r="1025">
          <cell r="C1025" t="str">
            <v>TSSC4.1/2X1.22</v>
          </cell>
          <cell r="D1025" t="str">
            <v>PRINC</v>
          </cell>
          <cell r="E1025" t="str">
            <v>00019</v>
          </cell>
          <cell r="F1025" t="str">
            <v>SISTEMAS Y TRANSPORTADORES</v>
          </cell>
          <cell r="G1025" t="str">
            <v>PRINCIPAL</v>
          </cell>
          <cell r="H1025">
            <v>46004</v>
          </cell>
          <cell r="I1025" t="str">
            <v>SALDO INICIAL</v>
          </cell>
          <cell r="J1025">
            <v>1</v>
          </cell>
          <cell r="K1025">
            <v>504.49758800000001</v>
          </cell>
          <cell r="L1025">
            <v>504.49758700000001</v>
          </cell>
          <cell r="M1025">
            <v>504.49758800000001</v>
          </cell>
          <cell r="N1025" t="str">
            <v/>
          </cell>
          <cell r="O1025" t="str">
            <v/>
          </cell>
          <cell r="P1025" t="str">
            <v/>
          </cell>
          <cell r="Q1025">
            <v>0</v>
          </cell>
          <cell r="R1025" t="str">
            <v>UND</v>
          </cell>
          <cell r="S1025">
            <v>0</v>
          </cell>
          <cell r="T1025">
            <v>0</v>
          </cell>
          <cell r="U1025" t="str">
            <v/>
          </cell>
          <cell r="V1025" t="str">
            <v>PRO10</v>
          </cell>
          <cell r="W1025">
            <v>0</v>
          </cell>
        </row>
        <row r="1026">
          <cell r="C1026" t="str">
            <v>TSSC6X1.22</v>
          </cell>
          <cell r="D1026" t="str">
            <v>PRINC</v>
          </cell>
          <cell r="E1026" t="str">
            <v>00019</v>
          </cell>
          <cell r="F1026" t="str">
            <v>SISTEMAS Y TRANSPORTADORES</v>
          </cell>
          <cell r="G1026" t="str">
            <v>PRINCIPAL</v>
          </cell>
          <cell r="H1026">
            <v>46004</v>
          </cell>
          <cell r="I1026" t="str">
            <v>SALDO INICIAL</v>
          </cell>
          <cell r="J1026">
            <v>6</v>
          </cell>
          <cell r="K1026">
            <v>3300.8089190000001</v>
          </cell>
          <cell r="L1026">
            <v>521.32726700000001</v>
          </cell>
          <cell r="M1026">
            <v>550.13481983300005</v>
          </cell>
          <cell r="N1026" t="str">
            <v/>
          </cell>
          <cell r="O1026" t="str">
            <v/>
          </cell>
          <cell r="P1026" t="str">
            <v/>
          </cell>
          <cell r="Q1026">
            <v>0</v>
          </cell>
          <cell r="R1026" t="str">
            <v>UND</v>
          </cell>
          <cell r="S1026">
            <v>0</v>
          </cell>
          <cell r="T1026">
            <v>0</v>
          </cell>
          <cell r="U1026" t="str">
            <v/>
          </cell>
          <cell r="V1026" t="str">
            <v>PRO10</v>
          </cell>
          <cell r="W1026">
            <v>0</v>
          </cell>
        </row>
        <row r="1027">
          <cell r="C1027" t="str">
            <v>TSSC7.1/2X1.22</v>
          </cell>
          <cell r="D1027" t="str">
            <v>PRINC</v>
          </cell>
          <cell r="E1027" t="str">
            <v>00019</v>
          </cell>
          <cell r="F1027" t="str">
            <v>SISTEMAS Y TRANSPORTADORES</v>
          </cell>
          <cell r="G1027" t="str">
            <v>PRINCIPAL</v>
          </cell>
          <cell r="H1027">
            <v>46004</v>
          </cell>
          <cell r="I1027" t="str">
            <v>SALDO INICIAL</v>
          </cell>
          <cell r="J1027">
            <v>3</v>
          </cell>
          <cell r="K1027">
            <v>1636.4715309999999</v>
          </cell>
          <cell r="L1027">
            <v>543.56148299999995</v>
          </cell>
          <cell r="M1027">
            <v>545.49051033299997</v>
          </cell>
          <cell r="N1027" t="str">
            <v/>
          </cell>
          <cell r="O1027" t="str">
            <v/>
          </cell>
          <cell r="P1027" t="str">
            <v/>
          </cell>
          <cell r="Q1027">
            <v>0</v>
          </cell>
          <cell r="R1027" t="str">
            <v>UND</v>
          </cell>
          <cell r="S1027">
            <v>0</v>
          </cell>
          <cell r="T1027">
            <v>0</v>
          </cell>
          <cell r="U1027" t="str">
            <v/>
          </cell>
          <cell r="V1027" t="str">
            <v>PRO10</v>
          </cell>
          <cell r="W1027">
            <v>0</v>
          </cell>
        </row>
        <row r="1028">
          <cell r="C1028" t="str">
            <v>TSSC7.1/2X2.4</v>
          </cell>
          <cell r="D1028" t="str">
            <v>PRINC</v>
          </cell>
          <cell r="E1028" t="str">
            <v>00019</v>
          </cell>
          <cell r="F1028" t="str">
            <v>SISTEMAS Y TRANSPORTADORES</v>
          </cell>
          <cell r="G1028" t="str">
            <v>PRINCIPAL</v>
          </cell>
          <cell r="H1028">
            <v>46004</v>
          </cell>
          <cell r="I1028" t="str">
            <v>SALDO INICIAL</v>
          </cell>
          <cell r="J1028">
            <v>1</v>
          </cell>
          <cell r="K1028">
            <v>559.39170000000001</v>
          </cell>
          <cell r="L1028">
            <v>735.70906400000001</v>
          </cell>
          <cell r="M1028">
            <v>559.39170000000001</v>
          </cell>
          <cell r="N1028" t="str">
            <v/>
          </cell>
          <cell r="O1028" t="str">
            <v/>
          </cell>
          <cell r="P1028" t="str">
            <v/>
          </cell>
          <cell r="Q1028">
            <v>0</v>
          </cell>
          <cell r="R1028" t="str">
            <v>UND</v>
          </cell>
          <cell r="S1028">
            <v>0</v>
          </cell>
          <cell r="T1028">
            <v>0</v>
          </cell>
          <cell r="U1028" t="str">
            <v/>
          </cell>
          <cell r="V1028" t="str">
            <v>PRO10</v>
          </cell>
          <cell r="W1028">
            <v>0</v>
          </cell>
        </row>
        <row r="1029">
          <cell r="C1029" t="str">
            <v>KETSUP</v>
          </cell>
          <cell r="D1029" t="str">
            <v>PRINC</v>
          </cell>
          <cell r="E1029" t="str">
            <v>00019</v>
          </cell>
          <cell r="F1029" t="str">
            <v>SISTEMAS Y TRANSPORTADORES</v>
          </cell>
          <cell r="G1029" t="str">
            <v>PRINCIPAL</v>
          </cell>
          <cell r="H1029">
            <v>46004</v>
          </cell>
          <cell r="I1029" t="str">
            <v>SALDO INICIAL</v>
          </cell>
          <cell r="J1029">
            <v>1</v>
          </cell>
          <cell r="K1029">
            <v>2326.5349999999999</v>
          </cell>
          <cell r="L1029">
            <v>2326.5349999999999</v>
          </cell>
          <cell r="M1029">
            <v>2326.5349999999999</v>
          </cell>
          <cell r="N1029" t="str">
            <v/>
          </cell>
          <cell r="O1029" t="str">
            <v/>
          </cell>
          <cell r="P1029" t="str">
            <v/>
          </cell>
          <cell r="Q1029">
            <v>0</v>
          </cell>
          <cell r="R1029" t="str">
            <v>UND</v>
          </cell>
          <cell r="S1029">
            <v>0</v>
          </cell>
          <cell r="T1029">
            <v>0</v>
          </cell>
          <cell r="U1029" t="str">
            <v/>
          </cell>
          <cell r="V1029" t="str">
            <v>PRO10</v>
          </cell>
          <cell r="W1029">
            <v>0</v>
          </cell>
        </row>
        <row r="1030">
          <cell r="C1030" t="str">
            <v>MITTRITONHRAC2.</v>
          </cell>
          <cell r="D1030" t="str">
            <v>PRINC</v>
          </cell>
          <cell r="E1030" t="str">
            <v>00021</v>
          </cell>
          <cell r="F1030" t="str">
            <v>AF VEHICULO</v>
          </cell>
          <cell r="G1030" t="str">
            <v>PRINCIPAL</v>
          </cell>
          <cell r="H1030">
            <v>46004</v>
          </cell>
          <cell r="I1030" t="str">
            <v>SALDO INICIAL</v>
          </cell>
          <cell r="J1030">
            <v>1</v>
          </cell>
          <cell r="K1030">
            <v>29990.01</v>
          </cell>
          <cell r="L1030">
            <v>0</v>
          </cell>
          <cell r="M1030">
            <v>29990.01</v>
          </cell>
          <cell r="N1030" t="str">
            <v/>
          </cell>
          <cell r="O1030" t="str">
            <v/>
          </cell>
          <cell r="P1030" t="str">
            <v/>
          </cell>
          <cell r="Q1030">
            <v>0</v>
          </cell>
          <cell r="R1030" t="str">
            <v>UND</v>
          </cell>
          <cell r="S1030">
            <v>0</v>
          </cell>
          <cell r="T1030">
            <v>0</v>
          </cell>
          <cell r="U1030" t="str">
            <v/>
          </cell>
          <cell r="V1030" t="str">
            <v>PRO10</v>
          </cell>
          <cell r="W1030">
            <v>0</v>
          </cell>
        </row>
        <row r="1031">
          <cell r="C1031" t="str">
            <v>ESCRITORIO1.2X0</v>
          </cell>
          <cell r="D1031" t="str">
            <v>PRINC</v>
          </cell>
          <cell r="E1031" t="str">
            <v>00022</v>
          </cell>
          <cell r="F1031" t="str">
            <v>INVENTARIO OFICINA</v>
          </cell>
          <cell r="G1031" t="str">
            <v>PRINCIPAL</v>
          </cell>
          <cell r="H1031">
            <v>46004</v>
          </cell>
          <cell r="I1031" t="str">
            <v>SALDO INICIAL</v>
          </cell>
          <cell r="J1031">
            <v>1</v>
          </cell>
          <cell r="K1031">
            <v>178.6</v>
          </cell>
          <cell r="L1031">
            <v>0</v>
          </cell>
          <cell r="M1031">
            <v>178.6</v>
          </cell>
          <cell r="N1031" t="str">
            <v/>
          </cell>
          <cell r="O1031" t="str">
            <v/>
          </cell>
          <cell r="P1031" t="str">
            <v/>
          </cell>
          <cell r="Q1031">
            <v>0</v>
          </cell>
          <cell r="R1031" t="str">
            <v>UND</v>
          </cell>
          <cell r="S1031">
            <v>0</v>
          </cell>
          <cell r="T1031">
            <v>0</v>
          </cell>
          <cell r="U1031" t="str">
            <v/>
          </cell>
          <cell r="V1031" t="str">
            <v>PRO10</v>
          </cell>
          <cell r="W1031">
            <v>0</v>
          </cell>
        </row>
        <row r="1032">
          <cell r="C1032" t="str">
            <v>SILLA SECRET.</v>
          </cell>
          <cell r="D1032" t="str">
            <v>PRINC</v>
          </cell>
          <cell r="E1032" t="str">
            <v>00022</v>
          </cell>
          <cell r="F1032" t="str">
            <v>INVENTARIO OFICINA</v>
          </cell>
          <cell r="G1032" t="str">
            <v>PRINCIPAL</v>
          </cell>
          <cell r="H1032">
            <v>46004</v>
          </cell>
          <cell r="I1032" t="str">
            <v>SALDO INICIAL</v>
          </cell>
          <cell r="J1032">
            <v>1</v>
          </cell>
          <cell r="K1032">
            <v>69.349999999999994</v>
          </cell>
          <cell r="L1032">
            <v>0</v>
          </cell>
          <cell r="M1032">
            <v>69.349999999999994</v>
          </cell>
          <cell r="N1032" t="str">
            <v/>
          </cell>
          <cell r="O1032" t="str">
            <v/>
          </cell>
          <cell r="P1032" t="str">
            <v/>
          </cell>
          <cell r="Q1032">
            <v>0</v>
          </cell>
          <cell r="R1032" t="str">
            <v>UND</v>
          </cell>
          <cell r="S1032">
            <v>0</v>
          </cell>
          <cell r="T1032">
            <v>0</v>
          </cell>
          <cell r="U1032" t="str">
            <v/>
          </cell>
          <cell r="V1032" t="str">
            <v>PRO10</v>
          </cell>
          <cell r="W1032">
            <v>0</v>
          </cell>
        </row>
        <row r="1033">
          <cell r="C1033" t="str">
            <v>TABLETP3100</v>
          </cell>
          <cell r="D1033" t="str">
            <v>PRINC</v>
          </cell>
          <cell r="E1033" t="str">
            <v>00022</v>
          </cell>
          <cell r="F1033" t="str">
            <v>INVENTARIO OFICINA</v>
          </cell>
          <cell r="G1033" t="str">
            <v>PRINCIPAL</v>
          </cell>
          <cell r="H1033">
            <v>46004</v>
          </cell>
          <cell r="I1033" t="str">
            <v>SALDO INICIAL</v>
          </cell>
          <cell r="J1033">
            <v>1</v>
          </cell>
          <cell r="K1033">
            <v>120</v>
          </cell>
          <cell r="L1033">
            <v>0</v>
          </cell>
          <cell r="M1033">
            <v>120</v>
          </cell>
          <cell r="N1033" t="str">
            <v/>
          </cell>
          <cell r="O1033" t="str">
            <v/>
          </cell>
          <cell r="P1033" t="str">
            <v/>
          </cell>
          <cell r="Q1033">
            <v>0</v>
          </cell>
          <cell r="R1033" t="str">
            <v>UND</v>
          </cell>
          <cell r="S1033">
            <v>0</v>
          </cell>
          <cell r="T1033">
            <v>0</v>
          </cell>
          <cell r="U1033" t="str">
            <v/>
          </cell>
          <cell r="V1033" t="str">
            <v>PRO10</v>
          </cell>
          <cell r="W1033">
            <v>0</v>
          </cell>
        </row>
        <row r="1034">
          <cell r="C1034" t="str">
            <v>PI1LCJRA09061</v>
          </cell>
          <cell r="D1034" t="str">
            <v>PRINC</v>
          </cell>
          <cell r="E1034" t="str">
            <v>00029</v>
          </cell>
          <cell r="F1034" t="str">
            <v>CADENAS CARDANICAS</v>
          </cell>
          <cell r="G1034" t="str">
            <v>PRINCIPAL</v>
          </cell>
          <cell r="H1034">
            <v>46004</v>
          </cell>
          <cell r="I1034" t="str">
            <v>SALDO INICIAL</v>
          </cell>
          <cell r="J1034">
            <v>4</v>
          </cell>
          <cell r="K1034">
            <v>507.12095199999999</v>
          </cell>
          <cell r="L1034">
            <v>126.780238</v>
          </cell>
          <cell r="M1034">
            <v>126.780238</v>
          </cell>
          <cell r="N1034" t="str">
            <v/>
          </cell>
          <cell r="O1034" t="str">
            <v/>
          </cell>
          <cell r="P1034" t="str">
            <v/>
          </cell>
          <cell r="Q1034">
            <v>199</v>
          </cell>
          <cell r="R1034" t="str">
            <v>CJA</v>
          </cell>
          <cell r="S1034">
            <v>0</v>
          </cell>
          <cell r="T1034">
            <v>0</v>
          </cell>
          <cell r="U1034" t="str">
            <v/>
          </cell>
          <cell r="V1034" t="str">
            <v>PRO10</v>
          </cell>
          <cell r="W1034">
            <v>0</v>
          </cell>
        </row>
        <row r="1035">
          <cell r="C1035" t="str">
            <v>PIILCJRA09048</v>
          </cell>
          <cell r="D1035" t="str">
            <v>PRINC</v>
          </cell>
          <cell r="E1035" t="str">
            <v>00029</v>
          </cell>
          <cell r="F1035" t="str">
            <v>CADENAS CARDANICAS</v>
          </cell>
          <cell r="G1035" t="str">
            <v>PRINCIPAL</v>
          </cell>
          <cell r="H1035">
            <v>46004</v>
          </cell>
          <cell r="I1035" t="str">
            <v>SALDO INICIAL</v>
          </cell>
          <cell r="J1035">
            <v>1</v>
          </cell>
          <cell r="K1035">
            <v>0.98200200000000004</v>
          </cell>
          <cell r="L1035">
            <v>83.209549999999993</v>
          </cell>
          <cell r="M1035">
            <v>0.98200200000000004</v>
          </cell>
          <cell r="N1035" t="str">
            <v/>
          </cell>
          <cell r="O1035" t="str">
            <v/>
          </cell>
          <cell r="P1035" t="str">
            <v/>
          </cell>
          <cell r="Q1035">
            <v>201.4</v>
          </cell>
          <cell r="R1035" t="str">
            <v>CJA</v>
          </cell>
          <cell r="S1035">
            <v>0</v>
          </cell>
          <cell r="T1035">
            <v>0</v>
          </cell>
          <cell r="U1035" t="str">
            <v/>
          </cell>
          <cell r="V1035" t="str">
            <v>PRO10</v>
          </cell>
          <cell r="W1035">
            <v>0</v>
          </cell>
        </row>
        <row r="1036">
          <cell r="C1036" t="str">
            <v>RE1600AGUPKRA/0</v>
          </cell>
          <cell r="D1036" t="str">
            <v>PRINC</v>
          </cell>
          <cell r="E1036" t="str">
            <v>00029</v>
          </cell>
          <cell r="F1036" t="str">
            <v>CADENAS CARDANICAS</v>
          </cell>
          <cell r="G1036" t="str">
            <v>PRINCIPAL</v>
          </cell>
          <cell r="H1036">
            <v>46004</v>
          </cell>
          <cell r="I1036" t="str">
            <v>SALDO INICIAL</v>
          </cell>
          <cell r="J1036">
            <v>0</v>
          </cell>
          <cell r="K1036">
            <v>60.453718000000002</v>
          </cell>
          <cell r="L1036">
            <v>61.034106000000001</v>
          </cell>
          <cell r="M1036">
            <v>0</v>
          </cell>
          <cell r="N1036" t="str">
            <v/>
          </cell>
          <cell r="O1036" t="str">
            <v/>
          </cell>
          <cell r="P1036" t="str">
            <v/>
          </cell>
          <cell r="Q1036">
            <v>157</v>
          </cell>
          <cell r="R1036" t="str">
            <v>ROL</v>
          </cell>
          <cell r="S1036">
            <v>0</v>
          </cell>
          <cell r="T1036">
            <v>0</v>
          </cell>
          <cell r="U1036" t="str">
            <v/>
          </cell>
          <cell r="V1036" t="str">
            <v>PRO10</v>
          </cell>
          <cell r="W1036">
            <v>0</v>
          </cell>
        </row>
        <row r="1037">
          <cell r="C1037" t="str">
            <v>RE1701TA/000</v>
          </cell>
          <cell r="D1037" t="str">
            <v>PRINC</v>
          </cell>
          <cell r="E1037" t="str">
            <v>00029</v>
          </cell>
          <cell r="F1037" t="str">
            <v>CADENAS CARDANICAS</v>
          </cell>
          <cell r="G1037" t="str">
            <v>PRINCIPAL</v>
          </cell>
          <cell r="H1037">
            <v>46004</v>
          </cell>
          <cell r="I1037" t="str">
            <v>SALDO INICIAL</v>
          </cell>
          <cell r="J1037">
            <v>6</v>
          </cell>
          <cell r="K1037">
            <v>542.31413499999996</v>
          </cell>
          <cell r="L1037">
            <v>81.840307999999993</v>
          </cell>
          <cell r="M1037">
            <v>90.385689166999995</v>
          </cell>
          <cell r="N1037" t="str">
            <v>PRECIO ESPECIAL $121.5</v>
          </cell>
          <cell r="O1037" t="str">
            <v/>
          </cell>
          <cell r="P1037" t="str">
            <v/>
          </cell>
          <cell r="Q1037">
            <v>149</v>
          </cell>
          <cell r="R1037" t="str">
            <v>ROL</v>
          </cell>
          <cell r="S1037">
            <v>0</v>
          </cell>
          <cell r="T1037">
            <v>0</v>
          </cell>
          <cell r="U1037" t="str">
            <v/>
          </cell>
          <cell r="V1037" t="str">
            <v>PRO10</v>
          </cell>
          <cell r="W1037">
            <v>0</v>
          </cell>
        </row>
        <row r="1038">
          <cell r="C1038" t="str">
            <v>RE1702A/000</v>
          </cell>
          <cell r="D1038" t="str">
            <v>PRINC</v>
          </cell>
          <cell r="E1038" t="str">
            <v>00029</v>
          </cell>
          <cell r="F1038" t="str">
            <v>CADENAS CARDANICAS</v>
          </cell>
          <cell r="G1038" t="str">
            <v>PRINCIPAL</v>
          </cell>
          <cell r="H1038">
            <v>46004</v>
          </cell>
          <cell r="I1038" t="str">
            <v>SALDO INICIAL</v>
          </cell>
          <cell r="J1038">
            <v>6</v>
          </cell>
          <cell r="K1038">
            <v>622.86482999999998</v>
          </cell>
          <cell r="L1038">
            <v>79.782418000000007</v>
          </cell>
          <cell r="M1038">
            <v>103.810805</v>
          </cell>
          <cell r="N1038" t="str">
            <v/>
          </cell>
          <cell r="O1038" t="str">
            <v/>
          </cell>
          <cell r="P1038" t="str">
            <v/>
          </cell>
          <cell r="Q1038">
            <v>171</v>
          </cell>
          <cell r="R1038" t="str">
            <v>ROL</v>
          </cell>
          <cell r="S1038">
            <v>0</v>
          </cell>
          <cell r="T1038">
            <v>0</v>
          </cell>
          <cell r="U1038" t="str">
            <v/>
          </cell>
          <cell r="V1038" t="str">
            <v>PRO10</v>
          </cell>
          <cell r="W1038">
            <v>0</v>
          </cell>
        </row>
        <row r="1039">
          <cell r="C1039" t="str">
            <v>REA1700/000</v>
          </cell>
          <cell r="D1039" t="str">
            <v>PRINC</v>
          </cell>
          <cell r="E1039" t="str">
            <v>00029</v>
          </cell>
          <cell r="F1039" t="str">
            <v>CADENAS CARDANICAS</v>
          </cell>
          <cell r="G1039" t="str">
            <v>PRINCIPAL</v>
          </cell>
          <cell r="H1039">
            <v>46004</v>
          </cell>
          <cell r="I1039" t="str">
            <v>SALDO INICIAL</v>
          </cell>
          <cell r="J1039">
            <v>0</v>
          </cell>
          <cell r="K1039">
            <v>14.313969999999999</v>
          </cell>
          <cell r="L1039">
            <v>57.404603000000002</v>
          </cell>
          <cell r="M1039">
            <v>0</v>
          </cell>
          <cell r="N1039" t="str">
            <v/>
          </cell>
          <cell r="O1039" t="str">
            <v/>
          </cell>
          <cell r="P1039" t="str">
            <v/>
          </cell>
          <cell r="Q1039">
            <v>140.30000000000001</v>
          </cell>
          <cell r="R1039" t="str">
            <v>ROL</v>
          </cell>
          <cell r="S1039">
            <v>0</v>
          </cell>
          <cell r="T1039">
            <v>0</v>
          </cell>
          <cell r="U1039" t="str">
            <v/>
          </cell>
          <cell r="V1039" t="str">
            <v>PRO10</v>
          </cell>
          <cell r="W1039">
            <v>0</v>
          </cell>
        </row>
        <row r="1040">
          <cell r="C1040" t="str">
            <v>RED2K880KG/000</v>
          </cell>
          <cell r="D1040" t="str">
            <v>PRINC</v>
          </cell>
          <cell r="E1040" t="str">
            <v>00029</v>
          </cell>
          <cell r="F1040" t="str">
            <v>CADENAS CARDANICAS</v>
          </cell>
          <cell r="G1040" t="str">
            <v>PRINCIPAL</v>
          </cell>
          <cell r="H1040">
            <v>46004</v>
          </cell>
          <cell r="I1040" t="str">
            <v>SALDO INICIAL</v>
          </cell>
          <cell r="J1040">
            <v>0</v>
          </cell>
          <cell r="K1040">
            <v>23.630669999999999</v>
          </cell>
          <cell r="L1040">
            <v>93.865926000000002</v>
          </cell>
          <cell r="M1040">
            <v>0</v>
          </cell>
          <cell r="N1040" t="str">
            <v/>
          </cell>
          <cell r="O1040" t="str">
            <v/>
          </cell>
          <cell r="P1040" t="str">
            <v/>
          </cell>
          <cell r="Q1040">
            <v>169</v>
          </cell>
          <cell r="R1040" t="str">
            <v>ROL</v>
          </cell>
          <cell r="S1040">
            <v>0</v>
          </cell>
          <cell r="T1040">
            <v>0</v>
          </cell>
          <cell r="U1040" t="str">
            <v/>
          </cell>
          <cell r="V1040" t="str">
            <v>PRO10</v>
          </cell>
          <cell r="W1040">
            <v>0</v>
          </cell>
        </row>
        <row r="1041">
          <cell r="C1041" t="str">
            <v>RED2K882KG/000</v>
          </cell>
          <cell r="D1041" t="str">
            <v>PRINC</v>
          </cell>
          <cell r="E1041" t="str">
            <v>00029</v>
          </cell>
          <cell r="F1041" t="str">
            <v>CADENAS CARDANICAS</v>
          </cell>
          <cell r="G1041" t="str">
            <v>PRINCIPAL</v>
          </cell>
          <cell r="H1041">
            <v>46004</v>
          </cell>
          <cell r="I1041" t="str">
            <v>SALDO INICIAL</v>
          </cell>
          <cell r="J1041">
            <v>10</v>
          </cell>
          <cell r="K1041">
            <v>0</v>
          </cell>
          <cell r="L1041">
            <v>0</v>
          </cell>
          <cell r="M1041">
            <v>0</v>
          </cell>
          <cell r="N1041" t="str">
            <v/>
          </cell>
          <cell r="O1041" t="str">
            <v/>
          </cell>
          <cell r="P1041" t="str">
            <v/>
          </cell>
          <cell r="Q1041">
            <v>294</v>
          </cell>
          <cell r="R1041" t="str">
            <v>CJA</v>
          </cell>
          <cell r="S1041">
            <v>0</v>
          </cell>
          <cell r="T1041">
            <v>0</v>
          </cell>
          <cell r="U1041" t="str">
            <v/>
          </cell>
          <cell r="V1041" t="str">
            <v>PRO10</v>
          </cell>
          <cell r="W1041">
            <v>0</v>
          </cell>
        </row>
        <row r="1042">
          <cell r="C1042" t="str">
            <v>RESS10126/000</v>
          </cell>
          <cell r="D1042" t="str">
            <v>PRINC</v>
          </cell>
          <cell r="E1042" t="str">
            <v>00029</v>
          </cell>
          <cell r="F1042" t="str">
            <v>CADENAS CARDANICAS</v>
          </cell>
          <cell r="G1042" t="str">
            <v>PRINCIPAL</v>
          </cell>
          <cell r="H1042">
            <v>46004</v>
          </cell>
          <cell r="I1042" t="str">
            <v>SALDO INICIAL</v>
          </cell>
          <cell r="J1042">
            <v>0</v>
          </cell>
          <cell r="K1042">
            <v>-61.733629000000001</v>
          </cell>
          <cell r="L1042">
            <v>327.80870499999997</v>
          </cell>
          <cell r="M1042">
            <v>0</v>
          </cell>
          <cell r="N1042" t="str">
            <v/>
          </cell>
          <cell r="O1042" t="str">
            <v/>
          </cell>
          <cell r="P1042" t="str">
            <v/>
          </cell>
          <cell r="Q1042">
            <v>1275</v>
          </cell>
          <cell r="R1042" t="str">
            <v>CJA</v>
          </cell>
          <cell r="S1042">
            <v>0</v>
          </cell>
          <cell r="T1042">
            <v>0</v>
          </cell>
          <cell r="U1042" t="str">
            <v/>
          </cell>
          <cell r="V1042" t="str">
            <v>PRO10</v>
          </cell>
          <cell r="W1042">
            <v>0</v>
          </cell>
        </row>
        <row r="1043">
          <cell r="C1043" t="str">
            <v>REUP1701TA/000</v>
          </cell>
          <cell r="D1043" t="str">
            <v>PRINC</v>
          </cell>
          <cell r="E1043" t="str">
            <v>00029</v>
          </cell>
          <cell r="F1043" t="str">
            <v>CADENAS CARDANICAS</v>
          </cell>
          <cell r="G1043" t="str">
            <v>PRINCIPAL</v>
          </cell>
          <cell r="H1043">
            <v>46004</v>
          </cell>
          <cell r="I1043" t="str">
            <v>SALDO INICIAL</v>
          </cell>
          <cell r="J1043">
            <v>4</v>
          </cell>
          <cell r="K1043">
            <v>348.43599999999998</v>
          </cell>
          <cell r="L1043">
            <v>87.108999999999995</v>
          </cell>
          <cell r="M1043">
            <v>87.108999999999995</v>
          </cell>
          <cell r="N1043" t="str">
            <v/>
          </cell>
          <cell r="O1043" t="str">
            <v/>
          </cell>
          <cell r="P1043" t="str">
            <v/>
          </cell>
          <cell r="Q1043">
            <v>157.30000000000001</v>
          </cell>
          <cell r="R1043" t="str">
            <v>CJA</v>
          </cell>
          <cell r="S1043">
            <v>0</v>
          </cell>
          <cell r="T1043">
            <v>0</v>
          </cell>
          <cell r="U1043" t="str">
            <v/>
          </cell>
          <cell r="V1043" t="str">
            <v>PRO10</v>
          </cell>
          <cell r="W1043">
            <v>0</v>
          </cell>
        </row>
        <row r="1044">
          <cell r="C1044" t="str">
            <v>VEC1400ACTAB</v>
          </cell>
          <cell r="D1044" t="str">
            <v>PRINC</v>
          </cell>
          <cell r="E1044" t="str">
            <v>00029</v>
          </cell>
          <cell r="F1044" t="str">
            <v>CADENAS CARDANICAS</v>
          </cell>
          <cell r="G1044" t="str">
            <v>PRINCIPAL</v>
          </cell>
          <cell r="H1044">
            <v>46004</v>
          </cell>
          <cell r="I1044" t="str">
            <v>SALDO INICIAL</v>
          </cell>
          <cell r="J1044">
            <v>55</v>
          </cell>
          <cell r="K1044">
            <v>5916.2858150000002</v>
          </cell>
          <cell r="L1044">
            <v>107.568833</v>
          </cell>
          <cell r="M1044">
            <v>107.568833</v>
          </cell>
          <cell r="N1044" t="str">
            <v/>
          </cell>
          <cell r="O1044" t="str">
            <v/>
          </cell>
          <cell r="P1044" t="str">
            <v/>
          </cell>
          <cell r="Q1044">
            <v>199</v>
          </cell>
          <cell r="R1044" t="str">
            <v>CJA</v>
          </cell>
          <cell r="S1044">
            <v>0</v>
          </cell>
          <cell r="T1044">
            <v>0</v>
          </cell>
          <cell r="U1044" t="str">
            <v/>
          </cell>
          <cell r="V1044" t="str">
            <v>PRO10</v>
          </cell>
          <cell r="W1044">
            <v>0</v>
          </cell>
        </row>
        <row r="1045">
          <cell r="C1045" t="str">
            <v>REGGD1873TUPK32</v>
          </cell>
          <cell r="D1045" t="str">
            <v>PRINC</v>
          </cell>
          <cell r="E1045" t="str">
            <v>00029</v>
          </cell>
          <cell r="F1045" t="str">
            <v>CADENAS CARDANICAS</v>
          </cell>
          <cell r="G1045" t="str">
            <v>PRINCIPAL</v>
          </cell>
          <cell r="H1045">
            <v>46004</v>
          </cell>
          <cell r="I1045" t="str">
            <v>SALDO INICIAL</v>
          </cell>
          <cell r="J1045">
            <v>35</v>
          </cell>
          <cell r="K1045">
            <v>150.46564499999999</v>
          </cell>
          <cell r="L1045">
            <v>4.2990190000000004</v>
          </cell>
          <cell r="M1045">
            <v>4.2990184290000002</v>
          </cell>
          <cell r="N1045" t="str">
            <v/>
          </cell>
          <cell r="O1045" t="str">
            <v/>
          </cell>
          <cell r="P1045" t="str">
            <v/>
          </cell>
          <cell r="Q1045">
            <v>10</v>
          </cell>
          <cell r="R1045" t="str">
            <v>UND</v>
          </cell>
          <cell r="S1045">
            <v>0</v>
          </cell>
          <cell r="T1045">
            <v>0</v>
          </cell>
          <cell r="U1045" t="str">
            <v/>
          </cell>
          <cell r="V1045" t="str">
            <v>PRO10</v>
          </cell>
          <cell r="W1045">
            <v>0</v>
          </cell>
        </row>
        <row r="1046">
          <cell r="C1046" t="str">
            <v>REGGW1873TUP325</v>
          </cell>
          <cell r="D1046" t="str">
            <v>PRINC</v>
          </cell>
          <cell r="E1046" t="str">
            <v>00029</v>
          </cell>
          <cell r="F1046" t="str">
            <v>CADENAS CARDANICAS</v>
          </cell>
          <cell r="G1046" t="str">
            <v>PRINCIPAL</v>
          </cell>
          <cell r="H1046">
            <v>46004</v>
          </cell>
          <cell r="I1046" t="str">
            <v>SALDO INICIAL</v>
          </cell>
          <cell r="J1046">
            <v>45</v>
          </cell>
          <cell r="K1046">
            <v>258.06932999999998</v>
          </cell>
          <cell r="L1046">
            <v>5.7348739999999996</v>
          </cell>
          <cell r="M1046">
            <v>5.7348739999999996</v>
          </cell>
          <cell r="N1046" t="str">
            <v/>
          </cell>
          <cell r="O1046" t="str">
            <v/>
          </cell>
          <cell r="P1046" t="str">
            <v/>
          </cell>
          <cell r="Q1046">
            <v>12</v>
          </cell>
          <cell r="R1046" t="str">
            <v>UND</v>
          </cell>
          <cell r="S1046">
            <v>0</v>
          </cell>
          <cell r="T1046">
            <v>0</v>
          </cell>
          <cell r="U1046" t="str">
            <v/>
          </cell>
          <cell r="V1046" t="str">
            <v>PRO10</v>
          </cell>
          <cell r="W1046">
            <v>0</v>
          </cell>
        </row>
        <row r="1047">
          <cell r="C1047" t="str">
            <v>RE136/1702</v>
          </cell>
          <cell r="D1047" t="str">
            <v>PRINC</v>
          </cell>
          <cell r="E1047" t="str">
            <v>00029</v>
          </cell>
          <cell r="F1047" t="str">
            <v>CADENAS CARDANICAS</v>
          </cell>
          <cell r="G1047" t="str">
            <v>PRINCIPAL</v>
          </cell>
          <cell r="H1047">
            <v>46004</v>
          </cell>
          <cell r="I1047" t="str">
            <v>SALDO INICIAL</v>
          </cell>
          <cell r="J1047">
            <v>460</v>
          </cell>
          <cell r="K1047">
            <v>2756.0593429999999</v>
          </cell>
          <cell r="L1047">
            <v>5.9914329999999998</v>
          </cell>
          <cell r="M1047">
            <v>5.9914333539999998</v>
          </cell>
          <cell r="N1047" t="str">
            <v/>
          </cell>
          <cell r="O1047" t="str">
            <v/>
          </cell>
          <cell r="P1047" t="str">
            <v/>
          </cell>
          <cell r="Q1047">
            <v>9</v>
          </cell>
          <cell r="R1047" t="str">
            <v>UND</v>
          </cell>
          <cell r="S1047">
            <v>0</v>
          </cell>
          <cell r="T1047">
            <v>0</v>
          </cell>
          <cell r="U1047" t="str">
            <v/>
          </cell>
          <cell r="V1047" t="str">
            <v>PRO10</v>
          </cell>
          <cell r="W1047">
            <v>0</v>
          </cell>
        </row>
        <row r="1048">
          <cell r="C1048" t="str">
            <v>RE232/1700</v>
          </cell>
          <cell r="D1048" t="str">
            <v>PRINC</v>
          </cell>
          <cell r="E1048" t="str">
            <v>00029</v>
          </cell>
          <cell r="F1048" t="str">
            <v>CADENAS CARDANICAS</v>
          </cell>
          <cell r="G1048" t="str">
            <v>PRINCIPAL</v>
          </cell>
          <cell r="H1048">
            <v>46004</v>
          </cell>
          <cell r="I1048" t="str">
            <v>SALDO INICIAL</v>
          </cell>
          <cell r="J1048">
            <v>50</v>
          </cell>
          <cell r="K1048">
            <v>39.950000000000003</v>
          </cell>
          <cell r="L1048">
            <v>0.79900000000000004</v>
          </cell>
          <cell r="M1048">
            <v>0.79900000000000004</v>
          </cell>
          <cell r="N1048" t="str">
            <v/>
          </cell>
          <cell r="O1048" t="str">
            <v/>
          </cell>
          <cell r="P1048" t="str">
            <v/>
          </cell>
          <cell r="Q1048">
            <v>1.5</v>
          </cell>
          <cell r="R1048" t="str">
            <v>UND</v>
          </cell>
          <cell r="S1048">
            <v>0</v>
          </cell>
          <cell r="T1048">
            <v>0</v>
          </cell>
          <cell r="U1048" t="str">
            <v/>
          </cell>
          <cell r="V1048" t="str">
            <v>PRO10</v>
          </cell>
          <cell r="W1048">
            <v>0</v>
          </cell>
        </row>
        <row r="1049">
          <cell r="C1049" t="str">
            <v>RE233/1700</v>
          </cell>
          <cell r="D1049" t="str">
            <v>PRINC</v>
          </cell>
          <cell r="E1049" t="str">
            <v>00029</v>
          </cell>
          <cell r="F1049" t="str">
            <v>CADENAS CARDANICAS</v>
          </cell>
          <cell r="G1049" t="str">
            <v>PRINCIPAL</v>
          </cell>
          <cell r="H1049">
            <v>46004</v>
          </cell>
          <cell r="I1049" t="str">
            <v>SALDO INICIAL</v>
          </cell>
          <cell r="J1049">
            <v>541</v>
          </cell>
          <cell r="K1049">
            <v>852.99606600000004</v>
          </cell>
          <cell r="L1049">
            <v>1.576702</v>
          </cell>
          <cell r="M1049">
            <v>1.576702525</v>
          </cell>
          <cell r="N1049" t="str">
            <v/>
          </cell>
          <cell r="O1049" t="str">
            <v/>
          </cell>
          <cell r="P1049" t="str">
            <v/>
          </cell>
          <cell r="Q1049">
            <v>2.35</v>
          </cell>
          <cell r="R1049" t="str">
            <v>UND</v>
          </cell>
          <cell r="S1049">
            <v>0</v>
          </cell>
          <cell r="T1049">
            <v>0</v>
          </cell>
          <cell r="U1049" t="str">
            <v/>
          </cell>
          <cell r="V1049" t="str">
            <v>PRO10</v>
          </cell>
          <cell r="W1049">
            <v>0</v>
          </cell>
        </row>
        <row r="1050">
          <cell r="C1050" t="str">
            <v>CARB6X9X15</v>
          </cell>
          <cell r="D1050" t="str">
            <v>PRINC</v>
          </cell>
          <cell r="E1050" t="str">
            <v>00030</v>
          </cell>
          <cell r="F1050" t="str">
            <v>OTROS ARTICULOS</v>
          </cell>
          <cell r="G1050" t="str">
            <v>PRINCIPAL</v>
          </cell>
          <cell r="H1050">
            <v>46004</v>
          </cell>
          <cell r="I1050" t="str">
            <v>SALDO INICIAL</v>
          </cell>
          <cell r="J1050">
            <v>2</v>
          </cell>
          <cell r="K1050">
            <v>8</v>
          </cell>
          <cell r="L1050">
            <v>4</v>
          </cell>
          <cell r="M1050">
            <v>4</v>
          </cell>
          <cell r="N1050" t="str">
            <v/>
          </cell>
          <cell r="O1050" t="str">
            <v/>
          </cell>
          <cell r="P1050" t="str">
            <v/>
          </cell>
          <cell r="Q1050">
            <v>10</v>
          </cell>
          <cell r="R1050" t="str">
            <v>UND</v>
          </cell>
          <cell r="S1050">
            <v>0</v>
          </cell>
          <cell r="T1050">
            <v>0</v>
          </cell>
          <cell r="U1050" t="str">
            <v/>
          </cell>
          <cell r="V1050" t="str">
            <v>PRO10</v>
          </cell>
          <cell r="W1050">
            <v>0</v>
          </cell>
        </row>
        <row r="1051">
          <cell r="C1051" t="str">
            <v>HITH-TYPE-A</v>
          </cell>
          <cell r="D1051" t="str">
            <v>PRINC</v>
          </cell>
          <cell r="E1051" t="str">
            <v>00034</v>
          </cell>
          <cell r="F1051" t="str">
            <v>ADITIVOS</v>
          </cell>
          <cell r="G1051" t="str">
            <v>PRINCIPAL</v>
          </cell>
          <cell r="H1051">
            <v>46004</v>
          </cell>
          <cell r="I1051" t="str">
            <v>SALDO INICIAL</v>
          </cell>
          <cell r="J1051">
            <v>-5</v>
          </cell>
          <cell r="K1051">
            <v>0</v>
          </cell>
          <cell r="L1051">
            <v>0</v>
          </cell>
          <cell r="M1051">
            <v>0</v>
          </cell>
          <cell r="N1051" t="str">
            <v/>
          </cell>
          <cell r="O1051" t="str">
            <v/>
          </cell>
          <cell r="P1051" t="str">
            <v/>
          </cell>
          <cell r="Q1051">
            <v>23.6</v>
          </cell>
          <cell r="R1051" t="str">
            <v>LT</v>
          </cell>
          <cell r="S1051">
            <v>0</v>
          </cell>
          <cell r="T1051">
            <v>0</v>
          </cell>
          <cell r="U1051" t="str">
            <v/>
          </cell>
          <cell r="V1051" t="str">
            <v>PRO10</v>
          </cell>
          <cell r="W1051">
            <v>0</v>
          </cell>
        </row>
        <row r="1052">
          <cell r="C1052" t="str">
            <v>HI1419K</v>
          </cell>
          <cell r="D1052" t="str">
            <v>PRINC</v>
          </cell>
          <cell r="E1052" t="str">
            <v>00034</v>
          </cell>
          <cell r="F1052" t="str">
            <v>ADITIVOS</v>
          </cell>
          <cell r="G1052" t="str">
            <v>PRINCIPAL</v>
          </cell>
          <cell r="H1052">
            <v>46004</v>
          </cell>
          <cell r="I1052" t="str">
            <v>SALDO INICIAL</v>
          </cell>
          <cell r="J1052">
            <v>2</v>
          </cell>
          <cell r="K1052">
            <v>91.32</v>
          </cell>
          <cell r="L1052">
            <v>0</v>
          </cell>
          <cell r="M1052">
            <v>45.66</v>
          </cell>
          <cell r="N1052" t="str">
            <v/>
          </cell>
          <cell r="O1052" t="str">
            <v/>
          </cell>
          <cell r="P1052" t="str">
            <v/>
          </cell>
          <cell r="Q1052">
            <v>74.400000000000006</v>
          </cell>
          <cell r="R1052" t="str">
            <v>UND</v>
          </cell>
          <cell r="S1052">
            <v>0</v>
          </cell>
          <cell r="T1052">
            <v>0</v>
          </cell>
          <cell r="U1052" t="str">
            <v/>
          </cell>
          <cell r="V1052" t="str">
            <v>PRO10</v>
          </cell>
          <cell r="W1052">
            <v>0</v>
          </cell>
        </row>
        <row r="1053">
          <cell r="C1053" t="str">
            <v>EU9260PPA</v>
          </cell>
          <cell r="D1053" t="str">
            <v>PRINC</v>
          </cell>
          <cell r="E1053" t="str">
            <v>00037</v>
          </cell>
          <cell r="F1053" t="str">
            <v>MODULOS Y PASADORES</v>
          </cell>
          <cell r="G1053" t="str">
            <v>PRINCIPAL</v>
          </cell>
          <cell r="H1053">
            <v>46004</v>
          </cell>
          <cell r="I1053" t="str">
            <v>SALDO INICIAL</v>
          </cell>
          <cell r="J1053">
            <v>14110</v>
          </cell>
          <cell r="K1053">
            <v>1432.8</v>
          </cell>
          <cell r="L1053">
            <v>0.13</v>
          </cell>
          <cell r="M1053">
            <v>0.10154500399999999</v>
          </cell>
          <cell r="N1053" t="str">
            <v/>
          </cell>
          <cell r="O1053" t="str">
            <v/>
          </cell>
          <cell r="P1053" t="str">
            <v/>
          </cell>
          <cell r="Q1053">
            <v>0</v>
          </cell>
          <cell r="R1053" t="str">
            <v>UND</v>
          </cell>
          <cell r="S1053">
            <v>0</v>
          </cell>
          <cell r="T1053">
            <v>0</v>
          </cell>
          <cell r="U1053" t="str">
            <v/>
          </cell>
          <cell r="V1053" t="str">
            <v>PRO10</v>
          </cell>
          <cell r="W1053">
            <v>0</v>
          </cell>
        </row>
        <row r="1054">
          <cell r="C1054" t="str">
            <v>EUB50UZ100PPB10</v>
          </cell>
          <cell r="D1054" t="str">
            <v>PRINC</v>
          </cell>
          <cell r="E1054" t="str">
            <v>00037</v>
          </cell>
          <cell r="F1054" t="str">
            <v>MODULOS Y PASADORES</v>
          </cell>
          <cell r="G1054" t="str">
            <v>PRINCIPAL</v>
          </cell>
          <cell r="H1054">
            <v>46004</v>
          </cell>
          <cell r="I1054" t="str">
            <v>SALDO INICIAL</v>
          </cell>
          <cell r="J1054">
            <v>40</v>
          </cell>
          <cell r="K1054">
            <v>228.36994000000001</v>
          </cell>
          <cell r="L1054">
            <v>5.1068100000000003</v>
          </cell>
          <cell r="M1054">
            <v>5.7092485000000002</v>
          </cell>
          <cell r="N1054" t="str">
            <v/>
          </cell>
          <cell r="O1054" t="str">
            <v/>
          </cell>
          <cell r="P1054" t="str">
            <v/>
          </cell>
          <cell r="Q1054">
            <v>11.2</v>
          </cell>
          <cell r="R1054" t="str">
            <v>UND</v>
          </cell>
          <cell r="S1054">
            <v>0</v>
          </cell>
          <cell r="T1054">
            <v>0</v>
          </cell>
          <cell r="U1054" t="str">
            <v/>
          </cell>
          <cell r="V1054" t="str">
            <v>PRO10</v>
          </cell>
          <cell r="W1054">
            <v>0</v>
          </cell>
        </row>
        <row r="1055">
          <cell r="C1055" t="str">
            <v>EUB50UZ120PPB10</v>
          </cell>
          <cell r="D1055" t="str">
            <v>PRINC</v>
          </cell>
          <cell r="E1055" t="str">
            <v>00037</v>
          </cell>
          <cell r="F1055" t="str">
            <v>MODULOS Y PASADORES</v>
          </cell>
          <cell r="G1055" t="str">
            <v>PRINCIPAL</v>
          </cell>
          <cell r="H1055">
            <v>46004</v>
          </cell>
          <cell r="I1055" t="str">
            <v>SALDO INICIAL</v>
          </cell>
          <cell r="J1055">
            <v>13</v>
          </cell>
          <cell r="K1055">
            <v>332.99093800000003</v>
          </cell>
          <cell r="L1055">
            <v>13.275764000000001</v>
          </cell>
          <cell r="M1055">
            <v>25.614687537999998</v>
          </cell>
          <cell r="N1055" t="str">
            <v/>
          </cell>
          <cell r="O1055" t="str">
            <v/>
          </cell>
          <cell r="P1055" t="str">
            <v/>
          </cell>
          <cell r="Q1055">
            <v>20.8</v>
          </cell>
          <cell r="R1055" t="str">
            <v>UND</v>
          </cell>
          <cell r="S1055">
            <v>0</v>
          </cell>
          <cell r="T1055">
            <v>0</v>
          </cell>
          <cell r="U1055" t="str">
            <v/>
          </cell>
          <cell r="V1055" t="str">
            <v>PRO10</v>
          </cell>
          <cell r="W1055">
            <v>0</v>
          </cell>
        </row>
        <row r="1056">
          <cell r="C1056" t="str">
            <v>EUB50UX100ACB10</v>
          </cell>
          <cell r="D1056" t="str">
            <v>PRINC</v>
          </cell>
          <cell r="E1056" t="str">
            <v>00037</v>
          </cell>
          <cell r="F1056" t="str">
            <v>MODULOS Y PASADORES</v>
          </cell>
          <cell r="G1056" t="str">
            <v>PRINCIPAL</v>
          </cell>
          <cell r="H1056">
            <v>46004</v>
          </cell>
          <cell r="I1056" t="str">
            <v>SALDO INICIAL</v>
          </cell>
          <cell r="J1056">
            <v>17</v>
          </cell>
          <cell r="K1056">
            <v>176.48922300000001</v>
          </cell>
          <cell r="L1056">
            <v>10.381719</v>
          </cell>
          <cell r="M1056">
            <v>10.381719</v>
          </cell>
          <cell r="N1056" t="str">
            <v/>
          </cell>
          <cell r="O1056" t="str">
            <v/>
          </cell>
          <cell r="P1056" t="str">
            <v/>
          </cell>
          <cell r="Q1056">
            <v>19.7</v>
          </cell>
          <cell r="R1056" t="str">
            <v>UND</v>
          </cell>
          <cell r="S1056">
            <v>0</v>
          </cell>
          <cell r="T1056">
            <v>0</v>
          </cell>
          <cell r="U1056" t="str">
            <v/>
          </cell>
          <cell r="V1056" t="str">
            <v>PRO10</v>
          </cell>
          <cell r="W1056">
            <v>0</v>
          </cell>
        </row>
        <row r="1057">
          <cell r="C1057" t="str">
            <v>EUB50UX150PPA10</v>
          </cell>
          <cell r="D1057" t="str">
            <v>PRINC</v>
          </cell>
          <cell r="E1057" t="str">
            <v>00037</v>
          </cell>
          <cell r="F1057" t="str">
            <v>MODULOS Y PASADORES</v>
          </cell>
          <cell r="G1057" t="str">
            <v>PRINCIPAL</v>
          </cell>
          <cell r="H1057">
            <v>46004</v>
          </cell>
          <cell r="I1057" t="str">
            <v>SALDO INICIAL</v>
          </cell>
          <cell r="J1057">
            <v>211</v>
          </cell>
          <cell r="K1057">
            <v>886.79122199999995</v>
          </cell>
          <cell r="L1057">
            <v>4.2028020000000001</v>
          </cell>
          <cell r="M1057">
            <v>4.2028020000000001</v>
          </cell>
          <cell r="N1057" t="str">
            <v/>
          </cell>
          <cell r="O1057" t="str">
            <v/>
          </cell>
          <cell r="P1057" t="str">
            <v/>
          </cell>
          <cell r="Q1057">
            <v>0</v>
          </cell>
          <cell r="R1057" t="str">
            <v>UND</v>
          </cell>
          <cell r="S1057">
            <v>0</v>
          </cell>
          <cell r="T1057">
            <v>0</v>
          </cell>
          <cell r="U1057" t="str">
            <v/>
          </cell>
          <cell r="V1057" t="str">
            <v>PRO10</v>
          </cell>
          <cell r="W1057">
            <v>0</v>
          </cell>
        </row>
        <row r="1058">
          <cell r="C1058" t="str">
            <v>EUB50UX100PPB10</v>
          </cell>
          <cell r="D1058" t="str">
            <v>PRINC</v>
          </cell>
          <cell r="E1058" t="str">
            <v>00037</v>
          </cell>
          <cell r="F1058" t="str">
            <v>MODULOS Y PASADORES</v>
          </cell>
          <cell r="G1058" t="str">
            <v>PRINCIPAL</v>
          </cell>
          <cell r="H1058">
            <v>46004</v>
          </cell>
          <cell r="I1058" t="str">
            <v>SALDO INICIAL</v>
          </cell>
          <cell r="J1058">
            <v>71</v>
          </cell>
          <cell r="K1058">
            <v>-776.51492699999994</v>
          </cell>
          <cell r="L1058">
            <v>3.5726830000000001</v>
          </cell>
          <cell r="M1058">
            <v>-10.936829958000001</v>
          </cell>
          <cell r="N1058" t="str">
            <v/>
          </cell>
          <cell r="O1058" t="str">
            <v/>
          </cell>
          <cell r="P1058" t="str">
            <v/>
          </cell>
          <cell r="Q1058">
            <v>9.8000000000000007</v>
          </cell>
          <cell r="R1058" t="str">
            <v>UND</v>
          </cell>
          <cell r="S1058">
            <v>0</v>
          </cell>
          <cell r="T1058">
            <v>0</v>
          </cell>
          <cell r="U1058" t="str">
            <v/>
          </cell>
          <cell r="V1058" t="str">
            <v>PRO10</v>
          </cell>
          <cell r="W1058">
            <v>0</v>
          </cell>
        </row>
        <row r="1059">
          <cell r="C1059" t="str">
            <v>EUB50UX150PPB10</v>
          </cell>
          <cell r="D1059" t="str">
            <v>PRINC</v>
          </cell>
          <cell r="E1059" t="str">
            <v>00037</v>
          </cell>
          <cell r="F1059" t="str">
            <v>MODULOS Y PASADORES</v>
          </cell>
          <cell r="G1059" t="str">
            <v>PRINCIPAL</v>
          </cell>
          <cell r="H1059">
            <v>46004</v>
          </cell>
          <cell r="I1059" t="str">
            <v>SALDO INICIAL</v>
          </cell>
          <cell r="J1059">
            <v>12</v>
          </cell>
          <cell r="K1059">
            <v>41.126036999999997</v>
          </cell>
          <cell r="L1059">
            <v>3.4627289999999999</v>
          </cell>
          <cell r="M1059">
            <v>3.42716975</v>
          </cell>
          <cell r="N1059" t="str">
            <v/>
          </cell>
          <cell r="O1059" t="str">
            <v/>
          </cell>
          <cell r="P1059" t="str">
            <v/>
          </cell>
          <cell r="Q1059">
            <v>12</v>
          </cell>
          <cell r="R1059" t="str">
            <v>UND</v>
          </cell>
          <cell r="S1059">
            <v>0</v>
          </cell>
          <cell r="T1059">
            <v>0</v>
          </cell>
          <cell r="U1059" t="str">
            <v/>
          </cell>
          <cell r="V1059" t="str">
            <v>PRO10</v>
          </cell>
          <cell r="W1059">
            <v>0</v>
          </cell>
        </row>
        <row r="1060">
          <cell r="C1060" t="str">
            <v>EUB50UX50PPB10</v>
          </cell>
          <cell r="D1060" t="str">
            <v>PRINC</v>
          </cell>
          <cell r="E1060" t="str">
            <v>00037</v>
          </cell>
          <cell r="F1060" t="str">
            <v>MODULOS Y PASADORES</v>
          </cell>
          <cell r="G1060" t="str">
            <v>PRINCIPAL</v>
          </cell>
          <cell r="H1060">
            <v>46004</v>
          </cell>
          <cell r="I1060" t="str">
            <v>SALDO INICIAL</v>
          </cell>
          <cell r="J1060">
            <v>85</v>
          </cell>
          <cell r="K1060">
            <v>186.269927</v>
          </cell>
          <cell r="L1060">
            <v>2.5564710000000002</v>
          </cell>
          <cell r="M1060">
            <v>2.1914109060000002</v>
          </cell>
          <cell r="N1060" t="str">
            <v/>
          </cell>
          <cell r="O1060" t="str">
            <v/>
          </cell>
          <cell r="P1060" t="str">
            <v/>
          </cell>
          <cell r="Q1060">
            <v>6.8</v>
          </cell>
          <cell r="R1060" t="str">
            <v>UND</v>
          </cell>
          <cell r="S1060">
            <v>0</v>
          </cell>
          <cell r="T1060">
            <v>0</v>
          </cell>
          <cell r="U1060" t="str">
            <v/>
          </cell>
          <cell r="V1060" t="str">
            <v>PRO10</v>
          </cell>
          <cell r="W1060">
            <v>0</v>
          </cell>
        </row>
        <row r="1061">
          <cell r="C1061" t="str">
            <v>EUC12UA25PEA8</v>
          </cell>
          <cell r="D1061" t="str">
            <v>PRINC</v>
          </cell>
          <cell r="E1061" t="str">
            <v>00037</v>
          </cell>
          <cell r="F1061" t="str">
            <v>MODULOS Y PASADORES</v>
          </cell>
          <cell r="G1061" t="str">
            <v>PRINCIPAL</v>
          </cell>
          <cell r="H1061">
            <v>46004</v>
          </cell>
          <cell r="I1061" t="str">
            <v>SALDO INICIAL</v>
          </cell>
          <cell r="J1061">
            <v>657</v>
          </cell>
          <cell r="K1061">
            <v>997.82543099999998</v>
          </cell>
          <cell r="L1061">
            <v>1.518759</v>
          </cell>
          <cell r="M1061">
            <v>1.5187601690000001</v>
          </cell>
          <cell r="N1061" t="str">
            <v>NT: NUB TOP</v>
          </cell>
          <cell r="O1061" t="str">
            <v/>
          </cell>
          <cell r="P1061" t="str">
            <v/>
          </cell>
          <cell r="Q1061">
            <v>4.5</v>
          </cell>
          <cell r="R1061" t="str">
            <v>UND</v>
          </cell>
          <cell r="S1061">
            <v>0</v>
          </cell>
          <cell r="T1061">
            <v>0</v>
          </cell>
          <cell r="U1061" t="str">
            <v/>
          </cell>
          <cell r="V1061" t="str">
            <v>PRO10</v>
          </cell>
          <cell r="W1061">
            <v>0</v>
          </cell>
        </row>
        <row r="1062">
          <cell r="C1062" t="str">
            <v>EUC12UA50PEA8</v>
          </cell>
          <cell r="D1062" t="str">
            <v>PRINC</v>
          </cell>
          <cell r="E1062" t="str">
            <v>00037</v>
          </cell>
          <cell r="F1062" t="str">
            <v>MODULOS Y PASADORES</v>
          </cell>
          <cell r="G1062" t="str">
            <v>PRINCIPAL</v>
          </cell>
          <cell r="H1062">
            <v>46004</v>
          </cell>
          <cell r="I1062" t="str">
            <v>SALDO INICIAL</v>
          </cell>
          <cell r="J1062">
            <v>352</v>
          </cell>
          <cell r="K1062">
            <v>677.07375999999999</v>
          </cell>
          <cell r="L1062">
            <v>1.923505</v>
          </cell>
          <cell r="M1062">
            <v>1.923505</v>
          </cell>
          <cell r="N1062" t="str">
            <v/>
          </cell>
          <cell r="O1062" t="str">
            <v/>
          </cell>
          <cell r="P1062" t="str">
            <v/>
          </cell>
          <cell r="Q1062">
            <v>4.9000000000000004</v>
          </cell>
          <cell r="R1062" t="str">
            <v>UND</v>
          </cell>
          <cell r="S1062">
            <v>0</v>
          </cell>
          <cell r="T1062">
            <v>0</v>
          </cell>
          <cell r="U1062" t="str">
            <v/>
          </cell>
          <cell r="V1062" t="str">
            <v>PRO10</v>
          </cell>
          <cell r="W1062">
            <v>0</v>
          </cell>
        </row>
        <row r="1063">
          <cell r="C1063" t="str">
            <v>EUE20UX50PEA30</v>
          </cell>
          <cell r="D1063" t="str">
            <v>PRINC</v>
          </cell>
          <cell r="E1063" t="str">
            <v>00037</v>
          </cell>
          <cell r="F1063" t="str">
            <v>MODULOS Y PASADORES</v>
          </cell>
          <cell r="G1063" t="str">
            <v>PRINCIPAL</v>
          </cell>
          <cell r="H1063">
            <v>46004</v>
          </cell>
          <cell r="I1063" t="str">
            <v>SALDO INICIAL</v>
          </cell>
          <cell r="J1063">
            <v>315</v>
          </cell>
          <cell r="K1063">
            <v>1336.104945</v>
          </cell>
          <cell r="L1063">
            <v>4.2416029999999996</v>
          </cell>
          <cell r="M1063">
            <v>4.2416029999999996</v>
          </cell>
          <cell r="N1063" t="str">
            <v/>
          </cell>
          <cell r="O1063" t="str">
            <v/>
          </cell>
          <cell r="P1063" t="str">
            <v/>
          </cell>
          <cell r="Q1063">
            <v>6.9</v>
          </cell>
          <cell r="R1063" t="str">
            <v>UND</v>
          </cell>
          <cell r="S1063">
            <v>0</v>
          </cell>
          <cell r="T1063">
            <v>0</v>
          </cell>
          <cell r="U1063" t="str">
            <v/>
          </cell>
          <cell r="V1063" t="str">
            <v>PRO10</v>
          </cell>
          <cell r="W1063">
            <v>0</v>
          </cell>
        </row>
        <row r="1064">
          <cell r="C1064" t="str">
            <v>EUE30UCX70PPB20</v>
          </cell>
          <cell r="D1064" t="str">
            <v>PRINC</v>
          </cell>
          <cell r="E1064" t="str">
            <v>00037</v>
          </cell>
          <cell r="F1064" t="str">
            <v>MODULOS Y PASADORES</v>
          </cell>
          <cell r="G1064" t="str">
            <v>PRINCIPAL</v>
          </cell>
          <cell r="H1064">
            <v>46004</v>
          </cell>
          <cell r="I1064" t="str">
            <v>SALDO INICIAL</v>
          </cell>
          <cell r="J1064">
            <v>0</v>
          </cell>
          <cell r="K1064">
            <v>5.0227269999999997</v>
          </cell>
          <cell r="L1064">
            <v>3.587996</v>
          </cell>
          <cell r="M1064">
            <v>0</v>
          </cell>
          <cell r="N1064" t="str">
            <v/>
          </cell>
          <cell r="O1064" t="str">
            <v/>
          </cell>
          <cell r="P1064" t="str">
            <v/>
          </cell>
          <cell r="Q1064">
            <v>12</v>
          </cell>
          <cell r="R1064" t="str">
            <v>UND</v>
          </cell>
          <cell r="S1064">
            <v>0</v>
          </cell>
          <cell r="T1064">
            <v>0</v>
          </cell>
          <cell r="U1064" t="str">
            <v/>
          </cell>
          <cell r="V1064" t="str">
            <v>PRO10</v>
          </cell>
          <cell r="W1064">
            <v>0</v>
          </cell>
        </row>
        <row r="1065">
          <cell r="C1065" t="str">
            <v>EUE30UFG50PPB20</v>
          </cell>
          <cell r="D1065" t="str">
            <v>PRINC</v>
          </cell>
          <cell r="E1065" t="str">
            <v>00037</v>
          </cell>
          <cell r="F1065" t="str">
            <v>MODULOS Y PASADORES</v>
          </cell>
          <cell r="G1065" t="str">
            <v>PRINCIPAL</v>
          </cell>
          <cell r="H1065">
            <v>46004</v>
          </cell>
          <cell r="I1065" t="str">
            <v>SALDO INICIAL</v>
          </cell>
          <cell r="J1065">
            <v>245</v>
          </cell>
          <cell r="K1065">
            <v>181.31572199999999</v>
          </cell>
          <cell r="L1065">
            <v>0.73966100000000001</v>
          </cell>
          <cell r="M1065">
            <v>0.74006417099999999</v>
          </cell>
          <cell r="N1065" t="str">
            <v/>
          </cell>
          <cell r="O1065" t="str">
            <v/>
          </cell>
          <cell r="P1065" t="str">
            <v/>
          </cell>
          <cell r="Q1065">
            <v>3.5</v>
          </cell>
          <cell r="R1065" t="str">
            <v>UND</v>
          </cell>
          <cell r="S1065">
            <v>0</v>
          </cell>
          <cell r="T1065">
            <v>0</v>
          </cell>
          <cell r="U1065" t="str">
            <v/>
          </cell>
          <cell r="V1065" t="str">
            <v>PRO10</v>
          </cell>
          <cell r="W1065">
            <v>0</v>
          </cell>
        </row>
        <row r="1066">
          <cell r="C1066" t="str">
            <v>EUE30UX50PPA20</v>
          </cell>
          <cell r="D1066" t="str">
            <v>PRINC</v>
          </cell>
          <cell r="E1066" t="str">
            <v>00037</v>
          </cell>
          <cell r="F1066" t="str">
            <v>MODULOS Y PASADORES</v>
          </cell>
          <cell r="G1066" t="str">
            <v>PRINCIPAL</v>
          </cell>
          <cell r="H1066">
            <v>46004</v>
          </cell>
          <cell r="I1066" t="str">
            <v>SALDO INICIAL</v>
          </cell>
          <cell r="J1066">
            <v>163</v>
          </cell>
          <cell r="K1066">
            <v>363.54784699999999</v>
          </cell>
          <cell r="L1066">
            <v>2.0489999999999999</v>
          </cell>
          <cell r="M1066">
            <v>2.2303548900000001</v>
          </cell>
          <cell r="N1066" t="str">
            <v/>
          </cell>
          <cell r="O1066" t="str">
            <v/>
          </cell>
          <cell r="P1066" t="str">
            <v/>
          </cell>
          <cell r="Q1066">
            <v>6.5</v>
          </cell>
          <cell r="R1066" t="str">
            <v>UND</v>
          </cell>
          <cell r="S1066">
            <v>0</v>
          </cell>
          <cell r="T1066">
            <v>0</v>
          </cell>
          <cell r="U1066" t="str">
            <v/>
          </cell>
          <cell r="V1066" t="str">
            <v>PRO10</v>
          </cell>
          <cell r="W1066">
            <v>0</v>
          </cell>
        </row>
        <row r="1067">
          <cell r="C1067" t="str">
            <v>EUE30UX75PPA20</v>
          </cell>
          <cell r="D1067" t="str">
            <v>PRINC</v>
          </cell>
          <cell r="E1067" t="str">
            <v>00037</v>
          </cell>
          <cell r="F1067" t="str">
            <v>MODULOS Y PASADORES</v>
          </cell>
          <cell r="G1067" t="str">
            <v>PRINCIPAL</v>
          </cell>
          <cell r="H1067">
            <v>46004</v>
          </cell>
          <cell r="I1067" t="str">
            <v>SALDO INICIAL</v>
          </cell>
          <cell r="J1067">
            <v>68</v>
          </cell>
          <cell r="K1067">
            <v>212.58641600000001</v>
          </cell>
          <cell r="L1067">
            <v>3.1262720000000002</v>
          </cell>
          <cell r="M1067">
            <v>3.1262708240000001</v>
          </cell>
          <cell r="N1067" t="str">
            <v/>
          </cell>
          <cell r="O1067" t="str">
            <v/>
          </cell>
          <cell r="P1067" t="str">
            <v/>
          </cell>
          <cell r="Q1067">
            <v>7.9</v>
          </cell>
          <cell r="R1067" t="str">
            <v>UND</v>
          </cell>
          <cell r="S1067">
            <v>0</v>
          </cell>
          <cell r="T1067">
            <v>0</v>
          </cell>
          <cell r="U1067" t="str">
            <v/>
          </cell>
          <cell r="V1067" t="str">
            <v>PRO10</v>
          </cell>
          <cell r="W1067">
            <v>0</v>
          </cell>
        </row>
        <row r="1068">
          <cell r="C1068" t="str">
            <v>EUE30UX50PPB20</v>
          </cell>
          <cell r="D1068" t="str">
            <v>PRINC</v>
          </cell>
          <cell r="E1068" t="str">
            <v>00037</v>
          </cell>
          <cell r="F1068" t="str">
            <v>MODULOS Y PASADORES</v>
          </cell>
          <cell r="G1068" t="str">
            <v>PRINCIPAL</v>
          </cell>
          <cell r="H1068">
            <v>46004</v>
          </cell>
          <cell r="I1068" t="str">
            <v>SALDO INICIAL</v>
          </cell>
          <cell r="J1068">
            <v>192</v>
          </cell>
          <cell r="K1068">
            <v>294.41824100000002</v>
          </cell>
          <cell r="L1068">
            <v>1.8476509999999999</v>
          </cell>
          <cell r="M1068">
            <v>1.5334283390000001</v>
          </cell>
          <cell r="N1068" t="str">
            <v/>
          </cell>
          <cell r="O1068" t="str">
            <v/>
          </cell>
          <cell r="P1068" t="str">
            <v/>
          </cell>
          <cell r="Q1068">
            <v>5.8</v>
          </cell>
          <cell r="R1068" t="str">
            <v>UND</v>
          </cell>
          <cell r="S1068">
            <v>0</v>
          </cell>
          <cell r="T1068">
            <v>0</v>
          </cell>
          <cell r="U1068" t="str">
            <v/>
          </cell>
          <cell r="V1068" t="str">
            <v>PRO10</v>
          </cell>
          <cell r="W1068">
            <v>0</v>
          </cell>
        </row>
        <row r="1069">
          <cell r="C1069" t="str">
            <v>EUE30UX75PPB20</v>
          </cell>
          <cell r="D1069" t="str">
            <v>PRINC</v>
          </cell>
          <cell r="E1069" t="str">
            <v>00037</v>
          </cell>
          <cell r="F1069" t="str">
            <v>MODULOS Y PASADORES</v>
          </cell>
          <cell r="G1069" t="str">
            <v>PRINCIPAL</v>
          </cell>
          <cell r="H1069">
            <v>46004</v>
          </cell>
          <cell r="I1069" t="str">
            <v>SALDO INICIAL</v>
          </cell>
          <cell r="J1069">
            <v>77</v>
          </cell>
          <cell r="K1069">
            <v>171.181827</v>
          </cell>
          <cell r="L1069">
            <v>1.980461</v>
          </cell>
          <cell r="M1069">
            <v>2.2231406100000002</v>
          </cell>
          <cell r="N1069" t="str">
            <v/>
          </cell>
          <cell r="O1069" t="str">
            <v/>
          </cell>
          <cell r="P1069" t="str">
            <v/>
          </cell>
          <cell r="Q1069">
            <v>7.5</v>
          </cell>
          <cell r="R1069" t="str">
            <v>UND</v>
          </cell>
          <cell r="S1069">
            <v>0</v>
          </cell>
          <cell r="T1069">
            <v>0</v>
          </cell>
          <cell r="U1069" t="str">
            <v/>
          </cell>
          <cell r="V1069" t="str">
            <v>PRO10</v>
          </cell>
          <cell r="W1069">
            <v>0</v>
          </cell>
        </row>
        <row r="1070">
          <cell r="C1070" t="str">
            <v>EUE40UX100PPG20</v>
          </cell>
          <cell r="D1070" t="str">
            <v>PRINC</v>
          </cell>
          <cell r="E1070" t="str">
            <v>00037</v>
          </cell>
          <cell r="F1070" t="str">
            <v>MODULOS Y PASADORES</v>
          </cell>
          <cell r="G1070" t="str">
            <v>PRINCIPAL</v>
          </cell>
          <cell r="H1070">
            <v>46004</v>
          </cell>
          <cell r="I1070" t="str">
            <v>SALDO INICIAL</v>
          </cell>
          <cell r="J1070">
            <v>19</v>
          </cell>
          <cell r="K1070">
            <v>142.017077</v>
          </cell>
          <cell r="L1070">
            <v>4.5751010000000001</v>
          </cell>
          <cell r="M1070">
            <v>7.474583</v>
          </cell>
          <cell r="N1070" t="str">
            <v/>
          </cell>
          <cell r="O1070" t="str">
            <v/>
          </cell>
          <cell r="P1070" t="str">
            <v/>
          </cell>
          <cell r="Q1070">
            <v>0</v>
          </cell>
          <cell r="R1070" t="str">
            <v>UND</v>
          </cell>
          <cell r="S1070">
            <v>0</v>
          </cell>
          <cell r="T1070">
            <v>0</v>
          </cell>
          <cell r="U1070" t="str">
            <v/>
          </cell>
          <cell r="V1070" t="str">
            <v>PRO10</v>
          </cell>
          <cell r="W1070">
            <v>0</v>
          </cell>
        </row>
        <row r="1071">
          <cell r="C1071" t="str">
            <v>EUE50UCX140PEN1</v>
          </cell>
          <cell r="D1071" t="str">
            <v>PRINC</v>
          </cell>
          <cell r="E1071" t="str">
            <v>00037</v>
          </cell>
          <cell r="F1071" t="str">
            <v>MODULOS Y PASADORES</v>
          </cell>
          <cell r="G1071" t="str">
            <v>PRINCIPAL</v>
          </cell>
          <cell r="H1071">
            <v>46004</v>
          </cell>
          <cell r="I1071" t="str">
            <v>SALDO INICIAL</v>
          </cell>
          <cell r="J1071">
            <v>1</v>
          </cell>
          <cell r="K1071">
            <v>13.5647</v>
          </cell>
          <cell r="L1071">
            <v>13.5647</v>
          </cell>
          <cell r="M1071">
            <v>13.5647</v>
          </cell>
          <cell r="N1071" t="str">
            <v/>
          </cell>
          <cell r="O1071" t="str">
            <v/>
          </cell>
          <cell r="P1071" t="str">
            <v/>
          </cell>
          <cell r="Q1071">
            <v>22.7</v>
          </cell>
          <cell r="R1071" t="str">
            <v>UND</v>
          </cell>
          <cell r="S1071">
            <v>0</v>
          </cell>
          <cell r="T1071">
            <v>0</v>
          </cell>
          <cell r="U1071" t="str">
            <v/>
          </cell>
          <cell r="V1071" t="str">
            <v>PRO10</v>
          </cell>
          <cell r="W1071">
            <v>0</v>
          </cell>
        </row>
        <row r="1072">
          <cell r="C1072" t="str">
            <v>EUE50UX25PEA10</v>
          </cell>
          <cell r="D1072" t="str">
            <v>PRINC</v>
          </cell>
          <cell r="E1072" t="str">
            <v>00037</v>
          </cell>
          <cell r="F1072" t="str">
            <v>MODULOS Y PASADORES</v>
          </cell>
          <cell r="G1072" t="str">
            <v>PRINCIPAL</v>
          </cell>
          <cell r="H1072">
            <v>46004</v>
          </cell>
          <cell r="I1072" t="str">
            <v>SALDO INICIAL</v>
          </cell>
          <cell r="J1072">
            <v>413</v>
          </cell>
          <cell r="K1072">
            <v>961.12808199999995</v>
          </cell>
          <cell r="L1072">
            <v>2.3053780000000001</v>
          </cell>
          <cell r="M1072">
            <v>2.3271866389999998</v>
          </cell>
          <cell r="N1072" t="str">
            <v>CJA 160 UNDS</v>
          </cell>
          <cell r="O1072" t="str">
            <v/>
          </cell>
          <cell r="P1072" t="str">
            <v/>
          </cell>
          <cell r="Q1072">
            <v>5.5</v>
          </cell>
          <cell r="R1072" t="str">
            <v>UND</v>
          </cell>
          <cell r="S1072">
            <v>0</v>
          </cell>
          <cell r="T1072">
            <v>0</v>
          </cell>
          <cell r="U1072" t="str">
            <v/>
          </cell>
          <cell r="V1072" t="str">
            <v>PRO10</v>
          </cell>
          <cell r="W1072">
            <v>0</v>
          </cell>
        </row>
        <row r="1073">
          <cell r="C1073" t="str">
            <v>EUE50UX100PPA10</v>
          </cell>
          <cell r="D1073" t="str">
            <v>PRINC</v>
          </cell>
          <cell r="E1073" t="str">
            <v>00037</v>
          </cell>
          <cell r="F1073" t="str">
            <v>MODULOS Y PASADORES</v>
          </cell>
          <cell r="G1073" t="str">
            <v>PRINCIPAL</v>
          </cell>
          <cell r="H1073">
            <v>46004</v>
          </cell>
          <cell r="I1073" t="str">
            <v>SALDO INICIAL</v>
          </cell>
          <cell r="J1073">
            <v>64</v>
          </cell>
          <cell r="K1073">
            <v>525.29976099999999</v>
          </cell>
          <cell r="L1073">
            <v>5.609</v>
          </cell>
          <cell r="M1073">
            <v>8.2078087659999994</v>
          </cell>
          <cell r="N1073" t="str">
            <v/>
          </cell>
          <cell r="O1073" t="str">
            <v/>
          </cell>
          <cell r="P1073" t="str">
            <v/>
          </cell>
          <cell r="Q1073">
            <v>13.1</v>
          </cell>
          <cell r="R1073" t="str">
            <v>UND</v>
          </cell>
          <cell r="S1073">
            <v>0</v>
          </cell>
          <cell r="T1073">
            <v>0</v>
          </cell>
          <cell r="U1073" t="str">
            <v/>
          </cell>
          <cell r="V1073" t="str">
            <v>PRO10</v>
          </cell>
          <cell r="W1073">
            <v>0</v>
          </cell>
        </row>
        <row r="1074">
          <cell r="C1074" t="str">
            <v>EUE50UX100PPB10</v>
          </cell>
          <cell r="D1074" t="str">
            <v>PRINC</v>
          </cell>
          <cell r="E1074" t="str">
            <v>00037</v>
          </cell>
          <cell r="F1074" t="str">
            <v>MODULOS Y PASADORES</v>
          </cell>
          <cell r="G1074" t="str">
            <v>PRINCIPAL</v>
          </cell>
          <cell r="H1074">
            <v>46004</v>
          </cell>
          <cell r="I1074" t="str">
            <v>SALDO INICIAL</v>
          </cell>
          <cell r="J1074">
            <v>115</v>
          </cell>
          <cell r="K1074">
            <v>350.45936899999998</v>
          </cell>
          <cell r="L1074">
            <v>3.5704030000000002</v>
          </cell>
          <cell r="M1074">
            <v>3.0474727740000001</v>
          </cell>
          <cell r="N1074" t="str">
            <v/>
          </cell>
          <cell r="O1074" t="str">
            <v/>
          </cell>
          <cell r="P1074" t="str">
            <v/>
          </cell>
          <cell r="Q1074">
            <v>12.9</v>
          </cell>
          <cell r="R1074" t="str">
            <v>UND</v>
          </cell>
          <cell r="S1074">
            <v>0</v>
          </cell>
          <cell r="T1074">
            <v>0</v>
          </cell>
          <cell r="U1074" t="str">
            <v/>
          </cell>
          <cell r="V1074" t="str">
            <v>PRO10</v>
          </cell>
          <cell r="W1074">
            <v>0</v>
          </cell>
        </row>
        <row r="1075">
          <cell r="C1075" t="str">
            <v>EUE50UX150PPB10</v>
          </cell>
          <cell r="D1075" t="str">
            <v>PRINC</v>
          </cell>
          <cell r="E1075" t="str">
            <v>00037</v>
          </cell>
          <cell r="F1075" t="str">
            <v>MODULOS Y PASADORES</v>
          </cell>
          <cell r="G1075" t="str">
            <v>PRINCIPAL</v>
          </cell>
          <cell r="H1075">
            <v>46004</v>
          </cell>
          <cell r="I1075" t="str">
            <v>SALDO INICIAL</v>
          </cell>
          <cell r="J1075">
            <v>181</v>
          </cell>
          <cell r="K1075">
            <v>701.82351200000005</v>
          </cell>
          <cell r="L1075">
            <v>3.5997189999999999</v>
          </cell>
          <cell r="M1075">
            <v>3.8774779669999999</v>
          </cell>
          <cell r="N1075" t="str">
            <v/>
          </cell>
          <cell r="O1075" t="str">
            <v/>
          </cell>
          <cell r="P1075" t="str">
            <v/>
          </cell>
          <cell r="Q1075">
            <v>14</v>
          </cell>
          <cell r="R1075" t="str">
            <v>UND</v>
          </cell>
          <cell r="S1075">
            <v>0</v>
          </cell>
          <cell r="T1075">
            <v>0</v>
          </cell>
          <cell r="U1075" t="str">
            <v/>
          </cell>
          <cell r="V1075" t="str">
            <v>PRO10</v>
          </cell>
          <cell r="W1075">
            <v>0</v>
          </cell>
        </row>
        <row r="1076">
          <cell r="C1076" t="str">
            <v>UNEMMPBPPPS4X6</v>
          </cell>
          <cell r="D1076" t="str">
            <v>PRINC</v>
          </cell>
          <cell r="E1076" t="str">
            <v>00037</v>
          </cell>
          <cell r="F1076" t="str">
            <v>MODULOS Y PASADORES</v>
          </cell>
          <cell r="G1076" t="str">
            <v>PRINCIPAL</v>
          </cell>
          <cell r="H1076">
            <v>46004</v>
          </cell>
          <cell r="I1076" t="str">
            <v>SALDO INICIAL</v>
          </cell>
          <cell r="J1076">
            <v>43</v>
          </cell>
          <cell r="K1076">
            <v>273.48430000000002</v>
          </cell>
          <cell r="L1076">
            <v>6.3601000000000001</v>
          </cell>
          <cell r="M1076">
            <v>6.3601000000000001</v>
          </cell>
          <cell r="N1076" t="str">
            <v/>
          </cell>
          <cell r="O1076" t="str">
            <v/>
          </cell>
          <cell r="P1076" t="str">
            <v/>
          </cell>
          <cell r="Q1076">
            <v>0</v>
          </cell>
          <cell r="R1076" t="str">
            <v>UND</v>
          </cell>
          <cell r="S1076">
            <v>0</v>
          </cell>
          <cell r="T1076">
            <v>0</v>
          </cell>
          <cell r="U1076" t="str">
            <v/>
          </cell>
          <cell r="V1076" t="str">
            <v>PRO10</v>
          </cell>
          <cell r="W1076">
            <v>0</v>
          </cell>
        </row>
        <row r="1077">
          <cell r="C1077" t="str">
            <v>EUA24MCFTPPB20</v>
          </cell>
          <cell r="D1077" t="str">
            <v>PRINC</v>
          </cell>
          <cell r="E1077" t="str">
            <v>00037</v>
          </cell>
          <cell r="F1077" t="str">
            <v>MODULOS Y PASADORES</v>
          </cell>
          <cell r="G1077" t="str">
            <v>PRINCIPAL</v>
          </cell>
          <cell r="H1077">
            <v>46004</v>
          </cell>
          <cell r="I1077" t="str">
            <v>SALDO INICIAL</v>
          </cell>
          <cell r="J1077">
            <v>1808</v>
          </cell>
          <cell r="K1077">
            <v>696.08361600000001</v>
          </cell>
          <cell r="L1077">
            <v>0.38500200000000001</v>
          </cell>
          <cell r="M1077">
            <v>0.38500200000000001</v>
          </cell>
          <cell r="N1077" t="str">
            <v/>
          </cell>
          <cell r="O1077" t="str">
            <v/>
          </cell>
          <cell r="P1077" t="str">
            <v/>
          </cell>
          <cell r="Q1077">
            <v>0</v>
          </cell>
          <cell r="R1077" t="str">
            <v>UND</v>
          </cell>
          <cell r="S1077">
            <v>0</v>
          </cell>
          <cell r="T1077">
            <v>0</v>
          </cell>
          <cell r="U1077" t="str">
            <v/>
          </cell>
          <cell r="V1077" t="str">
            <v>PRO10</v>
          </cell>
          <cell r="W1077">
            <v>0</v>
          </cell>
        </row>
        <row r="1078">
          <cell r="C1078" t="str">
            <v>EUB50MCFGPPA10</v>
          </cell>
          <cell r="D1078" t="str">
            <v>PRINC</v>
          </cell>
          <cell r="E1078" t="str">
            <v>00037</v>
          </cell>
          <cell r="F1078" t="str">
            <v>MODULOS Y PASADORES</v>
          </cell>
          <cell r="G1078" t="str">
            <v>PRINCIPAL</v>
          </cell>
          <cell r="H1078">
            <v>46004</v>
          </cell>
          <cell r="I1078" t="str">
            <v>SALDO INICIAL</v>
          </cell>
          <cell r="J1078">
            <v>918</v>
          </cell>
          <cell r="K1078">
            <v>767.60424399999999</v>
          </cell>
          <cell r="L1078">
            <v>0.82383799999999996</v>
          </cell>
          <cell r="M1078">
            <v>0.83617019999999997</v>
          </cell>
          <cell r="N1078" t="str">
            <v/>
          </cell>
          <cell r="O1078" t="str">
            <v/>
          </cell>
          <cell r="P1078" t="str">
            <v/>
          </cell>
          <cell r="Q1078">
            <v>0</v>
          </cell>
          <cell r="R1078" t="str">
            <v>UND</v>
          </cell>
          <cell r="S1078">
            <v>0</v>
          </cell>
          <cell r="T1078">
            <v>0</v>
          </cell>
          <cell r="U1078" t="str">
            <v/>
          </cell>
          <cell r="V1078" t="str">
            <v>PRO10</v>
          </cell>
          <cell r="W1078">
            <v>0</v>
          </cell>
        </row>
        <row r="1079">
          <cell r="C1079" t="str">
            <v>EUB50MCFGPPB10</v>
          </cell>
          <cell r="D1079" t="str">
            <v>PRINC</v>
          </cell>
          <cell r="E1079" t="str">
            <v>00037</v>
          </cell>
          <cell r="F1079" t="str">
            <v>MODULOS Y PASADORES</v>
          </cell>
          <cell r="G1079" t="str">
            <v>PRINCIPAL</v>
          </cell>
          <cell r="H1079">
            <v>46004</v>
          </cell>
          <cell r="I1079" t="str">
            <v>SALDO INICIAL</v>
          </cell>
          <cell r="J1079">
            <v>240</v>
          </cell>
          <cell r="K1079">
            <v>360.491265</v>
          </cell>
          <cell r="L1079">
            <v>0.81613500000000005</v>
          </cell>
          <cell r="M1079">
            <v>1.5020469380000001</v>
          </cell>
          <cell r="N1079" t="str">
            <v/>
          </cell>
          <cell r="O1079" t="str">
            <v/>
          </cell>
          <cell r="P1079" t="str">
            <v/>
          </cell>
          <cell r="Q1079">
            <v>0</v>
          </cell>
          <cell r="R1079" t="str">
            <v>UND</v>
          </cell>
          <cell r="S1079">
            <v>0</v>
          </cell>
          <cell r="T1079">
            <v>0</v>
          </cell>
          <cell r="U1079" t="str">
            <v/>
          </cell>
          <cell r="V1079" t="str">
            <v>PRO10</v>
          </cell>
          <cell r="W1079">
            <v>0</v>
          </cell>
        </row>
        <row r="1080">
          <cell r="C1080" t="str">
            <v>EUB50MCFTACB10</v>
          </cell>
          <cell r="D1080" t="str">
            <v>PRINC</v>
          </cell>
          <cell r="E1080" t="str">
            <v>00037</v>
          </cell>
          <cell r="F1080" t="str">
            <v>MODULOS Y PASADORES</v>
          </cell>
          <cell r="G1080" t="str">
            <v>PRINCIPAL</v>
          </cell>
          <cell r="H1080">
            <v>46004</v>
          </cell>
          <cell r="I1080" t="str">
            <v>SALDO INICIAL</v>
          </cell>
          <cell r="J1080">
            <v>208</v>
          </cell>
          <cell r="K1080">
            <v>373.454904</v>
          </cell>
          <cell r="L1080">
            <v>1.68876</v>
          </cell>
          <cell r="M1080">
            <v>1.795456269</v>
          </cell>
          <cell r="N1080" t="str">
            <v/>
          </cell>
          <cell r="O1080" t="str">
            <v/>
          </cell>
          <cell r="P1080" t="str">
            <v/>
          </cell>
          <cell r="Q1080">
            <v>0</v>
          </cell>
          <cell r="R1080" t="str">
            <v>UND</v>
          </cell>
          <cell r="S1080">
            <v>0</v>
          </cell>
          <cell r="T1080">
            <v>0</v>
          </cell>
          <cell r="U1080" t="str">
            <v/>
          </cell>
          <cell r="V1080" t="str">
            <v>PRO10</v>
          </cell>
          <cell r="W1080">
            <v>0</v>
          </cell>
        </row>
        <row r="1081">
          <cell r="C1081" t="str">
            <v>EUB50MCFTPPA10</v>
          </cell>
          <cell r="D1081" t="str">
            <v>PRINC</v>
          </cell>
          <cell r="E1081" t="str">
            <v>00037</v>
          </cell>
          <cell r="F1081" t="str">
            <v>MODULOS Y PASADORES</v>
          </cell>
          <cell r="G1081" t="str">
            <v>PRINCIPAL</v>
          </cell>
          <cell r="H1081">
            <v>46004</v>
          </cell>
          <cell r="I1081" t="str">
            <v>SALDO INICIAL</v>
          </cell>
          <cell r="J1081">
            <v>317</v>
          </cell>
          <cell r="K1081">
            <v>335.83043400000003</v>
          </cell>
          <cell r="L1081">
            <v>1.059402</v>
          </cell>
          <cell r="M1081">
            <v>1.059402</v>
          </cell>
          <cell r="N1081" t="str">
            <v/>
          </cell>
          <cell r="O1081" t="str">
            <v/>
          </cell>
          <cell r="P1081" t="str">
            <v/>
          </cell>
          <cell r="Q1081">
            <v>0</v>
          </cell>
          <cell r="R1081" t="str">
            <v>UND</v>
          </cell>
          <cell r="S1081">
            <v>0</v>
          </cell>
          <cell r="T1081">
            <v>0</v>
          </cell>
          <cell r="U1081" t="str">
            <v/>
          </cell>
          <cell r="V1081" t="str">
            <v>PRO10</v>
          </cell>
          <cell r="W1081">
            <v>0</v>
          </cell>
        </row>
        <row r="1082">
          <cell r="C1082" t="str">
            <v>EUB50MCFTPPB10</v>
          </cell>
          <cell r="D1082" t="str">
            <v>PRINC</v>
          </cell>
          <cell r="E1082" t="str">
            <v>00037</v>
          </cell>
          <cell r="F1082" t="str">
            <v>MODULOS Y PASADORES</v>
          </cell>
          <cell r="G1082" t="str">
            <v>PRINCIPAL</v>
          </cell>
          <cell r="H1082">
            <v>46004</v>
          </cell>
          <cell r="I1082" t="str">
            <v>SALDO INICIAL</v>
          </cell>
          <cell r="J1082">
            <v>1525</v>
          </cell>
          <cell r="K1082">
            <v>1563.4976160000001</v>
          </cell>
          <cell r="L1082">
            <v>1.005873</v>
          </cell>
          <cell r="M1082">
            <v>1.025244338</v>
          </cell>
          <cell r="N1082" t="str">
            <v/>
          </cell>
          <cell r="O1082" t="str">
            <v/>
          </cell>
          <cell r="P1082" t="str">
            <v/>
          </cell>
          <cell r="Q1082">
            <v>0</v>
          </cell>
          <cell r="R1082" t="str">
            <v>UND</v>
          </cell>
          <cell r="S1082">
            <v>0</v>
          </cell>
          <cell r="T1082">
            <v>0</v>
          </cell>
          <cell r="U1082" t="str">
            <v/>
          </cell>
          <cell r="V1082" t="str">
            <v>PRO10</v>
          </cell>
          <cell r="W1082">
            <v>0</v>
          </cell>
        </row>
        <row r="1083">
          <cell r="C1083" t="str">
            <v>EUC12MCFGACA6</v>
          </cell>
          <cell r="D1083" t="str">
            <v>PRINC</v>
          </cell>
          <cell r="E1083" t="str">
            <v>00037</v>
          </cell>
          <cell r="F1083" t="str">
            <v>MODULOS Y PASADORES</v>
          </cell>
          <cell r="G1083" t="str">
            <v>PRINCIPAL</v>
          </cell>
          <cell r="H1083">
            <v>46004</v>
          </cell>
          <cell r="I1083" t="str">
            <v>SALDO INICIAL</v>
          </cell>
          <cell r="J1083">
            <v>95</v>
          </cell>
          <cell r="K1083">
            <v>19.743855</v>
          </cell>
          <cell r="L1083">
            <v>0.20783099999999999</v>
          </cell>
          <cell r="M1083">
            <v>0.20783005299999999</v>
          </cell>
          <cell r="N1083" t="str">
            <v/>
          </cell>
          <cell r="O1083" t="str">
            <v/>
          </cell>
          <cell r="P1083" t="str">
            <v/>
          </cell>
          <cell r="Q1083">
            <v>0</v>
          </cell>
          <cell r="R1083" t="str">
            <v>UND</v>
          </cell>
          <cell r="S1083">
            <v>0</v>
          </cell>
          <cell r="T1083">
            <v>0</v>
          </cell>
          <cell r="U1083" t="str">
            <v/>
          </cell>
          <cell r="V1083" t="str">
            <v>PRO10</v>
          </cell>
          <cell r="W1083">
            <v>0</v>
          </cell>
        </row>
        <row r="1084">
          <cell r="C1084" t="str">
            <v>EUC12MCFGACA8</v>
          </cell>
          <cell r="D1084" t="str">
            <v>PRINC</v>
          </cell>
          <cell r="E1084" t="str">
            <v>00037</v>
          </cell>
          <cell r="F1084" t="str">
            <v>MODULOS Y PASADORES</v>
          </cell>
          <cell r="G1084" t="str">
            <v>PRINCIPAL</v>
          </cell>
          <cell r="H1084">
            <v>46004</v>
          </cell>
          <cell r="I1084" t="str">
            <v>SALDO INICIAL</v>
          </cell>
          <cell r="J1084">
            <v>1098</v>
          </cell>
          <cell r="K1084">
            <v>407.717037</v>
          </cell>
          <cell r="L1084">
            <v>0.37135299999999999</v>
          </cell>
          <cell r="M1084">
            <v>0.37132699200000002</v>
          </cell>
          <cell r="N1084" t="str">
            <v/>
          </cell>
          <cell r="O1084" t="str">
            <v/>
          </cell>
          <cell r="P1084" t="str">
            <v/>
          </cell>
          <cell r="Q1084">
            <v>0</v>
          </cell>
          <cell r="R1084" t="str">
            <v>UND</v>
          </cell>
          <cell r="S1084">
            <v>0</v>
          </cell>
          <cell r="T1084">
            <v>0</v>
          </cell>
          <cell r="U1084" t="str">
            <v/>
          </cell>
          <cell r="V1084" t="str">
            <v>PRO10</v>
          </cell>
          <cell r="W1084">
            <v>0</v>
          </cell>
        </row>
        <row r="1085">
          <cell r="C1085" t="str">
            <v>EUC12MCFGPEN4</v>
          </cell>
          <cell r="D1085" t="str">
            <v>PRINC</v>
          </cell>
          <cell r="E1085" t="str">
            <v>00037</v>
          </cell>
          <cell r="F1085" t="str">
            <v>MODULOS Y PASADORES</v>
          </cell>
          <cell r="G1085" t="str">
            <v>PRINCIPAL</v>
          </cell>
          <cell r="H1085">
            <v>46004</v>
          </cell>
          <cell r="I1085" t="str">
            <v>SALDO INICIAL</v>
          </cell>
          <cell r="J1085">
            <v>2783</v>
          </cell>
          <cell r="K1085">
            <v>306.44462399999998</v>
          </cell>
          <cell r="L1085">
            <v>0.110113</v>
          </cell>
          <cell r="M1085">
            <v>0.110113052</v>
          </cell>
          <cell r="N1085" t="str">
            <v/>
          </cell>
          <cell r="O1085" t="str">
            <v/>
          </cell>
          <cell r="P1085" t="str">
            <v/>
          </cell>
          <cell r="Q1085">
            <v>0</v>
          </cell>
          <cell r="R1085" t="str">
            <v>UND</v>
          </cell>
          <cell r="S1085">
            <v>0</v>
          </cell>
          <cell r="T1085">
            <v>0</v>
          </cell>
          <cell r="U1085" t="str">
            <v/>
          </cell>
          <cell r="V1085" t="str">
            <v>PRO10</v>
          </cell>
          <cell r="W1085">
            <v>0</v>
          </cell>
        </row>
        <row r="1086">
          <cell r="C1086" t="str">
            <v>EUC12MCFGPEN6</v>
          </cell>
          <cell r="D1086" t="str">
            <v>PRINC</v>
          </cell>
          <cell r="E1086" t="str">
            <v>00037</v>
          </cell>
          <cell r="F1086" t="str">
            <v>MODULOS Y PASADORES</v>
          </cell>
          <cell r="G1086" t="str">
            <v>PRINCIPAL</v>
          </cell>
          <cell r="H1086">
            <v>46004</v>
          </cell>
          <cell r="I1086" t="str">
            <v>SALDO INICIAL</v>
          </cell>
          <cell r="J1086">
            <v>1</v>
          </cell>
          <cell r="K1086">
            <v>0.150283</v>
          </cell>
          <cell r="L1086">
            <v>0.150283</v>
          </cell>
          <cell r="M1086">
            <v>0.150283</v>
          </cell>
          <cell r="N1086" t="str">
            <v/>
          </cell>
          <cell r="O1086" t="str">
            <v/>
          </cell>
          <cell r="P1086" t="str">
            <v/>
          </cell>
          <cell r="Q1086">
            <v>0</v>
          </cell>
          <cell r="R1086" t="str">
            <v>UND</v>
          </cell>
          <cell r="S1086">
            <v>0</v>
          </cell>
          <cell r="T1086">
            <v>0</v>
          </cell>
          <cell r="U1086" t="str">
            <v/>
          </cell>
          <cell r="V1086" t="str">
            <v>PRO10</v>
          </cell>
          <cell r="W1086">
            <v>0</v>
          </cell>
        </row>
        <row r="1087">
          <cell r="C1087" t="str">
            <v>EUC12MCFGPEN8</v>
          </cell>
          <cell r="D1087" t="str">
            <v>PRINC</v>
          </cell>
          <cell r="E1087" t="str">
            <v>00037</v>
          </cell>
          <cell r="F1087" t="str">
            <v>MODULOS Y PASADORES</v>
          </cell>
          <cell r="G1087" t="str">
            <v>PRINCIPAL</v>
          </cell>
          <cell r="H1087">
            <v>46004</v>
          </cell>
          <cell r="I1087" t="str">
            <v>SALDO INICIAL</v>
          </cell>
          <cell r="J1087">
            <v>1273</v>
          </cell>
          <cell r="K1087">
            <v>349.18527799999998</v>
          </cell>
          <cell r="L1087">
            <v>0.338335</v>
          </cell>
          <cell r="M1087">
            <v>0.27430108199999997</v>
          </cell>
          <cell r="N1087" t="str">
            <v/>
          </cell>
          <cell r="O1087" t="str">
            <v/>
          </cell>
          <cell r="P1087" t="str">
            <v/>
          </cell>
          <cell r="Q1087">
            <v>0</v>
          </cell>
          <cell r="R1087" t="str">
            <v>UND</v>
          </cell>
          <cell r="S1087">
            <v>0</v>
          </cell>
          <cell r="T1087">
            <v>0</v>
          </cell>
          <cell r="U1087" t="str">
            <v/>
          </cell>
          <cell r="V1087" t="str">
            <v>PRO10</v>
          </cell>
          <cell r="W1087">
            <v>0</v>
          </cell>
        </row>
        <row r="1088">
          <cell r="C1088" t="str">
            <v>EUC12MCFTACA8</v>
          </cell>
          <cell r="D1088" t="str">
            <v>PRINC</v>
          </cell>
          <cell r="E1088" t="str">
            <v>00037</v>
          </cell>
          <cell r="F1088" t="str">
            <v>MODULOS Y PASADORES</v>
          </cell>
          <cell r="G1088" t="str">
            <v>PRINCIPAL</v>
          </cell>
          <cell r="H1088">
            <v>46004</v>
          </cell>
          <cell r="I1088" t="str">
            <v>SALDO INICIAL</v>
          </cell>
          <cell r="J1088">
            <v>914</v>
          </cell>
          <cell r="K1088">
            <v>406.93672500000002</v>
          </cell>
          <cell r="L1088">
            <v>0.44522699999999998</v>
          </cell>
          <cell r="M1088">
            <v>0.44522617599999997</v>
          </cell>
          <cell r="N1088" t="str">
            <v/>
          </cell>
          <cell r="O1088" t="str">
            <v/>
          </cell>
          <cell r="P1088" t="str">
            <v/>
          </cell>
          <cell r="Q1088">
            <v>0</v>
          </cell>
          <cell r="R1088" t="str">
            <v>UND</v>
          </cell>
          <cell r="S1088">
            <v>0</v>
          </cell>
          <cell r="T1088">
            <v>0</v>
          </cell>
          <cell r="U1088" t="str">
            <v/>
          </cell>
          <cell r="V1088" t="str">
            <v>PRO10</v>
          </cell>
          <cell r="W1088">
            <v>0</v>
          </cell>
        </row>
        <row r="1089">
          <cell r="C1089" t="str">
            <v>EUC12MCFTPEN4</v>
          </cell>
          <cell r="D1089" t="str">
            <v>PRINC</v>
          </cell>
          <cell r="E1089" t="str">
            <v>00037</v>
          </cell>
          <cell r="F1089" t="str">
            <v>MODULOS Y PASADORES</v>
          </cell>
          <cell r="G1089" t="str">
            <v>PRINCIPAL</v>
          </cell>
          <cell r="H1089">
            <v>46004</v>
          </cell>
          <cell r="I1089" t="str">
            <v>SALDO INICIAL</v>
          </cell>
          <cell r="J1089">
            <v>1583</v>
          </cell>
          <cell r="K1089">
            <v>224.85127499999999</v>
          </cell>
          <cell r="L1089">
            <v>0.142041</v>
          </cell>
          <cell r="M1089">
            <v>0.14204123499999999</v>
          </cell>
          <cell r="N1089" t="str">
            <v/>
          </cell>
          <cell r="O1089" t="str">
            <v/>
          </cell>
          <cell r="P1089" t="str">
            <v/>
          </cell>
          <cell r="Q1089">
            <v>0</v>
          </cell>
          <cell r="R1089" t="str">
            <v>UND</v>
          </cell>
          <cell r="S1089">
            <v>0</v>
          </cell>
          <cell r="T1089">
            <v>0</v>
          </cell>
          <cell r="U1089" t="str">
            <v/>
          </cell>
          <cell r="V1089" t="str">
            <v>PRO10</v>
          </cell>
          <cell r="W1089">
            <v>0</v>
          </cell>
        </row>
        <row r="1090">
          <cell r="C1090" t="str">
            <v>EUC12MCFTPEN8</v>
          </cell>
          <cell r="D1090" t="str">
            <v>PRINC</v>
          </cell>
          <cell r="E1090" t="str">
            <v>00037</v>
          </cell>
          <cell r="F1090" t="str">
            <v>MODULOS Y PASADORES</v>
          </cell>
          <cell r="G1090" t="str">
            <v>PRINCIPAL</v>
          </cell>
          <cell r="H1090">
            <v>46004</v>
          </cell>
          <cell r="I1090" t="str">
            <v>SALDO INICIAL</v>
          </cell>
          <cell r="J1090">
            <v>5094</v>
          </cell>
          <cell r="K1090">
            <v>1889.6631379999999</v>
          </cell>
          <cell r="L1090">
            <v>0.37693700000000002</v>
          </cell>
          <cell r="M1090">
            <v>0.37095860600000002</v>
          </cell>
          <cell r="N1090" t="str">
            <v/>
          </cell>
          <cell r="O1090" t="str">
            <v/>
          </cell>
          <cell r="P1090" t="str">
            <v/>
          </cell>
          <cell r="Q1090">
            <v>0</v>
          </cell>
          <cell r="R1090" t="str">
            <v>UND</v>
          </cell>
          <cell r="S1090">
            <v>0</v>
          </cell>
          <cell r="T1090">
            <v>0</v>
          </cell>
          <cell r="U1090" t="str">
            <v/>
          </cell>
          <cell r="V1090" t="str">
            <v>PRO10</v>
          </cell>
          <cell r="W1090">
            <v>0</v>
          </cell>
        </row>
        <row r="1091">
          <cell r="C1091" t="str">
            <v>EUC12MCNTACA6</v>
          </cell>
          <cell r="D1091" t="str">
            <v>PRINC</v>
          </cell>
          <cell r="E1091" t="str">
            <v>00037</v>
          </cell>
          <cell r="F1091" t="str">
            <v>MODULOS Y PASADORES</v>
          </cell>
          <cell r="G1091" t="str">
            <v>PRINCIPAL</v>
          </cell>
          <cell r="H1091">
            <v>46004</v>
          </cell>
          <cell r="I1091" t="str">
            <v>SALDO INICIAL</v>
          </cell>
          <cell r="J1091">
            <v>291</v>
          </cell>
          <cell r="K1091">
            <v>118.07325</v>
          </cell>
          <cell r="L1091">
            <v>0.40575</v>
          </cell>
          <cell r="M1091">
            <v>0.40575</v>
          </cell>
          <cell r="N1091" t="str">
            <v/>
          </cell>
          <cell r="O1091" t="str">
            <v/>
          </cell>
          <cell r="P1091" t="str">
            <v/>
          </cell>
          <cell r="Q1091">
            <v>0</v>
          </cell>
          <cell r="R1091" t="str">
            <v>UND</v>
          </cell>
          <cell r="S1091">
            <v>0</v>
          </cell>
          <cell r="T1091">
            <v>0</v>
          </cell>
          <cell r="U1091" t="str">
            <v/>
          </cell>
          <cell r="V1091" t="str">
            <v>PRO10</v>
          </cell>
          <cell r="W1091">
            <v>0</v>
          </cell>
        </row>
        <row r="1092">
          <cell r="C1092" t="str">
            <v>EUC12MCNTPEA8</v>
          </cell>
          <cell r="D1092" t="str">
            <v>PRINC</v>
          </cell>
          <cell r="E1092" t="str">
            <v>00037</v>
          </cell>
          <cell r="F1092" t="str">
            <v>MODULOS Y PASADORES</v>
          </cell>
          <cell r="G1092" t="str">
            <v>PRINCIPAL</v>
          </cell>
          <cell r="H1092">
            <v>46004</v>
          </cell>
          <cell r="I1092" t="str">
            <v>SALDO INICIAL</v>
          </cell>
          <cell r="J1092">
            <v>5078</v>
          </cell>
          <cell r="K1092">
            <v>3761.1991600000001</v>
          </cell>
          <cell r="L1092">
            <v>0.74068500000000004</v>
          </cell>
          <cell r="M1092">
            <v>0.74068514399999996</v>
          </cell>
          <cell r="N1092" t="str">
            <v>NUB TOP</v>
          </cell>
          <cell r="O1092" t="str">
            <v/>
          </cell>
          <cell r="P1092" t="str">
            <v/>
          </cell>
          <cell r="Q1092">
            <v>0</v>
          </cell>
          <cell r="R1092" t="str">
            <v>UND</v>
          </cell>
          <cell r="S1092">
            <v>0</v>
          </cell>
          <cell r="T1092">
            <v>0</v>
          </cell>
          <cell r="U1092" t="str">
            <v/>
          </cell>
          <cell r="V1092" t="str">
            <v>PRO10</v>
          </cell>
          <cell r="W1092">
            <v>0</v>
          </cell>
        </row>
        <row r="1093">
          <cell r="C1093" t="str">
            <v>EUE20MCFGPEA25</v>
          </cell>
          <cell r="D1093" t="str">
            <v>PRINC</v>
          </cell>
          <cell r="E1093" t="str">
            <v>00037</v>
          </cell>
          <cell r="F1093" t="str">
            <v>MODULOS Y PASADORES</v>
          </cell>
          <cell r="G1093" t="str">
            <v>PRINCIPAL</v>
          </cell>
          <cell r="H1093">
            <v>46004</v>
          </cell>
          <cell r="I1093" t="str">
            <v>SALDO INICIAL</v>
          </cell>
          <cell r="J1093">
            <v>8546</v>
          </cell>
          <cell r="K1093">
            <v>5099.3981999999996</v>
          </cell>
          <cell r="L1093">
            <v>0.59670000000000001</v>
          </cell>
          <cell r="M1093">
            <v>0.59670000000000001</v>
          </cell>
          <cell r="N1093" t="str">
            <v/>
          </cell>
          <cell r="O1093" t="str">
            <v/>
          </cell>
          <cell r="P1093" t="str">
            <v/>
          </cell>
          <cell r="Q1093">
            <v>0</v>
          </cell>
          <cell r="R1093" t="str">
            <v>UND</v>
          </cell>
          <cell r="S1093">
            <v>0</v>
          </cell>
          <cell r="T1093">
            <v>0</v>
          </cell>
          <cell r="U1093" t="str">
            <v/>
          </cell>
          <cell r="V1093" t="str">
            <v>PRO10</v>
          </cell>
          <cell r="W1093">
            <v>0</v>
          </cell>
        </row>
        <row r="1094">
          <cell r="C1094" t="str">
            <v>EUE20MCFGPPA25</v>
          </cell>
          <cell r="D1094" t="str">
            <v>PRINC</v>
          </cell>
          <cell r="E1094" t="str">
            <v>00037</v>
          </cell>
          <cell r="F1094" t="str">
            <v>MODULOS Y PASADORES</v>
          </cell>
          <cell r="G1094" t="str">
            <v>PRINCIPAL</v>
          </cell>
          <cell r="H1094">
            <v>46004</v>
          </cell>
          <cell r="I1094" t="str">
            <v>SALDO INICIAL</v>
          </cell>
          <cell r="J1094">
            <v>136</v>
          </cell>
          <cell r="K1094">
            <v>52.373736000000001</v>
          </cell>
          <cell r="L1094">
            <v>0.38510100000000003</v>
          </cell>
          <cell r="M1094">
            <v>0.38510100000000003</v>
          </cell>
          <cell r="N1094" t="str">
            <v/>
          </cell>
          <cell r="O1094" t="str">
            <v/>
          </cell>
          <cell r="P1094" t="str">
            <v/>
          </cell>
          <cell r="Q1094">
            <v>0</v>
          </cell>
          <cell r="R1094" t="str">
            <v>UND</v>
          </cell>
          <cell r="S1094">
            <v>0</v>
          </cell>
          <cell r="T1094">
            <v>0</v>
          </cell>
          <cell r="U1094" t="str">
            <v/>
          </cell>
          <cell r="V1094" t="str">
            <v>PRO10</v>
          </cell>
          <cell r="W1094">
            <v>0</v>
          </cell>
        </row>
        <row r="1095">
          <cell r="C1095" t="str">
            <v>EUE20MCFTPPA25</v>
          </cell>
          <cell r="D1095" t="str">
            <v>PRINC</v>
          </cell>
          <cell r="E1095" t="str">
            <v>00037</v>
          </cell>
          <cell r="F1095" t="str">
            <v>MODULOS Y PASADORES</v>
          </cell>
          <cell r="G1095" t="str">
            <v>PRINCIPAL</v>
          </cell>
          <cell r="H1095">
            <v>46004</v>
          </cell>
          <cell r="I1095" t="str">
            <v>SALDO INICIAL</v>
          </cell>
          <cell r="J1095">
            <v>572</v>
          </cell>
          <cell r="K1095">
            <v>439.60901000000001</v>
          </cell>
          <cell r="L1095">
            <v>0.76854699999999998</v>
          </cell>
          <cell r="M1095">
            <v>0.76854721999999998</v>
          </cell>
          <cell r="N1095" t="str">
            <v/>
          </cell>
          <cell r="O1095" t="str">
            <v/>
          </cell>
          <cell r="P1095" t="str">
            <v/>
          </cell>
          <cell r="Q1095">
            <v>0</v>
          </cell>
          <cell r="R1095" t="str">
            <v>UND</v>
          </cell>
          <cell r="S1095">
            <v>0</v>
          </cell>
          <cell r="T1095">
            <v>0</v>
          </cell>
          <cell r="U1095" t="str">
            <v/>
          </cell>
          <cell r="V1095" t="str">
            <v>PRO10</v>
          </cell>
          <cell r="W1095">
            <v>0</v>
          </cell>
        </row>
        <row r="1096">
          <cell r="C1096" t="str">
            <v>EUE20MCRRPPG25</v>
          </cell>
          <cell r="D1096" t="str">
            <v>PRINC</v>
          </cell>
          <cell r="E1096" t="str">
            <v>00037</v>
          </cell>
          <cell r="F1096" t="str">
            <v>MODULOS Y PASADORES</v>
          </cell>
          <cell r="G1096" t="str">
            <v>PRINCIPAL</v>
          </cell>
          <cell r="H1096">
            <v>46004</v>
          </cell>
          <cell r="I1096" t="str">
            <v>SALDO INICIAL</v>
          </cell>
          <cell r="J1096">
            <v>1250</v>
          </cell>
          <cell r="K1096">
            <v>1246.97</v>
          </cell>
          <cell r="L1096">
            <v>1.3473999999999999</v>
          </cell>
          <cell r="M1096">
            <v>0.99757600000000002</v>
          </cell>
          <cell r="N1096" t="str">
            <v>RAISEB RIB</v>
          </cell>
          <cell r="O1096" t="str">
            <v/>
          </cell>
          <cell r="P1096" t="str">
            <v/>
          </cell>
          <cell r="Q1096">
            <v>0</v>
          </cell>
          <cell r="R1096" t="str">
            <v>UND</v>
          </cell>
          <cell r="S1096">
            <v>0</v>
          </cell>
          <cell r="T1096">
            <v>0</v>
          </cell>
          <cell r="U1096" t="str">
            <v/>
          </cell>
          <cell r="V1096" t="str">
            <v>PRO10</v>
          </cell>
          <cell r="W1096">
            <v>0</v>
          </cell>
        </row>
        <row r="1097">
          <cell r="C1097" t="str">
            <v>EUE30MCFFPPB352</v>
          </cell>
          <cell r="D1097" t="str">
            <v>PRINC</v>
          </cell>
          <cell r="E1097" t="str">
            <v>00037</v>
          </cell>
          <cell r="F1097" t="str">
            <v>MODULOS Y PASADORES</v>
          </cell>
          <cell r="G1097" t="str">
            <v>PRINCIPAL</v>
          </cell>
          <cell r="H1097">
            <v>46004</v>
          </cell>
          <cell r="I1097" t="str">
            <v>SALDO INICIAL</v>
          </cell>
          <cell r="J1097">
            <v>672</v>
          </cell>
          <cell r="K1097">
            <v>962.30332799999996</v>
          </cell>
          <cell r="L1097">
            <v>1.431999</v>
          </cell>
          <cell r="M1097">
            <v>1.431999</v>
          </cell>
          <cell r="N1097" t="str">
            <v/>
          </cell>
          <cell r="O1097" t="str">
            <v/>
          </cell>
          <cell r="P1097" t="str">
            <v/>
          </cell>
          <cell r="Q1097">
            <v>0</v>
          </cell>
          <cell r="R1097" t="str">
            <v>UND</v>
          </cell>
          <cell r="S1097">
            <v>0</v>
          </cell>
          <cell r="T1097">
            <v>0</v>
          </cell>
          <cell r="U1097" t="str">
            <v/>
          </cell>
          <cell r="V1097" t="str">
            <v>PRO10</v>
          </cell>
          <cell r="W1097">
            <v>0</v>
          </cell>
        </row>
        <row r="1098">
          <cell r="C1098" t="str">
            <v>EUE30MCFFPPB602</v>
          </cell>
          <cell r="D1098" t="str">
            <v>PRINC</v>
          </cell>
          <cell r="E1098" t="str">
            <v>00037</v>
          </cell>
          <cell r="F1098" t="str">
            <v>MODULOS Y PASADORES</v>
          </cell>
          <cell r="G1098" t="str">
            <v>PRINCIPAL</v>
          </cell>
          <cell r="H1098">
            <v>46004</v>
          </cell>
          <cell r="I1098" t="str">
            <v>SALDO INICIAL</v>
          </cell>
          <cell r="J1098">
            <v>311</v>
          </cell>
          <cell r="K1098">
            <v>549.135536</v>
          </cell>
          <cell r="L1098">
            <v>1.765709</v>
          </cell>
          <cell r="M1098">
            <v>1.765709119</v>
          </cell>
          <cell r="N1098" t="str">
            <v/>
          </cell>
          <cell r="O1098" t="str">
            <v/>
          </cell>
          <cell r="P1098" t="str">
            <v/>
          </cell>
          <cell r="Q1098">
            <v>0</v>
          </cell>
          <cell r="R1098" t="str">
            <v>UND</v>
          </cell>
          <cell r="S1098">
            <v>0</v>
          </cell>
          <cell r="T1098">
            <v>0</v>
          </cell>
          <cell r="U1098" t="str">
            <v/>
          </cell>
          <cell r="V1098" t="str">
            <v>PRO10</v>
          </cell>
          <cell r="W1098">
            <v>0</v>
          </cell>
        </row>
        <row r="1099">
          <cell r="C1099" t="str">
            <v>EUE30MCFGACA39</v>
          </cell>
          <cell r="D1099" t="str">
            <v>PRINC</v>
          </cell>
          <cell r="E1099" t="str">
            <v>00037</v>
          </cell>
          <cell r="F1099" t="str">
            <v>MODULOS Y PASADORES</v>
          </cell>
          <cell r="G1099" t="str">
            <v>PRINCIPAL</v>
          </cell>
          <cell r="H1099">
            <v>46004</v>
          </cell>
          <cell r="I1099" t="str">
            <v>SALDO INICIAL</v>
          </cell>
          <cell r="J1099">
            <v>784</v>
          </cell>
          <cell r="K1099">
            <v>771.45600000000002</v>
          </cell>
          <cell r="L1099">
            <v>0.98399999999999999</v>
          </cell>
          <cell r="M1099">
            <v>0.98399999999999999</v>
          </cell>
          <cell r="N1099" t="str">
            <v/>
          </cell>
          <cell r="O1099" t="str">
            <v/>
          </cell>
          <cell r="P1099" t="str">
            <v/>
          </cell>
          <cell r="Q1099">
            <v>0</v>
          </cell>
          <cell r="R1099" t="str">
            <v>UND</v>
          </cell>
          <cell r="S1099">
            <v>0</v>
          </cell>
          <cell r="T1099">
            <v>0</v>
          </cell>
          <cell r="U1099" t="str">
            <v/>
          </cell>
          <cell r="V1099" t="str">
            <v>PRO10</v>
          </cell>
          <cell r="W1099">
            <v>0</v>
          </cell>
        </row>
        <row r="1100">
          <cell r="C1100" t="str">
            <v>EUE30MCFGPEN10</v>
          </cell>
          <cell r="D1100" t="str">
            <v>PRINC</v>
          </cell>
          <cell r="E1100" t="str">
            <v>00037</v>
          </cell>
          <cell r="F1100" t="str">
            <v>MODULOS Y PASADORES</v>
          </cell>
          <cell r="G1100" t="str">
            <v>PRINCIPAL</v>
          </cell>
          <cell r="H1100">
            <v>46004</v>
          </cell>
          <cell r="I1100" t="str">
            <v>SALDO INICIAL</v>
          </cell>
          <cell r="J1100">
            <v>133</v>
          </cell>
          <cell r="K1100">
            <v>28.809521</v>
          </cell>
          <cell r="L1100">
            <v>0.216532</v>
          </cell>
          <cell r="M1100">
            <v>0.21661294</v>
          </cell>
          <cell r="N1100" t="str">
            <v/>
          </cell>
          <cell r="O1100" t="str">
            <v/>
          </cell>
          <cell r="P1100" t="str">
            <v/>
          </cell>
          <cell r="Q1100">
            <v>0</v>
          </cell>
          <cell r="R1100" t="str">
            <v>UND</v>
          </cell>
          <cell r="S1100">
            <v>0</v>
          </cell>
          <cell r="T1100">
            <v>0</v>
          </cell>
          <cell r="U1100" t="str">
            <v/>
          </cell>
          <cell r="V1100" t="str">
            <v>PRO10</v>
          </cell>
          <cell r="W1100">
            <v>0</v>
          </cell>
        </row>
        <row r="1101">
          <cell r="C1101" t="str">
            <v>EUE30MCFGPPA20</v>
          </cell>
          <cell r="D1101" t="str">
            <v>PRINC</v>
          </cell>
          <cell r="E1101" t="str">
            <v>00037</v>
          </cell>
          <cell r="F1101" t="str">
            <v>MODULOS Y PASADORES</v>
          </cell>
          <cell r="G1101" t="str">
            <v>PRINCIPAL</v>
          </cell>
          <cell r="H1101">
            <v>46004</v>
          </cell>
          <cell r="I1101" t="str">
            <v>SALDO INICIAL</v>
          </cell>
          <cell r="J1101">
            <v>2269</v>
          </cell>
          <cell r="K1101">
            <v>705.87768500000004</v>
          </cell>
          <cell r="L1101">
            <v>0.31109599999999998</v>
          </cell>
          <cell r="M1101">
            <v>0.31109637899999998</v>
          </cell>
          <cell r="N1101" t="str">
            <v/>
          </cell>
          <cell r="O1101" t="str">
            <v/>
          </cell>
          <cell r="P1101" t="str">
            <v/>
          </cell>
          <cell r="Q1101">
            <v>0</v>
          </cell>
          <cell r="R1101" t="str">
            <v>UND</v>
          </cell>
          <cell r="S1101">
            <v>0</v>
          </cell>
          <cell r="T1101">
            <v>0</v>
          </cell>
          <cell r="U1101" t="str">
            <v/>
          </cell>
          <cell r="V1101" t="str">
            <v>PRO10</v>
          </cell>
          <cell r="W1101">
            <v>0</v>
          </cell>
        </row>
        <row r="1102">
          <cell r="C1102" t="str">
            <v>EUE30MCFGPPA25</v>
          </cell>
          <cell r="D1102" t="str">
            <v>PRINC</v>
          </cell>
          <cell r="E1102" t="str">
            <v>00037</v>
          </cell>
          <cell r="F1102" t="str">
            <v>MODULOS Y PASADORES</v>
          </cell>
          <cell r="G1102" t="str">
            <v>PRINCIPAL</v>
          </cell>
          <cell r="H1102">
            <v>46004</v>
          </cell>
          <cell r="I1102" t="str">
            <v>SALDO INICIAL</v>
          </cell>
          <cell r="J1102">
            <v>317</v>
          </cell>
          <cell r="K1102">
            <v>108.089386</v>
          </cell>
          <cell r="L1102">
            <v>0.340976</v>
          </cell>
          <cell r="M1102">
            <v>0.34097598099999998</v>
          </cell>
          <cell r="N1102" t="str">
            <v/>
          </cell>
          <cell r="O1102" t="str">
            <v/>
          </cell>
          <cell r="P1102" t="str">
            <v/>
          </cell>
          <cell r="Q1102">
            <v>0</v>
          </cell>
          <cell r="R1102" t="str">
            <v>UND</v>
          </cell>
          <cell r="S1102">
            <v>0</v>
          </cell>
          <cell r="T1102">
            <v>0</v>
          </cell>
          <cell r="U1102" t="str">
            <v/>
          </cell>
          <cell r="V1102" t="str">
            <v>PRO10</v>
          </cell>
          <cell r="W1102">
            <v>0</v>
          </cell>
        </row>
        <row r="1103">
          <cell r="C1103" t="str">
            <v>EUE30MCFGPPA30</v>
          </cell>
          <cell r="D1103" t="str">
            <v>PRINC</v>
          </cell>
          <cell r="E1103" t="str">
            <v>00037</v>
          </cell>
          <cell r="F1103" t="str">
            <v>MODULOS Y PASADORES</v>
          </cell>
          <cell r="G1103" t="str">
            <v>PRINCIPAL</v>
          </cell>
          <cell r="H1103">
            <v>46004</v>
          </cell>
          <cell r="I1103" t="str">
            <v>SALDO INICIAL</v>
          </cell>
          <cell r="J1103">
            <v>464</v>
          </cell>
          <cell r="K1103">
            <v>210.113855</v>
          </cell>
          <cell r="L1103">
            <v>0.45283099999999998</v>
          </cell>
          <cell r="M1103">
            <v>0.45283158400000001</v>
          </cell>
          <cell r="N1103" t="str">
            <v/>
          </cell>
          <cell r="O1103" t="str">
            <v/>
          </cell>
          <cell r="P1103" t="str">
            <v/>
          </cell>
          <cell r="Q1103">
            <v>0</v>
          </cell>
          <cell r="R1103" t="str">
            <v>UND</v>
          </cell>
          <cell r="S1103">
            <v>0</v>
          </cell>
          <cell r="T1103">
            <v>0</v>
          </cell>
          <cell r="U1103" t="str">
            <v/>
          </cell>
          <cell r="V1103" t="str">
            <v>PRO10</v>
          </cell>
          <cell r="W1103">
            <v>0</v>
          </cell>
        </row>
        <row r="1104">
          <cell r="C1104" t="str">
            <v>EUE30MCFGPPA35</v>
          </cell>
          <cell r="D1104" t="str">
            <v>PRINC</v>
          </cell>
          <cell r="E1104" t="str">
            <v>00037</v>
          </cell>
          <cell r="F1104" t="str">
            <v>MODULOS Y PASADORES</v>
          </cell>
          <cell r="G1104" t="str">
            <v>PRINCIPAL</v>
          </cell>
          <cell r="H1104">
            <v>46004</v>
          </cell>
          <cell r="I1104" t="str">
            <v>SALDO INICIAL</v>
          </cell>
          <cell r="J1104">
            <v>115</v>
          </cell>
          <cell r="K1104">
            <v>53.672351999999997</v>
          </cell>
          <cell r="L1104">
            <v>0.46612300000000001</v>
          </cell>
          <cell r="M1104">
            <v>0.46671610400000002</v>
          </cell>
          <cell r="N1104" t="str">
            <v/>
          </cell>
          <cell r="O1104" t="str">
            <v/>
          </cell>
          <cell r="P1104" t="str">
            <v/>
          </cell>
          <cell r="Q1104">
            <v>0</v>
          </cell>
          <cell r="R1104" t="str">
            <v>UND</v>
          </cell>
          <cell r="S1104">
            <v>0</v>
          </cell>
          <cell r="T1104">
            <v>0</v>
          </cell>
          <cell r="U1104" t="str">
            <v/>
          </cell>
          <cell r="V1104" t="str">
            <v>PRO10</v>
          </cell>
          <cell r="W1104">
            <v>0</v>
          </cell>
        </row>
        <row r="1105">
          <cell r="C1105" t="str">
            <v>EUE30MCFGPPB15</v>
          </cell>
          <cell r="D1105" t="str">
            <v>PRINC</v>
          </cell>
          <cell r="E1105" t="str">
            <v>00037</v>
          </cell>
          <cell r="F1105" t="str">
            <v>MODULOS Y PASADORES</v>
          </cell>
          <cell r="G1105" t="str">
            <v>PRINCIPAL</v>
          </cell>
          <cell r="H1105">
            <v>46004</v>
          </cell>
          <cell r="I1105" t="str">
            <v>SALDO INICIAL</v>
          </cell>
          <cell r="J1105">
            <v>14</v>
          </cell>
          <cell r="K1105">
            <v>2.6961360000000001</v>
          </cell>
          <cell r="L1105">
            <v>0.192583</v>
          </cell>
          <cell r="M1105">
            <v>0.19258114300000001</v>
          </cell>
          <cell r="N1105" t="str">
            <v/>
          </cell>
          <cell r="O1105" t="str">
            <v/>
          </cell>
          <cell r="P1105" t="str">
            <v/>
          </cell>
          <cell r="Q1105">
            <v>0</v>
          </cell>
          <cell r="R1105" t="str">
            <v>UND</v>
          </cell>
          <cell r="S1105">
            <v>0</v>
          </cell>
          <cell r="T1105">
            <v>0</v>
          </cell>
          <cell r="U1105" t="str">
            <v/>
          </cell>
          <cell r="V1105" t="str">
            <v>PRO10</v>
          </cell>
          <cell r="W1105">
            <v>0</v>
          </cell>
        </row>
        <row r="1106">
          <cell r="C1106" t="str">
            <v>EUE30MFTPPA15</v>
          </cell>
          <cell r="D1106" t="str">
            <v>PRINC</v>
          </cell>
          <cell r="E1106" t="str">
            <v>00037</v>
          </cell>
          <cell r="F1106" t="str">
            <v>MODULOS Y PASADORES</v>
          </cell>
          <cell r="G1106" t="str">
            <v>PRINCIPAL</v>
          </cell>
          <cell r="H1106">
            <v>46004</v>
          </cell>
          <cell r="I1106" t="str">
            <v>SALDO INICIAL</v>
          </cell>
          <cell r="J1106">
            <v>616</v>
          </cell>
          <cell r="K1106">
            <v>227.15889000000001</v>
          </cell>
          <cell r="L1106">
            <v>0.36876500000000001</v>
          </cell>
          <cell r="M1106">
            <v>0.36876443199999998</v>
          </cell>
          <cell r="N1106" t="str">
            <v/>
          </cell>
          <cell r="O1106" t="str">
            <v/>
          </cell>
          <cell r="P1106" t="str">
            <v/>
          </cell>
          <cell r="Q1106">
            <v>0</v>
          </cell>
          <cell r="R1106" t="str">
            <v>UND</v>
          </cell>
          <cell r="S1106">
            <v>0</v>
          </cell>
          <cell r="T1106">
            <v>0</v>
          </cell>
          <cell r="U1106" t="str">
            <v/>
          </cell>
          <cell r="V1106" t="str">
            <v>PRO10</v>
          </cell>
          <cell r="W1106">
            <v>0</v>
          </cell>
        </row>
        <row r="1107">
          <cell r="C1107" t="str">
            <v>EUE30MCFTPPA20</v>
          </cell>
          <cell r="D1107" t="str">
            <v>PRINC</v>
          </cell>
          <cell r="E1107" t="str">
            <v>00037</v>
          </cell>
          <cell r="F1107" t="str">
            <v>MODULOS Y PASADORES</v>
          </cell>
          <cell r="G1107" t="str">
            <v>PRINCIPAL</v>
          </cell>
          <cell r="H1107">
            <v>46004</v>
          </cell>
          <cell r="I1107" t="str">
            <v>SALDO INICIAL</v>
          </cell>
          <cell r="J1107">
            <v>2</v>
          </cell>
          <cell r="K1107">
            <v>0.90367600000000003</v>
          </cell>
          <cell r="L1107">
            <v>0.45183800000000002</v>
          </cell>
          <cell r="M1107">
            <v>0.45183800000000002</v>
          </cell>
          <cell r="N1107" t="str">
            <v/>
          </cell>
          <cell r="O1107" t="str">
            <v/>
          </cell>
          <cell r="P1107" t="str">
            <v/>
          </cell>
          <cell r="Q1107">
            <v>0</v>
          </cell>
          <cell r="R1107" t="str">
            <v>UND</v>
          </cell>
          <cell r="S1107">
            <v>0</v>
          </cell>
          <cell r="T1107">
            <v>0</v>
          </cell>
          <cell r="U1107" t="str">
            <v/>
          </cell>
          <cell r="V1107" t="str">
            <v>PRO10</v>
          </cell>
          <cell r="W1107">
            <v>0</v>
          </cell>
        </row>
        <row r="1108">
          <cell r="C1108" t="str">
            <v>EUE30MCOGPEN20</v>
          </cell>
          <cell r="D1108" t="str">
            <v>PRINC</v>
          </cell>
          <cell r="E1108" t="str">
            <v>00037</v>
          </cell>
          <cell r="F1108" t="str">
            <v>MODULOS Y PASADORES</v>
          </cell>
          <cell r="G1108" t="str">
            <v>PRINCIPAL</v>
          </cell>
          <cell r="H1108">
            <v>46004</v>
          </cell>
          <cell r="I1108" t="str">
            <v>SALDO INICIAL</v>
          </cell>
          <cell r="J1108">
            <v>262</v>
          </cell>
          <cell r="K1108">
            <v>167.847204</v>
          </cell>
          <cell r="L1108">
            <v>0.63805299999999998</v>
          </cell>
          <cell r="M1108">
            <v>0.64063818299999997</v>
          </cell>
          <cell r="N1108" t="str">
            <v/>
          </cell>
          <cell r="O1108" t="str">
            <v/>
          </cell>
          <cell r="P1108" t="str">
            <v/>
          </cell>
          <cell r="Q1108">
            <v>0</v>
          </cell>
          <cell r="R1108" t="str">
            <v>UND</v>
          </cell>
          <cell r="S1108">
            <v>0</v>
          </cell>
          <cell r="T1108">
            <v>0</v>
          </cell>
          <cell r="U1108" t="str">
            <v/>
          </cell>
          <cell r="V1108" t="str">
            <v>PRO10</v>
          </cell>
          <cell r="W1108">
            <v>0</v>
          </cell>
        </row>
        <row r="1109">
          <cell r="C1109" t="str">
            <v>EUE30MCOGPPA20</v>
          </cell>
          <cell r="D1109" t="str">
            <v>PRINC</v>
          </cell>
          <cell r="E1109" t="str">
            <v>00037</v>
          </cell>
          <cell r="F1109" t="str">
            <v>MODULOS Y PASADORES</v>
          </cell>
          <cell r="G1109" t="str">
            <v>PRINCIPAL</v>
          </cell>
          <cell r="H1109">
            <v>46004</v>
          </cell>
          <cell r="I1109" t="str">
            <v>SALDO INICIAL</v>
          </cell>
          <cell r="J1109">
            <v>713</v>
          </cell>
          <cell r="K1109">
            <v>468.69929999999999</v>
          </cell>
          <cell r="L1109">
            <v>0.62512199999999996</v>
          </cell>
          <cell r="M1109">
            <v>0.65736227199999997</v>
          </cell>
          <cell r="N1109" t="str">
            <v/>
          </cell>
          <cell r="O1109" t="str">
            <v/>
          </cell>
          <cell r="P1109" t="str">
            <v/>
          </cell>
          <cell r="Q1109">
            <v>0</v>
          </cell>
          <cell r="R1109" t="str">
            <v>UND</v>
          </cell>
          <cell r="S1109">
            <v>0</v>
          </cell>
          <cell r="T1109">
            <v>0</v>
          </cell>
          <cell r="U1109" t="str">
            <v/>
          </cell>
          <cell r="V1109" t="str">
            <v>PRO10</v>
          </cell>
          <cell r="W1109">
            <v>0</v>
          </cell>
        </row>
        <row r="1110">
          <cell r="C1110" t="str">
            <v>EUE30MCOGPPB20</v>
          </cell>
          <cell r="D1110" t="str">
            <v>PRINC</v>
          </cell>
          <cell r="E1110" t="str">
            <v>00037</v>
          </cell>
          <cell r="F1110" t="str">
            <v>MODULOS Y PASADORES</v>
          </cell>
          <cell r="G1110" t="str">
            <v>PRINCIPAL</v>
          </cell>
          <cell r="H1110">
            <v>46004</v>
          </cell>
          <cell r="I1110" t="str">
            <v>SALDO INICIAL</v>
          </cell>
          <cell r="J1110">
            <v>1164</v>
          </cell>
          <cell r="K1110">
            <v>885.71620800000005</v>
          </cell>
          <cell r="L1110">
            <v>0.72250000000000003</v>
          </cell>
          <cell r="M1110">
            <v>0.76092457700000005</v>
          </cell>
          <cell r="N1110" t="str">
            <v/>
          </cell>
          <cell r="O1110" t="str">
            <v/>
          </cell>
          <cell r="P1110" t="str">
            <v/>
          </cell>
          <cell r="Q1110">
            <v>0</v>
          </cell>
          <cell r="R1110" t="str">
            <v>UND</v>
          </cell>
          <cell r="S1110">
            <v>0</v>
          </cell>
          <cell r="T1110">
            <v>0</v>
          </cell>
          <cell r="U1110" t="str">
            <v/>
          </cell>
          <cell r="V1110" t="str">
            <v>PRO10</v>
          </cell>
          <cell r="W1110">
            <v>0</v>
          </cell>
        </row>
        <row r="1111">
          <cell r="C1111" t="str">
            <v>EUE30MCRRPPG20</v>
          </cell>
          <cell r="D1111" t="str">
            <v>PRINC</v>
          </cell>
          <cell r="E1111" t="str">
            <v>00037</v>
          </cell>
          <cell r="F1111" t="str">
            <v>MODULOS Y PASADORES</v>
          </cell>
          <cell r="G1111" t="str">
            <v>PRINCIPAL</v>
          </cell>
          <cell r="H1111">
            <v>46004</v>
          </cell>
          <cell r="I1111" t="str">
            <v>SALDO INICIAL</v>
          </cell>
          <cell r="J1111">
            <v>246</v>
          </cell>
          <cell r="K1111">
            <v>163.491354</v>
          </cell>
          <cell r="L1111">
            <v>0.66459900000000005</v>
          </cell>
          <cell r="M1111">
            <v>0.66459900000000005</v>
          </cell>
          <cell r="N1111" t="str">
            <v/>
          </cell>
          <cell r="O1111" t="str">
            <v/>
          </cell>
          <cell r="P1111" t="str">
            <v/>
          </cell>
          <cell r="Q1111">
            <v>0</v>
          </cell>
          <cell r="R1111" t="str">
            <v>UND</v>
          </cell>
          <cell r="S1111">
            <v>0</v>
          </cell>
          <cell r="T1111">
            <v>0</v>
          </cell>
          <cell r="U1111" t="str">
            <v/>
          </cell>
          <cell r="V1111" t="str">
            <v>PRO10</v>
          </cell>
          <cell r="W1111">
            <v>0</v>
          </cell>
        </row>
        <row r="1112">
          <cell r="C1112" t="str">
            <v>EUE30MCTFPPB602</v>
          </cell>
          <cell r="D1112" t="str">
            <v>PRINC</v>
          </cell>
          <cell r="E1112" t="str">
            <v>00037</v>
          </cell>
          <cell r="F1112" t="str">
            <v>MODULOS Y PASADORES</v>
          </cell>
          <cell r="G1112" t="str">
            <v>PRINCIPAL</v>
          </cell>
          <cell r="H1112">
            <v>46004</v>
          </cell>
          <cell r="I1112" t="str">
            <v>SALDO INICIAL</v>
          </cell>
          <cell r="J1112">
            <v>674</v>
          </cell>
          <cell r="K1112">
            <v>814.72243400000002</v>
          </cell>
          <cell r="L1112">
            <v>1.2087870000000001</v>
          </cell>
          <cell r="M1112">
            <v>1.208786994</v>
          </cell>
          <cell r="N1112" t="str">
            <v>TRIAN FRICTION</v>
          </cell>
          <cell r="O1112" t="str">
            <v/>
          </cell>
          <cell r="P1112" t="str">
            <v/>
          </cell>
          <cell r="Q1112">
            <v>0</v>
          </cell>
          <cell r="R1112" t="str">
            <v>UND</v>
          </cell>
          <cell r="S1112">
            <v>0</v>
          </cell>
          <cell r="T1112">
            <v>0</v>
          </cell>
          <cell r="U1112" t="str">
            <v/>
          </cell>
          <cell r="V1112" t="str">
            <v>PRO10</v>
          </cell>
          <cell r="W1112">
            <v>0</v>
          </cell>
        </row>
        <row r="1113">
          <cell r="C1113" t="str">
            <v>EUE40MCFGPPG20</v>
          </cell>
          <cell r="D1113" t="str">
            <v>PRINC</v>
          </cell>
          <cell r="E1113" t="str">
            <v>00037</v>
          </cell>
          <cell r="F1113" t="str">
            <v>MODULOS Y PASADORES</v>
          </cell>
          <cell r="G1113" t="str">
            <v>PRINCIPAL</v>
          </cell>
          <cell r="H1113">
            <v>46004</v>
          </cell>
          <cell r="I1113" t="str">
            <v>SALDO INICIAL</v>
          </cell>
          <cell r="J1113">
            <v>1337</v>
          </cell>
          <cell r="K1113">
            <v>972.52176699999995</v>
          </cell>
          <cell r="L1113">
            <v>0.72739100000000001</v>
          </cell>
          <cell r="M1113">
            <v>0.72739100000000001</v>
          </cell>
          <cell r="N1113" t="str">
            <v/>
          </cell>
          <cell r="O1113" t="str">
            <v/>
          </cell>
          <cell r="P1113" t="str">
            <v/>
          </cell>
          <cell r="Q1113">
            <v>0</v>
          </cell>
          <cell r="R1113" t="str">
            <v>UND</v>
          </cell>
          <cell r="S1113">
            <v>0</v>
          </cell>
          <cell r="T1113">
            <v>0</v>
          </cell>
          <cell r="U1113" t="str">
            <v/>
          </cell>
          <cell r="V1113" t="str">
            <v>PRO10</v>
          </cell>
          <cell r="W1113">
            <v>0</v>
          </cell>
        </row>
        <row r="1114">
          <cell r="C1114" t="str">
            <v>EUE41MCRRPPG20</v>
          </cell>
          <cell r="D1114" t="str">
            <v>PRINC</v>
          </cell>
          <cell r="E1114" t="str">
            <v>00037</v>
          </cell>
          <cell r="F1114" t="str">
            <v>MODULOS Y PASADORES</v>
          </cell>
          <cell r="G1114" t="str">
            <v>PRINCIPAL</v>
          </cell>
          <cell r="H1114">
            <v>46004</v>
          </cell>
          <cell r="I1114" t="str">
            <v>SALDO INICIAL</v>
          </cell>
          <cell r="J1114">
            <v>62</v>
          </cell>
          <cell r="K1114">
            <v>58.663708999999997</v>
          </cell>
          <cell r="L1114">
            <v>0.94618899999999995</v>
          </cell>
          <cell r="M1114">
            <v>0.94618885500000005</v>
          </cell>
          <cell r="N1114" t="str">
            <v/>
          </cell>
          <cell r="O1114" t="str">
            <v/>
          </cell>
          <cell r="P1114" t="str">
            <v/>
          </cell>
          <cell r="Q1114">
            <v>0</v>
          </cell>
          <cell r="R1114" t="str">
            <v>UND</v>
          </cell>
          <cell r="S1114">
            <v>0</v>
          </cell>
          <cell r="T1114">
            <v>0</v>
          </cell>
          <cell r="U1114" t="str">
            <v/>
          </cell>
          <cell r="V1114" t="str">
            <v>PRO10</v>
          </cell>
          <cell r="W1114">
            <v>0</v>
          </cell>
        </row>
        <row r="1115">
          <cell r="C1115" t="str">
            <v>EUE50MCFGPEA10</v>
          </cell>
          <cell r="D1115" t="str">
            <v>PRINC</v>
          </cell>
          <cell r="E1115" t="str">
            <v>00037</v>
          </cell>
          <cell r="F1115" t="str">
            <v>MODULOS Y PASADORES</v>
          </cell>
          <cell r="G1115" t="str">
            <v>PRINCIPAL</v>
          </cell>
          <cell r="H1115">
            <v>46004</v>
          </cell>
          <cell r="I1115" t="str">
            <v>SALDO INICIAL</v>
          </cell>
          <cell r="J1115">
            <v>105</v>
          </cell>
          <cell r="K1115">
            <v>264.78227600000002</v>
          </cell>
          <cell r="L1115">
            <v>0.84112100000000001</v>
          </cell>
          <cell r="M1115">
            <v>2.5217359620000002</v>
          </cell>
          <cell r="N1115" t="str">
            <v>CJA 144 UNDS</v>
          </cell>
          <cell r="O1115" t="str">
            <v/>
          </cell>
          <cell r="P1115" t="str">
            <v/>
          </cell>
          <cell r="Q1115">
            <v>0</v>
          </cell>
          <cell r="R1115" t="str">
            <v>UND</v>
          </cell>
          <cell r="S1115">
            <v>0</v>
          </cell>
          <cell r="T1115">
            <v>0</v>
          </cell>
          <cell r="U1115" t="str">
            <v/>
          </cell>
          <cell r="V1115" t="str">
            <v>PRO10</v>
          </cell>
          <cell r="W1115">
            <v>0</v>
          </cell>
        </row>
        <row r="1116">
          <cell r="C1116" t="str">
            <v>EUE50MCFGPPA10</v>
          </cell>
          <cell r="D1116" t="str">
            <v>PRINC</v>
          </cell>
          <cell r="E1116" t="str">
            <v>00037</v>
          </cell>
          <cell r="F1116" t="str">
            <v>MODULOS Y PASADORES</v>
          </cell>
          <cell r="G1116" t="str">
            <v>PRINCIPAL</v>
          </cell>
          <cell r="H1116">
            <v>46004</v>
          </cell>
          <cell r="I1116" t="str">
            <v>SALDO INICIAL</v>
          </cell>
          <cell r="J1116">
            <v>156</v>
          </cell>
          <cell r="K1116">
            <v>140.01507100000001</v>
          </cell>
          <cell r="L1116">
            <v>0.89769900000000002</v>
          </cell>
          <cell r="M1116">
            <v>0.89753250600000001</v>
          </cell>
          <cell r="N1116" t="str">
            <v/>
          </cell>
          <cell r="O1116" t="str">
            <v/>
          </cell>
          <cell r="P1116" t="str">
            <v/>
          </cell>
          <cell r="Q1116">
            <v>0</v>
          </cell>
          <cell r="R1116" t="str">
            <v>UND</v>
          </cell>
          <cell r="S1116">
            <v>0</v>
          </cell>
          <cell r="T1116">
            <v>0</v>
          </cell>
          <cell r="U1116" t="str">
            <v/>
          </cell>
          <cell r="V1116" t="str">
            <v>PRO10</v>
          </cell>
          <cell r="W1116">
            <v>0</v>
          </cell>
        </row>
        <row r="1117">
          <cell r="C1117" t="str">
            <v>EUE50MCFGPPB10</v>
          </cell>
          <cell r="D1117" t="str">
            <v>PRINC</v>
          </cell>
          <cell r="E1117" t="str">
            <v>00037</v>
          </cell>
          <cell r="F1117" t="str">
            <v>MODULOS Y PASADORES</v>
          </cell>
          <cell r="G1117" t="str">
            <v>PRINCIPAL</v>
          </cell>
          <cell r="H1117">
            <v>46004</v>
          </cell>
          <cell r="I1117" t="str">
            <v>SALDO INICIAL</v>
          </cell>
          <cell r="J1117">
            <v>935</v>
          </cell>
          <cell r="K1117">
            <v>939.32802100000004</v>
          </cell>
          <cell r="L1117">
            <v>0.84460800000000003</v>
          </cell>
          <cell r="M1117">
            <v>1.0046288990000001</v>
          </cell>
          <cell r="N1117" t="str">
            <v/>
          </cell>
          <cell r="O1117" t="str">
            <v/>
          </cell>
          <cell r="P1117" t="str">
            <v/>
          </cell>
          <cell r="Q1117">
            <v>0</v>
          </cell>
          <cell r="R1117" t="str">
            <v>UND</v>
          </cell>
          <cell r="S1117">
            <v>0</v>
          </cell>
          <cell r="T1117">
            <v>0</v>
          </cell>
          <cell r="U1117" t="str">
            <v/>
          </cell>
          <cell r="V1117" t="str">
            <v>PRO10</v>
          </cell>
          <cell r="W1117">
            <v>0</v>
          </cell>
        </row>
        <row r="1118">
          <cell r="C1118" t="str">
            <v>EUE50MCFGPPSC10</v>
          </cell>
          <cell r="D1118" t="str">
            <v>PRINC</v>
          </cell>
          <cell r="E1118" t="str">
            <v>00037</v>
          </cell>
          <cell r="F1118" t="str">
            <v>MODULOS Y PASADORES</v>
          </cell>
          <cell r="G1118" t="str">
            <v>PRINCIPAL</v>
          </cell>
          <cell r="H1118">
            <v>46004</v>
          </cell>
          <cell r="I1118" t="str">
            <v>SALDO INICIAL</v>
          </cell>
          <cell r="J1118">
            <v>131</v>
          </cell>
          <cell r="K1118">
            <v>160.39374100000001</v>
          </cell>
          <cell r="L1118">
            <v>1.2243809999999999</v>
          </cell>
          <cell r="M1118">
            <v>1.224379702</v>
          </cell>
          <cell r="N1118" t="str">
            <v/>
          </cell>
          <cell r="O1118" t="str">
            <v/>
          </cell>
          <cell r="P1118" t="str">
            <v/>
          </cell>
          <cell r="Q1118">
            <v>0</v>
          </cell>
          <cell r="R1118" t="str">
            <v>UND</v>
          </cell>
          <cell r="S1118">
            <v>0</v>
          </cell>
          <cell r="T1118">
            <v>0</v>
          </cell>
          <cell r="U1118" t="str">
            <v/>
          </cell>
          <cell r="V1118" t="str">
            <v>PRO10</v>
          </cell>
          <cell r="W1118">
            <v>0</v>
          </cell>
        </row>
        <row r="1119">
          <cell r="C1119" t="str">
            <v>EUE50MCFTPPA15</v>
          </cell>
          <cell r="D1119" t="str">
            <v>PRINC</v>
          </cell>
          <cell r="E1119" t="str">
            <v>00037</v>
          </cell>
          <cell r="F1119" t="str">
            <v>MODULOS Y PASADORES</v>
          </cell>
          <cell r="G1119" t="str">
            <v>PRINCIPAL</v>
          </cell>
          <cell r="H1119">
            <v>46004</v>
          </cell>
          <cell r="I1119" t="str">
            <v>SALDO INICIAL</v>
          </cell>
          <cell r="J1119">
            <v>175</v>
          </cell>
          <cell r="K1119">
            <v>146.93758700000001</v>
          </cell>
          <cell r="L1119">
            <v>0.83964300000000003</v>
          </cell>
          <cell r="M1119">
            <v>0.83964335400000001</v>
          </cell>
          <cell r="N1119" t="str">
            <v/>
          </cell>
          <cell r="O1119" t="str">
            <v/>
          </cell>
          <cell r="P1119" t="str">
            <v/>
          </cell>
          <cell r="Q1119">
            <v>0</v>
          </cell>
          <cell r="R1119" t="str">
            <v>UND</v>
          </cell>
          <cell r="S1119">
            <v>0</v>
          </cell>
          <cell r="T1119">
            <v>0</v>
          </cell>
          <cell r="U1119" t="str">
            <v/>
          </cell>
          <cell r="V1119" t="str">
            <v>PRO10</v>
          </cell>
          <cell r="W1119">
            <v>0</v>
          </cell>
        </row>
        <row r="1120">
          <cell r="C1120" t="str">
            <v>EUE50MCFTPPA10</v>
          </cell>
          <cell r="D1120" t="str">
            <v>PRINC</v>
          </cell>
          <cell r="E1120" t="str">
            <v>00037</v>
          </cell>
          <cell r="F1120" t="str">
            <v>MODULOS Y PASADORES</v>
          </cell>
          <cell r="G1120" t="str">
            <v>PRINCIPAL</v>
          </cell>
          <cell r="H1120">
            <v>46004</v>
          </cell>
          <cell r="I1120" t="str">
            <v>SALDO INICIAL</v>
          </cell>
          <cell r="J1120">
            <v>268</v>
          </cell>
          <cell r="K1120">
            <v>351.352824</v>
          </cell>
          <cell r="L1120">
            <v>1.311018</v>
          </cell>
          <cell r="M1120">
            <v>1.311018</v>
          </cell>
          <cell r="N1120" t="str">
            <v/>
          </cell>
          <cell r="O1120" t="str">
            <v/>
          </cell>
          <cell r="P1120" t="str">
            <v/>
          </cell>
          <cell r="Q1120">
            <v>0</v>
          </cell>
          <cell r="R1120" t="str">
            <v>UND</v>
          </cell>
          <cell r="S1120">
            <v>0</v>
          </cell>
          <cell r="T1120">
            <v>0</v>
          </cell>
          <cell r="U1120" t="str">
            <v/>
          </cell>
          <cell r="V1120" t="str">
            <v>PRO10</v>
          </cell>
          <cell r="W1120">
            <v>0</v>
          </cell>
        </row>
        <row r="1121">
          <cell r="C1121" t="str">
            <v>EUE50MCOGPPB10</v>
          </cell>
          <cell r="D1121" t="str">
            <v>PRINC</v>
          </cell>
          <cell r="E1121" t="str">
            <v>00037</v>
          </cell>
          <cell r="F1121" t="str">
            <v>MODULOS Y PASADORES</v>
          </cell>
          <cell r="G1121" t="str">
            <v>PRINCIPAL</v>
          </cell>
          <cell r="H1121">
            <v>46004</v>
          </cell>
          <cell r="I1121" t="str">
            <v>SALDO INICIAL</v>
          </cell>
          <cell r="J1121">
            <v>3344</v>
          </cell>
          <cell r="K1121">
            <v>2463.773905</v>
          </cell>
          <cell r="L1121">
            <v>0.73670000000000002</v>
          </cell>
          <cell r="M1121">
            <v>0.73677449299999997</v>
          </cell>
          <cell r="N1121" t="str">
            <v/>
          </cell>
          <cell r="O1121" t="str">
            <v/>
          </cell>
          <cell r="P1121" t="str">
            <v/>
          </cell>
          <cell r="Q1121">
            <v>0</v>
          </cell>
          <cell r="R1121" t="str">
            <v>UND</v>
          </cell>
          <cell r="S1121">
            <v>0</v>
          </cell>
          <cell r="T1121">
            <v>0</v>
          </cell>
          <cell r="U1121" t="str">
            <v/>
          </cell>
          <cell r="V1121" t="str">
            <v>PRO10</v>
          </cell>
          <cell r="W1121">
            <v>0</v>
          </cell>
        </row>
        <row r="1122">
          <cell r="C1122" t="str">
            <v>EUE50MCOHPPB10</v>
          </cell>
          <cell r="D1122" t="str">
            <v>PRINC</v>
          </cell>
          <cell r="E1122" t="str">
            <v>00037</v>
          </cell>
          <cell r="F1122" t="str">
            <v>MODULOS Y PASADORES</v>
          </cell>
          <cell r="G1122" t="str">
            <v>PRINCIPAL</v>
          </cell>
          <cell r="H1122">
            <v>46004</v>
          </cell>
          <cell r="I1122" t="str">
            <v>SALDO INICIAL</v>
          </cell>
          <cell r="J1122">
            <v>2854</v>
          </cell>
          <cell r="K1122">
            <v>4826.3994000000002</v>
          </cell>
          <cell r="L1122">
            <v>1.6911</v>
          </cell>
          <cell r="M1122">
            <v>1.6911</v>
          </cell>
          <cell r="N1122" t="str">
            <v/>
          </cell>
          <cell r="O1122" t="str">
            <v/>
          </cell>
          <cell r="P1122" t="str">
            <v/>
          </cell>
          <cell r="Q1122">
            <v>2.5299999999999998</v>
          </cell>
          <cell r="R1122" t="str">
            <v>UND</v>
          </cell>
          <cell r="S1122">
            <v>0</v>
          </cell>
          <cell r="T1122">
            <v>0</v>
          </cell>
          <cell r="U1122" t="str">
            <v/>
          </cell>
          <cell r="V1122" t="str">
            <v>PRO10</v>
          </cell>
          <cell r="W1122">
            <v>0</v>
          </cell>
        </row>
        <row r="1123">
          <cell r="C1123" t="str">
            <v>EUE92MCFFPPB601</v>
          </cell>
          <cell r="D1123" t="str">
            <v>PRINC</v>
          </cell>
          <cell r="E1123" t="str">
            <v>00037</v>
          </cell>
          <cell r="F1123" t="str">
            <v>MODULOS Y PASADORES</v>
          </cell>
          <cell r="G1123" t="str">
            <v>PRINCIPAL</v>
          </cell>
          <cell r="H1123">
            <v>46004</v>
          </cell>
          <cell r="I1123" t="str">
            <v>SALDO INICIAL</v>
          </cell>
          <cell r="J1123">
            <v>124</v>
          </cell>
          <cell r="K1123">
            <v>340.22053599999998</v>
          </cell>
          <cell r="L1123">
            <v>2.7437140000000002</v>
          </cell>
          <cell r="M1123">
            <v>2.7437140000000002</v>
          </cell>
          <cell r="N1123" t="str">
            <v/>
          </cell>
          <cell r="O1123" t="str">
            <v/>
          </cell>
          <cell r="P1123" t="str">
            <v/>
          </cell>
          <cell r="Q1123">
            <v>0</v>
          </cell>
          <cell r="R1123" t="str">
            <v>UND</v>
          </cell>
          <cell r="S1123">
            <v>0</v>
          </cell>
          <cell r="T1123">
            <v>0</v>
          </cell>
          <cell r="U1123" t="str">
            <v/>
          </cell>
          <cell r="V1123" t="str">
            <v>PRO10</v>
          </cell>
          <cell r="W1123">
            <v>0</v>
          </cell>
        </row>
        <row r="1124">
          <cell r="C1124" t="str">
            <v>EUE925MCFGPPA5</v>
          </cell>
          <cell r="D1124" t="str">
            <v>PRINC</v>
          </cell>
          <cell r="E1124" t="str">
            <v>00037</v>
          </cell>
          <cell r="F1124" t="str">
            <v>MODULOS Y PASADORES</v>
          </cell>
          <cell r="G1124" t="str">
            <v>PRINCIPAL</v>
          </cell>
          <cell r="H1124">
            <v>46004</v>
          </cell>
          <cell r="I1124" t="str">
            <v>SALDO INICIAL</v>
          </cell>
          <cell r="J1124">
            <v>1600</v>
          </cell>
          <cell r="K1124">
            <v>658.49472000000003</v>
          </cell>
          <cell r="L1124">
            <v>0</v>
          </cell>
          <cell r="M1124">
            <v>0.41155920000000001</v>
          </cell>
          <cell r="N1124" t="str">
            <v/>
          </cell>
          <cell r="O1124" t="str">
            <v/>
          </cell>
          <cell r="P1124" t="str">
            <v/>
          </cell>
          <cell r="Q1124">
            <v>0</v>
          </cell>
          <cell r="R1124" t="str">
            <v>UND</v>
          </cell>
          <cell r="S1124">
            <v>0</v>
          </cell>
          <cell r="T1124">
            <v>0</v>
          </cell>
          <cell r="U1124" t="str">
            <v/>
          </cell>
          <cell r="V1124" t="str">
            <v>PRO10</v>
          </cell>
          <cell r="W1124">
            <v>0</v>
          </cell>
        </row>
        <row r="1125">
          <cell r="C1125" t="str">
            <v>EUE92MCFGPPA10</v>
          </cell>
          <cell r="D1125" t="str">
            <v>PRINC</v>
          </cell>
          <cell r="E1125" t="str">
            <v>00037</v>
          </cell>
          <cell r="F1125" t="str">
            <v>MODULOS Y PASADORES</v>
          </cell>
          <cell r="G1125" t="str">
            <v>PRINCIPAL</v>
          </cell>
          <cell r="H1125">
            <v>46004</v>
          </cell>
          <cell r="I1125" t="str">
            <v>SALDO INICIAL</v>
          </cell>
          <cell r="J1125">
            <v>4326</v>
          </cell>
          <cell r="K1125">
            <v>3009.3502079999998</v>
          </cell>
          <cell r="L1125">
            <v>0.69245000000000001</v>
          </cell>
          <cell r="M1125">
            <v>0.69564267400000002</v>
          </cell>
          <cell r="N1125" t="str">
            <v/>
          </cell>
          <cell r="O1125" t="str">
            <v/>
          </cell>
          <cell r="P1125" t="str">
            <v/>
          </cell>
          <cell r="Q1125">
            <v>0</v>
          </cell>
          <cell r="R1125" t="str">
            <v>UND</v>
          </cell>
          <cell r="S1125">
            <v>0</v>
          </cell>
          <cell r="T1125">
            <v>0</v>
          </cell>
          <cell r="U1125" t="str">
            <v/>
          </cell>
          <cell r="V1125" t="str">
            <v>PRO10</v>
          </cell>
          <cell r="W1125">
            <v>0</v>
          </cell>
        </row>
        <row r="1126">
          <cell r="C1126" t="str">
            <v>EUE92MCFGPPB10</v>
          </cell>
          <cell r="D1126" t="str">
            <v>PRINC</v>
          </cell>
          <cell r="E1126" t="str">
            <v>00037</v>
          </cell>
          <cell r="F1126" t="str">
            <v>MODULOS Y PASADORES</v>
          </cell>
          <cell r="G1126" t="str">
            <v>PRINCIPAL</v>
          </cell>
          <cell r="H1126">
            <v>46004</v>
          </cell>
          <cell r="I1126" t="str">
            <v>SALDO INICIAL</v>
          </cell>
          <cell r="J1126">
            <v>644</v>
          </cell>
          <cell r="K1126">
            <v>349.37</v>
          </cell>
          <cell r="L1126">
            <v>0.54249999999999998</v>
          </cell>
          <cell r="M1126">
            <v>0.54249999999999998</v>
          </cell>
          <cell r="N1126" t="str">
            <v/>
          </cell>
          <cell r="O1126" t="str">
            <v/>
          </cell>
          <cell r="P1126" t="str">
            <v/>
          </cell>
          <cell r="Q1126">
            <v>0</v>
          </cell>
          <cell r="R1126" t="str">
            <v>UND</v>
          </cell>
          <cell r="S1126">
            <v>0</v>
          </cell>
          <cell r="T1126">
            <v>0</v>
          </cell>
          <cell r="U1126" t="str">
            <v/>
          </cell>
          <cell r="V1126" t="str">
            <v>PRO10</v>
          </cell>
          <cell r="W1126">
            <v>0</v>
          </cell>
        </row>
        <row r="1127">
          <cell r="C1127" t="str">
            <v>EUE93MCCFXAN8</v>
          </cell>
          <cell r="D1127" t="str">
            <v>PRINC</v>
          </cell>
          <cell r="E1127" t="str">
            <v>00037</v>
          </cell>
          <cell r="F1127" t="str">
            <v>MODULOS Y PASADORES</v>
          </cell>
          <cell r="G1127" t="str">
            <v>PRINCIPAL</v>
          </cell>
          <cell r="H1127">
            <v>46004</v>
          </cell>
          <cell r="I1127" t="str">
            <v>SALDO INICIAL</v>
          </cell>
          <cell r="J1127">
            <v>182</v>
          </cell>
          <cell r="K1127">
            <v>258.36007699999999</v>
          </cell>
          <cell r="L1127">
            <v>1.3231900000000001</v>
          </cell>
          <cell r="M1127">
            <v>1.4195608630000001</v>
          </cell>
          <cell r="N1127" t="str">
            <v/>
          </cell>
          <cell r="O1127" t="str">
            <v/>
          </cell>
          <cell r="P1127" t="str">
            <v/>
          </cell>
          <cell r="Q1127">
            <v>0</v>
          </cell>
          <cell r="R1127" t="str">
            <v>UND</v>
          </cell>
          <cell r="S1127">
            <v>0</v>
          </cell>
          <cell r="T1127">
            <v>0</v>
          </cell>
          <cell r="U1127" t="str">
            <v/>
          </cell>
          <cell r="V1127" t="str">
            <v>PRO10</v>
          </cell>
          <cell r="W1127">
            <v>0</v>
          </cell>
        </row>
        <row r="1128">
          <cell r="C1128" t="str">
            <v>EUE93MCFGACA8</v>
          </cell>
          <cell r="D1128" t="str">
            <v>PRINC</v>
          </cell>
          <cell r="E1128" t="str">
            <v>00037</v>
          </cell>
          <cell r="F1128" t="str">
            <v>MODULOS Y PASADORES</v>
          </cell>
          <cell r="G1128" t="str">
            <v>PRINCIPAL</v>
          </cell>
          <cell r="H1128">
            <v>46004</v>
          </cell>
          <cell r="I1128" t="str">
            <v>SALDO INICIAL</v>
          </cell>
          <cell r="J1128">
            <v>497</v>
          </cell>
          <cell r="K1128">
            <v>490.10578099999998</v>
          </cell>
          <cell r="L1128">
            <v>0.92748799999999998</v>
          </cell>
          <cell r="M1128">
            <v>0.98612833200000005</v>
          </cell>
          <cell r="N1128" t="str">
            <v/>
          </cell>
          <cell r="O1128" t="str">
            <v/>
          </cell>
          <cell r="P1128" t="str">
            <v/>
          </cell>
          <cell r="Q1128">
            <v>0</v>
          </cell>
          <cell r="R1128" t="str">
            <v>UND</v>
          </cell>
          <cell r="S1128">
            <v>0</v>
          </cell>
          <cell r="T1128">
            <v>0</v>
          </cell>
          <cell r="U1128" t="str">
            <v/>
          </cell>
          <cell r="V1128" t="str">
            <v>PRO10</v>
          </cell>
          <cell r="W1128">
            <v>0</v>
          </cell>
        </row>
        <row r="1129">
          <cell r="C1129" t="str">
            <v>EUE93MCFGPPA8</v>
          </cell>
          <cell r="D1129" t="str">
            <v>PRINC</v>
          </cell>
          <cell r="E1129" t="str">
            <v>00037</v>
          </cell>
          <cell r="F1129" t="str">
            <v>MODULOS Y PASADORES</v>
          </cell>
          <cell r="G1129" t="str">
            <v>PRINCIPAL</v>
          </cell>
          <cell r="H1129">
            <v>46004</v>
          </cell>
          <cell r="I1129" t="str">
            <v>SALDO INICIAL</v>
          </cell>
          <cell r="J1129">
            <v>4106</v>
          </cell>
          <cell r="K1129">
            <v>2512.247832</v>
          </cell>
          <cell r="L1129">
            <v>0.60023400000000005</v>
          </cell>
          <cell r="M1129">
            <v>0.61184798600000001</v>
          </cell>
          <cell r="N1129" t="str">
            <v/>
          </cell>
          <cell r="O1129" t="str">
            <v/>
          </cell>
          <cell r="P1129" t="str">
            <v/>
          </cell>
          <cell r="Q1129">
            <v>0</v>
          </cell>
          <cell r="R1129" t="str">
            <v>UND</v>
          </cell>
          <cell r="S1129">
            <v>0</v>
          </cell>
          <cell r="T1129">
            <v>0</v>
          </cell>
          <cell r="U1129" t="str">
            <v/>
          </cell>
          <cell r="V1129" t="str">
            <v>PRO10</v>
          </cell>
          <cell r="W1129">
            <v>0</v>
          </cell>
        </row>
        <row r="1130">
          <cell r="C1130" t="str">
            <v>EUE93MCFGPPB8</v>
          </cell>
          <cell r="D1130" t="str">
            <v>PRINC</v>
          </cell>
          <cell r="E1130" t="str">
            <v>00037</v>
          </cell>
          <cell r="F1130" t="str">
            <v>MODULOS Y PASADORES</v>
          </cell>
          <cell r="G1130" t="str">
            <v>PRINCIPAL</v>
          </cell>
          <cell r="H1130">
            <v>46004</v>
          </cell>
          <cell r="I1130" t="str">
            <v>SALDO INICIAL</v>
          </cell>
          <cell r="J1130">
            <v>706</v>
          </cell>
          <cell r="K1130">
            <v>422.736808</v>
          </cell>
          <cell r="L1130">
            <v>0.56020700000000001</v>
          </cell>
          <cell r="M1130">
            <v>0.59877734800000004</v>
          </cell>
          <cell r="N1130" t="str">
            <v/>
          </cell>
          <cell r="O1130" t="str">
            <v/>
          </cell>
          <cell r="P1130" t="str">
            <v/>
          </cell>
          <cell r="Q1130">
            <v>0</v>
          </cell>
          <cell r="R1130" t="str">
            <v>UND</v>
          </cell>
          <cell r="S1130">
            <v>0</v>
          </cell>
          <cell r="T1130">
            <v>0</v>
          </cell>
          <cell r="U1130" t="str">
            <v/>
          </cell>
          <cell r="V1130" t="str">
            <v>PRO10</v>
          </cell>
          <cell r="W1130">
            <v>0</v>
          </cell>
        </row>
        <row r="1131">
          <cell r="C1131" t="str">
            <v>EUA24MTFTPPB10</v>
          </cell>
          <cell r="D1131" t="str">
            <v>PRINC</v>
          </cell>
          <cell r="E1131" t="str">
            <v>00037</v>
          </cell>
          <cell r="F1131" t="str">
            <v>MODULOS Y PASADORES</v>
          </cell>
          <cell r="G1131" t="str">
            <v>PRINCIPAL</v>
          </cell>
          <cell r="H1131">
            <v>46004</v>
          </cell>
          <cell r="I1131" t="str">
            <v>SALDO INICIAL</v>
          </cell>
          <cell r="J1131">
            <v>4116</v>
          </cell>
          <cell r="K1131">
            <v>1922.140099</v>
          </cell>
          <cell r="L1131">
            <v>0.46699200000000002</v>
          </cell>
          <cell r="M1131">
            <v>0.46699225</v>
          </cell>
          <cell r="N1131" t="str">
            <v/>
          </cell>
          <cell r="O1131" t="str">
            <v/>
          </cell>
          <cell r="P1131" t="str">
            <v/>
          </cell>
          <cell r="Q1131">
            <v>0</v>
          </cell>
          <cell r="R1131" t="str">
            <v>UND</v>
          </cell>
          <cell r="S1131">
            <v>0</v>
          </cell>
          <cell r="T1131">
            <v>0</v>
          </cell>
          <cell r="U1131" t="str">
            <v/>
          </cell>
          <cell r="V1131" t="str">
            <v>PRO10</v>
          </cell>
          <cell r="W1131">
            <v>0</v>
          </cell>
        </row>
        <row r="1132">
          <cell r="C1132" t="str">
            <v>EUA24MTFTPPB20</v>
          </cell>
          <cell r="D1132" t="str">
            <v>PRINC</v>
          </cell>
          <cell r="E1132" t="str">
            <v>00037</v>
          </cell>
          <cell r="F1132" t="str">
            <v>MODULOS Y PASADORES</v>
          </cell>
          <cell r="G1132" t="str">
            <v>PRINCIPAL</v>
          </cell>
          <cell r="H1132">
            <v>46004</v>
          </cell>
          <cell r="I1132" t="str">
            <v>SALDO INICIAL</v>
          </cell>
          <cell r="J1132">
            <v>1143</v>
          </cell>
          <cell r="K1132">
            <v>766.040886</v>
          </cell>
          <cell r="L1132">
            <v>0.67020199999999996</v>
          </cell>
          <cell r="M1132">
            <v>0.67020199999999996</v>
          </cell>
          <cell r="N1132" t="str">
            <v/>
          </cell>
          <cell r="O1132" t="str">
            <v/>
          </cell>
          <cell r="P1132" t="str">
            <v/>
          </cell>
          <cell r="Q1132">
            <v>0</v>
          </cell>
          <cell r="R1132" t="str">
            <v>UND</v>
          </cell>
          <cell r="S1132">
            <v>0</v>
          </cell>
          <cell r="T1132">
            <v>0</v>
          </cell>
          <cell r="U1132" t="str">
            <v/>
          </cell>
          <cell r="V1132" t="str">
            <v>PRO10</v>
          </cell>
          <cell r="W1132">
            <v>0</v>
          </cell>
        </row>
        <row r="1133">
          <cell r="C1133" t="str">
            <v>EUB50MTFGPPA5</v>
          </cell>
          <cell r="D1133" t="str">
            <v>PRINC</v>
          </cell>
          <cell r="E1133" t="str">
            <v>00037</v>
          </cell>
          <cell r="F1133" t="str">
            <v>MODULOS Y PASADORES</v>
          </cell>
          <cell r="G1133" t="str">
            <v>PRINCIPAL</v>
          </cell>
          <cell r="H1133">
            <v>46004</v>
          </cell>
          <cell r="I1133" t="str">
            <v>SALDO INICIAL</v>
          </cell>
          <cell r="J1133">
            <v>574</v>
          </cell>
          <cell r="K1133">
            <v>553.38762399999996</v>
          </cell>
          <cell r="L1133">
            <v>0.96409</v>
          </cell>
          <cell r="M1133">
            <v>0.96408993700000001</v>
          </cell>
          <cell r="N1133" t="str">
            <v/>
          </cell>
          <cell r="O1133" t="str">
            <v/>
          </cell>
          <cell r="P1133" t="str">
            <v/>
          </cell>
          <cell r="Q1133">
            <v>0</v>
          </cell>
          <cell r="R1133" t="str">
            <v>UND</v>
          </cell>
          <cell r="S1133">
            <v>0</v>
          </cell>
          <cell r="T1133">
            <v>0</v>
          </cell>
          <cell r="U1133" t="str">
            <v/>
          </cell>
          <cell r="V1133" t="str">
            <v>PRO10</v>
          </cell>
          <cell r="W1133">
            <v>0</v>
          </cell>
        </row>
        <row r="1134">
          <cell r="C1134" t="str">
            <v>EUB50MTFGPPA10</v>
          </cell>
          <cell r="D1134" t="str">
            <v>PRINC</v>
          </cell>
          <cell r="E1134" t="str">
            <v>00037</v>
          </cell>
          <cell r="F1134" t="str">
            <v>MODULOS Y PASADORES</v>
          </cell>
          <cell r="G1134" t="str">
            <v>PRINCIPAL</v>
          </cell>
          <cell r="H1134">
            <v>46004</v>
          </cell>
          <cell r="I1134" t="str">
            <v>SALDO INICIAL</v>
          </cell>
          <cell r="J1134">
            <v>112</v>
          </cell>
          <cell r="K1134">
            <v>97.899088000000006</v>
          </cell>
          <cell r="L1134">
            <v>0.87409899999999996</v>
          </cell>
          <cell r="M1134">
            <v>0.87409899999999996</v>
          </cell>
          <cell r="N1134" t="str">
            <v/>
          </cell>
          <cell r="O1134" t="str">
            <v/>
          </cell>
          <cell r="P1134" t="str">
            <v/>
          </cell>
          <cell r="Q1134">
            <v>0</v>
          </cell>
          <cell r="R1134" t="str">
            <v>UND</v>
          </cell>
          <cell r="S1134">
            <v>0</v>
          </cell>
          <cell r="T1134">
            <v>0</v>
          </cell>
          <cell r="U1134" t="str">
            <v/>
          </cell>
          <cell r="V1134" t="str">
            <v>PRO10</v>
          </cell>
          <cell r="W1134">
            <v>0</v>
          </cell>
        </row>
        <row r="1135">
          <cell r="C1135" t="str">
            <v>EUB50MTFGPPB10</v>
          </cell>
          <cell r="D1135" t="str">
            <v>PRINC</v>
          </cell>
          <cell r="E1135" t="str">
            <v>00037</v>
          </cell>
          <cell r="F1135" t="str">
            <v>MODULOS Y PASADORES</v>
          </cell>
          <cell r="G1135" t="str">
            <v>PRINCIPAL</v>
          </cell>
          <cell r="H1135">
            <v>46004</v>
          </cell>
          <cell r="I1135" t="str">
            <v>SALDO INICIAL</v>
          </cell>
          <cell r="J1135">
            <v>124</v>
          </cell>
          <cell r="K1135">
            <v>112.642872</v>
          </cell>
          <cell r="L1135">
            <v>0.90841000000000005</v>
          </cell>
          <cell r="M1135">
            <v>0.90841025799999997</v>
          </cell>
          <cell r="N1135" t="str">
            <v/>
          </cell>
          <cell r="O1135" t="str">
            <v/>
          </cell>
          <cell r="P1135" t="str">
            <v/>
          </cell>
          <cell r="Q1135">
            <v>0</v>
          </cell>
          <cell r="R1135" t="str">
            <v>UND</v>
          </cell>
          <cell r="S1135">
            <v>0</v>
          </cell>
          <cell r="T1135">
            <v>0</v>
          </cell>
          <cell r="U1135" t="str">
            <v/>
          </cell>
          <cell r="V1135" t="str">
            <v>PRO10</v>
          </cell>
          <cell r="W1135">
            <v>0</v>
          </cell>
        </row>
        <row r="1136">
          <cell r="C1136" t="str">
            <v>EUB50MTFTACB10</v>
          </cell>
          <cell r="D1136" t="str">
            <v>PRINC</v>
          </cell>
          <cell r="E1136" t="str">
            <v>00037</v>
          </cell>
          <cell r="F1136" t="str">
            <v>MODULOS Y PASADORES</v>
          </cell>
          <cell r="G1136" t="str">
            <v>PRINCIPAL</v>
          </cell>
          <cell r="H1136">
            <v>46004</v>
          </cell>
          <cell r="I1136" t="str">
            <v>SALDO INICIAL</v>
          </cell>
          <cell r="J1136">
            <v>4</v>
          </cell>
          <cell r="K1136">
            <v>12.054478</v>
          </cell>
          <cell r="L1136">
            <v>3.0135529999999999</v>
          </cell>
          <cell r="M1136">
            <v>3.0136194999999999</v>
          </cell>
          <cell r="N1136" t="str">
            <v/>
          </cell>
          <cell r="O1136" t="str">
            <v/>
          </cell>
          <cell r="P1136" t="str">
            <v/>
          </cell>
          <cell r="Q1136">
            <v>0</v>
          </cell>
          <cell r="R1136" t="str">
            <v>UND</v>
          </cell>
          <cell r="S1136">
            <v>0</v>
          </cell>
          <cell r="T1136">
            <v>0</v>
          </cell>
          <cell r="U1136" t="str">
            <v/>
          </cell>
          <cell r="V1136" t="str">
            <v>PRO10</v>
          </cell>
          <cell r="W1136">
            <v>0</v>
          </cell>
        </row>
        <row r="1137">
          <cell r="C1137" t="str">
            <v>EUB50MTFTPPA5</v>
          </cell>
          <cell r="D1137" t="str">
            <v>PRINC</v>
          </cell>
          <cell r="E1137" t="str">
            <v>00037</v>
          </cell>
          <cell r="F1137" t="str">
            <v>MODULOS Y PASADORES</v>
          </cell>
          <cell r="G1137" t="str">
            <v>PRINCIPAL</v>
          </cell>
          <cell r="H1137">
            <v>46004</v>
          </cell>
          <cell r="I1137" t="str">
            <v>SALDO INICIAL</v>
          </cell>
          <cell r="J1137">
            <v>572</v>
          </cell>
          <cell r="K1137">
            <v>661.69017199999996</v>
          </cell>
          <cell r="L1137">
            <v>1.156801</v>
          </cell>
          <cell r="M1137">
            <v>1.156801</v>
          </cell>
          <cell r="N1137" t="str">
            <v/>
          </cell>
          <cell r="O1137" t="str">
            <v/>
          </cell>
          <cell r="P1137" t="str">
            <v/>
          </cell>
          <cell r="Q1137">
            <v>0</v>
          </cell>
          <cell r="R1137" t="str">
            <v>UND</v>
          </cell>
          <cell r="S1137">
            <v>0</v>
          </cell>
          <cell r="T1137">
            <v>0</v>
          </cell>
          <cell r="U1137" t="str">
            <v/>
          </cell>
          <cell r="V1137" t="str">
            <v>PRO10</v>
          </cell>
          <cell r="W1137">
            <v>0</v>
          </cell>
        </row>
        <row r="1138">
          <cell r="C1138" t="str">
            <v>EUB50MTFTPPA10</v>
          </cell>
          <cell r="D1138" t="str">
            <v>PRINC</v>
          </cell>
          <cell r="E1138" t="str">
            <v>00037</v>
          </cell>
          <cell r="F1138" t="str">
            <v>MODULOS Y PASADORES</v>
          </cell>
          <cell r="G1138" t="str">
            <v>PRINCIPAL</v>
          </cell>
          <cell r="H1138">
            <v>46004</v>
          </cell>
          <cell r="I1138" t="str">
            <v>SALDO INICIAL</v>
          </cell>
          <cell r="J1138">
            <v>286</v>
          </cell>
          <cell r="K1138">
            <v>379.60894400000001</v>
          </cell>
          <cell r="L1138">
            <v>1.327304</v>
          </cell>
          <cell r="M1138">
            <v>1.327304</v>
          </cell>
          <cell r="N1138" t="str">
            <v/>
          </cell>
          <cell r="O1138" t="str">
            <v/>
          </cell>
          <cell r="P1138" t="str">
            <v/>
          </cell>
          <cell r="Q1138">
            <v>0</v>
          </cell>
          <cell r="R1138" t="str">
            <v>UND</v>
          </cell>
          <cell r="S1138">
            <v>0</v>
          </cell>
          <cell r="T1138">
            <v>0</v>
          </cell>
          <cell r="U1138" t="str">
            <v/>
          </cell>
          <cell r="V1138" t="str">
            <v>PRO10</v>
          </cell>
          <cell r="W1138">
            <v>0</v>
          </cell>
        </row>
        <row r="1139">
          <cell r="C1139" t="str">
            <v>EUB50MTFTPPB5</v>
          </cell>
          <cell r="D1139" t="str">
            <v>PRINC</v>
          </cell>
          <cell r="E1139" t="str">
            <v>00037</v>
          </cell>
          <cell r="F1139" t="str">
            <v>MODULOS Y PASADORES</v>
          </cell>
          <cell r="G1139" t="str">
            <v>PRINCIPAL</v>
          </cell>
          <cell r="H1139">
            <v>46004</v>
          </cell>
          <cell r="I1139" t="str">
            <v>SALDO INICIAL</v>
          </cell>
          <cell r="J1139">
            <v>1653</v>
          </cell>
          <cell r="K1139">
            <v>1885.6134629999999</v>
          </cell>
          <cell r="L1139">
            <v>1.0000329999999999</v>
          </cell>
          <cell r="M1139">
            <v>1.1407219980000001</v>
          </cell>
          <cell r="N1139" t="str">
            <v/>
          </cell>
          <cell r="O1139" t="str">
            <v/>
          </cell>
          <cell r="P1139" t="str">
            <v/>
          </cell>
          <cell r="Q1139">
            <v>0</v>
          </cell>
          <cell r="R1139" t="str">
            <v>UND</v>
          </cell>
          <cell r="S1139">
            <v>0</v>
          </cell>
          <cell r="T1139">
            <v>0</v>
          </cell>
          <cell r="U1139" t="str">
            <v/>
          </cell>
          <cell r="V1139" t="str">
            <v>PRO10</v>
          </cell>
          <cell r="W1139">
            <v>0</v>
          </cell>
        </row>
        <row r="1140">
          <cell r="C1140" t="str">
            <v>EUB50MTFTPPB10</v>
          </cell>
          <cell r="D1140" t="str">
            <v>PRINC</v>
          </cell>
          <cell r="E1140" t="str">
            <v>00037</v>
          </cell>
          <cell r="F1140" t="str">
            <v>MODULOS Y PASADORES</v>
          </cell>
          <cell r="G1140" t="str">
            <v>PRINCIPAL</v>
          </cell>
          <cell r="H1140">
            <v>46004</v>
          </cell>
          <cell r="I1140" t="str">
            <v>SALDO INICIAL</v>
          </cell>
          <cell r="J1140">
            <v>1123</v>
          </cell>
          <cell r="K1140">
            <v>1413.3764189999999</v>
          </cell>
          <cell r="L1140">
            <v>1.150722</v>
          </cell>
          <cell r="M1140">
            <v>1.258572056</v>
          </cell>
          <cell r="N1140" t="str">
            <v/>
          </cell>
          <cell r="O1140" t="str">
            <v/>
          </cell>
          <cell r="P1140" t="str">
            <v/>
          </cell>
          <cell r="Q1140">
            <v>0</v>
          </cell>
          <cell r="R1140" t="str">
            <v>UND</v>
          </cell>
          <cell r="S1140">
            <v>0</v>
          </cell>
          <cell r="T1140">
            <v>0</v>
          </cell>
          <cell r="U1140" t="str">
            <v/>
          </cell>
          <cell r="V1140" t="str">
            <v>PRO10</v>
          </cell>
          <cell r="W1140">
            <v>0</v>
          </cell>
        </row>
        <row r="1141">
          <cell r="C1141" t="str">
            <v>EUC12MTFGACA8</v>
          </cell>
          <cell r="D1141" t="str">
            <v>PRINC</v>
          </cell>
          <cell r="E1141" t="str">
            <v>00037</v>
          </cell>
          <cell r="F1141" t="str">
            <v>MODULOS Y PASADORES</v>
          </cell>
          <cell r="G1141" t="str">
            <v>PRINCIPAL</v>
          </cell>
          <cell r="H1141">
            <v>46004</v>
          </cell>
          <cell r="I1141" t="str">
            <v>SALDO INICIAL</v>
          </cell>
          <cell r="J1141">
            <v>2446</v>
          </cell>
          <cell r="K1141">
            <v>1806.1081819999999</v>
          </cell>
          <cell r="L1141">
            <v>0.73305399999999998</v>
          </cell>
          <cell r="M1141">
            <v>0.73839255199999998</v>
          </cell>
          <cell r="N1141" t="str">
            <v/>
          </cell>
          <cell r="O1141" t="str">
            <v/>
          </cell>
          <cell r="P1141" t="str">
            <v/>
          </cell>
          <cell r="Q1141">
            <v>0</v>
          </cell>
          <cell r="R1141" t="str">
            <v>UND</v>
          </cell>
          <cell r="S1141">
            <v>0</v>
          </cell>
          <cell r="T1141">
            <v>0</v>
          </cell>
          <cell r="U1141" t="str">
            <v/>
          </cell>
          <cell r="V1141" t="str">
            <v>PRO10</v>
          </cell>
          <cell r="W1141">
            <v>0</v>
          </cell>
        </row>
        <row r="1142">
          <cell r="C1142" t="str">
            <v>EUC12MTFGPEA4</v>
          </cell>
          <cell r="D1142" t="str">
            <v>PRINC</v>
          </cell>
          <cell r="E1142" t="str">
            <v>00037</v>
          </cell>
          <cell r="F1142" t="str">
            <v>MODULOS Y PASADORES</v>
          </cell>
          <cell r="G1142" t="str">
            <v>PRINCIPAL</v>
          </cell>
          <cell r="H1142">
            <v>46004</v>
          </cell>
          <cell r="I1142" t="str">
            <v>SALDO INICIAL</v>
          </cell>
          <cell r="J1142">
            <v>2803.18</v>
          </cell>
          <cell r="K1142">
            <v>1301.7058870000001</v>
          </cell>
          <cell r="L1142">
            <v>0.46436699999999997</v>
          </cell>
          <cell r="M1142">
            <v>0.46436757099999998</v>
          </cell>
          <cell r="N1142" t="str">
            <v/>
          </cell>
          <cell r="O1142" t="str">
            <v/>
          </cell>
          <cell r="P1142" t="str">
            <v/>
          </cell>
          <cell r="Q1142">
            <v>0</v>
          </cell>
          <cell r="R1142" t="str">
            <v>UND</v>
          </cell>
          <cell r="S1142">
            <v>0</v>
          </cell>
          <cell r="T1142">
            <v>0</v>
          </cell>
          <cell r="U1142" t="str">
            <v/>
          </cell>
          <cell r="V1142" t="str">
            <v>PRO10</v>
          </cell>
          <cell r="W1142">
            <v>0</v>
          </cell>
        </row>
        <row r="1143">
          <cell r="C1143" t="str">
            <v>EUC12MTFGPEA8</v>
          </cell>
          <cell r="D1143" t="str">
            <v>PRINC</v>
          </cell>
          <cell r="E1143" t="str">
            <v>00037</v>
          </cell>
          <cell r="F1143" t="str">
            <v>MODULOS Y PASADORES</v>
          </cell>
          <cell r="G1143" t="str">
            <v>PRINCIPAL</v>
          </cell>
          <cell r="H1143">
            <v>46004</v>
          </cell>
          <cell r="I1143" t="str">
            <v>SALDO INICIAL</v>
          </cell>
          <cell r="J1143">
            <v>3481</v>
          </cell>
          <cell r="K1143">
            <v>1831.53386</v>
          </cell>
          <cell r="L1143">
            <v>0.52615199999999995</v>
          </cell>
          <cell r="M1143">
            <v>0.52615164000000003</v>
          </cell>
          <cell r="N1143" t="str">
            <v/>
          </cell>
          <cell r="O1143" t="str">
            <v/>
          </cell>
          <cell r="P1143" t="str">
            <v/>
          </cell>
          <cell r="Q1143">
            <v>0</v>
          </cell>
          <cell r="R1143" t="str">
            <v>UND</v>
          </cell>
          <cell r="S1143">
            <v>0</v>
          </cell>
          <cell r="T1143">
            <v>0</v>
          </cell>
          <cell r="U1143" t="str">
            <v/>
          </cell>
          <cell r="V1143" t="str">
            <v>PRO10</v>
          </cell>
          <cell r="W1143">
            <v>0</v>
          </cell>
        </row>
        <row r="1144">
          <cell r="C1144" t="str">
            <v>EUC12MTFGPEN4</v>
          </cell>
          <cell r="D1144" t="str">
            <v>PRINC</v>
          </cell>
          <cell r="E1144" t="str">
            <v>00037</v>
          </cell>
          <cell r="F1144" t="str">
            <v>MODULOS Y PASADORES</v>
          </cell>
          <cell r="G1144" t="str">
            <v>PRINCIPAL</v>
          </cell>
          <cell r="H1144">
            <v>46004</v>
          </cell>
          <cell r="I1144" t="str">
            <v>SALDO INICIAL</v>
          </cell>
          <cell r="J1144">
            <v>3150</v>
          </cell>
          <cell r="K1144">
            <v>1410.2550000000001</v>
          </cell>
          <cell r="L1144">
            <v>0.44769999999999999</v>
          </cell>
          <cell r="M1144">
            <v>0.44769999999999999</v>
          </cell>
          <cell r="N1144" t="str">
            <v/>
          </cell>
          <cell r="O1144" t="str">
            <v/>
          </cell>
          <cell r="P1144" t="str">
            <v/>
          </cell>
          <cell r="Q1144">
            <v>0</v>
          </cell>
          <cell r="R1144" t="str">
            <v>UND</v>
          </cell>
          <cell r="S1144">
            <v>0</v>
          </cell>
          <cell r="T1144">
            <v>0</v>
          </cell>
          <cell r="U1144" t="str">
            <v/>
          </cell>
          <cell r="V1144" t="str">
            <v>PRO10</v>
          </cell>
          <cell r="W1144">
            <v>0</v>
          </cell>
        </row>
        <row r="1145">
          <cell r="C1145" t="str">
            <v>EUC12MTFGPE8</v>
          </cell>
          <cell r="D1145" t="str">
            <v>PRINC</v>
          </cell>
          <cell r="E1145" t="str">
            <v>00037</v>
          </cell>
          <cell r="F1145" t="str">
            <v>MODULOS Y PASADORES</v>
          </cell>
          <cell r="G1145" t="str">
            <v>PRINCIPAL</v>
          </cell>
          <cell r="H1145">
            <v>46004</v>
          </cell>
          <cell r="I1145" t="str">
            <v>SALDO INICIAL</v>
          </cell>
          <cell r="J1145">
            <v>2275</v>
          </cell>
          <cell r="K1145">
            <v>1072.0431659999999</v>
          </cell>
          <cell r="L1145">
            <v>0.50660000000000005</v>
          </cell>
          <cell r="M1145">
            <v>0.47122776500000002</v>
          </cell>
          <cell r="N1145" t="str">
            <v/>
          </cell>
          <cell r="O1145" t="str">
            <v/>
          </cell>
          <cell r="P1145" t="str">
            <v/>
          </cell>
          <cell r="Q1145">
            <v>0</v>
          </cell>
          <cell r="R1145" t="str">
            <v>UND</v>
          </cell>
          <cell r="S1145">
            <v>0</v>
          </cell>
          <cell r="T1145">
            <v>0</v>
          </cell>
          <cell r="U1145" t="str">
            <v/>
          </cell>
          <cell r="V1145" t="str">
            <v>PRO10</v>
          </cell>
          <cell r="W1145">
            <v>0</v>
          </cell>
        </row>
        <row r="1146">
          <cell r="C1146" t="str">
            <v>EUC12MTFTACA8</v>
          </cell>
          <cell r="D1146" t="str">
            <v>PRINC</v>
          </cell>
          <cell r="E1146" t="str">
            <v>00037</v>
          </cell>
          <cell r="F1146" t="str">
            <v>MODULOS Y PASADORES</v>
          </cell>
          <cell r="G1146" t="str">
            <v>PRINCIPAL</v>
          </cell>
          <cell r="H1146">
            <v>46004</v>
          </cell>
          <cell r="I1146" t="str">
            <v>SALDO INICIAL</v>
          </cell>
          <cell r="J1146">
            <v>461</v>
          </cell>
          <cell r="K1146">
            <v>329.51410800000002</v>
          </cell>
          <cell r="L1146">
            <v>0.711978</v>
          </cell>
          <cell r="M1146">
            <v>0.71478114500000001</v>
          </cell>
          <cell r="N1146" t="str">
            <v/>
          </cell>
          <cell r="O1146" t="str">
            <v/>
          </cell>
          <cell r="P1146" t="str">
            <v/>
          </cell>
          <cell r="Q1146">
            <v>0</v>
          </cell>
          <cell r="R1146" t="str">
            <v>UND</v>
          </cell>
          <cell r="S1146">
            <v>0</v>
          </cell>
          <cell r="T1146">
            <v>0</v>
          </cell>
          <cell r="U1146" t="str">
            <v/>
          </cell>
          <cell r="V1146" t="str">
            <v>PRO10</v>
          </cell>
          <cell r="W1146">
            <v>0</v>
          </cell>
        </row>
        <row r="1147">
          <cell r="C1147" t="str">
            <v>EUC12MTFTPEN4</v>
          </cell>
          <cell r="D1147" t="str">
            <v>PRINC</v>
          </cell>
          <cell r="E1147" t="str">
            <v>00037</v>
          </cell>
          <cell r="F1147" t="str">
            <v>MODULOS Y PASADORES</v>
          </cell>
          <cell r="G1147" t="str">
            <v>PRINCIPAL</v>
          </cell>
          <cell r="H1147">
            <v>46004</v>
          </cell>
          <cell r="I1147" t="str">
            <v>SALDO INICIAL</v>
          </cell>
          <cell r="J1147">
            <v>1808</v>
          </cell>
          <cell r="K1147">
            <v>575.12480000000005</v>
          </cell>
          <cell r="L1147">
            <v>0.31809999999999999</v>
          </cell>
          <cell r="M1147">
            <v>0.31809999999999999</v>
          </cell>
          <cell r="N1147" t="str">
            <v/>
          </cell>
          <cell r="O1147" t="str">
            <v/>
          </cell>
          <cell r="P1147" t="str">
            <v/>
          </cell>
          <cell r="Q1147">
            <v>0</v>
          </cell>
          <cell r="R1147" t="str">
            <v>UND</v>
          </cell>
          <cell r="S1147">
            <v>0</v>
          </cell>
          <cell r="T1147">
            <v>0</v>
          </cell>
          <cell r="U1147" t="str">
            <v/>
          </cell>
          <cell r="V1147" t="str">
            <v>PRO10</v>
          </cell>
          <cell r="W1147">
            <v>0</v>
          </cell>
        </row>
        <row r="1148">
          <cell r="C1148" t="str">
            <v>EUC12MTFTPEN8</v>
          </cell>
          <cell r="D1148" t="str">
            <v>PRINC</v>
          </cell>
          <cell r="E1148" t="str">
            <v>00037</v>
          </cell>
          <cell r="F1148" t="str">
            <v>MODULOS Y PASADORES</v>
          </cell>
          <cell r="G1148" t="str">
            <v>PRINCIPAL</v>
          </cell>
          <cell r="H1148">
            <v>46004</v>
          </cell>
          <cell r="I1148" t="str">
            <v>SALDO INICIAL</v>
          </cell>
          <cell r="J1148">
            <v>5616</v>
          </cell>
          <cell r="K1148">
            <v>3631.2097389999999</v>
          </cell>
          <cell r="L1148">
            <v>0.64800000000000002</v>
          </cell>
          <cell r="M1148">
            <v>0.64658293099999997</v>
          </cell>
          <cell r="N1148" t="str">
            <v/>
          </cell>
          <cell r="O1148" t="str">
            <v/>
          </cell>
          <cell r="P1148" t="str">
            <v/>
          </cell>
          <cell r="Q1148">
            <v>0</v>
          </cell>
          <cell r="R1148" t="str">
            <v>UND</v>
          </cell>
          <cell r="S1148">
            <v>0</v>
          </cell>
          <cell r="T1148">
            <v>0</v>
          </cell>
          <cell r="U1148" t="str">
            <v/>
          </cell>
          <cell r="V1148" t="str">
            <v>PRO10</v>
          </cell>
          <cell r="W1148">
            <v>0</v>
          </cell>
        </row>
        <row r="1149">
          <cell r="C1149" t="str">
            <v>EUC12MTFTPEN2</v>
          </cell>
          <cell r="D1149" t="str">
            <v>PRINC</v>
          </cell>
          <cell r="E1149" t="str">
            <v>00037</v>
          </cell>
          <cell r="F1149" t="str">
            <v>MODULOS Y PASADORES</v>
          </cell>
          <cell r="G1149" t="str">
            <v>PRINCIPAL</v>
          </cell>
          <cell r="H1149">
            <v>46004</v>
          </cell>
          <cell r="I1149" t="str">
            <v>SALDO INICIAL</v>
          </cell>
          <cell r="J1149">
            <v>132</v>
          </cell>
          <cell r="K1149">
            <v>39.951515999999998</v>
          </cell>
          <cell r="L1149">
            <v>0</v>
          </cell>
          <cell r="M1149">
            <v>0.30266300000000002</v>
          </cell>
          <cell r="N1149" t="str">
            <v/>
          </cell>
          <cell r="O1149" t="str">
            <v/>
          </cell>
          <cell r="P1149" t="str">
            <v/>
          </cell>
          <cell r="Q1149">
            <v>0</v>
          </cell>
          <cell r="R1149" t="str">
            <v>UND</v>
          </cell>
          <cell r="S1149">
            <v>0</v>
          </cell>
          <cell r="T1149">
            <v>0</v>
          </cell>
          <cell r="U1149" t="str">
            <v/>
          </cell>
          <cell r="V1149" t="str">
            <v>PRO10</v>
          </cell>
          <cell r="W1149">
            <v>0</v>
          </cell>
        </row>
        <row r="1150">
          <cell r="C1150" t="str">
            <v>EUC12MTFTPPA8</v>
          </cell>
          <cell r="D1150" t="str">
            <v>PRINC</v>
          </cell>
          <cell r="E1150" t="str">
            <v>00037</v>
          </cell>
          <cell r="F1150" t="str">
            <v>MODULOS Y PASADORES</v>
          </cell>
          <cell r="G1150" t="str">
            <v>PRINCIPAL</v>
          </cell>
          <cell r="H1150">
            <v>46004</v>
          </cell>
          <cell r="I1150" t="str">
            <v>SALDO INICIAL</v>
          </cell>
          <cell r="J1150">
            <v>46</v>
          </cell>
          <cell r="K1150">
            <v>18.607316000000001</v>
          </cell>
          <cell r="L1150">
            <v>0.39823799999999998</v>
          </cell>
          <cell r="M1150">
            <v>0.40450687000000002</v>
          </cell>
          <cell r="N1150" t="str">
            <v/>
          </cell>
          <cell r="O1150" t="str">
            <v/>
          </cell>
          <cell r="P1150" t="str">
            <v/>
          </cell>
          <cell r="Q1150">
            <v>0</v>
          </cell>
          <cell r="R1150" t="str">
            <v>UND</v>
          </cell>
          <cell r="S1150">
            <v>0</v>
          </cell>
          <cell r="T1150">
            <v>0</v>
          </cell>
          <cell r="U1150" t="str">
            <v/>
          </cell>
          <cell r="V1150" t="str">
            <v>PRO10</v>
          </cell>
          <cell r="W1150">
            <v>0</v>
          </cell>
        </row>
        <row r="1151">
          <cell r="C1151" t="str">
            <v>EUE20MTFGPEA10</v>
          </cell>
          <cell r="D1151" t="str">
            <v>PRINC</v>
          </cell>
          <cell r="E1151" t="str">
            <v>00037</v>
          </cell>
          <cell r="F1151" t="str">
            <v>MODULOS Y PASADORES</v>
          </cell>
          <cell r="G1151" t="str">
            <v>PRINCIPAL</v>
          </cell>
          <cell r="H1151">
            <v>46004</v>
          </cell>
          <cell r="I1151" t="str">
            <v>SALDO INICIAL</v>
          </cell>
          <cell r="J1151">
            <v>2500</v>
          </cell>
          <cell r="K1151">
            <v>882.75</v>
          </cell>
          <cell r="L1151">
            <v>0.35310000000000002</v>
          </cell>
          <cell r="M1151">
            <v>0.35310000000000002</v>
          </cell>
          <cell r="N1151" t="str">
            <v/>
          </cell>
          <cell r="O1151" t="str">
            <v/>
          </cell>
          <cell r="P1151" t="str">
            <v/>
          </cell>
          <cell r="Q1151">
            <v>0</v>
          </cell>
          <cell r="R1151" t="str">
            <v>UND</v>
          </cell>
          <cell r="S1151">
            <v>0</v>
          </cell>
          <cell r="T1151">
            <v>0</v>
          </cell>
          <cell r="U1151" t="str">
            <v/>
          </cell>
          <cell r="V1151" t="str">
            <v>PRO10</v>
          </cell>
          <cell r="W1151">
            <v>0</v>
          </cell>
        </row>
        <row r="1152">
          <cell r="C1152" t="str">
            <v>EUE20MTFGPPA5</v>
          </cell>
          <cell r="D1152" t="str">
            <v>PRINC</v>
          </cell>
          <cell r="E1152" t="str">
            <v>00037</v>
          </cell>
          <cell r="F1152" t="str">
            <v>MODULOS Y PASADORES</v>
          </cell>
          <cell r="G1152" t="str">
            <v>PRINCIPAL</v>
          </cell>
          <cell r="H1152">
            <v>46004</v>
          </cell>
          <cell r="I1152" t="str">
            <v>SALDO INICIAL</v>
          </cell>
          <cell r="J1152">
            <v>1858</v>
          </cell>
          <cell r="K1152">
            <v>345.40219999999999</v>
          </cell>
          <cell r="L1152">
            <v>0.18590000000000001</v>
          </cell>
          <cell r="M1152">
            <v>0.18590000000000001</v>
          </cell>
          <cell r="N1152" t="str">
            <v/>
          </cell>
          <cell r="O1152" t="str">
            <v/>
          </cell>
          <cell r="P1152" t="str">
            <v/>
          </cell>
          <cell r="Q1152">
            <v>0</v>
          </cell>
          <cell r="R1152" t="str">
            <v>UND</v>
          </cell>
          <cell r="S1152">
            <v>0</v>
          </cell>
          <cell r="T1152">
            <v>0</v>
          </cell>
          <cell r="U1152" t="str">
            <v/>
          </cell>
          <cell r="V1152" t="str">
            <v>PRO10</v>
          </cell>
          <cell r="W1152">
            <v>0</v>
          </cell>
        </row>
        <row r="1153">
          <cell r="C1153" t="str">
            <v>EUE20MTFGPPA10</v>
          </cell>
          <cell r="D1153" t="str">
            <v>PRINC</v>
          </cell>
          <cell r="E1153" t="str">
            <v>00037</v>
          </cell>
          <cell r="F1153" t="str">
            <v>MODULOS Y PASADORES</v>
          </cell>
          <cell r="G1153" t="str">
            <v>PRINCIPAL</v>
          </cell>
          <cell r="H1153">
            <v>46004</v>
          </cell>
          <cell r="I1153" t="str">
            <v>SALDO INICIAL</v>
          </cell>
          <cell r="J1153">
            <v>82</v>
          </cell>
          <cell r="K1153">
            <v>17.5808</v>
          </cell>
          <cell r="L1153">
            <v>0.21440000000000001</v>
          </cell>
          <cell r="M1153">
            <v>0.21440000000000001</v>
          </cell>
          <cell r="N1153" t="str">
            <v/>
          </cell>
          <cell r="O1153" t="str">
            <v/>
          </cell>
          <cell r="P1153" t="str">
            <v/>
          </cell>
          <cell r="Q1153">
            <v>0</v>
          </cell>
          <cell r="R1153" t="str">
            <v>UND</v>
          </cell>
          <cell r="S1153">
            <v>0</v>
          </cell>
          <cell r="T1153">
            <v>0</v>
          </cell>
          <cell r="U1153" t="str">
            <v/>
          </cell>
          <cell r="V1153" t="str">
            <v>PRO10</v>
          </cell>
          <cell r="W1153">
            <v>0</v>
          </cell>
        </row>
        <row r="1154">
          <cell r="C1154" t="str">
            <v>EUE20MTFTPPA10</v>
          </cell>
          <cell r="D1154" t="str">
            <v>PRINC</v>
          </cell>
          <cell r="E1154" t="str">
            <v>00037</v>
          </cell>
          <cell r="F1154" t="str">
            <v>MODULOS Y PASADORES</v>
          </cell>
          <cell r="G1154" t="str">
            <v>PRINCIPAL</v>
          </cell>
          <cell r="H1154">
            <v>46004</v>
          </cell>
          <cell r="I1154" t="str">
            <v>SALDO INICIAL</v>
          </cell>
          <cell r="J1154">
            <v>422</v>
          </cell>
          <cell r="K1154">
            <v>153.29894400000001</v>
          </cell>
          <cell r="L1154">
            <v>0.35629100000000002</v>
          </cell>
          <cell r="M1154">
            <v>0.36326764</v>
          </cell>
          <cell r="N1154" t="str">
            <v/>
          </cell>
          <cell r="O1154" t="str">
            <v/>
          </cell>
          <cell r="P1154" t="str">
            <v/>
          </cell>
          <cell r="Q1154">
            <v>0</v>
          </cell>
          <cell r="R1154" t="str">
            <v>UND</v>
          </cell>
          <cell r="S1154">
            <v>0</v>
          </cell>
          <cell r="T1154">
            <v>0</v>
          </cell>
          <cell r="U1154" t="str">
            <v/>
          </cell>
          <cell r="V1154" t="str">
            <v>PRO10</v>
          </cell>
          <cell r="W1154">
            <v>0</v>
          </cell>
        </row>
        <row r="1155">
          <cell r="C1155" t="str">
            <v>EUE20MTRRPPG10</v>
          </cell>
          <cell r="D1155" t="str">
            <v>PRINC</v>
          </cell>
          <cell r="E1155" t="str">
            <v>00037</v>
          </cell>
          <cell r="F1155" t="str">
            <v>MODULOS Y PASADORES</v>
          </cell>
          <cell r="G1155" t="str">
            <v>PRINCIPAL</v>
          </cell>
          <cell r="H1155">
            <v>46004</v>
          </cell>
          <cell r="I1155" t="str">
            <v>SALDO INICIAL</v>
          </cell>
          <cell r="J1155">
            <v>800</v>
          </cell>
          <cell r="K1155">
            <v>352.96809999999999</v>
          </cell>
          <cell r="L1155">
            <v>0.57170900000000002</v>
          </cell>
          <cell r="M1155">
            <v>0.44121012500000001</v>
          </cell>
          <cell r="N1155" t="str">
            <v/>
          </cell>
          <cell r="O1155" t="str">
            <v/>
          </cell>
          <cell r="P1155" t="str">
            <v/>
          </cell>
          <cell r="Q1155">
            <v>0</v>
          </cell>
          <cell r="R1155" t="str">
            <v>UND</v>
          </cell>
          <cell r="S1155">
            <v>0</v>
          </cell>
          <cell r="T1155">
            <v>0</v>
          </cell>
          <cell r="U1155" t="str">
            <v/>
          </cell>
          <cell r="V1155" t="str">
            <v>PRO10</v>
          </cell>
          <cell r="W1155">
            <v>0</v>
          </cell>
        </row>
        <row r="1156">
          <cell r="C1156" t="str">
            <v>EUE30MTFGACA10</v>
          </cell>
          <cell r="D1156" t="str">
            <v>PRINC</v>
          </cell>
          <cell r="E1156" t="str">
            <v>00037</v>
          </cell>
          <cell r="F1156" t="str">
            <v>MODULOS Y PASADORES</v>
          </cell>
          <cell r="G1156" t="str">
            <v>PRINCIPAL</v>
          </cell>
          <cell r="H1156">
            <v>46004</v>
          </cell>
          <cell r="I1156" t="str">
            <v>SALDO INICIAL</v>
          </cell>
          <cell r="J1156">
            <v>1873</v>
          </cell>
          <cell r="K1156">
            <v>1021.82831</v>
          </cell>
          <cell r="L1156">
            <v>0.60422299999999995</v>
          </cell>
          <cell r="M1156">
            <v>0.545557026</v>
          </cell>
          <cell r="N1156" t="str">
            <v/>
          </cell>
          <cell r="O1156" t="str">
            <v/>
          </cell>
          <cell r="P1156" t="str">
            <v/>
          </cell>
          <cell r="Q1156">
            <v>0</v>
          </cell>
          <cell r="R1156" t="str">
            <v>UND</v>
          </cell>
          <cell r="S1156">
            <v>0</v>
          </cell>
          <cell r="T1156">
            <v>0</v>
          </cell>
          <cell r="U1156" t="str">
            <v/>
          </cell>
          <cell r="V1156" t="str">
            <v>PRO10</v>
          </cell>
          <cell r="W1156">
            <v>0</v>
          </cell>
        </row>
        <row r="1157">
          <cell r="C1157" t="str">
            <v>EUE30MTFFGACA20</v>
          </cell>
          <cell r="D1157" t="str">
            <v>PRINC</v>
          </cell>
          <cell r="E1157" t="str">
            <v>00037</v>
          </cell>
          <cell r="F1157" t="str">
            <v>MODULOS Y PASADORES</v>
          </cell>
          <cell r="G1157" t="str">
            <v>PRINCIPAL</v>
          </cell>
          <cell r="H1157">
            <v>46004</v>
          </cell>
          <cell r="I1157" t="str">
            <v>SALDO INICIAL</v>
          </cell>
          <cell r="J1157">
            <v>2310</v>
          </cell>
          <cell r="K1157">
            <v>1601.668226</v>
          </cell>
          <cell r="L1157">
            <v>0.64717499999999994</v>
          </cell>
          <cell r="M1157">
            <v>0.69336286800000002</v>
          </cell>
          <cell r="N1157" t="str">
            <v/>
          </cell>
          <cell r="O1157" t="str">
            <v/>
          </cell>
          <cell r="P1157" t="str">
            <v/>
          </cell>
          <cell r="Q1157">
            <v>0</v>
          </cell>
          <cell r="R1157" t="str">
            <v>UND</v>
          </cell>
          <cell r="S1157">
            <v>0</v>
          </cell>
          <cell r="T1157">
            <v>0</v>
          </cell>
          <cell r="U1157" t="str">
            <v/>
          </cell>
          <cell r="V1157" t="str">
            <v>PRO10</v>
          </cell>
          <cell r="W1157">
            <v>0</v>
          </cell>
        </row>
        <row r="1158">
          <cell r="C1158" t="str">
            <v>EUE30MTFFGACA30</v>
          </cell>
          <cell r="D1158" t="str">
            <v>PRINC</v>
          </cell>
          <cell r="E1158" t="str">
            <v>00037</v>
          </cell>
          <cell r="F1158" t="str">
            <v>MODULOS Y PASADORES</v>
          </cell>
          <cell r="G1158" t="str">
            <v>PRINCIPAL</v>
          </cell>
          <cell r="H1158">
            <v>46004</v>
          </cell>
          <cell r="I1158" t="str">
            <v>SALDO INICIAL</v>
          </cell>
          <cell r="J1158">
            <v>1113</v>
          </cell>
          <cell r="K1158">
            <v>1177.163149</v>
          </cell>
          <cell r="L1158">
            <v>1.0159419999999999</v>
          </cell>
          <cell r="M1158">
            <v>1.0576488310000001</v>
          </cell>
          <cell r="N1158" t="str">
            <v/>
          </cell>
          <cell r="O1158" t="str">
            <v/>
          </cell>
          <cell r="P1158" t="str">
            <v/>
          </cell>
          <cell r="Q1158">
            <v>0</v>
          </cell>
          <cell r="R1158" t="str">
            <v>UND</v>
          </cell>
          <cell r="S1158">
            <v>0</v>
          </cell>
          <cell r="T1158">
            <v>0</v>
          </cell>
          <cell r="U1158" t="str">
            <v/>
          </cell>
          <cell r="V1158" t="str">
            <v>PRO10</v>
          </cell>
          <cell r="W1158">
            <v>0</v>
          </cell>
        </row>
        <row r="1159">
          <cell r="C1159" t="str">
            <v>EUE30MTFFGACA40</v>
          </cell>
          <cell r="D1159" t="str">
            <v>PRINC</v>
          </cell>
          <cell r="E1159" t="str">
            <v>00037</v>
          </cell>
          <cell r="F1159" t="str">
            <v>MODULOS Y PASADORES</v>
          </cell>
          <cell r="G1159" t="str">
            <v>PRINCIPAL</v>
          </cell>
          <cell r="H1159">
            <v>46004</v>
          </cell>
          <cell r="I1159" t="str">
            <v>SALDO INICIAL</v>
          </cell>
          <cell r="J1159">
            <v>16</v>
          </cell>
          <cell r="K1159">
            <v>-114.46035000000001</v>
          </cell>
          <cell r="L1159">
            <v>0.97770400000000002</v>
          </cell>
          <cell r="M1159">
            <v>-7.1537718750000003</v>
          </cell>
          <cell r="N1159" t="str">
            <v/>
          </cell>
          <cell r="O1159" t="str">
            <v/>
          </cell>
          <cell r="P1159" t="str">
            <v/>
          </cell>
          <cell r="Q1159">
            <v>0</v>
          </cell>
          <cell r="R1159" t="str">
            <v>UND</v>
          </cell>
          <cell r="S1159">
            <v>0</v>
          </cell>
          <cell r="T1159">
            <v>0</v>
          </cell>
          <cell r="U1159" t="str">
            <v/>
          </cell>
          <cell r="V1159" t="str">
            <v>PRO10</v>
          </cell>
          <cell r="W1159">
            <v>0</v>
          </cell>
        </row>
        <row r="1160">
          <cell r="C1160" t="str">
            <v>EUE30MTFGACA5</v>
          </cell>
          <cell r="D1160" t="str">
            <v>PRINC</v>
          </cell>
          <cell r="E1160" t="str">
            <v>00037</v>
          </cell>
          <cell r="F1160" t="str">
            <v>MODULOS Y PASADORES</v>
          </cell>
          <cell r="G1160" t="str">
            <v>PRINCIPAL</v>
          </cell>
          <cell r="H1160">
            <v>46004</v>
          </cell>
          <cell r="I1160" t="str">
            <v>SALDO INICIAL</v>
          </cell>
          <cell r="J1160">
            <v>3745</v>
          </cell>
          <cell r="K1160">
            <v>1491.2891549999999</v>
          </cell>
          <cell r="L1160">
            <v>0.40832299999999999</v>
          </cell>
          <cell r="M1160">
            <v>0.39820805199999998</v>
          </cell>
          <cell r="N1160" t="str">
            <v/>
          </cell>
          <cell r="O1160" t="str">
            <v/>
          </cell>
          <cell r="P1160" t="str">
            <v/>
          </cell>
          <cell r="Q1160">
            <v>0</v>
          </cell>
          <cell r="R1160" t="str">
            <v>UND</v>
          </cell>
          <cell r="S1160">
            <v>0</v>
          </cell>
          <cell r="T1160">
            <v>0</v>
          </cell>
          <cell r="U1160" t="str">
            <v/>
          </cell>
          <cell r="V1160" t="str">
            <v>PRO10</v>
          </cell>
          <cell r="W1160">
            <v>0</v>
          </cell>
        </row>
        <row r="1161">
          <cell r="C1161" t="str">
            <v>EUE30MTFGPEN10</v>
          </cell>
          <cell r="D1161" t="str">
            <v>PRINC</v>
          </cell>
          <cell r="E1161" t="str">
            <v>00037</v>
          </cell>
          <cell r="F1161" t="str">
            <v>MODULOS Y PASADORES</v>
          </cell>
          <cell r="G1161" t="str">
            <v>PRINCIPAL</v>
          </cell>
          <cell r="H1161">
            <v>46004</v>
          </cell>
          <cell r="I1161" t="str">
            <v>SALDO INICIAL</v>
          </cell>
          <cell r="J1161">
            <v>3376</v>
          </cell>
          <cell r="K1161">
            <v>1215.6325609999999</v>
          </cell>
          <cell r="L1161">
            <v>0.36010999999999999</v>
          </cell>
          <cell r="M1161">
            <v>0.36008073499999999</v>
          </cell>
          <cell r="N1161" t="str">
            <v/>
          </cell>
          <cell r="O1161" t="str">
            <v/>
          </cell>
          <cell r="P1161" t="str">
            <v/>
          </cell>
          <cell r="Q1161">
            <v>0</v>
          </cell>
          <cell r="R1161" t="str">
            <v>UND</v>
          </cell>
          <cell r="S1161">
            <v>0</v>
          </cell>
          <cell r="T1161">
            <v>0</v>
          </cell>
          <cell r="U1161" t="str">
            <v/>
          </cell>
          <cell r="V1161" t="str">
            <v>PRO10</v>
          </cell>
          <cell r="W1161">
            <v>0</v>
          </cell>
        </row>
        <row r="1162">
          <cell r="C1162" t="str">
            <v>EUE30MTFGPEN20</v>
          </cell>
          <cell r="D1162" t="str">
            <v>PRINC</v>
          </cell>
          <cell r="E1162" t="str">
            <v>00037</v>
          </cell>
          <cell r="F1162" t="str">
            <v>MODULOS Y PASADORES</v>
          </cell>
          <cell r="G1162" t="str">
            <v>PRINCIPAL</v>
          </cell>
          <cell r="H1162">
            <v>46004</v>
          </cell>
          <cell r="I1162" t="str">
            <v>SALDO INICIAL</v>
          </cell>
          <cell r="J1162">
            <v>843</v>
          </cell>
          <cell r="K1162">
            <v>268.00318399999998</v>
          </cell>
          <cell r="L1162">
            <v>0.31728400000000001</v>
          </cell>
          <cell r="M1162">
            <v>0.31791599500000001</v>
          </cell>
          <cell r="N1162" t="str">
            <v/>
          </cell>
          <cell r="O1162" t="str">
            <v/>
          </cell>
          <cell r="P1162" t="str">
            <v/>
          </cell>
          <cell r="Q1162">
            <v>0</v>
          </cell>
          <cell r="R1162" t="str">
            <v>UND</v>
          </cell>
          <cell r="S1162">
            <v>0</v>
          </cell>
          <cell r="T1162">
            <v>0</v>
          </cell>
          <cell r="U1162" t="str">
            <v/>
          </cell>
          <cell r="V1162" t="str">
            <v>PRO10</v>
          </cell>
          <cell r="W1162">
            <v>0</v>
          </cell>
        </row>
        <row r="1163">
          <cell r="C1163" t="str">
            <v>EUE30MTFGPEN30</v>
          </cell>
          <cell r="D1163" t="str">
            <v>PRINC</v>
          </cell>
          <cell r="E1163" t="str">
            <v>00037</v>
          </cell>
          <cell r="F1163" t="str">
            <v>MODULOS Y PASADORES</v>
          </cell>
          <cell r="G1163" t="str">
            <v>PRINCIPAL</v>
          </cell>
          <cell r="H1163">
            <v>46004</v>
          </cell>
          <cell r="I1163" t="str">
            <v>SALDO INICIAL</v>
          </cell>
          <cell r="J1163">
            <v>138</v>
          </cell>
          <cell r="K1163">
            <v>149.64742000000001</v>
          </cell>
          <cell r="L1163">
            <v>0.48014299999999999</v>
          </cell>
          <cell r="M1163">
            <v>1.084401594</v>
          </cell>
          <cell r="N1163" t="str">
            <v/>
          </cell>
          <cell r="O1163" t="str">
            <v/>
          </cell>
          <cell r="P1163" t="str">
            <v/>
          </cell>
          <cell r="Q1163">
            <v>0</v>
          </cell>
          <cell r="R1163" t="str">
            <v>UND</v>
          </cell>
          <cell r="S1163">
            <v>0</v>
          </cell>
          <cell r="T1163">
            <v>0</v>
          </cell>
          <cell r="U1163" t="str">
            <v/>
          </cell>
          <cell r="V1163" t="str">
            <v>PRO10</v>
          </cell>
          <cell r="W1163">
            <v>0</v>
          </cell>
        </row>
        <row r="1164">
          <cell r="C1164" t="str">
            <v>EUE30MTFGPEN40</v>
          </cell>
          <cell r="D1164" t="str">
            <v>PRINC</v>
          </cell>
          <cell r="E1164" t="str">
            <v>00037</v>
          </cell>
          <cell r="F1164" t="str">
            <v>MODULOS Y PASADORES</v>
          </cell>
          <cell r="G1164" t="str">
            <v>PRINCIPAL</v>
          </cell>
          <cell r="H1164">
            <v>46004</v>
          </cell>
          <cell r="I1164" t="str">
            <v>SALDO INICIAL</v>
          </cell>
          <cell r="J1164">
            <v>1227</v>
          </cell>
          <cell r="K1164">
            <v>764.93654000000004</v>
          </cell>
          <cell r="L1164">
            <v>0.62097599999999997</v>
          </cell>
          <cell r="M1164">
            <v>0.62342016300000003</v>
          </cell>
          <cell r="N1164" t="str">
            <v/>
          </cell>
          <cell r="O1164" t="str">
            <v/>
          </cell>
          <cell r="P1164" t="str">
            <v/>
          </cell>
          <cell r="Q1164">
            <v>0</v>
          </cell>
          <cell r="R1164" t="str">
            <v>UND</v>
          </cell>
          <cell r="S1164">
            <v>0</v>
          </cell>
          <cell r="T1164">
            <v>0</v>
          </cell>
          <cell r="U1164" t="str">
            <v/>
          </cell>
          <cell r="V1164" t="str">
            <v>PRO10</v>
          </cell>
          <cell r="W1164">
            <v>0</v>
          </cell>
        </row>
        <row r="1165">
          <cell r="C1165" t="str">
            <v>EUE30MTFGPEN5</v>
          </cell>
          <cell r="D1165" t="str">
            <v>PRINC</v>
          </cell>
          <cell r="E1165" t="str">
            <v>00037</v>
          </cell>
          <cell r="F1165" t="str">
            <v>MODULOS Y PASADORES</v>
          </cell>
          <cell r="G1165" t="str">
            <v>PRINCIPAL</v>
          </cell>
          <cell r="H1165">
            <v>46004</v>
          </cell>
          <cell r="I1165" t="str">
            <v>SALDO INICIAL</v>
          </cell>
          <cell r="J1165">
            <v>166</v>
          </cell>
          <cell r="K1165">
            <v>58.261749000000002</v>
          </cell>
          <cell r="L1165">
            <v>0.35097600000000001</v>
          </cell>
          <cell r="M1165">
            <v>0.35097439200000002</v>
          </cell>
          <cell r="N1165" t="str">
            <v/>
          </cell>
          <cell r="O1165" t="str">
            <v/>
          </cell>
          <cell r="P1165" t="str">
            <v/>
          </cell>
          <cell r="Q1165">
            <v>0</v>
          </cell>
          <cell r="R1165" t="str">
            <v>UND</v>
          </cell>
          <cell r="S1165">
            <v>0</v>
          </cell>
          <cell r="T1165">
            <v>0</v>
          </cell>
          <cell r="U1165" t="str">
            <v/>
          </cell>
          <cell r="V1165" t="str">
            <v>PRO10</v>
          </cell>
          <cell r="W1165">
            <v>0</v>
          </cell>
        </row>
        <row r="1166">
          <cell r="C1166" t="str">
            <v>EUE30MTFGPPA10</v>
          </cell>
          <cell r="D1166" t="str">
            <v>PRINC</v>
          </cell>
          <cell r="E1166" t="str">
            <v>00037</v>
          </cell>
          <cell r="F1166" t="str">
            <v>MODULOS Y PASADORES</v>
          </cell>
          <cell r="G1166" t="str">
            <v>PRINCIPAL</v>
          </cell>
          <cell r="H1166">
            <v>46004</v>
          </cell>
          <cell r="I1166" t="str">
            <v>SALDO INICIAL</v>
          </cell>
          <cell r="J1166">
            <v>600</v>
          </cell>
          <cell r="K1166">
            <v>177.72973200000001</v>
          </cell>
          <cell r="L1166">
            <v>0.2989</v>
          </cell>
          <cell r="M1166">
            <v>0.29621621999999997</v>
          </cell>
          <cell r="N1166" t="str">
            <v/>
          </cell>
          <cell r="O1166" t="str">
            <v/>
          </cell>
          <cell r="P1166" t="str">
            <v/>
          </cell>
          <cell r="Q1166">
            <v>0</v>
          </cell>
          <cell r="R1166" t="str">
            <v>UND</v>
          </cell>
          <cell r="S1166">
            <v>0</v>
          </cell>
          <cell r="T1166">
            <v>0</v>
          </cell>
          <cell r="U1166" t="str">
            <v/>
          </cell>
          <cell r="V1166" t="str">
            <v>PRO10</v>
          </cell>
          <cell r="W1166">
            <v>0</v>
          </cell>
        </row>
        <row r="1167">
          <cell r="C1167" t="str">
            <v>EUE30MTFFGPPA20</v>
          </cell>
          <cell r="D1167" t="str">
            <v>PRINC</v>
          </cell>
          <cell r="E1167" t="str">
            <v>00037</v>
          </cell>
          <cell r="F1167" t="str">
            <v>MODULOS Y PASADORES</v>
          </cell>
          <cell r="G1167" t="str">
            <v>PRINCIPAL</v>
          </cell>
          <cell r="H1167">
            <v>46004</v>
          </cell>
          <cell r="I1167" t="str">
            <v>SALDO INICIAL</v>
          </cell>
          <cell r="J1167">
            <v>684</v>
          </cell>
          <cell r="K1167">
            <v>411.12157500000001</v>
          </cell>
          <cell r="L1167">
            <v>0.37360100000000002</v>
          </cell>
          <cell r="M1167">
            <v>0.60105493399999999</v>
          </cell>
          <cell r="N1167" t="str">
            <v/>
          </cell>
          <cell r="O1167" t="str">
            <v/>
          </cell>
          <cell r="P1167" t="str">
            <v/>
          </cell>
          <cell r="Q1167">
            <v>0</v>
          </cell>
          <cell r="R1167" t="str">
            <v>UND</v>
          </cell>
          <cell r="S1167">
            <v>0</v>
          </cell>
          <cell r="T1167">
            <v>0</v>
          </cell>
          <cell r="U1167" t="str">
            <v/>
          </cell>
          <cell r="V1167" t="str">
            <v>PRO10</v>
          </cell>
          <cell r="W1167">
            <v>0</v>
          </cell>
        </row>
        <row r="1168">
          <cell r="C1168" t="str">
            <v>EUE30MTFFGPPA30</v>
          </cell>
          <cell r="D1168" t="str">
            <v>PRINC</v>
          </cell>
          <cell r="E1168" t="str">
            <v>00037</v>
          </cell>
          <cell r="F1168" t="str">
            <v>MODULOS Y PASADORES</v>
          </cell>
          <cell r="G1168" t="str">
            <v>PRINCIPAL</v>
          </cell>
          <cell r="H1168">
            <v>46004</v>
          </cell>
          <cell r="I1168" t="str">
            <v>SALDO INICIAL</v>
          </cell>
          <cell r="J1168">
            <v>91</v>
          </cell>
          <cell r="K1168">
            <v>50.429219000000003</v>
          </cell>
          <cell r="L1168">
            <v>0.51514800000000005</v>
          </cell>
          <cell r="M1168">
            <v>0.554167242</v>
          </cell>
          <cell r="N1168" t="str">
            <v>CJA 232 UNDS</v>
          </cell>
          <cell r="O1168" t="str">
            <v/>
          </cell>
          <cell r="P1168" t="str">
            <v/>
          </cell>
          <cell r="Q1168">
            <v>0</v>
          </cell>
          <cell r="R1168" t="str">
            <v>UND</v>
          </cell>
          <cell r="S1168">
            <v>0</v>
          </cell>
          <cell r="T1168">
            <v>0</v>
          </cell>
          <cell r="U1168" t="str">
            <v/>
          </cell>
          <cell r="V1168" t="str">
            <v>PRO10</v>
          </cell>
          <cell r="W1168">
            <v>0</v>
          </cell>
        </row>
        <row r="1169">
          <cell r="C1169" t="str">
            <v>EUE30MTFFGPPA40</v>
          </cell>
          <cell r="D1169" t="str">
            <v>PRINC</v>
          </cell>
          <cell r="E1169" t="str">
            <v>00037</v>
          </cell>
          <cell r="F1169" t="str">
            <v>MODULOS Y PASADORES</v>
          </cell>
          <cell r="G1169" t="str">
            <v>PRINCIPAL</v>
          </cell>
          <cell r="H1169">
            <v>46004</v>
          </cell>
          <cell r="I1169" t="str">
            <v>SALDO INICIAL</v>
          </cell>
          <cell r="J1169">
            <v>83</v>
          </cell>
          <cell r="K1169">
            <v>95.400553000000002</v>
          </cell>
          <cell r="L1169">
            <v>0.653277</v>
          </cell>
          <cell r="M1169">
            <v>1.1494042529999999</v>
          </cell>
          <cell r="N1169" t="str">
            <v/>
          </cell>
          <cell r="O1169" t="str">
            <v/>
          </cell>
          <cell r="P1169" t="str">
            <v/>
          </cell>
          <cell r="Q1169">
            <v>0</v>
          </cell>
          <cell r="R1169" t="str">
            <v>UND</v>
          </cell>
          <cell r="S1169">
            <v>0</v>
          </cell>
          <cell r="T1169">
            <v>0</v>
          </cell>
          <cell r="U1169" t="str">
            <v/>
          </cell>
          <cell r="V1169" t="str">
            <v>PRO10</v>
          </cell>
          <cell r="W1169">
            <v>0</v>
          </cell>
        </row>
        <row r="1170">
          <cell r="C1170" t="str">
            <v>EUE30MTFGPPA5</v>
          </cell>
          <cell r="D1170" t="str">
            <v>PRINC</v>
          </cell>
          <cell r="E1170" t="str">
            <v>00037</v>
          </cell>
          <cell r="F1170" t="str">
            <v>MODULOS Y PASADORES</v>
          </cell>
          <cell r="G1170" t="str">
            <v>PRINCIPAL</v>
          </cell>
          <cell r="H1170">
            <v>46004</v>
          </cell>
          <cell r="I1170" t="str">
            <v>SALDO INICIAL</v>
          </cell>
          <cell r="J1170">
            <v>0</v>
          </cell>
          <cell r="K1170">
            <v>11.694398</v>
          </cell>
          <cell r="L1170">
            <v>0.25569999999999998</v>
          </cell>
          <cell r="M1170">
            <v>0</v>
          </cell>
          <cell r="N1170" t="str">
            <v/>
          </cell>
          <cell r="O1170" t="str">
            <v/>
          </cell>
          <cell r="P1170" t="str">
            <v/>
          </cell>
          <cell r="Q1170">
            <v>0</v>
          </cell>
          <cell r="R1170" t="str">
            <v>UND</v>
          </cell>
          <cell r="S1170">
            <v>0</v>
          </cell>
          <cell r="T1170">
            <v>0</v>
          </cell>
          <cell r="U1170" t="str">
            <v/>
          </cell>
          <cell r="V1170" t="str">
            <v>PRO10</v>
          </cell>
          <cell r="W1170">
            <v>0</v>
          </cell>
        </row>
        <row r="1171">
          <cell r="C1171" t="str">
            <v>EUE30MTFGPPB10</v>
          </cell>
          <cell r="D1171" t="str">
            <v>PRINC</v>
          </cell>
          <cell r="E1171" t="str">
            <v>00037</v>
          </cell>
          <cell r="F1171" t="str">
            <v>MODULOS Y PASADORES</v>
          </cell>
          <cell r="G1171" t="str">
            <v>PRINCIPAL</v>
          </cell>
          <cell r="H1171">
            <v>46004</v>
          </cell>
          <cell r="I1171" t="str">
            <v>SALDO INICIAL</v>
          </cell>
          <cell r="J1171">
            <v>4231</v>
          </cell>
          <cell r="K1171">
            <v>879.27367100000004</v>
          </cell>
          <cell r="L1171">
            <v>0.18337800000000001</v>
          </cell>
          <cell r="M1171">
            <v>0.20781698700000001</v>
          </cell>
          <cell r="N1171" t="str">
            <v/>
          </cell>
          <cell r="O1171" t="str">
            <v/>
          </cell>
          <cell r="P1171" t="str">
            <v/>
          </cell>
          <cell r="Q1171">
            <v>0</v>
          </cell>
          <cell r="R1171" t="str">
            <v>UND</v>
          </cell>
          <cell r="S1171">
            <v>0</v>
          </cell>
          <cell r="T1171">
            <v>0</v>
          </cell>
          <cell r="U1171" t="str">
            <v/>
          </cell>
          <cell r="V1171" t="str">
            <v>PRO10</v>
          </cell>
          <cell r="W1171">
            <v>0</v>
          </cell>
        </row>
        <row r="1172">
          <cell r="C1172" t="str">
            <v>EUE30MTFFGPPB20</v>
          </cell>
          <cell r="D1172" t="str">
            <v>PRINC</v>
          </cell>
          <cell r="E1172" t="str">
            <v>00037</v>
          </cell>
          <cell r="F1172" t="str">
            <v>MODULOS Y PASADORES</v>
          </cell>
          <cell r="G1172" t="str">
            <v>PRINCIPAL</v>
          </cell>
          <cell r="H1172">
            <v>46004</v>
          </cell>
          <cell r="I1172" t="str">
            <v>SALDO INICIAL</v>
          </cell>
          <cell r="J1172">
            <v>2128</v>
          </cell>
          <cell r="K1172">
            <v>731.47537399999999</v>
          </cell>
          <cell r="L1172">
            <v>0.34790900000000002</v>
          </cell>
          <cell r="M1172">
            <v>0.34373842799999998</v>
          </cell>
          <cell r="N1172" t="str">
            <v>CJA 406 UNDS</v>
          </cell>
          <cell r="O1172" t="str">
            <v/>
          </cell>
          <cell r="P1172" t="str">
            <v/>
          </cell>
          <cell r="Q1172">
            <v>0</v>
          </cell>
          <cell r="R1172" t="str">
            <v>UND</v>
          </cell>
          <cell r="S1172">
            <v>0</v>
          </cell>
          <cell r="T1172">
            <v>0</v>
          </cell>
          <cell r="U1172" t="str">
            <v/>
          </cell>
          <cell r="V1172" t="str">
            <v>PRO10</v>
          </cell>
          <cell r="W1172">
            <v>0</v>
          </cell>
        </row>
        <row r="1173">
          <cell r="C1173" t="str">
            <v>EUE30MTFFGPPB30</v>
          </cell>
          <cell r="D1173" t="str">
            <v>PRINC</v>
          </cell>
          <cell r="E1173" t="str">
            <v>00037</v>
          </cell>
          <cell r="F1173" t="str">
            <v>MODULOS Y PASADORES</v>
          </cell>
          <cell r="G1173" t="str">
            <v>PRINCIPAL</v>
          </cell>
          <cell r="H1173">
            <v>46004</v>
          </cell>
          <cell r="I1173" t="str">
            <v>SALDO INICIAL</v>
          </cell>
          <cell r="J1173">
            <v>865</v>
          </cell>
          <cell r="K1173">
            <v>882.47135400000002</v>
          </cell>
          <cell r="L1173">
            <v>0.537323</v>
          </cell>
          <cell r="M1173">
            <v>1.020198097</v>
          </cell>
          <cell r="N1173" t="str">
            <v>CJA 232 UNDS</v>
          </cell>
          <cell r="O1173" t="str">
            <v/>
          </cell>
          <cell r="P1173" t="str">
            <v/>
          </cell>
          <cell r="Q1173">
            <v>0</v>
          </cell>
          <cell r="R1173" t="str">
            <v>UND</v>
          </cell>
          <cell r="S1173">
            <v>0</v>
          </cell>
          <cell r="T1173">
            <v>0</v>
          </cell>
          <cell r="U1173" t="str">
            <v/>
          </cell>
          <cell r="V1173" t="str">
            <v>PRO10</v>
          </cell>
          <cell r="W1173">
            <v>0</v>
          </cell>
        </row>
        <row r="1174">
          <cell r="C1174" t="str">
            <v>EUE30MTFFGPPB40</v>
          </cell>
          <cell r="D1174" t="str">
            <v>PRINC</v>
          </cell>
          <cell r="E1174" t="str">
            <v>00037</v>
          </cell>
          <cell r="F1174" t="str">
            <v>MODULOS Y PASADORES</v>
          </cell>
          <cell r="G1174" t="str">
            <v>PRINCIPAL</v>
          </cell>
          <cell r="H1174">
            <v>46004</v>
          </cell>
          <cell r="I1174" t="str">
            <v>SALDO INICIAL</v>
          </cell>
          <cell r="J1174">
            <v>1960</v>
          </cell>
          <cell r="K1174">
            <v>682.58507599999996</v>
          </cell>
          <cell r="L1174">
            <v>0.69519600000000004</v>
          </cell>
          <cell r="M1174">
            <v>0.34825769200000001</v>
          </cell>
          <cell r="N1174" t="str">
            <v/>
          </cell>
          <cell r="O1174" t="str">
            <v/>
          </cell>
          <cell r="P1174" t="str">
            <v/>
          </cell>
          <cell r="Q1174">
            <v>0</v>
          </cell>
          <cell r="R1174" t="str">
            <v>UND</v>
          </cell>
          <cell r="S1174">
            <v>0</v>
          </cell>
          <cell r="T1174">
            <v>0</v>
          </cell>
          <cell r="U1174" t="str">
            <v/>
          </cell>
          <cell r="V1174" t="str">
            <v>PRO10</v>
          </cell>
          <cell r="W1174">
            <v>0</v>
          </cell>
        </row>
        <row r="1175">
          <cell r="C1175" t="str">
            <v>EUE30MTFGPPB5</v>
          </cell>
          <cell r="D1175" t="str">
            <v>PRINC</v>
          </cell>
          <cell r="E1175" t="str">
            <v>00037</v>
          </cell>
          <cell r="F1175" t="str">
            <v>MODULOS Y PASADORES</v>
          </cell>
          <cell r="G1175" t="str">
            <v>PRINCIPAL</v>
          </cell>
          <cell r="H1175">
            <v>46004</v>
          </cell>
          <cell r="I1175" t="str">
            <v>SALDO INICIAL</v>
          </cell>
          <cell r="J1175">
            <v>2150</v>
          </cell>
          <cell r="K1175">
            <v>301.46323000000001</v>
          </cell>
          <cell r="L1175">
            <v>0.10698100000000001</v>
          </cell>
          <cell r="M1175">
            <v>0.14021545599999999</v>
          </cell>
          <cell r="N1175" t="str">
            <v/>
          </cell>
          <cell r="O1175" t="str">
            <v/>
          </cell>
          <cell r="P1175" t="str">
            <v/>
          </cell>
          <cell r="Q1175">
            <v>0</v>
          </cell>
          <cell r="R1175" t="str">
            <v>UND</v>
          </cell>
          <cell r="S1175">
            <v>0</v>
          </cell>
          <cell r="T1175">
            <v>0</v>
          </cell>
          <cell r="U1175" t="str">
            <v/>
          </cell>
          <cell r="V1175" t="str">
            <v>PRO10</v>
          </cell>
          <cell r="W1175">
            <v>0</v>
          </cell>
        </row>
        <row r="1176">
          <cell r="C1176" t="str">
            <v>EUE30MTFTACA10</v>
          </cell>
          <cell r="D1176" t="str">
            <v>PRINC</v>
          </cell>
          <cell r="E1176" t="str">
            <v>00037</v>
          </cell>
          <cell r="F1176" t="str">
            <v>MODULOS Y PASADORES</v>
          </cell>
          <cell r="G1176" t="str">
            <v>PRINCIPAL</v>
          </cell>
          <cell r="H1176">
            <v>46004</v>
          </cell>
          <cell r="I1176" t="str">
            <v>SALDO INICIAL</v>
          </cell>
          <cell r="J1176">
            <v>1000</v>
          </cell>
          <cell r="K1176">
            <v>937.48159999999996</v>
          </cell>
          <cell r="L1176">
            <v>0.93759999999999999</v>
          </cell>
          <cell r="M1176">
            <v>0.93748160000000003</v>
          </cell>
          <cell r="N1176" t="str">
            <v/>
          </cell>
          <cell r="O1176" t="str">
            <v/>
          </cell>
          <cell r="P1176" t="str">
            <v/>
          </cell>
          <cell r="Q1176">
            <v>0</v>
          </cell>
          <cell r="R1176" t="str">
            <v>UND</v>
          </cell>
          <cell r="S1176">
            <v>0</v>
          </cell>
          <cell r="T1176">
            <v>0</v>
          </cell>
          <cell r="U1176" t="str">
            <v/>
          </cell>
          <cell r="V1176" t="str">
            <v>PRO10</v>
          </cell>
          <cell r="W1176">
            <v>0</v>
          </cell>
        </row>
        <row r="1177">
          <cell r="C1177" t="str">
            <v>EUE30MTTFTACA20</v>
          </cell>
          <cell r="D1177" t="str">
            <v>PRINC</v>
          </cell>
          <cell r="E1177" t="str">
            <v>00037</v>
          </cell>
          <cell r="F1177" t="str">
            <v>MODULOS Y PASADORES</v>
          </cell>
          <cell r="G1177" t="str">
            <v>PRINCIPAL</v>
          </cell>
          <cell r="H1177">
            <v>46004</v>
          </cell>
          <cell r="I1177" t="str">
            <v>SALDO INICIAL</v>
          </cell>
          <cell r="J1177">
            <v>810</v>
          </cell>
          <cell r="K1177">
            <v>985.33343600000001</v>
          </cell>
          <cell r="L1177">
            <v>1.217012</v>
          </cell>
          <cell r="M1177">
            <v>1.216461032</v>
          </cell>
          <cell r="N1177" t="str">
            <v/>
          </cell>
          <cell r="O1177" t="str">
            <v/>
          </cell>
          <cell r="P1177" t="str">
            <v/>
          </cell>
          <cell r="Q1177">
            <v>0</v>
          </cell>
          <cell r="R1177" t="str">
            <v>UND</v>
          </cell>
          <cell r="S1177">
            <v>0</v>
          </cell>
          <cell r="T1177">
            <v>0</v>
          </cell>
          <cell r="U1177" t="str">
            <v/>
          </cell>
          <cell r="V1177" t="str">
            <v>PRO10</v>
          </cell>
          <cell r="W1177">
            <v>0</v>
          </cell>
        </row>
        <row r="1178">
          <cell r="C1178" t="str">
            <v>EUE30MTTFTACA30</v>
          </cell>
          <cell r="D1178" t="str">
            <v>PRINC</v>
          </cell>
          <cell r="E1178" t="str">
            <v>00037</v>
          </cell>
          <cell r="F1178" t="str">
            <v>MODULOS Y PASADORES</v>
          </cell>
          <cell r="G1178" t="str">
            <v>PRINCIPAL</v>
          </cell>
          <cell r="H1178">
            <v>46004</v>
          </cell>
          <cell r="I1178" t="str">
            <v>SALDO INICIAL</v>
          </cell>
          <cell r="J1178">
            <v>1111</v>
          </cell>
          <cell r="K1178">
            <v>1666.545216</v>
          </cell>
          <cell r="L1178">
            <v>1.5030429999999999</v>
          </cell>
          <cell r="M1178">
            <v>1.5000406980000001</v>
          </cell>
          <cell r="N1178" t="str">
            <v/>
          </cell>
          <cell r="O1178" t="str">
            <v/>
          </cell>
          <cell r="P1178" t="str">
            <v/>
          </cell>
          <cell r="Q1178">
            <v>0</v>
          </cell>
          <cell r="R1178" t="str">
            <v>UND</v>
          </cell>
          <cell r="S1178">
            <v>0</v>
          </cell>
          <cell r="T1178">
            <v>0</v>
          </cell>
          <cell r="U1178" t="str">
            <v/>
          </cell>
          <cell r="V1178" t="str">
            <v>PRO10</v>
          </cell>
          <cell r="W1178">
            <v>0</v>
          </cell>
        </row>
        <row r="1179">
          <cell r="C1179" t="str">
            <v>EUE30MTFTACA5</v>
          </cell>
          <cell r="D1179" t="str">
            <v>PRINC</v>
          </cell>
          <cell r="E1179" t="str">
            <v>00037</v>
          </cell>
          <cell r="F1179" t="str">
            <v>MODULOS Y PASADORES</v>
          </cell>
          <cell r="G1179" t="str">
            <v>PRINCIPAL</v>
          </cell>
          <cell r="H1179">
            <v>46004</v>
          </cell>
          <cell r="I1179" t="str">
            <v>SALDO INICIAL</v>
          </cell>
          <cell r="J1179">
            <v>2548</v>
          </cell>
          <cell r="K1179">
            <v>1120.767789</v>
          </cell>
          <cell r="L1179">
            <v>0.45763900000000002</v>
          </cell>
          <cell r="M1179">
            <v>0.43986176999999999</v>
          </cell>
          <cell r="N1179" t="str">
            <v/>
          </cell>
          <cell r="O1179" t="str">
            <v/>
          </cell>
          <cell r="P1179" t="str">
            <v/>
          </cell>
          <cell r="Q1179">
            <v>0</v>
          </cell>
          <cell r="R1179" t="str">
            <v>UND</v>
          </cell>
          <cell r="S1179">
            <v>0</v>
          </cell>
          <cell r="T1179">
            <v>0</v>
          </cell>
          <cell r="U1179" t="str">
            <v/>
          </cell>
          <cell r="V1179" t="str">
            <v>PRO10</v>
          </cell>
          <cell r="W1179">
            <v>0</v>
          </cell>
        </row>
        <row r="1180">
          <cell r="C1180" t="str">
            <v>EUE30MTFTPPA10</v>
          </cell>
          <cell r="D1180" t="str">
            <v>PRINC</v>
          </cell>
          <cell r="E1180" t="str">
            <v>00037</v>
          </cell>
          <cell r="F1180" t="str">
            <v>MODULOS Y PASADORES</v>
          </cell>
          <cell r="G1180" t="str">
            <v>PRINCIPAL</v>
          </cell>
          <cell r="H1180">
            <v>46004</v>
          </cell>
          <cell r="I1180" t="str">
            <v>SALDO INICIAL</v>
          </cell>
          <cell r="J1180">
            <v>802</v>
          </cell>
          <cell r="K1180">
            <v>382.74327499999998</v>
          </cell>
          <cell r="L1180">
            <v>0.411076</v>
          </cell>
          <cell r="M1180">
            <v>0.47723600399999999</v>
          </cell>
          <cell r="N1180" t="str">
            <v/>
          </cell>
          <cell r="O1180" t="str">
            <v/>
          </cell>
          <cell r="P1180" t="str">
            <v/>
          </cell>
          <cell r="Q1180">
            <v>0</v>
          </cell>
          <cell r="R1180" t="str">
            <v>UND</v>
          </cell>
          <cell r="S1180">
            <v>0</v>
          </cell>
          <cell r="T1180">
            <v>0</v>
          </cell>
          <cell r="U1180" t="str">
            <v/>
          </cell>
          <cell r="V1180" t="str">
            <v>PRO10</v>
          </cell>
          <cell r="W1180">
            <v>0</v>
          </cell>
        </row>
        <row r="1181">
          <cell r="C1181" t="str">
            <v>EUE30MTFTPPA20</v>
          </cell>
          <cell r="D1181" t="str">
            <v>PRINC</v>
          </cell>
          <cell r="E1181" t="str">
            <v>00037</v>
          </cell>
          <cell r="F1181" t="str">
            <v>MODULOS Y PASADORES</v>
          </cell>
          <cell r="G1181" t="str">
            <v>PRINCIPAL</v>
          </cell>
          <cell r="H1181">
            <v>46004</v>
          </cell>
          <cell r="I1181" t="str">
            <v>SALDO INICIAL</v>
          </cell>
          <cell r="J1181">
            <v>599</v>
          </cell>
          <cell r="K1181">
            <v>362.75874599999997</v>
          </cell>
          <cell r="L1181">
            <v>0.52770700000000004</v>
          </cell>
          <cell r="M1181">
            <v>0.60560725500000001</v>
          </cell>
          <cell r="N1181" t="str">
            <v>CJA 364 UNDS</v>
          </cell>
          <cell r="O1181" t="str">
            <v/>
          </cell>
          <cell r="P1181" t="str">
            <v/>
          </cell>
          <cell r="Q1181">
            <v>0</v>
          </cell>
          <cell r="R1181" t="str">
            <v>UND</v>
          </cell>
          <cell r="S1181">
            <v>0</v>
          </cell>
          <cell r="T1181">
            <v>0</v>
          </cell>
          <cell r="U1181" t="str">
            <v/>
          </cell>
          <cell r="V1181" t="str">
            <v>PRO10</v>
          </cell>
          <cell r="W1181">
            <v>0</v>
          </cell>
        </row>
        <row r="1182">
          <cell r="C1182" t="str">
            <v>EUE30MTFTPPA30</v>
          </cell>
          <cell r="D1182" t="str">
            <v>PRINC</v>
          </cell>
          <cell r="E1182" t="str">
            <v>00037</v>
          </cell>
          <cell r="F1182" t="str">
            <v>MODULOS Y PASADORES</v>
          </cell>
          <cell r="G1182" t="str">
            <v>PRINCIPAL</v>
          </cell>
          <cell r="H1182">
            <v>46004</v>
          </cell>
          <cell r="I1182" t="str">
            <v>SALDO INICIAL</v>
          </cell>
          <cell r="J1182">
            <v>1274</v>
          </cell>
          <cell r="K1182">
            <v>1074.936402</v>
          </cell>
          <cell r="L1182">
            <v>0.78149999999999997</v>
          </cell>
          <cell r="M1182">
            <v>0.84374913799999995</v>
          </cell>
          <cell r="N1182" t="str">
            <v/>
          </cell>
          <cell r="O1182" t="str">
            <v/>
          </cell>
          <cell r="P1182" t="str">
            <v/>
          </cell>
          <cell r="Q1182">
            <v>0</v>
          </cell>
          <cell r="R1182" t="str">
            <v>UND</v>
          </cell>
          <cell r="S1182">
            <v>0</v>
          </cell>
          <cell r="T1182">
            <v>0</v>
          </cell>
          <cell r="U1182" t="str">
            <v/>
          </cell>
          <cell r="V1182" t="str">
            <v>PRO10</v>
          </cell>
          <cell r="W1182">
            <v>0</v>
          </cell>
        </row>
        <row r="1183">
          <cell r="C1183" t="str">
            <v>EUE30MTFTPPA5</v>
          </cell>
          <cell r="D1183" t="str">
            <v>PRINC</v>
          </cell>
          <cell r="E1183" t="str">
            <v>00037</v>
          </cell>
          <cell r="F1183" t="str">
            <v>MODULOS Y PASADORES</v>
          </cell>
          <cell r="G1183" t="str">
            <v>PRINCIPAL</v>
          </cell>
          <cell r="H1183">
            <v>46004</v>
          </cell>
          <cell r="I1183" t="str">
            <v>SALDO INICIAL</v>
          </cell>
          <cell r="J1183">
            <v>2173</v>
          </cell>
          <cell r="K1183">
            <v>635.23268399999995</v>
          </cell>
          <cell r="L1183">
            <v>0.31773800000000002</v>
          </cell>
          <cell r="M1183">
            <v>0.29232981299999999</v>
          </cell>
          <cell r="N1183" t="str">
            <v/>
          </cell>
          <cell r="O1183" t="str">
            <v/>
          </cell>
          <cell r="P1183" t="str">
            <v/>
          </cell>
          <cell r="Q1183">
            <v>0</v>
          </cell>
          <cell r="R1183" t="str">
            <v>UND</v>
          </cell>
          <cell r="S1183">
            <v>0</v>
          </cell>
          <cell r="T1183">
            <v>0</v>
          </cell>
          <cell r="U1183" t="str">
            <v/>
          </cell>
          <cell r="V1183" t="str">
            <v>PRO10</v>
          </cell>
          <cell r="W1183">
            <v>0</v>
          </cell>
        </row>
        <row r="1184">
          <cell r="C1184" t="str">
            <v>EUE30MTFTPPB10</v>
          </cell>
          <cell r="D1184" t="str">
            <v>PRINC</v>
          </cell>
          <cell r="E1184" t="str">
            <v>00037</v>
          </cell>
          <cell r="F1184" t="str">
            <v>MODULOS Y PASADORES</v>
          </cell>
          <cell r="G1184" t="str">
            <v>PRINCIPAL</v>
          </cell>
          <cell r="H1184">
            <v>46004</v>
          </cell>
          <cell r="I1184" t="str">
            <v>SALDO INICIAL</v>
          </cell>
          <cell r="J1184">
            <v>2180</v>
          </cell>
          <cell r="K1184">
            <v>775.41335200000003</v>
          </cell>
          <cell r="L1184">
            <v>0.35496800000000001</v>
          </cell>
          <cell r="M1184">
            <v>0.35569419800000002</v>
          </cell>
          <cell r="N1184" t="str">
            <v/>
          </cell>
          <cell r="O1184" t="str">
            <v/>
          </cell>
          <cell r="P1184" t="str">
            <v/>
          </cell>
          <cell r="Q1184">
            <v>0</v>
          </cell>
          <cell r="R1184" t="str">
            <v>UND</v>
          </cell>
          <cell r="S1184">
            <v>0</v>
          </cell>
          <cell r="T1184">
            <v>0</v>
          </cell>
          <cell r="U1184" t="str">
            <v/>
          </cell>
          <cell r="V1184" t="str">
            <v>PRO10</v>
          </cell>
          <cell r="W1184">
            <v>0</v>
          </cell>
        </row>
        <row r="1185">
          <cell r="C1185" t="str">
            <v>EUE30MTTFTPPB20</v>
          </cell>
          <cell r="D1185" t="str">
            <v>PRINC</v>
          </cell>
          <cell r="E1185" t="str">
            <v>00037</v>
          </cell>
          <cell r="F1185" t="str">
            <v>MODULOS Y PASADORES</v>
          </cell>
          <cell r="G1185" t="str">
            <v>PRINCIPAL</v>
          </cell>
          <cell r="H1185">
            <v>46004</v>
          </cell>
          <cell r="I1185" t="str">
            <v>SALDO INICIAL</v>
          </cell>
          <cell r="J1185">
            <v>1693</v>
          </cell>
          <cell r="K1185">
            <v>815.30157699999995</v>
          </cell>
          <cell r="L1185">
            <v>0.43523099999999998</v>
          </cell>
          <cell r="M1185">
            <v>0.48157210700000003</v>
          </cell>
          <cell r="N1185" t="str">
            <v/>
          </cell>
          <cell r="O1185" t="str">
            <v/>
          </cell>
          <cell r="P1185" t="str">
            <v/>
          </cell>
          <cell r="Q1185">
            <v>0</v>
          </cell>
          <cell r="R1185" t="str">
            <v>UND</v>
          </cell>
          <cell r="S1185">
            <v>0</v>
          </cell>
          <cell r="T1185">
            <v>0</v>
          </cell>
          <cell r="U1185" t="str">
            <v/>
          </cell>
          <cell r="V1185" t="str">
            <v>PRO10</v>
          </cell>
          <cell r="W1185">
            <v>0</v>
          </cell>
        </row>
        <row r="1186">
          <cell r="C1186" t="str">
            <v>EUE30MTTFTPPB30</v>
          </cell>
          <cell r="D1186" t="str">
            <v>PRINC</v>
          </cell>
          <cell r="E1186" t="str">
            <v>00037</v>
          </cell>
          <cell r="F1186" t="str">
            <v>MODULOS Y PASADORES</v>
          </cell>
          <cell r="G1186" t="str">
            <v>PRINCIPAL</v>
          </cell>
          <cell r="H1186">
            <v>46004</v>
          </cell>
          <cell r="I1186" t="str">
            <v>SALDO INICIAL</v>
          </cell>
          <cell r="J1186">
            <v>792</v>
          </cell>
          <cell r="K1186">
            <v>652.591319</v>
          </cell>
          <cell r="L1186">
            <v>0.62912999999999997</v>
          </cell>
          <cell r="M1186">
            <v>0.82397893799999999</v>
          </cell>
          <cell r="N1186" t="str">
            <v/>
          </cell>
          <cell r="O1186" t="str">
            <v/>
          </cell>
          <cell r="P1186" t="str">
            <v/>
          </cell>
          <cell r="Q1186">
            <v>0</v>
          </cell>
          <cell r="R1186" t="str">
            <v>UND</v>
          </cell>
          <cell r="S1186">
            <v>0</v>
          </cell>
          <cell r="T1186">
            <v>0</v>
          </cell>
          <cell r="U1186" t="str">
            <v/>
          </cell>
          <cell r="V1186" t="str">
            <v>PRO10</v>
          </cell>
          <cell r="W1186">
            <v>0</v>
          </cell>
        </row>
        <row r="1187">
          <cell r="C1187" t="str">
            <v>EUE30MTTFTPPB40</v>
          </cell>
          <cell r="D1187" t="str">
            <v>PRINC</v>
          </cell>
          <cell r="E1187" t="str">
            <v>00037</v>
          </cell>
          <cell r="F1187" t="str">
            <v>MODULOS Y PASADORES</v>
          </cell>
          <cell r="G1187" t="str">
            <v>PRINCIPAL</v>
          </cell>
          <cell r="H1187">
            <v>46004</v>
          </cell>
          <cell r="I1187" t="str">
            <v>SALDO INICIAL</v>
          </cell>
          <cell r="J1187">
            <v>573</v>
          </cell>
          <cell r="K1187">
            <v>320.71354600000001</v>
          </cell>
          <cell r="L1187">
            <v>0.78821399999999997</v>
          </cell>
          <cell r="M1187">
            <v>0.55970950399999997</v>
          </cell>
          <cell r="N1187" t="str">
            <v/>
          </cell>
          <cell r="O1187" t="str">
            <v/>
          </cell>
          <cell r="P1187" t="str">
            <v/>
          </cell>
          <cell r="Q1187">
            <v>0</v>
          </cell>
          <cell r="R1187" t="str">
            <v>UND</v>
          </cell>
          <cell r="S1187">
            <v>0</v>
          </cell>
          <cell r="T1187">
            <v>0</v>
          </cell>
          <cell r="U1187" t="str">
            <v/>
          </cell>
          <cell r="V1187" t="str">
            <v>PRO10</v>
          </cell>
          <cell r="W1187">
            <v>0</v>
          </cell>
        </row>
        <row r="1188">
          <cell r="C1188" t="str">
            <v>EUE30MTFTPPB5</v>
          </cell>
          <cell r="D1188" t="str">
            <v>PRINC</v>
          </cell>
          <cell r="E1188" t="str">
            <v>00037</v>
          </cell>
          <cell r="F1188" t="str">
            <v>MODULOS Y PASADORES</v>
          </cell>
          <cell r="G1188" t="str">
            <v>PRINCIPAL</v>
          </cell>
          <cell r="H1188">
            <v>46004</v>
          </cell>
          <cell r="I1188" t="str">
            <v>SALDO INICIAL</v>
          </cell>
          <cell r="J1188">
            <v>0</v>
          </cell>
          <cell r="K1188">
            <v>-5.1569510000000003</v>
          </cell>
          <cell r="L1188">
            <v>0.31314399999999998</v>
          </cell>
          <cell r="M1188">
            <v>0</v>
          </cell>
          <cell r="N1188" t="str">
            <v/>
          </cell>
          <cell r="O1188" t="str">
            <v/>
          </cell>
          <cell r="P1188" t="str">
            <v/>
          </cell>
          <cell r="Q1188">
            <v>0</v>
          </cell>
          <cell r="R1188" t="str">
            <v>UND</v>
          </cell>
          <cell r="S1188">
            <v>0</v>
          </cell>
          <cell r="T1188">
            <v>0</v>
          </cell>
          <cell r="U1188" t="str">
            <v/>
          </cell>
          <cell r="V1188" t="str">
            <v>PRO10</v>
          </cell>
          <cell r="W1188">
            <v>0</v>
          </cell>
        </row>
        <row r="1189">
          <cell r="C1189" t="str">
            <v>EUE30MTOGPPA10</v>
          </cell>
          <cell r="D1189" t="str">
            <v>PRINC</v>
          </cell>
          <cell r="E1189" t="str">
            <v>00037</v>
          </cell>
          <cell r="F1189" t="str">
            <v>MODULOS Y PASADORES</v>
          </cell>
          <cell r="G1189" t="str">
            <v>PRINCIPAL</v>
          </cell>
          <cell r="H1189">
            <v>46004</v>
          </cell>
          <cell r="I1189" t="str">
            <v>SALDO INICIAL</v>
          </cell>
          <cell r="J1189">
            <v>488</v>
          </cell>
          <cell r="K1189">
            <v>244.3904</v>
          </cell>
          <cell r="L1189">
            <v>0.50080000000000002</v>
          </cell>
          <cell r="M1189">
            <v>0.50080000000000002</v>
          </cell>
          <cell r="N1189" t="str">
            <v/>
          </cell>
          <cell r="O1189" t="str">
            <v/>
          </cell>
          <cell r="P1189" t="str">
            <v/>
          </cell>
          <cell r="Q1189">
            <v>0</v>
          </cell>
          <cell r="R1189" t="str">
            <v>UND</v>
          </cell>
          <cell r="S1189">
            <v>0</v>
          </cell>
          <cell r="T1189">
            <v>0</v>
          </cell>
          <cell r="U1189" t="str">
            <v/>
          </cell>
          <cell r="V1189" t="str">
            <v>PRO10</v>
          </cell>
          <cell r="W1189">
            <v>0</v>
          </cell>
        </row>
        <row r="1190">
          <cell r="C1190" t="str">
            <v>EUE30MTOGPPA5</v>
          </cell>
          <cell r="D1190" t="str">
            <v>PRINC</v>
          </cell>
          <cell r="E1190" t="str">
            <v>00037</v>
          </cell>
          <cell r="F1190" t="str">
            <v>MODULOS Y PASADORES</v>
          </cell>
          <cell r="G1190" t="str">
            <v>PRINCIPAL</v>
          </cell>
          <cell r="H1190">
            <v>46004</v>
          </cell>
          <cell r="I1190" t="str">
            <v>SALDO INICIAL</v>
          </cell>
          <cell r="J1190">
            <v>648</v>
          </cell>
          <cell r="K1190">
            <v>329.46309200000002</v>
          </cell>
          <cell r="L1190">
            <v>0.49355399999999999</v>
          </cell>
          <cell r="M1190">
            <v>0.50843069799999996</v>
          </cell>
          <cell r="N1190" t="str">
            <v/>
          </cell>
          <cell r="O1190" t="str">
            <v/>
          </cell>
          <cell r="P1190" t="str">
            <v/>
          </cell>
          <cell r="Q1190">
            <v>0</v>
          </cell>
          <cell r="R1190" t="str">
            <v>UND</v>
          </cell>
          <cell r="S1190">
            <v>0</v>
          </cell>
          <cell r="T1190">
            <v>0</v>
          </cell>
          <cell r="U1190" t="str">
            <v/>
          </cell>
          <cell r="V1190" t="str">
            <v>PRO10</v>
          </cell>
          <cell r="W1190">
            <v>0</v>
          </cell>
        </row>
        <row r="1191">
          <cell r="C1191" t="str">
            <v>EUE30MTOGPPB10</v>
          </cell>
          <cell r="D1191" t="str">
            <v>PRINC</v>
          </cell>
          <cell r="E1191" t="str">
            <v>00037</v>
          </cell>
          <cell r="F1191" t="str">
            <v>MODULOS Y PASADORES</v>
          </cell>
          <cell r="G1191" t="str">
            <v>PRINCIPAL</v>
          </cell>
          <cell r="H1191">
            <v>46004</v>
          </cell>
          <cell r="I1191" t="str">
            <v>SALDO INICIAL</v>
          </cell>
          <cell r="J1191">
            <v>819</v>
          </cell>
          <cell r="K1191">
            <v>330.934146</v>
          </cell>
          <cell r="L1191">
            <v>0.50419999999999998</v>
          </cell>
          <cell r="M1191">
            <v>0.40407099600000002</v>
          </cell>
          <cell r="N1191" t="str">
            <v/>
          </cell>
          <cell r="O1191" t="str">
            <v/>
          </cell>
          <cell r="P1191" t="str">
            <v/>
          </cell>
          <cell r="Q1191">
            <v>0</v>
          </cell>
          <cell r="R1191" t="str">
            <v>UND</v>
          </cell>
          <cell r="S1191">
            <v>0</v>
          </cell>
          <cell r="T1191">
            <v>0</v>
          </cell>
          <cell r="U1191" t="str">
            <v/>
          </cell>
          <cell r="V1191" t="str">
            <v>PRO10</v>
          </cell>
          <cell r="W1191">
            <v>0</v>
          </cell>
        </row>
        <row r="1192">
          <cell r="C1192" t="str">
            <v>EUE30MTOGPPB5</v>
          </cell>
          <cell r="D1192" t="str">
            <v>PRINC</v>
          </cell>
          <cell r="E1192" t="str">
            <v>00037</v>
          </cell>
          <cell r="F1192" t="str">
            <v>MODULOS Y PASADORES</v>
          </cell>
          <cell r="G1192" t="str">
            <v>PRINCIPAL</v>
          </cell>
          <cell r="H1192">
            <v>46004</v>
          </cell>
          <cell r="I1192" t="str">
            <v>SALDO INICIAL</v>
          </cell>
          <cell r="J1192">
            <v>321</v>
          </cell>
          <cell r="K1192">
            <v>285.085757</v>
          </cell>
          <cell r="L1192">
            <v>0.46510800000000002</v>
          </cell>
          <cell r="M1192">
            <v>0.88811762299999997</v>
          </cell>
          <cell r="N1192" t="str">
            <v/>
          </cell>
          <cell r="O1192" t="str">
            <v/>
          </cell>
          <cell r="P1192" t="str">
            <v/>
          </cell>
          <cell r="Q1192">
            <v>0</v>
          </cell>
          <cell r="R1192" t="str">
            <v>UND</v>
          </cell>
          <cell r="S1192">
            <v>0</v>
          </cell>
          <cell r="T1192">
            <v>0</v>
          </cell>
          <cell r="U1192" t="str">
            <v/>
          </cell>
          <cell r="V1192" t="str">
            <v>PRO10</v>
          </cell>
          <cell r="W1192">
            <v>0</v>
          </cell>
        </row>
        <row r="1193">
          <cell r="C1193" t="str">
            <v>EUE30MTRRPPG10</v>
          </cell>
          <cell r="D1193" t="str">
            <v>PRINC</v>
          </cell>
          <cell r="E1193" t="str">
            <v>00037</v>
          </cell>
          <cell r="F1193" t="str">
            <v>MODULOS Y PASADORES</v>
          </cell>
          <cell r="G1193" t="str">
            <v>PRINCIPAL</v>
          </cell>
          <cell r="H1193">
            <v>46004</v>
          </cell>
          <cell r="I1193" t="str">
            <v>SALDO INICIAL</v>
          </cell>
          <cell r="J1193">
            <v>66</v>
          </cell>
          <cell r="K1193">
            <v>31.581</v>
          </cell>
          <cell r="L1193">
            <v>0.47849999999999998</v>
          </cell>
          <cell r="M1193">
            <v>0.47849999999999998</v>
          </cell>
          <cell r="N1193" t="str">
            <v/>
          </cell>
          <cell r="O1193" t="str">
            <v/>
          </cell>
          <cell r="P1193" t="str">
            <v/>
          </cell>
          <cell r="Q1193">
            <v>0</v>
          </cell>
          <cell r="R1193" t="str">
            <v>UND</v>
          </cell>
          <cell r="S1193">
            <v>0</v>
          </cell>
          <cell r="T1193">
            <v>0</v>
          </cell>
          <cell r="U1193" t="str">
            <v/>
          </cell>
          <cell r="V1193" t="str">
            <v>PRO10</v>
          </cell>
          <cell r="W1193">
            <v>0</v>
          </cell>
        </row>
        <row r="1194">
          <cell r="C1194" t="str">
            <v>EUE40MTFGPPG10</v>
          </cell>
          <cell r="D1194" t="str">
            <v>PRINC</v>
          </cell>
          <cell r="E1194" t="str">
            <v>00037</v>
          </cell>
          <cell r="F1194" t="str">
            <v>MODULOS Y PASADORES</v>
          </cell>
          <cell r="G1194" t="str">
            <v>PRINCIPAL</v>
          </cell>
          <cell r="H1194">
            <v>46004</v>
          </cell>
          <cell r="I1194" t="str">
            <v>SALDO INICIAL</v>
          </cell>
          <cell r="J1194">
            <v>58</v>
          </cell>
          <cell r="K1194">
            <v>29.146097999999999</v>
          </cell>
          <cell r="L1194">
            <v>0.50249100000000002</v>
          </cell>
          <cell r="M1194">
            <v>0.502518931</v>
          </cell>
          <cell r="N1194" t="str">
            <v/>
          </cell>
          <cell r="O1194" t="str">
            <v/>
          </cell>
          <cell r="P1194" t="str">
            <v/>
          </cell>
          <cell r="Q1194">
            <v>0</v>
          </cell>
          <cell r="R1194" t="str">
            <v>UND</v>
          </cell>
          <cell r="S1194">
            <v>0</v>
          </cell>
          <cell r="T1194">
            <v>0</v>
          </cell>
          <cell r="U1194" t="str">
            <v/>
          </cell>
          <cell r="V1194" t="str">
            <v>PRO10</v>
          </cell>
          <cell r="W1194">
            <v>0</v>
          </cell>
        </row>
        <row r="1195">
          <cell r="C1195" t="str">
            <v>EUE41MTRRPG10</v>
          </cell>
          <cell r="D1195" t="str">
            <v>PRINC</v>
          </cell>
          <cell r="E1195" t="str">
            <v>00037</v>
          </cell>
          <cell r="F1195" t="str">
            <v>MODULOS Y PASADORES</v>
          </cell>
          <cell r="G1195" t="str">
            <v>PRINCIPAL</v>
          </cell>
          <cell r="H1195">
            <v>46004</v>
          </cell>
          <cell r="I1195" t="str">
            <v>SALDO INICIAL</v>
          </cell>
          <cell r="J1195">
            <v>213</v>
          </cell>
          <cell r="K1195">
            <v>154.78918200000001</v>
          </cell>
          <cell r="L1195">
            <v>0.72670999999999997</v>
          </cell>
          <cell r="M1195">
            <v>0.726709775</v>
          </cell>
          <cell r="N1195" t="str">
            <v/>
          </cell>
          <cell r="O1195" t="str">
            <v/>
          </cell>
          <cell r="P1195" t="str">
            <v/>
          </cell>
          <cell r="Q1195">
            <v>0</v>
          </cell>
          <cell r="R1195" t="str">
            <v>UND</v>
          </cell>
          <cell r="S1195">
            <v>0</v>
          </cell>
          <cell r="T1195">
            <v>0</v>
          </cell>
          <cell r="U1195" t="str">
            <v/>
          </cell>
          <cell r="V1195" t="str">
            <v>PRO10</v>
          </cell>
          <cell r="W1195">
            <v>0</v>
          </cell>
        </row>
        <row r="1196">
          <cell r="C1196" t="str">
            <v>EUE50MTDFGPEA5</v>
          </cell>
          <cell r="D1196" t="str">
            <v>PRINC</v>
          </cell>
          <cell r="E1196" t="str">
            <v>00037</v>
          </cell>
          <cell r="F1196" t="str">
            <v>MODULOS Y PASADORES</v>
          </cell>
          <cell r="G1196" t="str">
            <v>PRINCIPAL</v>
          </cell>
          <cell r="H1196">
            <v>46004</v>
          </cell>
          <cell r="I1196" t="str">
            <v>SALDO INICIAL</v>
          </cell>
          <cell r="J1196">
            <v>357</v>
          </cell>
          <cell r="K1196">
            <v>266.822157</v>
          </cell>
          <cell r="L1196">
            <v>0.74740099999999998</v>
          </cell>
          <cell r="M1196">
            <v>0.74740099999999998</v>
          </cell>
          <cell r="N1196" t="str">
            <v/>
          </cell>
          <cell r="O1196" t="str">
            <v/>
          </cell>
          <cell r="P1196" t="str">
            <v/>
          </cell>
          <cell r="Q1196">
            <v>0</v>
          </cell>
          <cell r="R1196" t="str">
            <v>UND</v>
          </cell>
          <cell r="S1196">
            <v>0</v>
          </cell>
          <cell r="T1196">
            <v>0</v>
          </cell>
          <cell r="U1196" t="str">
            <v/>
          </cell>
          <cell r="V1196" t="str">
            <v>PRO10</v>
          </cell>
          <cell r="W1196">
            <v>0</v>
          </cell>
        </row>
        <row r="1197">
          <cell r="C1197" t="str">
            <v>EUE50MTDFGPEA10</v>
          </cell>
          <cell r="D1197" t="str">
            <v>PRINC</v>
          </cell>
          <cell r="E1197" t="str">
            <v>00037</v>
          </cell>
          <cell r="F1197" t="str">
            <v>MODULOS Y PASADORES</v>
          </cell>
          <cell r="G1197" t="str">
            <v>PRINCIPAL</v>
          </cell>
          <cell r="H1197">
            <v>46004</v>
          </cell>
          <cell r="I1197" t="str">
            <v>SALDO INICIAL</v>
          </cell>
          <cell r="J1197">
            <v>554</v>
          </cell>
          <cell r="K1197">
            <v>624.544939</v>
          </cell>
          <cell r="L1197">
            <v>1.1017950000000001</v>
          </cell>
          <cell r="M1197">
            <v>1.1273374350000001</v>
          </cell>
          <cell r="N1197" t="str">
            <v/>
          </cell>
          <cell r="O1197" t="str">
            <v/>
          </cell>
          <cell r="P1197" t="str">
            <v/>
          </cell>
          <cell r="Q1197">
            <v>0</v>
          </cell>
          <cell r="R1197" t="str">
            <v>UND</v>
          </cell>
          <cell r="S1197">
            <v>0</v>
          </cell>
          <cell r="T1197">
            <v>0</v>
          </cell>
          <cell r="U1197" t="str">
            <v/>
          </cell>
          <cell r="V1197" t="str">
            <v>PRO10</v>
          </cell>
          <cell r="W1197">
            <v>0</v>
          </cell>
        </row>
        <row r="1198">
          <cell r="C1198" t="str">
            <v>EUE50MTDFGPPA5</v>
          </cell>
          <cell r="D1198" t="str">
            <v>PRINC</v>
          </cell>
          <cell r="E1198" t="str">
            <v>00037</v>
          </cell>
          <cell r="F1198" t="str">
            <v>MODULOS Y PASADORES</v>
          </cell>
          <cell r="G1198" t="str">
            <v>PRINCIPAL</v>
          </cell>
          <cell r="H1198">
            <v>46004</v>
          </cell>
          <cell r="I1198" t="str">
            <v>SALDO INICIAL</v>
          </cell>
          <cell r="J1198">
            <v>188</v>
          </cell>
          <cell r="K1198">
            <v>357.75081399999999</v>
          </cell>
          <cell r="L1198">
            <v>0.59915399999999996</v>
          </cell>
          <cell r="M1198">
            <v>1.9029298619999999</v>
          </cell>
          <cell r="N1198" t="str">
            <v/>
          </cell>
          <cell r="O1198" t="str">
            <v/>
          </cell>
          <cell r="P1198" t="str">
            <v/>
          </cell>
          <cell r="Q1198">
            <v>0</v>
          </cell>
          <cell r="R1198" t="str">
            <v>UND</v>
          </cell>
          <cell r="S1198">
            <v>0</v>
          </cell>
          <cell r="T1198">
            <v>0</v>
          </cell>
          <cell r="U1198" t="str">
            <v/>
          </cell>
          <cell r="V1198" t="str">
            <v>PRO10</v>
          </cell>
          <cell r="W1198">
            <v>0</v>
          </cell>
        </row>
        <row r="1199">
          <cell r="C1199" t="str">
            <v>EUE50MTDFGPPA10</v>
          </cell>
          <cell r="D1199" t="str">
            <v>PRINC</v>
          </cell>
          <cell r="E1199" t="str">
            <v>00037</v>
          </cell>
          <cell r="F1199" t="str">
            <v>MODULOS Y PASADORES</v>
          </cell>
          <cell r="G1199" t="str">
            <v>PRINCIPAL</v>
          </cell>
          <cell r="H1199">
            <v>46004</v>
          </cell>
          <cell r="I1199" t="str">
            <v>SALDO INICIAL</v>
          </cell>
          <cell r="J1199">
            <v>31</v>
          </cell>
          <cell r="K1199">
            <v>44.359943000000001</v>
          </cell>
          <cell r="L1199">
            <v>0.84671300000000005</v>
          </cell>
          <cell r="M1199">
            <v>1.4309659029999999</v>
          </cell>
          <cell r="N1199" t="str">
            <v/>
          </cell>
          <cell r="O1199" t="str">
            <v/>
          </cell>
          <cell r="P1199" t="str">
            <v/>
          </cell>
          <cell r="Q1199">
            <v>0</v>
          </cell>
          <cell r="R1199" t="str">
            <v>UND</v>
          </cell>
          <cell r="S1199">
            <v>0</v>
          </cell>
          <cell r="T1199">
            <v>0</v>
          </cell>
          <cell r="U1199" t="str">
            <v/>
          </cell>
          <cell r="V1199" t="str">
            <v>PRO10</v>
          </cell>
          <cell r="W1199">
            <v>0</v>
          </cell>
        </row>
        <row r="1200">
          <cell r="C1200" t="str">
            <v>EUE50MTDFGPPB5</v>
          </cell>
          <cell r="D1200" t="str">
            <v>PRINC</v>
          </cell>
          <cell r="E1200" t="str">
            <v>00037</v>
          </cell>
          <cell r="F1200" t="str">
            <v>MODULOS Y PASADORES</v>
          </cell>
          <cell r="G1200" t="str">
            <v>PRINCIPAL</v>
          </cell>
          <cell r="H1200">
            <v>46004</v>
          </cell>
          <cell r="I1200" t="str">
            <v>SALDO INICIAL</v>
          </cell>
          <cell r="J1200">
            <v>1530</v>
          </cell>
          <cell r="K1200">
            <v>866.93879200000003</v>
          </cell>
          <cell r="L1200">
            <v>0.576353</v>
          </cell>
          <cell r="M1200">
            <v>0.56662666100000003</v>
          </cell>
          <cell r="N1200" t="str">
            <v/>
          </cell>
          <cell r="O1200" t="str">
            <v/>
          </cell>
          <cell r="P1200" t="str">
            <v/>
          </cell>
          <cell r="Q1200">
            <v>0</v>
          </cell>
          <cell r="R1200" t="str">
            <v>UND</v>
          </cell>
          <cell r="S1200">
            <v>0</v>
          </cell>
          <cell r="T1200">
            <v>0</v>
          </cell>
          <cell r="U1200" t="str">
            <v/>
          </cell>
          <cell r="V1200" t="str">
            <v>PRO10</v>
          </cell>
          <cell r="W1200">
            <v>0</v>
          </cell>
        </row>
        <row r="1201">
          <cell r="C1201" t="str">
            <v>EUE50MTDFGPPB10</v>
          </cell>
          <cell r="D1201" t="str">
            <v>PRINC</v>
          </cell>
          <cell r="E1201" t="str">
            <v>00037</v>
          </cell>
          <cell r="F1201" t="str">
            <v>MODULOS Y PASADORES</v>
          </cell>
          <cell r="G1201" t="str">
            <v>PRINCIPAL</v>
          </cell>
          <cell r="H1201">
            <v>46004</v>
          </cell>
          <cell r="I1201" t="str">
            <v>SALDO INICIAL</v>
          </cell>
          <cell r="J1201">
            <v>1782</v>
          </cell>
          <cell r="K1201">
            <v>1649.88599</v>
          </cell>
          <cell r="L1201">
            <v>0.86109599999999997</v>
          </cell>
          <cell r="M1201">
            <v>0.92586194700000002</v>
          </cell>
          <cell r="N1201" t="str">
            <v/>
          </cell>
          <cell r="O1201" t="str">
            <v/>
          </cell>
          <cell r="P1201" t="str">
            <v/>
          </cell>
          <cell r="Q1201">
            <v>0</v>
          </cell>
          <cell r="R1201" t="str">
            <v>UND</v>
          </cell>
          <cell r="S1201">
            <v>0</v>
          </cell>
          <cell r="T1201">
            <v>0</v>
          </cell>
          <cell r="U1201" t="str">
            <v/>
          </cell>
          <cell r="V1201" t="str">
            <v>PRO10</v>
          </cell>
          <cell r="W1201">
            <v>0</v>
          </cell>
        </row>
        <row r="1202">
          <cell r="C1202" t="str">
            <v>EUE50MTDFTPPA5</v>
          </cell>
          <cell r="D1202" t="str">
            <v>PRINC</v>
          </cell>
          <cell r="E1202" t="str">
            <v>00037</v>
          </cell>
          <cell r="F1202" t="str">
            <v>MODULOS Y PASADORES</v>
          </cell>
          <cell r="G1202" t="str">
            <v>PRINCIPAL</v>
          </cell>
          <cell r="H1202">
            <v>46004</v>
          </cell>
          <cell r="I1202" t="str">
            <v>SALDO INICIAL</v>
          </cell>
          <cell r="J1202">
            <v>10</v>
          </cell>
          <cell r="K1202">
            <v>14.174376000000001</v>
          </cell>
          <cell r="L1202">
            <v>1.417435</v>
          </cell>
          <cell r="M1202">
            <v>1.4174376</v>
          </cell>
          <cell r="N1202" t="str">
            <v/>
          </cell>
          <cell r="O1202" t="str">
            <v/>
          </cell>
          <cell r="P1202" t="str">
            <v/>
          </cell>
          <cell r="Q1202">
            <v>0</v>
          </cell>
          <cell r="R1202" t="str">
            <v>UND</v>
          </cell>
          <cell r="S1202">
            <v>0</v>
          </cell>
          <cell r="T1202">
            <v>0</v>
          </cell>
          <cell r="U1202" t="str">
            <v/>
          </cell>
          <cell r="V1202" t="str">
            <v>PRO10</v>
          </cell>
          <cell r="W1202">
            <v>0</v>
          </cell>
        </row>
        <row r="1203">
          <cell r="C1203" t="str">
            <v>EUE50MTDFTPPA10</v>
          </cell>
          <cell r="D1203" t="str">
            <v>PRINC</v>
          </cell>
          <cell r="E1203" t="str">
            <v>00037</v>
          </cell>
          <cell r="F1203" t="str">
            <v>MODULOS Y PASADORES</v>
          </cell>
          <cell r="G1203" t="str">
            <v>PRINCIPAL</v>
          </cell>
          <cell r="H1203">
            <v>46004</v>
          </cell>
          <cell r="I1203" t="str">
            <v>SALDO INICIAL</v>
          </cell>
          <cell r="J1203">
            <v>95</v>
          </cell>
          <cell r="K1203">
            <v>159.093684</v>
          </cell>
          <cell r="L1203">
            <v>1.6746700000000001</v>
          </cell>
          <cell r="M1203">
            <v>1.674670358</v>
          </cell>
          <cell r="N1203" t="str">
            <v/>
          </cell>
          <cell r="O1203" t="str">
            <v/>
          </cell>
          <cell r="P1203" t="str">
            <v/>
          </cell>
          <cell r="Q1203">
            <v>0</v>
          </cell>
          <cell r="R1203" t="str">
            <v>UND</v>
          </cell>
          <cell r="S1203">
            <v>0</v>
          </cell>
          <cell r="T1203">
            <v>0</v>
          </cell>
          <cell r="U1203" t="str">
            <v/>
          </cell>
          <cell r="V1203" t="str">
            <v>PRO10</v>
          </cell>
          <cell r="W1203">
            <v>0</v>
          </cell>
        </row>
        <row r="1204">
          <cell r="C1204" t="str">
            <v>EUE50MTDFTPPSC2</v>
          </cell>
          <cell r="D1204" t="str">
            <v>PRINC</v>
          </cell>
          <cell r="E1204" t="str">
            <v>00037</v>
          </cell>
          <cell r="F1204" t="str">
            <v>MODULOS Y PASADORES</v>
          </cell>
          <cell r="G1204" t="str">
            <v>PRINCIPAL</v>
          </cell>
          <cell r="H1204">
            <v>46004</v>
          </cell>
          <cell r="I1204" t="str">
            <v>SALDO INICIAL</v>
          </cell>
          <cell r="J1204">
            <v>176</v>
          </cell>
          <cell r="K1204">
            <v>300.57400899999999</v>
          </cell>
          <cell r="L1204">
            <v>1.7078070000000001</v>
          </cell>
          <cell r="M1204">
            <v>1.7078068689999999</v>
          </cell>
          <cell r="N1204" t="str">
            <v/>
          </cell>
          <cell r="O1204" t="str">
            <v/>
          </cell>
          <cell r="P1204" t="str">
            <v/>
          </cell>
          <cell r="Q1204">
            <v>0</v>
          </cell>
          <cell r="R1204" t="str">
            <v>UND</v>
          </cell>
          <cell r="S1204">
            <v>0</v>
          </cell>
          <cell r="T1204">
            <v>0</v>
          </cell>
          <cell r="U1204" t="str">
            <v/>
          </cell>
          <cell r="V1204" t="str">
            <v>PRO10</v>
          </cell>
          <cell r="W1204">
            <v>0</v>
          </cell>
        </row>
        <row r="1205">
          <cell r="C1205" t="str">
            <v>EUE50MTDFTPPSC4</v>
          </cell>
          <cell r="D1205" t="str">
            <v>PRINC</v>
          </cell>
          <cell r="E1205" t="str">
            <v>00037</v>
          </cell>
          <cell r="F1205" t="str">
            <v>MODULOS Y PASADORES</v>
          </cell>
          <cell r="G1205" t="str">
            <v>PRINCIPAL</v>
          </cell>
          <cell r="H1205">
            <v>46004</v>
          </cell>
          <cell r="I1205" t="str">
            <v>SALDO INICIAL</v>
          </cell>
          <cell r="J1205">
            <v>205</v>
          </cell>
          <cell r="K1205">
            <v>492.598005</v>
          </cell>
          <cell r="L1205">
            <v>2.402917</v>
          </cell>
          <cell r="M1205">
            <v>2.4029170980000001</v>
          </cell>
          <cell r="N1205" t="str">
            <v/>
          </cell>
          <cell r="O1205" t="str">
            <v/>
          </cell>
          <cell r="P1205" t="str">
            <v/>
          </cell>
          <cell r="Q1205">
            <v>0</v>
          </cell>
          <cell r="R1205" t="str">
            <v>UND</v>
          </cell>
          <cell r="S1205">
            <v>0</v>
          </cell>
          <cell r="T1205">
            <v>0</v>
          </cell>
          <cell r="U1205" t="str">
            <v/>
          </cell>
          <cell r="V1205" t="str">
            <v>PRO10</v>
          </cell>
          <cell r="W1205">
            <v>0</v>
          </cell>
        </row>
        <row r="1206">
          <cell r="C1206" t="str">
            <v>EUE50MTIFGPEA5</v>
          </cell>
          <cell r="D1206" t="str">
            <v>PRINC</v>
          </cell>
          <cell r="E1206" t="str">
            <v>00037</v>
          </cell>
          <cell r="F1206" t="str">
            <v>MODULOS Y PASADORES</v>
          </cell>
          <cell r="G1206" t="str">
            <v>PRINCIPAL</v>
          </cell>
          <cell r="H1206">
            <v>46004</v>
          </cell>
          <cell r="I1206" t="str">
            <v>SALDO INICIAL</v>
          </cell>
          <cell r="J1206">
            <v>338</v>
          </cell>
          <cell r="K1206">
            <v>252.46888999999999</v>
          </cell>
          <cell r="L1206">
            <v>0.74740099999999998</v>
          </cell>
          <cell r="M1206">
            <v>0.74694937900000002</v>
          </cell>
          <cell r="N1206" t="str">
            <v/>
          </cell>
          <cell r="O1206" t="str">
            <v/>
          </cell>
          <cell r="P1206" t="str">
            <v/>
          </cell>
          <cell r="Q1206">
            <v>0</v>
          </cell>
          <cell r="R1206" t="str">
            <v>UND</v>
          </cell>
          <cell r="S1206">
            <v>0</v>
          </cell>
          <cell r="T1206">
            <v>0</v>
          </cell>
          <cell r="U1206" t="str">
            <v/>
          </cell>
          <cell r="V1206" t="str">
            <v>PRO10</v>
          </cell>
          <cell r="W1206">
            <v>0</v>
          </cell>
        </row>
        <row r="1207">
          <cell r="C1207" t="str">
            <v>EUE50MTIFGPEA10</v>
          </cell>
          <cell r="D1207" t="str">
            <v>PRINC</v>
          </cell>
          <cell r="E1207" t="str">
            <v>00037</v>
          </cell>
          <cell r="F1207" t="str">
            <v>MODULOS Y PASADORES</v>
          </cell>
          <cell r="G1207" t="str">
            <v>PRINCIPAL</v>
          </cell>
          <cell r="H1207">
            <v>46004</v>
          </cell>
          <cell r="I1207" t="str">
            <v>SALDO INICIAL</v>
          </cell>
          <cell r="J1207">
            <v>244</v>
          </cell>
          <cell r="K1207">
            <v>272.342985</v>
          </cell>
          <cell r="L1207">
            <v>1.116168</v>
          </cell>
          <cell r="M1207">
            <v>1.1161597750000001</v>
          </cell>
          <cell r="N1207" t="str">
            <v/>
          </cell>
          <cell r="O1207" t="str">
            <v/>
          </cell>
          <cell r="P1207" t="str">
            <v/>
          </cell>
          <cell r="Q1207">
            <v>0</v>
          </cell>
          <cell r="R1207" t="str">
            <v>UND</v>
          </cell>
          <cell r="S1207">
            <v>0</v>
          </cell>
          <cell r="T1207">
            <v>0</v>
          </cell>
          <cell r="U1207" t="str">
            <v/>
          </cell>
          <cell r="V1207" t="str">
            <v>PRO10</v>
          </cell>
          <cell r="W1207">
            <v>0</v>
          </cell>
        </row>
        <row r="1208">
          <cell r="C1208" t="str">
            <v>EUE50MTIFGPPA5</v>
          </cell>
          <cell r="D1208" t="str">
            <v>PRINC</v>
          </cell>
          <cell r="E1208" t="str">
            <v>00037</v>
          </cell>
          <cell r="F1208" t="str">
            <v>MODULOS Y PASADORES</v>
          </cell>
          <cell r="G1208" t="str">
            <v>PRINCIPAL</v>
          </cell>
          <cell r="H1208">
            <v>46004</v>
          </cell>
          <cell r="I1208" t="str">
            <v>SALDO INICIAL</v>
          </cell>
          <cell r="J1208">
            <v>798</v>
          </cell>
          <cell r="K1208">
            <v>748.38700700000004</v>
          </cell>
          <cell r="L1208">
            <v>0.602047</v>
          </cell>
          <cell r="M1208">
            <v>0.93782832999999999</v>
          </cell>
          <cell r="N1208" t="str">
            <v/>
          </cell>
          <cell r="O1208" t="str">
            <v/>
          </cell>
          <cell r="P1208" t="str">
            <v/>
          </cell>
          <cell r="Q1208">
            <v>0</v>
          </cell>
          <cell r="R1208" t="str">
            <v>UND</v>
          </cell>
          <cell r="S1208">
            <v>0</v>
          </cell>
          <cell r="T1208">
            <v>0</v>
          </cell>
          <cell r="U1208" t="str">
            <v/>
          </cell>
          <cell r="V1208" t="str">
            <v>PRO10</v>
          </cell>
          <cell r="W1208">
            <v>0</v>
          </cell>
        </row>
        <row r="1209">
          <cell r="C1209" t="str">
            <v>EUE50MTIFGPPA10</v>
          </cell>
          <cell r="D1209" t="str">
            <v>PRINC</v>
          </cell>
          <cell r="E1209" t="str">
            <v>00037</v>
          </cell>
          <cell r="F1209" t="str">
            <v>MODULOS Y PASADORES</v>
          </cell>
          <cell r="G1209" t="str">
            <v>PRINCIPAL</v>
          </cell>
          <cell r="H1209">
            <v>46004</v>
          </cell>
          <cell r="I1209" t="str">
            <v>SALDO INICIAL</v>
          </cell>
          <cell r="J1209">
            <v>219</v>
          </cell>
          <cell r="K1209">
            <v>239.13356899999999</v>
          </cell>
          <cell r="L1209">
            <v>0.84629500000000002</v>
          </cell>
          <cell r="M1209">
            <v>1.091934105</v>
          </cell>
          <cell r="N1209" t="str">
            <v/>
          </cell>
          <cell r="O1209" t="str">
            <v/>
          </cell>
          <cell r="P1209" t="str">
            <v/>
          </cell>
          <cell r="Q1209">
            <v>0</v>
          </cell>
          <cell r="R1209" t="str">
            <v>UND</v>
          </cell>
          <cell r="S1209">
            <v>0</v>
          </cell>
          <cell r="T1209">
            <v>0</v>
          </cell>
          <cell r="U1209" t="str">
            <v/>
          </cell>
          <cell r="V1209" t="str">
            <v>PRO10</v>
          </cell>
          <cell r="W1209">
            <v>0</v>
          </cell>
        </row>
        <row r="1210">
          <cell r="C1210" t="str">
            <v>EUE50MTIFGPPB5</v>
          </cell>
          <cell r="D1210" t="str">
            <v>PRINC</v>
          </cell>
          <cell r="E1210" t="str">
            <v>00037</v>
          </cell>
          <cell r="F1210" t="str">
            <v>MODULOS Y PASADORES</v>
          </cell>
          <cell r="G1210" t="str">
            <v>PRINCIPAL</v>
          </cell>
          <cell r="H1210">
            <v>46004</v>
          </cell>
          <cell r="I1210" t="str">
            <v>SALDO INICIAL</v>
          </cell>
          <cell r="J1210">
            <v>1152</v>
          </cell>
          <cell r="K1210">
            <v>453.77800400000001</v>
          </cell>
          <cell r="L1210">
            <v>0.58179599999999998</v>
          </cell>
          <cell r="M1210">
            <v>0.39390451700000001</v>
          </cell>
          <cell r="N1210" t="str">
            <v/>
          </cell>
          <cell r="O1210" t="str">
            <v/>
          </cell>
          <cell r="P1210" t="str">
            <v/>
          </cell>
          <cell r="Q1210">
            <v>0</v>
          </cell>
          <cell r="R1210" t="str">
            <v>UND</v>
          </cell>
          <cell r="S1210">
            <v>0</v>
          </cell>
          <cell r="T1210">
            <v>0</v>
          </cell>
          <cell r="U1210" t="str">
            <v/>
          </cell>
          <cell r="V1210" t="str">
            <v>PRO10</v>
          </cell>
          <cell r="W1210">
            <v>0</v>
          </cell>
        </row>
        <row r="1211">
          <cell r="C1211" t="str">
            <v>EUE50MTIFGPPB10</v>
          </cell>
          <cell r="D1211" t="str">
            <v>PRINC</v>
          </cell>
          <cell r="E1211" t="str">
            <v>00037</v>
          </cell>
          <cell r="F1211" t="str">
            <v>MODULOS Y PASADORES</v>
          </cell>
          <cell r="G1211" t="str">
            <v>PRINCIPAL</v>
          </cell>
          <cell r="H1211">
            <v>46004</v>
          </cell>
          <cell r="I1211" t="str">
            <v>SALDO INICIAL</v>
          </cell>
          <cell r="J1211">
            <v>1117</v>
          </cell>
          <cell r="K1211">
            <v>946.76379699999995</v>
          </cell>
          <cell r="L1211">
            <v>0.87632399999999999</v>
          </cell>
          <cell r="M1211">
            <v>0.84759516300000004</v>
          </cell>
          <cell r="N1211" t="str">
            <v/>
          </cell>
          <cell r="O1211" t="str">
            <v/>
          </cell>
          <cell r="P1211" t="str">
            <v/>
          </cell>
          <cell r="Q1211">
            <v>0</v>
          </cell>
          <cell r="R1211" t="str">
            <v>UND</v>
          </cell>
          <cell r="S1211">
            <v>0</v>
          </cell>
          <cell r="T1211">
            <v>0</v>
          </cell>
          <cell r="U1211" t="str">
            <v/>
          </cell>
          <cell r="V1211" t="str">
            <v>PRO10</v>
          </cell>
          <cell r="W1211">
            <v>0</v>
          </cell>
        </row>
        <row r="1212">
          <cell r="C1212" t="str">
            <v>EUE50MTIFTPPA5</v>
          </cell>
          <cell r="D1212" t="str">
            <v>PRINC</v>
          </cell>
          <cell r="E1212" t="str">
            <v>00037</v>
          </cell>
          <cell r="F1212" t="str">
            <v>MODULOS Y PASADORES</v>
          </cell>
          <cell r="G1212" t="str">
            <v>PRINCIPAL</v>
          </cell>
          <cell r="H1212">
            <v>46004</v>
          </cell>
          <cell r="I1212" t="str">
            <v>SALDO INICIAL</v>
          </cell>
          <cell r="J1212">
            <v>5</v>
          </cell>
          <cell r="K1212">
            <v>7.2941240000000001</v>
          </cell>
          <cell r="L1212">
            <v>1.4588239999999999</v>
          </cell>
          <cell r="M1212">
            <v>1.4588247999999999</v>
          </cell>
          <cell r="N1212" t="str">
            <v/>
          </cell>
          <cell r="O1212" t="str">
            <v/>
          </cell>
          <cell r="P1212" t="str">
            <v/>
          </cell>
          <cell r="Q1212">
            <v>0</v>
          </cell>
          <cell r="R1212" t="str">
            <v>UND</v>
          </cell>
          <cell r="S1212">
            <v>0</v>
          </cell>
          <cell r="T1212">
            <v>0</v>
          </cell>
          <cell r="U1212" t="str">
            <v/>
          </cell>
          <cell r="V1212" t="str">
            <v>PRO10</v>
          </cell>
          <cell r="W1212">
            <v>0</v>
          </cell>
        </row>
        <row r="1213">
          <cell r="C1213" t="str">
            <v>EUE50MTIFTPPA10</v>
          </cell>
          <cell r="D1213" t="str">
            <v>PRINC</v>
          </cell>
          <cell r="E1213" t="str">
            <v>00037</v>
          </cell>
          <cell r="F1213" t="str">
            <v>MODULOS Y PASADORES</v>
          </cell>
          <cell r="G1213" t="str">
            <v>PRINCIPAL</v>
          </cell>
          <cell r="H1213">
            <v>46004</v>
          </cell>
          <cell r="I1213" t="str">
            <v>SALDO INICIAL</v>
          </cell>
          <cell r="J1213">
            <v>185</v>
          </cell>
          <cell r="K1213">
            <v>320.859375</v>
          </cell>
          <cell r="L1213">
            <v>1.734375</v>
          </cell>
          <cell r="M1213">
            <v>1.734375</v>
          </cell>
          <cell r="N1213" t="str">
            <v/>
          </cell>
          <cell r="O1213" t="str">
            <v/>
          </cell>
          <cell r="P1213" t="str">
            <v/>
          </cell>
          <cell r="Q1213">
            <v>0</v>
          </cell>
          <cell r="R1213" t="str">
            <v>UND</v>
          </cell>
          <cell r="S1213">
            <v>0</v>
          </cell>
          <cell r="T1213">
            <v>0</v>
          </cell>
          <cell r="U1213" t="str">
            <v/>
          </cell>
          <cell r="V1213" t="str">
            <v>PRO10</v>
          </cell>
          <cell r="W1213">
            <v>0</v>
          </cell>
        </row>
        <row r="1214">
          <cell r="C1214" t="str">
            <v>EUE50MTIFTPPSC2</v>
          </cell>
          <cell r="D1214" t="str">
            <v>PRINC</v>
          </cell>
          <cell r="E1214" t="str">
            <v>00037</v>
          </cell>
          <cell r="F1214" t="str">
            <v>MODULOS Y PASADORES</v>
          </cell>
          <cell r="G1214" t="str">
            <v>PRINCIPAL</v>
          </cell>
          <cell r="H1214">
            <v>46004</v>
          </cell>
          <cell r="I1214" t="str">
            <v>SALDO INICIAL</v>
          </cell>
          <cell r="J1214">
            <v>174</v>
          </cell>
          <cell r="K1214">
            <v>297.15839699999998</v>
          </cell>
          <cell r="L1214">
            <v>1.7078070000000001</v>
          </cell>
          <cell r="M1214">
            <v>1.7078068790000001</v>
          </cell>
          <cell r="N1214" t="str">
            <v/>
          </cell>
          <cell r="O1214" t="str">
            <v/>
          </cell>
          <cell r="P1214" t="str">
            <v/>
          </cell>
          <cell r="Q1214">
            <v>0</v>
          </cell>
          <cell r="R1214" t="str">
            <v>UND</v>
          </cell>
          <cell r="S1214">
            <v>0</v>
          </cell>
          <cell r="T1214">
            <v>0</v>
          </cell>
          <cell r="U1214" t="str">
            <v/>
          </cell>
          <cell r="V1214" t="str">
            <v>PRO10</v>
          </cell>
          <cell r="W1214">
            <v>0</v>
          </cell>
        </row>
        <row r="1215">
          <cell r="C1215" t="str">
            <v>EUE50MTIFTPPSC4</v>
          </cell>
          <cell r="D1215" t="str">
            <v>PRINC</v>
          </cell>
          <cell r="E1215" t="str">
            <v>00037</v>
          </cell>
          <cell r="F1215" t="str">
            <v>MODULOS Y PASADORES</v>
          </cell>
          <cell r="G1215" t="str">
            <v>PRINCIPAL</v>
          </cell>
          <cell r="H1215">
            <v>46004</v>
          </cell>
          <cell r="I1215" t="str">
            <v>SALDO INICIAL</v>
          </cell>
          <cell r="J1215">
            <v>205</v>
          </cell>
          <cell r="K1215">
            <v>492.598005</v>
          </cell>
          <cell r="L1215">
            <v>2.402917</v>
          </cell>
          <cell r="M1215">
            <v>2.4029170980000001</v>
          </cell>
          <cell r="N1215" t="str">
            <v/>
          </cell>
          <cell r="O1215" t="str">
            <v/>
          </cell>
          <cell r="P1215" t="str">
            <v/>
          </cell>
          <cell r="Q1215">
            <v>0</v>
          </cell>
          <cell r="R1215" t="str">
            <v>UND</v>
          </cell>
          <cell r="S1215">
            <v>0</v>
          </cell>
          <cell r="T1215">
            <v>0</v>
          </cell>
          <cell r="U1215" t="str">
            <v/>
          </cell>
          <cell r="V1215" t="str">
            <v>PRO10</v>
          </cell>
          <cell r="W1215">
            <v>0</v>
          </cell>
        </row>
        <row r="1216">
          <cell r="C1216" t="str">
            <v>EUE92SLD4FGPPA5</v>
          </cell>
          <cell r="D1216" t="str">
            <v>PRINC</v>
          </cell>
          <cell r="E1216" t="str">
            <v>00037</v>
          </cell>
          <cell r="F1216" t="str">
            <v>MODULOS Y PASADORES</v>
          </cell>
          <cell r="G1216" t="str">
            <v>PRINCIPAL</v>
          </cell>
          <cell r="H1216">
            <v>46004</v>
          </cell>
          <cell r="I1216" t="str">
            <v>SALDO INICIAL</v>
          </cell>
          <cell r="J1216">
            <v>2005</v>
          </cell>
          <cell r="K1216">
            <v>934.59191699999997</v>
          </cell>
          <cell r="L1216">
            <v>0.46613100000000002</v>
          </cell>
          <cell r="M1216">
            <v>0.46613063199999999</v>
          </cell>
          <cell r="N1216" t="str">
            <v/>
          </cell>
          <cell r="O1216" t="str">
            <v/>
          </cell>
          <cell r="P1216" t="str">
            <v/>
          </cell>
          <cell r="Q1216">
            <v>0</v>
          </cell>
          <cell r="R1216" t="str">
            <v>UND</v>
          </cell>
          <cell r="S1216">
            <v>0</v>
          </cell>
          <cell r="T1216">
            <v>0</v>
          </cell>
          <cell r="U1216" t="str">
            <v/>
          </cell>
          <cell r="V1216" t="str">
            <v>PRO10</v>
          </cell>
          <cell r="W1216">
            <v>0</v>
          </cell>
        </row>
        <row r="1217">
          <cell r="C1217" t="str">
            <v>EUE92SLD4FGPPA1</v>
          </cell>
          <cell r="D1217" t="str">
            <v>PRINC</v>
          </cell>
          <cell r="E1217" t="str">
            <v>00037</v>
          </cell>
          <cell r="F1217" t="str">
            <v>MODULOS Y PASADORES</v>
          </cell>
          <cell r="G1217" t="str">
            <v>PRINCIPAL</v>
          </cell>
          <cell r="H1217">
            <v>46004</v>
          </cell>
          <cell r="I1217" t="str">
            <v>SALDO INICIAL</v>
          </cell>
          <cell r="J1217">
            <v>1089</v>
          </cell>
          <cell r="K1217">
            <v>620.55254600000001</v>
          </cell>
          <cell r="L1217">
            <v>0.57735899999999996</v>
          </cell>
          <cell r="M1217">
            <v>0.56983704899999998</v>
          </cell>
          <cell r="N1217" t="str">
            <v/>
          </cell>
          <cell r="O1217" t="str">
            <v/>
          </cell>
          <cell r="P1217" t="str">
            <v/>
          </cell>
          <cell r="Q1217">
            <v>0</v>
          </cell>
          <cell r="R1217" t="str">
            <v>UND</v>
          </cell>
          <cell r="S1217">
            <v>0</v>
          </cell>
          <cell r="T1217">
            <v>0</v>
          </cell>
          <cell r="U1217" t="str">
            <v/>
          </cell>
          <cell r="V1217" t="str">
            <v>PRO10</v>
          </cell>
          <cell r="W1217">
            <v>0</v>
          </cell>
        </row>
        <row r="1218">
          <cell r="C1218" t="str">
            <v>EUE92SLD4FGPPB1</v>
          </cell>
          <cell r="D1218" t="str">
            <v>PRINC</v>
          </cell>
          <cell r="E1218" t="str">
            <v>00037</v>
          </cell>
          <cell r="F1218" t="str">
            <v>MODULOS Y PASADORES</v>
          </cell>
          <cell r="G1218" t="str">
            <v>PRINCIPAL</v>
          </cell>
          <cell r="H1218">
            <v>46004</v>
          </cell>
          <cell r="I1218" t="str">
            <v>SALDO INICIAL</v>
          </cell>
          <cell r="J1218">
            <v>1415</v>
          </cell>
          <cell r="K1218">
            <v>669.00917000000004</v>
          </cell>
          <cell r="L1218">
            <v>0.472798</v>
          </cell>
          <cell r="M1218">
            <v>0.472798</v>
          </cell>
          <cell r="N1218" t="str">
            <v/>
          </cell>
          <cell r="O1218" t="str">
            <v/>
          </cell>
          <cell r="P1218" t="str">
            <v/>
          </cell>
          <cell r="Q1218">
            <v>0</v>
          </cell>
          <cell r="R1218" t="str">
            <v>UND</v>
          </cell>
          <cell r="S1218">
            <v>0</v>
          </cell>
          <cell r="T1218">
            <v>0</v>
          </cell>
          <cell r="U1218" t="str">
            <v/>
          </cell>
          <cell r="V1218" t="str">
            <v>PRO10</v>
          </cell>
          <cell r="W1218">
            <v>0</v>
          </cell>
        </row>
        <row r="1219">
          <cell r="C1219" t="str">
            <v>EUE92SLI4FGPPA5</v>
          </cell>
          <cell r="D1219" t="str">
            <v>PRINC</v>
          </cell>
          <cell r="E1219" t="str">
            <v>00037</v>
          </cell>
          <cell r="F1219" t="str">
            <v>MODULOS Y PASADORES</v>
          </cell>
          <cell r="G1219" t="str">
            <v>PRINCIPAL</v>
          </cell>
          <cell r="H1219">
            <v>46004</v>
          </cell>
          <cell r="I1219" t="str">
            <v>SALDO INICIAL</v>
          </cell>
          <cell r="J1219">
            <v>2232</v>
          </cell>
          <cell r="K1219">
            <v>1039.3999799999999</v>
          </cell>
          <cell r="L1219">
            <v>0.46568100000000001</v>
          </cell>
          <cell r="M1219">
            <v>0.46568099499999999</v>
          </cell>
          <cell r="N1219" t="str">
            <v/>
          </cell>
          <cell r="O1219" t="str">
            <v/>
          </cell>
          <cell r="P1219" t="str">
            <v/>
          </cell>
          <cell r="Q1219">
            <v>0</v>
          </cell>
          <cell r="R1219" t="str">
            <v>UND</v>
          </cell>
          <cell r="S1219">
            <v>0</v>
          </cell>
          <cell r="T1219">
            <v>0</v>
          </cell>
          <cell r="U1219" t="str">
            <v/>
          </cell>
          <cell r="V1219" t="str">
            <v>PRO10</v>
          </cell>
          <cell r="W1219">
            <v>0</v>
          </cell>
        </row>
        <row r="1220">
          <cell r="C1220" t="str">
            <v>EUE92SLI4FGPPA1</v>
          </cell>
          <cell r="D1220" t="str">
            <v>PRINC</v>
          </cell>
          <cell r="E1220" t="str">
            <v>00037</v>
          </cell>
          <cell r="F1220" t="str">
            <v>MODULOS Y PASADORES</v>
          </cell>
          <cell r="G1220" t="str">
            <v>PRINCIPAL</v>
          </cell>
          <cell r="H1220">
            <v>46004</v>
          </cell>
          <cell r="I1220" t="str">
            <v>SALDO INICIAL</v>
          </cell>
          <cell r="J1220">
            <v>862</v>
          </cell>
          <cell r="K1220">
            <v>491.526186</v>
          </cell>
          <cell r="L1220">
            <v>0.57789299999999999</v>
          </cell>
          <cell r="M1220">
            <v>0.57021599300000003</v>
          </cell>
          <cell r="N1220" t="str">
            <v/>
          </cell>
          <cell r="O1220" t="str">
            <v/>
          </cell>
          <cell r="P1220" t="str">
            <v/>
          </cell>
          <cell r="Q1220">
            <v>0</v>
          </cell>
          <cell r="R1220" t="str">
            <v>UND</v>
          </cell>
          <cell r="S1220">
            <v>0</v>
          </cell>
          <cell r="T1220">
            <v>0</v>
          </cell>
          <cell r="U1220" t="str">
            <v/>
          </cell>
          <cell r="V1220" t="str">
            <v>PRO10</v>
          </cell>
          <cell r="W1220">
            <v>0</v>
          </cell>
        </row>
        <row r="1221">
          <cell r="C1221" t="str">
            <v>EUE92SLI4FGPPB1</v>
          </cell>
          <cell r="D1221" t="str">
            <v>PRINC</v>
          </cell>
          <cell r="E1221" t="str">
            <v>00037</v>
          </cell>
          <cell r="F1221" t="str">
            <v>MODULOS Y PASADORES</v>
          </cell>
          <cell r="G1221" t="str">
            <v>PRINCIPAL</v>
          </cell>
          <cell r="H1221">
            <v>46004</v>
          </cell>
          <cell r="I1221" t="str">
            <v>SALDO INICIAL</v>
          </cell>
          <cell r="J1221">
            <v>1434</v>
          </cell>
          <cell r="K1221">
            <v>681.30783899999994</v>
          </cell>
          <cell r="L1221">
            <v>0.47510999999999998</v>
          </cell>
          <cell r="M1221">
            <v>0.47511006900000002</v>
          </cell>
          <cell r="N1221" t="str">
            <v/>
          </cell>
          <cell r="O1221" t="str">
            <v/>
          </cell>
          <cell r="P1221" t="str">
            <v/>
          </cell>
          <cell r="Q1221">
            <v>0</v>
          </cell>
          <cell r="R1221" t="str">
            <v>UND</v>
          </cell>
          <cell r="S1221">
            <v>0</v>
          </cell>
          <cell r="T1221">
            <v>0</v>
          </cell>
          <cell r="U1221" t="str">
            <v/>
          </cell>
          <cell r="V1221" t="str">
            <v>PRO10</v>
          </cell>
          <cell r="W1221">
            <v>0</v>
          </cell>
        </row>
        <row r="1222">
          <cell r="C1222" t="str">
            <v>EUE93SLDFGACA2.</v>
          </cell>
          <cell r="D1222" t="str">
            <v>PRINC</v>
          </cell>
          <cell r="E1222" t="str">
            <v>00037</v>
          </cell>
          <cell r="F1222" t="str">
            <v>MODULOS Y PASADORES</v>
          </cell>
          <cell r="G1222" t="str">
            <v>PRINCIPAL</v>
          </cell>
          <cell r="H1222">
            <v>46004</v>
          </cell>
          <cell r="I1222" t="str">
            <v>SALDO INICIAL</v>
          </cell>
          <cell r="J1222">
            <v>541</v>
          </cell>
          <cell r="K1222">
            <v>261.564707</v>
          </cell>
          <cell r="L1222">
            <v>0.55283700000000002</v>
          </cell>
          <cell r="M1222">
            <v>0.48348374700000002</v>
          </cell>
          <cell r="N1222" t="str">
            <v/>
          </cell>
          <cell r="O1222" t="str">
            <v/>
          </cell>
          <cell r="P1222" t="str">
            <v/>
          </cell>
          <cell r="Q1222">
            <v>0</v>
          </cell>
          <cell r="R1222" t="str">
            <v>UND</v>
          </cell>
          <cell r="S1222">
            <v>0</v>
          </cell>
          <cell r="T1222">
            <v>0</v>
          </cell>
          <cell r="U1222" t="str">
            <v/>
          </cell>
          <cell r="V1222" t="str">
            <v>PRO10</v>
          </cell>
          <cell r="W1222">
            <v>0</v>
          </cell>
        </row>
        <row r="1223">
          <cell r="C1223" t="str">
            <v>EUE93CLDFGACA2.</v>
          </cell>
          <cell r="D1223" t="str">
            <v>PRINC</v>
          </cell>
          <cell r="E1223" t="str">
            <v>00037</v>
          </cell>
          <cell r="F1223" t="str">
            <v>MODULOS Y PASADORES</v>
          </cell>
          <cell r="G1223" t="str">
            <v>PRINCIPAL</v>
          </cell>
          <cell r="H1223">
            <v>46004</v>
          </cell>
          <cell r="I1223" t="str">
            <v>SALDO INICIAL</v>
          </cell>
          <cell r="J1223">
            <v>170</v>
          </cell>
          <cell r="K1223">
            <v>116.399</v>
          </cell>
          <cell r="L1223">
            <v>0.68469999999999998</v>
          </cell>
          <cell r="M1223">
            <v>0.68469999999999998</v>
          </cell>
          <cell r="N1223" t="str">
            <v/>
          </cell>
          <cell r="O1223" t="str">
            <v/>
          </cell>
          <cell r="P1223" t="str">
            <v/>
          </cell>
          <cell r="Q1223">
            <v>0</v>
          </cell>
          <cell r="R1223" t="str">
            <v>UND</v>
          </cell>
          <cell r="S1223">
            <v>0</v>
          </cell>
          <cell r="T1223">
            <v>0</v>
          </cell>
          <cell r="U1223" t="str">
            <v/>
          </cell>
          <cell r="V1223" t="str">
            <v>PRO10</v>
          </cell>
          <cell r="W1223">
            <v>0</v>
          </cell>
        </row>
        <row r="1224">
          <cell r="C1224" t="str">
            <v>EUE93SLDFGACA3.</v>
          </cell>
          <cell r="D1224" t="str">
            <v>PRINC</v>
          </cell>
          <cell r="E1224" t="str">
            <v>00037</v>
          </cell>
          <cell r="F1224" t="str">
            <v>MODULOS Y PASADORES</v>
          </cell>
          <cell r="G1224" t="str">
            <v>PRINCIPAL</v>
          </cell>
          <cell r="H1224">
            <v>46004</v>
          </cell>
          <cell r="I1224" t="str">
            <v>SALDO INICIAL</v>
          </cell>
          <cell r="J1224">
            <v>121</v>
          </cell>
          <cell r="K1224">
            <v>38.283560999999999</v>
          </cell>
          <cell r="L1224">
            <v>0.54153099999999998</v>
          </cell>
          <cell r="M1224">
            <v>0.316393066</v>
          </cell>
          <cell r="N1224" t="str">
            <v/>
          </cell>
          <cell r="O1224" t="str">
            <v/>
          </cell>
          <cell r="P1224" t="str">
            <v/>
          </cell>
          <cell r="Q1224">
            <v>0</v>
          </cell>
          <cell r="R1224" t="str">
            <v>UND</v>
          </cell>
          <cell r="S1224">
            <v>0</v>
          </cell>
          <cell r="T1224">
            <v>0</v>
          </cell>
          <cell r="U1224" t="str">
            <v/>
          </cell>
          <cell r="V1224" t="str">
            <v>PRO10</v>
          </cell>
          <cell r="W1224">
            <v>0</v>
          </cell>
        </row>
        <row r="1225">
          <cell r="C1225" t="str">
            <v>EUE93CLDFGACA3.</v>
          </cell>
          <cell r="D1225" t="str">
            <v>PRINC</v>
          </cell>
          <cell r="E1225" t="str">
            <v>00037</v>
          </cell>
          <cell r="F1225" t="str">
            <v>MODULOS Y PASADORES</v>
          </cell>
          <cell r="G1225" t="str">
            <v>PRINCIPAL</v>
          </cell>
          <cell r="H1225">
            <v>46004</v>
          </cell>
          <cell r="I1225" t="str">
            <v>SALDO INICIAL</v>
          </cell>
          <cell r="J1225">
            <v>176</v>
          </cell>
          <cell r="K1225">
            <v>120.5072</v>
          </cell>
          <cell r="L1225">
            <v>0.68469999999999998</v>
          </cell>
          <cell r="M1225">
            <v>0.68469999999999998</v>
          </cell>
          <cell r="N1225" t="str">
            <v/>
          </cell>
          <cell r="O1225" t="str">
            <v/>
          </cell>
          <cell r="P1225" t="str">
            <v/>
          </cell>
          <cell r="Q1225">
            <v>0</v>
          </cell>
          <cell r="R1225" t="str">
            <v>UND</v>
          </cell>
          <cell r="S1225">
            <v>0</v>
          </cell>
          <cell r="T1225">
            <v>0</v>
          </cell>
          <cell r="U1225" t="str">
            <v/>
          </cell>
          <cell r="V1225" t="str">
            <v>PRO10</v>
          </cell>
          <cell r="W1225">
            <v>0</v>
          </cell>
        </row>
        <row r="1226">
          <cell r="C1226" t="str">
            <v>EUE93SLDFGPPA2.</v>
          </cell>
          <cell r="D1226" t="str">
            <v>PRINC</v>
          </cell>
          <cell r="E1226" t="str">
            <v>00037</v>
          </cell>
          <cell r="F1226" t="str">
            <v>MODULOS Y PASADORES</v>
          </cell>
          <cell r="G1226" t="str">
            <v>PRINCIPAL</v>
          </cell>
          <cell r="H1226">
            <v>46004</v>
          </cell>
          <cell r="I1226" t="str">
            <v>SALDO INICIAL</v>
          </cell>
          <cell r="J1226">
            <v>1374</v>
          </cell>
          <cell r="K1226">
            <v>510.55895900000002</v>
          </cell>
          <cell r="L1226">
            <v>0.371587</v>
          </cell>
          <cell r="M1226">
            <v>0.37158585100000002</v>
          </cell>
          <cell r="N1226" t="str">
            <v/>
          </cell>
          <cell r="O1226" t="str">
            <v/>
          </cell>
          <cell r="P1226" t="str">
            <v/>
          </cell>
          <cell r="Q1226">
            <v>0</v>
          </cell>
          <cell r="R1226" t="str">
            <v>UND</v>
          </cell>
          <cell r="S1226">
            <v>0</v>
          </cell>
          <cell r="T1226">
            <v>0</v>
          </cell>
          <cell r="U1226" t="str">
            <v/>
          </cell>
          <cell r="V1226" t="str">
            <v>PRO10</v>
          </cell>
          <cell r="W1226">
            <v>0</v>
          </cell>
        </row>
        <row r="1227">
          <cell r="C1227" t="str">
            <v>EUE93SLDFGPPA3.</v>
          </cell>
          <cell r="D1227" t="str">
            <v>PRINC</v>
          </cell>
          <cell r="E1227" t="str">
            <v>00037</v>
          </cell>
          <cell r="F1227" t="str">
            <v>MODULOS Y PASADORES</v>
          </cell>
          <cell r="G1227" t="str">
            <v>PRINCIPAL</v>
          </cell>
          <cell r="H1227">
            <v>46004</v>
          </cell>
          <cell r="I1227" t="str">
            <v>SALDO INICIAL</v>
          </cell>
          <cell r="J1227">
            <v>734</v>
          </cell>
          <cell r="K1227">
            <v>272.45272999999997</v>
          </cell>
          <cell r="L1227">
            <v>0.37119000000000002</v>
          </cell>
          <cell r="M1227">
            <v>0.37118900500000002</v>
          </cell>
          <cell r="N1227" t="str">
            <v/>
          </cell>
          <cell r="O1227" t="str">
            <v/>
          </cell>
          <cell r="P1227" t="str">
            <v/>
          </cell>
          <cell r="Q1227">
            <v>0</v>
          </cell>
          <cell r="R1227" t="str">
            <v>UND</v>
          </cell>
          <cell r="S1227">
            <v>0</v>
          </cell>
          <cell r="T1227">
            <v>0</v>
          </cell>
          <cell r="U1227" t="str">
            <v/>
          </cell>
          <cell r="V1227" t="str">
            <v>PRO10</v>
          </cell>
          <cell r="W1227">
            <v>0</v>
          </cell>
        </row>
        <row r="1228">
          <cell r="C1228" t="str">
            <v>EUE93SLDFGPPB2.</v>
          </cell>
          <cell r="D1228" t="str">
            <v>PRINC</v>
          </cell>
          <cell r="E1228" t="str">
            <v>00037</v>
          </cell>
          <cell r="F1228" t="str">
            <v>MODULOS Y PASADORES</v>
          </cell>
          <cell r="G1228" t="str">
            <v>PRINCIPAL</v>
          </cell>
          <cell r="H1228">
            <v>46004</v>
          </cell>
          <cell r="I1228" t="str">
            <v>SALDO INICIAL</v>
          </cell>
          <cell r="J1228">
            <v>220</v>
          </cell>
          <cell r="K1228">
            <v>86.194435999999996</v>
          </cell>
          <cell r="L1228">
            <v>0.42309099999999999</v>
          </cell>
          <cell r="M1228">
            <v>0.39179289099999998</v>
          </cell>
          <cell r="N1228" t="str">
            <v/>
          </cell>
          <cell r="O1228" t="str">
            <v/>
          </cell>
          <cell r="P1228" t="str">
            <v/>
          </cell>
          <cell r="Q1228">
            <v>0</v>
          </cell>
          <cell r="R1228" t="str">
            <v>UND</v>
          </cell>
          <cell r="S1228">
            <v>0</v>
          </cell>
          <cell r="T1228">
            <v>0</v>
          </cell>
          <cell r="U1228" t="str">
            <v/>
          </cell>
          <cell r="V1228" t="str">
            <v>PRO10</v>
          </cell>
          <cell r="W1228">
            <v>0</v>
          </cell>
        </row>
        <row r="1229">
          <cell r="C1229" t="str">
            <v>EUE93SLDFGPPB3.</v>
          </cell>
          <cell r="D1229" t="str">
            <v>PRINC</v>
          </cell>
          <cell r="E1229" t="str">
            <v>00037</v>
          </cell>
          <cell r="F1229" t="str">
            <v>MODULOS Y PASADORES</v>
          </cell>
          <cell r="G1229" t="str">
            <v>PRINCIPAL</v>
          </cell>
          <cell r="H1229">
            <v>46004</v>
          </cell>
          <cell r="I1229" t="str">
            <v>SALDO INICIAL</v>
          </cell>
          <cell r="J1229">
            <v>337</v>
          </cell>
          <cell r="K1229">
            <v>165.87289799999999</v>
          </cell>
          <cell r="L1229">
            <v>0.44012200000000001</v>
          </cell>
          <cell r="M1229">
            <v>0.49220444499999999</v>
          </cell>
          <cell r="N1229" t="str">
            <v/>
          </cell>
          <cell r="O1229" t="str">
            <v/>
          </cell>
          <cell r="P1229" t="str">
            <v/>
          </cell>
          <cell r="Q1229">
            <v>0</v>
          </cell>
          <cell r="R1229" t="str">
            <v>UND</v>
          </cell>
          <cell r="S1229">
            <v>0</v>
          </cell>
          <cell r="T1229">
            <v>0</v>
          </cell>
          <cell r="U1229" t="str">
            <v/>
          </cell>
          <cell r="V1229" t="str">
            <v>PRO10</v>
          </cell>
          <cell r="W1229">
            <v>0</v>
          </cell>
        </row>
        <row r="1230">
          <cell r="C1230" t="str">
            <v>EUE93CLDFGPPB3.</v>
          </cell>
          <cell r="D1230" t="str">
            <v>PRINC</v>
          </cell>
          <cell r="E1230" t="str">
            <v>00037</v>
          </cell>
          <cell r="F1230" t="str">
            <v>MODULOS Y PASADORES</v>
          </cell>
          <cell r="G1230" t="str">
            <v>PRINCIPAL</v>
          </cell>
          <cell r="H1230">
            <v>46004</v>
          </cell>
          <cell r="I1230" t="str">
            <v>SALDO INICIAL</v>
          </cell>
          <cell r="J1230">
            <v>341</v>
          </cell>
          <cell r="K1230">
            <v>131.21911</v>
          </cell>
          <cell r="L1230">
            <v>0.365595</v>
          </cell>
          <cell r="M1230">
            <v>0.38480677400000002</v>
          </cell>
          <cell r="N1230" t="str">
            <v/>
          </cell>
          <cell r="O1230" t="str">
            <v/>
          </cell>
          <cell r="P1230" t="str">
            <v/>
          </cell>
          <cell r="Q1230">
            <v>0</v>
          </cell>
          <cell r="R1230" t="str">
            <v>UND</v>
          </cell>
          <cell r="S1230">
            <v>0</v>
          </cell>
          <cell r="T1230">
            <v>0</v>
          </cell>
          <cell r="U1230" t="str">
            <v/>
          </cell>
          <cell r="V1230" t="str">
            <v>PRO10</v>
          </cell>
          <cell r="W1230">
            <v>0</v>
          </cell>
        </row>
        <row r="1231">
          <cell r="C1231" t="str">
            <v>EUE93SLIFGACA2.</v>
          </cell>
          <cell r="D1231" t="str">
            <v>PRINC</v>
          </cell>
          <cell r="E1231" t="str">
            <v>00037</v>
          </cell>
          <cell r="F1231" t="str">
            <v>MODULOS Y PASADORES</v>
          </cell>
          <cell r="G1231" t="str">
            <v>PRINCIPAL</v>
          </cell>
          <cell r="H1231">
            <v>46004</v>
          </cell>
          <cell r="I1231" t="str">
            <v>SALDO INICIAL</v>
          </cell>
          <cell r="J1231">
            <v>554</v>
          </cell>
          <cell r="K1231">
            <v>268.556084</v>
          </cell>
          <cell r="L1231">
            <v>0.55266400000000004</v>
          </cell>
          <cell r="M1231">
            <v>0.48475827399999999</v>
          </cell>
          <cell r="N1231" t="str">
            <v/>
          </cell>
          <cell r="O1231" t="str">
            <v/>
          </cell>
          <cell r="P1231" t="str">
            <v/>
          </cell>
          <cell r="Q1231">
            <v>0</v>
          </cell>
          <cell r="R1231" t="str">
            <v>UND</v>
          </cell>
          <cell r="S1231">
            <v>0</v>
          </cell>
          <cell r="T1231">
            <v>0</v>
          </cell>
          <cell r="U1231" t="str">
            <v/>
          </cell>
          <cell r="V1231" t="str">
            <v>PRO10</v>
          </cell>
          <cell r="W1231">
            <v>0</v>
          </cell>
        </row>
        <row r="1232">
          <cell r="C1232" t="str">
            <v>EUE93CLIFGACA2.</v>
          </cell>
          <cell r="D1232" t="str">
            <v>PRINC</v>
          </cell>
          <cell r="E1232" t="str">
            <v>00037</v>
          </cell>
          <cell r="F1232" t="str">
            <v>MODULOS Y PASADORES</v>
          </cell>
          <cell r="G1232" t="str">
            <v>PRINCIPAL</v>
          </cell>
          <cell r="H1232">
            <v>46004</v>
          </cell>
          <cell r="I1232" t="str">
            <v>SALDO INICIAL</v>
          </cell>
          <cell r="J1232">
            <v>169</v>
          </cell>
          <cell r="K1232">
            <v>115.71429999999999</v>
          </cell>
          <cell r="L1232">
            <v>0.68469999999999998</v>
          </cell>
          <cell r="M1232">
            <v>0.68469999999999998</v>
          </cell>
          <cell r="N1232" t="str">
            <v/>
          </cell>
          <cell r="O1232" t="str">
            <v/>
          </cell>
          <cell r="P1232" t="str">
            <v/>
          </cell>
          <cell r="Q1232">
            <v>0</v>
          </cell>
          <cell r="R1232" t="str">
            <v>UND</v>
          </cell>
          <cell r="S1232">
            <v>0</v>
          </cell>
          <cell r="T1232">
            <v>0</v>
          </cell>
          <cell r="U1232" t="str">
            <v/>
          </cell>
          <cell r="V1232" t="str">
            <v>PRO10</v>
          </cell>
          <cell r="W1232">
            <v>0</v>
          </cell>
        </row>
        <row r="1233">
          <cell r="C1233" t="str">
            <v>EUE93SLIFGACA3.</v>
          </cell>
          <cell r="D1233" t="str">
            <v>PRINC</v>
          </cell>
          <cell r="E1233" t="str">
            <v>00037</v>
          </cell>
          <cell r="F1233" t="str">
            <v>MODULOS Y PASADORES</v>
          </cell>
          <cell r="G1233" t="str">
            <v>PRINCIPAL</v>
          </cell>
          <cell r="H1233">
            <v>46004</v>
          </cell>
          <cell r="I1233" t="str">
            <v>SALDO INICIAL</v>
          </cell>
          <cell r="J1233">
            <v>239</v>
          </cell>
          <cell r="K1233">
            <v>100.447564</v>
          </cell>
          <cell r="L1233">
            <v>0.54208800000000001</v>
          </cell>
          <cell r="M1233">
            <v>0.42028269499999998</v>
          </cell>
          <cell r="N1233" t="str">
            <v/>
          </cell>
          <cell r="O1233" t="str">
            <v/>
          </cell>
          <cell r="P1233" t="str">
            <v/>
          </cell>
          <cell r="Q1233">
            <v>0</v>
          </cell>
          <cell r="R1233" t="str">
            <v>UND</v>
          </cell>
          <cell r="S1233">
            <v>0</v>
          </cell>
          <cell r="T1233">
            <v>0</v>
          </cell>
          <cell r="U1233" t="str">
            <v/>
          </cell>
          <cell r="V1233" t="str">
            <v>PRO10</v>
          </cell>
          <cell r="W1233">
            <v>0</v>
          </cell>
        </row>
        <row r="1234">
          <cell r="C1234" t="str">
            <v>EUE93CLIFGACA3.</v>
          </cell>
          <cell r="D1234" t="str">
            <v>PRINC</v>
          </cell>
          <cell r="E1234" t="str">
            <v>00037</v>
          </cell>
          <cell r="F1234" t="str">
            <v>MODULOS Y PASADORES</v>
          </cell>
          <cell r="G1234" t="str">
            <v>PRINCIPAL</v>
          </cell>
          <cell r="H1234">
            <v>46004</v>
          </cell>
          <cell r="I1234" t="str">
            <v>SALDO INICIAL</v>
          </cell>
          <cell r="J1234">
            <v>153</v>
          </cell>
          <cell r="K1234">
            <v>104.88960899999999</v>
          </cell>
          <cell r="L1234">
            <v>0.68555299999999997</v>
          </cell>
          <cell r="M1234">
            <v>0.68555299999999997</v>
          </cell>
          <cell r="N1234" t="str">
            <v/>
          </cell>
          <cell r="O1234" t="str">
            <v/>
          </cell>
          <cell r="P1234" t="str">
            <v/>
          </cell>
          <cell r="Q1234">
            <v>0</v>
          </cell>
          <cell r="R1234" t="str">
            <v>UND</v>
          </cell>
          <cell r="S1234">
            <v>0</v>
          </cell>
          <cell r="T1234">
            <v>0</v>
          </cell>
          <cell r="U1234" t="str">
            <v/>
          </cell>
          <cell r="V1234" t="str">
            <v>PRO10</v>
          </cell>
          <cell r="W1234">
            <v>0</v>
          </cell>
        </row>
        <row r="1235">
          <cell r="C1235" t="str">
            <v>EUE93SLIFGPPA2.</v>
          </cell>
          <cell r="D1235" t="str">
            <v>PRINC</v>
          </cell>
          <cell r="E1235" t="str">
            <v>00037</v>
          </cell>
          <cell r="F1235" t="str">
            <v>MODULOS Y PASADORES</v>
          </cell>
          <cell r="G1235" t="str">
            <v>PRINCIPAL</v>
          </cell>
          <cell r="H1235">
            <v>46004</v>
          </cell>
          <cell r="I1235" t="str">
            <v>SALDO INICIAL</v>
          </cell>
          <cell r="J1235">
            <v>1510</v>
          </cell>
          <cell r="K1235">
            <v>561.07723999999996</v>
          </cell>
          <cell r="L1235">
            <v>0.37157600000000002</v>
          </cell>
          <cell r="M1235">
            <v>0.37157433099999998</v>
          </cell>
          <cell r="N1235" t="str">
            <v/>
          </cell>
          <cell r="O1235" t="str">
            <v/>
          </cell>
          <cell r="P1235" t="str">
            <v/>
          </cell>
          <cell r="Q1235">
            <v>0</v>
          </cell>
          <cell r="R1235" t="str">
            <v>UND</v>
          </cell>
          <cell r="S1235">
            <v>0</v>
          </cell>
          <cell r="T1235">
            <v>0</v>
          </cell>
          <cell r="U1235" t="str">
            <v/>
          </cell>
          <cell r="V1235" t="str">
            <v>PRO10</v>
          </cell>
          <cell r="W1235">
            <v>0</v>
          </cell>
        </row>
        <row r="1236">
          <cell r="C1236" t="str">
            <v>EUE93SLIFGPPA3.</v>
          </cell>
          <cell r="D1236" t="str">
            <v>PRINC</v>
          </cell>
          <cell r="E1236" t="str">
            <v>00037</v>
          </cell>
          <cell r="F1236" t="str">
            <v>MODULOS Y PASADORES</v>
          </cell>
          <cell r="G1236" t="str">
            <v>PRINCIPAL</v>
          </cell>
          <cell r="H1236">
            <v>46004</v>
          </cell>
          <cell r="I1236" t="str">
            <v>SALDO INICIAL</v>
          </cell>
          <cell r="J1236">
            <v>792</v>
          </cell>
          <cell r="K1236">
            <v>293.83989100000002</v>
          </cell>
          <cell r="L1236">
            <v>0.37101299999999998</v>
          </cell>
          <cell r="M1236">
            <v>0.371009963</v>
          </cell>
          <cell r="N1236" t="str">
            <v/>
          </cell>
          <cell r="O1236" t="str">
            <v/>
          </cell>
          <cell r="P1236" t="str">
            <v/>
          </cell>
          <cell r="Q1236">
            <v>0</v>
          </cell>
          <cell r="R1236" t="str">
            <v>UND</v>
          </cell>
          <cell r="S1236">
            <v>0</v>
          </cell>
          <cell r="T1236">
            <v>0</v>
          </cell>
          <cell r="U1236" t="str">
            <v/>
          </cell>
          <cell r="V1236" t="str">
            <v>PRO10</v>
          </cell>
          <cell r="W1236">
            <v>0</v>
          </cell>
        </row>
        <row r="1237">
          <cell r="C1237" t="str">
            <v>EUE93SLIFGPPB2.</v>
          </cell>
          <cell r="D1237" t="str">
            <v>PRINC</v>
          </cell>
          <cell r="E1237" t="str">
            <v>00037</v>
          </cell>
          <cell r="F1237" t="str">
            <v>MODULOS Y PASADORES</v>
          </cell>
          <cell r="G1237" t="str">
            <v>PRINCIPAL</v>
          </cell>
          <cell r="H1237">
            <v>46004</v>
          </cell>
          <cell r="I1237" t="str">
            <v>SALDO INICIAL</v>
          </cell>
          <cell r="J1237">
            <v>104</v>
          </cell>
          <cell r="K1237">
            <v>40.069341999999999</v>
          </cell>
          <cell r="L1237">
            <v>0.42309099999999999</v>
          </cell>
          <cell r="M1237">
            <v>0.38528213500000003</v>
          </cell>
          <cell r="N1237" t="str">
            <v/>
          </cell>
          <cell r="O1237" t="str">
            <v/>
          </cell>
          <cell r="P1237" t="str">
            <v/>
          </cell>
          <cell r="Q1237">
            <v>0</v>
          </cell>
          <cell r="R1237" t="str">
            <v>UND</v>
          </cell>
          <cell r="S1237">
            <v>0</v>
          </cell>
          <cell r="T1237">
            <v>0</v>
          </cell>
          <cell r="U1237" t="str">
            <v/>
          </cell>
          <cell r="V1237" t="str">
            <v>PRO10</v>
          </cell>
          <cell r="W1237">
            <v>0</v>
          </cell>
        </row>
        <row r="1238">
          <cell r="C1238" t="str">
            <v>EUE93SLIFGPPB3.</v>
          </cell>
          <cell r="D1238" t="str">
            <v>PRINC</v>
          </cell>
          <cell r="E1238" t="str">
            <v>00037</v>
          </cell>
          <cell r="F1238" t="str">
            <v>MODULOS Y PASADORES</v>
          </cell>
          <cell r="G1238" t="str">
            <v>PRINCIPAL</v>
          </cell>
          <cell r="H1238">
            <v>46004</v>
          </cell>
          <cell r="I1238" t="str">
            <v>SALDO INICIAL</v>
          </cell>
          <cell r="J1238">
            <v>368</v>
          </cell>
          <cell r="K1238">
            <v>177.341037</v>
          </cell>
          <cell r="L1238">
            <v>0.43973800000000002</v>
          </cell>
          <cell r="M1238">
            <v>0.48190499199999998</v>
          </cell>
          <cell r="N1238" t="str">
            <v/>
          </cell>
          <cell r="O1238" t="str">
            <v/>
          </cell>
          <cell r="P1238" t="str">
            <v/>
          </cell>
          <cell r="Q1238">
            <v>0</v>
          </cell>
          <cell r="R1238" t="str">
            <v>UND</v>
          </cell>
          <cell r="S1238">
            <v>0</v>
          </cell>
          <cell r="T1238">
            <v>0</v>
          </cell>
          <cell r="U1238" t="str">
            <v/>
          </cell>
          <cell r="V1238" t="str">
            <v>PRO10</v>
          </cell>
          <cell r="W1238">
            <v>0</v>
          </cell>
        </row>
        <row r="1239">
          <cell r="C1239" t="str">
            <v>EUE93CLIFGPPB3.</v>
          </cell>
          <cell r="D1239" t="str">
            <v>PRINC</v>
          </cell>
          <cell r="E1239" t="str">
            <v>00037</v>
          </cell>
          <cell r="F1239" t="str">
            <v>MODULOS Y PASADORES</v>
          </cell>
          <cell r="G1239" t="str">
            <v>PRINCIPAL</v>
          </cell>
          <cell r="H1239">
            <v>46004</v>
          </cell>
          <cell r="I1239" t="str">
            <v>SALDO INICIAL</v>
          </cell>
          <cell r="J1239">
            <v>343</v>
          </cell>
          <cell r="K1239">
            <v>131.88314</v>
          </cell>
          <cell r="L1239">
            <v>0.36556</v>
          </cell>
          <cell r="M1239">
            <v>0.38449895000000001</v>
          </cell>
          <cell r="N1239" t="str">
            <v/>
          </cell>
          <cell r="O1239" t="str">
            <v/>
          </cell>
          <cell r="P1239" t="str">
            <v/>
          </cell>
          <cell r="Q1239">
            <v>0</v>
          </cell>
          <cell r="R1239" t="str">
            <v>UND</v>
          </cell>
          <cell r="S1239">
            <v>0</v>
          </cell>
          <cell r="T1239">
            <v>0</v>
          </cell>
          <cell r="U1239" t="str">
            <v/>
          </cell>
          <cell r="V1239" t="str">
            <v>PRO10</v>
          </cell>
          <cell r="W1239">
            <v>0</v>
          </cell>
        </row>
        <row r="1240">
          <cell r="C1240" t="str">
            <v>UNMSNBM220PE6</v>
          </cell>
          <cell r="D1240" t="str">
            <v>PRINC</v>
          </cell>
          <cell r="E1240" t="str">
            <v>00037</v>
          </cell>
          <cell r="F1240" t="str">
            <v>MODULOS Y PASADORES</v>
          </cell>
          <cell r="G1240" t="str">
            <v>PRINCIPAL</v>
          </cell>
          <cell r="H1240">
            <v>46004</v>
          </cell>
          <cell r="I1240" t="str">
            <v>SALDO INICIAL</v>
          </cell>
          <cell r="J1240">
            <v>1435</v>
          </cell>
          <cell r="K1240">
            <v>871.04499999999996</v>
          </cell>
          <cell r="L1240">
            <v>0.60699999999999998</v>
          </cell>
          <cell r="M1240">
            <v>0.60699999999999998</v>
          </cell>
          <cell r="N1240" t="str">
            <v/>
          </cell>
          <cell r="O1240" t="str">
            <v/>
          </cell>
          <cell r="P1240" t="str">
            <v/>
          </cell>
          <cell r="Q1240">
            <v>0</v>
          </cell>
          <cell r="R1240" t="str">
            <v>UND</v>
          </cell>
          <cell r="S1240">
            <v>0</v>
          </cell>
          <cell r="T1240">
            <v>0</v>
          </cell>
          <cell r="U1240" t="str">
            <v/>
          </cell>
          <cell r="V1240" t="str">
            <v>PRO10</v>
          </cell>
          <cell r="W1240">
            <v>0</v>
          </cell>
        </row>
        <row r="1241">
          <cell r="C1241" t="str">
            <v>UNMSNBM234PE6</v>
          </cell>
          <cell r="D1241" t="str">
            <v>PRINC</v>
          </cell>
          <cell r="E1241" t="str">
            <v>00037</v>
          </cell>
          <cell r="F1241" t="str">
            <v>MODULOS Y PASADORES</v>
          </cell>
          <cell r="G1241" t="str">
            <v>PRINCIPAL</v>
          </cell>
          <cell r="H1241">
            <v>46004</v>
          </cell>
          <cell r="I1241" t="str">
            <v>SALDO INICIAL</v>
          </cell>
          <cell r="J1241">
            <v>4242</v>
          </cell>
          <cell r="K1241">
            <v>2574.8939999999998</v>
          </cell>
          <cell r="L1241">
            <v>0.60699999999999998</v>
          </cell>
          <cell r="M1241">
            <v>0.60699999999999998</v>
          </cell>
          <cell r="N1241" t="str">
            <v/>
          </cell>
          <cell r="O1241" t="str">
            <v/>
          </cell>
          <cell r="P1241" t="str">
            <v/>
          </cell>
          <cell r="Q1241">
            <v>0</v>
          </cell>
          <cell r="R1241" t="str">
            <v>UND</v>
          </cell>
          <cell r="S1241">
            <v>0</v>
          </cell>
          <cell r="T1241">
            <v>0</v>
          </cell>
          <cell r="U1241" t="str">
            <v/>
          </cell>
          <cell r="V1241" t="str">
            <v>PRO10</v>
          </cell>
          <cell r="W1241">
            <v>0</v>
          </cell>
        </row>
        <row r="1242">
          <cell r="C1242" t="str">
            <v>UNMSNBM234PP6</v>
          </cell>
          <cell r="D1242" t="str">
            <v>PRINC</v>
          </cell>
          <cell r="E1242" t="str">
            <v>00037</v>
          </cell>
          <cell r="F1242" t="str">
            <v>MODULOS Y PASADORES</v>
          </cell>
          <cell r="G1242" t="str">
            <v>PRINCIPAL</v>
          </cell>
          <cell r="H1242">
            <v>46004</v>
          </cell>
          <cell r="I1242" t="str">
            <v>SALDO INICIAL</v>
          </cell>
          <cell r="J1242">
            <v>358</v>
          </cell>
          <cell r="K1242">
            <v>149.25020000000001</v>
          </cell>
          <cell r="L1242">
            <v>0.41689999999999999</v>
          </cell>
          <cell r="M1242">
            <v>0.41689999999999999</v>
          </cell>
          <cell r="N1242" t="str">
            <v/>
          </cell>
          <cell r="O1242" t="str">
            <v/>
          </cell>
          <cell r="P1242" t="str">
            <v/>
          </cell>
          <cell r="Q1242">
            <v>0</v>
          </cell>
          <cell r="R1242" t="str">
            <v>UND</v>
          </cell>
          <cell r="S1242">
            <v>0</v>
          </cell>
          <cell r="T1242">
            <v>0</v>
          </cell>
          <cell r="U1242" t="str">
            <v/>
          </cell>
          <cell r="V1242" t="str">
            <v>PRO10</v>
          </cell>
          <cell r="W1242">
            <v>0</v>
          </cell>
        </row>
        <row r="1243">
          <cell r="C1243" t="str">
            <v>EUVA55ACB</v>
          </cell>
          <cell r="D1243" t="str">
            <v>PRINC</v>
          </cell>
          <cell r="E1243" t="str">
            <v>00037</v>
          </cell>
          <cell r="F1243" t="str">
            <v>MODULOS Y PASADORES</v>
          </cell>
          <cell r="G1243" t="str">
            <v>PRINCIPAL</v>
          </cell>
          <cell r="H1243">
            <v>46004</v>
          </cell>
          <cell r="I1243" t="str">
            <v>SALDO INICIAL</v>
          </cell>
          <cell r="J1243">
            <v>1010</v>
          </cell>
          <cell r="K1243">
            <v>272.31869499999999</v>
          </cell>
          <cell r="L1243">
            <v>0.34832000000000002</v>
          </cell>
          <cell r="M1243">
            <v>0.26962247</v>
          </cell>
          <cell r="N1243" t="str">
            <v/>
          </cell>
          <cell r="O1243" t="str">
            <v/>
          </cell>
          <cell r="P1243" t="str">
            <v/>
          </cell>
          <cell r="Q1243">
            <v>0</v>
          </cell>
          <cell r="R1243" t="str">
            <v>MTS</v>
          </cell>
          <cell r="S1243">
            <v>0</v>
          </cell>
          <cell r="T1243">
            <v>0</v>
          </cell>
          <cell r="U1243" t="str">
            <v/>
          </cell>
          <cell r="V1243" t="str">
            <v>PRO10</v>
          </cell>
          <cell r="W1243">
            <v>0</v>
          </cell>
        </row>
        <row r="1244">
          <cell r="C1244" t="str">
            <v>EUVA55ACB500</v>
          </cell>
          <cell r="D1244" t="str">
            <v>PRINC</v>
          </cell>
          <cell r="E1244" t="str">
            <v>00037</v>
          </cell>
          <cell r="F1244" t="str">
            <v>MODULOS Y PASADORES</v>
          </cell>
          <cell r="G1244" t="str">
            <v>PRINCIPAL</v>
          </cell>
          <cell r="H1244">
            <v>46004</v>
          </cell>
          <cell r="I1244" t="str">
            <v>SALDO INICIAL</v>
          </cell>
          <cell r="J1244">
            <v>42</v>
          </cell>
          <cell r="K1244">
            <v>7.6352640000000003</v>
          </cell>
          <cell r="L1244">
            <v>0.26900800000000002</v>
          </cell>
          <cell r="M1244">
            <v>0.18179200000000001</v>
          </cell>
          <cell r="N1244" t="str">
            <v/>
          </cell>
          <cell r="O1244" t="str">
            <v/>
          </cell>
          <cell r="P1244" t="str">
            <v/>
          </cell>
          <cell r="Q1244">
            <v>0</v>
          </cell>
          <cell r="R1244" t="str">
            <v>UND</v>
          </cell>
          <cell r="S1244">
            <v>0</v>
          </cell>
          <cell r="T1244">
            <v>0</v>
          </cell>
          <cell r="U1244" t="str">
            <v/>
          </cell>
          <cell r="V1244" t="str">
            <v>PRO10</v>
          </cell>
          <cell r="W1244">
            <v>0</v>
          </cell>
        </row>
        <row r="1245">
          <cell r="C1245" t="str">
            <v>EUVA46ACN</v>
          </cell>
          <cell r="D1245" t="str">
            <v>PRINC</v>
          </cell>
          <cell r="E1245" t="str">
            <v>00037</v>
          </cell>
          <cell r="F1245" t="str">
            <v>MODULOS Y PASADORES</v>
          </cell>
          <cell r="G1245" t="str">
            <v>PRINCIPAL</v>
          </cell>
          <cell r="H1245">
            <v>46004</v>
          </cell>
          <cell r="I1245" t="str">
            <v>SALDO INICIAL</v>
          </cell>
          <cell r="J1245">
            <v>1321.1</v>
          </cell>
          <cell r="K1245">
            <v>384.42621800000001</v>
          </cell>
          <cell r="L1245">
            <v>0.209642</v>
          </cell>
          <cell r="M1245">
            <v>0.29098949200000002</v>
          </cell>
          <cell r="N1245" t="str">
            <v/>
          </cell>
          <cell r="O1245" t="str">
            <v/>
          </cell>
          <cell r="P1245" t="str">
            <v/>
          </cell>
          <cell r="Q1245">
            <v>1.9</v>
          </cell>
          <cell r="R1245" t="str">
            <v>MTS</v>
          </cell>
          <cell r="S1245">
            <v>0</v>
          </cell>
          <cell r="T1245">
            <v>0</v>
          </cell>
          <cell r="U1245" t="str">
            <v/>
          </cell>
          <cell r="V1245" t="str">
            <v>PRO10</v>
          </cell>
          <cell r="W1245">
            <v>0</v>
          </cell>
        </row>
        <row r="1246">
          <cell r="C1246" t="str">
            <v>EUVA46ACN1000</v>
          </cell>
          <cell r="D1246" t="str">
            <v>PRINC</v>
          </cell>
          <cell r="E1246" t="str">
            <v>00037</v>
          </cell>
          <cell r="F1246" t="str">
            <v>MODULOS Y PASADORES</v>
          </cell>
          <cell r="G1246" t="str">
            <v>PRINCIPAL</v>
          </cell>
          <cell r="H1246">
            <v>46004</v>
          </cell>
          <cell r="I1246" t="str">
            <v>SALDO INICIAL</v>
          </cell>
          <cell r="J1246">
            <v>120</v>
          </cell>
          <cell r="K1246">
            <v>25.101839999999999</v>
          </cell>
          <cell r="L1246">
            <v>0.20918200000000001</v>
          </cell>
          <cell r="M1246">
            <v>0.20918200000000001</v>
          </cell>
          <cell r="N1246" t="str">
            <v/>
          </cell>
          <cell r="O1246" t="str">
            <v/>
          </cell>
          <cell r="P1246" t="str">
            <v/>
          </cell>
          <cell r="Q1246">
            <v>0</v>
          </cell>
          <cell r="R1246" t="str">
            <v>UND</v>
          </cell>
          <cell r="S1246">
            <v>0</v>
          </cell>
          <cell r="T1246">
            <v>0</v>
          </cell>
          <cell r="U1246" t="str">
            <v/>
          </cell>
          <cell r="V1246" t="str">
            <v>PRO10</v>
          </cell>
          <cell r="W1246">
            <v>0</v>
          </cell>
        </row>
        <row r="1247">
          <cell r="C1247" t="str">
            <v>EUVA46ACN300</v>
          </cell>
          <cell r="D1247" t="str">
            <v>PRINC</v>
          </cell>
          <cell r="E1247" t="str">
            <v>00037</v>
          </cell>
          <cell r="F1247" t="str">
            <v>MODULOS Y PASADORES</v>
          </cell>
          <cell r="G1247" t="str">
            <v>PRINCIPAL</v>
          </cell>
          <cell r="H1247">
            <v>46004</v>
          </cell>
          <cell r="I1247" t="str">
            <v>SALDO INICIAL</v>
          </cell>
          <cell r="J1247">
            <v>41</v>
          </cell>
          <cell r="K1247">
            <v>2.594357</v>
          </cell>
          <cell r="L1247">
            <v>0.08</v>
          </cell>
          <cell r="M1247">
            <v>6.3277E-2</v>
          </cell>
          <cell r="N1247" t="str">
            <v/>
          </cell>
          <cell r="O1247" t="str">
            <v/>
          </cell>
          <cell r="P1247" t="str">
            <v/>
          </cell>
          <cell r="Q1247">
            <v>0</v>
          </cell>
          <cell r="R1247" t="str">
            <v>UND</v>
          </cell>
          <cell r="S1247">
            <v>0</v>
          </cell>
          <cell r="T1247">
            <v>0</v>
          </cell>
          <cell r="U1247" t="str">
            <v/>
          </cell>
          <cell r="V1247" t="str">
            <v>PRO10</v>
          </cell>
          <cell r="W1247">
            <v>0</v>
          </cell>
        </row>
        <row r="1248">
          <cell r="C1248" t="str">
            <v>EUVA60ACN</v>
          </cell>
          <cell r="D1248" t="str">
            <v>PRINC</v>
          </cell>
          <cell r="E1248" t="str">
            <v>00037</v>
          </cell>
          <cell r="F1248" t="str">
            <v>MODULOS Y PASADORES</v>
          </cell>
          <cell r="G1248" t="str">
            <v>PRINCIPAL</v>
          </cell>
          <cell r="H1248">
            <v>46004</v>
          </cell>
          <cell r="I1248" t="str">
            <v>SALDO INICIAL</v>
          </cell>
          <cell r="J1248">
            <v>1652.5</v>
          </cell>
          <cell r="K1248">
            <v>505.32940200000002</v>
          </cell>
          <cell r="L1248">
            <v>0.30579899999999999</v>
          </cell>
          <cell r="M1248">
            <v>0.305796915</v>
          </cell>
          <cell r="N1248" t="str">
            <v/>
          </cell>
          <cell r="O1248" t="str">
            <v/>
          </cell>
          <cell r="P1248" t="str">
            <v/>
          </cell>
          <cell r="Q1248">
            <v>0</v>
          </cell>
          <cell r="R1248" t="str">
            <v>MT</v>
          </cell>
          <cell r="S1248">
            <v>0</v>
          </cell>
          <cell r="T1248">
            <v>0</v>
          </cell>
          <cell r="U1248" t="str">
            <v/>
          </cell>
          <cell r="V1248" t="str">
            <v>PRO10</v>
          </cell>
          <cell r="W1248">
            <v>0</v>
          </cell>
        </row>
        <row r="1249">
          <cell r="C1249" t="str">
            <v>EUVA6ACN500</v>
          </cell>
          <cell r="D1249" t="str">
            <v>PRINC</v>
          </cell>
          <cell r="E1249" t="str">
            <v>00037</v>
          </cell>
          <cell r="F1249" t="str">
            <v>MODULOS Y PASADORES</v>
          </cell>
          <cell r="G1249" t="str">
            <v>PRINCIPAL</v>
          </cell>
          <cell r="H1249">
            <v>46004</v>
          </cell>
          <cell r="I1249" t="str">
            <v>SALDO INICIAL</v>
          </cell>
          <cell r="J1249">
            <v>95</v>
          </cell>
          <cell r="K1249">
            <v>14.48465</v>
          </cell>
          <cell r="L1249">
            <v>0</v>
          </cell>
          <cell r="M1249">
            <v>0.15246999999999999</v>
          </cell>
          <cell r="N1249" t="str">
            <v/>
          </cell>
          <cell r="O1249" t="str">
            <v/>
          </cell>
          <cell r="P1249" t="str">
            <v/>
          </cell>
          <cell r="Q1249">
            <v>0</v>
          </cell>
          <cell r="R1249" t="str">
            <v>UND</v>
          </cell>
          <cell r="S1249">
            <v>0</v>
          </cell>
          <cell r="T1249">
            <v>0</v>
          </cell>
          <cell r="U1249" t="str">
            <v/>
          </cell>
          <cell r="V1249" t="str">
            <v>PRO10</v>
          </cell>
          <cell r="W1249">
            <v>0</v>
          </cell>
        </row>
        <row r="1250">
          <cell r="C1250" t="str">
            <v>EUVA6ACN700</v>
          </cell>
          <cell r="D1250" t="str">
            <v>PRINC</v>
          </cell>
          <cell r="E1250" t="str">
            <v>00037</v>
          </cell>
          <cell r="F1250" t="str">
            <v>MODULOS Y PASADORES</v>
          </cell>
          <cell r="G1250" t="str">
            <v>PRINCIPAL</v>
          </cell>
          <cell r="H1250">
            <v>46004</v>
          </cell>
          <cell r="I1250" t="str">
            <v>SALDO INICIAL</v>
          </cell>
          <cell r="J1250">
            <v>32</v>
          </cell>
          <cell r="K1250">
            <v>6.8871039999999999</v>
          </cell>
          <cell r="L1250">
            <v>0.215222</v>
          </cell>
          <cell r="M1250">
            <v>0.215222</v>
          </cell>
          <cell r="N1250" t="str">
            <v/>
          </cell>
          <cell r="O1250" t="str">
            <v/>
          </cell>
          <cell r="P1250" t="str">
            <v/>
          </cell>
          <cell r="Q1250">
            <v>0</v>
          </cell>
          <cell r="R1250" t="str">
            <v>UND</v>
          </cell>
          <cell r="S1250">
            <v>0</v>
          </cell>
          <cell r="T1250">
            <v>0</v>
          </cell>
          <cell r="U1250" t="str">
            <v/>
          </cell>
          <cell r="V1250" t="str">
            <v>PRO10</v>
          </cell>
          <cell r="W1250">
            <v>0</v>
          </cell>
        </row>
        <row r="1251">
          <cell r="C1251" t="str">
            <v>EUVEMTACN</v>
          </cell>
          <cell r="D1251" t="str">
            <v>PRINC</v>
          </cell>
          <cell r="E1251" t="str">
            <v>00037</v>
          </cell>
          <cell r="F1251" t="str">
            <v>MODULOS Y PASADORES</v>
          </cell>
          <cell r="G1251" t="str">
            <v>PRINCIPAL</v>
          </cell>
          <cell r="H1251">
            <v>46004</v>
          </cell>
          <cell r="I1251" t="str">
            <v>SALDO INICIAL</v>
          </cell>
          <cell r="J1251">
            <v>262.5</v>
          </cell>
          <cell r="K1251">
            <v>493.42344000000003</v>
          </cell>
          <cell r="L1251">
            <v>0.83892900000000004</v>
          </cell>
          <cell r="M1251">
            <v>1.8797083429999999</v>
          </cell>
          <cell r="N1251" t="str">
            <v/>
          </cell>
          <cell r="O1251" t="str">
            <v/>
          </cell>
          <cell r="P1251" t="str">
            <v/>
          </cell>
          <cell r="Q1251">
            <v>5</v>
          </cell>
          <cell r="R1251" t="str">
            <v>MTS</v>
          </cell>
          <cell r="S1251">
            <v>0</v>
          </cell>
          <cell r="T1251">
            <v>0</v>
          </cell>
          <cell r="U1251" t="str">
            <v/>
          </cell>
          <cell r="V1251" t="str">
            <v>PRO10</v>
          </cell>
          <cell r="W1251">
            <v>0</v>
          </cell>
        </row>
        <row r="1252">
          <cell r="C1252" t="str">
            <v>EUVEMTACN400</v>
          </cell>
          <cell r="D1252" t="str">
            <v>PRINC</v>
          </cell>
          <cell r="E1252" t="str">
            <v>00037</v>
          </cell>
          <cell r="F1252" t="str">
            <v>MODULOS Y PASADORES</v>
          </cell>
          <cell r="G1252" t="str">
            <v>PRINCIPAL</v>
          </cell>
          <cell r="H1252">
            <v>46004</v>
          </cell>
          <cell r="I1252" t="str">
            <v>SALDO INICIAL</v>
          </cell>
          <cell r="J1252">
            <v>13</v>
          </cell>
          <cell r="K1252">
            <v>3.4529100000000001</v>
          </cell>
          <cell r="L1252">
            <v>0.26560499999999998</v>
          </cell>
          <cell r="M1252">
            <v>0.26560846199999999</v>
          </cell>
          <cell r="N1252" t="str">
            <v/>
          </cell>
          <cell r="O1252" t="str">
            <v/>
          </cell>
          <cell r="P1252" t="str">
            <v/>
          </cell>
          <cell r="Q1252">
            <v>0</v>
          </cell>
          <cell r="R1252" t="str">
            <v>UND</v>
          </cell>
          <cell r="S1252">
            <v>0</v>
          </cell>
          <cell r="T1252">
            <v>0</v>
          </cell>
          <cell r="U1252" t="str">
            <v/>
          </cell>
          <cell r="V1252" t="str">
            <v>PRO10</v>
          </cell>
          <cell r="W1252">
            <v>0</v>
          </cell>
        </row>
        <row r="1253">
          <cell r="C1253" t="str">
            <v>EUVA60IXN</v>
          </cell>
          <cell r="D1253" t="str">
            <v>PRINC</v>
          </cell>
          <cell r="E1253" t="str">
            <v>00037</v>
          </cell>
          <cell r="F1253" t="str">
            <v>MODULOS Y PASADORES</v>
          </cell>
          <cell r="G1253" t="str">
            <v>PRINCIPAL</v>
          </cell>
          <cell r="H1253">
            <v>46004</v>
          </cell>
          <cell r="I1253" t="str">
            <v>SALDO INICIAL</v>
          </cell>
          <cell r="J1253">
            <v>549</v>
          </cell>
          <cell r="K1253">
            <v>787.32090000000005</v>
          </cell>
          <cell r="L1253">
            <v>1.4340999999999999</v>
          </cell>
          <cell r="M1253">
            <v>1.4340999999999999</v>
          </cell>
          <cell r="N1253" t="str">
            <v/>
          </cell>
          <cell r="O1253" t="str">
            <v/>
          </cell>
          <cell r="P1253" t="str">
            <v/>
          </cell>
          <cell r="Q1253">
            <v>3.15</v>
          </cell>
          <cell r="R1253" t="str">
            <v>MTS</v>
          </cell>
          <cell r="S1253">
            <v>0</v>
          </cell>
          <cell r="T1253">
            <v>0</v>
          </cell>
          <cell r="U1253" t="str">
            <v/>
          </cell>
          <cell r="V1253" t="str">
            <v>PRO10</v>
          </cell>
          <cell r="W1253">
            <v>0</v>
          </cell>
        </row>
        <row r="1254">
          <cell r="C1254" t="str">
            <v>EUVA46NYF</v>
          </cell>
          <cell r="D1254" t="str">
            <v>PRINC</v>
          </cell>
          <cell r="E1254" t="str">
            <v>00037</v>
          </cell>
          <cell r="F1254" t="str">
            <v>MODULOS Y PASADORES</v>
          </cell>
          <cell r="G1254" t="str">
            <v>PRINCIPAL</v>
          </cell>
          <cell r="H1254">
            <v>46004</v>
          </cell>
          <cell r="I1254" t="str">
            <v>SALDO INICIAL</v>
          </cell>
          <cell r="J1254">
            <v>3940</v>
          </cell>
          <cell r="K1254">
            <v>972.62592700000005</v>
          </cell>
          <cell r="L1254">
            <v>0.216894</v>
          </cell>
          <cell r="M1254">
            <v>0.24685937199999999</v>
          </cell>
          <cell r="N1254" t="str">
            <v/>
          </cell>
          <cell r="O1254" t="str">
            <v/>
          </cell>
          <cell r="P1254" t="str">
            <v/>
          </cell>
          <cell r="Q1254">
            <v>1.4</v>
          </cell>
          <cell r="R1254" t="str">
            <v>MTS</v>
          </cell>
          <cell r="S1254">
            <v>0</v>
          </cell>
          <cell r="T1254">
            <v>0</v>
          </cell>
          <cell r="U1254" t="str">
            <v/>
          </cell>
          <cell r="V1254" t="str">
            <v>PRO10</v>
          </cell>
          <cell r="W1254">
            <v>0</v>
          </cell>
        </row>
        <row r="1255">
          <cell r="C1255" t="str">
            <v>EUVA46NYF500</v>
          </cell>
          <cell r="D1255" t="str">
            <v>PRINC</v>
          </cell>
          <cell r="E1255" t="str">
            <v>00037</v>
          </cell>
          <cell r="F1255" t="str">
            <v>MODULOS Y PASADORES</v>
          </cell>
          <cell r="G1255" t="str">
            <v>PRINCIPAL</v>
          </cell>
          <cell r="H1255">
            <v>46004</v>
          </cell>
          <cell r="I1255" t="str">
            <v>SALDO INICIAL</v>
          </cell>
          <cell r="J1255">
            <v>198</v>
          </cell>
          <cell r="K1255">
            <v>21.472505999999999</v>
          </cell>
          <cell r="L1255">
            <v>0.108447</v>
          </cell>
          <cell r="M1255">
            <v>0.108447</v>
          </cell>
          <cell r="N1255" t="str">
            <v/>
          </cell>
          <cell r="O1255" t="str">
            <v/>
          </cell>
          <cell r="P1255" t="str">
            <v/>
          </cell>
          <cell r="Q1255">
            <v>0</v>
          </cell>
          <cell r="R1255" t="str">
            <v>UND</v>
          </cell>
          <cell r="S1255">
            <v>0</v>
          </cell>
          <cell r="T1255">
            <v>0</v>
          </cell>
          <cell r="U1255" t="str">
            <v/>
          </cell>
          <cell r="V1255" t="str">
            <v>PRO10</v>
          </cell>
          <cell r="W1255">
            <v>0</v>
          </cell>
        </row>
        <row r="1256">
          <cell r="C1256" t="str">
            <v>EUVA46PBTB</v>
          </cell>
          <cell r="D1256" t="str">
            <v>PRINC</v>
          </cell>
          <cell r="E1256" t="str">
            <v>00037</v>
          </cell>
          <cell r="F1256" t="str">
            <v>MODULOS Y PASADORES</v>
          </cell>
          <cell r="G1256" t="str">
            <v>PRINCIPAL</v>
          </cell>
          <cell r="H1256">
            <v>46004</v>
          </cell>
          <cell r="I1256" t="str">
            <v>SALDO INICIAL</v>
          </cell>
          <cell r="J1256">
            <v>1997.5</v>
          </cell>
          <cell r="K1256">
            <v>830.53790000000004</v>
          </cell>
          <cell r="L1256">
            <v>0.38684000000000002</v>
          </cell>
          <cell r="M1256">
            <v>0.41578868600000002</v>
          </cell>
          <cell r="N1256" t="str">
            <v/>
          </cell>
          <cell r="O1256" t="str">
            <v/>
          </cell>
          <cell r="P1256" t="str">
            <v/>
          </cell>
          <cell r="Q1256">
            <v>0</v>
          </cell>
          <cell r="R1256" t="str">
            <v>MT</v>
          </cell>
          <cell r="S1256">
            <v>0</v>
          </cell>
          <cell r="T1256">
            <v>0</v>
          </cell>
          <cell r="U1256" t="str">
            <v/>
          </cell>
          <cell r="V1256" t="str">
            <v>PRO10</v>
          </cell>
          <cell r="W1256">
            <v>0</v>
          </cell>
        </row>
        <row r="1257">
          <cell r="C1257" t="str">
            <v>EUVA46PEN</v>
          </cell>
          <cell r="D1257" t="str">
            <v>PRINC</v>
          </cell>
          <cell r="E1257" t="str">
            <v>00037</v>
          </cell>
          <cell r="F1257" t="str">
            <v>MODULOS Y PASADORES</v>
          </cell>
          <cell r="G1257" t="str">
            <v>PRINCIPAL</v>
          </cell>
          <cell r="H1257">
            <v>46004</v>
          </cell>
          <cell r="I1257" t="str">
            <v>SALDO INICIAL</v>
          </cell>
          <cell r="J1257">
            <v>4350</v>
          </cell>
          <cell r="K1257">
            <v>1524.0093859999999</v>
          </cell>
          <cell r="L1257">
            <v>0.25990000000000002</v>
          </cell>
          <cell r="M1257">
            <v>0.350346985</v>
          </cell>
          <cell r="N1257" t="str">
            <v/>
          </cell>
          <cell r="O1257" t="str">
            <v/>
          </cell>
          <cell r="P1257" t="str">
            <v/>
          </cell>
          <cell r="Q1257">
            <v>1</v>
          </cell>
          <cell r="R1257" t="str">
            <v>MTS</v>
          </cell>
          <cell r="S1257">
            <v>0</v>
          </cell>
          <cell r="T1257">
            <v>0</v>
          </cell>
          <cell r="U1257" t="str">
            <v/>
          </cell>
          <cell r="V1257" t="str">
            <v>PRO10</v>
          </cell>
          <cell r="W1257">
            <v>0</v>
          </cell>
        </row>
        <row r="1258">
          <cell r="C1258" t="str">
            <v>EUVA60PEN</v>
          </cell>
          <cell r="D1258" t="str">
            <v>PRINC</v>
          </cell>
          <cell r="E1258" t="str">
            <v>00037</v>
          </cell>
          <cell r="F1258" t="str">
            <v>MODULOS Y PASADORES</v>
          </cell>
          <cell r="G1258" t="str">
            <v>PRINCIPAL</v>
          </cell>
          <cell r="H1258">
            <v>46004</v>
          </cell>
          <cell r="I1258" t="str">
            <v>SALDO INICIAL</v>
          </cell>
          <cell r="J1258">
            <v>306</v>
          </cell>
          <cell r="K1258">
            <v>89.139103000000006</v>
          </cell>
          <cell r="L1258">
            <v>0.29441699999999998</v>
          </cell>
          <cell r="M1258">
            <v>0.29130425799999998</v>
          </cell>
          <cell r="N1258" t="str">
            <v/>
          </cell>
          <cell r="O1258" t="str">
            <v/>
          </cell>
          <cell r="P1258" t="str">
            <v/>
          </cell>
          <cell r="Q1258">
            <v>0</v>
          </cell>
          <cell r="R1258" t="str">
            <v>MTS</v>
          </cell>
          <cell r="S1258">
            <v>0</v>
          </cell>
          <cell r="T1258">
            <v>0</v>
          </cell>
          <cell r="U1258" t="str">
            <v/>
          </cell>
          <cell r="V1258" t="str">
            <v>PRO10</v>
          </cell>
          <cell r="W1258">
            <v>0</v>
          </cell>
        </row>
        <row r="1259">
          <cell r="C1259" t="str">
            <v>EUVA60PEN500</v>
          </cell>
          <cell r="D1259" t="str">
            <v>PRINC</v>
          </cell>
          <cell r="E1259" t="str">
            <v>00037</v>
          </cell>
          <cell r="F1259" t="str">
            <v>MODULOS Y PASADORES</v>
          </cell>
          <cell r="G1259" t="str">
            <v>PRINCIPAL</v>
          </cell>
          <cell r="H1259">
            <v>46004</v>
          </cell>
          <cell r="I1259" t="str">
            <v>SALDO INICIAL</v>
          </cell>
          <cell r="J1259">
            <v>126</v>
          </cell>
          <cell r="K1259">
            <v>18.116343000000001</v>
          </cell>
          <cell r="L1259">
            <v>8.0066999999999999E-2</v>
          </cell>
          <cell r="M1259">
            <v>0.14378050000000001</v>
          </cell>
          <cell r="N1259" t="str">
            <v/>
          </cell>
          <cell r="O1259" t="str">
            <v/>
          </cell>
          <cell r="P1259" t="str">
            <v/>
          </cell>
          <cell r="Q1259">
            <v>0</v>
          </cell>
          <cell r="R1259" t="str">
            <v>UND</v>
          </cell>
          <cell r="S1259">
            <v>0</v>
          </cell>
          <cell r="T1259">
            <v>0</v>
          </cell>
          <cell r="U1259" t="str">
            <v/>
          </cell>
          <cell r="V1259" t="str">
            <v>PRO10</v>
          </cell>
          <cell r="W1259">
            <v>0</v>
          </cell>
        </row>
        <row r="1260">
          <cell r="C1260" t="str">
            <v>EUVA60PEN700</v>
          </cell>
          <cell r="D1260" t="str">
            <v>PRINC</v>
          </cell>
          <cell r="E1260" t="str">
            <v>00037</v>
          </cell>
          <cell r="F1260" t="str">
            <v>MODULOS Y PASADORES</v>
          </cell>
          <cell r="G1260" t="str">
            <v>PRINCIPAL</v>
          </cell>
          <cell r="H1260">
            <v>46004</v>
          </cell>
          <cell r="I1260" t="str">
            <v>SALDO INICIAL</v>
          </cell>
          <cell r="J1260">
            <v>270</v>
          </cell>
          <cell r="K1260">
            <v>48.923560000000002</v>
          </cell>
          <cell r="L1260">
            <v>0.106166</v>
          </cell>
          <cell r="M1260">
            <v>0.18119837</v>
          </cell>
          <cell r="N1260" t="str">
            <v/>
          </cell>
          <cell r="O1260" t="str">
            <v/>
          </cell>
          <cell r="P1260" t="str">
            <v/>
          </cell>
          <cell r="Q1260">
            <v>0</v>
          </cell>
          <cell r="R1260" t="str">
            <v>UND</v>
          </cell>
          <cell r="S1260">
            <v>0</v>
          </cell>
          <cell r="T1260">
            <v>0</v>
          </cell>
          <cell r="U1260" t="str">
            <v/>
          </cell>
          <cell r="V1260" t="str">
            <v>PRO10</v>
          </cell>
          <cell r="W1260">
            <v>0</v>
          </cell>
        </row>
        <row r="1261">
          <cell r="C1261" t="str">
            <v>EUVA55PPB</v>
          </cell>
          <cell r="D1261" t="str">
            <v>PRINC</v>
          </cell>
          <cell r="E1261" t="str">
            <v>00037</v>
          </cell>
          <cell r="F1261" t="str">
            <v>MODULOS Y PASADORES</v>
          </cell>
          <cell r="G1261" t="str">
            <v>PRINCIPAL</v>
          </cell>
          <cell r="H1261">
            <v>46004</v>
          </cell>
          <cell r="I1261" t="str">
            <v>SALDO INICIAL</v>
          </cell>
          <cell r="J1261">
            <v>492</v>
          </cell>
          <cell r="K1261">
            <v>331.77608199999997</v>
          </cell>
          <cell r="L1261">
            <v>0.242671</v>
          </cell>
          <cell r="M1261">
            <v>0.67434163000000003</v>
          </cell>
          <cell r="N1261" t="str">
            <v>TUBO 475 VARILLAS 2.5MT</v>
          </cell>
          <cell r="O1261" t="str">
            <v/>
          </cell>
          <cell r="P1261" t="str">
            <v/>
          </cell>
          <cell r="Q1261">
            <v>0</v>
          </cell>
          <cell r="R1261" t="str">
            <v>MTS</v>
          </cell>
          <cell r="S1261">
            <v>0</v>
          </cell>
          <cell r="T1261">
            <v>0</v>
          </cell>
          <cell r="U1261" t="str">
            <v/>
          </cell>
          <cell r="V1261" t="str">
            <v>PRO10</v>
          </cell>
          <cell r="W1261">
            <v>0</v>
          </cell>
        </row>
        <row r="1262">
          <cell r="C1262" t="str">
            <v>EUVA55PPB400</v>
          </cell>
          <cell r="D1262" t="str">
            <v>PRINC</v>
          </cell>
          <cell r="E1262" t="str">
            <v>00037</v>
          </cell>
          <cell r="F1262" t="str">
            <v>MODULOS Y PASADORES</v>
          </cell>
          <cell r="G1262" t="str">
            <v>PRINCIPAL</v>
          </cell>
          <cell r="H1262">
            <v>46004</v>
          </cell>
          <cell r="I1262" t="str">
            <v>SALDO INICIAL</v>
          </cell>
          <cell r="J1262">
            <v>98</v>
          </cell>
          <cell r="K1262">
            <v>8.6557370000000002</v>
          </cell>
          <cell r="L1262">
            <v>8.8322999999999999E-2</v>
          </cell>
          <cell r="M1262">
            <v>8.8323846999999997E-2</v>
          </cell>
          <cell r="N1262" t="str">
            <v/>
          </cell>
          <cell r="O1262" t="str">
            <v/>
          </cell>
          <cell r="P1262" t="str">
            <v/>
          </cell>
          <cell r="Q1262">
            <v>0</v>
          </cell>
          <cell r="R1262" t="str">
            <v>UND</v>
          </cell>
          <cell r="S1262">
            <v>0</v>
          </cell>
          <cell r="T1262">
            <v>0</v>
          </cell>
          <cell r="U1262" t="str">
            <v/>
          </cell>
          <cell r="V1262" t="str">
            <v>PRO10</v>
          </cell>
          <cell r="W1262">
            <v>0</v>
          </cell>
        </row>
        <row r="1263">
          <cell r="C1263" t="str">
            <v>EUVA55PPB500</v>
          </cell>
          <cell r="D1263" t="str">
            <v>PRINC</v>
          </cell>
          <cell r="E1263" t="str">
            <v>00037</v>
          </cell>
          <cell r="F1263" t="str">
            <v>MODULOS Y PASADORES</v>
          </cell>
          <cell r="G1263" t="str">
            <v>PRINCIPAL</v>
          </cell>
          <cell r="H1263">
            <v>46004</v>
          </cell>
          <cell r="I1263" t="str">
            <v>SALDO INICIAL</v>
          </cell>
          <cell r="J1263">
            <v>1</v>
          </cell>
          <cell r="K1263">
            <v>9.8284999999999997E-2</v>
          </cell>
          <cell r="L1263">
            <v>9.8297999999999996E-2</v>
          </cell>
          <cell r="M1263">
            <v>9.8284999999999997E-2</v>
          </cell>
          <cell r="N1263" t="str">
            <v/>
          </cell>
          <cell r="O1263" t="str">
            <v/>
          </cell>
          <cell r="P1263" t="str">
            <v/>
          </cell>
          <cell r="Q1263">
            <v>0</v>
          </cell>
          <cell r="R1263" t="str">
            <v>UND</v>
          </cell>
          <cell r="S1263">
            <v>0</v>
          </cell>
          <cell r="T1263">
            <v>0</v>
          </cell>
          <cell r="U1263" t="str">
            <v/>
          </cell>
          <cell r="V1263" t="str">
            <v>PRO10</v>
          </cell>
          <cell r="W1263">
            <v>0</v>
          </cell>
        </row>
        <row r="1264">
          <cell r="C1264" t="str">
            <v>EUVEMTPPG</v>
          </cell>
          <cell r="D1264" t="str">
            <v>PRINC</v>
          </cell>
          <cell r="E1264" t="str">
            <v>00037</v>
          </cell>
          <cell r="F1264" t="str">
            <v>MODULOS Y PASADORES</v>
          </cell>
          <cell r="G1264" t="str">
            <v>PRINCIPAL</v>
          </cell>
          <cell r="H1264">
            <v>46004</v>
          </cell>
          <cell r="I1264" t="str">
            <v>SALDO INICIAL</v>
          </cell>
          <cell r="J1264">
            <v>832.5</v>
          </cell>
          <cell r="K1264">
            <v>526.65530799999999</v>
          </cell>
          <cell r="L1264">
            <v>0.67582500000000001</v>
          </cell>
          <cell r="M1264">
            <v>0.63261898900000002</v>
          </cell>
          <cell r="N1264" t="str">
            <v/>
          </cell>
          <cell r="O1264" t="str">
            <v/>
          </cell>
          <cell r="P1264" t="str">
            <v/>
          </cell>
          <cell r="Q1264">
            <v>0</v>
          </cell>
          <cell r="R1264" t="str">
            <v>MTS</v>
          </cell>
          <cell r="S1264">
            <v>0</v>
          </cell>
          <cell r="T1264">
            <v>0</v>
          </cell>
          <cell r="U1264" t="str">
            <v/>
          </cell>
          <cell r="V1264" t="str">
            <v>PRO10</v>
          </cell>
          <cell r="W1264">
            <v>0</v>
          </cell>
        </row>
        <row r="1265">
          <cell r="C1265" t="str">
            <v>EUVA46PPN</v>
          </cell>
          <cell r="D1265" t="str">
            <v>PRINC</v>
          </cell>
          <cell r="E1265" t="str">
            <v>00037</v>
          </cell>
          <cell r="F1265" t="str">
            <v>MODULOS Y PASADORES</v>
          </cell>
          <cell r="G1265" t="str">
            <v>PRINCIPAL</v>
          </cell>
          <cell r="H1265">
            <v>46004</v>
          </cell>
          <cell r="I1265" t="str">
            <v>SALDO INICIAL</v>
          </cell>
          <cell r="J1265">
            <v>3887.4</v>
          </cell>
          <cell r="K1265">
            <v>837.24092700000006</v>
          </cell>
          <cell r="L1265">
            <v>0.20489199999999999</v>
          </cell>
          <cell r="M1265">
            <v>0.21537298099999999</v>
          </cell>
          <cell r="N1265" t="str">
            <v/>
          </cell>
          <cell r="O1265" t="str">
            <v/>
          </cell>
          <cell r="P1265" t="str">
            <v/>
          </cell>
          <cell r="Q1265">
            <v>1</v>
          </cell>
          <cell r="R1265" t="str">
            <v>MTS</v>
          </cell>
          <cell r="S1265">
            <v>0</v>
          </cell>
          <cell r="T1265">
            <v>0</v>
          </cell>
          <cell r="U1265" t="str">
            <v/>
          </cell>
          <cell r="V1265" t="str">
            <v>PRO10</v>
          </cell>
          <cell r="W1265">
            <v>0</v>
          </cell>
        </row>
        <row r="1266">
          <cell r="C1266" t="str">
            <v>EUVA60PPN</v>
          </cell>
          <cell r="D1266" t="str">
            <v>PRINC</v>
          </cell>
          <cell r="E1266" t="str">
            <v>00037</v>
          </cell>
          <cell r="F1266" t="str">
            <v>MODULOS Y PASADORES</v>
          </cell>
          <cell r="G1266" t="str">
            <v>PRINCIPAL</v>
          </cell>
          <cell r="H1266">
            <v>46004</v>
          </cell>
          <cell r="I1266" t="str">
            <v>SALDO INICIAL</v>
          </cell>
          <cell r="J1266">
            <v>1530</v>
          </cell>
          <cell r="K1266">
            <v>923.42394300000001</v>
          </cell>
          <cell r="L1266">
            <v>0.238986</v>
          </cell>
          <cell r="M1266">
            <v>0.60354506100000005</v>
          </cell>
          <cell r="N1266" t="str">
            <v/>
          </cell>
          <cell r="O1266" t="str">
            <v/>
          </cell>
          <cell r="P1266" t="str">
            <v/>
          </cell>
          <cell r="Q1266">
            <v>1.4</v>
          </cell>
          <cell r="R1266" t="str">
            <v>MTS</v>
          </cell>
          <cell r="S1266">
            <v>0</v>
          </cell>
          <cell r="T1266">
            <v>0</v>
          </cell>
          <cell r="U1266" t="str">
            <v/>
          </cell>
          <cell r="V1266" t="str">
            <v>PRO10</v>
          </cell>
          <cell r="W1266">
            <v>0</v>
          </cell>
        </row>
        <row r="1267">
          <cell r="C1267" t="str">
            <v>EUVA60PPN400</v>
          </cell>
          <cell r="D1267" t="str">
            <v>PRINC</v>
          </cell>
          <cell r="E1267" t="str">
            <v>00037</v>
          </cell>
          <cell r="F1267" t="str">
            <v>MODULOS Y PASADORES</v>
          </cell>
          <cell r="G1267" t="str">
            <v>PRINCIPAL</v>
          </cell>
          <cell r="H1267">
            <v>46004</v>
          </cell>
          <cell r="I1267" t="str">
            <v>SALDO INICIAL</v>
          </cell>
          <cell r="J1267">
            <v>26</v>
          </cell>
          <cell r="K1267">
            <v>2.3107679999999999</v>
          </cell>
          <cell r="L1267">
            <v>8.8874999999999996E-2</v>
          </cell>
          <cell r="M1267">
            <v>8.8875692000000006E-2</v>
          </cell>
          <cell r="N1267" t="str">
            <v/>
          </cell>
          <cell r="O1267" t="str">
            <v/>
          </cell>
          <cell r="P1267" t="str">
            <v/>
          </cell>
          <cell r="Q1267">
            <v>0</v>
          </cell>
          <cell r="R1267" t="str">
            <v>UND</v>
          </cell>
          <cell r="S1267">
            <v>0</v>
          </cell>
          <cell r="T1267">
            <v>0</v>
          </cell>
          <cell r="U1267" t="str">
            <v/>
          </cell>
          <cell r="V1267" t="str">
            <v>PRO10</v>
          </cell>
          <cell r="W1267">
            <v>0</v>
          </cell>
        </row>
        <row r="1268">
          <cell r="C1268" t="str">
            <v>EUVA60PPN500</v>
          </cell>
          <cell r="D1268" t="str">
            <v>PRINC</v>
          </cell>
          <cell r="E1268" t="str">
            <v>00037</v>
          </cell>
          <cell r="F1268" t="str">
            <v>MODULOS Y PASADORES</v>
          </cell>
          <cell r="G1268" t="str">
            <v>PRINCIPAL</v>
          </cell>
          <cell r="H1268">
            <v>46004</v>
          </cell>
          <cell r="I1268" t="str">
            <v>SALDO INICIAL</v>
          </cell>
          <cell r="J1268">
            <v>125</v>
          </cell>
          <cell r="K1268">
            <v>14.702875000000001</v>
          </cell>
          <cell r="L1268">
            <v>0.11762300000000001</v>
          </cell>
          <cell r="M1268">
            <v>0.11762300000000001</v>
          </cell>
          <cell r="N1268" t="str">
            <v/>
          </cell>
          <cell r="O1268" t="str">
            <v/>
          </cell>
          <cell r="P1268" t="str">
            <v/>
          </cell>
          <cell r="Q1268">
            <v>0</v>
          </cell>
          <cell r="R1268" t="str">
            <v>UND</v>
          </cell>
          <cell r="S1268">
            <v>0</v>
          </cell>
          <cell r="T1268">
            <v>0</v>
          </cell>
          <cell r="U1268" t="str">
            <v/>
          </cell>
          <cell r="V1268" t="str">
            <v>PRO10</v>
          </cell>
          <cell r="W1268">
            <v>0</v>
          </cell>
        </row>
        <row r="1269">
          <cell r="C1269" t="str">
            <v>EUVA60PPN600</v>
          </cell>
          <cell r="D1269" t="str">
            <v>PRINC</v>
          </cell>
          <cell r="E1269" t="str">
            <v>00037</v>
          </cell>
          <cell r="F1269" t="str">
            <v>MODULOS Y PASADORES</v>
          </cell>
          <cell r="G1269" t="str">
            <v>PRINCIPAL</v>
          </cell>
          <cell r="H1269">
            <v>46004</v>
          </cell>
          <cell r="I1269" t="str">
            <v>SALDO INICIAL</v>
          </cell>
          <cell r="J1269">
            <v>50</v>
          </cell>
          <cell r="K1269">
            <v>6.4082999999999997</v>
          </cell>
          <cell r="L1269">
            <v>0.14210500000000001</v>
          </cell>
          <cell r="M1269">
            <v>0.128166</v>
          </cell>
          <cell r="N1269" t="str">
            <v/>
          </cell>
          <cell r="O1269" t="str">
            <v/>
          </cell>
          <cell r="P1269" t="str">
            <v/>
          </cell>
          <cell r="Q1269">
            <v>0</v>
          </cell>
          <cell r="R1269" t="str">
            <v>UND</v>
          </cell>
          <cell r="S1269">
            <v>0</v>
          </cell>
          <cell r="T1269">
            <v>0</v>
          </cell>
          <cell r="U1269" t="str">
            <v/>
          </cell>
          <cell r="V1269" t="str">
            <v>PRO10</v>
          </cell>
          <cell r="W1269">
            <v>0</v>
          </cell>
        </row>
        <row r="1270">
          <cell r="C1270" t="str">
            <v>EUVA60PPN700</v>
          </cell>
          <cell r="D1270" t="str">
            <v>PRINC</v>
          </cell>
          <cell r="E1270" t="str">
            <v>00037</v>
          </cell>
          <cell r="F1270" t="str">
            <v>MODULOS Y PASADORES</v>
          </cell>
          <cell r="G1270" t="str">
            <v>PRINCIPAL</v>
          </cell>
          <cell r="H1270">
            <v>46004</v>
          </cell>
          <cell r="I1270" t="str">
            <v>SALDO INICIAL</v>
          </cell>
          <cell r="J1270">
            <v>38</v>
          </cell>
          <cell r="K1270">
            <v>6.1412560000000003</v>
          </cell>
          <cell r="L1270">
            <v>0.16161200000000001</v>
          </cell>
          <cell r="M1270">
            <v>0.16161200000000001</v>
          </cell>
          <cell r="N1270" t="str">
            <v/>
          </cell>
          <cell r="O1270" t="str">
            <v/>
          </cell>
          <cell r="P1270" t="str">
            <v/>
          </cell>
          <cell r="Q1270">
            <v>0</v>
          </cell>
          <cell r="R1270" t="str">
            <v>UND</v>
          </cell>
          <cell r="S1270">
            <v>0</v>
          </cell>
          <cell r="T1270">
            <v>0</v>
          </cell>
          <cell r="U1270" t="str">
            <v/>
          </cell>
          <cell r="V1270" t="str">
            <v>PRO10</v>
          </cell>
          <cell r="W1270">
            <v>0</v>
          </cell>
        </row>
        <row r="1271">
          <cell r="C1271" t="str">
            <v>EUFG46ACA</v>
          </cell>
          <cell r="D1271" t="str">
            <v>PRINC</v>
          </cell>
          <cell r="E1271" t="str">
            <v>00037</v>
          </cell>
          <cell r="F1271" t="str">
            <v>MODULOS Y PASADORES</v>
          </cell>
          <cell r="G1271" t="str">
            <v>PRINCIPAL</v>
          </cell>
          <cell r="H1271">
            <v>46004</v>
          </cell>
          <cell r="I1271" t="str">
            <v>SALDO INICIAL</v>
          </cell>
          <cell r="J1271">
            <v>0</v>
          </cell>
          <cell r="K1271">
            <v>-15.069616</v>
          </cell>
          <cell r="L1271">
            <v>7.9729999999999995E-2</v>
          </cell>
          <cell r="M1271">
            <v>0</v>
          </cell>
          <cell r="N1271" t="str">
            <v/>
          </cell>
          <cell r="O1271" t="str">
            <v/>
          </cell>
          <cell r="P1271" t="str">
            <v/>
          </cell>
          <cell r="Q1271">
            <v>0</v>
          </cell>
          <cell r="R1271" t="str">
            <v>UND</v>
          </cell>
          <cell r="S1271">
            <v>0</v>
          </cell>
          <cell r="T1271">
            <v>0</v>
          </cell>
          <cell r="U1271" t="str">
            <v/>
          </cell>
          <cell r="V1271" t="str">
            <v>PRO10</v>
          </cell>
          <cell r="W1271">
            <v>0</v>
          </cell>
        </row>
        <row r="1272">
          <cell r="C1272" t="str">
            <v>EUFG46ACB</v>
          </cell>
          <cell r="D1272" t="str">
            <v>PRINC</v>
          </cell>
          <cell r="E1272" t="str">
            <v>00037</v>
          </cell>
          <cell r="F1272" t="str">
            <v>MODULOS Y PASADORES</v>
          </cell>
          <cell r="G1272" t="str">
            <v>PRINCIPAL</v>
          </cell>
          <cell r="H1272">
            <v>46004</v>
          </cell>
          <cell r="I1272" t="str">
            <v>SALDO INICIAL</v>
          </cell>
          <cell r="J1272">
            <v>16310</v>
          </cell>
          <cell r="K1272">
            <v>1364.4814060000001</v>
          </cell>
          <cell r="L1272">
            <v>8.9849999999999999E-2</v>
          </cell>
          <cell r="M1272">
            <v>8.3659190999999994E-2</v>
          </cell>
          <cell r="N1272" t="str">
            <v/>
          </cell>
          <cell r="O1272" t="str">
            <v/>
          </cell>
          <cell r="P1272" t="str">
            <v/>
          </cell>
          <cell r="Q1272">
            <v>0</v>
          </cell>
          <cell r="R1272" t="str">
            <v>UND</v>
          </cell>
          <cell r="S1272">
            <v>0</v>
          </cell>
          <cell r="T1272">
            <v>0</v>
          </cell>
          <cell r="U1272" t="str">
            <v/>
          </cell>
          <cell r="V1272" t="str">
            <v>PRO10</v>
          </cell>
          <cell r="W1272">
            <v>0</v>
          </cell>
        </row>
        <row r="1273">
          <cell r="C1273" t="str">
            <v>EUFG46ACN</v>
          </cell>
          <cell r="D1273" t="str">
            <v>PRINC</v>
          </cell>
          <cell r="E1273" t="str">
            <v>00037</v>
          </cell>
          <cell r="F1273" t="str">
            <v>MODULOS Y PASADORES</v>
          </cell>
          <cell r="G1273" t="str">
            <v>PRINCIPAL</v>
          </cell>
          <cell r="H1273">
            <v>46004</v>
          </cell>
          <cell r="I1273" t="str">
            <v>SALDO INICIAL</v>
          </cell>
          <cell r="J1273">
            <v>6892</v>
          </cell>
          <cell r="K1273">
            <v>624.97992999999997</v>
          </cell>
          <cell r="L1273">
            <v>8.9788999999999994E-2</v>
          </cell>
          <cell r="M1273">
            <v>9.0681940000000003E-2</v>
          </cell>
          <cell r="N1273" t="str">
            <v/>
          </cell>
          <cell r="O1273" t="str">
            <v/>
          </cell>
          <cell r="P1273" t="str">
            <v/>
          </cell>
          <cell r="Q1273">
            <v>0</v>
          </cell>
          <cell r="R1273" t="str">
            <v>UND</v>
          </cell>
          <cell r="S1273">
            <v>0</v>
          </cell>
          <cell r="T1273">
            <v>0</v>
          </cell>
          <cell r="U1273" t="str">
            <v/>
          </cell>
          <cell r="V1273" t="str">
            <v>PRO10</v>
          </cell>
          <cell r="W1273">
            <v>0</v>
          </cell>
        </row>
        <row r="1274">
          <cell r="C1274" t="str">
            <v>EUFG60ACAZ</v>
          </cell>
          <cell r="D1274" t="str">
            <v>PRINC</v>
          </cell>
          <cell r="E1274" t="str">
            <v>00037</v>
          </cell>
          <cell r="F1274" t="str">
            <v>MODULOS Y PASADORES</v>
          </cell>
          <cell r="G1274" t="str">
            <v>PRINCIPAL</v>
          </cell>
          <cell r="H1274">
            <v>46004</v>
          </cell>
          <cell r="I1274" t="str">
            <v>SALDO INICIAL</v>
          </cell>
          <cell r="J1274">
            <v>1603</v>
          </cell>
          <cell r="K1274">
            <v>142.5067</v>
          </cell>
          <cell r="L1274">
            <v>8.8900000000000007E-2</v>
          </cell>
          <cell r="M1274">
            <v>8.8900000000000007E-2</v>
          </cell>
          <cell r="N1274" t="str">
            <v/>
          </cell>
          <cell r="O1274" t="str">
            <v/>
          </cell>
          <cell r="P1274" t="str">
            <v/>
          </cell>
          <cell r="Q1274">
            <v>0</v>
          </cell>
          <cell r="R1274" t="str">
            <v>UND</v>
          </cell>
          <cell r="S1274">
            <v>0</v>
          </cell>
          <cell r="T1274">
            <v>0</v>
          </cell>
          <cell r="U1274" t="str">
            <v/>
          </cell>
          <cell r="V1274" t="str">
            <v>PRO10</v>
          </cell>
          <cell r="W1274">
            <v>0</v>
          </cell>
        </row>
        <row r="1275">
          <cell r="C1275" t="str">
            <v>EUFG46PPA</v>
          </cell>
          <cell r="D1275" t="str">
            <v>PRINC</v>
          </cell>
          <cell r="E1275" t="str">
            <v>00037</v>
          </cell>
          <cell r="F1275" t="str">
            <v>MODULOS Y PASADORES</v>
          </cell>
          <cell r="G1275" t="str">
            <v>PRINCIPAL</v>
          </cell>
          <cell r="H1275">
            <v>46004</v>
          </cell>
          <cell r="I1275" t="str">
            <v>SALDO INICIAL</v>
          </cell>
          <cell r="J1275">
            <v>2083</v>
          </cell>
          <cell r="K1275">
            <v>305.38103899999999</v>
          </cell>
          <cell r="L1275">
            <v>8.9849999999999999E-2</v>
          </cell>
          <cell r="M1275">
            <v>0.14660635599999999</v>
          </cell>
          <cell r="N1275" t="str">
            <v/>
          </cell>
          <cell r="O1275" t="str">
            <v/>
          </cell>
          <cell r="P1275" t="str">
            <v/>
          </cell>
          <cell r="Q1275">
            <v>0</v>
          </cell>
          <cell r="R1275" t="str">
            <v>UND</v>
          </cell>
          <cell r="S1275">
            <v>0</v>
          </cell>
          <cell r="T1275">
            <v>0</v>
          </cell>
          <cell r="U1275" t="str">
            <v/>
          </cell>
          <cell r="V1275" t="str">
            <v>PRO10</v>
          </cell>
          <cell r="W1275">
            <v>0</v>
          </cell>
        </row>
        <row r="1276">
          <cell r="C1276" t="str">
            <v>EUFG60ACAA</v>
          </cell>
          <cell r="D1276" t="str">
            <v>PRINC</v>
          </cell>
          <cell r="E1276" t="str">
            <v>00037</v>
          </cell>
          <cell r="F1276" t="str">
            <v>MODULOS Y PASADORES</v>
          </cell>
          <cell r="G1276" t="str">
            <v>PRINCIPAL</v>
          </cell>
          <cell r="H1276">
            <v>46004</v>
          </cell>
          <cell r="I1276" t="str">
            <v>SALDO INICIAL</v>
          </cell>
          <cell r="J1276">
            <v>9410</v>
          </cell>
          <cell r="K1276">
            <v>1461.4706289999999</v>
          </cell>
          <cell r="L1276">
            <v>0.12992500000000001</v>
          </cell>
          <cell r="M1276">
            <v>0.155310375</v>
          </cell>
          <cell r="N1276" t="str">
            <v/>
          </cell>
          <cell r="O1276" t="str">
            <v/>
          </cell>
          <cell r="P1276" t="str">
            <v/>
          </cell>
          <cell r="Q1276">
            <v>0</v>
          </cell>
          <cell r="R1276" t="str">
            <v>UND</v>
          </cell>
          <cell r="S1276">
            <v>0</v>
          </cell>
          <cell r="T1276">
            <v>0</v>
          </cell>
          <cell r="U1276" t="str">
            <v/>
          </cell>
          <cell r="V1276" t="str">
            <v>PRO10</v>
          </cell>
          <cell r="W1276">
            <v>0</v>
          </cell>
        </row>
        <row r="1277">
          <cell r="C1277" t="str">
            <v>EUFG60PPB</v>
          </cell>
          <cell r="D1277" t="str">
            <v>PRINC</v>
          </cell>
          <cell r="E1277" t="str">
            <v>00037</v>
          </cell>
          <cell r="F1277" t="str">
            <v>MODULOS Y PASADORES</v>
          </cell>
          <cell r="G1277" t="str">
            <v>PRINCIPAL</v>
          </cell>
          <cell r="H1277">
            <v>46004</v>
          </cell>
          <cell r="I1277" t="str">
            <v>SALDO INICIAL</v>
          </cell>
          <cell r="J1277">
            <v>19171</v>
          </cell>
          <cell r="K1277">
            <v>1812.091981</v>
          </cell>
          <cell r="L1277">
            <v>8.9373999999999995E-2</v>
          </cell>
          <cell r="M1277">
            <v>9.4522559000000006E-2</v>
          </cell>
          <cell r="N1277" t="str">
            <v/>
          </cell>
          <cell r="O1277" t="str">
            <v/>
          </cell>
          <cell r="P1277" t="str">
            <v/>
          </cell>
          <cell r="Q1277">
            <v>0</v>
          </cell>
          <cell r="R1277" t="str">
            <v>UND</v>
          </cell>
          <cell r="S1277">
            <v>0</v>
          </cell>
          <cell r="T1277">
            <v>0</v>
          </cell>
          <cell r="U1277" t="str">
            <v/>
          </cell>
          <cell r="V1277" t="str">
            <v>PRO10</v>
          </cell>
          <cell r="W1277">
            <v>0</v>
          </cell>
        </row>
        <row r="1278">
          <cell r="C1278" t="str">
            <v>EUFG60PPG</v>
          </cell>
          <cell r="D1278" t="str">
            <v>PRINC</v>
          </cell>
          <cell r="E1278" t="str">
            <v>00037</v>
          </cell>
          <cell r="F1278" t="str">
            <v>MODULOS Y PASADORES</v>
          </cell>
          <cell r="G1278" t="str">
            <v>PRINCIPAL</v>
          </cell>
          <cell r="H1278">
            <v>46004</v>
          </cell>
          <cell r="I1278" t="str">
            <v>SALDO INICIAL</v>
          </cell>
          <cell r="J1278">
            <v>15244</v>
          </cell>
          <cell r="K1278">
            <v>1561.5219729999999</v>
          </cell>
          <cell r="L1278">
            <v>9.7391000000000005E-2</v>
          </cell>
          <cell r="M1278">
            <v>0.102435186</v>
          </cell>
          <cell r="N1278" t="str">
            <v/>
          </cell>
          <cell r="O1278" t="str">
            <v/>
          </cell>
          <cell r="P1278" t="str">
            <v/>
          </cell>
          <cell r="Q1278">
            <v>0</v>
          </cell>
          <cell r="R1278" t="str">
            <v>UND</v>
          </cell>
          <cell r="S1278">
            <v>0</v>
          </cell>
          <cell r="T1278">
            <v>0</v>
          </cell>
          <cell r="U1278" t="str">
            <v/>
          </cell>
          <cell r="V1278" t="str">
            <v>PRO10</v>
          </cell>
          <cell r="W1278">
            <v>0</v>
          </cell>
        </row>
        <row r="1279">
          <cell r="C1279" t="str">
            <v>EUTP46ACA</v>
          </cell>
          <cell r="D1279" t="str">
            <v>PRINC</v>
          </cell>
          <cell r="E1279" t="str">
            <v>00037</v>
          </cell>
          <cell r="F1279" t="str">
            <v>MODULOS Y PASADORES</v>
          </cell>
          <cell r="G1279" t="str">
            <v>PRINCIPAL</v>
          </cell>
          <cell r="H1279">
            <v>46004</v>
          </cell>
          <cell r="I1279" t="str">
            <v>SALDO INICIAL</v>
          </cell>
          <cell r="J1279">
            <v>8236</v>
          </cell>
          <cell r="K1279">
            <v>623.04262000000006</v>
          </cell>
          <cell r="L1279">
            <v>7.0250999999999994E-2</v>
          </cell>
          <cell r="M1279">
            <v>7.5648691000000004E-2</v>
          </cell>
          <cell r="N1279" t="str">
            <v/>
          </cell>
          <cell r="O1279" t="str">
            <v/>
          </cell>
          <cell r="P1279" t="str">
            <v/>
          </cell>
          <cell r="Q1279">
            <v>0</v>
          </cell>
          <cell r="R1279" t="str">
            <v>UND</v>
          </cell>
          <cell r="S1279">
            <v>0</v>
          </cell>
          <cell r="T1279">
            <v>0</v>
          </cell>
          <cell r="U1279" t="str">
            <v/>
          </cell>
          <cell r="V1279" t="str">
            <v>PRO10</v>
          </cell>
          <cell r="W1279">
            <v>0</v>
          </cell>
        </row>
        <row r="1280">
          <cell r="C1280" t="str">
            <v>EUTP46ACB</v>
          </cell>
          <cell r="D1280" t="str">
            <v>PRINC</v>
          </cell>
          <cell r="E1280" t="str">
            <v>00037</v>
          </cell>
          <cell r="F1280" t="str">
            <v>MODULOS Y PASADORES</v>
          </cell>
          <cell r="G1280" t="str">
            <v>PRINCIPAL</v>
          </cell>
          <cell r="H1280">
            <v>46004</v>
          </cell>
          <cell r="I1280" t="str">
            <v>SALDO INICIAL</v>
          </cell>
          <cell r="J1280">
            <v>6053</v>
          </cell>
          <cell r="K1280">
            <v>423.68267400000002</v>
          </cell>
          <cell r="L1280">
            <v>6.1918000000000001E-2</v>
          </cell>
          <cell r="M1280">
            <v>6.9995485999999996E-2</v>
          </cell>
          <cell r="N1280" t="str">
            <v/>
          </cell>
          <cell r="O1280" t="str">
            <v/>
          </cell>
          <cell r="P1280" t="str">
            <v/>
          </cell>
          <cell r="Q1280">
            <v>0</v>
          </cell>
          <cell r="R1280" t="str">
            <v>UND</v>
          </cell>
          <cell r="S1280">
            <v>0</v>
          </cell>
          <cell r="T1280">
            <v>0</v>
          </cell>
          <cell r="U1280" t="str">
            <v/>
          </cell>
          <cell r="V1280" t="str">
            <v>PRO10</v>
          </cell>
          <cell r="W1280">
            <v>0</v>
          </cell>
        </row>
        <row r="1281">
          <cell r="C1281" t="str">
            <v>EUTP46ACN</v>
          </cell>
          <cell r="D1281" t="str">
            <v>PRINC</v>
          </cell>
          <cell r="E1281" t="str">
            <v>00037</v>
          </cell>
          <cell r="F1281" t="str">
            <v>MODULOS Y PASADORES</v>
          </cell>
          <cell r="G1281" t="str">
            <v>PRINCIPAL</v>
          </cell>
          <cell r="H1281">
            <v>46004</v>
          </cell>
          <cell r="I1281" t="str">
            <v>SALDO INICIAL</v>
          </cell>
          <cell r="J1281">
            <v>13016</v>
          </cell>
          <cell r="K1281">
            <v>1101.8466040000001</v>
          </cell>
          <cell r="L1281">
            <v>6.7020999999999997E-2</v>
          </cell>
          <cell r="M1281">
            <v>8.4653242000000004E-2</v>
          </cell>
          <cell r="N1281" t="str">
            <v/>
          </cell>
          <cell r="O1281" t="str">
            <v/>
          </cell>
          <cell r="P1281" t="str">
            <v/>
          </cell>
          <cell r="Q1281">
            <v>0</v>
          </cell>
          <cell r="R1281" t="str">
            <v>UND</v>
          </cell>
          <cell r="S1281">
            <v>0</v>
          </cell>
          <cell r="T1281">
            <v>0</v>
          </cell>
          <cell r="U1281" t="str">
            <v/>
          </cell>
          <cell r="V1281" t="str">
            <v>PRO10</v>
          </cell>
          <cell r="W1281">
            <v>0</v>
          </cell>
        </row>
        <row r="1282">
          <cell r="C1282" t="str">
            <v>EUTP46PPA</v>
          </cell>
          <cell r="D1282" t="str">
            <v>PRINC</v>
          </cell>
          <cell r="E1282" t="str">
            <v>00037</v>
          </cell>
          <cell r="F1282" t="str">
            <v>MODULOS Y PASADORES</v>
          </cell>
          <cell r="G1282" t="str">
            <v>PRINCIPAL</v>
          </cell>
          <cell r="H1282">
            <v>46004</v>
          </cell>
          <cell r="I1282" t="str">
            <v>SALDO INICIAL</v>
          </cell>
          <cell r="J1282">
            <v>10812</v>
          </cell>
          <cell r="K1282">
            <v>973.55996900000002</v>
          </cell>
          <cell r="L1282">
            <v>6.0997000000000003E-2</v>
          </cell>
          <cell r="M1282">
            <v>9.0044392000000001E-2</v>
          </cell>
          <cell r="N1282" t="str">
            <v/>
          </cell>
          <cell r="O1282" t="str">
            <v/>
          </cell>
          <cell r="P1282" t="str">
            <v/>
          </cell>
          <cell r="Q1282">
            <v>0</v>
          </cell>
          <cell r="R1282" t="str">
            <v>UND</v>
          </cell>
          <cell r="S1282">
            <v>0</v>
          </cell>
          <cell r="T1282">
            <v>0</v>
          </cell>
          <cell r="U1282" t="str">
            <v/>
          </cell>
          <cell r="V1282" t="str">
            <v>PRO10</v>
          </cell>
          <cell r="W1282">
            <v>0</v>
          </cell>
        </row>
        <row r="1283">
          <cell r="C1283" t="str">
            <v>EUTP60PPSC</v>
          </cell>
          <cell r="D1283" t="str">
            <v>PRINC</v>
          </cell>
          <cell r="E1283" t="str">
            <v>00037</v>
          </cell>
          <cell r="F1283" t="str">
            <v>MODULOS Y PASADORES</v>
          </cell>
          <cell r="G1283" t="str">
            <v>PRINCIPAL</v>
          </cell>
          <cell r="H1283">
            <v>46004</v>
          </cell>
          <cell r="I1283" t="str">
            <v>SALDO INICIAL</v>
          </cell>
          <cell r="J1283">
            <v>8130</v>
          </cell>
          <cell r="K1283">
            <v>1406.49</v>
          </cell>
          <cell r="L1283">
            <v>0.17299999999999999</v>
          </cell>
          <cell r="M1283">
            <v>0.17299999999999999</v>
          </cell>
          <cell r="N1283" t="str">
            <v/>
          </cell>
          <cell r="O1283" t="str">
            <v/>
          </cell>
          <cell r="P1283" t="str">
            <v/>
          </cell>
          <cell r="Q1283">
            <v>0</v>
          </cell>
          <cell r="R1283" t="str">
            <v>UND</v>
          </cell>
          <cell r="S1283">
            <v>0</v>
          </cell>
          <cell r="T1283">
            <v>0</v>
          </cell>
          <cell r="U1283" t="str">
            <v/>
          </cell>
          <cell r="V1283" t="str">
            <v>PRO10</v>
          </cell>
          <cell r="W1283">
            <v>0</v>
          </cell>
        </row>
      </sheetData>
      <sheetData sheetId="2">
        <row r="1">
          <cell r="C1" t="str">
            <v>codproducto</v>
          </cell>
          <cell r="D1" t="str">
            <v>bod_pk</v>
          </cell>
          <cell r="E1" t="str">
            <v>lin_pk</v>
          </cell>
          <cell r="F1" t="str">
            <v>deslinea</v>
          </cell>
          <cell r="G1" t="str">
            <v>bodega</v>
          </cell>
          <cell r="H1" t="str">
            <v>fecha</v>
          </cell>
          <cell r="I1" t="str">
            <v>numcom</v>
          </cell>
          <cell r="J1" t="str">
            <v>sin_stock</v>
          </cell>
          <cell r="K1" t="str">
            <v>sin_costot</v>
          </cell>
          <cell r="L1" t="str">
            <v>sin_cosuni</v>
          </cell>
          <cell r="M1" t="str">
            <v>sin_ultcos</v>
          </cell>
          <cell r="N1" t="str">
            <v>referencia</v>
          </cell>
          <cell r="O1" t="str">
            <v>uso</v>
          </cell>
          <cell r="P1" t="str">
            <v>marca</v>
          </cell>
          <cell r="Q1" t="str">
            <v>precio</v>
          </cell>
          <cell r="R1" t="str">
            <v>unidad</v>
          </cell>
          <cell r="S1" t="str">
            <v>conver</v>
          </cell>
          <cell r="T1" t="str">
            <v>stockconv</v>
          </cell>
          <cell r="U1" t="str">
            <v>uniconv</v>
          </cell>
          <cell r="V1" t="str">
            <v>tit_pk</v>
          </cell>
          <cell r="W1" t="str">
            <v>cosuniconv</v>
          </cell>
        </row>
        <row r="2">
          <cell r="C2" t="str">
            <v>LDSF205</v>
          </cell>
          <cell r="D2" t="str">
            <v>PRINC</v>
          </cell>
          <cell r="E2" t="str">
            <v>00001</v>
          </cell>
          <cell r="F2" t="str">
            <v>CHUMACERAS</v>
          </cell>
          <cell r="G2" t="str">
            <v>PRINCIPAL</v>
          </cell>
          <cell r="H2">
            <v>46004</v>
          </cell>
          <cell r="I2" t="str">
            <v>SALDO INICIAL</v>
          </cell>
          <cell r="J2">
            <v>18</v>
          </cell>
          <cell r="K2">
            <v>209.51439300000001</v>
          </cell>
          <cell r="L2">
            <v>11.639688</v>
          </cell>
          <cell r="M2">
            <v>11.6396885</v>
          </cell>
          <cell r="N2" t="str">
            <v/>
          </cell>
          <cell r="O2" t="str">
            <v/>
          </cell>
          <cell r="P2" t="str">
            <v/>
          </cell>
          <cell r="Q2">
            <v>0</v>
          </cell>
          <cell r="R2" t="str">
            <v>UND</v>
          </cell>
          <cell r="S2">
            <v>0</v>
          </cell>
          <cell r="T2">
            <v>0</v>
          </cell>
          <cell r="U2" t="str">
            <v/>
          </cell>
          <cell r="V2" t="str">
            <v>PRO10</v>
          </cell>
          <cell r="W2">
            <v>0</v>
          </cell>
        </row>
        <row r="3">
          <cell r="C3" t="str">
            <v>LDSF206</v>
          </cell>
          <cell r="D3" t="str">
            <v>PRINC</v>
          </cell>
          <cell r="E3" t="str">
            <v>00001</v>
          </cell>
          <cell r="F3" t="str">
            <v>CHUMACERAS</v>
          </cell>
          <cell r="G3" t="str">
            <v>PRINCIPAL</v>
          </cell>
          <cell r="H3">
            <v>46004</v>
          </cell>
          <cell r="I3" t="str">
            <v>SALDO INICIAL</v>
          </cell>
          <cell r="J3">
            <v>2</v>
          </cell>
          <cell r="K3">
            <v>38.7072</v>
          </cell>
          <cell r="L3">
            <v>19.3536</v>
          </cell>
          <cell r="M3">
            <v>19.3536</v>
          </cell>
          <cell r="N3" t="str">
            <v/>
          </cell>
          <cell r="O3" t="str">
            <v/>
          </cell>
          <cell r="P3" t="str">
            <v/>
          </cell>
          <cell r="Q3">
            <v>21.6</v>
          </cell>
          <cell r="R3" t="str">
            <v>UND</v>
          </cell>
          <cell r="S3">
            <v>0</v>
          </cell>
          <cell r="T3">
            <v>0</v>
          </cell>
          <cell r="U3" t="str">
            <v/>
          </cell>
          <cell r="V3" t="str">
            <v>PRO10</v>
          </cell>
          <cell r="W3">
            <v>0</v>
          </cell>
        </row>
        <row r="4">
          <cell r="C4" t="str">
            <v>LDSSUCF204-12</v>
          </cell>
          <cell r="D4" t="str">
            <v>PRINC</v>
          </cell>
          <cell r="E4" t="str">
            <v>00001</v>
          </cell>
          <cell r="F4" t="str">
            <v>CHUMACERAS</v>
          </cell>
          <cell r="G4" t="str">
            <v>PRINCIPAL</v>
          </cell>
          <cell r="H4">
            <v>46004</v>
          </cell>
          <cell r="I4" t="str">
            <v>SALDO INICIAL</v>
          </cell>
          <cell r="J4">
            <v>19</v>
          </cell>
          <cell r="K4">
            <v>291.64999999999998</v>
          </cell>
          <cell r="L4">
            <v>15.35</v>
          </cell>
          <cell r="M4">
            <v>15.35</v>
          </cell>
          <cell r="N4" t="str">
            <v/>
          </cell>
          <cell r="O4" t="str">
            <v/>
          </cell>
          <cell r="P4" t="str">
            <v/>
          </cell>
          <cell r="Q4">
            <v>23.1</v>
          </cell>
          <cell r="R4" t="str">
            <v>UND</v>
          </cell>
          <cell r="S4">
            <v>0</v>
          </cell>
          <cell r="T4">
            <v>0</v>
          </cell>
          <cell r="U4" t="str">
            <v/>
          </cell>
          <cell r="V4" t="str">
            <v>PRO10</v>
          </cell>
          <cell r="W4">
            <v>0</v>
          </cell>
        </row>
        <row r="5">
          <cell r="C5" t="str">
            <v>LDSSUCF205-16</v>
          </cell>
          <cell r="D5" t="str">
            <v>PRINC</v>
          </cell>
          <cell r="E5" t="str">
            <v>00001</v>
          </cell>
          <cell r="F5" t="str">
            <v>CHUMACERAS</v>
          </cell>
          <cell r="G5" t="str">
            <v>PRINCIPAL</v>
          </cell>
          <cell r="H5">
            <v>46004</v>
          </cell>
          <cell r="I5" t="str">
            <v>SALDO INICIAL</v>
          </cell>
          <cell r="J5">
            <v>0</v>
          </cell>
          <cell r="K5">
            <v>0</v>
          </cell>
          <cell r="L5">
            <v>15.849696</v>
          </cell>
          <cell r="M5">
            <v>0</v>
          </cell>
          <cell r="N5" t="str">
            <v/>
          </cell>
          <cell r="O5" t="str">
            <v/>
          </cell>
          <cell r="P5" t="str">
            <v/>
          </cell>
          <cell r="Q5">
            <v>24.9</v>
          </cell>
          <cell r="R5" t="str">
            <v>UND</v>
          </cell>
          <cell r="S5">
            <v>0</v>
          </cell>
          <cell r="T5">
            <v>0</v>
          </cell>
          <cell r="U5" t="str">
            <v/>
          </cell>
          <cell r="V5" t="str">
            <v>PRO10</v>
          </cell>
          <cell r="W5">
            <v>0</v>
          </cell>
        </row>
        <row r="6">
          <cell r="C6" t="str">
            <v>LDSUC204</v>
          </cell>
          <cell r="D6" t="str">
            <v>PRINC</v>
          </cell>
          <cell r="E6" t="str">
            <v>00001</v>
          </cell>
          <cell r="F6" t="str">
            <v>CHUMACERAS</v>
          </cell>
          <cell r="G6" t="str">
            <v>PRINCIPAL</v>
          </cell>
          <cell r="H6">
            <v>46004</v>
          </cell>
          <cell r="I6" t="str">
            <v>SALDO INICIAL</v>
          </cell>
          <cell r="J6">
            <v>24</v>
          </cell>
          <cell r="K6">
            <v>141.84</v>
          </cell>
          <cell r="L6">
            <v>5.91</v>
          </cell>
          <cell r="M6">
            <v>5.91</v>
          </cell>
          <cell r="N6" t="str">
            <v/>
          </cell>
          <cell r="O6" t="str">
            <v/>
          </cell>
          <cell r="P6" t="str">
            <v/>
          </cell>
          <cell r="Q6">
            <v>9.5</v>
          </cell>
          <cell r="R6" t="str">
            <v>UND</v>
          </cell>
          <cell r="S6">
            <v>0</v>
          </cell>
          <cell r="T6">
            <v>0</v>
          </cell>
          <cell r="U6" t="str">
            <v/>
          </cell>
          <cell r="V6" t="str">
            <v>PRO10</v>
          </cell>
          <cell r="W6">
            <v>0</v>
          </cell>
        </row>
        <row r="7">
          <cell r="C7" t="str">
            <v>LDSUC204-12</v>
          </cell>
          <cell r="D7" t="str">
            <v>PRINC</v>
          </cell>
          <cell r="E7" t="str">
            <v>00001</v>
          </cell>
          <cell r="F7" t="str">
            <v>CHUMACERAS</v>
          </cell>
          <cell r="G7" t="str">
            <v>PRINCIPAL</v>
          </cell>
          <cell r="H7">
            <v>46004</v>
          </cell>
          <cell r="I7" t="str">
            <v>SALDO INICIAL</v>
          </cell>
          <cell r="J7">
            <v>0</v>
          </cell>
          <cell r="K7">
            <v>0</v>
          </cell>
          <cell r="L7">
            <v>5.9257970000000002</v>
          </cell>
          <cell r="M7">
            <v>0</v>
          </cell>
          <cell r="N7" t="str">
            <v/>
          </cell>
          <cell r="O7" t="str">
            <v/>
          </cell>
          <cell r="P7" t="str">
            <v/>
          </cell>
          <cell r="Q7">
            <v>9.5</v>
          </cell>
          <cell r="R7" t="str">
            <v>UND</v>
          </cell>
          <cell r="S7">
            <v>0</v>
          </cell>
          <cell r="T7">
            <v>0</v>
          </cell>
          <cell r="U7" t="str">
            <v/>
          </cell>
          <cell r="V7" t="str">
            <v>PRO10</v>
          </cell>
          <cell r="W7">
            <v>0</v>
          </cell>
        </row>
        <row r="8">
          <cell r="C8" t="str">
            <v>LDSUC205</v>
          </cell>
          <cell r="D8" t="str">
            <v>PRINC</v>
          </cell>
          <cell r="E8" t="str">
            <v>00001</v>
          </cell>
          <cell r="F8" t="str">
            <v>CHUMACERAS</v>
          </cell>
          <cell r="G8" t="str">
            <v>PRINCIPAL</v>
          </cell>
          <cell r="H8">
            <v>46004</v>
          </cell>
          <cell r="I8" t="str">
            <v>SALDO INICIAL</v>
          </cell>
          <cell r="J8">
            <v>21</v>
          </cell>
          <cell r="K8">
            <v>132.96888300000001</v>
          </cell>
          <cell r="L8">
            <v>6.5591679999999997</v>
          </cell>
          <cell r="M8">
            <v>6.3318515709999996</v>
          </cell>
          <cell r="N8" t="str">
            <v/>
          </cell>
          <cell r="O8" t="str">
            <v/>
          </cell>
          <cell r="P8" t="str">
            <v/>
          </cell>
          <cell r="Q8">
            <v>10.9</v>
          </cell>
          <cell r="R8" t="str">
            <v>UND</v>
          </cell>
          <cell r="S8">
            <v>0</v>
          </cell>
          <cell r="T8">
            <v>0</v>
          </cell>
          <cell r="U8" t="str">
            <v/>
          </cell>
          <cell r="V8" t="str">
            <v>PRO10</v>
          </cell>
          <cell r="W8">
            <v>0</v>
          </cell>
        </row>
        <row r="9">
          <cell r="C9" t="str">
            <v>LDSUC206-20</v>
          </cell>
          <cell r="D9" t="str">
            <v>PRINC</v>
          </cell>
          <cell r="E9" t="str">
            <v>00001</v>
          </cell>
          <cell r="F9" t="str">
            <v>CHUMACERAS</v>
          </cell>
          <cell r="G9" t="str">
            <v>PRINCIPAL</v>
          </cell>
          <cell r="H9">
            <v>46004</v>
          </cell>
          <cell r="I9" t="str">
            <v>SALDO INICIAL</v>
          </cell>
          <cell r="J9">
            <v>6</v>
          </cell>
          <cell r="K9">
            <v>60.177562999999999</v>
          </cell>
          <cell r="L9">
            <v>10.029596</v>
          </cell>
          <cell r="M9">
            <v>10.029593833</v>
          </cell>
          <cell r="N9" t="str">
            <v/>
          </cell>
          <cell r="O9" t="str">
            <v/>
          </cell>
          <cell r="P9" t="str">
            <v/>
          </cell>
          <cell r="Q9">
            <v>14.6</v>
          </cell>
          <cell r="R9" t="str">
            <v>UND</v>
          </cell>
          <cell r="S9">
            <v>0</v>
          </cell>
          <cell r="T9">
            <v>0</v>
          </cell>
          <cell r="U9" t="str">
            <v/>
          </cell>
          <cell r="V9" t="str">
            <v>PRO10</v>
          </cell>
          <cell r="W9">
            <v>0</v>
          </cell>
        </row>
        <row r="10">
          <cell r="C10" t="str">
            <v>LDSUC207-20</v>
          </cell>
          <cell r="D10" t="str">
            <v>PRINC</v>
          </cell>
          <cell r="E10" t="str">
            <v>00001</v>
          </cell>
          <cell r="F10" t="str">
            <v>CHUMACERAS</v>
          </cell>
          <cell r="G10" t="str">
            <v>PRINCIPAL</v>
          </cell>
          <cell r="H10">
            <v>46004</v>
          </cell>
          <cell r="I10" t="str">
            <v>SALDO INICIAL</v>
          </cell>
          <cell r="J10">
            <v>17</v>
          </cell>
          <cell r="K10">
            <v>221.51</v>
          </cell>
          <cell r="L10">
            <v>13.03</v>
          </cell>
          <cell r="M10">
            <v>13.03</v>
          </cell>
          <cell r="N10" t="str">
            <v/>
          </cell>
          <cell r="O10" t="str">
            <v/>
          </cell>
          <cell r="P10" t="str">
            <v/>
          </cell>
          <cell r="Q10">
            <v>19.600000000000001</v>
          </cell>
          <cell r="R10" t="str">
            <v>UND</v>
          </cell>
          <cell r="S10">
            <v>0</v>
          </cell>
          <cell r="T10">
            <v>0</v>
          </cell>
          <cell r="U10" t="str">
            <v/>
          </cell>
          <cell r="V10" t="str">
            <v>PRO10</v>
          </cell>
          <cell r="W10">
            <v>0</v>
          </cell>
        </row>
        <row r="11">
          <cell r="C11" t="str">
            <v>LDSUC208</v>
          </cell>
          <cell r="D11" t="str">
            <v>PRINC</v>
          </cell>
          <cell r="E11" t="str">
            <v>00001</v>
          </cell>
          <cell r="F11" t="str">
            <v>CHUMACERAS</v>
          </cell>
          <cell r="G11" t="str">
            <v>PRINCIPAL</v>
          </cell>
          <cell r="H11">
            <v>46004</v>
          </cell>
          <cell r="I11" t="str">
            <v>SALDO INICIAL</v>
          </cell>
          <cell r="J11">
            <v>18</v>
          </cell>
          <cell r="K11">
            <v>309.42</v>
          </cell>
          <cell r="L11">
            <v>17.190000000000001</v>
          </cell>
          <cell r="M11">
            <v>17.190000000000001</v>
          </cell>
          <cell r="N11" t="str">
            <v/>
          </cell>
          <cell r="O11" t="str">
            <v/>
          </cell>
          <cell r="P11" t="str">
            <v/>
          </cell>
          <cell r="Q11">
            <v>25.5</v>
          </cell>
          <cell r="R11" t="str">
            <v>UND</v>
          </cell>
          <cell r="S11">
            <v>0</v>
          </cell>
          <cell r="T11">
            <v>0</v>
          </cell>
          <cell r="U11" t="str">
            <v/>
          </cell>
          <cell r="V11" t="str">
            <v>PRO10</v>
          </cell>
          <cell r="W11">
            <v>0</v>
          </cell>
        </row>
        <row r="12">
          <cell r="C12" t="str">
            <v>LDSUC208-24</v>
          </cell>
          <cell r="D12" t="str">
            <v>PRINC</v>
          </cell>
          <cell r="E12" t="str">
            <v>00001</v>
          </cell>
          <cell r="F12" t="str">
            <v>CHUMACERAS</v>
          </cell>
          <cell r="G12" t="str">
            <v>PRINCIPAL</v>
          </cell>
          <cell r="H12">
            <v>46004</v>
          </cell>
          <cell r="I12" t="str">
            <v>SALDO INICIAL</v>
          </cell>
          <cell r="J12">
            <v>0</v>
          </cell>
          <cell r="K12">
            <v>0</v>
          </cell>
          <cell r="L12">
            <v>16.78</v>
          </cell>
          <cell r="M12">
            <v>0</v>
          </cell>
          <cell r="N12" t="str">
            <v/>
          </cell>
          <cell r="O12" t="str">
            <v/>
          </cell>
          <cell r="P12" t="str">
            <v/>
          </cell>
          <cell r="Q12">
            <v>25.5</v>
          </cell>
          <cell r="R12" t="str">
            <v>UND</v>
          </cell>
          <cell r="S12">
            <v>0</v>
          </cell>
          <cell r="T12">
            <v>0</v>
          </cell>
          <cell r="U12" t="str">
            <v/>
          </cell>
          <cell r="V12" t="str">
            <v>PRO10</v>
          </cell>
          <cell r="W12">
            <v>0</v>
          </cell>
        </row>
        <row r="13">
          <cell r="C13" t="str">
            <v>LDSUC210-32</v>
          </cell>
          <cell r="D13" t="str">
            <v>PRINC</v>
          </cell>
          <cell r="E13" t="str">
            <v>00001</v>
          </cell>
          <cell r="F13" t="str">
            <v>CHUMACERAS</v>
          </cell>
          <cell r="G13" t="str">
            <v>PRINCIPAL</v>
          </cell>
          <cell r="H13">
            <v>46004</v>
          </cell>
          <cell r="I13" t="str">
            <v>SALDO INICIAL</v>
          </cell>
          <cell r="J13">
            <v>10</v>
          </cell>
          <cell r="K13">
            <v>245.86</v>
          </cell>
          <cell r="L13">
            <v>24.61</v>
          </cell>
          <cell r="M13">
            <v>24.585999999999999</v>
          </cell>
          <cell r="N13" t="str">
            <v/>
          </cell>
          <cell r="O13" t="str">
            <v/>
          </cell>
          <cell r="P13" t="str">
            <v/>
          </cell>
          <cell r="Q13">
            <v>35.299999999999997</v>
          </cell>
          <cell r="R13" t="str">
            <v>UND</v>
          </cell>
          <cell r="S13">
            <v>0</v>
          </cell>
          <cell r="T13">
            <v>0</v>
          </cell>
          <cell r="U13" t="str">
            <v/>
          </cell>
          <cell r="V13" t="str">
            <v>PRO10</v>
          </cell>
          <cell r="W13">
            <v>0</v>
          </cell>
        </row>
        <row r="14">
          <cell r="C14" t="str">
            <v>LDSU211</v>
          </cell>
          <cell r="D14" t="str">
            <v>PRINC</v>
          </cell>
          <cell r="E14" t="str">
            <v>00001</v>
          </cell>
          <cell r="F14" t="str">
            <v>CHUMACERAS</v>
          </cell>
          <cell r="G14" t="str">
            <v>PRINCIPAL</v>
          </cell>
          <cell r="H14">
            <v>46004</v>
          </cell>
          <cell r="I14" t="str">
            <v>SALDO INICIAL</v>
          </cell>
          <cell r="J14">
            <v>6</v>
          </cell>
          <cell r="K14">
            <v>186.48</v>
          </cell>
          <cell r="L14">
            <v>31.08</v>
          </cell>
          <cell r="M14">
            <v>31.08</v>
          </cell>
          <cell r="N14" t="str">
            <v/>
          </cell>
          <cell r="O14" t="str">
            <v/>
          </cell>
          <cell r="P14" t="str">
            <v/>
          </cell>
          <cell r="Q14">
            <v>46.8</v>
          </cell>
          <cell r="R14" t="str">
            <v>UND</v>
          </cell>
          <cell r="S14">
            <v>0</v>
          </cell>
          <cell r="T14">
            <v>0</v>
          </cell>
          <cell r="U14" t="str">
            <v/>
          </cell>
          <cell r="V14" t="str">
            <v>PRO10</v>
          </cell>
          <cell r="W14">
            <v>0</v>
          </cell>
        </row>
        <row r="15">
          <cell r="C15" t="str">
            <v>LDTPP204</v>
          </cell>
          <cell r="D15" t="str">
            <v>PRINC</v>
          </cell>
          <cell r="E15" t="str">
            <v>00001</v>
          </cell>
          <cell r="F15" t="str">
            <v>CHUMACERAS</v>
          </cell>
          <cell r="G15" t="str">
            <v>PRINCIPAL</v>
          </cell>
          <cell r="H15">
            <v>46004</v>
          </cell>
          <cell r="I15" t="str">
            <v>SALDO INICIAL</v>
          </cell>
          <cell r="J15">
            <v>4</v>
          </cell>
          <cell r="K15">
            <v>12.375999999999999</v>
          </cell>
          <cell r="L15">
            <v>0</v>
          </cell>
          <cell r="M15">
            <v>3.0939999999999999</v>
          </cell>
          <cell r="N15" t="str">
            <v/>
          </cell>
          <cell r="O15" t="str">
            <v/>
          </cell>
          <cell r="P15" t="str">
            <v/>
          </cell>
          <cell r="Q15">
            <v>3.6</v>
          </cell>
          <cell r="R15" t="str">
            <v>UND</v>
          </cell>
          <cell r="S15">
            <v>0</v>
          </cell>
          <cell r="T15">
            <v>0</v>
          </cell>
          <cell r="U15" t="str">
            <v/>
          </cell>
          <cell r="V15" t="str">
            <v>PRO10</v>
          </cell>
          <cell r="W15">
            <v>0</v>
          </cell>
        </row>
        <row r="16">
          <cell r="C16" t="str">
            <v>LDTPSUCF204-12</v>
          </cell>
          <cell r="D16" t="str">
            <v>PRINC</v>
          </cell>
          <cell r="E16" t="str">
            <v>00001</v>
          </cell>
          <cell r="F16" t="str">
            <v>CHUMACERAS</v>
          </cell>
          <cell r="G16" t="str">
            <v>PRINCIPAL</v>
          </cell>
          <cell r="H16">
            <v>46004</v>
          </cell>
          <cell r="I16" t="str">
            <v>SALDO INICIAL</v>
          </cell>
          <cell r="J16">
            <v>30</v>
          </cell>
          <cell r="K16">
            <v>277.8</v>
          </cell>
          <cell r="L16">
            <v>10.19</v>
          </cell>
          <cell r="M16">
            <v>9.26</v>
          </cell>
          <cell r="N16" t="str">
            <v/>
          </cell>
          <cell r="O16" t="str">
            <v/>
          </cell>
          <cell r="P16" t="str">
            <v/>
          </cell>
          <cell r="Q16">
            <v>15.2</v>
          </cell>
          <cell r="R16" t="str">
            <v>UND</v>
          </cell>
          <cell r="S16">
            <v>0</v>
          </cell>
          <cell r="T16">
            <v>0</v>
          </cell>
          <cell r="U16" t="str">
            <v/>
          </cell>
          <cell r="V16" t="str">
            <v>PRO10</v>
          </cell>
          <cell r="W16">
            <v>0</v>
          </cell>
        </row>
        <row r="17">
          <cell r="C17" t="str">
            <v>LDTPSUCF205</v>
          </cell>
          <cell r="D17" t="str">
            <v>PRINC</v>
          </cell>
          <cell r="E17" t="str">
            <v>00001</v>
          </cell>
          <cell r="F17" t="str">
            <v>CHUMACERAS</v>
          </cell>
          <cell r="G17" t="str">
            <v>PRINCIPAL</v>
          </cell>
          <cell r="H17">
            <v>46004</v>
          </cell>
          <cell r="I17" t="str">
            <v>SALDO INICIAL</v>
          </cell>
          <cell r="J17">
            <v>38</v>
          </cell>
          <cell r="K17">
            <v>378.1</v>
          </cell>
          <cell r="L17">
            <v>9.9499999999999993</v>
          </cell>
          <cell r="M17">
            <v>9.9499999999999993</v>
          </cell>
          <cell r="N17" t="str">
            <v/>
          </cell>
          <cell r="O17" t="str">
            <v/>
          </cell>
          <cell r="P17" t="str">
            <v/>
          </cell>
          <cell r="Q17">
            <v>16.8</v>
          </cell>
          <cell r="R17" t="str">
            <v>UND</v>
          </cell>
          <cell r="S17">
            <v>0</v>
          </cell>
          <cell r="T17">
            <v>0</v>
          </cell>
          <cell r="U17" t="str">
            <v/>
          </cell>
          <cell r="V17" t="str">
            <v>PRO10</v>
          </cell>
          <cell r="W17">
            <v>0</v>
          </cell>
        </row>
        <row r="18">
          <cell r="C18" t="str">
            <v>LDTPSUCF205-16</v>
          </cell>
          <cell r="D18" t="str">
            <v>PRINC</v>
          </cell>
          <cell r="E18" t="str">
            <v>00001</v>
          </cell>
          <cell r="F18" t="str">
            <v>CHUMACERAS</v>
          </cell>
          <cell r="G18" t="str">
            <v>PRINCIPAL</v>
          </cell>
          <cell r="H18">
            <v>46004</v>
          </cell>
          <cell r="I18" t="str">
            <v>SALDO INICIAL</v>
          </cell>
          <cell r="J18">
            <v>28</v>
          </cell>
          <cell r="K18">
            <v>294.10331200000002</v>
          </cell>
          <cell r="L18">
            <v>10.503689</v>
          </cell>
          <cell r="M18">
            <v>10.503689714</v>
          </cell>
          <cell r="N18" t="str">
            <v/>
          </cell>
          <cell r="O18" t="str">
            <v/>
          </cell>
          <cell r="P18" t="str">
            <v/>
          </cell>
          <cell r="Q18">
            <v>16.8</v>
          </cell>
          <cell r="R18" t="str">
            <v>UND</v>
          </cell>
          <cell r="S18">
            <v>0</v>
          </cell>
          <cell r="T18">
            <v>0</v>
          </cell>
          <cell r="U18" t="str">
            <v/>
          </cell>
          <cell r="V18" t="str">
            <v>PRO10</v>
          </cell>
          <cell r="W18">
            <v>0</v>
          </cell>
        </row>
        <row r="19">
          <cell r="C19" t="str">
            <v>LDTPSUCF206-19</v>
          </cell>
          <cell r="D19" t="str">
            <v>PRINC</v>
          </cell>
          <cell r="E19" t="str">
            <v>00001</v>
          </cell>
          <cell r="F19" t="str">
            <v>CHUMACERAS</v>
          </cell>
          <cell r="G19" t="str">
            <v>PRINCIPAL</v>
          </cell>
          <cell r="H19">
            <v>46004</v>
          </cell>
          <cell r="I19" t="str">
            <v>SALDO INICIAL</v>
          </cell>
          <cell r="J19">
            <v>17</v>
          </cell>
          <cell r="K19">
            <v>253.81</v>
          </cell>
          <cell r="L19">
            <v>14.93</v>
          </cell>
          <cell r="M19">
            <v>14.93</v>
          </cell>
          <cell r="N19" t="str">
            <v/>
          </cell>
          <cell r="O19" t="str">
            <v/>
          </cell>
          <cell r="P19" t="str">
            <v/>
          </cell>
          <cell r="Q19">
            <v>22.8</v>
          </cell>
          <cell r="R19" t="str">
            <v>UND</v>
          </cell>
          <cell r="S19">
            <v>0</v>
          </cell>
          <cell r="T19">
            <v>0</v>
          </cell>
          <cell r="U19" t="str">
            <v/>
          </cell>
          <cell r="V19" t="str">
            <v>PRO10</v>
          </cell>
          <cell r="W19">
            <v>0</v>
          </cell>
        </row>
        <row r="20">
          <cell r="C20" t="str">
            <v>LDTPSUCF206-20</v>
          </cell>
          <cell r="D20" t="str">
            <v>PRINC</v>
          </cell>
          <cell r="E20" t="str">
            <v>00001</v>
          </cell>
          <cell r="F20" t="str">
            <v>CHUMACERAS</v>
          </cell>
          <cell r="G20" t="str">
            <v>PRINCIPAL</v>
          </cell>
          <cell r="H20">
            <v>46004</v>
          </cell>
          <cell r="I20" t="str">
            <v>SALDO INICIAL</v>
          </cell>
          <cell r="J20">
            <v>1</v>
          </cell>
          <cell r="K20">
            <v>14.74</v>
          </cell>
          <cell r="L20">
            <v>14.74</v>
          </cell>
          <cell r="M20">
            <v>14.74</v>
          </cell>
          <cell r="N20" t="str">
            <v/>
          </cell>
          <cell r="O20" t="str">
            <v/>
          </cell>
          <cell r="P20" t="str">
            <v/>
          </cell>
          <cell r="Q20">
            <v>22.8</v>
          </cell>
          <cell r="R20" t="str">
            <v>UND</v>
          </cell>
          <cell r="S20">
            <v>0</v>
          </cell>
          <cell r="T20">
            <v>0</v>
          </cell>
          <cell r="U20" t="str">
            <v/>
          </cell>
          <cell r="V20" t="str">
            <v>PRO10</v>
          </cell>
          <cell r="W20">
            <v>0</v>
          </cell>
        </row>
        <row r="21">
          <cell r="C21" t="str">
            <v>LDTPSUCF207</v>
          </cell>
          <cell r="D21" t="str">
            <v>PRINC</v>
          </cell>
          <cell r="E21" t="str">
            <v>00001</v>
          </cell>
          <cell r="F21" t="str">
            <v>CHUMACERAS</v>
          </cell>
          <cell r="G21" t="str">
            <v>PRINCIPAL</v>
          </cell>
          <cell r="H21">
            <v>46004</v>
          </cell>
          <cell r="I21" t="str">
            <v>SALDO INICIAL</v>
          </cell>
          <cell r="J21">
            <v>41</v>
          </cell>
          <cell r="K21">
            <v>760.55</v>
          </cell>
          <cell r="L21">
            <v>18.55</v>
          </cell>
          <cell r="M21">
            <v>18.55</v>
          </cell>
          <cell r="N21" t="str">
            <v/>
          </cell>
          <cell r="O21" t="str">
            <v/>
          </cell>
          <cell r="P21" t="str">
            <v/>
          </cell>
          <cell r="Q21">
            <v>27.6</v>
          </cell>
          <cell r="R21" t="str">
            <v>UND</v>
          </cell>
          <cell r="S21">
            <v>0</v>
          </cell>
          <cell r="T21">
            <v>0</v>
          </cell>
          <cell r="U21" t="str">
            <v/>
          </cell>
          <cell r="V21" t="str">
            <v>PRO10</v>
          </cell>
          <cell r="W21">
            <v>0</v>
          </cell>
        </row>
        <row r="22">
          <cell r="C22" t="str">
            <v>LDTPSUCF207-20</v>
          </cell>
          <cell r="D22" t="str">
            <v>PRINC</v>
          </cell>
          <cell r="E22" t="str">
            <v>00001</v>
          </cell>
          <cell r="F22" t="str">
            <v>CHUMACERAS</v>
          </cell>
          <cell r="G22" t="str">
            <v>PRINCIPAL</v>
          </cell>
          <cell r="H22">
            <v>46004</v>
          </cell>
          <cell r="I22" t="str">
            <v>SALDO INICIAL</v>
          </cell>
          <cell r="J22">
            <v>20</v>
          </cell>
          <cell r="K22">
            <v>358.13035100000002</v>
          </cell>
          <cell r="L22">
            <v>17.906517000000001</v>
          </cell>
          <cell r="M22">
            <v>17.90651755</v>
          </cell>
          <cell r="N22" t="str">
            <v/>
          </cell>
          <cell r="O22" t="str">
            <v/>
          </cell>
          <cell r="P22" t="str">
            <v/>
          </cell>
          <cell r="Q22">
            <v>27.6</v>
          </cell>
          <cell r="R22" t="str">
            <v>UND</v>
          </cell>
          <cell r="S22">
            <v>0</v>
          </cell>
          <cell r="T22">
            <v>0</v>
          </cell>
          <cell r="U22" t="str">
            <v/>
          </cell>
          <cell r="V22" t="str">
            <v>PRO10</v>
          </cell>
          <cell r="W22">
            <v>0</v>
          </cell>
        </row>
        <row r="23">
          <cell r="C23" t="str">
            <v>LDTPSUCF209</v>
          </cell>
          <cell r="D23" t="str">
            <v>PRINC</v>
          </cell>
          <cell r="E23" t="str">
            <v>00001</v>
          </cell>
          <cell r="F23" t="str">
            <v>CHUMACERAS</v>
          </cell>
          <cell r="G23" t="str">
            <v>PRINCIPAL</v>
          </cell>
          <cell r="H23">
            <v>46004</v>
          </cell>
          <cell r="I23" t="str">
            <v>SALDO INICIAL</v>
          </cell>
          <cell r="J23">
            <v>14</v>
          </cell>
          <cell r="K23">
            <v>352.66</v>
          </cell>
          <cell r="L23">
            <v>25.19</v>
          </cell>
          <cell r="M23">
            <v>25.19</v>
          </cell>
          <cell r="N23" t="str">
            <v/>
          </cell>
          <cell r="O23" t="str">
            <v/>
          </cell>
          <cell r="P23" t="str">
            <v/>
          </cell>
          <cell r="Q23">
            <v>37.4</v>
          </cell>
          <cell r="R23" t="str">
            <v>UND</v>
          </cell>
          <cell r="S23">
            <v>0</v>
          </cell>
          <cell r="T23">
            <v>0</v>
          </cell>
          <cell r="U23" t="str">
            <v/>
          </cell>
          <cell r="V23" t="str">
            <v>PRO10</v>
          </cell>
          <cell r="W23">
            <v>0</v>
          </cell>
        </row>
        <row r="24">
          <cell r="C24" t="str">
            <v>LDTPSUCFL204-12</v>
          </cell>
          <cell r="D24" t="str">
            <v>PRINC</v>
          </cell>
          <cell r="E24" t="str">
            <v>00001</v>
          </cell>
          <cell r="F24" t="str">
            <v>CHUMACERAS</v>
          </cell>
          <cell r="G24" t="str">
            <v>PRINCIPAL</v>
          </cell>
          <cell r="H24">
            <v>46004</v>
          </cell>
          <cell r="I24" t="str">
            <v>SALDO INICIAL</v>
          </cell>
          <cell r="J24">
            <v>0</v>
          </cell>
          <cell r="K24">
            <v>0</v>
          </cell>
          <cell r="L24">
            <v>7.99</v>
          </cell>
          <cell r="M24">
            <v>0</v>
          </cell>
          <cell r="N24" t="str">
            <v/>
          </cell>
          <cell r="O24" t="str">
            <v/>
          </cell>
          <cell r="P24" t="str">
            <v/>
          </cell>
          <cell r="Q24">
            <v>12.8</v>
          </cell>
          <cell r="R24" t="str">
            <v>UND</v>
          </cell>
          <cell r="S24">
            <v>0</v>
          </cell>
          <cell r="T24">
            <v>0</v>
          </cell>
          <cell r="U24" t="str">
            <v/>
          </cell>
          <cell r="V24" t="str">
            <v>PRO10</v>
          </cell>
          <cell r="W24">
            <v>0</v>
          </cell>
        </row>
        <row r="25">
          <cell r="C25" t="str">
            <v>LDTPSUCFL205</v>
          </cell>
          <cell r="D25" t="str">
            <v>PRINC</v>
          </cell>
          <cell r="E25" t="str">
            <v>00001</v>
          </cell>
          <cell r="F25" t="str">
            <v>CHUMACERAS</v>
          </cell>
          <cell r="G25" t="str">
            <v>PRINCIPAL</v>
          </cell>
          <cell r="H25">
            <v>46004</v>
          </cell>
          <cell r="I25" t="str">
            <v>SALDO INICIAL</v>
          </cell>
          <cell r="J25">
            <v>52</v>
          </cell>
          <cell r="K25">
            <v>485.06714399999998</v>
          </cell>
          <cell r="L25">
            <v>9.3282139999999991</v>
          </cell>
          <cell r="M25">
            <v>9.3282143079999997</v>
          </cell>
          <cell r="N25" t="str">
            <v/>
          </cell>
          <cell r="O25" t="str">
            <v/>
          </cell>
          <cell r="P25" t="str">
            <v/>
          </cell>
          <cell r="Q25">
            <v>14.4</v>
          </cell>
          <cell r="R25" t="str">
            <v>UND</v>
          </cell>
          <cell r="S25">
            <v>0</v>
          </cell>
          <cell r="T25">
            <v>0</v>
          </cell>
          <cell r="U25" t="str">
            <v/>
          </cell>
          <cell r="V25" t="str">
            <v>PRO10</v>
          </cell>
          <cell r="W25">
            <v>0</v>
          </cell>
        </row>
        <row r="26">
          <cell r="C26" t="str">
            <v>LDTPSUCFL205-16</v>
          </cell>
          <cell r="D26" t="str">
            <v>PRINC</v>
          </cell>
          <cell r="E26" t="str">
            <v>00001</v>
          </cell>
          <cell r="F26" t="str">
            <v>CHUMACERAS</v>
          </cell>
          <cell r="G26" t="str">
            <v>PRINCIPAL</v>
          </cell>
          <cell r="H26">
            <v>46004</v>
          </cell>
          <cell r="I26" t="str">
            <v>SALDO INICIAL</v>
          </cell>
          <cell r="J26">
            <v>41</v>
          </cell>
          <cell r="K26">
            <v>367.01730800000001</v>
          </cell>
          <cell r="L26">
            <v>8.9516419999999997</v>
          </cell>
          <cell r="M26">
            <v>8.9516416589999999</v>
          </cell>
          <cell r="N26" t="str">
            <v/>
          </cell>
          <cell r="O26" t="str">
            <v/>
          </cell>
          <cell r="P26" t="str">
            <v/>
          </cell>
          <cell r="Q26">
            <v>14.4</v>
          </cell>
          <cell r="R26" t="str">
            <v>UND</v>
          </cell>
          <cell r="S26">
            <v>0</v>
          </cell>
          <cell r="T26">
            <v>0</v>
          </cell>
          <cell r="U26" t="str">
            <v/>
          </cell>
          <cell r="V26" t="str">
            <v>PRO10</v>
          </cell>
          <cell r="W26">
            <v>0</v>
          </cell>
        </row>
        <row r="27">
          <cell r="C27" t="str">
            <v>LDTPSUCFL206-20</v>
          </cell>
          <cell r="D27" t="str">
            <v>PRINC</v>
          </cell>
          <cell r="E27" t="str">
            <v>00001</v>
          </cell>
          <cell r="F27" t="str">
            <v>CHUMACERAS</v>
          </cell>
          <cell r="G27" t="str">
            <v>PRINCIPAL</v>
          </cell>
          <cell r="H27">
            <v>46004</v>
          </cell>
          <cell r="I27" t="str">
            <v>SALDO INICIAL</v>
          </cell>
          <cell r="J27">
            <v>40</v>
          </cell>
          <cell r="K27">
            <v>570.20000000000005</v>
          </cell>
          <cell r="L27">
            <v>17.5</v>
          </cell>
          <cell r="M27">
            <v>14.255000000000001</v>
          </cell>
          <cell r="N27" t="str">
            <v/>
          </cell>
          <cell r="O27" t="str">
            <v/>
          </cell>
          <cell r="P27" t="str">
            <v/>
          </cell>
          <cell r="Q27">
            <v>22.2</v>
          </cell>
          <cell r="R27" t="str">
            <v>UND</v>
          </cell>
          <cell r="S27">
            <v>0</v>
          </cell>
          <cell r="T27">
            <v>0</v>
          </cell>
          <cell r="U27" t="str">
            <v/>
          </cell>
          <cell r="V27" t="str">
            <v>PRO10</v>
          </cell>
          <cell r="W27">
            <v>0</v>
          </cell>
        </row>
        <row r="28">
          <cell r="C28" t="str">
            <v>LDTPSUCP204-12</v>
          </cell>
          <cell r="D28" t="str">
            <v>PRINC</v>
          </cell>
          <cell r="E28" t="str">
            <v>00001</v>
          </cell>
          <cell r="F28" t="str">
            <v>CHUMACERAS</v>
          </cell>
          <cell r="G28" t="str">
            <v>PRINCIPAL</v>
          </cell>
          <cell r="H28">
            <v>46004</v>
          </cell>
          <cell r="I28" t="str">
            <v>SALDO INICIAL</v>
          </cell>
          <cell r="J28">
            <v>30</v>
          </cell>
          <cell r="K28">
            <v>265.2</v>
          </cell>
          <cell r="L28">
            <v>8.84</v>
          </cell>
          <cell r="M28">
            <v>8.84</v>
          </cell>
          <cell r="N28" t="str">
            <v/>
          </cell>
          <cell r="O28" t="str">
            <v/>
          </cell>
          <cell r="P28" t="str">
            <v/>
          </cell>
          <cell r="Q28">
            <v>15.5</v>
          </cell>
          <cell r="R28" t="str">
            <v>UND</v>
          </cell>
          <cell r="S28">
            <v>0</v>
          </cell>
          <cell r="T28">
            <v>0</v>
          </cell>
          <cell r="U28" t="str">
            <v/>
          </cell>
          <cell r="V28" t="str">
            <v>PRO10</v>
          </cell>
          <cell r="W28">
            <v>0</v>
          </cell>
        </row>
        <row r="29">
          <cell r="C29" t="str">
            <v>LDTPSUCP205</v>
          </cell>
          <cell r="D29" t="str">
            <v>PRINC</v>
          </cell>
          <cell r="E29" t="str">
            <v>00001</v>
          </cell>
          <cell r="F29" t="str">
            <v>CHUMACERAS</v>
          </cell>
          <cell r="G29" t="str">
            <v>PRINCIPAL</v>
          </cell>
          <cell r="H29">
            <v>46004</v>
          </cell>
          <cell r="I29" t="str">
            <v>SALDO INICIAL</v>
          </cell>
          <cell r="J29">
            <v>19</v>
          </cell>
          <cell r="K29">
            <v>201.4</v>
          </cell>
          <cell r="L29">
            <v>10.6</v>
          </cell>
          <cell r="M29">
            <v>10.6</v>
          </cell>
          <cell r="N29" t="str">
            <v/>
          </cell>
          <cell r="O29" t="str">
            <v/>
          </cell>
          <cell r="P29" t="str">
            <v/>
          </cell>
          <cell r="Q29">
            <v>17</v>
          </cell>
          <cell r="R29" t="str">
            <v>UND</v>
          </cell>
          <cell r="S29">
            <v>0</v>
          </cell>
          <cell r="T29">
            <v>0</v>
          </cell>
          <cell r="U29" t="str">
            <v/>
          </cell>
          <cell r="V29" t="str">
            <v>PRO10</v>
          </cell>
          <cell r="W29">
            <v>0</v>
          </cell>
        </row>
        <row r="30">
          <cell r="C30" t="str">
            <v>LDTPSUCP205-16</v>
          </cell>
          <cell r="D30" t="str">
            <v>PRINC</v>
          </cell>
          <cell r="E30" t="str">
            <v>00001</v>
          </cell>
          <cell r="F30" t="str">
            <v>CHUMACERAS</v>
          </cell>
          <cell r="G30" t="str">
            <v>PRINCIPAL</v>
          </cell>
          <cell r="H30">
            <v>46004</v>
          </cell>
          <cell r="I30" t="str">
            <v>SALDO INICIAL</v>
          </cell>
          <cell r="J30">
            <v>0</v>
          </cell>
          <cell r="K30">
            <v>0</v>
          </cell>
          <cell r="L30">
            <v>11.083698999999999</v>
          </cell>
          <cell r="M30">
            <v>0</v>
          </cell>
          <cell r="N30" t="str">
            <v/>
          </cell>
          <cell r="O30" t="str">
            <v/>
          </cell>
          <cell r="P30" t="str">
            <v/>
          </cell>
          <cell r="Q30">
            <v>17</v>
          </cell>
          <cell r="R30" t="str">
            <v>UND</v>
          </cell>
          <cell r="S30">
            <v>0</v>
          </cell>
          <cell r="T30">
            <v>0</v>
          </cell>
          <cell r="U30" t="str">
            <v/>
          </cell>
          <cell r="V30" t="str">
            <v>PRO10</v>
          </cell>
          <cell r="W30">
            <v>0</v>
          </cell>
        </row>
        <row r="31">
          <cell r="C31" t="str">
            <v>LDTPSUCP207-20</v>
          </cell>
          <cell r="D31" t="str">
            <v>PRINC</v>
          </cell>
          <cell r="E31" t="str">
            <v>00001</v>
          </cell>
          <cell r="F31" t="str">
            <v>CHUMACERAS</v>
          </cell>
          <cell r="G31" t="str">
            <v>PRINCIPAL</v>
          </cell>
          <cell r="H31">
            <v>46004</v>
          </cell>
          <cell r="I31" t="str">
            <v>SALDO INICIAL</v>
          </cell>
          <cell r="J31">
            <v>56</v>
          </cell>
          <cell r="K31">
            <v>1073.704416</v>
          </cell>
          <cell r="L31">
            <v>19.498529000000001</v>
          </cell>
          <cell r="M31">
            <v>19.173293142999999</v>
          </cell>
          <cell r="N31" t="str">
            <v/>
          </cell>
          <cell r="O31" t="str">
            <v/>
          </cell>
          <cell r="P31" t="str">
            <v/>
          </cell>
          <cell r="Q31">
            <v>26.5</v>
          </cell>
          <cell r="R31" t="str">
            <v>UND</v>
          </cell>
          <cell r="S31">
            <v>0</v>
          </cell>
          <cell r="T31">
            <v>0</v>
          </cell>
          <cell r="U31" t="str">
            <v/>
          </cell>
          <cell r="V31" t="str">
            <v>PRO10</v>
          </cell>
          <cell r="W31">
            <v>0</v>
          </cell>
        </row>
        <row r="32">
          <cell r="C32" t="str">
            <v>PI1APRF000282</v>
          </cell>
          <cell r="D32" t="str">
            <v>PRINC</v>
          </cell>
          <cell r="E32" t="str">
            <v>00002</v>
          </cell>
          <cell r="F32" t="str">
            <v>PERFILES Y TUBOS</v>
          </cell>
          <cell r="G32" t="str">
            <v>PRINCIPAL</v>
          </cell>
          <cell r="H32">
            <v>46004</v>
          </cell>
          <cell r="I32" t="str">
            <v>SALDO INICIAL</v>
          </cell>
          <cell r="J32">
            <v>75</v>
          </cell>
          <cell r="K32">
            <v>696</v>
          </cell>
          <cell r="L32">
            <v>9.2799999999999994</v>
          </cell>
          <cell r="M32">
            <v>9.2799999999999994</v>
          </cell>
          <cell r="N32" t="str">
            <v/>
          </cell>
          <cell r="O32" t="str">
            <v/>
          </cell>
          <cell r="P32" t="str">
            <v/>
          </cell>
          <cell r="Q32">
            <v>18.149999999999999</v>
          </cell>
          <cell r="R32" t="str">
            <v>MTS</v>
          </cell>
          <cell r="S32">
            <v>0</v>
          </cell>
          <cell r="T32">
            <v>0</v>
          </cell>
          <cell r="U32" t="str">
            <v/>
          </cell>
          <cell r="V32" t="str">
            <v>PRO10</v>
          </cell>
          <cell r="W32">
            <v>0</v>
          </cell>
        </row>
        <row r="33">
          <cell r="C33" t="str">
            <v>PERALUC22</v>
          </cell>
          <cell r="D33" t="str">
            <v>PRINC</v>
          </cell>
          <cell r="E33" t="str">
            <v>00002</v>
          </cell>
          <cell r="F33" t="str">
            <v>PERFILES Y TUBOS</v>
          </cell>
          <cell r="G33" t="str">
            <v>PRINCIPAL</v>
          </cell>
          <cell r="H33">
            <v>46004</v>
          </cell>
          <cell r="I33" t="str">
            <v>SALDO INICIAL</v>
          </cell>
          <cell r="J33">
            <v>288</v>
          </cell>
          <cell r="K33">
            <v>961.92</v>
          </cell>
          <cell r="L33">
            <v>3.18</v>
          </cell>
          <cell r="M33">
            <v>3.34</v>
          </cell>
          <cell r="N33" t="str">
            <v/>
          </cell>
          <cell r="O33" t="str">
            <v/>
          </cell>
          <cell r="P33" t="str">
            <v/>
          </cell>
          <cell r="Q33">
            <v>6.5</v>
          </cell>
          <cell r="R33" t="str">
            <v>MTS</v>
          </cell>
          <cell r="S33">
            <v>0</v>
          </cell>
          <cell r="T33">
            <v>0</v>
          </cell>
          <cell r="U33" t="str">
            <v/>
          </cell>
          <cell r="V33" t="str">
            <v>PRO10</v>
          </cell>
          <cell r="W33">
            <v>0</v>
          </cell>
        </row>
        <row r="34">
          <cell r="C34" t="str">
            <v>PI1APRF701004</v>
          </cell>
          <cell r="D34" t="str">
            <v>PRINC</v>
          </cell>
          <cell r="E34" t="str">
            <v>00002</v>
          </cell>
          <cell r="F34" t="str">
            <v>PERFILES Y TUBOS</v>
          </cell>
          <cell r="G34" t="str">
            <v>PRINCIPAL</v>
          </cell>
          <cell r="H34">
            <v>46004</v>
          </cell>
          <cell r="I34" t="str">
            <v>SALDO INICIAL</v>
          </cell>
          <cell r="J34">
            <v>47</v>
          </cell>
          <cell r="K34">
            <v>567.39820999999995</v>
          </cell>
          <cell r="L34">
            <v>12.072303</v>
          </cell>
          <cell r="M34">
            <v>12.07230234</v>
          </cell>
          <cell r="N34" t="str">
            <v/>
          </cell>
          <cell r="O34" t="str">
            <v/>
          </cell>
          <cell r="P34" t="str">
            <v/>
          </cell>
          <cell r="Q34">
            <v>22</v>
          </cell>
          <cell r="R34" t="str">
            <v>MTS</v>
          </cell>
          <cell r="S34">
            <v>0</v>
          </cell>
          <cell r="T34">
            <v>0</v>
          </cell>
          <cell r="U34" t="str">
            <v/>
          </cell>
          <cell r="V34" t="str">
            <v>PRO10</v>
          </cell>
          <cell r="W34">
            <v>0</v>
          </cell>
        </row>
        <row r="35">
          <cell r="C35" t="str">
            <v>ROPERPE1/4X1</v>
          </cell>
          <cell r="D35" t="str">
            <v>PRINC</v>
          </cell>
          <cell r="E35" t="str">
            <v>00002</v>
          </cell>
          <cell r="F35" t="str">
            <v>PERFILES Y TUBOS</v>
          </cell>
          <cell r="G35" t="str">
            <v>PRINCIPAL</v>
          </cell>
          <cell r="H35">
            <v>46004</v>
          </cell>
          <cell r="I35" t="str">
            <v>SALDO INICIAL</v>
          </cell>
          <cell r="J35">
            <v>72</v>
          </cell>
          <cell r="K35">
            <v>180</v>
          </cell>
          <cell r="L35">
            <v>2.5</v>
          </cell>
          <cell r="M35">
            <v>2.5</v>
          </cell>
          <cell r="N35" t="str">
            <v/>
          </cell>
          <cell r="O35" t="str">
            <v/>
          </cell>
          <cell r="P35" t="str">
            <v/>
          </cell>
          <cell r="Q35">
            <v>5.05</v>
          </cell>
          <cell r="R35" t="str">
            <v>MTS</v>
          </cell>
          <cell r="S35">
            <v>0</v>
          </cell>
          <cell r="T35">
            <v>0</v>
          </cell>
          <cell r="U35" t="str">
            <v/>
          </cell>
          <cell r="V35" t="str">
            <v>PRO10</v>
          </cell>
          <cell r="W35">
            <v>0</v>
          </cell>
        </row>
        <row r="36">
          <cell r="C36" t="str">
            <v>ROPE1/4X1.1/2</v>
          </cell>
          <cell r="D36" t="str">
            <v>PRINC</v>
          </cell>
          <cell r="E36" t="str">
            <v>00002</v>
          </cell>
          <cell r="F36" t="str">
            <v>PERFILES Y TUBOS</v>
          </cell>
          <cell r="G36" t="str">
            <v>PRINCIPAL</v>
          </cell>
          <cell r="H36">
            <v>46004</v>
          </cell>
          <cell r="I36" t="str">
            <v>SALDO INICIAL</v>
          </cell>
          <cell r="J36">
            <v>100</v>
          </cell>
          <cell r="K36">
            <v>320</v>
          </cell>
          <cell r="L36">
            <v>3.2680950000000002</v>
          </cell>
          <cell r="M36">
            <v>3.2</v>
          </cell>
          <cell r="N36" t="str">
            <v/>
          </cell>
          <cell r="O36" t="str">
            <v/>
          </cell>
          <cell r="P36" t="str">
            <v/>
          </cell>
          <cell r="Q36">
            <v>6.4</v>
          </cell>
          <cell r="R36" t="str">
            <v>MTS</v>
          </cell>
          <cell r="S36">
            <v>0</v>
          </cell>
          <cell r="T36">
            <v>0</v>
          </cell>
          <cell r="U36" t="str">
            <v/>
          </cell>
          <cell r="V36" t="str">
            <v>PRO10</v>
          </cell>
          <cell r="W36">
            <v>0</v>
          </cell>
        </row>
        <row r="37">
          <cell r="C37" t="str">
            <v>ROPE1/4X1.1/4</v>
          </cell>
          <cell r="D37" t="str">
            <v>PRINC</v>
          </cell>
          <cell r="E37" t="str">
            <v>00002</v>
          </cell>
          <cell r="F37" t="str">
            <v>PERFILES Y TUBOS</v>
          </cell>
          <cell r="G37" t="str">
            <v>PRINCIPAL</v>
          </cell>
          <cell r="H37">
            <v>46004</v>
          </cell>
          <cell r="I37" t="str">
            <v>SALDO INICIAL</v>
          </cell>
          <cell r="J37">
            <v>360</v>
          </cell>
          <cell r="K37">
            <v>1090.8</v>
          </cell>
          <cell r="L37">
            <v>2.86</v>
          </cell>
          <cell r="M37">
            <v>3.03</v>
          </cell>
          <cell r="N37" t="str">
            <v/>
          </cell>
          <cell r="O37" t="str">
            <v/>
          </cell>
          <cell r="P37" t="str">
            <v/>
          </cell>
          <cell r="Q37">
            <v>5.35</v>
          </cell>
          <cell r="R37" t="str">
            <v>MTS</v>
          </cell>
          <cell r="S37">
            <v>0</v>
          </cell>
          <cell r="T37">
            <v>0</v>
          </cell>
          <cell r="U37" t="str">
            <v/>
          </cell>
          <cell r="V37" t="str">
            <v>PRO10</v>
          </cell>
          <cell r="W37">
            <v>0</v>
          </cell>
        </row>
        <row r="38">
          <cell r="C38" t="str">
            <v>ROPE1/4X2</v>
          </cell>
          <cell r="D38" t="str">
            <v>PRINC</v>
          </cell>
          <cell r="E38" t="str">
            <v>00002</v>
          </cell>
          <cell r="F38" t="str">
            <v>PERFILES Y TUBOS</v>
          </cell>
          <cell r="G38" t="str">
            <v>PRINCIPAL</v>
          </cell>
          <cell r="H38">
            <v>46004</v>
          </cell>
          <cell r="I38" t="str">
            <v>SALDO INICIAL</v>
          </cell>
          <cell r="J38">
            <v>99</v>
          </cell>
          <cell r="K38">
            <v>417.33</v>
          </cell>
          <cell r="L38">
            <v>4.2699999999999996</v>
          </cell>
          <cell r="M38">
            <v>4.2154545450000001</v>
          </cell>
          <cell r="N38" t="str">
            <v/>
          </cell>
          <cell r="O38" t="str">
            <v/>
          </cell>
          <cell r="P38" t="str">
            <v/>
          </cell>
          <cell r="Q38">
            <v>7.85</v>
          </cell>
          <cell r="R38" t="str">
            <v>MTS</v>
          </cell>
          <cell r="S38">
            <v>0</v>
          </cell>
          <cell r="T38">
            <v>0</v>
          </cell>
          <cell r="U38" t="str">
            <v/>
          </cell>
          <cell r="V38" t="str">
            <v>PRO10</v>
          </cell>
          <cell r="W38">
            <v>0</v>
          </cell>
        </row>
        <row r="39">
          <cell r="C39" t="str">
            <v>PI1APRF000994</v>
          </cell>
          <cell r="D39" t="str">
            <v>PRINC</v>
          </cell>
          <cell r="E39" t="str">
            <v>00002</v>
          </cell>
          <cell r="F39" t="str">
            <v>PERFILES Y TUBOS</v>
          </cell>
          <cell r="G39" t="str">
            <v>PRINCIPAL</v>
          </cell>
          <cell r="H39">
            <v>46004</v>
          </cell>
          <cell r="I39" t="str">
            <v>SALDO INICIAL</v>
          </cell>
          <cell r="J39">
            <v>38</v>
          </cell>
          <cell r="K39">
            <v>177.46</v>
          </cell>
          <cell r="L39">
            <v>4.67</v>
          </cell>
          <cell r="M39">
            <v>4.67</v>
          </cell>
          <cell r="N39" t="str">
            <v/>
          </cell>
          <cell r="O39" t="str">
            <v/>
          </cell>
          <cell r="P39" t="str">
            <v/>
          </cell>
          <cell r="Q39">
            <v>7.7</v>
          </cell>
          <cell r="R39" t="str">
            <v>MTS</v>
          </cell>
          <cell r="S39">
            <v>0</v>
          </cell>
          <cell r="T39">
            <v>0</v>
          </cell>
          <cell r="U39" t="str">
            <v/>
          </cell>
          <cell r="V39" t="str">
            <v>PRO10</v>
          </cell>
          <cell r="W39">
            <v>0</v>
          </cell>
        </row>
        <row r="40">
          <cell r="C40" t="str">
            <v>PI1APRF002299</v>
          </cell>
          <cell r="D40" t="str">
            <v>PRINC</v>
          </cell>
          <cell r="E40" t="str">
            <v>00002</v>
          </cell>
          <cell r="F40" t="str">
            <v>PERFILES Y TUBOS</v>
          </cell>
          <cell r="G40" t="str">
            <v>PRINCIPAL</v>
          </cell>
          <cell r="H40">
            <v>46004</v>
          </cell>
          <cell r="I40" t="str">
            <v>SALDO INICIAL</v>
          </cell>
          <cell r="J40">
            <v>336</v>
          </cell>
          <cell r="K40">
            <v>913.92</v>
          </cell>
          <cell r="L40">
            <v>2.72</v>
          </cell>
          <cell r="M40">
            <v>2.72</v>
          </cell>
          <cell r="N40" t="str">
            <v/>
          </cell>
          <cell r="O40" t="str">
            <v/>
          </cell>
          <cell r="P40" t="str">
            <v/>
          </cell>
          <cell r="Q40">
            <v>5.15</v>
          </cell>
          <cell r="R40" t="str">
            <v>MTS</v>
          </cell>
          <cell r="S40">
            <v>0</v>
          </cell>
          <cell r="T40">
            <v>0</v>
          </cell>
          <cell r="U40" t="str">
            <v/>
          </cell>
          <cell r="V40" t="str">
            <v>PRO10</v>
          </cell>
          <cell r="W40">
            <v>0</v>
          </cell>
        </row>
        <row r="41">
          <cell r="C41" t="str">
            <v>PI1APRF001317</v>
          </cell>
          <cell r="D41" t="str">
            <v>PRINC</v>
          </cell>
          <cell r="E41" t="str">
            <v>00002</v>
          </cell>
          <cell r="F41" t="str">
            <v>PERFILES Y TUBOS</v>
          </cell>
          <cell r="G41" t="str">
            <v>PRINCIPAL</v>
          </cell>
          <cell r="H41">
            <v>46004</v>
          </cell>
          <cell r="I41" t="str">
            <v>SALDO INICIAL</v>
          </cell>
          <cell r="J41">
            <v>30</v>
          </cell>
          <cell r="K41">
            <v>79.2</v>
          </cell>
          <cell r="L41">
            <v>2.64</v>
          </cell>
          <cell r="M41">
            <v>2.64</v>
          </cell>
          <cell r="N41" t="str">
            <v/>
          </cell>
          <cell r="O41" t="str">
            <v/>
          </cell>
          <cell r="P41" t="str">
            <v/>
          </cell>
          <cell r="Q41">
            <v>4.05</v>
          </cell>
          <cell r="R41" t="str">
            <v>MTS</v>
          </cell>
          <cell r="S41">
            <v>0</v>
          </cell>
          <cell r="T41">
            <v>0</v>
          </cell>
          <cell r="U41" t="str">
            <v/>
          </cell>
          <cell r="V41" t="str">
            <v>PRO10</v>
          </cell>
          <cell r="W41">
            <v>0</v>
          </cell>
        </row>
        <row r="42">
          <cell r="C42" t="str">
            <v>PI1APRF000080</v>
          </cell>
          <cell r="D42" t="str">
            <v>PRINC</v>
          </cell>
          <cell r="E42" t="str">
            <v>00002</v>
          </cell>
          <cell r="F42" t="str">
            <v>PERFILES Y TUBOS</v>
          </cell>
          <cell r="G42" t="str">
            <v>PRINCIPAL</v>
          </cell>
          <cell r="H42">
            <v>46004</v>
          </cell>
          <cell r="I42" t="str">
            <v>SALDO INICIAL</v>
          </cell>
          <cell r="J42">
            <v>7</v>
          </cell>
          <cell r="K42">
            <v>30.73</v>
          </cell>
          <cell r="L42">
            <v>4.3899999999999997</v>
          </cell>
          <cell r="M42">
            <v>4.3899999999999997</v>
          </cell>
          <cell r="N42" t="str">
            <v/>
          </cell>
          <cell r="O42" t="str">
            <v/>
          </cell>
          <cell r="P42" t="str">
            <v/>
          </cell>
          <cell r="Q42">
            <v>7.4</v>
          </cell>
          <cell r="R42" t="str">
            <v>MTS</v>
          </cell>
          <cell r="S42">
            <v>0</v>
          </cell>
          <cell r="T42">
            <v>0</v>
          </cell>
          <cell r="U42" t="str">
            <v/>
          </cell>
          <cell r="V42" t="str">
            <v>PRO10</v>
          </cell>
          <cell r="W42">
            <v>0</v>
          </cell>
        </row>
        <row r="43">
          <cell r="C43" t="str">
            <v>PI1APRF001664</v>
          </cell>
          <cell r="D43" t="str">
            <v>PRINC</v>
          </cell>
          <cell r="E43" t="str">
            <v>00002</v>
          </cell>
          <cell r="F43" t="str">
            <v>PERFILES Y TUBOS</v>
          </cell>
          <cell r="G43" t="str">
            <v>PRINCIPAL</v>
          </cell>
          <cell r="H43">
            <v>46004</v>
          </cell>
          <cell r="I43" t="str">
            <v>SALDO INICIAL</v>
          </cell>
          <cell r="J43">
            <v>-54</v>
          </cell>
          <cell r="K43">
            <v>0</v>
          </cell>
          <cell r="L43">
            <v>0</v>
          </cell>
          <cell r="M43">
            <v>0</v>
          </cell>
          <cell r="N43" t="str">
            <v/>
          </cell>
          <cell r="O43" t="str">
            <v/>
          </cell>
          <cell r="P43" t="str">
            <v/>
          </cell>
          <cell r="Q43">
            <v>4.8</v>
          </cell>
          <cell r="R43" t="str">
            <v>MTS</v>
          </cell>
          <cell r="S43">
            <v>0</v>
          </cell>
          <cell r="T43">
            <v>0</v>
          </cell>
          <cell r="U43" t="str">
            <v/>
          </cell>
          <cell r="V43" t="str">
            <v>PRO10</v>
          </cell>
          <cell r="W43">
            <v>0</v>
          </cell>
        </row>
        <row r="44">
          <cell r="C44" t="str">
            <v>PI1APRF000283</v>
          </cell>
          <cell r="D44" t="str">
            <v>PRINC</v>
          </cell>
          <cell r="E44" t="str">
            <v>00002</v>
          </cell>
          <cell r="F44" t="str">
            <v>PERFILES Y TUBOS</v>
          </cell>
          <cell r="G44" t="str">
            <v>PRINCIPAL</v>
          </cell>
          <cell r="H44">
            <v>46004</v>
          </cell>
          <cell r="I44" t="str">
            <v>SALDO INICIAL</v>
          </cell>
          <cell r="J44">
            <v>34</v>
          </cell>
          <cell r="K44">
            <v>77.180000000000007</v>
          </cell>
          <cell r="L44">
            <v>2.27</v>
          </cell>
          <cell r="M44">
            <v>2.27</v>
          </cell>
          <cell r="N44" t="str">
            <v/>
          </cell>
          <cell r="O44" t="str">
            <v/>
          </cell>
          <cell r="P44" t="str">
            <v/>
          </cell>
          <cell r="Q44">
            <v>4.25</v>
          </cell>
          <cell r="R44" t="str">
            <v>MTS</v>
          </cell>
          <cell r="S44">
            <v>0</v>
          </cell>
          <cell r="T44">
            <v>0</v>
          </cell>
          <cell r="U44" t="str">
            <v/>
          </cell>
          <cell r="V44" t="str">
            <v>PRO10</v>
          </cell>
          <cell r="W44">
            <v>0</v>
          </cell>
        </row>
        <row r="45">
          <cell r="C45" t="str">
            <v>PI1APRF000223</v>
          </cell>
          <cell r="D45" t="str">
            <v>PRINC</v>
          </cell>
          <cell r="E45" t="str">
            <v>00002</v>
          </cell>
          <cell r="F45" t="str">
            <v>PERFILES Y TUBOS</v>
          </cell>
          <cell r="G45" t="str">
            <v>PRINCIPAL</v>
          </cell>
          <cell r="H45">
            <v>46004</v>
          </cell>
          <cell r="I45" t="str">
            <v>SALDO INICIAL</v>
          </cell>
          <cell r="J45">
            <v>38</v>
          </cell>
          <cell r="K45">
            <v>177.46</v>
          </cell>
          <cell r="L45">
            <v>4.67</v>
          </cell>
          <cell r="M45">
            <v>4.67</v>
          </cell>
          <cell r="N45" t="str">
            <v/>
          </cell>
          <cell r="O45" t="str">
            <v/>
          </cell>
          <cell r="P45" t="str">
            <v/>
          </cell>
          <cell r="Q45">
            <v>6.65</v>
          </cell>
          <cell r="R45" t="str">
            <v>MTS</v>
          </cell>
          <cell r="S45">
            <v>0</v>
          </cell>
          <cell r="T45">
            <v>0</v>
          </cell>
          <cell r="U45" t="str">
            <v/>
          </cell>
          <cell r="V45" t="str">
            <v>PRO10</v>
          </cell>
          <cell r="W45">
            <v>0</v>
          </cell>
        </row>
        <row r="46">
          <cell r="C46" t="str">
            <v>RO478563</v>
          </cell>
          <cell r="D46" t="str">
            <v>PRINC</v>
          </cell>
          <cell r="E46" t="str">
            <v>00002</v>
          </cell>
          <cell r="F46" t="str">
            <v>PERFILES Y TUBOS</v>
          </cell>
          <cell r="G46" t="str">
            <v>PRINCIPAL</v>
          </cell>
          <cell r="H46">
            <v>46004</v>
          </cell>
          <cell r="I46" t="str">
            <v>SALDO INICIAL</v>
          </cell>
          <cell r="J46">
            <v>97</v>
          </cell>
          <cell r="K46">
            <v>715.86</v>
          </cell>
          <cell r="L46">
            <v>7.4349999999999996</v>
          </cell>
          <cell r="M46">
            <v>7.38</v>
          </cell>
          <cell r="N46" t="str">
            <v/>
          </cell>
          <cell r="O46" t="str">
            <v/>
          </cell>
          <cell r="P46" t="str">
            <v/>
          </cell>
          <cell r="Q46">
            <v>11.2</v>
          </cell>
          <cell r="R46" t="str">
            <v>MT</v>
          </cell>
          <cell r="S46">
            <v>0</v>
          </cell>
          <cell r="T46">
            <v>0</v>
          </cell>
          <cell r="U46" t="str">
            <v/>
          </cell>
          <cell r="V46" t="str">
            <v>PRO10</v>
          </cell>
          <cell r="W46">
            <v>0</v>
          </cell>
        </row>
        <row r="47">
          <cell r="C47" t="str">
            <v>RO229310</v>
          </cell>
          <cell r="D47" t="str">
            <v>PRINC</v>
          </cell>
          <cell r="E47" t="str">
            <v>00002</v>
          </cell>
          <cell r="F47" t="str">
            <v>PERFILES Y TUBOS</v>
          </cell>
          <cell r="G47" t="str">
            <v>PRINCIPAL</v>
          </cell>
          <cell r="H47">
            <v>46004</v>
          </cell>
          <cell r="I47" t="str">
            <v>SALDO INICIAL</v>
          </cell>
          <cell r="J47">
            <v>586</v>
          </cell>
          <cell r="K47">
            <v>1699.4</v>
          </cell>
          <cell r="L47">
            <v>2.9</v>
          </cell>
          <cell r="M47">
            <v>2.9</v>
          </cell>
          <cell r="N47" t="str">
            <v/>
          </cell>
          <cell r="O47" t="str">
            <v/>
          </cell>
          <cell r="P47" t="str">
            <v/>
          </cell>
          <cell r="Q47">
            <v>5.8</v>
          </cell>
          <cell r="R47" t="str">
            <v>MTS</v>
          </cell>
          <cell r="S47">
            <v>0</v>
          </cell>
          <cell r="T47">
            <v>0</v>
          </cell>
          <cell r="U47" t="str">
            <v/>
          </cell>
          <cell r="V47" t="str">
            <v>PRO10</v>
          </cell>
          <cell r="W47">
            <v>0</v>
          </cell>
        </row>
        <row r="48">
          <cell r="C48" t="str">
            <v>RO478564</v>
          </cell>
          <cell r="D48" t="str">
            <v>PRINC</v>
          </cell>
          <cell r="E48" t="str">
            <v>00002</v>
          </cell>
          <cell r="F48" t="str">
            <v>PERFILES Y TUBOS</v>
          </cell>
          <cell r="G48" t="str">
            <v>PRINCIPAL</v>
          </cell>
          <cell r="H48">
            <v>46004</v>
          </cell>
          <cell r="I48" t="str">
            <v>SALDO INICIAL</v>
          </cell>
          <cell r="J48">
            <v>101</v>
          </cell>
          <cell r="K48">
            <v>412.84</v>
          </cell>
          <cell r="L48">
            <v>3.84</v>
          </cell>
          <cell r="M48">
            <v>4.0875247520000002</v>
          </cell>
          <cell r="N48" t="str">
            <v/>
          </cell>
          <cell r="O48" t="str">
            <v/>
          </cell>
          <cell r="P48" t="str">
            <v/>
          </cell>
          <cell r="Q48">
            <v>5.75</v>
          </cell>
          <cell r="R48" t="str">
            <v>MT</v>
          </cell>
          <cell r="S48">
            <v>0</v>
          </cell>
          <cell r="T48">
            <v>0</v>
          </cell>
          <cell r="U48" t="str">
            <v/>
          </cell>
          <cell r="V48" t="str">
            <v>PRO10</v>
          </cell>
          <cell r="W48">
            <v>0</v>
          </cell>
        </row>
        <row r="49">
          <cell r="C49" t="str">
            <v>RO246198</v>
          </cell>
          <cell r="D49" t="str">
            <v>PRINC</v>
          </cell>
          <cell r="E49" t="str">
            <v>00002</v>
          </cell>
          <cell r="F49" t="str">
            <v>PERFILES Y TUBOS</v>
          </cell>
          <cell r="G49" t="str">
            <v>PRINCIPAL</v>
          </cell>
          <cell r="H49">
            <v>46004</v>
          </cell>
          <cell r="I49" t="str">
            <v>SALDO INICIAL</v>
          </cell>
          <cell r="J49">
            <v>80</v>
          </cell>
          <cell r="K49">
            <v>270.48572000000001</v>
          </cell>
          <cell r="L49">
            <v>3.382857</v>
          </cell>
          <cell r="M49">
            <v>3.3810715</v>
          </cell>
          <cell r="N49" t="str">
            <v/>
          </cell>
          <cell r="O49" t="str">
            <v/>
          </cell>
          <cell r="P49" t="str">
            <v/>
          </cell>
          <cell r="Q49">
            <v>5.05</v>
          </cell>
          <cell r="R49" t="str">
            <v>MT</v>
          </cell>
          <cell r="S49">
            <v>0</v>
          </cell>
          <cell r="T49">
            <v>0</v>
          </cell>
          <cell r="U49" t="str">
            <v/>
          </cell>
          <cell r="V49" t="str">
            <v>PRO10</v>
          </cell>
          <cell r="W49">
            <v>0</v>
          </cell>
        </row>
        <row r="50">
          <cell r="C50" t="str">
            <v>RO228835</v>
          </cell>
          <cell r="D50" t="str">
            <v>PRINC</v>
          </cell>
          <cell r="E50" t="str">
            <v>00002</v>
          </cell>
          <cell r="F50" t="str">
            <v>PERFILES Y TUBOS</v>
          </cell>
          <cell r="G50" t="str">
            <v>PRINCIPAL</v>
          </cell>
          <cell r="H50">
            <v>46004</v>
          </cell>
          <cell r="I50" t="str">
            <v>SALDO INICIAL</v>
          </cell>
          <cell r="J50">
            <v>122</v>
          </cell>
          <cell r="K50">
            <v>265.95999999999998</v>
          </cell>
          <cell r="L50">
            <v>2.1800000000000002</v>
          </cell>
          <cell r="M50">
            <v>2.1800000000000002</v>
          </cell>
          <cell r="N50" t="str">
            <v/>
          </cell>
          <cell r="O50" t="str">
            <v/>
          </cell>
          <cell r="P50" t="str">
            <v/>
          </cell>
          <cell r="Q50">
            <v>5.15</v>
          </cell>
          <cell r="R50" t="str">
            <v>MTS</v>
          </cell>
          <cell r="S50">
            <v>0</v>
          </cell>
          <cell r="T50">
            <v>0</v>
          </cell>
          <cell r="U50" t="str">
            <v/>
          </cell>
          <cell r="V50" t="str">
            <v>PRO10</v>
          </cell>
          <cell r="W50">
            <v>0</v>
          </cell>
        </row>
        <row r="51">
          <cell r="C51" t="str">
            <v>RO212463</v>
          </cell>
          <cell r="D51" t="str">
            <v>PRINC</v>
          </cell>
          <cell r="E51" t="str">
            <v>00002</v>
          </cell>
          <cell r="F51" t="str">
            <v>PERFILES Y TUBOS</v>
          </cell>
          <cell r="G51" t="str">
            <v>PRINCIPAL</v>
          </cell>
          <cell r="H51">
            <v>46004</v>
          </cell>
          <cell r="I51" t="str">
            <v>SALDO INICIAL</v>
          </cell>
          <cell r="J51">
            <v>176</v>
          </cell>
          <cell r="K51">
            <v>836</v>
          </cell>
          <cell r="L51">
            <v>0</v>
          </cell>
          <cell r="M51">
            <v>4.75</v>
          </cell>
          <cell r="N51" t="str">
            <v/>
          </cell>
          <cell r="O51" t="str">
            <v/>
          </cell>
          <cell r="P51" t="str">
            <v/>
          </cell>
          <cell r="Q51">
            <v>7.4</v>
          </cell>
          <cell r="R51" t="str">
            <v>MTS</v>
          </cell>
          <cell r="S51">
            <v>0</v>
          </cell>
          <cell r="T51">
            <v>0</v>
          </cell>
          <cell r="U51" t="str">
            <v/>
          </cell>
          <cell r="V51" t="str">
            <v>PRO10</v>
          </cell>
          <cell r="W51">
            <v>0</v>
          </cell>
        </row>
        <row r="52">
          <cell r="C52" t="str">
            <v>TE233/80774</v>
          </cell>
          <cell r="D52" t="str">
            <v>PRINC</v>
          </cell>
          <cell r="E52" t="str">
            <v>00003</v>
          </cell>
          <cell r="F52" t="str">
            <v>COMPONENTES P/ SISTEMAS Y TRANSP.</v>
          </cell>
          <cell r="G52" t="str">
            <v>PRINCIPAL</v>
          </cell>
          <cell r="H52">
            <v>46004</v>
          </cell>
          <cell r="I52" t="str">
            <v>SALDO INICIAL</v>
          </cell>
          <cell r="J52">
            <v>34</v>
          </cell>
          <cell r="K52">
            <v>83.3</v>
          </cell>
          <cell r="L52">
            <v>2.4500000000000002</v>
          </cell>
          <cell r="M52">
            <v>2.4500000000000002</v>
          </cell>
          <cell r="N52" t="str">
            <v/>
          </cell>
          <cell r="O52" t="str">
            <v/>
          </cell>
          <cell r="P52" t="str">
            <v/>
          </cell>
          <cell r="Q52">
            <v>3.95</v>
          </cell>
          <cell r="R52" t="str">
            <v>UND</v>
          </cell>
          <cell r="S52">
            <v>0</v>
          </cell>
          <cell r="T52">
            <v>0</v>
          </cell>
          <cell r="U52" t="str">
            <v/>
          </cell>
          <cell r="V52" t="str">
            <v>PRO10</v>
          </cell>
          <cell r="W52">
            <v>0</v>
          </cell>
        </row>
        <row r="53">
          <cell r="C53" t="str">
            <v>TE238/80986</v>
          </cell>
          <cell r="D53" t="str">
            <v>PRINC</v>
          </cell>
          <cell r="E53" t="str">
            <v>00003</v>
          </cell>
          <cell r="F53" t="str">
            <v>COMPONENTES P/ SISTEMAS Y TRANSP.</v>
          </cell>
          <cell r="G53" t="str">
            <v>PRINCIPAL</v>
          </cell>
          <cell r="H53">
            <v>46004</v>
          </cell>
          <cell r="I53" t="str">
            <v>SALDO INICIAL</v>
          </cell>
          <cell r="J53">
            <v>8</v>
          </cell>
          <cell r="K53">
            <v>19.84</v>
          </cell>
          <cell r="L53">
            <v>2.48</v>
          </cell>
          <cell r="M53">
            <v>2.48</v>
          </cell>
          <cell r="N53" t="str">
            <v/>
          </cell>
          <cell r="O53" t="str">
            <v/>
          </cell>
          <cell r="P53" t="str">
            <v/>
          </cell>
          <cell r="Q53">
            <v>4.5</v>
          </cell>
          <cell r="R53" t="str">
            <v>UND</v>
          </cell>
          <cell r="S53">
            <v>0</v>
          </cell>
          <cell r="T53">
            <v>0</v>
          </cell>
          <cell r="U53" t="str">
            <v/>
          </cell>
          <cell r="V53" t="str">
            <v>PRO10</v>
          </cell>
          <cell r="W53">
            <v>0</v>
          </cell>
        </row>
        <row r="54">
          <cell r="C54" t="str">
            <v>PI1EMOR000130</v>
          </cell>
          <cell r="D54" t="str">
            <v>PRINC</v>
          </cell>
          <cell r="E54" t="str">
            <v>00003</v>
          </cell>
          <cell r="F54" t="str">
            <v>COMPONENTES P/ SISTEMAS Y TRANSP.</v>
          </cell>
          <cell r="G54" t="str">
            <v>PRINCIPAL</v>
          </cell>
          <cell r="H54">
            <v>46004</v>
          </cell>
          <cell r="I54" t="str">
            <v>SALDO INICIAL</v>
          </cell>
          <cell r="J54">
            <v>13</v>
          </cell>
          <cell r="K54">
            <v>69.55</v>
          </cell>
          <cell r="L54">
            <v>5.35</v>
          </cell>
          <cell r="M54">
            <v>5.35</v>
          </cell>
          <cell r="N54" t="str">
            <v/>
          </cell>
          <cell r="O54" t="str">
            <v/>
          </cell>
          <cell r="P54" t="str">
            <v/>
          </cell>
          <cell r="Q54">
            <v>7.7</v>
          </cell>
          <cell r="R54" t="str">
            <v>UND</v>
          </cell>
          <cell r="S54">
            <v>0</v>
          </cell>
          <cell r="T54">
            <v>0</v>
          </cell>
          <cell r="U54" t="str">
            <v/>
          </cell>
          <cell r="V54" t="str">
            <v>PRO10</v>
          </cell>
          <cell r="W54">
            <v>0</v>
          </cell>
        </row>
        <row r="55">
          <cell r="C55" t="str">
            <v>PI1EMOR000131</v>
          </cell>
          <cell r="D55" t="str">
            <v>PRINC</v>
          </cell>
          <cell r="E55" t="str">
            <v>00003</v>
          </cell>
          <cell r="F55" t="str">
            <v>COMPONENTES P/ SISTEMAS Y TRANSP.</v>
          </cell>
          <cell r="G55" t="str">
            <v>PRINCIPAL</v>
          </cell>
          <cell r="H55">
            <v>46004</v>
          </cell>
          <cell r="I55" t="str">
            <v>SALDO INICIAL</v>
          </cell>
          <cell r="J55">
            <v>2</v>
          </cell>
          <cell r="K55">
            <v>5.96</v>
          </cell>
          <cell r="L55">
            <v>2.98</v>
          </cell>
          <cell r="M55">
            <v>2.98</v>
          </cell>
          <cell r="N55" t="str">
            <v/>
          </cell>
          <cell r="O55" t="str">
            <v/>
          </cell>
          <cell r="P55" t="str">
            <v/>
          </cell>
          <cell r="Q55">
            <v>4.8</v>
          </cell>
          <cell r="R55" t="str">
            <v>UND</v>
          </cell>
          <cell r="S55">
            <v>0</v>
          </cell>
          <cell r="T55">
            <v>0</v>
          </cell>
          <cell r="U55" t="str">
            <v/>
          </cell>
          <cell r="V55" t="str">
            <v>PRO10</v>
          </cell>
          <cell r="W55">
            <v>0</v>
          </cell>
        </row>
        <row r="56">
          <cell r="C56" t="str">
            <v>PI1EMOR000132</v>
          </cell>
          <cell r="D56" t="str">
            <v>PRINC</v>
          </cell>
          <cell r="E56" t="str">
            <v>00003</v>
          </cell>
          <cell r="F56" t="str">
            <v>COMPONENTES P/ SISTEMAS Y TRANSP.</v>
          </cell>
          <cell r="G56" t="str">
            <v>PRINCIPAL</v>
          </cell>
          <cell r="H56">
            <v>46004</v>
          </cell>
          <cell r="I56" t="str">
            <v>SALDO INICIAL</v>
          </cell>
          <cell r="J56">
            <v>15</v>
          </cell>
          <cell r="K56">
            <v>45.15</v>
          </cell>
          <cell r="L56">
            <v>3.01</v>
          </cell>
          <cell r="M56">
            <v>3.01</v>
          </cell>
          <cell r="N56" t="str">
            <v/>
          </cell>
          <cell r="O56" t="str">
            <v/>
          </cell>
          <cell r="P56" t="str">
            <v/>
          </cell>
          <cell r="Q56">
            <v>4.8</v>
          </cell>
          <cell r="R56" t="str">
            <v>UND</v>
          </cell>
          <cell r="S56">
            <v>0</v>
          </cell>
          <cell r="T56">
            <v>0</v>
          </cell>
          <cell r="U56" t="str">
            <v/>
          </cell>
          <cell r="V56" t="str">
            <v>PRO10</v>
          </cell>
          <cell r="W56">
            <v>0</v>
          </cell>
        </row>
        <row r="57">
          <cell r="C57" t="str">
            <v>PI1EMOR001212</v>
          </cell>
          <cell r="D57" t="str">
            <v>PRINC</v>
          </cell>
          <cell r="E57" t="str">
            <v>00003</v>
          </cell>
          <cell r="F57" t="str">
            <v>COMPONENTES P/ SISTEMAS Y TRANSP.</v>
          </cell>
          <cell r="G57" t="str">
            <v>PRINCIPAL</v>
          </cell>
          <cell r="H57">
            <v>46004</v>
          </cell>
          <cell r="I57" t="str">
            <v>SALDO INICIAL</v>
          </cell>
          <cell r="J57">
            <v>11</v>
          </cell>
          <cell r="K57">
            <v>42.68</v>
          </cell>
          <cell r="L57">
            <v>3.88</v>
          </cell>
          <cell r="M57">
            <v>3.88</v>
          </cell>
          <cell r="N57" t="str">
            <v/>
          </cell>
          <cell r="O57" t="str">
            <v/>
          </cell>
          <cell r="P57" t="str">
            <v/>
          </cell>
          <cell r="Q57">
            <v>5.7</v>
          </cell>
          <cell r="R57" t="str">
            <v>UND</v>
          </cell>
          <cell r="S57">
            <v>0</v>
          </cell>
          <cell r="T57">
            <v>0</v>
          </cell>
          <cell r="U57" t="str">
            <v/>
          </cell>
          <cell r="V57" t="str">
            <v>PRO10</v>
          </cell>
          <cell r="W57">
            <v>0</v>
          </cell>
        </row>
        <row r="58">
          <cell r="C58" t="str">
            <v>TE229/80681</v>
          </cell>
          <cell r="D58" t="str">
            <v>PRINC</v>
          </cell>
          <cell r="E58" t="str">
            <v>00003</v>
          </cell>
          <cell r="F58" t="str">
            <v>COMPONENTES P/ SISTEMAS Y TRANSP.</v>
          </cell>
          <cell r="G58" t="str">
            <v>PRINCIPAL</v>
          </cell>
          <cell r="H58">
            <v>46004</v>
          </cell>
          <cell r="I58" t="str">
            <v>SALDO INICIAL</v>
          </cell>
          <cell r="J58">
            <v>21</v>
          </cell>
          <cell r="K58">
            <v>110.604742</v>
          </cell>
          <cell r="L58">
            <v>5.2668929999999996</v>
          </cell>
          <cell r="M58">
            <v>5.2668924759999998</v>
          </cell>
          <cell r="N58" t="str">
            <v/>
          </cell>
          <cell r="O58" t="str">
            <v/>
          </cell>
          <cell r="P58" t="str">
            <v/>
          </cell>
          <cell r="Q58">
            <v>7.2</v>
          </cell>
          <cell r="R58" t="str">
            <v>UND</v>
          </cell>
          <cell r="S58">
            <v>0</v>
          </cell>
          <cell r="T58">
            <v>0</v>
          </cell>
          <cell r="U58" t="str">
            <v/>
          </cell>
          <cell r="V58" t="str">
            <v>PRO10</v>
          </cell>
          <cell r="W58">
            <v>0</v>
          </cell>
        </row>
        <row r="59">
          <cell r="C59" t="str">
            <v>TE38/83291</v>
          </cell>
          <cell r="D59" t="str">
            <v>PRINC</v>
          </cell>
          <cell r="E59" t="str">
            <v>00003</v>
          </cell>
          <cell r="F59" t="str">
            <v>COMPONENTES P/ SISTEMAS Y TRANSP.</v>
          </cell>
          <cell r="G59" t="str">
            <v>PRINCIPAL</v>
          </cell>
          <cell r="H59">
            <v>46004</v>
          </cell>
          <cell r="I59" t="str">
            <v>SALDO INICIAL</v>
          </cell>
          <cell r="J59">
            <v>27</v>
          </cell>
          <cell r="K59">
            <v>257.04000000000002</v>
          </cell>
          <cell r="L59">
            <v>9.52</v>
          </cell>
          <cell r="M59">
            <v>9.52</v>
          </cell>
          <cell r="N59" t="str">
            <v/>
          </cell>
          <cell r="O59" t="str">
            <v/>
          </cell>
          <cell r="P59" t="str">
            <v/>
          </cell>
          <cell r="Q59">
            <v>14.9</v>
          </cell>
          <cell r="R59" t="str">
            <v>UND</v>
          </cell>
          <cell r="S59">
            <v>0</v>
          </cell>
          <cell r="T59">
            <v>0</v>
          </cell>
          <cell r="U59" t="str">
            <v/>
          </cell>
          <cell r="V59" t="str">
            <v>PRO10</v>
          </cell>
          <cell r="W59">
            <v>0</v>
          </cell>
        </row>
        <row r="60">
          <cell r="C60" t="str">
            <v>TE38/7113</v>
          </cell>
          <cell r="D60" t="str">
            <v>PRINC</v>
          </cell>
          <cell r="E60" t="str">
            <v>00003</v>
          </cell>
          <cell r="F60" t="str">
            <v>COMPONENTES P/ SISTEMAS Y TRANSP.</v>
          </cell>
          <cell r="G60" t="str">
            <v>PRINCIPAL</v>
          </cell>
          <cell r="H60">
            <v>46004</v>
          </cell>
          <cell r="I60" t="str">
            <v>SALDO INICIAL</v>
          </cell>
          <cell r="J60">
            <v>47</v>
          </cell>
          <cell r="K60">
            <v>265.55</v>
          </cell>
          <cell r="L60">
            <v>5.65</v>
          </cell>
          <cell r="M60">
            <v>5.65</v>
          </cell>
          <cell r="N60" t="str">
            <v/>
          </cell>
          <cell r="O60" t="str">
            <v/>
          </cell>
          <cell r="P60" t="str">
            <v/>
          </cell>
          <cell r="Q60">
            <v>9.0500000000000007</v>
          </cell>
          <cell r="R60" t="str">
            <v>UND</v>
          </cell>
          <cell r="S60">
            <v>0</v>
          </cell>
          <cell r="T60">
            <v>0</v>
          </cell>
          <cell r="U60" t="str">
            <v/>
          </cell>
          <cell r="V60" t="str">
            <v>PRO10</v>
          </cell>
          <cell r="W60">
            <v>0</v>
          </cell>
        </row>
        <row r="61">
          <cell r="C61" t="str">
            <v>TE25/87799</v>
          </cell>
          <cell r="D61" t="str">
            <v>PRINC</v>
          </cell>
          <cell r="E61" t="str">
            <v>00003</v>
          </cell>
          <cell r="F61" t="str">
            <v>COMPONENTES P/ SISTEMAS Y TRANSP.</v>
          </cell>
          <cell r="G61" t="str">
            <v>PRINCIPAL</v>
          </cell>
          <cell r="H61">
            <v>46004</v>
          </cell>
          <cell r="I61" t="str">
            <v>SALDO INICIAL</v>
          </cell>
          <cell r="J61">
            <v>20</v>
          </cell>
          <cell r="K61">
            <v>90.6</v>
          </cell>
          <cell r="L61">
            <v>0</v>
          </cell>
          <cell r="M61">
            <v>4.53</v>
          </cell>
          <cell r="N61" t="str">
            <v/>
          </cell>
          <cell r="O61" t="str">
            <v/>
          </cell>
          <cell r="P61" t="str">
            <v/>
          </cell>
          <cell r="Q61">
            <v>7.3</v>
          </cell>
          <cell r="R61" t="str">
            <v>UND</v>
          </cell>
          <cell r="S61">
            <v>0</v>
          </cell>
          <cell r="T61">
            <v>0</v>
          </cell>
          <cell r="U61" t="str">
            <v/>
          </cell>
          <cell r="V61" t="str">
            <v>PRO10</v>
          </cell>
          <cell r="W61">
            <v>0</v>
          </cell>
        </row>
        <row r="62">
          <cell r="C62" t="str">
            <v>TE25/7081</v>
          </cell>
          <cell r="D62" t="str">
            <v>PRINC</v>
          </cell>
          <cell r="E62" t="str">
            <v>00003</v>
          </cell>
          <cell r="F62" t="str">
            <v>COMPONENTES P/ SISTEMAS Y TRANSP.</v>
          </cell>
          <cell r="G62" t="str">
            <v>PRINCIPAL</v>
          </cell>
          <cell r="H62">
            <v>46004</v>
          </cell>
          <cell r="I62" t="str">
            <v>SALDO INICIAL</v>
          </cell>
          <cell r="J62">
            <v>26</v>
          </cell>
          <cell r="K62">
            <v>115.18</v>
          </cell>
          <cell r="L62">
            <v>0</v>
          </cell>
          <cell r="M62">
            <v>4.43</v>
          </cell>
          <cell r="N62" t="str">
            <v/>
          </cell>
          <cell r="O62" t="str">
            <v/>
          </cell>
          <cell r="P62" t="str">
            <v/>
          </cell>
          <cell r="Q62">
            <v>7.3</v>
          </cell>
          <cell r="R62" t="str">
            <v>UND</v>
          </cell>
          <cell r="S62">
            <v>0</v>
          </cell>
          <cell r="T62">
            <v>0</v>
          </cell>
          <cell r="U62" t="str">
            <v/>
          </cell>
          <cell r="V62" t="str">
            <v>PRO10</v>
          </cell>
          <cell r="W62">
            <v>0</v>
          </cell>
        </row>
        <row r="63">
          <cell r="C63" t="str">
            <v>TE25/7091</v>
          </cell>
          <cell r="D63" t="str">
            <v>PRINC</v>
          </cell>
          <cell r="E63" t="str">
            <v>00003</v>
          </cell>
          <cell r="F63" t="str">
            <v>COMPONENTES P/ SISTEMAS Y TRANSP.</v>
          </cell>
          <cell r="G63" t="str">
            <v>PRINCIPAL</v>
          </cell>
          <cell r="H63">
            <v>46004</v>
          </cell>
          <cell r="I63" t="str">
            <v>SALDO INICIAL</v>
          </cell>
          <cell r="J63">
            <v>27</v>
          </cell>
          <cell r="K63">
            <v>144.72</v>
          </cell>
          <cell r="L63">
            <v>5.36</v>
          </cell>
          <cell r="M63">
            <v>5.36</v>
          </cell>
          <cell r="N63" t="str">
            <v/>
          </cell>
          <cell r="O63" t="str">
            <v/>
          </cell>
          <cell r="P63" t="str">
            <v/>
          </cell>
          <cell r="Q63">
            <v>7.6</v>
          </cell>
          <cell r="R63" t="str">
            <v>UND</v>
          </cell>
          <cell r="S63">
            <v>0</v>
          </cell>
          <cell r="T63">
            <v>0</v>
          </cell>
          <cell r="U63" t="str">
            <v/>
          </cell>
          <cell r="V63" t="str">
            <v>PRO10</v>
          </cell>
          <cell r="W63">
            <v>0</v>
          </cell>
        </row>
        <row r="64">
          <cell r="C64" t="str">
            <v>TE92/7785</v>
          </cell>
          <cell r="D64" t="str">
            <v>PRINC</v>
          </cell>
          <cell r="E64" t="str">
            <v>00003</v>
          </cell>
          <cell r="F64" t="str">
            <v>COMPONENTES P/ SISTEMAS Y TRANSP.</v>
          </cell>
          <cell r="G64" t="str">
            <v>PRINCIPAL</v>
          </cell>
          <cell r="H64">
            <v>46004</v>
          </cell>
          <cell r="I64" t="str">
            <v>SALDO INICIAL</v>
          </cell>
          <cell r="J64">
            <v>2</v>
          </cell>
          <cell r="K64">
            <v>12.505452</v>
          </cell>
          <cell r="L64">
            <v>6.2527280000000003</v>
          </cell>
          <cell r="M64">
            <v>6.252726</v>
          </cell>
          <cell r="N64" t="str">
            <v/>
          </cell>
          <cell r="O64" t="str">
            <v/>
          </cell>
          <cell r="P64" t="str">
            <v/>
          </cell>
          <cell r="Q64">
            <v>9.75</v>
          </cell>
          <cell r="R64" t="str">
            <v>UND</v>
          </cell>
          <cell r="S64">
            <v>0</v>
          </cell>
          <cell r="T64">
            <v>0</v>
          </cell>
          <cell r="U64" t="str">
            <v/>
          </cell>
          <cell r="V64" t="str">
            <v>PRO10</v>
          </cell>
          <cell r="W64">
            <v>0</v>
          </cell>
        </row>
        <row r="65">
          <cell r="C65" t="str">
            <v>TE10/7003</v>
          </cell>
          <cell r="D65" t="str">
            <v>PRINC</v>
          </cell>
          <cell r="E65" t="str">
            <v>00003</v>
          </cell>
          <cell r="F65" t="str">
            <v>COMPONENTES P/ SISTEMAS Y TRANSP.</v>
          </cell>
          <cell r="G65" t="str">
            <v>PRINCIPAL</v>
          </cell>
          <cell r="H65">
            <v>46004</v>
          </cell>
          <cell r="I65" t="str">
            <v>SALDO INICIAL</v>
          </cell>
          <cell r="J65">
            <v>2</v>
          </cell>
          <cell r="K65">
            <v>5.8484559999999997</v>
          </cell>
          <cell r="L65">
            <v>2.9242309999999998</v>
          </cell>
          <cell r="M65">
            <v>2.9242279999999998</v>
          </cell>
          <cell r="N65" t="str">
            <v/>
          </cell>
          <cell r="O65" t="str">
            <v/>
          </cell>
          <cell r="P65" t="str">
            <v/>
          </cell>
          <cell r="Q65">
            <v>4.55</v>
          </cell>
          <cell r="R65" t="str">
            <v>UND</v>
          </cell>
          <cell r="S65">
            <v>0</v>
          </cell>
          <cell r="T65">
            <v>0</v>
          </cell>
          <cell r="U65" t="str">
            <v/>
          </cell>
          <cell r="V65" t="str">
            <v>PRO10</v>
          </cell>
          <cell r="W65">
            <v>0</v>
          </cell>
        </row>
        <row r="66">
          <cell r="C66" t="str">
            <v>TE113/83795</v>
          </cell>
          <cell r="D66" t="str">
            <v>PRINC</v>
          </cell>
          <cell r="E66" t="str">
            <v>00003</v>
          </cell>
          <cell r="F66" t="str">
            <v>COMPONENTES P/ SISTEMAS Y TRANSP.</v>
          </cell>
          <cell r="G66" t="str">
            <v>PRINCIPAL</v>
          </cell>
          <cell r="H66">
            <v>46004</v>
          </cell>
          <cell r="I66" t="str">
            <v>SALDO INICIAL</v>
          </cell>
          <cell r="J66">
            <v>30</v>
          </cell>
          <cell r="K66">
            <v>255.3</v>
          </cell>
          <cell r="L66">
            <v>0</v>
          </cell>
          <cell r="M66">
            <v>8.51</v>
          </cell>
          <cell r="N66" t="str">
            <v/>
          </cell>
          <cell r="O66" t="str">
            <v/>
          </cell>
          <cell r="P66" t="str">
            <v/>
          </cell>
          <cell r="Q66">
            <v>13.8</v>
          </cell>
          <cell r="R66" t="str">
            <v>UND</v>
          </cell>
          <cell r="S66">
            <v>0</v>
          </cell>
          <cell r="T66">
            <v>0</v>
          </cell>
          <cell r="U66" t="str">
            <v/>
          </cell>
          <cell r="V66" t="str">
            <v>PRO10</v>
          </cell>
          <cell r="W66">
            <v>0</v>
          </cell>
        </row>
        <row r="67">
          <cell r="C67" t="str">
            <v>TE113/83822</v>
          </cell>
          <cell r="D67" t="str">
            <v>PRINC</v>
          </cell>
          <cell r="E67" t="str">
            <v>00003</v>
          </cell>
          <cell r="F67" t="str">
            <v>COMPONENTES P/ SISTEMAS Y TRANSP.</v>
          </cell>
          <cell r="G67" t="str">
            <v>PRINCIPAL</v>
          </cell>
          <cell r="H67">
            <v>46004</v>
          </cell>
          <cell r="I67" t="str">
            <v>SALDO INICIAL</v>
          </cell>
          <cell r="J67">
            <v>30</v>
          </cell>
          <cell r="K67">
            <v>273.3</v>
          </cell>
          <cell r="L67">
            <v>0</v>
          </cell>
          <cell r="M67">
            <v>9.11</v>
          </cell>
          <cell r="N67" t="str">
            <v/>
          </cell>
          <cell r="O67" t="str">
            <v/>
          </cell>
          <cell r="P67" t="str">
            <v/>
          </cell>
          <cell r="Q67">
            <v>13.8</v>
          </cell>
          <cell r="R67" t="str">
            <v>UND</v>
          </cell>
          <cell r="S67">
            <v>0</v>
          </cell>
          <cell r="T67">
            <v>0</v>
          </cell>
          <cell r="U67" t="str">
            <v/>
          </cell>
          <cell r="V67" t="str">
            <v>PRO10</v>
          </cell>
          <cell r="W67">
            <v>0</v>
          </cell>
        </row>
        <row r="68">
          <cell r="C68" t="str">
            <v>TE18/7047</v>
          </cell>
          <cell r="D68" t="str">
            <v>PRINC</v>
          </cell>
          <cell r="E68" t="str">
            <v>00003</v>
          </cell>
          <cell r="F68" t="str">
            <v>COMPONENTES P/ SISTEMAS Y TRANSP.</v>
          </cell>
          <cell r="G68" t="str">
            <v>PRINCIPAL</v>
          </cell>
          <cell r="H68">
            <v>46004</v>
          </cell>
          <cell r="I68" t="str">
            <v>SALDO INICIAL</v>
          </cell>
          <cell r="J68">
            <v>1</v>
          </cell>
          <cell r="K68">
            <v>4.19048</v>
          </cell>
          <cell r="L68">
            <v>4.19048</v>
          </cell>
          <cell r="M68">
            <v>4.19048</v>
          </cell>
          <cell r="N68" t="str">
            <v/>
          </cell>
          <cell r="O68" t="str">
            <v/>
          </cell>
          <cell r="P68" t="str">
            <v/>
          </cell>
          <cell r="Q68">
            <v>7.4</v>
          </cell>
          <cell r="R68" t="str">
            <v>UND</v>
          </cell>
          <cell r="S68">
            <v>0</v>
          </cell>
          <cell r="T68">
            <v>0</v>
          </cell>
          <cell r="U68" t="str">
            <v/>
          </cell>
          <cell r="V68" t="str">
            <v>PRO10</v>
          </cell>
          <cell r="W68">
            <v>0</v>
          </cell>
        </row>
        <row r="69">
          <cell r="C69" t="str">
            <v>PI1ENUE000204</v>
          </cell>
          <cell r="D69" t="str">
            <v>PRINC</v>
          </cell>
          <cell r="E69" t="str">
            <v>00003</v>
          </cell>
          <cell r="F69" t="str">
            <v>COMPONENTES P/ SISTEMAS Y TRANSP.</v>
          </cell>
          <cell r="G69" t="str">
            <v>PRINCIPAL</v>
          </cell>
          <cell r="H69">
            <v>46004</v>
          </cell>
          <cell r="I69" t="str">
            <v>SALDO INICIAL</v>
          </cell>
          <cell r="J69">
            <v>13</v>
          </cell>
          <cell r="K69">
            <v>57.079286000000003</v>
          </cell>
          <cell r="L69">
            <v>4.38</v>
          </cell>
          <cell r="M69">
            <v>4.3907143079999997</v>
          </cell>
          <cell r="N69" t="str">
            <v/>
          </cell>
          <cell r="O69" t="str">
            <v/>
          </cell>
          <cell r="P69" t="str">
            <v/>
          </cell>
          <cell r="Q69">
            <v>6.65</v>
          </cell>
          <cell r="R69" t="str">
            <v>UND</v>
          </cell>
          <cell r="S69">
            <v>0</v>
          </cell>
          <cell r="T69">
            <v>0</v>
          </cell>
          <cell r="U69" t="str">
            <v/>
          </cell>
          <cell r="V69" t="str">
            <v>PRO10</v>
          </cell>
          <cell r="W69">
            <v>0</v>
          </cell>
        </row>
        <row r="70">
          <cell r="C70" t="str">
            <v>TE239/80994</v>
          </cell>
          <cell r="D70" t="str">
            <v>PRINC</v>
          </cell>
          <cell r="E70" t="str">
            <v>00003</v>
          </cell>
          <cell r="F70" t="str">
            <v>COMPONENTES P/ SISTEMAS Y TRANSP.</v>
          </cell>
          <cell r="G70" t="str">
            <v>PRINCIPAL</v>
          </cell>
          <cell r="H70">
            <v>46004</v>
          </cell>
          <cell r="I70" t="str">
            <v>SALDO INICIAL</v>
          </cell>
          <cell r="J70">
            <v>4</v>
          </cell>
          <cell r="K70">
            <v>9.0697580000000002</v>
          </cell>
          <cell r="L70">
            <v>2.2674409999999998</v>
          </cell>
          <cell r="M70">
            <v>2.2674395000000001</v>
          </cell>
          <cell r="N70" t="str">
            <v/>
          </cell>
          <cell r="O70" t="str">
            <v/>
          </cell>
          <cell r="P70" t="str">
            <v/>
          </cell>
          <cell r="Q70">
            <v>3.5</v>
          </cell>
          <cell r="R70" t="str">
            <v>UND</v>
          </cell>
          <cell r="S70">
            <v>0</v>
          </cell>
          <cell r="T70">
            <v>0</v>
          </cell>
          <cell r="U70" t="str">
            <v/>
          </cell>
          <cell r="V70" t="str">
            <v>PRO10</v>
          </cell>
          <cell r="W70">
            <v>0</v>
          </cell>
        </row>
        <row r="71">
          <cell r="C71" t="str">
            <v>TE246/81135</v>
          </cell>
          <cell r="D71" t="str">
            <v>PRINC</v>
          </cell>
          <cell r="E71" t="str">
            <v>00003</v>
          </cell>
          <cell r="F71" t="str">
            <v>COMPONENTES P/ SISTEMAS Y TRANSP.</v>
          </cell>
          <cell r="G71" t="str">
            <v>PRINCIPAL</v>
          </cell>
          <cell r="H71">
            <v>46004</v>
          </cell>
          <cell r="I71" t="str">
            <v>SALDO INICIAL</v>
          </cell>
          <cell r="J71">
            <v>14</v>
          </cell>
          <cell r="K71">
            <v>34.44</v>
          </cell>
          <cell r="L71">
            <v>2.46</v>
          </cell>
          <cell r="M71">
            <v>2.46</v>
          </cell>
          <cell r="N71" t="str">
            <v/>
          </cell>
          <cell r="O71" t="str">
            <v/>
          </cell>
          <cell r="P71" t="str">
            <v/>
          </cell>
          <cell r="Q71">
            <v>3.95</v>
          </cell>
          <cell r="R71" t="str">
            <v>UND</v>
          </cell>
          <cell r="S71">
            <v>0</v>
          </cell>
          <cell r="T71">
            <v>0</v>
          </cell>
          <cell r="U71" t="str">
            <v/>
          </cell>
          <cell r="V71" t="str">
            <v>PRO10</v>
          </cell>
          <cell r="W71">
            <v>0</v>
          </cell>
        </row>
        <row r="72">
          <cell r="C72" t="str">
            <v>PI1GTAZ000604</v>
          </cell>
          <cell r="D72" t="str">
            <v>PRINC</v>
          </cell>
          <cell r="E72" t="str">
            <v>00003</v>
          </cell>
          <cell r="F72" t="str">
            <v>COMPONENTES P/ SISTEMAS Y TRANSP.</v>
          </cell>
          <cell r="G72" t="str">
            <v>PRINCIPAL</v>
          </cell>
          <cell r="H72">
            <v>46004</v>
          </cell>
          <cell r="I72" t="str">
            <v>SALDO INICIAL</v>
          </cell>
          <cell r="J72">
            <v>6</v>
          </cell>
          <cell r="K72">
            <v>28.8</v>
          </cell>
          <cell r="L72">
            <v>4.8</v>
          </cell>
          <cell r="M72">
            <v>4.8</v>
          </cell>
          <cell r="N72" t="str">
            <v/>
          </cell>
          <cell r="O72" t="str">
            <v/>
          </cell>
          <cell r="P72" t="str">
            <v/>
          </cell>
          <cell r="Q72">
            <v>7.95</v>
          </cell>
          <cell r="R72" t="str">
            <v>UND</v>
          </cell>
          <cell r="S72">
            <v>0</v>
          </cell>
          <cell r="T72">
            <v>0</v>
          </cell>
          <cell r="U72" t="str">
            <v/>
          </cell>
          <cell r="V72" t="str">
            <v>PRO10</v>
          </cell>
          <cell r="W72">
            <v>0</v>
          </cell>
        </row>
        <row r="73">
          <cell r="C73" t="str">
            <v>PI1GTAZ000603</v>
          </cell>
          <cell r="D73" t="str">
            <v>PRINC</v>
          </cell>
          <cell r="E73" t="str">
            <v>00003</v>
          </cell>
          <cell r="F73" t="str">
            <v>COMPONENTES P/ SISTEMAS Y TRANSP.</v>
          </cell>
          <cell r="G73" t="str">
            <v>PRINCIPAL</v>
          </cell>
          <cell r="H73">
            <v>46004</v>
          </cell>
          <cell r="I73" t="str">
            <v>SALDO INICIAL</v>
          </cell>
          <cell r="J73">
            <v>8</v>
          </cell>
          <cell r="K73">
            <v>37.6</v>
          </cell>
          <cell r="L73">
            <v>4.7</v>
          </cell>
          <cell r="M73">
            <v>4.7</v>
          </cell>
          <cell r="N73" t="str">
            <v/>
          </cell>
          <cell r="O73" t="str">
            <v/>
          </cell>
          <cell r="P73" t="str">
            <v/>
          </cell>
          <cell r="Q73">
            <v>7.15</v>
          </cell>
          <cell r="R73" t="str">
            <v>UND</v>
          </cell>
          <cell r="S73">
            <v>0</v>
          </cell>
          <cell r="T73">
            <v>0</v>
          </cell>
          <cell r="U73" t="str">
            <v/>
          </cell>
          <cell r="V73" t="str">
            <v>PRO10</v>
          </cell>
          <cell r="W73">
            <v>0</v>
          </cell>
        </row>
        <row r="74">
          <cell r="C74" t="str">
            <v>PI1GTAZ000595</v>
          </cell>
          <cell r="D74" t="str">
            <v>PRINC</v>
          </cell>
          <cell r="E74" t="str">
            <v>00003</v>
          </cell>
          <cell r="F74" t="str">
            <v>COMPONENTES P/ SISTEMAS Y TRANSP.</v>
          </cell>
          <cell r="G74" t="str">
            <v>PRINCIPAL</v>
          </cell>
          <cell r="H74">
            <v>46004</v>
          </cell>
          <cell r="I74" t="str">
            <v>SALDO INICIAL</v>
          </cell>
          <cell r="J74">
            <v>28</v>
          </cell>
          <cell r="K74">
            <v>231.56</v>
          </cell>
          <cell r="L74">
            <v>9.01</v>
          </cell>
          <cell r="M74">
            <v>8.27</v>
          </cell>
          <cell r="N74" t="str">
            <v/>
          </cell>
          <cell r="O74" t="str">
            <v/>
          </cell>
          <cell r="P74" t="str">
            <v/>
          </cell>
          <cell r="Q74">
            <v>12.65</v>
          </cell>
          <cell r="R74" t="str">
            <v>UND</v>
          </cell>
          <cell r="S74">
            <v>0</v>
          </cell>
          <cell r="T74">
            <v>0</v>
          </cell>
          <cell r="U74" t="str">
            <v/>
          </cell>
          <cell r="V74" t="str">
            <v>PRO10</v>
          </cell>
          <cell r="W74">
            <v>0</v>
          </cell>
        </row>
        <row r="75">
          <cell r="C75" t="str">
            <v>PI1GTAZ000600</v>
          </cell>
          <cell r="D75" t="str">
            <v>PRINC</v>
          </cell>
          <cell r="E75" t="str">
            <v>00003</v>
          </cell>
          <cell r="F75" t="str">
            <v>COMPONENTES P/ SISTEMAS Y TRANSP.</v>
          </cell>
          <cell r="G75" t="str">
            <v>PRINCIPAL</v>
          </cell>
          <cell r="H75">
            <v>46004</v>
          </cell>
          <cell r="I75" t="str">
            <v>SALDO INICIAL</v>
          </cell>
          <cell r="J75">
            <v>20</v>
          </cell>
          <cell r="K75">
            <v>108.6</v>
          </cell>
          <cell r="L75">
            <v>4.9800000000000004</v>
          </cell>
          <cell r="M75">
            <v>5.43</v>
          </cell>
          <cell r="N75" t="str">
            <v/>
          </cell>
          <cell r="O75" t="str">
            <v/>
          </cell>
          <cell r="P75" t="str">
            <v/>
          </cell>
          <cell r="Q75">
            <v>9.1999999999999993</v>
          </cell>
          <cell r="R75" t="str">
            <v>UND</v>
          </cell>
          <cell r="S75">
            <v>0</v>
          </cell>
          <cell r="T75">
            <v>0</v>
          </cell>
          <cell r="U75" t="str">
            <v/>
          </cell>
          <cell r="V75" t="str">
            <v>PRO10</v>
          </cell>
          <cell r="W75">
            <v>0</v>
          </cell>
        </row>
        <row r="76">
          <cell r="C76" t="str">
            <v>TE213/80654</v>
          </cell>
          <cell r="D76" t="str">
            <v>PRINC</v>
          </cell>
          <cell r="E76" t="str">
            <v>00003</v>
          </cell>
          <cell r="F76" t="str">
            <v>COMPONENTES P/ SISTEMAS Y TRANSP.</v>
          </cell>
          <cell r="G76" t="str">
            <v>PRINCIPAL</v>
          </cell>
          <cell r="H76">
            <v>46004</v>
          </cell>
          <cell r="I76" t="str">
            <v>SALDO INICIAL</v>
          </cell>
          <cell r="J76">
            <v>18</v>
          </cell>
          <cell r="K76">
            <v>86.76</v>
          </cell>
          <cell r="L76">
            <v>4.82</v>
          </cell>
          <cell r="M76">
            <v>4.82</v>
          </cell>
          <cell r="N76" t="str">
            <v/>
          </cell>
          <cell r="O76" t="str">
            <v/>
          </cell>
          <cell r="P76" t="str">
            <v/>
          </cell>
          <cell r="Q76">
            <v>7.45</v>
          </cell>
          <cell r="R76" t="str">
            <v>UND</v>
          </cell>
          <cell r="S76">
            <v>0</v>
          </cell>
          <cell r="T76">
            <v>0</v>
          </cell>
          <cell r="U76" t="str">
            <v/>
          </cell>
          <cell r="V76" t="str">
            <v>PRO10</v>
          </cell>
          <cell r="W76">
            <v>0</v>
          </cell>
        </row>
        <row r="77">
          <cell r="C77" t="str">
            <v>TE558/90814</v>
          </cell>
          <cell r="D77" t="str">
            <v>PRINC</v>
          </cell>
          <cell r="E77" t="str">
            <v>00003</v>
          </cell>
          <cell r="F77" t="str">
            <v>COMPONENTES P/ SISTEMAS Y TRANSP.</v>
          </cell>
          <cell r="G77" t="str">
            <v>PRINCIPAL</v>
          </cell>
          <cell r="H77">
            <v>46004</v>
          </cell>
          <cell r="I77" t="str">
            <v>SALDO INICIAL</v>
          </cell>
          <cell r="J77">
            <v>0</v>
          </cell>
          <cell r="K77">
            <v>0</v>
          </cell>
          <cell r="L77">
            <v>7.15</v>
          </cell>
          <cell r="M77">
            <v>0</v>
          </cell>
          <cell r="N77" t="str">
            <v/>
          </cell>
          <cell r="O77" t="str">
            <v/>
          </cell>
          <cell r="P77" t="str">
            <v/>
          </cell>
          <cell r="Q77">
            <v>10.9</v>
          </cell>
          <cell r="R77" t="str">
            <v>UND</v>
          </cell>
          <cell r="S77">
            <v>0</v>
          </cell>
          <cell r="T77">
            <v>0</v>
          </cell>
          <cell r="U77" t="str">
            <v/>
          </cell>
          <cell r="V77" t="str">
            <v>PRO10</v>
          </cell>
          <cell r="W77">
            <v>0</v>
          </cell>
        </row>
        <row r="78">
          <cell r="C78" t="str">
            <v>TE243/81005</v>
          </cell>
          <cell r="D78" t="str">
            <v>PRINC</v>
          </cell>
          <cell r="E78" t="str">
            <v>00003</v>
          </cell>
          <cell r="F78" t="str">
            <v>COMPONENTES P/ SISTEMAS Y TRANSP.</v>
          </cell>
          <cell r="G78" t="str">
            <v>PRINCIPAL</v>
          </cell>
          <cell r="H78">
            <v>46004</v>
          </cell>
          <cell r="I78" t="str">
            <v>SALDO INICIAL</v>
          </cell>
          <cell r="J78">
            <v>68</v>
          </cell>
          <cell r="K78">
            <v>588.88</v>
          </cell>
          <cell r="L78">
            <v>8.66</v>
          </cell>
          <cell r="M78">
            <v>8.66</v>
          </cell>
          <cell r="N78" t="str">
            <v/>
          </cell>
          <cell r="O78" t="str">
            <v/>
          </cell>
          <cell r="P78" t="str">
            <v/>
          </cell>
          <cell r="Q78">
            <v>14.35</v>
          </cell>
          <cell r="R78" t="str">
            <v>UND</v>
          </cell>
          <cell r="S78">
            <v>0</v>
          </cell>
          <cell r="T78">
            <v>0</v>
          </cell>
          <cell r="U78" t="str">
            <v/>
          </cell>
          <cell r="V78" t="str">
            <v>PRO10</v>
          </cell>
          <cell r="W78">
            <v>0</v>
          </cell>
        </row>
        <row r="79">
          <cell r="C79" t="str">
            <v>TE281/82132</v>
          </cell>
          <cell r="D79" t="str">
            <v>PRINC</v>
          </cell>
          <cell r="E79" t="str">
            <v>00003</v>
          </cell>
          <cell r="F79" t="str">
            <v>COMPONENTES P/ SISTEMAS Y TRANSP.</v>
          </cell>
          <cell r="G79" t="str">
            <v>PRINCIPAL</v>
          </cell>
          <cell r="H79">
            <v>46004</v>
          </cell>
          <cell r="I79" t="str">
            <v>SALDO INICIAL</v>
          </cell>
          <cell r="J79">
            <v>47</v>
          </cell>
          <cell r="K79">
            <v>409.92405200000002</v>
          </cell>
          <cell r="L79">
            <v>8.7217880000000001</v>
          </cell>
          <cell r="M79">
            <v>8.7217883399999998</v>
          </cell>
          <cell r="N79" t="str">
            <v/>
          </cell>
          <cell r="O79" t="str">
            <v/>
          </cell>
          <cell r="P79" t="str">
            <v/>
          </cell>
          <cell r="Q79">
            <v>15.7</v>
          </cell>
          <cell r="R79" t="str">
            <v>UND</v>
          </cell>
          <cell r="S79">
            <v>0</v>
          </cell>
          <cell r="T79">
            <v>0</v>
          </cell>
          <cell r="U79" t="str">
            <v/>
          </cell>
          <cell r="V79" t="str">
            <v>PRO10</v>
          </cell>
          <cell r="W79">
            <v>0</v>
          </cell>
        </row>
        <row r="80">
          <cell r="C80" t="str">
            <v>PI1GTAZ000677</v>
          </cell>
          <cell r="D80" t="str">
            <v>PRINC</v>
          </cell>
          <cell r="E80" t="str">
            <v>00003</v>
          </cell>
          <cell r="F80" t="str">
            <v>COMPONENTES P/ SISTEMAS Y TRANSP.</v>
          </cell>
          <cell r="G80" t="str">
            <v>PRINCIPAL</v>
          </cell>
          <cell r="H80">
            <v>46004</v>
          </cell>
          <cell r="I80" t="str">
            <v>SALDO INICIAL</v>
          </cell>
          <cell r="J80">
            <v>31</v>
          </cell>
          <cell r="K80">
            <v>78.12</v>
          </cell>
          <cell r="L80">
            <v>2.52</v>
          </cell>
          <cell r="M80">
            <v>2.52</v>
          </cell>
          <cell r="N80" t="str">
            <v/>
          </cell>
          <cell r="O80" t="str">
            <v/>
          </cell>
          <cell r="P80" t="str">
            <v/>
          </cell>
          <cell r="Q80">
            <v>4.05</v>
          </cell>
          <cell r="R80" t="str">
            <v>UND</v>
          </cell>
          <cell r="S80">
            <v>0</v>
          </cell>
          <cell r="T80">
            <v>0</v>
          </cell>
          <cell r="U80" t="str">
            <v/>
          </cell>
          <cell r="V80" t="str">
            <v>PRO10</v>
          </cell>
          <cell r="W80">
            <v>0</v>
          </cell>
        </row>
        <row r="81">
          <cell r="C81" t="str">
            <v>PI1ETRA001097</v>
          </cell>
          <cell r="D81" t="str">
            <v>PRINC</v>
          </cell>
          <cell r="E81" t="str">
            <v>00003</v>
          </cell>
          <cell r="F81" t="str">
            <v>COMPONENTES P/ SISTEMAS Y TRANSP.</v>
          </cell>
          <cell r="G81" t="str">
            <v>PRINCIPAL</v>
          </cell>
          <cell r="H81">
            <v>46004</v>
          </cell>
          <cell r="I81" t="str">
            <v>SALDO INICIAL</v>
          </cell>
          <cell r="J81">
            <v>1</v>
          </cell>
          <cell r="K81">
            <v>8.52</v>
          </cell>
          <cell r="L81">
            <v>8.52</v>
          </cell>
          <cell r="M81">
            <v>8.52</v>
          </cell>
          <cell r="N81" t="str">
            <v/>
          </cell>
          <cell r="O81" t="str">
            <v/>
          </cell>
          <cell r="P81" t="str">
            <v/>
          </cell>
          <cell r="Q81">
            <v>16.350000000000001</v>
          </cell>
          <cell r="R81" t="str">
            <v>UND</v>
          </cell>
          <cell r="S81">
            <v>0</v>
          </cell>
          <cell r="T81">
            <v>0</v>
          </cell>
          <cell r="U81" t="str">
            <v/>
          </cell>
          <cell r="V81" t="str">
            <v>PRO10</v>
          </cell>
          <cell r="W81">
            <v>0</v>
          </cell>
        </row>
        <row r="82">
          <cell r="C82" t="str">
            <v>TE261/82001</v>
          </cell>
          <cell r="D82" t="str">
            <v>PRINC</v>
          </cell>
          <cell r="E82" t="str">
            <v>00003</v>
          </cell>
          <cell r="F82" t="str">
            <v>COMPONENTES P/ SISTEMAS Y TRANSP.</v>
          </cell>
          <cell r="G82" t="str">
            <v>PRINCIPAL</v>
          </cell>
          <cell r="H82">
            <v>46004</v>
          </cell>
          <cell r="I82" t="str">
            <v>SALDO INICIAL</v>
          </cell>
          <cell r="J82">
            <v>8</v>
          </cell>
          <cell r="K82">
            <v>46.08</v>
          </cell>
          <cell r="L82">
            <v>5.95</v>
          </cell>
          <cell r="M82">
            <v>5.76</v>
          </cell>
          <cell r="N82" t="str">
            <v/>
          </cell>
          <cell r="O82" t="str">
            <v/>
          </cell>
          <cell r="P82" t="str">
            <v/>
          </cell>
          <cell r="Q82">
            <v>9.4600000000000009</v>
          </cell>
          <cell r="R82" t="str">
            <v>UND</v>
          </cell>
          <cell r="S82">
            <v>0</v>
          </cell>
          <cell r="T82">
            <v>0</v>
          </cell>
          <cell r="U82" t="str">
            <v/>
          </cell>
          <cell r="V82" t="str">
            <v>PRO10</v>
          </cell>
          <cell r="W82">
            <v>0</v>
          </cell>
        </row>
        <row r="83">
          <cell r="C83" t="str">
            <v>TE260/82002</v>
          </cell>
          <cell r="D83" t="str">
            <v>PRINC</v>
          </cell>
          <cell r="E83" t="str">
            <v>00003</v>
          </cell>
          <cell r="F83" t="str">
            <v>COMPONENTES P/ SISTEMAS Y TRANSP.</v>
          </cell>
          <cell r="G83" t="str">
            <v>PRINCIPAL</v>
          </cell>
          <cell r="H83">
            <v>46004</v>
          </cell>
          <cell r="I83" t="str">
            <v>SALDO INICIAL</v>
          </cell>
          <cell r="J83">
            <v>10</v>
          </cell>
          <cell r="K83">
            <v>84</v>
          </cell>
          <cell r="L83">
            <v>8.4</v>
          </cell>
          <cell r="M83">
            <v>8.4</v>
          </cell>
          <cell r="N83" t="str">
            <v/>
          </cell>
          <cell r="O83" t="str">
            <v/>
          </cell>
          <cell r="P83" t="str">
            <v/>
          </cell>
          <cell r="Q83">
            <v>13.35</v>
          </cell>
          <cell r="R83" t="str">
            <v>UND</v>
          </cell>
          <cell r="S83">
            <v>0</v>
          </cell>
          <cell r="T83">
            <v>0</v>
          </cell>
          <cell r="U83" t="str">
            <v/>
          </cell>
          <cell r="V83" t="str">
            <v>PRO10</v>
          </cell>
          <cell r="W83">
            <v>0</v>
          </cell>
        </row>
        <row r="84">
          <cell r="C84" t="str">
            <v>TE257/85004</v>
          </cell>
          <cell r="D84" t="str">
            <v>PRINC</v>
          </cell>
          <cell r="E84" t="str">
            <v>00003</v>
          </cell>
          <cell r="F84" t="str">
            <v>COMPONENTES P/ SISTEMAS Y TRANSP.</v>
          </cell>
          <cell r="G84" t="str">
            <v>PRINCIPAL</v>
          </cell>
          <cell r="H84">
            <v>46004</v>
          </cell>
          <cell r="I84" t="str">
            <v>SALDO INICIAL</v>
          </cell>
          <cell r="J84">
            <v>5</v>
          </cell>
          <cell r="K84">
            <v>116.1</v>
          </cell>
          <cell r="L84">
            <v>0</v>
          </cell>
          <cell r="M84">
            <v>23.22</v>
          </cell>
          <cell r="N84" t="str">
            <v/>
          </cell>
          <cell r="O84" t="str">
            <v/>
          </cell>
          <cell r="P84" t="str">
            <v/>
          </cell>
          <cell r="Q84">
            <v>33.25</v>
          </cell>
          <cell r="R84" t="str">
            <v>UND</v>
          </cell>
          <cell r="S84">
            <v>0</v>
          </cell>
          <cell r="T84">
            <v>0</v>
          </cell>
          <cell r="U84" t="str">
            <v/>
          </cell>
          <cell r="V84" t="str">
            <v>PRO10</v>
          </cell>
          <cell r="W84">
            <v>0</v>
          </cell>
        </row>
        <row r="85">
          <cell r="C85" t="str">
            <v>TE526/87381</v>
          </cell>
          <cell r="D85" t="str">
            <v>PRINC</v>
          </cell>
          <cell r="E85" t="str">
            <v>00003</v>
          </cell>
          <cell r="F85" t="str">
            <v>COMPONENTES P/ SISTEMAS Y TRANSP.</v>
          </cell>
          <cell r="G85" t="str">
            <v>PRINCIPAL</v>
          </cell>
          <cell r="H85">
            <v>46004</v>
          </cell>
          <cell r="I85" t="str">
            <v>SALDO INICIAL</v>
          </cell>
          <cell r="J85">
            <v>53</v>
          </cell>
          <cell r="K85">
            <v>121.9</v>
          </cell>
          <cell r="L85">
            <v>2.2999999999999998</v>
          </cell>
          <cell r="M85">
            <v>2.2999999999999998</v>
          </cell>
          <cell r="N85" t="str">
            <v/>
          </cell>
          <cell r="O85" t="str">
            <v/>
          </cell>
          <cell r="P85" t="str">
            <v/>
          </cell>
          <cell r="Q85">
            <v>3.7</v>
          </cell>
          <cell r="R85" t="str">
            <v>UND</v>
          </cell>
          <cell r="S85">
            <v>0</v>
          </cell>
          <cell r="T85">
            <v>0</v>
          </cell>
          <cell r="U85" t="str">
            <v/>
          </cell>
          <cell r="V85" t="str">
            <v>PRO10</v>
          </cell>
          <cell r="W85">
            <v>0</v>
          </cell>
        </row>
        <row r="86">
          <cell r="C86" t="str">
            <v>TE526/87382</v>
          </cell>
          <cell r="D86" t="str">
            <v>PRINC</v>
          </cell>
          <cell r="E86" t="str">
            <v>00003</v>
          </cell>
          <cell r="F86" t="str">
            <v>COMPONENTES P/ SISTEMAS Y TRANSP.</v>
          </cell>
          <cell r="G86" t="str">
            <v>PRINCIPAL</v>
          </cell>
          <cell r="H86">
            <v>46004</v>
          </cell>
          <cell r="I86" t="str">
            <v>SALDO INICIAL</v>
          </cell>
          <cell r="J86">
            <v>44</v>
          </cell>
          <cell r="K86">
            <v>124.52</v>
          </cell>
          <cell r="L86">
            <v>2.83</v>
          </cell>
          <cell r="M86">
            <v>2.83</v>
          </cell>
          <cell r="N86" t="str">
            <v/>
          </cell>
          <cell r="O86" t="str">
            <v/>
          </cell>
          <cell r="P86" t="str">
            <v/>
          </cell>
          <cell r="Q86">
            <v>4.5599999999999996</v>
          </cell>
          <cell r="R86" t="str">
            <v>UND</v>
          </cell>
          <cell r="S86">
            <v>0</v>
          </cell>
          <cell r="T86">
            <v>0</v>
          </cell>
          <cell r="U86" t="str">
            <v/>
          </cell>
          <cell r="V86" t="str">
            <v>PRO10</v>
          </cell>
          <cell r="W86">
            <v>0</v>
          </cell>
        </row>
        <row r="87">
          <cell r="C87" t="str">
            <v>PI1EMAN000927</v>
          </cell>
          <cell r="D87" t="str">
            <v>PRINC</v>
          </cell>
          <cell r="E87" t="str">
            <v>00003</v>
          </cell>
          <cell r="F87" t="str">
            <v>COMPONENTES P/ SISTEMAS Y TRANSP.</v>
          </cell>
          <cell r="G87" t="str">
            <v>PRINCIPAL</v>
          </cell>
          <cell r="H87">
            <v>46004</v>
          </cell>
          <cell r="I87" t="str">
            <v>SALDO INICIAL</v>
          </cell>
          <cell r="J87">
            <v>3</v>
          </cell>
          <cell r="K87">
            <v>29.55</v>
          </cell>
          <cell r="L87">
            <v>9.85</v>
          </cell>
          <cell r="M87">
            <v>9.85</v>
          </cell>
          <cell r="N87" t="str">
            <v/>
          </cell>
          <cell r="O87" t="str">
            <v/>
          </cell>
          <cell r="P87" t="str">
            <v/>
          </cell>
          <cell r="Q87">
            <v>20</v>
          </cell>
          <cell r="R87" t="str">
            <v>UND</v>
          </cell>
          <cell r="S87">
            <v>0</v>
          </cell>
          <cell r="T87">
            <v>0</v>
          </cell>
          <cell r="U87" t="str">
            <v/>
          </cell>
          <cell r="V87" t="str">
            <v>PRO10</v>
          </cell>
          <cell r="W87">
            <v>0</v>
          </cell>
        </row>
        <row r="88">
          <cell r="C88" t="str">
            <v>REUP820KD/000</v>
          </cell>
          <cell r="D88" t="str">
            <v>PRINC</v>
          </cell>
          <cell r="E88" t="str">
            <v>00007</v>
          </cell>
          <cell r="F88" t="str">
            <v>CADENAS TABLE TOP PLASTICAS</v>
          </cell>
          <cell r="G88" t="str">
            <v>PRINCIPAL</v>
          </cell>
          <cell r="H88">
            <v>46004</v>
          </cell>
          <cell r="I88" t="str">
            <v>SALDO INICIAL</v>
          </cell>
          <cell r="J88">
            <v>1</v>
          </cell>
          <cell r="K88">
            <v>47.93</v>
          </cell>
          <cell r="L88">
            <v>47.93</v>
          </cell>
          <cell r="M88">
            <v>47.93</v>
          </cell>
          <cell r="N88" t="str">
            <v/>
          </cell>
          <cell r="O88" t="str">
            <v/>
          </cell>
          <cell r="P88" t="str">
            <v/>
          </cell>
          <cell r="Q88">
            <v>84</v>
          </cell>
          <cell r="R88" t="str">
            <v>CJA</v>
          </cell>
          <cell r="S88">
            <v>0</v>
          </cell>
          <cell r="T88">
            <v>0</v>
          </cell>
          <cell r="U88" t="str">
            <v/>
          </cell>
          <cell r="V88" t="str">
            <v>PRO10</v>
          </cell>
          <cell r="W88">
            <v>0</v>
          </cell>
        </row>
        <row r="89">
          <cell r="C89" t="str">
            <v>REUP820KG/000</v>
          </cell>
          <cell r="D89" t="str">
            <v>PRINC</v>
          </cell>
          <cell r="E89" t="str">
            <v>00007</v>
          </cell>
          <cell r="F89" t="str">
            <v>CADENAS TABLE TOP PLASTICAS</v>
          </cell>
          <cell r="G89" t="str">
            <v>PRINCIPAL</v>
          </cell>
          <cell r="H89">
            <v>46004</v>
          </cell>
          <cell r="I89" t="str">
            <v>SALDO INICIAL</v>
          </cell>
          <cell r="J89">
            <v>0</v>
          </cell>
          <cell r="K89">
            <v>0</v>
          </cell>
          <cell r="L89">
            <v>64.289090999999999</v>
          </cell>
          <cell r="M89">
            <v>0</v>
          </cell>
          <cell r="N89" t="str">
            <v/>
          </cell>
          <cell r="O89" t="str">
            <v/>
          </cell>
          <cell r="P89" t="str">
            <v/>
          </cell>
          <cell r="Q89">
            <v>114</v>
          </cell>
          <cell r="R89" t="str">
            <v>CJA</v>
          </cell>
          <cell r="S89">
            <v>0</v>
          </cell>
          <cell r="T89">
            <v>0</v>
          </cell>
          <cell r="U89" t="str">
            <v/>
          </cell>
          <cell r="V89" t="str">
            <v>PRO10</v>
          </cell>
          <cell r="W89">
            <v>0</v>
          </cell>
        </row>
        <row r="90">
          <cell r="C90" t="str">
            <v>REUP820KH/000</v>
          </cell>
          <cell r="D90" t="str">
            <v>PRINC</v>
          </cell>
          <cell r="E90" t="str">
            <v>00007</v>
          </cell>
          <cell r="F90" t="str">
            <v>CADENAS TABLE TOP PLASTICAS</v>
          </cell>
          <cell r="G90" t="str">
            <v>PRINCIPAL</v>
          </cell>
          <cell r="H90">
            <v>46004</v>
          </cell>
          <cell r="I90" t="str">
            <v>SALDO INICIAL</v>
          </cell>
          <cell r="J90">
            <v>2</v>
          </cell>
          <cell r="K90">
            <v>155.12</v>
          </cell>
          <cell r="L90">
            <v>77.56</v>
          </cell>
          <cell r="M90">
            <v>77.56</v>
          </cell>
          <cell r="N90" t="str">
            <v/>
          </cell>
          <cell r="O90" t="str">
            <v/>
          </cell>
          <cell r="P90" t="str">
            <v/>
          </cell>
          <cell r="Q90">
            <v>125</v>
          </cell>
          <cell r="R90" t="str">
            <v>CJA</v>
          </cell>
          <cell r="S90">
            <v>0</v>
          </cell>
          <cell r="T90">
            <v>0</v>
          </cell>
          <cell r="U90" t="str">
            <v/>
          </cell>
          <cell r="V90" t="str">
            <v>PRO10</v>
          </cell>
          <cell r="W90">
            <v>0</v>
          </cell>
        </row>
        <row r="91">
          <cell r="C91" t="str">
            <v>REUP880KG/000</v>
          </cell>
          <cell r="D91" t="str">
            <v>PRINC</v>
          </cell>
          <cell r="E91" t="str">
            <v>00007</v>
          </cell>
          <cell r="F91" t="str">
            <v>CADENAS TABLE TOP PLASTICAS</v>
          </cell>
          <cell r="G91" t="str">
            <v>PRINCIPAL</v>
          </cell>
          <cell r="H91">
            <v>46004</v>
          </cell>
          <cell r="I91" t="str">
            <v>SALDO INICIAL</v>
          </cell>
          <cell r="J91">
            <v>4</v>
          </cell>
          <cell r="K91">
            <v>298.32782600000002</v>
          </cell>
          <cell r="L91">
            <v>74.581957000000003</v>
          </cell>
          <cell r="M91">
            <v>74.581956500000004</v>
          </cell>
          <cell r="N91" t="str">
            <v>PVP C/DSCTO $90</v>
          </cell>
          <cell r="O91" t="str">
            <v/>
          </cell>
          <cell r="P91" t="str">
            <v/>
          </cell>
          <cell r="Q91">
            <v>128</v>
          </cell>
          <cell r="R91" t="str">
            <v>CJA</v>
          </cell>
          <cell r="S91">
            <v>0</v>
          </cell>
          <cell r="T91">
            <v>0</v>
          </cell>
          <cell r="U91" t="str">
            <v/>
          </cell>
          <cell r="V91" t="str">
            <v>PRO10</v>
          </cell>
          <cell r="W91">
            <v>0</v>
          </cell>
        </row>
        <row r="92">
          <cell r="C92" t="str">
            <v>REUP880TKD/000</v>
          </cell>
          <cell r="D92" t="str">
            <v>PRINC</v>
          </cell>
          <cell r="E92" t="str">
            <v>00007</v>
          </cell>
          <cell r="F92" t="str">
            <v>CADENAS TABLE TOP PLASTICAS</v>
          </cell>
          <cell r="G92" t="str">
            <v>PRINCIPAL</v>
          </cell>
          <cell r="H92">
            <v>46004</v>
          </cell>
          <cell r="I92" t="str">
            <v>SALDO INICIAL</v>
          </cell>
          <cell r="J92">
            <v>0</v>
          </cell>
          <cell r="K92">
            <v>0</v>
          </cell>
          <cell r="L92">
            <v>54.348889</v>
          </cell>
          <cell r="M92">
            <v>0</v>
          </cell>
          <cell r="N92" t="str">
            <v/>
          </cell>
          <cell r="O92" t="str">
            <v/>
          </cell>
          <cell r="P92" t="str">
            <v/>
          </cell>
          <cell r="Q92">
            <v>98</v>
          </cell>
          <cell r="R92" t="str">
            <v>CJA</v>
          </cell>
          <cell r="S92">
            <v>0</v>
          </cell>
          <cell r="T92">
            <v>0</v>
          </cell>
          <cell r="U92" t="str">
            <v/>
          </cell>
          <cell r="V92" t="str">
            <v>PRO10</v>
          </cell>
          <cell r="W92">
            <v>0</v>
          </cell>
        </row>
        <row r="93">
          <cell r="C93" t="str">
            <v>REUP880TKG/000</v>
          </cell>
          <cell r="D93" t="str">
            <v>PRINC</v>
          </cell>
          <cell r="E93" t="str">
            <v>00007</v>
          </cell>
          <cell r="F93" t="str">
            <v>CADENAS TABLE TOP PLASTICAS</v>
          </cell>
          <cell r="G93" t="str">
            <v>PRINCIPAL</v>
          </cell>
          <cell r="H93">
            <v>46004</v>
          </cell>
          <cell r="I93" t="str">
            <v>SALDO INICIAL</v>
          </cell>
          <cell r="J93">
            <v>12</v>
          </cell>
          <cell r="K93">
            <v>819.12632099999996</v>
          </cell>
          <cell r="L93">
            <v>68.260526999999996</v>
          </cell>
          <cell r="M93">
            <v>68.260526749999997</v>
          </cell>
          <cell r="N93" t="str">
            <v/>
          </cell>
          <cell r="O93" t="str">
            <v/>
          </cell>
          <cell r="P93" t="str">
            <v/>
          </cell>
          <cell r="Q93">
            <v>122</v>
          </cell>
          <cell r="R93" t="str">
            <v>UND</v>
          </cell>
          <cell r="S93">
            <v>0</v>
          </cell>
          <cell r="T93">
            <v>0</v>
          </cell>
          <cell r="U93" t="str">
            <v/>
          </cell>
          <cell r="V93" t="str">
            <v>PRO10</v>
          </cell>
          <cell r="W93">
            <v>0</v>
          </cell>
        </row>
        <row r="94">
          <cell r="C94" t="str">
            <v>EUB50Z06C38ACM</v>
          </cell>
          <cell r="D94" t="str">
            <v>PRINC</v>
          </cell>
          <cell r="E94" t="str">
            <v>00008</v>
          </cell>
          <cell r="F94" t="str">
            <v>PIÑONES PLASTICOS</v>
          </cell>
          <cell r="G94" t="str">
            <v>PRINCIPAL</v>
          </cell>
          <cell r="H94">
            <v>46004</v>
          </cell>
          <cell r="I94" t="str">
            <v>SALDO INICIAL</v>
          </cell>
          <cell r="J94">
            <v>73</v>
          </cell>
          <cell r="K94">
            <v>977.15704800000003</v>
          </cell>
          <cell r="L94">
            <v>11.346698999999999</v>
          </cell>
          <cell r="M94">
            <v>13.385712986</v>
          </cell>
          <cell r="N94" t="str">
            <v/>
          </cell>
          <cell r="O94" t="str">
            <v/>
          </cell>
          <cell r="P94" t="str">
            <v/>
          </cell>
          <cell r="Q94">
            <v>18</v>
          </cell>
          <cell r="R94" t="str">
            <v>UND</v>
          </cell>
          <cell r="S94">
            <v>0</v>
          </cell>
          <cell r="T94">
            <v>0</v>
          </cell>
          <cell r="U94" t="str">
            <v/>
          </cell>
          <cell r="V94" t="str">
            <v>PRO10</v>
          </cell>
          <cell r="W94">
            <v>0</v>
          </cell>
        </row>
        <row r="95">
          <cell r="C95" t="str">
            <v>EUB50Z10C38ACM</v>
          </cell>
          <cell r="D95" t="str">
            <v>PRINC</v>
          </cell>
          <cell r="E95" t="str">
            <v>00008</v>
          </cell>
          <cell r="F95" t="str">
            <v>PIÑONES PLASTICOS</v>
          </cell>
          <cell r="G95" t="str">
            <v>PRINCIPAL</v>
          </cell>
          <cell r="H95">
            <v>46004</v>
          </cell>
          <cell r="I95" t="str">
            <v>SALDO INICIAL</v>
          </cell>
          <cell r="J95">
            <v>42</v>
          </cell>
          <cell r="K95">
            <v>715.26</v>
          </cell>
          <cell r="L95">
            <v>17.03</v>
          </cell>
          <cell r="M95">
            <v>17.03</v>
          </cell>
          <cell r="N95" t="str">
            <v/>
          </cell>
          <cell r="O95" t="str">
            <v/>
          </cell>
          <cell r="P95" t="str">
            <v/>
          </cell>
          <cell r="Q95">
            <v>25</v>
          </cell>
          <cell r="R95" t="str">
            <v>UND</v>
          </cell>
          <cell r="S95">
            <v>0</v>
          </cell>
          <cell r="T95">
            <v>0</v>
          </cell>
          <cell r="U95" t="str">
            <v/>
          </cell>
          <cell r="V95" t="str">
            <v>PRO10</v>
          </cell>
          <cell r="W95">
            <v>0</v>
          </cell>
        </row>
        <row r="96">
          <cell r="C96" t="str">
            <v>EUC12Z16C25ACB</v>
          </cell>
          <cell r="D96" t="str">
            <v>PRINC</v>
          </cell>
          <cell r="E96" t="str">
            <v>00008</v>
          </cell>
          <cell r="F96" t="str">
            <v>PIÑONES PLASTICOS</v>
          </cell>
          <cell r="G96" t="str">
            <v>PRINCIPAL</v>
          </cell>
          <cell r="H96">
            <v>46004</v>
          </cell>
          <cell r="I96" t="str">
            <v>SALDO INICIAL</v>
          </cell>
          <cell r="J96">
            <v>35</v>
          </cell>
          <cell r="K96">
            <v>284.2</v>
          </cell>
          <cell r="L96">
            <v>8.1199999999999992</v>
          </cell>
          <cell r="M96">
            <v>8.1199999999999992</v>
          </cell>
          <cell r="N96" t="str">
            <v/>
          </cell>
          <cell r="O96" t="str">
            <v/>
          </cell>
          <cell r="P96" t="str">
            <v/>
          </cell>
          <cell r="Q96">
            <v>13</v>
          </cell>
          <cell r="R96" t="str">
            <v>UND</v>
          </cell>
          <cell r="S96">
            <v>0</v>
          </cell>
          <cell r="T96">
            <v>0</v>
          </cell>
          <cell r="U96" t="str">
            <v/>
          </cell>
          <cell r="V96" t="str">
            <v>PRO10</v>
          </cell>
          <cell r="W96">
            <v>0</v>
          </cell>
        </row>
        <row r="97">
          <cell r="C97" t="str">
            <v>EUC12Z20C38ACM</v>
          </cell>
          <cell r="D97" t="str">
            <v>PRINC</v>
          </cell>
          <cell r="E97" t="str">
            <v>00008</v>
          </cell>
          <cell r="F97" t="str">
            <v>PIÑONES PLASTICOS</v>
          </cell>
          <cell r="G97" t="str">
            <v>PRINCIPAL</v>
          </cell>
          <cell r="H97">
            <v>46004</v>
          </cell>
          <cell r="I97" t="str">
            <v>SALDO INICIAL</v>
          </cell>
          <cell r="J97">
            <v>25</v>
          </cell>
          <cell r="K97">
            <v>237.75</v>
          </cell>
          <cell r="L97">
            <v>12.9</v>
          </cell>
          <cell r="M97">
            <v>9.51</v>
          </cell>
          <cell r="N97" t="str">
            <v/>
          </cell>
          <cell r="O97" t="str">
            <v/>
          </cell>
          <cell r="P97" t="str">
            <v/>
          </cell>
          <cell r="Q97">
            <v>15</v>
          </cell>
          <cell r="R97" t="str">
            <v>UND</v>
          </cell>
          <cell r="S97">
            <v>0</v>
          </cell>
          <cell r="T97">
            <v>0</v>
          </cell>
          <cell r="U97" t="str">
            <v/>
          </cell>
          <cell r="V97" t="str">
            <v>PRO10</v>
          </cell>
          <cell r="W97">
            <v>0</v>
          </cell>
        </row>
        <row r="98">
          <cell r="C98" t="str">
            <v>EUC12Z31C38ACM</v>
          </cell>
          <cell r="D98" t="str">
            <v>PRINC</v>
          </cell>
          <cell r="E98" t="str">
            <v>00008</v>
          </cell>
          <cell r="F98" t="str">
            <v>PIÑONES PLASTICOS</v>
          </cell>
          <cell r="G98" t="str">
            <v>PRINCIPAL</v>
          </cell>
          <cell r="H98">
            <v>46004</v>
          </cell>
          <cell r="I98" t="str">
            <v>SALDO INICIAL</v>
          </cell>
          <cell r="J98">
            <v>20</v>
          </cell>
          <cell r="K98">
            <v>233.85638900000001</v>
          </cell>
          <cell r="L98">
            <v>11.692819</v>
          </cell>
          <cell r="M98">
            <v>11.69281945</v>
          </cell>
          <cell r="N98" t="str">
            <v/>
          </cell>
          <cell r="O98" t="str">
            <v/>
          </cell>
          <cell r="P98" t="str">
            <v/>
          </cell>
          <cell r="Q98">
            <v>20</v>
          </cell>
          <cell r="R98" t="str">
            <v>UND</v>
          </cell>
          <cell r="S98">
            <v>0</v>
          </cell>
          <cell r="T98">
            <v>0</v>
          </cell>
          <cell r="U98" t="str">
            <v/>
          </cell>
          <cell r="V98" t="str">
            <v>PRO10</v>
          </cell>
          <cell r="W98">
            <v>0</v>
          </cell>
        </row>
        <row r="99">
          <cell r="C99" t="str">
            <v>EUE30Z09R26ACB</v>
          </cell>
          <cell r="D99" t="str">
            <v>PRINC</v>
          </cell>
          <cell r="E99" t="str">
            <v>00008</v>
          </cell>
          <cell r="F99" t="str">
            <v>PIÑONES PLASTICOS</v>
          </cell>
          <cell r="G99" t="str">
            <v>PRINCIPAL</v>
          </cell>
          <cell r="H99">
            <v>46004</v>
          </cell>
          <cell r="I99" t="str">
            <v>SALDO INICIAL</v>
          </cell>
          <cell r="J99">
            <v>27</v>
          </cell>
          <cell r="K99">
            <v>288.08999999999997</v>
          </cell>
          <cell r="L99">
            <v>10.67</v>
          </cell>
          <cell r="M99">
            <v>10.67</v>
          </cell>
          <cell r="N99" t="str">
            <v/>
          </cell>
          <cell r="O99" t="str">
            <v/>
          </cell>
          <cell r="P99" t="str">
            <v/>
          </cell>
          <cell r="Q99">
            <v>16</v>
          </cell>
          <cell r="R99" t="str">
            <v>UND</v>
          </cell>
          <cell r="S99">
            <v>0</v>
          </cell>
          <cell r="T99">
            <v>0</v>
          </cell>
          <cell r="U99" t="str">
            <v/>
          </cell>
          <cell r="V99" t="str">
            <v>PRO10</v>
          </cell>
          <cell r="W99">
            <v>0</v>
          </cell>
        </row>
        <row r="100">
          <cell r="C100" t="str">
            <v>EUE30Z09RCH26AC</v>
          </cell>
          <cell r="D100" t="str">
            <v>PRINC</v>
          </cell>
          <cell r="E100" t="str">
            <v>00008</v>
          </cell>
          <cell r="F100" t="str">
            <v>PIÑONES PLASTICOS</v>
          </cell>
          <cell r="G100" t="str">
            <v>PRINCIPAL</v>
          </cell>
          <cell r="H100">
            <v>46004</v>
          </cell>
          <cell r="I100" t="str">
            <v>SALDO INICIAL</v>
          </cell>
          <cell r="J100">
            <v>3</v>
          </cell>
          <cell r="K100">
            <v>37.590000000000003</v>
          </cell>
          <cell r="L100">
            <v>12.53</v>
          </cell>
          <cell r="M100">
            <v>12.53</v>
          </cell>
          <cell r="N100" t="str">
            <v/>
          </cell>
          <cell r="O100" t="str">
            <v/>
          </cell>
          <cell r="P100" t="str">
            <v/>
          </cell>
          <cell r="Q100">
            <v>18</v>
          </cell>
          <cell r="R100" t="str">
            <v>UND</v>
          </cell>
          <cell r="S100">
            <v>0</v>
          </cell>
          <cell r="T100">
            <v>0</v>
          </cell>
          <cell r="U100" t="str">
            <v/>
          </cell>
          <cell r="V100" t="str">
            <v>PRO10</v>
          </cell>
          <cell r="W100">
            <v>0</v>
          </cell>
        </row>
        <row r="101">
          <cell r="C101" t="str">
            <v>EUE30Z16C40ACB</v>
          </cell>
          <cell r="D101" t="str">
            <v>PRINC</v>
          </cell>
          <cell r="E101" t="str">
            <v>00008</v>
          </cell>
          <cell r="F101" t="str">
            <v>PIÑONES PLASTICOS</v>
          </cell>
          <cell r="G101" t="str">
            <v>PRINCIPAL</v>
          </cell>
          <cell r="H101">
            <v>46004</v>
          </cell>
          <cell r="I101" t="str">
            <v>SALDO INICIAL</v>
          </cell>
          <cell r="J101">
            <v>26</v>
          </cell>
          <cell r="K101">
            <v>405.08</v>
          </cell>
          <cell r="L101">
            <v>15.38</v>
          </cell>
          <cell r="M101">
            <v>15.58</v>
          </cell>
          <cell r="N101" t="str">
            <v/>
          </cell>
          <cell r="O101" t="str">
            <v/>
          </cell>
          <cell r="P101" t="str">
            <v/>
          </cell>
          <cell r="Q101">
            <v>25</v>
          </cell>
          <cell r="R101" t="str">
            <v>UND</v>
          </cell>
          <cell r="S101">
            <v>0</v>
          </cell>
          <cell r="T101">
            <v>0</v>
          </cell>
          <cell r="U101" t="str">
            <v/>
          </cell>
          <cell r="V101" t="str">
            <v>PRO10</v>
          </cell>
          <cell r="W101">
            <v>0</v>
          </cell>
        </row>
        <row r="102">
          <cell r="C102" t="str">
            <v>EUE30Z09C38ACM</v>
          </cell>
          <cell r="D102" t="str">
            <v>PRINC</v>
          </cell>
          <cell r="E102" t="str">
            <v>00008</v>
          </cell>
          <cell r="F102" t="str">
            <v>PIÑONES PLASTICOS</v>
          </cell>
          <cell r="G102" t="str">
            <v>PRINCIPAL</v>
          </cell>
          <cell r="H102">
            <v>46004</v>
          </cell>
          <cell r="I102" t="str">
            <v>SALDO INICIAL</v>
          </cell>
          <cell r="J102">
            <v>29</v>
          </cell>
          <cell r="K102">
            <v>352.58199999999999</v>
          </cell>
          <cell r="L102">
            <v>12.157999999999999</v>
          </cell>
          <cell r="M102">
            <v>12.157999999999999</v>
          </cell>
          <cell r="N102" t="str">
            <v/>
          </cell>
          <cell r="O102" t="str">
            <v/>
          </cell>
          <cell r="P102" t="str">
            <v/>
          </cell>
          <cell r="Q102">
            <v>16</v>
          </cell>
          <cell r="R102" t="str">
            <v>UND</v>
          </cell>
          <cell r="S102">
            <v>0</v>
          </cell>
          <cell r="T102">
            <v>0</v>
          </cell>
          <cell r="U102" t="str">
            <v/>
          </cell>
          <cell r="V102" t="str">
            <v>PRO10</v>
          </cell>
          <cell r="W102">
            <v>0</v>
          </cell>
        </row>
        <row r="103">
          <cell r="C103" t="str">
            <v>EUE30Z11C38ACM</v>
          </cell>
          <cell r="D103" t="str">
            <v>PRINC</v>
          </cell>
          <cell r="E103" t="str">
            <v>00008</v>
          </cell>
          <cell r="F103" t="str">
            <v>PIÑONES PLASTICOS</v>
          </cell>
          <cell r="G103" t="str">
            <v>PRINCIPAL</v>
          </cell>
          <cell r="H103">
            <v>46004</v>
          </cell>
          <cell r="I103" t="str">
            <v>SALDO INICIAL</v>
          </cell>
          <cell r="J103">
            <v>8</v>
          </cell>
          <cell r="K103">
            <v>91.52</v>
          </cell>
          <cell r="L103">
            <v>11.44</v>
          </cell>
          <cell r="M103">
            <v>11.44</v>
          </cell>
          <cell r="N103" t="str">
            <v/>
          </cell>
          <cell r="O103" t="str">
            <v/>
          </cell>
          <cell r="P103" t="str">
            <v/>
          </cell>
          <cell r="Q103">
            <v>18</v>
          </cell>
          <cell r="R103" t="str">
            <v>UND</v>
          </cell>
          <cell r="S103">
            <v>0</v>
          </cell>
          <cell r="T103">
            <v>0</v>
          </cell>
          <cell r="U103" t="str">
            <v/>
          </cell>
          <cell r="V103" t="str">
            <v>PRO10</v>
          </cell>
          <cell r="W103">
            <v>0</v>
          </cell>
        </row>
        <row r="104">
          <cell r="C104" t="str">
            <v>EUE30Z14C38ACM</v>
          </cell>
          <cell r="D104" t="str">
            <v>PRINC</v>
          </cell>
          <cell r="E104" t="str">
            <v>00008</v>
          </cell>
          <cell r="F104" t="str">
            <v>PIÑONES PLASTICOS</v>
          </cell>
          <cell r="G104" t="str">
            <v>PRINCIPAL</v>
          </cell>
          <cell r="H104">
            <v>46004</v>
          </cell>
          <cell r="I104" t="str">
            <v>SALDO INICIAL</v>
          </cell>
          <cell r="J104">
            <v>1</v>
          </cell>
          <cell r="K104">
            <v>12.57</v>
          </cell>
          <cell r="L104">
            <v>12.57</v>
          </cell>
          <cell r="M104">
            <v>12.57</v>
          </cell>
          <cell r="N104" t="str">
            <v/>
          </cell>
          <cell r="O104" t="str">
            <v/>
          </cell>
          <cell r="P104" t="str">
            <v/>
          </cell>
          <cell r="Q104">
            <v>21</v>
          </cell>
          <cell r="R104" t="str">
            <v>UND</v>
          </cell>
          <cell r="S104">
            <v>0</v>
          </cell>
          <cell r="T104">
            <v>0</v>
          </cell>
          <cell r="U104" t="str">
            <v/>
          </cell>
          <cell r="V104" t="str">
            <v>PRO10</v>
          </cell>
          <cell r="W104">
            <v>0</v>
          </cell>
        </row>
        <row r="105">
          <cell r="C105" t="str">
            <v>EUE50Z06C38ACM</v>
          </cell>
          <cell r="D105" t="str">
            <v>PRINC</v>
          </cell>
          <cell r="E105" t="str">
            <v>00008</v>
          </cell>
          <cell r="F105" t="str">
            <v>PIÑONES PLASTICOS</v>
          </cell>
          <cell r="G105" t="str">
            <v>PRINCIPAL</v>
          </cell>
          <cell r="H105">
            <v>46004</v>
          </cell>
          <cell r="I105" t="str">
            <v>SALDO INICIAL</v>
          </cell>
          <cell r="J105">
            <v>6</v>
          </cell>
          <cell r="K105">
            <v>66.399907999999996</v>
          </cell>
          <cell r="L105">
            <v>11.066651999999999</v>
          </cell>
          <cell r="M105">
            <v>11.066651332999999</v>
          </cell>
          <cell r="N105" t="str">
            <v/>
          </cell>
          <cell r="O105" t="str">
            <v/>
          </cell>
          <cell r="P105" t="str">
            <v/>
          </cell>
          <cell r="Q105">
            <v>18</v>
          </cell>
          <cell r="R105" t="str">
            <v>UND</v>
          </cell>
          <cell r="S105">
            <v>0</v>
          </cell>
          <cell r="T105">
            <v>0</v>
          </cell>
          <cell r="U105" t="str">
            <v/>
          </cell>
          <cell r="V105" t="str">
            <v>PRO10</v>
          </cell>
          <cell r="W105">
            <v>0</v>
          </cell>
        </row>
        <row r="106">
          <cell r="C106" t="str">
            <v>EUE50Z08C38ACM</v>
          </cell>
          <cell r="D106" t="str">
            <v>PRINC</v>
          </cell>
          <cell r="E106" t="str">
            <v>00008</v>
          </cell>
          <cell r="F106" t="str">
            <v>PIÑONES PLASTICOS</v>
          </cell>
          <cell r="G106" t="str">
            <v>PRINCIPAL</v>
          </cell>
          <cell r="H106">
            <v>46004</v>
          </cell>
          <cell r="I106" t="str">
            <v>SALDO INICIAL</v>
          </cell>
          <cell r="J106">
            <v>18</v>
          </cell>
          <cell r="K106">
            <v>231.3</v>
          </cell>
          <cell r="L106">
            <v>12.85</v>
          </cell>
          <cell r="M106">
            <v>12.85</v>
          </cell>
          <cell r="N106" t="str">
            <v/>
          </cell>
          <cell r="O106" t="str">
            <v/>
          </cell>
          <cell r="P106" t="str">
            <v/>
          </cell>
          <cell r="Q106">
            <v>20</v>
          </cell>
          <cell r="R106" t="str">
            <v>UND</v>
          </cell>
          <cell r="S106">
            <v>0</v>
          </cell>
          <cell r="T106">
            <v>0</v>
          </cell>
          <cell r="U106" t="str">
            <v/>
          </cell>
          <cell r="V106" t="str">
            <v>PRO10</v>
          </cell>
          <cell r="W106">
            <v>0</v>
          </cell>
        </row>
        <row r="107">
          <cell r="C107" t="str">
            <v>EUE50Z10C38ACM</v>
          </cell>
          <cell r="D107" t="str">
            <v>PRINC</v>
          </cell>
          <cell r="E107" t="str">
            <v>00008</v>
          </cell>
          <cell r="F107" t="str">
            <v>PIÑONES PLASTICOS</v>
          </cell>
          <cell r="G107" t="str">
            <v>PRINCIPAL</v>
          </cell>
          <cell r="H107">
            <v>46004</v>
          </cell>
          <cell r="I107" t="str">
            <v>SALDO INICIAL</v>
          </cell>
          <cell r="J107">
            <v>0</v>
          </cell>
          <cell r="K107">
            <v>0</v>
          </cell>
          <cell r="L107">
            <v>16</v>
          </cell>
          <cell r="M107">
            <v>0</v>
          </cell>
          <cell r="N107" t="str">
            <v/>
          </cell>
          <cell r="O107" t="str">
            <v/>
          </cell>
          <cell r="P107" t="str">
            <v/>
          </cell>
          <cell r="Q107">
            <v>25</v>
          </cell>
          <cell r="R107" t="str">
            <v>UND</v>
          </cell>
          <cell r="S107">
            <v>0</v>
          </cell>
          <cell r="T107">
            <v>0</v>
          </cell>
          <cell r="U107" t="str">
            <v/>
          </cell>
          <cell r="V107" t="str">
            <v>PRO10</v>
          </cell>
          <cell r="W107">
            <v>0</v>
          </cell>
        </row>
        <row r="108">
          <cell r="C108" t="str">
            <v>EUE92Z12C38ACM</v>
          </cell>
          <cell r="D108" t="str">
            <v>PRINC</v>
          </cell>
          <cell r="E108" t="str">
            <v>00008</v>
          </cell>
          <cell r="F108" t="str">
            <v>PIÑONES PLASTICOS</v>
          </cell>
          <cell r="G108" t="str">
            <v>PRINCIPAL</v>
          </cell>
          <cell r="H108">
            <v>46004</v>
          </cell>
          <cell r="I108" t="str">
            <v>SALDO INICIAL</v>
          </cell>
          <cell r="J108">
            <v>15</v>
          </cell>
          <cell r="K108">
            <v>174.15</v>
          </cell>
          <cell r="L108">
            <v>11.61</v>
          </cell>
          <cell r="M108">
            <v>11.61</v>
          </cell>
          <cell r="N108" t="str">
            <v/>
          </cell>
          <cell r="O108" t="str">
            <v/>
          </cell>
          <cell r="P108" t="str">
            <v/>
          </cell>
          <cell r="Q108">
            <v>18</v>
          </cell>
          <cell r="R108" t="str">
            <v>UND</v>
          </cell>
          <cell r="S108">
            <v>0</v>
          </cell>
          <cell r="T108">
            <v>0</v>
          </cell>
          <cell r="U108" t="str">
            <v/>
          </cell>
          <cell r="V108" t="str">
            <v>PRO10</v>
          </cell>
          <cell r="W108">
            <v>0</v>
          </cell>
        </row>
        <row r="109">
          <cell r="C109" t="str">
            <v>EUE92Z16C38ACM</v>
          </cell>
          <cell r="D109" t="str">
            <v>PRINC</v>
          </cell>
          <cell r="E109" t="str">
            <v>00008</v>
          </cell>
          <cell r="F109" t="str">
            <v>PIÑONES PLASTICOS</v>
          </cell>
          <cell r="G109" t="str">
            <v>PRINCIPAL</v>
          </cell>
          <cell r="H109">
            <v>46004</v>
          </cell>
          <cell r="I109" t="str">
            <v>SALDO INICIAL</v>
          </cell>
          <cell r="J109">
            <v>30</v>
          </cell>
          <cell r="K109">
            <v>456.3</v>
          </cell>
          <cell r="L109">
            <v>0</v>
          </cell>
          <cell r="M109">
            <v>15.21</v>
          </cell>
          <cell r="N109" t="str">
            <v/>
          </cell>
          <cell r="O109" t="str">
            <v/>
          </cell>
          <cell r="P109" t="str">
            <v/>
          </cell>
          <cell r="Q109">
            <v>25</v>
          </cell>
          <cell r="R109" t="str">
            <v>UND</v>
          </cell>
          <cell r="S109">
            <v>0</v>
          </cell>
          <cell r="T109">
            <v>0</v>
          </cell>
          <cell r="U109" t="str">
            <v/>
          </cell>
          <cell r="V109" t="str">
            <v>PRO10</v>
          </cell>
          <cell r="W109">
            <v>0</v>
          </cell>
        </row>
        <row r="110">
          <cell r="C110" t="str">
            <v>EUE93Z11C38ACM</v>
          </cell>
          <cell r="D110" t="str">
            <v>PRINC</v>
          </cell>
          <cell r="E110" t="str">
            <v>00008</v>
          </cell>
          <cell r="F110" t="str">
            <v>PIÑONES PLASTICOS</v>
          </cell>
          <cell r="G110" t="str">
            <v>PRINCIPAL</v>
          </cell>
          <cell r="H110">
            <v>46004</v>
          </cell>
          <cell r="I110" t="str">
            <v>SALDO INICIAL</v>
          </cell>
          <cell r="J110">
            <v>0</v>
          </cell>
          <cell r="K110">
            <v>0</v>
          </cell>
          <cell r="L110">
            <v>11.844203</v>
          </cell>
          <cell r="M110">
            <v>0</v>
          </cell>
          <cell r="N110" t="str">
            <v/>
          </cell>
          <cell r="O110" t="str">
            <v/>
          </cell>
          <cell r="P110" t="str">
            <v/>
          </cell>
          <cell r="Q110">
            <v>18</v>
          </cell>
          <cell r="R110" t="str">
            <v>UND</v>
          </cell>
          <cell r="S110">
            <v>0</v>
          </cell>
          <cell r="T110">
            <v>0</v>
          </cell>
          <cell r="U110" t="str">
            <v/>
          </cell>
          <cell r="V110" t="str">
            <v>PRO10</v>
          </cell>
          <cell r="W110">
            <v>0</v>
          </cell>
        </row>
        <row r="111">
          <cell r="C111" t="str">
            <v>EUE93Z11C38PPA</v>
          </cell>
          <cell r="D111" t="str">
            <v>PRINC</v>
          </cell>
          <cell r="E111" t="str">
            <v>00008</v>
          </cell>
          <cell r="F111" t="str">
            <v>PIÑONES PLASTICOS</v>
          </cell>
          <cell r="G111" t="str">
            <v>PRINCIPAL</v>
          </cell>
          <cell r="H111">
            <v>46004</v>
          </cell>
          <cell r="I111" t="str">
            <v>SALDO INICIAL</v>
          </cell>
          <cell r="J111">
            <v>12</v>
          </cell>
          <cell r="K111">
            <v>129.6</v>
          </cell>
          <cell r="L111">
            <v>10.8</v>
          </cell>
          <cell r="M111">
            <v>10.8</v>
          </cell>
          <cell r="N111" t="str">
            <v/>
          </cell>
          <cell r="O111" t="str">
            <v/>
          </cell>
          <cell r="P111" t="str">
            <v/>
          </cell>
          <cell r="Q111">
            <v>17</v>
          </cell>
          <cell r="R111" t="str">
            <v>UND</v>
          </cell>
          <cell r="S111">
            <v>0</v>
          </cell>
          <cell r="T111">
            <v>0</v>
          </cell>
          <cell r="U111" t="str">
            <v/>
          </cell>
          <cell r="V111" t="str">
            <v>PRO10</v>
          </cell>
          <cell r="W111">
            <v>0</v>
          </cell>
        </row>
        <row r="112">
          <cell r="C112" t="str">
            <v>RECMT028152106</v>
          </cell>
          <cell r="D112" t="str">
            <v>PRINC</v>
          </cell>
          <cell r="E112" t="str">
            <v>00008</v>
          </cell>
          <cell r="F112" t="str">
            <v>PIÑONES PLASTICOS</v>
          </cell>
          <cell r="G112" t="str">
            <v>PRINCIPAL</v>
          </cell>
          <cell r="H112">
            <v>46004</v>
          </cell>
          <cell r="I112" t="str">
            <v>SALDO INICIAL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 t="str">
            <v/>
          </cell>
          <cell r="O112" t="str">
            <v/>
          </cell>
          <cell r="P112" t="str">
            <v/>
          </cell>
          <cell r="Q112">
            <v>25</v>
          </cell>
          <cell r="R112" t="str">
            <v>UND</v>
          </cell>
          <cell r="S112">
            <v>0</v>
          </cell>
          <cell r="T112">
            <v>0</v>
          </cell>
          <cell r="U112" t="str">
            <v/>
          </cell>
          <cell r="V112" t="str">
            <v>PRO10</v>
          </cell>
          <cell r="W112">
            <v>0</v>
          </cell>
        </row>
        <row r="113">
          <cell r="C113" t="str">
            <v>RECMT028152102</v>
          </cell>
          <cell r="D113" t="str">
            <v>PRINC</v>
          </cell>
          <cell r="E113" t="str">
            <v>00008</v>
          </cell>
          <cell r="F113" t="str">
            <v>PIÑONES PLASTICOS</v>
          </cell>
          <cell r="G113" t="str">
            <v>PRINCIPAL</v>
          </cell>
          <cell r="H113">
            <v>46004</v>
          </cell>
          <cell r="I113" t="str">
            <v>SALDO INICIAL</v>
          </cell>
          <cell r="J113">
            <v>10</v>
          </cell>
          <cell r="K113">
            <v>147.30000000000001</v>
          </cell>
          <cell r="L113">
            <v>14.73</v>
          </cell>
          <cell r="M113">
            <v>14.73</v>
          </cell>
          <cell r="N113" t="str">
            <v/>
          </cell>
          <cell r="O113" t="str">
            <v/>
          </cell>
          <cell r="P113" t="str">
            <v/>
          </cell>
          <cell r="Q113">
            <v>25</v>
          </cell>
          <cell r="R113" t="str">
            <v>UND</v>
          </cell>
          <cell r="S113">
            <v>0</v>
          </cell>
          <cell r="T113">
            <v>0</v>
          </cell>
          <cell r="U113" t="str">
            <v/>
          </cell>
          <cell r="V113" t="str">
            <v>PRO10</v>
          </cell>
          <cell r="W113">
            <v>0</v>
          </cell>
        </row>
        <row r="114">
          <cell r="C114" t="str">
            <v>RECMT028152306</v>
          </cell>
          <cell r="D114" t="str">
            <v>PRINC</v>
          </cell>
          <cell r="E114" t="str">
            <v>00008</v>
          </cell>
          <cell r="F114" t="str">
            <v>PIÑONES PLASTICOS</v>
          </cell>
          <cell r="G114" t="str">
            <v>PRINCIPAL</v>
          </cell>
          <cell r="H114">
            <v>46004</v>
          </cell>
          <cell r="I114" t="str">
            <v>SALDO INICIAL</v>
          </cell>
          <cell r="J114">
            <v>0</v>
          </cell>
          <cell r="K114">
            <v>0</v>
          </cell>
          <cell r="L114">
            <v>16.954706000000002</v>
          </cell>
          <cell r="M114">
            <v>0</v>
          </cell>
          <cell r="N114" t="str">
            <v/>
          </cell>
          <cell r="O114" t="str">
            <v/>
          </cell>
          <cell r="P114" t="str">
            <v/>
          </cell>
          <cell r="Q114">
            <v>26.5</v>
          </cell>
          <cell r="R114" t="str">
            <v>UND</v>
          </cell>
          <cell r="S114">
            <v>0</v>
          </cell>
          <cell r="T114">
            <v>0</v>
          </cell>
          <cell r="U114" t="str">
            <v/>
          </cell>
          <cell r="V114" t="str">
            <v>PRO10</v>
          </cell>
          <cell r="W114">
            <v>0</v>
          </cell>
        </row>
        <row r="115">
          <cell r="C115" t="str">
            <v>RECMT028152502</v>
          </cell>
          <cell r="D115" t="str">
            <v>PRINC</v>
          </cell>
          <cell r="E115" t="str">
            <v>00008</v>
          </cell>
          <cell r="F115" t="str">
            <v>PIÑONES PLASTICOS</v>
          </cell>
          <cell r="G115" t="str">
            <v>PRINCIPAL</v>
          </cell>
          <cell r="H115">
            <v>46004</v>
          </cell>
          <cell r="I115" t="str">
            <v>SALDO INICIAL</v>
          </cell>
          <cell r="J115">
            <v>4</v>
          </cell>
          <cell r="K115">
            <v>54.444445000000002</v>
          </cell>
          <cell r="L115">
            <v>13.611110999999999</v>
          </cell>
          <cell r="M115">
            <v>13.61111125</v>
          </cell>
          <cell r="N115" t="str">
            <v/>
          </cell>
          <cell r="O115" t="str">
            <v/>
          </cell>
          <cell r="P115" t="str">
            <v/>
          </cell>
          <cell r="Q115">
            <v>28</v>
          </cell>
          <cell r="R115" t="str">
            <v>UND</v>
          </cell>
          <cell r="S115">
            <v>0</v>
          </cell>
          <cell r="T115">
            <v>0</v>
          </cell>
          <cell r="U115" t="str">
            <v/>
          </cell>
          <cell r="V115" t="str">
            <v>PRO10</v>
          </cell>
          <cell r="W115">
            <v>0</v>
          </cell>
        </row>
        <row r="116">
          <cell r="C116" t="str">
            <v>RECMT028152505</v>
          </cell>
          <cell r="D116" t="str">
            <v>PRINC</v>
          </cell>
          <cell r="E116" t="str">
            <v>00008</v>
          </cell>
          <cell r="F116" t="str">
            <v>PIÑONES PLASTICOS</v>
          </cell>
          <cell r="G116" t="str">
            <v>PRINCIPAL</v>
          </cell>
          <cell r="H116">
            <v>46004</v>
          </cell>
          <cell r="I116" t="str">
            <v>SALDO INICIAL</v>
          </cell>
          <cell r="J116">
            <v>7</v>
          </cell>
          <cell r="K116">
            <v>118.23</v>
          </cell>
          <cell r="L116">
            <v>12.981904999999999</v>
          </cell>
          <cell r="M116">
            <v>16.89</v>
          </cell>
          <cell r="N116" t="str">
            <v/>
          </cell>
          <cell r="O116" t="str">
            <v/>
          </cell>
          <cell r="P116" t="str">
            <v/>
          </cell>
          <cell r="Q116">
            <v>0</v>
          </cell>
          <cell r="R116" t="str">
            <v>UND</v>
          </cell>
          <cell r="S116">
            <v>0</v>
          </cell>
          <cell r="T116">
            <v>0</v>
          </cell>
          <cell r="U116" t="str">
            <v/>
          </cell>
          <cell r="V116" t="str">
            <v>PRO10</v>
          </cell>
          <cell r="W116">
            <v>0</v>
          </cell>
        </row>
        <row r="117">
          <cell r="C117" t="str">
            <v>RECMT028202106</v>
          </cell>
          <cell r="D117" t="str">
            <v>PRINC</v>
          </cell>
          <cell r="E117" t="str">
            <v>00008</v>
          </cell>
          <cell r="F117" t="str">
            <v>PIÑONES PLASTICOS</v>
          </cell>
          <cell r="G117" t="str">
            <v>PRINCIPAL</v>
          </cell>
          <cell r="H117">
            <v>46004</v>
          </cell>
          <cell r="I117" t="str">
            <v>SALDO INICIAL</v>
          </cell>
          <cell r="J117">
            <v>3</v>
          </cell>
          <cell r="K117">
            <v>46.98</v>
          </cell>
          <cell r="L117">
            <v>15.66</v>
          </cell>
          <cell r="M117">
            <v>15.66</v>
          </cell>
          <cell r="N117" t="str">
            <v/>
          </cell>
          <cell r="O117" t="str">
            <v/>
          </cell>
          <cell r="P117" t="str">
            <v/>
          </cell>
          <cell r="Q117">
            <v>25</v>
          </cell>
          <cell r="R117" t="str">
            <v>UND</v>
          </cell>
          <cell r="S117">
            <v>0</v>
          </cell>
          <cell r="T117">
            <v>0</v>
          </cell>
          <cell r="U117" t="str">
            <v/>
          </cell>
          <cell r="V117" t="str">
            <v>PRO10</v>
          </cell>
          <cell r="W117">
            <v>0</v>
          </cell>
        </row>
        <row r="118">
          <cell r="C118" t="str">
            <v>RECMT028202101</v>
          </cell>
          <cell r="D118" t="str">
            <v>PRINC</v>
          </cell>
          <cell r="E118" t="str">
            <v>00008</v>
          </cell>
          <cell r="F118" t="str">
            <v>PIÑONES PLASTICOS</v>
          </cell>
          <cell r="G118" t="str">
            <v>PRINCIPAL</v>
          </cell>
          <cell r="H118">
            <v>46004</v>
          </cell>
          <cell r="I118" t="str">
            <v>SALDO INICIAL</v>
          </cell>
          <cell r="J118">
            <v>2</v>
          </cell>
          <cell r="K118">
            <v>31.34</v>
          </cell>
          <cell r="L118">
            <v>15.67</v>
          </cell>
          <cell r="M118">
            <v>15.67</v>
          </cell>
          <cell r="N118" t="str">
            <v/>
          </cell>
          <cell r="O118" t="str">
            <v/>
          </cell>
          <cell r="P118" t="str">
            <v/>
          </cell>
          <cell r="Q118">
            <v>25</v>
          </cell>
          <cell r="R118" t="str">
            <v>UND</v>
          </cell>
          <cell r="S118">
            <v>0</v>
          </cell>
          <cell r="T118">
            <v>0</v>
          </cell>
          <cell r="U118" t="str">
            <v/>
          </cell>
          <cell r="V118" t="str">
            <v>PRO10</v>
          </cell>
          <cell r="W118">
            <v>0</v>
          </cell>
        </row>
        <row r="119">
          <cell r="C119" t="str">
            <v>RECMT028202103</v>
          </cell>
          <cell r="D119" t="str">
            <v>PRINC</v>
          </cell>
          <cell r="E119" t="str">
            <v>00008</v>
          </cell>
          <cell r="F119" t="str">
            <v>PIÑONES PLASTICOS</v>
          </cell>
          <cell r="G119" t="str">
            <v>PRINCIPAL</v>
          </cell>
          <cell r="H119">
            <v>46004</v>
          </cell>
          <cell r="I119" t="str">
            <v>SALDO INICIAL</v>
          </cell>
          <cell r="J119">
            <v>13</v>
          </cell>
          <cell r="K119">
            <v>178.68</v>
          </cell>
          <cell r="L119">
            <v>13.96</v>
          </cell>
          <cell r="M119">
            <v>13.744615384999999</v>
          </cell>
          <cell r="N119" t="str">
            <v/>
          </cell>
          <cell r="O119" t="str">
            <v/>
          </cell>
          <cell r="P119" t="str">
            <v/>
          </cell>
          <cell r="Q119">
            <v>25</v>
          </cell>
          <cell r="R119" t="str">
            <v>UND</v>
          </cell>
          <cell r="S119">
            <v>0</v>
          </cell>
          <cell r="T119">
            <v>0</v>
          </cell>
          <cell r="U119" t="str">
            <v/>
          </cell>
          <cell r="V119" t="str">
            <v>PRO10</v>
          </cell>
          <cell r="W119">
            <v>0</v>
          </cell>
        </row>
        <row r="120">
          <cell r="C120" t="str">
            <v>RECMT028202302</v>
          </cell>
          <cell r="D120" t="str">
            <v>PRINC</v>
          </cell>
          <cell r="E120" t="str">
            <v>00008</v>
          </cell>
          <cell r="F120" t="str">
            <v>PIÑONES PLASTICOS</v>
          </cell>
          <cell r="G120" t="str">
            <v>PRINCIPAL</v>
          </cell>
          <cell r="H120">
            <v>46004</v>
          </cell>
          <cell r="I120" t="str">
            <v>SALDO INICIAL</v>
          </cell>
          <cell r="J120">
            <v>5</v>
          </cell>
          <cell r="K120">
            <v>71.098149000000006</v>
          </cell>
          <cell r="L120">
            <v>14.219628999999999</v>
          </cell>
          <cell r="M120">
            <v>14.2196298</v>
          </cell>
          <cell r="N120" t="str">
            <v/>
          </cell>
          <cell r="O120" t="str">
            <v/>
          </cell>
          <cell r="P120" t="str">
            <v/>
          </cell>
          <cell r="Q120">
            <v>26.5</v>
          </cell>
          <cell r="R120" t="str">
            <v>UND</v>
          </cell>
          <cell r="S120">
            <v>0</v>
          </cell>
          <cell r="T120">
            <v>0</v>
          </cell>
          <cell r="U120" t="str">
            <v/>
          </cell>
          <cell r="V120" t="str">
            <v>PRO10</v>
          </cell>
          <cell r="W120">
            <v>0</v>
          </cell>
        </row>
        <row r="121">
          <cell r="C121" t="str">
            <v>RECMT028202502</v>
          </cell>
          <cell r="D121" t="str">
            <v>PRINC</v>
          </cell>
          <cell r="E121" t="str">
            <v>00008</v>
          </cell>
          <cell r="F121" t="str">
            <v>PIÑONES PLASTICOS</v>
          </cell>
          <cell r="G121" t="str">
            <v>PRINCIPAL</v>
          </cell>
          <cell r="H121">
            <v>46004</v>
          </cell>
          <cell r="I121" t="str">
            <v>SALDO INICIAL</v>
          </cell>
          <cell r="J121">
            <v>4</v>
          </cell>
          <cell r="K121">
            <v>59.83</v>
          </cell>
          <cell r="L121">
            <v>14.9575</v>
          </cell>
          <cell r="M121">
            <v>14.9575</v>
          </cell>
          <cell r="N121" t="str">
            <v/>
          </cell>
          <cell r="O121" t="str">
            <v/>
          </cell>
          <cell r="P121" t="str">
            <v/>
          </cell>
          <cell r="Q121">
            <v>28</v>
          </cell>
          <cell r="R121" t="str">
            <v>UND</v>
          </cell>
          <cell r="S121">
            <v>0</v>
          </cell>
          <cell r="T121">
            <v>0</v>
          </cell>
          <cell r="U121" t="str">
            <v/>
          </cell>
          <cell r="V121" t="str">
            <v>PRO10</v>
          </cell>
          <cell r="W121">
            <v>0</v>
          </cell>
        </row>
        <row r="122">
          <cell r="C122" t="str">
            <v>RECMT028812501</v>
          </cell>
          <cell r="D122" t="str">
            <v>PRINC</v>
          </cell>
          <cell r="E122" t="str">
            <v>00008</v>
          </cell>
          <cell r="F122" t="str">
            <v>PIÑONES PLASTICOS</v>
          </cell>
          <cell r="G122" t="str">
            <v>PRINCIPAL</v>
          </cell>
          <cell r="H122">
            <v>46004</v>
          </cell>
          <cell r="I122" t="str">
            <v>SALDO INICIAL</v>
          </cell>
          <cell r="J122">
            <v>7</v>
          </cell>
          <cell r="K122">
            <v>107.05</v>
          </cell>
          <cell r="L122">
            <v>15</v>
          </cell>
          <cell r="M122">
            <v>15.292857143000001</v>
          </cell>
          <cell r="N122" t="str">
            <v/>
          </cell>
          <cell r="O122" t="str">
            <v/>
          </cell>
          <cell r="P122" t="str">
            <v/>
          </cell>
          <cell r="Q122">
            <v>29</v>
          </cell>
          <cell r="R122" t="str">
            <v>UND</v>
          </cell>
          <cell r="S122">
            <v>0</v>
          </cell>
          <cell r="T122">
            <v>0</v>
          </cell>
          <cell r="U122" t="str">
            <v/>
          </cell>
          <cell r="V122" t="str">
            <v>PRO10</v>
          </cell>
          <cell r="W122">
            <v>0</v>
          </cell>
        </row>
        <row r="123">
          <cell r="C123" t="str">
            <v>RECMTS048152125</v>
          </cell>
          <cell r="D123" t="str">
            <v>PRINC</v>
          </cell>
          <cell r="E123" t="str">
            <v>00008</v>
          </cell>
          <cell r="F123" t="str">
            <v>PIÑONES PLASTICOS</v>
          </cell>
          <cell r="G123" t="str">
            <v>PRINCIPAL</v>
          </cell>
          <cell r="H123">
            <v>46004</v>
          </cell>
          <cell r="I123" t="str">
            <v>SALDO INICIAL</v>
          </cell>
          <cell r="J123">
            <v>6</v>
          </cell>
          <cell r="K123">
            <v>60.24</v>
          </cell>
          <cell r="L123">
            <v>10.039999999999999</v>
          </cell>
          <cell r="M123">
            <v>10.039999999999999</v>
          </cell>
          <cell r="N123" t="str">
            <v/>
          </cell>
          <cell r="O123" t="str">
            <v/>
          </cell>
          <cell r="P123" t="str">
            <v/>
          </cell>
          <cell r="Q123">
            <v>20</v>
          </cell>
          <cell r="R123" t="str">
            <v>UND</v>
          </cell>
          <cell r="S123">
            <v>0</v>
          </cell>
          <cell r="T123">
            <v>0</v>
          </cell>
          <cell r="U123" t="str">
            <v/>
          </cell>
          <cell r="V123" t="str">
            <v>PRO10</v>
          </cell>
          <cell r="W123">
            <v>0</v>
          </cell>
        </row>
        <row r="124">
          <cell r="C124" t="str">
            <v>RECMTS048152330</v>
          </cell>
          <cell r="D124" t="str">
            <v>PRINC</v>
          </cell>
          <cell r="E124" t="str">
            <v>00008</v>
          </cell>
          <cell r="F124" t="str">
            <v>PIÑONES PLASTICOS</v>
          </cell>
          <cell r="G124" t="str">
            <v>PRINCIPAL</v>
          </cell>
          <cell r="H124">
            <v>46004</v>
          </cell>
          <cell r="I124" t="str">
            <v>SALDO INICIAL</v>
          </cell>
          <cell r="J124">
            <v>3</v>
          </cell>
          <cell r="K124">
            <v>32.97</v>
          </cell>
          <cell r="L124">
            <v>10.99</v>
          </cell>
          <cell r="M124">
            <v>10.99</v>
          </cell>
          <cell r="N124" t="str">
            <v/>
          </cell>
          <cell r="O124" t="str">
            <v/>
          </cell>
          <cell r="P124" t="str">
            <v/>
          </cell>
          <cell r="Q124">
            <v>21.5</v>
          </cell>
          <cell r="R124" t="str">
            <v>UND</v>
          </cell>
          <cell r="S124">
            <v>0</v>
          </cell>
          <cell r="T124">
            <v>0</v>
          </cell>
          <cell r="U124" t="str">
            <v/>
          </cell>
          <cell r="V124" t="str">
            <v>PRO10</v>
          </cell>
          <cell r="W124">
            <v>0</v>
          </cell>
        </row>
        <row r="125">
          <cell r="C125" t="str">
            <v>RE3120PP078</v>
          </cell>
          <cell r="D125" t="str">
            <v>PRINC</v>
          </cell>
          <cell r="E125" t="str">
            <v>00010</v>
          </cell>
          <cell r="F125" t="str">
            <v>BANDAS MODULARES</v>
          </cell>
          <cell r="G125" t="str">
            <v>PRINCIPAL</v>
          </cell>
          <cell r="H125">
            <v>46004</v>
          </cell>
          <cell r="I125" t="str">
            <v>SALDO INICIAL</v>
          </cell>
          <cell r="J125">
            <v>1.06</v>
          </cell>
          <cell r="K125">
            <v>260.64999999999998</v>
          </cell>
          <cell r="L125">
            <v>0</v>
          </cell>
          <cell r="M125">
            <v>245.896226415</v>
          </cell>
          <cell r="N125" t="str">
            <v/>
          </cell>
          <cell r="O125" t="str">
            <v/>
          </cell>
          <cell r="P125" t="str">
            <v/>
          </cell>
          <cell r="Q125">
            <v>0</v>
          </cell>
          <cell r="R125" t="str">
            <v>MTS</v>
          </cell>
          <cell r="S125">
            <v>0</v>
          </cell>
          <cell r="T125">
            <v>0</v>
          </cell>
          <cell r="U125" t="str">
            <v/>
          </cell>
          <cell r="V125" t="str">
            <v>PRO10</v>
          </cell>
          <cell r="W125">
            <v>0</v>
          </cell>
        </row>
        <row r="126">
          <cell r="C126" t="str">
            <v>EUE30FTPPB60</v>
          </cell>
          <cell r="D126" t="str">
            <v>PRINC</v>
          </cell>
          <cell r="E126" t="str">
            <v>00010</v>
          </cell>
          <cell r="F126" t="str">
            <v>BANDAS MODULARES</v>
          </cell>
          <cell r="G126" t="str">
            <v>PRINCIPAL</v>
          </cell>
          <cell r="H126">
            <v>46004</v>
          </cell>
          <cell r="I126" t="str">
            <v>SALDO INICIAL</v>
          </cell>
          <cell r="J126">
            <v>0</v>
          </cell>
          <cell r="K126">
            <v>-227.81</v>
          </cell>
          <cell r="L126">
            <v>67.2</v>
          </cell>
          <cell r="M126">
            <v>0</v>
          </cell>
          <cell r="N126" t="str">
            <v/>
          </cell>
          <cell r="O126" t="str">
            <v/>
          </cell>
          <cell r="P126" t="str">
            <v/>
          </cell>
          <cell r="Q126">
            <v>0</v>
          </cell>
          <cell r="R126" t="str">
            <v>MT</v>
          </cell>
          <cell r="S126">
            <v>0</v>
          </cell>
          <cell r="T126">
            <v>0</v>
          </cell>
          <cell r="U126" t="str">
            <v/>
          </cell>
          <cell r="V126" t="str">
            <v>PRO10</v>
          </cell>
          <cell r="W126">
            <v>0</v>
          </cell>
        </row>
        <row r="127">
          <cell r="C127" t="str">
            <v>REP915KG/000</v>
          </cell>
          <cell r="D127" t="str">
            <v>PRINC</v>
          </cell>
          <cell r="E127" t="str">
            <v>00011</v>
          </cell>
          <cell r="F127" t="str">
            <v>CADENAS TABLE TOP SS</v>
          </cell>
          <cell r="G127" t="str">
            <v>PRINCIPAL</v>
          </cell>
          <cell r="H127">
            <v>46004</v>
          </cell>
          <cell r="I127" t="str">
            <v>SALDO INICIAL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 t="str">
            <v/>
          </cell>
          <cell r="O127" t="str">
            <v/>
          </cell>
          <cell r="P127" t="str">
            <v/>
          </cell>
          <cell r="Q127">
            <v>137</v>
          </cell>
          <cell r="R127" t="str">
            <v>ROL</v>
          </cell>
          <cell r="S127">
            <v>0</v>
          </cell>
          <cell r="T127">
            <v>0</v>
          </cell>
          <cell r="U127" t="str">
            <v/>
          </cell>
          <cell r="V127" t="str">
            <v>PRO10</v>
          </cell>
          <cell r="W127">
            <v>0</v>
          </cell>
        </row>
        <row r="128">
          <cell r="C128" t="str">
            <v>REP915KL/000</v>
          </cell>
          <cell r="D128" t="str">
            <v>PRINC</v>
          </cell>
          <cell r="E128" t="str">
            <v>00011</v>
          </cell>
          <cell r="F128" t="str">
            <v>CADENAS TABLE TOP SS</v>
          </cell>
          <cell r="G128" t="str">
            <v>PRINCIPAL</v>
          </cell>
          <cell r="H128">
            <v>46004</v>
          </cell>
          <cell r="I128" t="str">
            <v>SALDO INICIAL</v>
          </cell>
          <cell r="J128">
            <v>3</v>
          </cell>
          <cell r="K128">
            <v>480.45</v>
          </cell>
          <cell r="L128">
            <v>160.15</v>
          </cell>
          <cell r="M128">
            <v>160.15</v>
          </cell>
          <cell r="N128" t="str">
            <v/>
          </cell>
          <cell r="O128" t="str">
            <v/>
          </cell>
          <cell r="P128" t="str">
            <v/>
          </cell>
          <cell r="Q128">
            <v>191.7</v>
          </cell>
          <cell r="R128" t="str">
            <v>ROL</v>
          </cell>
          <cell r="S128">
            <v>0</v>
          </cell>
          <cell r="T128">
            <v>0</v>
          </cell>
          <cell r="U128" t="str">
            <v/>
          </cell>
          <cell r="V128" t="str">
            <v>PRO10</v>
          </cell>
          <cell r="W128">
            <v>0</v>
          </cell>
        </row>
        <row r="129">
          <cell r="C129" t="str">
            <v>LBRC40-1/2</v>
          </cell>
          <cell r="D129" t="str">
            <v>PRINC</v>
          </cell>
          <cell r="E129" t="str">
            <v>00013</v>
          </cell>
          <cell r="F129" t="str">
            <v>CADENAS DE TRANSMISION</v>
          </cell>
          <cell r="G129" t="str">
            <v>PRINCIPAL</v>
          </cell>
          <cell r="H129">
            <v>46004</v>
          </cell>
          <cell r="I129" t="str">
            <v>SALDO INICIAL</v>
          </cell>
          <cell r="J129">
            <v>42</v>
          </cell>
          <cell r="K129">
            <v>45.492403000000003</v>
          </cell>
          <cell r="L129">
            <v>1.0831519999999999</v>
          </cell>
          <cell r="M129">
            <v>1.083152452</v>
          </cell>
          <cell r="N129" t="str">
            <v/>
          </cell>
          <cell r="O129" t="str">
            <v/>
          </cell>
          <cell r="P129" t="str">
            <v/>
          </cell>
          <cell r="Q129">
            <v>2.5</v>
          </cell>
          <cell r="R129" t="str">
            <v>UND</v>
          </cell>
          <cell r="S129">
            <v>0</v>
          </cell>
          <cell r="T129">
            <v>0</v>
          </cell>
          <cell r="U129" t="str">
            <v/>
          </cell>
          <cell r="V129" t="str">
            <v>PRO10</v>
          </cell>
          <cell r="W129">
            <v>0</v>
          </cell>
        </row>
        <row r="130">
          <cell r="C130" t="str">
            <v>LBRC50-1/2</v>
          </cell>
          <cell r="D130" t="str">
            <v>PRINC</v>
          </cell>
          <cell r="E130" t="str">
            <v>00013</v>
          </cell>
          <cell r="F130" t="str">
            <v>CADENAS DE TRANSMISION</v>
          </cell>
          <cell r="G130" t="str">
            <v>PRINCIPAL</v>
          </cell>
          <cell r="H130">
            <v>46004</v>
          </cell>
          <cell r="I130" t="str">
            <v>SALDO INICIAL</v>
          </cell>
          <cell r="J130">
            <v>50</v>
          </cell>
          <cell r="K130">
            <v>85.5</v>
          </cell>
          <cell r="L130">
            <v>0</v>
          </cell>
          <cell r="M130">
            <v>1.71</v>
          </cell>
          <cell r="N130" t="str">
            <v/>
          </cell>
          <cell r="O130" t="str">
            <v/>
          </cell>
          <cell r="P130" t="str">
            <v/>
          </cell>
          <cell r="Q130">
            <v>3.2</v>
          </cell>
          <cell r="R130" t="str">
            <v>UND</v>
          </cell>
          <cell r="S130">
            <v>0</v>
          </cell>
          <cell r="T130">
            <v>0</v>
          </cell>
          <cell r="U130" t="str">
            <v/>
          </cell>
          <cell r="V130" t="str">
            <v>PRO10</v>
          </cell>
          <cell r="W130">
            <v>0</v>
          </cell>
        </row>
        <row r="131">
          <cell r="C131" t="str">
            <v>LBMC40-1SS</v>
          </cell>
          <cell r="D131" t="str">
            <v>PRINC</v>
          </cell>
          <cell r="E131" t="str">
            <v>00013</v>
          </cell>
          <cell r="F131" t="str">
            <v>CADENAS DE TRANSMISION</v>
          </cell>
          <cell r="G131" t="str">
            <v>PRINCIPAL</v>
          </cell>
          <cell r="H131">
            <v>46004</v>
          </cell>
          <cell r="I131" t="str">
            <v>SALDO INICIAL</v>
          </cell>
          <cell r="J131">
            <v>17</v>
          </cell>
          <cell r="K131">
            <v>61.71</v>
          </cell>
          <cell r="L131">
            <v>3.63</v>
          </cell>
          <cell r="M131">
            <v>3.63</v>
          </cell>
          <cell r="N131" t="str">
            <v/>
          </cell>
          <cell r="O131" t="str">
            <v/>
          </cell>
          <cell r="P131" t="str">
            <v/>
          </cell>
          <cell r="Q131">
            <v>6.8</v>
          </cell>
          <cell r="R131" t="str">
            <v>UND</v>
          </cell>
          <cell r="S131">
            <v>0</v>
          </cell>
          <cell r="T131">
            <v>0</v>
          </cell>
          <cell r="U131" t="str">
            <v/>
          </cell>
          <cell r="V131" t="str">
            <v>PRO10</v>
          </cell>
          <cell r="W131">
            <v>0</v>
          </cell>
        </row>
        <row r="132">
          <cell r="C132" t="str">
            <v>LBMC50-1SS</v>
          </cell>
          <cell r="D132" t="str">
            <v>PRINC</v>
          </cell>
          <cell r="E132" t="str">
            <v>00013</v>
          </cell>
          <cell r="F132" t="str">
            <v>CADENAS DE TRANSMISION</v>
          </cell>
          <cell r="G132" t="str">
            <v>PRINCIPAL</v>
          </cell>
          <cell r="H132">
            <v>46004</v>
          </cell>
          <cell r="I132" t="str">
            <v>SALDO INICIAL</v>
          </cell>
          <cell r="J132">
            <v>58</v>
          </cell>
          <cell r="K132">
            <v>266.8</v>
          </cell>
          <cell r="L132">
            <v>4.5999999999999996</v>
          </cell>
          <cell r="M132">
            <v>4.5999999999999996</v>
          </cell>
          <cell r="N132" t="str">
            <v/>
          </cell>
          <cell r="O132" t="str">
            <v/>
          </cell>
          <cell r="P132" t="str">
            <v/>
          </cell>
          <cell r="Q132">
            <v>8.6999999999999993</v>
          </cell>
          <cell r="R132" t="str">
            <v>UND</v>
          </cell>
          <cell r="S132">
            <v>0</v>
          </cell>
          <cell r="T132">
            <v>0</v>
          </cell>
          <cell r="U132" t="str">
            <v/>
          </cell>
          <cell r="V132" t="str">
            <v>PRO10</v>
          </cell>
          <cell r="W132">
            <v>0</v>
          </cell>
        </row>
        <row r="133">
          <cell r="C133" t="str">
            <v>VE1/2CANSS50</v>
          </cell>
          <cell r="D133" t="str">
            <v>PRINC</v>
          </cell>
          <cell r="E133" t="str">
            <v>00013</v>
          </cell>
          <cell r="F133" t="str">
            <v>CADENAS DE TRANSMISION</v>
          </cell>
          <cell r="G133" t="str">
            <v>PRINCIPAL</v>
          </cell>
          <cell r="H133">
            <v>46004</v>
          </cell>
          <cell r="I133" t="str">
            <v>SALDO INICIAL</v>
          </cell>
          <cell r="J133">
            <v>10</v>
          </cell>
          <cell r="K133">
            <v>44.7</v>
          </cell>
          <cell r="L133">
            <v>4.47</v>
          </cell>
          <cell r="M133">
            <v>4.47</v>
          </cell>
          <cell r="N133" t="str">
            <v/>
          </cell>
          <cell r="O133" t="str">
            <v/>
          </cell>
          <cell r="P133" t="str">
            <v/>
          </cell>
          <cell r="Q133">
            <v>7.1</v>
          </cell>
          <cell r="R133" t="str">
            <v>UND</v>
          </cell>
          <cell r="S133">
            <v>0</v>
          </cell>
          <cell r="T133">
            <v>0</v>
          </cell>
          <cell r="U133" t="str">
            <v/>
          </cell>
          <cell r="V133" t="str">
            <v>PRO10</v>
          </cell>
          <cell r="W133">
            <v>0</v>
          </cell>
        </row>
        <row r="134">
          <cell r="C134" t="str">
            <v>LBMC60-1SS</v>
          </cell>
          <cell r="D134" t="str">
            <v>PRINC</v>
          </cell>
          <cell r="E134" t="str">
            <v>00013</v>
          </cell>
          <cell r="F134" t="str">
            <v>CADENAS DE TRANSMISION</v>
          </cell>
          <cell r="G134" t="str">
            <v>PRINCIPAL</v>
          </cell>
          <cell r="H134">
            <v>46004</v>
          </cell>
          <cell r="I134" t="str">
            <v>SALDO INICIAL</v>
          </cell>
          <cell r="J134">
            <v>30</v>
          </cell>
          <cell r="K134">
            <v>178.2</v>
          </cell>
          <cell r="L134">
            <v>5.94</v>
          </cell>
          <cell r="M134">
            <v>5.94</v>
          </cell>
          <cell r="N134" t="str">
            <v/>
          </cell>
          <cell r="O134" t="str">
            <v/>
          </cell>
          <cell r="P134" t="str">
            <v/>
          </cell>
          <cell r="Q134">
            <v>11.25</v>
          </cell>
          <cell r="R134" t="str">
            <v>UND</v>
          </cell>
          <cell r="S134">
            <v>0</v>
          </cell>
          <cell r="T134">
            <v>0</v>
          </cell>
          <cell r="U134" t="str">
            <v/>
          </cell>
          <cell r="V134" t="str">
            <v>PRO10</v>
          </cell>
          <cell r="W134">
            <v>0</v>
          </cell>
        </row>
        <row r="135">
          <cell r="C135" t="str">
            <v>LBRC50-1R</v>
          </cell>
          <cell r="D135" t="str">
            <v>PRINC</v>
          </cell>
          <cell r="E135" t="str">
            <v>00013</v>
          </cell>
          <cell r="F135" t="str">
            <v>CADENAS DE TRANSMISION</v>
          </cell>
          <cell r="G135" t="str">
            <v>PRINCIPAL</v>
          </cell>
          <cell r="H135">
            <v>46004</v>
          </cell>
          <cell r="I135" t="str">
            <v>SALDO INICIAL</v>
          </cell>
          <cell r="J135">
            <v>26</v>
          </cell>
          <cell r="K135">
            <v>1037.228386</v>
          </cell>
          <cell r="L135">
            <v>39.893399000000002</v>
          </cell>
          <cell r="M135">
            <v>39.893399461999998</v>
          </cell>
          <cell r="N135" t="str">
            <v/>
          </cell>
          <cell r="O135" t="str">
            <v/>
          </cell>
          <cell r="P135" t="str">
            <v/>
          </cell>
          <cell r="Q135">
            <v>67</v>
          </cell>
          <cell r="R135" t="str">
            <v>CJA</v>
          </cell>
          <cell r="S135">
            <v>0</v>
          </cell>
          <cell r="T135">
            <v>0</v>
          </cell>
          <cell r="U135" t="str">
            <v/>
          </cell>
          <cell r="V135" t="str">
            <v>PRO10</v>
          </cell>
          <cell r="W135">
            <v>0</v>
          </cell>
        </row>
        <row r="136">
          <cell r="C136" t="str">
            <v>LBRC40-1RSS</v>
          </cell>
          <cell r="D136" t="str">
            <v>PRINC</v>
          </cell>
          <cell r="E136" t="str">
            <v>00013</v>
          </cell>
          <cell r="F136" t="str">
            <v>CADENAS DE TRANSMISION</v>
          </cell>
          <cell r="G136" t="str">
            <v>PRINCIPAL</v>
          </cell>
          <cell r="H136">
            <v>46004</v>
          </cell>
          <cell r="I136" t="str">
            <v>SALDO INICIAL</v>
          </cell>
          <cell r="J136">
            <v>9</v>
          </cell>
          <cell r="K136">
            <v>1051.29</v>
          </cell>
          <cell r="L136">
            <v>116.81</v>
          </cell>
          <cell r="M136">
            <v>116.81</v>
          </cell>
          <cell r="N136" t="str">
            <v>PVP C/DSCTO $186</v>
          </cell>
          <cell r="O136" t="str">
            <v/>
          </cell>
          <cell r="P136" t="str">
            <v/>
          </cell>
          <cell r="Q136">
            <v>204</v>
          </cell>
          <cell r="R136" t="str">
            <v>CJA</v>
          </cell>
          <cell r="S136">
            <v>0</v>
          </cell>
          <cell r="T136">
            <v>0</v>
          </cell>
          <cell r="U136" t="str">
            <v/>
          </cell>
          <cell r="V136" t="str">
            <v>PRO10</v>
          </cell>
          <cell r="W136">
            <v>0</v>
          </cell>
        </row>
        <row r="137">
          <cell r="C137" t="str">
            <v>LBRC50-1RSS</v>
          </cell>
          <cell r="D137" t="str">
            <v>PRINC</v>
          </cell>
          <cell r="E137" t="str">
            <v>00013</v>
          </cell>
          <cell r="F137" t="str">
            <v>CADENAS DE TRANSMISION</v>
          </cell>
          <cell r="G137" t="str">
            <v>PRINCIPAL</v>
          </cell>
          <cell r="H137">
            <v>46004</v>
          </cell>
          <cell r="I137" t="str">
            <v>SALDO INICIAL</v>
          </cell>
          <cell r="J137">
            <v>32</v>
          </cell>
          <cell r="K137">
            <v>5838.61</v>
          </cell>
          <cell r="L137">
            <v>197.18</v>
          </cell>
          <cell r="M137">
            <v>182.45656249999999</v>
          </cell>
          <cell r="N137" t="str">
            <v/>
          </cell>
          <cell r="O137" t="str">
            <v/>
          </cell>
          <cell r="P137" t="str">
            <v/>
          </cell>
          <cell r="Q137">
            <v>305</v>
          </cell>
          <cell r="R137" t="str">
            <v>CJA</v>
          </cell>
          <cell r="S137">
            <v>0</v>
          </cell>
          <cell r="T137">
            <v>0</v>
          </cell>
          <cell r="U137" t="str">
            <v/>
          </cell>
          <cell r="V137" t="str">
            <v>PRO10</v>
          </cell>
          <cell r="W137">
            <v>0</v>
          </cell>
        </row>
        <row r="138">
          <cell r="C138" t="str">
            <v>VECADSS40</v>
          </cell>
          <cell r="D138" t="str">
            <v>PRINC</v>
          </cell>
          <cell r="E138" t="str">
            <v>00013</v>
          </cell>
          <cell r="F138" t="str">
            <v>CADENAS DE TRANSMISION</v>
          </cell>
          <cell r="G138" t="str">
            <v>PRINCIPAL</v>
          </cell>
          <cell r="H138">
            <v>46004</v>
          </cell>
          <cell r="I138" t="str">
            <v>SALDO INICIAL</v>
          </cell>
          <cell r="J138">
            <v>16</v>
          </cell>
          <cell r="K138">
            <v>932.18278299999997</v>
          </cell>
          <cell r="L138">
            <v>58.261425000000003</v>
          </cell>
          <cell r="M138">
            <v>58.261423938</v>
          </cell>
          <cell r="N138" t="str">
            <v/>
          </cell>
          <cell r="O138" t="str">
            <v/>
          </cell>
          <cell r="P138" t="str">
            <v/>
          </cell>
          <cell r="Q138">
            <v>95</v>
          </cell>
          <cell r="R138" t="str">
            <v>CJA</v>
          </cell>
          <cell r="S138">
            <v>0</v>
          </cell>
          <cell r="T138">
            <v>0</v>
          </cell>
          <cell r="U138" t="str">
            <v/>
          </cell>
          <cell r="V138" t="str">
            <v>PRO10</v>
          </cell>
          <cell r="W138">
            <v>0</v>
          </cell>
        </row>
        <row r="139">
          <cell r="C139" t="str">
            <v>VECADSS60</v>
          </cell>
          <cell r="D139" t="str">
            <v>PRINC</v>
          </cell>
          <cell r="E139" t="str">
            <v>00013</v>
          </cell>
          <cell r="F139" t="str">
            <v>CADENAS DE TRANSMISION</v>
          </cell>
          <cell r="G139" t="str">
            <v>PRINCIPAL</v>
          </cell>
          <cell r="H139">
            <v>46004</v>
          </cell>
          <cell r="I139" t="str">
            <v>SALDO INICIAL</v>
          </cell>
          <cell r="J139">
            <v>17</v>
          </cell>
          <cell r="K139">
            <v>2005.554764</v>
          </cell>
          <cell r="L139">
            <v>117.97381</v>
          </cell>
          <cell r="M139">
            <v>117.973809647</v>
          </cell>
          <cell r="N139" t="str">
            <v/>
          </cell>
          <cell r="O139" t="str">
            <v/>
          </cell>
          <cell r="P139" t="str">
            <v/>
          </cell>
          <cell r="Q139">
            <v>193</v>
          </cell>
          <cell r="R139" t="str">
            <v>CJA</v>
          </cell>
          <cell r="S139">
            <v>0</v>
          </cell>
          <cell r="T139">
            <v>0</v>
          </cell>
          <cell r="U139" t="str">
            <v/>
          </cell>
          <cell r="V139" t="str">
            <v>PRO10</v>
          </cell>
          <cell r="W139">
            <v>0</v>
          </cell>
        </row>
        <row r="140">
          <cell r="C140" t="str">
            <v>LBRC40-1</v>
          </cell>
          <cell r="D140" t="str">
            <v>PRINC</v>
          </cell>
          <cell r="E140" t="str">
            <v>00013</v>
          </cell>
          <cell r="F140" t="str">
            <v>CADENAS DE TRANSMISION</v>
          </cell>
          <cell r="G140" t="str">
            <v>PRINCIPAL</v>
          </cell>
          <cell r="H140">
            <v>46004</v>
          </cell>
          <cell r="I140" t="str">
            <v>SALDO INICIAL</v>
          </cell>
          <cell r="J140">
            <v>31</v>
          </cell>
          <cell r="K140">
            <v>29.76</v>
          </cell>
          <cell r="L140">
            <v>0.96</v>
          </cell>
          <cell r="M140">
            <v>0.96</v>
          </cell>
          <cell r="N140" t="str">
            <v/>
          </cell>
          <cell r="O140" t="str">
            <v/>
          </cell>
          <cell r="P140" t="str">
            <v/>
          </cell>
          <cell r="Q140">
            <v>1.9</v>
          </cell>
          <cell r="R140" t="str">
            <v>UND</v>
          </cell>
          <cell r="S140">
            <v>0</v>
          </cell>
          <cell r="T140">
            <v>0</v>
          </cell>
          <cell r="U140" t="str">
            <v/>
          </cell>
          <cell r="V140" t="str">
            <v>PRO10</v>
          </cell>
          <cell r="W140">
            <v>0</v>
          </cell>
        </row>
        <row r="141">
          <cell r="C141" t="str">
            <v>LBRC50-1</v>
          </cell>
          <cell r="D141" t="str">
            <v>PRINC</v>
          </cell>
          <cell r="E141" t="str">
            <v>00013</v>
          </cell>
          <cell r="F141" t="str">
            <v>CADENAS DE TRANSMISION</v>
          </cell>
          <cell r="G141" t="str">
            <v>PRINCIPAL</v>
          </cell>
          <cell r="H141">
            <v>46004</v>
          </cell>
          <cell r="I141" t="str">
            <v>SALDO INICIAL</v>
          </cell>
          <cell r="J141">
            <v>45</v>
          </cell>
          <cell r="K141">
            <v>51.975000000000001</v>
          </cell>
          <cell r="L141">
            <v>1.155</v>
          </cell>
          <cell r="M141">
            <v>1.155</v>
          </cell>
          <cell r="N141" t="str">
            <v/>
          </cell>
          <cell r="O141" t="str">
            <v/>
          </cell>
          <cell r="P141" t="str">
            <v/>
          </cell>
          <cell r="Q141">
            <v>2.1</v>
          </cell>
          <cell r="R141" t="str">
            <v>UND</v>
          </cell>
          <cell r="S141">
            <v>0</v>
          </cell>
          <cell r="T141">
            <v>0</v>
          </cell>
          <cell r="U141" t="str">
            <v/>
          </cell>
          <cell r="V141" t="str">
            <v>PRO10</v>
          </cell>
          <cell r="W141">
            <v>0</v>
          </cell>
        </row>
        <row r="142">
          <cell r="C142" t="str">
            <v>LBRC50-1SS</v>
          </cell>
          <cell r="D142" t="str">
            <v>PRINC</v>
          </cell>
          <cell r="E142" t="str">
            <v>00013</v>
          </cell>
          <cell r="F142" t="str">
            <v>CADENAS DE TRANSMISION</v>
          </cell>
          <cell r="G142" t="str">
            <v>PRINCIPAL</v>
          </cell>
          <cell r="H142">
            <v>46004</v>
          </cell>
          <cell r="I142" t="str">
            <v>SALDO INICIAL</v>
          </cell>
          <cell r="J142">
            <v>19</v>
          </cell>
          <cell r="K142">
            <v>63.539755</v>
          </cell>
          <cell r="L142">
            <v>3.3441969999999999</v>
          </cell>
          <cell r="M142">
            <v>3.3441976320000002</v>
          </cell>
          <cell r="N142" t="str">
            <v/>
          </cell>
          <cell r="O142" t="str">
            <v/>
          </cell>
          <cell r="P142" t="str">
            <v/>
          </cell>
          <cell r="Q142">
            <v>7</v>
          </cell>
          <cell r="R142" t="str">
            <v>UND</v>
          </cell>
          <cell r="S142">
            <v>0</v>
          </cell>
          <cell r="T142">
            <v>0</v>
          </cell>
          <cell r="U142" t="str">
            <v/>
          </cell>
          <cell r="V142" t="str">
            <v>PRO10</v>
          </cell>
          <cell r="W142">
            <v>0</v>
          </cell>
        </row>
        <row r="143">
          <cell r="C143" t="str">
            <v>LBCA60-1SS</v>
          </cell>
          <cell r="D143" t="str">
            <v>PRINC</v>
          </cell>
          <cell r="E143" t="str">
            <v>00013</v>
          </cell>
          <cell r="F143" t="str">
            <v>CADENAS DE TRANSMISION</v>
          </cell>
          <cell r="G143" t="str">
            <v>PRINCIPAL</v>
          </cell>
          <cell r="H143">
            <v>46004</v>
          </cell>
          <cell r="I143" t="str">
            <v>SALDO INICIAL</v>
          </cell>
          <cell r="J143">
            <v>33</v>
          </cell>
          <cell r="K143">
            <v>144.294118</v>
          </cell>
          <cell r="L143">
            <v>4.3725490000000002</v>
          </cell>
          <cell r="M143">
            <v>4.3725490300000001</v>
          </cell>
          <cell r="N143" t="str">
            <v/>
          </cell>
          <cell r="O143" t="str">
            <v/>
          </cell>
          <cell r="P143" t="str">
            <v/>
          </cell>
          <cell r="Q143">
            <v>8.6</v>
          </cell>
          <cell r="R143" t="str">
            <v>UND</v>
          </cell>
          <cell r="S143">
            <v>0</v>
          </cell>
          <cell r="T143">
            <v>0</v>
          </cell>
          <cell r="U143" t="str">
            <v/>
          </cell>
          <cell r="V143" t="str">
            <v>PRO10</v>
          </cell>
          <cell r="W143">
            <v>0</v>
          </cell>
        </row>
        <row r="144">
          <cell r="C144" t="str">
            <v>VECANSS60</v>
          </cell>
          <cell r="D144" t="str">
            <v>PRINC</v>
          </cell>
          <cell r="E144" t="str">
            <v>00013</v>
          </cell>
          <cell r="F144" t="str">
            <v>CADENAS DE TRANSMISION</v>
          </cell>
          <cell r="G144" t="str">
            <v>PRINCIPAL</v>
          </cell>
          <cell r="H144">
            <v>46004</v>
          </cell>
          <cell r="I144" t="str">
            <v>SALDO INICIAL</v>
          </cell>
          <cell r="J144">
            <v>0</v>
          </cell>
          <cell r="K144">
            <v>0</v>
          </cell>
          <cell r="L144">
            <v>2.6406070000000001</v>
          </cell>
          <cell r="M144">
            <v>0</v>
          </cell>
          <cell r="N144" t="str">
            <v/>
          </cell>
          <cell r="O144" t="str">
            <v/>
          </cell>
          <cell r="P144" t="str">
            <v/>
          </cell>
          <cell r="Q144">
            <v>5</v>
          </cell>
          <cell r="R144" t="str">
            <v>UND</v>
          </cell>
          <cell r="S144">
            <v>0</v>
          </cell>
          <cell r="T144">
            <v>0</v>
          </cell>
          <cell r="U144" t="str">
            <v/>
          </cell>
          <cell r="V144" t="str">
            <v>PRO10</v>
          </cell>
          <cell r="W144">
            <v>0</v>
          </cell>
        </row>
        <row r="145">
          <cell r="C145" t="str">
            <v>QDPLAPE1/4</v>
          </cell>
          <cell r="D145" t="str">
            <v>PRINC</v>
          </cell>
          <cell r="E145" t="str">
            <v>00014</v>
          </cell>
          <cell r="F145" t="str">
            <v>PLANCHAS</v>
          </cell>
          <cell r="G145" t="str">
            <v>PRINCIPAL</v>
          </cell>
          <cell r="H145">
            <v>46004</v>
          </cell>
          <cell r="I145" t="str">
            <v>SALDO INICIAL</v>
          </cell>
          <cell r="J145">
            <v>15.73</v>
          </cell>
          <cell r="K145">
            <v>94.38</v>
          </cell>
          <cell r="L145">
            <v>6</v>
          </cell>
          <cell r="M145">
            <v>6</v>
          </cell>
          <cell r="N145" t="str">
            <v/>
          </cell>
          <cell r="O145" t="str">
            <v/>
          </cell>
          <cell r="P145" t="str">
            <v/>
          </cell>
          <cell r="Q145">
            <v>10.3</v>
          </cell>
          <cell r="R145" t="str">
            <v>FT²</v>
          </cell>
          <cell r="S145">
            <v>0</v>
          </cell>
          <cell r="T145">
            <v>0</v>
          </cell>
          <cell r="U145" t="str">
            <v/>
          </cell>
          <cell r="V145" t="str">
            <v>PRO10</v>
          </cell>
          <cell r="W145">
            <v>0</v>
          </cell>
        </row>
        <row r="146">
          <cell r="C146" t="str">
            <v>RO101006</v>
          </cell>
          <cell r="D146" t="str">
            <v>PRINC</v>
          </cell>
          <cell r="E146" t="str">
            <v>00014</v>
          </cell>
          <cell r="F146" t="str">
            <v>PLANCHAS</v>
          </cell>
          <cell r="G146" t="str">
            <v>PRINCIPAL</v>
          </cell>
          <cell r="H146">
            <v>46004</v>
          </cell>
          <cell r="I146" t="str">
            <v>SALDO INICIAL</v>
          </cell>
          <cell r="J146">
            <v>2E-3</v>
          </cell>
          <cell r="K146">
            <v>2.2703000000000001E-2</v>
          </cell>
          <cell r="L146">
            <v>11.351559999999999</v>
          </cell>
          <cell r="M146">
            <v>11.3515</v>
          </cell>
          <cell r="N146" t="str">
            <v/>
          </cell>
          <cell r="O146" t="str">
            <v/>
          </cell>
          <cell r="P146" t="str">
            <v/>
          </cell>
          <cell r="Q146">
            <v>18.5</v>
          </cell>
          <cell r="R146" t="str">
            <v>FT²</v>
          </cell>
          <cell r="S146">
            <v>0</v>
          </cell>
          <cell r="T146">
            <v>0</v>
          </cell>
          <cell r="U146" t="str">
            <v/>
          </cell>
          <cell r="V146" t="str">
            <v>PRO10</v>
          </cell>
          <cell r="W146">
            <v>0</v>
          </cell>
        </row>
        <row r="147">
          <cell r="C147" t="str">
            <v>AFRX2-BD160W</v>
          </cell>
          <cell r="D147" t="str">
            <v>PRINC</v>
          </cell>
          <cell r="E147" t="str">
            <v>00016</v>
          </cell>
          <cell r="F147" t="str">
            <v>AF EQUIPOS DE COMPUTO Y SOFTWARE</v>
          </cell>
          <cell r="G147" t="str">
            <v>PRINCIPAL</v>
          </cell>
          <cell r="H147">
            <v>46004</v>
          </cell>
          <cell r="I147" t="str">
            <v>SALDO INICIAL</v>
          </cell>
          <cell r="J147">
            <v>2</v>
          </cell>
          <cell r="K147">
            <v>8414</v>
          </cell>
          <cell r="L147">
            <v>0</v>
          </cell>
          <cell r="M147">
            <v>4207</v>
          </cell>
          <cell r="N147" t="str">
            <v/>
          </cell>
          <cell r="O147" t="str">
            <v/>
          </cell>
          <cell r="P147" t="str">
            <v/>
          </cell>
          <cell r="Q147">
            <v>0</v>
          </cell>
          <cell r="R147" t="str">
            <v>UND</v>
          </cell>
          <cell r="S147">
            <v>0</v>
          </cell>
          <cell r="T147">
            <v>0</v>
          </cell>
          <cell r="U147" t="str">
            <v/>
          </cell>
          <cell r="V147" t="str">
            <v>PRO10</v>
          </cell>
          <cell r="W147">
            <v>0</v>
          </cell>
        </row>
        <row r="148">
          <cell r="C148" t="str">
            <v>RO218350</v>
          </cell>
          <cell r="D148" t="str">
            <v>PRINC</v>
          </cell>
          <cell r="E148" t="str">
            <v>00017</v>
          </cell>
          <cell r="F148" t="str">
            <v>EJES</v>
          </cell>
          <cell r="G148" t="str">
            <v>PRINCIPAL</v>
          </cell>
          <cell r="H148">
            <v>46004</v>
          </cell>
          <cell r="I148" t="str">
            <v>SALDO INICIAL</v>
          </cell>
          <cell r="J148">
            <v>4</v>
          </cell>
          <cell r="K148">
            <v>351.97571399999998</v>
          </cell>
          <cell r="L148">
            <v>88.305715000000006</v>
          </cell>
          <cell r="M148">
            <v>87.993928499999996</v>
          </cell>
          <cell r="N148" t="str">
            <v/>
          </cell>
          <cell r="O148" t="str">
            <v/>
          </cell>
          <cell r="P148" t="str">
            <v/>
          </cell>
          <cell r="Q148">
            <v>140.25</v>
          </cell>
          <cell r="R148" t="str">
            <v>MT</v>
          </cell>
          <cell r="S148">
            <v>0</v>
          </cell>
          <cell r="T148">
            <v>0</v>
          </cell>
          <cell r="U148" t="str">
            <v/>
          </cell>
          <cell r="V148" t="str">
            <v>PRO10</v>
          </cell>
          <cell r="W148">
            <v>0</v>
          </cell>
        </row>
        <row r="149">
          <cell r="C149" t="str">
            <v>RO212354</v>
          </cell>
          <cell r="D149" t="str">
            <v>PRINC</v>
          </cell>
          <cell r="E149" t="str">
            <v>00017</v>
          </cell>
          <cell r="F149" t="str">
            <v>EJES</v>
          </cell>
          <cell r="G149" t="str">
            <v>PRINCIPAL</v>
          </cell>
          <cell r="H149">
            <v>46004</v>
          </cell>
          <cell r="I149" t="str">
            <v>SALDO INICIAL</v>
          </cell>
          <cell r="J149">
            <v>3.4</v>
          </cell>
          <cell r="K149">
            <v>43.592084</v>
          </cell>
          <cell r="L149">
            <v>12.821199999999999</v>
          </cell>
          <cell r="M149">
            <v>12.821201176000001</v>
          </cell>
          <cell r="N149" t="str">
            <v/>
          </cell>
          <cell r="O149" t="str">
            <v/>
          </cell>
          <cell r="P149" t="str">
            <v/>
          </cell>
          <cell r="Q149">
            <v>20.3</v>
          </cell>
          <cell r="R149" t="str">
            <v>MT</v>
          </cell>
          <cell r="S149">
            <v>0</v>
          </cell>
          <cell r="T149">
            <v>0</v>
          </cell>
          <cell r="U149" t="str">
            <v/>
          </cell>
          <cell r="V149" t="str">
            <v>PRO10</v>
          </cell>
          <cell r="W149">
            <v>0</v>
          </cell>
        </row>
        <row r="150">
          <cell r="C150" t="str">
            <v>RO370522</v>
          </cell>
          <cell r="D150" t="str">
            <v>PRINC</v>
          </cell>
          <cell r="E150" t="str">
            <v>00017</v>
          </cell>
          <cell r="F150" t="str">
            <v>EJES</v>
          </cell>
          <cell r="G150" t="str">
            <v>PRINCIPAL</v>
          </cell>
          <cell r="H150">
            <v>46004</v>
          </cell>
          <cell r="I150" t="str">
            <v>SALDO INICIAL</v>
          </cell>
          <cell r="J150">
            <v>5</v>
          </cell>
          <cell r="K150">
            <v>98.55</v>
          </cell>
          <cell r="L150">
            <v>19.71</v>
          </cell>
          <cell r="M150">
            <v>19.71</v>
          </cell>
          <cell r="N150" t="str">
            <v/>
          </cell>
          <cell r="O150" t="str">
            <v/>
          </cell>
          <cell r="P150" t="str">
            <v/>
          </cell>
          <cell r="Q150">
            <v>30</v>
          </cell>
          <cell r="R150" t="str">
            <v>MT</v>
          </cell>
          <cell r="S150">
            <v>0</v>
          </cell>
          <cell r="T150">
            <v>0</v>
          </cell>
          <cell r="U150" t="str">
            <v/>
          </cell>
          <cell r="V150" t="str">
            <v>PRO10</v>
          </cell>
          <cell r="W150">
            <v>0</v>
          </cell>
        </row>
        <row r="151">
          <cell r="C151" t="str">
            <v>RO442656</v>
          </cell>
          <cell r="D151" t="str">
            <v>PRINC</v>
          </cell>
          <cell r="E151" t="str">
            <v>00017</v>
          </cell>
          <cell r="F151" t="str">
            <v>EJES</v>
          </cell>
          <cell r="G151" t="str">
            <v>PRINCIPAL</v>
          </cell>
          <cell r="H151">
            <v>46004</v>
          </cell>
          <cell r="I151" t="str">
            <v>SALDO INICIAL</v>
          </cell>
          <cell r="J151">
            <v>0</v>
          </cell>
          <cell r="K151">
            <v>0</v>
          </cell>
          <cell r="L151">
            <v>56.21</v>
          </cell>
          <cell r="M151">
            <v>0</v>
          </cell>
          <cell r="N151" t="str">
            <v/>
          </cell>
          <cell r="O151" t="str">
            <v/>
          </cell>
          <cell r="P151" t="str">
            <v/>
          </cell>
          <cell r="Q151">
            <v>78.7</v>
          </cell>
          <cell r="R151" t="str">
            <v>MT</v>
          </cell>
          <cell r="S151">
            <v>0</v>
          </cell>
          <cell r="T151">
            <v>0</v>
          </cell>
          <cell r="U151" t="str">
            <v/>
          </cell>
          <cell r="V151" t="str">
            <v>PRO10</v>
          </cell>
          <cell r="W151">
            <v>0</v>
          </cell>
        </row>
        <row r="152">
          <cell r="C152" t="str">
            <v>IMEJESSC1.1/2</v>
          </cell>
          <cell r="D152" t="str">
            <v>PRINC</v>
          </cell>
          <cell r="E152" t="str">
            <v>00017</v>
          </cell>
          <cell r="F152" t="str">
            <v>EJES</v>
          </cell>
          <cell r="G152" t="str">
            <v>PRINCIPAL</v>
          </cell>
          <cell r="H152">
            <v>46004</v>
          </cell>
          <cell r="I152" t="str">
            <v>SALDO INICIAL</v>
          </cell>
          <cell r="J152">
            <v>14.18</v>
          </cell>
          <cell r="K152">
            <v>1377.851118</v>
          </cell>
          <cell r="L152">
            <v>97.168626000000003</v>
          </cell>
          <cell r="M152">
            <v>97.168626093</v>
          </cell>
          <cell r="N152" t="str">
            <v/>
          </cell>
          <cell r="O152" t="str">
            <v/>
          </cell>
          <cell r="P152" t="str">
            <v/>
          </cell>
          <cell r="Q152">
            <v>155</v>
          </cell>
          <cell r="R152" t="str">
            <v>MT</v>
          </cell>
          <cell r="S152">
            <v>0</v>
          </cell>
          <cell r="T152">
            <v>0</v>
          </cell>
          <cell r="U152" t="str">
            <v/>
          </cell>
          <cell r="V152" t="str">
            <v>PRO10</v>
          </cell>
          <cell r="W152">
            <v>0</v>
          </cell>
        </row>
      </sheetData>
      <sheetData sheetId="3" refreshError="1"/>
      <sheetData sheetId="4" refreshError="1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W821"/>
  <sheetViews>
    <sheetView tabSelected="1" workbookViewId="0">
      <selection activeCell="B8" sqref="B8"/>
    </sheetView>
  </sheetViews>
  <sheetFormatPr baseColWidth="10" defaultRowHeight="15" x14ac:dyDescent="0.25"/>
  <cols>
    <col min="1" max="1" width="6.140625" bestFit="1" customWidth="1"/>
    <col min="2" max="2" width="77.28515625" bestFit="1" customWidth="1"/>
    <col min="3" max="3" width="18.7109375" bestFit="1" customWidth="1"/>
    <col min="4" max="4" width="7.42578125" bestFit="1" customWidth="1"/>
    <col min="5" max="5" width="6.28515625" bestFit="1" customWidth="1"/>
    <col min="6" max="6" width="35.42578125" bestFit="1" customWidth="1"/>
    <col min="7" max="7" width="13" bestFit="1" customWidth="1"/>
    <col min="8" max="8" width="10.42578125" bestFit="1" customWidth="1"/>
    <col min="9" max="9" width="14" bestFit="1" customWidth="1"/>
    <col min="10" max="10" width="9.28515625" bestFit="1" customWidth="1"/>
    <col min="11" max="11" width="12" bestFit="1" customWidth="1"/>
    <col min="12" max="12" width="10.5703125" bestFit="1" customWidth="1"/>
    <col min="13" max="13" width="11" bestFit="1" customWidth="1"/>
    <col min="14" max="14" width="9.85546875" bestFit="1" customWidth="1"/>
    <col min="15" max="15" width="4.28515625" bestFit="1" customWidth="1"/>
    <col min="16" max="16" width="6.7109375" bestFit="1" customWidth="1"/>
    <col min="17" max="17" width="7" bestFit="1" customWidth="1"/>
    <col min="18" max="18" width="7.28515625" bestFit="1" customWidth="1"/>
    <col min="19" max="19" width="6.85546875" bestFit="1" customWidth="1"/>
    <col min="20" max="20" width="9.85546875" bestFit="1" customWidth="1"/>
    <col min="21" max="21" width="8" bestFit="1" customWidth="1"/>
    <col min="22" max="22" width="7" bestFit="1" customWidth="1"/>
    <col min="23" max="23" width="11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4204</v>
      </c>
      <c r="B2" t="s">
        <v>2938</v>
      </c>
      <c r="C2" t="s">
        <v>2937</v>
      </c>
      <c r="D2" t="s">
        <v>4479</v>
      </c>
      <c r="E2" t="s">
        <v>3930</v>
      </c>
      <c r="F2" t="s">
        <v>1557</v>
      </c>
      <c r="G2" t="s">
        <v>1406</v>
      </c>
      <c r="H2" s="6">
        <v>46022</v>
      </c>
      <c r="I2" t="s">
        <v>29</v>
      </c>
      <c r="J2">
        <v>0</v>
      </c>
      <c r="K2">
        <v>0</v>
      </c>
      <c r="L2">
        <v>0</v>
      </c>
      <c r="M2">
        <v>0</v>
      </c>
      <c r="N2" t="s">
        <v>3915</v>
      </c>
      <c r="O2" t="s">
        <v>3915</v>
      </c>
      <c r="P2" t="s">
        <v>3915</v>
      </c>
      <c r="Q2">
        <v>0</v>
      </c>
      <c r="R2" t="s">
        <v>1558</v>
      </c>
      <c r="S2">
        <v>0</v>
      </c>
      <c r="T2">
        <v>0</v>
      </c>
      <c r="U2" t="s">
        <v>3915</v>
      </c>
      <c r="V2" t="s">
        <v>31</v>
      </c>
      <c r="W2">
        <v>0</v>
      </c>
    </row>
    <row r="3" spans="1:23" x14ac:dyDescent="0.25">
      <c r="A3" t="s">
        <v>4082</v>
      </c>
      <c r="B3" t="s">
        <v>2940</v>
      </c>
      <c r="C3" t="s">
        <v>2939</v>
      </c>
      <c r="D3" t="s">
        <v>4479</v>
      </c>
      <c r="E3" t="s">
        <v>3930</v>
      </c>
      <c r="F3" t="s">
        <v>1557</v>
      </c>
      <c r="G3" t="s">
        <v>1406</v>
      </c>
      <c r="H3" s="6">
        <v>46022</v>
      </c>
      <c r="I3" t="s">
        <v>29</v>
      </c>
      <c r="J3">
        <v>135</v>
      </c>
      <c r="K3">
        <v>0</v>
      </c>
      <c r="L3">
        <v>0</v>
      </c>
      <c r="M3">
        <v>0</v>
      </c>
      <c r="N3" t="s">
        <v>4480</v>
      </c>
      <c r="O3" t="s">
        <v>3915</v>
      </c>
      <c r="P3" t="s">
        <v>3915</v>
      </c>
      <c r="Q3">
        <v>0</v>
      </c>
      <c r="R3" t="s">
        <v>30</v>
      </c>
      <c r="S3">
        <v>0</v>
      </c>
      <c r="T3">
        <v>0</v>
      </c>
      <c r="U3" t="s">
        <v>3915</v>
      </c>
      <c r="V3" t="s">
        <v>31</v>
      </c>
      <c r="W3">
        <v>0</v>
      </c>
    </row>
    <row r="4" spans="1:23" x14ac:dyDescent="0.25">
      <c r="A4" t="s">
        <v>4481</v>
      </c>
      <c r="B4" t="s">
        <v>2942</v>
      </c>
      <c r="C4" t="s">
        <v>2941</v>
      </c>
      <c r="D4" t="s">
        <v>4479</v>
      </c>
      <c r="E4" t="s">
        <v>3930</v>
      </c>
      <c r="F4" t="s">
        <v>1557</v>
      </c>
      <c r="G4" t="s">
        <v>1406</v>
      </c>
      <c r="H4" s="6">
        <v>46022</v>
      </c>
      <c r="I4" t="s">
        <v>29</v>
      </c>
      <c r="J4">
        <v>1475</v>
      </c>
      <c r="K4">
        <v>0</v>
      </c>
      <c r="L4">
        <v>0</v>
      </c>
      <c r="M4">
        <v>0</v>
      </c>
      <c r="N4" t="s">
        <v>4480</v>
      </c>
      <c r="O4" t="s">
        <v>4482</v>
      </c>
      <c r="P4" t="s">
        <v>3915</v>
      </c>
      <c r="Q4">
        <v>0</v>
      </c>
      <c r="R4" t="s">
        <v>30</v>
      </c>
      <c r="S4">
        <v>0</v>
      </c>
      <c r="T4">
        <v>0</v>
      </c>
      <c r="U4" t="s">
        <v>3915</v>
      </c>
      <c r="V4" t="s">
        <v>31</v>
      </c>
      <c r="W4">
        <v>0</v>
      </c>
    </row>
    <row r="5" spans="1:23" x14ac:dyDescent="0.25">
      <c r="A5" t="s">
        <v>4483</v>
      </c>
      <c r="B5" t="s">
        <v>2944</v>
      </c>
      <c r="C5" t="s">
        <v>2943</v>
      </c>
      <c r="D5" t="s">
        <v>4479</v>
      </c>
      <c r="E5" t="s">
        <v>3930</v>
      </c>
      <c r="F5" t="s">
        <v>1557</v>
      </c>
      <c r="G5" t="s">
        <v>1406</v>
      </c>
      <c r="H5" s="6">
        <v>46022</v>
      </c>
      <c r="I5" t="s">
        <v>29</v>
      </c>
      <c r="J5">
        <v>8</v>
      </c>
      <c r="K5">
        <v>0</v>
      </c>
      <c r="L5">
        <v>0</v>
      </c>
      <c r="M5">
        <v>0</v>
      </c>
      <c r="N5" t="s">
        <v>4484</v>
      </c>
      <c r="O5" t="s">
        <v>3915</v>
      </c>
      <c r="P5" t="s">
        <v>3915</v>
      </c>
      <c r="Q5">
        <v>0</v>
      </c>
      <c r="R5" t="s">
        <v>1558</v>
      </c>
      <c r="S5">
        <v>0</v>
      </c>
      <c r="T5">
        <v>0</v>
      </c>
      <c r="U5" t="s">
        <v>3915</v>
      </c>
      <c r="V5" t="s">
        <v>31</v>
      </c>
      <c r="W5">
        <v>0</v>
      </c>
    </row>
    <row r="6" spans="1:23" x14ac:dyDescent="0.25">
      <c r="A6" t="s">
        <v>4323</v>
      </c>
      <c r="B6" t="s">
        <v>1556</v>
      </c>
      <c r="C6" t="s">
        <v>1555</v>
      </c>
      <c r="D6" t="s">
        <v>4479</v>
      </c>
      <c r="E6" t="s">
        <v>3930</v>
      </c>
      <c r="F6" t="s">
        <v>1557</v>
      </c>
      <c r="G6" t="s">
        <v>1406</v>
      </c>
      <c r="H6" s="6">
        <v>46022</v>
      </c>
      <c r="I6" t="s">
        <v>29</v>
      </c>
      <c r="J6">
        <v>4806</v>
      </c>
      <c r="K6">
        <v>0</v>
      </c>
      <c r="L6">
        <v>0</v>
      </c>
      <c r="M6">
        <v>0</v>
      </c>
      <c r="N6" t="s">
        <v>4485</v>
      </c>
      <c r="O6" t="s">
        <v>3915</v>
      </c>
      <c r="P6" t="s">
        <v>3915</v>
      </c>
      <c r="Q6">
        <v>0</v>
      </c>
      <c r="R6" t="s">
        <v>1558</v>
      </c>
      <c r="S6">
        <v>0</v>
      </c>
      <c r="T6">
        <v>0</v>
      </c>
      <c r="U6" t="s">
        <v>3915</v>
      </c>
      <c r="V6" t="s">
        <v>31</v>
      </c>
      <c r="W6">
        <v>0</v>
      </c>
    </row>
    <row r="7" spans="1:23" x14ac:dyDescent="0.25">
      <c r="A7" t="s">
        <v>4444</v>
      </c>
      <c r="B7" t="s">
        <v>2946</v>
      </c>
      <c r="C7" t="s">
        <v>2945</v>
      </c>
      <c r="D7" t="s">
        <v>4479</v>
      </c>
      <c r="E7" t="s">
        <v>3930</v>
      </c>
      <c r="F7" t="s">
        <v>1557</v>
      </c>
      <c r="G7" t="s">
        <v>1406</v>
      </c>
      <c r="H7" s="6">
        <v>46022</v>
      </c>
      <c r="I7" t="s">
        <v>29</v>
      </c>
      <c r="J7">
        <v>2</v>
      </c>
      <c r="K7">
        <v>0</v>
      </c>
      <c r="L7">
        <v>0</v>
      </c>
      <c r="M7">
        <v>0</v>
      </c>
      <c r="N7" t="s">
        <v>3915</v>
      </c>
      <c r="O7" t="s">
        <v>3915</v>
      </c>
      <c r="P7" t="s">
        <v>3915</v>
      </c>
      <c r="Q7">
        <v>0</v>
      </c>
      <c r="R7" t="s">
        <v>1558</v>
      </c>
      <c r="S7">
        <v>0</v>
      </c>
      <c r="T7">
        <v>0</v>
      </c>
      <c r="U7" t="s">
        <v>3915</v>
      </c>
      <c r="V7" t="s">
        <v>31</v>
      </c>
      <c r="W7">
        <v>0</v>
      </c>
    </row>
    <row r="8" spans="1:23" x14ac:dyDescent="0.25">
      <c r="A8" t="s">
        <v>4486</v>
      </c>
      <c r="B8" t="s">
        <v>2948</v>
      </c>
      <c r="C8" t="s">
        <v>2947</v>
      </c>
      <c r="D8" t="s">
        <v>4479</v>
      </c>
      <c r="E8" t="s">
        <v>3930</v>
      </c>
      <c r="F8" t="s">
        <v>1557</v>
      </c>
      <c r="G8" t="s">
        <v>1406</v>
      </c>
      <c r="H8" s="6">
        <v>46022</v>
      </c>
      <c r="I8" t="s">
        <v>29</v>
      </c>
      <c r="J8">
        <v>9</v>
      </c>
      <c r="K8">
        <v>0</v>
      </c>
      <c r="L8">
        <v>0</v>
      </c>
      <c r="M8">
        <v>0</v>
      </c>
      <c r="N8" t="s">
        <v>4487</v>
      </c>
      <c r="O8" t="s">
        <v>3915</v>
      </c>
      <c r="P8" t="s">
        <v>3915</v>
      </c>
      <c r="Q8">
        <v>0</v>
      </c>
      <c r="R8" t="s">
        <v>30</v>
      </c>
      <c r="S8">
        <v>0</v>
      </c>
      <c r="T8">
        <v>0</v>
      </c>
      <c r="U8" t="s">
        <v>3915</v>
      </c>
      <c r="V8" t="s">
        <v>31</v>
      </c>
      <c r="W8">
        <v>0</v>
      </c>
    </row>
    <row r="9" spans="1:23" x14ac:dyDescent="0.25">
      <c r="A9" t="s">
        <v>4488</v>
      </c>
      <c r="B9" t="s">
        <v>2950</v>
      </c>
      <c r="C9" t="s">
        <v>2949</v>
      </c>
      <c r="D9" t="s">
        <v>4479</v>
      </c>
      <c r="E9" t="s">
        <v>3930</v>
      </c>
      <c r="F9" t="s">
        <v>1557</v>
      </c>
      <c r="G9" t="s">
        <v>1406</v>
      </c>
      <c r="H9" s="6">
        <v>46022</v>
      </c>
      <c r="I9" t="s">
        <v>29</v>
      </c>
      <c r="J9">
        <v>39</v>
      </c>
      <c r="K9">
        <v>0</v>
      </c>
      <c r="L9">
        <v>0</v>
      </c>
      <c r="M9">
        <v>0</v>
      </c>
      <c r="N9" t="s">
        <v>4489</v>
      </c>
      <c r="O9" t="s">
        <v>3915</v>
      </c>
      <c r="P9" t="s">
        <v>3915</v>
      </c>
      <c r="Q9">
        <v>0</v>
      </c>
      <c r="R9" t="s">
        <v>30</v>
      </c>
      <c r="S9">
        <v>0</v>
      </c>
      <c r="T9">
        <v>0</v>
      </c>
      <c r="U9" t="s">
        <v>3915</v>
      </c>
      <c r="V9" t="s">
        <v>31</v>
      </c>
      <c r="W9">
        <v>0</v>
      </c>
    </row>
    <row r="10" spans="1:23" x14ac:dyDescent="0.25">
      <c r="A10" t="s">
        <v>4490</v>
      </c>
      <c r="B10" t="s">
        <v>2952</v>
      </c>
      <c r="C10" t="s">
        <v>2951</v>
      </c>
      <c r="D10" t="s">
        <v>4479</v>
      </c>
      <c r="E10" t="s">
        <v>3930</v>
      </c>
      <c r="F10" t="s">
        <v>1557</v>
      </c>
      <c r="G10" t="s">
        <v>1406</v>
      </c>
      <c r="H10" s="6">
        <v>46022</v>
      </c>
      <c r="I10" t="s">
        <v>29</v>
      </c>
      <c r="J10">
        <v>9</v>
      </c>
      <c r="K10">
        <v>0</v>
      </c>
      <c r="L10">
        <v>0</v>
      </c>
      <c r="M10">
        <v>0</v>
      </c>
      <c r="N10" t="s">
        <v>4487</v>
      </c>
      <c r="O10" t="s">
        <v>3915</v>
      </c>
      <c r="P10" t="s">
        <v>3915</v>
      </c>
      <c r="Q10">
        <v>0</v>
      </c>
      <c r="R10" t="s">
        <v>30</v>
      </c>
      <c r="S10">
        <v>0</v>
      </c>
      <c r="T10">
        <v>0</v>
      </c>
      <c r="U10" t="s">
        <v>3915</v>
      </c>
      <c r="V10" t="s">
        <v>31</v>
      </c>
      <c r="W10">
        <v>0</v>
      </c>
    </row>
    <row r="11" spans="1:23" x14ac:dyDescent="0.25">
      <c r="A11" t="s">
        <v>4491</v>
      </c>
      <c r="B11" t="s">
        <v>1560</v>
      </c>
      <c r="C11" t="s">
        <v>1559</v>
      </c>
      <c r="D11" t="s">
        <v>4479</v>
      </c>
      <c r="E11" t="s">
        <v>3930</v>
      </c>
      <c r="F11" t="s">
        <v>1557</v>
      </c>
      <c r="G11" t="s">
        <v>1406</v>
      </c>
      <c r="H11" s="6">
        <v>46022</v>
      </c>
      <c r="I11" t="s">
        <v>29</v>
      </c>
      <c r="J11">
        <v>394</v>
      </c>
      <c r="K11">
        <v>0</v>
      </c>
      <c r="L11">
        <v>0</v>
      </c>
      <c r="M11">
        <v>0</v>
      </c>
      <c r="N11" t="s">
        <v>4487</v>
      </c>
      <c r="O11" t="s">
        <v>3915</v>
      </c>
      <c r="P11" t="s">
        <v>3915</v>
      </c>
      <c r="Q11">
        <v>0</v>
      </c>
      <c r="R11" t="s">
        <v>30</v>
      </c>
      <c r="S11">
        <v>0</v>
      </c>
      <c r="T11">
        <v>0</v>
      </c>
      <c r="U11" t="s">
        <v>3915</v>
      </c>
      <c r="V11" t="s">
        <v>31</v>
      </c>
      <c r="W11">
        <v>0</v>
      </c>
    </row>
    <row r="12" spans="1:23" x14ac:dyDescent="0.25">
      <c r="A12" t="s">
        <v>4206</v>
      </c>
      <c r="B12" t="s">
        <v>2954</v>
      </c>
      <c r="C12" t="s">
        <v>2953</v>
      </c>
      <c r="D12" t="s">
        <v>4479</v>
      </c>
      <c r="E12" t="s">
        <v>3930</v>
      </c>
      <c r="F12" t="s">
        <v>1557</v>
      </c>
      <c r="G12" t="s">
        <v>1406</v>
      </c>
      <c r="H12" s="6">
        <v>46022</v>
      </c>
      <c r="I12" t="s">
        <v>29</v>
      </c>
      <c r="J12">
        <v>2</v>
      </c>
      <c r="K12">
        <v>0</v>
      </c>
      <c r="L12">
        <v>0</v>
      </c>
      <c r="M12">
        <v>0</v>
      </c>
      <c r="N12" t="s">
        <v>3915</v>
      </c>
      <c r="O12" t="s">
        <v>3915</v>
      </c>
      <c r="P12" t="s">
        <v>3915</v>
      </c>
      <c r="Q12">
        <v>0</v>
      </c>
      <c r="R12" t="s">
        <v>1558</v>
      </c>
      <c r="S12">
        <v>0</v>
      </c>
      <c r="T12">
        <v>0</v>
      </c>
      <c r="U12" t="s">
        <v>3915</v>
      </c>
      <c r="V12" t="s">
        <v>31</v>
      </c>
      <c r="W12">
        <v>0</v>
      </c>
    </row>
    <row r="13" spans="1:23" x14ac:dyDescent="0.25">
      <c r="A13" t="s">
        <v>4492</v>
      </c>
      <c r="B13" t="s">
        <v>2956</v>
      </c>
      <c r="C13" t="s">
        <v>2955</v>
      </c>
      <c r="D13" t="s">
        <v>4479</v>
      </c>
      <c r="E13" t="s">
        <v>3930</v>
      </c>
      <c r="F13" t="s">
        <v>1557</v>
      </c>
      <c r="G13" t="s">
        <v>1406</v>
      </c>
      <c r="H13" s="6">
        <v>46022</v>
      </c>
      <c r="I13" t="s">
        <v>29</v>
      </c>
      <c r="J13">
        <v>8</v>
      </c>
      <c r="K13">
        <v>0</v>
      </c>
      <c r="L13">
        <v>0</v>
      </c>
      <c r="M13">
        <v>0</v>
      </c>
      <c r="N13" t="s">
        <v>4493</v>
      </c>
      <c r="O13" t="s">
        <v>3915</v>
      </c>
      <c r="P13" t="s">
        <v>3915</v>
      </c>
      <c r="Q13">
        <v>0</v>
      </c>
      <c r="R13" t="s">
        <v>30</v>
      </c>
      <c r="S13">
        <v>0</v>
      </c>
      <c r="T13">
        <v>0</v>
      </c>
      <c r="U13" t="s">
        <v>3915</v>
      </c>
      <c r="V13" t="s">
        <v>31</v>
      </c>
      <c r="W13">
        <v>0</v>
      </c>
    </row>
    <row r="14" spans="1:23" x14ac:dyDescent="0.25">
      <c r="A14" t="s">
        <v>4494</v>
      </c>
      <c r="B14" t="s">
        <v>2958</v>
      </c>
      <c r="C14" t="s">
        <v>2957</v>
      </c>
      <c r="D14" t="s">
        <v>4479</v>
      </c>
      <c r="E14" t="s">
        <v>3930</v>
      </c>
      <c r="F14" t="s">
        <v>1557</v>
      </c>
      <c r="G14" t="s">
        <v>1406</v>
      </c>
      <c r="H14" s="6">
        <v>46022</v>
      </c>
      <c r="I14" t="s">
        <v>29</v>
      </c>
      <c r="J14">
        <v>9</v>
      </c>
      <c r="K14">
        <v>0</v>
      </c>
      <c r="L14">
        <v>0</v>
      </c>
      <c r="M14">
        <v>0</v>
      </c>
      <c r="N14" t="s">
        <v>3915</v>
      </c>
      <c r="O14" t="s">
        <v>3915</v>
      </c>
      <c r="P14" t="s">
        <v>3915</v>
      </c>
      <c r="Q14">
        <v>0</v>
      </c>
      <c r="R14" t="s">
        <v>1558</v>
      </c>
      <c r="S14">
        <v>0</v>
      </c>
      <c r="T14">
        <v>0</v>
      </c>
      <c r="U14" t="s">
        <v>3915</v>
      </c>
      <c r="V14" t="s">
        <v>31</v>
      </c>
      <c r="W14">
        <v>0</v>
      </c>
    </row>
    <row r="15" spans="1:23" x14ac:dyDescent="0.25">
      <c r="A15" t="s">
        <v>3917</v>
      </c>
      <c r="B15" t="s">
        <v>1562</v>
      </c>
      <c r="C15" t="s">
        <v>2959</v>
      </c>
      <c r="D15" t="s">
        <v>4479</v>
      </c>
      <c r="E15" t="s">
        <v>3930</v>
      </c>
      <c r="F15" t="s">
        <v>1557</v>
      </c>
      <c r="G15" t="s">
        <v>1406</v>
      </c>
      <c r="H15" s="6">
        <v>46022</v>
      </c>
      <c r="I15" t="s">
        <v>29</v>
      </c>
      <c r="J15">
        <v>137</v>
      </c>
      <c r="K15">
        <v>0</v>
      </c>
      <c r="L15">
        <v>0</v>
      </c>
      <c r="M15">
        <v>0</v>
      </c>
      <c r="N15" t="s">
        <v>4485</v>
      </c>
      <c r="O15" t="s">
        <v>3915</v>
      </c>
      <c r="P15" t="s">
        <v>3915</v>
      </c>
      <c r="Q15">
        <v>0</v>
      </c>
      <c r="R15" t="s">
        <v>1558</v>
      </c>
      <c r="S15">
        <v>0</v>
      </c>
      <c r="T15">
        <v>0</v>
      </c>
      <c r="U15" t="s">
        <v>3915</v>
      </c>
      <c r="V15" t="s">
        <v>31</v>
      </c>
      <c r="W15">
        <v>0</v>
      </c>
    </row>
    <row r="16" spans="1:23" x14ac:dyDescent="0.25">
      <c r="A16" t="s">
        <v>4346</v>
      </c>
      <c r="B16" t="s">
        <v>2961</v>
      </c>
      <c r="C16" t="s">
        <v>2960</v>
      </c>
      <c r="D16" t="s">
        <v>4479</v>
      </c>
      <c r="E16" t="s">
        <v>3930</v>
      </c>
      <c r="F16" t="s">
        <v>1557</v>
      </c>
      <c r="G16" t="s">
        <v>1406</v>
      </c>
      <c r="H16" s="6">
        <v>46022</v>
      </c>
      <c r="I16" t="s">
        <v>29</v>
      </c>
      <c r="J16">
        <v>4</v>
      </c>
      <c r="K16">
        <v>0</v>
      </c>
      <c r="L16">
        <v>0</v>
      </c>
      <c r="M16">
        <v>0</v>
      </c>
      <c r="N16" t="s">
        <v>4495</v>
      </c>
      <c r="O16" t="s">
        <v>3915</v>
      </c>
      <c r="P16" t="s">
        <v>3915</v>
      </c>
      <c r="Q16">
        <v>0</v>
      </c>
      <c r="R16" t="s">
        <v>1558</v>
      </c>
      <c r="S16">
        <v>0</v>
      </c>
      <c r="T16">
        <v>0</v>
      </c>
      <c r="U16" t="s">
        <v>3915</v>
      </c>
      <c r="V16" t="s">
        <v>31</v>
      </c>
      <c r="W16">
        <v>0</v>
      </c>
    </row>
    <row r="17" spans="1:23" x14ac:dyDescent="0.25">
      <c r="A17" t="s">
        <v>4451</v>
      </c>
      <c r="B17" t="s">
        <v>2963</v>
      </c>
      <c r="C17" t="s">
        <v>2962</v>
      </c>
      <c r="D17" t="s">
        <v>4479</v>
      </c>
      <c r="E17" t="s">
        <v>3930</v>
      </c>
      <c r="F17" t="s">
        <v>1557</v>
      </c>
      <c r="G17" t="s">
        <v>1406</v>
      </c>
      <c r="H17" s="6">
        <v>46022</v>
      </c>
      <c r="I17" t="s">
        <v>29</v>
      </c>
      <c r="J17">
        <v>1</v>
      </c>
      <c r="K17">
        <v>0</v>
      </c>
      <c r="L17">
        <v>0</v>
      </c>
      <c r="M17">
        <v>0</v>
      </c>
      <c r="N17" t="s">
        <v>3915</v>
      </c>
      <c r="O17" t="s">
        <v>3915</v>
      </c>
      <c r="P17" t="s">
        <v>3915</v>
      </c>
      <c r="Q17">
        <v>0</v>
      </c>
      <c r="R17" t="s">
        <v>1558</v>
      </c>
      <c r="S17">
        <v>0</v>
      </c>
      <c r="T17">
        <v>0</v>
      </c>
      <c r="U17" t="s">
        <v>3915</v>
      </c>
      <c r="V17" t="s">
        <v>31</v>
      </c>
      <c r="W17">
        <v>0</v>
      </c>
    </row>
    <row r="18" spans="1:23" x14ac:dyDescent="0.25">
      <c r="A18" t="s">
        <v>4376</v>
      </c>
      <c r="B18" t="s">
        <v>2965</v>
      </c>
      <c r="C18" t="s">
        <v>2964</v>
      </c>
      <c r="D18" t="s">
        <v>4479</v>
      </c>
      <c r="E18" t="s">
        <v>3930</v>
      </c>
      <c r="F18" t="s">
        <v>1557</v>
      </c>
      <c r="G18" t="s">
        <v>1406</v>
      </c>
      <c r="H18" s="6">
        <v>46022</v>
      </c>
      <c r="I18" t="s">
        <v>29</v>
      </c>
      <c r="J18">
        <v>8</v>
      </c>
      <c r="K18">
        <v>0</v>
      </c>
      <c r="L18">
        <v>0</v>
      </c>
      <c r="M18">
        <v>0</v>
      </c>
      <c r="N18" t="s">
        <v>4495</v>
      </c>
      <c r="O18" t="s">
        <v>3915</v>
      </c>
      <c r="P18" t="s">
        <v>3915</v>
      </c>
      <c r="Q18">
        <v>0</v>
      </c>
      <c r="R18" t="s">
        <v>1558</v>
      </c>
      <c r="S18">
        <v>0</v>
      </c>
      <c r="T18">
        <v>0</v>
      </c>
      <c r="U18" t="s">
        <v>3915</v>
      </c>
      <c r="V18" t="s">
        <v>31</v>
      </c>
      <c r="W18">
        <v>0</v>
      </c>
    </row>
    <row r="19" spans="1:23" x14ac:dyDescent="0.25">
      <c r="A19" t="s">
        <v>4167</v>
      </c>
      <c r="B19" t="s">
        <v>2967</v>
      </c>
      <c r="C19" t="s">
        <v>2966</v>
      </c>
      <c r="D19" t="s">
        <v>4479</v>
      </c>
      <c r="E19" t="s">
        <v>3930</v>
      </c>
      <c r="F19" t="s">
        <v>1557</v>
      </c>
      <c r="G19" t="s">
        <v>1406</v>
      </c>
      <c r="H19" s="6">
        <v>46022</v>
      </c>
      <c r="I19" t="s">
        <v>29</v>
      </c>
      <c r="J19">
        <v>5</v>
      </c>
      <c r="K19">
        <v>0</v>
      </c>
      <c r="L19">
        <v>0</v>
      </c>
      <c r="M19">
        <v>0</v>
      </c>
      <c r="N19" t="s">
        <v>3915</v>
      </c>
      <c r="O19" t="s">
        <v>3915</v>
      </c>
      <c r="P19" t="s">
        <v>3915</v>
      </c>
      <c r="Q19">
        <v>0</v>
      </c>
      <c r="R19" t="s">
        <v>1558</v>
      </c>
      <c r="S19">
        <v>0</v>
      </c>
      <c r="T19">
        <v>0</v>
      </c>
      <c r="U19" t="s">
        <v>3915</v>
      </c>
      <c r="V19" t="s">
        <v>31</v>
      </c>
      <c r="W19">
        <v>0</v>
      </c>
    </row>
    <row r="20" spans="1:23" x14ac:dyDescent="0.25">
      <c r="A20" t="s">
        <v>4496</v>
      </c>
      <c r="B20" t="s">
        <v>2969</v>
      </c>
      <c r="C20" t="s">
        <v>2968</v>
      </c>
      <c r="D20" t="s">
        <v>4479</v>
      </c>
      <c r="E20" t="s">
        <v>3930</v>
      </c>
      <c r="F20" t="s">
        <v>1557</v>
      </c>
      <c r="G20" t="s">
        <v>1406</v>
      </c>
      <c r="H20" s="6">
        <v>46022</v>
      </c>
      <c r="I20" t="s">
        <v>29</v>
      </c>
      <c r="J20">
        <v>24</v>
      </c>
      <c r="K20">
        <v>0</v>
      </c>
      <c r="L20">
        <v>0</v>
      </c>
      <c r="M20">
        <v>0</v>
      </c>
      <c r="N20" t="s">
        <v>3915</v>
      </c>
      <c r="O20" t="s">
        <v>3915</v>
      </c>
      <c r="P20" t="s">
        <v>3915</v>
      </c>
      <c r="Q20">
        <v>0</v>
      </c>
      <c r="R20" t="s">
        <v>1558</v>
      </c>
      <c r="S20">
        <v>0</v>
      </c>
      <c r="T20">
        <v>0</v>
      </c>
      <c r="U20" t="s">
        <v>3915</v>
      </c>
      <c r="V20" t="s">
        <v>31</v>
      </c>
      <c r="W20">
        <v>0</v>
      </c>
    </row>
    <row r="21" spans="1:23" x14ac:dyDescent="0.25">
      <c r="A21" t="s">
        <v>4497</v>
      </c>
      <c r="B21" t="s">
        <v>2971</v>
      </c>
      <c r="C21" t="s">
        <v>2970</v>
      </c>
      <c r="D21" t="s">
        <v>4479</v>
      </c>
      <c r="E21" t="s">
        <v>3930</v>
      </c>
      <c r="F21" t="s">
        <v>1557</v>
      </c>
      <c r="G21" t="s">
        <v>1406</v>
      </c>
      <c r="H21" s="6">
        <v>46022</v>
      </c>
      <c r="I21" t="s">
        <v>29</v>
      </c>
      <c r="J21">
        <v>17</v>
      </c>
      <c r="K21">
        <v>0</v>
      </c>
      <c r="L21">
        <v>0</v>
      </c>
      <c r="M21">
        <v>0</v>
      </c>
      <c r="N21" t="s">
        <v>3915</v>
      </c>
      <c r="O21" t="s">
        <v>3915</v>
      </c>
      <c r="P21" t="s">
        <v>3915</v>
      </c>
      <c r="Q21">
        <v>0</v>
      </c>
      <c r="R21" t="s">
        <v>1558</v>
      </c>
      <c r="S21">
        <v>0</v>
      </c>
      <c r="T21">
        <v>0</v>
      </c>
      <c r="U21" t="s">
        <v>3915</v>
      </c>
      <c r="V21" t="s">
        <v>31</v>
      </c>
      <c r="W21">
        <v>0</v>
      </c>
    </row>
    <row r="22" spans="1:23" x14ac:dyDescent="0.25">
      <c r="A22" t="s">
        <v>4498</v>
      </c>
      <c r="B22" t="s">
        <v>2973</v>
      </c>
      <c r="C22" t="s">
        <v>2972</v>
      </c>
      <c r="D22" t="s">
        <v>4479</v>
      </c>
      <c r="E22" t="s">
        <v>3930</v>
      </c>
      <c r="F22" t="s">
        <v>1557</v>
      </c>
      <c r="G22" t="s">
        <v>1406</v>
      </c>
      <c r="H22" s="6">
        <v>46022</v>
      </c>
      <c r="I22" t="s">
        <v>29</v>
      </c>
      <c r="J22">
        <v>3</v>
      </c>
      <c r="K22">
        <v>0</v>
      </c>
      <c r="L22">
        <v>0</v>
      </c>
      <c r="M22">
        <v>0</v>
      </c>
      <c r="N22" t="s">
        <v>3915</v>
      </c>
      <c r="O22" t="s">
        <v>3915</v>
      </c>
      <c r="P22" t="s">
        <v>3915</v>
      </c>
      <c r="Q22">
        <v>0</v>
      </c>
      <c r="R22" t="s">
        <v>1558</v>
      </c>
      <c r="S22">
        <v>0</v>
      </c>
      <c r="T22">
        <v>0</v>
      </c>
      <c r="U22" t="s">
        <v>3915</v>
      </c>
      <c r="V22" t="s">
        <v>31</v>
      </c>
      <c r="W22">
        <v>0</v>
      </c>
    </row>
    <row r="23" spans="1:23" x14ac:dyDescent="0.25">
      <c r="A23" t="s">
        <v>4375</v>
      </c>
      <c r="B23" t="s">
        <v>2975</v>
      </c>
      <c r="C23" t="s">
        <v>2974</v>
      </c>
      <c r="D23" t="s">
        <v>4479</v>
      </c>
      <c r="E23" t="s">
        <v>3930</v>
      </c>
      <c r="F23" t="s">
        <v>1557</v>
      </c>
      <c r="G23" t="s">
        <v>1406</v>
      </c>
      <c r="H23" s="6">
        <v>46022</v>
      </c>
      <c r="I23" t="s">
        <v>29</v>
      </c>
      <c r="J23">
        <v>4</v>
      </c>
      <c r="K23">
        <v>0</v>
      </c>
      <c r="L23">
        <v>0</v>
      </c>
      <c r="M23">
        <v>0</v>
      </c>
      <c r="N23" t="s">
        <v>3915</v>
      </c>
      <c r="O23" t="s">
        <v>3915</v>
      </c>
      <c r="P23" t="s">
        <v>3915</v>
      </c>
      <c r="Q23">
        <v>0</v>
      </c>
      <c r="R23" t="s">
        <v>1558</v>
      </c>
      <c r="S23">
        <v>0</v>
      </c>
      <c r="T23">
        <v>0</v>
      </c>
      <c r="U23" t="s">
        <v>3915</v>
      </c>
      <c r="V23" t="s">
        <v>31</v>
      </c>
      <c r="W23">
        <v>0</v>
      </c>
    </row>
    <row r="24" spans="1:23" x14ac:dyDescent="0.25">
      <c r="A24" t="s">
        <v>4499</v>
      </c>
      <c r="B24" t="s">
        <v>2977</v>
      </c>
      <c r="C24" t="s">
        <v>2976</v>
      </c>
      <c r="D24" t="s">
        <v>4479</v>
      </c>
      <c r="E24" t="s">
        <v>3930</v>
      </c>
      <c r="F24" t="s">
        <v>1557</v>
      </c>
      <c r="G24" t="s">
        <v>1406</v>
      </c>
      <c r="H24" s="6">
        <v>46022</v>
      </c>
      <c r="I24" t="s">
        <v>29</v>
      </c>
      <c r="J24">
        <v>8</v>
      </c>
      <c r="K24">
        <v>0</v>
      </c>
      <c r="L24">
        <v>0</v>
      </c>
      <c r="M24">
        <v>0</v>
      </c>
      <c r="N24" t="s">
        <v>4500</v>
      </c>
      <c r="O24" t="s">
        <v>3915</v>
      </c>
      <c r="P24" t="s">
        <v>3915</v>
      </c>
      <c r="Q24">
        <v>0</v>
      </c>
      <c r="R24" t="s">
        <v>1558</v>
      </c>
      <c r="S24">
        <v>0</v>
      </c>
      <c r="T24">
        <v>0</v>
      </c>
      <c r="U24" t="s">
        <v>3915</v>
      </c>
      <c r="V24" t="s">
        <v>31</v>
      </c>
      <c r="W24">
        <v>0</v>
      </c>
    </row>
    <row r="25" spans="1:23" x14ac:dyDescent="0.25">
      <c r="A25" t="s">
        <v>4203</v>
      </c>
      <c r="B25" t="s">
        <v>3549</v>
      </c>
      <c r="C25" t="s">
        <v>3548</v>
      </c>
      <c r="D25" t="s">
        <v>4479</v>
      </c>
      <c r="E25" t="s">
        <v>3953</v>
      </c>
      <c r="F25" t="s">
        <v>3550</v>
      </c>
      <c r="G25" t="s">
        <v>1406</v>
      </c>
      <c r="H25" s="6">
        <v>46022</v>
      </c>
      <c r="I25" t="s">
        <v>29</v>
      </c>
      <c r="J25">
        <v>2</v>
      </c>
      <c r="K25">
        <v>0</v>
      </c>
      <c r="L25">
        <v>0</v>
      </c>
      <c r="M25">
        <v>0</v>
      </c>
      <c r="N25" t="s">
        <v>3915</v>
      </c>
      <c r="O25" t="s">
        <v>3915</v>
      </c>
      <c r="P25" t="s">
        <v>3915</v>
      </c>
      <c r="Q25">
        <v>0</v>
      </c>
      <c r="R25" t="s">
        <v>30</v>
      </c>
      <c r="S25">
        <v>0</v>
      </c>
      <c r="T25">
        <v>0</v>
      </c>
      <c r="U25" t="s">
        <v>3915</v>
      </c>
      <c r="V25" t="s">
        <v>31</v>
      </c>
      <c r="W25">
        <v>0</v>
      </c>
    </row>
    <row r="26" spans="1:23" x14ac:dyDescent="0.25">
      <c r="A26" t="s">
        <v>4319</v>
      </c>
      <c r="B26" t="s">
        <v>3552</v>
      </c>
      <c r="C26" t="s">
        <v>3551</v>
      </c>
      <c r="D26" t="s">
        <v>4479</v>
      </c>
      <c r="E26" t="s">
        <v>3953</v>
      </c>
      <c r="F26" t="s">
        <v>3550</v>
      </c>
      <c r="G26" t="s">
        <v>1406</v>
      </c>
      <c r="H26" s="6">
        <v>46022</v>
      </c>
      <c r="I26" t="s">
        <v>29</v>
      </c>
      <c r="J26">
        <v>2</v>
      </c>
      <c r="K26">
        <v>0</v>
      </c>
      <c r="L26">
        <v>0</v>
      </c>
      <c r="M26">
        <v>0</v>
      </c>
      <c r="N26" t="s">
        <v>3915</v>
      </c>
      <c r="O26" t="s">
        <v>3915</v>
      </c>
      <c r="P26" t="s">
        <v>3915</v>
      </c>
      <c r="Q26">
        <v>0</v>
      </c>
      <c r="R26" t="s">
        <v>30</v>
      </c>
      <c r="S26">
        <v>0</v>
      </c>
      <c r="T26">
        <v>0</v>
      </c>
      <c r="U26" t="s">
        <v>3915</v>
      </c>
      <c r="V26" t="s">
        <v>31</v>
      </c>
      <c r="W26">
        <v>0</v>
      </c>
    </row>
    <row r="27" spans="1:23" x14ac:dyDescent="0.25">
      <c r="A27" t="s">
        <v>4382</v>
      </c>
      <c r="B27" t="s">
        <v>3554</v>
      </c>
      <c r="C27" t="s">
        <v>3553</v>
      </c>
      <c r="D27" t="s">
        <v>4479</v>
      </c>
      <c r="E27" t="s">
        <v>3953</v>
      </c>
      <c r="F27" t="s">
        <v>3550</v>
      </c>
      <c r="G27" t="s">
        <v>1406</v>
      </c>
      <c r="H27" s="6">
        <v>46022</v>
      </c>
      <c r="I27" t="s">
        <v>29</v>
      </c>
      <c r="J27">
        <v>6</v>
      </c>
      <c r="K27">
        <v>0</v>
      </c>
      <c r="L27">
        <v>0</v>
      </c>
      <c r="M27">
        <v>0</v>
      </c>
      <c r="N27" t="s">
        <v>3915</v>
      </c>
      <c r="O27" t="s">
        <v>3915</v>
      </c>
      <c r="P27" t="s">
        <v>3915</v>
      </c>
      <c r="Q27">
        <v>0</v>
      </c>
      <c r="R27" t="s">
        <v>82</v>
      </c>
      <c r="S27">
        <v>0</v>
      </c>
      <c r="T27">
        <v>0</v>
      </c>
      <c r="U27" t="s">
        <v>3915</v>
      </c>
      <c r="V27" t="s">
        <v>31</v>
      </c>
      <c r="W27">
        <v>0</v>
      </c>
    </row>
    <row r="28" spans="1:23" x14ac:dyDescent="0.25">
      <c r="A28" t="s">
        <v>4501</v>
      </c>
      <c r="B28" t="s">
        <v>3556</v>
      </c>
      <c r="C28" t="s">
        <v>3555</v>
      </c>
      <c r="D28" t="s">
        <v>4479</v>
      </c>
      <c r="E28" t="s">
        <v>3953</v>
      </c>
      <c r="F28" t="s">
        <v>3550</v>
      </c>
      <c r="G28" t="s">
        <v>1406</v>
      </c>
      <c r="H28" s="6">
        <v>46022</v>
      </c>
      <c r="I28" t="s">
        <v>29</v>
      </c>
      <c r="J28">
        <v>4</v>
      </c>
      <c r="K28">
        <v>0</v>
      </c>
      <c r="L28">
        <v>0</v>
      </c>
      <c r="M28">
        <v>0</v>
      </c>
      <c r="N28" t="s">
        <v>3915</v>
      </c>
      <c r="O28" t="s">
        <v>3915</v>
      </c>
      <c r="P28" t="s">
        <v>3915</v>
      </c>
      <c r="Q28">
        <v>0</v>
      </c>
      <c r="R28" t="s">
        <v>30</v>
      </c>
      <c r="S28">
        <v>0</v>
      </c>
      <c r="T28">
        <v>0</v>
      </c>
      <c r="U28" t="s">
        <v>3915</v>
      </c>
      <c r="V28" t="s">
        <v>31</v>
      </c>
      <c r="W28">
        <v>0</v>
      </c>
    </row>
    <row r="29" spans="1:23" x14ac:dyDescent="0.25">
      <c r="A29" t="s">
        <v>4349</v>
      </c>
      <c r="B29" t="s">
        <v>3558</v>
      </c>
      <c r="C29" t="s">
        <v>3557</v>
      </c>
      <c r="D29" t="s">
        <v>4479</v>
      </c>
      <c r="E29" t="s">
        <v>3953</v>
      </c>
      <c r="F29" t="s">
        <v>3550</v>
      </c>
      <c r="G29" t="s">
        <v>1406</v>
      </c>
      <c r="H29" s="6">
        <v>46022</v>
      </c>
      <c r="I29" t="s">
        <v>29</v>
      </c>
      <c r="J29">
        <v>1</v>
      </c>
      <c r="K29">
        <v>0</v>
      </c>
      <c r="L29">
        <v>0</v>
      </c>
      <c r="M29">
        <v>0</v>
      </c>
      <c r="N29" t="s">
        <v>3915</v>
      </c>
      <c r="O29" t="s">
        <v>3915</v>
      </c>
      <c r="P29" t="s">
        <v>3915</v>
      </c>
      <c r="Q29">
        <v>0</v>
      </c>
      <c r="R29" t="s">
        <v>30</v>
      </c>
      <c r="S29">
        <v>0</v>
      </c>
      <c r="T29">
        <v>0</v>
      </c>
      <c r="U29" t="s">
        <v>3915</v>
      </c>
      <c r="V29" t="s">
        <v>31</v>
      </c>
      <c r="W29">
        <v>0</v>
      </c>
    </row>
    <row r="30" spans="1:23" x14ac:dyDescent="0.25">
      <c r="A30" t="s">
        <v>4502</v>
      </c>
      <c r="B30" t="s">
        <v>3560</v>
      </c>
      <c r="C30" t="s">
        <v>3559</v>
      </c>
      <c r="D30" t="s">
        <v>4479</v>
      </c>
      <c r="E30" t="s">
        <v>3953</v>
      </c>
      <c r="F30" t="s">
        <v>3550</v>
      </c>
      <c r="G30" t="s">
        <v>1406</v>
      </c>
      <c r="H30" s="6">
        <v>46022</v>
      </c>
      <c r="I30" t="s">
        <v>29</v>
      </c>
      <c r="J30">
        <v>0</v>
      </c>
      <c r="K30">
        <v>0</v>
      </c>
      <c r="L30">
        <v>0</v>
      </c>
      <c r="M30">
        <v>0</v>
      </c>
      <c r="N30" t="s">
        <v>3915</v>
      </c>
      <c r="O30" t="s">
        <v>3915</v>
      </c>
      <c r="P30" t="s">
        <v>3915</v>
      </c>
      <c r="Q30">
        <v>0</v>
      </c>
      <c r="R30" t="s">
        <v>3011</v>
      </c>
      <c r="S30">
        <v>0</v>
      </c>
      <c r="T30">
        <v>0</v>
      </c>
      <c r="U30" t="s">
        <v>3915</v>
      </c>
      <c r="V30" t="s">
        <v>31</v>
      </c>
      <c r="W30">
        <v>0</v>
      </c>
    </row>
    <row r="31" spans="1:23" x14ac:dyDescent="0.25">
      <c r="A31" t="s">
        <v>4163</v>
      </c>
      <c r="B31" t="s">
        <v>8387</v>
      </c>
      <c r="C31" t="s">
        <v>8386</v>
      </c>
      <c r="D31" t="s">
        <v>4479</v>
      </c>
      <c r="E31" t="s">
        <v>3953</v>
      </c>
      <c r="F31" t="s">
        <v>3550</v>
      </c>
      <c r="G31" t="s">
        <v>1406</v>
      </c>
      <c r="H31" s="6">
        <v>46022</v>
      </c>
      <c r="I31" t="s">
        <v>29</v>
      </c>
      <c r="J31">
        <v>0</v>
      </c>
      <c r="K31">
        <v>0</v>
      </c>
      <c r="L31">
        <v>0</v>
      </c>
      <c r="M31">
        <v>0</v>
      </c>
      <c r="N31" t="s">
        <v>3915</v>
      </c>
      <c r="O31" t="s">
        <v>3915</v>
      </c>
      <c r="P31" t="s">
        <v>3915</v>
      </c>
      <c r="Q31">
        <v>0</v>
      </c>
      <c r="R31" t="s">
        <v>3011</v>
      </c>
      <c r="S31">
        <v>0</v>
      </c>
      <c r="T31">
        <v>0</v>
      </c>
      <c r="U31" t="s">
        <v>3915</v>
      </c>
      <c r="V31" t="s">
        <v>31</v>
      </c>
      <c r="W31">
        <v>0</v>
      </c>
    </row>
    <row r="32" spans="1:23" x14ac:dyDescent="0.25">
      <c r="A32" t="s">
        <v>4377</v>
      </c>
      <c r="B32" t="s">
        <v>4503</v>
      </c>
      <c r="C32" t="s">
        <v>4504</v>
      </c>
      <c r="D32" t="s">
        <v>4479</v>
      </c>
      <c r="E32" t="s">
        <v>3953</v>
      </c>
      <c r="F32" t="s">
        <v>3550</v>
      </c>
      <c r="G32" t="s">
        <v>1406</v>
      </c>
      <c r="H32" s="6">
        <v>46022</v>
      </c>
      <c r="I32" t="s">
        <v>29</v>
      </c>
      <c r="J32">
        <v>0</v>
      </c>
      <c r="K32">
        <v>0</v>
      </c>
      <c r="L32">
        <v>0</v>
      </c>
      <c r="M32">
        <v>0</v>
      </c>
      <c r="N32" t="s">
        <v>3915</v>
      </c>
      <c r="O32" t="s">
        <v>3915</v>
      </c>
      <c r="P32" t="s">
        <v>3915</v>
      </c>
      <c r="Q32">
        <v>0</v>
      </c>
      <c r="R32" t="s">
        <v>3011</v>
      </c>
      <c r="S32">
        <v>0</v>
      </c>
      <c r="T32">
        <v>0</v>
      </c>
      <c r="U32" t="s">
        <v>3915</v>
      </c>
      <c r="V32" t="s">
        <v>31</v>
      </c>
      <c r="W32">
        <v>0</v>
      </c>
    </row>
    <row r="33" spans="1:23" x14ac:dyDescent="0.25">
      <c r="A33" t="s">
        <v>10242</v>
      </c>
      <c r="B33" t="s">
        <v>5618</v>
      </c>
      <c r="C33" t="s">
        <v>5617</v>
      </c>
      <c r="D33" t="s">
        <v>4479</v>
      </c>
      <c r="E33" t="s">
        <v>3980</v>
      </c>
      <c r="F33" t="s">
        <v>81</v>
      </c>
      <c r="G33" t="s">
        <v>1406</v>
      </c>
      <c r="H33" s="6">
        <v>46022</v>
      </c>
      <c r="I33" t="s">
        <v>29</v>
      </c>
      <c r="J33">
        <v>0</v>
      </c>
      <c r="K33">
        <v>0</v>
      </c>
      <c r="L33">
        <v>0</v>
      </c>
      <c r="M33">
        <v>0</v>
      </c>
      <c r="N33" t="s">
        <v>3915</v>
      </c>
      <c r="O33" t="s">
        <v>3915</v>
      </c>
      <c r="P33" t="s">
        <v>3915</v>
      </c>
      <c r="Q33">
        <v>0</v>
      </c>
      <c r="R33" t="s">
        <v>82</v>
      </c>
      <c r="S33">
        <v>0</v>
      </c>
      <c r="T33">
        <v>0</v>
      </c>
      <c r="U33" t="s">
        <v>3915</v>
      </c>
      <c r="V33" t="s">
        <v>31</v>
      </c>
      <c r="W33">
        <v>0</v>
      </c>
    </row>
    <row r="34" spans="1:23" x14ac:dyDescent="0.25">
      <c r="A34" t="s">
        <v>10243</v>
      </c>
      <c r="B34" t="s">
        <v>10317</v>
      </c>
      <c r="C34" t="s">
        <v>10245</v>
      </c>
      <c r="D34" t="s">
        <v>4479</v>
      </c>
      <c r="E34" t="s">
        <v>3980</v>
      </c>
      <c r="F34" t="s">
        <v>81</v>
      </c>
      <c r="G34" t="s">
        <v>1406</v>
      </c>
      <c r="H34" s="6">
        <v>46022</v>
      </c>
      <c r="I34" t="s">
        <v>29</v>
      </c>
      <c r="J34">
        <v>0</v>
      </c>
      <c r="K34">
        <v>0</v>
      </c>
      <c r="L34">
        <v>0</v>
      </c>
      <c r="M34">
        <v>0</v>
      </c>
      <c r="N34" t="s">
        <v>3915</v>
      </c>
      <c r="O34" t="s">
        <v>3915</v>
      </c>
      <c r="P34" t="s">
        <v>3915</v>
      </c>
      <c r="Q34">
        <v>0</v>
      </c>
      <c r="R34" t="s">
        <v>489</v>
      </c>
      <c r="S34">
        <v>0</v>
      </c>
      <c r="T34">
        <v>0</v>
      </c>
      <c r="U34" t="s">
        <v>3915</v>
      </c>
      <c r="V34" t="s">
        <v>31</v>
      </c>
      <c r="W34">
        <v>0</v>
      </c>
    </row>
    <row r="35" spans="1:23" x14ac:dyDescent="0.25">
      <c r="A35" t="s">
        <v>5469</v>
      </c>
      <c r="B35" t="s">
        <v>5930</v>
      </c>
      <c r="C35" t="s">
        <v>5929</v>
      </c>
      <c r="D35" t="s">
        <v>4479</v>
      </c>
      <c r="E35" t="s">
        <v>3980</v>
      </c>
      <c r="F35" t="s">
        <v>81</v>
      </c>
      <c r="G35" t="s">
        <v>1406</v>
      </c>
      <c r="H35" s="6">
        <v>46022</v>
      </c>
      <c r="I35" t="s">
        <v>29</v>
      </c>
      <c r="J35">
        <v>0</v>
      </c>
      <c r="K35">
        <v>0</v>
      </c>
      <c r="L35">
        <v>0</v>
      </c>
      <c r="M35">
        <v>0</v>
      </c>
      <c r="N35" t="s">
        <v>3915</v>
      </c>
      <c r="O35" t="s">
        <v>3915</v>
      </c>
      <c r="P35" t="s">
        <v>3915</v>
      </c>
      <c r="Q35">
        <v>0</v>
      </c>
      <c r="R35" t="s">
        <v>82</v>
      </c>
      <c r="S35">
        <v>0</v>
      </c>
      <c r="T35">
        <v>0</v>
      </c>
      <c r="U35" t="s">
        <v>3915</v>
      </c>
      <c r="V35" t="s">
        <v>31</v>
      </c>
      <c r="W35">
        <v>0</v>
      </c>
    </row>
    <row r="36" spans="1:23" x14ac:dyDescent="0.25">
      <c r="A36" t="s">
        <v>10246</v>
      </c>
      <c r="B36" t="s">
        <v>10247</v>
      </c>
      <c r="C36" t="s">
        <v>10248</v>
      </c>
      <c r="D36" t="s">
        <v>4479</v>
      </c>
      <c r="E36" t="s">
        <v>3980</v>
      </c>
      <c r="F36" t="s">
        <v>81</v>
      </c>
      <c r="G36" t="s">
        <v>1406</v>
      </c>
      <c r="H36" s="6">
        <v>46022</v>
      </c>
      <c r="I36" t="s">
        <v>29</v>
      </c>
      <c r="J36">
        <v>0</v>
      </c>
      <c r="K36">
        <v>0</v>
      </c>
      <c r="L36">
        <v>0</v>
      </c>
      <c r="M36">
        <v>0</v>
      </c>
      <c r="N36" t="s">
        <v>3915</v>
      </c>
      <c r="O36" t="s">
        <v>3915</v>
      </c>
      <c r="P36" t="s">
        <v>3915</v>
      </c>
      <c r="Q36">
        <v>0</v>
      </c>
      <c r="R36" t="s">
        <v>489</v>
      </c>
      <c r="S36">
        <v>0</v>
      </c>
      <c r="T36">
        <v>0</v>
      </c>
      <c r="U36" t="s">
        <v>3915</v>
      </c>
      <c r="V36" t="s">
        <v>31</v>
      </c>
      <c r="W36">
        <v>0</v>
      </c>
    </row>
    <row r="37" spans="1:23" x14ac:dyDescent="0.25">
      <c r="A37" t="s">
        <v>10249</v>
      </c>
      <c r="B37" t="s">
        <v>10250</v>
      </c>
      <c r="C37" t="s">
        <v>10251</v>
      </c>
      <c r="D37" t="s">
        <v>4479</v>
      </c>
      <c r="E37" t="s">
        <v>3980</v>
      </c>
      <c r="F37" t="s">
        <v>81</v>
      </c>
      <c r="G37" t="s">
        <v>1406</v>
      </c>
      <c r="H37" s="6">
        <v>46022</v>
      </c>
      <c r="I37" t="s">
        <v>29</v>
      </c>
      <c r="J37">
        <v>0</v>
      </c>
      <c r="K37">
        <v>0</v>
      </c>
      <c r="L37">
        <v>0</v>
      </c>
      <c r="M37">
        <v>0</v>
      </c>
      <c r="N37" t="s">
        <v>3915</v>
      </c>
      <c r="O37" t="s">
        <v>3915</v>
      </c>
      <c r="P37" t="s">
        <v>3915</v>
      </c>
      <c r="Q37">
        <v>0</v>
      </c>
      <c r="R37" t="s">
        <v>489</v>
      </c>
      <c r="S37">
        <v>0</v>
      </c>
      <c r="T37">
        <v>0</v>
      </c>
      <c r="U37" t="s">
        <v>3915</v>
      </c>
      <c r="V37" t="s">
        <v>31</v>
      </c>
      <c r="W37">
        <v>0</v>
      </c>
    </row>
    <row r="38" spans="1:23" x14ac:dyDescent="0.25">
      <c r="A38" t="s">
        <v>4505</v>
      </c>
      <c r="B38" t="s">
        <v>1588</v>
      </c>
      <c r="C38" t="s">
        <v>4506</v>
      </c>
      <c r="D38" t="s">
        <v>4479</v>
      </c>
      <c r="E38" t="s">
        <v>3980</v>
      </c>
      <c r="F38" t="s">
        <v>81</v>
      </c>
      <c r="G38" t="s">
        <v>1406</v>
      </c>
      <c r="H38" s="6">
        <v>46022</v>
      </c>
      <c r="I38" t="s">
        <v>29</v>
      </c>
      <c r="J38">
        <v>0</v>
      </c>
      <c r="K38">
        <v>0</v>
      </c>
      <c r="L38">
        <v>0</v>
      </c>
      <c r="M38">
        <v>0</v>
      </c>
      <c r="N38" t="s">
        <v>3915</v>
      </c>
      <c r="O38" t="s">
        <v>3915</v>
      </c>
      <c r="P38" t="s">
        <v>3915</v>
      </c>
      <c r="Q38">
        <v>0</v>
      </c>
      <c r="R38" t="s">
        <v>82</v>
      </c>
      <c r="S38">
        <v>0</v>
      </c>
      <c r="T38">
        <v>0</v>
      </c>
      <c r="U38" t="s">
        <v>3915</v>
      </c>
      <c r="V38" t="s">
        <v>31</v>
      </c>
      <c r="W38">
        <v>0</v>
      </c>
    </row>
    <row r="39" spans="1:23" x14ac:dyDescent="0.25">
      <c r="A39" t="s">
        <v>10307</v>
      </c>
      <c r="B39" t="s">
        <v>6008</v>
      </c>
      <c r="C39" t="s">
        <v>6007</v>
      </c>
      <c r="D39" t="s">
        <v>4479</v>
      </c>
      <c r="E39" t="s">
        <v>3980</v>
      </c>
      <c r="F39" t="s">
        <v>81</v>
      </c>
      <c r="G39" t="s">
        <v>1406</v>
      </c>
      <c r="H39" s="6">
        <v>46022</v>
      </c>
      <c r="I39" t="s">
        <v>29</v>
      </c>
      <c r="J39">
        <v>0</v>
      </c>
      <c r="K39">
        <v>0</v>
      </c>
      <c r="L39">
        <v>0</v>
      </c>
      <c r="M39">
        <v>0</v>
      </c>
      <c r="N39" t="s">
        <v>3915</v>
      </c>
      <c r="O39" t="s">
        <v>3915</v>
      </c>
      <c r="P39" t="s">
        <v>3915</v>
      </c>
      <c r="Q39">
        <v>0</v>
      </c>
      <c r="R39" t="s">
        <v>489</v>
      </c>
      <c r="S39">
        <v>0</v>
      </c>
      <c r="T39">
        <v>0</v>
      </c>
      <c r="U39" t="s">
        <v>3915</v>
      </c>
      <c r="V39" t="s">
        <v>31</v>
      </c>
      <c r="W39">
        <v>0</v>
      </c>
    </row>
    <row r="40" spans="1:23" x14ac:dyDescent="0.25">
      <c r="A40" t="s">
        <v>10308</v>
      </c>
      <c r="B40" t="s">
        <v>6040</v>
      </c>
      <c r="C40" t="s">
        <v>6039</v>
      </c>
      <c r="D40" t="s">
        <v>4479</v>
      </c>
      <c r="E40" t="s">
        <v>3980</v>
      </c>
      <c r="F40" t="s">
        <v>81</v>
      </c>
      <c r="G40" t="s">
        <v>1406</v>
      </c>
      <c r="H40" s="6">
        <v>46022</v>
      </c>
      <c r="I40" t="s">
        <v>29</v>
      </c>
      <c r="J40">
        <v>0</v>
      </c>
      <c r="K40">
        <v>0</v>
      </c>
      <c r="L40">
        <v>0</v>
      </c>
      <c r="M40">
        <v>0</v>
      </c>
      <c r="N40" t="s">
        <v>3915</v>
      </c>
      <c r="O40" t="s">
        <v>3915</v>
      </c>
      <c r="P40" t="s">
        <v>3915</v>
      </c>
      <c r="Q40">
        <v>0</v>
      </c>
      <c r="R40" t="s">
        <v>489</v>
      </c>
      <c r="S40">
        <v>0</v>
      </c>
      <c r="T40">
        <v>0</v>
      </c>
      <c r="U40" t="s">
        <v>3915</v>
      </c>
      <c r="V40" t="s">
        <v>31</v>
      </c>
      <c r="W40">
        <v>0</v>
      </c>
    </row>
    <row r="41" spans="1:23" x14ac:dyDescent="0.25">
      <c r="A41" t="s">
        <v>10318</v>
      </c>
      <c r="B41" t="s">
        <v>10319</v>
      </c>
      <c r="C41" t="s">
        <v>10320</v>
      </c>
      <c r="D41" t="s">
        <v>4479</v>
      </c>
      <c r="E41" t="s">
        <v>3980</v>
      </c>
      <c r="F41" t="s">
        <v>81</v>
      </c>
      <c r="G41" t="s">
        <v>1406</v>
      </c>
      <c r="H41" s="6">
        <v>46022</v>
      </c>
      <c r="I41" t="s">
        <v>29</v>
      </c>
      <c r="J41">
        <v>0</v>
      </c>
      <c r="K41">
        <v>0</v>
      </c>
      <c r="L41">
        <v>0</v>
      </c>
      <c r="M41">
        <v>0</v>
      </c>
      <c r="N41" t="s">
        <v>3915</v>
      </c>
      <c r="O41" t="s">
        <v>3915</v>
      </c>
      <c r="P41" t="s">
        <v>3915</v>
      </c>
      <c r="Q41">
        <v>0</v>
      </c>
      <c r="R41" t="s">
        <v>489</v>
      </c>
      <c r="S41">
        <v>0</v>
      </c>
      <c r="T41">
        <v>0</v>
      </c>
      <c r="U41" t="s">
        <v>3915</v>
      </c>
      <c r="V41" t="s">
        <v>31</v>
      </c>
      <c r="W41">
        <v>0</v>
      </c>
    </row>
    <row r="42" spans="1:23" x14ac:dyDescent="0.25">
      <c r="A42" t="s">
        <v>4507</v>
      </c>
      <c r="B42" t="s">
        <v>4508</v>
      </c>
      <c r="C42" t="s">
        <v>4509</v>
      </c>
      <c r="D42" t="s">
        <v>4479</v>
      </c>
      <c r="E42" t="s">
        <v>3980</v>
      </c>
      <c r="F42" t="s">
        <v>81</v>
      </c>
      <c r="G42" t="s">
        <v>1406</v>
      </c>
      <c r="H42" s="6">
        <v>46022</v>
      </c>
      <c r="I42" t="s">
        <v>29</v>
      </c>
      <c r="J42">
        <v>0</v>
      </c>
      <c r="K42">
        <v>0</v>
      </c>
      <c r="L42">
        <v>0</v>
      </c>
      <c r="M42">
        <v>0</v>
      </c>
      <c r="N42" t="s">
        <v>3915</v>
      </c>
      <c r="O42" t="s">
        <v>3915</v>
      </c>
      <c r="P42" t="s">
        <v>3915</v>
      </c>
      <c r="Q42">
        <v>0</v>
      </c>
      <c r="R42" t="s">
        <v>489</v>
      </c>
      <c r="S42">
        <v>0</v>
      </c>
      <c r="T42">
        <v>0</v>
      </c>
      <c r="U42" t="s">
        <v>3915</v>
      </c>
      <c r="V42" t="s">
        <v>31</v>
      </c>
      <c r="W42">
        <v>0</v>
      </c>
    </row>
    <row r="43" spans="1:23" x14ac:dyDescent="0.25">
      <c r="A43" t="s">
        <v>4510</v>
      </c>
      <c r="B43" t="s">
        <v>4511</v>
      </c>
      <c r="C43" t="s">
        <v>4512</v>
      </c>
      <c r="D43" t="s">
        <v>4479</v>
      </c>
      <c r="E43" t="s">
        <v>3980</v>
      </c>
      <c r="F43" t="s">
        <v>81</v>
      </c>
      <c r="G43" t="s">
        <v>1406</v>
      </c>
      <c r="H43" s="6">
        <v>46022</v>
      </c>
      <c r="I43" t="s">
        <v>29</v>
      </c>
      <c r="J43">
        <v>0</v>
      </c>
      <c r="K43">
        <v>0</v>
      </c>
      <c r="L43">
        <v>0</v>
      </c>
      <c r="M43">
        <v>0</v>
      </c>
      <c r="N43" t="s">
        <v>3915</v>
      </c>
      <c r="O43" t="s">
        <v>3915</v>
      </c>
      <c r="P43" t="s">
        <v>3915</v>
      </c>
      <c r="Q43">
        <v>0</v>
      </c>
      <c r="R43" t="s">
        <v>82</v>
      </c>
      <c r="S43">
        <v>0</v>
      </c>
      <c r="T43">
        <v>0</v>
      </c>
      <c r="U43" t="s">
        <v>3915</v>
      </c>
      <c r="V43" t="s">
        <v>31</v>
      </c>
      <c r="W43">
        <v>0</v>
      </c>
    </row>
    <row r="44" spans="1:23" x14ac:dyDescent="0.25">
      <c r="A44" t="s">
        <v>10210</v>
      </c>
      <c r="B44" t="s">
        <v>6228</v>
      </c>
      <c r="C44" t="s">
        <v>6227</v>
      </c>
      <c r="D44" t="s">
        <v>4479</v>
      </c>
      <c r="E44" t="s">
        <v>3980</v>
      </c>
      <c r="F44" t="s">
        <v>81</v>
      </c>
      <c r="G44" t="s">
        <v>1406</v>
      </c>
      <c r="H44" s="6">
        <v>46022</v>
      </c>
      <c r="I44" t="s">
        <v>29</v>
      </c>
      <c r="J44">
        <v>0</v>
      </c>
      <c r="K44">
        <v>0</v>
      </c>
      <c r="L44">
        <v>0</v>
      </c>
      <c r="M44">
        <v>0</v>
      </c>
      <c r="N44" t="s">
        <v>3915</v>
      </c>
      <c r="O44" t="s">
        <v>3915</v>
      </c>
      <c r="P44" t="s">
        <v>3915</v>
      </c>
      <c r="Q44">
        <v>0</v>
      </c>
      <c r="R44" t="s">
        <v>82</v>
      </c>
      <c r="S44">
        <v>0</v>
      </c>
      <c r="T44">
        <v>0</v>
      </c>
      <c r="U44" t="s">
        <v>3915</v>
      </c>
      <c r="V44" t="s">
        <v>31</v>
      </c>
      <c r="W44">
        <v>0</v>
      </c>
    </row>
    <row r="45" spans="1:23" x14ac:dyDescent="0.25">
      <c r="A45" t="s">
        <v>10252</v>
      </c>
      <c r="B45" t="s">
        <v>10253</v>
      </c>
      <c r="C45" t="s">
        <v>10254</v>
      </c>
      <c r="D45" t="s">
        <v>4479</v>
      </c>
      <c r="E45" t="s">
        <v>3980</v>
      </c>
      <c r="F45" t="s">
        <v>81</v>
      </c>
      <c r="G45" t="s">
        <v>1406</v>
      </c>
      <c r="H45" s="6">
        <v>46022</v>
      </c>
      <c r="I45" t="s">
        <v>29</v>
      </c>
      <c r="J45">
        <v>0</v>
      </c>
      <c r="K45">
        <v>0</v>
      </c>
      <c r="L45">
        <v>0</v>
      </c>
      <c r="M45">
        <v>0</v>
      </c>
      <c r="N45" t="s">
        <v>3915</v>
      </c>
      <c r="O45" t="s">
        <v>3915</v>
      </c>
      <c r="P45" t="s">
        <v>3915</v>
      </c>
      <c r="Q45">
        <v>0</v>
      </c>
      <c r="R45" t="s">
        <v>489</v>
      </c>
      <c r="S45">
        <v>0</v>
      </c>
      <c r="T45">
        <v>0</v>
      </c>
      <c r="U45" t="s">
        <v>3915</v>
      </c>
      <c r="V45" t="s">
        <v>31</v>
      </c>
      <c r="W45">
        <v>0</v>
      </c>
    </row>
    <row r="46" spans="1:23" x14ac:dyDescent="0.25">
      <c r="A46" t="s">
        <v>4513</v>
      </c>
      <c r="B46" t="s">
        <v>1596</v>
      </c>
      <c r="C46" t="s">
        <v>1595</v>
      </c>
      <c r="D46" t="s">
        <v>4479</v>
      </c>
      <c r="E46" t="s">
        <v>3980</v>
      </c>
      <c r="F46" t="s">
        <v>81</v>
      </c>
      <c r="G46" t="s">
        <v>1406</v>
      </c>
      <c r="H46" s="6">
        <v>46022</v>
      </c>
      <c r="I46" t="s">
        <v>29</v>
      </c>
      <c r="J46">
        <v>0</v>
      </c>
      <c r="K46">
        <v>0</v>
      </c>
      <c r="L46">
        <v>0</v>
      </c>
      <c r="M46">
        <v>0</v>
      </c>
      <c r="N46" t="s">
        <v>3915</v>
      </c>
      <c r="O46" t="s">
        <v>3915</v>
      </c>
      <c r="P46" t="s">
        <v>3915</v>
      </c>
      <c r="Q46">
        <v>0</v>
      </c>
      <c r="R46" t="s">
        <v>82</v>
      </c>
      <c r="S46">
        <v>0</v>
      </c>
      <c r="T46">
        <v>0</v>
      </c>
      <c r="U46" t="s">
        <v>3915</v>
      </c>
      <c r="V46" t="s">
        <v>31</v>
      </c>
      <c r="W46">
        <v>0</v>
      </c>
    </row>
    <row r="47" spans="1:23" x14ac:dyDescent="0.25">
      <c r="A47" t="s">
        <v>4514</v>
      </c>
      <c r="B47" t="s">
        <v>4515</v>
      </c>
      <c r="C47" t="s">
        <v>4516</v>
      </c>
      <c r="D47" t="s">
        <v>4479</v>
      </c>
      <c r="E47" t="s">
        <v>3980</v>
      </c>
      <c r="F47" t="s">
        <v>81</v>
      </c>
      <c r="G47" t="s">
        <v>1406</v>
      </c>
      <c r="H47" s="6">
        <v>46022</v>
      </c>
      <c r="I47" t="s">
        <v>29</v>
      </c>
      <c r="J47">
        <v>0</v>
      </c>
      <c r="K47">
        <v>0</v>
      </c>
      <c r="L47">
        <v>0</v>
      </c>
      <c r="M47">
        <v>0</v>
      </c>
      <c r="N47" t="s">
        <v>3915</v>
      </c>
      <c r="O47" t="s">
        <v>3915</v>
      </c>
      <c r="P47" t="s">
        <v>3915</v>
      </c>
      <c r="Q47">
        <v>0</v>
      </c>
      <c r="R47" t="s">
        <v>489</v>
      </c>
      <c r="S47">
        <v>0</v>
      </c>
      <c r="T47">
        <v>0</v>
      </c>
      <c r="U47" t="s">
        <v>3915</v>
      </c>
      <c r="V47" t="s">
        <v>31</v>
      </c>
      <c r="W47">
        <v>0</v>
      </c>
    </row>
    <row r="48" spans="1:23" x14ac:dyDescent="0.25">
      <c r="A48" t="s">
        <v>4517</v>
      </c>
      <c r="B48" t="s">
        <v>4518</v>
      </c>
      <c r="C48" t="s">
        <v>4519</v>
      </c>
      <c r="D48" t="s">
        <v>4479</v>
      </c>
      <c r="E48" t="s">
        <v>3980</v>
      </c>
      <c r="F48" t="s">
        <v>81</v>
      </c>
      <c r="G48" t="s">
        <v>1406</v>
      </c>
      <c r="H48" s="6">
        <v>46022</v>
      </c>
      <c r="I48" t="s">
        <v>29</v>
      </c>
      <c r="J48">
        <v>0</v>
      </c>
      <c r="K48">
        <v>0</v>
      </c>
      <c r="L48">
        <v>0</v>
      </c>
      <c r="M48">
        <v>0</v>
      </c>
      <c r="N48" t="s">
        <v>3915</v>
      </c>
      <c r="O48" t="s">
        <v>3915</v>
      </c>
      <c r="P48" t="s">
        <v>3915</v>
      </c>
      <c r="Q48">
        <v>0</v>
      </c>
      <c r="R48" t="s">
        <v>489</v>
      </c>
      <c r="S48">
        <v>0</v>
      </c>
      <c r="T48">
        <v>0</v>
      </c>
      <c r="U48" t="s">
        <v>3915</v>
      </c>
      <c r="V48" t="s">
        <v>31</v>
      </c>
      <c r="W48">
        <v>0</v>
      </c>
    </row>
    <row r="49" spans="1:23" x14ac:dyDescent="0.25">
      <c r="A49" t="s">
        <v>10255</v>
      </c>
      <c r="B49" t="s">
        <v>6390</v>
      </c>
      <c r="C49" t="s">
        <v>6389</v>
      </c>
      <c r="D49" t="s">
        <v>4479</v>
      </c>
      <c r="E49" t="s">
        <v>3980</v>
      </c>
      <c r="F49" t="s">
        <v>81</v>
      </c>
      <c r="G49" t="s">
        <v>1406</v>
      </c>
      <c r="H49" s="6">
        <v>46022</v>
      </c>
      <c r="I49" t="s">
        <v>29</v>
      </c>
      <c r="J49">
        <v>0</v>
      </c>
      <c r="K49">
        <v>0</v>
      </c>
      <c r="L49">
        <v>0</v>
      </c>
      <c r="M49">
        <v>0</v>
      </c>
      <c r="N49" t="s">
        <v>3915</v>
      </c>
      <c r="O49" t="s">
        <v>3915</v>
      </c>
      <c r="P49" t="s">
        <v>3915</v>
      </c>
      <c r="Q49">
        <v>0</v>
      </c>
      <c r="R49" t="s">
        <v>489</v>
      </c>
      <c r="S49">
        <v>0</v>
      </c>
      <c r="T49">
        <v>0</v>
      </c>
      <c r="U49" t="s">
        <v>3915</v>
      </c>
      <c r="V49" t="s">
        <v>31</v>
      </c>
      <c r="W49">
        <v>0</v>
      </c>
    </row>
    <row r="50" spans="1:23" x14ac:dyDescent="0.25">
      <c r="A50" t="s">
        <v>10256</v>
      </c>
      <c r="B50" t="s">
        <v>6398</v>
      </c>
      <c r="C50" t="s">
        <v>6397</v>
      </c>
      <c r="D50" t="s">
        <v>4479</v>
      </c>
      <c r="E50" t="s">
        <v>3980</v>
      </c>
      <c r="F50" t="s">
        <v>81</v>
      </c>
      <c r="G50" t="s">
        <v>1406</v>
      </c>
      <c r="H50" s="6">
        <v>46022</v>
      </c>
      <c r="I50" t="s">
        <v>29</v>
      </c>
      <c r="J50">
        <v>0</v>
      </c>
      <c r="K50">
        <v>0</v>
      </c>
      <c r="L50">
        <v>0</v>
      </c>
      <c r="M50">
        <v>0</v>
      </c>
      <c r="N50" t="s">
        <v>3915</v>
      </c>
      <c r="O50" t="s">
        <v>3915</v>
      </c>
      <c r="P50" t="s">
        <v>3915</v>
      </c>
      <c r="Q50">
        <v>0</v>
      </c>
      <c r="R50" t="s">
        <v>82</v>
      </c>
      <c r="S50">
        <v>0</v>
      </c>
      <c r="T50">
        <v>0</v>
      </c>
      <c r="U50" t="s">
        <v>3915</v>
      </c>
      <c r="V50" t="s">
        <v>31</v>
      </c>
      <c r="W50">
        <v>0</v>
      </c>
    </row>
    <row r="51" spans="1:23" x14ac:dyDescent="0.25">
      <c r="A51" t="s">
        <v>4520</v>
      </c>
      <c r="B51" t="s">
        <v>4521</v>
      </c>
      <c r="C51" t="s">
        <v>4522</v>
      </c>
      <c r="D51" t="s">
        <v>4479</v>
      </c>
      <c r="E51" t="s">
        <v>3980</v>
      </c>
      <c r="F51" t="s">
        <v>81</v>
      </c>
      <c r="G51" t="s">
        <v>1406</v>
      </c>
      <c r="H51" s="6">
        <v>46022</v>
      </c>
      <c r="I51" t="s">
        <v>29</v>
      </c>
      <c r="J51">
        <v>0</v>
      </c>
      <c r="K51">
        <v>0</v>
      </c>
      <c r="L51">
        <v>0</v>
      </c>
      <c r="M51">
        <v>0</v>
      </c>
      <c r="N51" t="s">
        <v>3915</v>
      </c>
      <c r="O51" t="s">
        <v>3915</v>
      </c>
      <c r="P51" t="s">
        <v>3915</v>
      </c>
      <c r="Q51">
        <v>0</v>
      </c>
      <c r="R51" t="s">
        <v>82</v>
      </c>
      <c r="S51">
        <v>0</v>
      </c>
      <c r="T51">
        <v>0</v>
      </c>
      <c r="U51" t="s">
        <v>3915</v>
      </c>
      <c r="V51" t="s">
        <v>31</v>
      </c>
      <c r="W51">
        <v>0</v>
      </c>
    </row>
    <row r="52" spans="1:23" x14ac:dyDescent="0.25">
      <c r="A52" t="s">
        <v>10206</v>
      </c>
      <c r="B52" t="s">
        <v>6466</v>
      </c>
      <c r="C52" t="s">
        <v>6465</v>
      </c>
      <c r="D52" t="s">
        <v>4479</v>
      </c>
      <c r="E52" t="s">
        <v>3980</v>
      </c>
      <c r="F52" t="s">
        <v>81</v>
      </c>
      <c r="G52" t="s">
        <v>1406</v>
      </c>
      <c r="H52" s="6">
        <v>46022</v>
      </c>
      <c r="I52" t="s">
        <v>29</v>
      </c>
      <c r="J52">
        <v>0</v>
      </c>
      <c r="K52">
        <v>0</v>
      </c>
      <c r="L52">
        <v>0</v>
      </c>
      <c r="M52">
        <v>0</v>
      </c>
      <c r="N52" t="s">
        <v>3915</v>
      </c>
      <c r="O52" t="s">
        <v>3915</v>
      </c>
      <c r="P52" t="s">
        <v>3915</v>
      </c>
      <c r="Q52">
        <v>0</v>
      </c>
      <c r="R52" t="s">
        <v>82</v>
      </c>
      <c r="S52">
        <v>0</v>
      </c>
      <c r="T52">
        <v>0</v>
      </c>
      <c r="U52" t="s">
        <v>3915</v>
      </c>
      <c r="V52" t="s">
        <v>31</v>
      </c>
      <c r="W52">
        <v>0</v>
      </c>
    </row>
    <row r="53" spans="1:23" x14ac:dyDescent="0.25">
      <c r="A53" t="s">
        <v>4300</v>
      </c>
      <c r="B53" t="s">
        <v>1598</v>
      </c>
      <c r="C53" t="s">
        <v>1597</v>
      </c>
      <c r="D53" t="s">
        <v>4479</v>
      </c>
      <c r="E53" t="s">
        <v>3980</v>
      </c>
      <c r="F53" t="s">
        <v>81</v>
      </c>
      <c r="G53" t="s">
        <v>1406</v>
      </c>
      <c r="H53" s="6">
        <v>46022</v>
      </c>
      <c r="I53" t="s">
        <v>29</v>
      </c>
      <c r="J53">
        <v>0</v>
      </c>
      <c r="K53">
        <v>0</v>
      </c>
      <c r="L53">
        <v>0</v>
      </c>
      <c r="M53">
        <v>0</v>
      </c>
      <c r="N53" t="s">
        <v>3915</v>
      </c>
      <c r="O53" t="s">
        <v>3915</v>
      </c>
      <c r="P53" t="s">
        <v>3915</v>
      </c>
      <c r="Q53">
        <v>0</v>
      </c>
      <c r="R53" t="s">
        <v>82</v>
      </c>
      <c r="S53">
        <v>0</v>
      </c>
      <c r="T53">
        <v>0</v>
      </c>
      <c r="U53" t="s">
        <v>3915</v>
      </c>
      <c r="V53" t="s">
        <v>31</v>
      </c>
      <c r="W53">
        <v>0</v>
      </c>
    </row>
    <row r="54" spans="1:23" x14ac:dyDescent="0.25">
      <c r="A54" t="s">
        <v>4523</v>
      </c>
      <c r="B54" t="s">
        <v>1600</v>
      </c>
      <c r="C54" t="s">
        <v>1599</v>
      </c>
      <c r="D54" t="s">
        <v>4479</v>
      </c>
      <c r="E54" t="s">
        <v>3980</v>
      </c>
      <c r="F54" t="s">
        <v>81</v>
      </c>
      <c r="G54" t="s">
        <v>1406</v>
      </c>
      <c r="H54" s="6">
        <v>46022</v>
      </c>
      <c r="I54" t="s">
        <v>29</v>
      </c>
      <c r="J54">
        <v>0</v>
      </c>
      <c r="K54">
        <v>0</v>
      </c>
      <c r="L54">
        <v>0</v>
      </c>
      <c r="M54">
        <v>0</v>
      </c>
      <c r="N54" t="s">
        <v>3915</v>
      </c>
      <c r="O54" t="s">
        <v>3915</v>
      </c>
      <c r="P54" t="s">
        <v>3915</v>
      </c>
      <c r="Q54">
        <v>0</v>
      </c>
      <c r="R54" t="s">
        <v>82</v>
      </c>
      <c r="S54">
        <v>0</v>
      </c>
      <c r="T54">
        <v>0</v>
      </c>
      <c r="U54" t="s">
        <v>3915</v>
      </c>
      <c r="V54" t="s">
        <v>31</v>
      </c>
      <c r="W54">
        <v>0</v>
      </c>
    </row>
    <row r="55" spans="1:23" x14ac:dyDescent="0.25">
      <c r="A55" t="s">
        <v>10257</v>
      </c>
      <c r="B55" t="s">
        <v>10258</v>
      </c>
      <c r="C55" t="s">
        <v>10259</v>
      </c>
      <c r="D55" t="s">
        <v>4479</v>
      </c>
      <c r="E55" t="s">
        <v>3980</v>
      </c>
      <c r="F55" t="s">
        <v>81</v>
      </c>
      <c r="G55" t="s">
        <v>1406</v>
      </c>
      <c r="H55" s="6">
        <v>46022</v>
      </c>
      <c r="I55" t="s">
        <v>29</v>
      </c>
      <c r="J55">
        <v>0</v>
      </c>
      <c r="K55">
        <v>0</v>
      </c>
      <c r="L55">
        <v>0</v>
      </c>
      <c r="M55">
        <v>0</v>
      </c>
      <c r="N55" t="s">
        <v>3915</v>
      </c>
      <c r="O55" t="s">
        <v>3915</v>
      </c>
      <c r="P55" t="s">
        <v>3915</v>
      </c>
      <c r="Q55">
        <v>0</v>
      </c>
      <c r="R55" t="s">
        <v>489</v>
      </c>
      <c r="S55">
        <v>0</v>
      </c>
      <c r="T55">
        <v>0</v>
      </c>
      <c r="U55" t="s">
        <v>3915</v>
      </c>
      <c r="V55" t="s">
        <v>31</v>
      </c>
      <c r="W55">
        <v>0</v>
      </c>
    </row>
    <row r="56" spans="1:23" x14ac:dyDescent="0.25">
      <c r="A56" t="s">
        <v>4524</v>
      </c>
      <c r="B56" t="s">
        <v>1602</v>
      </c>
      <c r="C56" t="s">
        <v>1601</v>
      </c>
      <c r="D56" t="s">
        <v>4479</v>
      </c>
      <c r="E56" t="s">
        <v>3980</v>
      </c>
      <c r="F56" t="s">
        <v>81</v>
      </c>
      <c r="G56" t="s">
        <v>1406</v>
      </c>
      <c r="H56" s="6">
        <v>46022</v>
      </c>
      <c r="I56" t="s">
        <v>29</v>
      </c>
      <c r="J56">
        <v>0</v>
      </c>
      <c r="K56">
        <v>0</v>
      </c>
      <c r="L56">
        <v>0</v>
      </c>
      <c r="M56">
        <v>0</v>
      </c>
      <c r="N56" t="s">
        <v>3915</v>
      </c>
      <c r="O56" t="s">
        <v>3915</v>
      </c>
      <c r="P56" t="s">
        <v>3915</v>
      </c>
      <c r="Q56">
        <v>0</v>
      </c>
      <c r="R56" t="s">
        <v>82</v>
      </c>
      <c r="S56">
        <v>0</v>
      </c>
      <c r="T56">
        <v>0</v>
      </c>
      <c r="U56" t="s">
        <v>3915</v>
      </c>
      <c r="V56" t="s">
        <v>31</v>
      </c>
      <c r="W56">
        <v>0</v>
      </c>
    </row>
    <row r="57" spans="1:23" x14ac:dyDescent="0.25">
      <c r="A57" t="s">
        <v>10309</v>
      </c>
      <c r="B57" t="s">
        <v>10310</v>
      </c>
      <c r="C57" t="s">
        <v>10296</v>
      </c>
      <c r="D57" t="s">
        <v>4479</v>
      </c>
      <c r="E57" t="s">
        <v>3980</v>
      </c>
      <c r="F57" t="s">
        <v>81</v>
      </c>
      <c r="G57" t="s">
        <v>1406</v>
      </c>
      <c r="H57" s="6">
        <v>46022</v>
      </c>
      <c r="I57" t="s">
        <v>29</v>
      </c>
      <c r="J57">
        <v>0</v>
      </c>
      <c r="K57">
        <v>0</v>
      </c>
      <c r="L57">
        <v>0</v>
      </c>
      <c r="M57">
        <v>0</v>
      </c>
      <c r="N57" t="s">
        <v>3915</v>
      </c>
      <c r="O57" t="s">
        <v>3915</v>
      </c>
      <c r="P57" t="s">
        <v>3915</v>
      </c>
      <c r="Q57">
        <v>0</v>
      </c>
      <c r="R57" t="s">
        <v>489</v>
      </c>
      <c r="S57">
        <v>0</v>
      </c>
      <c r="T57">
        <v>0</v>
      </c>
      <c r="U57" t="s">
        <v>3915</v>
      </c>
      <c r="V57" t="s">
        <v>31</v>
      </c>
      <c r="W57">
        <v>0</v>
      </c>
    </row>
    <row r="58" spans="1:23" x14ac:dyDescent="0.25">
      <c r="A58" t="s">
        <v>3987</v>
      </c>
      <c r="B58" t="s">
        <v>1606</v>
      </c>
      <c r="C58" t="s">
        <v>1605</v>
      </c>
      <c r="D58" t="s">
        <v>4479</v>
      </c>
      <c r="E58" t="s">
        <v>3980</v>
      </c>
      <c r="F58" t="s">
        <v>81</v>
      </c>
      <c r="G58" t="s">
        <v>1406</v>
      </c>
      <c r="H58" s="6">
        <v>46022</v>
      </c>
      <c r="I58" t="s">
        <v>29</v>
      </c>
      <c r="J58">
        <v>0</v>
      </c>
      <c r="K58">
        <v>0</v>
      </c>
      <c r="L58">
        <v>0</v>
      </c>
      <c r="M58">
        <v>0</v>
      </c>
      <c r="N58" t="s">
        <v>3915</v>
      </c>
      <c r="O58" t="s">
        <v>3915</v>
      </c>
      <c r="P58" t="s">
        <v>3915</v>
      </c>
      <c r="Q58">
        <v>0</v>
      </c>
      <c r="R58" t="s">
        <v>82</v>
      </c>
      <c r="S58">
        <v>0</v>
      </c>
      <c r="T58">
        <v>0</v>
      </c>
      <c r="U58" t="s">
        <v>3915</v>
      </c>
      <c r="V58" t="s">
        <v>31</v>
      </c>
      <c r="W58">
        <v>0</v>
      </c>
    </row>
    <row r="59" spans="1:23" x14ac:dyDescent="0.25">
      <c r="A59" t="s">
        <v>10207</v>
      </c>
      <c r="B59" t="s">
        <v>6744</v>
      </c>
      <c r="C59" t="s">
        <v>6743</v>
      </c>
      <c r="D59" t="s">
        <v>4479</v>
      </c>
      <c r="E59" t="s">
        <v>3980</v>
      </c>
      <c r="F59" t="s">
        <v>81</v>
      </c>
      <c r="G59" t="s">
        <v>1406</v>
      </c>
      <c r="H59" s="6">
        <v>46022</v>
      </c>
      <c r="I59" t="s">
        <v>29</v>
      </c>
      <c r="J59">
        <v>0</v>
      </c>
      <c r="K59">
        <v>0</v>
      </c>
      <c r="L59">
        <v>0</v>
      </c>
      <c r="M59">
        <v>0</v>
      </c>
      <c r="N59" t="s">
        <v>3915</v>
      </c>
      <c r="O59" t="s">
        <v>3915</v>
      </c>
      <c r="P59" t="s">
        <v>3915</v>
      </c>
      <c r="Q59">
        <v>0</v>
      </c>
      <c r="R59" t="s">
        <v>82</v>
      </c>
      <c r="S59">
        <v>0</v>
      </c>
      <c r="T59">
        <v>0</v>
      </c>
      <c r="U59" t="s">
        <v>3915</v>
      </c>
      <c r="V59" t="s">
        <v>31</v>
      </c>
      <c r="W59">
        <v>0</v>
      </c>
    </row>
    <row r="60" spans="1:23" x14ac:dyDescent="0.25">
      <c r="A60" t="s">
        <v>5483</v>
      </c>
      <c r="B60" t="s">
        <v>6804</v>
      </c>
      <c r="C60" t="s">
        <v>6803</v>
      </c>
      <c r="D60" t="s">
        <v>4479</v>
      </c>
      <c r="E60" t="s">
        <v>3980</v>
      </c>
      <c r="F60" t="s">
        <v>81</v>
      </c>
      <c r="G60" t="s">
        <v>1406</v>
      </c>
      <c r="H60" s="6">
        <v>46022</v>
      </c>
      <c r="I60" t="s">
        <v>29</v>
      </c>
      <c r="J60">
        <v>0</v>
      </c>
      <c r="K60">
        <v>0</v>
      </c>
      <c r="L60">
        <v>0</v>
      </c>
      <c r="M60">
        <v>0</v>
      </c>
      <c r="N60" t="s">
        <v>3915</v>
      </c>
      <c r="O60" t="s">
        <v>3915</v>
      </c>
      <c r="P60" t="s">
        <v>3915</v>
      </c>
      <c r="Q60">
        <v>0</v>
      </c>
      <c r="R60" t="s">
        <v>82</v>
      </c>
      <c r="S60">
        <v>0</v>
      </c>
      <c r="T60">
        <v>0</v>
      </c>
      <c r="U60" t="s">
        <v>3915</v>
      </c>
      <c r="V60" t="s">
        <v>31</v>
      </c>
      <c r="W60">
        <v>0</v>
      </c>
    </row>
    <row r="61" spans="1:23" x14ac:dyDescent="0.25">
      <c r="A61" t="s">
        <v>10260</v>
      </c>
      <c r="B61" t="s">
        <v>10261</v>
      </c>
      <c r="C61" t="s">
        <v>10262</v>
      </c>
      <c r="D61" t="s">
        <v>4479</v>
      </c>
      <c r="E61" t="s">
        <v>3980</v>
      </c>
      <c r="F61" t="s">
        <v>81</v>
      </c>
      <c r="G61" t="s">
        <v>1406</v>
      </c>
      <c r="H61" s="6">
        <v>46022</v>
      </c>
      <c r="I61" t="s">
        <v>29</v>
      </c>
      <c r="J61">
        <v>0</v>
      </c>
      <c r="K61">
        <v>0</v>
      </c>
      <c r="L61">
        <v>0</v>
      </c>
      <c r="M61">
        <v>0</v>
      </c>
      <c r="N61" t="s">
        <v>3915</v>
      </c>
      <c r="O61" t="s">
        <v>3915</v>
      </c>
      <c r="P61" t="s">
        <v>3915</v>
      </c>
      <c r="Q61">
        <v>0</v>
      </c>
      <c r="R61" t="s">
        <v>489</v>
      </c>
      <c r="S61">
        <v>0</v>
      </c>
      <c r="T61">
        <v>0</v>
      </c>
      <c r="U61" t="s">
        <v>3915</v>
      </c>
      <c r="V61" t="s">
        <v>31</v>
      </c>
      <c r="W61">
        <v>0</v>
      </c>
    </row>
    <row r="62" spans="1:23" x14ac:dyDescent="0.25">
      <c r="A62" t="s">
        <v>10211</v>
      </c>
      <c r="B62" t="s">
        <v>10212</v>
      </c>
      <c r="C62" t="s">
        <v>10213</v>
      </c>
      <c r="D62" t="s">
        <v>4479</v>
      </c>
      <c r="E62" t="s">
        <v>3980</v>
      </c>
      <c r="F62" t="s">
        <v>81</v>
      </c>
      <c r="G62" t="s">
        <v>1406</v>
      </c>
      <c r="H62" s="6">
        <v>46022</v>
      </c>
      <c r="I62" t="s">
        <v>29</v>
      </c>
      <c r="J62">
        <v>0</v>
      </c>
      <c r="K62">
        <v>0</v>
      </c>
      <c r="L62">
        <v>0</v>
      </c>
      <c r="M62">
        <v>0</v>
      </c>
      <c r="N62" t="s">
        <v>3915</v>
      </c>
      <c r="O62" t="s">
        <v>3915</v>
      </c>
      <c r="P62" t="s">
        <v>3915</v>
      </c>
      <c r="Q62">
        <v>0</v>
      </c>
      <c r="R62" t="s">
        <v>489</v>
      </c>
      <c r="S62">
        <v>0</v>
      </c>
      <c r="T62">
        <v>0</v>
      </c>
      <c r="U62" t="s">
        <v>3915</v>
      </c>
      <c r="V62" t="s">
        <v>31</v>
      </c>
      <c r="W62">
        <v>0</v>
      </c>
    </row>
    <row r="63" spans="1:23" x14ac:dyDescent="0.25">
      <c r="A63" t="s">
        <v>10341</v>
      </c>
      <c r="B63" t="s">
        <v>10342</v>
      </c>
      <c r="C63" t="s">
        <v>10343</v>
      </c>
      <c r="D63" t="s">
        <v>4479</v>
      </c>
      <c r="E63" t="s">
        <v>3980</v>
      </c>
      <c r="F63" t="s">
        <v>81</v>
      </c>
      <c r="G63" t="s">
        <v>1406</v>
      </c>
      <c r="H63" s="6">
        <v>46022</v>
      </c>
      <c r="I63" t="s">
        <v>29</v>
      </c>
      <c r="J63">
        <v>0</v>
      </c>
      <c r="K63">
        <v>0</v>
      </c>
      <c r="L63">
        <v>0</v>
      </c>
      <c r="M63">
        <v>0</v>
      </c>
      <c r="N63" t="s">
        <v>3915</v>
      </c>
      <c r="O63" t="s">
        <v>3915</v>
      </c>
      <c r="P63" t="s">
        <v>3915</v>
      </c>
      <c r="Q63">
        <v>0</v>
      </c>
      <c r="R63" t="s">
        <v>489</v>
      </c>
      <c r="S63">
        <v>0</v>
      </c>
      <c r="T63">
        <v>0</v>
      </c>
      <c r="U63" t="s">
        <v>3915</v>
      </c>
      <c r="V63" t="s">
        <v>31</v>
      </c>
      <c r="W63">
        <v>0</v>
      </c>
    </row>
    <row r="64" spans="1:23" x14ac:dyDescent="0.25">
      <c r="A64" t="s">
        <v>10214</v>
      </c>
      <c r="B64" t="s">
        <v>10215</v>
      </c>
      <c r="C64" t="s">
        <v>10216</v>
      </c>
      <c r="D64" t="s">
        <v>4479</v>
      </c>
      <c r="E64" t="s">
        <v>3980</v>
      </c>
      <c r="F64" t="s">
        <v>81</v>
      </c>
      <c r="G64" t="s">
        <v>1406</v>
      </c>
      <c r="H64" s="6">
        <v>46022</v>
      </c>
      <c r="I64" t="s">
        <v>29</v>
      </c>
      <c r="J64">
        <v>0</v>
      </c>
      <c r="K64">
        <v>0</v>
      </c>
      <c r="L64">
        <v>0</v>
      </c>
      <c r="M64">
        <v>0</v>
      </c>
      <c r="N64" t="s">
        <v>3915</v>
      </c>
      <c r="O64" t="s">
        <v>3915</v>
      </c>
      <c r="P64" t="s">
        <v>3915</v>
      </c>
      <c r="Q64">
        <v>0</v>
      </c>
      <c r="R64" t="s">
        <v>489</v>
      </c>
      <c r="S64">
        <v>0</v>
      </c>
      <c r="T64">
        <v>0</v>
      </c>
      <c r="U64" t="s">
        <v>3915</v>
      </c>
      <c r="V64" t="s">
        <v>31</v>
      </c>
      <c r="W64">
        <v>0</v>
      </c>
    </row>
    <row r="65" spans="1:23" x14ac:dyDescent="0.25">
      <c r="A65" t="s">
        <v>4525</v>
      </c>
      <c r="B65" t="s">
        <v>1610</v>
      </c>
      <c r="C65" t="s">
        <v>1609</v>
      </c>
      <c r="D65" t="s">
        <v>4479</v>
      </c>
      <c r="E65" t="s">
        <v>3980</v>
      </c>
      <c r="F65" t="s">
        <v>81</v>
      </c>
      <c r="G65" t="s">
        <v>1406</v>
      </c>
      <c r="H65" s="6">
        <v>46022</v>
      </c>
      <c r="I65" t="s">
        <v>29</v>
      </c>
      <c r="J65">
        <v>0</v>
      </c>
      <c r="K65">
        <v>0</v>
      </c>
      <c r="L65">
        <v>0</v>
      </c>
      <c r="M65">
        <v>0</v>
      </c>
      <c r="N65" t="s">
        <v>3915</v>
      </c>
      <c r="O65" t="s">
        <v>3915</v>
      </c>
      <c r="P65" t="s">
        <v>3915</v>
      </c>
      <c r="Q65">
        <v>0</v>
      </c>
      <c r="R65" t="s">
        <v>82</v>
      </c>
      <c r="S65">
        <v>0</v>
      </c>
      <c r="T65">
        <v>0</v>
      </c>
      <c r="U65" t="s">
        <v>3915</v>
      </c>
      <c r="V65" t="s">
        <v>31</v>
      </c>
      <c r="W65">
        <v>0</v>
      </c>
    </row>
    <row r="66" spans="1:23" x14ac:dyDescent="0.25">
      <c r="A66" t="s">
        <v>4526</v>
      </c>
      <c r="B66" t="s">
        <v>4527</v>
      </c>
      <c r="C66" t="s">
        <v>4528</v>
      </c>
      <c r="D66" t="s">
        <v>4479</v>
      </c>
      <c r="E66" t="s">
        <v>3980</v>
      </c>
      <c r="F66" t="s">
        <v>81</v>
      </c>
      <c r="G66" t="s">
        <v>1406</v>
      </c>
      <c r="H66" s="6">
        <v>46022</v>
      </c>
      <c r="I66" t="s">
        <v>29</v>
      </c>
      <c r="J66">
        <v>0</v>
      </c>
      <c r="K66">
        <v>0</v>
      </c>
      <c r="L66">
        <v>0</v>
      </c>
      <c r="M66">
        <v>0</v>
      </c>
      <c r="N66" t="s">
        <v>3915</v>
      </c>
      <c r="O66" t="s">
        <v>3915</v>
      </c>
      <c r="P66" t="s">
        <v>3915</v>
      </c>
      <c r="Q66">
        <v>0</v>
      </c>
      <c r="R66" t="s">
        <v>489</v>
      </c>
      <c r="S66">
        <v>0</v>
      </c>
      <c r="T66">
        <v>0</v>
      </c>
      <c r="U66" t="s">
        <v>3915</v>
      </c>
      <c r="V66" t="s">
        <v>31</v>
      </c>
      <c r="W66">
        <v>0</v>
      </c>
    </row>
    <row r="67" spans="1:23" x14ac:dyDescent="0.25">
      <c r="A67" t="s">
        <v>10311</v>
      </c>
      <c r="B67" t="s">
        <v>6973</v>
      </c>
      <c r="C67" t="s">
        <v>6972</v>
      </c>
      <c r="D67" t="s">
        <v>4479</v>
      </c>
      <c r="E67" t="s">
        <v>3980</v>
      </c>
      <c r="F67" t="s">
        <v>81</v>
      </c>
      <c r="G67" t="s">
        <v>1406</v>
      </c>
      <c r="H67" s="6">
        <v>46022</v>
      </c>
      <c r="I67" t="s">
        <v>29</v>
      </c>
      <c r="J67">
        <v>0</v>
      </c>
      <c r="K67">
        <v>0</v>
      </c>
      <c r="L67">
        <v>0</v>
      </c>
      <c r="M67">
        <v>0</v>
      </c>
      <c r="N67" t="s">
        <v>3915</v>
      </c>
      <c r="O67" t="s">
        <v>3915</v>
      </c>
      <c r="P67" t="s">
        <v>3915</v>
      </c>
      <c r="Q67">
        <v>0</v>
      </c>
      <c r="R67" t="s">
        <v>489</v>
      </c>
      <c r="S67">
        <v>0</v>
      </c>
      <c r="T67">
        <v>0</v>
      </c>
      <c r="U67" t="s">
        <v>3915</v>
      </c>
      <c r="V67" t="s">
        <v>31</v>
      </c>
      <c r="W67">
        <v>0</v>
      </c>
    </row>
    <row r="68" spans="1:23" x14ac:dyDescent="0.25">
      <c r="A68" t="s">
        <v>4529</v>
      </c>
      <c r="B68" t="s">
        <v>4530</v>
      </c>
      <c r="C68" t="s">
        <v>4531</v>
      </c>
      <c r="D68" t="s">
        <v>4479</v>
      </c>
      <c r="E68" t="s">
        <v>3980</v>
      </c>
      <c r="F68" t="s">
        <v>81</v>
      </c>
      <c r="G68" t="s">
        <v>1406</v>
      </c>
      <c r="H68" s="6">
        <v>46022</v>
      </c>
      <c r="I68" t="s">
        <v>29</v>
      </c>
      <c r="J68">
        <v>0</v>
      </c>
      <c r="K68">
        <v>0</v>
      </c>
      <c r="L68">
        <v>0</v>
      </c>
      <c r="M68">
        <v>0</v>
      </c>
      <c r="N68" t="s">
        <v>3915</v>
      </c>
      <c r="O68" t="s">
        <v>3915</v>
      </c>
      <c r="P68" t="s">
        <v>3915</v>
      </c>
      <c r="Q68">
        <v>0</v>
      </c>
      <c r="R68" t="s">
        <v>82</v>
      </c>
      <c r="S68">
        <v>0</v>
      </c>
      <c r="T68">
        <v>0</v>
      </c>
      <c r="U68" t="s">
        <v>3915</v>
      </c>
      <c r="V68" t="s">
        <v>31</v>
      </c>
      <c r="W68">
        <v>0</v>
      </c>
    </row>
    <row r="69" spans="1:23" x14ac:dyDescent="0.25">
      <c r="A69" t="s">
        <v>10337</v>
      </c>
      <c r="B69" t="s">
        <v>7102</v>
      </c>
      <c r="C69" t="s">
        <v>7101</v>
      </c>
      <c r="D69" t="s">
        <v>4479</v>
      </c>
      <c r="E69" t="s">
        <v>3980</v>
      </c>
      <c r="F69" t="s">
        <v>81</v>
      </c>
      <c r="G69" t="s">
        <v>1406</v>
      </c>
      <c r="H69" s="6">
        <v>46022</v>
      </c>
      <c r="I69" t="s">
        <v>29</v>
      </c>
      <c r="J69">
        <v>0</v>
      </c>
      <c r="K69">
        <v>0</v>
      </c>
      <c r="L69">
        <v>0</v>
      </c>
      <c r="M69">
        <v>0</v>
      </c>
      <c r="N69" t="s">
        <v>3915</v>
      </c>
      <c r="O69" t="s">
        <v>3915</v>
      </c>
      <c r="P69" t="s">
        <v>3915</v>
      </c>
      <c r="Q69">
        <v>0</v>
      </c>
      <c r="R69" t="s">
        <v>82</v>
      </c>
      <c r="S69">
        <v>0</v>
      </c>
      <c r="T69">
        <v>0</v>
      </c>
      <c r="U69" t="s">
        <v>3915</v>
      </c>
      <c r="V69" t="s">
        <v>31</v>
      </c>
      <c r="W69">
        <v>0</v>
      </c>
    </row>
    <row r="70" spans="1:23" x14ac:dyDescent="0.25">
      <c r="A70" t="s">
        <v>10356</v>
      </c>
      <c r="B70" t="s">
        <v>7106</v>
      </c>
      <c r="C70" t="s">
        <v>7105</v>
      </c>
      <c r="D70" t="s">
        <v>4479</v>
      </c>
      <c r="E70" t="s">
        <v>3980</v>
      </c>
      <c r="F70" t="s">
        <v>81</v>
      </c>
      <c r="G70" t="s">
        <v>1406</v>
      </c>
      <c r="H70" s="6">
        <v>46022</v>
      </c>
      <c r="I70" t="s">
        <v>29</v>
      </c>
      <c r="J70">
        <v>0</v>
      </c>
      <c r="K70">
        <v>0</v>
      </c>
      <c r="L70">
        <v>0</v>
      </c>
      <c r="M70">
        <v>0</v>
      </c>
      <c r="N70" t="s">
        <v>3915</v>
      </c>
      <c r="O70" t="s">
        <v>3915</v>
      </c>
      <c r="P70" t="s">
        <v>3915</v>
      </c>
      <c r="Q70">
        <v>0</v>
      </c>
      <c r="R70" t="s">
        <v>82</v>
      </c>
      <c r="S70">
        <v>0</v>
      </c>
      <c r="T70">
        <v>0</v>
      </c>
      <c r="U70" t="s">
        <v>3915</v>
      </c>
      <c r="V70" t="s">
        <v>31</v>
      </c>
      <c r="W70">
        <v>0</v>
      </c>
    </row>
    <row r="71" spans="1:23" x14ac:dyDescent="0.25">
      <c r="A71" t="s">
        <v>10321</v>
      </c>
      <c r="B71" t="s">
        <v>7240</v>
      </c>
      <c r="C71" t="s">
        <v>7239</v>
      </c>
      <c r="D71" t="s">
        <v>4479</v>
      </c>
      <c r="E71" t="s">
        <v>3980</v>
      </c>
      <c r="F71" t="s">
        <v>81</v>
      </c>
      <c r="G71" t="s">
        <v>1406</v>
      </c>
      <c r="H71" s="6">
        <v>46022</v>
      </c>
      <c r="I71" t="s">
        <v>29</v>
      </c>
      <c r="J71">
        <v>0</v>
      </c>
      <c r="K71">
        <v>0</v>
      </c>
      <c r="L71">
        <v>0</v>
      </c>
      <c r="M71">
        <v>0</v>
      </c>
      <c r="N71" t="s">
        <v>3915</v>
      </c>
      <c r="O71" t="s">
        <v>3915</v>
      </c>
      <c r="P71" t="s">
        <v>3915</v>
      </c>
      <c r="Q71">
        <v>0</v>
      </c>
      <c r="R71" t="s">
        <v>82</v>
      </c>
      <c r="S71">
        <v>0</v>
      </c>
      <c r="T71">
        <v>0</v>
      </c>
      <c r="U71" t="s">
        <v>3915</v>
      </c>
      <c r="V71" t="s">
        <v>31</v>
      </c>
      <c r="W71">
        <v>0</v>
      </c>
    </row>
    <row r="72" spans="1:23" x14ac:dyDescent="0.25">
      <c r="A72" t="s">
        <v>4437</v>
      </c>
      <c r="B72" t="s">
        <v>1620</v>
      </c>
      <c r="C72" t="s">
        <v>1619</v>
      </c>
      <c r="D72" t="s">
        <v>4479</v>
      </c>
      <c r="E72" t="s">
        <v>3980</v>
      </c>
      <c r="F72" t="s">
        <v>81</v>
      </c>
      <c r="G72" t="s">
        <v>1406</v>
      </c>
      <c r="H72" s="6">
        <v>46022</v>
      </c>
      <c r="I72" t="s">
        <v>29</v>
      </c>
      <c r="J72">
        <v>0</v>
      </c>
      <c r="K72">
        <v>0</v>
      </c>
      <c r="L72">
        <v>0</v>
      </c>
      <c r="M72">
        <v>0</v>
      </c>
      <c r="N72" t="s">
        <v>3915</v>
      </c>
      <c r="O72" t="s">
        <v>3915</v>
      </c>
      <c r="P72" t="s">
        <v>3915</v>
      </c>
      <c r="Q72">
        <v>0</v>
      </c>
      <c r="R72" t="s">
        <v>82</v>
      </c>
      <c r="S72">
        <v>0</v>
      </c>
      <c r="T72">
        <v>0</v>
      </c>
      <c r="U72" t="s">
        <v>3915</v>
      </c>
      <c r="V72" t="s">
        <v>31</v>
      </c>
      <c r="W72">
        <v>0</v>
      </c>
    </row>
    <row r="73" spans="1:23" x14ac:dyDescent="0.25">
      <c r="A73" t="s">
        <v>4532</v>
      </c>
      <c r="B73" t="s">
        <v>3010</v>
      </c>
      <c r="C73" t="s">
        <v>3009</v>
      </c>
      <c r="D73" t="s">
        <v>4479</v>
      </c>
      <c r="E73" t="s">
        <v>3980</v>
      </c>
      <c r="F73" t="s">
        <v>81</v>
      </c>
      <c r="G73" t="s">
        <v>1406</v>
      </c>
      <c r="H73" s="6">
        <v>46022</v>
      </c>
      <c r="I73" t="s">
        <v>29</v>
      </c>
      <c r="J73">
        <v>10</v>
      </c>
      <c r="K73">
        <v>0</v>
      </c>
      <c r="L73">
        <v>0</v>
      </c>
      <c r="M73">
        <v>0</v>
      </c>
      <c r="N73" t="s">
        <v>3915</v>
      </c>
      <c r="O73" t="s">
        <v>3915</v>
      </c>
      <c r="P73" t="s">
        <v>3915</v>
      </c>
      <c r="Q73">
        <v>0</v>
      </c>
      <c r="R73" t="s">
        <v>3011</v>
      </c>
      <c r="S73">
        <v>0</v>
      </c>
      <c r="T73">
        <v>0</v>
      </c>
      <c r="U73" t="s">
        <v>3915</v>
      </c>
      <c r="V73" t="s">
        <v>31</v>
      </c>
      <c r="W73">
        <v>0</v>
      </c>
    </row>
    <row r="74" spans="1:23" x14ac:dyDescent="0.25">
      <c r="A74" t="s">
        <v>4533</v>
      </c>
      <c r="B74" t="s">
        <v>3013</v>
      </c>
      <c r="C74" t="s">
        <v>3012</v>
      </c>
      <c r="D74" t="s">
        <v>4479</v>
      </c>
      <c r="E74" t="s">
        <v>3980</v>
      </c>
      <c r="F74" t="s">
        <v>81</v>
      </c>
      <c r="G74" t="s">
        <v>1406</v>
      </c>
      <c r="H74" s="6">
        <v>46022</v>
      </c>
      <c r="I74" t="s">
        <v>29</v>
      </c>
      <c r="J74">
        <v>7.5</v>
      </c>
      <c r="K74">
        <v>0</v>
      </c>
      <c r="L74">
        <v>0</v>
      </c>
      <c r="M74">
        <v>0</v>
      </c>
      <c r="N74" t="s">
        <v>3915</v>
      </c>
      <c r="O74" t="s">
        <v>3915</v>
      </c>
      <c r="P74" t="s">
        <v>3915</v>
      </c>
      <c r="Q74">
        <v>0</v>
      </c>
      <c r="R74" t="s">
        <v>3011</v>
      </c>
      <c r="S74">
        <v>0</v>
      </c>
      <c r="T74">
        <v>0</v>
      </c>
      <c r="U74" t="s">
        <v>3915</v>
      </c>
      <c r="V74" t="s">
        <v>31</v>
      </c>
      <c r="W74">
        <v>0</v>
      </c>
    </row>
    <row r="75" spans="1:23" x14ac:dyDescent="0.25">
      <c r="A75" t="s">
        <v>4534</v>
      </c>
      <c r="B75" t="s">
        <v>3015</v>
      </c>
      <c r="C75" t="s">
        <v>3014</v>
      </c>
      <c r="D75" t="s">
        <v>4479</v>
      </c>
      <c r="E75" t="s">
        <v>3980</v>
      </c>
      <c r="F75" t="s">
        <v>81</v>
      </c>
      <c r="G75" t="s">
        <v>1406</v>
      </c>
      <c r="H75" s="6">
        <v>46022</v>
      </c>
      <c r="I75" t="s">
        <v>29</v>
      </c>
      <c r="J75">
        <v>7</v>
      </c>
      <c r="K75">
        <v>0</v>
      </c>
      <c r="L75">
        <v>0</v>
      </c>
      <c r="M75">
        <v>0</v>
      </c>
      <c r="N75" t="s">
        <v>3915</v>
      </c>
      <c r="O75" t="s">
        <v>3915</v>
      </c>
      <c r="P75" t="s">
        <v>3915</v>
      </c>
      <c r="Q75">
        <v>0</v>
      </c>
      <c r="R75" t="s">
        <v>3011</v>
      </c>
      <c r="S75">
        <v>0</v>
      </c>
      <c r="T75">
        <v>0</v>
      </c>
      <c r="U75" t="s">
        <v>3915</v>
      </c>
      <c r="V75" t="s">
        <v>31</v>
      </c>
      <c r="W75">
        <v>0</v>
      </c>
    </row>
    <row r="76" spans="1:23" x14ac:dyDescent="0.25">
      <c r="A76" t="s">
        <v>4535</v>
      </c>
      <c r="B76" t="s">
        <v>3017</v>
      </c>
      <c r="C76" t="s">
        <v>3016</v>
      </c>
      <c r="D76" t="s">
        <v>4479</v>
      </c>
      <c r="E76" t="s">
        <v>3980</v>
      </c>
      <c r="F76" t="s">
        <v>81</v>
      </c>
      <c r="G76" t="s">
        <v>1406</v>
      </c>
      <c r="H76" s="6">
        <v>46022</v>
      </c>
      <c r="I76" t="s">
        <v>29</v>
      </c>
      <c r="J76">
        <v>17.670000000000002</v>
      </c>
      <c r="K76">
        <v>0</v>
      </c>
      <c r="L76">
        <v>0</v>
      </c>
      <c r="M76">
        <v>0</v>
      </c>
      <c r="N76" t="s">
        <v>3915</v>
      </c>
      <c r="O76" t="s">
        <v>3915</v>
      </c>
      <c r="P76" t="s">
        <v>3915</v>
      </c>
      <c r="Q76">
        <v>0</v>
      </c>
      <c r="R76" t="s">
        <v>3011</v>
      </c>
      <c r="S76">
        <v>0</v>
      </c>
      <c r="T76">
        <v>0</v>
      </c>
      <c r="U76" t="s">
        <v>3915</v>
      </c>
      <c r="V76" t="s">
        <v>31</v>
      </c>
      <c r="W76">
        <v>0</v>
      </c>
    </row>
    <row r="77" spans="1:23" x14ac:dyDescent="0.25">
      <c r="A77" t="s">
        <v>4411</v>
      </c>
      <c r="B77" t="s">
        <v>3019</v>
      </c>
      <c r="C77" t="s">
        <v>3018</v>
      </c>
      <c r="D77" t="s">
        <v>4479</v>
      </c>
      <c r="E77" t="s">
        <v>3980</v>
      </c>
      <c r="F77" t="s">
        <v>81</v>
      </c>
      <c r="G77" t="s">
        <v>1406</v>
      </c>
      <c r="H77" s="6">
        <v>46022</v>
      </c>
      <c r="I77" t="s">
        <v>29</v>
      </c>
      <c r="J77">
        <v>196</v>
      </c>
      <c r="K77">
        <v>0</v>
      </c>
      <c r="L77">
        <v>0</v>
      </c>
      <c r="M77">
        <v>0</v>
      </c>
      <c r="N77" t="s">
        <v>3915</v>
      </c>
      <c r="O77" t="s">
        <v>3915</v>
      </c>
      <c r="P77" t="s">
        <v>3915</v>
      </c>
      <c r="Q77">
        <v>0</v>
      </c>
      <c r="R77" t="s">
        <v>3011</v>
      </c>
      <c r="S77">
        <v>0</v>
      </c>
      <c r="T77">
        <v>0</v>
      </c>
      <c r="U77" t="s">
        <v>3915</v>
      </c>
      <c r="V77" t="s">
        <v>31</v>
      </c>
      <c r="W77">
        <v>0</v>
      </c>
    </row>
    <row r="78" spans="1:23" x14ac:dyDescent="0.25">
      <c r="A78" t="s">
        <v>4536</v>
      </c>
      <c r="B78" t="s">
        <v>3021</v>
      </c>
      <c r="C78" t="s">
        <v>3020</v>
      </c>
      <c r="D78" t="s">
        <v>4479</v>
      </c>
      <c r="E78" t="s">
        <v>3980</v>
      </c>
      <c r="F78" t="s">
        <v>81</v>
      </c>
      <c r="G78" t="s">
        <v>1406</v>
      </c>
      <c r="H78" s="6">
        <v>46022</v>
      </c>
      <c r="I78" t="s">
        <v>29</v>
      </c>
      <c r="J78">
        <v>19.100000000000001</v>
      </c>
      <c r="K78">
        <v>0</v>
      </c>
      <c r="L78">
        <v>0</v>
      </c>
      <c r="M78">
        <v>0</v>
      </c>
      <c r="N78" t="s">
        <v>3915</v>
      </c>
      <c r="O78" t="s">
        <v>3915</v>
      </c>
      <c r="P78" t="s">
        <v>3915</v>
      </c>
      <c r="Q78">
        <v>0</v>
      </c>
      <c r="R78" t="s">
        <v>3011</v>
      </c>
      <c r="S78">
        <v>0</v>
      </c>
      <c r="T78">
        <v>0</v>
      </c>
      <c r="U78" t="s">
        <v>3915</v>
      </c>
      <c r="V78" t="s">
        <v>31</v>
      </c>
      <c r="W78">
        <v>0</v>
      </c>
    </row>
    <row r="79" spans="1:23" x14ac:dyDescent="0.25">
      <c r="A79" t="s">
        <v>4229</v>
      </c>
      <c r="B79" t="s">
        <v>3023</v>
      </c>
      <c r="C79" t="s">
        <v>3022</v>
      </c>
      <c r="D79" t="s">
        <v>4479</v>
      </c>
      <c r="E79" t="s">
        <v>3980</v>
      </c>
      <c r="F79" t="s">
        <v>81</v>
      </c>
      <c r="G79" t="s">
        <v>1406</v>
      </c>
      <c r="H79" s="6">
        <v>46022</v>
      </c>
      <c r="I79" t="s">
        <v>29</v>
      </c>
      <c r="J79">
        <v>9.9</v>
      </c>
      <c r="K79">
        <v>0</v>
      </c>
      <c r="L79">
        <v>0</v>
      </c>
      <c r="M79">
        <v>0</v>
      </c>
      <c r="N79" t="s">
        <v>3915</v>
      </c>
      <c r="O79" t="s">
        <v>3915</v>
      </c>
      <c r="P79" t="s">
        <v>3915</v>
      </c>
      <c r="Q79">
        <v>0</v>
      </c>
      <c r="R79" t="s">
        <v>3011</v>
      </c>
      <c r="S79">
        <v>0</v>
      </c>
      <c r="T79">
        <v>0</v>
      </c>
      <c r="U79" t="s">
        <v>3915</v>
      </c>
      <c r="V79" t="s">
        <v>31</v>
      </c>
      <c r="W79">
        <v>0</v>
      </c>
    </row>
    <row r="80" spans="1:23" x14ac:dyDescent="0.25">
      <c r="A80" t="s">
        <v>4220</v>
      </c>
      <c r="B80" t="s">
        <v>3025</v>
      </c>
      <c r="C80" t="s">
        <v>3024</v>
      </c>
      <c r="D80" t="s">
        <v>4479</v>
      </c>
      <c r="E80" t="s">
        <v>3980</v>
      </c>
      <c r="F80" t="s">
        <v>81</v>
      </c>
      <c r="G80" t="s">
        <v>1406</v>
      </c>
      <c r="H80" s="6">
        <v>46022</v>
      </c>
      <c r="I80" t="s">
        <v>29</v>
      </c>
      <c r="J80">
        <v>39.4</v>
      </c>
      <c r="K80">
        <v>0</v>
      </c>
      <c r="L80">
        <v>0</v>
      </c>
      <c r="M80">
        <v>0</v>
      </c>
      <c r="N80" t="s">
        <v>3915</v>
      </c>
      <c r="O80" t="s">
        <v>3915</v>
      </c>
      <c r="P80" t="s">
        <v>3915</v>
      </c>
      <c r="Q80">
        <v>0</v>
      </c>
      <c r="R80" t="s">
        <v>3011</v>
      </c>
      <c r="S80">
        <v>0</v>
      </c>
      <c r="T80">
        <v>0</v>
      </c>
      <c r="U80" t="s">
        <v>3915</v>
      </c>
      <c r="V80" t="s">
        <v>31</v>
      </c>
      <c r="W80">
        <v>0</v>
      </c>
    </row>
    <row r="81" spans="1:23" x14ac:dyDescent="0.25">
      <c r="A81" t="s">
        <v>4217</v>
      </c>
      <c r="B81" t="s">
        <v>3027</v>
      </c>
      <c r="C81" t="s">
        <v>3026</v>
      </c>
      <c r="D81" t="s">
        <v>4479</v>
      </c>
      <c r="E81" t="s">
        <v>3980</v>
      </c>
      <c r="F81" t="s">
        <v>81</v>
      </c>
      <c r="G81" t="s">
        <v>1406</v>
      </c>
      <c r="H81" s="6">
        <v>46022</v>
      </c>
      <c r="I81" t="s">
        <v>29</v>
      </c>
      <c r="J81">
        <v>60.69</v>
      </c>
      <c r="K81">
        <v>0</v>
      </c>
      <c r="L81">
        <v>0</v>
      </c>
      <c r="M81">
        <v>0</v>
      </c>
      <c r="N81" t="s">
        <v>3915</v>
      </c>
      <c r="O81" t="s">
        <v>3915</v>
      </c>
      <c r="P81" t="s">
        <v>3915</v>
      </c>
      <c r="Q81">
        <v>0</v>
      </c>
      <c r="R81" t="s">
        <v>3011</v>
      </c>
      <c r="S81">
        <v>0</v>
      </c>
      <c r="T81">
        <v>0</v>
      </c>
      <c r="U81" t="s">
        <v>3915</v>
      </c>
      <c r="V81" t="s">
        <v>31</v>
      </c>
      <c r="W81">
        <v>0</v>
      </c>
    </row>
    <row r="82" spans="1:23" x14ac:dyDescent="0.25">
      <c r="A82" t="s">
        <v>4228</v>
      </c>
      <c r="B82" t="s">
        <v>3029</v>
      </c>
      <c r="C82" t="s">
        <v>3028</v>
      </c>
      <c r="D82" t="s">
        <v>4479</v>
      </c>
      <c r="E82" t="s">
        <v>3980</v>
      </c>
      <c r="F82" t="s">
        <v>81</v>
      </c>
      <c r="G82" t="s">
        <v>1406</v>
      </c>
      <c r="H82" s="6">
        <v>46022</v>
      </c>
      <c r="I82" t="s">
        <v>29</v>
      </c>
      <c r="J82">
        <v>54.95</v>
      </c>
      <c r="K82">
        <v>0</v>
      </c>
      <c r="L82">
        <v>0</v>
      </c>
      <c r="M82">
        <v>0</v>
      </c>
      <c r="N82" t="s">
        <v>3915</v>
      </c>
      <c r="O82" t="s">
        <v>3915</v>
      </c>
      <c r="P82" t="s">
        <v>3915</v>
      </c>
      <c r="Q82">
        <v>0</v>
      </c>
      <c r="R82" t="s">
        <v>3011</v>
      </c>
      <c r="S82">
        <v>0</v>
      </c>
      <c r="T82">
        <v>0</v>
      </c>
      <c r="U82" t="s">
        <v>3915</v>
      </c>
      <c r="V82" t="s">
        <v>31</v>
      </c>
      <c r="W82">
        <v>0</v>
      </c>
    </row>
    <row r="83" spans="1:23" x14ac:dyDescent="0.25">
      <c r="A83" t="s">
        <v>4330</v>
      </c>
      <c r="B83" t="s">
        <v>3031</v>
      </c>
      <c r="C83" t="s">
        <v>3030</v>
      </c>
      <c r="D83" t="s">
        <v>4479</v>
      </c>
      <c r="E83" t="s">
        <v>3980</v>
      </c>
      <c r="F83" t="s">
        <v>81</v>
      </c>
      <c r="G83" t="s">
        <v>1406</v>
      </c>
      <c r="H83" s="6">
        <v>46022</v>
      </c>
      <c r="I83" t="s">
        <v>29</v>
      </c>
      <c r="J83">
        <v>750.34</v>
      </c>
      <c r="K83">
        <v>0</v>
      </c>
      <c r="L83">
        <v>0</v>
      </c>
      <c r="M83">
        <v>0</v>
      </c>
      <c r="N83" t="s">
        <v>3915</v>
      </c>
      <c r="O83" t="s">
        <v>3915</v>
      </c>
      <c r="P83" t="s">
        <v>3915</v>
      </c>
      <c r="Q83">
        <v>0</v>
      </c>
      <c r="R83" t="s">
        <v>3011</v>
      </c>
      <c r="S83">
        <v>0</v>
      </c>
      <c r="T83">
        <v>0</v>
      </c>
      <c r="U83" t="s">
        <v>3915</v>
      </c>
      <c r="V83" t="s">
        <v>31</v>
      </c>
      <c r="W83">
        <v>0</v>
      </c>
    </row>
    <row r="84" spans="1:23" x14ac:dyDescent="0.25">
      <c r="A84" t="s">
        <v>4227</v>
      </c>
      <c r="B84" t="s">
        <v>3033</v>
      </c>
      <c r="C84" t="s">
        <v>3032</v>
      </c>
      <c r="D84" t="s">
        <v>4479</v>
      </c>
      <c r="E84" t="s">
        <v>3980</v>
      </c>
      <c r="F84" t="s">
        <v>81</v>
      </c>
      <c r="G84" t="s">
        <v>1406</v>
      </c>
      <c r="H84" s="6">
        <v>46022</v>
      </c>
      <c r="I84" t="s">
        <v>29</v>
      </c>
      <c r="J84">
        <v>96.19</v>
      </c>
      <c r="K84">
        <v>0</v>
      </c>
      <c r="L84">
        <v>0</v>
      </c>
      <c r="M84">
        <v>0</v>
      </c>
      <c r="N84" t="s">
        <v>3915</v>
      </c>
      <c r="O84" t="s">
        <v>3915</v>
      </c>
      <c r="P84" t="s">
        <v>3915</v>
      </c>
      <c r="Q84">
        <v>0</v>
      </c>
      <c r="R84" t="s">
        <v>3011</v>
      </c>
      <c r="S84">
        <v>0</v>
      </c>
      <c r="T84">
        <v>0</v>
      </c>
      <c r="U84" t="s">
        <v>3915</v>
      </c>
      <c r="V84" t="s">
        <v>31</v>
      </c>
      <c r="W84">
        <v>0</v>
      </c>
    </row>
    <row r="85" spans="1:23" x14ac:dyDescent="0.25">
      <c r="A85" t="s">
        <v>4537</v>
      </c>
      <c r="B85" t="s">
        <v>3035</v>
      </c>
      <c r="C85" t="s">
        <v>3034</v>
      </c>
      <c r="D85" t="s">
        <v>4479</v>
      </c>
      <c r="E85" t="s">
        <v>3980</v>
      </c>
      <c r="F85" t="s">
        <v>81</v>
      </c>
      <c r="G85" t="s">
        <v>1406</v>
      </c>
      <c r="H85" s="6">
        <v>46022</v>
      </c>
      <c r="I85" t="s">
        <v>29</v>
      </c>
      <c r="J85">
        <v>12.5</v>
      </c>
      <c r="K85">
        <v>0</v>
      </c>
      <c r="L85">
        <v>0</v>
      </c>
      <c r="M85">
        <v>0</v>
      </c>
      <c r="N85" t="s">
        <v>3915</v>
      </c>
      <c r="O85" t="s">
        <v>3915</v>
      </c>
      <c r="P85" t="s">
        <v>3915</v>
      </c>
      <c r="Q85">
        <v>0</v>
      </c>
      <c r="R85" t="s">
        <v>3011</v>
      </c>
      <c r="S85">
        <v>0</v>
      </c>
      <c r="T85">
        <v>0</v>
      </c>
      <c r="U85" t="s">
        <v>3915</v>
      </c>
      <c r="V85" t="s">
        <v>31</v>
      </c>
      <c r="W85">
        <v>0</v>
      </c>
    </row>
    <row r="86" spans="1:23" x14ac:dyDescent="0.25">
      <c r="A86" t="s">
        <v>4538</v>
      </c>
      <c r="B86" t="s">
        <v>3037</v>
      </c>
      <c r="C86" t="s">
        <v>3036</v>
      </c>
      <c r="D86" t="s">
        <v>4479</v>
      </c>
      <c r="E86" t="s">
        <v>3980</v>
      </c>
      <c r="F86" t="s">
        <v>81</v>
      </c>
      <c r="G86" t="s">
        <v>1406</v>
      </c>
      <c r="H86" s="6">
        <v>46022</v>
      </c>
      <c r="I86" t="s">
        <v>29</v>
      </c>
      <c r="J86">
        <v>384.87</v>
      </c>
      <c r="K86">
        <v>0</v>
      </c>
      <c r="L86">
        <v>0</v>
      </c>
      <c r="M86">
        <v>0</v>
      </c>
      <c r="N86" t="s">
        <v>3915</v>
      </c>
      <c r="O86" t="s">
        <v>3915</v>
      </c>
      <c r="P86" t="s">
        <v>3915</v>
      </c>
      <c r="Q86">
        <v>0</v>
      </c>
      <c r="R86" t="s">
        <v>3011</v>
      </c>
      <c r="S86">
        <v>0</v>
      </c>
      <c r="T86">
        <v>0</v>
      </c>
      <c r="U86" t="s">
        <v>3915</v>
      </c>
      <c r="V86" t="s">
        <v>31</v>
      </c>
      <c r="W86">
        <v>0</v>
      </c>
    </row>
    <row r="87" spans="1:23" x14ac:dyDescent="0.25">
      <c r="A87" t="s">
        <v>4539</v>
      </c>
      <c r="B87" t="s">
        <v>3039</v>
      </c>
      <c r="C87" t="s">
        <v>3038</v>
      </c>
      <c r="D87" t="s">
        <v>4479</v>
      </c>
      <c r="E87" t="s">
        <v>3980</v>
      </c>
      <c r="F87" t="s">
        <v>81</v>
      </c>
      <c r="G87" t="s">
        <v>1406</v>
      </c>
      <c r="H87" s="6">
        <v>46022</v>
      </c>
      <c r="I87" t="s">
        <v>29</v>
      </c>
      <c r="J87">
        <v>8</v>
      </c>
      <c r="K87">
        <v>0</v>
      </c>
      <c r="L87">
        <v>0</v>
      </c>
      <c r="M87">
        <v>0</v>
      </c>
      <c r="N87" t="s">
        <v>3915</v>
      </c>
      <c r="O87" t="s">
        <v>3915</v>
      </c>
      <c r="P87" t="s">
        <v>3915</v>
      </c>
      <c r="Q87">
        <v>0</v>
      </c>
      <c r="R87" t="s">
        <v>3011</v>
      </c>
      <c r="S87">
        <v>0</v>
      </c>
      <c r="T87">
        <v>0</v>
      </c>
      <c r="U87" t="s">
        <v>3915</v>
      </c>
      <c r="V87" t="s">
        <v>31</v>
      </c>
      <c r="W87">
        <v>0</v>
      </c>
    </row>
    <row r="88" spans="1:23" x14ac:dyDescent="0.25">
      <c r="A88" t="s">
        <v>4231</v>
      </c>
      <c r="B88" t="s">
        <v>3041</v>
      </c>
      <c r="C88" t="s">
        <v>3040</v>
      </c>
      <c r="D88" t="s">
        <v>4479</v>
      </c>
      <c r="E88" t="s">
        <v>3980</v>
      </c>
      <c r="F88" t="s">
        <v>81</v>
      </c>
      <c r="G88" t="s">
        <v>1406</v>
      </c>
      <c r="H88" s="6">
        <v>46022</v>
      </c>
      <c r="I88" t="s">
        <v>29</v>
      </c>
      <c r="J88">
        <v>4.33</v>
      </c>
      <c r="K88">
        <v>0</v>
      </c>
      <c r="L88">
        <v>0</v>
      </c>
      <c r="M88">
        <v>0</v>
      </c>
      <c r="N88" t="s">
        <v>3915</v>
      </c>
      <c r="O88" t="s">
        <v>3915</v>
      </c>
      <c r="P88" t="s">
        <v>3915</v>
      </c>
      <c r="Q88">
        <v>0</v>
      </c>
      <c r="R88" t="s">
        <v>3011</v>
      </c>
      <c r="S88">
        <v>0</v>
      </c>
      <c r="T88">
        <v>0</v>
      </c>
      <c r="U88" t="s">
        <v>3915</v>
      </c>
      <c r="V88" t="s">
        <v>31</v>
      </c>
      <c r="W88">
        <v>0</v>
      </c>
    </row>
    <row r="89" spans="1:23" x14ac:dyDescent="0.25">
      <c r="A89" t="s">
        <v>4222</v>
      </c>
      <c r="B89" t="s">
        <v>3043</v>
      </c>
      <c r="C89" t="s">
        <v>3042</v>
      </c>
      <c r="D89" t="s">
        <v>4479</v>
      </c>
      <c r="E89" t="s">
        <v>3980</v>
      </c>
      <c r="F89" t="s">
        <v>81</v>
      </c>
      <c r="G89" t="s">
        <v>1406</v>
      </c>
      <c r="H89" s="6">
        <v>46022</v>
      </c>
      <c r="I89" t="s">
        <v>29</v>
      </c>
      <c r="J89">
        <v>79.459999999999994</v>
      </c>
      <c r="K89">
        <v>0</v>
      </c>
      <c r="L89">
        <v>0</v>
      </c>
      <c r="M89">
        <v>0</v>
      </c>
      <c r="N89" t="s">
        <v>3915</v>
      </c>
      <c r="O89" t="s">
        <v>3915</v>
      </c>
      <c r="P89" t="s">
        <v>3915</v>
      </c>
      <c r="Q89">
        <v>0</v>
      </c>
      <c r="R89" t="s">
        <v>3011</v>
      </c>
      <c r="S89">
        <v>0</v>
      </c>
      <c r="T89">
        <v>0</v>
      </c>
      <c r="U89" t="s">
        <v>3915</v>
      </c>
      <c r="V89" t="s">
        <v>31</v>
      </c>
      <c r="W89">
        <v>0</v>
      </c>
    </row>
    <row r="90" spans="1:23" x14ac:dyDescent="0.25">
      <c r="A90" t="s">
        <v>4225</v>
      </c>
      <c r="B90" t="s">
        <v>3045</v>
      </c>
      <c r="C90" t="s">
        <v>3044</v>
      </c>
      <c r="D90" t="s">
        <v>4479</v>
      </c>
      <c r="E90" t="s">
        <v>3980</v>
      </c>
      <c r="F90" t="s">
        <v>81</v>
      </c>
      <c r="G90" t="s">
        <v>1406</v>
      </c>
      <c r="H90" s="6">
        <v>46022</v>
      </c>
      <c r="I90" t="s">
        <v>29</v>
      </c>
      <c r="J90">
        <v>50.92</v>
      </c>
      <c r="K90">
        <v>0</v>
      </c>
      <c r="L90">
        <v>0</v>
      </c>
      <c r="M90">
        <v>0</v>
      </c>
      <c r="N90" t="s">
        <v>3915</v>
      </c>
      <c r="O90" t="s">
        <v>3915</v>
      </c>
      <c r="P90" t="s">
        <v>3915</v>
      </c>
      <c r="Q90">
        <v>0</v>
      </c>
      <c r="R90" t="s">
        <v>3011</v>
      </c>
      <c r="S90">
        <v>0</v>
      </c>
      <c r="T90">
        <v>0</v>
      </c>
      <c r="U90" t="s">
        <v>3915</v>
      </c>
      <c r="V90" t="s">
        <v>31</v>
      </c>
      <c r="W90">
        <v>0</v>
      </c>
    </row>
    <row r="91" spans="1:23" x14ac:dyDescent="0.25">
      <c r="A91" t="s">
        <v>4540</v>
      </c>
      <c r="B91" t="s">
        <v>3047</v>
      </c>
      <c r="C91" t="s">
        <v>3046</v>
      </c>
      <c r="D91" t="s">
        <v>4479</v>
      </c>
      <c r="E91" t="s">
        <v>3980</v>
      </c>
      <c r="F91" t="s">
        <v>81</v>
      </c>
      <c r="G91" t="s">
        <v>1406</v>
      </c>
      <c r="H91" s="6">
        <v>46022</v>
      </c>
      <c r="I91" t="s">
        <v>29</v>
      </c>
      <c r="J91">
        <v>72</v>
      </c>
      <c r="K91">
        <v>0</v>
      </c>
      <c r="L91">
        <v>0</v>
      </c>
      <c r="M91">
        <v>0</v>
      </c>
      <c r="N91" t="s">
        <v>3915</v>
      </c>
      <c r="O91" t="s">
        <v>3915</v>
      </c>
      <c r="P91" t="s">
        <v>3915</v>
      </c>
      <c r="Q91">
        <v>0</v>
      </c>
      <c r="R91" t="s">
        <v>30</v>
      </c>
      <c r="S91">
        <v>0</v>
      </c>
      <c r="T91">
        <v>0</v>
      </c>
      <c r="U91" t="s">
        <v>3915</v>
      </c>
      <c r="V91" t="s">
        <v>31</v>
      </c>
      <c r="W91">
        <v>0</v>
      </c>
    </row>
    <row r="92" spans="1:23" x14ac:dyDescent="0.25">
      <c r="A92" t="s">
        <v>4355</v>
      </c>
      <c r="B92" t="s">
        <v>3049</v>
      </c>
      <c r="C92" t="s">
        <v>3048</v>
      </c>
      <c r="D92" t="s">
        <v>4479</v>
      </c>
      <c r="E92" t="s">
        <v>3980</v>
      </c>
      <c r="F92" t="s">
        <v>81</v>
      </c>
      <c r="G92" t="s">
        <v>1406</v>
      </c>
      <c r="H92" s="6">
        <v>46022</v>
      </c>
      <c r="I92" t="s">
        <v>29</v>
      </c>
      <c r="J92">
        <v>14</v>
      </c>
      <c r="K92">
        <v>0</v>
      </c>
      <c r="L92">
        <v>0</v>
      </c>
      <c r="M92">
        <v>0</v>
      </c>
      <c r="N92" t="s">
        <v>3915</v>
      </c>
      <c r="O92" t="s">
        <v>3915</v>
      </c>
      <c r="P92" t="s">
        <v>3915</v>
      </c>
      <c r="Q92">
        <v>0</v>
      </c>
      <c r="R92" t="s">
        <v>30</v>
      </c>
      <c r="S92">
        <v>0</v>
      </c>
      <c r="T92">
        <v>0</v>
      </c>
      <c r="U92" t="s">
        <v>3915</v>
      </c>
      <c r="V92" t="s">
        <v>31</v>
      </c>
      <c r="W92">
        <v>0</v>
      </c>
    </row>
    <row r="93" spans="1:23" x14ac:dyDescent="0.25">
      <c r="A93" t="s">
        <v>4541</v>
      </c>
      <c r="B93" t="s">
        <v>3051</v>
      </c>
      <c r="C93" t="s">
        <v>3050</v>
      </c>
      <c r="D93" t="s">
        <v>4479</v>
      </c>
      <c r="E93" t="s">
        <v>3980</v>
      </c>
      <c r="F93" t="s">
        <v>81</v>
      </c>
      <c r="G93" t="s">
        <v>1406</v>
      </c>
      <c r="H93" s="6">
        <v>46022</v>
      </c>
      <c r="I93" t="s">
        <v>29</v>
      </c>
      <c r="J93">
        <v>199</v>
      </c>
      <c r="K93">
        <v>0</v>
      </c>
      <c r="L93">
        <v>0</v>
      </c>
      <c r="M93">
        <v>0</v>
      </c>
      <c r="N93" t="s">
        <v>3915</v>
      </c>
      <c r="O93" t="s">
        <v>3915</v>
      </c>
      <c r="P93" t="s">
        <v>3915</v>
      </c>
      <c r="Q93">
        <v>0</v>
      </c>
      <c r="R93" t="s">
        <v>30</v>
      </c>
      <c r="S93">
        <v>0</v>
      </c>
      <c r="T93">
        <v>0</v>
      </c>
      <c r="U93" t="s">
        <v>3915</v>
      </c>
      <c r="V93" t="s">
        <v>31</v>
      </c>
      <c r="W93">
        <v>0</v>
      </c>
    </row>
    <row r="94" spans="1:23" x14ac:dyDescent="0.25">
      <c r="A94" t="s">
        <v>4386</v>
      </c>
      <c r="B94" t="s">
        <v>3053</v>
      </c>
      <c r="C94" t="s">
        <v>3052</v>
      </c>
      <c r="D94" t="s">
        <v>4479</v>
      </c>
      <c r="E94" t="s">
        <v>3980</v>
      </c>
      <c r="F94" t="s">
        <v>81</v>
      </c>
      <c r="G94" t="s">
        <v>1406</v>
      </c>
      <c r="H94" s="6">
        <v>46022</v>
      </c>
      <c r="I94" t="s">
        <v>29</v>
      </c>
      <c r="J94">
        <v>1027</v>
      </c>
      <c r="K94">
        <v>0</v>
      </c>
      <c r="L94">
        <v>0</v>
      </c>
      <c r="M94">
        <v>0</v>
      </c>
      <c r="N94" t="s">
        <v>3915</v>
      </c>
      <c r="O94" t="s">
        <v>3915</v>
      </c>
      <c r="P94" t="s">
        <v>3915</v>
      </c>
      <c r="Q94">
        <v>0</v>
      </c>
      <c r="R94" t="s">
        <v>30</v>
      </c>
      <c r="S94">
        <v>0</v>
      </c>
      <c r="T94">
        <v>0</v>
      </c>
      <c r="U94" t="s">
        <v>3915</v>
      </c>
      <c r="V94" t="s">
        <v>31</v>
      </c>
      <c r="W94">
        <v>0</v>
      </c>
    </row>
    <row r="95" spans="1:23" x14ac:dyDescent="0.25">
      <c r="A95" t="s">
        <v>4224</v>
      </c>
      <c r="B95" t="s">
        <v>3055</v>
      </c>
      <c r="C95" t="s">
        <v>3054</v>
      </c>
      <c r="D95" t="s">
        <v>4479</v>
      </c>
      <c r="E95" t="s">
        <v>3980</v>
      </c>
      <c r="F95" t="s">
        <v>81</v>
      </c>
      <c r="G95" t="s">
        <v>1406</v>
      </c>
      <c r="H95" s="6">
        <v>46022</v>
      </c>
      <c r="I95" t="s">
        <v>29</v>
      </c>
      <c r="J95">
        <v>1535</v>
      </c>
      <c r="K95">
        <v>0</v>
      </c>
      <c r="L95">
        <v>0</v>
      </c>
      <c r="M95">
        <v>0</v>
      </c>
      <c r="N95" t="s">
        <v>3915</v>
      </c>
      <c r="O95" t="s">
        <v>3915</v>
      </c>
      <c r="P95" t="s">
        <v>3915</v>
      </c>
      <c r="Q95">
        <v>0</v>
      </c>
      <c r="R95" t="s">
        <v>30</v>
      </c>
      <c r="S95">
        <v>0</v>
      </c>
      <c r="T95">
        <v>0</v>
      </c>
      <c r="U95" t="s">
        <v>3915</v>
      </c>
      <c r="V95" t="s">
        <v>31</v>
      </c>
      <c r="W95">
        <v>0</v>
      </c>
    </row>
    <row r="96" spans="1:23" x14ac:dyDescent="0.25">
      <c r="A96" t="s">
        <v>4542</v>
      </c>
      <c r="B96" t="s">
        <v>3057</v>
      </c>
      <c r="C96" t="s">
        <v>3056</v>
      </c>
      <c r="D96" t="s">
        <v>4479</v>
      </c>
      <c r="E96" t="s">
        <v>3980</v>
      </c>
      <c r="F96" t="s">
        <v>81</v>
      </c>
      <c r="G96" t="s">
        <v>1406</v>
      </c>
      <c r="H96" s="6">
        <v>46022</v>
      </c>
      <c r="I96" t="s">
        <v>29</v>
      </c>
      <c r="J96">
        <v>136</v>
      </c>
      <c r="K96">
        <v>0</v>
      </c>
      <c r="L96">
        <v>0</v>
      </c>
      <c r="M96">
        <v>0</v>
      </c>
      <c r="N96" t="s">
        <v>3915</v>
      </c>
      <c r="O96" t="s">
        <v>3915</v>
      </c>
      <c r="P96" t="s">
        <v>3915</v>
      </c>
      <c r="Q96">
        <v>0</v>
      </c>
      <c r="R96" t="s">
        <v>30</v>
      </c>
      <c r="S96">
        <v>0</v>
      </c>
      <c r="T96">
        <v>0</v>
      </c>
      <c r="U96" t="s">
        <v>3915</v>
      </c>
      <c r="V96" t="s">
        <v>31</v>
      </c>
      <c r="W96">
        <v>0</v>
      </c>
    </row>
    <row r="97" spans="1:23" x14ac:dyDescent="0.25">
      <c r="A97" t="s">
        <v>4543</v>
      </c>
      <c r="B97" t="s">
        <v>3059</v>
      </c>
      <c r="C97" t="s">
        <v>3058</v>
      </c>
      <c r="D97" t="s">
        <v>4479</v>
      </c>
      <c r="E97" t="s">
        <v>3980</v>
      </c>
      <c r="F97" t="s">
        <v>81</v>
      </c>
      <c r="G97" t="s">
        <v>1406</v>
      </c>
      <c r="H97" s="6">
        <v>46022</v>
      </c>
      <c r="I97" t="s">
        <v>29</v>
      </c>
      <c r="J97">
        <v>133</v>
      </c>
      <c r="K97">
        <v>0</v>
      </c>
      <c r="L97">
        <v>0</v>
      </c>
      <c r="M97">
        <v>0</v>
      </c>
      <c r="N97" t="s">
        <v>3915</v>
      </c>
      <c r="O97" t="s">
        <v>3915</v>
      </c>
      <c r="P97" t="s">
        <v>3915</v>
      </c>
      <c r="Q97">
        <v>0</v>
      </c>
      <c r="R97" t="s">
        <v>30</v>
      </c>
      <c r="S97">
        <v>0</v>
      </c>
      <c r="T97">
        <v>0</v>
      </c>
      <c r="U97" t="s">
        <v>3915</v>
      </c>
      <c r="V97" t="s">
        <v>31</v>
      </c>
      <c r="W97">
        <v>0</v>
      </c>
    </row>
    <row r="98" spans="1:23" x14ac:dyDescent="0.25">
      <c r="A98" t="s">
        <v>4544</v>
      </c>
      <c r="B98" t="s">
        <v>3061</v>
      </c>
      <c r="C98" t="s">
        <v>3060</v>
      </c>
      <c r="D98" t="s">
        <v>4479</v>
      </c>
      <c r="E98" t="s">
        <v>3980</v>
      </c>
      <c r="F98" t="s">
        <v>81</v>
      </c>
      <c r="G98" t="s">
        <v>1406</v>
      </c>
      <c r="H98" s="6">
        <v>46022</v>
      </c>
      <c r="I98" t="s">
        <v>29</v>
      </c>
      <c r="J98">
        <v>640</v>
      </c>
      <c r="K98">
        <v>0</v>
      </c>
      <c r="L98">
        <v>0</v>
      </c>
      <c r="M98">
        <v>0</v>
      </c>
      <c r="N98" t="s">
        <v>3915</v>
      </c>
      <c r="O98" t="s">
        <v>3915</v>
      </c>
      <c r="P98" t="s">
        <v>3915</v>
      </c>
      <c r="Q98">
        <v>0</v>
      </c>
      <c r="R98" t="s">
        <v>30</v>
      </c>
      <c r="S98">
        <v>0</v>
      </c>
      <c r="T98">
        <v>0</v>
      </c>
      <c r="U98" t="s">
        <v>3915</v>
      </c>
      <c r="V98" t="s">
        <v>31</v>
      </c>
      <c r="W98">
        <v>0</v>
      </c>
    </row>
    <row r="99" spans="1:23" x14ac:dyDescent="0.25">
      <c r="A99" t="s">
        <v>1388</v>
      </c>
      <c r="B99" t="s">
        <v>3063</v>
      </c>
      <c r="C99" t="s">
        <v>3062</v>
      </c>
      <c r="D99" t="s">
        <v>4479</v>
      </c>
      <c r="E99" t="s">
        <v>3980</v>
      </c>
      <c r="F99" t="s">
        <v>81</v>
      </c>
      <c r="G99" t="s">
        <v>1406</v>
      </c>
      <c r="H99" s="6">
        <v>46022</v>
      </c>
      <c r="I99" t="s">
        <v>29</v>
      </c>
      <c r="J99">
        <v>17</v>
      </c>
      <c r="K99">
        <v>0</v>
      </c>
      <c r="L99">
        <v>0</v>
      </c>
      <c r="M99">
        <v>0</v>
      </c>
      <c r="N99" t="s">
        <v>3915</v>
      </c>
      <c r="O99" t="s">
        <v>3915</v>
      </c>
      <c r="P99" t="s">
        <v>3915</v>
      </c>
      <c r="Q99">
        <v>0</v>
      </c>
      <c r="R99" t="s">
        <v>30</v>
      </c>
      <c r="S99">
        <v>0</v>
      </c>
      <c r="T99">
        <v>0</v>
      </c>
      <c r="U99" t="s">
        <v>3915</v>
      </c>
      <c r="V99" t="s">
        <v>31</v>
      </c>
      <c r="W99">
        <v>0</v>
      </c>
    </row>
    <row r="100" spans="1:23" x14ac:dyDescent="0.25">
      <c r="A100" t="s">
        <v>4427</v>
      </c>
      <c r="B100" t="s">
        <v>3065</v>
      </c>
      <c r="C100" t="s">
        <v>3064</v>
      </c>
      <c r="D100" t="s">
        <v>4479</v>
      </c>
      <c r="E100" t="s">
        <v>3980</v>
      </c>
      <c r="F100" t="s">
        <v>81</v>
      </c>
      <c r="G100" t="s">
        <v>1406</v>
      </c>
      <c r="H100" s="6">
        <v>46022</v>
      </c>
      <c r="I100" t="s">
        <v>29</v>
      </c>
      <c r="J100">
        <v>21</v>
      </c>
      <c r="K100">
        <v>0</v>
      </c>
      <c r="L100">
        <v>0</v>
      </c>
      <c r="M100">
        <v>0</v>
      </c>
      <c r="N100" t="s">
        <v>3915</v>
      </c>
      <c r="O100" t="s">
        <v>3915</v>
      </c>
      <c r="P100" t="s">
        <v>3915</v>
      </c>
      <c r="Q100">
        <v>0</v>
      </c>
      <c r="R100" t="s">
        <v>30</v>
      </c>
      <c r="S100">
        <v>0</v>
      </c>
      <c r="T100">
        <v>0</v>
      </c>
      <c r="U100" t="s">
        <v>3915</v>
      </c>
      <c r="V100" t="s">
        <v>31</v>
      </c>
      <c r="W100">
        <v>0</v>
      </c>
    </row>
    <row r="101" spans="1:23" x14ac:dyDescent="0.25">
      <c r="A101" t="s">
        <v>4433</v>
      </c>
      <c r="B101" t="s">
        <v>3067</v>
      </c>
      <c r="C101" t="s">
        <v>3066</v>
      </c>
      <c r="D101" t="s">
        <v>4479</v>
      </c>
      <c r="E101" t="s">
        <v>3980</v>
      </c>
      <c r="F101" t="s">
        <v>81</v>
      </c>
      <c r="G101" t="s">
        <v>1406</v>
      </c>
      <c r="H101" s="6">
        <v>46022</v>
      </c>
      <c r="I101" t="s">
        <v>29</v>
      </c>
      <c r="J101">
        <v>21</v>
      </c>
      <c r="K101">
        <v>0</v>
      </c>
      <c r="L101">
        <v>0</v>
      </c>
      <c r="M101">
        <v>0</v>
      </c>
      <c r="N101" t="s">
        <v>3915</v>
      </c>
      <c r="O101" t="s">
        <v>3915</v>
      </c>
      <c r="P101" t="s">
        <v>3915</v>
      </c>
      <c r="Q101">
        <v>0</v>
      </c>
      <c r="R101" t="s">
        <v>30</v>
      </c>
      <c r="S101">
        <v>0</v>
      </c>
      <c r="T101">
        <v>0</v>
      </c>
      <c r="U101" t="s">
        <v>3915</v>
      </c>
      <c r="V101" t="s">
        <v>31</v>
      </c>
      <c r="W101">
        <v>0</v>
      </c>
    </row>
    <row r="102" spans="1:23" x14ac:dyDescent="0.25">
      <c r="A102" t="s">
        <v>4432</v>
      </c>
      <c r="B102" t="s">
        <v>3069</v>
      </c>
      <c r="C102" t="s">
        <v>3068</v>
      </c>
      <c r="D102" t="s">
        <v>4479</v>
      </c>
      <c r="E102" t="s">
        <v>3980</v>
      </c>
      <c r="F102" t="s">
        <v>81</v>
      </c>
      <c r="G102" t="s">
        <v>1406</v>
      </c>
      <c r="H102" s="6">
        <v>46022</v>
      </c>
      <c r="I102" t="s">
        <v>29</v>
      </c>
      <c r="J102">
        <v>13</v>
      </c>
      <c r="K102">
        <v>0</v>
      </c>
      <c r="L102">
        <v>0</v>
      </c>
      <c r="M102">
        <v>0</v>
      </c>
      <c r="N102" t="s">
        <v>3915</v>
      </c>
      <c r="O102" t="s">
        <v>3915</v>
      </c>
      <c r="P102" t="s">
        <v>3915</v>
      </c>
      <c r="Q102">
        <v>0</v>
      </c>
      <c r="R102" t="s">
        <v>30</v>
      </c>
      <c r="S102">
        <v>0</v>
      </c>
      <c r="T102">
        <v>0</v>
      </c>
      <c r="U102" t="s">
        <v>3915</v>
      </c>
      <c r="V102" t="s">
        <v>31</v>
      </c>
      <c r="W102">
        <v>0</v>
      </c>
    </row>
    <row r="103" spans="1:23" x14ac:dyDescent="0.25">
      <c r="A103" t="s">
        <v>4338</v>
      </c>
      <c r="B103" t="s">
        <v>3071</v>
      </c>
      <c r="C103" t="s">
        <v>3070</v>
      </c>
      <c r="D103" t="s">
        <v>4479</v>
      </c>
      <c r="E103" t="s">
        <v>3980</v>
      </c>
      <c r="F103" t="s">
        <v>81</v>
      </c>
      <c r="G103" t="s">
        <v>1406</v>
      </c>
      <c r="H103" s="6">
        <v>46022</v>
      </c>
      <c r="I103" t="s">
        <v>29</v>
      </c>
      <c r="J103">
        <v>96</v>
      </c>
      <c r="K103">
        <v>0</v>
      </c>
      <c r="L103">
        <v>0</v>
      </c>
      <c r="M103">
        <v>0</v>
      </c>
      <c r="N103" t="s">
        <v>3915</v>
      </c>
      <c r="O103" t="s">
        <v>3915</v>
      </c>
      <c r="P103" t="s">
        <v>3915</v>
      </c>
      <c r="Q103">
        <v>0</v>
      </c>
      <c r="R103" t="s">
        <v>30</v>
      </c>
      <c r="S103">
        <v>0</v>
      </c>
      <c r="T103">
        <v>0</v>
      </c>
      <c r="U103" t="s">
        <v>3915</v>
      </c>
      <c r="V103" t="s">
        <v>31</v>
      </c>
      <c r="W103">
        <v>0</v>
      </c>
    </row>
    <row r="104" spans="1:23" x14ac:dyDescent="0.25">
      <c r="A104" t="s">
        <v>4238</v>
      </c>
      <c r="B104" t="s">
        <v>3073</v>
      </c>
      <c r="C104" t="s">
        <v>3072</v>
      </c>
      <c r="D104" t="s">
        <v>4479</v>
      </c>
      <c r="E104" t="s">
        <v>3980</v>
      </c>
      <c r="F104" t="s">
        <v>81</v>
      </c>
      <c r="G104" t="s">
        <v>1406</v>
      </c>
      <c r="H104" s="6">
        <v>46022</v>
      </c>
      <c r="I104" t="s">
        <v>29</v>
      </c>
      <c r="J104">
        <v>11</v>
      </c>
      <c r="K104">
        <v>0</v>
      </c>
      <c r="L104">
        <v>0</v>
      </c>
      <c r="M104">
        <v>0</v>
      </c>
      <c r="N104" t="s">
        <v>3915</v>
      </c>
      <c r="O104" t="s">
        <v>3915</v>
      </c>
      <c r="P104" t="s">
        <v>3915</v>
      </c>
      <c r="Q104">
        <v>0</v>
      </c>
      <c r="R104" t="s">
        <v>30</v>
      </c>
      <c r="S104">
        <v>0</v>
      </c>
      <c r="T104">
        <v>0</v>
      </c>
      <c r="U104" t="s">
        <v>3915</v>
      </c>
      <c r="V104" t="s">
        <v>31</v>
      </c>
      <c r="W104">
        <v>0</v>
      </c>
    </row>
    <row r="105" spans="1:23" x14ac:dyDescent="0.25">
      <c r="A105" t="s">
        <v>4545</v>
      </c>
      <c r="B105" t="s">
        <v>3075</v>
      </c>
      <c r="C105" t="s">
        <v>3074</v>
      </c>
      <c r="D105" t="s">
        <v>4479</v>
      </c>
      <c r="E105" t="s">
        <v>3980</v>
      </c>
      <c r="F105" t="s">
        <v>81</v>
      </c>
      <c r="G105" t="s">
        <v>1406</v>
      </c>
      <c r="H105" s="6">
        <v>46022</v>
      </c>
      <c r="I105" t="s">
        <v>29</v>
      </c>
      <c r="J105">
        <v>30</v>
      </c>
      <c r="K105">
        <v>0</v>
      </c>
      <c r="L105">
        <v>0</v>
      </c>
      <c r="M105">
        <v>0</v>
      </c>
      <c r="N105" t="s">
        <v>3915</v>
      </c>
      <c r="O105" t="s">
        <v>3915</v>
      </c>
      <c r="P105" t="s">
        <v>3915</v>
      </c>
      <c r="Q105">
        <v>0</v>
      </c>
      <c r="R105" t="s">
        <v>30</v>
      </c>
      <c r="S105">
        <v>0</v>
      </c>
      <c r="T105">
        <v>0</v>
      </c>
      <c r="U105" t="s">
        <v>3915</v>
      </c>
      <c r="V105" t="s">
        <v>31</v>
      </c>
      <c r="W105">
        <v>0</v>
      </c>
    </row>
    <row r="106" spans="1:23" x14ac:dyDescent="0.25">
      <c r="A106" t="s">
        <v>4240</v>
      </c>
      <c r="B106" t="s">
        <v>3077</v>
      </c>
      <c r="C106" t="s">
        <v>3076</v>
      </c>
      <c r="D106" t="s">
        <v>4479</v>
      </c>
      <c r="E106" t="s">
        <v>3980</v>
      </c>
      <c r="F106" t="s">
        <v>81</v>
      </c>
      <c r="G106" t="s">
        <v>1406</v>
      </c>
      <c r="H106" s="6">
        <v>46022</v>
      </c>
      <c r="I106" t="s">
        <v>29</v>
      </c>
      <c r="J106">
        <v>22</v>
      </c>
      <c r="K106">
        <v>0</v>
      </c>
      <c r="L106">
        <v>0</v>
      </c>
      <c r="M106">
        <v>0</v>
      </c>
      <c r="N106" t="s">
        <v>3915</v>
      </c>
      <c r="O106" t="s">
        <v>3915</v>
      </c>
      <c r="P106" t="s">
        <v>3915</v>
      </c>
      <c r="Q106">
        <v>0</v>
      </c>
      <c r="R106" t="s">
        <v>30</v>
      </c>
      <c r="S106">
        <v>0</v>
      </c>
      <c r="T106">
        <v>0</v>
      </c>
      <c r="U106" t="s">
        <v>3915</v>
      </c>
      <c r="V106" t="s">
        <v>31</v>
      </c>
      <c r="W106">
        <v>0</v>
      </c>
    </row>
    <row r="107" spans="1:23" x14ac:dyDescent="0.25">
      <c r="A107" t="s">
        <v>4241</v>
      </c>
      <c r="B107" t="s">
        <v>3079</v>
      </c>
      <c r="C107" t="s">
        <v>3078</v>
      </c>
      <c r="D107" t="s">
        <v>4479</v>
      </c>
      <c r="E107" t="s">
        <v>3980</v>
      </c>
      <c r="F107" t="s">
        <v>81</v>
      </c>
      <c r="G107" t="s">
        <v>1406</v>
      </c>
      <c r="H107" s="6">
        <v>46022</v>
      </c>
      <c r="I107" t="s">
        <v>29</v>
      </c>
      <c r="J107">
        <v>20</v>
      </c>
      <c r="K107">
        <v>0</v>
      </c>
      <c r="L107">
        <v>0</v>
      </c>
      <c r="M107">
        <v>0</v>
      </c>
      <c r="N107" t="s">
        <v>3915</v>
      </c>
      <c r="O107" t="s">
        <v>3915</v>
      </c>
      <c r="P107" t="s">
        <v>3915</v>
      </c>
      <c r="Q107">
        <v>0</v>
      </c>
      <c r="R107" t="s">
        <v>30</v>
      </c>
      <c r="S107">
        <v>0</v>
      </c>
      <c r="T107">
        <v>0</v>
      </c>
      <c r="U107" t="s">
        <v>3915</v>
      </c>
      <c r="V107" t="s">
        <v>31</v>
      </c>
      <c r="W107">
        <v>0</v>
      </c>
    </row>
    <row r="108" spans="1:23" x14ac:dyDescent="0.25">
      <c r="A108" t="s">
        <v>4390</v>
      </c>
      <c r="B108" t="s">
        <v>3081</v>
      </c>
      <c r="C108" t="s">
        <v>3080</v>
      </c>
      <c r="D108" t="s">
        <v>4479</v>
      </c>
      <c r="E108" t="s">
        <v>3980</v>
      </c>
      <c r="F108" t="s">
        <v>81</v>
      </c>
      <c r="G108" t="s">
        <v>1406</v>
      </c>
      <c r="H108" s="6">
        <v>46022</v>
      </c>
      <c r="I108" t="s">
        <v>29</v>
      </c>
      <c r="J108">
        <v>349</v>
      </c>
      <c r="K108">
        <v>0</v>
      </c>
      <c r="L108">
        <v>0</v>
      </c>
      <c r="M108">
        <v>0</v>
      </c>
      <c r="N108" t="s">
        <v>3915</v>
      </c>
      <c r="O108" t="s">
        <v>3915</v>
      </c>
      <c r="P108" t="s">
        <v>3915</v>
      </c>
      <c r="Q108">
        <v>0</v>
      </c>
      <c r="R108" t="s">
        <v>30</v>
      </c>
      <c r="S108">
        <v>0</v>
      </c>
      <c r="T108">
        <v>0</v>
      </c>
      <c r="U108" t="s">
        <v>3915</v>
      </c>
      <c r="V108" t="s">
        <v>31</v>
      </c>
      <c r="W108">
        <v>0</v>
      </c>
    </row>
    <row r="109" spans="1:23" x14ac:dyDescent="0.25">
      <c r="A109" t="s">
        <v>4546</v>
      </c>
      <c r="B109" t="s">
        <v>1044</v>
      </c>
      <c r="C109" t="s">
        <v>1045</v>
      </c>
      <c r="D109" t="s">
        <v>4479</v>
      </c>
      <c r="E109" t="s">
        <v>4547</v>
      </c>
      <c r="F109" t="s">
        <v>1046</v>
      </c>
      <c r="G109" t="s">
        <v>1406</v>
      </c>
      <c r="H109" s="6">
        <v>46022</v>
      </c>
      <c r="I109" t="s">
        <v>29</v>
      </c>
      <c r="J109">
        <v>0</v>
      </c>
      <c r="K109">
        <v>0</v>
      </c>
      <c r="L109">
        <v>0</v>
      </c>
      <c r="M109">
        <v>0</v>
      </c>
      <c r="N109" t="s">
        <v>3915</v>
      </c>
      <c r="O109" t="s">
        <v>3915</v>
      </c>
      <c r="P109" t="s">
        <v>3915</v>
      </c>
      <c r="Q109">
        <v>0</v>
      </c>
      <c r="R109" t="s">
        <v>101</v>
      </c>
      <c r="S109">
        <v>0</v>
      </c>
      <c r="T109">
        <v>0</v>
      </c>
      <c r="U109" t="s">
        <v>3915</v>
      </c>
      <c r="V109" t="s">
        <v>31</v>
      </c>
      <c r="W109">
        <v>0</v>
      </c>
    </row>
    <row r="110" spans="1:23" x14ac:dyDescent="0.25">
      <c r="A110" t="s">
        <v>3974</v>
      </c>
      <c r="B110" t="s">
        <v>1051</v>
      </c>
      <c r="C110" t="s">
        <v>1052</v>
      </c>
      <c r="D110" t="s">
        <v>4479</v>
      </c>
      <c r="E110" t="s">
        <v>4547</v>
      </c>
      <c r="F110" t="s">
        <v>1046</v>
      </c>
      <c r="G110" t="s">
        <v>1406</v>
      </c>
      <c r="H110" s="6">
        <v>46022</v>
      </c>
      <c r="I110" t="s">
        <v>29</v>
      </c>
      <c r="J110">
        <v>0</v>
      </c>
      <c r="K110">
        <v>0</v>
      </c>
      <c r="L110">
        <v>0</v>
      </c>
      <c r="M110">
        <v>0</v>
      </c>
      <c r="N110" t="s">
        <v>3915</v>
      </c>
      <c r="O110" t="s">
        <v>3915</v>
      </c>
      <c r="P110" t="s">
        <v>3915</v>
      </c>
      <c r="Q110">
        <v>0</v>
      </c>
      <c r="R110" t="s">
        <v>104</v>
      </c>
      <c r="S110">
        <v>0</v>
      </c>
      <c r="T110">
        <v>0</v>
      </c>
      <c r="U110" t="s">
        <v>3915</v>
      </c>
      <c r="V110" t="s">
        <v>31</v>
      </c>
      <c r="W110">
        <v>0</v>
      </c>
    </row>
    <row r="111" spans="1:23" x14ac:dyDescent="0.25">
      <c r="A111" t="s">
        <v>4460</v>
      </c>
      <c r="B111" t="s">
        <v>1057</v>
      </c>
      <c r="C111" t="s">
        <v>1058</v>
      </c>
      <c r="D111" t="s">
        <v>4479</v>
      </c>
      <c r="E111" t="s">
        <v>4547</v>
      </c>
      <c r="F111" t="s">
        <v>1046</v>
      </c>
      <c r="G111" t="s">
        <v>1406</v>
      </c>
      <c r="H111" s="6">
        <v>46022</v>
      </c>
      <c r="I111" t="s">
        <v>29</v>
      </c>
      <c r="J111">
        <v>0</v>
      </c>
      <c r="K111">
        <v>0</v>
      </c>
      <c r="L111">
        <v>0</v>
      </c>
      <c r="M111">
        <v>0</v>
      </c>
      <c r="N111" t="s">
        <v>3915</v>
      </c>
      <c r="O111" t="s">
        <v>3915</v>
      </c>
      <c r="P111" t="s">
        <v>3915</v>
      </c>
      <c r="Q111">
        <v>0</v>
      </c>
      <c r="R111" t="s">
        <v>101</v>
      </c>
      <c r="S111">
        <v>0</v>
      </c>
      <c r="T111">
        <v>0</v>
      </c>
      <c r="U111" t="s">
        <v>3915</v>
      </c>
      <c r="V111" t="s">
        <v>31</v>
      </c>
      <c r="W111">
        <v>0</v>
      </c>
    </row>
    <row r="112" spans="1:23" x14ac:dyDescent="0.25">
      <c r="A112" t="s">
        <v>4548</v>
      </c>
      <c r="B112" t="s">
        <v>3083</v>
      </c>
      <c r="C112" t="s">
        <v>3082</v>
      </c>
      <c r="D112" t="s">
        <v>4479</v>
      </c>
      <c r="E112" t="s">
        <v>4547</v>
      </c>
      <c r="F112" t="s">
        <v>1046</v>
      </c>
      <c r="G112" t="s">
        <v>1406</v>
      </c>
      <c r="H112" s="6">
        <v>46022</v>
      </c>
      <c r="I112" t="s">
        <v>29</v>
      </c>
      <c r="J112">
        <v>0.5</v>
      </c>
      <c r="K112">
        <v>0</v>
      </c>
      <c r="L112">
        <v>0</v>
      </c>
      <c r="M112">
        <v>0</v>
      </c>
      <c r="N112" t="s">
        <v>3915</v>
      </c>
      <c r="O112" t="s">
        <v>3915</v>
      </c>
      <c r="P112" t="s">
        <v>3915</v>
      </c>
      <c r="Q112">
        <v>0</v>
      </c>
      <c r="R112" t="s">
        <v>101</v>
      </c>
      <c r="S112">
        <v>0</v>
      </c>
      <c r="T112">
        <v>0</v>
      </c>
      <c r="U112" t="s">
        <v>3915</v>
      </c>
      <c r="V112" t="s">
        <v>31</v>
      </c>
      <c r="W112">
        <v>0</v>
      </c>
    </row>
    <row r="113" spans="1:23" x14ac:dyDescent="0.25">
      <c r="A113" t="s">
        <v>4549</v>
      </c>
      <c r="B113" t="s">
        <v>3085</v>
      </c>
      <c r="C113" t="s">
        <v>3084</v>
      </c>
      <c r="D113" t="s">
        <v>4479</v>
      </c>
      <c r="E113" t="s">
        <v>4547</v>
      </c>
      <c r="F113" t="s">
        <v>1046</v>
      </c>
      <c r="G113" t="s">
        <v>1406</v>
      </c>
      <c r="H113" s="6">
        <v>46022</v>
      </c>
      <c r="I113" t="s">
        <v>29</v>
      </c>
      <c r="J113">
        <v>0.5</v>
      </c>
      <c r="K113">
        <v>0</v>
      </c>
      <c r="L113">
        <v>0</v>
      </c>
      <c r="M113">
        <v>0</v>
      </c>
      <c r="N113" t="s">
        <v>3915</v>
      </c>
      <c r="O113" t="s">
        <v>3915</v>
      </c>
      <c r="P113" t="s">
        <v>3915</v>
      </c>
      <c r="Q113">
        <v>0</v>
      </c>
      <c r="R113" t="s">
        <v>101</v>
      </c>
      <c r="S113">
        <v>0</v>
      </c>
      <c r="T113">
        <v>0</v>
      </c>
      <c r="U113" t="s">
        <v>3915</v>
      </c>
      <c r="V113" t="s">
        <v>31</v>
      </c>
      <c r="W113">
        <v>0</v>
      </c>
    </row>
    <row r="114" spans="1:23" x14ac:dyDescent="0.25">
      <c r="A114" t="s">
        <v>4550</v>
      </c>
      <c r="B114" t="s">
        <v>1648</v>
      </c>
      <c r="C114" t="s">
        <v>1647</v>
      </c>
      <c r="D114" t="s">
        <v>4479</v>
      </c>
      <c r="E114" t="s">
        <v>4547</v>
      </c>
      <c r="F114" t="s">
        <v>1046</v>
      </c>
      <c r="G114" t="s">
        <v>1406</v>
      </c>
      <c r="H114" s="6">
        <v>46022</v>
      </c>
      <c r="I114" t="s">
        <v>29</v>
      </c>
      <c r="J114">
        <v>0</v>
      </c>
      <c r="K114">
        <v>0</v>
      </c>
      <c r="L114">
        <v>0</v>
      </c>
      <c r="M114">
        <v>0</v>
      </c>
      <c r="N114" t="s">
        <v>3915</v>
      </c>
      <c r="O114" t="s">
        <v>3915</v>
      </c>
      <c r="P114" t="s">
        <v>3915</v>
      </c>
      <c r="Q114">
        <v>0</v>
      </c>
      <c r="R114" t="s">
        <v>30</v>
      </c>
      <c r="S114">
        <v>0</v>
      </c>
      <c r="T114">
        <v>0</v>
      </c>
      <c r="U114" t="s">
        <v>3915</v>
      </c>
      <c r="V114" t="s">
        <v>31</v>
      </c>
      <c r="W114">
        <v>0</v>
      </c>
    </row>
    <row r="115" spans="1:23" x14ac:dyDescent="0.25">
      <c r="A115" t="s">
        <v>10263</v>
      </c>
      <c r="B115" t="s">
        <v>1662</v>
      </c>
      <c r="C115" t="s">
        <v>1661</v>
      </c>
      <c r="D115" t="s">
        <v>4479</v>
      </c>
      <c r="E115" t="s">
        <v>4094</v>
      </c>
      <c r="F115" t="s">
        <v>95</v>
      </c>
      <c r="G115" t="s">
        <v>1406</v>
      </c>
      <c r="H115" s="6">
        <v>46022</v>
      </c>
      <c r="I115" t="s">
        <v>29</v>
      </c>
      <c r="J115">
        <v>0</v>
      </c>
      <c r="K115">
        <v>0</v>
      </c>
      <c r="L115">
        <v>0</v>
      </c>
      <c r="M115">
        <v>0</v>
      </c>
      <c r="N115" t="s">
        <v>3915</v>
      </c>
      <c r="O115" t="s">
        <v>3915</v>
      </c>
      <c r="P115" t="s">
        <v>3915</v>
      </c>
      <c r="Q115">
        <v>0</v>
      </c>
      <c r="R115" t="s">
        <v>30</v>
      </c>
      <c r="S115">
        <v>0</v>
      </c>
      <c r="T115">
        <v>0</v>
      </c>
      <c r="U115" t="s">
        <v>3915</v>
      </c>
      <c r="V115" t="s">
        <v>31</v>
      </c>
      <c r="W115">
        <v>0</v>
      </c>
    </row>
    <row r="116" spans="1:23" x14ac:dyDescent="0.25">
      <c r="A116" t="s">
        <v>10299</v>
      </c>
      <c r="B116" t="s">
        <v>1672</v>
      </c>
      <c r="C116" t="s">
        <v>1671</v>
      </c>
      <c r="D116" t="s">
        <v>4479</v>
      </c>
      <c r="E116" t="s">
        <v>4094</v>
      </c>
      <c r="F116" t="s">
        <v>95</v>
      </c>
      <c r="G116" t="s">
        <v>1406</v>
      </c>
      <c r="H116" s="6">
        <v>46022</v>
      </c>
      <c r="I116" t="s">
        <v>29</v>
      </c>
      <c r="J116">
        <v>0</v>
      </c>
      <c r="K116">
        <v>0</v>
      </c>
      <c r="L116">
        <v>0</v>
      </c>
      <c r="M116">
        <v>0</v>
      </c>
      <c r="N116" t="s">
        <v>3915</v>
      </c>
      <c r="O116" t="s">
        <v>3915</v>
      </c>
      <c r="P116" t="s">
        <v>3915</v>
      </c>
      <c r="Q116">
        <v>0</v>
      </c>
      <c r="R116" t="s">
        <v>30</v>
      </c>
      <c r="S116">
        <v>0</v>
      </c>
      <c r="T116">
        <v>0</v>
      </c>
      <c r="U116" t="s">
        <v>3915</v>
      </c>
      <c r="V116" t="s">
        <v>31</v>
      </c>
      <c r="W116">
        <v>0</v>
      </c>
    </row>
    <row r="117" spans="1:23" x14ac:dyDescent="0.25">
      <c r="A117" t="s">
        <v>4551</v>
      </c>
      <c r="B117" t="s">
        <v>3087</v>
      </c>
      <c r="C117" t="s">
        <v>3086</v>
      </c>
      <c r="D117" t="s">
        <v>4479</v>
      </c>
      <c r="E117" t="s">
        <v>4094</v>
      </c>
      <c r="F117" t="s">
        <v>95</v>
      </c>
      <c r="G117" t="s">
        <v>1406</v>
      </c>
      <c r="H117" s="6">
        <v>46022</v>
      </c>
      <c r="I117" t="s">
        <v>29</v>
      </c>
      <c r="J117">
        <v>6</v>
      </c>
      <c r="K117">
        <v>0</v>
      </c>
      <c r="L117">
        <v>0</v>
      </c>
      <c r="M117">
        <v>0</v>
      </c>
      <c r="N117" t="s">
        <v>3915</v>
      </c>
      <c r="O117" t="s">
        <v>3915</v>
      </c>
      <c r="P117" t="s">
        <v>3915</v>
      </c>
      <c r="Q117">
        <v>0</v>
      </c>
      <c r="R117" t="s">
        <v>30</v>
      </c>
      <c r="S117">
        <v>0</v>
      </c>
      <c r="T117">
        <v>0</v>
      </c>
      <c r="U117" t="s">
        <v>3915</v>
      </c>
      <c r="V117" t="s">
        <v>31</v>
      </c>
      <c r="W117">
        <v>0</v>
      </c>
    </row>
    <row r="118" spans="1:23" x14ac:dyDescent="0.25">
      <c r="A118" t="s">
        <v>4552</v>
      </c>
      <c r="B118" t="s">
        <v>1412</v>
      </c>
      <c r="C118" t="s">
        <v>1411</v>
      </c>
      <c r="D118" t="s">
        <v>4479</v>
      </c>
      <c r="E118" t="s">
        <v>4094</v>
      </c>
      <c r="F118" t="s">
        <v>95</v>
      </c>
      <c r="G118" t="s">
        <v>1406</v>
      </c>
      <c r="H118" s="6">
        <v>46022</v>
      </c>
      <c r="I118" t="s">
        <v>29</v>
      </c>
      <c r="J118">
        <v>0</v>
      </c>
      <c r="K118">
        <v>0</v>
      </c>
      <c r="L118">
        <v>0</v>
      </c>
      <c r="M118">
        <v>0</v>
      </c>
      <c r="N118" t="s">
        <v>3915</v>
      </c>
      <c r="O118" t="s">
        <v>3915</v>
      </c>
      <c r="P118" t="s">
        <v>3915</v>
      </c>
      <c r="Q118">
        <v>0</v>
      </c>
      <c r="R118" t="s">
        <v>30</v>
      </c>
      <c r="S118">
        <v>0</v>
      </c>
      <c r="T118">
        <v>0</v>
      </c>
      <c r="U118" t="s">
        <v>3915</v>
      </c>
      <c r="V118" t="s">
        <v>31</v>
      </c>
      <c r="W118">
        <v>0</v>
      </c>
    </row>
    <row r="119" spans="1:23" x14ac:dyDescent="0.25">
      <c r="A119" t="s">
        <v>4553</v>
      </c>
      <c r="B119" t="s">
        <v>3089</v>
      </c>
      <c r="C119" t="s">
        <v>3088</v>
      </c>
      <c r="D119" t="s">
        <v>4479</v>
      </c>
      <c r="E119" t="s">
        <v>4094</v>
      </c>
      <c r="F119" t="s">
        <v>95</v>
      </c>
      <c r="G119" t="s">
        <v>1406</v>
      </c>
      <c r="H119" s="6">
        <v>46022</v>
      </c>
      <c r="I119" t="s">
        <v>29</v>
      </c>
      <c r="J119">
        <v>14</v>
      </c>
      <c r="K119">
        <v>0</v>
      </c>
      <c r="L119">
        <v>0</v>
      </c>
      <c r="M119">
        <v>0</v>
      </c>
      <c r="N119" t="s">
        <v>3915</v>
      </c>
      <c r="O119" t="s">
        <v>3915</v>
      </c>
      <c r="P119" t="s">
        <v>3915</v>
      </c>
      <c r="Q119">
        <v>0</v>
      </c>
      <c r="R119" t="s">
        <v>30</v>
      </c>
      <c r="S119">
        <v>0</v>
      </c>
      <c r="T119">
        <v>0</v>
      </c>
      <c r="U119" t="s">
        <v>3915</v>
      </c>
      <c r="V119" t="s">
        <v>31</v>
      </c>
      <c r="W119">
        <v>0</v>
      </c>
    </row>
    <row r="120" spans="1:23" x14ac:dyDescent="0.25">
      <c r="A120" t="s">
        <v>4106</v>
      </c>
      <c r="B120" t="s">
        <v>1700</v>
      </c>
      <c r="C120" t="s">
        <v>1699</v>
      </c>
      <c r="D120" t="s">
        <v>4479</v>
      </c>
      <c r="E120" t="s">
        <v>4094</v>
      </c>
      <c r="F120" t="s">
        <v>95</v>
      </c>
      <c r="G120" t="s">
        <v>1406</v>
      </c>
      <c r="H120" s="6">
        <v>46022</v>
      </c>
      <c r="I120" t="s">
        <v>29</v>
      </c>
      <c r="J120">
        <v>0</v>
      </c>
      <c r="K120">
        <v>0</v>
      </c>
      <c r="L120">
        <v>0</v>
      </c>
      <c r="M120">
        <v>0</v>
      </c>
      <c r="N120" t="s">
        <v>3915</v>
      </c>
      <c r="O120" t="s">
        <v>3915</v>
      </c>
      <c r="P120" t="s">
        <v>3915</v>
      </c>
      <c r="Q120">
        <v>0</v>
      </c>
      <c r="R120" t="s">
        <v>30</v>
      </c>
      <c r="S120">
        <v>0</v>
      </c>
      <c r="T120">
        <v>0</v>
      </c>
      <c r="U120" t="s">
        <v>3915</v>
      </c>
      <c r="V120" t="s">
        <v>31</v>
      </c>
      <c r="W120">
        <v>0</v>
      </c>
    </row>
    <row r="121" spans="1:23" x14ac:dyDescent="0.25">
      <c r="A121" t="s">
        <v>4554</v>
      </c>
      <c r="B121" t="s">
        <v>1416</v>
      </c>
      <c r="C121" t="s">
        <v>1415</v>
      </c>
      <c r="D121" t="s">
        <v>4479</v>
      </c>
      <c r="E121" t="s">
        <v>4094</v>
      </c>
      <c r="F121" t="s">
        <v>95</v>
      </c>
      <c r="G121" t="s">
        <v>1406</v>
      </c>
      <c r="H121" s="6">
        <v>46022</v>
      </c>
      <c r="I121" t="s">
        <v>29</v>
      </c>
      <c r="J121">
        <v>0</v>
      </c>
      <c r="K121">
        <v>0</v>
      </c>
      <c r="L121">
        <v>0</v>
      </c>
      <c r="M121">
        <v>0</v>
      </c>
      <c r="N121" t="s">
        <v>3915</v>
      </c>
      <c r="O121" t="s">
        <v>3915</v>
      </c>
      <c r="P121" t="s">
        <v>3915</v>
      </c>
      <c r="Q121">
        <v>0</v>
      </c>
      <c r="R121" t="s">
        <v>30</v>
      </c>
      <c r="S121">
        <v>0</v>
      </c>
      <c r="T121">
        <v>0</v>
      </c>
      <c r="U121" t="s">
        <v>3915</v>
      </c>
      <c r="V121" t="s">
        <v>31</v>
      </c>
      <c r="W121">
        <v>0</v>
      </c>
    </row>
    <row r="122" spans="1:23" x14ac:dyDescent="0.25">
      <c r="A122" t="s">
        <v>4322</v>
      </c>
      <c r="B122" t="s">
        <v>1702</v>
      </c>
      <c r="C122" t="s">
        <v>1701</v>
      </c>
      <c r="D122" t="s">
        <v>4479</v>
      </c>
      <c r="E122" t="s">
        <v>4094</v>
      </c>
      <c r="F122" t="s">
        <v>95</v>
      </c>
      <c r="G122" t="s">
        <v>1406</v>
      </c>
      <c r="H122" s="6">
        <v>46022</v>
      </c>
      <c r="I122" t="s">
        <v>29</v>
      </c>
      <c r="J122">
        <v>0</v>
      </c>
      <c r="K122">
        <v>0</v>
      </c>
      <c r="L122">
        <v>0</v>
      </c>
      <c r="M122">
        <v>0</v>
      </c>
      <c r="N122" t="s">
        <v>3915</v>
      </c>
      <c r="O122" t="s">
        <v>3915</v>
      </c>
      <c r="P122" t="s">
        <v>3915</v>
      </c>
      <c r="Q122">
        <v>0</v>
      </c>
      <c r="R122" t="s">
        <v>30</v>
      </c>
      <c r="S122">
        <v>0</v>
      </c>
      <c r="T122">
        <v>0</v>
      </c>
      <c r="U122" t="s">
        <v>3915</v>
      </c>
      <c r="V122" t="s">
        <v>31</v>
      </c>
      <c r="W122">
        <v>0</v>
      </c>
    </row>
    <row r="123" spans="1:23" x14ac:dyDescent="0.25">
      <c r="A123" t="s">
        <v>4555</v>
      </c>
      <c r="B123" t="s">
        <v>3091</v>
      </c>
      <c r="C123" t="s">
        <v>3090</v>
      </c>
      <c r="D123" t="s">
        <v>4479</v>
      </c>
      <c r="E123" t="s">
        <v>4094</v>
      </c>
      <c r="F123" t="s">
        <v>95</v>
      </c>
      <c r="G123" t="s">
        <v>1406</v>
      </c>
      <c r="H123" s="6">
        <v>46022</v>
      </c>
      <c r="I123" t="s">
        <v>29</v>
      </c>
      <c r="J123">
        <v>2</v>
      </c>
      <c r="K123">
        <v>0</v>
      </c>
      <c r="L123">
        <v>0</v>
      </c>
      <c r="M123">
        <v>0</v>
      </c>
      <c r="N123" t="s">
        <v>3915</v>
      </c>
      <c r="O123" t="s">
        <v>3915</v>
      </c>
      <c r="P123" t="s">
        <v>3915</v>
      </c>
      <c r="Q123">
        <v>0</v>
      </c>
      <c r="R123" t="s">
        <v>30</v>
      </c>
      <c r="S123">
        <v>0</v>
      </c>
      <c r="T123">
        <v>0</v>
      </c>
      <c r="U123" t="s">
        <v>3915</v>
      </c>
      <c r="V123" t="s">
        <v>31</v>
      </c>
      <c r="W123">
        <v>0</v>
      </c>
    </row>
    <row r="124" spans="1:23" x14ac:dyDescent="0.25">
      <c r="A124" t="s">
        <v>4556</v>
      </c>
      <c r="B124" t="s">
        <v>3093</v>
      </c>
      <c r="C124" t="s">
        <v>3092</v>
      </c>
      <c r="D124" t="s">
        <v>4479</v>
      </c>
      <c r="E124" t="s">
        <v>4094</v>
      </c>
      <c r="F124" t="s">
        <v>95</v>
      </c>
      <c r="G124" t="s">
        <v>1406</v>
      </c>
      <c r="H124" s="6">
        <v>46022</v>
      </c>
      <c r="I124" t="s">
        <v>29</v>
      </c>
      <c r="J124">
        <v>10</v>
      </c>
      <c r="K124">
        <v>0</v>
      </c>
      <c r="L124">
        <v>0</v>
      </c>
      <c r="M124">
        <v>0</v>
      </c>
      <c r="N124" t="s">
        <v>3915</v>
      </c>
      <c r="O124" t="s">
        <v>3915</v>
      </c>
      <c r="P124" t="s">
        <v>3915</v>
      </c>
      <c r="Q124">
        <v>0</v>
      </c>
      <c r="R124" t="s">
        <v>30</v>
      </c>
      <c r="S124">
        <v>0</v>
      </c>
      <c r="T124">
        <v>0</v>
      </c>
      <c r="U124" t="s">
        <v>3915</v>
      </c>
      <c r="V124" t="s">
        <v>31</v>
      </c>
      <c r="W124">
        <v>0</v>
      </c>
    </row>
    <row r="125" spans="1:23" x14ac:dyDescent="0.25">
      <c r="A125" t="s">
        <v>4557</v>
      </c>
      <c r="B125" t="s">
        <v>1418</v>
      </c>
      <c r="C125" t="s">
        <v>1417</v>
      </c>
      <c r="D125" t="s">
        <v>4479</v>
      </c>
      <c r="E125" t="s">
        <v>4094</v>
      </c>
      <c r="F125" t="s">
        <v>95</v>
      </c>
      <c r="G125" t="s">
        <v>1406</v>
      </c>
      <c r="H125" s="6">
        <v>46022</v>
      </c>
      <c r="I125" t="s">
        <v>29</v>
      </c>
      <c r="J125">
        <v>0</v>
      </c>
      <c r="K125">
        <v>0</v>
      </c>
      <c r="L125">
        <v>0</v>
      </c>
      <c r="M125">
        <v>0</v>
      </c>
      <c r="N125" t="s">
        <v>3915</v>
      </c>
      <c r="O125" t="s">
        <v>3915</v>
      </c>
      <c r="P125" t="s">
        <v>3915</v>
      </c>
      <c r="Q125">
        <v>0</v>
      </c>
      <c r="R125" t="s">
        <v>30</v>
      </c>
      <c r="S125">
        <v>0</v>
      </c>
      <c r="T125">
        <v>0</v>
      </c>
      <c r="U125" t="s">
        <v>3915</v>
      </c>
      <c r="V125" t="s">
        <v>31</v>
      </c>
      <c r="W125">
        <v>0</v>
      </c>
    </row>
    <row r="126" spans="1:23" x14ac:dyDescent="0.25">
      <c r="A126" t="s">
        <v>4558</v>
      </c>
      <c r="B126" t="s">
        <v>3095</v>
      </c>
      <c r="C126" t="s">
        <v>3094</v>
      </c>
      <c r="D126" t="s">
        <v>4479</v>
      </c>
      <c r="E126" t="s">
        <v>4094</v>
      </c>
      <c r="F126" t="s">
        <v>95</v>
      </c>
      <c r="G126" t="s">
        <v>1406</v>
      </c>
      <c r="H126" s="6">
        <v>46022</v>
      </c>
      <c r="I126" t="s">
        <v>29</v>
      </c>
      <c r="J126">
        <v>6</v>
      </c>
      <c r="K126">
        <v>0</v>
      </c>
      <c r="L126">
        <v>0</v>
      </c>
      <c r="M126">
        <v>0</v>
      </c>
      <c r="N126" t="s">
        <v>3915</v>
      </c>
      <c r="O126" t="s">
        <v>3915</v>
      </c>
      <c r="P126" t="s">
        <v>3915</v>
      </c>
      <c r="Q126">
        <v>0</v>
      </c>
      <c r="R126" t="s">
        <v>30</v>
      </c>
      <c r="S126">
        <v>0</v>
      </c>
      <c r="T126">
        <v>0</v>
      </c>
      <c r="U126" t="s">
        <v>3915</v>
      </c>
      <c r="V126" t="s">
        <v>31</v>
      </c>
      <c r="W126">
        <v>0</v>
      </c>
    </row>
    <row r="127" spans="1:23" x14ac:dyDescent="0.25">
      <c r="A127" t="s">
        <v>4559</v>
      </c>
      <c r="B127" t="s">
        <v>1704</v>
      </c>
      <c r="C127" t="s">
        <v>1703</v>
      </c>
      <c r="D127" t="s">
        <v>4479</v>
      </c>
      <c r="E127" t="s">
        <v>4094</v>
      </c>
      <c r="F127" t="s">
        <v>95</v>
      </c>
      <c r="G127" t="s">
        <v>1406</v>
      </c>
      <c r="H127" s="6">
        <v>46022</v>
      </c>
      <c r="I127" t="s">
        <v>29</v>
      </c>
      <c r="J127">
        <v>0</v>
      </c>
      <c r="K127">
        <v>0</v>
      </c>
      <c r="L127">
        <v>0</v>
      </c>
      <c r="M127">
        <v>0</v>
      </c>
      <c r="N127" t="s">
        <v>3915</v>
      </c>
      <c r="O127" t="s">
        <v>3915</v>
      </c>
      <c r="P127" t="s">
        <v>3915</v>
      </c>
      <c r="Q127">
        <v>0</v>
      </c>
      <c r="R127" t="s">
        <v>30</v>
      </c>
      <c r="S127">
        <v>0</v>
      </c>
      <c r="T127">
        <v>0</v>
      </c>
      <c r="U127" t="s">
        <v>3915</v>
      </c>
      <c r="V127" t="s">
        <v>31</v>
      </c>
      <c r="W127">
        <v>0</v>
      </c>
    </row>
    <row r="128" spans="1:23" x14ac:dyDescent="0.25">
      <c r="A128" t="s">
        <v>4560</v>
      </c>
      <c r="B128" t="s">
        <v>1706</v>
      </c>
      <c r="C128" t="s">
        <v>1705</v>
      </c>
      <c r="D128" t="s">
        <v>4479</v>
      </c>
      <c r="E128" t="s">
        <v>4094</v>
      </c>
      <c r="F128" t="s">
        <v>95</v>
      </c>
      <c r="G128" t="s">
        <v>1406</v>
      </c>
      <c r="H128" s="6">
        <v>46022</v>
      </c>
      <c r="I128" t="s">
        <v>29</v>
      </c>
      <c r="J128">
        <v>0</v>
      </c>
      <c r="K128">
        <v>0</v>
      </c>
      <c r="L128">
        <v>0</v>
      </c>
      <c r="M128">
        <v>0</v>
      </c>
      <c r="N128" t="s">
        <v>3915</v>
      </c>
      <c r="O128" t="s">
        <v>3915</v>
      </c>
      <c r="P128" t="s">
        <v>3915</v>
      </c>
      <c r="Q128">
        <v>0</v>
      </c>
      <c r="R128" t="s">
        <v>30</v>
      </c>
      <c r="S128">
        <v>0</v>
      </c>
      <c r="T128">
        <v>0</v>
      </c>
      <c r="U128" t="s">
        <v>3915</v>
      </c>
      <c r="V128" t="s">
        <v>31</v>
      </c>
      <c r="W128">
        <v>0</v>
      </c>
    </row>
    <row r="129" spans="1:23" x14ac:dyDescent="0.25">
      <c r="A129" t="s">
        <v>4561</v>
      </c>
      <c r="B129" t="s">
        <v>1712</v>
      </c>
      <c r="C129" t="s">
        <v>1711</v>
      </c>
      <c r="D129" t="s">
        <v>4479</v>
      </c>
      <c r="E129" t="s">
        <v>4094</v>
      </c>
      <c r="F129" t="s">
        <v>95</v>
      </c>
      <c r="G129" t="s">
        <v>1406</v>
      </c>
      <c r="H129" s="6">
        <v>46022</v>
      </c>
      <c r="I129" t="s">
        <v>29</v>
      </c>
      <c r="J129">
        <v>3</v>
      </c>
      <c r="K129">
        <v>0</v>
      </c>
      <c r="L129">
        <v>0</v>
      </c>
      <c r="M129">
        <v>0</v>
      </c>
      <c r="N129" t="s">
        <v>3915</v>
      </c>
      <c r="O129" t="s">
        <v>3915</v>
      </c>
      <c r="P129" t="s">
        <v>3915</v>
      </c>
      <c r="Q129">
        <v>0</v>
      </c>
      <c r="R129" t="s">
        <v>30</v>
      </c>
      <c r="S129">
        <v>0</v>
      </c>
      <c r="T129">
        <v>0</v>
      </c>
      <c r="U129" t="s">
        <v>3915</v>
      </c>
      <c r="V129" t="s">
        <v>31</v>
      </c>
      <c r="W129">
        <v>0</v>
      </c>
    </row>
    <row r="130" spans="1:23" x14ac:dyDescent="0.25">
      <c r="A130" t="s">
        <v>4562</v>
      </c>
      <c r="B130" t="s">
        <v>3097</v>
      </c>
      <c r="C130" t="s">
        <v>3096</v>
      </c>
      <c r="D130" t="s">
        <v>4479</v>
      </c>
      <c r="E130" t="s">
        <v>4094</v>
      </c>
      <c r="F130" t="s">
        <v>95</v>
      </c>
      <c r="G130" t="s">
        <v>1406</v>
      </c>
      <c r="H130" s="6">
        <v>46022</v>
      </c>
      <c r="I130" t="s">
        <v>29</v>
      </c>
      <c r="J130">
        <v>1</v>
      </c>
      <c r="K130">
        <v>0</v>
      </c>
      <c r="L130">
        <v>0</v>
      </c>
      <c r="M130">
        <v>0</v>
      </c>
      <c r="N130" t="s">
        <v>3915</v>
      </c>
      <c r="O130" t="s">
        <v>3915</v>
      </c>
      <c r="P130" t="s">
        <v>3915</v>
      </c>
      <c r="Q130">
        <v>0</v>
      </c>
      <c r="R130" t="s">
        <v>101</v>
      </c>
      <c r="S130">
        <v>0</v>
      </c>
      <c r="T130">
        <v>0</v>
      </c>
      <c r="U130" t="s">
        <v>3915</v>
      </c>
      <c r="V130" t="s">
        <v>31</v>
      </c>
      <c r="W130">
        <v>0</v>
      </c>
    </row>
    <row r="131" spans="1:23" x14ac:dyDescent="0.25">
      <c r="A131" t="s">
        <v>4563</v>
      </c>
      <c r="B131" t="s">
        <v>3099</v>
      </c>
      <c r="C131" t="s">
        <v>3098</v>
      </c>
      <c r="D131" t="s">
        <v>4479</v>
      </c>
      <c r="E131" t="s">
        <v>4094</v>
      </c>
      <c r="F131" t="s">
        <v>95</v>
      </c>
      <c r="G131" t="s">
        <v>1406</v>
      </c>
      <c r="H131" s="6">
        <v>46022</v>
      </c>
      <c r="I131" t="s">
        <v>29</v>
      </c>
      <c r="J131">
        <v>0</v>
      </c>
      <c r="K131">
        <v>0</v>
      </c>
      <c r="L131">
        <v>0</v>
      </c>
      <c r="M131">
        <v>0</v>
      </c>
      <c r="N131" t="s">
        <v>3915</v>
      </c>
      <c r="O131" t="s">
        <v>3915</v>
      </c>
      <c r="P131" t="s">
        <v>3915</v>
      </c>
      <c r="Q131">
        <v>0</v>
      </c>
      <c r="R131" t="s">
        <v>101</v>
      </c>
      <c r="S131">
        <v>0</v>
      </c>
      <c r="T131">
        <v>0</v>
      </c>
      <c r="U131" t="s">
        <v>3915</v>
      </c>
      <c r="V131" t="s">
        <v>31</v>
      </c>
      <c r="W131">
        <v>0</v>
      </c>
    </row>
    <row r="132" spans="1:23" x14ac:dyDescent="0.25">
      <c r="A132" t="s">
        <v>5137</v>
      </c>
      <c r="B132" t="s">
        <v>98</v>
      </c>
      <c r="C132" t="s">
        <v>99</v>
      </c>
      <c r="D132" t="s">
        <v>4479</v>
      </c>
      <c r="E132" t="s">
        <v>4094</v>
      </c>
      <c r="F132" t="s">
        <v>95</v>
      </c>
      <c r="G132" t="s">
        <v>1406</v>
      </c>
      <c r="H132" s="6">
        <v>46022</v>
      </c>
      <c r="I132" t="s">
        <v>29</v>
      </c>
      <c r="J132">
        <v>0</v>
      </c>
      <c r="K132">
        <v>0</v>
      </c>
      <c r="L132">
        <v>0</v>
      </c>
      <c r="M132">
        <v>0</v>
      </c>
      <c r="N132" t="s">
        <v>100</v>
      </c>
      <c r="O132" t="s">
        <v>3915</v>
      </c>
      <c r="P132" t="s">
        <v>3915</v>
      </c>
      <c r="Q132">
        <v>0</v>
      </c>
      <c r="R132" t="s">
        <v>101</v>
      </c>
      <c r="S132">
        <v>0</v>
      </c>
      <c r="T132">
        <v>0</v>
      </c>
      <c r="U132" t="s">
        <v>3915</v>
      </c>
      <c r="V132" t="s">
        <v>31</v>
      </c>
      <c r="W132">
        <v>0</v>
      </c>
    </row>
    <row r="133" spans="1:23" x14ac:dyDescent="0.25">
      <c r="A133" t="s">
        <v>4564</v>
      </c>
      <c r="B133" t="s">
        <v>1728</v>
      </c>
      <c r="C133" t="s">
        <v>1727</v>
      </c>
      <c r="D133" t="s">
        <v>4479</v>
      </c>
      <c r="E133" t="s">
        <v>4094</v>
      </c>
      <c r="F133" t="s">
        <v>95</v>
      </c>
      <c r="G133" t="s">
        <v>1406</v>
      </c>
      <c r="H133" s="6">
        <v>46022</v>
      </c>
      <c r="I133" t="s">
        <v>29</v>
      </c>
      <c r="J133">
        <v>2</v>
      </c>
      <c r="K133">
        <v>0</v>
      </c>
      <c r="L133">
        <v>0</v>
      </c>
      <c r="M133">
        <v>0</v>
      </c>
      <c r="N133" t="s">
        <v>3915</v>
      </c>
      <c r="O133" t="s">
        <v>3915</v>
      </c>
      <c r="P133" t="s">
        <v>3915</v>
      </c>
      <c r="Q133">
        <v>0</v>
      </c>
      <c r="R133" t="s">
        <v>101</v>
      </c>
      <c r="S133">
        <v>0</v>
      </c>
      <c r="T133">
        <v>0</v>
      </c>
      <c r="U133" t="s">
        <v>3915</v>
      </c>
      <c r="V133" t="s">
        <v>31</v>
      </c>
      <c r="W133">
        <v>0</v>
      </c>
    </row>
    <row r="134" spans="1:23" x14ac:dyDescent="0.25">
      <c r="A134" t="s">
        <v>4565</v>
      </c>
      <c r="B134" t="s">
        <v>1730</v>
      </c>
      <c r="C134" t="s">
        <v>1729</v>
      </c>
      <c r="D134" t="s">
        <v>4479</v>
      </c>
      <c r="E134" t="s">
        <v>4094</v>
      </c>
      <c r="F134" t="s">
        <v>95</v>
      </c>
      <c r="G134" t="s">
        <v>1406</v>
      </c>
      <c r="H134" s="6">
        <v>46022</v>
      </c>
      <c r="I134" t="s">
        <v>29</v>
      </c>
      <c r="J134">
        <v>0</v>
      </c>
      <c r="K134">
        <v>0</v>
      </c>
      <c r="L134">
        <v>0</v>
      </c>
      <c r="M134">
        <v>0</v>
      </c>
      <c r="N134" t="s">
        <v>3915</v>
      </c>
      <c r="O134" t="s">
        <v>3915</v>
      </c>
      <c r="P134" t="s">
        <v>3915</v>
      </c>
      <c r="Q134">
        <v>0</v>
      </c>
      <c r="R134" t="s">
        <v>30</v>
      </c>
      <c r="S134">
        <v>0</v>
      </c>
      <c r="T134">
        <v>0</v>
      </c>
      <c r="U134" t="s">
        <v>3915</v>
      </c>
      <c r="V134" t="s">
        <v>31</v>
      </c>
      <c r="W134">
        <v>0</v>
      </c>
    </row>
    <row r="135" spans="1:23" x14ac:dyDescent="0.25">
      <c r="A135" t="s">
        <v>5058</v>
      </c>
      <c r="B135" t="s">
        <v>1732</v>
      </c>
      <c r="C135" t="s">
        <v>1731</v>
      </c>
      <c r="D135" t="s">
        <v>4479</v>
      </c>
      <c r="E135" t="s">
        <v>4094</v>
      </c>
      <c r="F135" t="s">
        <v>95</v>
      </c>
      <c r="G135" t="s">
        <v>1406</v>
      </c>
      <c r="H135" s="6">
        <v>46022</v>
      </c>
      <c r="I135" t="s">
        <v>29</v>
      </c>
      <c r="J135">
        <v>0</v>
      </c>
      <c r="K135">
        <v>0</v>
      </c>
      <c r="L135">
        <v>0</v>
      </c>
      <c r="M135">
        <v>0</v>
      </c>
      <c r="N135" t="s">
        <v>3915</v>
      </c>
      <c r="O135" t="s">
        <v>3915</v>
      </c>
      <c r="P135" t="s">
        <v>3915</v>
      </c>
      <c r="Q135">
        <v>0</v>
      </c>
      <c r="R135" t="s">
        <v>101</v>
      </c>
      <c r="S135">
        <v>0</v>
      </c>
      <c r="T135">
        <v>0</v>
      </c>
      <c r="U135" t="s">
        <v>3915</v>
      </c>
      <c r="V135" t="s">
        <v>31</v>
      </c>
      <c r="W135">
        <v>0</v>
      </c>
    </row>
    <row r="136" spans="1:23" x14ac:dyDescent="0.25">
      <c r="A136" t="s">
        <v>5452</v>
      </c>
      <c r="B136" t="s">
        <v>1734</v>
      </c>
      <c r="C136" t="s">
        <v>1733</v>
      </c>
      <c r="D136" t="s">
        <v>4479</v>
      </c>
      <c r="E136" t="s">
        <v>4094</v>
      </c>
      <c r="F136" t="s">
        <v>95</v>
      </c>
      <c r="G136" t="s">
        <v>1406</v>
      </c>
      <c r="H136" s="6">
        <v>46022</v>
      </c>
      <c r="I136" t="s">
        <v>29</v>
      </c>
      <c r="J136">
        <v>0</v>
      </c>
      <c r="K136">
        <v>0</v>
      </c>
      <c r="L136">
        <v>0</v>
      </c>
      <c r="M136">
        <v>0</v>
      </c>
      <c r="N136" t="s">
        <v>3915</v>
      </c>
      <c r="O136" t="s">
        <v>3915</v>
      </c>
      <c r="P136" t="s">
        <v>3915</v>
      </c>
      <c r="Q136">
        <v>0</v>
      </c>
      <c r="R136" t="s">
        <v>101</v>
      </c>
      <c r="S136">
        <v>0</v>
      </c>
      <c r="T136">
        <v>0</v>
      </c>
      <c r="U136" t="s">
        <v>3915</v>
      </c>
      <c r="V136" t="s">
        <v>31</v>
      </c>
      <c r="W136">
        <v>0</v>
      </c>
    </row>
    <row r="137" spans="1:23" x14ac:dyDescent="0.25">
      <c r="A137" t="s">
        <v>4381</v>
      </c>
      <c r="B137" t="s">
        <v>1746</v>
      </c>
      <c r="C137" t="s">
        <v>1745</v>
      </c>
      <c r="D137" t="s">
        <v>4479</v>
      </c>
      <c r="E137" t="s">
        <v>4094</v>
      </c>
      <c r="F137" t="s">
        <v>95</v>
      </c>
      <c r="G137" t="s">
        <v>1406</v>
      </c>
      <c r="H137" s="6">
        <v>46022</v>
      </c>
      <c r="I137" t="s">
        <v>29</v>
      </c>
      <c r="J137">
        <v>0</v>
      </c>
      <c r="K137">
        <v>0</v>
      </c>
      <c r="L137">
        <v>0</v>
      </c>
      <c r="M137">
        <v>0</v>
      </c>
      <c r="N137" t="s">
        <v>3915</v>
      </c>
      <c r="O137" t="s">
        <v>3915</v>
      </c>
      <c r="P137" t="s">
        <v>3915</v>
      </c>
      <c r="Q137">
        <v>0</v>
      </c>
      <c r="R137" t="s">
        <v>30</v>
      </c>
      <c r="S137">
        <v>0</v>
      </c>
      <c r="T137">
        <v>0</v>
      </c>
      <c r="U137" t="s">
        <v>3915</v>
      </c>
      <c r="V137" t="s">
        <v>31</v>
      </c>
      <c r="W137">
        <v>0</v>
      </c>
    </row>
    <row r="138" spans="1:23" x14ac:dyDescent="0.25">
      <c r="A138" t="s">
        <v>4566</v>
      </c>
      <c r="B138" t="s">
        <v>1762</v>
      </c>
      <c r="C138" t="s">
        <v>1761</v>
      </c>
      <c r="D138" t="s">
        <v>4479</v>
      </c>
      <c r="E138" t="s">
        <v>4094</v>
      </c>
      <c r="F138" t="s">
        <v>95</v>
      </c>
      <c r="G138" t="s">
        <v>1406</v>
      </c>
      <c r="H138" s="6">
        <v>46022</v>
      </c>
      <c r="I138" t="s">
        <v>29</v>
      </c>
      <c r="J138">
        <v>0</v>
      </c>
      <c r="K138">
        <v>0</v>
      </c>
      <c r="L138">
        <v>0</v>
      </c>
      <c r="M138">
        <v>0</v>
      </c>
      <c r="N138" t="s">
        <v>3915</v>
      </c>
      <c r="O138" t="s">
        <v>3915</v>
      </c>
      <c r="P138" t="s">
        <v>3915</v>
      </c>
      <c r="Q138">
        <v>0</v>
      </c>
      <c r="R138" t="s">
        <v>101</v>
      </c>
      <c r="S138">
        <v>0</v>
      </c>
      <c r="T138">
        <v>0</v>
      </c>
      <c r="U138" t="s">
        <v>3915</v>
      </c>
      <c r="V138" t="s">
        <v>31</v>
      </c>
      <c r="W138">
        <v>0</v>
      </c>
    </row>
    <row r="139" spans="1:23" x14ac:dyDescent="0.25">
      <c r="A139" t="s">
        <v>4567</v>
      </c>
      <c r="B139" t="s">
        <v>1426</v>
      </c>
      <c r="C139" t="s">
        <v>1425</v>
      </c>
      <c r="D139" t="s">
        <v>4479</v>
      </c>
      <c r="E139" t="s">
        <v>4094</v>
      </c>
      <c r="F139" t="s">
        <v>95</v>
      </c>
      <c r="G139" t="s">
        <v>1406</v>
      </c>
      <c r="H139" s="6">
        <v>46022</v>
      </c>
      <c r="I139" t="s">
        <v>29</v>
      </c>
      <c r="J139">
        <v>0</v>
      </c>
      <c r="K139">
        <v>0</v>
      </c>
      <c r="L139">
        <v>0</v>
      </c>
      <c r="M139">
        <v>0</v>
      </c>
      <c r="N139" t="s">
        <v>3915</v>
      </c>
      <c r="O139" t="s">
        <v>3915</v>
      </c>
      <c r="P139" t="s">
        <v>3915</v>
      </c>
      <c r="Q139">
        <v>0</v>
      </c>
      <c r="R139" t="s">
        <v>101</v>
      </c>
      <c r="S139">
        <v>0</v>
      </c>
      <c r="T139">
        <v>0</v>
      </c>
      <c r="U139" t="s">
        <v>3915</v>
      </c>
      <c r="V139" t="s">
        <v>31</v>
      </c>
      <c r="W139">
        <v>0</v>
      </c>
    </row>
    <row r="140" spans="1:23" x14ac:dyDescent="0.25">
      <c r="A140" t="s">
        <v>4568</v>
      </c>
      <c r="B140" t="s">
        <v>1764</v>
      </c>
      <c r="C140" t="s">
        <v>1763</v>
      </c>
      <c r="D140" t="s">
        <v>4479</v>
      </c>
      <c r="E140" t="s">
        <v>4094</v>
      </c>
      <c r="F140" t="s">
        <v>95</v>
      </c>
      <c r="G140" t="s">
        <v>1406</v>
      </c>
      <c r="H140" s="6">
        <v>46022</v>
      </c>
      <c r="I140" t="s">
        <v>29</v>
      </c>
      <c r="J140">
        <v>0</v>
      </c>
      <c r="K140">
        <v>0</v>
      </c>
      <c r="L140">
        <v>0</v>
      </c>
      <c r="M140">
        <v>0</v>
      </c>
      <c r="N140" t="s">
        <v>4569</v>
      </c>
      <c r="O140" t="s">
        <v>3915</v>
      </c>
      <c r="P140" t="s">
        <v>3915</v>
      </c>
      <c r="Q140">
        <v>0</v>
      </c>
      <c r="R140" t="s">
        <v>101</v>
      </c>
      <c r="S140">
        <v>0</v>
      </c>
      <c r="T140">
        <v>0</v>
      </c>
      <c r="U140" t="s">
        <v>3915</v>
      </c>
      <c r="V140" t="s">
        <v>31</v>
      </c>
      <c r="W140">
        <v>0</v>
      </c>
    </row>
    <row r="141" spans="1:23" x14ac:dyDescent="0.25">
      <c r="A141" t="s">
        <v>3999</v>
      </c>
      <c r="B141" t="s">
        <v>1428</v>
      </c>
      <c r="C141" t="s">
        <v>1427</v>
      </c>
      <c r="D141" t="s">
        <v>4479</v>
      </c>
      <c r="E141" t="s">
        <v>4094</v>
      </c>
      <c r="F141" t="s">
        <v>95</v>
      </c>
      <c r="G141" t="s">
        <v>1406</v>
      </c>
      <c r="H141" s="6">
        <v>46022</v>
      </c>
      <c r="I141" t="s">
        <v>29</v>
      </c>
      <c r="J141">
        <v>0</v>
      </c>
      <c r="K141">
        <v>0</v>
      </c>
      <c r="L141">
        <v>0</v>
      </c>
      <c r="M141">
        <v>0</v>
      </c>
      <c r="N141" t="s">
        <v>4570</v>
      </c>
      <c r="O141" t="s">
        <v>3915</v>
      </c>
      <c r="P141" t="s">
        <v>3915</v>
      </c>
      <c r="Q141">
        <v>0</v>
      </c>
      <c r="R141" t="s">
        <v>101</v>
      </c>
      <c r="S141">
        <v>0</v>
      </c>
      <c r="T141">
        <v>0</v>
      </c>
      <c r="U141" t="s">
        <v>3915</v>
      </c>
      <c r="V141" t="s">
        <v>31</v>
      </c>
      <c r="W141">
        <v>0</v>
      </c>
    </row>
    <row r="142" spans="1:23" x14ac:dyDescent="0.25">
      <c r="A142" t="s">
        <v>4571</v>
      </c>
      <c r="B142" t="s">
        <v>1766</v>
      </c>
      <c r="C142" t="s">
        <v>1765</v>
      </c>
      <c r="D142" t="s">
        <v>4479</v>
      </c>
      <c r="E142" t="s">
        <v>4094</v>
      </c>
      <c r="F142" t="s">
        <v>95</v>
      </c>
      <c r="G142" t="s">
        <v>1406</v>
      </c>
      <c r="H142" s="6">
        <v>46022</v>
      </c>
      <c r="I142" t="s">
        <v>29</v>
      </c>
      <c r="J142">
        <v>0</v>
      </c>
      <c r="K142">
        <v>0</v>
      </c>
      <c r="L142">
        <v>0</v>
      </c>
      <c r="M142">
        <v>0</v>
      </c>
      <c r="N142" t="s">
        <v>3915</v>
      </c>
      <c r="O142" t="s">
        <v>3915</v>
      </c>
      <c r="P142" t="s">
        <v>3915</v>
      </c>
      <c r="Q142">
        <v>0</v>
      </c>
      <c r="R142" t="s">
        <v>101</v>
      </c>
      <c r="S142">
        <v>0</v>
      </c>
      <c r="T142">
        <v>0</v>
      </c>
      <c r="U142" t="s">
        <v>3915</v>
      </c>
      <c r="V142" t="s">
        <v>31</v>
      </c>
      <c r="W142">
        <v>0</v>
      </c>
    </row>
    <row r="143" spans="1:23" x14ac:dyDescent="0.25">
      <c r="A143" t="s">
        <v>4572</v>
      </c>
      <c r="B143" t="s">
        <v>1780</v>
      </c>
      <c r="C143" t="s">
        <v>1779</v>
      </c>
      <c r="D143" t="s">
        <v>4479</v>
      </c>
      <c r="E143" t="s">
        <v>4094</v>
      </c>
      <c r="F143" t="s">
        <v>95</v>
      </c>
      <c r="G143" t="s">
        <v>1406</v>
      </c>
      <c r="H143" s="6">
        <v>46022</v>
      </c>
      <c r="I143" t="s">
        <v>29</v>
      </c>
      <c r="J143">
        <v>10</v>
      </c>
      <c r="K143">
        <v>0</v>
      </c>
      <c r="L143">
        <v>0</v>
      </c>
      <c r="M143">
        <v>0</v>
      </c>
      <c r="N143" t="s">
        <v>3915</v>
      </c>
      <c r="O143" t="s">
        <v>3915</v>
      </c>
      <c r="P143" t="s">
        <v>3915</v>
      </c>
      <c r="Q143">
        <v>0</v>
      </c>
      <c r="R143" t="s">
        <v>30</v>
      </c>
      <c r="S143">
        <v>0</v>
      </c>
      <c r="T143">
        <v>0</v>
      </c>
      <c r="U143" t="s">
        <v>3915</v>
      </c>
      <c r="V143" t="s">
        <v>31</v>
      </c>
      <c r="W143">
        <v>0</v>
      </c>
    </row>
    <row r="144" spans="1:23" x14ac:dyDescent="0.25">
      <c r="A144" t="s">
        <v>4573</v>
      </c>
      <c r="B144" t="s">
        <v>3101</v>
      </c>
      <c r="C144" t="s">
        <v>3100</v>
      </c>
      <c r="D144" t="s">
        <v>4479</v>
      </c>
      <c r="E144" t="s">
        <v>4094</v>
      </c>
      <c r="F144" t="s">
        <v>95</v>
      </c>
      <c r="G144" t="s">
        <v>1406</v>
      </c>
      <c r="H144" s="6">
        <v>46022</v>
      </c>
      <c r="I144" t="s">
        <v>29</v>
      </c>
      <c r="J144">
        <v>17</v>
      </c>
      <c r="K144">
        <v>0</v>
      </c>
      <c r="L144">
        <v>0</v>
      </c>
      <c r="M144">
        <v>0</v>
      </c>
      <c r="N144" t="s">
        <v>3915</v>
      </c>
      <c r="O144" t="s">
        <v>3915</v>
      </c>
      <c r="P144" t="s">
        <v>3915</v>
      </c>
      <c r="Q144">
        <v>0</v>
      </c>
      <c r="R144" t="s">
        <v>30</v>
      </c>
      <c r="S144">
        <v>0</v>
      </c>
      <c r="T144">
        <v>0</v>
      </c>
      <c r="U144" t="s">
        <v>3915</v>
      </c>
      <c r="V144" t="s">
        <v>31</v>
      </c>
      <c r="W144">
        <v>0</v>
      </c>
    </row>
    <row r="145" spans="1:23" x14ac:dyDescent="0.25">
      <c r="A145" t="s">
        <v>4574</v>
      </c>
      <c r="B145" t="s">
        <v>3103</v>
      </c>
      <c r="C145" t="s">
        <v>3102</v>
      </c>
      <c r="D145" t="s">
        <v>4479</v>
      </c>
      <c r="E145" t="s">
        <v>4094</v>
      </c>
      <c r="F145" t="s">
        <v>95</v>
      </c>
      <c r="G145" t="s">
        <v>1406</v>
      </c>
      <c r="H145" s="6">
        <v>46022</v>
      </c>
      <c r="I145" t="s">
        <v>29</v>
      </c>
      <c r="J145">
        <v>10</v>
      </c>
      <c r="K145">
        <v>0</v>
      </c>
      <c r="L145">
        <v>0</v>
      </c>
      <c r="M145">
        <v>0</v>
      </c>
      <c r="N145" t="s">
        <v>3915</v>
      </c>
      <c r="O145" t="s">
        <v>3915</v>
      </c>
      <c r="P145" t="s">
        <v>3915</v>
      </c>
      <c r="Q145">
        <v>0</v>
      </c>
      <c r="R145" t="s">
        <v>30</v>
      </c>
      <c r="S145">
        <v>0</v>
      </c>
      <c r="T145">
        <v>0</v>
      </c>
      <c r="U145" t="s">
        <v>3915</v>
      </c>
      <c r="V145" t="s">
        <v>31</v>
      </c>
      <c r="W145">
        <v>0</v>
      </c>
    </row>
    <row r="146" spans="1:23" x14ac:dyDescent="0.25">
      <c r="A146" t="s">
        <v>4575</v>
      </c>
      <c r="B146" t="s">
        <v>3105</v>
      </c>
      <c r="C146" t="s">
        <v>3104</v>
      </c>
      <c r="D146" t="s">
        <v>4479</v>
      </c>
      <c r="E146" t="s">
        <v>4094</v>
      </c>
      <c r="F146" t="s">
        <v>95</v>
      </c>
      <c r="G146" t="s">
        <v>1406</v>
      </c>
      <c r="H146" s="6">
        <v>46022</v>
      </c>
      <c r="I146" t="s">
        <v>29</v>
      </c>
      <c r="J146">
        <v>10</v>
      </c>
      <c r="K146">
        <v>0</v>
      </c>
      <c r="L146">
        <v>0</v>
      </c>
      <c r="M146">
        <v>0</v>
      </c>
      <c r="N146" t="s">
        <v>3915</v>
      </c>
      <c r="O146" t="s">
        <v>3915</v>
      </c>
      <c r="P146" t="s">
        <v>3915</v>
      </c>
      <c r="Q146">
        <v>0</v>
      </c>
      <c r="R146" t="s">
        <v>30</v>
      </c>
      <c r="S146">
        <v>0</v>
      </c>
      <c r="T146">
        <v>0</v>
      </c>
      <c r="U146" t="s">
        <v>3915</v>
      </c>
      <c r="V146" t="s">
        <v>31</v>
      </c>
      <c r="W146">
        <v>0</v>
      </c>
    </row>
    <row r="147" spans="1:23" x14ac:dyDescent="0.25">
      <c r="A147" t="s">
        <v>4576</v>
      </c>
      <c r="B147" t="s">
        <v>3107</v>
      </c>
      <c r="C147" t="s">
        <v>3106</v>
      </c>
      <c r="D147" t="s">
        <v>4479</v>
      </c>
      <c r="E147" t="s">
        <v>4094</v>
      </c>
      <c r="F147" t="s">
        <v>95</v>
      </c>
      <c r="G147" t="s">
        <v>1406</v>
      </c>
      <c r="H147" s="6">
        <v>46022</v>
      </c>
      <c r="I147" t="s">
        <v>29</v>
      </c>
      <c r="J147">
        <v>22</v>
      </c>
      <c r="K147">
        <v>0</v>
      </c>
      <c r="L147">
        <v>0</v>
      </c>
      <c r="M147">
        <v>0</v>
      </c>
      <c r="N147" t="s">
        <v>3915</v>
      </c>
      <c r="O147" t="s">
        <v>3915</v>
      </c>
      <c r="P147" t="s">
        <v>3915</v>
      </c>
      <c r="Q147">
        <v>0</v>
      </c>
      <c r="R147" t="s">
        <v>30</v>
      </c>
      <c r="S147">
        <v>0</v>
      </c>
      <c r="T147">
        <v>0</v>
      </c>
      <c r="U147" t="s">
        <v>3915</v>
      </c>
      <c r="V147" t="s">
        <v>31</v>
      </c>
      <c r="W147">
        <v>0</v>
      </c>
    </row>
    <row r="148" spans="1:23" x14ac:dyDescent="0.25">
      <c r="A148" t="s">
        <v>4424</v>
      </c>
      <c r="B148" t="s">
        <v>1818</v>
      </c>
      <c r="C148" t="s">
        <v>1817</v>
      </c>
      <c r="D148" t="s">
        <v>4479</v>
      </c>
      <c r="E148" t="s">
        <v>4094</v>
      </c>
      <c r="F148" t="s">
        <v>95</v>
      </c>
      <c r="G148" t="s">
        <v>1406</v>
      </c>
      <c r="H148" s="6">
        <v>46022</v>
      </c>
      <c r="I148" t="s">
        <v>29</v>
      </c>
      <c r="J148">
        <v>0</v>
      </c>
      <c r="K148">
        <v>0</v>
      </c>
      <c r="L148">
        <v>0</v>
      </c>
      <c r="M148">
        <v>0</v>
      </c>
      <c r="N148" t="s">
        <v>3915</v>
      </c>
      <c r="O148" t="s">
        <v>3915</v>
      </c>
      <c r="P148" t="s">
        <v>3915</v>
      </c>
      <c r="Q148">
        <v>0</v>
      </c>
      <c r="R148" t="s">
        <v>30</v>
      </c>
      <c r="S148">
        <v>0</v>
      </c>
      <c r="T148">
        <v>0</v>
      </c>
      <c r="U148" t="s">
        <v>3915</v>
      </c>
      <c r="V148" t="s">
        <v>31</v>
      </c>
      <c r="W148">
        <v>0</v>
      </c>
    </row>
    <row r="149" spans="1:23" x14ac:dyDescent="0.25">
      <c r="A149" t="s">
        <v>4409</v>
      </c>
      <c r="B149" t="s">
        <v>1822</v>
      </c>
      <c r="C149" t="s">
        <v>1821</v>
      </c>
      <c r="D149" t="s">
        <v>4479</v>
      </c>
      <c r="E149" t="s">
        <v>4094</v>
      </c>
      <c r="F149" t="s">
        <v>95</v>
      </c>
      <c r="G149" t="s">
        <v>1406</v>
      </c>
      <c r="H149" s="6">
        <v>46022</v>
      </c>
      <c r="I149" t="s">
        <v>29</v>
      </c>
      <c r="J149">
        <v>0</v>
      </c>
      <c r="K149">
        <v>0</v>
      </c>
      <c r="L149">
        <v>0</v>
      </c>
      <c r="M149">
        <v>0</v>
      </c>
      <c r="N149" t="s">
        <v>3915</v>
      </c>
      <c r="O149" t="s">
        <v>3915</v>
      </c>
      <c r="P149" t="s">
        <v>3915</v>
      </c>
      <c r="Q149">
        <v>0</v>
      </c>
      <c r="R149" t="s">
        <v>30</v>
      </c>
      <c r="S149">
        <v>0</v>
      </c>
      <c r="T149">
        <v>0</v>
      </c>
      <c r="U149" t="s">
        <v>3915</v>
      </c>
      <c r="V149" t="s">
        <v>31</v>
      </c>
      <c r="W149">
        <v>0</v>
      </c>
    </row>
    <row r="150" spans="1:23" x14ac:dyDescent="0.25">
      <c r="A150" t="s">
        <v>4577</v>
      </c>
      <c r="B150" t="s">
        <v>1438</v>
      </c>
      <c r="C150" t="s">
        <v>1437</v>
      </c>
      <c r="D150" t="s">
        <v>4479</v>
      </c>
      <c r="E150" t="s">
        <v>4094</v>
      </c>
      <c r="F150" t="s">
        <v>95</v>
      </c>
      <c r="G150" t="s">
        <v>1406</v>
      </c>
      <c r="H150" s="6">
        <v>46022</v>
      </c>
      <c r="I150" t="s">
        <v>29</v>
      </c>
      <c r="J150">
        <v>0</v>
      </c>
      <c r="K150">
        <v>0</v>
      </c>
      <c r="L150">
        <v>0</v>
      </c>
      <c r="M150">
        <v>0</v>
      </c>
      <c r="N150" t="s">
        <v>3915</v>
      </c>
      <c r="O150" t="s">
        <v>3915</v>
      </c>
      <c r="P150" t="s">
        <v>3915</v>
      </c>
      <c r="Q150">
        <v>0</v>
      </c>
      <c r="R150" t="s">
        <v>30</v>
      </c>
      <c r="S150">
        <v>0</v>
      </c>
      <c r="T150">
        <v>0</v>
      </c>
      <c r="U150" t="s">
        <v>3915</v>
      </c>
      <c r="V150" t="s">
        <v>31</v>
      </c>
      <c r="W150">
        <v>0</v>
      </c>
    </row>
    <row r="151" spans="1:23" x14ac:dyDescent="0.25">
      <c r="A151" t="s">
        <v>4578</v>
      </c>
      <c r="B151" t="s">
        <v>1826</v>
      </c>
      <c r="C151" t="s">
        <v>1825</v>
      </c>
      <c r="D151" t="s">
        <v>4479</v>
      </c>
      <c r="E151" t="s">
        <v>4094</v>
      </c>
      <c r="F151" t="s">
        <v>95</v>
      </c>
      <c r="G151" t="s">
        <v>1406</v>
      </c>
      <c r="H151" s="6">
        <v>46022</v>
      </c>
      <c r="I151" t="s">
        <v>29</v>
      </c>
      <c r="J151">
        <v>0</v>
      </c>
      <c r="K151">
        <v>0</v>
      </c>
      <c r="L151">
        <v>0</v>
      </c>
      <c r="M151">
        <v>0</v>
      </c>
      <c r="N151" t="s">
        <v>3915</v>
      </c>
      <c r="O151" t="s">
        <v>3915</v>
      </c>
      <c r="P151" t="s">
        <v>3915</v>
      </c>
      <c r="Q151">
        <v>0</v>
      </c>
      <c r="R151" t="s">
        <v>30</v>
      </c>
      <c r="S151">
        <v>0</v>
      </c>
      <c r="T151">
        <v>0</v>
      </c>
      <c r="U151" t="s">
        <v>3915</v>
      </c>
      <c r="V151" t="s">
        <v>31</v>
      </c>
      <c r="W151">
        <v>0</v>
      </c>
    </row>
    <row r="152" spans="1:23" x14ac:dyDescent="0.25">
      <c r="A152" t="s">
        <v>4579</v>
      </c>
      <c r="B152" t="s">
        <v>1844</v>
      </c>
      <c r="C152" t="s">
        <v>1843</v>
      </c>
      <c r="D152" t="s">
        <v>4479</v>
      </c>
      <c r="E152" t="s">
        <v>4094</v>
      </c>
      <c r="F152" t="s">
        <v>95</v>
      </c>
      <c r="G152" t="s">
        <v>1406</v>
      </c>
      <c r="H152" s="6">
        <v>46022</v>
      </c>
      <c r="I152" t="s">
        <v>29</v>
      </c>
      <c r="J152">
        <v>5</v>
      </c>
      <c r="K152">
        <v>0</v>
      </c>
      <c r="L152">
        <v>0</v>
      </c>
      <c r="M152">
        <v>0</v>
      </c>
      <c r="N152" t="s">
        <v>3915</v>
      </c>
      <c r="O152" t="s">
        <v>3915</v>
      </c>
      <c r="P152" t="s">
        <v>3915</v>
      </c>
      <c r="Q152">
        <v>0</v>
      </c>
      <c r="R152" t="s">
        <v>30</v>
      </c>
      <c r="S152">
        <v>0</v>
      </c>
      <c r="T152">
        <v>0</v>
      </c>
      <c r="U152" t="s">
        <v>3915</v>
      </c>
      <c r="V152" t="s">
        <v>31</v>
      </c>
      <c r="W152">
        <v>0</v>
      </c>
    </row>
    <row r="153" spans="1:23" x14ac:dyDescent="0.25">
      <c r="A153" t="s">
        <v>4580</v>
      </c>
      <c r="B153" t="s">
        <v>3113</v>
      </c>
      <c r="C153" t="s">
        <v>3112</v>
      </c>
      <c r="D153" t="s">
        <v>4479</v>
      </c>
      <c r="E153" t="s">
        <v>4581</v>
      </c>
      <c r="F153" t="s">
        <v>3114</v>
      </c>
      <c r="G153" t="s">
        <v>1406</v>
      </c>
      <c r="H153" s="6">
        <v>46022</v>
      </c>
      <c r="I153" t="s">
        <v>29</v>
      </c>
      <c r="J153">
        <v>3</v>
      </c>
      <c r="K153">
        <v>0</v>
      </c>
      <c r="L153">
        <v>0</v>
      </c>
      <c r="M153">
        <v>0</v>
      </c>
      <c r="N153" t="s">
        <v>3915</v>
      </c>
      <c r="O153" t="s">
        <v>3915</v>
      </c>
      <c r="P153" t="s">
        <v>3915</v>
      </c>
      <c r="Q153">
        <v>0</v>
      </c>
      <c r="R153" t="s">
        <v>101</v>
      </c>
      <c r="S153">
        <v>0</v>
      </c>
      <c r="T153">
        <v>0</v>
      </c>
      <c r="U153" t="s">
        <v>3915</v>
      </c>
      <c r="V153" t="s">
        <v>31</v>
      </c>
      <c r="W153">
        <v>0</v>
      </c>
    </row>
    <row r="154" spans="1:23" x14ac:dyDescent="0.25">
      <c r="A154" t="s">
        <v>4582</v>
      </c>
      <c r="B154" t="s">
        <v>3116</v>
      </c>
      <c r="C154" t="s">
        <v>3115</v>
      </c>
      <c r="D154" t="s">
        <v>4479</v>
      </c>
      <c r="E154" t="s">
        <v>4581</v>
      </c>
      <c r="F154" t="s">
        <v>3114</v>
      </c>
      <c r="G154" t="s">
        <v>1406</v>
      </c>
      <c r="H154" s="6">
        <v>46022</v>
      </c>
      <c r="I154" t="s">
        <v>29</v>
      </c>
      <c r="J154">
        <v>1</v>
      </c>
      <c r="K154">
        <v>0</v>
      </c>
      <c r="L154">
        <v>0</v>
      </c>
      <c r="M154">
        <v>0</v>
      </c>
      <c r="N154" t="s">
        <v>3915</v>
      </c>
      <c r="O154" t="s">
        <v>3915</v>
      </c>
      <c r="P154" t="s">
        <v>3915</v>
      </c>
      <c r="Q154">
        <v>0</v>
      </c>
      <c r="R154" t="s">
        <v>101</v>
      </c>
      <c r="S154">
        <v>0</v>
      </c>
      <c r="T154">
        <v>0</v>
      </c>
      <c r="U154" t="s">
        <v>3915</v>
      </c>
      <c r="V154" t="s">
        <v>31</v>
      </c>
      <c r="W154">
        <v>0</v>
      </c>
    </row>
    <row r="155" spans="1:23" x14ac:dyDescent="0.25">
      <c r="A155" t="s">
        <v>4583</v>
      </c>
      <c r="B155" t="s">
        <v>3118</v>
      </c>
      <c r="C155" t="s">
        <v>3117</v>
      </c>
      <c r="D155" t="s">
        <v>4479</v>
      </c>
      <c r="E155" t="s">
        <v>4581</v>
      </c>
      <c r="F155" t="s">
        <v>3114</v>
      </c>
      <c r="G155" t="s">
        <v>1406</v>
      </c>
      <c r="H155" s="6">
        <v>46022</v>
      </c>
      <c r="I155" t="s">
        <v>29</v>
      </c>
      <c r="J155">
        <v>5</v>
      </c>
      <c r="K155">
        <v>0</v>
      </c>
      <c r="L155">
        <v>0</v>
      </c>
      <c r="M155">
        <v>0</v>
      </c>
      <c r="N155" t="s">
        <v>3915</v>
      </c>
      <c r="O155" t="s">
        <v>3915</v>
      </c>
      <c r="P155" t="s">
        <v>3915</v>
      </c>
      <c r="Q155">
        <v>0</v>
      </c>
      <c r="R155" t="s">
        <v>101</v>
      </c>
      <c r="S155">
        <v>0</v>
      </c>
      <c r="T155">
        <v>0</v>
      </c>
      <c r="U155" t="s">
        <v>3915</v>
      </c>
      <c r="V155" t="s">
        <v>31</v>
      </c>
      <c r="W155">
        <v>0</v>
      </c>
    </row>
    <row r="156" spans="1:23" x14ac:dyDescent="0.25">
      <c r="A156" t="s">
        <v>4584</v>
      </c>
      <c r="B156" t="s">
        <v>3120</v>
      </c>
      <c r="C156" t="s">
        <v>3119</v>
      </c>
      <c r="D156" t="s">
        <v>4479</v>
      </c>
      <c r="E156" t="s">
        <v>4581</v>
      </c>
      <c r="F156" t="s">
        <v>3114</v>
      </c>
      <c r="G156" t="s">
        <v>1406</v>
      </c>
      <c r="H156" s="6">
        <v>46022</v>
      </c>
      <c r="I156" t="s">
        <v>29</v>
      </c>
      <c r="J156">
        <v>2</v>
      </c>
      <c r="K156">
        <v>0</v>
      </c>
      <c r="L156">
        <v>0</v>
      </c>
      <c r="M156">
        <v>0</v>
      </c>
      <c r="N156" t="s">
        <v>3915</v>
      </c>
      <c r="O156" t="s">
        <v>3915</v>
      </c>
      <c r="P156" t="s">
        <v>3915</v>
      </c>
      <c r="Q156">
        <v>0</v>
      </c>
      <c r="R156" t="s">
        <v>104</v>
      </c>
      <c r="S156">
        <v>0</v>
      </c>
      <c r="T156">
        <v>0</v>
      </c>
      <c r="U156" t="s">
        <v>3915</v>
      </c>
      <c r="V156" t="s">
        <v>31</v>
      </c>
      <c r="W156">
        <v>0</v>
      </c>
    </row>
    <row r="157" spans="1:23" x14ac:dyDescent="0.25">
      <c r="A157" t="s">
        <v>10217</v>
      </c>
      <c r="B157" t="s">
        <v>140</v>
      </c>
      <c r="C157" t="s">
        <v>141</v>
      </c>
      <c r="D157" t="s">
        <v>4479</v>
      </c>
      <c r="E157" t="s">
        <v>4581</v>
      </c>
      <c r="F157" t="s">
        <v>3114</v>
      </c>
      <c r="G157" t="s">
        <v>1406</v>
      </c>
      <c r="H157" s="6">
        <v>46022</v>
      </c>
      <c r="I157" t="s">
        <v>29</v>
      </c>
      <c r="J157">
        <v>0</v>
      </c>
      <c r="K157">
        <v>0</v>
      </c>
      <c r="L157">
        <v>0</v>
      </c>
      <c r="M157">
        <v>0</v>
      </c>
      <c r="N157" t="s">
        <v>3915</v>
      </c>
      <c r="O157" t="s">
        <v>3915</v>
      </c>
      <c r="P157" t="s">
        <v>3915</v>
      </c>
      <c r="Q157">
        <v>0</v>
      </c>
      <c r="R157" t="s">
        <v>104</v>
      </c>
      <c r="S157">
        <v>0</v>
      </c>
      <c r="T157">
        <v>0</v>
      </c>
      <c r="U157" t="s">
        <v>3915</v>
      </c>
      <c r="V157" t="s">
        <v>31</v>
      </c>
      <c r="W157">
        <v>0</v>
      </c>
    </row>
    <row r="158" spans="1:23" x14ac:dyDescent="0.25">
      <c r="A158" t="s">
        <v>4585</v>
      </c>
      <c r="B158" t="s">
        <v>3122</v>
      </c>
      <c r="C158" t="s">
        <v>3121</v>
      </c>
      <c r="D158" t="s">
        <v>4479</v>
      </c>
      <c r="E158" t="s">
        <v>4581</v>
      </c>
      <c r="F158" t="s">
        <v>3114</v>
      </c>
      <c r="G158" t="s">
        <v>1406</v>
      </c>
      <c r="H158" s="6">
        <v>46022</v>
      </c>
      <c r="I158" t="s">
        <v>29</v>
      </c>
      <c r="J158">
        <v>8</v>
      </c>
      <c r="K158">
        <v>0</v>
      </c>
      <c r="L158">
        <v>0</v>
      </c>
      <c r="M158">
        <v>0</v>
      </c>
      <c r="N158" t="s">
        <v>3915</v>
      </c>
      <c r="O158" t="s">
        <v>3915</v>
      </c>
      <c r="P158" t="s">
        <v>3915</v>
      </c>
      <c r="Q158">
        <v>0</v>
      </c>
      <c r="R158" t="s">
        <v>104</v>
      </c>
      <c r="S158">
        <v>0</v>
      </c>
      <c r="T158">
        <v>0</v>
      </c>
      <c r="U158" t="s">
        <v>3915</v>
      </c>
      <c r="V158" t="s">
        <v>31</v>
      </c>
      <c r="W158">
        <v>0</v>
      </c>
    </row>
    <row r="159" spans="1:23" x14ac:dyDescent="0.25">
      <c r="A159" t="s">
        <v>4586</v>
      </c>
      <c r="B159" t="s">
        <v>142</v>
      </c>
      <c r="C159" t="s">
        <v>143</v>
      </c>
      <c r="D159" t="s">
        <v>4479</v>
      </c>
      <c r="E159" t="s">
        <v>4581</v>
      </c>
      <c r="F159" t="s">
        <v>3114</v>
      </c>
      <c r="G159" t="s">
        <v>1406</v>
      </c>
      <c r="H159" s="6">
        <v>46022</v>
      </c>
      <c r="I159" t="s">
        <v>29</v>
      </c>
      <c r="J159">
        <v>0</v>
      </c>
      <c r="K159">
        <v>0</v>
      </c>
      <c r="L159">
        <v>0</v>
      </c>
      <c r="M159">
        <v>0</v>
      </c>
      <c r="N159" t="s">
        <v>3915</v>
      </c>
      <c r="O159" t="s">
        <v>3915</v>
      </c>
      <c r="P159" t="s">
        <v>3915</v>
      </c>
      <c r="Q159">
        <v>0</v>
      </c>
      <c r="R159" t="s">
        <v>104</v>
      </c>
      <c r="S159">
        <v>0</v>
      </c>
      <c r="T159">
        <v>0</v>
      </c>
      <c r="U159" t="s">
        <v>3915</v>
      </c>
      <c r="V159" t="s">
        <v>31</v>
      </c>
      <c r="W159">
        <v>0</v>
      </c>
    </row>
    <row r="160" spans="1:23" x14ac:dyDescent="0.25">
      <c r="A160" t="s">
        <v>4137</v>
      </c>
      <c r="B160" t="s">
        <v>148</v>
      </c>
      <c r="C160" t="s">
        <v>149</v>
      </c>
      <c r="D160" t="s">
        <v>4479</v>
      </c>
      <c r="E160" t="s">
        <v>4581</v>
      </c>
      <c r="F160" t="s">
        <v>3114</v>
      </c>
      <c r="G160" t="s">
        <v>1406</v>
      </c>
      <c r="H160" s="6">
        <v>46022</v>
      </c>
      <c r="I160" t="s">
        <v>29</v>
      </c>
      <c r="J160">
        <v>0</v>
      </c>
      <c r="K160">
        <v>0</v>
      </c>
      <c r="L160">
        <v>0</v>
      </c>
      <c r="M160">
        <v>0</v>
      </c>
      <c r="N160" t="s">
        <v>3915</v>
      </c>
      <c r="O160" t="s">
        <v>3915</v>
      </c>
      <c r="P160" t="s">
        <v>3915</v>
      </c>
      <c r="Q160">
        <v>0</v>
      </c>
      <c r="R160" t="s">
        <v>104</v>
      </c>
      <c r="S160">
        <v>0</v>
      </c>
      <c r="T160">
        <v>0</v>
      </c>
      <c r="U160" t="s">
        <v>3915</v>
      </c>
      <c r="V160" t="s">
        <v>31</v>
      </c>
      <c r="W160">
        <v>0</v>
      </c>
    </row>
    <row r="161" spans="1:23" x14ac:dyDescent="0.25">
      <c r="A161" t="s">
        <v>4587</v>
      </c>
      <c r="B161" t="s">
        <v>162</v>
      </c>
      <c r="C161" t="s">
        <v>163</v>
      </c>
      <c r="D161" t="s">
        <v>4479</v>
      </c>
      <c r="E161" t="s">
        <v>4581</v>
      </c>
      <c r="F161" t="s">
        <v>3114</v>
      </c>
      <c r="G161" t="s">
        <v>1406</v>
      </c>
      <c r="H161" s="6">
        <v>46022</v>
      </c>
      <c r="I161" t="s">
        <v>29</v>
      </c>
      <c r="J161">
        <v>0</v>
      </c>
      <c r="K161">
        <v>0</v>
      </c>
      <c r="L161">
        <v>0</v>
      </c>
      <c r="M161">
        <v>0</v>
      </c>
      <c r="N161" t="s">
        <v>3915</v>
      </c>
      <c r="O161" t="s">
        <v>3915</v>
      </c>
      <c r="P161" t="s">
        <v>3915</v>
      </c>
      <c r="Q161">
        <v>0</v>
      </c>
      <c r="R161" t="s">
        <v>101</v>
      </c>
      <c r="S161">
        <v>0</v>
      </c>
      <c r="T161">
        <v>0</v>
      </c>
      <c r="U161" t="s">
        <v>3915</v>
      </c>
      <c r="V161" t="s">
        <v>31</v>
      </c>
      <c r="W161">
        <v>0</v>
      </c>
    </row>
    <row r="162" spans="1:23" x14ac:dyDescent="0.25">
      <c r="A162" t="s">
        <v>4588</v>
      </c>
      <c r="B162" t="s">
        <v>181</v>
      </c>
      <c r="C162" t="s">
        <v>182</v>
      </c>
      <c r="D162" t="s">
        <v>4479</v>
      </c>
      <c r="E162" t="s">
        <v>4581</v>
      </c>
      <c r="F162" t="s">
        <v>3114</v>
      </c>
      <c r="G162" t="s">
        <v>1406</v>
      </c>
      <c r="H162" s="6">
        <v>46022</v>
      </c>
      <c r="I162" t="s">
        <v>29</v>
      </c>
      <c r="J162">
        <v>1.0000000000000001E-5</v>
      </c>
      <c r="K162">
        <v>0</v>
      </c>
      <c r="L162">
        <v>0</v>
      </c>
      <c r="M162">
        <v>0</v>
      </c>
      <c r="N162" t="s">
        <v>183</v>
      </c>
      <c r="O162" t="s">
        <v>3915</v>
      </c>
      <c r="P162" t="s">
        <v>3915</v>
      </c>
      <c r="Q162">
        <v>0</v>
      </c>
      <c r="R162" t="s">
        <v>101</v>
      </c>
      <c r="S162">
        <v>0</v>
      </c>
      <c r="T162">
        <v>0</v>
      </c>
      <c r="U162" t="s">
        <v>3915</v>
      </c>
      <c r="V162" t="s">
        <v>31</v>
      </c>
      <c r="W162">
        <v>0</v>
      </c>
    </row>
    <row r="163" spans="1:23" x14ac:dyDescent="0.25">
      <c r="A163" t="s">
        <v>4589</v>
      </c>
      <c r="B163" t="s">
        <v>184</v>
      </c>
      <c r="C163" t="s">
        <v>185</v>
      </c>
      <c r="D163" t="s">
        <v>4479</v>
      </c>
      <c r="E163" t="s">
        <v>4581</v>
      </c>
      <c r="F163" t="s">
        <v>3114</v>
      </c>
      <c r="G163" t="s">
        <v>1406</v>
      </c>
      <c r="H163" s="6">
        <v>46022</v>
      </c>
      <c r="I163" t="s">
        <v>29</v>
      </c>
      <c r="J163">
        <v>0</v>
      </c>
      <c r="K163">
        <v>0</v>
      </c>
      <c r="L163">
        <v>0</v>
      </c>
      <c r="M163">
        <v>0</v>
      </c>
      <c r="N163" t="s">
        <v>186</v>
      </c>
      <c r="O163" t="s">
        <v>3915</v>
      </c>
      <c r="P163" t="s">
        <v>3915</v>
      </c>
      <c r="Q163">
        <v>0</v>
      </c>
      <c r="R163" t="s">
        <v>101</v>
      </c>
      <c r="S163">
        <v>0</v>
      </c>
      <c r="T163">
        <v>0</v>
      </c>
      <c r="U163" t="s">
        <v>3915</v>
      </c>
      <c r="V163" t="s">
        <v>31</v>
      </c>
      <c r="W163">
        <v>0</v>
      </c>
    </row>
    <row r="164" spans="1:23" x14ac:dyDescent="0.25">
      <c r="A164" t="s">
        <v>4590</v>
      </c>
      <c r="B164" t="s">
        <v>191</v>
      </c>
      <c r="C164" t="s">
        <v>192</v>
      </c>
      <c r="D164" t="s">
        <v>4479</v>
      </c>
      <c r="E164" t="s">
        <v>4581</v>
      </c>
      <c r="F164" t="s">
        <v>3114</v>
      </c>
      <c r="G164" t="s">
        <v>1406</v>
      </c>
      <c r="H164" s="6">
        <v>46022</v>
      </c>
      <c r="I164" t="s">
        <v>29</v>
      </c>
      <c r="J164">
        <v>0</v>
      </c>
      <c r="K164">
        <v>0</v>
      </c>
      <c r="L164">
        <v>0</v>
      </c>
      <c r="M164">
        <v>0</v>
      </c>
      <c r="N164" t="s">
        <v>193</v>
      </c>
      <c r="O164" t="s">
        <v>3915</v>
      </c>
      <c r="P164" t="s">
        <v>3915</v>
      </c>
      <c r="Q164">
        <v>0</v>
      </c>
      <c r="R164" t="s">
        <v>101</v>
      </c>
      <c r="S164">
        <v>0</v>
      </c>
      <c r="T164">
        <v>0</v>
      </c>
      <c r="U164" t="s">
        <v>3915</v>
      </c>
      <c r="V164" t="s">
        <v>31</v>
      </c>
      <c r="W164">
        <v>0</v>
      </c>
    </row>
    <row r="165" spans="1:23" x14ac:dyDescent="0.25">
      <c r="A165" t="s">
        <v>10218</v>
      </c>
      <c r="B165" t="s">
        <v>202</v>
      </c>
      <c r="C165" t="s">
        <v>203</v>
      </c>
      <c r="D165" t="s">
        <v>4479</v>
      </c>
      <c r="E165" t="s">
        <v>4581</v>
      </c>
      <c r="F165" t="s">
        <v>3114</v>
      </c>
      <c r="G165" t="s">
        <v>1406</v>
      </c>
      <c r="H165" s="6">
        <v>46022</v>
      </c>
      <c r="I165" t="s">
        <v>29</v>
      </c>
      <c r="J165">
        <v>0</v>
      </c>
      <c r="K165">
        <v>0</v>
      </c>
      <c r="L165">
        <v>0</v>
      </c>
      <c r="M165">
        <v>0</v>
      </c>
      <c r="N165" t="s">
        <v>3915</v>
      </c>
      <c r="O165" t="s">
        <v>3915</v>
      </c>
      <c r="P165" t="s">
        <v>3915</v>
      </c>
      <c r="Q165">
        <v>0</v>
      </c>
      <c r="R165" t="s">
        <v>101</v>
      </c>
      <c r="S165">
        <v>0</v>
      </c>
      <c r="T165">
        <v>0</v>
      </c>
      <c r="U165" t="s">
        <v>3915</v>
      </c>
      <c r="V165" t="s">
        <v>31</v>
      </c>
      <c r="W165">
        <v>0</v>
      </c>
    </row>
    <row r="166" spans="1:23" x14ac:dyDescent="0.25">
      <c r="A166" t="s">
        <v>4591</v>
      </c>
      <c r="B166" t="s">
        <v>208</v>
      </c>
      <c r="C166" t="s">
        <v>209</v>
      </c>
      <c r="D166" t="s">
        <v>4479</v>
      </c>
      <c r="E166" t="s">
        <v>4581</v>
      </c>
      <c r="F166" t="s">
        <v>3114</v>
      </c>
      <c r="G166" t="s">
        <v>1406</v>
      </c>
      <c r="H166" s="6">
        <v>46022</v>
      </c>
      <c r="I166" t="s">
        <v>29</v>
      </c>
      <c r="J166">
        <v>2</v>
      </c>
      <c r="K166">
        <v>0</v>
      </c>
      <c r="L166">
        <v>0</v>
      </c>
      <c r="M166">
        <v>0</v>
      </c>
      <c r="N166" t="s">
        <v>3915</v>
      </c>
      <c r="O166" t="s">
        <v>3915</v>
      </c>
      <c r="P166" t="s">
        <v>3915</v>
      </c>
      <c r="Q166">
        <v>0</v>
      </c>
      <c r="R166" t="s">
        <v>101</v>
      </c>
      <c r="S166">
        <v>0</v>
      </c>
      <c r="T166">
        <v>0</v>
      </c>
      <c r="U166" t="s">
        <v>3915</v>
      </c>
      <c r="V166" t="s">
        <v>31</v>
      </c>
      <c r="W166">
        <v>0</v>
      </c>
    </row>
    <row r="167" spans="1:23" x14ac:dyDescent="0.25">
      <c r="A167" t="s">
        <v>4592</v>
      </c>
      <c r="B167" t="s">
        <v>210</v>
      </c>
      <c r="C167" t="s">
        <v>211</v>
      </c>
      <c r="D167" t="s">
        <v>4479</v>
      </c>
      <c r="E167" t="s">
        <v>4581</v>
      </c>
      <c r="F167" t="s">
        <v>3114</v>
      </c>
      <c r="G167" t="s">
        <v>1406</v>
      </c>
      <c r="H167" s="6">
        <v>46022</v>
      </c>
      <c r="I167" t="s">
        <v>29</v>
      </c>
      <c r="J167">
        <v>3</v>
      </c>
      <c r="K167">
        <v>0</v>
      </c>
      <c r="L167">
        <v>0</v>
      </c>
      <c r="M167">
        <v>0</v>
      </c>
      <c r="N167" t="s">
        <v>212</v>
      </c>
      <c r="O167" t="s">
        <v>3915</v>
      </c>
      <c r="P167" t="s">
        <v>3915</v>
      </c>
      <c r="Q167">
        <v>0</v>
      </c>
      <c r="R167" t="s">
        <v>101</v>
      </c>
      <c r="S167">
        <v>0</v>
      </c>
      <c r="T167">
        <v>0</v>
      </c>
      <c r="U167" t="s">
        <v>3915</v>
      </c>
      <c r="V167" t="s">
        <v>31</v>
      </c>
      <c r="W167">
        <v>0</v>
      </c>
    </row>
    <row r="168" spans="1:23" x14ac:dyDescent="0.25">
      <c r="A168" t="s">
        <v>4593</v>
      </c>
      <c r="B168" t="s">
        <v>217</v>
      </c>
      <c r="C168" t="s">
        <v>218</v>
      </c>
      <c r="D168" t="s">
        <v>4479</v>
      </c>
      <c r="E168" t="s">
        <v>4581</v>
      </c>
      <c r="F168" t="s">
        <v>3114</v>
      </c>
      <c r="G168" t="s">
        <v>1406</v>
      </c>
      <c r="H168" s="6">
        <v>46022</v>
      </c>
      <c r="I168" t="s">
        <v>29</v>
      </c>
      <c r="J168">
        <v>0</v>
      </c>
      <c r="K168">
        <v>0</v>
      </c>
      <c r="L168">
        <v>0</v>
      </c>
      <c r="M168">
        <v>0</v>
      </c>
      <c r="N168" t="s">
        <v>219</v>
      </c>
      <c r="O168" t="s">
        <v>3915</v>
      </c>
      <c r="P168" t="s">
        <v>3915</v>
      </c>
      <c r="Q168">
        <v>0</v>
      </c>
      <c r="R168" t="s">
        <v>101</v>
      </c>
      <c r="S168">
        <v>0</v>
      </c>
      <c r="T168">
        <v>0</v>
      </c>
      <c r="U168" t="s">
        <v>3915</v>
      </c>
      <c r="V168" t="s">
        <v>31</v>
      </c>
      <c r="W168">
        <v>0</v>
      </c>
    </row>
    <row r="169" spans="1:23" x14ac:dyDescent="0.25">
      <c r="A169" t="s">
        <v>4594</v>
      </c>
      <c r="B169" t="s">
        <v>3124</v>
      </c>
      <c r="C169" t="s">
        <v>3123</v>
      </c>
      <c r="D169" t="s">
        <v>4479</v>
      </c>
      <c r="E169" t="s">
        <v>4581</v>
      </c>
      <c r="F169" t="s">
        <v>3114</v>
      </c>
      <c r="G169" t="s">
        <v>1406</v>
      </c>
      <c r="H169" s="6">
        <v>46022</v>
      </c>
      <c r="I169" t="s">
        <v>29</v>
      </c>
      <c r="J169">
        <v>15</v>
      </c>
      <c r="K169">
        <v>0</v>
      </c>
      <c r="L169">
        <v>0</v>
      </c>
      <c r="M169">
        <v>0</v>
      </c>
      <c r="N169" t="s">
        <v>3915</v>
      </c>
      <c r="O169" t="s">
        <v>3915</v>
      </c>
      <c r="P169" t="s">
        <v>3915</v>
      </c>
      <c r="Q169">
        <v>0</v>
      </c>
      <c r="R169" t="s">
        <v>101</v>
      </c>
      <c r="S169">
        <v>0</v>
      </c>
      <c r="T169">
        <v>0</v>
      </c>
      <c r="U169" t="s">
        <v>3915</v>
      </c>
      <c r="V169" t="s">
        <v>31</v>
      </c>
      <c r="W169">
        <v>0</v>
      </c>
    </row>
    <row r="170" spans="1:23" x14ac:dyDescent="0.25">
      <c r="A170" t="s">
        <v>4595</v>
      </c>
      <c r="B170" t="s">
        <v>3126</v>
      </c>
      <c r="C170" t="s">
        <v>3125</v>
      </c>
      <c r="D170" t="s">
        <v>4479</v>
      </c>
      <c r="E170" t="s">
        <v>4581</v>
      </c>
      <c r="F170" t="s">
        <v>3114</v>
      </c>
      <c r="G170" t="s">
        <v>1406</v>
      </c>
      <c r="H170" s="6">
        <v>46022</v>
      </c>
      <c r="I170" t="s">
        <v>29</v>
      </c>
      <c r="J170">
        <v>14</v>
      </c>
      <c r="K170">
        <v>0</v>
      </c>
      <c r="L170">
        <v>0</v>
      </c>
      <c r="M170">
        <v>0</v>
      </c>
      <c r="N170" t="s">
        <v>3915</v>
      </c>
      <c r="O170" t="s">
        <v>3915</v>
      </c>
      <c r="P170" t="s">
        <v>3915</v>
      </c>
      <c r="Q170">
        <v>0</v>
      </c>
      <c r="R170" t="s">
        <v>101</v>
      </c>
      <c r="S170">
        <v>0</v>
      </c>
      <c r="T170">
        <v>0</v>
      </c>
      <c r="U170" t="s">
        <v>3915</v>
      </c>
      <c r="V170" t="s">
        <v>31</v>
      </c>
      <c r="W170">
        <v>0</v>
      </c>
    </row>
    <row r="171" spans="1:23" x14ac:dyDescent="0.25">
      <c r="A171" t="s">
        <v>4596</v>
      </c>
      <c r="B171" t="s">
        <v>3128</v>
      </c>
      <c r="C171" t="s">
        <v>3127</v>
      </c>
      <c r="D171" t="s">
        <v>4479</v>
      </c>
      <c r="E171" t="s">
        <v>4581</v>
      </c>
      <c r="F171" t="s">
        <v>3114</v>
      </c>
      <c r="G171" t="s">
        <v>1406</v>
      </c>
      <c r="H171" s="6">
        <v>46022</v>
      </c>
      <c r="I171" t="s">
        <v>29</v>
      </c>
      <c r="J171">
        <v>9</v>
      </c>
      <c r="K171">
        <v>0</v>
      </c>
      <c r="L171">
        <v>0</v>
      </c>
      <c r="M171">
        <v>0</v>
      </c>
      <c r="N171" t="s">
        <v>3915</v>
      </c>
      <c r="O171" t="s">
        <v>3915</v>
      </c>
      <c r="P171" t="s">
        <v>3915</v>
      </c>
      <c r="Q171">
        <v>0</v>
      </c>
      <c r="R171" t="s">
        <v>101</v>
      </c>
      <c r="S171">
        <v>0</v>
      </c>
      <c r="T171">
        <v>0</v>
      </c>
      <c r="U171" t="s">
        <v>3915</v>
      </c>
      <c r="V171" t="s">
        <v>31</v>
      </c>
      <c r="W171">
        <v>0</v>
      </c>
    </row>
    <row r="172" spans="1:23" x14ac:dyDescent="0.25">
      <c r="A172" t="s">
        <v>4597</v>
      </c>
      <c r="B172" t="s">
        <v>3130</v>
      </c>
      <c r="C172" t="s">
        <v>3129</v>
      </c>
      <c r="D172" t="s">
        <v>4479</v>
      </c>
      <c r="E172" t="s">
        <v>4581</v>
      </c>
      <c r="F172" t="s">
        <v>3114</v>
      </c>
      <c r="G172" t="s">
        <v>1406</v>
      </c>
      <c r="H172" s="6">
        <v>46022</v>
      </c>
      <c r="I172" t="s">
        <v>29</v>
      </c>
      <c r="J172">
        <v>0.6</v>
      </c>
      <c r="K172">
        <v>0</v>
      </c>
      <c r="L172">
        <v>0</v>
      </c>
      <c r="M172">
        <v>0</v>
      </c>
      <c r="N172" t="s">
        <v>3915</v>
      </c>
      <c r="O172" t="s">
        <v>3915</v>
      </c>
      <c r="P172" t="s">
        <v>3915</v>
      </c>
      <c r="Q172">
        <v>0</v>
      </c>
      <c r="R172" t="s">
        <v>101</v>
      </c>
      <c r="S172">
        <v>0</v>
      </c>
      <c r="T172">
        <v>0</v>
      </c>
      <c r="U172" t="s">
        <v>3915</v>
      </c>
      <c r="V172" t="s">
        <v>31</v>
      </c>
      <c r="W172">
        <v>0</v>
      </c>
    </row>
    <row r="173" spans="1:23" x14ac:dyDescent="0.25">
      <c r="A173" t="s">
        <v>4598</v>
      </c>
      <c r="B173" t="s">
        <v>3132</v>
      </c>
      <c r="C173" t="s">
        <v>3131</v>
      </c>
      <c r="D173" t="s">
        <v>4479</v>
      </c>
      <c r="E173" t="s">
        <v>4599</v>
      </c>
      <c r="F173" t="s">
        <v>232</v>
      </c>
      <c r="G173" t="s">
        <v>1406</v>
      </c>
      <c r="H173" s="6">
        <v>46022</v>
      </c>
      <c r="I173" t="s">
        <v>29</v>
      </c>
      <c r="J173">
        <v>57</v>
      </c>
      <c r="K173">
        <v>0</v>
      </c>
      <c r="L173">
        <v>0</v>
      </c>
      <c r="M173">
        <v>0</v>
      </c>
      <c r="N173" t="s">
        <v>3915</v>
      </c>
      <c r="O173" t="s">
        <v>3915</v>
      </c>
      <c r="P173" t="s">
        <v>3915</v>
      </c>
      <c r="Q173">
        <v>0</v>
      </c>
      <c r="R173" t="s">
        <v>30</v>
      </c>
      <c r="S173">
        <v>0</v>
      </c>
      <c r="T173">
        <v>0</v>
      </c>
      <c r="U173" t="s">
        <v>3915</v>
      </c>
      <c r="V173" t="s">
        <v>31</v>
      </c>
      <c r="W173">
        <v>0</v>
      </c>
    </row>
    <row r="174" spans="1:23" x14ac:dyDescent="0.25">
      <c r="A174" t="s">
        <v>4600</v>
      </c>
      <c r="B174" t="s">
        <v>3134</v>
      </c>
      <c r="C174" t="s">
        <v>3133</v>
      </c>
      <c r="D174" t="s">
        <v>4479</v>
      </c>
      <c r="E174" t="s">
        <v>4599</v>
      </c>
      <c r="F174" t="s">
        <v>232</v>
      </c>
      <c r="G174" t="s">
        <v>1406</v>
      </c>
      <c r="H174" s="6">
        <v>46022</v>
      </c>
      <c r="I174" t="s">
        <v>29</v>
      </c>
      <c r="J174">
        <v>62</v>
      </c>
      <c r="K174">
        <v>0</v>
      </c>
      <c r="L174">
        <v>0</v>
      </c>
      <c r="M174">
        <v>0</v>
      </c>
      <c r="N174" t="s">
        <v>3915</v>
      </c>
      <c r="O174" t="s">
        <v>3915</v>
      </c>
      <c r="P174" t="s">
        <v>3915</v>
      </c>
      <c r="Q174">
        <v>0</v>
      </c>
      <c r="R174" t="s">
        <v>30</v>
      </c>
      <c r="S174">
        <v>0</v>
      </c>
      <c r="T174">
        <v>0</v>
      </c>
      <c r="U174" t="s">
        <v>3915</v>
      </c>
      <c r="V174" t="s">
        <v>31</v>
      </c>
      <c r="W174">
        <v>0</v>
      </c>
    </row>
    <row r="175" spans="1:23" x14ac:dyDescent="0.25">
      <c r="A175" t="s">
        <v>4601</v>
      </c>
      <c r="B175" t="s">
        <v>3136</v>
      </c>
      <c r="C175" t="s">
        <v>3135</v>
      </c>
      <c r="D175" t="s">
        <v>4479</v>
      </c>
      <c r="E175" t="s">
        <v>4599</v>
      </c>
      <c r="F175" t="s">
        <v>232</v>
      </c>
      <c r="G175" t="s">
        <v>1406</v>
      </c>
      <c r="H175" s="6">
        <v>46022</v>
      </c>
      <c r="I175" t="s">
        <v>29</v>
      </c>
      <c r="J175">
        <v>16</v>
      </c>
      <c r="K175">
        <v>0</v>
      </c>
      <c r="L175">
        <v>0</v>
      </c>
      <c r="M175">
        <v>0</v>
      </c>
      <c r="N175" t="s">
        <v>3915</v>
      </c>
      <c r="O175" t="s">
        <v>3915</v>
      </c>
      <c r="P175" t="s">
        <v>3915</v>
      </c>
      <c r="Q175">
        <v>0</v>
      </c>
      <c r="R175" t="s">
        <v>30</v>
      </c>
      <c r="S175">
        <v>0</v>
      </c>
      <c r="T175">
        <v>0</v>
      </c>
      <c r="U175" t="s">
        <v>3915</v>
      </c>
      <c r="V175" t="s">
        <v>31</v>
      </c>
      <c r="W175">
        <v>0</v>
      </c>
    </row>
    <row r="176" spans="1:23" x14ac:dyDescent="0.25">
      <c r="A176" t="s">
        <v>4164</v>
      </c>
      <c r="B176" t="s">
        <v>3138</v>
      </c>
      <c r="C176" t="s">
        <v>3137</v>
      </c>
      <c r="D176" t="s">
        <v>4479</v>
      </c>
      <c r="E176" t="s">
        <v>4599</v>
      </c>
      <c r="F176" t="s">
        <v>232</v>
      </c>
      <c r="G176" t="s">
        <v>1406</v>
      </c>
      <c r="H176" s="6">
        <v>46022</v>
      </c>
      <c r="I176" t="s">
        <v>29</v>
      </c>
      <c r="J176">
        <v>4</v>
      </c>
      <c r="K176">
        <v>0</v>
      </c>
      <c r="L176">
        <v>0</v>
      </c>
      <c r="M176">
        <v>0</v>
      </c>
      <c r="N176" t="s">
        <v>3915</v>
      </c>
      <c r="O176" t="s">
        <v>3915</v>
      </c>
      <c r="P176" t="s">
        <v>3915</v>
      </c>
      <c r="Q176">
        <v>0</v>
      </c>
      <c r="R176" t="s">
        <v>30</v>
      </c>
      <c r="S176">
        <v>0</v>
      </c>
      <c r="T176">
        <v>0</v>
      </c>
      <c r="U176" t="s">
        <v>3915</v>
      </c>
      <c r="V176" t="s">
        <v>31</v>
      </c>
      <c r="W176">
        <v>0</v>
      </c>
    </row>
    <row r="177" spans="1:23" x14ac:dyDescent="0.25">
      <c r="A177" t="s">
        <v>4602</v>
      </c>
      <c r="B177" t="s">
        <v>3140</v>
      </c>
      <c r="C177" t="s">
        <v>3139</v>
      </c>
      <c r="D177" t="s">
        <v>4479</v>
      </c>
      <c r="E177" t="s">
        <v>4599</v>
      </c>
      <c r="F177" t="s">
        <v>232</v>
      </c>
      <c r="G177" t="s">
        <v>1406</v>
      </c>
      <c r="H177" s="6">
        <v>46022</v>
      </c>
      <c r="I177" t="s">
        <v>29</v>
      </c>
      <c r="J177">
        <v>3</v>
      </c>
      <c r="K177">
        <v>0</v>
      </c>
      <c r="L177">
        <v>0</v>
      </c>
      <c r="M177">
        <v>0</v>
      </c>
      <c r="N177" t="s">
        <v>3915</v>
      </c>
      <c r="O177" t="s">
        <v>3915</v>
      </c>
      <c r="P177" t="s">
        <v>3915</v>
      </c>
      <c r="Q177">
        <v>0</v>
      </c>
      <c r="R177" t="s">
        <v>30</v>
      </c>
      <c r="S177">
        <v>0</v>
      </c>
      <c r="T177">
        <v>0</v>
      </c>
      <c r="U177" t="s">
        <v>3915</v>
      </c>
      <c r="V177" t="s">
        <v>31</v>
      </c>
      <c r="W177">
        <v>0</v>
      </c>
    </row>
    <row r="178" spans="1:23" x14ac:dyDescent="0.25">
      <c r="A178" t="s">
        <v>4603</v>
      </c>
      <c r="B178" t="s">
        <v>1882</v>
      </c>
      <c r="C178" t="s">
        <v>1881</v>
      </c>
      <c r="D178" t="s">
        <v>4479</v>
      </c>
      <c r="E178" t="s">
        <v>4599</v>
      </c>
      <c r="F178" t="s">
        <v>232</v>
      </c>
      <c r="G178" t="s">
        <v>1406</v>
      </c>
      <c r="H178" s="6">
        <v>46022</v>
      </c>
      <c r="I178" t="s">
        <v>29</v>
      </c>
      <c r="J178">
        <v>34</v>
      </c>
      <c r="K178">
        <v>0</v>
      </c>
      <c r="L178">
        <v>0</v>
      </c>
      <c r="M178">
        <v>0</v>
      </c>
      <c r="N178" t="s">
        <v>3915</v>
      </c>
      <c r="O178" t="s">
        <v>3915</v>
      </c>
      <c r="P178" t="s">
        <v>3915</v>
      </c>
      <c r="Q178">
        <v>0</v>
      </c>
      <c r="R178" t="s">
        <v>30</v>
      </c>
      <c r="S178">
        <v>0</v>
      </c>
      <c r="T178">
        <v>0</v>
      </c>
      <c r="U178" t="s">
        <v>3915</v>
      </c>
      <c r="V178" t="s">
        <v>31</v>
      </c>
      <c r="W178">
        <v>0</v>
      </c>
    </row>
    <row r="179" spans="1:23" x14ac:dyDescent="0.25">
      <c r="A179" t="s">
        <v>4304</v>
      </c>
      <c r="B179" t="s">
        <v>1884</v>
      </c>
      <c r="C179" t="s">
        <v>1883</v>
      </c>
      <c r="D179" t="s">
        <v>4479</v>
      </c>
      <c r="E179" t="s">
        <v>4599</v>
      </c>
      <c r="F179" t="s">
        <v>232</v>
      </c>
      <c r="G179" t="s">
        <v>1406</v>
      </c>
      <c r="H179" s="6">
        <v>46022</v>
      </c>
      <c r="I179" t="s">
        <v>29</v>
      </c>
      <c r="J179">
        <v>0</v>
      </c>
      <c r="K179">
        <v>0</v>
      </c>
      <c r="L179">
        <v>0</v>
      </c>
      <c r="M179">
        <v>0</v>
      </c>
      <c r="N179" t="s">
        <v>3915</v>
      </c>
      <c r="O179" t="s">
        <v>3915</v>
      </c>
      <c r="P179" t="s">
        <v>3915</v>
      </c>
      <c r="Q179">
        <v>0</v>
      </c>
      <c r="R179" t="s">
        <v>30</v>
      </c>
      <c r="S179">
        <v>0</v>
      </c>
      <c r="T179">
        <v>0</v>
      </c>
      <c r="U179" t="s">
        <v>3915</v>
      </c>
      <c r="V179" t="s">
        <v>31</v>
      </c>
      <c r="W179">
        <v>0</v>
      </c>
    </row>
    <row r="180" spans="1:23" x14ac:dyDescent="0.25">
      <c r="A180" t="s">
        <v>4604</v>
      </c>
      <c r="B180" t="s">
        <v>3142</v>
      </c>
      <c r="C180" t="s">
        <v>3141</v>
      </c>
      <c r="D180" t="s">
        <v>4479</v>
      </c>
      <c r="E180" t="s">
        <v>4599</v>
      </c>
      <c r="F180" t="s">
        <v>232</v>
      </c>
      <c r="G180" t="s">
        <v>1406</v>
      </c>
      <c r="H180" s="6">
        <v>46022</v>
      </c>
      <c r="I180" t="s">
        <v>29</v>
      </c>
      <c r="J180">
        <v>9</v>
      </c>
      <c r="K180">
        <v>0</v>
      </c>
      <c r="L180">
        <v>0</v>
      </c>
      <c r="M180">
        <v>0</v>
      </c>
      <c r="N180" t="s">
        <v>3915</v>
      </c>
      <c r="O180" t="s">
        <v>3915</v>
      </c>
      <c r="P180" t="s">
        <v>3915</v>
      </c>
      <c r="Q180">
        <v>0</v>
      </c>
      <c r="R180" t="s">
        <v>30</v>
      </c>
      <c r="S180">
        <v>0</v>
      </c>
      <c r="T180">
        <v>0</v>
      </c>
      <c r="U180" t="s">
        <v>3915</v>
      </c>
      <c r="V180" t="s">
        <v>31</v>
      </c>
      <c r="W180">
        <v>0</v>
      </c>
    </row>
    <row r="181" spans="1:23" x14ac:dyDescent="0.25">
      <c r="A181" t="s">
        <v>4173</v>
      </c>
      <c r="B181" t="s">
        <v>3144</v>
      </c>
      <c r="C181" t="s">
        <v>3143</v>
      </c>
      <c r="D181" t="s">
        <v>4479</v>
      </c>
      <c r="E181" t="s">
        <v>4599</v>
      </c>
      <c r="F181" t="s">
        <v>232</v>
      </c>
      <c r="G181" t="s">
        <v>1406</v>
      </c>
      <c r="H181" s="6">
        <v>46022</v>
      </c>
      <c r="I181" t="s">
        <v>29</v>
      </c>
      <c r="J181">
        <v>10</v>
      </c>
      <c r="K181">
        <v>0</v>
      </c>
      <c r="L181">
        <v>0</v>
      </c>
      <c r="M181">
        <v>0</v>
      </c>
      <c r="N181" t="s">
        <v>3915</v>
      </c>
      <c r="O181" t="s">
        <v>3915</v>
      </c>
      <c r="P181" t="s">
        <v>3915</v>
      </c>
      <c r="Q181">
        <v>0</v>
      </c>
      <c r="R181" t="s">
        <v>30</v>
      </c>
      <c r="S181">
        <v>0</v>
      </c>
      <c r="T181">
        <v>0</v>
      </c>
      <c r="U181" t="s">
        <v>3915</v>
      </c>
      <c r="V181" t="s">
        <v>31</v>
      </c>
      <c r="W181">
        <v>0</v>
      </c>
    </row>
    <row r="182" spans="1:23" x14ac:dyDescent="0.25">
      <c r="A182" t="s">
        <v>4174</v>
      </c>
      <c r="B182" t="s">
        <v>3146</v>
      </c>
      <c r="C182" t="s">
        <v>3145</v>
      </c>
      <c r="D182" t="s">
        <v>4479</v>
      </c>
      <c r="E182" t="s">
        <v>4599</v>
      </c>
      <c r="F182" t="s">
        <v>232</v>
      </c>
      <c r="G182" t="s">
        <v>1406</v>
      </c>
      <c r="H182" s="6">
        <v>46022</v>
      </c>
      <c r="I182" t="s">
        <v>29</v>
      </c>
      <c r="J182">
        <v>5</v>
      </c>
      <c r="K182">
        <v>0</v>
      </c>
      <c r="L182">
        <v>0</v>
      </c>
      <c r="M182">
        <v>0</v>
      </c>
      <c r="N182" t="s">
        <v>3915</v>
      </c>
      <c r="O182" t="s">
        <v>3915</v>
      </c>
      <c r="P182" t="s">
        <v>3915</v>
      </c>
      <c r="Q182">
        <v>0</v>
      </c>
      <c r="R182" t="s">
        <v>30</v>
      </c>
      <c r="S182">
        <v>0</v>
      </c>
      <c r="T182">
        <v>0</v>
      </c>
      <c r="U182" t="s">
        <v>3915</v>
      </c>
      <c r="V182" t="s">
        <v>31</v>
      </c>
      <c r="W182">
        <v>0</v>
      </c>
    </row>
    <row r="183" spans="1:23" x14ac:dyDescent="0.25">
      <c r="A183" t="s">
        <v>4166</v>
      </c>
      <c r="B183" t="s">
        <v>3148</v>
      </c>
      <c r="C183" t="s">
        <v>3147</v>
      </c>
      <c r="D183" t="s">
        <v>4479</v>
      </c>
      <c r="E183" t="s">
        <v>4599</v>
      </c>
      <c r="F183" t="s">
        <v>232</v>
      </c>
      <c r="G183" t="s">
        <v>1406</v>
      </c>
      <c r="H183" s="6">
        <v>46022</v>
      </c>
      <c r="I183" t="s">
        <v>29</v>
      </c>
      <c r="J183">
        <v>4</v>
      </c>
      <c r="K183">
        <v>0</v>
      </c>
      <c r="L183">
        <v>0</v>
      </c>
      <c r="M183">
        <v>0</v>
      </c>
      <c r="N183" t="s">
        <v>3915</v>
      </c>
      <c r="O183" t="s">
        <v>3915</v>
      </c>
      <c r="P183" t="s">
        <v>3915</v>
      </c>
      <c r="Q183">
        <v>0</v>
      </c>
      <c r="R183" t="s">
        <v>30</v>
      </c>
      <c r="S183">
        <v>0</v>
      </c>
      <c r="T183">
        <v>0</v>
      </c>
      <c r="U183" t="s">
        <v>3915</v>
      </c>
      <c r="V183" t="s">
        <v>31</v>
      </c>
      <c r="W183">
        <v>0</v>
      </c>
    </row>
    <row r="184" spans="1:23" x14ac:dyDescent="0.25">
      <c r="A184" t="s">
        <v>4161</v>
      </c>
      <c r="B184" t="s">
        <v>3150</v>
      </c>
      <c r="C184" t="s">
        <v>3149</v>
      </c>
      <c r="D184" t="s">
        <v>4479</v>
      </c>
      <c r="E184" t="s">
        <v>4599</v>
      </c>
      <c r="F184" t="s">
        <v>232</v>
      </c>
      <c r="G184" t="s">
        <v>1406</v>
      </c>
      <c r="H184" s="6">
        <v>46022</v>
      </c>
      <c r="I184" t="s">
        <v>29</v>
      </c>
      <c r="J184">
        <v>4</v>
      </c>
      <c r="K184">
        <v>0</v>
      </c>
      <c r="L184">
        <v>0</v>
      </c>
      <c r="M184">
        <v>0</v>
      </c>
      <c r="N184" t="s">
        <v>3915</v>
      </c>
      <c r="O184" t="s">
        <v>3915</v>
      </c>
      <c r="P184" t="s">
        <v>3915</v>
      </c>
      <c r="Q184">
        <v>0</v>
      </c>
      <c r="R184" t="s">
        <v>30</v>
      </c>
      <c r="S184">
        <v>0</v>
      </c>
      <c r="T184">
        <v>0</v>
      </c>
      <c r="U184" t="s">
        <v>3915</v>
      </c>
      <c r="V184" t="s">
        <v>31</v>
      </c>
      <c r="W184">
        <v>0</v>
      </c>
    </row>
    <row r="185" spans="1:23" x14ac:dyDescent="0.25">
      <c r="A185" t="s">
        <v>4605</v>
      </c>
      <c r="B185" t="s">
        <v>3152</v>
      </c>
      <c r="C185" t="s">
        <v>3151</v>
      </c>
      <c r="D185" t="s">
        <v>4479</v>
      </c>
      <c r="E185" t="s">
        <v>4599</v>
      </c>
      <c r="F185" t="s">
        <v>232</v>
      </c>
      <c r="G185" t="s">
        <v>1406</v>
      </c>
      <c r="H185" s="6">
        <v>46022</v>
      </c>
      <c r="I185" t="s">
        <v>29</v>
      </c>
      <c r="J185">
        <v>89</v>
      </c>
      <c r="K185">
        <v>0</v>
      </c>
      <c r="L185">
        <v>0</v>
      </c>
      <c r="M185">
        <v>0</v>
      </c>
      <c r="N185" t="s">
        <v>3915</v>
      </c>
      <c r="O185" t="s">
        <v>3915</v>
      </c>
      <c r="P185" t="s">
        <v>3915</v>
      </c>
      <c r="Q185">
        <v>0</v>
      </c>
      <c r="R185" t="s">
        <v>30</v>
      </c>
      <c r="S185">
        <v>0</v>
      </c>
      <c r="T185">
        <v>0</v>
      </c>
      <c r="U185" t="s">
        <v>3915</v>
      </c>
      <c r="V185" t="s">
        <v>31</v>
      </c>
      <c r="W185">
        <v>0</v>
      </c>
    </row>
    <row r="186" spans="1:23" x14ac:dyDescent="0.25">
      <c r="A186" t="s">
        <v>1395</v>
      </c>
      <c r="B186" t="s">
        <v>3154</v>
      </c>
      <c r="C186" t="s">
        <v>3153</v>
      </c>
      <c r="D186" t="s">
        <v>4479</v>
      </c>
      <c r="E186" t="s">
        <v>4599</v>
      </c>
      <c r="F186" t="s">
        <v>232</v>
      </c>
      <c r="G186" t="s">
        <v>1406</v>
      </c>
      <c r="H186" s="6">
        <v>46022</v>
      </c>
      <c r="I186" t="s">
        <v>29</v>
      </c>
      <c r="J186">
        <v>54</v>
      </c>
      <c r="K186">
        <v>0</v>
      </c>
      <c r="L186">
        <v>0</v>
      </c>
      <c r="M186">
        <v>0</v>
      </c>
      <c r="N186" t="s">
        <v>3915</v>
      </c>
      <c r="O186" t="s">
        <v>3915</v>
      </c>
      <c r="P186" t="s">
        <v>3915</v>
      </c>
      <c r="Q186">
        <v>0</v>
      </c>
      <c r="R186" t="s">
        <v>30</v>
      </c>
      <c r="S186">
        <v>0</v>
      </c>
      <c r="T186">
        <v>0</v>
      </c>
      <c r="U186" t="s">
        <v>3915</v>
      </c>
      <c r="V186" t="s">
        <v>31</v>
      </c>
      <c r="W186">
        <v>0</v>
      </c>
    </row>
    <row r="187" spans="1:23" x14ac:dyDescent="0.25">
      <c r="A187" t="s">
        <v>4606</v>
      </c>
      <c r="B187" t="s">
        <v>1442</v>
      </c>
      <c r="C187" t="s">
        <v>1441</v>
      </c>
      <c r="D187" t="s">
        <v>4479</v>
      </c>
      <c r="E187" t="s">
        <v>4599</v>
      </c>
      <c r="F187" t="s">
        <v>232</v>
      </c>
      <c r="G187" t="s">
        <v>1406</v>
      </c>
      <c r="H187" s="6">
        <v>46022</v>
      </c>
      <c r="I187" t="s">
        <v>29</v>
      </c>
      <c r="J187">
        <v>6</v>
      </c>
      <c r="K187">
        <v>0</v>
      </c>
      <c r="L187">
        <v>0</v>
      </c>
      <c r="M187">
        <v>0</v>
      </c>
      <c r="N187" t="s">
        <v>3915</v>
      </c>
      <c r="O187" t="s">
        <v>3915</v>
      </c>
      <c r="P187" t="s">
        <v>3915</v>
      </c>
      <c r="Q187">
        <v>0</v>
      </c>
      <c r="R187" t="s">
        <v>30</v>
      </c>
      <c r="S187">
        <v>0</v>
      </c>
      <c r="T187">
        <v>0</v>
      </c>
      <c r="U187" t="s">
        <v>3915</v>
      </c>
      <c r="V187" t="s">
        <v>31</v>
      </c>
      <c r="W187">
        <v>0</v>
      </c>
    </row>
    <row r="188" spans="1:23" x14ac:dyDescent="0.25">
      <c r="A188" t="s">
        <v>4607</v>
      </c>
      <c r="B188" t="s">
        <v>3156</v>
      </c>
      <c r="C188" t="s">
        <v>3155</v>
      </c>
      <c r="D188" t="s">
        <v>4479</v>
      </c>
      <c r="E188" t="s">
        <v>4599</v>
      </c>
      <c r="F188" t="s">
        <v>232</v>
      </c>
      <c r="G188" t="s">
        <v>1406</v>
      </c>
      <c r="H188" s="6">
        <v>46022</v>
      </c>
      <c r="I188" t="s">
        <v>29</v>
      </c>
      <c r="J188">
        <v>13</v>
      </c>
      <c r="K188">
        <v>0</v>
      </c>
      <c r="L188">
        <v>0</v>
      </c>
      <c r="M188">
        <v>0</v>
      </c>
      <c r="N188" t="s">
        <v>3915</v>
      </c>
      <c r="O188" t="s">
        <v>3915</v>
      </c>
      <c r="P188" t="s">
        <v>3915</v>
      </c>
      <c r="Q188">
        <v>0</v>
      </c>
      <c r="R188" t="s">
        <v>30</v>
      </c>
      <c r="S188">
        <v>0</v>
      </c>
      <c r="T188">
        <v>0</v>
      </c>
      <c r="U188" t="s">
        <v>3915</v>
      </c>
      <c r="V188" t="s">
        <v>31</v>
      </c>
      <c r="W188">
        <v>0</v>
      </c>
    </row>
    <row r="189" spans="1:23" x14ac:dyDescent="0.25">
      <c r="A189" t="s">
        <v>4608</v>
      </c>
      <c r="B189" t="s">
        <v>3158</v>
      </c>
      <c r="C189" t="s">
        <v>3157</v>
      </c>
      <c r="D189" t="s">
        <v>4479</v>
      </c>
      <c r="E189" t="s">
        <v>4599</v>
      </c>
      <c r="F189" t="s">
        <v>232</v>
      </c>
      <c r="G189" t="s">
        <v>1406</v>
      </c>
      <c r="H189" s="6">
        <v>46022</v>
      </c>
      <c r="I189" t="s">
        <v>29</v>
      </c>
      <c r="J189">
        <v>6</v>
      </c>
      <c r="K189">
        <v>0</v>
      </c>
      <c r="L189">
        <v>0</v>
      </c>
      <c r="M189">
        <v>0</v>
      </c>
      <c r="N189" t="s">
        <v>3915</v>
      </c>
      <c r="O189" t="s">
        <v>3915</v>
      </c>
      <c r="P189" t="s">
        <v>3915</v>
      </c>
      <c r="Q189">
        <v>0</v>
      </c>
      <c r="R189" t="s">
        <v>30</v>
      </c>
      <c r="S189">
        <v>0</v>
      </c>
      <c r="T189">
        <v>0</v>
      </c>
      <c r="U189" t="s">
        <v>3915</v>
      </c>
      <c r="V189" t="s">
        <v>31</v>
      </c>
      <c r="W189">
        <v>0</v>
      </c>
    </row>
    <row r="190" spans="1:23" x14ac:dyDescent="0.25">
      <c r="A190" t="s">
        <v>4609</v>
      </c>
      <c r="B190" t="s">
        <v>1906</v>
      </c>
      <c r="C190" t="s">
        <v>1905</v>
      </c>
      <c r="D190" t="s">
        <v>4479</v>
      </c>
      <c r="E190" t="s">
        <v>4599</v>
      </c>
      <c r="F190" t="s">
        <v>232</v>
      </c>
      <c r="G190" t="s">
        <v>1406</v>
      </c>
      <c r="H190" s="6">
        <v>46022</v>
      </c>
      <c r="I190" t="s">
        <v>29</v>
      </c>
      <c r="J190">
        <v>1</v>
      </c>
      <c r="K190">
        <v>0</v>
      </c>
      <c r="L190">
        <v>0</v>
      </c>
      <c r="M190">
        <v>0</v>
      </c>
      <c r="N190" t="s">
        <v>3915</v>
      </c>
      <c r="O190" t="s">
        <v>3915</v>
      </c>
      <c r="P190" t="s">
        <v>3915</v>
      </c>
      <c r="Q190">
        <v>0</v>
      </c>
      <c r="R190" t="s">
        <v>30</v>
      </c>
      <c r="S190">
        <v>0</v>
      </c>
      <c r="T190">
        <v>0</v>
      </c>
      <c r="U190" t="s">
        <v>3915</v>
      </c>
      <c r="V190" t="s">
        <v>31</v>
      </c>
      <c r="W190">
        <v>0</v>
      </c>
    </row>
    <row r="191" spans="1:23" x14ac:dyDescent="0.25">
      <c r="A191" t="s">
        <v>4610</v>
      </c>
      <c r="B191" t="s">
        <v>3160</v>
      </c>
      <c r="C191" t="s">
        <v>3159</v>
      </c>
      <c r="D191" t="s">
        <v>4479</v>
      </c>
      <c r="E191" t="s">
        <v>4599</v>
      </c>
      <c r="F191" t="s">
        <v>232</v>
      </c>
      <c r="G191" t="s">
        <v>1406</v>
      </c>
      <c r="H191" s="6">
        <v>46022</v>
      </c>
      <c r="I191" t="s">
        <v>29</v>
      </c>
      <c r="J191">
        <v>6</v>
      </c>
      <c r="K191">
        <v>0</v>
      </c>
      <c r="L191">
        <v>0</v>
      </c>
      <c r="M191">
        <v>0</v>
      </c>
      <c r="N191" t="s">
        <v>3915</v>
      </c>
      <c r="O191" t="s">
        <v>3915</v>
      </c>
      <c r="P191" t="s">
        <v>3915</v>
      </c>
      <c r="Q191">
        <v>0</v>
      </c>
      <c r="R191" t="s">
        <v>30</v>
      </c>
      <c r="S191">
        <v>0</v>
      </c>
      <c r="T191">
        <v>0</v>
      </c>
      <c r="U191" t="s">
        <v>3915</v>
      </c>
      <c r="V191" t="s">
        <v>31</v>
      </c>
      <c r="W191">
        <v>0</v>
      </c>
    </row>
    <row r="192" spans="1:23" x14ac:dyDescent="0.25">
      <c r="A192" t="s">
        <v>4611</v>
      </c>
      <c r="B192" t="s">
        <v>3162</v>
      </c>
      <c r="C192" t="s">
        <v>3161</v>
      </c>
      <c r="D192" t="s">
        <v>4479</v>
      </c>
      <c r="E192" t="s">
        <v>4599</v>
      </c>
      <c r="F192" t="s">
        <v>232</v>
      </c>
      <c r="G192" t="s">
        <v>1406</v>
      </c>
      <c r="H192" s="6">
        <v>46022</v>
      </c>
      <c r="I192" t="s">
        <v>29</v>
      </c>
      <c r="J192">
        <v>4</v>
      </c>
      <c r="K192">
        <v>0</v>
      </c>
      <c r="L192">
        <v>0</v>
      </c>
      <c r="M192">
        <v>0</v>
      </c>
      <c r="N192" t="s">
        <v>3915</v>
      </c>
      <c r="O192" t="s">
        <v>3915</v>
      </c>
      <c r="P192" t="s">
        <v>3915</v>
      </c>
      <c r="Q192">
        <v>0</v>
      </c>
      <c r="R192" t="s">
        <v>30</v>
      </c>
      <c r="S192">
        <v>0</v>
      </c>
      <c r="T192">
        <v>0</v>
      </c>
      <c r="U192" t="s">
        <v>3915</v>
      </c>
      <c r="V192" t="s">
        <v>31</v>
      </c>
      <c r="W192">
        <v>0</v>
      </c>
    </row>
    <row r="193" spans="1:23" x14ac:dyDescent="0.25">
      <c r="A193" t="s">
        <v>4612</v>
      </c>
      <c r="B193" t="s">
        <v>3164</v>
      </c>
      <c r="C193" t="s">
        <v>3163</v>
      </c>
      <c r="D193" t="s">
        <v>4479</v>
      </c>
      <c r="E193" t="s">
        <v>4599</v>
      </c>
      <c r="F193" t="s">
        <v>232</v>
      </c>
      <c r="G193" t="s">
        <v>1406</v>
      </c>
      <c r="H193" s="6">
        <v>46022</v>
      </c>
      <c r="I193" t="s">
        <v>29</v>
      </c>
      <c r="J193">
        <v>1</v>
      </c>
      <c r="K193">
        <v>0</v>
      </c>
      <c r="L193">
        <v>0</v>
      </c>
      <c r="M193">
        <v>0</v>
      </c>
      <c r="N193" t="s">
        <v>3915</v>
      </c>
      <c r="O193" t="s">
        <v>3915</v>
      </c>
      <c r="P193" t="s">
        <v>3915</v>
      </c>
      <c r="Q193">
        <v>0</v>
      </c>
      <c r="R193" t="s">
        <v>30</v>
      </c>
      <c r="S193">
        <v>0</v>
      </c>
      <c r="T193">
        <v>0</v>
      </c>
      <c r="U193" t="s">
        <v>3915</v>
      </c>
      <c r="V193" t="s">
        <v>31</v>
      </c>
      <c r="W193">
        <v>0</v>
      </c>
    </row>
    <row r="194" spans="1:23" x14ac:dyDescent="0.25">
      <c r="A194" t="s">
        <v>4613</v>
      </c>
      <c r="B194" t="s">
        <v>1914</v>
      </c>
      <c r="C194" t="s">
        <v>1913</v>
      </c>
      <c r="D194" t="s">
        <v>4479</v>
      </c>
      <c r="E194" t="s">
        <v>4599</v>
      </c>
      <c r="F194" t="s">
        <v>232</v>
      </c>
      <c r="G194" t="s">
        <v>1406</v>
      </c>
      <c r="H194" s="6">
        <v>46022</v>
      </c>
      <c r="I194" t="s">
        <v>29</v>
      </c>
      <c r="J194">
        <v>2</v>
      </c>
      <c r="K194">
        <v>0</v>
      </c>
      <c r="L194">
        <v>0</v>
      </c>
      <c r="M194">
        <v>0</v>
      </c>
      <c r="N194" t="s">
        <v>3915</v>
      </c>
      <c r="O194" t="s">
        <v>3915</v>
      </c>
      <c r="P194" t="s">
        <v>3915</v>
      </c>
      <c r="Q194">
        <v>0</v>
      </c>
      <c r="R194" t="s">
        <v>30</v>
      </c>
      <c r="S194">
        <v>0</v>
      </c>
      <c r="T194">
        <v>0</v>
      </c>
      <c r="U194" t="s">
        <v>3915</v>
      </c>
      <c r="V194" t="s">
        <v>31</v>
      </c>
      <c r="W194">
        <v>0</v>
      </c>
    </row>
    <row r="195" spans="1:23" x14ac:dyDescent="0.25">
      <c r="A195" t="s">
        <v>4614</v>
      </c>
      <c r="B195" t="s">
        <v>3166</v>
      </c>
      <c r="C195" t="s">
        <v>3165</v>
      </c>
      <c r="D195" t="s">
        <v>4479</v>
      </c>
      <c r="E195" t="s">
        <v>4599</v>
      </c>
      <c r="F195" t="s">
        <v>232</v>
      </c>
      <c r="G195" t="s">
        <v>1406</v>
      </c>
      <c r="H195" s="6">
        <v>46022</v>
      </c>
      <c r="I195" t="s">
        <v>29</v>
      </c>
      <c r="J195">
        <v>4</v>
      </c>
      <c r="K195">
        <v>0</v>
      </c>
      <c r="L195">
        <v>0</v>
      </c>
      <c r="M195">
        <v>0</v>
      </c>
      <c r="N195" t="s">
        <v>3915</v>
      </c>
      <c r="O195" t="s">
        <v>3915</v>
      </c>
      <c r="P195" t="s">
        <v>3915</v>
      </c>
      <c r="Q195">
        <v>0</v>
      </c>
      <c r="R195" t="s">
        <v>30</v>
      </c>
      <c r="S195">
        <v>0</v>
      </c>
      <c r="T195">
        <v>0</v>
      </c>
      <c r="U195" t="s">
        <v>3915</v>
      </c>
      <c r="V195" t="s">
        <v>31</v>
      </c>
      <c r="W195">
        <v>0</v>
      </c>
    </row>
    <row r="196" spans="1:23" x14ac:dyDescent="0.25">
      <c r="A196" t="s">
        <v>4020</v>
      </c>
      <c r="B196" t="s">
        <v>1444</v>
      </c>
      <c r="C196" t="s">
        <v>1443</v>
      </c>
      <c r="D196" t="s">
        <v>4479</v>
      </c>
      <c r="E196" t="s">
        <v>4599</v>
      </c>
      <c r="F196" t="s">
        <v>232</v>
      </c>
      <c r="G196" t="s">
        <v>1406</v>
      </c>
      <c r="H196" s="6">
        <v>46022</v>
      </c>
      <c r="I196" t="s">
        <v>29</v>
      </c>
      <c r="J196">
        <v>0</v>
      </c>
      <c r="K196">
        <v>0</v>
      </c>
      <c r="L196">
        <v>0</v>
      </c>
      <c r="M196">
        <v>0</v>
      </c>
      <c r="N196" t="s">
        <v>3915</v>
      </c>
      <c r="O196" t="s">
        <v>3915</v>
      </c>
      <c r="P196" t="s">
        <v>3915</v>
      </c>
      <c r="Q196">
        <v>0</v>
      </c>
      <c r="R196" t="s">
        <v>30</v>
      </c>
      <c r="S196">
        <v>0</v>
      </c>
      <c r="T196">
        <v>0</v>
      </c>
      <c r="U196" t="s">
        <v>3915</v>
      </c>
      <c r="V196" t="s">
        <v>31</v>
      </c>
      <c r="W196">
        <v>0</v>
      </c>
    </row>
    <row r="197" spans="1:23" x14ac:dyDescent="0.25">
      <c r="A197" t="s">
        <v>4022</v>
      </c>
      <c r="B197" t="s">
        <v>241</v>
      </c>
      <c r="C197" t="s">
        <v>242</v>
      </c>
      <c r="D197" t="s">
        <v>4479</v>
      </c>
      <c r="E197" t="s">
        <v>4599</v>
      </c>
      <c r="F197" t="s">
        <v>232</v>
      </c>
      <c r="G197" t="s">
        <v>1406</v>
      </c>
      <c r="H197" s="6">
        <v>46022</v>
      </c>
      <c r="I197" t="s">
        <v>29</v>
      </c>
      <c r="J197">
        <v>0</v>
      </c>
      <c r="K197">
        <v>0</v>
      </c>
      <c r="L197">
        <v>0</v>
      </c>
      <c r="M197">
        <v>0</v>
      </c>
      <c r="N197" t="s">
        <v>3915</v>
      </c>
      <c r="O197" t="s">
        <v>3915</v>
      </c>
      <c r="P197" t="s">
        <v>3915</v>
      </c>
      <c r="Q197">
        <v>0</v>
      </c>
      <c r="R197" t="s">
        <v>30</v>
      </c>
      <c r="S197">
        <v>0</v>
      </c>
      <c r="T197">
        <v>0</v>
      </c>
      <c r="U197" t="s">
        <v>3915</v>
      </c>
      <c r="V197" t="s">
        <v>31</v>
      </c>
      <c r="W197">
        <v>0</v>
      </c>
    </row>
    <row r="198" spans="1:23" x14ac:dyDescent="0.25">
      <c r="A198" t="s">
        <v>3981</v>
      </c>
      <c r="B198" t="s">
        <v>243</v>
      </c>
      <c r="C198" t="s">
        <v>244</v>
      </c>
      <c r="D198" t="s">
        <v>4479</v>
      </c>
      <c r="E198" t="s">
        <v>4599</v>
      </c>
      <c r="F198" t="s">
        <v>232</v>
      </c>
      <c r="G198" t="s">
        <v>1406</v>
      </c>
      <c r="H198" s="6">
        <v>46022</v>
      </c>
      <c r="I198" t="s">
        <v>29</v>
      </c>
      <c r="J198">
        <v>0</v>
      </c>
      <c r="K198">
        <v>0</v>
      </c>
      <c r="L198">
        <v>0</v>
      </c>
      <c r="M198">
        <v>0</v>
      </c>
      <c r="N198" t="s">
        <v>3915</v>
      </c>
      <c r="O198" t="s">
        <v>3915</v>
      </c>
      <c r="P198" t="s">
        <v>3915</v>
      </c>
      <c r="Q198">
        <v>0</v>
      </c>
      <c r="R198" t="s">
        <v>30</v>
      </c>
      <c r="S198">
        <v>0</v>
      </c>
      <c r="T198">
        <v>0</v>
      </c>
      <c r="U198" t="s">
        <v>3915</v>
      </c>
      <c r="V198" t="s">
        <v>31</v>
      </c>
      <c r="W198">
        <v>0</v>
      </c>
    </row>
    <row r="199" spans="1:23" x14ac:dyDescent="0.25">
      <c r="A199" t="s">
        <v>4025</v>
      </c>
      <c r="B199" t="s">
        <v>3168</v>
      </c>
      <c r="C199" t="s">
        <v>3167</v>
      </c>
      <c r="D199" t="s">
        <v>4479</v>
      </c>
      <c r="E199" t="s">
        <v>4599</v>
      </c>
      <c r="F199" t="s">
        <v>232</v>
      </c>
      <c r="G199" t="s">
        <v>1406</v>
      </c>
      <c r="H199" s="6">
        <v>46022</v>
      </c>
      <c r="I199" t="s">
        <v>29</v>
      </c>
      <c r="J199">
        <v>3</v>
      </c>
      <c r="K199">
        <v>0</v>
      </c>
      <c r="L199">
        <v>0</v>
      </c>
      <c r="M199">
        <v>0</v>
      </c>
      <c r="N199" t="s">
        <v>3915</v>
      </c>
      <c r="O199" t="s">
        <v>3915</v>
      </c>
      <c r="P199" t="s">
        <v>3915</v>
      </c>
      <c r="Q199">
        <v>0</v>
      </c>
      <c r="R199" t="s">
        <v>30</v>
      </c>
      <c r="S199">
        <v>0</v>
      </c>
      <c r="T199">
        <v>0</v>
      </c>
      <c r="U199" t="s">
        <v>3915</v>
      </c>
      <c r="V199" t="s">
        <v>31</v>
      </c>
      <c r="W199">
        <v>0</v>
      </c>
    </row>
    <row r="200" spans="1:23" x14ac:dyDescent="0.25">
      <c r="A200" t="s">
        <v>4449</v>
      </c>
      <c r="B200" t="s">
        <v>245</v>
      </c>
      <c r="C200" t="s">
        <v>246</v>
      </c>
      <c r="D200" t="s">
        <v>4479</v>
      </c>
      <c r="E200" t="s">
        <v>4599</v>
      </c>
      <c r="F200" t="s">
        <v>232</v>
      </c>
      <c r="G200" t="s">
        <v>1406</v>
      </c>
      <c r="H200" s="6">
        <v>46022</v>
      </c>
      <c r="I200" t="s">
        <v>29</v>
      </c>
      <c r="J200">
        <v>0</v>
      </c>
      <c r="K200">
        <v>0</v>
      </c>
      <c r="L200">
        <v>0</v>
      </c>
      <c r="M200">
        <v>0</v>
      </c>
      <c r="N200" t="s">
        <v>3915</v>
      </c>
      <c r="O200" t="s">
        <v>3915</v>
      </c>
      <c r="P200" t="s">
        <v>3915</v>
      </c>
      <c r="Q200">
        <v>0</v>
      </c>
      <c r="R200" t="s">
        <v>30</v>
      </c>
      <c r="S200">
        <v>0</v>
      </c>
      <c r="T200">
        <v>0</v>
      </c>
      <c r="U200" t="s">
        <v>3915</v>
      </c>
      <c r="V200" t="s">
        <v>31</v>
      </c>
      <c r="W200">
        <v>0</v>
      </c>
    </row>
    <row r="201" spans="1:23" x14ac:dyDescent="0.25">
      <c r="A201" t="s">
        <v>4026</v>
      </c>
      <c r="B201" t="s">
        <v>247</v>
      </c>
      <c r="C201" t="s">
        <v>248</v>
      </c>
      <c r="D201" t="s">
        <v>4479</v>
      </c>
      <c r="E201" t="s">
        <v>4599</v>
      </c>
      <c r="F201" t="s">
        <v>232</v>
      </c>
      <c r="G201" t="s">
        <v>1406</v>
      </c>
      <c r="H201" s="6">
        <v>46022</v>
      </c>
      <c r="I201" t="s">
        <v>29</v>
      </c>
      <c r="J201">
        <v>0</v>
      </c>
      <c r="K201">
        <v>0</v>
      </c>
      <c r="L201">
        <v>0</v>
      </c>
      <c r="M201">
        <v>0</v>
      </c>
      <c r="N201" t="s">
        <v>3915</v>
      </c>
      <c r="O201" t="s">
        <v>3915</v>
      </c>
      <c r="P201" t="s">
        <v>3915</v>
      </c>
      <c r="Q201">
        <v>0</v>
      </c>
      <c r="R201" t="s">
        <v>30</v>
      </c>
      <c r="S201">
        <v>0</v>
      </c>
      <c r="T201">
        <v>0</v>
      </c>
      <c r="U201" t="s">
        <v>3915</v>
      </c>
      <c r="V201" t="s">
        <v>31</v>
      </c>
      <c r="W201">
        <v>0</v>
      </c>
    </row>
    <row r="202" spans="1:23" x14ac:dyDescent="0.25">
      <c r="A202" t="s">
        <v>4615</v>
      </c>
      <c r="B202" t="s">
        <v>249</v>
      </c>
      <c r="C202" t="s">
        <v>250</v>
      </c>
      <c r="D202" t="s">
        <v>4479</v>
      </c>
      <c r="E202" t="s">
        <v>4599</v>
      </c>
      <c r="F202" t="s">
        <v>232</v>
      </c>
      <c r="G202" t="s">
        <v>1406</v>
      </c>
      <c r="H202" s="6">
        <v>46022</v>
      </c>
      <c r="I202" t="s">
        <v>29</v>
      </c>
      <c r="J202">
        <v>0</v>
      </c>
      <c r="K202">
        <v>0</v>
      </c>
      <c r="L202">
        <v>0</v>
      </c>
      <c r="M202">
        <v>0</v>
      </c>
      <c r="N202" t="s">
        <v>3915</v>
      </c>
      <c r="O202" t="s">
        <v>3915</v>
      </c>
      <c r="P202" t="s">
        <v>3915</v>
      </c>
      <c r="Q202">
        <v>0</v>
      </c>
      <c r="R202" t="s">
        <v>30</v>
      </c>
      <c r="S202">
        <v>0</v>
      </c>
      <c r="T202">
        <v>0</v>
      </c>
      <c r="U202" t="s">
        <v>3915</v>
      </c>
      <c r="V202" t="s">
        <v>31</v>
      </c>
      <c r="W202">
        <v>0</v>
      </c>
    </row>
    <row r="203" spans="1:23" x14ac:dyDescent="0.25">
      <c r="A203" t="s">
        <v>10219</v>
      </c>
      <c r="B203" t="s">
        <v>253</v>
      </c>
      <c r="C203" t="s">
        <v>254</v>
      </c>
      <c r="D203" t="s">
        <v>4479</v>
      </c>
      <c r="E203" t="s">
        <v>4599</v>
      </c>
      <c r="F203" t="s">
        <v>232</v>
      </c>
      <c r="G203" t="s">
        <v>1406</v>
      </c>
      <c r="H203" s="6">
        <v>46022</v>
      </c>
      <c r="I203" t="s">
        <v>29</v>
      </c>
      <c r="J203">
        <v>0</v>
      </c>
      <c r="K203">
        <v>0</v>
      </c>
      <c r="L203">
        <v>0</v>
      </c>
      <c r="M203">
        <v>0</v>
      </c>
      <c r="N203" t="s">
        <v>3915</v>
      </c>
      <c r="O203" t="s">
        <v>3915</v>
      </c>
      <c r="P203" t="s">
        <v>3915</v>
      </c>
      <c r="Q203">
        <v>0</v>
      </c>
      <c r="R203" t="s">
        <v>30</v>
      </c>
      <c r="S203">
        <v>0</v>
      </c>
      <c r="T203">
        <v>0</v>
      </c>
      <c r="U203" t="s">
        <v>3915</v>
      </c>
      <c r="V203" t="s">
        <v>31</v>
      </c>
      <c r="W203">
        <v>0</v>
      </c>
    </row>
    <row r="204" spans="1:23" x14ac:dyDescent="0.25">
      <c r="A204" t="s">
        <v>4616</v>
      </c>
      <c r="B204" t="s">
        <v>255</v>
      </c>
      <c r="C204" t="s">
        <v>256</v>
      </c>
      <c r="D204" t="s">
        <v>4479</v>
      </c>
      <c r="E204" t="s">
        <v>4599</v>
      </c>
      <c r="F204" t="s">
        <v>232</v>
      </c>
      <c r="G204" t="s">
        <v>1406</v>
      </c>
      <c r="H204" s="6">
        <v>46022</v>
      </c>
      <c r="I204" t="s">
        <v>29</v>
      </c>
      <c r="J204">
        <v>0</v>
      </c>
      <c r="K204">
        <v>0</v>
      </c>
      <c r="L204">
        <v>0</v>
      </c>
      <c r="M204">
        <v>0</v>
      </c>
      <c r="N204" t="s">
        <v>3915</v>
      </c>
      <c r="O204" t="s">
        <v>3915</v>
      </c>
      <c r="P204" t="s">
        <v>3915</v>
      </c>
      <c r="Q204">
        <v>0</v>
      </c>
      <c r="R204" t="s">
        <v>30</v>
      </c>
      <c r="S204">
        <v>0</v>
      </c>
      <c r="T204">
        <v>0</v>
      </c>
      <c r="U204" t="s">
        <v>3915</v>
      </c>
      <c r="V204" t="s">
        <v>31</v>
      </c>
      <c r="W204">
        <v>0</v>
      </c>
    </row>
    <row r="205" spans="1:23" x14ac:dyDescent="0.25">
      <c r="A205" t="s">
        <v>10220</v>
      </c>
      <c r="B205" t="s">
        <v>7787</v>
      </c>
      <c r="C205" t="s">
        <v>7786</v>
      </c>
      <c r="D205" t="s">
        <v>4479</v>
      </c>
      <c r="E205" t="s">
        <v>4599</v>
      </c>
      <c r="F205" t="s">
        <v>232</v>
      </c>
      <c r="G205" t="s">
        <v>1406</v>
      </c>
      <c r="H205" s="6">
        <v>46022</v>
      </c>
      <c r="I205" t="s">
        <v>29</v>
      </c>
      <c r="J205">
        <v>0</v>
      </c>
      <c r="K205">
        <v>0</v>
      </c>
      <c r="L205">
        <v>0</v>
      </c>
      <c r="M205">
        <v>0</v>
      </c>
      <c r="N205" t="s">
        <v>3915</v>
      </c>
      <c r="O205" t="s">
        <v>3915</v>
      </c>
      <c r="P205" t="s">
        <v>3915</v>
      </c>
      <c r="Q205">
        <v>0</v>
      </c>
      <c r="R205" t="s">
        <v>30</v>
      </c>
      <c r="S205">
        <v>0</v>
      </c>
      <c r="T205">
        <v>0</v>
      </c>
      <c r="U205" t="s">
        <v>3915</v>
      </c>
      <c r="V205" t="s">
        <v>31</v>
      </c>
      <c r="W205">
        <v>0</v>
      </c>
    </row>
    <row r="206" spans="1:23" x14ac:dyDescent="0.25">
      <c r="A206" t="s">
        <v>4039</v>
      </c>
      <c r="B206" t="s">
        <v>7789</v>
      </c>
      <c r="C206" t="s">
        <v>7788</v>
      </c>
      <c r="D206" t="s">
        <v>4479</v>
      </c>
      <c r="E206" t="s">
        <v>4599</v>
      </c>
      <c r="F206" t="s">
        <v>232</v>
      </c>
      <c r="G206" t="s">
        <v>1406</v>
      </c>
      <c r="H206" s="6">
        <v>46022</v>
      </c>
      <c r="I206" t="s">
        <v>29</v>
      </c>
      <c r="J206">
        <v>0</v>
      </c>
      <c r="K206">
        <v>0</v>
      </c>
      <c r="L206">
        <v>0</v>
      </c>
      <c r="M206">
        <v>0</v>
      </c>
      <c r="N206" t="s">
        <v>3915</v>
      </c>
      <c r="O206" t="s">
        <v>3915</v>
      </c>
      <c r="P206" t="s">
        <v>3915</v>
      </c>
      <c r="Q206">
        <v>0</v>
      </c>
      <c r="R206" t="s">
        <v>30</v>
      </c>
      <c r="S206">
        <v>0</v>
      </c>
      <c r="T206">
        <v>0</v>
      </c>
      <c r="U206" t="s">
        <v>3915</v>
      </c>
      <c r="V206" t="s">
        <v>31</v>
      </c>
      <c r="W206">
        <v>0</v>
      </c>
    </row>
    <row r="207" spans="1:23" x14ac:dyDescent="0.25">
      <c r="A207" t="s">
        <v>4617</v>
      </c>
      <c r="B207" t="s">
        <v>257</v>
      </c>
      <c r="C207" t="s">
        <v>258</v>
      </c>
      <c r="D207" t="s">
        <v>4479</v>
      </c>
      <c r="E207" t="s">
        <v>4599</v>
      </c>
      <c r="F207" t="s">
        <v>232</v>
      </c>
      <c r="G207" t="s">
        <v>1406</v>
      </c>
      <c r="H207" s="6">
        <v>46022</v>
      </c>
      <c r="I207" t="s">
        <v>29</v>
      </c>
      <c r="J207">
        <v>0</v>
      </c>
      <c r="K207">
        <v>0</v>
      </c>
      <c r="L207">
        <v>0</v>
      </c>
      <c r="M207">
        <v>0</v>
      </c>
      <c r="N207" t="s">
        <v>3915</v>
      </c>
      <c r="O207" t="s">
        <v>3915</v>
      </c>
      <c r="P207" t="s">
        <v>3915</v>
      </c>
      <c r="Q207">
        <v>0</v>
      </c>
      <c r="R207" t="s">
        <v>30</v>
      </c>
      <c r="S207">
        <v>0</v>
      </c>
      <c r="T207">
        <v>0</v>
      </c>
      <c r="U207" t="s">
        <v>3915</v>
      </c>
      <c r="V207" t="s">
        <v>31</v>
      </c>
      <c r="W207">
        <v>0</v>
      </c>
    </row>
    <row r="208" spans="1:23" x14ac:dyDescent="0.25">
      <c r="A208" t="s">
        <v>4618</v>
      </c>
      <c r="B208" t="s">
        <v>261</v>
      </c>
      <c r="C208" t="s">
        <v>262</v>
      </c>
      <c r="D208" t="s">
        <v>4479</v>
      </c>
      <c r="E208" t="s">
        <v>4599</v>
      </c>
      <c r="F208" t="s">
        <v>232</v>
      </c>
      <c r="G208" t="s">
        <v>1406</v>
      </c>
      <c r="H208" s="6">
        <v>46022</v>
      </c>
      <c r="I208" t="s">
        <v>29</v>
      </c>
      <c r="J208">
        <v>0</v>
      </c>
      <c r="K208">
        <v>0</v>
      </c>
      <c r="L208">
        <v>0</v>
      </c>
      <c r="M208">
        <v>0</v>
      </c>
      <c r="N208" t="s">
        <v>3915</v>
      </c>
      <c r="O208" t="s">
        <v>3915</v>
      </c>
      <c r="P208" t="s">
        <v>3915</v>
      </c>
      <c r="Q208">
        <v>0</v>
      </c>
      <c r="R208" t="s">
        <v>30</v>
      </c>
      <c r="S208">
        <v>0</v>
      </c>
      <c r="T208">
        <v>0</v>
      </c>
      <c r="U208" t="s">
        <v>3915</v>
      </c>
      <c r="V208" t="s">
        <v>31</v>
      </c>
      <c r="W208">
        <v>0</v>
      </c>
    </row>
    <row r="209" spans="1:23" x14ac:dyDescent="0.25">
      <c r="A209" t="s">
        <v>4619</v>
      </c>
      <c r="B209" t="s">
        <v>273</v>
      </c>
      <c r="C209" t="s">
        <v>274</v>
      </c>
      <c r="D209" t="s">
        <v>4479</v>
      </c>
      <c r="E209" t="s">
        <v>4599</v>
      </c>
      <c r="F209" t="s">
        <v>232</v>
      </c>
      <c r="G209" t="s">
        <v>1406</v>
      </c>
      <c r="H209" s="6">
        <v>46022</v>
      </c>
      <c r="I209" t="s">
        <v>29</v>
      </c>
      <c r="J209">
        <v>0</v>
      </c>
      <c r="K209">
        <v>0</v>
      </c>
      <c r="L209">
        <v>0</v>
      </c>
      <c r="M209">
        <v>0</v>
      </c>
      <c r="N209" t="s">
        <v>3915</v>
      </c>
      <c r="O209" t="s">
        <v>3915</v>
      </c>
      <c r="P209" t="s">
        <v>3915</v>
      </c>
      <c r="Q209">
        <v>0</v>
      </c>
      <c r="R209" t="s">
        <v>30</v>
      </c>
      <c r="S209">
        <v>0</v>
      </c>
      <c r="T209">
        <v>0</v>
      </c>
      <c r="U209" t="s">
        <v>3915</v>
      </c>
      <c r="V209" t="s">
        <v>31</v>
      </c>
      <c r="W209">
        <v>0</v>
      </c>
    </row>
    <row r="210" spans="1:23" x14ac:dyDescent="0.25">
      <c r="A210" t="s">
        <v>4620</v>
      </c>
      <c r="B210" t="s">
        <v>279</v>
      </c>
      <c r="C210" t="s">
        <v>280</v>
      </c>
      <c r="D210" t="s">
        <v>4479</v>
      </c>
      <c r="E210" t="s">
        <v>4599</v>
      </c>
      <c r="F210" t="s">
        <v>232</v>
      </c>
      <c r="G210" t="s">
        <v>1406</v>
      </c>
      <c r="H210" s="6">
        <v>46022</v>
      </c>
      <c r="I210" t="s">
        <v>29</v>
      </c>
      <c r="J210">
        <v>0</v>
      </c>
      <c r="K210">
        <v>0</v>
      </c>
      <c r="L210">
        <v>0</v>
      </c>
      <c r="M210">
        <v>0</v>
      </c>
      <c r="N210" t="s">
        <v>3915</v>
      </c>
      <c r="O210" t="s">
        <v>3915</v>
      </c>
      <c r="P210" t="s">
        <v>3915</v>
      </c>
      <c r="Q210">
        <v>0</v>
      </c>
      <c r="R210" t="s">
        <v>30</v>
      </c>
      <c r="S210">
        <v>0</v>
      </c>
      <c r="T210">
        <v>0</v>
      </c>
      <c r="U210" t="s">
        <v>3915</v>
      </c>
      <c r="V210" t="s">
        <v>31</v>
      </c>
      <c r="W210">
        <v>0</v>
      </c>
    </row>
    <row r="211" spans="1:23" x14ac:dyDescent="0.25">
      <c r="A211" t="s">
        <v>4621</v>
      </c>
      <c r="B211" t="s">
        <v>1936</v>
      </c>
      <c r="C211" t="s">
        <v>1935</v>
      </c>
      <c r="D211" t="s">
        <v>4479</v>
      </c>
      <c r="E211" t="s">
        <v>4599</v>
      </c>
      <c r="F211" t="s">
        <v>232</v>
      </c>
      <c r="G211" t="s">
        <v>1406</v>
      </c>
      <c r="H211" s="6">
        <v>46022</v>
      </c>
      <c r="I211" t="s">
        <v>29</v>
      </c>
      <c r="J211">
        <v>0</v>
      </c>
      <c r="K211">
        <v>0</v>
      </c>
      <c r="L211">
        <v>0</v>
      </c>
      <c r="M211">
        <v>0</v>
      </c>
      <c r="N211" t="s">
        <v>3915</v>
      </c>
      <c r="O211" t="s">
        <v>3915</v>
      </c>
      <c r="P211" t="s">
        <v>3915</v>
      </c>
      <c r="Q211">
        <v>0</v>
      </c>
      <c r="R211" t="s">
        <v>30</v>
      </c>
      <c r="S211">
        <v>0</v>
      </c>
      <c r="T211">
        <v>0</v>
      </c>
      <c r="U211" t="s">
        <v>3915</v>
      </c>
      <c r="V211" t="s">
        <v>31</v>
      </c>
      <c r="W211">
        <v>0</v>
      </c>
    </row>
    <row r="212" spans="1:23" x14ac:dyDescent="0.25">
      <c r="A212" t="s">
        <v>4402</v>
      </c>
      <c r="B212" t="s">
        <v>3170</v>
      </c>
      <c r="C212" t="s">
        <v>3169</v>
      </c>
      <c r="D212" t="s">
        <v>4479</v>
      </c>
      <c r="E212" t="s">
        <v>4599</v>
      </c>
      <c r="F212" t="s">
        <v>232</v>
      </c>
      <c r="G212" t="s">
        <v>1406</v>
      </c>
      <c r="H212" s="6">
        <v>46022</v>
      </c>
      <c r="I212" t="s">
        <v>29</v>
      </c>
      <c r="J212">
        <v>12</v>
      </c>
      <c r="K212">
        <v>0</v>
      </c>
      <c r="L212">
        <v>0</v>
      </c>
      <c r="M212">
        <v>0</v>
      </c>
      <c r="N212" t="s">
        <v>3915</v>
      </c>
      <c r="O212" t="s">
        <v>3915</v>
      </c>
      <c r="P212" t="s">
        <v>3915</v>
      </c>
      <c r="Q212">
        <v>0</v>
      </c>
      <c r="R212" t="s">
        <v>30</v>
      </c>
      <c r="S212">
        <v>0</v>
      </c>
      <c r="T212">
        <v>0</v>
      </c>
      <c r="U212" t="s">
        <v>3915</v>
      </c>
      <c r="V212" t="s">
        <v>31</v>
      </c>
      <c r="W212">
        <v>0</v>
      </c>
    </row>
    <row r="213" spans="1:23" x14ac:dyDescent="0.25">
      <c r="A213" t="s">
        <v>4049</v>
      </c>
      <c r="B213" t="s">
        <v>297</v>
      </c>
      <c r="C213" t="s">
        <v>298</v>
      </c>
      <c r="D213" t="s">
        <v>4479</v>
      </c>
      <c r="E213" t="s">
        <v>4599</v>
      </c>
      <c r="F213" t="s">
        <v>232</v>
      </c>
      <c r="G213" t="s">
        <v>1406</v>
      </c>
      <c r="H213" s="6">
        <v>46022</v>
      </c>
      <c r="I213" t="s">
        <v>29</v>
      </c>
      <c r="J213">
        <v>0</v>
      </c>
      <c r="K213">
        <v>0</v>
      </c>
      <c r="L213">
        <v>0</v>
      </c>
      <c r="M213">
        <v>0</v>
      </c>
      <c r="N213" t="s">
        <v>3915</v>
      </c>
      <c r="O213" t="s">
        <v>3915</v>
      </c>
      <c r="P213" t="s">
        <v>3915</v>
      </c>
      <c r="Q213">
        <v>0</v>
      </c>
      <c r="R213" t="s">
        <v>30</v>
      </c>
      <c r="S213">
        <v>0</v>
      </c>
      <c r="T213">
        <v>0</v>
      </c>
      <c r="U213" t="s">
        <v>3915</v>
      </c>
      <c r="V213" t="s">
        <v>31</v>
      </c>
      <c r="W213">
        <v>0</v>
      </c>
    </row>
    <row r="214" spans="1:23" x14ac:dyDescent="0.25">
      <c r="A214" t="s">
        <v>10264</v>
      </c>
      <c r="B214" t="s">
        <v>299</v>
      </c>
      <c r="C214" t="s">
        <v>300</v>
      </c>
      <c r="D214" t="s">
        <v>4479</v>
      </c>
      <c r="E214" t="s">
        <v>4599</v>
      </c>
      <c r="F214" t="s">
        <v>232</v>
      </c>
      <c r="G214" t="s">
        <v>1406</v>
      </c>
      <c r="H214" s="6">
        <v>46022</v>
      </c>
      <c r="I214" t="s">
        <v>29</v>
      </c>
      <c r="J214">
        <v>0</v>
      </c>
      <c r="K214">
        <v>0</v>
      </c>
      <c r="L214">
        <v>0</v>
      </c>
      <c r="M214">
        <v>0</v>
      </c>
      <c r="N214" t="s">
        <v>3915</v>
      </c>
      <c r="O214" t="s">
        <v>3915</v>
      </c>
      <c r="P214" t="s">
        <v>3915</v>
      </c>
      <c r="Q214">
        <v>0</v>
      </c>
      <c r="R214" t="s">
        <v>30</v>
      </c>
      <c r="S214">
        <v>0</v>
      </c>
      <c r="T214">
        <v>0</v>
      </c>
      <c r="U214" t="s">
        <v>3915</v>
      </c>
      <c r="V214" t="s">
        <v>31</v>
      </c>
      <c r="W214">
        <v>0</v>
      </c>
    </row>
    <row r="215" spans="1:23" x14ac:dyDescent="0.25">
      <c r="A215" t="s">
        <v>4051</v>
      </c>
      <c r="B215" t="s">
        <v>301</v>
      </c>
      <c r="C215" t="s">
        <v>302</v>
      </c>
      <c r="D215" t="s">
        <v>4479</v>
      </c>
      <c r="E215" t="s">
        <v>4599</v>
      </c>
      <c r="F215" t="s">
        <v>232</v>
      </c>
      <c r="G215" t="s">
        <v>1406</v>
      </c>
      <c r="H215" s="6">
        <v>46022</v>
      </c>
      <c r="I215" t="s">
        <v>29</v>
      </c>
      <c r="J215">
        <v>0</v>
      </c>
      <c r="K215">
        <v>0</v>
      </c>
      <c r="L215">
        <v>0</v>
      </c>
      <c r="M215">
        <v>0</v>
      </c>
      <c r="N215" t="s">
        <v>3915</v>
      </c>
      <c r="O215" t="s">
        <v>3915</v>
      </c>
      <c r="P215" t="s">
        <v>3915</v>
      </c>
      <c r="Q215">
        <v>0</v>
      </c>
      <c r="R215" t="s">
        <v>30</v>
      </c>
      <c r="S215">
        <v>0</v>
      </c>
      <c r="T215">
        <v>0</v>
      </c>
      <c r="U215" t="s">
        <v>3915</v>
      </c>
      <c r="V215" t="s">
        <v>31</v>
      </c>
      <c r="W215">
        <v>0</v>
      </c>
    </row>
    <row r="216" spans="1:23" x14ac:dyDescent="0.25">
      <c r="A216" t="s">
        <v>5190</v>
      </c>
      <c r="B216" t="s">
        <v>307</v>
      </c>
      <c r="C216" t="s">
        <v>308</v>
      </c>
      <c r="D216" t="s">
        <v>4479</v>
      </c>
      <c r="E216" t="s">
        <v>4599</v>
      </c>
      <c r="F216" t="s">
        <v>232</v>
      </c>
      <c r="G216" t="s">
        <v>1406</v>
      </c>
      <c r="H216" s="6">
        <v>46022</v>
      </c>
      <c r="I216" t="s">
        <v>29</v>
      </c>
      <c r="J216">
        <v>0</v>
      </c>
      <c r="K216">
        <v>0</v>
      </c>
      <c r="L216">
        <v>0</v>
      </c>
      <c r="M216">
        <v>0</v>
      </c>
      <c r="N216" t="s">
        <v>3915</v>
      </c>
      <c r="O216" t="s">
        <v>3915</v>
      </c>
      <c r="P216" t="s">
        <v>3915</v>
      </c>
      <c r="Q216">
        <v>0</v>
      </c>
      <c r="R216" t="s">
        <v>30</v>
      </c>
      <c r="S216">
        <v>0</v>
      </c>
      <c r="T216">
        <v>0</v>
      </c>
      <c r="U216" t="s">
        <v>3915</v>
      </c>
      <c r="V216" t="s">
        <v>31</v>
      </c>
      <c r="W216">
        <v>0</v>
      </c>
    </row>
    <row r="217" spans="1:23" x14ac:dyDescent="0.25">
      <c r="A217" t="s">
        <v>4054</v>
      </c>
      <c r="B217" t="s">
        <v>313</v>
      </c>
      <c r="C217" t="s">
        <v>314</v>
      </c>
      <c r="D217" t="s">
        <v>4479</v>
      </c>
      <c r="E217" t="s">
        <v>4599</v>
      </c>
      <c r="F217" t="s">
        <v>232</v>
      </c>
      <c r="G217" t="s">
        <v>1406</v>
      </c>
      <c r="H217" s="6">
        <v>46022</v>
      </c>
      <c r="I217" t="s">
        <v>29</v>
      </c>
      <c r="J217">
        <v>0</v>
      </c>
      <c r="K217">
        <v>0</v>
      </c>
      <c r="L217">
        <v>0</v>
      </c>
      <c r="M217">
        <v>0</v>
      </c>
      <c r="N217" t="s">
        <v>3915</v>
      </c>
      <c r="O217" t="s">
        <v>3915</v>
      </c>
      <c r="P217" t="s">
        <v>3915</v>
      </c>
      <c r="Q217">
        <v>0</v>
      </c>
      <c r="R217" t="s">
        <v>30</v>
      </c>
      <c r="S217">
        <v>0</v>
      </c>
      <c r="T217">
        <v>0</v>
      </c>
      <c r="U217" t="s">
        <v>3915</v>
      </c>
      <c r="V217" t="s">
        <v>31</v>
      </c>
      <c r="W217">
        <v>0</v>
      </c>
    </row>
    <row r="218" spans="1:23" x14ac:dyDescent="0.25">
      <c r="A218" t="s">
        <v>10221</v>
      </c>
      <c r="B218" t="s">
        <v>317</v>
      </c>
      <c r="C218" t="s">
        <v>318</v>
      </c>
      <c r="D218" t="s">
        <v>4479</v>
      </c>
      <c r="E218" t="s">
        <v>4599</v>
      </c>
      <c r="F218" t="s">
        <v>232</v>
      </c>
      <c r="G218" t="s">
        <v>1406</v>
      </c>
      <c r="H218" s="6">
        <v>46022</v>
      </c>
      <c r="I218" t="s">
        <v>29</v>
      </c>
      <c r="J218">
        <v>0</v>
      </c>
      <c r="K218">
        <v>0</v>
      </c>
      <c r="L218">
        <v>0</v>
      </c>
      <c r="M218">
        <v>0</v>
      </c>
      <c r="N218" t="s">
        <v>3915</v>
      </c>
      <c r="O218" t="s">
        <v>3915</v>
      </c>
      <c r="P218" t="s">
        <v>3915</v>
      </c>
      <c r="Q218">
        <v>0</v>
      </c>
      <c r="R218" t="s">
        <v>30</v>
      </c>
      <c r="S218">
        <v>0</v>
      </c>
      <c r="T218">
        <v>0</v>
      </c>
      <c r="U218" t="s">
        <v>3915</v>
      </c>
      <c r="V218" t="s">
        <v>31</v>
      </c>
      <c r="W218">
        <v>0</v>
      </c>
    </row>
    <row r="219" spans="1:23" x14ac:dyDescent="0.25">
      <c r="A219" t="s">
        <v>4622</v>
      </c>
      <c r="B219" t="s">
        <v>321</v>
      </c>
      <c r="C219" t="s">
        <v>322</v>
      </c>
      <c r="D219" t="s">
        <v>4479</v>
      </c>
      <c r="E219" t="s">
        <v>4599</v>
      </c>
      <c r="F219" t="s">
        <v>232</v>
      </c>
      <c r="G219" t="s">
        <v>1406</v>
      </c>
      <c r="H219" s="6">
        <v>46022</v>
      </c>
      <c r="I219" t="s">
        <v>29</v>
      </c>
      <c r="J219">
        <v>0</v>
      </c>
      <c r="K219">
        <v>0</v>
      </c>
      <c r="L219">
        <v>0</v>
      </c>
      <c r="M219">
        <v>0</v>
      </c>
      <c r="N219" t="s">
        <v>3915</v>
      </c>
      <c r="O219" t="s">
        <v>3915</v>
      </c>
      <c r="P219" t="s">
        <v>3915</v>
      </c>
      <c r="Q219">
        <v>0</v>
      </c>
      <c r="R219" t="s">
        <v>30</v>
      </c>
      <c r="S219">
        <v>0</v>
      </c>
      <c r="T219">
        <v>0</v>
      </c>
      <c r="U219" t="s">
        <v>3915</v>
      </c>
      <c r="V219" t="s">
        <v>31</v>
      </c>
      <c r="W219">
        <v>0</v>
      </c>
    </row>
    <row r="220" spans="1:23" x14ac:dyDescent="0.25">
      <c r="A220" t="s">
        <v>4623</v>
      </c>
      <c r="B220" t="s">
        <v>331</v>
      </c>
      <c r="C220" t="s">
        <v>332</v>
      </c>
      <c r="D220" t="s">
        <v>4479</v>
      </c>
      <c r="E220" t="s">
        <v>4599</v>
      </c>
      <c r="F220" t="s">
        <v>232</v>
      </c>
      <c r="G220" t="s">
        <v>1406</v>
      </c>
      <c r="H220" s="6">
        <v>46022</v>
      </c>
      <c r="I220" t="s">
        <v>29</v>
      </c>
      <c r="J220">
        <v>0</v>
      </c>
      <c r="K220">
        <v>0</v>
      </c>
      <c r="L220">
        <v>0</v>
      </c>
      <c r="M220">
        <v>0</v>
      </c>
      <c r="N220" t="s">
        <v>3915</v>
      </c>
      <c r="O220" t="s">
        <v>3915</v>
      </c>
      <c r="P220" t="s">
        <v>3915</v>
      </c>
      <c r="Q220">
        <v>0</v>
      </c>
      <c r="R220" t="s">
        <v>30</v>
      </c>
      <c r="S220">
        <v>0</v>
      </c>
      <c r="T220">
        <v>0</v>
      </c>
      <c r="U220" t="s">
        <v>3915</v>
      </c>
      <c r="V220" t="s">
        <v>31</v>
      </c>
      <c r="W220">
        <v>0</v>
      </c>
    </row>
    <row r="221" spans="1:23" x14ac:dyDescent="0.25">
      <c r="A221" t="s">
        <v>4625</v>
      </c>
      <c r="B221" t="s">
        <v>341</v>
      </c>
      <c r="C221" t="s">
        <v>342</v>
      </c>
      <c r="D221" t="s">
        <v>4479</v>
      </c>
      <c r="E221" t="s">
        <v>4599</v>
      </c>
      <c r="F221" t="s">
        <v>232</v>
      </c>
      <c r="G221" t="s">
        <v>1406</v>
      </c>
      <c r="H221" s="6">
        <v>46022</v>
      </c>
      <c r="I221" t="s">
        <v>29</v>
      </c>
      <c r="J221">
        <v>0</v>
      </c>
      <c r="K221">
        <v>0</v>
      </c>
      <c r="L221">
        <v>0</v>
      </c>
      <c r="M221">
        <v>0</v>
      </c>
      <c r="N221" t="s">
        <v>3915</v>
      </c>
      <c r="O221" t="s">
        <v>3915</v>
      </c>
      <c r="P221" t="s">
        <v>3915</v>
      </c>
      <c r="Q221">
        <v>0</v>
      </c>
      <c r="R221" t="s">
        <v>30</v>
      </c>
      <c r="S221">
        <v>0</v>
      </c>
      <c r="T221">
        <v>0</v>
      </c>
      <c r="U221" t="s">
        <v>3915</v>
      </c>
      <c r="V221" t="s">
        <v>31</v>
      </c>
      <c r="W221">
        <v>0</v>
      </c>
    </row>
    <row r="222" spans="1:23" x14ac:dyDescent="0.25">
      <c r="A222" t="s">
        <v>4626</v>
      </c>
      <c r="B222" t="s">
        <v>343</v>
      </c>
      <c r="C222" t="s">
        <v>344</v>
      </c>
      <c r="D222" t="s">
        <v>4479</v>
      </c>
      <c r="E222" t="s">
        <v>4599</v>
      </c>
      <c r="F222" t="s">
        <v>232</v>
      </c>
      <c r="G222" t="s">
        <v>1406</v>
      </c>
      <c r="H222" s="6">
        <v>46022</v>
      </c>
      <c r="I222" t="s">
        <v>29</v>
      </c>
      <c r="J222">
        <v>0</v>
      </c>
      <c r="K222">
        <v>0</v>
      </c>
      <c r="L222">
        <v>0</v>
      </c>
      <c r="M222">
        <v>0</v>
      </c>
      <c r="N222" t="s">
        <v>3915</v>
      </c>
      <c r="O222" t="s">
        <v>3915</v>
      </c>
      <c r="P222" t="s">
        <v>3915</v>
      </c>
      <c r="Q222">
        <v>0</v>
      </c>
      <c r="R222" t="s">
        <v>30</v>
      </c>
      <c r="S222">
        <v>0</v>
      </c>
      <c r="T222">
        <v>0</v>
      </c>
      <c r="U222" t="s">
        <v>3915</v>
      </c>
      <c r="V222" t="s">
        <v>31</v>
      </c>
      <c r="W222">
        <v>0</v>
      </c>
    </row>
    <row r="223" spans="1:23" x14ac:dyDescent="0.25">
      <c r="A223" t="s">
        <v>5466</v>
      </c>
      <c r="B223" t="s">
        <v>347</v>
      </c>
      <c r="C223" t="s">
        <v>348</v>
      </c>
      <c r="D223" t="s">
        <v>4479</v>
      </c>
      <c r="E223" t="s">
        <v>4599</v>
      </c>
      <c r="F223" t="s">
        <v>232</v>
      </c>
      <c r="G223" t="s">
        <v>1406</v>
      </c>
      <c r="H223" s="6">
        <v>46022</v>
      </c>
      <c r="I223" t="s">
        <v>29</v>
      </c>
      <c r="J223">
        <v>0</v>
      </c>
      <c r="K223">
        <v>0</v>
      </c>
      <c r="L223">
        <v>0</v>
      </c>
      <c r="M223">
        <v>0</v>
      </c>
      <c r="N223" t="s">
        <v>3915</v>
      </c>
      <c r="O223" t="s">
        <v>3915</v>
      </c>
      <c r="P223" t="s">
        <v>3915</v>
      </c>
      <c r="Q223">
        <v>0</v>
      </c>
      <c r="R223" t="s">
        <v>30</v>
      </c>
      <c r="S223">
        <v>0</v>
      </c>
      <c r="T223">
        <v>0</v>
      </c>
      <c r="U223" t="s">
        <v>3915</v>
      </c>
      <c r="V223" t="s">
        <v>31</v>
      </c>
      <c r="W223">
        <v>0</v>
      </c>
    </row>
    <row r="224" spans="1:23" x14ac:dyDescent="0.25">
      <c r="A224" t="s">
        <v>10265</v>
      </c>
      <c r="B224" t="s">
        <v>1958</v>
      </c>
      <c r="C224" t="s">
        <v>1957</v>
      </c>
      <c r="D224" t="s">
        <v>4479</v>
      </c>
      <c r="E224" t="s">
        <v>4599</v>
      </c>
      <c r="F224" t="s">
        <v>232</v>
      </c>
      <c r="G224" t="s">
        <v>1406</v>
      </c>
      <c r="H224" s="6">
        <v>46022</v>
      </c>
      <c r="I224" t="s">
        <v>29</v>
      </c>
      <c r="J224">
        <v>0</v>
      </c>
      <c r="K224">
        <v>0</v>
      </c>
      <c r="L224">
        <v>0</v>
      </c>
      <c r="M224">
        <v>0</v>
      </c>
      <c r="N224" t="s">
        <v>3915</v>
      </c>
      <c r="O224" t="s">
        <v>3915</v>
      </c>
      <c r="P224" t="s">
        <v>3915</v>
      </c>
      <c r="Q224">
        <v>0</v>
      </c>
      <c r="R224" t="s">
        <v>30</v>
      </c>
      <c r="S224">
        <v>0</v>
      </c>
      <c r="T224">
        <v>0</v>
      </c>
      <c r="U224" t="s">
        <v>3915</v>
      </c>
      <c r="V224" t="s">
        <v>31</v>
      </c>
      <c r="W224">
        <v>0</v>
      </c>
    </row>
    <row r="225" spans="1:23" x14ac:dyDescent="0.25">
      <c r="A225" t="s">
        <v>4627</v>
      </c>
      <c r="B225" t="s">
        <v>355</v>
      </c>
      <c r="C225" t="s">
        <v>356</v>
      </c>
      <c r="D225" t="s">
        <v>4479</v>
      </c>
      <c r="E225" t="s">
        <v>4599</v>
      </c>
      <c r="F225" t="s">
        <v>232</v>
      </c>
      <c r="G225" t="s">
        <v>1406</v>
      </c>
      <c r="H225" s="6">
        <v>46022</v>
      </c>
      <c r="I225" t="s">
        <v>29</v>
      </c>
      <c r="J225">
        <v>0</v>
      </c>
      <c r="K225">
        <v>0</v>
      </c>
      <c r="L225">
        <v>0</v>
      </c>
      <c r="M225">
        <v>0</v>
      </c>
      <c r="N225" t="s">
        <v>3915</v>
      </c>
      <c r="O225" t="s">
        <v>3915</v>
      </c>
      <c r="P225" t="s">
        <v>3915</v>
      </c>
      <c r="Q225">
        <v>0</v>
      </c>
      <c r="R225" t="s">
        <v>30</v>
      </c>
      <c r="S225">
        <v>0</v>
      </c>
      <c r="T225">
        <v>0</v>
      </c>
      <c r="U225" t="s">
        <v>3915</v>
      </c>
      <c r="V225" t="s">
        <v>31</v>
      </c>
      <c r="W225">
        <v>0</v>
      </c>
    </row>
    <row r="226" spans="1:23" x14ac:dyDescent="0.25">
      <c r="A226" t="s">
        <v>4628</v>
      </c>
      <c r="B226" t="s">
        <v>357</v>
      </c>
      <c r="C226" t="s">
        <v>358</v>
      </c>
      <c r="D226" t="s">
        <v>4479</v>
      </c>
      <c r="E226" t="s">
        <v>4599</v>
      </c>
      <c r="F226" t="s">
        <v>232</v>
      </c>
      <c r="G226" t="s">
        <v>1406</v>
      </c>
      <c r="H226" s="6">
        <v>46022</v>
      </c>
      <c r="I226" t="s">
        <v>29</v>
      </c>
      <c r="J226">
        <v>0</v>
      </c>
      <c r="K226">
        <v>0</v>
      </c>
      <c r="L226">
        <v>0</v>
      </c>
      <c r="M226">
        <v>0</v>
      </c>
      <c r="N226" t="s">
        <v>3915</v>
      </c>
      <c r="O226" t="s">
        <v>3915</v>
      </c>
      <c r="P226" t="s">
        <v>3915</v>
      </c>
      <c r="Q226">
        <v>0</v>
      </c>
      <c r="R226" t="s">
        <v>30</v>
      </c>
      <c r="S226">
        <v>0</v>
      </c>
      <c r="T226">
        <v>0</v>
      </c>
      <c r="U226" t="s">
        <v>3915</v>
      </c>
      <c r="V226" t="s">
        <v>31</v>
      </c>
      <c r="W226">
        <v>0</v>
      </c>
    </row>
    <row r="227" spans="1:23" x14ac:dyDescent="0.25">
      <c r="A227" t="s">
        <v>4629</v>
      </c>
      <c r="B227" t="s">
        <v>359</v>
      </c>
      <c r="C227" t="s">
        <v>360</v>
      </c>
      <c r="D227" t="s">
        <v>4479</v>
      </c>
      <c r="E227" t="s">
        <v>4599</v>
      </c>
      <c r="F227" t="s">
        <v>232</v>
      </c>
      <c r="G227" t="s">
        <v>1406</v>
      </c>
      <c r="H227" s="6">
        <v>46022</v>
      </c>
      <c r="I227" t="s">
        <v>29</v>
      </c>
      <c r="J227">
        <v>0</v>
      </c>
      <c r="K227">
        <v>0</v>
      </c>
      <c r="L227">
        <v>0</v>
      </c>
      <c r="M227">
        <v>0</v>
      </c>
      <c r="N227" t="s">
        <v>3915</v>
      </c>
      <c r="O227" t="s">
        <v>3915</v>
      </c>
      <c r="P227" t="s">
        <v>3915</v>
      </c>
      <c r="Q227">
        <v>0</v>
      </c>
      <c r="R227" t="s">
        <v>30</v>
      </c>
      <c r="S227">
        <v>0</v>
      </c>
      <c r="T227">
        <v>0</v>
      </c>
      <c r="U227" t="s">
        <v>3915</v>
      </c>
      <c r="V227" t="s">
        <v>31</v>
      </c>
      <c r="W227">
        <v>0</v>
      </c>
    </row>
    <row r="228" spans="1:23" x14ac:dyDescent="0.25">
      <c r="A228" t="s">
        <v>4630</v>
      </c>
      <c r="B228" t="s">
        <v>361</v>
      </c>
      <c r="C228" t="s">
        <v>362</v>
      </c>
      <c r="D228" t="s">
        <v>4479</v>
      </c>
      <c r="E228" t="s">
        <v>4599</v>
      </c>
      <c r="F228" t="s">
        <v>232</v>
      </c>
      <c r="G228" t="s">
        <v>1406</v>
      </c>
      <c r="H228" s="6">
        <v>46022</v>
      </c>
      <c r="I228" t="s">
        <v>29</v>
      </c>
      <c r="J228">
        <v>0</v>
      </c>
      <c r="K228">
        <v>0</v>
      </c>
      <c r="L228">
        <v>0</v>
      </c>
      <c r="M228">
        <v>0</v>
      </c>
      <c r="N228" t="s">
        <v>3915</v>
      </c>
      <c r="O228" t="s">
        <v>3915</v>
      </c>
      <c r="P228" t="s">
        <v>3915</v>
      </c>
      <c r="Q228">
        <v>0</v>
      </c>
      <c r="R228" t="s">
        <v>30</v>
      </c>
      <c r="S228">
        <v>0</v>
      </c>
      <c r="T228">
        <v>0</v>
      </c>
      <c r="U228" t="s">
        <v>3915</v>
      </c>
      <c r="V228" t="s">
        <v>31</v>
      </c>
      <c r="W228">
        <v>0</v>
      </c>
    </row>
    <row r="229" spans="1:23" x14ac:dyDescent="0.25">
      <c r="A229" t="s">
        <v>5375</v>
      </c>
      <c r="B229" t="s">
        <v>363</v>
      </c>
      <c r="C229" t="s">
        <v>364</v>
      </c>
      <c r="D229" t="s">
        <v>4479</v>
      </c>
      <c r="E229" t="s">
        <v>4599</v>
      </c>
      <c r="F229" t="s">
        <v>232</v>
      </c>
      <c r="G229" t="s">
        <v>1406</v>
      </c>
      <c r="H229" s="6">
        <v>46022</v>
      </c>
      <c r="I229" t="s">
        <v>29</v>
      </c>
      <c r="J229">
        <v>0</v>
      </c>
      <c r="K229">
        <v>0</v>
      </c>
      <c r="L229">
        <v>0</v>
      </c>
      <c r="M229">
        <v>0</v>
      </c>
      <c r="N229" t="s">
        <v>3915</v>
      </c>
      <c r="O229" t="s">
        <v>3915</v>
      </c>
      <c r="P229" t="s">
        <v>3915</v>
      </c>
      <c r="Q229">
        <v>0</v>
      </c>
      <c r="R229" t="s">
        <v>30</v>
      </c>
      <c r="S229">
        <v>0</v>
      </c>
      <c r="T229">
        <v>0</v>
      </c>
      <c r="U229" t="s">
        <v>3915</v>
      </c>
      <c r="V229" t="s">
        <v>31</v>
      </c>
      <c r="W229">
        <v>0</v>
      </c>
    </row>
    <row r="230" spans="1:23" x14ac:dyDescent="0.25">
      <c r="A230" t="s">
        <v>4631</v>
      </c>
      <c r="B230" t="s">
        <v>365</v>
      </c>
      <c r="C230" t="s">
        <v>366</v>
      </c>
      <c r="D230" t="s">
        <v>4479</v>
      </c>
      <c r="E230" t="s">
        <v>4599</v>
      </c>
      <c r="F230" t="s">
        <v>232</v>
      </c>
      <c r="G230" t="s">
        <v>1406</v>
      </c>
      <c r="H230" s="6">
        <v>46022</v>
      </c>
      <c r="I230" t="s">
        <v>29</v>
      </c>
      <c r="J230">
        <v>0</v>
      </c>
      <c r="K230">
        <v>0</v>
      </c>
      <c r="L230">
        <v>0</v>
      </c>
      <c r="M230">
        <v>0</v>
      </c>
      <c r="N230" t="s">
        <v>3915</v>
      </c>
      <c r="O230" t="s">
        <v>3915</v>
      </c>
      <c r="P230" t="s">
        <v>3915</v>
      </c>
      <c r="Q230">
        <v>0</v>
      </c>
      <c r="R230" t="s">
        <v>30</v>
      </c>
      <c r="S230">
        <v>0</v>
      </c>
      <c r="T230">
        <v>0</v>
      </c>
      <c r="U230" t="s">
        <v>3915</v>
      </c>
      <c r="V230" t="s">
        <v>31</v>
      </c>
      <c r="W230">
        <v>0</v>
      </c>
    </row>
    <row r="231" spans="1:23" x14ac:dyDescent="0.25">
      <c r="A231" t="s">
        <v>10266</v>
      </c>
      <c r="B231" t="s">
        <v>367</v>
      </c>
      <c r="C231" t="s">
        <v>368</v>
      </c>
      <c r="D231" t="s">
        <v>4479</v>
      </c>
      <c r="E231" t="s">
        <v>4599</v>
      </c>
      <c r="F231" t="s">
        <v>232</v>
      </c>
      <c r="G231" t="s">
        <v>1406</v>
      </c>
      <c r="H231" s="6">
        <v>46022</v>
      </c>
      <c r="I231" t="s">
        <v>29</v>
      </c>
      <c r="J231">
        <v>0</v>
      </c>
      <c r="K231">
        <v>0</v>
      </c>
      <c r="L231">
        <v>0</v>
      </c>
      <c r="M231">
        <v>0</v>
      </c>
      <c r="N231" t="s">
        <v>3915</v>
      </c>
      <c r="O231" t="s">
        <v>3915</v>
      </c>
      <c r="P231" t="s">
        <v>3915</v>
      </c>
      <c r="Q231">
        <v>0</v>
      </c>
      <c r="R231" t="s">
        <v>30</v>
      </c>
      <c r="S231">
        <v>0</v>
      </c>
      <c r="T231">
        <v>0</v>
      </c>
      <c r="U231" t="s">
        <v>3915</v>
      </c>
      <c r="V231" t="s">
        <v>31</v>
      </c>
      <c r="W231">
        <v>0</v>
      </c>
    </row>
    <row r="232" spans="1:23" x14ac:dyDescent="0.25">
      <c r="A232" t="s">
        <v>4632</v>
      </c>
      <c r="B232" t="s">
        <v>369</v>
      </c>
      <c r="C232" t="s">
        <v>370</v>
      </c>
      <c r="D232" t="s">
        <v>4479</v>
      </c>
      <c r="E232" t="s">
        <v>4599</v>
      </c>
      <c r="F232" t="s">
        <v>232</v>
      </c>
      <c r="G232" t="s">
        <v>1406</v>
      </c>
      <c r="H232" s="6">
        <v>46022</v>
      </c>
      <c r="I232" t="s">
        <v>29</v>
      </c>
      <c r="J232">
        <v>0</v>
      </c>
      <c r="K232">
        <v>0</v>
      </c>
      <c r="L232">
        <v>0</v>
      </c>
      <c r="M232">
        <v>0</v>
      </c>
      <c r="N232" t="s">
        <v>3915</v>
      </c>
      <c r="O232" t="s">
        <v>3915</v>
      </c>
      <c r="P232" t="s">
        <v>3915</v>
      </c>
      <c r="Q232">
        <v>0</v>
      </c>
      <c r="R232" t="s">
        <v>30</v>
      </c>
      <c r="S232">
        <v>0</v>
      </c>
      <c r="T232">
        <v>0</v>
      </c>
      <c r="U232" t="s">
        <v>3915</v>
      </c>
      <c r="V232" t="s">
        <v>31</v>
      </c>
      <c r="W232">
        <v>0</v>
      </c>
    </row>
    <row r="233" spans="1:23" x14ac:dyDescent="0.25">
      <c r="A233" t="s">
        <v>4633</v>
      </c>
      <c r="B233" t="s">
        <v>371</v>
      </c>
      <c r="C233" t="s">
        <v>372</v>
      </c>
      <c r="D233" t="s">
        <v>4479</v>
      </c>
      <c r="E233" t="s">
        <v>4599</v>
      </c>
      <c r="F233" t="s">
        <v>232</v>
      </c>
      <c r="G233" t="s">
        <v>1406</v>
      </c>
      <c r="H233" s="6">
        <v>46022</v>
      </c>
      <c r="I233" t="s">
        <v>29</v>
      </c>
      <c r="J233">
        <v>0</v>
      </c>
      <c r="K233">
        <v>0</v>
      </c>
      <c r="L233">
        <v>0</v>
      </c>
      <c r="M233">
        <v>0</v>
      </c>
      <c r="N233" t="s">
        <v>3915</v>
      </c>
      <c r="O233" t="s">
        <v>3915</v>
      </c>
      <c r="P233" t="s">
        <v>3915</v>
      </c>
      <c r="Q233">
        <v>0</v>
      </c>
      <c r="R233" t="s">
        <v>30</v>
      </c>
      <c r="S233">
        <v>0</v>
      </c>
      <c r="T233">
        <v>0</v>
      </c>
      <c r="U233" t="s">
        <v>3915</v>
      </c>
      <c r="V233" t="s">
        <v>31</v>
      </c>
      <c r="W233">
        <v>0</v>
      </c>
    </row>
    <row r="234" spans="1:23" x14ac:dyDescent="0.25">
      <c r="A234" t="s">
        <v>4634</v>
      </c>
      <c r="B234" t="s">
        <v>3172</v>
      </c>
      <c r="C234" t="s">
        <v>3171</v>
      </c>
      <c r="D234" t="s">
        <v>4479</v>
      </c>
      <c r="E234" t="s">
        <v>4599</v>
      </c>
      <c r="F234" t="s">
        <v>232</v>
      </c>
      <c r="G234" t="s">
        <v>1406</v>
      </c>
      <c r="H234" s="6">
        <v>46022</v>
      </c>
      <c r="I234" t="s">
        <v>29</v>
      </c>
      <c r="J234">
        <v>16</v>
      </c>
      <c r="K234">
        <v>0</v>
      </c>
      <c r="L234">
        <v>0</v>
      </c>
      <c r="M234">
        <v>0</v>
      </c>
      <c r="N234" t="s">
        <v>3915</v>
      </c>
      <c r="O234" t="s">
        <v>3915</v>
      </c>
      <c r="P234" t="s">
        <v>3915</v>
      </c>
      <c r="Q234">
        <v>0</v>
      </c>
      <c r="R234" t="s">
        <v>30</v>
      </c>
      <c r="S234">
        <v>0</v>
      </c>
      <c r="T234">
        <v>0</v>
      </c>
      <c r="U234" t="s">
        <v>3915</v>
      </c>
      <c r="V234" t="s">
        <v>31</v>
      </c>
      <c r="W234">
        <v>0</v>
      </c>
    </row>
    <row r="235" spans="1:23" x14ac:dyDescent="0.25">
      <c r="A235" t="s">
        <v>4635</v>
      </c>
      <c r="B235" t="s">
        <v>377</v>
      </c>
      <c r="C235" t="s">
        <v>378</v>
      </c>
      <c r="D235" t="s">
        <v>4479</v>
      </c>
      <c r="E235" t="s">
        <v>4599</v>
      </c>
      <c r="F235" t="s">
        <v>232</v>
      </c>
      <c r="G235" t="s">
        <v>1406</v>
      </c>
      <c r="H235" s="6">
        <v>46022</v>
      </c>
      <c r="I235" t="s">
        <v>29</v>
      </c>
      <c r="J235">
        <v>10</v>
      </c>
      <c r="K235">
        <v>0</v>
      </c>
      <c r="L235">
        <v>0</v>
      </c>
      <c r="M235">
        <v>0</v>
      </c>
      <c r="N235" t="s">
        <v>3915</v>
      </c>
      <c r="O235" t="s">
        <v>3915</v>
      </c>
      <c r="P235" t="s">
        <v>3915</v>
      </c>
      <c r="Q235">
        <v>0</v>
      </c>
      <c r="R235" t="s">
        <v>30</v>
      </c>
      <c r="S235">
        <v>0</v>
      </c>
      <c r="T235">
        <v>0</v>
      </c>
      <c r="U235" t="s">
        <v>3915</v>
      </c>
      <c r="V235" t="s">
        <v>31</v>
      </c>
      <c r="W235">
        <v>0</v>
      </c>
    </row>
    <row r="236" spans="1:23" x14ac:dyDescent="0.25">
      <c r="A236" t="s">
        <v>10267</v>
      </c>
      <c r="B236" t="s">
        <v>379</v>
      </c>
      <c r="C236" t="s">
        <v>380</v>
      </c>
      <c r="D236" t="s">
        <v>4479</v>
      </c>
      <c r="E236" t="s">
        <v>4599</v>
      </c>
      <c r="F236" t="s">
        <v>232</v>
      </c>
      <c r="G236" t="s">
        <v>1406</v>
      </c>
      <c r="H236" s="6">
        <v>46022</v>
      </c>
      <c r="I236" t="s">
        <v>29</v>
      </c>
      <c r="J236">
        <v>0</v>
      </c>
      <c r="K236">
        <v>0</v>
      </c>
      <c r="L236">
        <v>0</v>
      </c>
      <c r="M236">
        <v>0</v>
      </c>
      <c r="N236" t="s">
        <v>3915</v>
      </c>
      <c r="O236" t="s">
        <v>3915</v>
      </c>
      <c r="P236" t="s">
        <v>3915</v>
      </c>
      <c r="Q236">
        <v>0</v>
      </c>
      <c r="R236" t="s">
        <v>30</v>
      </c>
      <c r="S236">
        <v>0</v>
      </c>
      <c r="T236">
        <v>0</v>
      </c>
      <c r="U236" t="s">
        <v>3915</v>
      </c>
      <c r="V236" t="s">
        <v>31</v>
      </c>
      <c r="W236">
        <v>0</v>
      </c>
    </row>
    <row r="237" spans="1:23" x14ac:dyDescent="0.25">
      <c r="A237" t="s">
        <v>4636</v>
      </c>
      <c r="B237" t="s">
        <v>1962</v>
      </c>
      <c r="C237" t="s">
        <v>1961</v>
      </c>
      <c r="D237" t="s">
        <v>4479</v>
      </c>
      <c r="E237" t="s">
        <v>4599</v>
      </c>
      <c r="F237" t="s">
        <v>232</v>
      </c>
      <c r="G237" t="s">
        <v>1406</v>
      </c>
      <c r="H237" s="6">
        <v>46022</v>
      </c>
      <c r="I237" t="s">
        <v>29</v>
      </c>
      <c r="J237">
        <v>31</v>
      </c>
      <c r="K237">
        <v>0</v>
      </c>
      <c r="L237">
        <v>0</v>
      </c>
      <c r="M237">
        <v>0</v>
      </c>
      <c r="N237" t="s">
        <v>3915</v>
      </c>
      <c r="O237" t="s">
        <v>3915</v>
      </c>
      <c r="P237" t="s">
        <v>3915</v>
      </c>
      <c r="Q237">
        <v>0</v>
      </c>
      <c r="R237" t="s">
        <v>30</v>
      </c>
      <c r="S237">
        <v>0</v>
      </c>
      <c r="T237">
        <v>0</v>
      </c>
      <c r="U237" t="s">
        <v>3915</v>
      </c>
      <c r="V237" t="s">
        <v>31</v>
      </c>
      <c r="W237">
        <v>0</v>
      </c>
    </row>
    <row r="238" spans="1:23" x14ac:dyDescent="0.25">
      <c r="A238" t="s">
        <v>4637</v>
      </c>
      <c r="B238" t="s">
        <v>383</v>
      </c>
      <c r="C238" t="s">
        <v>384</v>
      </c>
      <c r="D238" t="s">
        <v>4479</v>
      </c>
      <c r="E238" t="s">
        <v>4599</v>
      </c>
      <c r="F238" t="s">
        <v>232</v>
      </c>
      <c r="G238" t="s">
        <v>1406</v>
      </c>
      <c r="H238" s="6">
        <v>46022</v>
      </c>
      <c r="I238" t="s">
        <v>29</v>
      </c>
      <c r="J238">
        <v>2</v>
      </c>
      <c r="K238">
        <v>0</v>
      </c>
      <c r="L238">
        <v>0</v>
      </c>
      <c r="M238">
        <v>0</v>
      </c>
      <c r="N238" t="s">
        <v>3915</v>
      </c>
      <c r="O238" t="s">
        <v>3915</v>
      </c>
      <c r="P238" t="s">
        <v>3915</v>
      </c>
      <c r="Q238">
        <v>0</v>
      </c>
      <c r="R238" t="s">
        <v>30</v>
      </c>
      <c r="S238">
        <v>0</v>
      </c>
      <c r="T238">
        <v>0</v>
      </c>
      <c r="U238" t="s">
        <v>3915</v>
      </c>
      <c r="V238" t="s">
        <v>31</v>
      </c>
      <c r="W238">
        <v>0</v>
      </c>
    </row>
    <row r="239" spans="1:23" x14ac:dyDescent="0.25">
      <c r="A239" t="s">
        <v>4638</v>
      </c>
      <c r="B239" t="s">
        <v>3174</v>
      </c>
      <c r="C239" t="s">
        <v>3173</v>
      </c>
      <c r="D239" t="s">
        <v>4479</v>
      </c>
      <c r="E239" t="s">
        <v>4599</v>
      </c>
      <c r="F239" t="s">
        <v>232</v>
      </c>
      <c r="G239" t="s">
        <v>1406</v>
      </c>
      <c r="H239" s="6">
        <v>46022</v>
      </c>
      <c r="I239" t="s">
        <v>29</v>
      </c>
      <c r="J239">
        <v>37</v>
      </c>
      <c r="K239">
        <v>0</v>
      </c>
      <c r="L239">
        <v>0</v>
      </c>
      <c r="M239">
        <v>0</v>
      </c>
      <c r="N239" t="s">
        <v>3915</v>
      </c>
      <c r="O239" t="s">
        <v>3915</v>
      </c>
      <c r="P239" t="s">
        <v>3915</v>
      </c>
      <c r="Q239">
        <v>0</v>
      </c>
      <c r="R239" t="s">
        <v>30</v>
      </c>
      <c r="S239">
        <v>0</v>
      </c>
      <c r="T239">
        <v>0</v>
      </c>
      <c r="U239" t="s">
        <v>3915</v>
      </c>
      <c r="V239" t="s">
        <v>31</v>
      </c>
      <c r="W239">
        <v>0</v>
      </c>
    </row>
    <row r="240" spans="1:23" x14ac:dyDescent="0.25">
      <c r="A240" t="s">
        <v>4210</v>
      </c>
      <c r="B240" t="s">
        <v>385</v>
      </c>
      <c r="C240" t="s">
        <v>386</v>
      </c>
      <c r="D240" t="s">
        <v>4479</v>
      </c>
      <c r="E240" t="s">
        <v>4599</v>
      </c>
      <c r="F240" t="s">
        <v>232</v>
      </c>
      <c r="G240" t="s">
        <v>1406</v>
      </c>
      <c r="H240" s="6">
        <v>46022</v>
      </c>
      <c r="I240" t="s">
        <v>29</v>
      </c>
      <c r="J240">
        <v>0</v>
      </c>
      <c r="K240">
        <v>0</v>
      </c>
      <c r="L240">
        <v>0</v>
      </c>
      <c r="M240">
        <v>0</v>
      </c>
      <c r="N240" t="s">
        <v>3915</v>
      </c>
      <c r="O240" t="s">
        <v>3915</v>
      </c>
      <c r="P240" t="s">
        <v>3915</v>
      </c>
      <c r="Q240">
        <v>0</v>
      </c>
      <c r="R240" t="s">
        <v>30</v>
      </c>
      <c r="S240">
        <v>0</v>
      </c>
      <c r="T240">
        <v>0</v>
      </c>
      <c r="U240" t="s">
        <v>3915</v>
      </c>
      <c r="V240" t="s">
        <v>31</v>
      </c>
      <c r="W240">
        <v>0</v>
      </c>
    </row>
    <row r="241" spans="1:23" x14ac:dyDescent="0.25">
      <c r="A241" t="s">
        <v>10268</v>
      </c>
      <c r="B241" t="s">
        <v>10269</v>
      </c>
      <c r="C241" t="s">
        <v>1965</v>
      </c>
      <c r="D241" t="s">
        <v>4479</v>
      </c>
      <c r="E241" t="s">
        <v>4599</v>
      </c>
      <c r="F241" t="s">
        <v>232</v>
      </c>
      <c r="G241" t="s">
        <v>1406</v>
      </c>
      <c r="H241" s="6">
        <v>46022</v>
      </c>
      <c r="I241" t="s">
        <v>29</v>
      </c>
      <c r="J241">
        <v>0</v>
      </c>
      <c r="K241">
        <v>0</v>
      </c>
      <c r="L241">
        <v>0</v>
      </c>
      <c r="M241">
        <v>0</v>
      </c>
      <c r="N241" t="s">
        <v>3915</v>
      </c>
      <c r="O241" t="s">
        <v>3915</v>
      </c>
      <c r="P241" t="s">
        <v>3915</v>
      </c>
      <c r="Q241">
        <v>0</v>
      </c>
      <c r="R241" t="s">
        <v>30</v>
      </c>
      <c r="S241">
        <v>0</v>
      </c>
      <c r="T241">
        <v>0</v>
      </c>
      <c r="U241" t="s">
        <v>3915</v>
      </c>
      <c r="V241" t="s">
        <v>31</v>
      </c>
      <c r="W241">
        <v>0</v>
      </c>
    </row>
    <row r="242" spans="1:23" x14ac:dyDescent="0.25">
      <c r="A242" t="s">
        <v>4639</v>
      </c>
      <c r="B242" t="s">
        <v>3176</v>
      </c>
      <c r="C242" t="s">
        <v>3175</v>
      </c>
      <c r="D242" t="s">
        <v>4479</v>
      </c>
      <c r="E242" t="s">
        <v>4599</v>
      </c>
      <c r="F242" t="s">
        <v>232</v>
      </c>
      <c r="G242" t="s">
        <v>1406</v>
      </c>
      <c r="H242" s="6">
        <v>46022</v>
      </c>
      <c r="I242" t="s">
        <v>29</v>
      </c>
      <c r="J242">
        <v>2</v>
      </c>
      <c r="K242">
        <v>0</v>
      </c>
      <c r="L242">
        <v>0</v>
      </c>
      <c r="M242">
        <v>0</v>
      </c>
      <c r="N242" t="s">
        <v>3915</v>
      </c>
      <c r="O242" t="s">
        <v>3915</v>
      </c>
      <c r="P242" t="s">
        <v>3915</v>
      </c>
      <c r="Q242">
        <v>0</v>
      </c>
      <c r="R242" t="s">
        <v>30</v>
      </c>
      <c r="S242">
        <v>0</v>
      </c>
      <c r="T242">
        <v>0</v>
      </c>
      <c r="U242" t="s">
        <v>3915</v>
      </c>
      <c r="V242" t="s">
        <v>31</v>
      </c>
      <c r="W242">
        <v>0</v>
      </c>
    </row>
    <row r="243" spans="1:23" x14ac:dyDescent="0.25">
      <c r="A243" t="s">
        <v>4640</v>
      </c>
      <c r="B243" t="s">
        <v>395</v>
      </c>
      <c r="C243" t="s">
        <v>396</v>
      </c>
      <c r="D243" t="s">
        <v>4479</v>
      </c>
      <c r="E243" t="s">
        <v>4599</v>
      </c>
      <c r="F243" t="s">
        <v>232</v>
      </c>
      <c r="G243" t="s">
        <v>1406</v>
      </c>
      <c r="H243" s="6">
        <v>46022</v>
      </c>
      <c r="I243" t="s">
        <v>29</v>
      </c>
      <c r="J243">
        <v>0</v>
      </c>
      <c r="K243">
        <v>0</v>
      </c>
      <c r="L243">
        <v>0</v>
      </c>
      <c r="M243">
        <v>0</v>
      </c>
      <c r="N243" t="s">
        <v>3915</v>
      </c>
      <c r="O243" t="s">
        <v>3915</v>
      </c>
      <c r="P243" t="s">
        <v>3915</v>
      </c>
      <c r="Q243">
        <v>0</v>
      </c>
      <c r="R243" t="s">
        <v>30</v>
      </c>
      <c r="S243">
        <v>0</v>
      </c>
      <c r="T243">
        <v>0</v>
      </c>
      <c r="U243" t="s">
        <v>3915</v>
      </c>
      <c r="V243" t="s">
        <v>31</v>
      </c>
      <c r="W243">
        <v>0</v>
      </c>
    </row>
    <row r="244" spans="1:23" x14ac:dyDescent="0.25">
      <c r="A244" t="s">
        <v>4641</v>
      </c>
      <c r="B244" t="s">
        <v>4642</v>
      </c>
      <c r="C244" t="s">
        <v>1977</v>
      </c>
      <c r="D244" t="s">
        <v>4479</v>
      </c>
      <c r="E244" t="s">
        <v>4599</v>
      </c>
      <c r="F244" t="s">
        <v>232</v>
      </c>
      <c r="G244" t="s">
        <v>1406</v>
      </c>
      <c r="H244" s="6">
        <v>46022</v>
      </c>
      <c r="I244" t="s">
        <v>29</v>
      </c>
      <c r="J244">
        <v>20</v>
      </c>
      <c r="K244">
        <v>0</v>
      </c>
      <c r="L244">
        <v>0</v>
      </c>
      <c r="M244">
        <v>0</v>
      </c>
      <c r="N244" t="s">
        <v>3915</v>
      </c>
      <c r="O244" t="s">
        <v>3915</v>
      </c>
      <c r="P244" t="s">
        <v>3915</v>
      </c>
      <c r="Q244">
        <v>0</v>
      </c>
      <c r="R244" t="s">
        <v>30</v>
      </c>
      <c r="S244">
        <v>0</v>
      </c>
      <c r="T244">
        <v>0</v>
      </c>
      <c r="U244" t="s">
        <v>3915</v>
      </c>
      <c r="V244" t="s">
        <v>31</v>
      </c>
      <c r="W244">
        <v>0</v>
      </c>
    </row>
    <row r="245" spans="1:23" x14ac:dyDescent="0.25">
      <c r="A245" t="s">
        <v>4643</v>
      </c>
      <c r="B245" t="s">
        <v>1980</v>
      </c>
      <c r="C245" t="s">
        <v>1979</v>
      </c>
      <c r="D245" t="s">
        <v>4479</v>
      </c>
      <c r="E245" t="s">
        <v>4599</v>
      </c>
      <c r="F245" t="s">
        <v>232</v>
      </c>
      <c r="G245" t="s">
        <v>1406</v>
      </c>
      <c r="H245" s="6">
        <v>46022</v>
      </c>
      <c r="I245" t="s">
        <v>29</v>
      </c>
      <c r="J245">
        <v>77</v>
      </c>
      <c r="K245">
        <v>0</v>
      </c>
      <c r="L245">
        <v>0</v>
      </c>
      <c r="M245">
        <v>0</v>
      </c>
      <c r="N245" t="s">
        <v>3915</v>
      </c>
      <c r="O245" t="s">
        <v>3915</v>
      </c>
      <c r="P245" t="s">
        <v>3915</v>
      </c>
      <c r="Q245">
        <v>0</v>
      </c>
      <c r="R245" t="s">
        <v>30</v>
      </c>
      <c r="S245">
        <v>0</v>
      </c>
      <c r="T245">
        <v>0</v>
      </c>
      <c r="U245" t="s">
        <v>3915</v>
      </c>
      <c r="V245" t="s">
        <v>31</v>
      </c>
      <c r="W245">
        <v>0</v>
      </c>
    </row>
    <row r="246" spans="1:23" x14ac:dyDescent="0.25">
      <c r="A246" t="s">
        <v>4644</v>
      </c>
      <c r="B246" t="s">
        <v>1984</v>
      </c>
      <c r="C246" t="s">
        <v>1983</v>
      </c>
      <c r="D246" t="s">
        <v>4479</v>
      </c>
      <c r="E246" t="s">
        <v>4599</v>
      </c>
      <c r="F246" t="s">
        <v>232</v>
      </c>
      <c r="G246" t="s">
        <v>1406</v>
      </c>
      <c r="H246" s="6">
        <v>46022</v>
      </c>
      <c r="I246" t="s">
        <v>29</v>
      </c>
      <c r="J246">
        <v>28</v>
      </c>
      <c r="K246">
        <v>0</v>
      </c>
      <c r="L246">
        <v>0</v>
      </c>
      <c r="M246">
        <v>0</v>
      </c>
      <c r="N246" t="s">
        <v>3915</v>
      </c>
      <c r="O246" t="s">
        <v>3915</v>
      </c>
      <c r="P246" t="s">
        <v>3915</v>
      </c>
      <c r="Q246">
        <v>0</v>
      </c>
      <c r="R246" t="s">
        <v>30</v>
      </c>
      <c r="S246">
        <v>0</v>
      </c>
      <c r="T246">
        <v>0</v>
      </c>
      <c r="U246" t="s">
        <v>3915</v>
      </c>
      <c r="V246" t="s">
        <v>31</v>
      </c>
      <c r="W246">
        <v>0</v>
      </c>
    </row>
    <row r="247" spans="1:23" x14ac:dyDescent="0.25">
      <c r="A247" t="s">
        <v>4645</v>
      </c>
      <c r="B247" t="s">
        <v>3178</v>
      </c>
      <c r="C247" t="s">
        <v>3177</v>
      </c>
      <c r="D247" t="s">
        <v>4479</v>
      </c>
      <c r="E247" t="s">
        <v>4599</v>
      </c>
      <c r="F247" t="s">
        <v>232</v>
      </c>
      <c r="G247" t="s">
        <v>1406</v>
      </c>
      <c r="H247" s="6">
        <v>46022</v>
      </c>
      <c r="I247" t="s">
        <v>29</v>
      </c>
      <c r="J247">
        <v>11</v>
      </c>
      <c r="K247">
        <v>0</v>
      </c>
      <c r="L247">
        <v>0</v>
      </c>
      <c r="M247">
        <v>0</v>
      </c>
      <c r="N247" t="s">
        <v>3915</v>
      </c>
      <c r="O247" t="s">
        <v>3915</v>
      </c>
      <c r="P247" t="s">
        <v>3915</v>
      </c>
      <c r="Q247">
        <v>0</v>
      </c>
      <c r="R247" t="s">
        <v>30</v>
      </c>
      <c r="S247">
        <v>0</v>
      </c>
      <c r="T247">
        <v>0</v>
      </c>
      <c r="U247" t="s">
        <v>3915</v>
      </c>
      <c r="V247" t="s">
        <v>31</v>
      </c>
      <c r="W247">
        <v>0</v>
      </c>
    </row>
    <row r="248" spans="1:23" x14ac:dyDescent="0.25">
      <c r="A248" t="s">
        <v>4646</v>
      </c>
      <c r="B248" t="s">
        <v>1988</v>
      </c>
      <c r="C248" t="s">
        <v>1987</v>
      </c>
      <c r="D248" t="s">
        <v>4479</v>
      </c>
      <c r="E248" t="s">
        <v>4599</v>
      </c>
      <c r="F248" t="s">
        <v>232</v>
      </c>
      <c r="G248" t="s">
        <v>1406</v>
      </c>
      <c r="H248" s="6">
        <v>46022</v>
      </c>
      <c r="I248" t="s">
        <v>29</v>
      </c>
      <c r="J248">
        <v>3</v>
      </c>
      <c r="K248">
        <v>0</v>
      </c>
      <c r="L248">
        <v>0</v>
      </c>
      <c r="M248">
        <v>0</v>
      </c>
      <c r="N248" t="s">
        <v>3915</v>
      </c>
      <c r="O248" t="s">
        <v>3915</v>
      </c>
      <c r="P248" t="s">
        <v>3915</v>
      </c>
      <c r="Q248">
        <v>0</v>
      </c>
      <c r="R248" t="s">
        <v>30</v>
      </c>
      <c r="S248">
        <v>0</v>
      </c>
      <c r="T248">
        <v>0</v>
      </c>
      <c r="U248" t="s">
        <v>3915</v>
      </c>
      <c r="V248" t="s">
        <v>31</v>
      </c>
      <c r="W248">
        <v>0</v>
      </c>
    </row>
    <row r="249" spans="1:23" x14ac:dyDescent="0.25">
      <c r="A249" t="s">
        <v>4647</v>
      </c>
      <c r="B249" t="s">
        <v>1990</v>
      </c>
      <c r="C249" t="s">
        <v>1989</v>
      </c>
      <c r="D249" t="s">
        <v>4479</v>
      </c>
      <c r="E249" t="s">
        <v>4599</v>
      </c>
      <c r="F249" t="s">
        <v>232</v>
      </c>
      <c r="G249" t="s">
        <v>1406</v>
      </c>
      <c r="H249" s="6">
        <v>46022</v>
      </c>
      <c r="I249" t="s">
        <v>29</v>
      </c>
      <c r="J249">
        <v>24</v>
      </c>
      <c r="K249">
        <v>0</v>
      </c>
      <c r="L249">
        <v>0</v>
      </c>
      <c r="M249">
        <v>0</v>
      </c>
      <c r="N249" t="s">
        <v>3915</v>
      </c>
      <c r="O249" t="s">
        <v>3915</v>
      </c>
      <c r="P249" t="s">
        <v>3915</v>
      </c>
      <c r="Q249">
        <v>0</v>
      </c>
      <c r="R249" t="s">
        <v>30</v>
      </c>
      <c r="S249">
        <v>0</v>
      </c>
      <c r="T249">
        <v>0</v>
      </c>
      <c r="U249" t="s">
        <v>3915</v>
      </c>
      <c r="V249" t="s">
        <v>31</v>
      </c>
      <c r="W249">
        <v>0</v>
      </c>
    </row>
    <row r="250" spans="1:23" x14ac:dyDescent="0.25">
      <c r="A250" t="s">
        <v>4648</v>
      </c>
      <c r="B250" t="s">
        <v>3180</v>
      </c>
      <c r="C250" t="s">
        <v>3179</v>
      </c>
      <c r="D250" t="s">
        <v>4479</v>
      </c>
      <c r="E250" t="s">
        <v>4599</v>
      </c>
      <c r="F250" t="s">
        <v>232</v>
      </c>
      <c r="G250" t="s">
        <v>1406</v>
      </c>
      <c r="H250" s="6">
        <v>46022</v>
      </c>
      <c r="I250" t="s">
        <v>29</v>
      </c>
      <c r="J250">
        <v>1</v>
      </c>
      <c r="K250">
        <v>0</v>
      </c>
      <c r="L250">
        <v>0</v>
      </c>
      <c r="M250">
        <v>0</v>
      </c>
      <c r="N250" t="s">
        <v>3915</v>
      </c>
      <c r="O250" t="s">
        <v>3915</v>
      </c>
      <c r="P250" t="s">
        <v>3915</v>
      </c>
      <c r="Q250">
        <v>0</v>
      </c>
      <c r="R250" t="s">
        <v>30</v>
      </c>
      <c r="S250">
        <v>0</v>
      </c>
      <c r="T250">
        <v>0</v>
      </c>
      <c r="U250" t="s">
        <v>3915</v>
      </c>
      <c r="V250" t="s">
        <v>31</v>
      </c>
      <c r="W250">
        <v>0</v>
      </c>
    </row>
    <row r="251" spans="1:23" x14ac:dyDescent="0.25">
      <c r="A251" t="s">
        <v>4135</v>
      </c>
      <c r="B251" t="s">
        <v>1450</v>
      </c>
      <c r="C251" t="s">
        <v>1449</v>
      </c>
      <c r="D251" t="s">
        <v>4479</v>
      </c>
      <c r="E251" t="s">
        <v>4599</v>
      </c>
      <c r="F251" t="s">
        <v>232</v>
      </c>
      <c r="G251" t="s">
        <v>1406</v>
      </c>
      <c r="H251" s="6">
        <v>46022</v>
      </c>
      <c r="I251" t="s">
        <v>29</v>
      </c>
      <c r="J251">
        <v>3</v>
      </c>
      <c r="K251">
        <v>0</v>
      </c>
      <c r="L251">
        <v>0</v>
      </c>
      <c r="M251">
        <v>0</v>
      </c>
      <c r="N251" t="s">
        <v>3915</v>
      </c>
      <c r="O251" t="s">
        <v>3915</v>
      </c>
      <c r="P251" t="s">
        <v>3915</v>
      </c>
      <c r="Q251">
        <v>0</v>
      </c>
      <c r="R251" t="s">
        <v>30</v>
      </c>
      <c r="S251">
        <v>0</v>
      </c>
      <c r="T251">
        <v>0</v>
      </c>
      <c r="U251" t="s">
        <v>3915</v>
      </c>
      <c r="V251" t="s">
        <v>31</v>
      </c>
      <c r="W251">
        <v>0</v>
      </c>
    </row>
    <row r="252" spans="1:23" x14ac:dyDescent="0.25">
      <c r="A252" t="s">
        <v>4649</v>
      </c>
      <c r="B252" t="s">
        <v>1992</v>
      </c>
      <c r="C252" t="s">
        <v>1991</v>
      </c>
      <c r="D252" t="s">
        <v>4479</v>
      </c>
      <c r="E252" t="s">
        <v>4599</v>
      </c>
      <c r="F252" t="s">
        <v>232</v>
      </c>
      <c r="G252" t="s">
        <v>1406</v>
      </c>
      <c r="H252" s="6">
        <v>46022</v>
      </c>
      <c r="I252" t="s">
        <v>29</v>
      </c>
      <c r="J252">
        <v>13</v>
      </c>
      <c r="K252">
        <v>0</v>
      </c>
      <c r="L252">
        <v>0</v>
      </c>
      <c r="M252">
        <v>0</v>
      </c>
      <c r="N252" t="s">
        <v>3915</v>
      </c>
      <c r="O252" t="s">
        <v>3915</v>
      </c>
      <c r="P252" t="s">
        <v>3915</v>
      </c>
      <c r="Q252">
        <v>0</v>
      </c>
      <c r="R252" t="s">
        <v>30</v>
      </c>
      <c r="S252">
        <v>0</v>
      </c>
      <c r="T252">
        <v>0</v>
      </c>
      <c r="U252" t="s">
        <v>3915</v>
      </c>
      <c r="V252" t="s">
        <v>31</v>
      </c>
      <c r="W252">
        <v>0</v>
      </c>
    </row>
    <row r="253" spans="1:23" x14ac:dyDescent="0.25">
      <c r="A253" t="s">
        <v>4650</v>
      </c>
      <c r="B253" t="s">
        <v>1994</v>
      </c>
      <c r="C253" t="s">
        <v>1993</v>
      </c>
      <c r="D253" t="s">
        <v>4479</v>
      </c>
      <c r="E253" t="s">
        <v>4599</v>
      </c>
      <c r="F253" t="s">
        <v>232</v>
      </c>
      <c r="G253" t="s">
        <v>1406</v>
      </c>
      <c r="H253" s="6">
        <v>46022</v>
      </c>
      <c r="I253" t="s">
        <v>29</v>
      </c>
      <c r="J253">
        <v>16</v>
      </c>
      <c r="K253">
        <v>0</v>
      </c>
      <c r="L253">
        <v>0</v>
      </c>
      <c r="M253">
        <v>0</v>
      </c>
      <c r="N253" t="s">
        <v>3915</v>
      </c>
      <c r="O253" t="s">
        <v>3915</v>
      </c>
      <c r="P253" t="s">
        <v>3915</v>
      </c>
      <c r="Q253">
        <v>0</v>
      </c>
      <c r="R253" t="s">
        <v>30</v>
      </c>
      <c r="S253">
        <v>0</v>
      </c>
      <c r="T253">
        <v>0</v>
      </c>
      <c r="U253" t="s">
        <v>3915</v>
      </c>
      <c r="V253" t="s">
        <v>31</v>
      </c>
      <c r="W253">
        <v>0</v>
      </c>
    </row>
    <row r="254" spans="1:23" x14ac:dyDescent="0.25">
      <c r="A254" t="s">
        <v>3985</v>
      </c>
      <c r="B254" t="s">
        <v>1996</v>
      </c>
      <c r="C254" t="s">
        <v>1995</v>
      </c>
      <c r="D254" t="s">
        <v>4479</v>
      </c>
      <c r="E254" t="s">
        <v>4599</v>
      </c>
      <c r="F254" t="s">
        <v>232</v>
      </c>
      <c r="G254" t="s">
        <v>1406</v>
      </c>
      <c r="H254" s="6">
        <v>46022</v>
      </c>
      <c r="I254" t="s">
        <v>29</v>
      </c>
      <c r="J254">
        <v>5</v>
      </c>
      <c r="K254">
        <v>0</v>
      </c>
      <c r="L254">
        <v>0</v>
      </c>
      <c r="M254">
        <v>0</v>
      </c>
      <c r="N254" t="s">
        <v>3915</v>
      </c>
      <c r="O254" t="s">
        <v>3915</v>
      </c>
      <c r="P254" t="s">
        <v>3915</v>
      </c>
      <c r="Q254">
        <v>0</v>
      </c>
      <c r="R254" t="s">
        <v>30</v>
      </c>
      <c r="S254">
        <v>0</v>
      </c>
      <c r="T254">
        <v>0</v>
      </c>
      <c r="U254" t="s">
        <v>3915</v>
      </c>
      <c r="V254" t="s">
        <v>31</v>
      </c>
      <c r="W254">
        <v>0</v>
      </c>
    </row>
    <row r="255" spans="1:23" x14ac:dyDescent="0.25">
      <c r="A255" t="s">
        <v>3988</v>
      </c>
      <c r="B255" t="s">
        <v>1998</v>
      </c>
      <c r="C255" t="s">
        <v>1997</v>
      </c>
      <c r="D255" t="s">
        <v>4479</v>
      </c>
      <c r="E255" t="s">
        <v>4599</v>
      </c>
      <c r="F255" t="s">
        <v>232</v>
      </c>
      <c r="G255" t="s">
        <v>1406</v>
      </c>
      <c r="H255" s="6">
        <v>46022</v>
      </c>
      <c r="I255" t="s">
        <v>29</v>
      </c>
      <c r="J255">
        <v>4</v>
      </c>
      <c r="K255">
        <v>0</v>
      </c>
      <c r="L255">
        <v>0</v>
      </c>
      <c r="M255">
        <v>0</v>
      </c>
      <c r="N255" t="s">
        <v>3915</v>
      </c>
      <c r="O255" t="s">
        <v>3915</v>
      </c>
      <c r="P255" t="s">
        <v>3915</v>
      </c>
      <c r="Q255">
        <v>0</v>
      </c>
      <c r="R255" t="s">
        <v>30</v>
      </c>
      <c r="S255">
        <v>0</v>
      </c>
      <c r="T255">
        <v>0</v>
      </c>
      <c r="U255" t="s">
        <v>3915</v>
      </c>
      <c r="V255" t="s">
        <v>31</v>
      </c>
      <c r="W255">
        <v>0</v>
      </c>
    </row>
    <row r="256" spans="1:23" x14ac:dyDescent="0.25">
      <c r="A256" t="s">
        <v>3994</v>
      </c>
      <c r="B256" t="s">
        <v>3182</v>
      </c>
      <c r="C256" t="s">
        <v>3181</v>
      </c>
      <c r="D256" t="s">
        <v>4479</v>
      </c>
      <c r="E256" t="s">
        <v>4599</v>
      </c>
      <c r="F256" t="s">
        <v>232</v>
      </c>
      <c r="G256" t="s">
        <v>1406</v>
      </c>
      <c r="H256" s="6">
        <v>46022</v>
      </c>
      <c r="I256" t="s">
        <v>29</v>
      </c>
      <c r="J256">
        <v>8</v>
      </c>
      <c r="K256">
        <v>0</v>
      </c>
      <c r="L256">
        <v>0</v>
      </c>
      <c r="M256">
        <v>0</v>
      </c>
      <c r="N256" t="s">
        <v>3915</v>
      </c>
      <c r="O256" t="s">
        <v>3915</v>
      </c>
      <c r="P256" t="s">
        <v>3915</v>
      </c>
      <c r="Q256">
        <v>0</v>
      </c>
      <c r="R256" t="s">
        <v>30</v>
      </c>
      <c r="S256">
        <v>0</v>
      </c>
      <c r="T256">
        <v>0</v>
      </c>
      <c r="U256" t="s">
        <v>3915</v>
      </c>
      <c r="V256" t="s">
        <v>31</v>
      </c>
      <c r="W256">
        <v>0</v>
      </c>
    </row>
    <row r="257" spans="1:23" x14ac:dyDescent="0.25">
      <c r="A257" t="s">
        <v>4002</v>
      </c>
      <c r="B257" t="s">
        <v>3184</v>
      </c>
      <c r="C257" t="s">
        <v>3183</v>
      </c>
      <c r="D257" t="s">
        <v>4479</v>
      </c>
      <c r="E257" t="s">
        <v>4599</v>
      </c>
      <c r="F257" t="s">
        <v>232</v>
      </c>
      <c r="G257" t="s">
        <v>1406</v>
      </c>
      <c r="H257" s="6">
        <v>46022</v>
      </c>
      <c r="I257" t="s">
        <v>29</v>
      </c>
      <c r="J257">
        <v>3</v>
      </c>
      <c r="K257">
        <v>0</v>
      </c>
      <c r="L257">
        <v>0</v>
      </c>
      <c r="M257">
        <v>0</v>
      </c>
      <c r="N257" t="s">
        <v>3915</v>
      </c>
      <c r="O257" t="s">
        <v>3915</v>
      </c>
      <c r="P257" t="s">
        <v>3915</v>
      </c>
      <c r="Q257">
        <v>0</v>
      </c>
      <c r="R257" t="s">
        <v>30</v>
      </c>
      <c r="S257">
        <v>0</v>
      </c>
      <c r="T257">
        <v>0</v>
      </c>
      <c r="U257" t="s">
        <v>3915</v>
      </c>
      <c r="V257" t="s">
        <v>31</v>
      </c>
      <c r="W257">
        <v>0</v>
      </c>
    </row>
    <row r="258" spans="1:23" x14ac:dyDescent="0.25">
      <c r="A258" t="s">
        <v>4004</v>
      </c>
      <c r="B258" t="s">
        <v>3186</v>
      </c>
      <c r="C258" t="s">
        <v>3185</v>
      </c>
      <c r="D258" t="s">
        <v>4479</v>
      </c>
      <c r="E258" t="s">
        <v>4599</v>
      </c>
      <c r="F258" t="s">
        <v>232</v>
      </c>
      <c r="G258" t="s">
        <v>1406</v>
      </c>
      <c r="H258" s="6">
        <v>46022</v>
      </c>
      <c r="I258" t="s">
        <v>29</v>
      </c>
      <c r="J258">
        <v>12</v>
      </c>
      <c r="K258">
        <v>0</v>
      </c>
      <c r="L258">
        <v>0</v>
      </c>
      <c r="M258">
        <v>0</v>
      </c>
      <c r="N258" t="s">
        <v>3915</v>
      </c>
      <c r="O258" t="s">
        <v>3915</v>
      </c>
      <c r="P258" t="s">
        <v>3915</v>
      </c>
      <c r="Q258">
        <v>0</v>
      </c>
      <c r="R258" t="s">
        <v>30</v>
      </c>
      <c r="S258">
        <v>0</v>
      </c>
      <c r="T258">
        <v>0</v>
      </c>
      <c r="U258" t="s">
        <v>3915</v>
      </c>
      <c r="V258" t="s">
        <v>31</v>
      </c>
      <c r="W258">
        <v>0</v>
      </c>
    </row>
    <row r="259" spans="1:23" x14ac:dyDescent="0.25">
      <c r="A259" t="s">
        <v>10222</v>
      </c>
      <c r="B259" t="s">
        <v>2000</v>
      </c>
      <c r="C259" t="s">
        <v>1999</v>
      </c>
      <c r="D259" t="s">
        <v>4479</v>
      </c>
      <c r="E259" t="s">
        <v>4599</v>
      </c>
      <c r="F259" t="s">
        <v>232</v>
      </c>
      <c r="G259" t="s">
        <v>1406</v>
      </c>
      <c r="H259" s="6">
        <v>46022</v>
      </c>
      <c r="I259" t="s">
        <v>29</v>
      </c>
      <c r="J259">
        <v>0</v>
      </c>
      <c r="K259">
        <v>0</v>
      </c>
      <c r="L259">
        <v>0</v>
      </c>
      <c r="M259">
        <v>0</v>
      </c>
      <c r="N259" t="s">
        <v>3915</v>
      </c>
      <c r="O259" t="s">
        <v>3915</v>
      </c>
      <c r="P259" t="s">
        <v>3915</v>
      </c>
      <c r="Q259">
        <v>0</v>
      </c>
      <c r="R259" t="s">
        <v>30</v>
      </c>
      <c r="S259">
        <v>0</v>
      </c>
      <c r="T259">
        <v>0</v>
      </c>
      <c r="U259" t="s">
        <v>3915</v>
      </c>
      <c r="V259" t="s">
        <v>31</v>
      </c>
      <c r="W259">
        <v>0</v>
      </c>
    </row>
    <row r="260" spans="1:23" x14ac:dyDescent="0.25">
      <c r="A260" t="s">
        <v>10322</v>
      </c>
      <c r="B260" t="s">
        <v>2002</v>
      </c>
      <c r="C260" t="s">
        <v>2001</v>
      </c>
      <c r="D260" t="s">
        <v>4479</v>
      </c>
      <c r="E260" t="s">
        <v>4599</v>
      </c>
      <c r="F260" t="s">
        <v>232</v>
      </c>
      <c r="G260" t="s">
        <v>1406</v>
      </c>
      <c r="H260" s="6">
        <v>46022</v>
      </c>
      <c r="I260" t="s">
        <v>29</v>
      </c>
      <c r="J260">
        <v>0</v>
      </c>
      <c r="K260">
        <v>0</v>
      </c>
      <c r="L260">
        <v>0</v>
      </c>
      <c r="M260">
        <v>0</v>
      </c>
      <c r="N260" t="s">
        <v>3915</v>
      </c>
      <c r="O260" t="s">
        <v>3915</v>
      </c>
      <c r="P260" t="s">
        <v>3915</v>
      </c>
      <c r="Q260">
        <v>0</v>
      </c>
      <c r="R260" t="s">
        <v>30</v>
      </c>
      <c r="S260">
        <v>0</v>
      </c>
      <c r="T260">
        <v>0</v>
      </c>
      <c r="U260" t="s">
        <v>3915</v>
      </c>
      <c r="V260" t="s">
        <v>31</v>
      </c>
      <c r="W260">
        <v>0</v>
      </c>
    </row>
    <row r="261" spans="1:23" x14ac:dyDescent="0.25">
      <c r="A261" t="s">
        <v>10223</v>
      </c>
      <c r="B261" t="s">
        <v>2012</v>
      </c>
      <c r="C261" t="s">
        <v>2011</v>
      </c>
      <c r="D261" t="s">
        <v>4479</v>
      </c>
      <c r="E261" t="s">
        <v>4599</v>
      </c>
      <c r="F261" t="s">
        <v>232</v>
      </c>
      <c r="G261" t="s">
        <v>1406</v>
      </c>
      <c r="H261" s="6">
        <v>46022</v>
      </c>
      <c r="I261" t="s">
        <v>29</v>
      </c>
      <c r="J261">
        <v>0</v>
      </c>
      <c r="K261">
        <v>0</v>
      </c>
      <c r="L261">
        <v>0</v>
      </c>
      <c r="M261">
        <v>0</v>
      </c>
      <c r="N261" t="s">
        <v>3915</v>
      </c>
      <c r="O261" t="s">
        <v>3915</v>
      </c>
      <c r="P261" t="s">
        <v>3915</v>
      </c>
      <c r="Q261">
        <v>0</v>
      </c>
      <c r="R261" t="s">
        <v>30</v>
      </c>
      <c r="S261">
        <v>0</v>
      </c>
      <c r="T261">
        <v>0</v>
      </c>
      <c r="U261" t="s">
        <v>3915</v>
      </c>
      <c r="V261" t="s">
        <v>31</v>
      </c>
      <c r="W261">
        <v>0</v>
      </c>
    </row>
    <row r="262" spans="1:23" x14ac:dyDescent="0.25">
      <c r="A262" t="s">
        <v>4651</v>
      </c>
      <c r="B262" t="s">
        <v>2014</v>
      </c>
      <c r="C262" t="s">
        <v>2013</v>
      </c>
      <c r="D262" t="s">
        <v>4479</v>
      </c>
      <c r="E262" t="s">
        <v>4599</v>
      </c>
      <c r="F262" t="s">
        <v>232</v>
      </c>
      <c r="G262" t="s">
        <v>1406</v>
      </c>
      <c r="H262" s="6">
        <v>46022</v>
      </c>
      <c r="I262" t="s">
        <v>29</v>
      </c>
      <c r="J262">
        <v>5</v>
      </c>
      <c r="K262">
        <v>0</v>
      </c>
      <c r="L262">
        <v>0</v>
      </c>
      <c r="M262">
        <v>0</v>
      </c>
      <c r="N262" t="s">
        <v>3915</v>
      </c>
      <c r="O262" t="s">
        <v>3915</v>
      </c>
      <c r="P262" t="s">
        <v>3915</v>
      </c>
      <c r="Q262">
        <v>0</v>
      </c>
      <c r="R262" t="s">
        <v>30</v>
      </c>
      <c r="S262">
        <v>0</v>
      </c>
      <c r="T262">
        <v>0</v>
      </c>
      <c r="U262" t="s">
        <v>3915</v>
      </c>
      <c r="V262" t="s">
        <v>31</v>
      </c>
      <c r="W262">
        <v>0</v>
      </c>
    </row>
    <row r="263" spans="1:23" x14ac:dyDescent="0.25">
      <c r="A263" t="s">
        <v>10224</v>
      </c>
      <c r="B263" t="s">
        <v>10225</v>
      </c>
      <c r="C263" t="s">
        <v>10226</v>
      </c>
      <c r="D263" t="s">
        <v>4479</v>
      </c>
      <c r="E263" t="s">
        <v>4599</v>
      </c>
      <c r="F263" t="s">
        <v>232</v>
      </c>
      <c r="G263" t="s">
        <v>1406</v>
      </c>
      <c r="H263" s="6">
        <v>46022</v>
      </c>
      <c r="I263" t="s">
        <v>29</v>
      </c>
      <c r="J263">
        <v>0</v>
      </c>
      <c r="K263">
        <v>0</v>
      </c>
      <c r="L263">
        <v>0</v>
      </c>
      <c r="M263">
        <v>0</v>
      </c>
      <c r="N263" t="s">
        <v>3915</v>
      </c>
      <c r="O263" t="s">
        <v>3915</v>
      </c>
      <c r="P263" t="s">
        <v>3915</v>
      </c>
      <c r="Q263">
        <v>0</v>
      </c>
      <c r="R263" t="s">
        <v>30</v>
      </c>
      <c r="S263">
        <v>0</v>
      </c>
      <c r="T263">
        <v>0</v>
      </c>
      <c r="U263" t="s">
        <v>3915</v>
      </c>
      <c r="V263" t="s">
        <v>31</v>
      </c>
      <c r="W263">
        <v>0</v>
      </c>
    </row>
    <row r="264" spans="1:23" x14ac:dyDescent="0.25">
      <c r="A264" t="s">
        <v>4652</v>
      </c>
      <c r="B264" t="s">
        <v>2016</v>
      </c>
      <c r="C264" t="s">
        <v>2015</v>
      </c>
      <c r="D264" t="s">
        <v>4479</v>
      </c>
      <c r="E264" t="s">
        <v>4599</v>
      </c>
      <c r="F264" t="s">
        <v>232</v>
      </c>
      <c r="G264" t="s">
        <v>1406</v>
      </c>
      <c r="H264" s="6">
        <v>46022</v>
      </c>
      <c r="I264" t="s">
        <v>29</v>
      </c>
      <c r="J264">
        <v>5</v>
      </c>
      <c r="K264">
        <v>0</v>
      </c>
      <c r="L264">
        <v>0</v>
      </c>
      <c r="M264">
        <v>0</v>
      </c>
      <c r="N264" t="s">
        <v>3915</v>
      </c>
      <c r="O264" t="s">
        <v>3915</v>
      </c>
      <c r="P264" t="s">
        <v>3915</v>
      </c>
      <c r="Q264">
        <v>0</v>
      </c>
      <c r="R264" t="s">
        <v>30</v>
      </c>
      <c r="S264">
        <v>0</v>
      </c>
      <c r="T264">
        <v>0</v>
      </c>
      <c r="U264" t="s">
        <v>3915</v>
      </c>
      <c r="V264" t="s">
        <v>31</v>
      </c>
      <c r="W264">
        <v>0</v>
      </c>
    </row>
    <row r="265" spans="1:23" x14ac:dyDescent="0.25">
      <c r="A265" t="s">
        <v>4653</v>
      </c>
      <c r="B265" t="s">
        <v>397</v>
      </c>
      <c r="C265" t="s">
        <v>398</v>
      </c>
      <c r="D265" t="s">
        <v>4479</v>
      </c>
      <c r="E265" t="s">
        <v>4599</v>
      </c>
      <c r="F265" t="s">
        <v>232</v>
      </c>
      <c r="G265" t="s">
        <v>1406</v>
      </c>
      <c r="H265" s="6">
        <v>46022</v>
      </c>
      <c r="I265" t="s">
        <v>29</v>
      </c>
      <c r="J265">
        <v>0</v>
      </c>
      <c r="K265">
        <v>0</v>
      </c>
      <c r="L265">
        <v>0</v>
      </c>
      <c r="M265">
        <v>0</v>
      </c>
      <c r="N265" t="s">
        <v>3915</v>
      </c>
      <c r="O265" t="s">
        <v>3915</v>
      </c>
      <c r="P265" t="s">
        <v>3915</v>
      </c>
      <c r="Q265">
        <v>0</v>
      </c>
      <c r="R265" t="s">
        <v>30</v>
      </c>
      <c r="S265">
        <v>0</v>
      </c>
      <c r="T265">
        <v>0</v>
      </c>
      <c r="U265" t="s">
        <v>3915</v>
      </c>
      <c r="V265" t="s">
        <v>31</v>
      </c>
      <c r="W265">
        <v>0</v>
      </c>
    </row>
    <row r="266" spans="1:23" x14ac:dyDescent="0.25">
      <c r="A266" t="s">
        <v>4654</v>
      </c>
      <c r="B266" t="s">
        <v>399</v>
      </c>
      <c r="C266" t="s">
        <v>400</v>
      </c>
      <c r="D266" t="s">
        <v>4479</v>
      </c>
      <c r="E266" t="s">
        <v>4599</v>
      </c>
      <c r="F266" t="s">
        <v>232</v>
      </c>
      <c r="G266" t="s">
        <v>1406</v>
      </c>
      <c r="H266" s="6">
        <v>46022</v>
      </c>
      <c r="I266" t="s">
        <v>29</v>
      </c>
      <c r="J266">
        <v>0</v>
      </c>
      <c r="K266">
        <v>0</v>
      </c>
      <c r="L266">
        <v>0</v>
      </c>
      <c r="M266">
        <v>0</v>
      </c>
      <c r="N266" t="s">
        <v>3915</v>
      </c>
      <c r="O266" t="s">
        <v>3915</v>
      </c>
      <c r="P266" t="s">
        <v>3915</v>
      </c>
      <c r="Q266">
        <v>0</v>
      </c>
      <c r="R266" t="s">
        <v>30</v>
      </c>
      <c r="S266">
        <v>0</v>
      </c>
      <c r="T266">
        <v>0</v>
      </c>
      <c r="U266" t="s">
        <v>3915</v>
      </c>
      <c r="V266" t="s">
        <v>31</v>
      </c>
      <c r="W266">
        <v>0</v>
      </c>
    </row>
    <row r="267" spans="1:23" x14ac:dyDescent="0.25">
      <c r="A267" t="s">
        <v>4655</v>
      </c>
      <c r="B267" t="s">
        <v>401</v>
      </c>
      <c r="C267" t="s">
        <v>402</v>
      </c>
      <c r="D267" t="s">
        <v>4479</v>
      </c>
      <c r="E267" t="s">
        <v>4599</v>
      </c>
      <c r="F267" t="s">
        <v>232</v>
      </c>
      <c r="G267" t="s">
        <v>1406</v>
      </c>
      <c r="H267" s="6">
        <v>46022</v>
      </c>
      <c r="I267" t="s">
        <v>29</v>
      </c>
      <c r="J267">
        <v>0</v>
      </c>
      <c r="K267">
        <v>0</v>
      </c>
      <c r="L267">
        <v>0</v>
      </c>
      <c r="M267">
        <v>0</v>
      </c>
      <c r="N267" t="s">
        <v>3915</v>
      </c>
      <c r="O267" t="s">
        <v>3915</v>
      </c>
      <c r="P267" t="s">
        <v>3915</v>
      </c>
      <c r="Q267">
        <v>0</v>
      </c>
      <c r="R267" t="s">
        <v>30</v>
      </c>
      <c r="S267">
        <v>0</v>
      </c>
      <c r="T267">
        <v>0</v>
      </c>
      <c r="U267" t="s">
        <v>3915</v>
      </c>
      <c r="V267" t="s">
        <v>31</v>
      </c>
      <c r="W267">
        <v>0</v>
      </c>
    </row>
    <row r="268" spans="1:23" x14ac:dyDescent="0.25">
      <c r="A268" t="s">
        <v>4265</v>
      </c>
      <c r="B268" t="s">
        <v>403</v>
      </c>
      <c r="C268" t="s">
        <v>404</v>
      </c>
      <c r="D268" t="s">
        <v>4479</v>
      </c>
      <c r="E268" t="s">
        <v>4599</v>
      </c>
      <c r="F268" t="s">
        <v>232</v>
      </c>
      <c r="G268" t="s">
        <v>1406</v>
      </c>
      <c r="H268" s="6">
        <v>46022</v>
      </c>
      <c r="I268" t="s">
        <v>29</v>
      </c>
      <c r="J268">
        <v>11</v>
      </c>
      <c r="K268">
        <v>0</v>
      </c>
      <c r="L268">
        <v>0</v>
      </c>
      <c r="M268">
        <v>0</v>
      </c>
      <c r="N268" t="s">
        <v>3915</v>
      </c>
      <c r="O268" t="s">
        <v>3915</v>
      </c>
      <c r="P268" t="s">
        <v>3915</v>
      </c>
      <c r="Q268">
        <v>0</v>
      </c>
      <c r="R268" t="s">
        <v>30</v>
      </c>
      <c r="S268">
        <v>0</v>
      </c>
      <c r="T268">
        <v>0</v>
      </c>
      <c r="U268" t="s">
        <v>3915</v>
      </c>
      <c r="V268" t="s">
        <v>31</v>
      </c>
      <c r="W268">
        <v>0</v>
      </c>
    </row>
    <row r="269" spans="1:23" x14ac:dyDescent="0.25">
      <c r="A269" t="s">
        <v>4442</v>
      </c>
      <c r="B269" t="s">
        <v>407</v>
      </c>
      <c r="C269" t="s">
        <v>408</v>
      </c>
      <c r="D269" t="s">
        <v>4479</v>
      </c>
      <c r="E269" t="s">
        <v>4599</v>
      </c>
      <c r="F269" t="s">
        <v>232</v>
      </c>
      <c r="G269" t="s">
        <v>1406</v>
      </c>
      <c r="H269" s="6">
        <v>46022</v>
      </c>
      <c r="I269" t="s">
        <v>29</v>
      </c>
      <c r="J269">
        <v>0</v>
      </c>
      <c r="K269">
        <v>0</v>
      </c>
      <c r="L269">
        <v>0</v>
      </c>
      <c r="M269">
        <v>0</v>
      </c>
      <c r="N269" t="s">
        <v>3915</v>
      </c>
      <c r="O269" t="s">
        <v>3915</v>
      </c>
      <c r="P269" t="s">
        <v>3915</v>
      </c>
      <c r="Q269">
        <v>0</v>
      </c>
      <c r="R269" t="s">
        <v>30</v>
      </c>
      <c r="S269">
        <v>0</v>
      </c>
      <c r="T269">
        <v>0</v>
      </c>
      <c r="U269" t="s">
        <v>3915</v>
      </c>
      <c r="V269" t="s">
        <v>31</v>
      </c>
      <c r="W269">
        <v>0</v>
      </c>
    </row>
    <row r="270" spans="1:23" x14ac:dyDescent="0.25">
      <c r="A270" t="s">
        <v>4656</v>
      </c>
      <c r="B270" t="s">
        <v>2018</v>
      </c>
      <c r="C270" t="s">
        <v>2017</v>
      </c>
      <c r="D270" t="s">
        <v>4479</v>
      </c>
      <c r="E270" t="s">
        <v>4599</v>
      </c>
      <c r="F270" t="s">
        <v>232</v>
      </c>
      <c r="G270" t="s">
        <v>1406</v>
      </c>
      <c r="H270" s="6">
        <v>46022</v>
      </c>
      <c r="I270" t="s">
        <v>29</v>
      </c>
      <c r="J270">
        <v>2</v>
      </c>
      <c r="K270">
        <v>0</v>
      </c>
      <c r="L270">
        <v>0</v>
      </c>
      <c r="M270">
        <v>0</v>
      </c>
      <c r="N270" t="s">
        <v>3915</v>
      </c>
      <c r="O270" t="s">
        <v>3915</v>
      </c>
      <c r="P270" t="s">
        <v>3915</v>
      </c>
      <c r="Q270">
        <v>0</v>
      </c>
      <c r="R270" t="s">
        <v>30</v>
      </c>
      <c r="S270">
        <v>0</v>
      </c>
      <c r="T270">
        <v>0</v>
      </c>
      <c r="U270" t="s">
        <v>3915</v>
      </c>
      <c r="V270" t="s">
        <v>31</v>
      </c>
      <c r="W270">
        <v>0</v>
      </c>
    </row>
    <row r="271" spans="1:23" x14ac:dyDescent="0.25">
      <c r="A271" t="s">
        <v>4657</v>
      </c>
      <c r="B271" t="s">
        <v>409</v>
      </c>
      <c r="C271" t="s">
        <v>410</v>
      </c>
      <c r="D271" t="s">
        <v>4479</v>
      </c>
      <c r="E271" t="s">
        <v>4599</v>
      </c>
      <c r="F271" t="s">
        <v>232</v>
      </c>
      <c r="G271" t="s">
        <v>1406</v>
      </c>
      <c r="H271" s="6">
        <v>46022</v>
      </c>
      <c r="I271" t="s">
        <v>29</v>
      </c>
      <c r="J271">
        <v>0</v>
      </c>
      <c r="K271">
        <v>0</v>
      </c>
      <c r="L271">
        <v>0</v>
      </c>
      <c r="M271">
        <v>0</v>
      </c>
      <c r="N271" t="s">
        <v>3915</v>
      </c>
      <c r="O271" t="s">
        <v>3915</v>
      </c>
      <c r="P271" t="s">
        <v>3915</v>
      </c>
      <c r="Q271">
        <v>0</v>
      </c>
      <c r="R271" t="s">
        <v>30</v>
      </c>
      <c r="S271">
        <v>0</v>
      </c>
      <c r="T271">
        <v>0</v>
      </c>
      <c r="U271" t="s">
        <v>3915</v>
      </c>
      <c r="V271" t="s">
        <v>31</v>
      </c>
      <c r="W271">
        <v>0</v>
      </c>
    </row>
    <row r="272" spans="1:23" x14ac:dyDescent="0.25">
      <c r="A272" t="s">
        <v>4127</v>
      </c>
      <c r="B272" t="s">
        <v>2022</v>
      </c>
      <c r="C272" t="s">
        <v>2021</v>
      </c>
      <c r="D272" t="s">
        <v>4479</v>
      </c>
      <c r="E272" t="s">
        <v>4599</v>
      </c>
      <c r="F272" t="s">
        <v>232</v>
      </c>
      <c r="G272" t="s">
        <v>1406</v>
      </c>
      <c r="H272" s="6">
        <v>46022</v>
      </c>
      <c r="I272" t="s">
        <v>29</v>
      </c>
      <c r="J272">
        <v>2</v>
      </c>
      <c r="K272">
        <v>0</v>
      </c>
      <c r="L272">
        <v>0</v>
      </c>
      <c r="M272">
        <v>0</v>
      </c>
      <c r="N272" t="s">
        <v>3915</v>
      </c>
      <c r="O272" t="s">
        <v>3915</v>
      </c>
      <c r="P272" t="s">
        <v>3915</v>
      </c>
      <c r="Q272">
        <v>0</v>
      </c>
      <c r="R272" t="s">
        <v>30</v>
      </c>
      <c r="S272">
        <v>0</v>
      </c>
      <c r="T272">
        <v>0</v>
      </c>
      <c r="U272" t="s">
        <v>3915</v>
      </c>
      <c r="V272" t="s">
        <v>31</v>
      </c>
      <c r="W272">
        <v>0</v>
      </c>
    </row>
    <row r="273" spans="1:23" x14ac:dyDescent="0.25">
      <c r="A273" t="s">
        <v>4658</v>
      </c>
      <c r="B273" t="s">
        <v>2026</v>
      </c>
      <c r="C273" t="s">
        <v>2025</v>
      </c>
      <c r="D273" t="s">
        <v>4479</v>
      </c>
      <c r="E273" t="s">
        <v>4599</v>
      </c>
      <c r="F273" t="s">
        <v>232</v>
      </c>
      <c r="G273" t="s">
        <v>1406</v>
      </c>
      <c r="H273" s="6">
        <v>46022</v>
      </c>
      <c r="I273" t="s">
        <v>29</v>
      </c>
      <c r="J273">
        <v>2</v>
      </c>
      <c r="K273">
        <v>0</v>
      </c>
      <c r="L273">
        <v>0</v>
      </c>
      <c r="M273">
        <v>0</v>
      </c>
      <c r="N273" t="s">
        <v>3915</v>
      </c>
      <c r="O273" t="s">
        <v>3915</v>
      </c>
      <c r="P273" t="s">
        <v>3915</v>
      </c>
      <c r="Q273">
        <v>0</v>
      </c>
      <c r="R273" t="s">
        <v>30</v>
      </c>
      <c r="S273">
        <v>0</v>
      </c>
      <c r="T273">
        <v>0</v>
      </c>
      <c r="U273" t="s">
        <v>3915</v>
      </c>
      <c r="V273" t="s">
        <v>31</v>
      </c>
      <c r="W273">
        <v>0</v>
      </c>
    </row>
    <row r="274" spans="1:23" x14ac:dyDescent="0.25">
      <c r="A274" t="s">
        <v>10270</v>
      </c>
      <c r="B274" t="s">
        <v>415</v>
      </c>
      <c r="C274" t="s">
        <v>416</v>
      </c>
      <c r="D274" t="s">
        <v>4479</v>
      </c>
      <c r="E274" t="s">
        <v>4599</v>
      </c>
      <c r="F274" t="s">
        <v>232</v>
      </c>
      <c r="G274" t="s">
        <v>1406</v>
      </c>
      <c r="H274" s="6">
        <v>46022</v>
      </c>
      <c r="I274" t="s">
        <v>29</v>
      </c>
      <c r="J274">
        <v>0</v>
      </c>
      <c r="K274">
        <v>0</v>
      </c>
      <c r="L274">
        <v>0</v>
      </c>
      <c r="M274">
        <v>0</v>
      </c>
      <c r="N274" t="s">
        <v>3915</v>
      </c>
      <c r="O274" t="s">
        <v>3915</v>
      </c>
      <c r="P274" t="s">
        <v>3915</v>
      </c>
      <c r="Q274">
        <v>0</v>
      </c>
      <c r="R274" t="s">
        <v>30</v>
      </c>
      <c r="S274">
        <v>0</v>
      </c>
      <c r="T274">
        <v>0</v>
      </c>
      <c r="U274" t="s">
        <v>3915</v>
      </c>
      <c r="V274" t="s">
        <v>31</v>
      </c>
      <c r="W274">
        <v>0</v>
      </c>
    </row>
    <row r="275" spans="1:23" x14ac:dyDescent="0.25">
      <c r="A275" t="s">
        <v>10227</v>
      </c>
      <c r="B275" t="s">
        <v>417</v>
      </c>
      <c r="C275" t="s">
        <v>418</v>
      </c>
      <c r="D275" t="s">
        <v>4479</v>
      </c>
      <c r="E275" t="s">
        <v>4599</v>
      </c>
      <c r="F275" t="s">
        <v>232</v>
      </c>
      <c r="G275" t="s">
        <v>1406</v>
      </c>
      <c r="H275" s="6">
        <v>46022</v>
      </c>
      <c r="I275" t="s">
        <v>29</v>
      </c>
      <c r="J275">
        <v>0</v>
      </c>
      <c r="K275">
        <v>0</v>
      </c>
      <c r="L275">
        <v>0</v>
      </c>
      <c r="M275">
        <v>0</v>
      </c>
      <c r="N275" t="s">
        <v>3915</v>
      </c>
      <c r="O275" t="s">
        <v>3915</v>
      </c>
      <c r="P275" t="s">
        <v>3915</v>
      </c>
      <c r="Q275">
        <v>0</v>
      </c>
      <c r="R275" t="s">
        <v>30</v>
      </c>
      <c r="S275">
        <v>0</v>
      </c>
      <c r="T275">
        <v>0</v>
      </c>
      <c r="U275" t="s">
        <v>3915</v>
      </c>
      <c r="V275" t="s">
        <v>31</v>
      </c>
      <c r="W275">
        <v>0</v>
      </c>
    </row>
    <row r="276" spans="1:23" x14ac:dyDescent="0.25">
      <c r="A276" t="s">
        <v>4345</v>
      </c>
      <c r="B276" t="s">
        <v>2032</v>
      </c>
      <c r="C276" t="s">
        <v>2031</v>
      </c>
      <c r="D276" t="s">
        <v>4479</v>
      </c>
      <c r="E276" t="s">
        <v>4599</v>
      </c>
      <c r="F276" t="s">
        <v>232</v>
      </c>
      <c r="G276" t="s">
        <v>1406</v>
      </c>
      <c r="H276" s="6">
        <v>46022</v>
      </c>
      <c r="I276" t="s">
        <v>29</v>
      </c>
      <c r="J276">
        <v>0</v>
      </c>
      <c r="K276">
        <v>0</v>
      </c>
      <c r="L276">
        <v>0</v>
      </c>
      <c r="M276">
        <v>0</v>
      </c>
      <c r="N276" t="s">
        <v>3915</v>
      </c>
      <c r="O276" t="s">
        <v>3915</v>
      </c>
      <c r="P276" t="s">
        <v>3915</v>
      </c>
      <c r="Q276">
        <v>0</v>
      </c>
      <c r="R276" t="s">
        <v>30</v>
      </c>
      <c r="S276">
        <v>0</v>
      </c>
      <c r="T276">
        <v>0</v>
      </c>
      <c r="U276" t="s">
        <v>3915</v>
      </c>
      <c r="V276" t="s">
        <v>31</v>
      </c>
      <c r="W276">
        <v>0</v>
      </c>
    </row>
    <row r="277" spans="1:23" x14ac:dyDescent="0.25">
      <c r="A277" t="s">
        <v>10323</v>
      </c>
      <c r="B277" t="s">
        <v>419</v>
      </c>
      <c r="C277" t="s">
        <v>420</v>
      </c>
      <c r="D277" t="s">
        <v>4479</v>
      </c>
      <c r="E277" t="s">
        <v>4599</v>
      </c>
      <c r="F277" t="s">
        <v>232</v>
      </c>
      <c r="G277" t="s">
        <v>1406</v>
      </c>
      <c r="H277" s="6">
        <v>46022</v>
      </c>
      <c r="I277" t="s">
        <v>29</v>
      </c>
      <c r="J277">
        <v>0</v>
      </c>
      <c r="K277">
        <v>0</v>
      </c>
      <c r="L277">
        <v>0</v>
      </c>
      <c r="M277">
        <v>0</v>
      </c>
      <c r="N277" t="s">
        <v>3915</v>
      </c>
      <c r="O277" t="s">
        <v>3915</v>
      </c>
      <c r="P277" t="s">
        <v>3915</v>
      </c>
      <c r="Q277">
        <v>0</v>
      </c>
      <c r="R277" t="s">
        <v>30</v>
      </c>
      <c r="S277">
        <v>0</v>
      </c>
      <c r="T277">
        <v>0</v>
      </c>
      <c r="U277" t="s">
        <v>3915</v>
      </c>
      <c r="V277" t="s">
        <v>31</v>
      </c>
      <c r="W277">
        <v>0</v>
      </c>
    </row>
    <row r="278" spans="1:23" x14ac:dyDescent="0.25">
      <c r="A278" t="s">
        <v>4071</v>
      </c>
      <c r="B278" t="s">
        <v>421</v>
      </c>
      <c r="C278" t="s">
        <v>422</v>
      </c>
      <c r="D278" t="s">
        <v>4479</v>
      </c>
      <c r="E278" t="s">
        <v>4599</v>
      </c>
      <c r="F278" t="s">
        <v>232</v>
      </c>
      <c r="G278" t="s">
        <v>1406</v>
      </c>
      <c r="H278" s="6">
        <v>46022</v>
      </c>
      <c r="I278" t="s">
        <v>29</v>
      </c>
      <c r="J278">
        <v>0</v>
      </c>
      <c r="K278">
        <v>0</v>
      </c>
      <c r="L278">
        <v>0</v>
      </c>
      <c r="M278">
        <v>0</v>
      </c>
      <c r="N278" t="s">
        <v>3915</v>
      </c>
      <c r="O278" t="s">
        <v>3915</v>
      </c>
      <c r="P278" t="s">
        <v>3915</v>
      </c>
      <c r="Q278">
        <v>0</v>
      </c>
      <c r="R278" t="s">
        <v>30</v>
      </c>
      <c r="S278">
        <v>0</v>
      </c>
      <c r="T278">
        <v>0</v>
      </c>
      <c r="U278" t="s">
        <v>3915</v>
      </c>
      <c r="V278" t="s">
        <v>31</v>
      </c>
      <c r="W278">
        <v>0</v>
      </c>
    </row>
    <row r="279" spans="1:23" x14ac:dyDescent="0.25">
      <c r="A279" t="s">
        <v>4078</v>
      </c>
      <c r="B279" t="s">
        <v>425</v>
      </c>
      <c r="C279" t="s">
        <v>426</v>
      </c>
      <c r="D279" t="s">
        <v>4479</v>
      </c>
      <c r="E279" t="s">
        <v>4599</v>
      </c>
      <c r="F279" t="s">
        <v>232</v>
      </c>
      <c r="G279" t="s">
        <v>1406</v>
      </c>
      <c r="H279" s="6">
        <v>46022</v>
      </c>
      <c r="I279" t="s">
        <v>29</v>
      </c>
      <c r="J279">
        <v>0</v>
      </c>
      <c r="K279">
        <v>0</v>
      </c>
      <c r="L279">
        <v>0</v>
      </c>
      <c r="M279">
        <v>0</v>
      </c>
      <c r="N279" t="s">
        <v>3915</v>
      </c>
      <c r="O279" t="s">
        <v>3915</v>
      </c>
      <c r="P279" t="s">
        <v>3915</v>
      </c>
      <c r="Q279">
        <v>0</v>
      </c>
      <c r="R279" t="s">
        <v>30</v>
      </c>
      <c r="S279">
        <v>0</v>
      </c>
      <c r="T279">
        <v>0</v>
      </c>
      <c r="U279" t="s">
        <v>3915</v>
      </c>
      <c r="V279" t="s">
        <v>31</v>
      </c>
      <c r="W279">
        <v>0</v>
      </c>
    </row>
    <row r="280" spans="1:23" x14ac:dyDescent="0.25">
      <c r="A280" t="s">
        <v>5372</v>
      </c>
      <c r="B280" t="s">
        <v>5708</v>
      </c>
      <c r="C280" t="s">
        <v>5707</v>
      </c>
      <c r="D280" t="s">
        <v>4479</v>
      </c>
      <c r="E280" t="s">
        <v>4599</v>
      </c>
      <c r="F280" t="s">
        <v>232</v>
      </c>
      <c r="G280" t="s">
        <v>1406</v>
      </c>
      <c r="H280" s="6">
        <v>46022</v>
      </c>
      <c r="I280" t="s">
        <v>29</v>
      </c>
      <c r="J280">
        <v>0</v>
      </c>
      <c r="K280">
        <v>0</v>
      </c>
      <c r="L280">
        <v>0</v>
      </c>
      <c r="M280">
        <v>0</v>
      </c>
      <c r="N280" t="s">
        <v>3915</v>
      </c>
      <c r="O280" t="s">
        <v>3915</v>
      </c>
      <c r="P280" t="s">
        <v>3915</v>
      </c>
      <c r="Q280">
        <v>0</v>
      </c>
      <c r="R280" t="s">
        <v>30</v>
      </c>
      <c r="S280">
        <v>0</v>
      </c>
      <c r="T280">
        <v>0</v>
      </c>
      <c r="U280" t="s">
        <v>3915</v>
      </c>
      <c r="V280" t="s">
        <v>31</v>
      </c>
      <c r="W280">
        <v>0</v>
      </c>
    </row>
    <row r="281" spans="1:23" x14ac:dyDescent="0.25">
      <c r="A281" t="s">
        <v>4659</v>
      </c>
      <c r="B281" t="s">
        <v>2034</v>
      </c>
      <c r="C281" t="s">
        <v>2033</v>
      </c>
      <c r="D281" t="s">
        <v>4479</v>
      </c>
      <c r="E281" t="s">
        <v>4599</v>
      </c>
      <c r="F281" t="s">
        <v>232</v>
      </c>
      <c r="G281" t="s">
        <v>1406</v>
      </c>
      <c r="H281" s="6">
        <v>46022</v>
      </c>
      <c r="I281" t="s">
        <v>29</v>
      </c>
      <c r="J281">
        <v>29</v>
      </c>
      <c r="K281">
        <v>0</v>
      </c>
      <c r="L281">
        <v>0</v>
      </c>
      <c r="M281">
        <v>0</v>
      </c>
      <c r="N281" t="s">
        <v>3915</v>
      </c>
      <c r="O281" t="s">
        <v>3915</v>
      </c>
      <c r="P281" t="s">
        <v>3915</v>
      </c>
      <c r="Q281">
        <v>0</v>
      </c>
      <c r="R281" t="s">
        <v>30</v>
      </c>
      <c r="S281">
        <v>0</v>
      </c>
      <c r="T281">
        <v>0</v>
      </c>
      <c r="U281" t="s">
        <v>3915</v>
      </c>
      <c r="V281" t="s">
        <v>31</v>
      </c>
      <c r="W281">
        <v>0</v>
      </c>
    </row>
    <row r="282" spans="1:23" x14ac:dyDescent="0.25">
      <c r="A282" t="s">
        <v>4287</v>
      </c>
      <c r="B282" t="s">
        <v>427</v>
      </c>
      <c r="C282" t="s">
        <v>428</v>
      </c>
      <c r="D282" t="s">
        <v>4479</v>
      </c>
      <c r="E282" t="s">
        <v>4599</v>
      </c>
      <c r="F282" t="s">
        <v>232</v>
      </c>
      <c r="G282" t="s">
        <v>1406</v>
      </c>
      <c r="H282" s="6">
        <v>46022</v>
      </c>
      <c r="I282" t="s">
        <v>29</v>
      </c>
      <c r="J282">
        <v>0</v>
      </c>
      <c r="K282">
        <v>0</v>
      </c>
      <c r="L282">
        <v>0</v>
      </c>
      <c r="M282">
        <v>0</v>
      </c>
      <c r="N282" t="s">
        <v>3915</v>
      </c>
      <c r="O282" t="s">
        <v>3915</v>
      </c>
      <c r="P282" t="s">
        <v>3915</v>
      </c>
      <c r="Q282">
        <v>0</v>
      </c>
      <c r="R282" t="s">
        <v>30</v>
      </c>
      <c r="S282">
        <v>0</v>
      </c>
      <c r="T282">
        <v>0</v>
      </c>
      <c r="U282" t="s">
        <v>3915</v>
      </c>
      <c r="V282" t="s">
        <v>31</v>
      </c>
      <c r="W282">
        <v>0</v>
      </c>
    </row>
    <row r="283" spans="1:23" x14ac:dyDescent="0.25">
      <c r="A283" t="s">
        <v>10271</v>
      </c>
      <c r="B283" t="s">
        <v>2044</v>
      </c>
      <c r="C283" t="s">
        <v>2043</v>
      </c>
      <c r="D283" t="s">
        <v>4479</v>
      </c>
      <c r="E283" t="s">
        <v>4599</v>
      </c>
      <c r="F283" t="s">
        <v>232</v>
      </c>
      <c r="G283" t="s">
        <v>1406</v>
      </c>
      <c r="H283" s="6">
        <v>46022</v>
      </c>
      <c r="I283" t="s">
        <v>29</v>
      </c>
      <c r="J283">
        <v>0</v>
      </c>
      <c r="K283">
        <v>0</v>
      </c>
      <c r="L283">
        <v>0</v>
      </c>
      <c r="M283">
        <v>0</v>
      </c>
      <c r="N283" t="s">
        <v>3915</v>
      </c>
      <c r="O283" t="s">
        <v>3915</v>
      </c>
      <c r="P283" t="s">
        <v>3915</v>
      </c>
      <c r="Q283">
        <v>0</v>
      </c>
      <c r="R283" t="s">
        <v>30</v>
      </c>
      <c r="S283">
        <v>0</v>
      </c>
      <c r="T283">
        <v>0</v>
      </c>
      <c r="U283" t="s">
        <v>3915</v>
      </c>
      <c r="V283" t="s">
        <v>31</v>
      </c>
      <c r="W283">
        <v>0</v>
      </c>
    </row>
    <row r="284" spans="1:23" x14ac:dyDescent="0.25">
      <c r="A284" t="s">
        <v>4660</v>
      </c>
      <c r="B284" t="s">
        <v>431</v>
      </c>
      <c r="C284" t="s">
        <v>432</v>
      </c>
      <c r="D284" t="s">
        <v>4479</v>
      </c>
      <c r="E284" t="s">
        <v>4599</v>
      </c>
      <c r="F284" t="s">
        <v>232</v>
      </c>
      <c r="G284" t="s">
        <v>1406</v>
      </c>
      <c r="H284" s="6">
        <v>46022</v>
      </c>
      <c r="I284" t="s">
        <v>29</v>
      </c>
      <c r="J284">
        <v>0</v>
      </c>
      <c r="K284">
        <v>0</v>
      </c>
      <c r="L284">
        <v>0</v>
      </c>
      <c r="M284">
        <v>0</v>
      </c>
      <c r="N284" t="s">
        <v>3915</v>
      </c>
      <c r="O284" t="s">
        <v>3915</v>
      </c>
      <c r="P284" t="s">
        <v>3915</v>
      </c>
      <c r="Q284">
        <v>0</v>
      </c>
      <c r="R284" t="s">
        <v>30</v>
      </c>
      <c r="S284">
        <v>0</v>
      </c>
      <c r="T284">
        <v>0</v>
      </c>
      <c r="U284" t="s">
        <v>3915</v>
      </c>
      <c r="V284" t="s">
        <v>31</v>
      </c>
      <c r="W284">
        <v>0</v>
      </c>
    </row>
    <row r="285" spans="1:23" x14ac:dyDescent="0.25">
      <c r="A285" t="s">
        <v>5224</v>
      </c>
      <c r="B285" t="s">
        <v>439</v>
      </c>
      <c r="C285" t="s">
        <v>440</v>
      </c>
      <c r="D285" t="s">
        <v>4479</v>
      </c>
      <c r="E285" t="s">
        <v>4599</v>
      </c>
      <c r="F285" t="s">
        <v>232</v>
      </c>
      <c r="G285" t="s">
        <v>1406</v>
      </c>
      <c r="H285" s="6">
        <v>46022</v>
      </c>
      <c r="I285" t="s">
        <v>29</v>
      </c>
      <c r="J285">
        <v>0</v>
      </c>
      <c r="K285">
        <v>0</v>
      </c>
      <c r="L285">
        <v>0</v>
      </c>
      <c r="M285">
        <v>0</v>
      </c>
      <c r="N285" t="s">
        <v>3915</v>
      </c>
      <c r="O285" t="s">
        <v>3915</v>
      </c>
      <c r="P285" t="s">
        <v>3915</v>
      </c>
      <c r="Q285">
        <v>0</v>
      </c>
      <c r="R285" t="s">
        <v>30</v>
      </c>
      <c r="S285">
        <v>0</v>
      </c>
      <c r="T285">
        <v>0</v>
      </c>
      <c r="U285" t="s">
        <v>3915</v>
      </c>
      <c r="V285" t="s">
        <v>31</v>
      </c>
      <c r="W285">
        <v>0</v>
      </c>
    </row>
    <row r="286" spans="1:23" x14ac:dyDescent="0.25">
      <c r="A286" t="s">
        <v>5213</v>
      </c>
      <c r="B286" t="s">
        <v>441</v>
      </c>
      <c r="C286" t="s">
        <v>442</v>
      </c>
      <c r="D286" t="s">
        <v>4479</v>
      </c>
      <c r="E286" t="s">
        <v>4599</v>
      </c>
      <c r="F286" t="s">
        <v>232</v>
      </c>
      <c r="G286" t="s">
        <v>1406</v>
      </c>
      <c r="H286" s="6">
        <v>46022</v>
      </c>
      <c r="I286" t="s">
        <v>29</v>
      </c>
      <c r="J286">
        <v>0</v>
      </c>
      <c r="K286">
        <v>0</v>
      </c>
      <c r="L286">
        <v>0</v>
      </c>
      <c r="M286">
        <v>0</v>
      </c>
      <c r="N286" t="s">
        <v>3915</v>
      </c>
      <c r="O286" t="s">
        <v>3915</v>
      </c>
      <c r="P286" t="s">
        <v>3915</v>
      </c>
      <c r="Q286">
        <v>0</v>
      </c>
      <c r="R286" t="s">
        <v>30</v>
      </c>
      <c r="S286">
        <v>0</v>
      </c>
      <c r="T286">
        <v>0</v>
      </c>
      <c r="U286" t="s">
        <v>3915</v>
      </c>
      <c r="V286" t="s">
        <v>31</v>
      </c>
      <c r="W286">
        <v>0</v>
      </c>
    </row>
    <row r="287" spans="1:23" x14ac:dyDescent="0.25">
      <c r="A287" t="s">
        <v>4661</v>
      </c>
      <c r="B287" t="s">
        <v>3188</v>
      </c>
      <c r="C287" t="s">
        <v>3187</v>
      </c>
      <c r="D287" t="s">
        <v>4479</v>
      </c>
      <c r="E287" t="s">
        <v>4599</v>
      </c>
      <c r="F287" t="s">
        <v>232</v>
      </c>
      <c r="G287" t="s">
        <v>1406</v>
      </c>
      <c r="H287" s="6">
        <v>46022</v>
      </c>
      <c r="I287" t="s">
        <v>29</v>
      </c>
      <c r="J287">
        <v>12</v>
      </c>
      <c r="K287">
        <v>0</v>
      </c>
      <c r="L287">
        <v>0</v>
      </c>
      <c r="M287">
        <v>0</v>
      </c>
      <c r="N287" t="s">
        <v>3915</v>
      </c>
      <c r="O287" t="s">
        <v>3915</v>
      </c>
      <c r="P287" t="s">
        <v>3915</v>
      </c>
      <c r="Q287">
        <v>0</v>
      </c>
      <c r="R287" t="s">
        <v>30</v>
      </c>
      <c r="S287">
        <v>0</v>
      </c>
      <c r="T287">
        <v>0</v>
      </c>
      <c r="U287" t="s">
        <v>3915</v>
      </c>
      <c r="V287" t="s">
        <v>31</v>
      </c>
      <c r="W287">
        <v>0</v>
      </c>
    </row>
    <row r="288" spans="1:23" x14ac:dyDescent="0.25">
      <c r="A288" t="s">
        <v>4662</v>
      </c>
      <c r="B288" t="s">
        <v>2048</v>
      </c>
      <c r="C288" t="s">
        <v>2047</v>
      </c>
      <c r="D288" t="s">
        <v>4479</v>
      </c>
      <c r="E288" t="s">
        <v>4599</v>
      </c>
      <c r="F288" t="s">
        <v>232</v>
      </c>
      <c r="G288" t="s">
        <v>1406</v>
      </c>
      <c r="H288" s="6">
        <v>46022</v>
      </c>
      <c r="I288" t="s">
        <v>29</v>
      </c>
      <c r="J288">
        <v>4</v>
      </c>
      <c r="K288">
        <v>0</v>
      </c>
      <c r="L288">
        <v>0</v>
      </c>
      <c r="M288">
        <v>0</v>
      </c>
      <c r="N288" t="s">
        <v>3915</v>
      </c>
      <c r="O288" t="s">
        <v>3915</v>
      </c>
      <c r="P288" t="s">
        <v>3915</v>
      </c>
      <c r="Q288">
        <v>0</v>
      </c>
      <c r="R288" t="s">
        <v>30</v>
      </c>
      <c r="S288">
        <v>0</v>
      </c>
      <c r="T288">
        <v>0</v>
      </c>
      <c r="U288" t="s">
        <v>3915</v>
      </c>
      <c r="V288" t="s">
        <v>31</v>
      </c>
      <c r="W288">
        <v>0</v>
      </c>
    </row>
    <row r="289" spans="1:23" x14ac:dyDescent="0.25">
      <c r="A289" t="s">
        <v>4663</v>
      </c>
      <c r="B289" t="s">
        <v>2052</v>
      </c>
      <c r="C289" t="s">
        <v>2051</v>
      </c>
      <c r="D289" t="s">
        <v>4479</v>
      </c>
      <c r="E289" t="s">
        <v>4599</v>
      </c>
      <c r="F289" t="s">
        <v>232</v>
      </c>
      <c r="G289" t="s">
        <v>1406</v>
      </c>
      <c r="H289" s="6">
        <v>46022</v>
      </c>
      <c r="I289" t="s">
        <v>29</v>
      </c>
      <c r="J289">
        <v>2</v>
      </c>
      <c r="K289">
        <v>0</v>
      </c>
      <c r="L289">
        <v>0</v>
      </c>
      <c r="M289">
        <v>0</v>
      </c>
      <c r="N289" t="s">
        <v>3915</v>
      </c>
      <c r="O289" t="s">
        <v>3915</v>
      </c>
      <c r="P289" t="s">
        <v>3915</v>
      </c>
      <c r="Q289">
        <v>0</v>
      </c>
      <c r="R289" t="s">
        <v>30</v>
      </c>
      <c r="S289">
        <v>0</v>
      </c>
      <c r="T289">
        <v>0</v>
      </c>
      <c r="U289" t="s">
        <v>3915</v>
      </c>
      <c r="V289" t="s">
        <v>31</v>
      </c>
      <c r="W289">
        <v>0</v>
      </c>
    </row>
    <row r="290" spans="1:23" x14ac:dyDescent="0.25">
      <c r="A290" t="s">
        <v>4664</v>
      </c>
      <c r="B290" t="s">
        <v>4665</v>
      </c>
      <c r="C290" t="s">
        <v>4666</v>
      </c>
      <c r="D290" t="s">
        <v>4479</v>
      </c>
      <c r="E290" t="s">
        <v>4599</v>
      </c>
      <c r="F290" t="s">
        <v>232</v>
      </c>
      <c r="G290" t="s">
        <v>1406</v>
      </c>
      <c r="H290" s="6">
        <v>46022</v>
      </c>
      <c r="I290" t="s">
        <v>29</v>
      </c>
      <c r="J290">
        <v>0</v>
      </c>
      <c r="K290">
        <v>0</v>
      </c>
      <c r="L290">
        <v>0</v>
      </c>
      <c r="M290">
        <v>0</v>
      </c>
      <c r="N290" t="s">
        <v>3915</v>
      </c>
      <c r="O290" t="s">
        <v>3915</v>
      </c>
      <c r="P290" t="s">
        <v>3915</v>
      </c>
      <c r="Q290">
        <v>0</v>
      </c>
      <c r="R290" t="s">
        <v>30</v>
      </c>
      <c r="S290">
        <v>0</v>
      </c>
      <c r="T290">
        <v>0</v>
      </c>
      <c r="U290" t="s">
        <v>3915</v>
      </c>
      <c r="V290" t="s">
        <v>31</v>
      </c>
      <c r="W290">
        <v>0</v>
      </c>
    </row>
    <row r="291" spans="1:23" x14ac:dyDescent="0.25">
      <c r="A291" t="s">
        <v>4353</v>
      </c>
      <c r="B291" t="s">
        <v>3190</v>
      </c>
      <c r="C291" t="s">
        <v>3189</v>
      </c>
      <c r="D291" t="s">
        <v>4479</v>
      </c>
      <c r="E291" t="s">
        <v>4599</v>
      </c>
      <c r="F291" t="s">
        <v>232</v>
      </c>
      <c r="G291" t="s">
        <v>1406</v>
      </c>
      <c r="H291" s="6">
        <v>46022</v>
      </c>
      <c r="I291" t="s">
        <v>29</v>
      </c>
      <c r="J291">
        <v>20</v>
      </c>
      <c r="K291">
        <v>0</v>
      </c>
      <c r="L291">
        <v>0</v>
      </c>
      <c r="M291">
        <v>0</v>
      </c>
      <c r="N291" t="s">
        <v>3915</v>
      </c>
      <c r="O291" t="s">
        <v>3915</v>
      </c>
      <c r="P291" t="s">
        <v>3915</v>
      </c>
      <c r="Q291">
        <v>0</v>
      </c>
      <c r="R291" t="s">
        <v>30</v>
      </c>
      <c r="S291">
        <v>0</v>
      </c>
      <c r="T291">
        <v>0</v>
      </c>
      <c r="U291" t="s">
        <v>3915</v>
      </c>
      <c r="V291" t="s">
        <v>31</v>
      </c>
      <c r="W291">
        <v>0</v>
      </c>
    </row>
    <row r="292" spans="1:23" x14ac:dyDescent="0.25">
      <c r="A292" t="s">
        <v>4667</v>
      </c>
      <c r="B292" t="s">
        <v>3192</v>
      </c>
      <c r="C292" t="s">
        <v>3191</v>
      </c>
      <c r="D292" t="s">
        <v>4479</v>
      </c>
      <c r="E292" t="s">
        <v>4599</v>
      </c>
      <c r="F292" t="s">
        <v>232</v>
      </c>
      <c r="G292" t="s">
        <v>1406</v>
      </c>
      <c r="H292" s="6">
        <v>46022</v>
      </c>
      <c r="I292" t="s">
        <v>29</v>
      </c>
      <c r="J292">
        <v>34</v>
      </c>
      <c r="K292">
        <v>0</v>
      </c>
      <c r="L292">
        <v>0</v>
      </c>
      <c r="M292">
        <v>0</v>
      </c>
      <c r="N292" t="s">
        <v>3915</v>
      </c>
      <c r="O292" t="s">
        <v>3915</v>
      </c>
      <c r="P292" t="s">
        <v>3915</v>
      </c>
      <c r="Q292">
        <v>0</v>
      </c>
      <c r="R292" t="s">
        <v>30</v>
      </c>
      <c r="S292">
        <v>0</v>
      </c>
      <c r="T292">
        <v>0</v>
      </c>
      <c r="U292" t="s">
        <v>3915</v>
      </c>
      <c r="V292" t="s">
        <v>31</v>
      </c>
      <c r="W292">
        <v>0</v>
      </c>
    </row>
    <row r="293" spans="1:23" x14ac:dyDescent="0.25">
      <c r="A293" t="s">
        <v>4185</v>
      </c>
      <c r="B293" t="s">
        <v>3194</v>
      </c>
      <c r="C293" t="s">
        <v>3193</v>
      </c>
      <c r="D293" t="s">
        <v>4479</v>
      </c>
      <c r="E293" t="s">
        <v>4599</v>
      </c>
      <c r="F293" t="s">
        <v>232</v>
      </c>
      <c r="G293" t="s">
        <v>1406</v>
      </c>
      <c r="H293" s="6">
        <v>46022</v>
      </c>
      <c r="I293" t="s">
        <v>29</v>
      </c>
      <c r="J293">
        <v>15</v>
      </c>
      <c r="K293">
        <v>0</v>
      </c>
      <c r="L293">
        <v>0</v>
      </c>
      <c r="M293">
        <v>0</v>
      </c>
      <c r="N293" t="s">
        <v>3915</v>
      </c>
      <c r="O293" t="s">
        <v>3915</v>
      </c>
      <c r="P293" t="s">
        <v>3915</v>
      </c>
      <c r="Q293">
        <v>0</v>
      </c>
      <c r="R293" t="s">
        <v>30</v>
      </c>
      <c r="S293">
        <v>0</v>
      </c>
      <c r="T293">
        <v>0</v>
      </c>
      <c r="U293" t="s">
        <v>3915</v>
      </c>
      <c r="V293" t="s">
        <v>31</v>
      </c>
      <c r="W293">
        <v>0</v>
      </c>
    </row>
    <row r="294" spans="1:23" x14ac:dyDescent="0.25">
      <c r="A294" t="s">
        <v>4192</v>
      </c>
      <c r="B294" t="s">
        <v>3196</v>
      </c>
      <c r="C294" t="s">
        <v>3195</v>
      </c>
      <c r="D294" t="s">
        <v>4479</v>
      </c>
      <c r="E294" t="s">
        <v>4599</v>
      </c>
      <c r="F294" t="s">
        <v>232</v>
      </c>
      <c r="G294" t="s">
        <v>1406</v>
      </c>
      <c r="H294" s="6">
        <v>46022</v>
      </c>
      <c r="I294" t="s">
        <v>29</v>
      </c>
      <c r="J294">
        <v>71</v>
      </c>
      <c r="K294">
        <v>0</v>
      </c>
      <c r="L294">
        <v>0</v>
      </c>
      <c r="M294">
        <v>0</v>
      </c>
      <c r="N294" t="s">
        <v>3915</v>
      </c>
      <c r="O294" t="s">
        <v>3915</v>
      </c>
      <c r="P294" t="s">
        <v>3915</v>
      </c>
      <c r="Q294">
        <v>0</v>
      </c>
      <c r="R294" t="s">
        <v>30</v>
      </c>
      <c r="S294">
        <v>0</v>
      </c>
      <c r="T294">
        <v>0</v>
      </c>
      <c r="U294" t="s">
        <v>3915</v>
      </c>
      <c r="V294" t="s">
        <v>31</v>
      </c>
      <c r="W294">
        <v>0</v>
      </c>
    </row>
    <row r="295" spans="1:23" x14ac:dyDescent="0.25">
      <c r="A295" t="s">
        <v>4668</v>
      </c>
      <c r="B295" t="s">
        <v>3198</v>
      </c>
      <c r="C295" t="s">
        <v>3197</v>
      </c>
      <c r="D295" t="s">
        <v>4479</v>
      </c>
      <c r="E295" t="s">
        <v>4599</v>
      </c>
      <c r="F295" t="s">
        <v>232</v>
      </c>
      <c r="G295" t="s">
        <v>1406</v>
      </c>
      <c r="H295" s="6">
        <v>46022</v>
      </c>
      <c r="I295" t="s">
        <v>29</v>
      </c>
      <c r="J295">
        <v>32</v>
      </c>
      <c r="K295">
        <v>0</v>
      </c>
      <c r="L295">
        <v>0</v>
      </c>
      <c r="M295">
        <v>0</v>
      </c>
      <c r="N295" t="s">
        <v>3915</v>
      </c>
      <c r="O295" t="s">
        <v>3915</v>
      </c>
      <c r="P295" t="s">
        <v>3915</v>
      </c>
      <c r="Q295">
        <v>0</v>
      </c>
      <c r="R295" t="s">
        <v>30</v>
      </c>
      <c r="S295">
        <v>0</v>
      </c>
      <c r="T295">
        <v>0</v>
      </c>
      <c r="U295" t="s">
        <v>3915</v>
      </c>
      <c r="V295" t="s">
        <v>31</v>
      </c>
      <c r="W295">
        <v>0</v>
      </c>
    </row>
    <row r="296" spans="1:23" x14ac:dyDescent="0.25">
      <c r="A296" t="s">
        <v>4669</v>
      </c>
      <c r="B296" t="s">
        <v>3200</v>
      </c>
      <c r="C296" t="s">
        <v>3199</v>
      </c>
      <c r="D296" t="s">
        <v>4479</v>
      </c>
      <c r="E296" t="s">
        <v>4599</v>
      </c>
      <c r="F296" t="s">
        <v>232</v>
      </c>
      <c r="G296" t="s">
        <v>1406</v>
      </c>
      <c r="H296" s="6">
        <v>46022</v>
      </c>
      <c r="I296" t="s">
        <v>29</v>
      </c>
      <c r="J296">
        <v>44</v>
      </c>
      <c r="K296">
        <v>0</v>
      </c>
      <c r="L296">
        <v>0</v>
      </c>
      <c r="M296">
        <v>0</v>
      </c>
      <c r="N296" t="s">
        <v>3915</v>
      </c>
      <c r="O296" t="s">
        <v>3915</v>
      </c>
      <c r="P296" t="s">
        <v>3915</v>
      </c>
      <c r="Q296">
        <v>0</v>
      </c>
      <c r="R296" t="s">
        <v>30</v>
      </c>
      <c r="S296">
        <v>0</v>
      </c>
      <c r="T296">
        <v>0</v>
      </c>
      <c r="U296" t="s">
        <v>3915</v>
      </c>
      <c r="V296" t="s">
        <v>31</v>
      </c>
      <c r="W296">
        <v>0</v>
      </c>
    </row>
    <row r="297" spans="1:23" x14ac:dyDescent="0.25">
      <c r="A297" t="s">
        <v>4670</v>
      </c>
      <c r="B297" t="s">
        <v>3202</v>
      </c>
      <c r="C297" t="s">
        <v>3201</v>
      </c>
      <c r="D297" t="s">
        <v>4479</v>
      </c>
      <c r="E297" t="s">
        <v>4599</v>
      </c>
      <c r="F297" t="s">
        <v>232</v>
      </c>
      <c r="G297" t="s">
        <v>1406</v>
      </c>
      <c r="H297" s="6">
        <v>46022</v>
      </c>
      <c r="I297" t="s">
        <v>29</v>
      </c>
      <c r="J297">
        <v>1</v>
      </c>
      <c r="K297">
        <v>0</v>
      </c>
      <c r="L297">
        <v>0</v>
      </c>
      <c r="M297">
        <v>0</v>
      </c>
      <c r="N297" t="s">
        <v>3915</v>
      </c>
      <c r="O297" t="s">
        <v>3915</v>
      </c>
      <c r="P297" t="s">
        <v>3915</v>
      </c>
      <c r="Q297">
        <v>0</v>
      </c>
      <c r="R297" t="s">
        <v>30</v>
      </c>
      <c r="S297">
        <v>0</v>
      </c>
      <c r="T297">
        <v>0</v>
      </c>
      <c r="U297" t="s">
        <v>3915</v>
      </c>
      <c r="V297" t="s">
        <v>31</v>
      </c>
      <c r="W297">
        <v>0</v>
      </c>
    </row>
    <row r="298" spans="1:23" x14ac:dyDescent="0.25">
      <c r="A298" t="s">
        <v>4188</v>
      </c>
      <c r="B298" t="s">
        <v>3204</v>
      </c>
      <c r="C298" t="s">
        <v>3203</v>
      </c>
      <c r="D298" t="s">
        <v>4479</v>
      </c>
      <c r="E298" t="s">
        <v>4599</v>
      </c>
      <c r="F298" t="s">
        <v>232</v>
      </c>
      <c r="G298" t="s">
        <v>1406</v>
      </c>
      <c r="H298" s="6">
        <v>46022</v>
      </c>
      <c r="I298" t="s">
        <v>29</v>
      </c>
      <c r="J298">
        <v>12</v>
      </c>
      <c r="K298">
        <v>0</v>
      </c>
      <c r="L298">
        <v>0</v>
      </c>
      <c r="M298">
        <v>0</v>
      </c>
      <c r="N298" t="s">
        <v>3915</v>
      </c>
      <c r="O298" t="s">
        <v>3915</v>
      </c>
      <c r="P298" t="s">
        <v>3915</v>
      </c>
      <c r="Q298">
        <v>0</v>
      </c>
      <c r="R298" t="s">
        <v>30</v>
      </c>
      <c r="S298">
        <v>0</v>
      </c>
      <c r="T298">
        <v>0</v>
      </c>
      <c r="U298" t="s">
        <v>3915</v>
      </c>
      <c r="V298" t="s">
        <v>31</v>
      </c>
      <c r="W298">
        <v>0</v>
      </c>
    </row>
    <row r="299" spans="1:23" x14ac:dyDescent="0.25">
      <c r="A299" t="s">
        <v>4671</v>
      </c>
      <c r="B299" t="s">
        <v>3206</v>
      </c>
      <c r="C299" t="s">
        <v>3205</v>
      </c>
      <c r="D299" t="s">
        <v>4479</v>
      </c>
      <c r="E299" t="s">
        <v>4599</v>
      </c>
      <c r="F299" t="s">
        <v>232</v>
      </c>
      <c r="G299" t="s">
        <v>1406</v>
      </c>
      <c r="H299" s="6">
        <v>46022</v>
      </c>
      <c r="I299" t="s">
        <v>29</v>
      </c>
      <c r="J299">
        <v>47</v>
      </c>
      <c r="K299">
        <v>0</v>
      </c>
      <c r="L299">
        <v>0</v>
      </c>
      <c r="M299">
        <v>0</v>
      </c>
      <c r="N299" t="s">
        <v>3915</v>
      </c>
      <c r="O299" t="s">
        <v>3915</v>
      </c>
      <c r="P299" t="s">
        <v>3915</v>
      </c>
      <c r="Q299">
        <v>0</v>
      </c>
      <c r="R299" t="s">
        <v>30</v>
      </c>
      <c r="S299">
        <v>0</v>
      </c>
      <c r="T299">
        <v>0</v>
      </c>
      <c r="U299" t="s">
        <v>3915</v>
      </c>
      <c r="V299" t="s">
        <v>31</v>
      </c>
      <c r="W299">
        <v>0</v>
      </c>
    </row>
    <row r="300" spans="1:23" x14ac:dyDescent="0.25">
      <c r="A300" t="s">
        <v>4672</v>
      </c>
      <c r="B300" t="s">
        <v>3208</v>
      </c>
      <c r="C300" t="s">
        <v>3207</v>
      </c>
      <c r="D300" t="s">
        <v>4479</v>
      </c>
      <c r="E300" t="s">
        <v>4599</v>
      </c>
      <c r="F300" t="s">
        <v>232</v>
      </c>
      <c r="G300" t="s">
        <v>1406</v>
      </c>
      <c r="H300" s="6">
        <v>46022</v>
      </c>
      <c r="I300" t="s">
        <v>29</v>
      </c>
      <c r="J300">
        <v>4</v>
      </c>
      <c r="K300">
        <v>0</v>
      </c>
      <c r="L300">
        <v>0</v>
      </c>
      <c r="M300">
        <v>0</v>
      </c>
      <c r="N300" t="s">
        <v>3915</v>
      </c>
      <c r="O300" t="s">
        <v>3915</v>
      </c>
      <c r="P300" t="s">
        <v>3915</v>
      </c>
      <c r="Q300">
        <v>0</v>
      </c>
      <c r="R300" t="s">
        <v>30</v>
      </c>
      <c r="S300">
        <v>0</v>
      </c>
      <c r="T300">
        <v>0</v>
      </c>
      <c r="U300" t="s">
        <v>3915</v>
      </c>
      <c r="V300" t="s">
        <v>31</v>
      </c>
      <c r="W300">
        <v>0</v>
      </c>
    </row>
    <row r="301" spans="1:23" x14ac:dyDescent="0.25">
      <c r="A301" t="s">
        <v>4673</v>
      </c>
      <c r="B301" t="s">
        <v>3210</v>
      </c>
      <c r="C301" t="s">
        <v>3209</v>
      </c>
      <c r="D301" t="s">
        <v>4479</v>
      </c>
      <c r="E301" t="s">
        <v>4599</v>
      </c>
      <c r="F301" t="s">
        <v>232</v>
      </c>
      <c r="G301" t="s">
        <v>1406</v>
      </c>
      <c r="H301" s="6">
        <v>46022</v>
      </c>
      <c r="I301" t="s">
        <v>29</v>
      </c>
      <c r="J301">
        <v>19</v>
      </c>
      <c r="K301">
        <v>0</v>
      </c>
      <c r="L301">
        <v>0</v>
      </c>
      <c r="M301">
        <v>0</v>
      </c>
      <c r="N301" t="s">
        <v>3915</v>
      </c>
      <c r="O301" t="s">
        <v>3915</v>
      </c>
      <c r="P301" t="s">
        <v>3915</v>
      </c>
      <c r="Q301">
        <v>0</v>
      </c>
      <c r="R301" t="s">
        <v>30</v>
      </c>
      <c r="S301">
        <v>0</v>
      </c>
      <c r="T301">
        <v>0</v>
      </c>
      <c r="U301" t="s">
        <v>3915</v>
      </c>
      <c r="V301" t="s">
        <v>31</v>
      </c>
      <c r="W301">
        <v>0</v>
      </c>
    </row>
    <row r="302" spans="1:23" x14ac:dyDescent="0.25">
      <c r="A302" t="s">
        <v>4184</v>
      </c>
      <c r="B302" t="s">
        <v>3212</v>
      </c>
      <c r="C302" t="s">
        <v>3211</v>
      </c>
      <c r="D302" t="s">
        <v>4479</v>
      </c>
      <c r="E302" t="s">
        <v>4599</v>
      </c>
      <c r="F302" t="s">
        <v>232</v>
      </c>
      <c r="G302" t="s">
        <v>1406</v>
      </c>
      <c r="H302" s="6">
        <v>46022</v>
      </c>
      <c r="I302" t="s">
        <v>29</v>
      </c>
      <c r="J302">
        <v>37</v>
      </c>
      <c r="K302">
        <v>0</v>
      </c>
      <c r="L302">
        <v>0</v>
      </c>
      <c r="M302">
        <v>0</v>
      </c>
      <c r="N302" t="s">
        <v>3915</v>
      </c>
      <c r="O302" t="s">
        <v>3915</v>
      </c>
      <c r="P302" t="s">
        <v>3915</v>
      </c>
      <c r="Q302">
        <v>0</v>
      </c>
      <c r="R302" t="s">
        <v>30</v>
      </c>
      <c r="S302">
        <v>0</v>
      </c>
      <c r="T302">
        <v>0</v>
      </c>
      <c r="U302" t="s">
        <v>3915</v>
      </c>
      <c r="V302" t="s">
        <v>31</v>
      </c>
      <c r="W302">
        <v>0</v>
      </c>
    </row>
    <row r="303" spans="1:23" x14ac:dyDescent="0.25">
      <c r="A303" t="s">
        <v>4153</v>
      </c>
      <c r="B303" t="s">
        <v>3214</v>
      </c>
      <c r="C303" t="s">
        <v>3213</v>
      </c>
      <c r="D303" t="s">
        <v>4479</v>
      </c>
      <c r="E303" t="s">
        <v>4599</v>
      </c>
      <c r="F303" t="s">
        <v>232</v>
      </c>
      <c r="G303" t="s">
        <v>1406</v>
      </c>
      <c r="H303" s="6">
        <v>46022</v>
      </c>
      <c r="I303" t="s">
        <v>29</v>
      </c>
      <c r="J303">
        <v>4</v>
      </c>
      <c r="K303">
        <v>0</v>
      </c>
      <c r="L303">
        <v>0</v>
      </c>
      <c r="M303">
        <v>0</v>
      </c>
      <c r="N303" t="s">
        <v>3915</v>
      </c>
      <c r="O303" t="s">
        <v>3915</v>
      </c>
      <c r="P303" t="s">
        <v>3915</v>
      </c>
      <c r="Q303">
        <v>0</v>
      </c>
      <c r="R303" t="s">
        <v>30</v>
      </c>
      <c r="S303">
        <v>0</v>
      </c>
      <c r="T303">
        <v>0</v>
      </c>
      <c r="U303" t="s">
        <v>3915</v>
      </c>
      <c r="V303" t="s">
        <v>31</v>
      </c>
      <c r="W303">
        <v>0</v>
      </c>
    </row>
    <row r="304" spans="1:23" x14ac:dyDescent="0.25">
      <c r="A304" t="s">
        <v>4155</v>
      </c>
      <c r="B304" t="s">
        <v>3216</v>
      </c>
      <c r="C304" t="s">
        <v>3215</v>
      </c>
      <c r="D304" t="s">
        <v>4479</v>
      </c>
      <c r="E304" t="s">
        <v>4599</v>
      </c>
      <c r="F304" t="s">
        <v>232</v>
      </c>
      <c r="G304" t="s">
        <v>1406</v>
      </c>
      <c r="H304" s="6">
        <v>46022</v>
      </c>
      <c r="I304" t="s">
        <v>29</v>
      </c>
      <c r="J304">
        <v>4</v>
      </c>
      <c r="K304">
        <v>0</v>
      </c>
      <c r="L304">
        <v>0</v>
      </c>
      <c r="M304">
        <v>0</v>
      </c>
      <c r="N304" t="s">
        <v>3915</v>
      </c>
      <c r="O304" t="s">
        <v>3915</v>
      </c>
      <c r="P304" t="s">
        <v>3915</v>
      </c>
      <c r="Q304">
        <v>0</v>
      </c>
      <c r="R304" t="s">
        <v>30</v>
      </c>
      <c r="S304">
        <v>0</v>
      </c>
      <c r="T304">
        <v>0</v>
      </c>
      <c r="U304" t="s">
        <v>3915</v>
      </c>
      <c r="V304" t="s">
        <v>31</v>
      </c>
      <c r="W304">
        <v>0</v>
      </c>
    </row>
    <row r="305" spans="1:23" x14ac:dyDescent="0.25">
      <c r="A305" t="s">
        <v>4159</v>
      </c>
      <c r="B305" t="s">
        <v>3218</v>
      </c>
      <c r="C305" t="s">
        <v>3217</v>
      </c>
      <c r="D305" t="s">
        <v>4479</v>
      </c>
      <c r="E305" t="s">
        <v>4599</v>
      </c>
      <c r="F305" t="s">
        <v>232</v>
      </c>
      <c r="G305" t="s">
        <v>1406</v>
      </c>
      <c r="H305" s="6">
        <v>46022</v>
      </c>
      <c r="I305" t="s">
        <v>29</v>
      </c>
      <c r="J305">
        <v>40</v>
      </c>
      <c r="K305">
        <v>0</v>
      </c>
      <c r="L305">
        <v>0</v>
      </c>
      <c r="M305">
        <v>0</v>
      </c>
      <c r="N305" t="s">
        <v>3915</v>
      </c>
      <c r="O305" t="s">
        <v>3915</v>
      </c>
      <c r="P305" t="s">
        <v>3915</v>
      </c>
      <c r="Q305">
        <v>0</v>
      </c>
      <c r="R305" t="s">
        <v>30</v>
      </c>
      <c r="S305">
        <v>0</v>
      </c>
      <c r="T305">
        <v>0</v>
      </c>
      <c r="U305" t="s">
        <v>3915</v>
      </c>
      <c r="V305" t="s">
        <v>31</v>
      </c>
      <c r="W305">
        <v>0</v>
      </c>
    </row>
    <row r="306" spans="1:23" x14ac:dyDescent="0.25">
      <c r="A306" t="s">
        <v>4158</v>
      </c>
      <c r="B306" t="s">
        <v>3220</v>
      </c>
      <c r="C306" t="s">
        <v>3219</v>
      </c>
      <c r="D306" t="s">
        <v>4479</v>
      </c>
      <c r="E306" t="s">
        <v>4599</v>
      </c>
      <c r="F306" t="s">
        <v>232</v>
      </c>
      <c r="G306" t="s">
        <v>1406</v>
      </c>
      <c r="H306" s="6">
        <v>46022</v>
      </c>
      <c r="I306" t="s">
        <v>29</v>
      </c>
      <c r="J306">
        <v>2</v>
      </c>
      <c r="K306">
        <v>0</v>
      </c>
      <c r="L306">
        <v>0</v>
      </c>
      <c r="M306">
        <v>0</v>
      </c>
      <c r="N306" t="s">
        <v>3915</v>
      </c>
      <c r="O306" t="s">
        <v>3915</v>
      </c>
      <c r="P306" t="s">
        <v>3915</v>
      </c>
      <c r="Q306">
        <v>0</v>
      </c>
      <c r="R306" t="s">
        <v>30</v>
      </c>
      <c r="S306">
        <v>0</v>
      </c>
      <c r="T306">
        <v>0</v>
      </c>
      <c r="U306" t="s">
        <v>3915</v>
      </c>
      <c r="V306" t="s">
        <v>31</v>
      </c>
      <c r="W306">
        <v>0</v>
      </c>
    </row>
    <row r="307" spans="1:23" x14ac:dyDescent="0.25">
      <c r="A307" t="s">
        <v>4674</v>
      </c>
      <c r="B307" t="s">
        <v>3222</v>
      </c>
      <c r="C307" t="s">
        <v>3221</v>
      </c>
      <c r="D307" t="s">
        <v>4479</v>
      </c>
      <c r="E307" t="s">
        <v>4599</v>
      </c>
      <c r="F307" t="s">
        <v>232</v>
      </c>
      <c r="G307" t="s">
        <v>1406</v>
      </c>
      <c r="H307" s="6">
        <v>46022</v>
      </c>
      <c r="I307" t="s">
        <v>29</v>
      </c>
      <c r="J307">
        <v>6</v>
      </c>
      <c r="K307">
        <v>0</v>
      </c>
      <c r="L307">
        <v>0</v>
      </c>
      <c r="M307">
        <v>0</v>
      </c>
      <c r="N307" t="s">
        <v>3915</v>
      </c>
      <c r="O307" t="s">
        <v>3915</v>
      </c>
      <c r="P307" t="s">
        <v>3915</v>
      </c>
      <c r="Q307">
        <v>0</v>
      </c>
      <c r="R307" t="s">
        <v>30</v>
      </c>
      <c r="S307">
        <v>0</v>
      </c>
      <c r="T307">
        <v>0</v>
      </c>
      <c r="U307" t="s">
        <v>3915</v>
      </c>
      <c r="V307" t="s">
        <v>31</v>
      </c>
      <c r="W307">
        <v>0</v>
      </c>
    </row>
    <row r="308" spans="1:23" x14ac:dyDescent="0.25">
      <c r="A308" t="s">
        <v>4675</v>
      </c>
      <c r="B308" t="s">
        <v>3224</v>
      </c>
      <c r="C308" t="s">
        <v>3223</v>
      </c>
      <c r="D308" t="s">
        <v>4479</v>
      </c>
      <c r="E308" t="s">
        <v>4599</v>
      </c>
      <c r="F308" t="s">
        <v>232</v>
      </c>
      <c r="G308" t="s">
        <v>1406</v>
      </c>
      <c r="H308" s="6">
        <v>46022</v>
      </c>
      <c r="I308" t="s">
        <v>29</v>
      </c>
      <c r="J308">
        <v>4</v>
      </c>
      <c r="K308">
        <v>0</v>
      </c>
      <c r="L308">
        <v>0</v>
      </c>
      <c r="M308">
        <v>0</v>
      </c>
      <c r="N308" t="s">
        <v>3915</v>
      </c>
      <c r="O308" t="s">
        <v>3915</v>
      </c>
      <c r="P308" t="s">
        <v>3915</v>
      </c>
      <c r="Q308">
        <v>0</v>
      </c>
      <c r="R308" t="s">
        <v>30</v>
      </c>
      <c r="S308">
        <v>0</v>
      </c>
      <c r="T308">
        <v>0</v>
      </c>
      <c r="U308" t="s">
        <v>3915</v>
      </c>
      <c r="V308" t="s">
        <v>31</v>
      </c>
      <c r="W308">
        <v>0</v>
      </c>
    </row>
    <row r="309" spans="1:23" x14ac:dyDescent="0.25">
      <c r="A309" t="s">
        <v>4676</v>
      </c>
      <c r="B309" t="s">
        <v>3226</v>
      </c>
      <c r="C309" t="s">
        <v>3225</v>
      </c>
      <c r="D309" t="s">
        <v>4479</v>
      </c>
      <c r="E309" t="s">
        <v>4599</v>
      </c>
      <c r="F309" t="s">
        <v>232</v>
      </c>
      <c r="G309" t="s">
        <v>1406</v>
      </c>
      <c r="H309" s="6">
        <v>46022</v>
      </c>
      <c r="I309" t="s">
        <v>29</v>
      </c>
      <c r="J309">
        <v>40</v>
      </c>
      <c r="K309">
        <v>0</v>
      </c>
      <c r="L309">
        <v>0</v>
      </c>
      <c r="M309">
        <v>0</v>
      </c>
      <c r="N309" t="s">
        <v>3915</v>
      </c>
      <c r="O309" t="s">
        <v>3915</v>
      </c>
      <c r="P309" t="s">
        <v>3915</v>
      </c>
      <c r="Q309">
        <v>0</v>
      </c>
      <c r="R309" t="s">
        <v>30</v>
      </c>
      <c r="S309">
        <v>0</v>
      </c>
      <c r="T309">
        <v>0</v>
      </c>
      <c r="U309" t="s">
        <v>3915</v>
      </c>
      <c r="V309" t="s">
        <v>31</v>
      </c>
      <c r="W309">
        <v>0</v>
      </c>
    </row>
    <row r="310" spans="1:23" x14ac:dyDescent="0.25">
      <c r="A310" t="s">
        <v>4169</v>
      </c>
      <c r="B310" t="s">
        <v>3228</v>
      </c>
      <c r="C310" t="s">
        <v>3227</v>
      </c>
      <c r="D310" t="s">
        <v>4479</v>
      </c>
      <c r="E310" t="s">
        <v>4599</v>
      </c>
      <c r="F310" t="s">
        <v>232</v>
      </c>
      <c r="G310" t="s">
        <v>1406</v>
      </c>
      <c r="H310" s="6">
        <v>46022</v>
      </c>
      <c r="I310" t="s">
        <v>29</v>
      </c>
      <c r="J310">
        <v>36</v>
      </c>
      <c r="K310">
        <v>0</v>
      </c>
      <c r="L310">
        <v>0</v>
      </c>
      <c r="M310">
        <v>0</v>
      </c>
      <c r="N310" t="s">
        <v>3915</v>
      </c>
      <c r="O310" t="s">
        <v>3915</v>
      </c>
      <c r="P310" t="s">
        <v>3915</v>
      </c>
      <c r="Q310">
        <v>0</v>
      </c>
      <c r="R310" t="s">
        <v>30</v>
      </c>
      <c r="S310">
        <v>0</v>
      </c>
      <c r="T310">
        <v>0</v>
      </c>
      <c r="U310" t="s">
        <v>3915</v>
      </c>
      <c r="V310" t="s">
        <v>31</v>
      </c>
      <c r="W310">
        <v>0</v>
      </c>
    </row>
    <row r="311" spans="1:23" x14ac:dyDescent="0.25">
      <c r="A311" t="s">
        <v>4677</v>
      </c>
      <c r="B311" t="s">
        <v>447</v>
      </c>
      <c r="C311" t="s">
        <v>448</v>
      </c>
      <c r="D311" t="s">
        <v>4479</v>
      </c>
      <c r="E311" t="s">
        <v>4599</v>
      </c>
      <c r="F311" t="s">
        <v>232</v>
      </c>
      <c r="G311" t="s">
        <v>1406</v>
      </c>
      <c r="H311" s="6">
        <v>46022</v>
      </c>
      <c r="I311" t="s">
        <v>29</v>
      </c>
      <c r="J311">
        <v>0</v>
      </c>
      <c r="K311">
        <v>0</v>
      </c>
      <c r="L311">
        <v>0</v>
      </c>
      <c r="M311">
        <v>0</v>
      </c>
      <c r="N311" t="s">
        <v>449</v>
      </c>
      <c r="O311" t="s">
        <v>3915</v>
      </c>
      <c r="P311" t="s">
        <v>3915</v>
      </c>
      <c r="Q311">
        <v>0</v>
      </c>
      <c r="R311" t="s">
        <v>30</v>
      </c>
      <c r="S311">
        <v>0</v>
      </c>
      <c r="T311">
        <v>0</v>
      </c>
      <c r="U311" t="s">
        <v>3915</v>
      </c>
      <c r="V311" t="s">
        <v>31</v>
      </c>
      <c r="W311">
        <v>0</v>
      </c>
    </row>
    <row r="312" spans="1:23" x14ac:dyDescent="0.25">
      <c r="A312" t="s">
        <v>4678</v>
      </c>
      <c r="B312" t="s">
        <v>454</v>
      </c>
      <c r="C312" t="s">
        <v>455</v>
      </c>
      <c r="D312" t="s">
        <v>4479</v>
      </c>
      <c r="E312" t="s">
        <v>4599</v>
      </c>
      <c r="F312" t="s">
        <v>232</v>
      </c>
      <c r="G312" t="s">
        <v>1406</v>
      </c>
      <c r="H312" s="6">
        <v>46022</v>
      </c>
      <c r="I312" t="s">
        <v>29</v>
      </c>
      <c r="J312">
        <v>0</v>
      </c>
      <c r="K312">
        <v>0</v>
      </c>
      <c r="L312">
        <v>0</v>
      </c>
      <c r="M312">
        <v>0</v>
      </c>
      <c r="N312" t="s">
        <v>456</v>
      </c>
      <c r="O312" t="s">
        <v>3915</v>
      </c>
      <c r="P312" t="s">
        <v>3915</v>
      </c>
      <c r="Q312">
        <v>0</v>
      </c>
      <c r="R312" t="s">
        <v>30</v>
      </c>
      <c r="S312">
        <v>0</v>
      </c>
      <c r="T312">
        <v>0</v>
      </c>
      <c r="U312" t="s">
        <v>3915</v>
      </c>
      <c r="V312" t="s">
        <v>31</v>
      </c>
      <c r="W312">
        <v>0</v>
      </c>
    </row>
    <row r="313" spans="1:23" x14ac:dyDescent="0.25">
      <c r="A313" t="s">
        <v>4193</v>
      </c>
      <c r="B313" t="s">
        <v>465</v>
      </c>
      <c r="C313" t="s">
        <v>466</v>
      </c>
      <c r="D313" t="s">
        <v>4479</v>
      </c>
      <c r="E313" t="s">
        <v>4599</v>
      </c>
      <c r="F313" t="s">
        <v>232</v>
      </c>
      <c r="G313" t="s">
        <v>1406</v>
      </c>
      <c r="H313" s="6">
        <v>46022</v>
      </c>
      <c r="I313" t="s">
        <v>29</v>
      </c>
      <c r="J313">
        <v>0</v>
      </c>
      <c r="K313">
        <v>0</v>
      </c>
      <c r="L313">
        <v>0</v>
      </c>
      <c r="M313">
        <v>0</v>
      </c>
      <c r="N313" t="s">
        <v>467</v>
      </c>
      <c r="O313" t="s">
        <v>3915</v>
      </c>
      <c r="P313" t="s">
        <v>3915</v>
      </c>
      <c r="Q313">
        <v>0</v>
      </c>
      <c r="R313" t="s">
        <v>30</v>
      </c>
      <c r="S313">
        <v>0</v>
      </c>
      <c r="T313">
        <v>0</v>
      </c>
      <c r="U313" t="s">
        <v>3915</v>
      </c>
      <c r="V313" t="s">
        <v>31</v>
      </c>
      <c r="W313">
        <v>0</v>
      </c>
    </row>
    <row r="314" spans="1:23" x14ac:dyDescent="0.25">
      <c r="A314" t="s">
        <v>4679</v>
      </c>
      <c r="B314" t="s">
        <v>468</v>
      </c>
      <c r="C314" t="s">
        <v>469</v>
      </c>
      <c r="D314" t="s">
        <v>4479</v>
      </c>
      <c r="E314" t="s">
        <v>4599</v>
      </c>
      <c r="F314" t="s">
        <v>232</v>
      </c>
      <c r="G314" t="s">
        <v>1406</v>
      </c>
      <c r="H314" s="6">
        <v>46022</v>
      </c>
      <c r="I314" t="s">
        <v>29</v>
      </c>
      <c r="J314">
        <v>0</v>
      </c>
      <c r="K314">
        <v>0</v>
      </c>
      <c r="L314">
        <v>0</v>
      </c>
      <c r="M314">
        <v>0</v>
      </c>
      <c r="N314" t="s">
        <v>461</v>
      </c>
      <c r="O314" t="s">
        <v>3915</v>
      </c>
      <c r="P314" t="s">
        <v>3915</v>
      </c>
      <c r="Q314">
        <v>0</v>
      </c>
      <c r="R314" t="s">
        <v>30</v>
      </c>
      <c r="S314">
        <v>0</v>
      </c>
      <c r="T314">
        <v>0</v>
      </c>
      <c r="U314" t="s">
        <v>3915</v>
      </c>
      <c r="V314" t="s">
        <v>31</v>
      </c>
      <c r="W314">
        <v>0</v>
      </c>
    </row>
    <row r="315" spans="1:23" x14ac:dyDescent="0.25">
      <c r="A315" t="s">
        <v>4273</v>
      </c>
      <c r="B315" t="s">
        <v>470</v>
      </c>
      <c r="C315" t="s">
        <v>471</v>
      </c>
      <c r="D315" t="s">
        <v>4479</v>
      </c>
      <c r="E315" t="s">
        <v>4599</v>
      </c>
      <c r="F315" t="s">
        <v>232</v>
      </c>
      <c r="G315" t="s">
        <v>1406</v>
      </c>
      <c r="H315" s="6">
        <v>46022</v>
      </c>
      <c r="I315" t="s">
        <v>29</v>
      </c>
      <c r="J315">
        <v>0</v>
      </c>
      <c r="K315">
        <v>0</v>
      </c>
      <c r="L315">
        <v>0</v>
      </c>
      <c r="M315">
        <v>0</v>
      </c>
      <c r="N315" t="s">
        <v>464</v>
      </c>
      <c r="O315" t="s">
        <v>3915</v>
      </c>
      <c r="P315" t="s">
        <v>3915</v>
      </c>
      <c r="Q315">
        <v>0</v>
      </c>
      <c r="R315" t="s">
        <v>30</v>
      </c>
      <c r="S315">
        <v>0</v>
      </c>
      <c r="T315">
        <v>0</v>
      </c>
      <c r="U315" t="s">
        <v>3915</v>
      </c>
      <c r="V315" t="s">
        <v>31</v>
      </c>
      <c r="W315">
        <v>0</v>
      </c>
    </row>
    <row r="316" spans="1:23" x14ac:dyDescent="0.25">
      <c r="A316" t="s">
        <v>3931</v>
      </c>
      <c r="B316" t="s">
        <v>3230</v>
      </c>
      <c r="C316" t="s">
        <v>3229</v>
      </c>
      <c r="D316" t="s">
        <v>4479</v>
      </c>
      <c r="E316" t="s">
        <v>4680</v>
      </c>
      <c r="F316" t="s">
        <v>3231</v>
      </c>
      <c r="G316" t="s">
        <v>1406</v>
      </c>
      <c r="H316" s="6">
        <v>46022</v>
      </c>
      <c r="I316" t="s">
        <v>29</v>
      </c>
      <c r="J316">
        <v>6</v>
      </c>
      <c r="K316">
        <v>0</v>
      </c>
      <c r="L316">
        <v>0</v>
      </c>
      <c r="M316">
        <v>0</v>
      </c>
      <c r="N316" t="s">
        <v>3915</v>
      </c>
      <c r="O316" t="s">
        <v>3915</v>
      </c>
      <c r="P316" t="s">
        <v>3915</v>
      </c>
      <c r="Q316">
        <v>0</v>
      </c>
      <c r="R316" t="s">
        <v>30</v>
      </c>
      <c r="S316">
        <v>0</v>
      </c>
      <c r="T316">
        <v>0</v>
      </c>
      <c r="U316" t="s">
        <v>3915</v>
      </c>
      <c r="V316" t="s">
        <v>31</v>
      </c>
      <c r="W316">
        <v>0</v>
      </c>
    </row>
    <row r="317" spans="1:23" x14ac:dyDescent="0.25">
      <c r="A317" t="s">
        <v>4681</v>
      </c>
      <c r="B317" t="s">
        <v>2068</v>
      </c>
      <c r="C317" t="s">
        <v>2067</v>
      </c>
      <c r="D317" t="s">
        <v>4479</v>
      </c>
      <c r="E317" t="s">
        <v>4680</v>
      </c>
      <c r="F317" t="s">
        <v>3231</v>
      </c>
      <c r="G317" t="s">
        <v>1406</v>
      </c>
      <c r="H317" s="6">
        <v>46022</v>
      </c>
      <c r="I317" t="s">
        <v>29</v>
      </c>
      <c r="J317">
        <v>3</v>
      </c>
      <c r="K317">
        <v>0</v>
      </c>
      <c r="L317">
        <v>0</v>
      </c>
      <c r="M317">
        <v>0</v>
      </c>
      <c r="N317" t="s">
        <v>3915</v>
      </c>
      <c r="O317" t="s">
        <v>3915</v>
      </c>
      <c r="P317" t="s">
        <v>3915</v>
      </c>
      <c r="Q317">
        <v>0</v>
      </c>
      <c r="R317" t="s">
        <v>30</v>
      </c>
      <c r="S317">
        <v>0</v>
      </c>
      <c r="T317">
        <v>0</v>
      </c>
      <c r="U317" t="s">
        <v>3915</v>
      </c>
      <c r="V317" t="s">
        <v>31</v>
      </c>
      <c r="W317">
        <v>0</v>
      </c>
    </row>
    <row r="318" spans="1:23" x14ac:dyDescent="0.25">
      <c r="A318" t="s">
        <v>4682</v>
      </c>
      <c r="B318" t="s">
        <v>2074</v>
      </c>
      <c r="C318" t="s">
        <v>2073</v>
      </c>
      <c r="D318" t="s">
        <v>4479</v>
      </c>
      <c r="E318" t="s">
        <v>4680</v>
      </c>
      <c r="F318" t="s">
        <v>3231</v>
      </c>
      <c r="G318" t="s">
        <v>1406</v>
      </c>
      <c r="H318" s="6">
        <v>46022</v>
      </c>
      <c r="I318" t="s">
        <v>29</v>
      </c>
      <c r="J318">
        <v>0</v>
      </c>
      <c r="K318">
        <v>0</v>
      </c>
      <c r="L318">
        <v>0</v>
      </c>
      <c r="M318">
        <v>0</v>
      </c>
      <c r="N318" t="s">
        <v>3915</v>
      </c>
      <c r="O318" t="s">
        <v>3915</v>
      </c>
      <c r="P318" t="s">
        <v>3915</v>
      </c>
      <c r="Q318">
        <v>0</v>
      </c>
      <c r="R318" t="s">
        <v>30</v>
      </c>
      <c r="S318">
        <v>0</v>
      </c>
      <c r="T318">
        <v>0</v>
      </c>
      <c r="U318" t="s">
        <v>3915</v>
      </c>
      <c r="V318" t="s">
        <v>31</v>
      </c>
      <c r="W318">
        <v>0</v>
      </c>
    </row>
    <row r="319" spans="1:23" x14ac:dyDescent="0.25">
      <c r="A319" t="s">
        <v>4683</v>
      </c>
      <c r="B319" t="s">
        <v>2076</v>
      </c>
      <c r="C319" t="s">
        <v>2075</v>
      </c>
      <c r="D319" t="s">
        <v>4479</v>
      </c>
      <c r="E319" t="s">
        <v>4680</v>
      </c>
      <c r="F319" t="s">
        <v>3231</v>
      </c>
      <c r="G319" t="s">
        <v>1406</v>
      </c>
      <c r="H319" s="6">
        <v>46022</v>
      </c>
      <c r="I319" t="s">
        <v>29</v>
      </c>
      <c r="J319">
        <v>0</v>
      </c>
      <c r="K319">
        <v>0</v>
      </c>
      <c r="L319">
        <v>0</v>
      </c>
      <c r="M319">
        <v>0</v>
      </c>
      <c r="N319" t="s">
        <v>3915</v>
      </c>
      <c r="O319" t="s">
        <v>3915</v>
      </c>
      <c r="P319" t="s">
        <v>3915</v>
      </c>
      <c r="Q319">
        <v>0</v>
      </c>
      <c r="R319" t="s">
        <v>30</v>
      </c>
      <c r="S319">
        <v>0</v>
      </c>
      <c r="T319">
        <v>0</v>
      </c>
      <c r="U319" t="s">
        <v>3915</v>
      </c>
      <c r="V319" t="s">
        <v>31</v>
      </c>
      <c r="W319">
        <v>0</v>
      </c>
    </row>
    <row r="320" spans="1:23" x14ac:dyDescent="0.25">
      <c r="A320" t="s">
        <v>5271</v>
      </c>
      <c r="B320" t="s">
        <v>2080</v>
      </c>
      <c r="C320" t="s">
        <v>2079</v>
      </c>
      <c r="D320" t="s">
        <v>4479</v>
      </c>
      <c r="E320" t="s">
        <v>4680</v>
      </c>
      <c r="F320" t="s">
        <v>3231</v>
      </c>
      <c r="G320" t="s">
        <v>1406</v>
      </c>
      <c r="H320" s="6">
        <v>46022</v>
      </c>
      <c r="I320" t="s">
        <v>29</v>
      </c>
      <c r="J320">
        <v>0</v>
      </c>
      <c r="K320">
        <v>0</v>
      </c>
      <c r="L320">
        <v>0</v>
      </c>
      <c r="M320">
        <v>0</v>
      </c>
      <c r="N320" t="s">
        <v>3915</v>
      </c>
      <c r="O320" t="s">
        <v>3915</v>
      </c>
      <c r="P320" t="s">
        <v>3915</v>
      </c>
      <c r="Q320">
        <v>0</v>
      </c>
      <c r="R320" t="s">
        <v>30</v>
      </c>
      <c r="S320">
        <v>0</v>
      </c>
      <c r="T320">
        <v>0</v>
      </c>
      <c r="U320" t="s">
        <v>3915</v>
      </c>
      <c r="V320" t="s">
        <v>31</v>
      </c>
      <c r="W320">
        <v>0</v>
      </c>
    </row>
    <row r="321" spans="1:23" x14ac:dyDescent="0.25">
      <c r="A321" t="s">
        <v>10228</v>
      </c>
      <c r="B321" t="s">
        <v>2084</v>
      </c>
      <c r="C321" t="s">
        <v>2083</v>
      </c>
      <c r="D321" t="s">
        <v>4479</v>
      </c>
      <c r="E321" t="s">
        <v>4680</v>
      </c>
      <c r="F321" t="s">
        <v>3231</v>
      </c>
      <c r="G321" t="s">
        <v>1406</v>
      </c>
      <c r="H321" s="6">
        <v>46022</v>
      </c>
      <c r="I321" t="s">
        <v>29</v>
      </c>
      <c r="J321">
        <v>0</v>
      </c>
      <c r="K321">
        <v>0</v>
      </c>
      <c r="L321">
        <v>0</v>
      </c>
      <c r="M321">
        <v>0</v>
      </c>
      <c r="N321" t="s">
        <v>3915</v>
      </c>
      <c r="O321" t="s">
        <v>3915</v>
      </c>
      <c r="P321" t="s">
        <v>3915</v>
      </c>
      <c r="Q321">
        <v>0</v>
      </c>
      <c r="R321" t="s">
        <v>30</v>
      </c>
      <c r="S321">
        <v>0</v>
      </c>
      <c r="T321">
        <v>0</v>
      </c>
      <c r="U321" t="s">
        <v>3915</v>
      </c>
      <c r="V321" t="s">
        <v>31</v>
      </c>
      <c r="W321">
        <v>0</v>
      </c>
    </row>
    <row r="322" spans="1:23" x14ac:dyDescent="0.25">
      <c r="A322" t="s">
        <v>4684</v>
      </c>
      <c r="B322" t="s">
        <v>3233</v>
      </c>
      <c r="C322" t="s">
        <v>3232</v>
      </c>
      <c r="D322" t="s">
        <v>4479</v>
      </c>
      <c r="E322" t="s">
        <v>4680</v>
      </c>
      <c r="F322" t="s">
        <v>3231</v>
      </c>
      <c r="G322" t="s">
        <v>1406</v>
      </c>
      <c r="H322" s="6">
        <v>46022</v>
      </c>
      <c r="I322" t="s">
        <v>29</v>
      </c>
      <c r="J322">
        <v>1</v>
      </c>
      <c r="K322">
        <v>0</v>
      </c>
      <c r="L322">
        <v>0</v>
      </c>
      <c r="M322">
        <v>0</v>
      </c>
      <c r="N322" t="s">
        <v>3915</v>
      </c>
      <c r="O322" t="s">
        <v>3915</v>
      </c>
      <c r="P322" t="s">
        <v>3915</v>
      </c>
      <c r="Q322">
        <v>0</v>
      </c>
      <c r="R322" t="s">
        <v>30</v>
      </c>
      <c r="S322">
        <v>0</v>
      </c>
      <c r="T322">
        <v>0</v>
      </c>
      <c r="U322" t="s">
        <v>3915</v>
      </c>
      <c r="V322" t="s">
        <v>31</v>
      </c>
      <c r="W322">
        <v>0</v>
      </c>
    </row>
    <row r="323" spans="1:23" x14ac:dyDescent="0.25">
      <c r="A323" t="s">
        <v>4248</v>
      </c>
      <c r="B323" t="s">
        <v>672</v>
      </c>
      <c r="C323" t="s">
        <v>673</v>
      </c>
      <c r="D323" t="s">
        <v>4479</v>
      </c>
      <c r="E323" t="s">
        <v>4680</v>
      </c>
      <c r="F323" t="s">
        <v>3231</v>
      </c>
      <c r="G323" t="s">
        <v>1406</v>
      </c>
      <c r="H323" s="6">
        <v>46022</v>
      </c>
      <c r="I323" t="s">
        <v>29</v>
      </c>
      <c r="J323">
        <v>0</v>
      </c>
      <c r="K323">
        <v>0</v>
      </c>
      <c r="L323">
        <v>0</v>
      </c>
      <c r="M323">
        <v>0</v>
      </c>
      <c r="N323" t="s">
        <v>3915</v>
      </c>
      <c r="O323" t="s">
        <v>3915</v>
      </c>
      <c r="P323" t="s">
        <v>3915</v>
      </c>
      <c r="Q323">
        <v>0</v>
      </c>
      <c r="R323" t="s">
        <v>30</v>
      </c>
      <c r="S323">
        <v>0</v>
      </c>
      <c r="T323">
        <v>0</v>
      </c>
      <c r="U323" t="s">
        <v>3915</v>
      </c>
      <c r="V323" t="s">
        <v>31</v>
      </c>
      <c r="W323">
        <v>0</v>
      </c>
    </row>
    <row r="324" spans="1:23" x14ac:dyDescent="0.25">
      <c r="A324" t="s">
        <v>3923</v>
      </c>
      <c r="B324" t="s">
        <v>3235</v>
      </c>
      <c r="C324" t="s">
        <v>3234</v>
      </c>
      <c r="D324" t="s">
        <v>4479</v>
      </c>
      <c r="E324" t="s">
        <v>4680</v>
      </c>
      <c r="F324" t="s">
        <v>3231</v>
      </c>
      <c r="G324" t="s">
        <v>1406</v>
      </c>
      <c r="H324" s="6">
        <v>46022</v>
      </c>
      <c r="I324" t="s">
        <v>29</v>
      </c>
      <c r="J324">
        <v>8</v>
      </c>
      <c r="K324">
        <v>0</v>
      </c>
      <c r="L324">
        <v>0</v>
      </c>
      <c r="M324">
        <v>0</v>
      </c>
      <c r="N324" t="s">
        <v>3915</v>
      </c>
      <c r="O324" t="s">
        <v>3915</v>
      </c>
      <c r="P324" t="s">
        <v>3915</v>
      </c>
      <c r="Q324">
        <v>0</v>
      </c>
      <c r="R324" t="s">
        <v>30</v>
      </c>
      <c r="S324">
        <v>0</v>
      </c>
      <c r="T324">
        <v>0</v>
      </c>
      <c r="U324" t="s">
        <v>3915</v>
      </c>
      <c r="V324" t="s">
        <v>31</v>
      </c>
      <c r="W324">
        <v>0</v>
      </c>
    </row>
    <row r="325" spans="1:23" x14ac:dyDescent="0.25">
      <c r="A325" t="s">
        <v>4685</v>
      </c>
      <c r="B325" t="s">
        <v>4686</v>
      </c>
      <c r="C325" t="s">
        <v>4687</v>
      </c>
      <c r="D325" t="s">
        <v>4479</v>
      </c>
      <c r="E325" t="s">
        <v>4680</v>
      </c>
      <c r="F325" t="s">
        <v>3231</v>
      </c>
      <c r="G325" t="s">
        <v>1406</v>
      </c>
      <c r="H325" s="6">
        <v>46022</v>
      </c>
      <c r="I325" t="s">
        <v>29</v>
      </c>
      <c r="J325">
        <v>0</v>
      </c>
      <c r="K325">
        <v>0</v>
      </c>
      <c r="L325">
        <v>0</v>
      </c>
      <c r="M325">
        <v>0</v>
      </c>
      <c r="N325" t="s">
        <v>3915</v>
      </c>
      <c r="O325" t="s">
        <v>3915</v>
      </c>
      <c r="P325" t="s">
        <v>3915</v>
      </c>
      <c r="Q325">
        <v>0</v>
      </c>
      <c r="R325" t="s">
        <v>678</v>
      </c>
      <c r="S325">
        <v>0</v>
      </c>
      <c r="T325">
        <v>0</v>
      </c>
      <c r="U325" t="s">
        <v>3915</v>
      </c>
      <c r="V325" t="s">
        <v>31</v>
      </c>
      <c r="W325">
        <v>0</v>
      </c>
    </row>
    <row r="326" spans="1:23" x14ac:dyDescent="0.25">
      <c r="A326" t="s">
        <v>3947</v>
      </c>
      <c r="B326" t="s">
        <v>3243</v>
      </c>
      <c r="C326" t="s">
        <v>3242</v>
      </c>
      <c r="D326" t="s">
        <v>4479</v>
      </c>
      <c r="E326" t="s">
        <v>4680</v>
      </c>
      <c r="F326" t="s">
        <v>3231</v>
      </c>
      <c r="G326" t="s">
        <v>1406</v>
      </c>
      <c r="H326" s="6">
        <v>46022</v>
      </c>
      <c r="I326" t="s">
        <v>29</v>
      </c>
      <c r="J326">
        <v>4</v>
      </c>
      <c r="K326">
        <v>0</v>
      </c>
      <c r="L326">
        <v>0</v>
      </c>
      <c r="M326">
        <v>0</v>
      </c>
      <c r="N326" t="s">
        <v>3915</v>
      </c>
      <c r="O326" t="s">
        <v>3915</v>
      </c>
      <c r="P326" t="s">
        <v>3915</v>
      </c>
      <c r="Q326">
        <v>0</v>
      </c>
      <c r="R326" t="s">
        <v>30</v>
      </c>
      <c r="S326">
        <v>0</v>
      </c>
      <c r="T326">
        <v>0</v>
      </c>
      <c r="U326" t="s">
        <v>3915</v>
      </c>
      <c r="V326" t="s">
        <v>31</v>
      </c>
      <c r="W326">
        <v>0</v>
      </c>
    </row>
    <row r="327" spans="1:23" x14ac:dyDescent="0.25">
      <c r="A327" t="s">
        <v>4688</v>
      </c>
      <c r="B327" t="s">
        <v>3245</v>
      </c>
      <c r="C327" t="s">
        <v>3244</v>
      </c>
      <c r="D327" t="s">
        <v>4479</v>
      </c>
      <c r="E327" t="s">
        <v>4680</v>
      </c>
      <c r="F327" t="s">
        <v>3231</v>
      </c>
      <c r="G327" t="s">
        <v>1406</v>
      </c>
      <c r="H327" s="6">
        <v>46022</v>
      </c>
      <c r="I327" t="s">
        <v>29</v>
      </c>
      <c r="J327">
        <v>16</v>
      </c>
      <c r="K327">
        <v>0</v>
      </c>
      <c r="L327">
        <v>0</v>
      </c>
      <c r="M327">
        <v>0</v>
      </c>
      <c r="N327" t="s">
        <v>3915</v>
      </c>
      <c r="O327" t="s">
        <v>3915</v>
      </c>
      <c r="P327" t="s">
        <v>3915</v>
      </c>
      <c r="Q327">
        <v>0</v>
      </c>
      <c r="R327" t="s">
        <v>30</v>
      </c>
      <c r="S327">
        <v>0</v>
      </c>
      <c r="T327">
        <v>0</v>
      </c>
      <c r="U327" t="s">
        <v>3915</v>
      </c>
      <c r="V327" t="s">
        <v>31</v>
      </c>
      <c r="W327">
        <v>0</v>
      </c>
    </row>
    <row r="328" spans="1:23" x14ac:dyDescent="0.25">
      <c r="A328" t="s">
        <v>4689</v>
      </c>
      <c r="B328" t="s">
        <v>3247</v>
      </c>
      <c r="C328" t="s">
        <v>3246</v>
      </c>
      <c r="D328" t="s">
        <v>4479</v>
      </c>
      <c r="E328" t="s">
        <v>4680</v>
      </c>
      <c r="F328" t="s">
        <v>3231</v>
      </c>
      <c r="G328" t="s">
        <v>1406</v>
      </c>
      <c r="H328" s="6">
        <v>46022</v>
      </c>
      <c r="I328" t="s">
        <v>29</v>
      </c>
      <c r="J328">
        <v>19</v>
      </c>
      <c r="K328">
        <v>0</v>
      </c>
      <c r="L328">
        <v>0</v>
      </c>
      <c r="M328">
        <v>0</v>
      </c>
      <c r="N328" t="s">
        <v>3915</v>
      </c>
      <c r="O328" t="s">
        <v>3915</v>
      </c>
      <c r="P328" t="s">
        <v>3915</v>
      </c>
      <c r="Q328">
        <v>0</v>
      </c>
      <c r="R328" t="s">
        <v>30</v>
      </c>
      <c r="S328">
        <v>0</v>
      </c>
      <c r="T328">
        <v>0</v>
      </c>
      <c r="U328" t="s">
        <v>3915</v>
      </c>
      <c r="V328" t="s">
        <v>31</v>
      </c>
      <c r="W328">
        <v>0</v>
      </c>
    </row>
    <row r="329" spans="1:23" x14ac:dyDescent="0.25">
      <c r="A329" t="s">
        <v>4690</v>
      </c>
      <c r="B329" t="s">
        <v>3249</v>
      </c>
      <c r="C329" t="s">
        <v>3248</v>
      </c>
      <c r="D329" t="s">
        <v>4479</v>
      </c>
      <c r="E329" t="s">
        <v>4680</v>
      </c>
      <c r="F329" t="s">
        <v>3231</v>
      </c>
      <c r="G329" t="s">
        <v>1406</v>
      </c>
      <c r="H329" s="6">
        <v>46022</v>
      </c>
      <c r="I329" t="s">
        <v>29</v>
      </c>
      <c r="J329">
        <v>10</v>
      </c>
      <c r="K329">
        <v>0</v>
      </c>
      <c r="L329">
        <v>0</v>
      </c>
      <c r="M329">
        <v>0</v>
      </c>
      <c r="N329" t="s">
        <v>3915</v>
      </c>
      <c r="O329" t="s">
        <v>3915</v>
      </c>
      <c r="P329" t="s">
        <v>3915</v>
      </c>
      <c r="Q329">
        <v>0</v>
      </c>
      <c r="R329" t="s">
        <v>30</v>
      </c>
      <c r="S329">
        <v>0</v>
      </c>
      <c r="T329">
        <v>0</v>
      </c>
      <c r="U329" t="s">
        <v>3915</v>
      </c>
      <c r="V329" t="s">
        <v>31</v>
      </c>
      <c r="W329">
        <v>0</v>
      </c>
    </row>
    <row r="330" spans="1:23" x14ac:dyDescent="0.25">
      <c r="A330" t="s">
        <v>4691</v>
      </c>
      <c r="B330" t="s">
        <v>3251</v>
      </c>
      <c r="C330" t="s">
        <v>3250</v>
      </c>
      <c r="D330" t="s">
        <v>4479</v>
      </c>
      <c r="E330" t="s">
        <v>4680</v>
      </c>
      <c r="F330" t="s">
        <v>3231</v>
      </c>
      <c r="G330" t="s">
        <v>1406</v>
      </c>
      <c r="H330" s="6">
        <v>46022</v>
      </c>
      <c r="I330" t="s">
        <v>29</v>
      </c>
      <c r="J330">
        <v>1</v>
      </c>
      <c r="K330">
        <v>0</v>
      </c>
      <c r="L330">
        <v>0</v>
      </c>
      <c r="M330">
        <v>0</v>
      </c>
      <c r="N330" t="s">
        <v>3915</v>
      </c>
      <c r="O330" t="s">
        <v>3915</v>
      </c>
      <c r="P330" t="s">
        <v>3915</v>
      </c>
      <c r="Q330">
        <v>0</v>
      </c>
      <c r="R330" t="s">
        <v>30</v>
      </c>
      <c r="S330">
        <v>0</v>
      </c>
      <c r="T330">
        <v>0</v>
      </c>
      <c r="U330" t="s">
        <v>3915</v>
      </c>
      <c r="V330" t="s">
        <v>31</v>
      </c>
      <c r="W330">
        <v>0</v>
      </c>
    </row>
    <row r="331" spans="1:23" x14ac:dyDescent="0.25">
      <c r="A331" t="s">
        <v>4692</v>
      </c>
      <c r="B331" t="s">
        <v>3253</v>
      </c>
      <c r="C331" t="s">
        <v>3252</v>
      </c>
      <c r="D331" t="s">
        <v>4479</v>
      </c>
      <c r="E331" t="s">
        <v>4680</v>
      </c>
      <c r="F331" t="s">
        <v>3231</v>
      </c>
      <c r="G331" t="s">
        <v>1406</v>
      </c>
      <c r="H331" s="6">
        <v>46022</v>
      </c>
      <c r="I331" t="s">
        <v>29</v>
      </c>
      <c r="J331">
        <v>56</v>
      </c>
      <c r="K331">
        <v>0</v>
      </c>
      <c r="L331">
        <v>0</v>
      </c>
      <c r="M331">
        <v>0</v>
      </c>
      <c r="N331" t="s">
        <v>3915</v>
      </c>
      <c r="O331" t="s">
        <v>3915</v>
      </c>
      <c r="P331" t="s">
        <v>3915</v>
      </c>
      <c r="Q331">
        <v>0</v>
      </c>
      <c r="R331" t="s">
        <v>30</v>
      </c>
      <c r="S331">
        <v>0</v>
      </c>
      <c r="T331">
        <v>0</v>
      </c>
      <c r="U331" t="s">
        <v>3915</v>
      </c>
      <c r="V331" t="s">
        <v>31</v>
      </c>
      <c r="W331">
        <v>0</v>
      </c>
    </row>
    <row r="332" spans="1:23" x14ac:dyDescent="0.25">
      <c r="A332" t="s">
        <v>4286</v>
      </c>
      <c r="B332" t="s">
        <v>3255</v>
      </c>
      <c r="C332" t="s">
        <v>3254</v>
      </c>
      <c r="D332" t="s">
        <v>4479</v>
      </c>
      <c r="E332" t="s">
        <v>4680</v>
      </c>
      <c r="F332" t="s">
        <v>3231</v>
      </c>
      <c r="G332" t="s">
        <v>1406</v>
      </c>
      <c r="H332" s="6">
        <v>46022</v>
      </c>
      <c r="I332" t="s">
        <v>29</v>
      </c>
      <c r="J332">
        <v>10</v>
      </c>
      <c r="K332">
        <v>0</v>
      </c>
      <c r="L332">
        <v>0</v>
      </c>
      <c r="M332">
        <v>0</v>
      </c>
      <c r="N332" t="s">
        <v>3915</v>
      </c>
      <c r="O332" t="s">
        <v>3915</v>
      </c>
      <c r="P332" t="s">
        <v>3915</v>
      </c>
      <c r="Q332">
        <v>0</v>
      </c>
      <c r="R332" t="s">
        <v>30</v>
      </c>
      <c r="S332">
        <v>0</v>
      </c>
      <c r="T332">
        <v>0</v>
      </c>
      <c r="U332" t="s">
        <v>3915</v>
      </c>
      <c r="V332" t="s">
        <v>31</v>
      </c>
      <c r="W332">
        <v>0</v>
      </c>
    </row>
    <row r="333" spans="1:23" x14ac:dyDescent="0.25">
      <c r="A333" t="s">
        <v>4693</v>
      </c>
      <c r="B333" t="s">
        <v>3257</v>
      </c>
      <c r="C333" t="s">
        <v>3256</v>
      </c>
      <c r="D333" t="s">
        <v>4479</v>
      </c>
      <c r="E333" t="s">
        <v>4680</v>
      </c>
      <c r="F333" t="s">
        <v>3231</v>
      </c>
      <c r="G333" t="s">
        <v>1406</v>
      </c>
      <c r="H333" s="6">
        <v>46022</v>
      </c>
      <c r="I333" t="s">
        <v>29</v>
      </c>
      <c r="J333">
        <v>58</v>
      </c>
      <c r="K333">
        <v>0</v>
      </c>
      <c r="L333">
        <v>0</v>
      </c>
      <c r="M333">
        <v>0</v>
      </c>
      <c r="N333" t="s">
        <v>3915</v>
      </c>
      <c r="O333" t="s">
        <v>3915</v>
      </c>
      <c r="P333" t="s">
        <v>3915</v>
      </c>
      <c r="Q333">
        <v>0</v>
      </c>
      <c r="R333" t="s">
        <v>30</v>
      </c>
      <c r="S333">
        <v>0</v>
      </c>
      <c r="T333">
        <v>0</v>
      </c>
      <c r="U333" t="s">
        <v>3915</v>
      </c>
      <c r="V333" t="s">
        <v>31</v>
      </c>
      <c r="W333">
        <v>0</v>
      </c>
    </row>
    <row r="334" spans="1:23" x14ac:dyDescent="0.25">
      <c r="A334" t="s">
        <v>4694</v>
      </c>
      <c r="B334" t="s">
        <v>3259</v>
      </c>
      <c r="C334" t="s">
        <v>3258</v>
      </c>
      <c r="D334" t="s">
        <v>4479</v>
      </c>
      <c r="E334" t="s">
        <v>4680</v>
      </c>
      <c r="F334" t="s">
        <v>3231</v>
      </c>
      <c r="G334" t="s">
        <v>1406</v>
      </c>
      <c r="H334" s="6">
        <v>46022</v>
      </c>
      <c r="I334" t="s">
        <v>29</v>
      </c>
      <c r="J334">
        <v>104</v>
      </c>
      <c r="K334">
        <v>0</v>
      </c>
      <c r="L334">
        <v>0</v>
      </c>
      <c r="M334">
        <v>0</v>
      </c>
      <c r="N334" t="s">
        <v>3915</v>
      </c>
      <c r="O334" t="s">
        <v>3915</v>
      </c>
      <c r="P334" t="s">
        <v>3915</v>
      </c>
      <c r="Q334">
        <v>0</v>
      </c>
      <c r="R334" t="s">
        <v>30</v>
      </c>
      <c r="S334">
        <v>0</v>
      </c>
      <c r="T334">
        <v>0</v>
      </c>
      <c r="U334" t="s">
        <v>3915</v>
      </c>
      <c r="V334" t="s">
        <v>31</v>
      </c>
      <c r="W334">
        <v>0</v>
      </c>
    </row>
    <row r="335" spans="1:23" x14ac:dyDescent="0.25">
      <c r="A335" t="s">
        <v>4014</v>
      </c>
      <c r="B335" t="s">
        <v>3261</v>
      </c>
      <c r="C335" t="s">
        <v>3260</v>
      </c>
      <c r="D335" t="s">
        <v>4479</v>
      </c>
      <c r="E335" t="s">
        <v>4680</v>
      </c>
      <c r="F335" t="s">
        <v>3231</v>
      </c>
      <c r="G335" t="s">
        <v>1406</v>
      </c>
      <c r="H335" s="6">
        <v>46022</v>
      </c>
      <c r="I335" t="s">
        <v>29</v>
      </c>
      <c r="J335">
        <v>2</v>
      </c>
      <c r="K335">
        <v>0</v>
      </c>
      <c r="L335">
        <v>0</v>
      </c>
      <c r="M335">
        <v>0</v>
      </c>
      <c r="N335" t="s">
        <v>3915</v>
      </c>
      <c r="O335" t="s">
        <v>3915</v>
      </c>
      <c r="P335" t="s">
        <v>3915</v>
      </c>
      <c r="Q335">
        <v>0</v>
      </c>
      <c r="R335" t="s">
        <v>101</v>
      </c>
      <c r="S335">
        <v>0</v>
      </c>
      <c r="T335">
        <v>0</v>
      </c>
      <c r="U335" t="s">
        <v>3915</v>
      </c>
      <c r="V335" t="s">
        <v>31</v>
      </c>
      <c r="W335">
        <v>0</v>
      </c>
    </row>
    <row r="336" spans="1:23" x14ac:dyDescent="0.25">
      <c r="A336" t="s">
        <v>4145</v>
      </c>
      <c r="B336" t="s">
        <v>3263</v>
      </c>
      <c r="C336" t="s">
        <v>3262</v>
      </c>
      <c r="D336" t="s">
        <v>4479</v>
      </c>
      <c r="E336" t="s">
        <v>4680</v>
      </c>
      <c r="F336" t="s">
        <v>3231</v>
      </c>
      <c r="G336" t="s">
        <v>1406</v>
      </c>
      <c r="H336" s="6">
        <v>46022</v>
      </c>
      <c r="I336" t="s">
        <v>29</v>
      </c>
      <c r="J336">
        <v>9</v>
      </c>
      <c r="K336">
        <v>0</v>
      </c>
      <c r="L336">
        <v>0</v>
      </c>
      <c r="M336">
        <v>0</v>
      </c>
      <c r="N336" t="s">
        <v>3915</v>
      </c>
      <c r="O336" t="s">
        <v>3915</v>
      </c>
      <c r="P336" t="s">
        <v>3915</v>
      </c>
      <c r="Q336">
        <v>0</v>
      </c>
      <c r="R336" t="s">
        <v>30</v>
      </c>
      <c r="S336">
        <v>0</v>
      </c>
      <c r="T336">
        <v>0</v>
      </c>
      <c r="U336" t="s">
        <v>3915</v>
      </c>
      <c r="V336" t="s">
        <v>31</v>
      </c>
      <c r="W336">
        <v>0</v>
      </c>
    </row>
    <row r="337" spans="1:23" x14ac:dyDescent="0.25">
      <c r="A337" t="s">
        <v>4695</v>
      </c>
      <c r="B337" t="s">
        <v>3265</v>
      </c>
      <c r="C337" t="s">
        <v>3264</v>
      </c>
      <c r="D337" t="s">
        <v>4479</v>
      </c>
      <c r="E337" t="s">
        <v>4680</v>
      </c>
      <c r="F337" t="s">
        <v>3231</v>
      </c>
      <c r="G337" t="s">
        <v>1406</v>
      </c>
      <c r="H337" s="6">
        <v>46022</v>
      </c>
      <c r="I337" t="s">
        <v>29</v>
      </c>
      <c r="J337">
        <v>1</v>
      </c>
      <c r="K337">
        <v>0</v>
      </c>
      <c r="L337">
        <v>0</v>
      </c>
      <c r="M337">
        <v>0</v>
      </c>
      <c r="N337" t="s">
        <v>3915</v>
      </c>
      <c r="O337" t="s">
        <v>3915</v>
      </c>
      <c r="P337" t="s">
        <v>3915</v>
      </c>
      <c r="Q337">
        <v>0</v>
      </c>
      <c r="R337" t="s">
        <v>30</v>
      </c>
      <c r="S337">
        <v>0</v>
      </c>
      <c r="T337">
        <v>0</v>
      </c>
      <c r="U337" t="s">
        <v>3915</v>
      </c>
      <c r="V337" t="s">
        <v>31</v>
      </c>
      <c r="W337">
        <v>0</v>
      </c>
    </row>
    <row r="338" spans="1:23" x14ac:dyDescent="0.25">
      <c r="A338" t="s">
        <v>4257</v>
      </c>
      <c r="B338" t="s">
        <v>695</v>
      </c>
      <c r="C338" t="s">
        <v>696</v>
      </c>
      <c r="D338" t="s">
        <v>4479</v>
      </c>
      <c r="E338" t="s">
        <v>4680</v>
      </c>
      <c r="F338" t="s">
        <v>3231</v>
      </c>
      <c r="G338" t="s">
        <v>1406</v>
      </c>
      <c r="H338" s="6">
        <v>46022</v>
      </c>
      <c r="I338" t="s">
        <v>29</v>
      </c>
      <c r="J338">
        <v>0</v>
      </c>
      <c r="K338">
        <v>0</v>
      </c>
      <c r="L338">
        <v>0</v>
      </c>
      <c r="M338">
        <v>0</v>
      </c>
      <c r="N338" t="s">
        <v>3915</v>
      </c>
      <c r="O338" t="s">
        <v>3915</v>
      </c>
      <c r="P338" t="s">
        <v>3915</v>
      </c>
      <c r="Q338">
        <v>0</v>
      </c>
      <c r="R338" t="s">
        <v>30</v>
      </c>
      <c r="S338">
        <v>0</v>
      </c>
      <c r="T338">
        <v>0</v>
      </c>
      <c r="U338" t="s">
        <v>3915</v>
      </c>
      <c r="V338" t="s">
        <v>31</v>
      </c>
      <c r="W338">
        <v>0</v>
      </c>
    </row>
    <row r="339" spans="1:23" x14ac:dyDescent="0.25">
      <c r="A339" t="s">
        <v>10338</v>
      </c>
      <c r="B339" t="s">
        <v>1466</v>
      </c>
      <c r="C339" t="s">
        <v>1465</v>
      </c>
      <c r="D339" t="s">
        <v>4479</v>
      </c>
      <c r="E339" t="s">
        <v>4680</v>
      </c>
      <c r="F339" t="s">
        <v>3231</v>
      </c>
      <c r="G339" t="s">
        <v>1406</v>
      </c>
      <c r="H339" s="6">
        <v>46022</v>
      </c>
      <c r="I339" t="s">
        <v>29</v>
      </c>
      <c r="J339">
        <v>0</v>
      </c>
      <c r="K339">
        <v>0</v>
      </c>
      <c r="L339">
        <v>0</v>
      </c>
      <c r="M339">
        <v>0</v>
      </c>
      <c r="N339" t="s">
        <v>3915</v>
      </c>
      <c r="O339" t="s">
        <v>3915</v>
      </c>
      <c r="P339" t="s">
        <v>3915</v>
      </c>
      <c r="Q339">
        <v>0</v>
      </c>
      <c r="R339" t="s">
        <v>30</v>
      </c>
      <c r="S339">
        <v>0</v>
      </c>
      <c r="T339">
        <v>0</v>
      </c>
      <c r="U339" t="s">
        <v>3915</v>
      </c>
      <c r="V339" t="s">
        <v>31</v>
      </c>
      <c r="W339">
        <v>0</v>
      </c>
    </row>
    <row r="340" spans="1:23" x14ac:dyDescent="0.25">
      <c r="A340" t="s">
        <v>4696</v>
      </c>
      <c r="B340" t="s">
        <v>2123</v>
      </c>
      <c r="C340" t="s">
        <v>2122</v>
      </c>
      <c r="D340" t="s">
        <v>4479</v>
      </c>
      <c r="E340" t="s">
        <v>4680</v>
      </c>
      <c r="F340" t="s">
        <v>3231</v>
      </c>
      <c r="G340" t="s">
        <v>1406</v>
      </c>
      <c r="H340" s="6">
        <v>46022</v>
      </c>
      <c r="I340" t="s">
        <v>29</v>
      </c>
      <c r="J340">
        <v>0</v>
      </c>
      <c r="K340">
        <v>0</v>
      </c>
      <c r="L340">
        <v>0</v>
      </c>
      <c r="M340">
        <v>0</v>
      </c>
      <c r="N340" t="s">
        <v>3915</v>
      </c>
      <c r="O340" t="s">
        <v>3915</v>
      </c>
      <c r="P340" t="s">
        <v>3915</v>
      </c>
      <c r="Q340">
        <v>0</v>
      </c>
      <c r="R340" t="s">
        <v>30</v>
      </c>
      <c r="S340">
        <v>0</v>
      </c>
      <c r="T340">
        <v>0</v>
      </c>
      <c r="U340" t="s">
        <v>3915</v>
      </c>
      <c r="V340" t="s">
        <v>31</v>
      </c>
      <c r="W340">
        <v>0</v>
      </c>
    </row>
    <row r="341" spans="1:23" x14ac:dyDescent="0.25">
      <c r="A341" t="s">
        <v>4697</v>
      </c>
      <c r="B341" t="s">
        <v>1468</v>
      </c>
      <c r="C341" t="s">
        <v>1467</v>
      </c>
      <c r="D341" t="s">
        <v>4479</v>
      </c>
      <c r="E341" t="s">
        <v>4680</v>
      </c>
      <c r="F341" t="s">
        <v>3231</v>
      </c>
      <c r="G341" t="s">
        <v>1406</v>
      </c>
      <c r="H341" s="6">
        <v>46022</v>
      </c>
      <c r="I341" t="s">
        <v>29</v>
      </c>
      <c r="J341">
        <v>0</v>
      </c>
      <c r="K341">
        <v>0</v>
      </c>
      <c r="L341">
        <v>0</v>
      </c>
      <c r="M341">
        <v>0</v>
      </c>
      <c r="N341" t="s">
        <v>3915</v>
      </c>
      <c r="O341" t="s">
        <v>3915</v>
      </c>
      <c r="P341" t="s">
        <v>3915</v>
      </c>
      <c r="Q341">
        <v>0</v>
      </c>
      <c r="R341" t="s">
        <v>30</v>
      </c>
      <c r="S341">
        <v>0</v>
      </c>
      <c r="T341">
        <v>0</v>
      </c>
      <c r="U341" t="s">
        <v>3915</v>
      </c>
      <c r="V341" t="s">
        <v>31</v>
      </c>
      <c r="W341">
        <v>0</v>
      </c>
    </row>
    <row r="342" spans="1:23" x14ac:dyDescent="0.25">
      <c r="A342" t="s">
        <v>10272</v>
      </c>
      <c r="B342" t="s">
        <v>1470</v>
      </c>
      <c r="C342" t="s">
        <v>1469</v>
      </c>
      <c r="D342" t="s">
        <v>4479</v>
      </c>
      <c r="E342" t="s">
        <v>4680</v>
      </c>
      <c r="F342" t="s">
        <v>3231</v>
      </c>
      <c r="G342" t="s">
        <v>1406</v>
      </c>
      <c r="H342" s="6">
        <v>46022</v>
      </c>
      <c r="I342" t="s">
        <v>29</v>
      </c>
      <c r="J342">
        <v>0</v>
      </c>
      <c r="K342">
        <v>0</v>
      </c>
      <c r="L342">
        <v>0</v>
      </c>
      <c r="M342">
        <v>0</v>
      </c>
      <c r="N342" t="s">
        <v>3915</v>
      </c>
      <c r="O342" t="s">
        <v>3915</v>
      </c>
      <c r="P342" t="s">
        <v>3915</v>
      </c>
      <c r="Q342">
        <v>0</v>
      </c>
      <c r="R342" t="s">
        <v>30</v>
      </c>
      <c r="S342">
        <v>0</v>
      </c>
      <c r="T342">
        <v>0</v>
      </c>
      <c r="U342" t="s">
        <v>3915</v>
      </c>
      <c r="V342" t="s">
        <v>31</v>
      </c>
      <c r="W342">
        <v>0</v>
      </c>
    </row>
    <row r="343" spans="1:23" x14ac:dyDescent="0.25">
      <c r="A343" t="s">
        <v>10344</v>
      </c>
      <c r="B343" t="s">
        <v>1474</v>
      </c>
      <c r="C343" t="s">
        <v>1473</v>
      </c>
      <c r="D343" t="s">
        <v>4479</v>
      </c>
      <c r="E343" t="s">
        <v>4680</v>
      </c>
      <c r="F343" t="s">
        <v>3231</v>
      </c>
      <c r="G343" t="s">
        <v>1406</v>
      </c>
      <c r="H343" s="6">
        <v>46022</v>
      </c>
      <c r="I343" t="s">
        <v>29</v>
      </c>
      <c r="J343">
        <v>0</v>
      </c>
      <c r="K343">
        <v>0</v>
      </c>
      <c r="L343">
        <v>0</v>
      </c>
      <c r="M343">
        <v>0</v>
      </c>
      <c r="N343" t="s">
        <v>3915</v>
      </c>
      <c r="O343" t="s">
        <v>3915</v>
      </c>
      <c r="P343" t="s">
        <v>3915</v>
      </c>
      <c r="Q343">
        <v>0</v>
      </c>
      <c r="R343" t="s">
        <v>30</v>
      </c>
      <c r="S343">
        <v>0</v>
      </c>
      <c r="T343">
        <v>0</v>
      </c>
      <c r="U343" t="s">
        <v>3915</v>
      </c>
      <c r="V343" t="s">
        <v>31</v>
      </c>
      <c r="W343">
        <v>0</v>
      </c>
    </row>
    <row r="344" spans="1:23" x14ac:dyDescent="0.25">
      <c r="A344" t="s">
        <v>4698</v>
      </c>
      <c r="B344" t="s">
        <v>1476</v>
      </c>
      <c r="C344" t="s">
        <v>1475</v>
      </c>
      <c r="D344" t="s">
        <v>4479</v>
      </c>
      <c r="E344" t="s">
        <v>4680</v>
      </c>
      <c r="F344" t="s">
        <v>3231</v>
      </c>
      <c r="G344" t="s">
        <v>1406</v>
      </c>
      <c r="H344" s="6">
        <v>46022</v>
      </c>
      <c r="I344" t="s">
        <v>29</v>
      </c>
      <c r="J344">
        <v>0</v>
      </c>
      <c r="K344">
        <v>0</v>
      </c>
      <c r="L344">
        <v>0</v>
      </c>
      <c r="M344">
        <v>0</v>
      </c>
      <c r="N344" t="s">
        <v>3915</v>
      </c>
      <c r="O344" t="s">
        <v>3915</v>
      </c>
      <c r="P344" t="s">
        <v>3915</v>
      </c>
      <c r="Q344">
        <v>0</v>
      </c>
      <c r="R344" t="s">
        <v>30</v>
      </c>
      <c r="S344">
        <v>0</v>
      </c>
      <c r="T344">
        <v>0</v>
      </c>
      <c r="U344" t="s">
        <v>3915</v>
      </c>
      <c r="V344" t="s">
        <v>31</v>
      </c>
      <c r="W344">
        <v>0</v>
      </c>
    </row>
    <row r="345" spans="1:23" x14ac:dyDescent="0.25">
      <c r="A345" t="s">
        <v>4699</v>
      </c>
      <c r="B345" t="s">
        <v>699</v>
      </c>
      <c r="C345" t="s">
        <v>700</v>
      </c>
      <c r="D345" t="s">
        <v>4479</v>
      </c>
      <c r="E345" t="s">
        <v>4680</v>
      </c>
      <c r="F345" t="s">
        <v>3231</v>
      </c>
      <c r="G345" t="s">
        <v>1406</v>
      </c>
      <c r="H345" s="6">
        <v>46022</v>
      </c>
      <c r="I345" t="s">
        <v>29</v>
      </c>
      <c r="J345">
        <v>0</v>
      </c>
      <c r="K345">
        <v>0</v>
      </c>
      <c r="L345">
        <v>0</v>
      </c>
      <c r="M345">
        <v>0</v>
      </c>
      <c r="N345" t="s">
        <v>3915</v>
      </c>
      <c r="O345" t="s">
        <v>3915</v>
      </c>
      <c r="P345" t="s">
        <v>3915</v>
      </c>
      <c r="Q345">
        <v>0</v>
      </c>
      <c r="R345" t="s">
        <v>30</v>
      </c>
      <c r="S345">
        <v>0</v>
      </c>
      <c r="T345">
        <v>0</v>
      </c>
      <c r="U345" t="s">
        <v>3915</v>
      </c>
      <c r="V345" t="s">
        <v>31</v>
      </c>
      <c r="W345">
        <v>0</v>
      </c>
    </row>
    <row r="346" spans="1:23" x14ac:dyDescent="0.25">
      <c r="A346" t="s">
        <v>4700</v>
      </c>
      <c r="B346" t="s">
        <v>3267</v>
      </c>
      <c r="C346" t="s">
        <v>3266</v>
      </c>
      <c r="D346" t="s">
        <v>4479</v>
      </c>
      <c r="E346" t="s">
        <v>4680</v>
      </c>
      <c r="F346" t="s">
        <v>3231</v>
      </c>
      <c r="G346" t="s">
        <v>1406</v>
      </c>
      <c r="H346" s="6">
        <v>46022</v>
      </c>
      <c r="I346" t="s">
        <v>29</v>
      </c>
      <c r="J346">
        <v>3</v>
      </c>
      <c r="K346">
        <v>0</v>
      </c>
      <c r="L346">
        <v>0</v>
      </c>
      <c r="M346">
        <v>0</v>
      </c>
      <c r="N346" t="s">
        <v>3915</v>
      </c>
      <c r="O346" t="s">
        <v>3915</v>
      </c>
      <c r="P346" t="s">
        <v>3915</v>
      </c>
      <c r="Q346">
        <v>0</v>
      </c>
      <c r="R346" t="s">
        <v>30</v>
      </c>
      <c r="S346">
        <v>0</v>
      </c>
      <c r="T346">
        <v>0</v>
      </c>
      <c r="U346" t="s">
        <v>3915</v>
      </c>
      <c r="V346" t="s">
        <v>31</v>
      </c>
      <c r="W346">
        <v>0</v>
      </c>
    </row>
    <row r="347" spans="1:23" x14ac:dyDescent="0.25">
      <c r="A347" t="s">
        <v>3948</v>
      </c>
      <c r="B347" t="s">
        <v>3269</v>
      </c>
      <c r="C347" t="s">
        <v>3268</v>
      </c>
      <c r="D347" t="s">
        <v>4479</v>
      </c>
      <c r="E347" t="s">
        <v>4680</v>
      </c>
      <c r="F347" t="s">
        <v>3231</v>
      </c>
      <c r="G347" t="s">
        <v>1406</v>
      </c>
      <c r="H347" s="6">
        <v>46022</v>
      </c>
      <c r="I347" t="s">
        <v>29</v>
      </c>
      <c r="J347">
        <v>8</v>
      </c>
      <c r="K347">
        <v>0</v>
      </c>
      <c r="L347">
        <v>0</v>
      </c>
      <c r="M347">
        <v>0</v>
      </c>
      <c r="N347" t="s">
        <v>3915</v>
      </c>
      <c r="O347" t="s">
        <v>3915</v>
      </c>
      <c r="P347" t="s">
        <v>3915</v>
      </c>
      <c r="Q347">
        <v>0</v>
      </c>
      <c r="R347" t="s">
        <v>30</v>
      </c>
      <c r="S347">
        <v>0</v>
      </c>
      <c r="T347">
        <v>0</v>
      </c>
      <c r="U347" t="s">
        <v>3915</v>
      </c>
      <c r="V347" t="s">
        <v>31</v>
      </c>
      <c r="W347">
        <v>0</v>
      </c>
    </row>
    <row r="348" spans="1:23" x14ac:dyDescent="0.25">
      <c r="A348" t="s">
        <v>4701</v>
      </c>
      <c r="B348" t="s">
        <v>3271</v>
      </c>
      <c r="C348" t="s">
        <v>3270</v>
      </c>
      <c r="D348" t="s">
        <v>4479</v>
      </c>
      <c r="E348" t="s">
        <v>4680</v>
      </c>
      <c r="F348" t="s">
        <v>3231</v>
      </c>
      <c r="G348" t="s">
        <v>1406</v>
      </c>
      <c r="H348" s="6">
        <v>46022</v>
      </c>
      <c r="I348" t="s">
        <v>29</v>
      </c>
      <c r="J348">
        <v>20</v>
      </c>
      <c r="K348">
        <v>0</v>
      </c>
      <c r="L348">
        <v>0</v>
      </c>
      <c r="M348">
        <v>0</v>
      </c>
      <c r="N348" t="s">
        <v>3915</v>
      </c>
      <c r="O348" t="s">
        <v>3915</v>
      </c>
      <c r="P348" t="s">
        <v>3915</v>
      </c>
      <c r="Q348">
        <v>0</v>
      </c>
      <c r="R348" t="s">
        <v>30</v>
      </c>
      <c r="S348">
        <v>0</v>
      </c>
      <c r="T348">
        <v>0</v>
      </c>
      <c r="U348" t="s">
        <v>3915</v>
      </c>
      <c r="V348" t="s">
        <v>31</v>
      </c>
      <c r="W348">
        <v>0</v>
      </c>
    </row>
    <row r="349" spans="1:23" x14ac:dyDescent="0.25">
      <c r="A349" t="s">
        <v>4702</v>
      </c>
      <c r="B349" t="s">
        <v>3273</v>
      </c>
      <c r="C349" t="s">
        <v>3272</v>
      </c>
      <c r="D349" t="s">
        <v>4479</v>
      </c>
      <c r="E349" t="s">
        <v>4680</v>
      </c>
      <c r="F349" t="s">
        <v>3231</v>
      </c>
      <c r="G349" t="s">
        <v>1406</v>
      </c>
      <c r="H349" s="6">
        <v>46022</v>
      </c>
      <c r="I349" t="s">
        <v>29</v>
      </c>
      <c r="J349">
        <v>8</v>
      </c>
      <c r="K349">
        <v>0</v>
      </c>
      <c r="L349">
        <v>0</v>
      </c>
      <c r="M349">
        <v>0</v>
      </c>
      <c r="N349" t="s">
        <v>3915</v>
      </c>
      <c r="O349" t="s">
        <v>3915</v>
      </c>
      <c r="P349" t="s">
        <v>3915</v>
      </c>
      <c r="Q349">
        <v>0</v>
      </c>
      <c r="R349" t="s">
        <v>30</v>
      </c>
      <c r="S349">
        <v>0</v>
      </c>
      <c r="T349">
        <v>0</v>
      </c>
      <c r="U349" t="s">
        <v>3915</v>
      </c>
      <c r="V349" t="s">
        <v>31</v>
      </c>
      <c r="W349">
        <v>0</v>
      </c>
    </row>
    <row r="350" spans="1:23" x14ac:dyDescent="0.25">
      <c r="A350" t="s">
        <v>4703</v>
      </c>
      <c r="B350" t="s">
        <v>3275</v>
      </c>
      <c r="C350" t="s">
        <v>3274</v>
      </c>
      <c r="D350" t="s">
        <v>4479</v>
      </c>
      <c r="E350" t="s">
        <v>4680</v>
      </c>
      <c r="F350" t="s">
        <v>3231</v>
      </c>
      <c r="G350" t="s">
        <v>1406</v>
      </c>
      <c r="H350" s="6">
        <v>46022</v>
      </c>
      <c r="I350" t="s">
        <v>29</v>
      </c>
      <c r="J350">
        <v>12</v>
      </c>
      <c r="K350">
        <v>0</v>
      </c>
      <c r="L350">
        <v>0</v>
      </c>
      <c r="M350">
        <v>0</v>
      </c>
      <c r="N350" t="s">
        <v>3915</v>
      </c>
      <c r="O350" t="s">
        <v>3915</v>
      </c>
      <c r="P350" t="s">
        <v>3915</v>
      </c>
      <c r="Q350">
        <v>0</v>
      </c>
      <c r="R350" t="s">
        <v>30</v>
      </c>
      <c r="S350">
        <v>0</v>
      </c>
      <c r="T350">
        <v>0</v>
      </c>
      <c r="U350" t="s">
        <v>3915</v>
      </c>
      <c r="V350" t="s">
        <v>31</v>
      </c>
      <c r="W350">
        <v>0</v>
      </c>
    </row>
    <row r="351" spans="1:23" x14ac:dyDescent="0.25">
      <c r="A351" t="s">
        <v>4704</v>
      </c>
      <c r="B351" t="s">
        <v>2153</v>
      </c>
      <c r="C351" t="s">
        <v>2152</v>
      </c>
      <c r="D351" t="s">
        <v>4479</v>
      </c>
      <c r="E351" t="s">
        <v>4680</v>
      </c>
      <c r="F351" t="s">
        <v>3231</v>
      </c>
      <c r="G351" t="s">
        <v>1406</v>
      </c>
      <c r="H351" s="6">
        <v>46022</v>
      </c>
      <c r="I351" t="s">
        <v>29</v>
      </c>
      <c r="J351">
        <v>12</v>
      </c>
      <c r="K351">
        <v>0</v>
      </c>
      <c r="L351">
        <v>0</v>
      </c>
      <c r="M351">
        <v>0</v>
      </c>
      <c r="N351" t="s">
        <v>3915</v>
      </c>
      <c r="O351" t="s">
        <v>3915</v>
      </c>
      <c r="P351" t="s">
        <v>3915</v>
      </c>
      <c r="Q351">
        <v>0</v>
      </c>
      <c r="R351" t="s">
        <v>30</v>
      </c>
      <c r="S351">
        <v>0</v>
      </c>
      <c r="T351">
        <v>0</v>
      </c>
      <c r="U351" t="s">
        <v>3915</v>
      </c>
      <c r="V351" t="s">
        <v>31</v>
      </c>
      <c r="W351">
        <v>0</v>
      </c>
    </row>
    <row r="352" spans="1:23" x14ac:dyDescent="0.25">
      <c r="A352" t="s">
        <v>4705</v>
      </c>
      <c r="B352" t="s">
        <v>3277</v>
      </c>
      <c r="C352" t="s">
        <v>3276</v>
      </c>
      <c r="D352" t="s">
        <v>4479</v>
      </c>
      <c r="E352" t="s">
        <v>4680</v>
      </c>
      <c r="F352" t="s">
        <v>3231</v>
      </c>
      <c r="G352" t="s">
        <v>1406</v>
      </c>
      <c r="H352" s="6">
        <v>46022</v>
      </c>
      <c r="I352" t="s">
        <v>29</v>
      </c>
      <c r="J352">
        <v>138</v>
      </c>
      <c r="K352">
        <v>0</v>
      </c>
      <c r="L352">
        <v>0</v>
      </c>
      <c r="M352">
        <v>0</v>
      </c>
      <c r="N352" t="s">
        <v>3915</v>
      </c>
      <c r="O352" t="s">
        <v>3915</v>
      </c>
      <c r="P352" t="s">
        <v>3915</v>
      </c>
      <c r="Q352">
        <v>0</v>
      </c>
      <c r="R352" t="s">
        <v>30</v>
      </c>
      <c r="S352">
        <v>0</v>
      </c>
      <c r="T352">
        <v>0</v>
      </c>
      <c r="U352" t="s">
        <v>3915</v>
      </c>
      <c r="V352" t="s">
        <v>31</v>
      </c>
      <c r="W352">
        <v>0</v>
      </c>
    </row>
    <row r="353" spans="1:23" x14ac:dyDescent="0.25">
      <c r="A353" t="s">
        <v>4706</v>
      </c>
      <c r="B353" t="s">
        <v>3279</v>
      </c>
      <c r="C353" t="s">
        <v>3278</v>
      </c>
      <c r="D353" t="s">
        <v>4479</v>
      </c>
      <c r="E353" t="s">
        <v>4680</v>
      </c>
      <c r="F353" t="s">
        <v>3231</v>
      </c>
      <c r="G353" t="s">
        <v>1406</v>
      </c>
      <c r="H353" s="6">
        <v>46022</v>
      </c>
      <c r="I353" t="s">
        <v>29</v>
      </c>
      <c r="J353">
        <v>1100</v>
      </c>
      <c r="K353">
        <v>0</v>
      </c>
      <c r="L353">
        <v>0</v>
      </c>
      <c r="M353">
        <v>0</v>
      </c>
      <c r="N353" t="s">
        <v>3915</v>
      </c>
      <c r="O353" t="s">
        <v>3915</v>
      </c>
      <c r="P353" t="s">
        <v>3915</v>
      </c>
      <c r="Q353">
        <v>0</v>
      </c>
      <c r="R353" t="s">
        <v>30</v>
      </c>
      <c r="S353">
        <v>0</v>
      </c>
      <c r="T353">
        <v>0</v>
      </c>
      <c r="U353" t="s">
        <v>3915</v>
      </c>
      <c r="V353" t="s">
        <v>31</v>
      </c>
      <c r="W353">
        <v>0</v>
      </c>
    </row>
    <row r="354" spans="1:23" x14ac:dyDescent="0.25">
      <c r="A354" t="s">
        <v>4707</v>
      </c>
      <c r="B354" t="s">
        <v>2155</v>
      </c>
      <c r="C354" t="s">
        <v>2154</v>
      </c>
      <c r="D354" t="s">
        <v>4479</v>
      </c>
      <c r="E354" t="s">
        <v>4680</v>
      </c>
      <c r="F354" t="s">
        <v>3231</v>
      </c>
      <c r="G354" t="s">
        <v>1406</v>
      </c>
      <c r="H354" s="6">
        <v>46022</v>
      </c>
      <c r="I354" t="s">
        <v>29</v>
      </c>
      <c r="J354">
        <v>6082</v>
      </c>
      <c r="K354">
        <v>0</v>
      </c>
      <c r="L354">
        <v>0</v>
      </c>
      <c r="M354">
        <v>0</v>
      </c>
      <c r="N354" t="s">
        <v>3915</v>
      </c>
      <c r="O354" t="s">
        <v>3915</v>
      </c>
      <c r="P354" t="s">
        <v>3915</v>
      </c>
      <c r="Q354">
        <v>0</v>
      </c>
      <c r="R354" t="s">
        <v>30</v>
      </c>
      <c r="S354">
        <v>0</v>
      </c>
      <c r="T354">
        <v>0</v>
      </c>
      <c r="U354" t="s">
        <v>3915</v>
      </c>
      <c r="V354" t="s">
        <v>31</v>
      </c>
      <c r="W354">
        <v>0</v>
      </c>
    </row>
    <row r="355" spans="1:23" x14ac:dyDescent="0.25">
      <c r="A355" t="s">
        <v>4708</v>
      </c>
      <c r="B355" t="s">
        <v>2157</v>
      </c>
      <c r="C355" t="s">
        <v>2156</v>
      </c>
      <c r="D355" t="s">
        <v>4479</v>
      </c>
      <c r="E355" t="s">
        <v>4680</v>
      </c>
      <c r="F355" t="s">
        <v>3231</v>
      </c>
      <c r="G355" t="s">
        <v>1406</v>
      </c>
      <c r="H355" s="6">
        <v>46022</v>
      </c>
      <c r="I355" t="s">
        <v>29</v>
      </c>
      <c r="J355">
        <v>45418</v>
      </c>
      <c r="K355">
        <v>0</v>
      </c>
      <c r="L355">
        <v>0</v>
      </c>
      <c r="M355">
        <v>0</v>
      </c>
      <c r="N355" t="s">
        <v>3915</v>
      </c>
      <c r="O355" t="s">
        <v>3915</v>
      </c>
      <c r="P355" t="s">
        <v>3915</v>
      </c>
      <c r="Q355">
        <v>0</v>
      </c>
      <c r="R355" t="s">
        <v>30</v>
      </c>
      <c r="S355">
        <v>0</v>
      </c>
      <c r="T355">
        <v>0</v>
      </c>
      <c r="U355" t="s">
        <v>3915</v>
      </c>
      <c r="V355" t="s">
        <v>31</v>
      </c>
      <c r="W355">
        <v>0</v>
      </c>
    </row>
    <row r="356" spans="1:23" x14ac:dyDescent="0.25">
      <c r="A356" t="s">
        <v>4709</v>
      </c>
      <c r="B356" t="s">
        <v>3281</v>
      </c>
      <c r="C356" t="s">
        <v>3280</v>
      </c>
      <c r="D356" t="s">
        <v>4479</v>
      </c>
      <c r="E356" t="s">
        <v>4680</v>
      </c>
      <c r="F356" t="s">
        <v>3231</v>
      </c>
      <c r="G356" t="s">
        <v>1406</v>
      </c>
      <c r="H356" s="6">
        <v>46022</v>
      </c>
      <c r="I356" t="s">
        <v>29</v>
      </c>
      <c r="J356">
        <v>3933</v>
      </c>
      <c r="K356">
        <v>0</v>
      </c>
      <c r="L356">
        <v>0</v>
      </c>
      <c r="M356">
        <v>0</v>
      </c>
      <c r="N356" t="s">
        <v>3915</v>
      </c>
      <c r="O356" t="s">
        <v>3915</v>
      </c>
      <c r="P356" t="s">
        <v>3915</v>
      </c>
      <c r="Q356">
        <v>0</v>
      </c>
      <c r="R356" t="s">
        <v>30</v>
      </c>
      <c r="S356">
        <v>0</v>
      </c>
      <c r="T356">
        <v>0</v>
      </c>
      <c r="U356" t="s">
        <v>3915</v>
      </c>
      <c r="V356" t="s">
        <v>31</v>
      </c>
      <c r="W356">
        <v>0</v>
      </c>
    </row>
    <row r="357" spans="1:23" x14ac:dyDescent="0.25">
      <c r="A357" t="s">
        <v>4710</v>
      </c>
      <c r="B357" t="s">
        <v>3283</v>
      </c>
      <c r="C357" t="s">
        <v>3282</v>
      </c>
      <c r="D357" t="s">
        <v>4479</v>
      </c>
      <c r="E357" t="s">
        <v>4680</v>
      </c>
      <c r="F357" t="s">
        <v>3231</v>
      </c>
      <c r="G357" t="s">
        <v>1406</v>
      </c>
      <c r="H357" s="6">
        <v>46022</v>
      </c>
      <c r="I357" t="s">
        <v>29</v>
      </c>
      <c r="J357">
        <v>4</v>
      </c>
      <c r="K357">
        <v>0</v>
      </c>
      <c r="L357">
        <v>0</v>
      </c>
      <c r="M357">
        <v>0</v>
      </c>
      <c r="N357" t="s">
        <v>3915</v>
      </c>
      <c r="O357" t="s">
        <v>3915</v>
      </c>
      <c r="P357" t="s">
        <v>3915</v>
      </c>
      <c r="Q357">
        <v>0</v>
      </c>
      <c r="R357" t="s">
        <v>30</v>
      </c>
      <c r="S357">
        <v>0</v>
      </c>
      <c r="T357">
        <v>0</v>
      </c>
      <c r="U357" t="s">
        <v>3915</v>
      </c>
      <c r="V357" t="s">
        <v>31</v>
      </c>
      <c r="W357">
        <v>0</v>
      </c>
    </row>
    <row r="358" spans="1:23" x14ac:dyDescent="0.25">
      <c r="A358" t="s">
        <v>4711</v>
      </c>
      <c r="B358" t="s">
        <v>3285</v>
      </c>
      <c r="C358" t="s">
        <v>3284</v>
      </c>
      <c r="D358" t="s">
        <v>4479</v>
      </c>
      <c r="E358" t="s">
        <v>4680</v>
      </c>
      <c r="F358" t="s">
        <v>3231</v>
      </c>
      <c r="G358" t="s">
        <v>1406</v>
      </c>
      <c r="H358" s="6">
        <v>46022</v>
      </c>
      <c r="I358" t="s">
        <v>29</v>
      </c>
      <c r="J358">
        <v>188</v>
      </c>
      <c r="K358">
        <v>0</v>
      </c>
      <c r="L358">
        <v>0</v>
      </c>
      <c r="M358">
        <v>0</v>
      </c>
      <c r="N358" t="s">
        <v>3915</v>
      </c>
      <c r="O358" t="s">
        <v>3915</v>
      </c>
      <c r="P358" t="s">
        <v>3915</v>
      </c>
      <c r="Q358">
        <v>0</v>
      </c>
      <c r="R358" t="s">
        <v>30</v>
      </c>
      <c r="S358">
        <v>0</v>
      </c>
      <c r="T358">
        <v>0</v>
      </c>
      <c r="U358" t="s">
        <v>3915</v>
      </c>
      <c r="V358" t="s">
        <v>31</v>
      </c>
      <c r="W358">
        <v>0</v>
      </c>
    </row>
    <row r="359" spans="1:23" x14ac:dyDescent="0.25">
      <c r="A359" t="s">
        <v>4712</v>
      </c>
      <c r="B359" t="s">
        <v>3287</v>
      </c>
      <c r="C359" t="s">
        <v>3286</v>
      </c>
      <c r="D359" t="s">
        <v>4479</v>
      </c>
      <c r="E359" t="s">
        <v>4680</v>
      </c>
      <c r="F359" t="s">
        <v>3231</v>
      </c>
      <c r="G359" t="s">
        <v>1406</v>
      </c>
      <c r="H359" s="6">
        <v>46022</v>
      </c>
      <c r="I359" t="s">
        <v>29</v>
      </c>
      <c r="J359">
        <v>498</v>
      </c>
      <c r="K359">
        <v>0</v>
      </c>
      <c r="L359">
        <v>0</v>
      </c>
      <c r="M359">
        <v>0</v>
      </c>
      <c r="N359" t="s">
        <v>3915</v>
      </c>
      <c r="O359" t="s">
        <v>3915</v>
      </c>
      <c r="P359" t="s">
        <v>3915</v>
      </c>
      <c r="Q359">
        <v>0</v>
      </c>
      <c r="R359" t="s">
        <v>30</v>
      </c>
      <c r="S359">
        <v>0</v>
      </c>
      <c r="T359">
        <v>0</v>
      </c>
      <c r="U359" t="s">
        <v>3915</v>
      </c>
      <c r="V359" t="s">
        <v>31</v>
      </c>
      <c r="W359">
        <v>0</v>
      </c>
    </row>
    <row r="360" spans="1:23" x14ac:dyDescent="0.25">
      <c r="A360" t="s">
        <v>4713</v>
      </c>
      <c r="B360" t="s">
        <v>3289</v>
      </c>
      <c r="C360" t="s">
        <v>3288</v>
      </c>
      <c r="D360" t="s">
        <v>4479</v>
      </c>
      <c r="E360" t="s">
        <v>4680</v>
      </c>
      <c r="F360" t="s">
        <v>3231</v>
      </c>
      <c r="G360" t="s">
        <v>1406</v>
      </c>
      <c r="H360" s="6">
        <v>46022</v>
      </c>
      <c r="I360" t="s">
        <v>29</v>
      </c>
      <c r="J360">
        <v>5</v>
      </c>
      <c r="K360">
        <v>0</v>
      </c>
      <c r="L360">
        <v>0</v>
      </c>
      <c r="M360">
        <v>0</v>
      </c>
      <c r="N360" t="s">
        <v>3915</v>
      </c>
      <c r="O360" t="s">
        <v>3915</v>
      </c>
      <c r="P360" t="s">
        <v>3915</v>
      </c>
      <c r="Q360">
        <v>0</v>
      </c>
      <c r="R360" t="s">
        <v>30</v>
      </c>
      <c r="S360">
        <v>0</v>
      </c>
      <c r="T360">
        <v>0</v>
      </c>
      <c r="U360" t="s">
        <v>3915</v>
      </c>
      <c r="V360" t="s">
        <v>31</v>
      </c>
      <c r="W360">
        <v>0</v>
      </c>
    </row>
    <row r="361" spans="1:23" x14ac:dyDescent="0.25">
      <c r="A361" t="s">
        <v>4714</v>
      </c>
      <c r="B361" t="s">
        <v>3291</v>
      </c>
      <c r="C361" t="s">
        <v>3290</v>
      </c>
      <c r="D361" t="s">
        <v>4479</v>
      </c>
      <c r="E361" t="s">
        <v>4680</v>
      </c>
      <c r="F361" t="s">
        <v>3231</v>
      </c>
      <c r="G361" t="s">
        <v>1406</v>
      </c>
      <c r="H361" s="6">
        <v>46022</v>
      </c>
      <c r="I361" t="s">
        <v>29</v>
      </c>
      <c r="J361">
        <v>13</v>
      </c>
      <c r="K361">
        <v>0</v>
      </c>
      <c r="L361">
        <v>0</v>
      </c>
      <c r="M361">
        <v>0</v>
      </c>
      <c r="N361" t="s">
        <v>3915</v>
      </c>
      <c r="O361" t="s">
        <v>3915</v>
      </c>
      <c r="P361" t="s">
        <v>3915</v>
      </c>
      <c r="Q361">
        <v>0</v>
      </c>
      <c r="R361" t="s">
        <v>30</v>
      </c>
      <c r="S361">
        <v>0</v>
      </c>
      <c r="T361">
        <v>0</v>
      </c>
      <c r="U361" t="s">
        <v>3915</v>
      </c>
      <c r="V361" t="s">
        <v>31</v>
      </c>
      <c r="W361">
        <v>0</v>
      </c>
    </row>
    <row r="362" spans="1:23" x14ac:dyDescent="0.25">
      <c r="A362" t="s">
        <v>4715</v>
      </c>
      <c r="B362" t="s">
        <v>3293</v>
      </c>
      <c r="C362" t="s">
        <v>3292</v>
      </c>
      <c r="D362" t="s">
        <v>4479</v>
      </c>
      <c r="E362" t="s">
        <v>4680</v>
      </c>
      <c r="F362" t="s">
        <v>3231</v>
      </c>
      <c r="G362" t="s">
        <v>1406</v>
      </c>
      <c r="H362" s="6">
        <v>46022</v>
      </c>
      <c r="I362" t="s">
        <v>29</v>
      </c>
      <c r="J362">
        <v>2</v>
      </c>
      <c r="K362">
        <v>0</v>
      </c>
      <c r="L362">
        <v>0</v>
      </c>
      <c r="M362">
        <v>0</v>
      </c>
      <c r="N362" t="s">
        <v>3915</v>
      </c>
      <c r="O362" t="s">
        <v>3915</v>
      </c>
      <c r="P362" t="s">
        <v>3915</v>
      </c>
      <c r="Q362">
        <v>0</v>
      </c>
      <c r="R362" t="s">
        <v>30</v>
      </c>
      <c r="S362">
        <v>0</v>
      </c>
      <c r="T362">
        <v>0</v>
      </c>
      <c r="U362" t="s">
        <v>3915</v>
      </c>
      <c r="V362" t="s">
        <v>31</v>
      </c>
      <c r="W362">
        <v>0</v>
      </c>
    </row>
    <row r="363" spans="1:23" x14ac:dyDescent="0.25">
      <c r="A363" t="s">
        <v>4716</v>
      </c>
      <c r="B363" t="s">
        <v>709</v>
      </c>
      <c r="C363" t="s">
        <v>710</v>
      </c>
      <c r="D363" t="s">
        <v>4479</v>
      </c>
      <c r="E363" t="s">
        <v>4680</v>
      </c>
      <c r="F363" t="s">
        <v>3231</v>
      </c>
      <c r="G363" t="s">
        <v>1406</v>
      </c>
      <c r="H363" s="6">
        <v>46022</v>
      </c>
      <c r="I363" t="s">
        <v>29</v>
      </c>
      <c r="J363">
        <v>19</v>
      </c>
      <c r="K363">
        <v>0</v>
      </c>
      <c r="L363">
        <v>0</v>
      </c>
      <c r="M363">
        <v>0</v>
      </c>
      <c r="N363" t="s">
        <v>3915</v>
      </c>
      <c r="O363" t="s">
        <v>3915</v>
      </c>
      <c r="P363" t="s">
        <v>3915</v>
      </c>
      <c r="Q363">
        <v>0</v>
      </c>
      <c r="R363" t="s">
        <v>30</v>
      </c>
      <c r="S363">
        <v>0</v>
      </c>
      <c r="T363">
        <v>0</v>
      </c>
      <c r="U363" t="s">
        <v>3915</v>
      </c>
      <c r="V363" t="s">
        <v>31</v>
      </c>
      <c r="W363">
        <v>0</v>
      </c>
    </row>
    <row r="364" spans="1:23" x14ac:dyDescent="0.25">
      <c r="A364" t="s">
        <v>4717</v>
      </c>
      <c r="B364" t="s">
        <v>3295</v>
      </c>
      <c r="C364" t="s">
        <v>3294</v>
      </c>
      <c r="D364" t="s">
        <v>4479</v>
      </c>
      <c r="E364" t="s">
        <v>4680</v>
      </c>
      <c r="F364" t="s">
        <v>3231</v>
      </c>
      <c r="G364" t="s">
        <v>1406</v>
      </c>
      <c r="H364" s="6">
        <v>46022</v>
      </c>
      <c r="I364" t="s">
        <v>29</v>
      </c>
      <c r="J364">
        <v>547</v>
      </c>
      <c r="K364">
        <v>0</v>
      </c>
      <c r="L364">
        <v>0</v>
      </c>
      <c r="M364">
        <v>0</v>
      </c>
      <c r="N364" t="s">
        <v>3915</v>
      </c>
      <c r="O364" t="s">
        <v>3915</v>
      </c>
      <c r="P364" t="s">
        <v>3915</v>
      </c>
      <c r="Q364">
        <v>0</v>
      </c>
      <c r="R364" t="s">
        <v>30</v>
      </c>
      <c r="S364">
        <v>0</v>
      </c>
      <c r="T364">
        <v>0</v>
      </c>
      <c r="U364" t="s">
        <v>3915</v>
      </c>
      <c r="V364" t="s">
        <v>31</v>
      </c>
      <c r="W364">
        <v>0</v>
      </c>
    </row>
    <row r="365" spans="1:23" x14ac:dyDescent="0.25">
      <c r="A365" t="s">
        <v>4718</v>
      </c>
      <c r="B365" t="s">
        <v>2163</v>
      </c>
      <c r="C365" t="s">
        <v>2162</v>
      </c>
      <c r="D365" t="s">
        <v>4479</v>
      </c>
      <c r="E365" t="s">
        <v>4680</v>
      </c>
      <c r="F365" t="s">
        <v>3231</v>
      </c>
      <c r="G365" t="s">
        <v>1406</v>
      </c>
      <c r="H365" s="6">
        <v>46022</v>
      </c>
      <c r="I365" t="s">
        <v>29</v>
      </c>
      <c r="J365">
        <v>0</v>
      </c>
      <c r="K365">
        <v>0</v>
      </c>
      <c r="L365">
        <v>0</v>
      </c>
      <c r="M365">
        <v>0</v>
      </c>
      <c r="N365" t="s">
        <v>3915</v>
      </c>
      <c r="O365" t="s">
        <v>3915</v>
      </c>
      <c r="P365" t="s">
        <v>3915</v>
      </c>
      <c r="Q365">
        <v>0</v>
      </c>
      <c r="R365" t="s">
        <v>30</v>
      </c>
      <c r="S365">
        <v>0</v>
      </c>
      <c r="T365">
        <v>0</v>
      </c>
      <c r="U365" t="s">
        <v>3915</v>
      </c>
      <c r="V365" t="s">
        <v>31</v>
      </c>
      <c r="W365">
        <v>0</v>
      </c>
    </row>
    <row r="366" spans="1:23" x14ac:dyDescent="0.25">
      <c r="A366" t="s">
        <v>4719</v>
      </c>
      <c r="B366" t="s">
        <v>719</v>
      </c>
      <c r="C366" t="s">
        <v>720</v>
      </c>
      <c r="D366" t="s">
        <v>4479</v>
      </c>
      <c r="E366" t="s">
        <v>4680</v>
      </c>
      <c r="F366" t="s">
        <v>3231</v>
      </c>
      <c r="G366" t="s">
        <v>1406</v>
      </c>
      <c r="H366" s="6">
        <v>46022</v>
      </c>
      <c r="I366" t="s">
        <v>29</v>
      </c>
      <c r="J366">
        <v>0</v>
      </c>
      <c r="K366">
        <v>0</v>
      </c>
      <c r="L366">
        <v>0</v>
      </c>
      <c r="M366">
        <v>0</v>
      </c>
      <c r="N366" t="s">
        <v>3915</v>
      </c>
      <c r="O366" t="s">
        <v>3915</v>
      </c>
      <c r="P366" t="s">
        <v>3915</v>
      </c>
      <c r="Q366">
        <v>0</v>
      </c>
      <c r="R366" t="s">
        <v>30</v>
      </c>
      <c r="S366">
        <v>0</v>
      </c>
      <c r="T366">
        <v>0</v>
      </c>
      <c r="U366" t="s">
        <v>3915</v>
      </c>
      <c r="V366" t="s">
        <v>31</v>
      </c>
      <c r="W366">
        <v>0</v>
      </c>
    </row>
    <row r="367" spans="1:23" x14ac:dyDescent="0.25">
      <c r="A367" t="s">
        <v>3946</v>
      </c>
      <c r="B367" t="s">
        <v>3297</v>
      </c>
      <c r="C367" t="s">
        <v>3296</v>
      </c>
      <c r="D367" t="s">
        <v>4479</v>
      </c>
      <c r="E367" t="s">
        <v>4680</v>
      </c>
      <c r="F367" t="s">
        <v>3231</v>
      </c>
      <c r="G367" t="s">
        <v>1406</v>
      </c>
      <c r="H367" s="6">
        <v>46022</v>
      </c>
      <c r="I367" t="s">
        <v>29</v>
      </c>
      <c r="J367">
        <v>23</v>
      </c>
      <c r="K367">
        <v>0</v>
      </c>
      <c r="L367">
        <v>0</v>
      </c>
      <c r="M367">
        <v>0</v>
      </c>
      <c r="N367" t="s">
        <v>3915</v>
      </c>
      <c r="O367" t="s">
        <v>3915</v>
      </c>
      <c r="P367" t="s">
        <v>3915</v>
      </c>
      <c r="Q367">
        <v>0</v>
      </c>
      <c r="R367" t="s">
        <v>30</v>
      </c>
      <c r="S367">
        <v>0</v>
      </c>
      <c r="T367">
        <v>0</v>
      </c>
      <c r="U367" t="s">
        <v>3915</v>
      </c>
      <c r="V367" t="s">
        <v>31</v>
      </c>
      <c r="W367">
        <v>0</v>
      </c>
    </row>
    <row r="368" spans="1:23" x14ac:dyDescent="0.25">
      <c r="A368" t="s">
        <v>4477</v>
      </c>
      <c r="B368" t="s">
        <v>3299</v>
      </c>
      <c r="C368" t="s">
        <v>3298</v>
      </c>
      <c r="D368" t="s">
        <v>4479</v>
      </c>
      <c r="E368" t="s">
        <v>4680</v>
      </c>
      <c r="F368" t="s">
        <v>3231</v>
      </c>
      <c r="G368" t="s">
        <v>1406</v>
      </c>
      <c r="H368" s="6">
        <v>46022</v>
      </c>
      <c r="I368" t="s">
        <v>29</v>
      </c>
      <c r="J368">
        <v>43</v>
      </c>
      <c r="K368">
        <v>0</v>
      </c>
      <c r="L368">
        <v>0</v>
      </c>
      <c r="M368">
        <v>0</v>
      </c>
      <c r="N368" t="s">
        <v>3915</v>
      </c>
      <c r="O368" t="s">
        <v>3915</v>
      </c>
      <c r="P368" t="s">
        <v>3915</v>
      </c>
      <c r="Q368">
        <v>0</v>
      </c>
      <c r="R368" t="s">
        <v>30</v>
      </c>
      <c r="S368">
        <v>0</v>
      </c>
      <c r="T368">
        <v>0</v>
      </c>
      <c r="U368" t="s">
        <v>3915</v>
      </c>
      <c r="V368" t="s">
        <v>31</v>
      </c>
      <c r="W368">
        <v>0</v>
      </c>
    </row>
    <row r="369" spans="1:23" x14ac:dyDescent="0.25">
      <c r="A369" t="s">
        <v>4476</v>
      </c>
      <c r="B369" t="s">
        <v>3301</v>
      </c>
      <c r="C369" t="s">
        <v>3300</v>
      </c>
      <c r="D369" t="s">
        <v>4479</v>
      </c>
      <c r="E369" t="s">
        <v>4680</v>
      </c>
      <c r="F369" t="s">
        <v>3231</v>
      </c>
      <c r="G369" t="s">
        <v>1406</v>
      </c>
      <c r="H369" s="6">
        <v>46022</v>
      </c>
      <c r="I369" t="s">
        <v>29</v>
      </c>
      <c r="J369">
        <v>4</v>
      </c>
      <c r="K369">
        <v>0</v>
      </c>
      <c r="L369">
        <v>0</v>
      </c>
      <c r="M369">
        <v>0</v>
      </c>
      <c r="N369" t="s">
        <v>3915</v>
      </c>
      <c r="O369" t="s">
        <v>3915</v>
      </c>
      <c r="P369" t="s">
        <v>3915</v>
      </c>
      <c r="Q369">
        <v>0</v>
      </c>
      <c r="R369" t="s">
        <v>30</v>
      </c>
      <c r="S369">
        <v>0</v>
      </c>
      <c r="T369">
        <v>0</v>
      </c>
      <c r="U369" t="s">
        <v>3915</v>
      </c>
      <c r="V369" t="s">
        <v>31</v>
      </c>
      <c r="W369">
        <v>0</v>
      </c>
    </row>
    <row r="370" spans="1:23" x14ac:dyDescent="0.25">
      <c r="A370" t="s">
        <v>4720</v>
      </c>
      <c r="B370" t="s">
        <v>2173</v>
      </c>
      <c r="C370" t="s">
        <v>2172</v>
      </c>
      <c r="D370" t="s">
        <v>4479</v>
      </c>
      <c r="E370" t="s">
        <v>4680</v>
      </c>
      <c r="F370" t="s">
        <v>3231</v>
      </c>
      <c r="G370" t="s">
        <v>1406</v>
      </c>
      <c r="H370" s="6">
        <v>46022</v>
      </c>
      <c r="I370" t="s">
        <v>29</v>
      </c>
      <c r="J370">
        <v>1</v>
      </c>
      <c r="K370">
        <v>0</v>
      </c>
      <c r="L370">
        <v>0</v>
      </c>
      <c r="M370">
        <v>0</v>
      </c>
      <c r="N370" t="s">
        <v>3915</v>
      </c>
      <c r="O370" t="s">
        <v>3915</v>
      </c>
      <c r="P370" t="s">
        <v>3915</v>
      </c>
      <c r="Q370">
        <v>0</v>
      </c>
      <c r="R370" t="s">
        <v>30</v>
      </c>
      <c r="S370">
        <v>0</v>
      </c>
      <c r="T370">
        <v>0</v>
      </c>
      <c r="U370" t="s">
        <v>3915</v>
      </c>
      <c r="V370" t="s">
        <v>31</v>
      </c>
      <c r="W370">
        <v>0</v>
      </c>
    </row>
    <row r="371" spans="1:23" x14ac:dyDescent="0.25">
      <c r="A371" t="s">
        <v>4721</v>
      </c>
      <c r="B371" t="s">
        <v>2175</v>
      </c>
      <c r="C371" t="s">
        <v>2174</v>
      </c>
      <c r="D371" t="s">
        <v>4479</v>
      </c>
      <c r="E371" t="s">
        <v>4680</v>
      </c>
      <c r="F371" t="s">
        <v>3231</v>
      </c>
      <c r="G371" t="s">
        <v>1406</v>
      </c>
      <c r="H371" s="6">
        <v>46022</v>
      </c>
      <c r="I371" t="s">
        <v>29</v>
      </c>
      <c r="J371">
        <v>0</v>
      </c>
      <c r="K371">
        <v>0</v>
      </c>
      <c r="L371">
        <v>0</v>
      </c>
      <c r="M371">
        <v>0</v>
      </c>
      <c r="N371" t="s">
        <v>3915</v>
      </c>
      <c r="O371" t="s">
        <v>3915</v>
      </c>
      <c r="P371" t="s">
        <v>3915</v>
      </c>
      <c r="Q371">
        <v>0</v>
      </c>
      <c r="R371" t="s">
        <v>30</v>
      </c>
      <c r="S371">
        <v>0</v>
      </c>
      <c r="T371">
        <v>0</v>
      </c>
      <c r="U371" t="s">
        <v>3915</v>
      </c>
      <c r="V371" t="s">
        <v>31</v>
      </c>
      <c r="W371">
        <v>0</v>
      </c>
    </row>
    <row r="372" spans="1:23" x14ac:dyDescent="0.25">
      <c r="A372" t="s">
        <v>4722</v>
      </c>
      <c r="B372" t="s">
        <v>1494</v>
      </c>
      <c r="C372" t="s">
        <v>1493</v>
      </c>
      <c r="D372" t="s">
        <v>4479</v>
      </c>
      <c r="E372" t="s">
        <v>4680</v>
      </c>
      <c r="F372" t="s">
        <v>3231</v>
      </c>
      <c r="G372" t="s">
        <v>1406</v>
      </c>
      <c r="H372" s="6">
        <v>46022</v>
      </c>
      <c r="I372" t="s">
        <v>29</v>
      </c>
      <c r="J372">
        <v>0</v>
      </c>
      <c r="K372">
        <v>0</v>
      </c>
      <c r="L372">
        <v>0</v>
      </c>
      <c r="M372">
        <v>0</v>
      </c>
      <c r="N372" t="s">
        <v>3915</v>
      </c>
      <c r="O372" t="s">
        <v>3915</v>
      </c>
      <c r="P372" t="s">
        <v>3915</v>
      </c>
      <c r="Q372">
        <v>0</v>
      </c>
      <c r="R372" t="s">
        <v>30</v>
      </c>
      <c r="S372">
        <v>0</v>
      </c>
      <c r="T372">
        <v>0</v>
      </c>
      <c r="U372" t="s">
        <v>3915</v>
      </c>
      <c r="V372" t="s">
        <v>31</v>
      </c>
      <c r="W372">
        <v>0</v>
      </c>
    </row>
    <row r="373" spans="1:23" x14ac:dyDescent="0.25">
      <c r="A373" t="s">
        <v>5377</v>
      </c>
      <c r="B373" t="s">
        <v>1498</v>
      </c>
      <c r="C373" t="s">
        <v>1497</v>
      </c>
      <c r="D373" t="s">
        <v>4479</v>
      </c>
      <c r="E373" t="s">
        <v>4680</v>
      </c>
      <c r="F373" t="s">
        <v>3231</v>
      </c>
      <c r="G373" t="s">
        <v>1406</v>
      </c>
      <c r="H373" s="6">
        <v>46022</v>
      </c>
      <c r="I373" t="s">
        <v>29</v>
      </c>
      <c r="J373">
        <v>0</v>
      </c>
      <c r="K373">
        <v>0</v>
      </c>
      <c r="L373">
        <v>0</v>
      </c>
      <c r="M373">
        <v>0</v>
      </c>
      <c r="N373" t="s">
        <v>3915</v>
      </c>
      <c r="O373" t="s">
        <v>3915</v>
      </c>
      <c r="P373" t="s">
        <v>3915</v>
      </c>
      <c r="Q373">
        <v>0</v>
      </c>
      <c r="R373" t="s">
        <v>30</v>
      </c>
      <c r="S373">
        <v>0</v>
      </c>
      <c r="T373">
        <v>0</v>
      </c>
      <c r="U373" t="s">
        <v>3915</v>
      </c>
      <c r="V373" t="s">
        <v>31</v>
      </c>
      <c r="W373">
        <v>0</v>
      </c>
    </row>
    <row r="374" spans="1:23" x14ac:dyDescent="0.25">
      <c r="A374" t="s">
        <v>4723</v>
      </c>
      <c r="B374" t="s">
        <v>3303</v>
      </c>
      <c r="C374" t="s">
        <v>3302</v>
      </c>
      <c r="D374" t="s">
        <v>4479</v>
      </c>
      <c r="E374" t="s">
        <v>4680</v>
      </c>
      <c r="F374" t="s">
        <v>3231</v>
      </c>
      <c r="G374" t="s">
        <v>1406</v>
      </c>
      <c r="H374" s="6">
        <v>46022</v>
      </c>
      <c r="I374" t="s">
        <v>29</v>
      </c>
      <c r="J374">
        <v>30</v>
      </c>
      <c r="K374">
        <v>0</v>
      </c>
      <c r="L374">
        <v>0</v>
      </c>
      <c r="M374">
        <v>0</v>
      </c>
      <c r="N374" t="s">
        <v>3915</v>
      </c>
      <c r="O374" t="s">
        <v>3915</v>
      </c>
      <c r="P374" t="s">
        <v>3915</v>
      </c>
      <c r="Q374">
        <v>0</v>
      </c>
      <c r="R374" t="s">
        <v>30</v>
      </c>
      <c r="S374">
        <v>0</v>
      </c>
      <c r="T374">
        <v>0</v>
      </c>
      <c r="U374" t="s">
        <v>3915</v>
      </c>
      <c r="V374" t="s">
        <v>31</v>
      </c>
      <c r="W374">
        <v>0</v>
      </c>
    </row>
    <row r="375" spans="1:23" x14ac:dyDescent="0.25">
      <c r="A375" t="s">
        <v>3972</v>
      </c>
      <c r="B375" t="s">
        <v>2193</v>
      </c>
      <c r="C375" t="s">
        <v>2192</v>
      </c>
      <c r="D375" t="s">
        <v>4479</v>
      </c>
      <c r="E375" t="s">
        <v>4680</v>
      </c>
      <c r="F375" t="s">
        <v>3231</v>
      </c>
      <c r="G375" t="s">
        <v>1406</v>
      </c>
      <c r="H375" s="6">
        <v>46022</v>
      </c>
      <c r="I375" t="s">
        <v>29</v>
      </c>
      <c r="J375">
        <v>1</v>
      </c>
      <c r="K375">
        <v>0</v>
      </c>
      <c r="L375">
        <v>0</v>
      </c>
      <c r="M375">
        <v>0</v>
      </c>
      <c r="N375" t="s">
        <v>3915</v>
      </c>
      <c r="O375" t="s">
        <v>3915</v>
      </c>
      <c r="P375" t="s">
        <v>3915</v>
      </c>
      <c r="Q375">
        <v>0</v>
      </c>
      <c r="R375" t="s">
        <v>30</v>
      </c>
      <c r="S375">
        <v>0</v>
      </c>
      <c r="T375">
        <v>0</v>
      </c>
      <c r="U375" t="s">
        <v>3915</v>
      </c>
      <c r="V375" t="s">
        <v>31</v>
      </c>
      <c r="W375">
        <v>0</v>
      </c>
    </row>
    <row r="376" spans="1:23" x14ac:dyDescent="0.25">
      <c r="A376" t="s">
        <v>3965</v>
      </c>
      <c r="B376" t="s">
        <v>3305</v>
      </c>
      <c r="C376" t="s">
        <v>3304</v>
      </c>
      <c r="D376" t="s">
        <v>4479</v>
      </c>
      <c r="E376" t="s">
        <v>4680</v>
      </c>
      <c r="F376" t="s">
        <v>3231</v>
      </c>
      <c r="G376" t="s">
        <v>1406</v>
      </c>
      <c r="H376" s="6">
        <v>46022</v>
      </c>
      <c r="I376" t="s">
        <v>29</v>
      </c>
      <c r="J376">
        <v>1</v>
      </c>
      <c r="K376">
        <v>0</v>
      </c>
      <c r="L376">
        <v>0</v>
      </c>
      <c r="M376">
        <v>0</v>
      </c>
      <c r="N376" t="s">
        <v>3915</v>
      </c>
      <c r="O376" t="s">
        <v>3915</v>
      </c>
      <c r="P376" t="s">
        <v>3915</v>
      </c>
      <c r="Q376">
        <v>0</v>
      </c>
      <c r="R376" t="s">
        <v>30</v>
      </c>
      <c r="S376">
        <v>0</v>
      </c>
      <c r="T376">
        <v>0</v>
      </c>
      <c r="U376" t="s">
        <v>3915</v>
      </c>
      <c r="V376" t="s">
        <v>31</v>
      </c>
      <c r="W376">
        <v>0</v>
      </c>
    </row>
    <row r="377" spans="1:23" x14ac:dyDescent="0.25">
      <c r="A377" t="s">
        <v>3960</v>
      </c>
      <c r="B377" t="s">
        <v>4724</v>
      </c>
      <c r="C377" t="s">
        <v>736</v>
      </c>
      <c r="D377" t="s">
        <v>4479</v>
      </c>
      <c r="E377" t="s">
        <v>4680</v>
      </c>
      <c r="F377" t="s">
        <v>3231</v>
      </c>
      <c r="G377" t="s">
        <v>1406</v>
      </c>
      <c r="H377" s="6">
        <v>46022</v>
      </c>
      <c r="I377" t="s">
        <v>29</v>
      </c>
      <c r="J377">
        <v>6</v>
      </c>
      <c r="K377">
        <v>0</v>
      </c>
      <c r="L377">
        <v>0</v>
      </c>
      <c r="M377">
        <v>0</v>
      </c>
      <c r="N377" t="s">
        <v>3915</v>
      </c>
      <c r="O377" t="s">
        <v>3915</v>
      </c>
      <c r="P377" t="s">
        <v>3915</v>
      </c>
      <c r="Q377">
        <v>0</v>
      </c>
      <c r="R377" t="s">
        <v>30</v>
      </c>
      <c r="S377">
        <v>0</v>
      </c>
      <c r="T377">
        <v>0</v>
      </c>
      <c r="U377" t="s">
        <v>3915</v>
      </c>
      <c r="V377" t="s">
        <v>31</v>
      </c>
      <c r="W377">
        <v>0</v>
      </c>
    </row>
    <row r="378" spans="1:23" x14ac:dyDescent="0.25">
      <c r="A378" t="s">
        <v>4115</v>
      </c>
      <c r="B378" t="s">
        <v>5734</v>
      </c>
      <c r="C378" t="s">
        <v>5733</v>
      </c>
      <c r="D378" t="s">
        <v>4479</v>
      </c>
      <c r="E378" t="s">
        <v>4680</v>
      </c>
      <c r="F378" t="s">
        <v>3231</v>
      </c>
      <c r="G378" t="s">
        <v>1406</v>
      </c>
      <c r="H378" s="6">
        <v>46022</v>
      </c>
      <c r="I378" t="s">
        <v>29</v>
      </c>
      <c r="J378">
        <v>0</v>
      </c>
      <c r="K378">
        <v>0</v>
      </c>
      <c r="L378">
        <v>0</v>
      </c>
      <c r="M378">
        <v>0</v>
      </c>
      <c r="N378" t="s">
        <v>3915</v>
      </c>
      <c r="O378" t="s">
        <v>3915</v>
      </c>
      <c r="P378" t="s">
        <v>3915</v>
      </c>
      <c r="Q378">
        <v>0</v>
      </c>
      <c r="R378" t="s">
        <v>30</v>
      </c>
      <c r="S378">
        <v>0</v>
      </c>
      <c r="T378">
        <v>0</v>
      </c>
      <c r="U378" t="s">
        <v>3915</v>
      </c>
      <c r="V378" t="s">
        <v>31</v>
      </c>
      <c r="W378">
        <v>0</v>
      </c>
    </row>
    <row r="379" spans="1:23" x14ac:dyDescent="0.25">
      <c r="A379" t="s">
        <v>4725</v>
      </c>
      <c r="B379" t="s">
        <v>2195</v>
      </c>
      <c r="C379" t="s">
        <v>2194</v>
      </c>
      <c r="D379" t="s">
        <v>4479</v>
      </c>
      <c r="E379" t="s">
        <v>4680</v>
      </c>
      <c r="F379" t="s">
        <v>3231</v>
      </c>
      <c r="G379" t="s">
        <v>1406</v>
      </c>
      <c r="H379" s="6">
        <v>46022</v>
      </c>
      <c r="I379" t="s">
        <v>29</v>
      </c>
      <c r="J379">
        <v>0</v>
      </c>
      <c r="K379">
        <v>0</v>
      </c>
      <c r="L379">
        <v>0</v>
      </c>
      <c r="M379">
        <v>0</v>
      </c>
      <c r="N379" t="s">
        <v>3915</v>
      </c>
      <c r="O379" t="s">
        <v>3915</v>
      </c>
      <c r="P379" t="s">
        <v>3915</v>
      </c>
      <c r="Q379">
        <v>0</v>
      </c>
      <c r="R379" t="s">
        <v>30</v>
      </c>
      <c r="S379">
        <v>0</v>
      </c>
      <c r="T379">
        <v>0</v>
      </c>
      <c r="U379" t="s">
        <v>3915</v>
      </c>
      <c r="V379" t="s">
        <v>31</v>
      </c>
      <c r="W379">
        <v>0</v>
      </c>
    </row>
    <row r="380" spans="1:23" x14ac:dyDescent="0.25">
      <c r="A380" t="s">
        <v>4146</v>
      </c>
      <c r="B380" t="s">
        <v>3307</v>
      </c>
      <c r="C380" t="s">
        <v>3306</v>
      </c>
      <c r="D380" t="s">
        <v>4479</v>
      </c>
      <c r="E380" t="s">
        <v>4680</v>
      </c>
      <c r="F380" t="s">
        <v>3231</v>
      </c>
      <c r="G380" t="s">
        <v>1406</v>
      </c>
      <c r="H380" s="6">
        <v>46022</v>
      </c>
      <c r="I380" t="s">
        <v>29</v>
      </c>
      <c r="J380">
        <v>1</v>
      </c>
      <c r="K380">
        <v>0</v>
      </c>
      <c r="L380">
        <v>0</v>
      </c>
      <c r="M380">
        <v>0</v>
      </c>
      <c r="N380" t="s">
        <v>3915</v>
      </c>
      <c r="O380" t="s">
        <v>3915</v>
      </c>
      <c r="P380" t="s">
        <v>3915</v>
      </c>
      <c r="Q380">
        <v>0</v>
      </c>
      <c r="R380" t="s">
        <v>30</v>
      </c>
      <c r="S380">
        <v>0</v>
      </c>
      <c r="T380">
        <v>0</v>
      </c>
      <c r="U380" t="s">
        <v>3915</v>
      </c>
      <c r="V380" t="s">
        <v>31</v>
      </c>
      <c r="W380">
        <v>0</v>
      </c>
    </row>
    <row r="381" spans="1:23" x14ac:dyDescent="0.25">
      <c r="A381" t="s">
        <v>4726</v>
      </c>
      <c r="B381" t="s">
        <v>2203</v>
      </c>
      <c r="C381" t="s">
        <v>2202</v>
      </c>
      <c r="D381" t="s">
        <v>4479</v>
      </c>
      <c r="E381" t="s">
        <v>4680</v>
      </c>
      <c r="F381" t="s">
        <v>3231</v>
      </c>
      <c r="G381" t="s">
        <v>1406</v>
      </c>
      <c r="H381" s="6">
        <v>46022</v>
      </c>
      <c r="I381" t="s">
        <v>29</v>
      </c>
      <c r="J381">
        <v>7</v>
      </c>
      <c r="K381">
        <v>0</v>
      </c>
      <c r="L381">
        <v>0</v>
      </c>
      <c r="M381">
        <v>0</v>
      </c>
      <c r="N381" t="s">
        <v>3915</v>
      </c>
      <c r="O381" t="s">
        <v>3915</v>
      </c>
      <c r="P381" t="s">
        <v>3915</v>
      </c>
      <c r="Q381">
        <v>0</v>
      </c>
      <c r="R381" t="s">
        <v>30</v>
      </c>
      <c r="S381">
        <v>0</v>
      </c>
      <c r="T381">
        <v>0</v>
      </c>
      <c r="U381" t="s">
        <v>3915</v>
      </c>
      <c r="V381" t="s">
        <v>31</v>
      </c>
      <c r="W381">
        <v>0</v>
      </c>
    </row>
    <row r="382" spans="1:23" x14ac:dyDescent="0.25">
      <c r="A382" t="s">
        <v>4727</v>
      </c>
      <c r="B382" t="s">
        <v>3309</v>
      </c>
      <c r="C382" t="s">
        <v>3308</v>
      </c>
      <c r="D382" t="s">
        <v>4479</v>
      </c>
      <c r="E382" t="s">
        <v>4680</v>
      </c>
      <c r="F382" t="s">
        <v>3231</v>
      </c>
      <c r="G382" t="s">
        <v>1406</v>
      </c>
      <c r="H382" s="6">
        <v>46022</v>
      </c>
      <c r="I382" t="s">
        <v>29</v>
      </c>
      <c r="J382">
        <v>6</v>
      </c>
      <c r="K382">
        <v>0</v>
      </c>
      <c r="L382">
        <v>0</v>
      </c>
      <c r="M382">
        <v>0</v>
      </c>
      <c r="N382" t="s">
        <v>3915</v>
      </c>
      <c r="O382" t="s">
        <v>3915</v>
      </c>
      <c r="P382" t="s">
        <v>3915</v>
      </c>
      <c r="Q382">
        <v>0</v>
      </c>
      <c r="R382" t="s">
        <v>30</v>
      </c>
      <c r="S382">
        <v>0</v>
      </c>
      <c r="T382">
        <v>0</v>
      </c>
      <c r="U382" t="s">
        <v>3915</v>
      </c>
      <c r="V382" t="s">
        <v>31</v>
      </c>
      <c r="W382">
        <v>0</v>
      </c>
    </row>
    <row r="383" spans="1:23" x14ac:dyDescent="0.25">
      <c r="A383" t="s">
        <v>4728</v>
      </c>
      <c r="B383" t="s">
        <v>3311</v>
      </c>
      <c r="C383" t="s">
        <v>3310</v>
      </c>
      <c r="D383" t="s">
        <v>4479</v>
      </c>
      <c r="E383" t="s">
        <v>4680</v>
      </c>
      <c r="F383" t="s">
        <v>3231</v>
      </c>
      <c r="G383" t="s">
        <v>1406</v>
      </c>
      <c r="H383" s="6">
        <v>46022</v>
      </c>
      <c r="I383" t="s">
        <v>29</v>
      </c>
      <c r="J383">
        <v>2</v>
      </c>
      <c r="K383">
        <v>0</v>
      </c>
      <c r="L383">
        <v>0</v>
      </c>
      <c r="M383">
        <v>0</v>
      </c>
      <c r="N383" t="s">
        <v>3915</v>
      </c>
      <c r="O383" t="s">
        <v>3915</v>
      </c>
      <c r="P383" t="s">
        <v>3915</v>
      </c>
      <c r="Q383">
        <v>0</v>
      </c>
      <c r="R383" t="s">
        <v>30</v>
      </c>
      <c r="S383">
        <v>0</v>
      </c>
      <c r="T383">
        <v>0</v>
      </c>
      <c r="U383" t="s">
        <v>3915</v>
      </c>
      <c r="V383" t="s">
        <v>31</v>
      </c>
      <c r="W383">
        <v>0</v>
      </c>
    </row>
    <row r="384" spans="1:23" x14ac:dyDescent="0.25">
      <c r="A384" t="s">
        <v>4313</v>
      </c>
      <c r="B384" t="s">
        <v>3313</v>
      </c>
      <c r="C384" t="s">
        <v>3312</v>
      </c>
      <c r="D384" t="s">
        <v>4479</v>
      </c>
      <c r="E384" t="s">
        <v>4680</v>
      </c>
      <c r="F384" t="s">
        <v>3231</v>
      </c>
      <c r="G384" t="s">
        <v>1406</v>
      </c>
      <c r="H384" s="6">
        <v>46022</v>
      </c>
      <c r="I384" t="s">
        <v>29</v>
      </c>
      <c r="J384">
        <v>1</v>
      </c>
      <c r="K384">
        <v>0</v>
      </c>
      <c r="L384">
        <v>0</v>
      </c>
      <c r="M384">
        <v>0</v>
      </c>
      <c r="N384" t="s">
        <v>3915</v>
      </c>
      <c r="O384" t="s">
        <v>3915</v>
      </c>
      <c r="P384" t="s">
        <v>3915</v>
      </c>
      <c r="Q384">
        <v>0</v>
      </c>
      <c r="R384" t="s">
        <v>30</v>
      </c>
      <c r="S384">
        <v>0</v>
      </c>
      <c r="T384">
        <v>0</v>
      </c>
      <c r="U384" t="s">
        <v>3915</v>
      </c>
      <c r="V384" t="s">
        <v>31</v>
      </c>
      <c r="W384">
        <v>0</v>
      </c>
    </row>
    <row r="385" spans="1:23" x14ac:dyDescent="0.25">
      <c r="A385" t="s">
        <v>4729</v>
      </c>
      <c r="B385" t="s">
        <v>3315</v>
      </c>
      <c r="C385" t="s">
        <v>3314</v>
      </c>
      <c r="D385" t="s">
        <v>4479</v>
      </c>
      <c r="E385" t="s">
        <v>4101</v>
      </c>
      <c r="F385" t="s">
        <v>480</v>
      </c>
      <c r="G385" t="s">
        <v>1406</v>
      </c>
      <c r="H385" s="6">
        <v>46022</v>
      </c>
      <c r="I385" t="s">
        <v>29</v>
      </c>
      <c r="J385">
        <v>0.8</v>
      </c>
      <c r="K385">
        <v>0</v>
      </c>
      <c r="L385">
        <v>0</v>
      </c>
      <c r="M385">
        <v>0</v>
      </c>
      <c r="N385" t="s">
        <v>4730</v>
      </c>
      <c r="O385" t="s">
        <v>3915</v>
      </c>
      <c r="P385" t="s">
        <v>3915</v>
      </c>
      <c r="Q385">
        <v>0</v>
      </c>
      <c r="R385" t="s">
        <v>489</v>
      </c>
      <c r="S385">
        <v>0</v>
      </c>
      <c r="T385">
        <v>0</v>
      </c>
      <c r="U385" t="s">
        <v>3915</v>
      </c>
      <c r="V385" t="s">
        <v>31</v>
      </c>
      <c r="W385">
        <v>0</v>
      </c>
    </row>
    <row r="386" spans="1:23" x14ac:dyDescent="0.25">
      <c r="A386" t="s">
        <v>4370</v>
      </c>
      <c r="B386" t="s">
        <v>3317</v>
      </c>
      <c r="C386" t="s">
        <v>3316</v>
      </c>
      <c r="D386" t="s">
        <v>4479</v>
      </c>
      <c r="E386" t="s">
        <v>4101</v>
      </c>
      <c r="F386" t="s">
        <v>480</v>
      </c>
      <c r="G386" t="s">
        <v>1406</v>
      </c>
      <c r="H386" s="6">
        <v>46022</v>
      </c>
      <c r="I386" t="s">
        <v>29</v>
      </c>
      <c r="J386">
        <v>1.7</v>
      </c>
      <c r="K386">
        <v>0</v>
      </c>
      <c r="L386">
        <v>0</v>
      </c>
      <c r="M386">
        <v>0</v>
      </c>
      <c r="N386" t="s">
        <v>4731</v>
      </c>
      <c r="O386" t="s">
        <v>3915</v>
      </c>
      <c r="P386" t="s">
        <v>3915</v>
      </c>
      <c r="Q386">
        <v>0</v>
      </c>
      <c r="R386" t="s">
        <v>489</v>
      </c>
      <c r="S386">
        <v>0</v>
      </c>
      <c r="T386">
        <v>0</v>
      </c>
      <c r="U386" t="s">
        <v>3915</v>
      </c>
      <c r="V386" t="s">
        <v>31</v>
      </c>
      <c r="W386">
        <v>0</v>
      </c>
    </row>
    <row r="387" spans="1:23" x14ac:dyDescent="0.25">
      <c r="A387" t="s">
        <v>4732</v>
      </c>
      <c r="B387" t="s">
        <v>3319</v>
      </c>
      <c r="C387" t="s">
        <v>3318</v>
      </c>
      <c r="D387" t="s">
        <v>4479</v>
      </c>
      <c r="E387" t="s">
        <v>4101</v>
      </c>
      <c r="F387" t="s">
        <v>480</v>
      </c>
      <c r="G387" t="s">
        <v>1406</v>
      </c>
      <c r="H387" s="6">
        <v>46022</v>
      </c>
      <c r="I387" t="s">
        <v>29</v>
      </c>
      <c r="J387">
        <v>3</v>
      </c>
      <c r="K387">
        <v>0</v>
      </c>
      <c r="L387">
        <v>0</v>
      </c>
      <c r="M387">
        <v>0</v>
      </c>
      <c r="N387" t="s">
        <v>4733</v>
      </c>
      <c r="O387" t="s">
        <v>3915</v>
      </c>
      <c r="P387" t="s">
        <v>3915</v>
      </c>
      <c r="Q387">
        <v>0</v>
      </c>
      <c r="R387" t="s">
        <v>489</v>
      </c>
      <c r="S387">
        <v>0</v>
      </c>
      <c r="T387">
        <v>0</v>
      </c>
      <c r="U387" t="s">
        <v>3915</v>
      </c>
      <c r="V387" t="s">
        <v>31</v>
      </c>
      <c r="W387">
        <v>0</v>
      </c>
    </row>
    <row r="388" spans="1:23" x14ac:dyDescent="0.25">
      <c r="A388" t="s">
        <v>4734</v>
      </c>
      <c r="B388" t="s">
        <v>3321</v>
      </c>
      <c r="C388" t="s">
        <v>3320</v>
      </c>
      <c r="D388" t="s">
        <v>4479</v>
      </c>
      <c r="E388" t="s">
        <v>4101</v>
      </c>
      <c r="F388" t="s">
        <v>480</v>
      </c>
      <c r="G388" t="s">
        <v>1406</v>
      </c>
      <c r="H388" s="6">
        <v>46022</v>
      </c>
      <c r="I388" t="s">
        <v>29</v>
      </c>
      <c r="J388">
        <v>3</v>
      </c>
      <c r="K388">
        <v>0</v>
      </c>
      <c r="L388">
        <v>0</v>
      </c>
      <c r="M388">
        <v>0</v>
      </c>
      <c r="N388" t="s">
        <v>4735</v>
      </c>
      <c r="O388" t="s">
        <v>3915</v>
      </c>
      <c r="P388" t="s">
        <v>3915</v>
      </c>
      <c r="Q388">
        <v>0</v>
      </c>
      <c r="R388" t="s">
        <v>489</v>
      </c>
      <c r="S388">
        <v>0</v>
      </c>
      <c r="T388">
        <v>0</v>
      </c>
      <c r="U388" t="s">
        <v>3915</v>
      </c>
      <c r="V388" t="s">
        <v>31</v>
      </c>
      <c r="W388">
        <v>0</v>
      </c>
    </row>
    <row r="389" spans="1:23" x14ac:dyDescent="0.25">
      <c r="A389" t="s">
        <v>4736</v>
      </c>
      <c r="B389" t="s">
        <v>3323</v>
      </c>
      <c r="C389" t="s">
        <v>3322</v>
      </c>
      <c r="D389" t="s">
        <v>4479</v>
      </c>
      <c r="E389" t="s">
        <v>4101</v>
      </c>
      <c r="F389" t="s">
        <v>480</v>
      </c>
      <c r="G389" t="s">
        <v>1406</v>
      </c>
      <c r="H389" s="6">
        <v>46022</v>
      </c>
      <c r="I389" t="s">
        <v>29</v>
      </c>
      <c r="J389">
        <v>4</v>
      </c>
      <c r="K389">
        <v>0</v>
      </c>
      <c r="L389">
        <v>0</v>
      </c>
      <c r="M389">
        <v>0</v>
      </c>
      <c r="N389" t="s">
        <v>4737</v>
      </c>
      <c r="O389" t="s">
        <v>3915</v>
      </c>
      <c r="P389" t="s">
        <v>3915</v>
      </c>
      <c r="Q389">
        <v>0</v>
      </c>
      <c r="R389" t="s">
        <v>489</v>
      </c>
      <c r="S389">
        <v>0</v>
      </c>
      <c r="T389">
        <v>0</v>
      </c>
      <c r="U389" t="s">
        <v>3915</v>
      </c>
      <c r="V389" t="s">
        <v>31</v>
      </c>
      <c r="W389">
        <v>0</v>
      </c>
    </row>
    <row r="390" spans="1:23" x14ac:dyDescent="0.25">
      <c r="A390" t="s">
        <v>4738</v>
      </c>
      <c r="B390" t="s">
        <v>3325</v>
      </c>
      <c r="C390" t="s">
        <v>3324</v>
      </c>
      <c r="D390" t="s">
        <v>4479</v>
      </c>
      <c r="E390" t="s">
        <v>4101</v>
      </c>
      <c r="F390" t="s">
        <v>480</v>
      </c>
      <c r="G390" t="s">
        <v>1406</v>
      </c>
      <c r="H390" s="6">
        <v>46022</v>
      </c>
      <c r="I390" t="s">
        <v>29</v>
      </c>
      <c r="J390">
        <v>0.56000000000000005</v>
      </c>
      <c r="K390">
        <v>0</v>
      </c>
      <c r="L390">
        <v>0</v>
      </c>
      <c r="M390">
        <v>0</v>
      </c>
      <c r="N390" t="s">
        <v>4739</v>
      </c>
      <c r="O390" t="s">
        <v>3915</v>
      </c>
      <c r="P390" t="s">
        <v>3915</v>
      </c>
      <c r="Q390">
        <v>0</v>
      </c>
      <c r="R390" t="s">
        <v>489</v>
      </c>
      <c r="S390">
        <v>0</v>
      </c>
      <c r="T390">
        <v>0</v>
      </c>
      <c r="U390" t="s">
        <v>3915</v>
      </c>
      <c r="V390" t="s">
        <v>31</v>
      </c>
      <c r="W390">
        <v>0</v>
      </c>
    </row>
    <row r="391" spans="1:23" x14ac:dyDescent="0.25">
      <c r="A391" t="s">
        <v>4740</v>
      </c>
      <c r="B391" t="s">
        <v>3327</v>
      </c>
      <c r="C391" t="s">
        <v>3326</v>
      </c>
      <c r="D391" t="s">
        <v>4479</v>
      </c>
      <c r="E391" t="s">
        <v>4101</v>
      </c>
      <c r="F391" t="s">
        <v>480</v>
      </c>
      <c r="G391" t="s">
        <v>1406</v>
      </c>
      <c r="H391" s="6">
        <v>46022</v>
      </c>
      <c r="I391" t="s">
        <v>29</v>
      </c>
      <c r="J391">
        <v>12</v>
      </c>
      <c r="K391">
        <v>0</v>
      </c>
      <c r="L391">
        <v>0</v>
      </c>
      <c r="M391">
        <v>0</v>
      </c>
      <c r="N391" t="s">
        <v>3915</v>
      </c>
      <c r="O391" t="s">
        <v>3915</v>
      </c>
      <c r="P391" t="s">
        <v>3915</v>
      </c>
      <c r="Q391">
        <v>0</v>
      </c>
      <c r="R391" t="s">
        <v>489</v>
      </c>
      <c r="S391">
        <v>0</v>
      </c>
      <c r="T391">
        <v>0</v>
      </c>
      <c r="U391" t="s">
        <v>3915</v>
      </c>
      <c r="V391" t="s">
        <v>31</v>
      </c>
      <c r="W391">
        <v>0</v>
      </c>
    </row>
    <row r="392" spans="1:23" x14ac:dyDescent="0.25">
      <c r="A392" t="s">
        <v>4741</v>
      </c>
      <c r="B392" t="s">
        <v>483</v>
      </c>
      <c r="C392" t="s">
        <v>484</v>
      </c>
      <c r="D392" t="s">
        <v>4479</v>
      </c>
      <c r="E392" t="s">
        <v>4101</v>
      </c>
      <c r="F392" t="s">
        <v>480</v>
      </c>
      <c r="G392" t="s">
        <v>1406</v>
      </c>
      <c r="H392" s="6">
        <v>46022</v>
      </c>
      <c r="I392" t="s">
        <v>29</v>
      </c>
      <c r="J392">
        <v>0</v>
      </c>
      <c r="K392">
        <v>0</v>
      </c>
      <c r="L392">
        <v>0</v>
      </c>
      <c r="M392">
        <v>0</v>
      </c>
      <c r="N392" t="s">
        <v>3915</v>
      </c>
      <c r="O392" t="s">
        <v>3915</v>
      </c>
      <c r="P392" t="s">
        <v>3915</v>
      </c>
      <c r="Q392">
        <v>0</v>
      </c>
      <c r="R392" t="s">
        <v>489</v>
      </c>
      <c r="S392">
        <v>0</v>
      </c>
      <c r="T392">
        <v>0</v>
      </c>
      <c r="U392" t="s">
        <v>3915</v>
      </c>
      <c r="V392" t="s">
        <v>31</v>
      </c>
      <c r="W392">
        <v>0</v>
      </c>
    </row>
    <row r="393" spans="1:23" x14ac:dyDescent="0.25">
      <c r="A393" t="s">
        <v>4742</v>
      </c>
      <c r="B393" t="s">
        <v>1512</v>
      </c>
      <c r="C393" t="s">
        <v>1511</v>
      </c>
      <c r="D393" t="s">
        <v>4479</v>
      </c>
      <c r="E393" t="s">
        <v>4101</v>
      </c>
      <c r="F393" t="s">
        <v>480</v>
      </c>
      <c r="G393" t="s">
        <v>1406</v>
      </c>
      <c r="H393" s="6">
        <v>46022</v>
      </c>
      <c r="I393" t="s">
        <v>29</v>
      </c>
      <c r="J393">
        <v>0</v>
      </c>
      <c r="K393">
        <v>0</v>
      </c>
      <c r="L393">
        <v>0</v>
      </c>
      <c r="M393">
        <v>0</v>
      </c>
      <c r="N393" t="s">
        <v>3915</v>
      </c>
      <c r="O393" t="s">
        <v>3915</v>
      </c>
      <c r="P393" t="s">
        <v>3915</v>
      </c>
      <c r="Q393">
        <v>0</v>
      </c>
      <c r="R393" t="s">
        <v>82</v>
      </c>
      <c r="S393">
        <v>0</v>
      </c>
      <c r="T393">
        <v>0</v>
      </c>
      <c r="U393" t="s">
        <v>3915</v>
      </c>
      <c r="V393" t="s">
        <v>31</v>
      </c>
      <c r="W393">
        <v>0</v>
      </c>
    </row>
    <row r="394" spans="1:23" x14ac:dyDescent="0.25">
      <c r="A394" t="s">
        <v>10312</v>
      </c>
      <c r="B394" t="s">
        <v>496</v>
      </c>
      <c r="C394" t="s">
        <v>497</v>
      </c>
      <c r="D394" t="s">
        <v>4479</v>
      </c>
      <c r="E394" t="s">
        <v>4101</v>
      </c>
      <c r="F394" t="s">
        <v>480</v>
      </c>
      <c r="G394" t="s">
        <v>1406</v>
      </c>
      <c r="H394" s="6">
        <v>46022</v>
      </c>
      <c r="I394" t="s">
        <v>29</v>
      </c>
      <c r="J394">
        <v>0</v>
      </c>
      <c r="K394">
        <v>0</v>
      </c>
      <c r="L394">
        <v>0</v>
      </c>
      <c r="M394">
        <v>0</v>
      </c>
      <c r="N394" t="s">
        <v>3915</v>
      </c>
      <c r="O394" t="s">
        <v>3915</v>
      </c>
      <c r="P394" t="s">
        <v>3915</v>
      </c>
      <c r="Q394">
        <v>0</v>
      </c>
      <c r="R394" t="s">
        <v>30</v>
      </c>
      <c r="S394">
        <v>0</v>
      </c>
      <c r="T394">
        <v>0</v>
      </c>
      <c r="U394" t="s">
        <v>3915</v>
      </c>
      <c r="V394" t="s">
        <v>31</v>
      </c>
      <c r="W394">
        <v>0</v>
      </c>
    </row>
    <row r="395" spans="1:23" x14ac:dyDescent="0.25">
      <c r="A395" t="s">
        <v>4743</v>
      </c>
      <c r="B395" t="s">
        <v>3332</v>
      </c>
      <c r="C395" t="s">
        <v>3331</v>
      </c>
      <c r="D395" t="s">
        <v>4479</v>
      </c>
      <c r="E395" t="s">
        <v>4744</v>
      </c>
      <c r="F395" t="s">
        <v>2241</v>
      </c>
      <c r="G395" t="s">
        <v>1406</v>
      </c>
      <c r="H395" s="6">
        <v>46022</v>
      </c>
      <c r="I395" t="s">
        <v>29</v>
      </c>
      <c r="J395">
        <v>1</v>
      </c>
      <c r="K395">
        <v>0</v>
      </c>
      <c r="L395">
        <v>0</v>
      </c>
      <c r="M395">
        <v>0</v>
      </c>
      <c r="N395" t="s">
        <v>3915</v>
      </c>
      <c r="O395" t="s">
        <v>3915</v>
      </c>
      <c r="P395" t="s">
        <v>3915</v>
      </c>
      <c r="Q395">
        <v>0</v>
      </c>
      <c r="R395" t="s">
        <v>30</v>
      </c>
      <c r="S395">
        <v>0</v>
      </c>
      <c r="T395">
        <v>0</v>
      </c>
      <c r="U395" t="s">
        <v>3915</v>
      </c>
      <c r="V395" t="s">
        <v>31</v>
      </c>
      <c r="W395">
        <v>0</v>
      </c>
    </row>
    <row r="396" spans="1:23" x14ac:dyDescent="0.25">
      <c r="A396" t="s">
        <v>4745</v>
      </c>
      <c r="B396" t="s">
        <v>3334</v>
      </c>
      <c r="C396" t="s">
        <v>3333</v>
      </c>
      <c r="D396" t="s">
        <v>4479</v>
      </c>
      <c r="E396" t="s">
        <v>4744</v>
      </c>
      <c r="F396" t="s">
        <v>2241</v>
      </c>
      <c r="G396" t="s">
        <v>1406</v>
      </c>
      <c r="H396" s="6">
        <v>46022</v>
      </c>
      <c r="I396" t="s">
        <v>29</v>
      </c>
      <c r="J396">
        <v>1</v>
      </c>
      <c r="K396">
        <v>0</v>
      </c>
      <c r="L396">
        <v>0</v>
      </c>
      <c r="M396">
        <v>0</v>
      </c>
      <c r="N396" t="s">
        <v>3915</v>
      </c>
      <c r="O396" t="s">
        <v>3915</v>
      </c>
      <c r="P396" t="s">
        <v>3915</v>
      </c>
      <c r="Q396">
        <v>0</v>
      </c>
      <c r="R396" t="s">
        <v>30</v>
      </c>
      <c r="S396">
        <v>0</v>
      </c>
      <c r="T396">
        <v>0</v>
      </c>
      <c r="U396" t="s">
        <v>3915</v>
      </c>
      <c r="V396" t="s">
        <v>31</v>
      </c>
      <c r="W396">
        <v>0</v>
      </c>
    </row>
    <row r="397" spans="1:23" x14ac:dyDescent="0.25">
      <c r="A397" t="s">
        <v>4746</v>
      </c>
      <c r="B397" t="s">
        <v>3336</v>
      </c>
      <c r="C397" t="s">
        <v>3335</v>
      </c>
      <c r="D397" t="s">
        <v>4479</v>
      </c>
      <c r="E397" t="s">
        <v>4744</v>
      </c>
      <c r="F397" t="s">
        <v>2241</v>
      </c>
      <c r="G397" t="s">
        <v>1406</v>
      </c>
      <c r="H397" s="6">
        <v>46022</v>
      </c>
      <c r="I397" t="s">
        <v>29</v>
      </c>
      <c r="J397">
        <v>2</v>
      </c>
      <c r="K397">
        <v>0</v>
      </c>
      <c r="L397">
        <v>0</v>
      </c>
      <c r="M397">
        <v>0</v>
      </c>
      <c r="N397" t="s">
        <v>3915</v>
      </c>
      <c r="O397" t="s">
        <v>3915</v>
      </c>
      <c r="P397" t="s">
        <v>3915</v>
      </c>
      <c r="Q397">
        <v>0</v>
      </c>
      <c r="R397" t="s">
        <v>30</v>
      </c>
      <c r="S397">
        <v>0</v>
      </c>
      <c r="T397">
        <v>0</v>
      </c>
      <c r="U397" t="s">
        <v>3915</v>
      </c>
      <c r="V397" t="s">
        <v>31</v>
      </c>
      <c r="W397">
        <v>0</v>
      </c>
    </row>
    <row r="398" spans="1:23" x14ac:dyDescent="0.25">
      <c r="A398" t="s">
        <v>4747</v>
      </c>
      <c r="B398" t="s">
        <v>3338</v>
      </c>
      <c r="C398" t="s">
        <v>3337</v>
      </c>
      <c r="D398" t="s">
        <v>4479</v>
      </c>
      <c r="E398" t="s">
        <v>4744</v>
      </c>
      <c r="F398" t="s">
        <v>2241</v>
      </c>
      <c r="G398" t="s">
        <v>1406</v>
      </c>
      <c r="H398" s="6">
        <v>46022</v>
      </c>
      <c r="I398" t="s">
        <v>29</v>
      </c>
      <c r="J398">
        <v>2</v>
      </c>
      <c r="K398">
        <v>0</v>
      </c>
      <c r="L398">
        <v>0</v>
      </c>
      <c r="M398">
        <v>0</v>
      </c>
      <c r="N398" t="s">
        <v>3915</v>
      </c>
      <c r="O398" t="s">
        <v>3915</v>
      </c>
      <c r="P398" t="s">
        <v>3915</v>
      </c>
      <c r="Q398">
        <v>0</v>
      </c>
      <c r="R398" t="s">
        <v>30</v>
      </c>
      <c r="S398">
        <v>0</v>
      </c>
      <c r="T398">
        <v>0</v>
      </c>
      <c r="U398" t="s">
        <v>3915</v>
      </c>
      <c r="V398" t="s">
        <v>31</v>
      </c>
      <c r="W398">
        <v>0</v>
      </c>
    </row>
    <row r="399" spans="1:23" x14ac:dyDescent="0.25">
      <c r="A399" t="s">
        <v>4748</v>
      </c>
      <c r="B399" t="s">
        <v>3340</v>
      </c>
      <c r="C399" t="s">
        <v>3339</v>
      </c>
      <c r="D399" t="s">
        <v>4479</v>
      </c>
      <c r="E399" t="s">
        <v>4744</v>
      </c>
      <c r="F399" t="s">
        <v>2241</v>
      </c>
      <c r="G399" t="s">
        <v>1406</v>
      </c>
      <c r="H399" s="6">
        <v>46022</v>
      </c>
      <c r="I399" t="s">
        <v>29</v>
      </c>
      <c r="J399">
        <v>7</v>
      </c>
      <c r="K399">
        <v>0</v>
      </c>
      <c r="L399">
        <v>0</v>
      </c>
      <c r="M399">
        <v>0</v>
      </c>
      <c r="N399" t="s">
        <v>4749</v>
      </c>
      <c r="O399" t="s">
        <v>3915</v>
      </c>
      <c r="P399" t="s">
        <v>3915</v>
      </c>
      <c r="Q399">
        <v>0</v>
      </c>
      <c r="R399" t="s">
        <v>30</v>
      </c>
      <c r="S399">
        <v>0</v>
      </c>
      <c r="T399">
        <v>0</v>
      </c>
      <c r="U399" t="s">
        <v>3915</v>
      </c>
      <c r="V399" t="s">
        <v>31</v>
      </c>
      <c r="W399">
        <v>0</v>
      </c>
    </row>
    <row r="400" spans="1:23" x14ac:dyDescent="0.25">
      <c r="A400" t="s">
        <v>4281</v>
      </c>
      <c r="B400" t="s">
        <v>3342</v>
      </c>
      <c r="C400" t="s">
        <v>3341</v>
      </c>
      <c r="D400" t="s">
        <v>4479</v>
      </c>
      <c r="E400" t="s">
        <v>4744</v>
      </c>
      <c r="F400" t="s">
        <v>2241</v>
      </c>
      <c r="G400" t="s">
        <v>1406</v>
      </c>
      <c r="H400" s="6">
        <v>46022</v>
      </c>
      <c r="I400" t="s">
        <v>29</v>
      </c>
      <c r="J400">
        <v>4</v>
      </c>
      <c r="K400">
        <v>0</v>
      </c>
      <c r="L400">
        <v>0</v>
      </c>
      <c r="M400">
        <v>0</v>
      </c>
      <c r="N400" t="s">
        <v>4749</v>
      </c>
      <c r="O400" t="s">
        <v>3915</v>
      </c>
      <c r="P400" t="s">
        <v>3915</v>
      </c>
      <c r="Q400">
        <v>0</v>
      </c>
      <c r="R400" t="s">
        <v>30</v>
      </c>
      <c r="S400">
        <v>0</v>
      </c>
      <c r="T400">
        <v>0</v>
      </c>
      <c r="U400" t="s">
        <v>3915</v>
      </c>
      <c r="V400" t="s">
        <v>31</v>
      </c>
      <c r="W400">
        <v>0</v>
      </c>
    </row>
    <row r="401" spans="1:23" x14ac:dyDescent="0.25">
      <c r="A401" t="s">
        <v>4750</v>
      </c>
      <c r="B401" t="s">
        <v>3344</v>
      </c>
      <c r="C401" t="s">
        <v>3343</v>
      </c>
      <c r="D401" t="s">
        <v>4479</v>
      </c>
      <c r="E401" t="s">
        <v>4744</v>
      </c>
      <c r="F401" t="s">
        <v>2241</v>
      </c>
      <c r="G401" t="s">
        <v>1406</v>
      </c>
      <c r="H401" s="6">
        <v>46022</v>
      </c>
      <c r="I401" t="s">
        <v>29</v>
      </c>
      <c r="J401">
        <v>1</v>
      </c>
      <c r="K401">
        <v>0</v>
      </c>
      <c r="L401">
        <v>0</v>
      </c>
      <c r="M401">
        <v>0</v>
      </c>
      <c r="N401" t="s">
        <v>3915</v>
      </c>
      <c r="O401" t="s">
        <v>3915</v>
      </c>
      <c r="P401" t="s">
        <v>3915</v>
      </c>
      <c r="Q401">
        <v>0</v>
      </c>
      <c r="R401" t="s">
        <v>30</v>
      </c>
      <c r="S401">
        <v>0</v>
      </c>
      <c r="T401">
        <v>0</v>
      </c>
      <c r="U401" t="s">
        <v>3915</v>
      </c>
      <c r="V401" t="s">
        <v>31</v>
      </c>
      <c r="W401">
        <v>0</v>
      </c>
    </row>
    <row r="402" spans="1:23" x14ac:dyDescent="0.25">
      <c r="A402" t="s">
        <v>4751</v>
      </c>
      <c r="B402" t="s">
        <v>3346</v>
      </c>
      <c r="C402" t="s">
        <v>3345</v>
      </c>
      <c r="D402" t="s">
        <v>4479</v>
      </c>
      <c r="E402" t="s">
        <v>4744</v>
      </c>
      <c r="F402" t="s">
        <v>2241</v>
      </c>
      <c r="G402" t="s">
        <v>1406</v>
      </c>
      <c r="H402" s="6">
        <v>46022</v>
      </c>
      <c r="I402" t="s">
        <v>29</v>
      </c>
      <c r="J402">
        <v>1</v>
      </c>
      <c r="K402">
        <v>0</v>
      </c>
      <c r="L402">
        <v>0</v>
      </c>
      <c r="M402">
        <v>0</v>
      </c>
      <c r="N402" t="s">
        <v>3915</v>
      </c>
      <c r="O402" t="s">
        <v>3915</v>
      </c>
      <c r="P402" t="s">
        <v>3915</v>
      </c>
      <c r="Q402">
        <v>0</v>
      </c>
      <c r="R402" t="s">
        <v>30</v>
      </c>
      <c r="S402">
        <v>0</v>
      </c>
      <c r="T402">
        <v>0</v>
      </c>
      <c r="U402" t="s">
        <v>3915</v>
      </c>
      <c r="V402" t="s">
        <v>31</v>
      </c>
      <c r="W402">
        <v>0</v>
      </c>
    </row>
    <row r="403" spans="1:23" x14ac:dyDescent="0.25">
      <c r="A403" t="s">
        <v>4179</v>
      </c>
      <c r="B403" t="s">
        <v>3348</v>
      </c>
      <c r="C403" t="s">
        <v>3347</v>
      </c>
      <c r="D403" t="s">
        <v>4479</v>
      </c>
      <c r="E403" t="s">
        <v>4744</v>
      </c>
      <c r="F403" t="s">
        <v>2241</v>
      </c>
      <c r="G403" t="s">
        <v>1406</v>
      </c>
      <c r="H403" s="6">
        <v>46022</v>
      </c>
      <c r="I403" t="s">
        <v>29</v>
      </c>
      <c r="J403">
        <v>1</v>
      </c>
      <c r="K403">
        <v>0</v>
      </c>
      <c r="L403">
        <v>0</v>
      </c>
      <c r="M403">
        <v>0</v>
      </c>
      <c r="N403" t="s">
        <v>3915</v>
      </c>
      <c r="O403" t="s">
        <v>3915</v>
      </c>
      <c r="P403" t="s">
        <v>3915</v>
      </c>
      <c r="Q403">
        <v>0</v>
      </c>
      <c r="R403" t="s">
        <v>30</v>
      </c>
      <c r="S403">
        <v>0</v>
      </c>
      <c r="T403">
        <v>0</v>
      </c>
      <c r="U403" t="s">
        <v>3915</v>
      </c>
      <c r="V403" t="s">
        <v>31</v>
      </c>
      <c r="W403">
        <v>0</v>
      </c>
    </row>
    <row r="404" spans="1:23" x14ac:dyDescent="0.25">
      <c r="A404" t="s">
        <v>5342</v>
      </c>
      <c r="B404" t="s">
        <v>8056</v>
      </c>
      <c r="C404" t="s">
        <v>8055</v>
      </c>
      <c r="D404" t="s">
        <v>4479</v>
      </c>
      <c r="E404" t="s">
        <v>4744</v>
      </c>
      <c r="F404" t="s">
        <v>2241</v>
      </c>
      <c r="G404" t="s">
        <v>1406</v>
      </c>
      <c r="H404" s="6">
        <v>46022</v>
      </c>
      <c r="I404" t="s">
        <v>29</v>
      </c>
      <c r="J404">
        <v>0</v>
      </c>
      <c r="K404">
        <v>0</v>
      </c>
      <c r="L404">
        <v>0</v>
      </c>
      <c r="M404">
        <v>0</v>
      </c>
      <c r="N404" t="s">
        <v>10273</v>
      </c>
      <c r="O404" t="s">
        <v>3915</v>
      </c>
      <c r="P404" t="s">
        <v>3915</v>
      </c>
      <c r="Q404">
        <v>0</v>
      </c>
      <c r="R404" t="s">
        <v>30</v>
      </c>
      <c r="S404">
        <v>0</v>
      </c>
      <c r="T404">
        <v>0</v>
      </c>
      <c r="U404" t="s">
        <v>3915</v>
      </c>
      <c r="V404" t="s">
        <v>31</v>
      </c>
      <c r="W404">
        <v>0</v>
      </c>
    </row>
    <row r="405" spans="1:23" x14ac:dyDescent="0.25">
      <c r="A405" t="s">
        <v>5428</v>
      </c>
      <c r="B405" t="s">
        <v>2409</v>
      </c>
      <c r="C405" t="s">
        <v>2408</v>
      </c>
      <c r="D405" t="s">
        <v>4479</v>
      </c>
      <c r="E405" t="s">
        <v>27</v>
      </c>
      <c r="F405" t="s">
        <v>28</v>
      </c>
      <c r="G405" t="s">
        <v>1406</v>
      </c>
      <c r="H405" s="6">
        <v>46022</v>
      </c>
      <c r="I405" t="s">
        <v>29</v>
      </c>
      <c r="J405">
        <v>0</v>
      </c>
      <c r="K405">
        <v>0</v>
      </c>
      <c r="L405">
        <v>0</v>
      </c>
      <c r="M405">
        <v>0</v>
      </c>
      <c r="N405" t="s">
        <v>3915</v>
      </c>
      <c r="O405" t="s">
        <v>3915</v>
      </c>
      <c r="P405" t="s">
        <v>3915</v>
      </c>
      <c r="Q405">
        <v>0</v>
      </c>
      <c r="R405" t="s">
        <v>30</v>
      </c>
      <c r="S405">
        <v>0</v>
      </c>
      <c r="T405">
        <v>0</v>
      </c>
      <c r="U405" t="s">
        <v>3915</v>
      </c>
      <c r="V405" t="s">
        <v>31</v>
      </c>
      <c r="W405">
        <v>0</v>
      </c>
    </row>
    <row r="406" spans="1:23" x14ac:dyDescent="0.25">
      <c r="A406" t="s">
        <v>36</v>
      </c>
      <c r="B406" t="s">
        <v>37</v>
      </c>
      <c r="C406" t="s">
        <v>38</v>
      </c>
      <c r="D406" t="s">
        <v>4479</v>
      </c>
      <c r="E406" t="s">
        <v>27</v>
      </c>
      <c r="F406" t="s">
        <v>28</v>
      </c>
      <c r="G406" t="s">
        <v>1406</v>
      </c>
      <c r="H406" s="6">
        <v>46022</v>
      </c>
      <c r="I406" t="s">
        <v>29</v>
      </c>
      <c r="J406">
        <v>1</v>
      </c>
      <c r="K406">
        <v>0</v>
      </c>
      <c r="L406">
        <v>0</v>
      </c>
      <c r="M406">
        <v>0</v>
      </c>
      <c r="N406" t="s">
        <v>3915</v>
      </c>
      <c r="O406" t="s">
        <v>3915</v>
      </c>
      <c r="P406" t="s">
        <v>3915</v>
      </c>
      <c r="Q406">
        <v>0</v>
      </c>
      <c r="R406" t="s">
        <v>30</v>
      </c>
      <c r="S406">
        <v>0</v>
      </c>
      <c r="T406">
        <v>0</v>
      </c>
      <c r="U406" t="s">
        <v>3915</v>
      </c>
      <c r="V406" t="s">
        <v>31</v>
      </c>
      <c r="W406">
        <v>0</v>
      </c>
    </row>
    <row r="407" spans="1:23" x14ac:dyDescent="0.25">
      <c r="A407" t="s">
        <v>4752</v>
      </c>
      <c r="B407" t="s">
        <v>3406</v>
      </c>
      <c r="C407" t="s">
        <v>3405</v>
      </c>
      <c r="D407" t="s">
        <v>4479</v>
      </c>
      <c r="E407" t="s">
        <v>27</v>
      </c>
      <c r="F407" t="s">
        <v>28</v>
      </c>
      <c r="G407" t="s">
        <v>1406</v>
      </c>
      <c r="H407" s="6">
        <v>46022</v>
      </c>
      <c r="I407" t="s">
        <v>29</v>
      </c>
      <c r="J407">
        <v>40</v>
      </c>
      <c r="K407">
        <v>0</v>
      </c>
      <c r="L407">
        <v>0</v>
      </c>
      <c r="M407">
        <v>0</v>
      </c>
      <c r="N407" t="s">
        <v>3915</v>
      </c>
      <c r="O407" t="s">
        <v>3915</v>
      </c>
      <c r="P407" t="s">
        <v>3915</v>
      </c>
      <c r="Q407">
        <v>0</v>
      </c>
      <c r="R407" t="s">
        <v>30</v>
      </c>
      <c r="S407">
        <v>0</v>
      </c>
      <c r="T407">
        <v>0</v>
      </c>
      <c r="U407" t="s">
        <v>3915</v>
      </c>
      <c r="V407" t="s">
        <v>31</v>
      </c>
      <c r="W407">
        <v>0</v>
      </c>
    </row>
    <row r="408" spans="1:23" x14ac:dyDescent="0.25">
      <c r="A408" t="s">
        <v>4753</v>
      </c>
      <c r="B408" t="s">
        <v>3408</v>
      </c>
      <c r="C408" t="s">
        <v>3407</v>
      </c>
      <c r="D408" t="s">
        <v>4479</v>
      </c>
      <c r="E408" t="s">
        <v>27</v>
      </c>
      <c r="F408" t="s">
        <v>28</v>
      </c>
      <c r="G408" t="s">
        <v>1406</v>
      </c>
      <c r="H408" s="6">
        <v>46022</v>
      </c>
      <c r="I408" t="s">
        <v>29</v>
      </c>
      <c r="J408">
        <v>81</v>
      </c>
      <c r="K408">
        <v>0</v>
      </c>
      <c r="L408">
        <v>0</v>
      </c>
      <c r="M408">
        <v>0</v>
      </c>
      <c r="N408" t="s">
        <v>3915</v>
      </c>
      <c r="O408" t="s">
        <v>3915</v>
      </c>
      <c r="P408" t="s">
        <v>3915</v>
      </c>
      <c r="Q408">
        <v>0</v>
      </c>
      <c r="R408" t="s">
        <v>30</v>
      </c>
      <c r="S408">
        <v>0</v>
      </c>
      <c r="T408">
        <v>0</v>
      </c>
      <c r="U408" t="s">
        <v>3915</v>
      </c>
      <c r="V408" t="s">
        <v>31</v>
      </c>
      <c r="W408">
        <v>0</v>
      </c>
    </row>
    <row r="409" spans="1:23" x14ac:dyDescent="0.25">
      <c r="A409" t="s">
        <v>4754</v>
      </c>
      <c r="B409" t="s">
        <v>3410</v>
      </c>
      <c r="C409" t="s">
        <v>3409</v>
      </c>
      <c r="D409" t="s">
        <v>4479</v>
      </c>
      <c r="E409" t="s">
        <v>27</v>
      </c>
      <c r="F409" t="s">
        <v>28</v>
      </c>
      <c r="G409" t="s">
        <v>1406</v>
      </c>
      <c r="H409" s="6">
        <v>46022</v>
      </c>
      <c r="I409" t="s">
        <v>29</v>
      </c>
      <c r="J409">
        <v>50</v>
      </c>
      <c r="K409">
        <v>0</v>
      </c>
      <c r="L409">
        <v>0</v>
      </c>
      <c r="M409">
        <v>0</v>
      </c>
      <c r="N409" t="s">
        <v>3915</v>
      </c>
      <c r="O409" t="s">
        <v>3915</v>
      </c>
      <c r="P409" t="s">
        <v>3915</v>
      </c>
      <c r="Q409">
        <v>0</v>
      </c>
      <c r="R409" t="s">
        <v>30</v>
      </c>
      <c r="S409">
        <v>0</v>
      </c>
      <c r="T409">
        <v>0</v>
      </c>
      <c r="U409" t="s">
        <v>3915</v>
      </c>
      <c r="V409" t="s">
        <v>31</v>
      </c>
      <c r="W409">
        <v>0</v>
      </c>
    </row>
    <row r="410" spans="1:23" x14ac:dyDescent="0.25">
      <c r="A410" t="s">
        <v>4755</v>
      </c>
      <c r="B410" t="s">
        <v>3412</v>
      </c>
      <c r="C410" t="s">
        <v>3411</v>
      </c>
      <c r="D410" t="s">
        <v>4479</v>
      </c>
      <c r="E410" t="s">
        <v>27</v>
      </c>
      <c r="F410" t="s">
        <v>28</v>
      </c>
      <c r="G410" t="s">
        <v>1406</v>
      </c>
      <c r="H410" s="6">
        <v>46022</v>
      </c>
      <c r="I410" t="s">
        <v>29</v>
      </c>
      <c r="J410">
        <v>2</v>
      </c>
      <c r="K410">
        <v>0</v>
      </c>
      <c r="L410">
        <v>0</v>
      </c>
      <c r="M410">
        <v>0</v>
      </c>
      <c r="N410" t="s">
        <v>3915</v>
      </c>
      <c r="O410" t="s">
        <v>3915</v>
      </c>
      <c r="P410" t="s">
        <v>3915</v>
      </c>
      <c r="Q410">
        <v>0</v>
      </c>
      <c r="R410" t="s">
        <v>30</v>
      </c>
      <c r="S410">
        <v>0</v>
      </c>
      <c r="T410">
        <v>0</v>
      </c>
      <c r="U410" t="s">
        <v>3915</v>
      </c>
      <c r="V410" t="s">
        <v>31</v>
      </c>
      <c r="W410">
        <v>0</v>
      </c>
    </row>
    <row r="411" spans="1:23" x14ac:dyDescent="0.25">
      <c r="A411" t="s">
        <v>4756</v>
      </c>
      <c r="B411" t="s">
        <v>3414</v>
      </c>
      <c r="C411" t="s">
        <v>3413</v>
      </c>
      <c r="D411" t="s">
        <v>4479</v>
      </c>
      <c r="E411" t="s">
        <v>27</v>
      </c>
      <c r="F411" t="s">
        <v>28</v>
      </c>
      <c r="G411" t="s">
        <v>1406</v>
      </c>
      <c r="H411" s="6">
        <v>46022</v>
      </c>
      <c r="I411" t="s">
        <v>29</v>
      </c>
      <c r="J411">
        <v>1</v>
      </c>
      <c r="K411">
        <v>0</v>
      </c>
      <c r="L411">
        <v>0</v>
      </c>
      <c r="M411">
        <v>0</v>
      </c>
      <c r="N411" t="s">
        <v>3915</v>
      </c>
      <c r="O411" t="s">
        <v>3915</v>
      </c>
      <c r="P411" t="s">
        <v>3915</v>
      </c>
      <c r="Q411">
        <v>0</v>
      </c>
      <c r="R411" t="s">
        <v>30</v>
      </c>
      <c r="S411">
        <v>0</v>
      </c>
      <c r="T411">
        <v>0</v>
      </c>
      <c r="U411" t="s">
        <v>3915</v>
      </c>
      <c r="V411" t="s">
        <v>31</v>
      </c>
      <c r="W411">
        <v>0</v>
      </c>
    </row>
    <row r="412" spans="1:23" x14ac:dyDescent="0.25">
      <c r="A412" t="s">
        <v>4757</v>
      </c>
      <c r="B412" t="s">
        <v>3416</v>
      </c>
      <c r="C412" t="s">
        <v>3415</v>
      </c>
      <c r="D412" t="s">
        <v>4479</v>
      </c>
      <c r="E412" t="s">
        <v>27</v>
      </c>
      <c r="F412" t="s">
        <v>28</v>
      </c>
      <c r="G412" t="s">
        <v>1406</v>
      </c>
      <c r="H412" s="6">
        <v>46022</v>
      </c>
      <c r="I412" t="s">
        <v>29</v>
      </c>
      <c r="J412">
        <v>4</v>
      </c>
      <c r="K412">
        <v>0</v>
      </c>
      <c r="L412">
        <v>0</v>
      </c>
      <c r="M412">
        <v>0</v>
      </c>
      <c r="N412" t="s">
        <v>3915</v>
      </c>
      <c r="O412" t="s">
        <v>3915</v>
      </c>
      <c r="P412" t="s">
        <v>3915</v>
      </c>
      <c r="Q412">
        <v>0</v>
      </c>
      <c r="R412" t="s">
        <v>30</v>
      </c>
      <c r="S412">
        <v>0</v>
      </c>
      <c r="T412">
        <v>0</v>
      </c>
      <c r="U412" t="s">
        <v>3915</v>
      </c>
      <c r="V412" t="s">
        <v>31</v>
      </c>
      <c r="W412">
        <v>0</v>
      </c>
    </row>
    <row r="413" spans="1:23" x14ac:dyDescent="0.25">
      <c r="A413" t="s">
        <v>4758</v>
      </c>
      <c r="B413" t="s">
        <v>3418</v>
      </c>
      <c r="C413" t="s">
        <v>3417</v>
      </c>
      <c r="D413" t="s">
        <v>4479</v>
      </c>
      <c r="E413" t="s">
        <v>27</v>
      </c>
      <c r="F413" t="s">
        <v>28</v>
      </c>
      <c r="G413" t="s">
        <v>1406</v>
      </c>
      <c r="H413" s="6">
        <v>46022</v>
      </c>
      <c r="I413" t="s">
        <v>29</v>
      </c>
      <c r="J413">
        <v>2</v>
      </c>
      <c r="K413">
        <v>0</v>
      </c>
      <c r="L413">
        <v>0</v>
      </c>
      <c r="M413">
        <v>0</v>
      </c>
      <c r="N413" t="s">
        <v>3915</v>
      </c>
      <c r="O413" t="s">
        <v>3915</v>
      </c>
      <c r="P413" t="s">
        <v>3915</v>
      </c>
      <c r="Q413">
        <v>0</v>
      </c>
      <c r="R413" t="s">
        <v>30</v>
      </c>
      <c r="S413">
        <v>0</v>
      </c>
      <c r="T413">
        <v>0</v>
      </c>
      <c r="U413" t="s">
        <v>3915</v>
      </c>
      <c r="V413" t="s">
        <v>31</v>
      </c>
      <c r="W413">
        <v>0</v>
      </c>
    </row>
    <row r="414" spans="1:23" x14ac:dyDescent="0.25">
      <c r="A414" t="s">
        <v>4759</v>
      </c>
      <c r="B414" t="s">
        <v>3420</v>
      </c>
      <c r="C414" t="s">
        <v>3419</v>
      </c>
      <c r="D414" t="s">
        <v>4479</v>
      </c>
      <c r="E414" t="s">
        <v>27</v>
      </c>
      <c r="F414" t="s">
        <v>28</v>
      </c>
      <c r="G414" t="s">
        <v>1406</v>
      </c>
      <c r="H414" s="6">
        <v>46022</v>
      </c>
      <c r="I414" t="s">
        <v>29</v>
      </c>
      <c r="J414">
        <v>1</v>
      </c>
      <c r="K414">
        <v>0</v>
      </c>
      <c r="L414">
        <v>0</v>
      </c>
      <c r="M414">
        <v>0</v>
      </c>
      <c r="N414" t="s">
        <v>3915</v>
      </c>
      <c r="O414" t="s">
        <v>3915</v>
      </c>
      <c r="P414" t="s">
        <v>3915</v>
      </c>
      <c r="Q414">
        <v>0</v>
      </c>
      <c r="R414" t="s">
        <v>30</v>
      </c>
      <c r="S414">
        <v>0</v>
      </c>
      <c r="T414">
        <v>0</v>
      </c>
      <c r="U414" t="s">
        <v>3915</v>
      </c>
      <c r="V414" t="s">
        <v>31</v>
      </c>
      <c r="W414">
        <v>0</v>
      </c>
    </row>
    <row r="415" spans="1:23" x14ac:dyDescent="0.25">
      <c r="A415" t="s">
        <v>4760</v>
      </c>
      <c r="B415" t="s">
        <v>3422</v>
      </c>
      <c r="C415" t="s">
        <v>3421</v>
      </c>
      <c r="D415" t="s">
        <v>4479</v>
      </c>
      <c r="E415" t="s">
        <v>27</v>
      </c>
      <c r="F415" t="s">
        <v>28</v>
      </c>
      <c r="G415" t="s">
        <v>1406</v>
      </c>
      <c r="H415" s="6">
        <v>46022</v>
      </c>
      <c r="I415" t="s">
        <v>29</v>
      </c>
      <c r="J415">
        <v>12</v>
      </c>
      <c r="K415">
        <v>0</v>
      </c>
      <c r="L415">
        <v>0</v>
      </c>
      <c r="M415">
        <v>0</v>
      </c>
      <c r="N415" t="s">
        <v>3915</v>
      </c>
      <c r="O415" t="s">
        <v>3915</v>
      </c>
      <c r="P415" t="s">
        <v>3915</v>
      </c>
      <c r="Q415">
        <v>0</v>
      </c>
      <c r="R415" t="s">
        <v>30</v>
      </c>
      <c r="S415">
        <v>0</v>
      </c>
      <c r="T415">
        <v>0</v>
      </c>
      <c r="U415" t="s">
        <v>3915</v>
      </c>
      <c r="V415" t="s">
        <v>31</v>
      </c>
      <c r="W415">
        <v>0</v>
      </c>
    </row>
    <row r="416" spans="1:23" x14ac:dyDescent="0.25">
      <c r="A416" t="s">
        <v>4761</v>
      </c>
      <c r="B416" t="s">
        <v>3424</v>
      </c>
      <c r="C416" t="s">
        <v>3423</v>
      </c>
      <c r="D416" t="s">
        <v>4479</v>
      </c>
      <c r="E416" t="s">
        <v>27</v>
      </c>
      <c r="F416" t="s">
        <v>28</v>
      </c>
      <c r="G416" t="s">
        <v>1406</v>
      </c>
      <c r="H416" s="6">
        <v>46022</v>
      </c>
      <c r="I416" t="s">
        <v>29</v>
      </c>
      <c r="J416">
        <v>3</v>
      </c>
      <c r="K416">
        <v>0</v>
      </c>
      <c r="L416">
        <v>0</v>
      </c>
      <c r="M416">
        <v>0</v>
      </c>
      <c r="N416" t="s">
        <v>3915</v>
      </c>
      <c r="O416" t="s">
        <v>3915</v>
      </c>
      <c r="P416" t="s">
        <v>3915</v>
      </c>
      <c r="Q416">
        <v>0</v>
      </c>
      <c r="R416" t="s">
        <v>30</v>
      </c>
      <c r="S416">
        <v>0</v>
      </c>
      <c r="T416">
        <v>0</v>
      </c>
      <c r="U416" t="s">
        <v>3915</v>
      </c>
      <c r="V416" t="s">
        <v>31</v>
      </c>
      <c r="W416">
        <v>0</v>
      </c>
    </row>
    <row r="417" spans="1:23" x14ac:dyDescent="0.25">
      <c r="A417" t="s">
        <v>4762</v>
      </c>
      <c r="B417" t="s">
        <v>3426</v>
      </c>
      <c r="C417" t="s">
        <v>3425</v>
      </c>
      <c r="D417" t="s">
        <v>4479</v>
      </c>
      <c r="E417" t="s">
        <v>27</v>
      </c>
      <c r="F417" t="s">
        <v>28</v>
      </c>
      <c r="G417" t="s">
        <v>1406</v>
      </c>
      <c r="H417" s="6">
        <v>46022</v>
      </c>
      <c r="I417" t="s">
        <v>29</v>
      </c>
      <c r="J417">
        <v>3</v>
      </c>
      <c r="K417">
        <v>0</v>
      </c>
      <c r="L417">
        <v>0</v>
      </c>
      <c r="M417">
        <v>0</v>
      </c>
      <c r="N417" t="s">
        <v>3915</v>
      </c>
      <c r="O417" t="s">
        <v>3915</v>
      </c>
      <c r="P417" t="s">
        <v>3915</v>
      </c>
      <c r="Q417">
        <v>0</v>
      </c>
      <c r="R417" t="s">
        <v>30</v>
      </c>
      <c r="S417">
        <v>0</v>
      </c>
      <c r="T417">
        <v>0</v>
      </c>
      <c r="U417" t="s">
        <v>3915</v>
      </c>
      <c r="V417" t="s">
        <v>31</v>
      </c>
      <c r="W417">
        <v>0</v>
      </c>
    </row>
    <row r="418" spans="1:23" x14ac:dyDescent="0.25">
      <c r="A418" t="s">
        <v>4763</v>
      </c>
      <c r="B418" t="s">
        <v>3428</v>
      </c>
      <c r="C418" t="s">
        <v>3427</v>
      </c>
      <c r="D418" t="s">
        <v>4479</v>
      </c>
      <c r="E418" t="s">
        <v>27</v>
      </c>
      <c r="F418" t="s">
        <v>28</v>
      </c>
      <c r="G418" t="s">
        <v>1406</v>
      </c>
      <c r="H418" s="6">
        <v>46022</v>
      </c>
      <c r="I418" t="s">
        <v>29</v>
      </c>
      <c r="J418">
        <v>3</v>
      </c>
      <c r="K418">
        <v>0</v>
      </c>
      <c r="L418">
        <v>0</v>
      </c>
      <c r="M418">
        <v>0</v>
      </c>
      <c r="N418" t="s">
        <v>3915</v>
      </c>
      <c r="O418" t="s">
        <v>3915</v>
      </c>
      <c r="P418" t="s">
        <v>3915</v>
      </c>
      <c r="Q418">
        <v>0</v>
      </c>
      <c r="R418" t="s">
        <v>30</v>
      </c>
      <c r="S418">
        <v>0</v>
      </c>
      <c r="T418">
        <v>0</v>
      </c>
      <c r="U418" t="s">
        <v>3915</v>
      </c>
      <c r="V418" t="s">
        <v>31</v>
      </c>
      <c r="W418">
        <v>0</v>
      </c>
    </row>
    <row r="419" spans="1:23" x14ac:dyDescent="0.25">
      <c r="A419" t="s">
        <v>4104</v>
      </c>
      <c r="B419" t="s">
        <v>3430</v>
      </c>
      <c r="C419" t="s">
        <v>3429</v>
      </c>
      <c r="D419" t="s">
        <v>4479</v>
      </c>
      <c r="E419" t="s">
        <v>27</v>
      </c>
      <c r="F419" t="s">
        <v>28</v>
      </c>
      <c r="G419" t="s">
        <v>1406</v>
      </c>
      <c r="H419" s="6">
        <v>46022</v>
      </c>
      <c r="I419" t="s">
        <v>29</v>
      </c>
      <c r="J419">
        <v>1</v>
      </c>
      <c r="K419">
        <v>0</v>
      </c>
      <c r="L419">
        <v>0</v>
      </c>
      <c r="M419">
        <v>0</v>
      </c>
      <c r="N419" t="s">
        <v>3915</v>
      </c>
      <c r="O419" t="s">
        <v>3915</v>
      </c>
      <c r="P419" t="s">
        <v>3915</v>
      </c>
      <c r="Q419">
        <v>0</v>
      </c>
      <c r="R419" t="s">
        <v>30</v>
      </c>
      <c r="S419">
        <v>0</v>
      </c>
      <c r="T419">
        <v>0</v>
      </c>
      <c r="U419" t="s">
        <v>3915</v>
      </c>
      <c r="V419" t="s">
        <v>31</v>
      </c>
      <c r="W419">
        <v>0</v>
      </c>
    </row>
    <row r="420" spans="1:23" x14ac:dyDescent="0.25">
      <c r="A420" t="s">
        <v>4764</v>
      </c>
      <c r="B420" t="s">
        <v>2433</v>
      </c>
      <c r="C420" t="s">
        <v>2432</v>
      </c>
      <c r="D420" t="s">
        <v>4479</v>
      </c>
      <c r="E420" t="s">
        <v>27</v>
      </c>
      <c r="F420" t="s">
        <v>28</v>
      </c>
      <c r="G420" t="s">
        <v>1406</v>
      </c>
      <c r="H420" s="6">
        <v>46022</v>
      </c>
      <c r="I420" t="s">
        <v>29</v>
      </c>
      <c r="J420">
        <v>0</v>
      </c>
      <c r="K420">
        <v>0</v>
      </c>
      <c r="L420">
        <v>0</v>
      </c>
      <c r="M420">
        <v>0</v>
      </c>
      <c r="N420" t="s">
        <v>3915</v>
      </c>
      <c r="O420" t="s">
        <v>3915</v>
      </c>
      <c r="P420" t="s">
        <v>3915</v>
      </c>
      <c r="Q420">
        <v>0</v>
      </c>
      <c r="R420" t="s">
        <v>30</v>
      </c>
      <c r="S420">
        <v>0</v>
      </c>
      <c r="T420">
        <v>0</v>
      </c>
      <c r="U420" t="s">
        <v>3915</v>
      </c>
      <c r="V420" t="s">
        <v>31</v>
      </c>
      <c r="W420">
        <v>0</v>
      </c>
    </row>
    <row r="421" spans="1:23" x14ac:dyDescent="0.25">
      <c r="A421" t="s">
        <v>5451</v>
      </c>
      <c r="B421" t="s">
        <v>2439</v>
      </c>
      <c r="C421" t="s">
        <v>2438</v>
      </c>
      <c r="D421" t="s">
        <v>4479</v>
      </c>
      <c r="E421" t="s">
        <v>27</v>
      </c>
      <c r="F421" t="s">
        <v>28</v>
      </c>
      <c r="G421" t="s">
        <v>1406</v>
      </c>
      <c r="H421" s="6">
        <v>46022</v>
      </c>
      <c r="I421" t="s">
        <v>29</v>
      </c>
      <c r="J421">
        <v>0</v>
      </c>
      <c r="K421">
        <v>0</v>
      </c>
      <c r="L421">
        <v>0</v>
      </c>
      <c r="M421">
        <v>0</v>
      </c>
      <c r="N421" t="s">
        <v>3915</v>
      </c>
      <c r="O421" t="s">
        <v>3915</v>
      </c>
      <c r="P421" t="s">
        <v>3915</v>
      </c>
      <c r="Q421">
        <v>0</v>
      </c>
      <c r="R421" t="s">
        <v>30</v>
      </c>
      <c r="S421">
        <v>0</v>
      </c>
      <c r="T421">
        <v>0</v>
      </c>
      <c r="U421" t="s">
        <v>3915</v>
      </c>
      <c r="V421" t="s">
        <v>31</v>
      </c>
      <c r="W421">
        <v>0</v>
      </c>
    </row>
    <row r="422" spans="1:23" x14ac:dyDescent="0.25">
      <c r="A422" t="s">
        <v>10313</v>
      </c>
      <c r="B422" t="s">
        <v>537</v>
      </c>
      <c r="C422" t="s">
        <v>538</v>
      </c>
      <c r="D422" t="s">
        <v>4479</v>
      </c>
      <c r="E422" t="s">
        <v>27</v>
      </c>
      <c r="F422" t="s">
        <v>28</v>
      </c>
      <c r="G422" t="s">
        <v>1406</v>
      </c>
      <c r="H422" s="6">
        <v>46022</v>
      </c>
      <c r="I422" t="s">
        <v>29</v>
      </c>
      <c r="J422">
        <v>0</v>
      </c>
      <c r="K422">
        <v>0</v>
      </c>
      <c r="L422">
        <v>0</v>
      </c>
      <c r="M422">
        <v>0</v>
      </c>
      <c r="N422" t="s">
        <v>3915</v>
      </c>
      <c r="O422" t="s">
        <v>3915</v>
      </c>
      <c r="P422" t="s">
        <v>3915</v>
      </c>
      <c r="Q422">
        <v>0</v>
      </c>
      <c r="R422" t="s">
        <v>30</v>
      </c>
      <c r="S422">
        <v>0</v>
      </c>
      <c r="T422">
        <v>0</v>
      </c>
      <c r="U422" t="s">
        <v>3915</v>
      </c>
      <c r="V422" t="s">
        <v>31</v>
      </c>
      <c r="W422">
        <v>0</v>
      </c>
    </row>
    <row r="423" spans="1:23" x14ac:dyDescent="0.25">
      <c r="A423" t="s">
        <v>5460</v>
      </c>
      <c r="B423" t="s">
        <v>549</v>
      </c>
      <c r="C423" t="s">
        <v>550</v>
      </c>
      <c r="D423" t="s">
        <v>4479</v>
      </c>
      <c r="E423" t="s">
        <v>27</v>
      </c>
      <c r="F423" t="s">
        <v>28</v>
      </c>
      <c r="G423" t="s">
        <v>1406</v>
      </c>
      <c r="H423" s="6">
        <v>46022</v>
      </c>
      <c r="I423" t="s">
        <v>29</v>
      </c>
      <c r="J423">
        <v>0</v>
      </c>
      <c r="K423">
        <v>0</v>
      </c>
      <c r="L423">
        <v>0</v>
      </c>
      <c r="M423">
        <v>0</v>
      </c>
      <c r="N423" t="s">
        <v>3915</v>
      </c>
      <c r="O423" t="s">
        <v>3915</v>
      </c>
      <c r="P423" t="s">
        <v>3915</v>
      </c>
      <c r="Q423">
        <v>0</v>
      </c>
      <c r="R423" t="s">
        <v>30</v>
      </c>
      <c r="S423">
        <v>0</v>
      </c>
      <c r="T423">
        <v>0</v>
      </c>
      <c r="U423" t="s">
        <v>3915</v>
      </c>
      <c r="V423" t="s">
        <v>31</v>
      </c>
      <c r="W423">
        <v>0</v>
      </c>
    </row>
    <row r="424" spans="1:23" x14ac:dyDescent="0.25">
      <c r="A424" t="s">
        <v>4765</v>
      </c>
      <c r="B424" t="s">
        <v>555</v>
      </c>
      <c r="C424" t="s">
        <v>556</v>
      </c>
      <c r="D424" t="s">
        <v>4479</v>
      </c>
      <c r="E424" t="s">
        <v>27</v>
      </c>
      <c r="F424" t="s">
        <v>28</v>
      </c>
      <c r="G424" t="s">
        <v>1406</v>
      </c>
      <c r="H424" s="6">
        <v>46022</v>
      </c>
      <c r="I424" t="s">
        <v>29</v>
      </c>
      <c r="J424">
        <v>0</v>
      </c>
      <c r="K424">
        <v>0</v>
      </c>
      <c r="L424">
        <v>0</v>
      </c>
      <c r="M424">
        <v>0</v>
      </c>
      <c r="N424" t="s">
        <v>3915</v>
      </c>
      <c r="O424" t="s">
        <v>3915</v>
      </c>
      <c r="P424" t="s">
        <v>3915</v>
      </c>
      <c r="Q424">
        <v>0</v>
      </c>
      <c r="R424" t="s">
        <v>30</v>
      </c>
      <c r="S424">
        <v>0</v>
      </c>
      <c r="T424">
        <v>0</v>
      </c>
      <c r="U424" t="s">
        <v>3915</v>
      </c>
      <c r="V424" t="s">
        <v>31</v>
      </c>
      <c r="W424">
        <v>0</v>
      </c>
    </row>
    <row r="425" spans="1:23" x14ac:dyDescent="0.25">
      <c r="A425" t="s">
        <v>4766</v>
      </c>
      <c r="B425" t="s">
        <v>3432</v>
      </c>
      <c r="C425" t="s">
        <v>3431</v>
      </c>
      <c r="D425" t="s">
        <v>4479</v>
      </c>
      <c r="E425" t="s">
        <v>27</v>
      </c>
      <c r="F425" t="s">
        <v>28</v>
      </c>
      <c r="G425" t="s">
        <v>1406</v>
      </c>
      <c r="H425" s="6">
        <v>46022</v>
      </c>
      <c r="I425" t="s">
        <v>29</v>
      </c>
      <c r="J425">
        <v>8</v>
      </c>
      <c r="K425">
        <v>0</v>
      </c>
      <c r="L425">
        <v>0</v>
      </c>
      <c r="M425">
        <v>0</v>
      </c>
      <c r="N425" t="s">
        <v>3915</v>
      </c>
      <c r="O425" t="s">
        <v>3915</v>
      </c>
      <c r="P425" t="s">
        <v>3915</v>
      </c>
      <c r="Q425">
        <v>0</v>
      </c>
      <c r="R425" t="s">
        <v>30</v>
      </c>
      <c r="S425">
        <v>0</v>
      </c>
      <c r="T425">
        <v>0</v>
      </c>
      <c r="U425" t="s">
        <v>3915</v>
      </c>
      <c r="V425" t="s">
        <v>31</v>
      </c>
      <c r="W425">
        <v>0</v>
      </c>
    </row>
    <row r="426" spans="1:23" x14ac:dyDescent="0.25">
      <c r="A426" t="s">
        <v>4767</v>
      </c>
      <c r="B426" t="s">
        <v>3434</v>
      </c>
      <c r="C426" t="s">
        <v>3433</v>
      </c>
      <c r="D426" t="s">
        <v>4479</v>
      </c>
      <c r="E426" t="s">
        <v>27</v>
      </c>
      <c r="F426" t="s">
        <v>28</v>
      </c>
      <c r="G426" t="s">
        <v>1406</v>
      </c>
      <c r="H426" s="6">
        <v>46022</v>
      </c>
      <c r="I426" t="s">
        <v>29</v>
      </c>
      <c r="J426">
        <v>10</v>
      </c>
      <c r="K426">
        <v>0</v>
      </c>
      <c r="L426">
        <v>0</v>
      </c>
      <c r="M426">
        <v>0</v>
      </c>
      <c r="N426" t="s">
        <v>3915</v>
      </c>
      <c r="O426" t="s">
        <v>3915</v>
      </c>
      <c r="P426" t="s">
        <v>3915</v>
      </c>
      <c r="Q426">
        <v>0</v>
      </c>
      <c r="R426" t="s">
        <v>30</v>
      </c>
      <c r="S426">
        <v>0</v>
      </c>
      <c r="T426">
        <v>0</v>
      </c>
      <c r="U426" t="s">
        <v>3915</v>
      </c>
      <c r="V426" t="s">
        <v>31</v>
      </c>
      <c r="W426">
        <v>0</v>
      </c>
    </row>
    <row r="427" spans="1:23" x14ac:dyDescent="0.25">
      <c r="A427" t="s">
        <v>4768</v>
      </c>
      <c r="B427" t="s">
        <v>2445</v>
      </c>
      <c r="C427" t="s">
        <v>2444</v>
      </c>
      <c r="D427" t="s">
        <v>4479</v>
      </c>
      <c r="E427" t="s">
        <v>27</v>
      </c>
      <c r="F427" t="s">
        <v>28</v>
      </c>
      <c r="G427" t="s">
        <v>1406</v>
      </c>
      <c r="H427" s="6">
        <v>46022</v>
      </c>
      <c r="I427" t="s">
        <v>29</v>
      </c>
      <c r="J427">
        <v>5</v>
      </c>
      <c r="K427">
        <v>0</v>
      </c>
      <c r="L427">
        <v>0</v>
      </c>
      <c r="M427">
        <v>0</v>
      </c>
      <c r="N427" t="s">
        <v>3915</v>
      </c>
      <c r="O427" t="s">
        <v>3915</v>
      </c>
      <c r="P427" t="s">
        <v>3915</v>
      </c>
      <c r="Q427">
        <v>0</v>
      </c>
      <c r="R427" t="s">
        <v>30</v>
      </c>
      <c r="S427">
        <v>0</v>
      </c>
      <c r="T427">
        <v>0</v>
      </c>
      <c r="U427" t="s">
        <v>3915</v>
      </c>
      <c r="V427" t="s">
        <v>31</v>
      </c>
      <c r="W427">
        <v>0</v>
      </c>
    </row>
    <row r="428" spans="1:23" x14ac:dyDescent="0.25">
      <c r="A428" t="s">
        <v>4769</v>
      </c>
      <c r="B428" t="s">
        <v>3436</v>
      </c>
      <c r="C428" t="s">
        <v>3435</v>
      </c>
      <c r="D428" t="s">
        <v>4479</v>
      </c>
      <c r="E428" t="s">
        <v>27</v>
      </c>
      <c r="F428" t="s">
        <v>28</v>
      </c>
      <c r="G428" t="s">
        <v>1406</v>
      </c>
      <c r="H428" s="6">
        <v>46022</v>
      </c>
      <c r="I428" t="s">
        <v>29</v>
      </c>
      <c r="J428">
        <v>4</v>
      </c>
      <c r="K428">
        <v>0</v>
      </c>
      <c r="L428">
        <v>0</v>
      </c>
      <c r="M428">
        <v>0</v>
      </c>
      <c r="N428" t="s">
        <v>3915</v>
      </c>
      <c r="O428" t="s">
        <v>3915</v>
      </c>
      <c r="P428" t="s">
        <v>3915</v>
      </c>
      <c r="Q428">
        <v>0</v>
      </c>
      <c r="R428" t="s">
        <v>30</v>
      </c>
      <c r="S428">
        <v>0</v>
      </c>
      <c r="T428">
        <v>0</v>
      </c>
      <c r="U428" t="s">
        <v>3915</v>
      </c>
      <c r="V428" t="s">
        <v>31</v>
      </c>
      <c r="W428">
        <v>0</v>
      </c>
    </row>
    <row r="429" spans="1:23" x14ac:dyDescent="0.25">
      <c r="A429" t="s">
        <v>4770</v>
      </c>
      <c r="B429" t="s">
        <v>3438</v>
      </c>
      <c r="C429" t="s">
        <v>3437</v>
      </c>
      <c r="D429" t="s">
        <v>4479</v>
      </c>
      <c r="E429" t="s">
        <v>27</v>
      </c>
      <c r="F429" t="s">
        <v>28</v>
      </c>
      <c r="G429" t="s">
        <v>1406</v>
      </c>
      <c r="H429" s="6">
        <v>46022</v>
      </c>
      <c r="I429" t="s">
        <v>29</v>
      </c>
      <c r="J429">
        <v>1</v>
      </c>
      <c r="K429">
        <v>0</v>
      </c>
      <c r="L429">
        <v>0</v>
      </c>
      <c r="M429">
        <v>0</v>
      </c>
      <c r="N429" t="s">
        <v>3915</v>
      </c>
      <c r="O429" t="s">
        <v>3915</v>
      </c>
      <c r="P429" t="s">
        <v>3915</v>
      </c>
      <c r="Q429">
        <v>0</v>
      </c>
      <c r="R429" t="s">
        <v>30</v>
      </c>
      <c r="S429">
        <v>0</v>
      </c>
      <c r="T429">
        <v>0</v>
      </c>
      <c r="U429" t="s">
        <v>3915</v>
      </c>
      <c r="V429" t="s">
        <v>31</v>
      </c>
      <c r="W429">
        <v>0</v>
      </c>
    </row>
    <row r="430" spans="1:23" x14ac:dyDescent="0.25">
      <c r="A430" t="s">
        <v>10229</v>
      </c>
      <c r="B430" t="s">
        <v>581</v>
      </c>
      <c r="C430" t="s">
        <v>582</v>
      </c>
      <c r="D430" t="s">
        <v>4479</v>
      </c>
      <c r="E430" t="s">
        <v>27</v>
      </c>
      <c r="F430" t="s">
        <v>28</v>
      </c>
      <c r="G430" t="s">
        <v>1406</v>
      </c>
      <c r="H430" s="6">
        <v>46022</v>
      </c>
      <c r="I430" t="s">
        <v>29</v>
      </c>
      <c r="J430">
        <v>0</v>
      </c>
      <c r="K430">
        <v>0</v>
      </c>
      <c r="L430">
        <v>0</v>
      </c>
      <c r="M430">
        <v>0</v>
      </c>
      <c r="N430" t="s">
        <v>3915</v>
      </c>
      <c r="O430" t="s">
        <v>3915</v>
      </c>
      <c r="P430" t="s">
        <v>3915</v>
      </c>
      <c r="Q430">
        <v>0</v>
      </c>
      <c r="R430" t="s">
        <v>30</v>
      </c>
      <c r="S430">
        <v>0</v>
      </c>
      <c r="T430">
        <v>0</v>
      </c>
      <c r="U430" t="s">
        <v>3915</v>
      </c>
      <c r="V430" t="s">
        <v>31</v>
      </c>
      <c r="W430">
        <v>0</v>
      </c>
    </row>
    <row r="431" spans="1:23" x14ac:dyDescent="0.25">
      <c r="A431" t="s">
        <v>4771</v>
      </c>
      <c r="B431" t="s">
        <v>2447</v>
      </c>
      <c r="C431" t="s">
        <v>2446</v>
      </c>
      <c r="D431" t="s">
        <v>4479</v>
      </c>
      <c r="E431" t="s">
        <v>27</v>
      </c>
      <c r="F431" t="s">
        <v>28</v>
      </c>
      <c r="G431" t="s">
        <v>1406</v>
      </c>
      <c r="H431" s="6">
        <v>46022</v>
      </c>
      <c r="I431" t="s">
        <v>29</v>
      </c>
      <c r="J431">
        <v>0</v>
      </c>
      <c r="K431">
        <v>0</v>
      </c>
      <c r="L431">
        <v>0</v>
      </c>
      <c r="M431">
        <v>0</v>
      </c>
      <c r="N431" t="s">
        <v>3915</v>
      </c>
      <c r="O431" t="s">
        <v>3915</v>
      </c>
      <c r="P431" t="s">
        <v>3915</v>
      </c>
      <c r="Q431">
        <v>0</v>
      </c>
      <c r="R431" t="s">
        <v>30</v>
      </c>
      <c r="S431">
        <v>0</v>
      </c>
      <c r="T431">
        <v>0</v>
      </c>
      <c r="U431" t="s">
        <v>3915</v>
      </c>
      <c r="V431" t="s">
        <v>31</v>
      </c>
      <c r="W431">
        <v>0</v>
      </c>
    </row>
    <row r="432" spans="1:23" x14ac:dyDescent="0.25">
      <c r="A432" t="s">
        <v>4772</v>
      </c>
      <c r="B432" t="s">
        <v>3440</v>
      </c>
      <c r="C432" t="s">
        <v>3439</v>
      </c>
      <c r="D432" t="s">
        <v>4479</v>
      </c>
      <c r="E432" t="s">
        <v>27</v>
      </c>
      <c r="F432" t="s">
        <v>28</v>
      </c>
      <c r="G432" t="s">
        <v>1406</v>
      </c>
      <c r="H432" s="6">
        <v>46022</v>
      </c>
      <c r="I432" t="s">
        <v>29</v>
      </c>
      <c r="J432">
        <v>8</v>
      </c>
      <c r="K432">
        <v>0</v>
      </c>
      <c r="L432">
        <v>0</v>
      </c>
      <c r="M432">
        <v>0</v>
      </c>
      <c r="N432" t="s">
        <v>3915</v>
      </c>
      <c r="O432" t="s">
        <v>3915</v>
      </c>
      <c r="P432" t="s">
        <v>3915</v>
      </c>
      <c r="Q432">
        <v>0</v>
      </c>
      <c r="R432" t="s">
        <v>30</v>
      </c>
      <c r="S432">
        <v>0</v>
      </c>
      <c r="T432">
        <v>0</v>
      </c>
      <c r="U432" t="s">
        <v>3915</v>
      </c>
      <c r="V432" t="s">
        <v>31</v>
      </c>
      <c r="W432">
        <v>0</v>
      </c>
    </row>
    <row r="433" spans="1:23" x14ac:dyDescent="0.25">
      <c r="A433" t="s">
        <v>4773</v>
      </c>
      <c r="B433" t="s">
        <v>3442</v>
      </c>
      <c r="C433" t="s">
        <v>3441</v>
      </c>
      <c r="D433" t="s">
        <v>4479</v>
      </c>
      <c r="E433" t="s">
        <v>27</v>
      </c>
      <c r="F433" t="s">
        <v>28</v>
      </c>
      <c r="G433" t="s">
        <v>1406</v>
      </c>
      <c r="H433" s="6">
        <v>46022</v>
      </c>
      <c r="I433" t="s">
        <v>29</v>
      </c>
      <c r="J433">
        <v>21</v>
      </c>
      <c r="K433">
        <v>0</v>
      </c>
      <c r="L433">
        <v>0</v>
      </c>
      <c r="M433">
        <v>0</v>
      </c>
      <c r="N433" t="s">
        <v>3915</v>
      </c>
      <c r="O433" t="s">
        <v>3915</v>
      </c>
      <c r="P433" t="s">
        <v>3915</v>
      </c>
      <c r="Q433">
        <v>0</v>
      </c>
      <c r="R433" t="s">
        <v>30</v>
      </c>
      <c r="S433">
        <v>0</v>
      </c>
      <c r="T433">
        <v>0</v>
      </c>
      <c r="U433" t="s">
        <v>3915</v>
      </c>
      <c r="V433" t="s">
        <v>31</v>
      </c>
      <c r="W433">
        <v>0</v>
      </c>
    </row>
    <row r="434" spans="1:23" x14ac:dyDescent="0.25">
      <c r="A434" t="s">
        <v>4774</v>
      </c>
      <c r="B434" t="s">
        <v>3444</v>
      </c>
      <c r="C434" t="s">
        <v>3443</v>
      </c>
      <c r="D434" t="s">
        <v>4479</v>
      </c>
      <c r="E434" t="s">
        <v>27</v>
      </c>
      <c r="F434" t="s">
        <v>28</v>
      </c>
      <c r="G434" t="s">
        <v>1406</v>
      </c>
      <c r="H434" s="6">
        <v>46022</v>
      </c>
      <c r="I434" t="s">
        <v>29</v>
      </c>
      <c r="J434">
        <v>3</v>
      </c>
      <c r="K434">
        <v>0</v>
      </c>
      <c r="L434">
        <v>0</v>
      </c>
      <c r="M434">
        <v>0</v>
      </c>
      <c r="N434" t="s">
        <v>3915</v>
      </c>
      <c r="O434" t="s">
        <v>3915</v>
      </c>
      <c r="P434" t="s">
        <v>3915</v>
      </c>
      <c r="Q434">
        <v>0</v>
      </c>
      <c r="R434" t="s">
        <v>30</v>
      </c>
      <c r="S434">
        <v>0</v>
      </c>
      <c r="T434">
        <v>0</v>
      </c>
      <c r="U434" t="s">
        <v>3915</v>
      </c>
      <c r="V434" t="s">
        <v>31</v>
      </c>
      <c r="W434">
        <v>0</v>
      </c>
    </row>
    <row r="435" spans="1:23" x14ac:dyDescent="0.25">
      <c r="A435" t="s">
        <v>4775</v>
      </c>
      <c r="B435" t="s">
        <v>3446</v>
      </c>
      <c r="C435" t="s">
        <v>3445</v>
      </c>
      <c r="D435" t="s">
        <v>4479</v>
      </c>
      <c r="E435" t="s">
        <v>27</v>
      </c>
      <c r="F435" t="s">
        <v>28</v>
      </c>
      <c r="G435" t="s">
        <v>1406</v>
      </c>
      <c r="H435" s="6">
        <v>46022</v>
      </c>
      <c r="I435" t="s">
        <v>29</v>
      </c>
      <c r="J435">
        <v>2</v>
      </c>
      <c r="K435">
        <v>0</v>
      </c>
      <c r="L435">
        <v>0</v>
      </c>
      <c r="M435">
        <v>0</v>
      </c>
      <c r="N435" t="s">
        <v>3915</v>
      </c>
      <c r="O435" t="s">
        <v>3915</v>
      </c>
      <c r="P435" t="s">
        <v>3915</v>
      </c>
      <c r="Q435">
        <v>0</v>
      </c>
      <c r="R435" t="s">
        <v>30</v>
      </c>
      <c r="S435">
        <v>0</v>
      </c>
      <c r="T435">
        <v>0</v>
      </c>
      <c r="U435" t="s">
        <v>3915</v>
      </c>
      <c r="V435" t="s">
        <v>31</v>
      </c>
      <c r="W435">
        <v>0</v>
      </c>
    </row>
    <row r="436" spans="1:23" x14ac:dyDescent="0.25">
      <c r="A436" t="s">
        <v>4776</v>
      </c>
      <c r="B436" t="s">
        <v>3448</v>
      </c>
      <c r="C436" t="s">
        <v>3447</v>
      </c>
      <c r="D436" t="s">
        <v>4479</v>
      </c>
      <c r="E436" t="s">
        <v>27</v>
      </c>
      <c r="F436" t="s">
        <v>28</v>
      </c>
      <c r="G436" t="s">
        <v>1406</v>
      </c>
      <c r="H436" s="6">
        <v>46022</v>
      </c>
      <c r="I436" t="s">
        <v>29</v>
      </c>
      <c r="J436">
        <v>20</v>
      </c>
      <c r="K436">
        <v>0</v>
      </c>
      <c r="L436">
        <v>0</v>
      </c>
      <c r="M436">
        <v>0</v>
      </c>
      <c r="N436" t="s">
        <v>3915</v>
      </c>
      <c r="O436" t="s">
        <v>3915</v>
      </c>
      <c r="P436" t="s">
        <v>3915</v>
      </c>
      <c r="Q436">
        <v>0</v>
      </c>
      <c r="R436" t="s">
        <v>30</v>
      </c>
      <c r="S436">
        <v>0</v>
      </c>
      <c r="T436">
        <v>0</v>
      </c>
      <c r="U436" t="s">
        <v>3915</v>
      </c>
      <c r="V436" t="s">
        <v>31</v>
      </c>
      <c r="W436">
        <v>0</v>
      </c>
    </row>
    <row r="437" spans="1:23" x14ac:dyDescent="0.25">
      <c r="A437" t="s">
        <v>4777</v>
      </c>
      <c r="B437" t="s">
        <v>3450</v>
      </c>
      <c r="C437" t="s">
        <v>3449</v>
      </c>
      <c r="D437" t="s">
        <v>4479</v>
      </c>
      <c r="E437" t="s">
        <v>27</v>
      </c>
      <c r="F437" t="s">
        <v>28</v>
      </c>
      <c r="G437" t="s">
        <v>1406</v>
      </c>
      <c r="H437" s="6">
        <v>46022</v>
      </c>
      <c r="I437" t="s">
        <v>29</v>
      </c>
      <c r="J437">
        <v>28</v>
      </c>
      <c r="K437">
        <v>0</v>
      </c>
      <c r="L437">
        <v>0</v>
      </c>
      <c r="M437">
        <v>0</v>
      </c>
      <c r="N437" t="s">
        <v>3915</v>
      </c>
      <c r="O437" t="s">
        <v>3915</v>
      </c>
      <c r="P437" t="s">
        <v>3915</v>
      </c>
      <c r="Q437">
        <v>0</v>
      </c>
      <c r="R437" t="s">
        <v>30</v>
      </c>
      <c r="S437">
        <v>0</v>
      </c>
      <c r="T437">
        <v>0</v>
      </c>
      <c r="U437" t="s">
        <v>3915</v>
      </c>
      <c r="V437" t="s">
        <v>31</v>
      </c>
      <c r="W437">
        <v>0</v>
      </c>
    </row>
    <row r="438" spans="1:23" x14ac:dyDescent="0.25">
      <c r="A438" t="s">
        <v>4778</v>
      </c>
      <c r="B438" t="s">
        <v>2449</v>
      </c>
      <c r="C438" t="s">
        <v>2448</v>
      </c>
      <c r="D438" t="s">
        <v>4479</v>
      </c>
      <c r="E438" t="s">
        <v>27</v>
      </c>
      <c r="F438" t="s">
        <v>28</v>
      </c>
      <c r="G438" t="s">
        <v>1406</v>
      </c>
      <c r="H438" s="6">
        <v>46022</v>
      </c>
      <c r="I438" t="s">
        <v>29</v>
      </c>
      <c r="J438">
        <v>37</v>
      </c>
      <c r="K438">
        <v>0</v>
      </c>
      <c r="L438">
        <v>0</v>
      </c>
      <c r="M438">
        <v>0</v>
      </c>
      <c r="N438" t="s">
        <v>3915</v>
      </c>
      <c r="O438" t="s">
        <v>3915</v>
      </c>
      <c r="P438" t="s">
        <v>3915</v>
      </c>
      <c r="Q438">
        <v>0</v>
      </c>
      <c r="R438" t="s">
        <v>30</v>
      </c>
      <c r="S438">
        <v>0</v>
      </c>
      <c r="T438">
        <v>0</v>
      </c>
      <c r="U438" t="s">
        <v>3915</v>
      </c>
      <c r="V438" t="s">
        <v>31</v>
      </c>
      <c r="W438">
        <v>0</v>
      </c>
    </row>
    <row r="439" spans="1:23" x14ac:dyDescent="0.25">
      <c r="A439" t="s">
        <v>4779</v>
      </c>
      <c r="B439" t="s">
        <v>3452</v>
      </c>
      <c r="C439" t="s">
        <v>3451</v>
      </c>
      <c r="D439" t="s">
        <v>4479</v>
      </c>
      <c r="E439" t="s">
        <v>27</v>
      </c>
      <c r="F439" t="s">
        <v>28</v>
      </c>
      <c r="G439" t="s">
        <v>1406</v>
      </c>
      <c r="H439" s="6">
        <v>46022</v>
      </c>
      <c r="I439" t="s">
        <v>29</v>
      </c>
      <c r="J439">
        <v>5</v>
      </c>
      <c r="K439">
        <v>0</v>
      </c>
      <c r="L439">
        <v>0</v>
      </c>
      <c r="M439">
        <v>0</v>
      </c>
      <c r="N439" t="s">
        <v>3915</v>
      </c>
      <c r="O439" t="s">
        <v>3915</v>
      </c>
      <c r="P439" t="s">
        <v>3915</v>
      </c>
      <c r="Q439">
        <v>0</v>
      </c>
      <c r="R439" t="s">
        <v>30</v>
      </c>
      <c r="S439">
        <v>0</v>
      </c>
      <c r="T439">
        <v>0</v>
      </c>
      <c r="U439" t="s">
        <v>3915</v>
      </c>
      <c r="V439" t="s">
        <v>31</v>
      </c>
      <c r="W439">
        <v>0</v>
      </c>
    </row>
    <row r="440" spans="1:23" x14ac:dyDescent="0.25">
      <c r="A440" t="s">
        <v>4780</v>
      </c>
      <c r="B440" t="s">
        <v>3454</v>
      </c>
      <c r="C440" t="s">
        <v>3453</v>
      </c>
      <c r="D440" t="s">
        <v>4479</v>
      </c>
      <c r="E440" t="s">
        <v>27</v>
      </c>
      <c r="F440" t="s">
        <v>28</v>
      </c>
      <c r="G440" t="s">
        <v>1406</v>
      </c>
      <c r="H440" s="6">
        <v>46022</v>
      </c>
      <c r="I440" t="s">
        <v>29</v>
      </c>
      <c r="J440">
        <v>11</v>
      </c>
      <c r="K440">
        <v>0</v>
      </c>
      <c r="L440">
        <v>0</v>
      </c>
      <c r="M440">
        <v>0</v>
      </c>
      <c r="N440" t="s">
        <v>3915</v>
      </c>
      <c r="O440" t="s">
        <v>3915</v>
      </c>
      <c r="P440" t="s">
        <v>3915</v>
      </c>
      <c r="Q440">
        <v>0</v>
      </c>
      <c r="R440" t="s">
        <v>30</v>
      </c>
      <c r="S440">
        <v>0</v>
      </c>
      <c r="T440">
        <v>0</v>
      </c>
      <c r="U440" t="s">
        <v>3915</v>
      </c>
      <c r="V440" t="s">
        <v>31</v>
      </c>
      <c r="W440">
        <v>0</v>
      </c>
    </row>
    <row r="441" spans="1:23" x14ac:dyDescent="0.25">
      <c r="A441" t="s">
        <v>4781</v>
      </c>
      <c r="B441" t="s">
        <v>3456</v>
      </c>
      <c r="C441" t="s">
        <v>3455</v>
      </c>
      <c r="D441" t="s">
        <v>4479</v>
      </c>
      <c r="E441" t="s">
        <v>27</v>
      </c>
      <c r="F441" t="s">
        <v>28</v>
      </c>
      <c r="G441" t="s">
        <v>1406</v>
      </c>
      <c r="H441" s="6">
        <v>46022</v>
      </c>
      <c r="I441" t="s">
        <v>29</v>
      </c>
      <c r="J441">
        <v>20</v>
      </c>
      <c r="K441">
        <v>0</v>
      </c>
      <c r="L441">
        <v>0</v>
      </c>
      <c r="M441">
        <v>0</v>
      </c>
      <c r="N441" t="s">
        <v>3915</v>
      </c>
      <c r="O441" t="s">
        <v>3915</v>
      </c>
      <c r="P441" t="s">
        <v>3915</v>
      </c>
      <c r="Q441">
        <v>0</v>
      </c>
      <c r="R441" t="s">
        <v>30</v>
      </c>
      <c r="S441">
        <v>0</v>
      </c>
      <c r="T441">
        <v>0</v>
      </c>
      <c r="U441" t="s">
        <v>3915</v>
      </c>
      <c r="V441" t="s">
        <v>31</v>
      </c>
      <c r="W441">
        <v>0</v>
      </c>
    </row>
    <row r="442" spans="1:23" x14ac:dyDescent="0.25">
      <c r="A442" t="s">
        <v>4782</v>
      </c>
      <c r="B442" t="s">
        <v>3458</v>
      </c>
      <c r="C442" t="s">
        <v>3457</v>
      </c>
      <c r="D442" t="s">
        <v>4479</v>
      </c>
      <c r="E442" t="s">
        <v>27</v>
      </c>
      <c r="F442" t="s">
        <v>28</v>
      </c>
      <c r="G442" t="s">
        <v>1406</v>
      </c>
      <c r="H442" s="6">
        <v>46022</v>
      </c>
      <c r="I442" t="s">
        <v>29</v>
      </c>
      <c r="J442">
        <v>1</v>
      </c>
      <c r="K442">
        <v>0</v>
      </c>
      <c r="L442">
        <v>0</v>
      </c>
      <c r="M442">
        <v>0</v>
      </c>
      <c r="N442" t="s">
        <v>3915</v>
      </c>
      <c r="O442" t="s">
        <v>3915</v>
      </c>
      <c r="P442" t="s">
        <v>3915</v>
      </c>
      <c r="Q442">
        <v>0</v>
      </c>
      <c r="R442" t="s">
        <v>30</v>
      </c>
      <c r="S442">
        <v>0</v>
      </c>
      <c r="T442">
        <v>0</v>
      </c>
      <c r="U442" t="s">
        <v>3915</v>
      </c>
      <c r="V442" t="s">
        <v>31</v>
      </c>
      <c r="W442">
        <v>0</v>
      </c>
    </row>
    <row r="443" spans="1:23" x14ac:dyDescent="0.25">
      <c r="A443" t="s">
        <v>10324</v>
      </c>
      <c r="B443" t="s">
        <v>8183</v>
      </c>
      <c r="C443" t="s">
        <v>8182</v>
      </c>
      <c r="D443" t="s">
        <v>4479</v>
      </c>
      <c r="E443" t="s">
        <v>27</v>
      </c>
      <c r="F443" t="s">
        <v>28</v>
      </c>
      <c r="G443" t="s">
        <v>1406</v>
      </c>
      <c r="H443" s="6">
        <v>46022</v>
      </c>
      <c r="I443" t="s">
        <v>29</v>
      </c>
      <c r="J443">
        <v>7</v>
      </c>
      <c r="K443">
        <v>0</v>
      </c>
      <c r="L443">
        <v>0</v>
      </c>
      <c r="M443">
        <v>0</v>
      </c>
      <c r="N443" t="s">
        <v>3915</v>
      </c>
      <c r="O443" t="s">
        <v>3915</v>
      </c>
      <c r="P443" t="s">
        <v>3915</v>
      </c>
      <c r="Q443">
        <v>0</v>
      </c>
      <c r="R443" t="s">
        <v>30</v>
      </c>
      <c r="S443">
        <v>0</v>
      </c>
      <c r="T443">
        <v>0</v>
      </c>
      <c r="U443" t="s">
        <v>3915</v>
      </c>
      <c r="V443" t="s">
        <v>31</v>
      </c>
      <c r="W443">
        <v>0</v>
      </c>
    </row>
    <row r="444" spans="1:23" x14ac:dyDescent="0.25">
      <c r="A444" t="s">
        <v>10301</v>
      </c>
      <c r="B444" t="s">
        <v>8185</v>
      </c>
      <c r="C444" t="s">
        <v>8184</v>
      </c>
      <c r="D444" t="s">
        <v>4479</v>
      </c>
      <c r="E444" t="s">
        <v>27</v>
      </c>
      <c r="F444" t="s">
        <v>28</v>
      </c>
      <c r="G444" t="s">
        <v>1406</v>
      </c>
      <c r="H444" s="6">
        <v>46022</v>
      </c>
      <c r="I444" t="s">
        <v>29</v>
      </c>
      <c r="J444">
        <v>6</v>
      </c>
      <c r="K444">
        <v>0</v>
      </c>
      <c r="L444">
        <v>0</v>
      </c>
      <c r="M444">
        <v>0</v>
      </c>
      <c r="N444" t="s">
        <v>3915</v>
      </c>
      <c r="O444" t="s">
        <v>3915</v>
      </c>
      <c r="P444" t="s">
        <v>3915</v>
      </c>
      <c r="Q444">
        <v>0</v>
      </c>
      <c r="R444" t="s">
        <v>30</v>
      </c>
      <c r="S444">
        <v>0</v>
      </c>
      <c r="T444">
        <v>0</v>
      </c>
      <c r="U444" t="s">
        <v>3915</v>
      </c>
      <c r="V444" t="s">
        <v>31</v>
      </c>
      <c r="W444">
        <v>0</v>
      </c>
    </row>
    <row r="445" spans="1:23" x14ac:dyDescent="0.25">
      <c r="A445" t="s">
        <v>4783</v>
      </c>
      <c r="B445" t="s">
        <v>3460</v>
      </c>
      <c r="C445" t="s">
        <v>3459</v>
      </c>
      <c r="D445" t="s">
        <v>4479</v>
      </c>
      <c r="E445" t="s">
        <v>27</v>
      </c>
      <c r="F445" t="s">
        <v>28</v>
      </c>
      <c r="G445" t="s">
        <v>1406</v>
      </c>
      <c r="H445" s="6">
        <v>46022</v>
      </c>
      <c r="I445" t="s">
        <v>29</v>
      </c>
      <c r="J445">
        <v>25</v>
      </c>
      <c r="K445">
        <v>0</v>
      </c>
      <c r="L445">
        <v>0</v>
      </c>
      <c r="M445">
        <v>0</v>
      </c>
      <c r="N445" t="s">
        <v>3915</v>
      </c>
      <c r="O445" t="s">
        <v>3915</v>
      </c>
      <c r="P445" t="s">
        <v>3915</v>
      </c>
      <c r="Q445">
        <v>0</v>
      </c>
      <c r="R445" t="s">
        <v>30</v>
      </c>
      <c r="S445">
        <v>0</v>
      </c>
      <c r="T445">
        <v>0</v>
      </c>
      <c r="U445" t="s">
        <v>3915</v>
      </c>
      <c r="V445" t="s">
        <v>31</v>
      </c>
      <c r="W445">
        <v>0</v>
      </c>
    </row>
    <row r="446" spans="1:23" x14ac:dyDescent="0.25">
      <c r="A446" t="s">
        <v>10325</v>
      </c>
      <c r="B446" t="s">
        <v>8193</v>
      </c>
      <c r="C446" t="s">
        <v>8192</v>
      </c>
      <c r="D446" t="s">
        <v>4479</v>
      </c>
      <c r="E446" t="s">
        <v>27</v>
      </c>
      <c r="F446" t="s">
        <v>28</v>
      </c>
      <c r="G446" t="s">
        <v>1406</v>
      </c>
      <c r="H446" s="6">
        <v>46022</v>
      </c>
      <c r="I446" t="s">
        <v>29</v>
      </c>
      <c r="J446">
        <v>2</v>
      </c>
      <c r="K446">
        <v>0</v>
      </c>
      <c r="L446">
        <v>0</v>
      </c>
      <c r="M446">
        <v>0</v>
      </c>
      <c r="N446" t="s">
        <v>3915</v>
      </c>
      <c r="O446" t="s">
        <v>3915</v>
      </c>
      <c r="P446" t="s">
        <v>3915</v>
      </c>
      <c r="Q446">
        <v>0</v>
      </c>
      <c r="R446" t="s">
        <v>30</v>
      </c>
      <c r="S446">
        <v>0</v>
      </c>
      <c r="T446">
        <v>0</v>
      </c>
      <c r="U446" t="s">
        <v>3915</v>
      </c>
      <c r="V446" t="s">
        <v>31</v>
      </c>
      <c r="W446">
        <v>0</v>
      </c>
    </row>
    <row r="447" spans="1:23" x14ac:dyDescent="0.25">
      <c r="A447" t="s">
        <v>4784</v>
      </c>
      <c r="B447" t="s">
        <v>3462</v>
      </c>
      <c r="C447" t="s">
        <v>3461</v>
      </c>
      <c r="D447" t="s">
        <v>4479</v>
      </c>
      <c r="E447" t="s">
        <v>27</v>
      </c>
      <c r="F447" t="s">
        <v>28</v>
      </c>
      <c r="G447" t="s">
        <v>1406</v>
      </c>
      <c r="H447" s="6">
        <v>46022</v>
      </c>
      <c r="I447" t="s">
        <v>29</v>
      </c>
      <c r="J447">
        <v>22</v>
      </c>
      <c r="K447">
        <v>0</v>
      </c>
      <c r="L447">
        <v>0</v>
      </c>
      <c r="M447">
        <v>0</v>
      </c>
      <c r="N447" t="s">
        <v>3915</v>
      </c>
      <c r="O447" t="s">
        <v>3915</v>
      </c>
      <c r="P447" t="s">
        <v>3915</v>
      </c>
      <c r="Q447">
        <v>0</v>
      </c>
      <c r="R447" t="s">
        <v>30</v>
      </c>
      <c r="S447">
        <v>0</v>
      </c>
      <c r="T447">
        <v>0</v>
      </c>
      <c r="U447" t="s">
        <v>3915</v>
      </c>
      <c r="V447" t="s">
        <v>31</v>
      </c>
      <c r="W447">
        <v>0</v>
      </c>
    </row>
    <row r="448" spans="1:23" x14ac:dyDescent="0.25">
      <c r="A448" t="s">
        <v>4785</v>
      </c>
      <c r="B448" t="s">
        <v>3464</v>
      </c>
      <c r="C448" t="s">
        <v>3463</v>
      </c>
      <c r="D448" t="s">
        <v>4479</v>
      </c>
      <c r="E448" t="s">
        <v>27</v>
      </c>
      <c r="F448" t="s">
        <v>28</v>
      </c>
      <c r="G448" t="s">
        <v>1406</v>
      </c>
      <c r="H448" s="6">
        <v>46022</v>
      </c>
      <c r="I448" t="s">
        <v>29</v>
      </c>
      <c r="J448">
        <v>23</v>
      </c>
      <c r="K448">
        <v>0</v>
      </c>
      <c r="L448">
        <v>0</v>
      </c>
      <c r="M448">
        <v>0</v>
      </c>
      <c r="N448" t="s">
        <v>3915</v>
      </c>
      <c r="O448" t="s">
        <v>3915</v>
      </c>
      <c r="P448" t="s">
        <v>3915</v>
      </c>
      <c r="Q448">
        <v>0</v>
      </c>
      <c r="R448" t="s">
        <v>30</v>
      </c>
      <c r="S448">
        <v>0</v>
      </c>
      <c r="T448">
        <v>0</v>
      </c>
      <c r="U448" t="s">
        <v>3915</v>
      </c>
      <c r="V448" t="s">
        <v>31</v>
      </c>
      <c r="W448">
        <v>0</v>
      </c>
    </row>
    <row r="449" spans="1:23" x14ac:dyDescent="0.25">
      <c r="A449" t="s">
        <v>4786</v>
      </c>
      <c r="B449" t="s">
        <v>3466</v>
      </c>
      <c r="C449" t="s">
        <v>3465</v>
      </c>
      <c r="D449" t="s">
        <v>4479</v>
      </c>
      <c r="E449" t="s">
        <v>27</v>
      </c>
      <c r="F449" t="s">
        <v>28</v>
      </c>
      <c r="G449" t="s">
        <v>1406</v>
      </c>
      <c r="H449" s="6">
        <v>46022</v>
      </c>
      <c r="I449" t="s">
        <v>29</v>
      </c>
      <c r="J449">
        <v>2</v>
      </c>
      <c r="K449">
        <v>0</v>
      </c>
      <c r="L449">
        <v>0</v>
      </c>
      <c r="M449">
        <v>0</v>
      </c>
      <c r="N449" t="s">
        <v>3915</v>
      </c>
      <c r="O449" t="s">
        <v>3915</v>
      </c>
      <c r="P449" t="s">
        <v>3915</v>
      </c>
      <c r="Q449">
        <v>0</v>
      </c>
      <c r="R449" t="s">
        <v>30</v>
      </c>
      <c r="S449">
        <v>0</v>
      </c>
      <c r="T449">
        <v>0</v>
      </c>
      <c r="U449" t="s">
        <v>3915</v>
      </c>
      <c r="V449" t="s">
        <v>31</v>
      </c>
      <c r="W449">
        <v>0</v>
      </c>
    </row>
    <row r="450" spans="1:23" x14ac:dyDescent="0.25">
      <c r="A450" t="s">
        <v>5488</v>
      </c>
      <c r="B450" t="s">
        <v>8205</v>
      </c>
      <c r="C450" t="s">
        <v>8204</v>
      </c>
      <c r="D450" t="s">
        <v>4479</v>
      </c>
      <c r="E450" t="s">
        <v>27</v>
      </c>
      <c r="F450" t="s">
        <v>28</v>
      </c>
      <c r="G450" t="s">
        <v>1406</v>
      </c>
      <c r="H450" s="6">
        <v>46022</v>
      </c>
      <c r="I450" t="s">
        <v>29</v>
      </c>
      <c r="J450">
        <v>2</v>
      </c>
      <c r="K450">
        <v>0</v>
      </c>
      <c r="L450">
        <v>0</v>
      </c>
      <c r="M450">
        <v>0</v>
      </c>
      <c r="N450" t="s">
        <v>3915</v>
      </c>
      <c r="O450" t="s">
        <v>3915</v>
      </c>
      <c r="P450" t="s">
        <v>3915</v>
      </c>
      <c r="Q450">
        <v>0</v>
      </c>
      <c r="R450" t="s">
        <v>30</v>
      </c>
      <c r="S450">
        <v>0</v>
      </c>
      <c r="T450">
        <v>0</v>
      </c>
      <c r="U450" t="s">
        <v>3915</v>
      </c>
      <c r="V450" t="s">
        <v>31</v>
      </c>
      <c r="W450">
        <v>0</v>
      </c>
    </row>
    <row r="451" spans="1:23" x14ac:dyDescent="0.25">
      <c r="A451" t="s">
        <v>4787</v>
      </c>
      <c r="B451" t="s">
        <v>3468</v>
      </c>
      <c r="C451" t="s">
        <v>3467</v>
      </c>
      <c r="D451" t="s">
        <v>4479</v>
      </c>
      <c r="E451" t="s">
        <v>27</v>
      </c>
      <c r="F451" t="s">
        <v>28</v>
      </c>
      <c r="G451" t="s">
        <v>1406</v>
      </c>
      <c r="H451" s="6">
        <v>46022</v>
      </c>
      <c r="I451" t="s">
        <v>29</v>
      </c>
      <c r="J451">
        <v>19</v>
      </c>
      <c r="K451">
        <v>0</v>
      </c>
      <c r="L451">
        <v>0</v>
      </c>
      <c r="M451">
        <v>0</v>
      </c>
      <c r="N451" t="s">
        <v>3915</v>
      </c>
      <c r="O451" t="s">
        <v>3915</v>
      </c>
      <c r="P451" t="s">
        <v>3915</v>
      </c>
      <c r="Q451">
        <v>0</v>
      </c>
      <c r="R451" t="s">
        <v>30</v>
      </c>
      <c r="S451">
        <v>0</v>
      </c>
      <c r="T451">
        <v>0</v>
      </c>
      <c r="U451" t="s">
        <v>3915</v>
      </c>
      <c r="V451" t="s">
        <v>31</v>
      </c>
      <c r="W451">
        <v>0</v>
      </c>
    </row>
    <row r="452" spans="1:23" x14ac:dyDescent="0.25">
      <c r="A452" t="s">
        <v>39</v>
      </c>
      <c r="B452" t="s">
        <v>40</v>
      </c>
      <c r="C452" t="s">
        <v>41</v>
      </c>
      <c r="D452" t="s">
        <v>4479</v>
      </c>
      <c r="E452" t="s">
        <v>27</v>
      </c>
      <c r="F452" t="s">
        <v>28</v>
      </c>
      <c r="G452" t="s">
        <v>1406</v>
      </c>
      <c r="H452" s="6">
        <v>46022</v>
      </c>
      <c r="I452" t="s">
        <v>29</v>
      </c>
      <c r="J452">
        <v>1</v>
      </c>
      <c r="K452">
        <v>0</v>
      </c>
      <c r="L452">
        <v>0</v>
      </c>
      <c r="M452">
        <v>0</v>
      </c>
      <c r="N452" t="s">
        <v>3915</v>
      </c>
      <c r="O452" t="s">
        <v>3915</v>
      </c>
      <c r="P452" t="s">
        <v>3915</v>
      </c>
      <c r="Q452">
        <v>0</v>
      </c>
      <c r="R452" t="s">
        <v>30</v>
      </c>
      <c r="S452">
        <v>0</v>
      </c>
      <c r="T452">
        <v>0</v>
      </c>
      <c r="U452" t="s">
        <v>3915</v>
      </c>
      <c r="V452" t="s">
        <v>31</v>
      </c>
      <c r="W452">
        <v>0</v>
      </c>
    </row>
    <row r="453" spans="1:23" x14ac:dyDescent="0.25">
      <c r="A453" t="s">
        <v>42</v>
      </c>
      <c r="B453" t="s">
        <v>43</v>
      </c>
      <c r="C453" t="s">
        <v>44</v>
      </c>
      <c r="D453" t="s">
        <v>4479</v>
      </c>
      <c r="E453" t="s">
        <v>27</v>
      </c>
      <c r="F453" t="s">
        <v>28</v>
      </c>
      <c r="G453" t="s">
        <v>1406</v>
      </c>
      <c r="H453" s="6">
        <v>46022</v>
      </c>
      <c r="I453" t="s">
        <v>29</v>
      </c>
      <c r="J453">
        <v>0</v>
      </c>
      <c r="K453">
        <v>0</v>
      </c>
      <c r="L453">
        <v>0</v>
      </c>
      <c r="M453">
        <v>0</v>
      </c>
      <c r="N453" t="s">
        <v>3915</v>
      </c>
      <c r="O453" t="s">
        <v>3915</v>
      </c>
      <c r="P453" t="s">
        <v>3915</v>
      </c>
      <c r="Q453">
        <v>0</v>
      </c>
      <c r="R453" t="s">
        <v>30</v>
      </c>
      <c r="S453">
        <v>0</v>
      </c>
      <c r="T453">
        <v>0</v>
      </c>
      <c r="U453" t="s">
        <v>3915</v>
      </c>
      <c r="V453" t="s">
        <v>31</v>
      </c>
      <c r="W453">
        <v>0</v>
      </c>
    </row>
    <row r="454" spans="1:23" x14ac:dyDescent="0.25">
      <c r="A454" t="s">
        <v>10274</v>
      </c>
      <c r="B454" t="s">
        <v>45</v>
      </c>
      <c r="C454" t="s">
        <v>46</v>
      </c>
      <c r="D454" t="s">
        <v>4479</v>
      </c>
      <c r="E454" t="s">
        <v>27</v>
      </c>
      <c r="F454" t="s">
        <v>28</v>
      </c>
      <c r="G454" t="s">
        <v>1406</v>
      </c>
      <c r="H454" s="6">
        <v>46022</v>
      </c>
      <c r="I454" t="s">
        <v>29</v>
      </c>
      <c r="J454">
        <v>4</v>
      </c>
      <c r="K454">
        <v>0</v>
      </c>
      <c r="L454">
        <v>0</v>
      </c>
      <c r="M454">
        <v>0</v>
      </c>
      <c r="N454" t="s">
        <v>3915</v>
      </c>
      <c r="O454" t="s">
        <v>3915</v>
      </c>
      <c r="P454" t="s">
        <v>3915</v>
      </c>
      <c r="Q454">
        <v>0</v>
      </c>
      <c r="R454" t="s">
        <v>30</v>
      </c>
      <c r="S454">
        <v>0</v>
      </c>
      <c r="T454">
        <v>0</v>
      </c>
      <c r="U454" t="s">
        <v>3915</v>
      </c>
      <c r="V454" t="s">
        <v>31</v>
      </c>
      <c r="W454">
        <v>0</v>
      </c>
    </row>
    <row r="455" spans="1:23" x14ac:dyDescent="0.25">
      <c r="A455" t="s">
        <v>49</v>
      </c>
      <c r="B455" t="s">
        <v>50</v>
      </c>
      <c r="C455" t="s">
        <v>51</v>
      </c>
      <c r="D455" t="s">
        <v>4479</v>
      </c>
      <c r="E455" t="s">
        <v>27</v>
      </c>
      <c r="F455" t="s">
        <v>28</v>
      </c>
      <c r="G455" t="s">
        <v>1406</v>
      </c>
      <c r="H455" s="6">
        <v>46022</v>
      </c>
      <c r="I455" t="s">
        <v>29</v>
      </c>
      <c r="J455">
        <v>1</v>
      </c>
      <c r="K455">
        <v>0</v>
      </c>
      <c r="L455">
        <v>0</v>
      </c>
      <c r="M455">
        <v>0</v>
      </c>
      <c r="N455" t="s">
        <v>3915</v>
      </c>
      <c r="O455" t="s">
        <v>3915</v>
      </c>
      <c r="P455" t="s">
        <v>3915</v>
      </c>
      <c r="Q455">
        <v>0</v>
      </c>
      <c r="R455" t="s">
        <v>30</v>
      </c>
      <c r="S455">
        <v>0</v>
      </c>
      <c r="T455">
        <v>0</v>
      </c>
      <c r="U455" t="s">
        <v>3915</v>
      </c>
      <c r="V455" t="s">
        <v>31</v>
      </c>
      <c r="W455">
        <v>0</v>
      </c>
    </row>
    <row r="456" spans="1:23" x14ac:dyDescent="0.25">
      <c r="A456" t="s">
        <v>52</v>
      </c>
      <c r="B456" t="s">
        <v>53</v>
      </c>
      <c r="C456" t="s">
        <v>54</v>
      </c>
      <c r="D456" t="s">
        <v>4479</v>
      </c>
      <c r="E456" t="s">
        <v>27</v>
      </c>
      <c r="F456" t="s">
        <v>28</v>
      </c>
      <c r="G456" t="s">
        <v>1406</v>
      </c>
      <c r="H456" s="6">
        <v>46022</v>
      </c>
      <c r="I456" t="s">
        <v>29</v>
      </c>
      <c r="J456">
        <v>1</v>
      </c>
      <c r="K456">
        <v>0</v>
      </c>
      <c r="L456">
        <v>0</v>
      </c>
      <c r="M456">
        <v>0</v>
      </c>
      <c r="N456" t="s">
        <v>3915</v>
      </c>
      <c r="O456" t="s">
        <v>3915</v>
      </c>
      <c r="P456" t="s">
        <v>3915</v>
      </c>
      <c r="Q456">
        <v>0</v>
      </c>
      <c r="R456" t="s">
        <v>30</v>
      </c>
      <c r="S456">
        <v>0</v>
      </c>
      <c r="T456">
        <v>0</v>
      </c>
      <c r="U456" t="s">
        <v>3915</v>
      </c>
      <c r="V456" t="s">
        <v>31</v>
      </c>
      <c r="W456">
        <v>0</v>
      </c>
    </row>
    <row r="457" spans="1:23" x14ac:dyDescent="0.25">
      <c r="A457" t="s">
        <v>55</v>
      </c>
      <c r="B457" t="s">
        <v>56</v>
      </c>
      <c r="C457" t="s">
        <v>57</v>
      </c>
      <c r="D457" t="s">
        <v>4479</v>
      </c>
      <c r="E457" t="s">
        <v>27</v>
      </c>
      <c r="F457" t="s">
        <v>28</v>
      </c>
      <c r="G457" t="s">
        <v>1406</v>
      </c>
      <c r="H457" s="6">
        <v>46022</v>
      </c>
      <c r="I457" t="s">
        <v>29</v>
      </c>
      <c r="J457">
        <v>1</v>
      </c>
      <c r="K457">
        <v>0</v>
      </c>
      <c r="L457">
        <v>0</v>
      </c>
      <c r="M457">
        <v>0</v>
      </c>
      <c r="N457" t="s">
        <v>3915</v>
      </c>
      <c r="O457" t="s">
        <v>3915</v>
      </c>
      <c r="P457" t="s">
        <v>3915</v>
      </c>
      <c r="Q457">
        <v>0</v>
      </c>
      <c r="R457" t="s">
        <v>30</v>
      </c>
      <c r="S457">
        <v>0</v>
      </c>
      <c r="T457">
        <v>0</v>
      </c>
      <c r="U457" t="s">
        <v>3915</v>
      </c>
      <c r="V457" t="s">
        <v>31</v>
      </c>
      <c r="W457">
        <v>0</v>
      </c>
    </row>
    <row r="458" spans="1:23" x14ac:dyDescent="0.25">
      <c r="A458" t="s">
        <v>58</v>
      </c>
      <c r="B458" t="s">
        <v>59</v>
      </c>
      <c r="C458" t="s">
        <v>60</v>
      </c>
      <c r="D458" t="s">
        <v>4479</v>
      </c>
      <c r="E458" t="s">
        <v>27</v>
      </c>
      <c r="F458" t="s">
        <v>28</v>
      </c>
      <c r="G458" t="s">
        <v>1406</v>
      </c>
      <c r="H458" s="6">
        <v>46022</v>
      </c>
      <c r="I458" t="s">
        <v>29</v>
      </c>
      <c r="J458">
        <v>1</v>
      </c>
      <c r="K458">
        <v>0</v>
      </c>
      <c r="L458">
        <v>0</v>
      </c>
      <c r="M458">
        <v>0</v>
      </c>
      <c r="N458" t="s">
        <v>3915</v>
      </c>
      <c r="O458" t="s">
        <v>3915</v>
      </c>
      <c r="P458" t="s">
        <v>3915</v>
      </c>
      <c r="Q458">
        <v>0</v>
      </c>
      <c r="R458" t="s">
        <v>30</v>
      </c>
      <c r="S458">
        <v>0</v>
      </c>
      <c r="T458">
        <v>0</v>
      </c>
      <c r="U458" t="s">
        <v>3915</v>
      </c>
      <c r="V458" t="s">
        <v>31</v>
      </c>
      <c r="W458">
        <v>0</v>
      </c>
    </row>
    <row r="459" spans="1:23" x14ac:dyDescent="0.25">
      <c r="A459" t="s">
        <v>61</v>
      </c>
      <c r="B459" t="s">
        <v>62</v>
      </c>
      <c r="C459" t="s">
        <v>63</v>
      </c>
      <c r="D459" t="s">
        <v>4479</v>
      </c>
      <c r="E459" t="s">
        <v>27</v>
      </c>
      <c r="F459" t="s">
        <v>28</v>
      </c>
      <c r="G459" t="s">
        <v>1406</v>
      </c>
      <c r="H459" s="6">
        <v>46022</v>
      </c>
      <c r="I459" t="s">
        <v>29</v>
      </c>
      <c r="J459">
        <v>1</v>
      </c>
      <c r="K459">
        <v>0</v>
      </c>
      <c r="L459">
        <v>0</v>
      </c>
      <c r="M459">
        <v>0</v>
      </c>
      <c r="N459" t="s">
        <v>3915</v>
      </c>
      <c r="O459" t="s">
        <v>3915</v>
      </c>
      <c r="P459" t="s">
        <v>3915</v>
      </c>
      <c r="Q459">
        <v>0</v>
      </c>
      <c r="R459" t="s">
        <v>30</v>
      </c>
      <c r="S459">
        <v>0</v>
      </c>
      <c r="T459">
        <v>0</v>
      </c>
      <c r="U459" t="s">
        <v>3915</v>
      </c>
      <c r="V459" t="s">
        <v>31</v>
      </c>
      <c r="W459">
        <v>0</v>
      </c>
    </row>
    <row r="460" spans="1:23" x14ac:dyDescent="0.25">
      <c r="A460" t="s">
        <v>68</v>
      </c>
      <c r="B460" t="s">
        <v>69</v>
      </c>
      <c r="C460" t="s">
        <v>70</v>
      </c>
      <c r="D460" t="s">
        <v>4479</v>
      </c>
      <c r="E460" t="s">
        <v>27</v>
      </c>
      <c r="F460" t="s">
        <v>28</v>
      </c>
      <c r="G460" t="s">
        <v>1406</v>
      </c>
      <c r="H460" s="6">
        <v>46022</v>
      </c>
      <c r="I460" t="s">
        <v>29</v>
      </c>
      <c r="J460">
        <v>2</v>
      </c>
      <c r="K460">
        <v>0</v>
      </c>
      <c r="L460">
        <v>0</v>
      </c>
      <c r="M460">
        <v>0</v>
      </c>
      <c r="N460" t="s">
        <v>3915</v>
      </c>
      <c r="O460" t="s">
        <v>3915</v>
      </c>
      <c r="P460" t="s">
        <v>3915</v>
      </c>
      <c r="Q460">
        <v>0</v>
      </c>
      <c r="R460" t="s">
        <v>30</v>
      </c>
      <c r="S460">
        <v>0</v>
      </c>
      <c r="T460">
        <v>0</v>
      </c>
      <c r="U460" t="s">
        <v>3915</v>
      </c>
      <c r="V460" t="s">
        <v>31</v>
      </c>
      <c r="W460">
        <v>0</v>
      </c>
    </row>
    <row r="461" spans="1:23" x14ac:dyDescent="0.25">
      <c r="A461" t="s">
        <v>73</v>
      </c>
      <c r="B461" t="s">
        <v>74</v>
      </c>
      <c r="C461" t="s">
        <v>75</v>
      </c>
      <c r="D461" t="s">
        <v>4479</v>
      </c>
      <c r="E461" t="s">
        <v>27</v>
      </c>
      <c r="F461" t="s">
        <v>28</v>
      </c>
      <c r="G461" t="s">
        <v>1406</v>
      </c>
      <c r="H461" s="6">
        <v>46022</v>
      </c>
      <c r="I461" t="s">
        <v>29</v>
      </c>
      <c r="J461">
        <v>1</v>
      </c>
      <c r="K461">
        <v>0</v>
      </c>
      <c r="L461">
        <v>0</v>
      </c>
      <c r="M461">
        <v>0</v>
      </c>
      <c r="N461" t="s">
        <v>3915</v>
      </c>
      <c r="O461" t="s">
        <v>3915</v>
      </c>
      <c r="P461" t="s">
        <v>3915</v>
      </c>
      <c r="Q461">
        <v>0</v>
      </c>
      <c r="R461" t="s">
        <v>30</v>
      </c>
      <c r="S461">
        <v>0</v>
      </c>
      <c r="T461">
        <v>0</v>
      </c>
      <c r="U461" t="s">
        <v>3915</v>
      </c>
      <c r="V461" t="s">
        <v>31</v>
      </c>
      <c r="W461">
        <v>0</v>
      </c>
    </row>
    <row r="462" spans="1:23" x14ac:dyDescent="0.25">
      <c r="A462" t="s">
        <v>4260</v>
      </c>
      <c r="B462" t="s">
        <v>3470</v>
      </c>
      <c r="C462" t="s">
        <v>3469</v>
      </c>
      <c r="D462" t="s">
        <v>4479</v>
      </c>
      <c r="E462" t="s">
        <v>27</v>
      </c>
      <c r="F462" t="s">
        <v>28</v>
      </c>
      <c r="G462" t="s">
        <v>1406</v>
      </c>
      <c r="H462" s="6">
        <v>46022</v>
      </c>
      <c r="I462" t="s">
        <v>29</v>
      </c>
      <c r="J462">
        <v>1</v>
      </c>
      <c r="K462">
        <v>0</v>
      </c>
      <c r="L462">
        <v>0</v>
      </c>
      <c r="M462">
        <v>0</v>
      </c>
      <c r="N462" t="s">
        <v>3915</v>
      </c>
      <c r="O462" t="s">
        <v>3915</v>
      </c>
      <c r="P462" t="s">
        <v>3915</v>
      </c>
      <c r="Q462">
        <v>0</v>
      </c>
      <c r="R462" t="s">
        <v>30</v>
      </c>
      <c r="S462">
        <v>0</v>
      </c>
      <c r="T462">
        <v>0</v>
      </c>
      <c r="U462" t="s">
        <v>3915</v>
      </c>
      <c r="V462" t="s">
        <v>31</v>
      </c>
      <c r="W462">
        <v>0</v>
      </c>
    </row>
    <row r="463" spans="1:23" x14ac:dyDescent="0.25">
      <c r="A463" t="s">
        <v>4274</v>
      </c>
      <c r="B463" t="s">
        <v>3472</v>
      </c>
      <c r="C463" t="s">
        <v>3471</v>
      </c>
      <c r="D463" t="s">
        <v>4479</v>
      </c>
      <c r="E463" t="s">
        <v>27</v>
      </c>
      <c r="F463" t="s">
        <v>28</v>
      </c>
      <c r="G463" t="s">
        <v>1406</v>
      </c>
      <c r="H463" s="6">
        <v>46022</v>
      </c>
      <c r="I463" t="s">
        <v>29</v>
      </c>
      <c r="J463">
        <v>18</v>
      </c>
      <c r="K463">
        <v>0</v>
      </c>
      <c r="L463">
        <v>0</v>
      </c>
      <c r="M463">
        <v>0</v>
      </c>
      <c r="N463" t="s">
        <v>3915</v>
      </c>
      <c r="O463" t="s">
        <v>3915</v>
      </c>
      <c r="P463" t="s">
        <v>3915</v>
      </c>
      <c r="Q463">
        <v>0</v>
      </c>
      <c r="R463" t="s">
        <v>30</v>
      </c>
      <c r="S463">
        <v>0</v>
      </c>
      <c r="T463">
        <v>0</v>
      </c>
      <c r="U463" t="s">
        <v>3915</v>
      </c>
      <c r="V463" t="s">
        <v>31</v>
      </c>
      <c r="W463">
        <v>0</v>
      </c>
    </row>
    <row r="464" spans="1:23" x14ac:dyDescent="0.25">
      <c r="A464" t="s">
        <v>4111</v>
      </c>
      <c r="B464" t="s">
        <v>3474</v>
      </c>
      <c r="C464" t="s">
        <v>3473</v>
      </c>
      <c r="D464" t="s">
        <v>4479</v>
      </c>
      <c r="E464" t="s">
        <v>27</v>
      </c>
      <c r="F464" t="s">
        <v>28</v>
      </c>
      <c r="G464" t="s">
        <v>1406</v>
      </c>
      <c r="H464" s="6">
        <v>46022</v>
      </c>
      <c r="I464" t="s">
        <v>29</v>
      </c>
      <c r="J464">
        <v>1</v>
      </c>
      <c r="K464">
        <v>0</v>
      </c>
      <c r="L464">
        <v>0</v>
      </c>
      <c r="M464">
        <v>0</v>
      </c>
      <c r="N464" t="s">
        <v>3915</v>
      </c>
      <c r="O464" t="s">
        <v>3915</v>
      </c>
      <c r="P464" t="s">
        <v>3915</v>
      </c>
      <c r="Q464">
        <v>0</v>
      </c>
      <c r="R464" t="s">
        <v>30</v>
      </c>
      <c r="S464">
        <v>0</v>
      </c>
      <c r="T464">
        <v>0</v>
      </c>
      <c r="U464" t="s">
        <v>3915</v>
      </c>
      <c r="V464" t="s">
        <v>31</v>
      </c>
      <c r="W464">
        <v>0</v>
      </c>
    </row>
    <row r="465" spans="1:23" x14ac:dyDescent="0.25">
      <c r="A465" t="s">
        <v>4788</v>
      </c>
      <c r="B465" t="s">
        <v>3476</v>
      </c>
      <c r="C465" t="s">
        <v>3475</v>
      </c>
      <c r="D465" t="s">
        <v>4479</v>
      </c>
      <c r="E465" t="s">
        <v>27</v>
      </c>
      <c r="F465" t="s">
        <v>28</v>
      </c>
      <c r="G465" t="s">
        <v>1406</v>
      </c>
      <c r="H465" s="6">
        <v>46022</v>
      </c>
      <c r="I465" t="s">
        <v>29</v>
      </c>
      <c r="J465">
        <v>1</v>
      </c>
      <c r="K465">
        <v>0</v>
      </c>
      <c r="L465">
        <v>0</v>
      </c>
      <c r="M465">
        <v>0</v>
      </c>
      <c r="N465" t="s">
        <v>3915</v>
      </c>
      <c r="O465" t="s">
        <v>3915</v>
      </c>
      <c r="P465" t="s">
        <v>3915</v>
      </c>
      <c r="Q465">
        <v>0</v>
      </c>
      <c r="R465" t="s">
        <v>30</v>
      </c>
      <c r="S465">
        <v>0</v>
      </c>
      <c r="T465">
        <v>0</v>
      </c>
      <c r="U465" t="s">
        <v>3915</v>
      </c>
      <c r="V465" t="s">
        <v>31</v>
      </c>
      <c r="W465">
        <v>0</v>
      </c>
    </row>
    <row r="466" spans="1:23" x14ac:dyDescent="0.25">
      <c r="A466" t="s">
        <v>5446</v>
      </c>
      <c r="B466" t="s">
        <v>2475</v>
      </c>
      <c r="C466" t="s">
        <v>2474</v>
      </c>
      <c r="D466" t="s">
        <v>4479</v>
      </c>
      <c r="E466" t="s">
        <v>27</v>
      </c>
      <c r="F466" t="s">
        <v>28</v>
      </c>
      <c r="G466" t="s">
        <v>1406</v>
      </c>
      <c r="H466" s="6">
        <v>46022</v>
      </c>
      <c r="I466" t="s">
        <v>29</v>
      </c>
      <c r="J466">
        <v>0</v>
      </c>
      <c r="K466">
        <v>0</v>
      </c>
      <c r="L466">
        <v>0</v>
      </c>
      <c r="M466">
        <v>0</v>
      </c>
      <c r="N466" t="s">
        <v>3915</v>
      </c>
      <c r="O466" t="s">
        <v>3915</v>
      </c>
      <c r="P466" t="s">
        <v>3915</v>
      </c>
      <c r="Q466">
        <v>0</v>
      </c>
      <c r="R466" t="s">
        <v>30</v>
      </c>
      <c r="S466">
        <v>0</v>
      </c>
      <c r="T466">
        <v>0</v>
      </c>
      <c r="U466" t="s">
        <v>3915</v>
      </c>
      <c r="V466" t="s">
        <v>31</v>
      </c>
      <c r="W466">
        <v>0</v>
      </c>
    </row>
    <row r="467" spans="1:23" x14ac:dyDescent="0.25">
      <c r="A467" t="s">
        <v>10230</v>
      </c>
      <c r="B467" t="s">
        <v>583</v>
      </c>
      <c r="C467" t="s">
        <v>584</v>
      </c>
      <c r="D467" t="s">
        <v>4479</v>
      </c>
      <c r="E467" t="s">
        <v>27</v>
      </c>
      <c r="F467" t="s">
        <v>28</v>
      </c>
      <c r="G467" t="s">
        <v>1406</v>
      </c>
      <c r="H467" s="6">
        <v>46022</v>
      </c>
      <c r="I467" t="s">
        <v>29</v>
      </c>
      <c r="J467">
        <v>0</v>
      </c>
      <c r="K467">
        <v>0</v>
      </c>
      <c r="L467">
        <v>0</v>
      </c>
      <c r="M467">
        <v>0</v>
      </c>
      <c r="N467" t="s">
        <v>3915</v>
      </c>
      <c r="O467" t="s">
        <v>3915</v>
      </c>
      <c r="P467" t="s">
        <v>3915</v>
      </c>
      <c r="Q467">
        <v>0</v>
      </c>
      <c r="R467" t="s">
        <v>30</v>
      </c>
      <c r="S467">
        <v>0</v>
      </c>
      <c r="T467">
        <v>0</v>
      </c>
      <c r="U467" t="s">
        <v>3915</v>
      </c>
      <c r="V467" t="s">
        <v>31</v>
      </c>
      <c r="W467">
        <v>0</v>
      </c>
    </row>
    <row r="468" spans="1:23" x14ac:dyDescent="0.25">
      <c r="A468" t="s">
        <v>4789</v>
      </c>
      <c r="B468" t="s">
        <v>2477</v>
      </c>
      <c r="C468" t="s">
        <v>2476</v>
      </c>
      <c r="D468" t="s">
        <v>4479</v>
      </c>
      <c r="E468" t="s">
        <v>27</v>
      </c>
      <c r="F468" t="s">
        <v>28</v>
      </c>
      <c r="G468" t="s">
        <v>1406</v>
      </c>
      <c r="H468" s="6">
        <v>46022</v>
      </c>
      <c r="I468" t="s">
        <v>29</v>
      </c>
      <c r="J468">
        <v>0</v>
      </c>
      <c r="K468">
        <v>0</v>
      </c>
      <c r="L468">
        <v>0</v>
      </c>
      <c r="M468">
        <v>0</v>
      </c>
      <c r="N468" t="s">
        <v>3915</v>
      </c>
      <c r="O468" t="s">
        <v>3915</v>
      </c>
      <c r="P468" t="s">
        <v>3915</v>
      </c>
      <c r="Q468">
        <v>0</v>
      </c>
      <c r="R468" t="s">
        <v>30</v>
      </c>
      <c r="S468">
        <v>0</v>
      </c>
      <c r="T468">
        <v>0</v>
      </c>
      <c r="U468" t="s">
        <v>3915</v>
      </c>
      <c r="V468" t="s">
        <v>31</v>
      </c>
      <c r="W468">
        <v>0</v>
      </c>
    </row>
    <row r="469" spans="1:23" x14ac:dyDescent="0.25">
      <c r="A469" t="s">
        <v>10275</v>
      </c>
      <c r="B469" t="s">
        <v>605</v>
      </c>
      <c r="C469" t="s">
        <v>606</v>
      </c>
      <c r="D469" t="s">
        <v>4479</v>
      </c>
      <c r="E469" t="s">
        <v>27</v>
      </c>
      <c r="F469" t="s">
        <v>28</v>
      </c>
      <c r="G469" t="s">
        <v>1406</v>
      </c>
      <c r="H469" s="6">
        <v>46022</v>
      </c>
      <c r="I469" t="s">
        <v>29</v>
      </c>
      <c r="J469">
        <v>0</v>
      </c>
      <c r="K469">
        <v>0</v>
      </c>
      <c r="L469">
        <v>0</v>
      </c>
      <c r="M469">
        <v>0</v>
      </c>
      <c r="N469" t="s">
        <v>3915</v>
      </c>
      <c r="O469" t="s">
        <v>3915</v>
      </c>
      <c r="P469" t="s">
        <v>3915</v>
      </c>
      <c r="Q469">
        <v>0</v>
      </c>
      <c r="R469" t="s">
        <v>30</v>
      </c>
      <c r="S469">
        <v>0</v>
      </c>
      <c r="T469">
        <v>0</v>
      </c>
      <c r="U469" t="s">
        <v>3915</v>
      </c>
      <c r="V469" t="s">
        <v>31</v>
      </c>
      <c r="W469">
        <v>0</v>
      </c>
    </row>
    <row r="470" spans="1:23" x14ac:dyDescent="0.25">
      <c r="A470" t="s">
        <v>10276</v>
      </c>
      <c r="B470" t="s">
        <v>637</v>
      </c>
      <c r="C470" t="s">
        <v>638</v>
      </c>
      <c r="D470" t="s">
        <v>4479</v>
      </c>
      <c r="E470" t="s">
        <v>27</v>
      </c>
      <c r="F470" t="s">
        <v>28</v>
      </c>
      <c r="G470" t="s">
        <v>1406</v>
      </c>
      <c r="H470" s="6">
        <v>46022</v>
      </c>
      <c r="I470" t="s">
        <v>29</v>
      </c>
      <c r="J470">
        <v>0</v>
      </c>
      <c r="K470">
        <v>0</v>
      </c>
      <c r="L470">
        <v>0</v>
      </c>
      <c r="M470">
        <v>0</v>
      </c>
      <c r="N470" t="s">
        <v>3915</v>
      </c>
      <c r="O470" t="s">
        <v>3915</v>
      </c>
      <c r="P470" t="s">
        <v>3915</v>
      </c>
      <c r="Q470">
        <v>0</v>
      </c>
      <c r="R470" t="s">
        <v>30</v>
      </c>
      <c r="S470">
        <v>0</v>
      </c>
      <c r="T470">
        <v>0</v>
      </c>
      <c r="U470" t="s">
        <v>3915</v>
      </c>
      <c r="V470" t="s">
        <v>31</v>
      </c>
      <c r="W470">
        <v>0</v>
      </c>
    </row>
    <row r="471" spans="1:23" x14ac:dyDescent="0.25">
      <c r="A471" t="s">
        <v>4790</v>
      </c>
      <c r="B471" t="s">
        <v>653</v>
      </c>
      <c r="C471" t="s">
        <v>654</v>
      </c>
      <c r="D471" t="s">
        <v>4479</v>
      </c>
      <c r="E471" t="s">
        <v>27</v>
      </c>
      <c r="F471" t="s">
        <v>28</v>
      </c>
      <c r="G471" t="s">
        <v>1406</v>
      </c>
      <c r="H471" s="6">
        <v>46022</v>
      </c>
      <c r="I471" t="s">
        <v>29</v>
      </c>
      <c r="J471">
        <v>0</v>
      </c>
      <c r="K471">
        <v>0</v>
      </c>
      <c r="L471">
        <v>0</v>
      </c>
      <c r="M471">
        <v>0</v>
      </c>
      <c r="N471" t="s">
        <v>3915</v>
      </c>
      <c r="O471" t="s">
        <v>3915</v>
      </c>
      <c r="P471" t="s">
        <v>3915</v>
      </c>
      <c r="Q471">
        <v>0</v>
      </c>
      <c r="R471" t="s">
        <v>30</v>
      </c>
      <c r="S471">
        <v>0</v>
      </c>
      <c r="T471">
        <v>0</v>
      </c>
      <c r="U471" t="s">
        <v>3915</v>
      </c>
      <c r="V471" t="s">
        <v>31</v>
      </c>
      <c r="W471">
        <v>0</v>
      </c>
    </row>
    <row r="472" spans="1:23" x14ac:dyDescent="0.25">
      <c r="A472" t="s">
        <v>4791</v>
      </c>
      <c r="B472" t="s">
        <v>2479</v>
      </c>
      <c r="C472" t="s">
        <v>2478</v>
      </c>
      <c r="D472" t="s">
        <v>4479</v>
      </c>
      <c r="E472" t="s">
        <v>27</v>
      </c>
      <c r="F472" t="s">
        <v>28</v>
      </c>
      <c r="G472" t="s">
        <v>1406</v>
      </c>
      <c r="H472" s="6">
        <v>46022</v>
      </c>
      <c r="I472" t="s">
        <v>29</v>
      </c>
      <c r="J472">
        <v>2</v>
      </c>
      <c r="K472">
        <v>0</v>
      </c>
      <c r="L472">
        <v>0</v>
      </c>
      <c r="M472">
        <v>0</v>
      </c>
      <c r="N472" t="s">
        <v>3915</v>
      </c>
      <c r="O472" t="s">
        <v>3915</v>
      </c>
      <c r="P472" t="s">
        <v>3915</v>
      </c>
      <c r="Q472">
        <v>0</v>
      </c>
      <c r="R472" t="s">
        <v>30</v>
      </c>
      <c r="S472">
        <v>0</v>
      </c>
      <c r="T472">
        <v>0</v>
      </c>
      <c r="U472" t="s">
        <v>3915</v>
      </c>
      <c r="V472" t="s">
        <v>31</v>
      </c>
      <c r="W472">
        <v>0</v>
      </c>
    </row>
    <row r="473" spans="1:23" x14ac:dyDescent="0.25">
      <c r="A473" t="s">
        <v>4792</v>
      </c>
      <c r="B473" t="s">
        <v>3478</v>
      </c>
      <c r="C473" t="s">
        <v>3477</v>
      </c>
      <c r="D473" t="s">
        <v>4479</v>
      </c>
      <c r="E473" t="s">
        <v>27</v>
      </c>
      <c r="F473" t="s">
        <v>28</v>
      </c>
      <c r="G473" t="s">
        <v>1406</v>
      </c>
      <c r="H473" s="6">
        <v>46022</v>
      </c>
      <c r="I473" t="s">
        <v>29</v>
      </c>
      <c r="J473">
        <v>3</v>
      </c>
      <c r="K473">
        <v>0</v>
      </c>
      <c r="L473">
        <v>0</v>
      </c>
      <c r="M473">
        <v>0</v>
      </c>
      <c r="N473" t="s">
        <v>3915</v>
      </c>
      <c r="O473" t="s">
        <v>3915</v>
      </c>
      <c r="P473" t="s">
        <v>3915</v>
      </c>
      <c r="Q473">
        <v>0</v>
      </c>
      <c r="R473" t="s">
        <v>3479</v>
      </c>
      <c r="S473">
        <v>0</v>
      </c>
      <c r="T473">
        <v>0</v>
      </c>
      <c r="U473" t="s">
        <v>3915</v>
      </c>
      <c r="V473" t="s">
        <v>31</v>
      </c>
      <c r="W473">
        <v>0</v>
      </c>
    </row>
    <row r="474" spans="1:23" x14ac:dyDescent="0.25">
      <c r="A474" t="s">
        <v>4793</v>
      </c>
      <c r="B474" t="s">
        <v>3481</v>
      </c>
      <c r="C474" t="s">
        <v>3480</v>
      </c>
      <c r="D474" t="s">
        <v>4479</v>
      </c>
      <c r="E474" t="s">
        <v>27</v>
      </c>
      <c r="F474" t="s">
        <v>28</v>
      </c>
      <c r="G474" t="s">
        <v>1406</v>
      </c>
      <c r="H474" s="6">
        <v>46022</v>
      </c>
      <c r="I474" t="s">
        <v>29</v>
      </c>
      <c r="J474">
        <v>1</v>
      </c>
      <c r="K474">
        <v>0</v>
      </c>
      <c r="L474">
        <v>0</v>
      </c>
      <c r="M474">
        <v>0</v>
      </c>
      <c r="N474" t="s">
        <v>3915</v>
      </c>
      <c r="O474" t="s">
        <v>3915</v>
      </c>
      <c r="P474" t="s">
        <v>3915</v>
      </c>
      <c r="Q474">
        <v>0</v>
      </c>
      <c r="R474" t="s">
        <v>30</v>
      </c>
      <c r="S474">
        <v>0</v>
      </c>
      <c r="T474">
        <v>0</v>
      </c>
      <c r="U474" t="s">
        <v>3915</v>
      </c>
      <c r="V474" t="s">
        <v>31</v>
      </c>
      <c r="W474">
        <v>0</v>
      </c>
    </row>
    <row r="475" spans="1:23" x14ac:dyDescent="0.25">
      <c r="A475" t="s">
        <v>4314</v>
      </c>
      <c r="B475" t="s">
        <v>3483</v>
      </c>
      <c r="C475" t="s">
        <v>3482</v>
      </c>
      <c r="D475" t="s">
        <v>4479</v>
      </c>
      <c r="E475" t="s">
        <v>27</v>
      </c>
      <c r="F475" t="s">
        <v>28</v>
      </c>
      <c r="G475" t="s">
        <v>1406</v>
      </c>
      <c r="H475" s="6">
        <v>46022</v>
      </c>
      <c r="I475" t="s">
        <v>29</v>
      </c>
      <c r="J475">
        <v>3</v>
      </c>
      <c r="K475">
        <v>0</v>
      </c>
      <c r="L475">
        <v>0</v>
      </c>
      <c r="M475">
        <v>0</v>
      </c>
      <c r="N475" t="s">
        <v>3915</v>
      </c>
      <c r="O475" t="s">
        <v>3915</v>
      </c>
      <c r="P475" t="s">
        <v>3915</v>
      </c>
      <c r="Q475">
        <v>0</v>
      </c>
      <c r="R475" t="s">
        <v>30</v>
      </c>
      <c r="S475">
        <v>0</v>
      </c>
      <c r="T475">
        <v>0</v>
      </c>
      <c r="U475" t="s">
        <v>3915</v>
      </c>
      <c r="V475" t="s">
        <v>31</v>
      </c>
      <c r="W475">
        <v>0</v>
      </c>
    </row>
    <row r="476" spans="1:23" x14ac:dyDescent="0.25">
      <c r="A476" t="s">
        <v>4794</v>
      </c>
      <c r="B476" t="s">
        <v>3485</v>
      </c>
      <c r="C476" t="s">
        <v>3484</v>
      </c>
      <c r="D476" t="s">
        <v>4479</v>
      </c>
      <c r="E476" t="s">
        <v>27</v>
      </c>
      <c r="F476" t="s">
        <v>28</v>
      </c>
      <c r="G476" t="s">
        <v>1406</v>
      </c>
      <c r="H476" s="6">
        <v>46022</v>
      </c>
      <c r="I476" t="s">
        <v>29</v>
      </c>
      <c r="J476">
        <v>4</v>
      </c>
      <c r="K476">
        <v>0</v>
      </c>
      <c r="L476">
        <v>0</v>
      </c>
      <c r="M476">
        <v>0</v>
      </c>
      <c r="N476" t="s">
        <v>3915</v>
      </c>
      <c r="O476" t="s">
        <v>3915</v>
      </c>
      <c r="P476" t="s">
        <v>3915</v>
      </c>
      <c r="Q476">
        <v>0</v>
      </c>
      <c r="R476" t="s">
        <v>30</v>
      </c>
      <c r="S476">
        <v>0</v>
      </c>
      <c r="T476">
        <v>0</v>
      </c>
      <c r="U476" t="s">
        <v>3915</v>
      </c>
      <c r="V476" t="s">
        <v>31</v>
      </c>
      <c r="W476">
        <v>0</v>
      </c>
    </row>
    <row r="477" spans="1:23" x14ac:dyDescent="0.25">
      <c r="A477" t="s">
        <v>4795</v>
      </c>
      <c r="B477" t="s">
        <v>3487</v>
      </c>
      <c r="C477" t="s">
        <v>3486</v>
      </c>
      <c r="D477" t="s">
        <v>4479</v>
      </c>
      <c r="E477" t="s">
        <v>27</v>
      </c>
      <c r="F477" t="s">
        <v>28</v>
      </c>
      <c r="G477" t="s">
        <v>1406</v>
      </c>
      <c r="H477" s="6">
        <v>46022</v>
      </c>
      <c r="I477" t="s">
        <v>29</v>
      </c>
      <c r="J477">
        <v>8</v>
      </c>
      <c r="K477">
        <v>0</v>
      </c>
      <c r="L477">
        <v>0</v>
      </c>
      <c r="M477">
        <v>0</v>
      </c>
      <c r="N477" t="s">
        <v>3915</v>
      </c>
      <c r="O477" t="s">
        <v>3915</v>
      </c>
      <c r="P477" t="s">
        <v>3915</v>
      </c>
      <c r="Q477">
        <v>0</v>
      </c>
      <c r="R477" t="s">
        <v>30</v>
      </c>
      <c r="S477">
        <v>0</v>
      </c>
      <c r="T477">
        <v>0</v>
      </c>
      <c r="U477" t="s">
        <v>3915</v>
      </c>
      <c r="V477" t="s">
        <v>31</v>
      </c>
      <c r="W477">
        <v>0</v>
      </c>
    </row>
    <row r="478" spans="1:23" x14ac:dyDescent="0.25">
      <c r="A478" t="s">
        <v>4796</v>
      </c>
      <c r="B478" t="s">
        <v>3489</v>
      </c>
      <c r="C478" t="s">
        <v>3488</v>
      </c>
      <c r="D478" t="s">
        <v>4479</v>
      </c>
      <c r="E478" t="s">
        <v>27</v>
      </c>
      <c r="F478" t="s">
        <v>28</v>
      </c>
      <c r="G478" t="s">
        <v>1406</v>
      </c>
      <c r="H478" s="6">
        <v>46022</v>
      </c>
      <c r="I478" t="s">
        <v>29</v>
      </c>
      <c r="J478">
        <v>5</v>
      </c>
      <c r="K478">
        <v>0</v>
      </c>
      <c r="L478">
        <v>0</v>
      </c>
      <c r="M478">
        <v>0</v>
      </c>
      <c r="N478" t="s">
        <v>3915</v>
      </c>
      <c r="O478" t="s">
        <v>3915</v>
      </c>
      <c r="P478" t="s">
        <v>3915</v>
      </c>
      <c r="Q478">
        <v>0</v>
      </c>
      <c r="R478" t="s">
        <v>30</v>
      </c>
      <c r="S478">
        <v>0</v>
      </c>
      <c r="T478">
        <v>0</v>
      </c>
      <c r="U478" t="s">
        <v>3915</v>
      </c>
      <c r="V478" t="s">
        <v>31</v>
      </c>
      <c r="W478">
        <v>0</v>
      </c>
    </row>
    <row r="479" spans="1:23" x14ac:dyDescent="0.25">
      <c r="A479" t="s">
        <v>4797</v>
      </c>
      <c r="B479" t="s">
        <v>3491</v>
      </c>
      <c r="C479" t="s">
        <v>3490</v>
      </c>
      <c r="D479" t="s">
        <v>4479</v>
      </c>
      <c r="E479" t="s">
        <v>27</v>
      </c>
      <c r="F479" t="s">
        <v>28</v>
      </c>
      <c r="G479" t="s">
        <v>1406</v>
      </c>
      <c r="H479" s="6">
        <v>46022</v>
      </c>
      <c r="I479" t="s">
        <v>29</v>
      </c>
      <c r="J479">
        <v>1</v>
      </c>
      <c r="K479">
        <v>0</v>
      </c>
      <c r="L479">
        <v>0</v>
      </c>
      <c r="M479">
        <v>0</v>
      </c>
      <c r="N479" t="s">
        <v>3915</v>
      </c>
      <c r="O479" t="s">
        <v>3915</v>
      </c>
      <c r="P479" t="s">
        <v>3915</v>
      </c>
      <c r="Q479">
        <v>0</v>
      </c>
      <c r="R479" t="s">
        <v>30</v>
      </c>
      <c r="S479">
        <v>0</v>
      </c>
      <c r="T479">
        <v>0</v>
      </c>
      <c r="U479" t="s">
        <v>3915</v>
      </c>
      <c r="V479" t="s">
        <v>31</v>
      </c>
      <c r="W479">
        <v>0</v>
      </c>
    </row>
    <row r="480" spans="1:23" x14ac:dyDescent="0.25">
      <c r="A480" t="s">
        <v>4798</v>
      </c>
      <c r="B480" t="s">
        <v>3493</v>
      </c>
      <c r="C480" t="s">
        <v>3492</v>
      </c>
      <c r="D480" t="s">
        <v>4479</v>
      </c>
      <c r="E480" t="s">
        <v>27</v>
      </c>
      <c r="F480" t="s">
        <v>28</v>
      </c>
      <c r="G480" t="s">
        <v>1406</v>
      </c>
      <c r="H480" s="6">
        <v>46022</v>
      </c>
      <c r="I480" t="s">
        <v>29</v>
      </c>
      <c r="J480">
        <v>1</v>
      </c>
      <c r="K480">
        <v>0</v>
      </c>
      <c r="L480">
        <v>0</v>
      </c>
      <c r="M480">
        <v>0</v>
      </c>
      <c r="N480" t="s">
        <v>3915</v>
      </c>
      <c r="O480" t="s">
        <v>3915</v>
      </c>
      <c r="P480" t="s">
        <v>3915</v>
      </c>
      <c r="Q480">
        <v>0</v>
      </c>
      <c r="R480" t="s">
        <v>30</v>
      </c>
      <c r="S480">
        <v>0</v>
      </c>
      <c r="T480">
        <v>0</v>
      </c>
      <c r="U480" t="s">
        <v>3915</v>
      </c>
      <c r="V480" t="s">
        <v>31</v>
      </c>
      <c r="W480">
        <v>0</v>
      </c>
    </row>
    <row r="481" spans="1:23" x14ac:dyDescent="0.25">
      <c r="A481" t="s">
        <v>4799</v>
      </c>
      <c r="B481" t="s">
        <v>3495</v>
      </c>
      <c r="C481" t="s">
        <v>3494</v>
      </c>
      <c r="D481" t="s">
        <v>4479</v>
      </c>
      <c r="E481" t="s">
        <v>27</v>
      </c>
      <c r="F481" t="s">
        <v>28</v>
      </c>
      <c r="G481" t="s">
        <v>1406</v>
      </c>
      <c r="H481" s="6">
        <v>46022</v>
      </c>
      <c r="I481" t="s">
        <v>29</v>
      </c>
      <c r="J481">
        <v>5</v>
      </c>
      <c r="K481">
        <v>0</v>
      </c>
      <c r="L481">
        <v>0</v>
      </c>
      <c r="M481">
        <v>0</v>
      </c>
      <c r="N481" t="s">
        <v>3915</v>
      </c>
      <c r="O481" t="s">
        <v>3915</v>
      </c>
      <c r="P481" t="s">
        <v>3915</v>
      </c>
      <c r="Q481">
        <v>0</v>
      </c>
      <c r="R481" t="s">
        <v>30</v>
      </c>
      <c r="S481">
        <v>0</v>
      </c>
      <c r="T481">
        <v>0</v>
      </c>
      <c r="U481" t="s">
        <v>3915</v>
      </c>
      <c r="V481" t="s">
        <v>31</v>
      </c>
      <c r="W481">
        <v>0</v>
      </c>
    </row>
    <row r="482" spans="1:23" x14ac:dyDescent="0.25">
      <c r="A482" t="s">
        <v>4800</v>
      </c>
      <c r="B482" t="s">
        <v>3497</v>
      </c>
      <c r="C482" t="s">
        <v>3496</v>
      </c>
      <c r="D482" t="s">
        <v>4479</v>
      </c>
      <c r="E482" t="s">
        <v>27</v>
      </c>
      <c r="F482" t="s">
        <v>28</v>
      </c>
      <c r="G482" t="s">
        <v>1406</v>
      </c>
      <c r="H482" s="6">
        <v>46022</v>
      </c>
      <c r="I482" t="s">
        <v>29</v>
      </c>
      <c r="J482">
        <v>1</v>
      </c>
      <c r="K482">
        <v>0</v>
      </c>
      <c r="L482">
        <v>0</v>
      </c>
      <c r="M482">
        <v>0</v>
      </c>
      <c r="N482" t="s">
        <v>3915</v>
      </c>
      <c r="O482" t="s">
        <v>3915</v>
      </c>
      <c r="P482" t="s">
        <v>3915</v>
      </c>
      <c r="Q482">
        <v>0</v>
      </c>
      <c r="R482" t="s">
        <v>30</v>
      </c>
      <c r="S482">
        <v>0</v>
      </c>
      <c r="T482">
        <v>0</v>
      </c>
      <c r="U482" t="s">
        <v>3915</v>
      </c>
      <c r="V482" t="s">
        <v>31</v>
      </c>
      <c r="W482">
        <v>0</v>
      </c>
    </row>
    <row r="483" spans="1:23" x14ac:dyDescent="0.25">
      <c r="A483" t="s">
        <v>4801</v>
      </c>
      <c r="B483" t="s">
        <v>3499</v>
      </c>
      <c r="C483" t="s">
        <v>3498</v>
      </c>
      <c r="D483" t="s">
        <v>4479</v>
      </c>
      <c r="E483" t="s">
        <v>27</v>
      </c>
      <c r="F483" t="s">
        <v>28</v>
      </c>
      <c r="G483" t="s">
        <v>1406</v>
      </c>
      <c r="H483" s="6">
        <v>46022</v>
      </c>
      <c r="I483" t="s">
        <v>29</v>
      </c>
      <c r="J483">
        <v>4</v>
      </c>
      <c r="K483">
        <v>0</v>
      </c>
      <c r="L483">
        <v>0</v>
      </c>
      <c r="M483">
        <v>0</v>
      </c>
      <c r="N483" t="s">
        <v>3915</v>
      </c>
      <c r="O483" t="s">
        <v>3915</v>
      </c>
      <c r="P483" t="s">
        <v>3915</v>
      </c>
      <c r="Q483">
        <v>0</v>
      </c>
      <c r="R483" t="s">
        <v>30</v>
      </c>
      <c r="S483">
        <v>0</v>
      </c>
      <c r="T483">
        <v>0</v>
      </c>
      <c r="U483" t="s">
        <v>3915</v>
      </c>
      <c r="V483" t="s">
        <v>31</v>
      </c>
      <c r="W483">
        <v>0</v>
      </c>
    </row>
    <row r="484" spans="1:23" x14ac:dyDescent="0.25">
      <c r="A484" t="s">
        <v>4802</v>
      </c>
      <c r="B484" t="s">
        <v>3501</v>
      </c>
      <c r="C484" t="s">
        <v>3500</v>
      </c>
      <c r="D484" t="s">
        <v>4479</v>
      </c>
      <c r="E484" t="s">
        <v>27</v>
      </c>
      <c r="F484" t="s">
        <v>28</v>
      </c>
      <c r="G484" t="s">
        <v>1406</v>
      </c>
      <c r="H484" s="6">
        <v>46022</v>
      </c>
      <c r="I484" t="s">
        <v>29</v>
      </c>
      <c r="J484">
        <v>2</v>
      </c>
      <c r="K484">
        <v>0</v>
      </c>
      <c r="L484">
        <v>0</v>
      </c>
      <c r="M484">
        <v>0</v>
      </c>
      <c r="N484" t="s">
        <v>3915</v>
      </c>
      <c r="O484" t="s">
        <v>3915</v>
      </c>
      <c r="P484" t="s">
        <v>3915</v>
      </c>
      <c r="Q484">
        <v>0</v>
      </c>
      <c r="R484" t="s">
        <v>30</v>
      </c>
      <c r="S484">
        <v>0</v>
      </c>
      <c r="T484">
        <v>0</v>
      </c>
      <c r="U484" t="s">
        <v>3915</v>
      </c>
      <c r="V484" t="s">
        <v>31</v>
      </c>
      <c r="W484">
        <v>0</v>
      </c>
    </row>
    <row r="485" spans="1:23" x14ac:dyDescent="0.25">
      <c r="A485" t="s">
        <v>4803</v>
      </c>
      <c r="B485" t="s">
        <v>3503</v>
      </c>
      <c r="C485" t="s">
        <v>3502</v>
      </c>
      <c r="D485" t="s">
        <v>4479</v>
      </c>
      <c r="E485" t="s">
        <v>27</v>
      </c>
      <c r="F485" t="s">
        <v>28</v>
      </c>
      <c r="G485" t="s">
        <v>1406</v>
      </c>
      <c r="H485" s="6">
        <v>46022</v>
      </c>
      <c r="I485" t="s">
        <v>29</v>
      </c>
      <c r="J485">
        <v>10</v>
      </c>
      <c r="K485">
        <v>0</v>
      </c>
      <c r="L485">
        <v>0</v>
      </c>
      <c r="M485">
        <v>0</v>
      </c>
      <c r="N485" t="s">
        <v>3915</v>
      </c>
      <c r="O485" t="s">
        <v>3915</v>
      </c>
      <c r="P485" t="s">
        <v>3915</v>
      </c>
      <c r="Q485">
        <v>0</v>
      </c>
      <c r="R485" t="s">
        <v>30</v>
      </c>
      <c r="S485">
        <v>0</v>
      </c>
      <c r="T485">
        <v>0</v>
      </c>
      <c r="U485" t="s">
        <v>3915</v>
      </c>
      <c r="V485" t="s">
        <v>31</v>
      </c>
      <c r="W485">
        <v>0</v>
      </c>
    </row>
    <row r="486" spans="1:23" x14ac:dyDescent="0.25">
      <c r="A486" t="s">
        <v>4804</v>
      </c>
      <c r="B486" t="s">
        <v>3505</v>
      </c>
      <c r="C486" t="s">
        <v>3504</v>
      </c>
      <c r="D486" t="s">
        <v>4479</v>
      </c>
      <c r="E486" t="s">
        <v>27</v>
      </c>
      <c r="F486" t="s">
        <v>28</v>
      </c>
      <c r="G486" t="s">
        <v>1406</v>
      </c>
      <c r="H486" s="6">
        <v>46022</v>
      </c>
      <c r="I486" t="s">
        <v>29</v>
      </c>
      <c r="J486">
        <v>9</v>
      </c>
      <c r="K486">
        <v>0</v>
      </c>
      <c r="L486">
        <v>0</v>
      </c>
      <c r="M486">
        <v>0</v>
      </c>
      <c r="N486" t="s">
        <v>3915</v>
      </c>
      <c r="O486" t="s">
        <v>3915</v>
      </c>
      <c r="P486" t="s">
        <v>3915</v>
      </c>
      <c r="Q486">
        <v>0</v>
      </c>
      <c r="R486" t="s">
        <v>30</v>
      </c>
      <c r="S486">
        <v>0</v>
      </c>
      <c r="T486">
        <v>0</v>
      </c>
      <c r="U486" t="s">
        <v>3915</v>
      </c>
      <c r="V486" t="s">
        <v>31</v>
      </c>
      <c r="W486">
        <v>0</v>
      </c>
    </row>
    <row r="487" spans="1:23" x14ac:dyDescent="0.25">
      <c r="A487" t="s">
        <v>4805</v>
      </c>
      <c r="B487" t="s">
        <v>3507</v>
      </c>
      <c r="C487" t="s">
        <v>3506</v>
      </c>
      <c r="D487" t="s">
        <v>4479</v>
      </c>
      <c r="E487" t="s">
        <v>27</v>
      </c>
      <c r="F487" t="s">
        <v>28</v>
      </c>
      <c r="G487" t="s">
        <v>1406</v>
      </c>
      <c r="H487" s="6">
        <v>46022</v>
      </c>
      <c r="I487" t="s">
        <v>29</v>
      </c>
      <c r="J487">
        <v>39</v>
      </c>
      <c r="K487">
        <v>0</v>
      </c>
      <c r="L487">
        <v>0</v>
      </c>
      <c r="M487">
        <v>0</v>
      </c>
      <c r="N487" t="s">
        <v>3915</v>
      </c>
      <c r="O487" t="s">
        <v>3915</v>
      </c>
      <c r="P487" t="s">
        <v>3915</v>
      </c>
      <c r="Q487">
        <v>0</v>
      </c>
      <c r="R487" t="s">
        <v>30</v>
      </c>
      <c r="S487">
        <v>0</v>
      </c>
      <c r="T487">
        <v>0</v>
      </c>
      <c r="U487" t="s">
        <v>3915</v>
      </c>
      <c r="V487" t="s">
        <v>31</v>
      </c>
      <c r="W487">
        <v>0</v>
      </c>
    </row>
    <row r="488" spans="1:23" x14ac:dyDescent="0.25">
      <c r="A488" t="s">
        <v>4806</v>
      </c>
      <c r="B488" t="s">
        <v>3509</v>
      </c>
      <c r="C488" t="s">
        <v>3508</v>
      </c>
      <c r="D488" t="s">
        <v>4479</v>
      </c>
      <c r="E488" t="s">
        <v>27</v>
      </c>
      <c r="F488" t="s">
        <v>28</v>
      </c>
      <c r="G488" t="s">
        <v>1406</v>
      </c>
      <c r="H488" s="6">
        <v>46022</v>
      </c>
      <c r="I488" t="s">
        <v>29</v>
      </c>
      <c r="J488">
        <v>10</v>
      </c>
      <c r="K488">
        <v>0</v>
      </c>
      <c r="L488">
        <v>0</v>
      </c>
      <c r="M488">
        <v>0</v>
      </c>
      <c r="N488" t="s">
        <v>3915</v>
      </c>
      <c r="O488" t="s">
        <v>3915</v>
      </c>
      <c r="P488" t="s">
        <v>3915</v>
      </c>
      <c r="Q488">
        <v>0</v>
      </c>
      <c r="R488" t="s">
        <v>30</v>
      </c>
      <c r="S488">
        <v>0</v>
      </c>
      <c r="T488">
        <v>0</v>
      </c>
      <c r="U488" t="s">
        <v>3915</v>
      </c>
      <c r="V488" t="s">
        <v>31</v>
      </c>
      <c r="W488">
        <v>0</v>
      </c>
    </row>
    <row r="489" spans="1:23" x14ac:dyDescent="0.25">
      <c r="A489" t="s">
        <v>4336</v>
      </c>
      <c r="B489" t="s">
        <v>3511</v>
      </c>
      <c r="C489" t="s">
        <v>3510</v>
      </c>
      <c r="D489" t="s">
        <v>4479</v>
      </c>
      <c r="E489" t="s">
        <v>27</v>
      </c>
      <c r="F489" t="s">
        <v>28</v>
      </c>
      <c r="G489" t="s">
        <v>1406</v>
      </c>
      <c r="H489" s="6">
        <v>46022</v>
      </c>
      <c r="I489" t="s">
        <v>29</v>
      </c>
      <c r="J489">
        <v>1</v>
      </c>
      <c r="K489">
        <v>0</v>
      </c>
      <c r="L489">
        <v>0</v>
      </c>
      <c r="M489">
        <v>0</v>
      </c>
      <c r="N489" t="s">
        <v>3915</v>
      </c>
      <c r="O489" t="s">
        <v>3915</v>
      </c>
      <c r="P489" t="s">
        <v>3915</v>
      </c>
      <c r="Q489">
        <v>0</v>
      </c>
      <c r="R489" t="s">
        <v>30</v>
      </c>
      <c r="S489">
        <v>0</v>
      </c>
      <c r="T489">
        <v>0</v>
      </c>
      <c r="U489" t="s">
        <v>3915</v>
      </c>
      <c r="V489" t="s">
        <v>31</v>
      </c>
      <c r="W489">
        <v>0</v>
      </c>
    </row>
    <row r="490" spans="1:23" x14ac:dyDescent="0.25">
      <c r="A490" t="s">
        <v>4329</v>
      </c>
      <c r="B490" t="s">
        <v>3513</v>
      </c>
      <c r="C490" t="s">
        <v>3512</v>
      </c>
      <c r="D490" t="s">
        <v>4479</v>
      </c>
      <c r="E490" t="s">
        <v>27</v>
      </c>
      <c r="F490" t="s">
        <v>28</v>
      </c>
      <c r="G490" t="s">
        <v>1406</v>
      </c>
      <c r="H490" s="6">
        <v>46022</v>
      </c>
      <c r="I490" t="s">
        <v>29</v>
      </c>
      <c r="J490">
        <v>2</v>
      </c>
      <c r="K490">
        <v>0</v>
      </c>
      <c r="L490">
        <v>0</v>
      </c>
      <c r="M490">
        <v>0</v>
      </c>
      <c r="N490" t="s">
        <v>3915</v>
      </c>
      <c r="O490" t="s">
        <v>3915</v>
      </c>
      <c r="P490" t="s">
        <v>3915</v>
      </c>
      <c r="Q490">
        <v>0</v>
      </c>
      <c r="R490" t="s">
        <v>30</v>
      </c>
      <c r="S490">
        <v>0</v>
      </c>
      <c r="T490">
        <v>0</v>
      </c>
      <c r="U490" t="s">
        <v>3915</v>
      </c>
      <c r="V490" t="s">
        <v>31</v>
      </c>
      <c r="W490">
        <v>0</v>
      </c>
    </row>
    <row r="491" spans="1:23" x14ac:dyDescent="0.25">
      <c r="A491" t="s">
        <v>4807</v>
      </c>
      <c r="B491" t="s">
        <v>3515</v>
      </c>
      <c r="C491" t="s">
        <v>3514</v>
      </c>
      <c r="D491" t="s">
        <v>4479</v>
      </c>
      <c r="E491" t="s">
        <v>27</v>
      </c>
      <c r="F491" t="s">
        <v>28</v>
      </c>
      <c r="G491" t="s">
        <v>1406</v>
      </c>
      <c r="H491" s="6">
        <v>46022</v>
      </c>
      <c r="I491" t="s">
        <v>29</v>
      </c>
      <c r="J491">
        <v>5</v>
      </c>
      <c r="K491">
        <v>0</v>
      </c>
      <c r="L491">
        <v>0</v>
      </c>
      <c r="M491">
        <v>0</v>
      </c>
      <c r="N491" t="s">
        <v>3915</v>
      </c>
      <c r="O491" t="s">
        <v>3915</v>
      </c>
      <c r="P491" t="s">
        <v>3915</v>
      </c>
      <c r="Q491">
        <v>0</v>
      </c>
      <c r="R491" t="s">
        <v>30</v>
      </c>
      <c r="S491">
        <v>0</v>
      </c>
      <c r="T491">
        <v>0</v>
      </c>
      <c r="U491" t="s">
        <v>3915</v>
      </c>
      <c r="V491" t="s">
        <v>31</v>
      </c>
      <c r="W491">
        <v>0</v>
      </c>
    </row>
    <row r="492" spans="1:23" x14ac:dyDescent="0.25">
      <c r="A492" t="s">
        <v>4808</v>
      </c>
      <c r="B492" t="s">
        <v>3517</v>
      </c>
      <c r="C492" t="s">
        <v>3516</v>
      </c>
      <c r="D492" t="s">
        <v>4479</v>
      </c>
      <c r="E492" t="s">
        <v>27</v>
      </c>
      <c r="F492" t="s">
        <v>28</v>
      </c>
      <c r="G492" t="s">
        <v>1406</v>
      </c>
      <c r="H492" s="6">
        <v>46022</v>
      </c>
      <c r="I492" t="s">
        <v>29</v>
      </c>
      <c r="J492">
        <v>2</v>
      </c>
      <c r="K492">
        <v>0</v>
      </c>
      <c r="L492">
        <v>0</v>
      </c>
      <c r="M492">
        <v>0</v>
      </c>
      <c r="N492" t="s">
        <v>3915</v>
      </c>
      <c r="O492" t="s">
        <v>3915</v>
      </c>
      <c r="P492" t="s">
        <v>3915</v>
      </c>
      <c r="Q492">
        <v>0</v>
      </c>
      <c r="R492" t="s">
        <v>30</v>
      </c>
      <c r="S492">
        <v>0</v>
      </c>
      <c r="T492">
        <v>0</v>
      </c>
      <c r="U492" t="s">
        <v>3915</v>
      </c>
      <c r="V492" t="s">
        <v>31</v>
      </c>
      <c r="W492">
        <v>0</v>
      </c>
    </row>
    <row r="493" spans="1:23" x14ac:dyDescent="0.25">
      <c r="A493" t="s">
        <v>4809</v>
      </c>
      <c r="B493" t="s">
        <v>3519</v>
      </c>
      <c r="C493" t="s">
        <v>3518</v>
      </c>
      <c r="D493" t="s">
        <v>4479</v>
      </c>
      <c r="E493" t="s">
        <v>27</v>
      </c>
      <c r="F493" t="s">
        <v>28</v>
      </c>
      <c r="G493" t="s">
        <v>1406</v>
      </c>
      <c r="H493" s="6">
        <v>46022</v>
      </c>
      <c r="I493" t="s">
        <v>29</v>
      </c>
      <c r="J493">
        <v>2</v>
      </c>
      <c r="K493">
        <v>0</v>
      </c>
      <c r="L493">
        <v>0</v>
      </c>
      <c r="M493">
        <v>0</v>
      </c>
      <c r="N493" t="s">
        <v>3915</v>
      </c>
      <c r="O493" t="s">
        <v>3915</v>
      </c>
      <c r="P493" t="s">
        <v>3915</v>
      </c>
      <c r="Q493">
        <v>0</v>
      </c>
      <c r="R493" t="s">
        <v>30</v>
      </c>
      <c r="S493">
        <v>0</v>
      </c>
      <c r="T493">
        <v>0</v>
      </c>
      <c r="U493" t="s">
        <v>3915</v>
      </c>
      <c r="V493" t="s">
        <v>31</v>
      </c>
      <c r="W493">
        <v>0</v>
      </c>
    </row>
    <row r="494" spans="1:23" x14ac:dyDescent="0.25">
      <c r="A494" t="s">
        <v>4810</v>
      </c>
      <c r="B494" t="s">
        <v>3521</v>
      </c>
      <c r="C494" t="s">
        <v>3520</v>
      </c>
      <c r="D494" t="s">
        <v>4479</v>
      </c>
      <c r="E494" t="s">
        <v>27</v>
      </c>
      <c r="F494" t="s">
        <v>28</v>
      </c>
      <c r="G494" t="s">
        <v>1406</v>
      </c>
      <c r="H494" s="6">
        <v>46022</v>
      </c>
      <c r="I494" t="s">
        <v>29</v>
      </c>
      <c r="J494">
        <v>3</v>
      </c>
      <c r="K494">
        <v>0</v>
      </c>
      <c r="L494">
        <v>0</v>
      </c>
      <c r="M494">
        <v>0</v>
      </c>
      <c r="N494" t="s">
        <v>3915</v>
      </c>
      <c r="O494" t="s">
        <v>3915</v>
      </c>
      <c r="P494" t="s">
        <v>3915</v>
      </c>
      <c r="Q494">
        <v>0</v>
      </c>
      <c r="R494" t="s">
        <v>30</v>
      </c>
      <c r="S494">
        <v>0</v>
      </c>
      <c r="T494">
        <v>0</v>
      </c>
      <c r="U494" t="s">
        <v>3915</v>
      </c>
      <c r="V494" t="s">
        <v>31</v>
      </c>
      <c r="W494">
        <v>0</v>
      </c>
    </row>
    <row r="495" spans="1:23" x14ac:dyDescent="0.25">
      <c r="A495" t="s">
        <v>4811</v>
      </c>
      <c r="B495" t="s">
        <v>2483</v>
      </c>
      <c r="C495" t="s">
        <v>2482</v>
      </c>
      <c r="D495" t="s">
        <v>4479</v>
      </c>
      <c r="E495" t="s">
        <v>27</v>
      </c>
      <c r="F495" t="s">
        <v>28</v>
      </c>
      <c r="G495" t="s">
        <v>1406</v>
      </c>
      <c r="H495" s="6">
        <v>46022</v>
      </c>
      <c r="I495" t="s">
        <v>29</v>
      </c>
      <c r="J495">
        <v>2</v>
      </c>
      <c r="K495">
        <v>0</v>
      </c>
      <c r="L495">
        <v>0</v>
      </c>
      <c r="M495">
        <v>0</v>
      </c>
      <c r="N495" t="s">
        <v>3915</v>
      </c>
      <c r="O495" t="s">
        <v>3915</v>
      </c>
      <c r="P495" t="s">
        <v>3915</v>
      </c>
      <c r="Q495">
        <v>0</v>
      </c>
      <c r="R495" t="s">
        <v>30</v>
      </c>
      <c r="S495">
        <v>0</v>
      </c>
      <c r="T495">
        <v>0</v>
      </c>
      <c r="U495" t="s">
        <v>3915</v>
      </c>
      <c r="V495" t="s">
        <v>31</v>
      </c>
      <c r="W495">
        <v>0</v>
      </c>
    </row>
    <row r="496" spans="1:23" x14ac:dyDescent="0.25">
      <c r="A496" t="s">
        <v>4276</v>
      </c>
      <c r="B496" t="s">
        <v>2485</v>
      </c>
      <c r="C496" t="s">
        <v>2484</v>
      </c>
      <c r="D496" t="s">
        <v>4479</v>
      </c>
      <c r="E496" t="s">
        <v>27</v>
      </c>
      <c r="F496" t="s">
        <v>28</v>
      </c>
      <c r="G496" t="s">
        <v>1406</v>
      </c>
      <c r="H496" s="6">
        <v>46022</v>
      </c>
      <c r="I496" t="s">
        <v>29</v>
      </c>
      <c r="J496">
        <v>8</v>
      </c>
      <c r="K496">
        <v>0</v>
      </c>
      <c r="L496">
        <v>0</v>
      </c>
      <c r="M496">
        <v>0</v>
      </c>
      <c r="N496" t="s">
        <v>3915</v>
      </c>
      <c r="O496" t="s">
        <v>3915</v>
      </c>
      <c r="P496" t="s">
        <v>3915</v>
      </c>
      <c r="Q496">
        <v>0</v>
      </c>
      <c r="R496" t="s">
        <v>30</v>
      </c>
      <c r="S496">
        <v>0</v>
      </c>
      <c r="T496">
        <v>0</v>
      </c>
      <c r="U496" t="s">
        <v>3915</v>
      </c>
      <c r="V496" t="s">
        <v>31</v>
      </c>
      <c r="W496">
        <v>0</v>
      </c>
    </row>
    <row r="497" spans="1:23" x14ac:dyDescent="0.25">
      <c r="A497" t="s">
        <v>4812</v>
      </c>
      <c r="B497" t="s">
        <v>3523</v>
      </c>
      <c r="C497" t="s">
        <v>3522</v>
      </c>
      <c r="D497" t="s">
        <v>4479</v>
      </c>
      <c r="E497" t="s">
        <v>27</v>
      </c>
      <c r="F497" t="s">
        <v>28</v>
      </c>
      <c r="G497" t="s">
        <v>1406</v>
      </c>
      <c r="H497" s="6">
        <v>46022</v>
      </c>
      <c r="I497" t="s">
        <v>29</v>
      </c>
      <c r="J497">
        <v>1</v>
      </c>
      <c r="K497">
        <v>0</v>
      </c>
      <c r="L497">
        <v>0</v>
      </c>
      <c r="M497">
        <v>0</v>
      </c>
      <c r="N497" t="s">
        <v>3915</v>
      </c>
      <c r="O497" t="s">
        <v>3915</v>
      </c>
      <c r="P497" t="s">
        <v>3915</v>
      </c>
      <c r="Q497">
        <v>0</v>
      </c>
      <c r="R497" t="s">
        <v>30</v>
      </c>
      <c r="S497">
        <v>0</v>
      </c>
      <c r="T497">
        <v>0</v>
      </c>
      <c r="U497" t="s">
        <v>3915</v>
      </c>
      <c r="V497" t="s">
        <v>31</v>
      </c>
      <c r="W497">
        <v>0</v>
      </c>
    </row>
    <row r="498" spans="1:23" x14ac:dyDescent="0.25">
      <c r="A498" t="s">
        <v>4813</v>
      </c>
      <c r="B498" t="s">
        <v>3525</v>
      </c>
      <c r="C498" t="s">
        <v>3524</v>
      </c>
      <c r="D498" t="s">
        <v>4479</v>
      </c>
      <c r="E498" t="s">
        <v>27</v>
      </c>
      <c r="F498" t="s">
        <v>28</v>
      </c>
      <c r="G498" t="s">
        <v>1406</v>
      </c>
      <c r="H498" s="6">
        <v>46022</v>
      </c>
      <c r="I498" t="s">
        <v>29</v>
      </c>
      <c r="J498">
        <v>18</v>
      </c>
      <c r="K498">
        <v>0</v>
      </c>
      <c r="L498">
        <v>0</v>
      </c>
      <c r="M498">
        <v>0</v>
      </c>
      <c r="N498" t="s">
        <v>3915</v>
      </c>
      <c r="O498" t="s">
        <v>3915</v>
      </c>
      <c r="P498" t="s">
        <v>3915</v>
      </c>
      <c r="Q498">
        <v>0</v>
      </c>
      <c r="R498" t="s">
        <v>30</v>
      </c>
      <c r="S498">
        <v>0</v>
      </c>
      <c r="T498">
        <v>0</v>
      </c>
      <c r="U498" t="s">
        <v>3915</v>
      </c>
      <c r="V498" t="s">
        <v>31</v>
      </c>
      <c r="W498">
        <v>0</v>
      </c>
    </row>
    <row r="499" spans="1:23" x14ac:dyDescent="0.25">
      <c r="A499" t="s">
        <v>3976</v>
      </c>
      <c r="B499" t="s">
        <v>3527</v>
      </c>
      <c r="C499" t="s">
        <v>3526</v>
      </c>
      <c r="D499" t="s">
        <v>4479</v>
      </c>
      <c r="E499" t="s">
        <v>27</v>
      </c>
      <c r="F499" t="s">
        <v>28</v>
      </c>
      <c r="G499" t="s">
        <v>1406</v>
      </c>
      <c r="H499" s="6">
        <v>46022</v>
      </c>
      <c r="I499" t="s">
        <v>29</v>
      </c>
      <c r="J499">
        <v>18</v>
      </c>
      <c r="K499">
        <v>0</v>
      </c>
      <c r="L499">
        <v>0</v>
      </c>
      <c r="M499">
        <v>0</v>
      </c>
      <c r="N499" t="s">
        <v>3915</v>
      </c>
      <c r="O499" t="s">
        <v>3915</v>
      </c>
      <c r="P499" t="s">
        <v>3915</v>
      </c>
      <c r="Q499">
        <v>0</v>
      </c>
      <c r="R499" t="s">
        <v>30</v>
      </c>
      <c r="S499">
        <v>0</v>
      </c>
      <c r="T499">
        <v>0</v>
      </c>
      <c r="U499" t="s">
        <v>3915</v>
      </c>
      <c r="V499" t="s">
        <v>31</v>
      </c>
      <c r="W499">
        <v>0</v>
      </c>
    </row>
    <row r="500" spans="1:23" x14ac:dyDescent="0.25">
      <c r="A500" t="s">
        <v>4814</v>
      </c>
      <c r="B500" t="s">
        <v>3529</v>
      </c>
      <c r="C500" t="s">
        <v>3528</v>
      </c>
      <c r="D500" t="s">
        <v>4479</v>
      </c>
      <c r="E500" t="s">
        <v>27</v>
      </c>
      <c r="F500" t="s">
        <v>28</v>
      </c>
      <c r="G500" t="s">
        <v>1406</v>
      </c>
      <c r="H500" s="6">
        <v>46022</v>
      </c>
      <c r="I500" t="s">
        <v>29</v>
      </c>
      <c r="J500">
        <v>2</v>
      </c>
      <c r="K500">
        <v>0</v>
      </c>
      <c r="L500">
        <v>0</v>
      </c>
      <c r="M500">
        <v>0</v>
      </c>
      <c r="N500" t="s">
        <v>3915</v>
      </c>
      <c r="O500" t="s">
        <v>3915</v>
      </c>
      <c r="P500" t="s">
        <v>3915</v>
      </c>
      <c r="Q500">
        <v>0</v>
      </c>
      <c r="R500" t="s">
        <v>30</v>
      </c>
      <c r="S500">
        <v>0</v>
      </c>
      <c r="T500">
        <v>0</v>
      </c>
      <c r="U500" t="s">
        <v>3915</v>
      </c>
      <c r="V500" t="s">
        <v>31</v>
      </c>
      <c r="W500">
        <v>0</v>
      </c>
    </row>
    <row r="501" spans="1:23" x14ac:dyDescent="0.25">
      <c r="A501" t="s">
        <v>4249</v>
      </c>
      <c r="B501" t="s">
        <v>3531</v>
      </c>
      <c r="C501" t="s">
        <v>3530</v>
      </c>
      <c r="D501" t="s">
        <v>4479</v>
      </c>
      <c r="E501" t="s">
        <v>27</v>
      </c>
      <c r="F501" t="s">
        <v>28</v>
      </c>
      <c r="G501" t="s">
        <v>1406</v>
      </c>
      <c r="H501" s="6">
        <v>46022</v>
      </c>
      <c r="I501" t="s">
        <v>29</v>
      </c>
      <c r="J501">
        <v>8</v>
      </c>
      <c r="K501">
        <v>0</v>
      </c>
      <c r="L501">
        <v>0</v>
      </c>
      <c r="M501">
        <v>0</v>
      </c>
      <c r="N501" t="s">
        <v>3915</v>
      </c>
      <c r="O501" t="s">
        <v>3915</v>
      </c>
      <c r="P501" t="s">
        <v>3915</v>
      </c>
      <c r="Q501">
        <v>0</v>
      </c>
      <c r="R501" t="s">
        <v>30</v>
      </c>
      <c r="S501">
        <v>0</v>
      </c>
      <c r="T501">
        <v>0</v>
      </c>
      <c r="U501" t="s">
        <v>3915</v>
      </c>
      <c r="V501" t="s">
        <v>31</v>
      </c>
      <c r="W501">
        <v>0</v>
      </c>
    </row>
    <row r="502" spans="1:23" x14ac:dyDescent="0.25">
      <c r="A502" t="s">
        <v>4815</v>
      </c>
      <c r="B502" t="s">
        <v>3533</v>
      </c>
      <c r="C502" t="s">
        <v>3532</v>
      </c>
      <c r="D502" t="s">
        <v>4479</v>
      </c>
      <c r="E502" t="s">
        <v>27</v>
      </c>
      <c r="F502" t="s">
        <v>28</v>
      </c>
      <c r="G502" t="s">
        <v>1406</v>
      </c>
      <c r="H502" s="6">
        <v>46022</v>
      </c>
      <c r="I502" t="s">
        <v>29</v>
      </c>
      <c r="J502">
        <v>5</v>
      </c>
      <c r="K502">
        <v>0</v>
      </c>
      <c r="L502">
        <v>0</v>
      </c>
      <c r="M502">
        <v>0</v>
      </c>
      <c r="N502" t="s">
        <v>3915</v>
      </c>
      <c r="O502" t="s">
        <v>3915</v>
      </c>
      <c r="P502" t="s">
        <v>3915</v>
      </c>
      <c r="Q502">
        <v>0</v>
      </c>
      <c r="R502" t="s">
        <v>30</v>
      </c>
      <c r="S502">
        <v>0</v>
      </c>
      <c r="T502">
        <v>0</v>
      </c>
      <c r="U502" t="s">
        <v>3915</v>
      </c>
      <c r="V502" t="s">
        <v>31</v>
      </c>
      <c r="W502">
        <v>0</v>
      </c>
    </row>
    <row r="503" spans="1:23" x14ac:dyDescent="0.25">
      <c r="A503" t="s">
        <v>4816</v>
      </c>
      <c r="B503" t="s">
        <v>3535</v>
      </c>
      <c r="C503" t="s">
        <v>3534</v>
      </c>
      <c r="D503" t="s">
        <v>4479</v>
      </c>
      <c r="E503" t="s">
        <v>27</v>
      </c>
      <c r="F503" t="s">
        <v>28</v>
      </c>
      <c r="G503" t="s">
        <v>1406</v>
      </c>
      <c r="H503" s="6">
        <v>46022</v>
      </c>
      <c r="I503" t="s">
        <v>29</v>
      </c>
      <c r="J503">
        <v>5</v>
      </c>
      <c r="K503">
        <v>0</v>
      </c>
      <c r="L503">
        <v>0</v>
      </c>
      <c r="M503">
        <v>0</v>
      </c>
      <c r="N503" t="s">
        <v>3915</v>
      </c>
      <c r="O503" t="s">
        <v>3915</v>
      </c>
      <c r="P503" t="s">
        <v>3915</v>
      </c>
      <c r="Q503">
        <v>0</v>
      </c>
      <c r="R503" t="s">
        <v>30</v>
      </c>
      <c r="S503">
        <v>0</v>
      </c>
      <c r="T503">
        <v>0</v>
      </c>
      <c r="U503" t="s">
        <v>3915</v>
      </c>
      <c r="V503" t="s">
        <v>31</v>
      </c>
      <c r="W503">
        <v>0</v>
      </c>
    </row>
    <row r="504" spans="1:23" x14ac:dyDescent="0.25">
      <c r="A504" t="s">
        <v>4256</v>
      </c>
      <c r="B504" t="s">
        <v>3537</v>
      </c>
      <c r="C504" t="s">
        <v>3536</v>
      </c>
      <c r="D504" t="s">
        <v>4479</v>
      </c>
      <c r="E504" t="s">
        <v>27</v>
      </c>
      <c r="F504" t="s">
        <v>28</v>
      </c>
      <c r="G504" t="s">
        <v>1406</v>
      </c>
      <c r="H504" s="6">
        <v>46022</v>
      </c>
      <c r="I504" t="s">
        <v>29</v>
      </c>
      <c r="J504">
        <v>4</v>
      </c>
      <c r="K504">
        <v>0</v>
      </c>
      <c r="L504">
        <v>0</v>
      </c>
      <c r="M504">
        <v>0</v>
      </c>
      <c r="N504" t="s">
        <v>3915</v>
      </c>
      <c r="O504" t="s">
        <v>3915</v>
      </c>
      <c r="P504" t="s">
        <v>3915</v>
      </c>
      <c r="Q504">
        <v>0</v>
      </c>
      <c r="R504" t="s">
        <v>30</v>
      </c>
      <c r="S504">
        <v>0</v>
      </c>
      <c r="T504">
        <v>0</v>
      </c>
      <c r="U504" t="s">
        <v>3915</v>
      </c>
      <c r="V504" t="s">
        <v>31</v>
      </c>
      <c r="W504">
        <v>0</v>
      </c>
    </row>
    <row r="505" spans="1:23" x14ac:dyDescent="0.25">
      <c r="A505" t="s">
        <v>4817</v>
      </c>
      <c r="B505" t="s">
        <v>3539</v>
      </c>
      <c r="C505" t="s">
        <v>3538</v>
      </c>
      <c r="D505" t="s">
        <v>4479</v>
      </c>
      <c r="E505" t="s">
        <v>27</v>
      </c>
      <c r="F505" t="s">
        <v>28</v>
      </c>
      <c r="G505" t="s">
        <v>1406</v>
      </c>
      <c r="H505" s="6">
        <v>46022</v>
      </c>
      <c r="I505" t="s">
        <v>29</v>
      </c>
      <c r="J505">
        <v>2</v>
      </c>
      <c r="K505">
        <v>0</v>
      </c>
      <c r="L505">
        <v>0</v>
      </c>
      <c r="M505">
        <v>0</v>
      </c>
      <c r="N505" t="s">
        <v>3915</v>
      </c>
      <c r="O505" t="s">
        <v>3915</v>
      </c>
      <c r="P505" t="s">
        <v>3915</v>
      </c>
      <c r="Q505">
        <v>0</v>
      </c>
      <c r="R505" t="s">
        <v>30</v>
      </c>
      <c r="S505">
        <v>0</v>
      </c>
      <c r="T505">
        <v>0</v>
      </c>
      <c r="U505" t="s">
        <v>3915</v>
      </c>
      <c r="V505" t="s">
        <v>31</v>
      </c>
      <c r="W505">
        <v>0</v>
      </c>
    </row>
    <row r="506" spans="1:23" x14ac:dyDescent="0.25">
      <c r="A506" t="s">
        <v>4262</v>
      </c>
      <c r="B506" t="s">
        <v>3541</v>
      </c>
      <c r="C506" t="s">
        <v>3540</v>
      </c>
      <c r="D506" t="s">
        <v>4479</v>
      </c>
      <c r="E506" t="s">
        <v>27</v>
      </c>
      <c r="F506" t="s">
        <v>28</v>
      </c>
      <c r="G506" t="s">
        <v>1406</v>
      </c>
      <c r="H506" s="6">
        <v>46022</v>
      </c>
      <c r="I506" t="s">
        <v>29</v>
      </c>
      <c r="J506">
        <v>4</v>
      </c>
      <c r="K506">
        <v>0</v>
      </c>
      <c r="L506">
        <v>0</v>
      </c>
      <c r="M506">
        <v>0</v>
      </c>
      <c r="N506" t="s">
        <v>3915</v>
      </c>
      <c r="O506" t="s">
        <v>3915</v>
      </c>
      <c r="P506" t="s">
        <v>3915</v>
      </c>
      <c r="Q506">
        <v>0</v>
      </c>
      <c r="R506" t="s">
        <v>30</v>
      </c>
      <c r="S506">
        <v>0</v>
      </c>
      <c r="T506">
        <v>0</v>
      </c>
      <c r="U506" t="s">
        <v>3915</v>
      </c>
      <c r="V506" t="s">
        <v>31</v>
      </c>
      <c r="W506">
        <v>0</v>
      </c>
    </row>
    <row r="507" spans="1:23" x14ac:dyDescent="0.25">
      <c r="A507" t="s">
        <v>4818</v>
      </c>
      <c r="B507" t="s">
        <v>3543</v>
      </c>
      <c r="C507" t="s">
        <v>3542</v>
      </c>
      <c r="D507" t="s">
        <v>4479</v>
      </c>
      <c r="E507" t="s">
        <v>27</v>
      </c>
      <c r="F507" t="s">
        <v>28</v>
      </c>
      <c r="G507" t="s">
        <v>1406</v>
      </c>
      <c r="H507" s="6">
        <v>46022</v>
      </c>
      <c r="I507" t="s">
        <v>29</v>
      </c>
      <c r="J507">
        <v>6</v>
      </c>
      <c r="K507">
        <v>0</v>
      </c>
      <c r="L507">
        <v>0</v>
      </c>
      <c r="M507">
        <v>0</v>
      </c>
      <c r="N507" t="s">
        <v>3915</v>
      </c>
      <c r="O507" t="s">
        <v>3915</v>
      </c>
      <c r="P507" t="s">
        <v>3915</v>
      </c>
      <c r="Q507">
        <v>0</v>
      </c>
      <c r="R507" t="s">
        <v>30</v>
      </c>
      <c r="S507">
        <v>0</v>
      </c>
      <c r="T507">
        <v>0</v>
      </c>
      <c r="U507" t="s">
        <v>3915</v>
      </c>
      <c r="V507" t="s">
        <v>31</v>
      </c>
      <c r="W507">
        <v>0</v>
      </c>
    </row>
    <row r="508" spans="1:23" x14ac:dyDescent="0.25">
      <c r="A508" t="s">
        <v>4819</v>
      </c>
      <c r="B508" t="s">
        <v>3545</v>
      </c>
      <c r="C508" t="s">
        <v>3544</v>
      </c>
      <c r="D508" t="s">
        <v>4479</v>
      </c>
      <c r="E508" t="s">
        <v>27</v>
      </c>
      <c r="F508" t="s">
        <v>28</v>
      </c>
      <c r="G508" t="s">
        <v>1406</v>
      </c>
      <c r="H508" s="6">
        <v>46022</v>
      </c>
      <c r="I508" t="s">
        <v>29</v>
      </c>
      <c r="J508">
        <v>10</v>
      </c>
      <c r="K508">
        <v>0</v>
      </c>
      <c r="L508">
        <v>0</v>
      </c>
      <c r="M508">
        <v>0</v>
      </c>
      <c r="N508" t="s">
        <v>3915</v>
      </c>
      <c r="O508" t="s">
        <v>3915</v>
      </c>
      <c r="P508" t="s">
        <v>3915</v>
      </c>
      <c r="Q508">
        <v>0</v>
      </c>
      <c r="R508" t="s">
        <v>30</v>
      </c>
      <c r="S508">
        <v>0</v>
      </c>
      <c r="T508">
        <v>0</v>
      </c>
      <c r="U508" t="s">
        <v>3915</v>
      </c>
      <c r="V508" t="s">
        <v>31</v>
      </c>
      <c r="W508">
        <v>0</v>
      </c>
    </row>
    <row r="509" spans="1:23" x14ac:dyDescent="0.25">
      <c r="A509" t="s">
        <v>4820</v>
      </c>
      <c r="B509" t="s">
        <v>3547</v>
      </c>
      <c r="C509" t="s">
        <v>3546</v>
      </c>
      <c r="D509" t="s">
        <v>4479</v>
      </c>
      <c r="E509" t="s">
        <v>27</v>
      </c>
      <c r="F509" t="s">
        <v>28</v>
      </c>
      <c r="G509" t="s">
        <v>1406</v>
      </c>
      <c r="H509" s="6">
        <v>46022</v>
      </c>
      <c r="I509" t="s">
        <v>29</v>
      </c>
      <c r="J509">
        <v>1</v>
      </c>
      <c r="K509">
        <v>0</v>
      </c>
      <c r="L509">
        <v>0</v>
      </c>
      <c r="M509">
        <v>0</v>
      </c>
      <c r="N509" t="s">
        <v>3915</v>
      </c>
      <c r="O509" t="s">
        <v>3915</v>
      </c>
      <c r="P509" t="s">
        <v>3915</v>
      </c>
      <c r="Q509">
        <v>0</v>
      </c>
      <c r="R509" t="s">
        <v>30</v>
      </c>
      <c r="S509">
        <v>0</v>
      </c>
      <c r="T509">
        <v>0</v>
      </c>
      <c r="U509" t="s">
        <v>3915</v>
      </c>
      <c r="V509" t="s">
        <v>31</v>
      </c>
      <c r="W509">
        <v>0</v>
      </c>
    </row>
    <row r="510" spans="1:23" x14ac:dyDescent="0.25">
      <c r="A510" t="s">
        <v>4344</v>
      </c>
      <c r="B510" t="s">
        <v>3562</v>
      </c>
      <c r="C510" t="s">
        <v>3561</v>
      </c>
      <c r="D510" t="s">
        <v>4479</v>
      </c>
      <c r="E510" t="s">
        <v>1398</v>
      </c>
      <c r="F510" t="s">
        <v>2488</v>
      </c>
      <c r="G510" t="s">
        <v>1406</v>
      </c>
      <c r="H510" s="6">
        <v>46022</v>
      </c>
      <c r="I510" t="s">
        <v>29</v>
      </c>
      <c r="J510">
        <v>43</v>
      </c>
      <c r="K510">
        <v>0</v>
      </c>
      <c r="L510">
        <v>0</v>
      </c>
      <c r="M510">
        <v>0</v>
      </c>
      <c r="N510" t="s">
        <v>3915</v>
      </c>
      <c r="O510" t="s">
        <v>3915</v>
      </c>
      <c r="P510" t="s">
        <v>3915</v>
      </c>
      <c r="Q510">
        <v>0</v>
      </c>
      <c r="R510" t="s">
        <v>30</v>
      </c>
      <c r="S510">
        <v>0</v>
      </c>
      <c r="T510">
        <v>0</v>
      </c>
      <c r="U510" t="s">
        <v>3915</v>
      </c>
      <c r="V510" t="s">
        <v>31</v>
      </c>
      <c r="W510">
        <v>0</v>
      </c>
    </row>
    <row r="511" spans="1:23" x14ac:dyDescent="0.25">
      <c r="A511" t="s">
        <v>4821</v>
      </c>
      <c r="B511" t="s">
        <v>3564</v>
      </c>
      <c r="C511" t="s">
        <v>3563</v>
      </c>
      <c r="D511" t="s">
        <v>4479</v>
      </c>
      <c r="E511" t="s">
        <v>1398</v>
      </c>
      <c r="F511" t="s">
        <v>2488</v>
      </c>
      <c r="G511" t="s">
        <v>1406</v>
      </c>
      <c r="H511" s="6">
        <v>46022</v>
      </c>
      <c r="I511" t="s">
        <v>29</v>
      </c>
      <c r="J511">
        <v>2</v>
      </c>
      <c r="K511">
        <v>0</v>
      </c>
      <c r="L511">
        <v>0</v>
      </c>
      <c r="M511">
        <v>0</v>
      </c>
      <c r="N511" t="s">
        <v>3915</v>
      </c>
      <c r="O511" t="s">
        <v>3915</v>
      </c>
      <c r="P511" t="s">
        <v>3915</v>
      </c>
      <c r="Q511">
        <v>0</v>
      </c>
      <c r="R511" t="s">
        <v>30</v>
      </c>
      <c r="S511">
        <v>0</v>
      </c>
      <c r="T511">
        <v>0</v>
      </c>
      <c r="U511" t="s">
        <v>3915</v>
      </c>
      <c r="V511" t="s">
        <v>31</v>
      </c>
      <c r="W511">
        <v>0</v>
      </c>
    </row>
    <row r="512" spans="1:23" x14ac:dyDescent="0.25">
      <c r="A512" t="s">
        <v>3943</v>
      </c>
      <c r="B512" t="s">
        <v>3566</v>
      </c>
      <c r="C512" t="s">
        <v>3565</v>
      </c>
      <c r="D512" t="s">
        <v>4479</v>
      </c>
      <c r="E512" t="s">
        <v>1398</v>
      </c>
      <c r="F512" t="s">
        <v>2488</v>
      </c>
      <c r="G512" t="s">
        <v>1406</v>
      </c>
      <c r="H512" s="6">
        <v>46022</v>
      </c>
      <c r="I512" t="s">
        <v>29</v>
      </c>
      <c r="J512">
        <v>6</v>
      </c>
      <c r="K512">
        <v>0</v>
      </c>
      <c r="L512">
        <v>0</v>
      </c>
      <c r="M512">
        <v>0</v>
      </c>
      <c r="N512" t="s">
        <v>3915</v>
      </c>
      <c r="O512" t="s">
        <v>3915</v>
      </c>
      <c r="P512" t="s">
        <v>3915</v>
      </c>
      <c r="Q512">
        <v>0</v>
      </c>
      <c r="R512" t="s">
        <v>30</v>
      </c>
      <c r="S512">
        <v>0</v>
      </c>
      <c r="T512">
        <v>0</v>
      </c>
      <c r="U512" t="s">
        <v>3915</v>
      </c>
      <c r="V512" t="s">
        <v>31</v>
      </c>
      <c r="W512">
        <v>0</v>
      </c>
    </row>
    <row r="513" spans="1:23" x14ac:dyDescent="0.25">
      <c r="A513" t="s">
        <v>4822</v>
      </c>
      <c r="B513" t="s">
        <v>3568</v>
      </c>
      <c r="C513" t="s">
        <v>3567</v>
      </c>
      <c r="D513" t="s">
        <v>4479</v>
      </c>
      <c r="E513" t="s">
        <v>1398</v>
      </c>
      <c r="F513" t="s">
        <v>2488</v>
      </c>
      <c r="G513" t="s">
        <v>1406</v>
      </c>
      <c r="H513" s="6">
        <v>46022</v>
      </c>
      <c r="I513" t="s">
        <v>29</v>
      </c>
      <c r="J513">
        <v>6</v>
      </c>
      <c r="K513">
        <v>0</v>
      </c>
      <c r="L513">
        <v>0</v>
      </c>
      <c r="M513">
        <v>0</v>
      </c>
      <c r="N513" t="s">
        <v>3915</v>
      </c>
      <c r="O513" t="s">
        <v>3915</v>
      </c>
      <c r="P513" t="s">
        <v>3915</v>
      </c>
      <c r="Q513">
        <v>0</v>
      </c>
      <c r="R513" t="s">
        <v>30</v>
      </c>
      <c r="S513">
        <v>0</v>
      </c>
      <c r="T513">
        <v>0</v>
      </c>
      <c r="U513" t="s">
        <v>3915</v>
      </c>
      <c r="V513" t="s">
        <v>31</v>
      </c>
      <c r="W513">
        <v>0</v>
      </c>
    </row>
    <row r="514" spans="1:23" x14ac:dyDescent="0.25">
      <c r="A514" t="s">
        <v>4823</v>
      </c>
      <c r="B514" t="s">
        <v>3570</v>
      </c>
      <c r="C514" t="s">
        <v>3569</v>
      </c>
      <c r="D514" t="s">
        <v>4479</v>
      </c>
      <c r="E514" t="s">
        <v>1398</v>
      </c>
      <c r="F514" t="s">
        <v>2488</v>
      </c>
      <c r="G514" t="s">
        <v>1406</v>
      </c>
      <c r="H514" s="6">
        <v>46022</v>
      </c>
      <c r="I514" t="s">
        <v>29</v>
      </c>
      <c r="J514">
        <v>6</v>
      </c>
      <c r="K514">
        <v>0</v>
      </c>
      <c r="L514">
        <v>0</v>
      </c>
      <c r="M514">
        <v>0</v>
      </c>
      <c r="N514" t="s">
        <v>3915</v>
      </c>
      <c r="O514" t="s">
        <v>3915</v>
      </c>
      <c r="P514" t="s">
        <v>3915</v>
      </c>
      <c r="Q514">
        <v>0</v>
      </c>
      <c r="R514" t="s">
        <v>30</v>
      </c>
      <c r="S514">
        <v>0</v>
      </c>
      <c r="T514">
        <v>0</v>
      </c>
      <c r="U514" t="s">
        <v>3915</v>
      </c>
      <c r="V514" t="s">
        <v>31</v>
      </c>
      <c r="W514">
        <v>0</v>
      </c>
    </row>
    <row r="515" spans="1:23" x14ac:dyDescent="0.25">
      <c r="A515" t="s">
        <v>4824</v>
      </c>
      <c r="B515" t="s">
        <v>3572</v>
      </c>
      <c r="C515" t="s">
        <v>3571</v>
      </c>
      <c r="D515" t="s">
        <v>4479</v>
      </c>
      <c r="E515" t="s">
        <v>4198</v>
      </c>
      <c r="F515" t="s">
        <v>759</v>
      </c>
      <c r="G515" t="s">
        <v>1406</v>
      </c>
      <c r="H515" s="6">
        <v>46022</v>
      </c>
      <c r="I515" t="s">
        <v>29</v>
      </c>
      <c r="J515">
        <v>9</v>
      </c>
      <c r="K515">
        <v>0</v>
      </c>
      <c r="L515">
        <v>0</v>
      </c>
      <c r="M515">
        <v>0</v>
      </c>
      <c r="N515" t="s">
        <v>3915</v>
      </c>
      <c r="O515" t="s">
        <v>3915</v>
      </c>
      <c r="P515" t="s">
        <v>3915</v>
      </c>
      <c r="Q515">
        <v>0</v>
      </c>
      <c r="R515" t="s">
        <v>82</v>
      </c>
      <c r="S515">
        <v>0</v>
      </c>
      <c r="T515">
        <v>0</v>
      </c>
      <c r="U515" t="s">
        <v>3915</v>
      </c>
      <c r="V515" t="s">
        <v>31</v>
      </c>
      <c r="W515">
        <v>0</v>
      </c>
    </row>
    <row r="516" spans="1:23" x14ac:dyDescent="0.25">
      <c r="A516" t="s">
        <v>3940</v>
      </c>
      <c r="B516" t="s">
        <v>1516</v>
      </c>
      <c r="C516" t="s">
        <v>1515</v>
      </c>
      <c r="D516" t="s">
        <v>4479</v>
      </c>
      <c r="E516" t="s">
        <v>4198</v>
      </c>
      <c r="F516" t="s">
        <v>759</v>
      </c>
      <c r="G516" t="s">
        <v>1406</v>
      </c>
      <c r="H516" s="6">
        <v>46022</v>
      </c>
      <c r="I516" t="s">
        <v>29</v>
      </c>
      <c r="J516">
        <v>0</v>
      </c>
      <c r="K516">
        <v>0</v>
      </c>
      <c r="L516">
        <v>0</v>
      </c>
      <c r="M516">
        <v>0</v>
      </c>
      <c r="N516" t="s">
        <v>3915</v>
      </c>
      <c r="O516" t="s">
        <v>3915</v>
      </c>
      <c r="P516" t="s">
        <v>3915</v>
      </c>
      <c r="Q516">
        <v>0</v>
      </c>
      <c r="R516" t="s">
        <v>82</v>
      </c>
      <c r="S516">
        <v>0</v>
      </c>
      <c r="T516">
        <v>0</v>
      </c>
      <c r="U516" t="s">
        <v>3915</v>
      </c>
      <c r="V516" t="s">
        <v>31</v>
      </c>
      <c r="W516">
        <v>0</v>
      </c>
    </row>
    <row r="517" spans="1:23" x14ac:dyDescent="0.25">
      <c r="A517" t="s">
        <v>4825</v>
      </c>
      <c r="B517" t="s">
        <v>1518</v>
      </c>
      <c r="C517" t="s">
        <v>1517</v>
      </c>
      <c r="D517" t="s">
        <v>4479</v>
      </c>
      <c r="E517" t="s">
        <v>4198</v>
      </c>
      <c r="F517" t="s">
        <v>759</v>
      </c>
      <c r="G517" t="s">
        <v>1406</v>
      </c>
      <c r="H517" s="6">
        <v>46022</v>
      </c>
      <c r="I517" t="s">
        <v>29</v>
      </c>
      <c r="J517">
        <v>0</v>
      </c>
      <c r="K517">
        <v>0</v>
      </c>
      <c r="L517">
        <v>0</v>
      </c>
      <c r="M517">
        <v>0</v>
      </c>
      <c r="N517" t="s">
        <v>3915</v>
      </c>
      <c r="O517" t="s">
        <v>3915</v>
      </c>
      <c r="P517" t="s">
        <v>3915</v>
      </c>
      <c r="Q517">
        <v>0</v>
      </c>
      <c r="R517" t="s">
        <v>82</v>
      </c>
      <c r="S517">
        <v>0</v>
      </c>
      <c r="T517">
        <v>0</v>
      </c>
      <c r="U517" t="s">
        <v>3915</v>
      </c>
      <c r="V517" t="s">
        <v>31</v>
      </c>
      <c r="W517">
        <v>0</v>
      </c>
    </row>
    <row r="518" spans="1:23" x14ac:dyDescent="0.25">
      <c r="A518" t="s">
        <v>4826</v>
      </c>
      <c r="B518" t="s">
        <v>1522</v>
      </c>
      <c r="C518" t="s">
        <v>1521</v>
      </c>
      <c r="D518" t="s">
        <v>4479</v>
      </c>
      <c r="E518" t="s">
        <v>4198</v>
      </c>
      <c r="F518" t="s">
        <v>759</v>
      </c>
      <c r="G518" t="s">
        <v>1406</v>
      </c>
      <c r="H518" s="6">
        <v>46022</v>
      </c>
      <c r="I518" t="s">
        <v>29</v>
      </c>
      <c r="J518">
        <v>0</v>
      </c>
      <c r="K518">
        <v>0</v>
      </c>
      <c r="L518">
        <v>0</v>
      </c>
      <c r="M518">
        <v>0</v>
      </c>
      <c r="N518" t="s">
        <v>3915</v>
      </c>
      <c r="O518" t="s">
        <v>3915</v>
      </c>
      <c r="P518" t="s">
        <v>3915</v>
      </c>
      <c r="Q518">
        <v>0</v>
      </c>
      <c r="R518" t="s">
        <v>82</v>
      </c>
      <c r="S518">
        <v>0</v>
      </c>
      <c r="T518">
        <v>0</v>
      </c>
      <c r="U518" t="s">
        <v>3915</v>
      </c>
      <c r="V518" t="s">
        <v>31</v>
      </c>
      <c r="W518">
        <v>0</v>
      </c>
    </row>
    <row r="519" spans="1:23" x14ac:dyDescent="0.25">
      <c r="A519" t="s">
        <v>10277</v>
      </c>
      <c r="B519" t="s">
        <v>1524</v>
      </c>
      <c r="C519" t="s">
        <v>1523</v>
      </c>
      <c r="D519" t="s">
        <v>4479</v>
      </c>
      <c r="E519" t="s">
        <v>4198</v>
      </c>
      <c r="F519" t="s">
        <v>759</v>
      </c>
      <c r="G519" t="s">
        <v>1406</v>
      </c>
      <c r="H519" s="6">
        <v>46022</v>
      </c>
      <c r="I519" t="s">
        <v>29</v>
      </c>
      <c r="J519">
        <v>0</v>
      </c>
      <c r="K519">
        <v>0</v>
      </c>
      <c r="L519">
        <v>0</v>
      </c>
      <c r="M519">
        <v>0</v>
      </c>
      <c r="N519" t="s">
        <v>3915</v>
      </c>
      <c r="O519" t="s">
        <v>3915</v>
      </c>
      <c r="P519" t="s">
        <v>3915</v>
      </c>
      <c r="Q519">
        <v>0</v>
      </c>
      <c r="R519" t="s">
        <v>82</v>
      </c>
      <c r="S519">
        <v>0</v>
      </c>
      <c r="T519">
        <v>0</v>
      </c>
      <c r="U519" t="s">
        <v>3915</v>
      </c>
      <c r="V519" t="s">
        <v>31</v>
      </c>
      <c r="W519">
        <v>0</v>
      </c>
    </row>
    <row r="520" spans="1:23" x14ac:dyDescent="0.25">
      <c r="A520" t="s">
        <v>4827</v>
      </c>
      <c r="B520" t="s">
        <v>1530</v>
      </c>
      <c r="C520" t="s">
        <v>1529</v>
      </c>
      <c r="D520" t="s">
        <v>4479</v>
      </c>
      <c r="E520" t="s">
        <v>4198</v>
      </c>
      <c r="F520" t="s">
        <v>759</v>
      </c>
      <c r="G520" t="s">
        <v>1406</v>
      </c>
      <c r="H520" s="6">
        <v>46022</v>
      </c>
      <c r="I520" t="s">
        <v>29</v>
      </c>
      <c r="J520">
        <v>0</v>
      </c>
      <c r="K520">
        <v>0</v>
      </c>
      <c r="L520">
        <v>0</v>
      </c>
      <c r="M520">
        <v>0</v>
      </c>
      <c r="N520" t="s">
        <v>3915</v>
      </c>
      <c r="O520" t="s">
        <v>3915</v>
      </c>
      <c r="P520" t="s">
        <v>3915</v>
      </c>
      <c r="Q520">
        <v>0</v>
      </c>
      <c r="R520" t="s">
        <v>82</v>
      </c>
      <c r="S520">
        <v>0</v>
      </c>
      <c r="T520">
        <v>0</v>
      </c>
      <c r="U520" t="s">
        <v>3915</v>
      </c>
      <c r="V520" t="s">
        <v>31</v>
      </c>
      <c r="W520">
        <v>0</v>
      </c>
    </row>
    <row r="521" spans="1:23" x14ac:dyDescent="0.25">
      <c r="A521" t="s">
        <v>4828</v>
      </c>
      <c r="B521" t="s">
        <v>3574</v>
      </c>
      <c r="C521" t="s">
        <v>3573</v>
      </c>
      <c r="D521" t="s">
        <v>4479</v>
      </c>
      <c r="E521" t="s">
        <v>4198</v>
      </c>
      <c r="F521" t="s">
        <v>759</v>
      </c>
      <c r="G521" t="s">
        <v>1406</v>
      </c>
      <c r="H521" s="6">
        <v>46022</v>
      </c>
      <c r="I521" t="s">
        <v>29</v>
      </c>
      <c r="J521">
        <v>36</v>
      </c>
      <c r="K521">
        <v>0</v>
      </c>
      <c r="L521">
        <v>0</v>
      </c>
      <c r="M521">
        <v>0</v>
      </c>
      <c r="N521" t="s">
        <v>3915</v>
      </c>
      <c r="O521" t="s">
        <v>3915</v>
      </c>
      <c r="P521" t="s">
        <v>3915</v>
      </c>
      <c r="Q521">
        <v>0</v>
      </c>
      <c r="R521" t="s">
        <v>82</v>
      </c>
      <c r="S521">
        <v>0</v>
      </c>
      <c r="T521">
        <v>0</v>
      </c>
      <c r="U521" t="s">
        <v>3915</v>
      </c>
      <c r="V521" t="s">
        <v>31</v>
      </c>
      <c r="W521">
        <v>0</v>
      </c>
    </row>
    <row r="522" spans="1:23" x14ac:dyDescent="0.25">
      <c r="A522" t="s">
        <v>4829</v>
      </c>
      <c r="B522" t="s">
        <v>3576</v>
      </c>
      <c r="C522" t="s">
        <v>3575</v>
      </c>
      <c r="D522" t="s">
        <v>4479</v>
      </c>
      <c r="E522" t="s">
        <v>4198</v>
      </c>
      <c r="F522" t="s">
        <v>759</v>
      </c>
      <c r="G522" t="s">
        <v>1406</v>
      </c>
      <c r="H522" s="6">
        <v>46022</v>
      </c>
      <c r="I522" t="s">
        <v>29</v>
      </c>
      <c r="J522">
        <v>51</v>
      </c>
      <c r="K522">
        <v>0</v>
      </c>
      <c r="L522">
        <v>0</v>
      </c>
      <c r="M522">
        <v>0</v>
      </c>
      <c r="N522" t="s">
        <v>3915</v>
      </c>
      <c r="O522" t="s">
        <v>3915</v>
      </c>
      <c r="P522" t="s">
        <v>3915</v>
      </c>
      <c r="Q522">
        <v>0</v>
      </c>
      <c r="R522" t="s">
        <v>82</v>
      </c>
      <c r="S522">
        <v>0</v>
      </c>
      <c r="T522">
        <v>0</v>
      </c>
      <c r="U522" t="s">
        <v>3915</v>
      </c>
      <c r="V522" t="s">
        <v>31</v>
      </c>
      <c r="W522">
        <v>0</v>
      </c>
    </row>
    <row r="523" spans="1:23" x14ac:dyDescent="0.25">
      <c r="A523" t="s">
        <v>4830</v>
      </c>
      <c r="B523" t="s">
        <v>2506</v>
      </c>
      <c r="C523" t="s">
        <v>2505</v>
      </c>
      <c r="D523" t="s">
        <v>4479</v>
      </c>
      <c r="E523" t="s">
        <v>4198</v>
      </c>
      <c r="F523" t="s">
        <v>759</v>
      </c>
      <c r="G523" t="s">
        <v>1406</v>
      </c>
      <c r="H523" s="6">
        <v>46022</v>
      </c>
      <c r="I523" t="s">
        <v>29</v>
      </c>
      <c r="J523">
        <v>0</v>
      </c>
      <c r="K523">
        <v>0</v>
      </c>
      <c r="L523">
        <v>0</v>
      </c>
      <c r="M523">
        <v>0</v>
      </c>
      <c r="N523" t="s">
        <v>3915</v>
      </c>
      <c r="O523" t="s">
        <v>3915</v>
      </c>
      <c r="P523" t="s">
        <v>3915</v>
      </c>
      <c r="Q523">
        <v>0</v>
      </c>
      <c r="R523" t="s">
        <v>489</v>
      </c>
      <c r="S523">
        <v>0</v>
      </c>
      <c r="T523">
        <v>0</v>
      </c>
      <c r="U523" t="s">
        <v>3915</v>
      </c>
      <c r="V523" t="s">
        <v>31</v>
      </c>
      <c r="W523">
        <v>0</v>
      </c>
    </row>
    <row r="524" spans="1:23" x14ac:dyDescent="0.25">
      <c r="A524" t="s">
        <v>4831</v>
      </c>
      <c r="B524" t="s">
        <v>774</v>
      </c>
      <c r="C524" t="s">
        <v>775</v>
      </c>
      <c r="D524" t="s">
        <v>4479</v>
      </c>
      <c r="E524" t="s">
        <v>4198</v>
      </c>
      <c r="F524" t="s">
        <v>759</v>
      </c>
      <c r="G524" t="s">
        <v>1406</v>
      </c>
      <c r="H524" s="6">
        <v>46022</v>
      </c>
      <c r="I524" t="s">
        <v>29</v>
      </c>
      <c r="J524">
        <v>0</v>
      </c>
      <c r="K524">
        <v>0</v>
      </c>
      <c r="L524">
        <v>0</v>
      </c>
      <c r="M524">
        <v>0</v>
      </c>
      <c r="N524" t="s">
        <v>3915</v>
      </c>
      <c r="O524" t="s">
        <v>3915</v>
      </c>
      <c r="P524" t="s">
        <v>3915</v>
      </c>
      <c r="Q524">
        <v>0</v>
      </c>
      <c r="R524" t="s">
        <v>82</v>
      </c>
      <c r="S524">
        <v>0</v>
      </c>
      <c r="T524">
        <v>0</v>
      </c>
      <c r="U524" t="s">
        <v>3915</v>
      </c>
      <c r="V524" t="s">
        <v>31</v>
      </c>
      <c r="W524">
        <v>0</v>
      </c>
    </row>
    <row r="525" spans="1:23" x14ac:dyDescent="0.25">
      <c r="A525" t="s">
        <v>4832</v>
      </c>
      <c r="B525" t="s">
        <v>1534</v>
      </c>
      <c r="C525" t="s">
        <v>1533</v>
      </c>
      <c r="D525" t="s">
        <v>4479</v>
      </c>
      <c r="E525" t="s">
        <v>4198</v>
      </c>
      <c r="F525" t="s">
        <v>759</v>
      </c>
      <c r="G525" t="s">
        <v>1406</v>
      </c>
      <c r="H525" s="6">
        <v>46022</v>
      </c>
      <c r="I525" t="s">
        <v>29</v>
      </c>
      <c r="J525">
        <v>0</v>
      </c>
      <c r="K525">
        <v>0</v>
      </c>
      <c r="L525">
        <v>0</v>
      </c>
      <c r="M525">
        <v>0</v>
      </c>
      <c r="N525" t="s">
        <v>3915</v>
      </c>
      <c r="O525" t="s">
        <v>3915</v>
      </c>
      <c r="P525" t="s">
        <v>3915</v>
      </c>
      <c r="Q525">
        <v>0</v>
      </c>
      <c r="R525" t="s">
        <v>489</v>
      </c>
      <c r="S525">
        <v>0</v>
      </c>
      <c r="T525">
        <v>0</v>
      </c>
      <c r="U525" t="s">
        <v>3915</v>
      </c>
      <c r="V525" t="s">
        <v>31</v>
      </c>
      <c r="W525">
        <v>0</v>
      </c>
    </row>
    <row r="526" spans="1:23" x14ac:dyDescent="0.25">
      <c r="A526" t="s">
        <v>4833</v>
      </c>
      <c r="B526" t="s">
        <v>2514</v>
      </c>
      <c r="C526" t="s">
        <v>2513</v>
      </c>
      <c r="D526" t="s">
        <v>4479</v>
      </c>
      <c r="E526" t="s">
        <v>4198</v>
      </c>
      <c r="F526" t="s">
        <v>759</v>
      </c>
      <c r="G526" t="s">
        <v>1406</v>
      </c>
      <c r="H526" s="6">
        <v>46022</v>
      </c>
      <c r="I526" t="s">
        <v>29</v>
      </c>
      <c r="J526">
        <v>0</v>
      </c>
      <c r="K526">
        <v>0</v>
      </c>
      <c r="L526">
        <v>0</v>
      </c>
      <c r="M526">
        <v>0</v>
      </c>
      <c r="N526" t="s">
        <v>3915</v>
      </c>
      <c r="O526" t="s">
        <v>3915</v>
      </c>
      <c r="P526" t="s">
        <v>3915</v>
      </c>
      <c r="Q526">
        <v>0</v>
      </c>
      <c r="R526" t="s">
        <v>489</v>
      </c>
      <c r="S526">
        <v>0</v>
      </c>
      <c r="T526">
        <v>0</v>
      </c>
      <c r="U526" t="s">
        <v>3915</v>
      </c>
      <c r="V526" t="s">
        <v>31</v>
      </c>
      <c r="W526">
        <v>0</v>
      </c>
    </row>
    <row r="527" spans="1:23" x14ac:dyDescent="0.25">
      <c r="A527" t="s">
        <v>4165</v>
      </c>
      <c r="B527" t="s">
        <v>778</v>
      </c>
      <c r="C527" t="s">
        <v>779</v>
      </c>
      <c r="D527" t="s">
        <v>4479</v>
      </c>
      <c r="E527" t="s">
        <v>4198</v>
      </c>
      <c r="F527" t="s">
        <v>759</v>
      </c>
      <c r="G527" t="s">
        <v>1406</v>
      </c>
      <c r="H527" s="6">
        <v>46022</v>
      </c>
      <c r="I527" t="s">
        <v>29</v>
      </c>
      <c r="J527">
        <v>0</v>
      </c>
      <c r="K527">
        <v>0</v>
      </c>
      <c r="L527">
        <v>0</v>
      </c>
      <c r="M527">
        <v>0</v>
      </c>
      <c r="N527" t="s">
        <v>3915</v>
      </c>
      <c r="O527" t="s">
        <v>3915</v>
      </c>
      <c r="P527" t="s">
        <v>3915</v>
      </c>
      <c r="Q527">
        <v>0</v>
      </c>
      <c r="R527" t="s">
        <v>82</v>
      </c>
      <c r="S527">
        <v>0</v>
      </c>
      <c r="T527">
        <v>0</v>
      </c>
      <c r="U527" t="s">
        <v>3915</v>
      </c>
      <c r="V527" t="s">
        <v>31</v>
      </c>
      <c r="W527">
        <v>0</v>
      </c>
    </row>
    <row r="528" spans="1:23" x14ac:dyDescent="0.25">
      <c r="A528" t="s">
        <v>4834</v>
      </c>
      <c r="B528" t="s">
        <v>2516</v>
      </c>
      <c r="C528" t="s">
        <v>2515</v>
      </c>
      <c r="D528" t="s">
        <v>4479</v>
      </c>
      <c r="E528" t="s">
        <v>4198</v>
      </c>
      <c r="F528" t="s">
        <v>759</v>
      </c>
      <c r="G528" t="s">
        <v>1406</v>
      </c>
      <c r="H528" s="6">
        <v>46022</v>
      </c>
      <c r="I528" t="s">
        <v>29</v>
      </c>
      <c r="J528">
        <v>0</v>
      </c>
      <c r="K528">
        <v>0</v>
      </c>
      <c r="L528">
        <v>0</v>
      </c>
      <c r="M528">
        <v>0</v>
      </c>
      <c r="N528" t="s">
        <v>3915</v>
      </c>
      <c r="O528" t="s">
        <v>3915</v>
      </c>
      <c r="P528" t="s">
        <v>3915</v>
      </c>
      <c r="Q528">
        <v>0</v>
      </c>
      <c r="R528" t="s">
        <v>82</v>
      </c>
      <c r="S528">
        <v>0</v>
      </c>
      <c r="T528">
        <v>0</v>
      </c>
      <c r="U528" t="s">
        <v>3915</v>
      </c>
      <c r="V528" t="s">
        <v>31</v>
      </c>
      <c r="W528">
        <v>0</v>
      </c>
    </row>
    <row r="529" spans="1:23" x14ac:dyDescent="0.25">
      <c r="A529" t="s">
        <v>4835</v>
      </c>
      <c r="B529" t="s">
        <v>3578</v>
      </c>
      <c r="C529" t="s">
        <v>3577</v>
      </c>
      <c r="D529" t="s">
        <v>4479</v>
      </c>
      <c r="E529" t="s">
        <v>4201</v>
      </c>
      <c r="F529" t="s">
        <v>784</v>
      </c>
      <c r="G529" t="s">
        <v>1406</v>
      </c>
      <c r="H529" s="6">
        <v>46022</v>
      </c>
      <c r="I529" t="s">
        <v>29</v>
      </c>
      <c r="J529">
        <v>4</v>
      </c>
      <c r="K529">
        <v>0</v>
      </c>
      <c r="L529">
        <v>0</v>
      </c>
      <c r="M529">
        <v>0</v>
      </c>
      <c r="N529" t="s">
        <v>3915</v>
      </c>
      <c r="O529" t="s">
        <v>3915</v>
      </c>
      <c r="P529" t="s">
        <v>3915</v>
      </c>
      <c r="Q529">
        <v>0</v>
      </c>
      <c r="R529" t="s">
        <v>30</v>
      </c>
      <c r="S529">
        <v>0</v>
      </c>
      <c r="T529">
        <v>0</v>
      </c>
      <c r="U529" t="s">
        <v>3915</v>
      </c>
      <c r="V529" t="s">
        <v>31</v>
      </c>
      <c r="W529">
        <v>0</v>
      </c>
    </row>
    <row r="530" spans="1:23" x14ac:dyDescent="0.25">
      <c r="A530" t="s">
        <v>4836</v>
      </c>
      <c r="B530" t="s">
        <v>3580</v>
      </c>
      <c r="C530" t="s">
        <v>3579</v>
      </c>
      <c r="D530" t="s">
        <v>4479</v>
      </c>
      <c r="E530" t="s">
        <v>4201</v>
      </c>
      <c r="F530" t="s">
        <v>784</v>
      </c>
      <c r="G530" t="s">
        <v>1406</v>
      </c>
      <c r="H530" s="6">
        <v>46022</v>
      </c>
      <c r="I530" t="s">
        <v>29</v>
      </c>
      <c r="J530">
        <v>7</v>
      </c>
      <c r="K530">
        <v>0</v>
      </c>
      <c r="L530">
        <v>0</v>
      </c>
      <c r="M530">
        <v>0</v>
      </c>
      <c r="N530" t="s">
        <v>3915</v>
      </c>
      <c r="O530" t="s">
        <v>3915</v>
      </c>
      <c r="P530" t="s">
        <v>3915</v>
      </c>
      <c r="Q530">
        <v>0</v>
      </c>
      <c r="R530" t="s">
        <v>30</v>
      </c>
      <c r="S530">
        <v>0</v>
      </c>
      <c r="T530">
        <v>0</v>
      </c>
      <c r="U530" t="s">
        <v>3915</v>
      </c>
      <c r="V530" t="s">
        <v>31</v>
      </c>
      <c r="W530">
        <v>0</v>
      </c>
    </row>
    <row r="531" spans="1:23" x14ac:dyDescent="0.25">
      <c r="A531" t="s">
        <v>4837</v>
      </c>
      <c r="B531" t="s">
        <v>3582</v>
      </c>
      <c r="C531" t="s">
        <v>3581</v>
      </c>
      <c r="D531" t="s">
        <v>4479</v>
      </c>
      <c r="E531" t="s">
        <v>4201</v>
      </c>
      <c r="F531" t="s">
        <v>784</v>
      </c>
      <c r="G531" t="s">
        <v>1406</v>
      </c>
      <c r="H531" s="6">
        <v>46022</v>
      </c>
      <c r="I531" t="s">
        <v>29</v>
      </c>
      <c r="J531">
        <v>7</v>
      </c>
      <c r="K531">
        <v>0</v>
      </c>
      <c r="L531">
        <v>0</v>
      </c>
      <c r="M531">
        <v>0</v>
      </c>
      <c r="N531" t="s">
        <v>3915</v>
      </c>
      <c r="O531" t="s">
        <v>3915</v>
      </c>
      <c r="P531" t="s">
        <v>3915</v>
      </c>
      <c r="Q531">
        <v>0</v>
      </c>
      <c r="R531" t="s">
        <v>30</v>
      </c>
      <c r="S531">
        <v>0</v>
      </c>
      <c r="T531">
        <v>0</v>
      </c>
      <c r="U531" t="s">
        <v>3915</v>
      </c>
      <c r="V531" t="s">
        <v>31</v>
      </c>
      <c r="W531">
        <v>0</v>
      </c>
    </row>
    <row r="532" spans="1:23" x14ac:dyDescent="0.25">
      <c r="A532" t="s">
        <v>4070</v>
      </c>
      <c r="B532" t="s">
        <v>3584</v>
      </c>
      <c r="C532" t="s">
        <v>3583</v>
      </c>
      <c r="D532" t="s">
        <v>4479</v>
      </c>
      <c r="E532" t="s">
        <v>4201</v>
      </c>
      <c r="F532" t="s">
        <v>784</v>
      </c>
      <c r="G532" t="s">
        <v>1406</v>
      </c>
      <c r="H532" s="6">
        <v>46022</v>
      </c>
      <c r="I532" t="s">
        <v>29</v>
      </c>
      <c r="J532">
        <v>2</v>
      </c>
      <c r="K532">
        <v>0</v>
      </c>
      <c r="L532">
        <v>0</v>
      </c>
      <c r="M532">
        <v>0</v>
      </c>
      <c r="N532" t="s">
        <v>3915</v>
      </c>
      <c r="O532" t="s">
        <v>3915</v>
      </c>
      <c r="P532" t="s">
        <v>3915</v>
      </c>
      <c r="Q532">
        <v>0</v>
      </c>
      <c r="R532" t="s">
        <v>30</v>
      </c>
      <c r="S532">
        <v>0</v>
      </c>
      <c r="T532">
        <v>0</v>
      </c>
      <c r="U532" t="s">
        <v>3915</v>
      </c>
      <c r="V532" t="s">
        <v>31</v>
      </c>
      <c r="W532">
        <v>0</v>
      </c>
    </row>
    <row r="533" spans="1:23" x14ac:dyDescent="0.25">
      <c r="A533" t="s">
        <v>4053</v>
      </c>
      <c r="B533" t="s">
        <v>3586</v>
      </c>
      <c r="C533" t="s">
        <v>3585</v>
      </c>
      <c r="D533" t="s">
        <v>4479</v>
      </c>
      <c r="E533" t="s">
        <v>4201</v>
      </c>
      <c r="F533" t="s">
        <v>784</v>
      </c>
      <c r="G533" t="s">
        <v>1406</v>
      </c>
      <c r="H533" s="6">
        <v>46022</v>
      </c>
      <c r="I533" t="s">
        <v>29</v>
      </c>
      <c r="J533">
        <v>3</v>
      </c>
      <c r="K533">
        <v>0</v>
      </c>
      <c r="L533">
        <v>0</v>
      </c>
      <c r="M533">
        <v>0</v>
      </c>
      <c r="N533" t="s">
        <v>3915</v>
      </c>
      <c r="O533" t="s">
        <v>3915</v>
      </c>
      <c r="P533" t="s">
        <v>3915</v>
      </c>
      <c r="Q533">
        <v>0</v>
      </c>
      <c r="R533" t="s">
        <v>30</v>
      </c>
      <c r="S533">
        <v>0</v>
      </c>
      <c r="T533">
        <v>0</v>
      </c>
      <c r="U533" t="s">
        <v>3915</v>
      </c>
      <c r="V533" t="s">
        <v>31</v>
      </c>
      <c r="W533">
        <v>0</v>
      </c>
    </row>
    <row r="534" spans="1:23" x14ac:dyDescent="0.25">
      <c r="A534" t="s">
        <v>4838</v>
      </c>
      <c r="B534" t="s">
        <v>3588</v>
      </c>
      <c r="C534" t="s">
        <v>3587</v>
      </c>
      <c r="D534" t="s">
        <v>4479</v>
      </c>
      <c r="E534" t="s">
        <v>4201</v>
      </c>
      <c r="F534" t="s">
        <v>784</v>
      </c>
      <c r="G534" t="s">
        <v>1406</v>
      </c>
      <c r="H534" s="6">
        <v>46022</v>
      </c>
      <c r="I534" t="s">
        <v>29</v>
      </c>
      <c r="J534">
        <v>2</v>
      </c>
      <c r="K534">
        <v>0</v>
      </c>
      <c r="L534">
        <v>0</v>
      </c>
      <c r="M534">
        <v>0</v>
      </c>
      <c r="N534" t="s">
        <v>3915</v>
      </c>
      <c r="O534" t="s">
        <v>3915</v>
      </c>
      <c r="P534" t="s">
        <v>3915</v>
      </c>
      <c r="Q534">
        <v>0</v>
      </c>
      <c r="R534" t="s">
        <v>30</v>
      </c>
      <c r="S534">
        <v>0</v>
      </c>
      <c r="T534">
        <v>0</v>
      </c>
      <c r="U534" t="s">
        <v>3915</v>
      </c>
      <c r="V534" t="s">
        <v>31</v>
      </c>
      <c r="W534">
        <v>0</v>
      </c>
    </row>
    <row r="535" spans="1:23" x14ac:dyDescent="0.25">
      <c r="A535" t="s">
        <v>4839</v>
      </c>
      <c r="B535" t="s">
        <v>2566</v>
      </c>
      <c r="C535" t="s">
        <v>2565</v>
      </c>
      <c r="D535" t="s">
        <v>4479</v>
      </c>
      <c r="E535" t="s">
        <v>4201</v>
      </c>
      <c r="F535" t="s">
        <v>784</v>
      </c>
      <c r="G535" t="s">
        <v>1406</v>
      </c>
      <c r="H535" s="6">
        <v>46022</v>
      </c>
      <c r="I535" t="s">
        <v>29</v>
      </c>
      <c r="J535">
        <v>1</v>
      </c>
      <c r="K535">
        <v>0</v>
      </c>
      <c r="L535">
        <v>0</v>
      </c>
      <c r="M535">
        <v>0</v>
      </c>
      <c r="N535" t="s">
        <v>3915</v>
      </c>
      <c r="O535" t="s">
        <v>3915</v>
      </c>
      <c r="P535" t="s">
        <v>3915</v>
      </c>
      <c r="Q535">
        <v>0</v>
      </c>
      <c r="R535" t="s">
        <v>30</v>
      </c>
      <c r="S535">
        <v>0</v>
      </c>
      <c r="T535">
        <v>0</v>
      </c>
      <c r="U535" t="s">
        <v>3915</v>
      </c>
      <c r="V535" t="s">
        <v>31</v>
      </c>
      <c r="W535">
        <v>0</v>
      </c>
    </row>
    <row r="536" spans="1:23" x14ac:dyDescent="0.25">
      <c r="A536" t="s">
        <v>3992</v>
      </c>
      <c r="B536" t="s">
        <v>2612</v>
      </c>
      <c r="C536" t="s">
        <v>2611</v>
      </c>
      <c r="D536" t="s">
        <v>4479</v>
      </c>
      <c r="E536" t="s">
        <v>4201</v>
      </c>
      <c r="F536" t="s">
        <v>784</v>
      </c>
      <c r="G536" t="s">
        <v>1406</v>
      </c>
      <c r="H536" s="6">
        <v>46022</v>
      </c>
      <c r="I536" t="s">
        <v>29</v>
      </c>
      <c r="J536">
        <v>6</v>
      </c>
      <c r="K536">
        <v>0</v>
      </c>
      <c r="L536">
        <v>0</v>
      </c>
      <c r="M536">
        <v>0</v>
      </c>
      <c r="N536" t="s">
        <v>3915</v>
      </c>
      <c r="O536" t="s">
        <v>3915</v>
      </c>
      <c r="P536" t="s">
        <v>3915</v>
      </c>
      <c r="Q536">
        <v>0</v>
      </c>
      <c r="R536" t="s">
        <v>30</v>
      </c>
      <c r="S536">
        <v>0</v>
      </c>
      <c r="T536">
        <v>0</v>
      </c>
      <c r="U536" t="s">
        <v>3915</v>
      </c>
      <c r="V536" t="s">
        <v>31</v>
      </c>
      <c r="W536">
        <v>0</v>
      </c>
    </row>
    <row r="537" spans="1:23" x14ac:dyDescent="0.25">
      <c r="A537" t="s">
        <v>10231</v>
      </c>
      <c r="B537" t="s">
        <v>2620</v>
      </c>
      <c r="C537" t="s">
        <v>2619</v>
      </c>
      <c r="D537" t="s">
        <v>4479</v>
      </c>
      <c r="E537" t="s">
        <v>4201</v>
      </c>
      <c r="F537" t="s">
        <v>784</v>
      </c>
      <c r="G537" t="s">
        <v>1406</v>
      </c>
      <c r="H537" s="6">
        <v>46022</v>
      </c>
      <c r="I537" t="s">
        <v>29</v>
      </c>
      <c r="J537">
        <v>0</v>
      </c>
      <c r="K537">
        <v>0</v>
      </c>
      <c r="L537">
        <v>0</v>
      </c>
      <c r="M537">
        <v>0</v>
      </c>
      <c r="N537" t="s">
        <v>3915</v>
      </c>
      <c r="O537" t="s">
        <v>3915</v>
      </c>
      <c r="P537" t="s">
        <v>3915</v>
      </c>
      <c r="Q537">
        <v>0</v>
      </c>
      <c r="R537" t="s">
        <v>30</v>
      </c>
      <c r="S537">
        <v>0</v>
      </c>
      <c r="T537">
        <v>0</v>
      </c>
      <c r="U537" t="s">
        <v>3915</v>
      </c>
      <c r="V537" t="s">
        <v>31</v>
      </c>
      <c r="W537">
        <v>0</v>
      </c>
    </row>
    <row r="538" spans="1:23" x14ac:dyDescent="0.25">
      <c r="A538" t="s">
        <v>10232</v>
      </c>
      <c r="B538" t="s">
        <v>2628</v>
      </c>
      <c r="C538" t="s">
        <v>2627</v>
      </c>
      <c r="D538" t="s">
        <v>4479</v>
      </c>
      <c r="E538" t="s">
        <v>4201</v>
      </c>
      <c r="F538" t="s">
        <v>784</v>
      </c>
      <c r="G538" t="s">
        <v>1406</v>
      </c>
      <c r="H538" s="6">
        <v>46022</v>
      </c>
      <c r="I538" t="s">
        <v>29</v>
      </c>
      <c r="J538">
        <v>0</v>
      </c>
      <c r="K538">
        <v>0</v>
      </c>
      <c r="L538">
        <v>0</v>
      </c>
      <c r="M538">
        <v>0</v>
      </c>
      <c r="N538" t="s">
        <v>3915</v>
      </c>
      <c r="O538" t="s">
        <v>3915</v>
      </c>
      <c r="P538" t="s">
        <v>3915</v>
      </c>
      <c r="Q538">
        <v>0</v>
      </c>
      <c r="R538" t="s">
        <v>30</v>
      </c>
      <c r="S538">
        <v>0</v>
      </c>
      <c r="T538">
        <v>0</v>
      </c>
      <c r="U538" t="s">
        <v>3915</v>
      </c>
      <c r="V538" t="s">
        <v>31</v>
      </c>
      <c r="W538">
        <v>0</v>
      </c>
    </row>
    <row r="539" spans="1:23" x14ac:dyDescent="0.25">
      <c r="A539" t="s">
        <v>1394</v>
      </c>
      <c r="B539" t="s">
        <v>2630</v>
      </c>
      <c r="C539" t="s">
        <v>2629</v>
      </c>
      <c r="D539" t="s">
        <v>4479</v>
      </c>
      <c r="E539" t="s">
        <v>4201</v>
      </c>
      <c r="F539" t="s">
        <v>784</v>
      </c>
      <c r="G539" t="s">
        <v>1406</v>
      </c>
      <c r="H539" s="6">
        <v>46022</v>
      </c>
      <c r="I539" t="s">
        <v>29</v>
      </c>
      <c r="J539">
        <v>0</v>
      </c>
      <c r="K539">
        <v>0</v>
      </c>
      <c r="L539">
        <v>0</v>
      </c>
      <c r="M539">
        <v>0</v>
      </c>
      <c r="N539" t="s">
        <v>3915</v>
      </c>
      <c r="O539" t="s">
        <v>3915</v>
      </c>
      <c r="P539" t="s">
        <v>3915</v>
      </c>
      <c r="Q539">
        <v>0</v>
      </c>
      <c r="R539" t="s">
        <v>30</v>
      </c>
      <c r="S539">
        <v>0</v>
      </c>
      <c r="T539">
        <v>0</v>
      </c>
      <c r="U539" t="s">
        <v>3915</v>
      </c>
      <c r="V539" t="s">
        <v>31</v>
      </c>
      <c r="W539">
        <v>0</v>
      </c>
    </row>
    <row r="540" spans="1:23" x14ac:dyDescent="0.25">
      <c r="A540" t="s">
        <v>4840</v>
      </c>
      <c r="B540" t="s">
        <v>2632</v>
      </c>
      <c r="C540" t="s">
        <v>2631</v>
      </c>
      <c r="D540" t="s">
        <v>4479</v>
      </c>
      <c r="E540" t="s">
        <v>4201</v>
      </c>
      <c r="F540" t="s">
        <v>784</v>
      </c>
      <c r="G540" t="s">
        <v>1406</v>
      </c>
      <c r="H540" s="6">
        <v>46022</v>
      </c>
      <c r="I540" t="s">
        <v>29</v>
      </c>
      <c r="J540">
        <v>0</v>
      </c>
      <c r="K540">
        <v>0</v>
      </c>
      <c r="L540">
        <v>0</v>
      </c>
      <c r="M540">
        <v>0</v>
      </c>
      <c r="N540" t="s">
        <v>3915</v>
      </c>
      <c r="O540" t="s">
        <v>3915</v>
      </c>
      <c r="P540" t="s">
        <v>3915</v>
      </c>
      <c r="Q540">
        <v>0</v>
      </c>
      <c r="R540" t="s">
        <v>30</v>
      </c>
      <c r="S540">
        <v>0</v>
      </c>
      <c r="T540">
        <v>0</v>
      </c>
      <c r="U540" t="s">
        <v>3915</v>
      </c>
      <c r="V540" t="s">
        <v>31</v>
      </c>
      <c r="W540">
        <v>0</v>
      </c>
    </row>
    <row r="541" spans="1:23" x14ac:dyDescent="0.25">
      <c r="A541" t="s">
        <v>4408</v>
      </c>
      <c r="B541" t="s">
        <v>2650</v>
      </c>
      <c r="C541" t="s">
        <v>2649</v>
      </c>
      <c r="D541" t="s">
        <v>4479</v>
      </c>
      <c r="E541" t="s">
        <v>4201</v>
      </c>
      <c r="F541" t="s">
        <v>784</v>
      </c>
      <c r="G541" t="s">
        <v>1406</v>
      </c>
      <c r="H541" s="6">
        <v>46022</v>
      </c>
      <c r="I541" t="s">
        <v>29</v>
      </c>
      <c r="J541">
        <v>0</v>
      </c>
      <c r="K541">
        <v>0</v>
      </c>
      <c r="L541">
        <v>0</v>
      </c>
      <c r="M541">
        <v>0</v>
      </c>
      <c r="N541" t="s">
        <v>3915</v>
      </c>
      <c r="O541" t="s">
        <v>3915</v>
      </c>
      <c r="P541" t="s">
        <v>3915</v>
      </c>
      <c r="Q541">
        <v>0</v>
      </c>
      <c r="R541" t="s">
        <v>30</v>
      </c>
      <c r="S541">
        <v>0</v>
      </c>
      <c r="T541">
        <v>0</v>
      </c>
      <c r="U541" t="s">
        <v>3915</v>
      </c>
      <c r="V541" t="s">
        <v>31</v>
      </c>
      <c r="W541">
        <v>0</v>
      </c>
    </row>
    <row r="542" spans="1:23" x14ac:dyDescent="0.25">
      <c r="A542" t="s">
        <v>4841</v>
      </c>
      <c r="B542" t="s">
        <v>2652</v>
      </c>
      <c r="C542" t="s">
        <v>2651</v>
      </c>
      <c r="D542" t="s">
        <v>4479</v>
      </c>
      <c r="E542" t="s">
        <v>4201</v>
      </c>
      <c r="F542" t="s">
        <v>784</v>
      </c>
      <c r="G542" t="s">
        <v>1406</v>
      </c>
      <c r="H542" s="6">
        <v>46022</v>
      </c>
      <c r="I542" t="s">
        <v>29</v>
      </c>
      <c r="J542">
        <v>0</v>
      </c>
      <c r="K542">
        <v>0</v>
      </c>
      <c r="L542">
        <v>0</v>
      </c>
      <c r="M542">
        <v>0</v>
      </c>
      <c r="N542" t="s">
        <v>3915</v>
      </c>
      <c r="O542" t="s">
        <v>3915</v>
      </c>
      <c r="P542" t="s">
        <v>3915</v>
      </c>
      <c r="Q542">
        <v>0</v>
      </c>
      <c r="R542" t="s">
        <v>30</v>
      </c>
      <c r="S542">
        <v>0</v>
      </c>
      <c r="T542">
        <v>0</v>
      </c>
      <c r="U542" t="s">
        <v>3915</v>
      </c>
      <c r="V542" t="s">
        <v>31</v>
      </c>
      <c r="W542">
        <v>0</v>
      </c>
    </row>
    <row r="543" spans="1:23" x14ac:dyDescent="0.25">
      <c r="A543" t="s">
        <v>5370</v>
      </c>
      <c r="B543" t="s">
        <v>2656</v>
      </c>
      <c r="C543" t="s">
        <v>2655</v>
      </c>
      <c r="D543" t="s">
        <v>4479</v>
      </c>
      <c r="E543" t="s">
        <v>4201</v>
      </c>
      <c r="F543" t="s">
        <v>784</v>
      </c>
      <c r="G543" t="s">
        <v>1406</v>
      </c>
      <c r="H543" s="6">
        <v>46022</v>
      </c>
      <c r="I543" t="s">
        <v>29</v>
      </c>
      <c r="J543">
        <v>0</v>
      </c>
      <c r="K543">
        <v>0</v>
      </c>
      <c r="L543">
        <v>0</v>
      </c>
      <c r="M543">
        <v>0</v>
      </c>
      <c r="N543" t="s">
        <v>3915</v>
      </c>
      <c r="O543" t="s">
        <v>3915</v>
      </c>
      <c r="P543" t="s">
        <v>3915</v>
      </c>
      <c r="Q543">
        <v>0</v>
      </c>
      <c r="R543" t="s">
        <v>30</v>
      </c>
      <c r="S543">
        <v>0</v>
      </c>
      <c r="T543">
        <v>0</v>
      </c>
      <c r="U543" t="s">
        <v>3915</v>
      </c>
      <c r="V543" t="s">
        <v>31</v>
      </c>
      <c r="W543">
        <v>0</v>
      </c>
    </row>
    <row r="544" spans="1:23" x14ac:dyDescent="0.25">
      <c r="A544" t="s">
        <v>4842</v>
      </c>
      <c r="B544" t="s">
        <v>2660</v>
      </c>
      <c r="C544" t="s">
        <v>2659</v>
      </c>
      <c r="D544" t="s">
        <v>4479</v>
      </c>
      <c r="E544" t="s">
        <v>4201</v>
      </c>
      <c r="F544" t="s">
        <v>784</v>
      </c>
      <c r="G544" t="s">
        <v>1406</v>
      </c>
      <c r="H544" s="6">
        <v>46022</v>
      </c>
      <c r="I544" t="s">
        <v>29</v>
      </c>
      <c r="J544">
        <v>0</v>
      </c>
      <c r="K544">
        <v>0</v>
      </c>
      <c r="L544">
        <v>0</v>
      </c>
      <c r="M544">
        <v>0</v>
      </c>
      <c r="N544" t="s">
        <v>3915</v>
      </c>
      <c r="O544" t="s">
        <v>3915</v>
      </c>
      <c r="P544" t="s">
        <v>3915</v>
      </c>
      <c r="Q544">
        <v>0</v>
      </c>
      <c r="R544" t="s">
        <v>30</v>
      </c>
      <c r="S544">
        <v>0</v>
      </c>
      <c r="T544">
        <v>0</v>
      </c>
      <c r="U544" t="s">
        <v>3915</v>
      </c>
      <c r="V544" t="s">
        <v>31</v>
      </c>
      <c r="W544">
        <v>0</v>
      </c>
    </row>
    <row r="545" spans="1:23" x14ac:dyDescent="0.25">
      <c r="A545" t="s">
        <v>5121</v>
      </c>
      <c r="B545" t="s">
        <v>2662</v>
      </c>
      <c r="C545" t="s">
        <v>2661</v>
      </c>
      <c r="D545" t="s">
        <v>4479</v>
      </c>
      <c r="E545" t="s">
        <v>4201</v>
      </c>
      <c r="F545" t="s">
        <v>784</v>
      </c>
      <c r="G545" t="s">
        <v>1406</v>
      </c>
      <c r="H545" s="6">
        <v>46022</v>
      </c>
      <c r="I545" t="s">
        <v>29</v>
      </c>
      <c r="J545">
        <v>0</v>
      </c>
      <c r="K545">
        <v>0</v>
      </c>
      <c r="L545">
        <v>0</v>
      </c>
      <c r="M545">
        <v>0</v>
      </c>
      <c r="N545" t="s">
        <v>3915</v>
      </c>
      <c r="O545" t="s">
        <v>3915</v>
      </c>
      <c r="P545" t="s">
        <v>3915</v>
      </c>
      <c r="Q545">
        <v>0</v>
      </c>
      <c r="R545" t="s">
        <v>30</v>
      </c>
      <c r="S545">
        <v>0</v>
      </c>
      <c r="T545">
        <v>0</v>
      </c>
      <c r="U545" t="s">
        <v>3915</v>
      </c>
      <c r="V545" t="s">
        <v>31</v>
      </c>
      <c r="W545">
        <v>0</v>
      </c>
    </row>
    <row r="546" spans="1:23" x14ac:dyDescent="0.25">
      <c r="A546" t="s">
        <v>4843</v>
      </c>
      <c r="B546" t="s">
        <v>2670</v>
      </c>
      <c r="C546" t="s">
        <v>2669</v>
      </c>
      <c r="D546" t="s">
        <v>4479</v>
      </c>
      <c r="E546" t="s">
        <v>4201</v>
      </c>
      <c r="F546" t="s">
        <v>784</v>
      </c>
      <c r="G546" t="s">
        <v>1406</v>
      </c>
      <c r="H546" s="6">
        <v>46022</v>
      </c>
      <c r="I546" t="s">
        <v>29</v>
      </c>
      <c r="J546">
        <v>0</v>
      </c>
      <c r="K546">
        <v>0</v>
      </c>
      <c r="L546">
        <v>0</v>
      </c>
      <c r="M546">
        <v>0</v>
      </c>
      <c r="N546" t="s">
        <v>3915</v>
      </c>
      <c r="O546" t="s">
        <v>3915</v>
      </c>
      <c r="P546" t="s">
        <v>3915</v>
      </c>
      <c r="Q546">
        <v>0</v>
      </c>
      <c r="R546" t="s">
        <v>30</v>
      </c>
      <c r="S546">
        <v>0</v>
      </c>
      <c r="T546">
        <v>0</v>
      </c>
      <c r="U546" t="s">
        <v>3915</v>
      </c>
      <c r="V546" t="s">
        <v>31</v>
      </c>
      <c r="W546">
        <v>0</v>
      </c>
    </row>
    <row r="547" spans="1:23" x14ac:dyDescent="0.25">
      <c r="A547" t="s">
        <v>10233</v>
      </c>
      <c r="B547" t="s">
        <v>2672</v>
      </c>
      <c r="C547" t="s">
        <v>2671</v>
      </c>
      <c r="D547" t="s">
        <v>4479</v>
      </c>
      <c r="E547" t="s">
        <v>4201</v>
      </c>
      <c r="F547" t="s">
        <v>784</v>
      </c>
      <c r="G547" t="s">
        <v>1406</v>
      </c>
      <c r="H547" s="6">
        <v>46022</v>
      </c>
      <c r="I547" t="s">
        <v>29</v>
      </c>
      <c r="J547">
        <v>0</v>
      </c>
      <c r="K547">
        <v>0</v>
      </c>
      <c r="L547">
        <v>0</v>
      </c>
      <c r="M547">
        <v>0</v>
      </c>
      <c r="N547" t="s">
        <v>3915</v>
      </c>
      <c r="O547" t="s">
        <v>3915</v>
      </c>
      <c r="P547" t="s">
        <v>3915</v>
      </c>
      <c r="Q547">
        <v>0</v>
      </c>
      <c r="R547" t="s">
        <v>30</v>
      </c>
      <c r="S547">
        <v>0</v>
      </c>
      <c r="T547">
        <v>0</v>
      </c>
      <c r="U547" t="s">
        <v>3915</v>
      </c>
      <c r="V547" t="s">
        <v>31</v>
      </c>
      <c r="W547">
        <v>0</v>
      </c>
    </row>
    <row r="548" spans="1:23" x14ac:dyDescent="0.25">
      <c r="A548" t="s">
        <v>4123</v>
      </c>
      <c r="B548" t="s">
        <v>3590</v>
      </c>
      <c r="C548" t="s">
        <v>3589</v>
      </c>
      <c r="D548" t="s">
        <v>4479</v>
      </c>
      <c r="E548" t="s">
        <v>4201</v>
      </c>
      <c r="F548" t="s">
        <v>784</v>
      </c>
      <c r="G548" t="s">
        <v>1406</v>
      </c>
      <c r="H548" s="6">
        <v>46022</v>
      </c>
      <c r="I548" t="s">
        <v>29</v>
      </c>
      <c r="J548">
        <v>4</v>
      </c>
      <c r="K548">
        <v>0</v>
      </c>
      <c r="L548">
        <v>0</v>
      </c>
      <c r="M548">
        <v>0</v>
      </c>
      <c r="N548" t="s">
        <v>3915</v>
      </c>
      <c r="O548" t="s">
        <v>3915</v>
      </c>
      <c r="P548" t="s">
        <v>3915</v>
      </c>
      <c r="Q548">
        <v>0</v>
      </c>
      <c r="R548" t="s">
        <v>30</v>
      </c>
      <c r="S548">
        <v>0</v>
      </c>
      <c r="T548">
        <v>0</v>
      </c>
      <c r="U548" t="s">
        <v>3915</v>
      </c>
      <c r="V548" t="s">
        <v>31</v>
      </c>
      <c r="W548">
        <v>0</v>
      </c>
    </row>
    <row r="549" spans="1:23" x14ac:dyDescent="0.25">
      <c r="A549" t="s">
        <v>10234</v>
      </c>
      <c r="B549" t="s">
        <v>2698</v>
      </c>
      <c r="C549" t="s">
        <v>2697</v>
      </c>
      <c r="D549" t="s">
        <v>4479</v>
      </c>
      <c r="E549" t="s">
        <v>4201</v>
      </c>
      <c r="F549" t="s">
        <v>784</v>
      </c>
      <c r="G549" t="s">
        <v>1406</v>
      </c>
      <c r="H549" s="6">
        <v>46022</v>
      </c>
      <c r="I549" t="s">
        <v>29</v>
      </c>
      <c r="J549">
        <v>0</v>
      </c>
      <c r="K549">
        <v>0</v>
      </c>
      <c r="L549">
        <v>0</v>
      </c>
      <c r="M549">
        <v>0</v>
      </c>
      <c r="N549" t="s">
        <v>3915</v>
      </c>
      <c r="O549" t="s">
        <v>3915</v>
      </c>
      <c r="P549" t="s">
        <v>3915</v>
      </c>
      <c r="Q549">
        <v>0</v>
      </c>
      <c r="R549" t="s">
        <v>30</v>
      </c>
      <c r="S549">
        <v>0</v>
      </c>
      <c r="T549">
        <v>0</v>
      </c>
      <c r="U549" t="s">
        <v>3915</v>
      </c>
      <c r="V549" t="s">
        <v>31</v>
      </c>
      <c r="W549">
        <v>0</v>
      </c>
    </row>
    <row r="550" spans="1:23" x14ac:dyDescent="0.25">
      <c r="A550" t="s">
        <v>10235</v>
      </c>
      <c r="B550" t="s">
        <v>2704</v>
      </c>
      <c r="C550" t="s">
        <v>2703</v>
      </c>
      <c r="D550" t="s">
        <v>4479</v>
      </c>
      <c r="E550" t="s">
        <v>4201</v>
      </c>
      <c r="F550" t="s">
        <v>784</v>
      </c>
      <c r="G550" t="s">
        <v>1406</v>
      </c>
      <c r="H550" s="6">
        <v>46022</v>
      </c>
      <c r="I550" t="s">
        <v>29</v>
      </c>
      <c r="J550">
        <v>0</v>
      </c>
      <c r="K550">
        <v>0</v>
      </c>
      <c r="L550">
        <v>0</v>
      </c>
      <c r="M550">
        <v>0</v>
      </c>
      <c r="N550" t="s">
        <v>3915</v>
      </c>
      <c r="O550" t="s">
        <v>3915</v>
      </c>
      <c r="P550" t="s">
        <v>3915</v>
      </c>
      <c r="Q550">
        <v>0</v>
      </c>
      <c r="R550" t="s">
        <v>30</v>
      </c>
      <c r="S550">
        <v>0</v>
      </c>
      <c r="T550">
        <v>0</v>
      </c>
      <c r="U550" t="s">
        <v>3915</v>
      </c>
      <c r="V550" t="s">
        <v>31</v>
      </c>
      <c r="W550">
        <v>0</v>
      </c>
    </row>
    <row r="551" spans="1:23" x14ac:dyDescent="0.25">
      <c r="A551" t="s">
        <v>4365</v>
      </c>
      <c r="B551" t="s">
        <v>2708</v>
      </c>
      <c r="C551" t="s">
        <v>2707</v>
      </c>
      <c r="D551" t="s">
        <v>4479</v>
      </c>
      <c r="E551" t="s">
        <v>4201</v>
      </c>
      <c r="F551" t="s">
        <v>784</v>
      </c>
      <c r="G551" t="s">
        <v>1406</v>
      </c>
      <c r="H551" s="6">
        <v>46022</v>
      </c>
      <c r="I551" t="s">
        <v>29</v>
      </c>
      <c r="J551">
        <v>0</v>
      </c>
      <c r="K551">
        <v>0</v>
      </c>
      <c r="L551">
        <v>0</v>
      </c>
      <c r="M551">
        <v>0</v>
      </c>
      <c r="N551" t="s">
        <v>3915</v>
      </c>
      <c r="O551" t="s">
        <v>3915</v>
      </c>
      <c r="P551" t="s">
        <v>3915</v>
      </c>
      <c r="Q551">
        <v>0</v>
      </c>
      <c r="R551" t="s">
        <v>30</v>
      </c>
      <c r="S551">
        <v>0</v>
      </c>
      <c r="T551">
        <v>0</v>
      </c>
      <c r="U551" t="s">
        <v>3915</v>
      </c>
      <c r="V551" t="s">
        <v>31</v>
      </c>
      <c r="W551">
        <v>0</v>
      </c>
    </row>
    <row r="552" spans="1:23" x14ac:dyDescent="0.25">
      <c r="A552" t="s">
        <v>4844</v>
      </c>
      <c r="B552" t="s">
        <v>2714</v>
      </c>
      <c r="C552" t="s">
        <v>2713</v>
      </c>
      <c r="D552" t="s">
        <v>4479</v>
      </c>
      <c r="E552" t="s">
        <v>4201</v>
      </c>
      <c r="F552" t="s">
        <v>784</v>
      </c>
      <c r="G552" t="s">
        <v>1406</v>
      </c>
      <c r="H552" s="6">
        <v>46022</v>
      </c>
      <c r="I552" t="s">
        <v>29</v>
      </c>
      <c r="J552">
        <v>0</v>
      </c>
      <c r="K552">
        <v>0</v>
      </c>
      <c r="L552">
        <v>0</v>
      </c>
      <c r="M552">
        <v>0</v>
      </c>
      <c r="N552" t="s">
        <v>3915</v>
      </c>
      <c r="O552" t="s">
        <v>3915</v>
      </c>
      <c r="P552" t="s">
        <v>3915</v>
      </c>
      <c r="Q552">
        <v>0</v>
      </c>
      <c r="R552" t="s">
        <v>30</v>
      </c>
      <c r="S552">
        <v>0</v>
      </c>
      <c r="T552">
        <v>0</v>
      </c>
      <c r="U552" t="s">
        <v>3915</v>
      </c>
      <c r="V552" t="s">
        <v>31</v>
      </c>
      <c r="W552">
        <v>0</v>
      </c>
    </row>
    <row r="553" spans="1:23" x14ac:dyDescent="0.25">
      <c r="A553" t="s">
        <v>4845</v>
      </c>
      <c r="B553" t="s">
        <v>2718</v>
      </c>
      <c r="C553" t="s">
        <v>2717</v>
      </c>
      <c r="D553" t="s">
        <v>4479</v>
      </c>
      <c r="E553" t="s">
        <v>4201</v>
      </c>
      <c r="F553" t="s">
        <v>784</v>
      </c>
      <c r="G553" t="s">
        <v>1406</v>
      </c>
      <c r="H553" s="6">
        <v>46022</v>
      </c>
      <c r="I553" t="s">
        <v>29</v>
      </c>
      <c r="J553">
        <v>0</v>
      </c>
      <c r="K553">
        <v>0</v>
      </c>
      <c r="L553">
        <v>0</v>
      </c>
      <c r="M553">
        <v>0</v>
      </c>
      <c r="N553" t="s">
        <v>3915</v>
      </c>
      <c r="O553" t="s">
        <v>3915</v>
      </c>
      <c r="P553" t="s">
        <v>3915</v>
      </c>
      <c r="Q553">
        <v>0</v>
      </c>
      <c r="R553" t="s">
        <v>30</v>
      </c>
      <c r="S553">
        <v>0</v>
      </c>
      <c r="T553">
        <v>0</v>
      </c>
      <c r="U553" t="s">
        <v>3915</v>
      </c>
      <c r="V553" t="s">
        <v>31</v>
      </c>
      <c r="W553">
        <v>0</v>
      </c>
    </row>
    <row r="554" spans="1:23" x14ac:dyDescent="0.25">
      <c r="A554" t="s">
        <v>4846</v>
      </c>
      <c r="B554" t="s">
        <v>2726</v>
      </c>
      <c r="C554" t="s">
        <v>2725</v>
      </c>
      <c r="D554" t="s">
        <v>4479</v>
      </c>
      <c r="E554" t="s">
        <v>4201</v>
      </c>
      <c r="F554" t="s">
        <v>784</v>
      </c>
      <c r="G554" t="s">
        <v>1406</v>
      </c>
      <c r="H554" s="6">
        <v>46022</v>
      </c>
      <c r="I554" t="s">
        <v>29</v>
      </c>
      <c r="J554">
        <v>0</v>
      </c>
      <c r="K554">
        <v>0</v>
      </c>
      <c r="L554">
        <v>0</v>
      </c>
      <c r="M554">
        <v>0</v>
      </c>
      <c r="N554" t="s">
        <v>3915</v>
      </c>
      <c r="O554" t="s">
        <v>3915</v>
      </c>
      <c r="P554" t="s">
        <v>3915</v>
      </c>
      <c r="Q554">
        <v>0</v>
      </c>
      <c r="R554" t="s">
        <v>30</v>
      </c>
      <c r="S554">
        <v>0</v>
      </c>
      <c r="T554">
        <v>0</v>
      </c>
      <c r="U554" t="s">
        <v>3915</v>
      </c>
      <c r="V554" t="s">
        <v>31</v>
      </c>
      <c r="W554">
        <v>0</v>
      </c>
    </row>
    <row r="555" spans="1:23" x14ac:dyDescent="0.25">
      <c r="A555" t="s">
        <v>4847</v>
      </c>
      <c r="B555" t="s">
        <v>2728</v>
      </c>
      <c r="C555" t="s">
        <v>2727</v>
      </c>
      <c r="D555" t="s">
        <v>4479</v>
      </c>
      <c r="E555" t="s">
        <v>4201</v>
      </c>
      <c r="F555" t="s">
        <v>784</v>
      </c>
      <c r="G555" t="s">
        <v>1406</v>
      </c>
      <c r="H555" s="6">
        <v>46022</v>
      </c>
      <c r="I555" t="s">
        <v>29</v>
      </c>
      <c r="J555">
        <v>0</v>
      </c>
      <c r="K555">
        <v>0</v>
      </c>
      <c r="L555">
        <v>0</v>
      </c>
      <c r="M555">
        <v>0</v>
      </c>
      <c r="N555" t="s">
        <v>3915</v>
      </c>
      <c r="O555" t="s">
        <v>3915</v>
      </c>
      <c r="P555" t="s">
        <v>3915</v>
      </c>
      <c r="Q555">
        <v>0</v>
      </c>
      <c r="R555" t="s">
        <v>30</v>
      </c>
      <c r="S555">
        <v>0</v>
      </c>
      <c r="T555">
        <v>0</v>
      </c>
      <c r="U555" t="s">
        <v>3915</v>
      </c>
      <c r="V555" t="s">
        <v>31</v>
      </c>
      <c r="W555">
        <v>0</v>
      </c>
    </row>
    <row r="556" spans="1:23" x14ac:dyDescent="0.25">
      <c r="A556" t="s">
        <v>5272</v>
      </c>
      <c r="B556" t="s">
        <v>2738</v>
      </c>
      <c r="C556" t="s">
        <v>2737</v>
      </c>
      <c r="D556" t="s">
        <v>4479</v>
      </c>
      <c r="E556" t="s">
        <v>4201</v>
      </c>
      <c r="F556" t="s">
        <v>784</v>
      </c>
      <c r="G556" t="s">
        <v>1406</v>
      </c>
      <c r="H556" s="6">
        <v>46022</v>
      </c>
      <c r="I556" t="s">
        <v>29</v>
      </c>
      <c r="J556">
        <v>0</v>
      </c>
      <c r="K556">
        <v>0</v>
      </c>
      <c r="L556">
        <v>0</v>
      </c>
      <c r="M556">
        <v>0</v>
      </c>
      <c r="N556" t="s">
        <v>3915</v>
      </c>
      <c r="O556" t="s">
        <v>3915</v>
      </c>
      <c r="P556" t="s">
        <v>3915</v>
      </c>
      <c r="Q556">
        <v>0</v>
      </c>
      <c r="R556" t="s">
        <v>30</v>
      </c>
      <c r="S556">
        <v>0</v>
      </c>
      <c r="T556">
        <v>0</v>
      </c>
      <c r="U556" t="s">
        <v>3915</v>
      </c>
      <c r="V556" t="s">
        <v>31</v>
      </c>
      <c r="W556">
        <v>0</v>
      </c>
    </row>
    <row r="557" spans="1:23" x14ac:dyDescent="0.25">
      <c r="A557" t="s">
        <v>10208</v>
      </c>
      <c r="B557" t="s">
        <v>2740</v>
      </c>
      <c r="C557" t="s">
        <v>2739</v>
      </c>
      <c r="D557" t="s">
        <v>4479</v>
      </c>
      <c r="E557" t="s">
        <v>4201</v>
      </c>
      <c r="F557" t="s">
        <v>784</v>
      </c>
      <c r="G557" t="s">
        <v>1406</v>
      </c>
      <c r="H557" s="6">
        <v>46022</v>
      </c>
      <c r="I557" t="s">
        <v>29</v>
      </c>
      <c r="J557">
        <v>0</v>
      </c>
      <c r="K557">
        <v>0</v>
      </c>
      <c r="L557">
        <v>0</v>
      </c>
      <c r="M557">
        <v>0</v>
      </c>
      <c r="N557" t="s">
        <v>3915</v>
      </c>
      <c r="O557" t="s">
        <v>3915</v>
      </c>
      <c r="P557" t="s">
        <v>3915</v>
      </c>
      <c r="Q557">
        <v>0</v>
      </c>
      <c r="R557" t="s">
        <v>30</v>
      </c>
      <c r="S557">
        <v>0</v>
      </c>
      <c r="T557">
        <v>0</v>
      </c>
      <c r="U557" t="s">
        <v>3915</v>
      </c>
      <c r="V557" t="s">
        <v>31</v>
      </c>
      <c r="W557">
        <v>0</v>
      </c>
    </row>
    <row r="558" spans="1:23" x14ac:dyDescent="0.25">
      <c r="A558" t="s">
        <v>10278</v>
      </c>
      <c r="B558" t="s">
        <v>2748</v>
      </c>
      <c r="C558" t="s">
        <v>2747</v>
      </c>
      <c r="D558" t="s">
        <v>4479</v>
      </c>
      <c r="E558" t="s">
        <v>4201</v>
      </c>
      <c r="F558" t="s">
        <v>784</v>
      </c>
      <c r="G558" t="s">
        <v>1406</v>
      </c>
      <c r="H558" s="6">
        <v>46022</v>
      </c>
      <c r="I558" t="s">
        <v>29</v>
      </c>
      <c r="J558">
        <v>0</v>
      </c>
      <c r="K558">
        <v>0</v>
      </c>
      <c r="L558">
        <v>0</v>
      </c>
      <c r="M558">
        <v>0</v>
      </c>
      <c r="N558" t="s">
        <v>3915</v>
      </c>
      <c r="O558" t="s">
        <v>3915</v>
      </c>
      <c r="P558" t="s">
        <v>3915</v>
      </c>
      <c r="Q558">
        <v>0</v>
      </c>
      <c r="R558" t="s">
        <v>30</v>
      </c>
      <c r="S558">
        <v>0</v>
      </c>
      <c r="T558">
        <v>0</v>
      </c>
      <c r="U558" t="s">
        <v>3915</v>
      </c>
      <c r="V558" t="s">
        <v>31</v>
      </c>
      <c r="W558">
        <v>0</v>
      </c>
    </row>
    <row r="559" spans="1:23" x14ac:dyDescent="0.25">
      <c r="A559" t="s">
        <v>4848</v>
      </c>
      <c r="B559" t="s">
        <v>3592</v>
      </c>
      <c r="C559" t="s">
        <v>3591</v>
      </c>
      <c r="D559" t="s">
        <v>4479</v>
      </c>
      <c r="E559" t="s">
        <v>4305</v>
      </c>
      <c r="F559" t="s">
        <v>791</v>
      </c>
      <c r="G559" t="s">
        <v>1406</v>
      </c>
      <c r="H559" s="6">
        <v>46022</v>
      </c>
      <c r="I559" t="s">
        <v>29</v>
      </c>
      <c r="J559">
        <v>1</v>
      </c>
      <c r="K559">
        <v>0</v>
      </c>
      <c r="L559">
        <v>0</v>
      </c>
      <c r="M559">
        <v>0</v>
      </c>
      <c r="N559" t="s">
        <v>3915</v>
      </c>
      <c r="O559" t="s">
        <v>3915</v>
      </c>
      <c r="P559" t="s">
        <v>3915</v>
      </c>
      <c r="Q559">
        <v>0</v>
      </c>
      <c r="R559" t="s">
        <v>30</v>
      </c>
      <c r="S559">
        <v>0</v>
      </c>
      <c r="T559">
        <v>0</v>
      </c>
      <c r="U559" t="s">
        <v>3915</v>
      </c>
      <c r="V559" t="s">
        <v>31</v>
      </c>
      <c r="W559">
        <v>0</v>
      </c>
    </row>
    <row r="560" spans="1:23" x14ac:dyDescent="0.25">
      <c r="A560" t="s">
        <v>10326</v>
      </c>
      <c r="B560" t="s">
        <v>796</v>
      </c>
      <c r="C560" t="s">
        <v>797</v>
      </c>
      <c r="D560" t="s">
        <v>4479</v>
      </c>
      <c r="E560" t="s">
        <v>4305</v>
      </c>
      <c r="F560" t="s">
        <v>791</v>
      </c>
      <c r="G560" t="s">
        <v>1406</v>
      </c>
      <c r="H560" s="6">
        <v>46022</v>
      </c>
      <c r="I560" t="s">
        <v>29</v>
      </c>
      <c r="J560">
        <v>0</v>
      </c>
      <c r="K560">
        <v>0</v>
      </c>
      <c r="L560">
        <v>0</v>
      </c>
      <c r="M560">
        <v>0</v>
      </c>
      <c r="N560" t="s">
        <v>3915</v>
      </c>
      <c r="O560" t="s">
        <v>3915</v>
      </c>
      <c r="P560" t="s">
        <v>3915</v>
      </c>
      <c r="Q560">
        <v>0</v>
      </c>
      <c r="R560" t="s">
        <v>30</v>
      </c>
      <c r="S560">
        <v>0</v>
      </c>
      <c r="T560">
        <v>0</v>
      </c>
      <c r="U560" t="s">
        <v>3915</v>
      </c>
      <c r="V560" t="s">
        <v>31</v>
      </c>
      <c r="W560">
        <v>0</v>
      </c>
    </row>
    <row r="561" spans="1:23" x14ac:dyDescent="0.25">
      <c r="A561" t="s">
        <v>10279</v>
      </c>
      <c r="B561" t="s">
        <v>798</v>
      </c>
      <c r="C561" t="s">
        <v>799</v>
      </c>
      <c r="D561" t="s">
        <v>4479</v>
      </c>
      <c r="E561" t="s">
        <v>4305</v>
      </c>
      <c r="F561" t="s">
        <v>791</v>
      </c>
      <c r="G561" t="s">
        <v>1406</v>
      </c>
      <c r="H561" s="6">
        <v>46022</v>
      </c>
      <c r="I561" t="s">
        <v>29</v>
      </c>
      <c r="J561">
        <v>0</v>
      </c>
      <c r="K561">
        <v>0</v>
      </c>
      <c r="L561">
        <v>0</v>
      </c>
      <c r="M561">
        <v>0</v>
      </c>
      <c r="N561" t="s">
        <v>3915</v>
      </c>
      <c r="O561" t="s">
        <v>3915</v>
      </c>
      <c r="P561" t="s">
        <v>3915</v>
      </c>
      <c r="Q561">
        <v>0</v>
      </c>
      <c r="R561" t="s">
        <v>30</v>
      </c>
      <c r="S561">
        <v>0</v>
      </c>
      <c r="T561">
        <v>0</v>
      </c>
      <c r="U561" t="s">
        <v>3915</v>
      </c>
      <c r="V561" t="s">
        <v>31</v>
      </c>
      <c r="W561">
        <v>0</v>
      </c>
    </row>
    <row r="562" spans="1:23" x14ac:dyDescent="0.25">
      <c r="A562" t="s">
        <v>4849</v>
      </c>
      <c r="B562" t="s">
        <v>802</v>
      </c>
      <c r="C562" t="s">
        <v>803</v>
      </c>
      <c r="D562" t="s">
        <v>4479</v>
      </c>
      <c r="E562" t="s">
        <v>4305</v>
      </c>
      <c r="F562" t="s">
        <v>791</v>
      </c>
      <c r="G562" t="s">
        <v>1406</v>
      </c>
      <c r="H562" s="6">
        <v>46022</v>
      </c>
      <c r="I562" t="s">
        <v>29</v>
      </c>
      <c r="J562">
        <v>0</v>
      </c>
      <c r="K562">
        <v>0</v>
      </c>
      <c r="L562">
        <v>0</v>
      </c>
      <c r="M562">
        <v>0</v>
      </c>
      <c r="N562" t="s">
        <v>3915</v>
      </c>
      <c r="O562" t="s">
        <v>3915</v>
      </c>
      <c r="P562" t="s">
        <v>3915</v>
      </c>
      <c r="Q562">
        <v>0</v>
      </c>
      <c r="R562" t="s">
        <v>30</v>
      </c>
      <c r="S562">
        <v>0</v>
      </c>
      <c r="T562">
        <v>0</v>
      </c>
      <c r="U562" t="s">
        <v>3915</v>
      </c>
      <c r="V562" t="s">
        <v>31</v>
      </c>
      <c r="W562">
        <v>0</v>
      </c>
    </row>
    <row r="563" spans="1:23" x14ac:dyDescent="0.25">
      <c r="A563" t="s">
        <v>4850</v>
      </c>
      <c r="B563" t="s">
        <v>806</v>
      </c>
      <c r="C563" t="s">
        <v>807</v>
      </c>
      <c r="D563" t="s">
        <v>4479</v>
      </c>
      <c r="E563" t="s">
        <v>4305</v>
      </c>
      <c r="F563" t="s">
        <v>791</v>
      </c>
      <c r="G563" t="s">
        <v>1406</v>
      </c>
      <c r="H563" s="6">
        <v>46022</v>
      </c>
      <c r="I563" t="s">
        <v>29</v>
      </c>
      <c r="J563">
        <v>12</v>
      </c>
      <c r="K563">
        <v>0</v>
      </c>
      <c r="L563">
        <v>0</v>
      </c>
      <c r="M563">
        <v>0</v>
      </c>
      <c r="N563" t="s">
        <v>3915</v>
      </c>
      <c r="O563" t="s">
        <v>3915</v>
      </c>
      <c r="P563" t="s">
        <v>3915</v>
      </c>
      <c r="Q563">
        <v>0</v>
      </c>
      <c r="R563" t="s">
        <v>30</v>
      </c>
      <c r="S563">
        <v>0</v>
      </c>
      <c r="T563">
        <v>0</v>
      </c>
      <c r="U563" t="s">
        <v>3915</v>
      </c>
      <c r="V563" t="s">
        <v>31</v>
      </c>
      <c r="W563">
        <v>0</v>
      </c>
    </row>
    <row r="564" spans="1:23" x14ac:dyDescent="0.25">
      <c r="A564" t="s">
        <v>10209</v>
      </c>
      <c r="B564" t="s">
        <v>828</v>
      </c>
      <c r="C564" t="s">
        <v>829</v>
      </c>
      <c r="D564" t="s">
        <v>4479</v>
      </c>
      <c r="E564" t="s">
        <v>4305</v>
      </c>
      <c r="F564" t="s">
        <v>791</v>
      </c>
      <c r="G564" t="s">
        <v>1406</v>
      </c>
      <c r="H564" s="6">
        <v>46022</v>
      </c>
      <c r="I564" t="s">
        <v>29</v>
      </c>
      <c r="J564">
        <v>0</v>
      </c>
      <c r="K564">
        <v>0</v>
      </c>
      <c r="L564">
        <v>0</v>
      </c>
      <c r="M564">
        <v>0</v>
      </c>
      <c r="N564" t="s">
        <v>3915</v>
      </c>
      <c r="O564" t="s">
        <v>3915</v>
      </c>
      <c r="P564" t="s">
        <v>3915</v>
      </c>
      <c r="Q564">
        <v>0</v>
      </c>
      <c r="R564" t="s">
        <v>30</v>
      </c>
      <c r="S564">
        <v>0</v>
      </c>
      <c r="T564">
        <v>0</v>
      </c>
      <c r="U564" t="s">
        <v>3915</v>
      </c>
      <c r="V564" t="s">
        <v>31</v>
      </c>
      <c r="W564">
        <v>0</v>
      </c>
    </row>
    <row r="565" spans="1:23" x14ac:dyDescent="0.25">
      <c r="A565" t="s">
        <v>4851</v>
      </c>
      <c r="B565" t="s">
        <v>3594</v>
      </c>
      <c r="C565" t="s">
        <v>3593</v>
      </c>
      <c r="D565" t="s">
        <v>4479</v>
      </c>
      <c r="E565" t="s">
        <v>4305</v>
      </c>
      <c r="F565" t="s">
        <v>791</v>
      </c>
      <c r="G565" t="s">
        <v>1406</v>
      </c>
      <c r="H565" s="6">
        <v>46022</v>
      </c>
      <c r="I565" t="s">
        <v>29</v>
      </c>
      <c r="J565">
        <v>30</v>
      </c>
      <c r="K565">
        <v>0</v>
      </c>
      <c r="L565">
        <v>0</v>
      </c>
      <c r="M565">
        <v>0</v>
      </c>
      <c r="N565" t="s">
        <v>3915</v>
      </c>
      <c r="O565" t="s">
        <v>3915</v>
      </c>
      <c r="P565" t="s">
        <v>3915</v>
      </c>
      <c r="Q565">
        <v>0</v>
      </c>
      <c r="R565" t="s">
        <v>30</v>
      </c>
      <c r="S565">
        <v>0</v>
      </c>
      <c r="T565">
        <v>0</v>
      </c>
      <c r="U565" t="s">
        <v>3915</v>
      </c>
      <c r="V565" t="s">
        <v>31</v>
      </c>
      <c r="W565">
        <v>0</v>
      </c>
    </row>
    <row r="566" spans="1:23" x14ac:dyDescent="0.25">
      <c r="A566" t="s">
        <v>4852</v>
      </c>
      <c r="B566" t="s">
        <v>3596</v>
      </c>
      <c r="C566" t="s">
        <v>3595</v>
      </c>
      <c r="D566" t="s">
        <v>4479</v>
      </c>
      <c r="E566" t="s">
        <v>4305</v>
      </c>
      <c r="F566" t="s">
        <v>791</v>
      </c>
      <c r="G566" t="s">
        <v>1406</v>
      </c>
      <c r="H566" s="6">
        <v>46022</v>
      </c>
      <c r="I566" t="s">
        <v>29</v>
      </c>
      <c r="J566">
        <v>12</v>
      </c>
      <c r="K566">
        <v>0</v>
      </c>
      <c r="L566">
        <v>0</v>
      </c>
      <c r="M566">
        <v>0</v>
      </c>
      <c r="N566" t="s">
        <v>3915</v>
      </c>
      <c r="O566" t="s">
        <v>3915</v>
      </c>
      <c r="P566" t="s">
        <v>3915</v>
      </c>
      <c r="Q566">
        <v>0</v>
      </c>
      <c r="R566" t="s">
        <v>30</v>
      </c>
      <c r="S566">
        <v>0</v>
      </c>
      <c r="T566">
        <v>0</v>
      </c>
      <c r="U566" t="s">
        <v>3915</v>
      </c>
      <c r="V566" t="s">
        <v>31</v>
      </c>
      <c r="W566">
        <v>0</v>
      </c>
    </row>
    <row r="567" spans="1:23" x14ac:dyDescent="0.25">
      <c r="A567" t="s">
        <v>4448</v>
      </c>
      <c r="B567" t="s">
        <v>840</v>
      </c>
      <c r="C567" t="s">
        <v>841</v>
      </c>
      <c r="D567" t="s">
        <v>4479</v>
      </c>
      <c r="E567" t="s">
        <v>4305</v>
      </c>
      <c r="F567" t="s">
        <v>791</v>
      </c>
      <c r="G567" t="s">
        <v>1406</v>
      </c>
      <c r="H567" s="6">
        <v>46022</v>
      </c>
      <c r="I567" t="s">
        <v>29</v>
      </c>
      <c r="J567">
        <v>0</v>
      </c>
      <c r="K567">
        <v>0</v>
      </c>
      <c r="L567">
        <v>0</v>
      </c>
      <c r="M567">
        <v>0</v>
      </c>
      <c r="N567" t="s">
        <v>3915</v>
      </c>
      <c r="O567" t="s">
        <v>3915</v>
      </c>
      <c r="P567" t="s">
        <v>3915</v>
      </c>
      <c r="Q567">
        <v>0</v>
      </c>
      <c r="R567" t="s">
        <v>30</v>
      </c>
      <c r="S567">
        <v>0</v>
      </c>
      <c r="T567">
        <v>0</v>
      </c>
      <c r="U567" t="s">
        <v>3915</v>
      </c>
      <c r="V567" t="s">
        <v>31</v>
      </c>
      <c r="W567">
        <v>0</v>
      </c>
    </row>
    <row r="568" spans="1:23" x14ac:dyDescent="0.25">
      <c r="A568" t="s">
        <v>4853</v>
      </c>
      <c r="B568" t="s">
        <v>2794</v>
      </c>
      <c r="C568" t="s">
        <v>2793</v>
      </c>
      <c r="D568" t="s">
        <v>4479</v>
      </c>
      <c r="E568" t="s">
        <v>4305</v>
      </c>
      <c r="F568" t="s">
        <v>791</v>
      </c>
      <c r="G568" t="s">
        <v>1406</v>
      </c>
      <c r="H568" s="6">
        <v>46022</v>
      </c>
      <c r="I568" t="s">
        <v>29</v>
      </c>
      <c r="J568">
        <v>4</v>
      </c>
      <c r="K568">
        <v>0</v>
      </c>
      <c r="L568">
        <v>0</v>
      </c>
      <c r="M568">
        <v>0</v>
      </c>
      <c r="N568" t="s">
        <v>3915</v>
      </c>
      <c r="O568" t="s">
        <v>3915</v>
      </c>
      <c r="P568" t="s">
        <v>3915</v>
      </c>
      <c r="Q568">
        <v>0</v>
      </c>
      <c r="R568" t="s">
        <v>30</v>
      </c>
      <c r="S568">
        <v>0</v>
      </c>
      <c r="T568">
        <v>0</v>
      </c>
      <c r="U568" t="s">
        <v>3915</v>
      </c>
      <c r="V568" t="s">
        <v>31</v>
      </c>
      <c r="W568">
        <v>0</v>
      </c>
    </row>
    <row r="569" spans="1:23" x14ac:dyDescent="0.25">
      <c r="A569" t="s">
        <v>4854</v>
      </c>
      <c r="B569" t="s">
        <v>848</v>
      </c>
      <c r="C569" t="s">
        <v>849</v>
      </c>
      <c r="D569" t="s">
        <v>4479</v>
      </c>
      <c r="E569" t="s">
        <v>4305</v>
      </c>
      <c r="F569" t="s">
        <v>791</v>
      </c>
      <c r="G569" t="s">
        <v>1406</v>
      </c>
      <c r="H569" s="6">
        <v>46022</v>
      </c>
      <c r="I569" t="s">
        <v>29</v>
      </c>
      <c r="J569">
        <v>13</v>
      </c>
      <c r="K569">
        <v>0</v>
      </c>
      <c r="L569">
        <v>0</v>
      </c>
      <c r="M569">
        <v>0</v>
      </c>
      <c r="N569" t="s">
        <v>3915</v>
      </c>
      <c r="O569" t="s">
        <v>3915</v>
      </c>
      <c r="P569" t="s">
        <v>3915</v>
      </c>
      <c r="Q569">
        <v>0</v>
      </c>
      <c r="R569" t="s">
        <v>30</v>
      </c>
      <c r="S569">
        <v>0</v>
      </c>
      <c r="T569">
        <v>0</v>
      </c>
      <c r="U569" t="s">
        <v>3915</v>
      </c>
      <c r="V569" t="s">
        <v>31</v>
      </c>
      <c r="W569">
        <v>0</v>
      </c>
    </row>
    <row r="570" spans="1:23" x14ac:dyDescent="0.25">
      <c r="A570" t="s">
        <v>4855</v>
      </c>
      <c r="B570" t="s">
        <v>854</v>
      </c>
      <c r="C570" t="s">
        <v>855</v>
      </c>
      <c r="D570" t="s">
        <v>4479</v>
      </c>
      <c r="E570" t="s">
        <v>4305</v>
      </c>
      <c r="F570" t="s">
        <v>791</v>
      </c>
      <c r="G570" t="s">
        <v>1406</v>
      </c>
      <c r="H570" s="6">
        <v>46022</v>
      </c>
      <c r="I570" t="s">
        <v>29</v>
      </c>
      <c r="J570">
        <v>0</v>
      </c>
      <c r="K570">
        <v>0</v>
      </c>
      <c r="L570">
        <v>0</v>
      </c>
      <c r="M570">
        <v>0</v>
      </c>
      <c r="N570" t="s">
        <v>3915</v>
      </c>
      <c r="O570" t="s">
        <v>3915</v>
      </c>
      <c r="P570" t="s">
        <v>3915</v>
      </c>
      <c r="Q570">
        <v>0</v>
      </c>
      <c r="R570" t="s">
        <v>30</v>
      </c>
      <c r="S570">
        <v>0</v>
      </c>
      <c r="T570">
        <v>0</v>
      </c>
      <c r="U570" t="s">
        <v>3915</v>
      </c>
      <c r="V570" t="s">
        <v>31</v>
      </c>
      <c r="W570">
        <v>0</v>
      </c>
    </row>
    <row r="571" spans="1:23" x14ac:dyDescent="0.25">
      <c r="A571" t="s">
        <v>4856</v>
      </c>
      <c r="B571" t="s">
        <v>858</v>
      </c>
      <c r="C571" t="s">
        <v>859</v>
      </c>
      <c r="D571" t="s">
        <v>4479</v>
      </c>
      <c r="E571" t="s">
        <v>4305</v>
      </c>
      <c r="F571" t="s">
        <v>791</v>
      </c>
      <c r="G571" t="s">
        <v>1406</v>
      </c>
      <c r="H571" s="6">
        <v>46022</v>
      </c>
      <c r="I571" t="s">
        <v>29</v>
      </c>
      <c r="J571">
        <v>0</v>
      </c>
      <c r="K571">
        <v>0</v>
      </c>
      <c r="L571">
        <v>0</v>
      </c>
      <c r="M571">
        <v>0</v>
      </c>
      <c r="N571" t="s">
        <v>3915</v>
      </c>
      <c r="O571" t="s">
        <v>3915</v>
      </c>
      <c r="P571" t="s">
        <v>3915</v>
      </c>
      <c r="Q571">
        <v>0</v>
      </c>
      <c r="R571" t="s">
        <v>30</v>
      </c>
      <c r="S571">
        <v>0</v>
      </c>
      <c r="T571">
        <v>0</v>
      </c>
      <c r="U571" t="s">
        <v>3915</v>
      </c>
      <c r="V571" t="s">
        <v>31</v>
      </c>
      <c r="W571">
        <v>0</v>
      </c>
    </row>
    <row r="572" spans="1:23" x14ac:dyDescent="0.25">
      <c r="A572" t="s">
        <v>4857</v>
      </c>
      <c r="B572" t="s">
        <v>876</v>
      </c>
      <c r="C572" t="s">
        <v>877</v>
      </c>
      <c r="D572" t="s">
        <v>4479</v>
      </c>
      <c r="E572" t="s">
        <v>4305</v>
      </c>
      <c r="F572" t="s">
        <v>791</v>
      </c>
      <c r="G572" t="s">
        <v>1406</v>
      </c>
      <c r="H572" s="6">
        <v>46022</v>
      </c>
      <c r="I572" t="s">
        <v>29</v>
      </c>
      <c r="J572">
        <v>0</v>
      </c>
      <c r="K572">
        <v>0</v>
      </c>
      <c r="L572">
        <v>0</v>
      </c>
      <c r="M572">
        <v>0</v>
      </c>
      <c r="N572" t="s">
        <v>3915</v>
      </c>
      <c r="O572" t="s">
        <v>3915</v>
      </c>
      <c r="P572" t="s">
        <v>3915</v>
      </c>
      <c r="Q572">
        <v>0</v>
      </c>
      <c r="R572" t="s">
        <v>30</v>
      </c>
      <c r="S572">
        <v>0</v>
      </c>
      <c r="T572">
        <v>0</v>
      </c>
      <c r="U572" t="s">
        <v>3915</v>
      </c>
      <c r="V572" t="s">
        <v>31</v>
      </c>
      <c r="W572">
        <v>0</v>
      </c>
    </row>
    <row r="573" spans="1:23" x14ac:dyDescent="0.25">
      <c r="A573" t="s">
        <v>4858</v>
      </c>
      <c r="B573" t="s">
        <v>878</v>
      </c>
      <c r="C573" t="s">
        <v>879</v>
      </c>
      <c r="D573" t="s">
        <v>4479</v>
      </c>
      <c r="E573" t="s">
        <v>4305</v>
      </c>
      <c r="F573" t="s">
        <v>791</v>
      </c>
      <c r="G573" t="s">
        <v>1406</v>
      </c>
      <c r="H573" s="6">
        <v>46022</v>
      </c>
      <c r="I573" t="s">
        <v>29</v>
      </c>
      <c r="J573">
        <v>0</v>
      </c>
      <c r="K573">
        <v>0</v>
      </c>
      <c r="L573">
        <v>0</v>
      </c>
      <c r="M573">
        <v>0</v>
      </c>
      <c r="N573" t="s">
        <v>3915</v>
      </c>
      <c r="O573" t="s">
        <v>3915</v>
      </c>
      <c r="P573" t="s">
        <v>3915</v>
      </c>
      <c r="Q573">
        <v>0</v>
      </c>
      <c r="R573" t="s">
        <v>30</v>
      </c>
      <c r="S573">
        <v>0</v>
      </c>
      <c r="T573">
        <v>0</v>
      </c>
      <c r="U573" t="s">
        <v>3915</v>
      </c>
      <c r="V573" t="s">
        <v>31</v>
      </c>
      <c r="W573">
        <v>0</v>
      </c>
    </row>
    <row r="574" spans="1:23" x14ac:dyDescent="0.25">
      <c r="A574" t="s">
        <v>4859</v>
      </c>
      <c r="B574" t="s">
        <v>886</v>
      </c>
      <c r="C574" t="s">
        <v>887</v>
      </c>
      <c r="D574" t="s">
        <v>4479</v>
      </c>
      <c r="E574" t="s">
        <v>4305</v>
      </c>
      <c r="F574" t="s">
        <v>791</v>
      </c>
      <c r="G574" t="s">
        <v>1406</v>
      </c>
      <c r="H574" s="6">
        <v>46022</v>
      </c>
      <c r="I574" t="s">
        <v>29</v>
      </c>
      <c r="J574">
        <v>0</v>
      </c>
      <c r="K574">
        <v>0</v>
      </c>
      <c r="L574">
        <v>0</v>
      </c>
      <c r="M574">
        <v>0</v>
      </c>
      <c r="N574" t="s">
        <v>3915</v>
      </c>
      <c r="O574" t="s">
        <v>3915</v>
      </c>
      <c r="P574" t="s">
        <v>3915</v>
      </c>
      <c r="Q574">
        <v>0</v>
      </c>
      <c r="R574" t="s">
        <v>30</v>
      </c>
      <c r="S574">
        <v>0</v>
      </c>
      <c r="T574">
        <v>0</v>
      </c>
      <c r="U574" t="s">
        <v>3915</v>
      </c>
      <c r="V574" t="s">
        <v>31</v>
      </c>
      <c r="W574">
        <v>0</v>
      </c>
    </row>
    <row r="575" spans="1:23" x14ac:dyDescent="0.25">
      <c r="A575" t="s">
        <v>4058</v>
      </c>
      <c r="B575" t="s">
        <v>890</v>
      </c>
      <c r="C575" t="s">
        <v>891</v>
      </c>
      <c r="D575" t="s">
        <v>4479</v>
      </c>
      <c r="E575" t="s">
        <v>4305</v>
      </c>
      <c r="F575" t="s">
        <v>791</v>
      </c>
      <c r="G575" t="s">
        <v>1406</v>
      </c>
      <c r="H575" s="6">
        <v>46022</v>
      </c>
      <c r="I575" t="s">
        <v>29</v>
      </c>
      <c r="J575">
        <v>0</v>
      </c>
      <c r="K575">
        <v>0</v>
      </c>
      <c r="L575">
        <v>0</v>
      </c>
      <c r="M575">
        <v>0</v>
      </c>
      <c r="N575" t="s">
        <v>3915</v>
      </c>
      <c r="O575" t="s">
        <v>3915</v>
      </c>
      <c r="P575" t="s">
        <v>3915</v>
      </c>
      <c r="Q575">
        <v>0</v>
      </c>
      <c r="R575" t="s">
        <v>30</v>
      </c>
      <c r="S575">
        <v>0</v>
      </c>
      <c r="T575">
        <v>0</v>
      </c>
      <c r="U575" t="s">
        <v>3915</v>
      </c>
      <c r="V575" t="s">
        <v>31</v>
      </c>
      <c r="W575">
        <v>0</v>
      </c>
    </row>
    <row r="576" spans="1:23" x14ac:dyDescent="0.25">
      <c r="A576" t="s">
        <v>3984</v>
      </c>
      <c r="B576" t="s">
        <v>892</v>
      </c>
      <c r="C576" t="s">
        <v>893</v>
      </c>
      <c r="D576" t="s">
        <v>4479</v>
      </c>
      <c r="E576" t="s">
        <v>4305</v>
      </c>
      <c r="F576" t="s">
        <v>791</v>
      </c>
      <c r="G576" t="s">
        <v>1406</v>
      </c>
      <c r="H576" s="6">
        <v>46022</v>
      </c>
      <c r="I576" t="s">
        <v>29</v>
      </c>
      <c r="J576">
        <v>0</v>
      </c>
      <c r="K576">
        <v>0</v>
      </c>
      <c r="L576">
        <v>0</v>
      </c>
      <c r="M576">
        <v>0</v>
      </c>
      <c r="N576" t="s">
        <v>3915</v>
      </c>
      <c r="O576" t="s">
        <v>3915</v>
      </c>
      <c r="P576" t="s">
        <v>3915</v>
      </c>
      <c r="Q576">
        <v>0</v>
      </c>
      <c r="R576" t="s">
        <v>30</v>
      </c>
      <c r="S576">
        <v>0</v>
      </c>
      <c r="T576">
        <v>0</v>
      </c>
      <c r="U576" t="s">
        <v>3915</v>
      </c>
      <c r="V576" t="s">
        <v>31</v>
      </c>
      <c r="W576">
        <v>0</v>
      </c>
    </row>
    <row r="577" spans="1:23" x14ac:dyDescent="0.25">
      <c r="A577" t="s">
        <v>10236</v>
      </c>
      <c r="B577" t="s">
        <v>10357</v>
      </c>
      <c r="C577" t="s">
        <v>10358</v>
      </c>
      <c r="D577" t="s">
        <v>4479</v>
      </c>
      <c r="E577" t="s">
        <v>4305</v>
      </c>
      <c r="F577" t="s">
        <v>791</v>
      </c>
      <c r="G577" t="s">
        <v>1406</v>
      </c>
      <c r="H577" s="6">
        <v>46022</v>
      </c>
      <c r="I577" t="s">
        <v>29</v>
      </c>
      <c r="J577">
        <v>0</v>
      </c>
      <c r="K577">
        <v>0</v>
      </c>
      <c r="L577">
        <v>0</v>
      </c>
      <c r="M577">
        <v>0</v>
      </c>
      <c r="N577" t="s">
        <v>3915</v>
      </c>
      <c r="O577" t="s">
        <v>3915</v>
      </c>
      <c r="P577" t="s">
        <v>3915</v>
      </c>
      <c r="Q577">
        <v>0</v>
      </c>
      <c r="R577" t="s">
        <v>30</v>
      </c>
      <c r="S577">
        <v>0</v>
      </c>
      <c r="T577">
        <v>0</v>
      </c>
      <c r="U577" t="s">
        <v>3915</v>
      </c>
      <c r="V577" t="s">
        <v>31</v>
      </c>
      <c r="W577">
        <v>0</v>
      </c>
    </row>
    <row r="578" spans="1:23" x14ac:dyDescent="0.25">
      <c r="A578" t="s">
        <v>4860</v>
      </c>
      <c r="B578" t="s">
        <v>4861</v>
      </c>
      <c r="C578" t="s">
        <v>4862</v>
      </c>
      <c r="D578" t="s">
        <v>4479</v>
      </c>
      <c r="E578" t="s">
        <v>4305</v>
      </c>
      <c r="F578" t="s">
        <v>791</v>
      </c>
      <c r="G578" t="s">
        <v>1406</v>
      </c>
      <c r="H578" s="6">
        <v>46022</v>
      </c>
      <c r="I578" t="s">
        <v>29</v>
      </c>
      <c r="J578">
        <v>0</v>
      </c>
      <c r="K578">
        <v>0</v>
      </c>
      <c r="L578">
        <v>0</v>
      </c>
      <c r="M578">
        <v>0</v>
      </c>
      <c r="N578" t="s">
        <v>3915</v>
      </c>
      <c r="O578" t="s">
        <v>3915</v>
      </c>
      <c r="P578" t="s">
        <v>3915</v>
      </c>
      <c r="Q578">
        <v>0</v>
      </c>
      <c r="R578" t="s">
        <v>30</v>
      </c>
      <c r="S578">
        <v>0</v>
      </c>
      <c r="T578">
        <v>0</v>
      </c>
      <c r="U578" t="s">
        <v>3915</v>
      </c>
      <c r="V578" t="s">
        <v>31</v>
      </c>
      <c r="W578">
        <v>0</v>
      </c>
    </row>
    <row r="579" spans="1:23" x14ac:dyDescent="0.25">
      <c r="A579" t="s">
        <v>4144</v>
      </c>
      <c r="B579" t="s">
        <v>3599</v>
      </c>
      <c r="C579" t="s">
        <v>3598</v>
      </c>
      <c r="D579" t="s">
        <v>4479</v>
      </c>
      <c r="E579" t="s">
        <v>4305</v>
      </c>
      <c r="F579" t="s">
        <v>791</v>
      </c>
      <c r="G579" t="s">
        <v>1406</v>
      </c>
      <c r="H579" s="6">
        <v>46022</v>
      </c>
      <c r="I579" t="s">
        <v>29</v>
      </c>
      <c r="J579">
        <v>4</v>
      </c>
      <c r="K579">
        <v>0</v>
      </c>
      <c r="L579">
        <v>0</v>
      </c>
      <c r="M579">
        <v>0</v>
      </c>
      <c r="N579" t="s">
        <v>3915</v>
      </c>
      <c r="O579" t="s">
        <v>3915</v>
      </c>
      <c r="P579" t="s">
        <v>3915</v>
      </c>
      <c r="Q579">
        <v>0</v>
      </c>
      <c r="R579" t="s">
        <v>30</v>
      </c>
      <c r="S579">
        <v>0</v>
      </c>
      <c r="T579">
        <v>0</v>
      </c>
      <c r="U579" t="s">
        <v>3915</v>
      </c>
      <c r="V579" t="s">
        <v>31</v>
      </c>
      <c r="W579">
        <v>0</v>
      </c>
    </row>
    <row r="580" spans="1:23" x14ac:dyDescent="0.25">
      <c r="A580" t="s">
        <v>4863</v>
      </c>
      <c r="B580" t="s">
        <v>3601</v>
      </c>
      <c r="C580" t="s">
        <v>3600</v>
      </c>
      <c r="D580" t="s">
        <v>4479</v>
      </c>
      <c r="E580" t="s">
        <v>4305</v>
      </c>
      <c r="F580" t="s">
        <v>791</v>
      </c>
      <c r="G580" t="s">
        <v>1406</v>
      </c>
      <c r="H580" s="6">
        <v>46022</v>
      </c>
      <c r="I580" t="s">
        <v>29</v>
      </c>
      <c r="J580">
        <v>191</v>
      </c>
      <c r="K580">
        <v>0</v>
      </c>
      <c r="L580">
        <v>0</v>
      </c>
      <c r="M580">
        <v>0</v>
      </c>
      <c r="N580" t="s">
        <v>3915</v>
      </c>
      <c r="O580" t="s">
        <v>3915</v>
      </c>
      <c r="P580" t="s">
        <v>3915</v>
      </c>
      <c r="Q580">
        <v>0</v>
      </c>
      <c r="R580" t="s">
        <v>30</v>
      </c>
      <c r="S580">
        <v>0</v>
      </c>
      <c r="T580">
        <v>0</v>
      </c>
      <c r="U580" t="s">
        <v>3915</v>
      </c>
      <c r="V580" t="s">
        <v>31</v>
      </c>
      <c r="W580">
        <v>0</v>
      </c>
    </row>
    <row r="581" spans="1:23" x14ac:dyDescent="0.25">
      <c r="A581" t="s">
        <v>10239</v>
      </c>
      <c r="B581" t="s">
        <v>904</v>
      </c>
      <c r="C581" t="s">
        <v>905</v>
      </c>
      <c r="D581" t="s">
        <v>4479</v>
      </c>
      <c r="E581" t="s">
        <v>4305</v>
      </c>
      <c r="F581" t="s">
        <v>791</v>
      </c>
      <c r="G581" t="s">
        <v>1406</v>
      </c>
      <c r="H581" s="6">
        <v>46022</v>
      </c>
      <c r="I581" t="s">
        <v>29</v>
      </c>
      <c r="J581">
        <v>0</v>
      </c>
      <c r="K581">
        <v>0</v>
      </c>
      <c r="L581">
        <v>0</v>
      </c>
      <c r="M581">
        <v>0</v>
      </c>
      <c r="N581" t="s">
        <v>3915</v>
      </c>
      <c r="O581" t="s">
        <v>3915</v>
      </c>
      <c r="P581" t="s">
        <v>3915</v>
      </c>
      <c r="Q581">
        <v>0</v>
      </c>
      <c r="R581" t="s">
        <v>30</v>
      </c>
      <c r="S581">
        <v>0</v>
      </c>
      <c r="T581">
        <v>0</v>
      </c>
      <c r="U581" t="s">
        <v>3915</v>
      </c>
      <c r="V581" t="s">
        <v>31</v>
      </c>
      <c r="W581">
        <v>0</v>
      </c>
    </row>
    <row r="582" spans="1:23" x14ac:dyDescent="0.25">
      <c r="A582" t="s">
        <v>10240</v>
      </c>
      <c r="B582" t="s">
        <v>2824</v>
      </c>
      <c r="C582" t="s">
        <v>2823</v>
      </c>
      <c r="D582" t="s">
        <v>4479</v>
      </c>
      <c r="E582" t="s">
        <v>4305</v>
      </c>
      <c r="F582" t="s">
        <v>791</v>
      </c>
      <c r="G582" t="s">
        <v>1406</v>
      </c>
      <c r="H582" s="6">
        <v>46022</v>
      </c>
      <c r="I582" t="s">
        <v>29</v>
      </c>
      <c r="J582">
        <v>0</v>
      </c>
      <c r="K582">
        <v>0</v>
      </c>
      <c r="L582">
        <v>0</v>
      </c>
      <c r="M582">
        <v>0</v>
      </c>
      <c r="N582" t="s">
        <v>3915</v>
      </c>
      <c r="O582" t="s">
        <v>3915</v>
      </c>
      <c r="P582" t="s">
        <v>3915</v>
      </c>
      <c r="Q582">
        <v>0</v>
      </c>
      <c r="R582" t="s">
        <v>30</v>
      </c>
      <c r="S582">
        <v>0</v>
      </c>
      <c r="T582">
        <v>0</v>
      </c>
      <c r="U582" t="s">
        <v>3915</v>
      </c>
      <c r="V582" t="s">
        <v>31</v>
      </c>
      <c r="W582">
        <v>0</v>
      </c>
    </row>
    <row r="583" spans="1:23" x14ac:dyDescent="0.25">
      <c r="A583" t="s">
        <v>4003</v>
      </c>
      <c r="B583" t="s">
        <v>914</v>
      </c>
      <c r="C583" t="s">
        <v>915</v>
      </c>
      <c r="D583" t="s">
        <v>4479</v>
      </c>
      <c r="E583" t="s">
        <v>4305</v>
      </c>
      <c r="F583" t="s">
        <v>791</v>
      </c>
      <c r="G583" t="s">
        <v>1406</v>
      </c>
      <c r="H583" s="6">
        <v>46022</v>
      </c>
      <c r="I583" t="s">
        <v>29</v>
      </c>
      <c r="J583">
        <v>0</v>
      </c>
      <c r="K583">
        <v>0</v>
      </c>
      <c r="L583">
        <v>0</v>
      </c>
      <c r="M583">
        <v>0</v>
      </c>
      <c r="N583" t="s">
        <v>3915</v>
      </c>
      <c r="O583" t="s">
        <v>3915</v>
      </c>
      <c r="P583" t="s">
        <v>3915</v>
      </c>
      <c r="Q583">
        <v>0</v>
      </c>
      <c r="R583" t="s">
        <v>30</v>
      </c>
      <c r="S583">
        <v>0</v>
      </c>
      <c r="T583">
        <v>0</v>
      </c>
      <c r="U583" t="s">
        <v>3915</v>
      </c>
      <c r="V583" t="s">
        <v>31</v>
      </c>
      <c r="W583">
        <v>0</v>
      </c>
    </row>
    <row r="584" spans="1:23" x14ac:dyDescent="0.25">
      <c r="A584" t="s">
        <v>4864</v>
      </c>
      <c r="B584" t="s">
        <v>934</v>
      </c>
      <c r="C584" t="s">
        <v>935</v>
      </c>
      <c r="D584" t="s">
        <v>4479</v>
      </c>
      <c r="E584" t="s">
        <v>4305</v>
      </c>
      <c r="F584" t="s">
        <v>791</v>
      </c>
      <c r="G584" t="s">
        <v>1406</v>
      </c>
      <c r="H584" s="6">
        <v>46022</v>
      </c>
      <c r="I584" t="s">
        <v>29</v>
      </c>
      <c r="J584">
        <v>0</v>
      </c>
      <c r="K584">
        <v>0</v>
      </c>
      <c r="L584">
        <v>0</v>
      </c>
      <c r="M584">
        <v>0</v>
      </c>
      <c r="N584" t="s">
        <v>3915</v>
      </c>
      <c r="O584" t="s">
        <v>3915</v>
      </c>
      <c r="P584" t="s">
        <v>3915</v>
      </c>
      <c r="Q584">
        <v>0</v>
      </c>
      <c r="R584" t="s">
        <v>30</v>
      </c>
      <c r="S584">
        <v>0</v>
      </c>
      <c r="T584">
        <v>0</v>
      </c>
      <c r="U584" t="s">
        <v>3915</v>
      </c>
      <c r="V584" t="s">
        <v>31</v>
      </c>
      <c r="W584">
        <v>0</v>
      </c>
    </row>
    <row r="585" spans="1:23" x14ac:dyDescent="0.25">
      <c r="A585" t="s">
        <v>4865</v>
      </c>
      <c r="B585" t="s">
        <v>2828</v>
      </c>
      <c r="C585" t="s">
        <v>2827</v>
      </c>
      <c r="D585" t="s">
        <v>4479</v>
      </c>
      <c r="E585" t="s">
        <v>4305</v>
      </c>
      <c r="F585" t="s">
        <v>791</v>
      </c>
      <c r="G585" t="s">
        <v>1406</v>
      </c>
      <c r="H585" s="6">
        <v>46022</v>
      </c>
      <c r="I585" t="s">
        <v>29</v>
      </c>
      <c r="J585">
        <v>0</v>
      </c>
      <c r="K585">
        <v>0</v>
      </c>
      <c r="L585">
        <v>0</v>
      </c>
      <c r="M585">
        <v>0</v>
      </c>
      <c r="N585" t="s">
        <v>3915</v>
      </c>
      <c r="O585" t="s">
        <v>3915</v>
      </c>
      <c r="P585" t="s">
        <v>3915</v>
      </c>
      <c r="Q585">
        <v>0</v>
      </c>
      <c r="R585" t="s">
        <v>30</v>
      </c>
      <c r="S585">
        <v>0</v>
      </c>
      <c r="T585">
        <v>0</v>
      </c>
      <c r="U585" t="s">
        <v>3915</v>
      </c>
      <c r="V585" t="s">
        <v>31</v>
      </c>
      <c r="W585">
        <v>0</v>
      </c>
    </row>
    <row r="586" spans="1:23" x14ac:dyDescent="0.25">
      <c r="A586" t="s">
        <v>5348</v>
      </c>
      <c r="B586" t="s">
        <v>2832</v>
      </c>
      <c r="C586" t="s">
        <v>2831</v>
      </c>
      <c r="D586" t="s">
        <v>4479</v>
      </c>
      <c r="E586" t="s">
        <v>4305</v>
      </c>
      <c r="F586" t="s">
        <v>791</v>
      </c>
      <c r="G586" t="s">
        <v>1406</v>
      </c>
      <c r="H586" s="6">
        <v>46022</v>
      </c>
      <c r="I586" t="s">
        <v>29</v>
      </c>
      <c r="J586">
        <v>0</v>
      </c>
      <c r="K586">
        <v>0</v>
      </c>
      <c r="L586">
        <v>0</v>
      </c>
      <c r="M586">
        <v>0</v>
      </c>
      <c r="N586" t="s">
        <v>3915</v>
      </c>
      <c r="O586" t="s">
        <v>3915</v>
      </c>
      <c r="P586" t="s">
        <v>3915</v>
      </c>
      <c r="Q586">
        <v>0</v>
      </c>
      <c r="R586" t="s">
        <v>30</v>
      </c>
      <c r="S586">
        <v>0</v>
      </c>
      <c r="T586">
        <v>0</v>
      </c>
      <c r="U586" t="s">
        <v>3915</v>
      </c>
      <c r="V586" t="s">
        <v>31</v>
      </c>
      <c r="W586">
        <v>0</v>
      </c>
    </row>
    <row r="587" spans="1:23" x14ac:dyDescent="0.25">
      <c r="A587" t="s">
        <v>4171</v>
      </c>
      <c r="B587" t="s">
        <v>3603</v>
      </c>
      <c r="C587" t="s">
        <v>3602</v>
      </c>
      <c r="D587" t="s">
        <v>4479</v>
      </c>
      <c r="E587" t="s">
        <v>4305</v>
      </c>
      <c r="F587" t="s">
        <v>791</v>
      </c>
      <c r="G587" t="s">
        <v>1406</v>
      </c>
      <c r="H587" s="6">
        <v>46022</v>
      </c>
      <c r="I587" t="s">
        <v>29</v>
      </c>
      <c r="J587">
        <v>6</v>
      </c>
      <c r="K587">
        <v>0</v>
      </c>
      <c r="L587">
        <v>0</v>
      </c>
      <c r="M587">
        <v>0</v>
      </c>
      <c r="N587" t="s">
        <v>3915</v>
      </c>
      <c r="O587" t="s">
        <v>3915</v>
      </c>
      <c r="P587" t="s">
        <v>3915</v>
      </c>
      <c r="Q587">
        <v>0</v>
      </c>
      <c r="R587" t="s">
        <v>30</v>
      </c>
      <c r="S587">
        <v>0</v>
      </c>
      <c r="T587">
        <v>0</v>
      </c>
      <c r="U587" t="s">
        <v>3915</v>
      </c>
      <c r="V587" t="s">
        <v>31</v>
      </c>
      <c r="W587">
        <v>0</v>
      </c>
    </row>
    <row r="588" spans="1:23" x14ac:dyDescent="0.25">
      <c r="A588" t="s">
        <v>10241</v>
      </c>
      <c r="B588" t="s">
        <v>978</v>
      </c>
      <c r="C588" t="s">
        <v>979</v>
      </c>
      <c r="D588" t="s">
        <v>4479</v>
      </c>
      <c r="E588" t="s">
        <v>4305</v>
      </c>
      <c r="F588" t="s">
        <v>791</v>
      </c>
      <c r="G588" t="s">
        <v>1406</v>
      </c>
      <c r="H588" s="6">
        <v>46022</v>
      </c>
      <c r="I588" t="s">
        <v>29</v>
      </c>
      <c r="J588">
        <v>0</v>
      </c>
      <c r="K588">
        <v>0</v>
      </c>
      <c r="L588">
        <v>0</v>
      </c>
      <c r="M588">
        <v>0</v>
      </c>
      <c r="N588" t="s">
        <v>3915</v>
      </c>
      <c r="O588" t="s">
        <v>3915</v>
      </c>
      <c r="P588" t="s">
        <v>3915</v>
      </c>
      <c r="Q588">
        <v>0</v>
      </c>
      <c r="R588" t="s">
        <v>30</v>
      </c>
      <c r="S588">
        <v>0</v>
      </c>
      <c r="T588">
        <v>0</v>
      </c>
      <c r="U588" t="s">
        <v>3915</v>
      </c>
      <c r="V588" t="s">
        <v>31</v>
      </c>
      <c r="W588">
        <v>0</v>
      </c>
    </row>
    <row r="589" spans="1:23" x14ac:dyDescent="0.25">
      <c r="A589" t="s">
        <v>4140</v>
      </c>
      <c r="B589" t="s">
        <v>2852</v>
      </c>
      <c r="C589" t="s">
        <v>2851</v>
      </c>
      <c r="D589" t="s">
        <v>4479</v>
      </c>
      <c r="E589" t="s">
        <v>4305</v>
      </c>
      <c r="F589" t="s">
        <v>791</v>
      </c>
      <c r="G589" t="s">
        <v>1406</v>
      </c>
      <c r="H589" s="6">
        <v>46022</v>
      </c>
      <c r="I589" t="s">
        <v>29</v>
      </c>
      <c r="J589">
        <v>0</v>
      </c>
      <c r="K589">
        <v>0</v>
      </c>
      <c r="L589">
        <v>0</v>
      </c>
      <c r="M589">
        <v>0</v>
      </c>
      <c r="N589" t="s">
        <v>3915</v>
      </c>
      <c r="O589" t="s">
        <v>3915</v>
      </c>
      <c r="P589" t="s">
        <v>3915</v>
      </c>
      <c r="Q589">
        <v>0</v>
      </c>
      <c r="R589" t="s">
        <v>30</v>
      </c>
      <c r="S589">
        <v>0</v>
      </c>
      <c r="T589">
        <v>0</v>
      </c>
      <c r="U589" t="s">
        <v>3915</v>
      </c>
      <c r="V589" t="s">
        <v>31</v>
      </c>
      <c r="W589">
        <v>0</v>
      </c>
    </row>
    <row r="590" spans="1:23" x14ac:dyDescent="0.25">
      <c r="A590" t="s">
        <v>10280</v>
      </c>
      <c r="B590" t="s">
        <v>1004</v>
      </c>
      <c r="C590" t="s">
        <v>1005</v>
      </c>
      <c r="D590" t="s">
        <v>4479</v>
      </c>
      <c r="E590" t="s">
        <v>4305</v>
      </c>
      <c r="F590" t="s">
        <v>791</v>
      </c>
      <c r="G590" t="s">
        <v>1406</v>
      </c>
      <c r="H590" s="6">
        <v>46022</v>
      </c>
      <c r="I590" t="s">
        <v>29</v>
      </c>
      <c r="J590">
        <v>0</v>
      </c>
      <c r="K590">
        <v>0</v>
      </c>
      <c r="L590">
        <v>0</v>
      </c>
      <c r="M590">
        <v>0</v>
      </c>
      <c r="N590" t="s">
        <v>3915</v>
      </c>
      <c r="O590" t="s">
        <v>3915</v>
      </c>
      <c r="P590" t="s">
        <v>3915</v>
      </c>
      <c r="Q590">
        <v>0</v>
      </c>
      <c r="R590" t="s">
        <v>30</v>
      </c>
      <c r="S590">
        <v>0</v>
      </c>
      <c r="T590">
        <v>0</v>
      </c>
      <c r="U590" t="s">
        <v>3915</v>
      </c>
      <c r="V590" t="s">
        <v>31</v>
      </c>
      <c r="W590">
        <v>0</v>
      </c>
    </row>
    <row r="591" spans="1:23" x14ac:dyDescent="0.25">
      <c r="A591" t="s">
        <v>4866</v>
      </c>
      <c r="B591" t="s">
        <v>3605</v>
      </c>
      <c r="C591" t="s">
        <v>3604</v>
      </c>
      <c r="D591" t="s">
        <v>4479</v>
      </c>
      <c r="E591" t="s">
        <v>4305</v>
      </c>
      <c r="F591" t="s">
        <v>791</v>
      </c>
      <c r="G591" t="s">
        <v>1406</v>
      </c>
      <c r="H591" s="6">
        <v>46022</v>
      </c>
      <c r="I591" t="s">
        <v>29</v>
      </c>
      <c r="J591">
        <v>10</v>
      </c>
      <c r="K591">
        <v>0</v>
      </c>
      <c r="L591">
        <v>0</v>
      </c>
      <c r="M591">
        <v>0</v>
      </c>
      <c r="N591" t="s">
        <v>3915</v>
      </c>
      <c r="O591" t="s">
        <v>3915</v>
      </c>
      <c r="P591" t="s">
        <v>3915</v>
      </c>
      <c r="Q591">
        <v>0</v>
      </c>
      <c r="R591" t="s">
        <v>30</v>
      </c>
      <c r="S591">
        <v>0</v>
      </c>
      <c r="T591">
        <v>0</v>
      </c>
      <c r="U591" t="s">
        <v>3915</v>
      </c>
      <c r="V591" t="s">
        <v>31</v>
      </c>
      <c r="W591">
        <v>0</v>
      </c>
    </row>
    <row r="592" spans="1:23" x14ac:dyDescent="0.25">
      <c r="A592" t="s">
        <v>4867</v>
      </c>
      <c r="B592" t="s">
        <v>3607</v>
      </c>
      <c r="C592" t="s">
        <v>3606</v>
      </c>
      <c r="D592" t="s">
        <v>4479</v>
      </c>
      <c r="E592" t="s">
        <v>4305</v>
      </c>
      <c r="F592" t="s">
        <v>791</v>
      </c>
      <c r="G592" t="s">
        <v>1406</v>
      </c>
      <c r="H592" s="6">
        <v>46022</v>
      </c>
      <c r="I592" t="s">
        <v>29</v>
      </c>
      <c r="J592">
        <v>87</v>
      </c>
      <c r="K592">
        <v>0</v>
      </c>
      <c r="L592">
        <v>0</v>
      </c>
      <c r="M592">
        <v>0</v>
      </c>
      <c r="N592" t="s">
        <v>3915</v>
      </c>
      <c r="O592" t="s">
        <v>3915</v>
      </c>
      <c r="P592" t="s">
        <v>3915</v>
      </c>
      <c r="Q592">
        <v>0</v>
      </c>
      <c r="R592" t="s">
        <v>30</v>
      </c>
      <c r="S592">
        <v>0</v>
      </c>
      <c r="T592">
        <v>0</v>
      </c>
      <c r="U592" t="s">
        <v>3915</v>
      </c>
      <c r="V592" t="s">
        <v>31</v>
      </c>
      <c r="W592">
        <v>0</v>
      </c>
    </row>
    <row r="593" spans="1:23" x14ac:dyDescent="0.25">
      <c r="A593" t="s">
        <v>4868</v>
      </c>
      <c r="B593" t="s">
        <v>3609</v>
      </c>
      <c r="C593" t="s">
        <v>3608</v>
      </c>
      <c r="D593" t="s">
        <v>4479</v>
      </c>
      <c r="E593" t="s">
        <v>4305</v>
      </c>
      <c r="F593" t="s">
        <v>791</v>
      </c>
      <c r="G593" t="s">
        <v>1406</v>
      </c>
      <c r="H593" s="6">
        <v>46022</v>
      </c>
      <c r="I593" t="s">
        <v>29</v>
      </c>
      <c r="J593">
        <v>40</v>
      </c>
      <c r="K593">
        <v>0</v>
      </c>
      <c r="L593">
        <v>0</v>
      </c>
      <c r="M593">
        <v>0</v>
      </c>
      <c r="N593" t="s">
        <v>3915</v>
      </c>
      <c r="O593" t="s">
        <v>3915</v>
      </c>
      <c r="P593" t="s">
        <v>3915</v>
      </c>
      <c r="Q593">
        <v>0</v>
      </c>
      <c r="R593" t="s">
        <v>30</v>
      </c>
      <c r="S593">
        <v>0</v>
      </c>
      <c r="T593">
        <v>0</v>
      </c>
      <c r="U593" t="s">
        <v>3915</v>
      </c>
      <c r="V593" t="s">
        <v>31</v>
      </c>
      <c r="W593">
        <v>0</v>
      </c>
    </row>
    <row r="594" spans="1:23" x14ac:dyDescent="0.25">
      <c r="A594" t="s">
        <v>4869</v>
      </c>
      <c r="B594" t="s">
        <v>3611</v>
      </c>
      <c r="C594" t="s">
        <v>3610</v>
      </c>
      <c r="D594" t="s">
        <v>4479</v>
      </c>
      <c r="E594" t="s">
        <v>4305</v>
      </c>
      <c r="F594" t="s">
        <v>791</v>
      </c>
      <c r="G594" t="s">
        <v>1406</v>
      </c>
      <c r="H594" s="6">
        <v>46022</v>
      </c>
      <c r="I594" t="s">
        <v>29</v>
      </c>
      <c r="J594">
        <v>25</v>
      </c>
      <c r="K594">
        <v>0</v>
      </c>
      <c r="L594">
        <v>0</v>
      </c>
      <c r="M594">
        <v>0</v>
      </c>
      <c r="N594" t="s">
        <v>3915</v>
      </c>
      <c r="O594" t="s">
        <v>3915</v>
      </c>
      <c r="P594" t="s">
        <v>3915</v>
      </c>
      <c r="Q594">
        <v>0</v>
      </c>
      <c r="R594" t="s">
        <v>30</v>
      </c>
      <c r="S594">
        <v>0</v>
      </c>
      <c r="T594">
        <v>0</v>
      </c>
      <c r="U594" t="s">
        <v>3915</v>
      </c>
      <c r="V594" t="s">
        <v>31</v>
      </c>
      <c r="W594">
        <v>0</v>
      </c>
    </row>
    <row r="595" spans="1:23" x14ac:dyDescent="0.25">
      <c r="A595" t="s">
        <v>4162</v>
      </c>
      <c r="B595" t="s">
        <v>3613</v>
      </c>
      <c r="C595" t="s">
        <v>3612</v>
      </c>
      <c r="D595" t="s">
        <v>4479</v>
      </c>
      <c r="E595" t="s">
        <v>4305</v>
      </c>
      <c r="F595" t="s">
        <v>791</v>
      </c>
      <c r="G595" t="s">
        <v>1406</v>
      </c>
      <c r="H595" s="6">
        <v>46022</v>
      </c>
      <c r="I595" t="s">
        <v>29</v>
      </c>
      <c r="J595">
        <v>2</v>
      </c>
      <c r="K595">
        <v>0</v>
      </c>
      <c r="L595">
        <v>0</v>
      </c>
      <c r="M595">
        <v>0</v>
      </c>
      <c r="N595" t="s">
        <v>3915</v>
      </c>
      <c r="O595" t="s">
        <v>3915</v>
      </c>
      <c r="P595" t="s">
        <v>3915</v>
      </c>
      <c r="Q595">
        <v>0</v>
      </c>
      <c r="R595" t="s">
        <v>30</v>
      </c>
      <c r="S595">
        <v>0</v>
      </c>
      <c r="T595">
        <v>0</v>
      </c>
      <c r="U595" t="s">
        <v>3915</v>
      </c>
      <c r="V595" t="s">
        <v>31</v>
      </c>
      <c r="W595">
        <v>0</v>
      </c>
    </row>
    <row r="596" spans="1:23" x14ac:dyDescent="0.25">
      <c r="A596" t="s">
        <v>4870</v>
      </c>
      <c r="B596" t="s">
        <v>3615</v>
      </c>
      <c r="C596" t="s">
        <v>3614</v>
      </c>
      <c r="D596" t="s">
        <v>4479</v>
      </c>
      <c r="E596" t="s">
        <v>4305</v>
      </c>
      <c r="F596" t="s">
        <v>791</v>
      </c>
      <c r="G596" t="s">
        <v>1406</v>
      </c>
      <c r="H596" s="6">
        <v>46022</v>
      </c>
      <c r="I596" t="s">
        <v>29</v>
      </c>
      <c r="J596">
        <v>6</v>
      </c>
      <c r="K596">
        <v>0</v>
      </c>
      <c r="L596">
        <v>0</v>
      </c>
      <c r="M596">
        <v>0</v>
      </c>
      <c r="N596" t="s">
        <v>3915</v>
      </c>
      <c r="O596" t="s">
        <v>3915</v>
      </c>
      <c r="P596" t="s">
        <v>3915</v>
      </c>
      <c r="Q596">
        <v>0</v>
      </c>
      <c r="R596" t="s">
        <v>30</v>
      </c>
      <c r="S596">
        <v>0</v>
      </c>
      <c r="T596">
        <v>0</v>
      </c>
      <c r="U596" t="s">
        <v>3915</v>
      </c>
      <c r="V596" t="s">
        <v>31</v>
      </c>
      <c r="W596">
        <v>0</v>
      </c>
    </row>
    <row r="597" spans="1:23" x14ac:dyDescent="0.25">
      <c r="A597" t="s">
        <v>4871</v>
      </c>
      <c r="B597" t="s">
        <v>3617</v>
      </c>
      <c r="C597" t="s">
        <v>3616</v>
      </c>
      <c r="D597" t="s">
        <v>4479</v>
      </c>
      <c r="E597" t="s">
        <v>4305</v>
      </c>
      <c r="F597" t="s">
        <v>791</v>
      </c>
      <c r="G597" t="s">
        <v>1406</v>
      </c>
      <c r="H597" s="6">
        <v>46022</v>
      </c>
      <c r="I597" t="s">
        <v>29</v>
      </c>
      <c r="J597">
        <v>41</v>
      </c>
      <c r="K597">
        <v>0</v>
      </c>
      <c r="L597">
        <v>0</v>
      </c>
      <c r="M597">
        <v>0</v>
      </c>
      <c r="N597" t="s">
        <v>3915</v>
      </c>
      <c r="O597" t="s">
        <v>3915</v>
      </c>
      <c r="P597" t="s">
        <v>3915</v>
      </c>
      <c r="Q597">
        <v>0</v>
      </c>
      <c r="R597" t="s">
        <v>30</v>
      </c>
      <c r="S597">
        <v>0</v>
      </c>
      <c r="T597">
        <v>0</v>
      </c>
      <c r="U597" t="s">
        <v>3915</v>
      </c>
      <c r="V597" t="s">
        <v>31</v>
      </c>
      <c r="W597">
        <v>0</v>
      </c>
    </row>
    <row r="598" spans="1:23" x14ac:dyDescent="0.25">
      <c r="A598" t="s">
        <v>4872</v>
      </c>
      <c r="B598" t="s">
        <v>3619</v>
      </c>
      <c r="C598" t="s">
        <v>3618</v>
      </c>
      <c r="D598" t="s">
        <v>4479</v>
      </c>
      <c r="E598" t="s">
        <v>4305</v>
      </c>
      <c r="F598" t="s">
        <v>791</v>
      </c>
      <c r="G598" t="s">
        <v>1406</v>
      </c>
      <c r="H598" s="6">
        <v>46022</v>
      </c>
      <c r="I598" t="s">
        <v>29</v>
      </c>
      <c r="J598">
        <v>12</v>
      </c>
      <c r="K598">
        <v>0</v>
      </c>
      <c r="L598">
        <v>0</v>
      </c>
      <c r="M598">
        <v>0</v>
      </c>
      <c r="N598" t="s">
        <v>3915</v>
      </c>
      <c r="O598" t="s">
        <v>3915</v>
      </c>
      <c r="P598" t="s">
        <v>3915</v>
      </c>
      <c r="Q598">
        <v>0</v>
      </c>
      <c r="R598" t="s">
        <v>30</v>
      </c>
      <c r="S598">
        <v>0</v>
      </c>
      <c r="T598">
        <v>0</v>
      </c>
      <c r="U598" t="s">
        <v>3915</v>
      </c>
      <c r="V598" t="s">
        <v>31</v>
      </c>
      <c r="W598">
        <v>0</v>
      </c>
    </row>
    <row r="599" spans="1:23" x14ac:dyDescent="0.25">
      <c r="A599" t="s">
        <v>4873</v>
      </c>
      <c r="B599" t="s">
        <v>3621</v>
      </c>
      <c r="C599" t="s">
        <v>3620</v>
      </c>
      <c r="D599" t="s">
        <v>4479</v>
      </c>
      <c r="E599" t="s">
        <v>4305</v>
      </c>
      <c r="F599" t="s">
        <v>791</v>
      </c>
      <c r="G599" t="s">
        <v>1406</v>
      </c>
      <c r="H599" s="6">
        <v>46022</v>
      </c>
      <c r="I599" t="s">
        <v>29</v>
      </c>
      <c r="J599">
        <v>10</v>
      </c>
      <c r="K599">
        <v>0</v>
      </c>
      <c r="L599">
        <v>0</v>
      </c>
      <c r="M599">
        <v>0</v>
      </c>
      <c r="N599" t="s">
        <v>3915</v>
      </c>
      <c r="O599" t="s">
        <v>3915</v>
      </c>
      <c r="P599" t="s">
        <v>3915</v>
      </c>
      <c r="Q599">
        <v>0</v>
      </c>
      <c r="R599" t="s">
        <v>30</v>
      </c>
      <c r="S599">
        <v>0</v>
      </c>
      <c r="T599">
        <v>0</v>
      </c>
      <c r="U599" t="s">
        <v>3915</v>
      </c>
      <c r="V599" t="s">
        <v>31</v>
      </c>
      <c r="W599">
        <v>0</v>
      </c>
    </row>
    <row r="600" spans="1:23" x14ac:dyDescent="0.25">
      <c r="A600" t="s">
        <v>4874</v>
      </c>
      <c r="B600" t="s">
        <v>3623</v>
      </c>
      <c r="C600" t="s">
        <v>3622</v>
      </c>
      <c r="D600" t="s">
        <v>4479</v>
      </c>
      <c r="E600" t="s">
        <v>4305</v>
      </c>
      <c r="F600" t="s">
        <v>791</v>
      </c>
      <c r="G600" t="s">
        <v>1406</v>
      </c>
      <c r="H600" s="6">
        <v>46022</v>
      </c>
      <c r="I600" t="s">
        <v>29</v>
      </c>
      <c r="J600">
        <v>25</v>
      </c>
      <c r="K600">
        <v>0</v>
      </c>
      <c r="L600">
        <v>0</v>
      </c>
      <c r="M600">
        <v>0</v>
      </c>
      <c r="N600" t="s">
        <v>3915</v>
      </c>
      <c r="O600" t="s">
        <v>3915</v>
      </c>
      <c r="P600" t="s">
        <v>3915</v>
      </c>
      <c r="Q600">
        <v>0</v>
      </c>
      <c r="R600" t="s">
        <v>30</v>
      </c>
      <c r="S600">
        <v>0</v>
      </c>
      <c r="T600">
        <v>0</v>
      </c>
      <c r="U600" t="s">
        <v>3915</v>
      </c>
      <c r="V600" t="s">
        <v>31</v>
      </c>
      <c r="W600">
        <v>0</v>
      </c>
    </row>
    <row r="601" spans="1:23" x14ac:dyDescent="0.25">
      <c r="A601" t="s">
        <v>3937</v>
      </c>
      <c r="B601" t="s">
        <v>3625</v>
      </c>
      <c r="C601" t="s">
        <v>3624</v>
      </c>
      <c r="D601" t="s">
        <v>4479</v>
      </c>
      <c r="E601" t="s">
        <v>4305</v>
      </c>
      <c r="F601" t="s">
        <v>791</v>
      </c>
      <c r="G601" t="s">
        <v>1406</v>
      </c>
      <c r="H601" s="6">
        <v>46022</v>
      </c>
      <c r="I601" t="s">
        <v>29</v>
      </c>
      <c r="J601">
        <v>14</v>
      </c>
      <c r="K601">
        <v>0</v>
      </c>
      <c r="L601">
        <v>0</v>
      </c>
      <c r="M601">
        <v>0</v>
      </c>
      <c r="N601" t="s">
        <v>3915</v>
      </c>
      <c r="O601" t="s">
        <v>3915</v>
      </c>
      <c r="P601" t="s">
        <v>3915</v>
      </c>
      <c r="Q601">
        <v>0</v>
      </c>
      <c r="R601" t="s">
        <v>30</v>
      </c>
      <c r="S601">
        <v>0</v>
      </c>
      <c r="T601">
        <v>0</v>
      </c>
      <c r="U601" t="s">
        <v>3915</v>
      </c>
      <c r="V601" t="s">
        <v>31</v>
      </c>
      <c r="W601">
        <v>0</v>
      </c>
    </row>
    <row r="602" spans="1:23" x14ac:dyDescent="0.25">
      <c r="A602" t="s">
        <v>4875</v>
      </c>
      <c r="B602" t="s">
        <v>3627</v>
      </c>
      <c r="C602" t="s">
        <v>3626</v>
      </c>
      <c r="D602" t="s">
        <v>4479</v>
      </c>
      <c r="E602" t="s">
        <v>4305</v>
      </c>
      <c r="F602" t="s">
        <v>791</v>
      </c>
      <c r="G602" t="s">
        <v>1406</v>
      </c>
      <c r="H602" s="6">
        <v>46022</v>
      </c>
      <c r="I602" t="s">
        <v>29</v>
      </c>
      <c r="J602">
        <v>3</v>
      </c>
      <c r="K602">
        <v>0</v>
      </c>
      <c r="L602">
        <v>0</v>
      </c>
      <c r="M602">
        <v>0</v>
      </c>
      <c r="N602" t="s">
        <v>3915</v>
      </c>
      <c r="O602" t="s">
        <v>3915</v>
      </c>
      <c r="P602" t="s">
        <v>3915</v>
      </c>
      <c r="Q602">
        <v>0</v>
      </c>
      <c r="R602" t="s">
        <v>30</v>
      </c>
      <c r="S602">
        <v>0</v>
      </c>
      <c r="T602">
        <v>0</v>
      </c>
      <c r="U602" t="s">
        <v>3915</v>
      </c>
      <c r="V602" t="s">
        <v>31</v>
      </c>
      <c r="W602">
        <v>0</v>
      </c>
    </row>
    <row r="603" spans="1:23" x14ac:dyDescent="0.25">
      <c r="A603" t="s">
        <v>4876</v>
      </c>
      <c r="B603" t="s">
        <v>3629</v>
      </c>
      <c r="C603" t="s">
        <v>3628</v>
      </c>
      <c r="D603" t="s">
        <v>4479</v>
      </c>
      <c r="E603" t="s">
        <v>4305</v>
      </c>
      <c r="F603" t="s">
        <v>791</v>
      </c>
      <c r="G603" t="s">
        <v>1406</v>
      </c>
      <c r="H603" s="6">
        <v>46022</v>
      </c>
      <c r="I603" t="s">
        <v>29</v>
      </c>
      <c r="J603">
        <v>13</v>
      </c>
      <c r="K603">
        <v>0</v>
      </c>
      <c r="L603">
        <v>0</v>
      </c>
      <c r="M603">
        <v>0</v>
      </c>
      <c r="N603" t="s">
        <v>3915</v>
      </c>
      <c r="O603" t="s">
        <v>3915</v>
      </c>
      <c r="P603" t="s">
        <v>3915</v>
      </c>
      <c r="Q603">
        <v>0</v>
      </c>
      <c r="R603" t="s">
        <v>30</v>
      </c>
      <c r="S603">
        <v>0</v>
      </c>
      <c r="T603">
        <v>0</v>
      </c>
      <c r="U603" t="s">
        <v>3915</v>
      </c>
      <c r="V603" t="s">
        <v>31</v>
      </c>
      <c r="W603">
        <v>0</v>
      </c>
    </row>
    <row r="604" spans="1:23" x14ac:dyDescent="0.25">
      <c r="A604" t="s">
        <v>4877</v>
      </c>
      <c r="B604" t="s">
        <v>3631</v>
      </c>
      <c r="C604" t="s">
        <v>3630</v>
      </c>
      <c r="D604" t="s">
        <v>4479</v>
      </c>
      <c r="E604" t="s">
        <v>4305</v>
      </c>
      <c r="F604" t="s">
        <v>791</v>
      </c>
      <c r="G604" t="s">
        <v>1406</v>
      </c>
      <c r="H604" s="6">
        <v>46022</v>
      </c>
      <c r="I604" t="s">
        <v>29</v>
      </c>
      <c r="J604">
        <v>1</v>
      </c>
      <c r="K604">
        <v>0</v>
      </c>
      <c r="L604">
        <v>0</v>
      </c>
      <c r="M604">
        <v>0</v>
      </c>
      <c r="N604" t="s">
        <v>3915</v>
      </c>
      <c r="O604" t="s">
        <v>3915</v>
      </c>
      <c r="P604" t="s">
        <v>3915</v>
      </c>
      <c r="Q604">
        <v>0</v>
      </c>
      <c r="R604" t="s">
        <v>30</v>
      </c>
      <c r="S604">
        <v>0</v>
      </c>
      <c r="T604">
        <v>0</v>
      </c>
      <c r="U604" t="s">
        <v>3915</v>
      </c>
      <c r="V604" t="s">
        <v>31</v>
      </c>
      <c r="W604">
        <v>0</v>
      </c>
    </row>
    <row r="605" spans="1:23" x14ac:dyDescent="0.25">
      <c r="A605" t="s">
        <v>4878</v>
      </c>
      <c r="B605" t="s">
        <v>3633</v>
      </c>
      <c r="C605" t="s">
        <v>3632</v>
      </c>
      <c r="D605" t="s">
        <v>4479</v>
      </c>
      <c r="E605" t="s">
        <v>4305</v>
      </c>
      <c r="F605" t="s">
        <v>791</v>
      </c>
      <c r="G605" t="s">
        <v>1406</v>
      </c>
      <c r="H605" s="6">
        <v>46022</v>
      </c>
      <c r="I605" t="s">
        <v>29</v>
      </c>
      <c r="J605">
        <v>12</v>
      </c>
      <c r="K605">
        <v>0</v>
      </c>
      <c r="L605">
        <v>0</v>
      </c>
      <c r="M605">
        <v>0</v>
      </c>
      <c r="N605" t="s">
        <v>3915</v>
      </c>
      <c r="O605" t="s">
        <v>3915</v>
      </c>
      <c r="P605" t="s">
        <v>3915</v>
      </c>
      <c r="Q605">
        <v>0</v>
      </c>
      <c r="R605" t="s">
        <v>30</v>
      </c>
      <c r="S605">
        <v>0</v>
      </c>
      <c r="T605">
        <v>0</v>
      </c>
      <c r="U605" t="s">
        <v>3915</v>
      </c>
      <c r="V605" t="s">
        <v>31</v>
      </c>
      <c r="W605">
        <v>0</v>
      </c>
    </row>
    <row r="606" spans="1:23" x14ac:dyDescent="0.25">
      <c r="A606" t="s">
        <v>4879</v>
      </c>
      <c r="B606" t="s">
        <v>3635</v>
      </c>
      <c r="C606" t="s">
        <v>3634</v>
      </c>
      <c r="D606" t="s">
        <v>4479</v>
      </c>
      <c r="E606" t="s">
        <v>4305</v>
      </c>
      <c r="F606" t="s">
        <v>791</v>
      </c>
      <c r="G606" t="s">
        <v>1406</v>
      </c>
      <c r="H606" s="6">
        <v>46022</v>
      </c>
      <c r="I606" t="s">
        <v>29</v>
      </c>
      <c r="J606">
        <v>49</v>
      </c>
      <c r="K606">
        <v>0</v>
      </c>
      <c r="L606">
        <v>0</v>
      </c>
      <c r="M606">
        <v>0</v>
      </c>
      <c r="N606" t="s">
        <v>3915</v>
      </c>
      <c r="O606" t="s">
        <v>3915</v>
      </c>
      <c r="P606" t="s">
        <v>3915</v>
      </c>
      <c r="Q606">
        <v>0</v>
      </c>
      <c r="R606" t="s">
        <v>30</v>
      </c>
      <c r="S606">
        <v>0</v>
      </c>
      <c r="T606">
        <v>0</v>
      </c>
      <c r="U606" t="s">
        <v>3915</v>
      </c>
      <c r="V606" t="s">
        <v>31</v>
      </c>
      <c r="W606">
        <v>0</v>
      </c>
    </row>
    <row r="607" spans="1:23" x14ac:dyDescent="0.25">
      <c r="A607" t="s">
        <v>4880</v>
      </c>
      <c r="B607" t="s">
        <v>3637</v>
      </c>
      <c r="C607" t="s">
        <v>3636</v>
      </c>
      <c r="D607" t="s">
        <v>4479</v>
      </c>
      <c r="E607" t="s">
        <v>4305</v>
      </c>
      <c r="F607" t="s">
        <v>791</v>
      </c>
      <c r="G607" t="s">
        <v>1406</v>
      </c>
      <c r="H607" s="6">
        <v>46022</v>
      </c>
      <c r="I607" t="s">
        <v>29</v>
      </c>
      <c r="J607">
        <v>16</v>
      </c>
      <c r="K607">
        <v>0</v>
      </c>
      <c r="L607">
        <v>0</v>
      </c>
      <c r="M607">
        <v>0</v>
      </c>
      <c r="N607" t="s">
        <v>3915</v>
      </c>
      <c r="O607" t="s">
        <v>3915</v>
      </c>
      <c r="P607" t="s">
        <v>3915</v>
      </c>
      <c r="Q607">
        <v>0</v>
      </c>
      <c r="R607" t="s">
        <v>30</v>
      </c>
      <c r="S607">
        <v>0</v>
      </c>
      <c r="T607">
        <v>0</v>
      </c>
      <c r="U607" t="s">
        <v>3915</v>
      </c>
      <c r="V607" t="s">
        <v>31</v>
      </c>
      <c r="W607">
        <v>0</v>
      </c>
    </row>
    <row r="608" spans="1:23" x14ac:dyDescent="0.25">
      <c r="A608" t="s">
        <v>4358</v>
      </c>
      <c r="B608" t="s">
        <v>3639</v>
      </c>
      <c r="C608" t="s">
        <v>3638</v>
      </c>
      <c r="D608" t="s">
        <v>4479</v>
      </c>
      <c r="E608" t="s">
        <v>4305</v>
      </c>
      <c r="F608" t="s">
        <v>791</v>
      </c>
      <c r="G608" t="s">
        <v>1406</v>
      </c>
      <c r="H608" s="6">
        <v>46022</v>
      </c>
      <c r="I608" t="s">
        <v>29</v>
      </c>
      <c r="J608">
        <v>27</v>
      </c>
      <c r="K608">
        <v>0</v>
      </c>
      <c r="L608">
        <v>0</v>
      </c>
      <c r="M608">
        <v>0</v>
      </c>
      <c r="N608" t="s">
        <v>3915</v>
      </c>
      <c r="O608" t="s">
        <v>3915</v>
      </c>
      <c r="P608" t="s">
        <v>3915</v>
      </c>
      <c r="Q608">
        <v>0</v>
      </c>
      <c r="R608" t="s">
        <v>30</v>
      </c>
      <c r="S608">
        <v>0</v>
      </c>
      <c r="T608">
        <v>0</v>
      </c>
      <c r="U608" t="s">
        <v>3915</v>
      </c>
      <c r="V608" t="s">
        <v>31</v>
      </c>
      <c r="W608">
        <v>0</v>
      </c>
    </row>
    <row r="609" spans="1:23" x14ac:dyDescent="0.25">
      <c r="A609" t="s">
        <v>4881</v>
      </c>
      <c r="B609" t="s">
        <v>3641</v>
      </c>
      <c r="C609" t="s">
        <v>3640</v>
      </c>
      <c r="D609" t="s">
        <v>4479</v>
      </c>
      <c r="E609" t="s">
        <v>4305</v>
      </c>
      <c r="F609" t="s">
        <v>791</v>
      </c>
      <c r="G609" t="s">
        <v>1406</v>
      </c>
      <c r="H609" s="6">
        <v>46022</v>
      </c>
      <c r="I609" t="s">
        <v>29</v>
      </c>
      <c r="J609">
        <v>90</v>
      </c>
      <c r="K609">
        <v>0</v>
      </c>
      <c r="L609">
        <v>0</v>
      </c>
      <c r="M609">
        <v>0</v>
      </c>
      <c r="N609" t="s">
        <v>3915</v>
      </c>
      <c r="O609" t="s">
        <v>3915</v>
      </c>
      <c r="P609" t="s">
        <v>3915</v>
      </c>
      <c r="Q609">
        <v>0</v>
      </c>
      <c r="R609" t="s">
        <v>30</v>
      </c>
      <c r="S609">
        <v>0</v>
      </c>
      <c r="T609">
        <v>0</v>
      </c>
      <c r="U609" t="s">
        <v>3915</v>
      </c>
      <c r="V609" t="s">
        <v>31</v>
      </c>
      <c r="W609">
        <v>0</v>
      </c>
    </row>
    <row r="610" spans="1:23" x14ac:dyDescent="0.25">
      <c r="A610" t="s">
        <v>4235</v>
      </c>
      <c r="B610" t="s">
        <v>3643</v>
      </c>
      <c r="C610" t="s">
        <v>3642</v>
      </c>
      <c r="D610" t="s">
        <v>4479</v>
      </c>
      <c r="E610" t="s">
        <v>4305</v>
      </c>
      <c r="F610" t="s">
        <v>791</v>
      </c>
      <c r="G610" t="s">
        <v>1406</v>
      </c>
      <c r="H610" s="6">
        <v>46022</v>
      </c>
      <c r="I610" t="s">
        <v>29</v>
      </c>
      <c r="J610">
        <v>4</v>
      </c>
      <c r="K610">
        <v>0</v>
      </c>
      <c r="L610">
        <v>0</v>
      </c>
      <c r="M610">
        <v>0</v>
      </c>
      <c r="N610" t="s">
        <v>3915</v>
      </c>
      <c r="O610" t="s">
        <v>3915</v>
      </c>
      <c r="P610" t="s">
        <v>3915</v>
      </c>
      <c r="Q610">
        <v>0</v>
      </c>
      <c r="R610" t="s">
        <v>30</v>
      </c>
      <c r="S610">
        <v>0</v>
      </c>
      <c r="T610">
        <v>0</v>
      </c>
      <c r="U610" t="s">
        <v>3915</v>
      </c>
      <c r="V610" t="s">
        <v>31</v>
      </c>
      <c r="W610">
        <v>0</v>
      </c>
    </row>
    <row r="611" spans="1:23" x14ac:dyDescent="0.25">
      <c r="A611" t="s">
        <v>4882</v>
      </c>
      <c r="B611" t="s">
        <v>3645</v>
      </c>
      <c r="C611" t="s">
        <v>3644</v>
      </c>
      <c r="D611" t="s">
        <v>4479</v>
      </c>
      <c r="E611" t="s">
        <v>4305</v>
      </c>
      <c r="F611" t="s">
        <v>791</v>
      </c>
      <c r="G611" t="s">
        <v>1406</v>
      </c>
      <c r="H611" s="6">
        <v>46022</v>
      </c>
      <c r="I611" t="s">
        <v>29</v>
      </c>
      <c r="J611">
        <v>47</v>
      </c>
      <c r="K611">
        <v>0</v>
      </c>
      <c r="L611">
        <v>0</v>
      </c>
      <c r="M611">
        <v>0</v>
      </c>
      <c r="N611" t="s">
        <v>3915</v>
      </c>
      <c r="O611" t="s">
        <v>3915</v>
      </c>
      <c r="P611" t="s">
        <v>3915</v>
      </c>
      <c r="Q611">
        <v>0</v>
      </c>
      <c r="R611" t="s">
        <v>30</v>
      </c>
      <c r="S611">
        <v>0</v>
      </c>
      <c r="T611">
        <v>0</v>
      </c>
      <c r="U611" t="s">
        <v>3915</v>
      </c>
      <c r="V611" t="s">
        <v>31</v>
      </c>
      <c r="W611">
        <v>0</v>
      </c>
    </row>
    <row r="612" spans="1:23" x14ac:dyDescent="0.25">
      <c r="A612" t="s">
        <v>4883</v>
      </c>
      <c r="B612" t="s">
        <v>3647</v>
      </c>
      <c r="C612" t="s">
        <v>3646</v>
      </c>
      <c r="D612" t="s">
        <v>4479</v>
      </c>
      <c r="E612" t="s">
        <v>4305</v>
      </c>
      <c r="F612" t="s">
        <v>791</v>
      </c>
      <c r="G612" t="s">
        <v>1406</v>
      </c>
      <c r="H612" s="6">
        <v>46022</v>
      </c>
      <c r="I612" t="s">
        <v>29</v>
      </c>
      <c r="J612">
        <v>2</v>
      </c>
      <c r="K612">
        <v>0</v>
      </c>
      <c r="L612">
        <v>0</v>
      </c>
      <c r="M612">
        <v>0</v>
      </c>
      <c r="N612" t="s">
        <v>3915</v>
      </c>
      <c r="O612" t="s">
        <v>3915</v>
      </c>
      <c r="P612" t="s">
        <v>3915</v>
      </c>
      <c r="Q612">
        <v>0</v>
      </c>
      <c r="R612" t="s">
        <v>30</v>
      </c>
      <c r="S612">
        <v>0</v>
      </c>
      <c r="T612">
        <v>0</v>
      </c>
      <c r="U612" t="s">
        <v>3915</v>
      </c>
      <c r="V612" t="s">
        <v>31</v>
      </c>
      <c r="W612">
        <v>0</v>
      </c>
    </row>
    <row r="613" spans="1:23" x14ac:dyDescent="0.25">
      <c r="A613" t="s">
        <v>4884</v>
      </c>
      <c r="B613" t="s">
        <v>3649</v>
      </c>
      <c r="C613" t="s">
        <v>3648</v>
      </c>
      <c r="D613" t="s">
        <v>4479</v>
      </c>
      <c r="E613" t="s">
        <v>4305</v>
      </c>
      <c r="F613" t="s">
        <v>791</v>
      </c>
      <c r="G613" t="s">
        <v>1406</v>
      </c>
      <c r="H613" s="6">
        <v>46022</v>
      </c>
      <c r="I613" t="s">
        <v>29</v>
      </c>
      <c r="J613">
        <v>71</v>
      </c>
      <c r="K613">
        <v>0</v>
      </c>
      <c r="L613">
        <v>0</v>
      </c>
      <c r="M613">
        <v>0</v>
      </c>
      <c r="N613" t="s">
        <v>3915</v>
      </c>
      <c r="O613" t="s">
        <v>3915</v>
      </c>
      <c r="P613" t="s">
        <v>3915</v>
      </c>
      <c r="Q613">
        <v>0</v>
      </c>
      <c r="R613" t="s">
        <v>30</v>
      </c>
      <c r="S613">
        <v>0</v>
      </c>
      <c r="T613">
        <v>0</v>
      </c>
      <c r="U613" t="s">
        <v>3915</v>
      </c>
      <c r="V613" t="s">
        <v>31</v>
      </c>
      <c r="W613">
        <v>0</v>
      </c>
    </row>
    <row r="614" spans="1:23" x14ac:dyDescent="0.25">
      <c r="A614" t="s">
        <v>4885</v>
      </c>
      <c r="B614" t="s">
        <v>3651</v>
      </c>
      <c r="C614" t="s">
        <v>3650</v>
      </c>
      <c r="D614" t="s">
        <v>4479</v>
      </c>
      <c r="E614" t="s">
        <v>4305</v>
      </c>
      <c r="F614" t="s">
        <v>791</v>
      </c>
      <c r="G614" t="s">
        <v>1406</v>
      </c>
      <c r="H614" s="6">
        <v>46022</v>
      </c>
      <c r="I614" t="s">
        <v>29</v>
      </c>
      <c r="J614">
        <v>20</v>
      </c>
      <c r="K614">
        <v>0</v>
      </c>
      <c r="L614">
        <v>0</v>
      </c>
      <c r="M614">
        <v>0</v>
      </c>
      <c r="N614" t="s">
        <v>3915</v>
      </c>
      <c r="O614" t="s">
        <v>3915</v>
      </c>
      <c r="P614" t="s">
        <v>3915</v>
      </c>
      <c r="Q614">
        <v>0</v>
      </c>
      <c r="R614" t="s">
        <v>30</v>
      </c>
      <c r="S614">
        <v>0</v>
      </c>
      <c r="T614">
        <v>0</v>
      </c>
      <c r="U614" t="s">
        <v>3915</v>
      </c>
      <c r="V614" t="s">
        <v>31</v>
      </c>
      <c r="W614">
        <v>0</v>
      </c>
    </row>
    <row r="615" spans="1:23" x14ac:dyDescent="0.25">
      <c r="A615" t="s">
        <v>4886</v>
      </c>
      <c r="B615" t="s">
        <v>3653</v>
      </c>
      <c r="C615" t="s">
        <v>3652</v>
      </c>
      <c r="D615" t="s">
        <v>4479</v>
      </c>
      <c r="E615" t="s">
        <v>4305</v>
      </c>
      <c r="F615" t="s">
        <v>791</v>
      </c>
      <c r="G615" t="s">
        <v>1406</v>
      </c>
      <c r="H615" s="6">
        <v>46022</v>
      </c>
      <c r="I615" t="s">
        <v>29</v>
      </c>
      <c r="J615">
        <v>33</v>
      </c>
      <c r="K615">
        <v>0</v>
      </c>
      <c r="L615">
        <v>0</v>
      </c>
      <c r="M615">
        <v>0</v>
      </c>
      <c r="N615" t="s">
        <v>3915</v>
      </c>
      <c r="O615" t="s">
        <v>3915</v>
      </c>
      <c r="P615" t="s">
        <v>3915</v>
      </c>
      <c r="Q615">
        <v>0</v>
      </c>
      <c r="R615" t="s">
        <v>30</v>
      </c>
      <c r="S615">
        <v>0</v>
      </c>
      <c r="T615">
        <v>0</v>
      </c>
      <c r="U615" t="s">
        <v>3915</v>
      </c>
      <c r="V615" t="s">
        <v>31</v>
      </c>
      <c r="W615">
        <v>0</v>
      </c>
    </row>
    <row r="616" spans="1:23" x14ac:dyDescent="0.25">
      <c r="A616" t="s">
        <v>4887</v>
      </c>
      <c r="B616" t="s">
        <v>3655</v>
      </c>
      <c r="C616" t="s">
        <v>3654</v>
      </c>
      <c r="D616" t="s">
        <v>4479</v>
      </c>
      <c r="E616" t="s">
        <v>4305</v>
      </c>
      <c r="F616" t="s">
        <v>791</v>
      </c>
      <c r="G616" t="s">
        <v>1406</v>
      </c>
      <c r="H616" s="6">
        <v>46022</v>
      </c>
      <c r="I616" t="s">
        <v>29</v>
      </c>
      <c r="J616">
        <v>5</v>
      </c>
      <c r="K616">
        <v>0</v>
      </c>
      <c r="L616">
        <v>0</v>
      </c>
      <c r="M616">
        <v>0</v>
      </c>
      <c r="N616" t="s">
        <v>3915</v>
      </c>
      <c r="O616" t="s">
        <v>3915</v>
      </c>
      <c r="P616" t="s">
        <v>3915</v>
      </c>
      <c r="Q616">
        <v>0</v>
      </c>
      <c r="R616" t="s">
        <v>30</v>
      </c>
      <c r="S616">
        <v>0</v>
      </c>
      <c r="T616">
        <v>0</v>
      </c>
      <c r="U616" t="s">
        <v>3915</v>
      </c>
      <c r="V616" t="s">
        <v>31</v>
      </c>
      <c r="W616">
        <v>0</v>
      </c>
    </row>
    <row r="617" spans="1:23" x14ac:dyDescent="0.25">
      <c r="A617" t="s">
        <v>4888</v>
      </c>
      <c r="B617" t="s">
        <v>3657</v>
      </c>
      <c r="C617" t="s">
        <v>3656</v>
      </c>
      <c r="D617" t="s">
        <v>4479</v>
      </c>
      <c r="E617" t="s">
        <v>4305</v>
      </c>
      <c r="F617" t="s">
        <v>791</v>
      </c>
      <c r="G617" t="s">
        <v>1406</v>
      </c>
      <c r="H617" s="6">
        <v>46022</v>
      </c>
      <c r="I617" t="s">
        <v>29</v>
      </c>
      <c r="J617">
        <v>68</v>
      </c>
      <c r="K617">
        <v>0</v>
      </c>
      <c r="L617">
        <v>0</v>
      </c>
      <c r="M617">
        <v>0</v>
      </c>
      <c r="N617" t="s">
        <v>3915</v>
      </c>
      <c r="O617" t="s">
        <v>3915</v>
      </c>
      <c r="P617" t="s">
        <v>3915</v>
      </c>
      <c r="Q617">
        <v>0</v>
      </c>
      <c r="R617" t="s">
        <v>30</v>
      </c>
      <c r="S617">
        <v>0</v>
      </c>
      <c r="T617">
        <v>0</v>
      </c>
      <c r="U617" t="s">
        <v>3915</v>
      </c>
      <c r="V617" t="s">
        <v>31</v>
      </c>
      <c r="W617">
        <v>0</v>
      </c>
    </row>
    <row r="618" spans="1:23" x14ac:dyDescent="0.25">
      <c r="A618" t="s">
        <v>4889</v>
      </c>
      <c r="B618" t="s">
        <v>3659</v>
      </c>
      <c r="C618" t="s">
        <v>3658</v>
      </c>
      <c r="D618" t="s">
        <v>4479</v>
      </c>
      <c r="E618" t="s">
        <v>4305</v>
      </c>
      <c r="F618" t="s">
        <v>791</v>
      </c>
      <c r="G618" t="s">
        <v>1406</v>
      </c>
      <c r="H618" s="6">
        <v>46022</v>
      </c>
      <c r="I618" t="s">
        <v>29</v>
      </c>
      <c r="J618">
        <v>15</v>
      </c>
      <c r="K618">
        <v>0</v>
      </c>
      <c r="L618">
        <v>0</v>
      </c>
      <c r="M618">
        <v>0</v>
      </c>
      <c r="N618" t="s">
        <v>3915</v>
      </c>
      <c r="O618" t="s">
        <v>3915</v>
      </c>
      <c r="P618" t="s">
        <v>3915</v>
      </c>
      <c r="Q618">
        <v>0</v>
      </c>
      <c r="R618" t="s">
        <v>30</v>
      </c>
      <c r="S618">
        <v>0</v>
      </c>
      <c r="T618">
        <v>0</v>
      </c>
      <c r="U618" t="s">
        <v>3915</v>
      </c>
      <c r="V618" t="s">
        <v>31</v>
      </c>
      <c r="W618">
        <v>0</v>
      </c>
    </row>
    <row r="619" spans="1:23" x14ac:dyDescent="0.25">
      <c r="A619" t="s">
        <v>4890</v>
      </c>
      <c r="B619" t="s">
        <v>3661</v>
      </c>
      <c r="C619" t="s">
        <v>3660</v>
      </c>
      <c r="D619" t="s">
        <v>4479</v>
      </c>
      <c r="E619" t="s">
        <v>4305</v>
      </c>
      <c r="F619" t="s">
        <v>791</v>
      </c>
      <c r="G619" t="s">
        <v>1406</v>
      </c>
      <c r="H619" s="6">
        <v>46022</v>
      </c>
      <c r="I619" t="s">
        <v>29</v>
      </c>
      <c r="J619">
        <v>71</v>
      </c>
      <c r="K619">
        <v>0</v>
      </c>
      <c r="L619">
        <v>0</v>
      </c>
      <c r="M619">
        <v>0</v>
      </c>
      <c r="N619" t="s">
        <v>3915</v>
      </c>
      <c r="O619" t="s">
        <v>3915</v>
      </c>
      <c r="P619" t="s">
        <v>3915</v>
      </c>
      <c r="Q619">
        <v>0</v>
      </c>
      <c r="R619" t="s">
        <v>30</v>
      </c>
      <c r="S619">
        <v>0</v>
      </c>
      <c r="T619">
        <v>0</v>
      </c>
      <c r="U619" t="s">
        <v>3915</v>
      </c>
      <c r="V619" t="s">
        <v>31</v>
      </c>
      <c r="W619">
        <v>0</v>
      </c>
    </row>
    <row r="620" spans="1:23" x14ac:dyDescent="0.25">
      <c r="A620" t="s">
        <v>4141</v>
      </c>
      <c r="B620" t="s">
        <v>3663</v>
      </c>
      <c r="C620" t="s">
        <v>3662</v>
      </c>
      <c r="D620" t="s">
        <v>4479</v>
      </c>
      <c r="E620" t="s">
        <v>4305</v>
      </c>
      <c r="F620" t="s">
        <v>791</v>
      </c>
      <c r="G620" t="s">
        <v>1406</v>
      </c>
      <c r="H620" s="6">
        <v>46022</v>
      </c>
      <c r="I620" t="s">
        <v>29</v>
      </c>
      <c r="J620">
        <v>7</v>
      </c>
      <c r="K620">
        <v>0</v>
      </c>
      <c r="L620">
        <v>0</v>
      </c>
      <c r="M620">
        <v>0</v>
      </c>
      <c r="N620" t="s">
        <v>3915</v>
      </c>
      <c r="O620" t="s">
        <v>3915</v>
      </c>
      <c r="P620" t="s">
        <v>3915</v>
      </c>
      <c r="Q620">
        <v>0</v>
      </c>
      <c r="R620" t="s">
        <v>30</v>
      </c>
      <c r="S620">
        <v>0</v>
      </c>
      <c r="T620">
        <v>0</v>
      </c>
      <c r="U620" t="s">
        <v>3915</v>
      </c>
      <c r="V620" t="s">
        <v>31</v>
      </c>
      <c r="W620">
        <v>0</v>
      </c>
    </row>
    <row r="621" spans="1:23" x14ac:dyDescent="0.25">
      <c r="A621" t="s">
        <v>4298</v>
      </c>
      <c r="B621" t="s">
        <v>3665</v>
      </c>
      <c r="C621" t="s">
        <v>3664</v>
      </c>
      <c r="D621" t="s">
        <v>4479</v>
      </c>
      <c r="E621" t="s">
        <v>4305</v>
      </c>
      <c r="F621" t="s">
        <v>791</v>
      </c>
      <c r="G621" t="s">
        <v>1406</v>
      </c>
      <c r="H621" s="6">
        <v>46022</v>
      </c>
      <c r="I621" t="s">
        <v>29</v>
      </c>
      <c r="J621">
        <v>1</v>
      </c>
      <c r="K621">
        <v>0</v>
      </c>
      <c r="L621">
        <v>0</v>
      </c>
      <c r="M621">
        <v>0</v>
      </c>
      <c r="N621" t="s">
        <v>3915</v>
      </c>
      <c r="O621" t="s">
        <v>3915</v>
      </c>
      <c r="P621" t="s">
        <v>3915</v>
      </c>
      <c r="Q621">
        <v>0</v>
      </c>
      <c r="R621" t="s">
        <v>30</v>
      </c>
      <c r="S621">
        <v>0</v>
      </c>
      <c r="T621">
        <v>0</v>
      </c>
      <c r="U621" t="s">
        <v>3915</v>
      </c>
      <c r="V621" t="s">
        <v>31</v>
      </c>
      <c r="W621">
        <v>0</v>
      </c>
    </row>
    <row r="622" spans="1:23" x14ac:dyDescent="0.25">
      <c r="A622" t="s">
        <v>4891</v>
      </c>
      <c r="B622" t="s">
        <v>3667</v>
      </c>
      <c r="C622" t="s">
        <v>3666</v>
      </c>
      <c r="D622" t="s">
        <v>4479</v>
      </c>
      <c r="E622" t="s">
        <v>4305</v>
      </c>
      <c r="F622" t="s">
        <v>791</v>
      </c>
      <c r="G622" t="s">
        <v>1406</v>
      </c>
      <c r="H622" s="6">
        <v>46022</v>
      </c>
      <c r="I622" t="s">
        <v>29</v>
      </c>
      <c r="J622">
        <v>5</v>
      </c>
      <c r="K622">
        <v>0</v>
      </c>
      <c r="L622">
        <v>0</v>
      </c>
      <c r="M622">
        <v>0</v>
      </c>
      <c r="N622" t="s">
        <v>3915</v>
      </c>
      <c r="O622" t="s">
        <v>3915</v>
      </c>
      <c r="P622" t="s">
        <v>3915</v>
      </c>
      <c r="Q622">
        <v>0</v>
      </c>
      <c r="R622" t="s">
        <v>30</v>
      </c>
      <c r="S622">
        <v>0</v>
      </c>
      <c r="T622">
        <v>0</v>
      </c>
      <c r="U622" t="s">
        <v>3915</v>
      </c>
      <c r="V622" t="s">
        <v>31</v>
      </c>
      <c r="W622">
        <v>0</v>
      </c>
    </row>
    <row r="623" spans="1:23" x14ac:dyDescent="0.25">
      <c r="A623" t="s">
        <v>4892</v>
      </c>
      <c r="B623" t="s">
        <v>3669</v>
      </c>
      <c r="C623" t="s">
        <v>3668</v>
      </c>
      <c r="D623" t="s">
        <v>4479</v>
      </c>
      <c r="E623" t="s">
        <v>4305</v>
      </c>
      <c r="F623" t="s">
        <v>791</v>
      </c>
      <c r="G623" t="s">
        <v>1406</v>
      </c>
      <c r="H623" s="6">
        <v>46022</v>
      </c>
      <c r="I623" t="s">
        <v>29</v>
      </c>
      <c r="J623">
        <v>9</v>
      </c>
      <c r="K623">
        <v>0</v>
      </c>
      <c r="L623">
        <v>0</v>
      </c>
      <c r="M623">
        <v>0</v>
      </c>
      <c r="N623" t="s">
        <v>3915</v>
      </c>
      <c r="O623" t="s">
        <v>3915</v>
      </c>
      <c r="P623" t="s">
        <v>3915</v>
      </c>
      <c r="Q623">
        <v>0</v>
      </c>
      <c r="R623" t="s">
        <v>30</v>
      </c>
      <c r="S623">
        <v>0</v>
      </c>
      <c r="T623">
        <v>0</v>
      </c>
      <c r="U623" t="s">
        <v>3915</v>
      </c>
      <c r="V623" t="s">
        <v>31</v>
      </c>
      <c r="W623">
        <v>0</v>
      </c>
    </row>
    <row r="624" spans="1:23" x14ac:dyDescent="0.25">
      <c r="A624" t="s">
        <v>4893</v>
      </c>
      <c r="B624" t="s">
        <v>3671</v>
      </c>
      <c r="C624" t="s">
        <v>3670</v>
      </c>
      <c r="D624" t="s">
        <v>4479</v>
      </c>
      <c r="E624" t="s">
        <v>4305</v>
      </c>
      <c r="F624" t="s">
        <v>791</v>
      </c>
      <c r="G624" t="s">
        <v>1406</v>
      </c>
      <c r="H624" s="6">
        <v>46022</v>
      </c>
      <c r="I624" t="s">
        <v>29</v>
      </c>
      <c r="J624">
        <v>5</v>
      </c>
      <c r="K624">
        <v>0</v>
      </c>
      <c r="L624">
        <v>0</v>
      </c>
      <c r="M624">
        <v>0</v>
      </c>
      <c r="N624" t="s">
        <v>3915</v>
      </c>
      <c r="O624" t="s">
        <v>3915</v>
      </c>
      <c r="P624" t="s">
        <v>3915</v>
      </c>
      <c r="Q624">
        <v>0</v>
      </c>
      <c r="R624" t="s">
        <v>30</v>
      </c>
      <c r="S624">
        <v>0</v>
      </c>
      <c r="T624">
        <v>0</v>
      </c>
      <c r="U624" t="s">
        <v>3915</v>
      </c>
      <c r="V624" t="s">
        <v>31</v>
      </c>
      <c r="W624">
        <v>0</v>
      </c>
    </row>
    <row r="625" spans="1:23" x14ac:dyDescent="0.25">
      <c r="A625" t="s">
        <v>4894</v>
      </c>
      <c r="B625" t="s">
        <v>1014</v>
      </c>
      <c r="C625" t="s">
        <v>1015</v>
      </c>
      <c r="D625" t="s">
        <v>4479</v>
      </c>
      <c r="E625" t="s">
        <v>4305</v>
      </c>
      <c r="F625" t="s">
        <v>791</v>
      </c>
      <c r="G625" t="s">
        <v>1406</v>
      </c>
      <c r="H625" s="6">
        <v>46022</v>
      </c>
      <c r="I625" t="s">
        <v>29</v>
      </c>
      <c r="J625">
        <v>6</v>
      </c>
      <c r="K625">
        <v>0</v>
      </c>
      <c r="L625">
        <v>0</v>
      </c>
      <c r="M625">
        <v>0</v>
      </c>
      <c r="N625" t="s">
        <v>3915</v>
      </c>
      <c r="O625" t="s">
        <v>3915</v>
      </c>
      <c r="P625" t="s">
        <v>3915</v>
      </c>
      <c r="Q625">
        <v>0</v>
      </c>
      <c r="R625" t="s">
        <v>30</v>
      </c>
      <c r="S625">
        <v>0</v>
      </c>
      <c r="T625">
        <v>0</v>
      </c>
      <c r="U625" t="s">
        <v>3915</v>
      </c>
      <c r="V625" t="s">
        <v>31</v>
      </c>
      <c r="W625">
        <v>0</v>
      </c>
    </row>
    <row r="626" spans="1:23" x14ac:dyDescent="0.25">
      <c r="A626" t="s">
        <v>4895</v>
      </c>
      <c r="B626" t="s">
        <v>1552</v>
      </c>
      <c r="C626" t="s">
        <v>1551</v>
      </c>
      <c r="D626" t="s">
        <v>4479</v>
      </c>
      <c r="E626" t="s">
        <v>4305</v>
      </c>
      <c r="F626" t="s">
        <v>791</v>
      </c>
      <c r="G626" t="s">
        <v>1406</v>
      </c>
      <c r="H626" s="6">
        <v>46022</v>
      </c>
      <c r="I626" t="s">
        <v>29</v>
      </c>
      <c r="J626">
        <v>4</v>
      </c>
      <c r="K626">
        <v>0</v>
      </c>
      <c r="L626">
        <v>0</v>
      </c>
      <c r="M626">
        <v>0</v>
      </c>
      <c r="N626" t="s">
        <v>3915</v>
      </c>
      <c r="O626" t="s">
        <v>3915</v>
      </c>
      <c r="P626" t="s">
        <v>3915</v>
      </c>
      <c r="Q626">
        <v>0</v>
      </c>
      <c r="R626" t="s">
        <v>30</v>
      </c>
      <c r="S626">
        <v>0</v>
      </c>
      <c r="T626">
        <v>0</v>
      </c>
      <c r="U626" t="s">
        <v>3915</v>
      </c>
      <c r="V626" t="s">
        <v>31</v>
      </c>
      <c r="W626">
        <v>0</v>
      </c>
    </row>
    <row r="627" spans="1:23" x14ac:dyDescent="0.25">
      <c r="A627" t="s">
        <v>4896</v>
      </c>
      <c r="B627" t="s">
        <v>1022</v>
      </c>
      <c r="C627" t="s">
        <v>1023</v>
      </c>
      <c r="D627" t="s">
        <v>4479</v>
      </c>
      <c r="E627" t="s">
        <v>4305</v>
      </c>
      <c r="F627" t="s">
        <v>791</v>
      </c>
      <c r="G627" t="s">
        <v>1406</v>
      </c>
      <c r="H627" s="6">
        <v>46022</v>
      </c>
      <c r="I627" t="s">
        <v>29</v>
      </c>
      <c r="J627">
        <v>43</v>
      </c>
      <c r="K627">
        <v>0</v>
      </c>
      <c r="L627">
        <v>0</v>
      </c>
      <c r="M627">
        <v>0</v>
      </c>
      <c r="N627" t="s">
        <v>3915</v>
      </c>
      <c r="O627" t="s">
        <v>3915</v>
      </c>
      <c r="P627" t="s">
        <v>3915</v>
      </c>
      <c r="Q627">
        <v>0</v>
      </c>
      <c r="R627" t="s">
        <v>30</v>
      </c>
      <c r="S627">
        <v>0</v>
      </c>
      <c r="T627">
        <v>0</v>
      </c>
      <c r="U627" t="s">
        <v>3915</v>
      </c>
      <c r="V627" t="s">
        <v>31</v>
      </c>
      <c r="W627">
        <v>0</v>
      </c>
    </row>
    <row r="628" spans="1:23" x14ac:dyDescent="0.25">
      <c r="A628" t="s">
        <v>4310</v>
      </c>
      <c r="B628" t="s">
        <v>3673</v>
      </c>
      <c r="C628" t="s">
        <v>3672</v>
      </c>
      <c r="D628" t="s">
        <v>4479</v>
      </c>
      <c r="E628" t="s">
        <v>4305</v>
      </c>
      <c r="F628" t="s">
        <v>791</v>
      </c>
      <c r="G628" t="s">
        <v>1406</v>
      </c>
      <c r="H628" s="6">
        <v>46022</v>
      </c>
      <c r="I628" t="s">
        <v>29</v>
      </c>
      <c r="J628">
        <v>6</v>
      </c>
      <c r="K628">
        <v>0</v>
      </c>
      <c r="L628">
        <v>0</v>
      </c>
      <c r="M628">
        <v>0</v>
      </c>
      <c r="N628" t="s">
        <v>3915</v>
      </c>
      <c r="O628" t="s">
        <v>3915</v>
      </c>
      <c r="P628" t="s">
        <v>3915</v>
      </c>
      <c r="Q628">
        <v>0</v>
      </c>
      <c r="R628" t="s">
        <v>30</v>
      </c>
      <c r="S628">
        <v>0</v>
      </c>
      <c r="T628">
        <v>0</v>
      </c>
      <c r="U628" t="s">
        <v>3915</v>
      </c>
      <c r="V628" t="s">
        <v>31</v>
      </c>
      <c r="W628">
        <v>0</v>
      </c>
    </row>
    <row r="629" spans="1:23" x14ac:dyDescent="0.25">
      <c r="A629" t="s">
        <v>4897</v>
      </c>
      <c r="B629" t="s">
        <v>3679</v>
      </c>
      <c r="C629" t="s">
        <v>3678</v>
      </c>
      <c r="D629" t="s">
        <v>4479</v>
      </c>
      <c r="E629" t="s">
        <v>4898</v>
      </c>
      <c r="F629" t="s">
        <v>2901</v>
      </c>
      <c r="G629" t="s">
        <v>1406</v>
      </c>
      <c r="H629" s="6">
        <v>46022</v>
      </c>
      <c r="I629" t="s">
        <v>29</v>
      </c>
      <c r="J629">
        <v>1</v>
      </c>
      <c r="K629">
        <v>0</v>
      </c>
      <c r="L629">
        <v>0</v>
      </c>
      <c r="M629">
        <v>0</v>
      </c>
      <c r="N629" t="s">
        <v>3915</v>
      </c>
      <c r="O629" t="s">
        <v>3915</v>
      </c>
      <c r="P629" t="s">
        <v>3915</v>
      </c>
      <c r="Q629">
        <v>0</v>
      </c>
      <c r="R629" t="s">
        <v>30</v>
      </c>
      <c r="S629">
        <v>0</v>
      </c>
      <c r="T629">
        <v>0</v>
      </c>
      <c r="U629" t="s">
        <v>3915</v>
      </c>
      <c r="V629" t="s">
        <v>31</v>
      </c>
      <c r="W629">
        <v>0</v>
      </c>
    </row>
    <row r="630" spans="1:23" x14ac:dyDescent="0.25">
      <c r="A630" t="s">
        <v>4899</v>
      </c>
      <c r="B630" t="s">
        <v>3681</v>
      </c>
      <c r="C630" t="s">
        <v>3680</v>
      </c>
      <c r="D630" t="s">
        <v>4479</v>
      </c>
      <c r="E630" t="s">
        <v>4898</v>
      </c>
      <c r="F630" t="s">
        <v>2901</v>
      </c>
      <c r="G630" t="s">
        <v>1406</v>
      </c>
      <c r="H630" s="6">
        <v>46022</v>
      </c>
      <c r="I630" t="s">
        <v>29</v>
      </c>
      <c r="J630">
        <v>1</v>
      </c>
      <c r="K630">
        <v>0</v>
      </c>
      <c r="L630">
        <v>0</v>
      </c>
      <c r="M630">
        <v>0</v>
      </c>
      <c r="N630" t="s">
        <v>3915</v>
      </c>
      <c r="O630" t="s">
        <v>3915</v>
      </c>
      <c r="P630" t="s">
        <v>3915</v>
      </c>
      <c r="Q630">
        <v>0</v>
      </c>
      <c r="R630" t="s">
        <v>30</v>
      </c>
      <c r="S630">
        <v>0</v>
      </c>
      <c r="T630">
        <v>0</v>
      </c>
      <c r="U630" t="s">
        <v>3915</v>
      </c>
      <c r="V630" t="s">
        <v>31</v>
      </c>
      <c r="W630">
        <v>0</v>
      </c>
    </row>
    <row r="631" spans="1:23" x14ac:dyDescent="0.25">
      <c r="A631" t="s">
        <v>4900</v>
      </c>
      <c r="B631" t="s">
        <v>3683</v>
      </c>
      <c r="C631" t="s">
        <v>3682</v>
      </c>
      <c r="D631" t="s">
        <v>4479</v>
      </c>
      <c r="E631" t="s">
        <v>4898</v>
      </c>
      <c r="F631" t="s">
        <v>2901</v>
      </c>
      <c r="G631" t="s">
        <v>1406</v>
      </c>
      <c r="H631" s="6">
        <v>46022</v>
      </c>
      <c r="I631" t="s">
        <v>29</v>
      </c>
      <c r="J631">
        <v>0.5</v>
      </c>
      <c r="K631">
        <v>0</v>
      </c>
      <c r="L631">
        <v>0</v>
      </c>
      <c r="M631">
        <v>0</v>
      </c>
      <c r="N631" t="s">
        <v>3915</v>
      </c>
      <c r="O631" t="s">
        <v>3915</v>
      </c>
      <c r="P631" t="s">
        <v>3915</v>
      </c>
      <c r="Q631">
        <v>0</v>
      </c>
      <c r="R631" t="s">
        <v>30</v>
      </c>
      <c r="S631">
        <v>0</v>
      </c>
      <c r="T631">
        <v>0</v>
      </c>
      <c r="U631" t="s">
        <v>3915</v>
      </c>
      <c r="V631" t="s">
        <v>31</v>
      </c>
      <c r="W631">
        <v>0</v>
      </c>
    </row>
    <row r="632" spans="1:23" x14ac:dyDescent="0.25">
      <c r="A632" t="s">
        <v>4901</v>
      </c>
      <c r="B632" t="s">
        <v>3685</v>
      </c>
      <c r="C632" t="s">
        <v>3684</v>
      </c>
      <c r="D632" t="s">
        <v>4479</v>
      </c>
      <c r="E632" t="s">
        <v>4898</v>
      </c>
      <c r="F632" t="s">
        <v>2901</v>
      </c>
      <c r="G632" t="s">
        <v>1406</v>
      </c>
      <c r="H632" s="6">
        <v>46022</v>
      </c>
      <c r="I632" t="s">
        <v>29</v>
      </c>
      <c r="J632">
        <v>8</v>
      </c>
      <c r="K632">
        <v>0</v>
      </c>
      <c r="L632">
        <v>0</v>
      </c>
      <c r="M632">
        <v>0</v>
      </c>
      <c r="N632" t="s">
        <v>3915</v>
      </c>
      <c r="O632" t="s">
        <v>3915</v>
      </c>
      <c r="P632" t="s">
        <v>3915</v>
      </c>
      <c r="Q632">
        <v>0</v>
      </c>
      <c r="R632" t="s">
        <v>30</v>
      </c>
      <c r="S632">
        <v>0</v>
      </c>
      <c r="T632">
        <v>0</v>
      </c>
      <c r="U632" t="s">
        <v>3915</v>
      </c>
      <c r="V632" t="s">
        <v>31</v>
      </c>
      <c r="W632">
        <v>0</v>
      </c>
    </row>
    <row r="633" spans="1:23" x14ac:dyDescent="0.25">
      <c r="A633" t="s">
        <v>4902</v>
      </c>
      <c r="B633" t="s">
        <v>3687</v>
      </c>
      <c r="C633" t="s">
        <v>3686</v>
      </c>
      <c r="D633" t="s">
        <v>4479</v>
      </c>
      <c r="E633" t="s">
        <v>4898</v>
      </c>
      <c r="F633" t="s">
        <v>2901</v>
      </c>
      <c r="G633" t="s">
        <v>1406</v>
      </c>
      <c r="H633" s="6">
        <v>46022</v>
      </c>
      <c r="I633" t="s">
        <v>29</v>
      </c>
      <c r="J633">
        <v>1</v>
      </c>
      <c r="K633">
        <v>0</v>
      </c>
      <c r="L633">
        <v>0</v>
      </c>
      <c r="M633">
        <v>0</v>
      </c>
      <c r="N633" t="s">
        <v>3915</v>
      </c>
      <c r="O633" t="s">
        <v>3915</v>
      </c>
      <c r="P633" t="s">
        <v>3915</v>
      </c>
      <c r="Q633">
        <v>0</v>
      </c>
      <c r="R633" t="s">
        <v>30</v>
      </c>
      <c r="S633">
        <v>0</v>
      </c>
      <c r="T633">
        <v>0</v>
      </c>
      <c r="U633" t="s">
        <v>3915</v>
      </c>
      <c r="V633" t="s">
        <v>31</v>
      </c>
      <c r="W633">
        <v>0</v>
      </c>
    </row>
    <row r="634" spans="1:23" x14ac:dyDescent="0.25">
      <c r="A634" t="s">
        <v>4903</v>
      </c>
      <c r="B634" t="s">
        <v>3689</v>
      </c>
      <c r="C634" t="s">
        <v>3688</v>
      </c>
      <c r="D634" t="s">
        <v>4479</v>
      </c>
      <c r="E634" t="s">
        <v>4898</v>
      </c>
      <c r="F634" t="s">
        <v>2901</v>
      </c>
      <c r="G634" t="s">
        <v>1406</v>
      </c>
      <c r="H634" s="6">
        <v>46022</v>
      </c>
      <c r="I634" t="s">
        <v>29</v>
      </c>
      <c r="J634">
        <v>2</v>
      </c>
      <c r="K634">
        <v>0</v>
      </c>
      <c r="L634">
        <v>0</v>
      </c>
      <c r="M634">
        <v>0</v>
      </c>
      <c r="N634" t="s">
        <v>3915</v>
      </c>
      <c r="O634" t="s">
        <v>3915</v>
      </c>
      <c r="P634" t="s">
        <v>3915</v>
      </c>
      <c r="Q634">
        <v>0</v>
      </c>
      <c r="R634" t="s">
        <v>30</v>
      </c>
      <c r="S634">
        <v>0</v>
      </c>
      <c r="T634">
        <v>0</v>
      </c>
      <c r="U634" t="s">
        <v>3915</v>
      </c>
      <c r="V634" t="s">
        <v>31</v>
      </c>
      <c r="W634">
        <v>0</v>
      </c>
    </row>
    <row r="635" spans="1:23" x14ac:dyDescent="0.25">
      <c r="A635" t="s">
        <v>4904</v>
      </c>
      <c r="B635" t="s">
        <v>3691</v>
      </c>
      <c r="C635" t="s">
        <v>3690</v>
      </c>
      <c r="D635" t="s">
        <v>4479</v>
      </c>
      <c r="E635" t="s">
        <v>4898</v>
      </c>
      <c r="F635" t="s">
        <v>2901</v>
      </c>
      <c r="G635" t="s">
        <v>1406</v>
      </c>
      <c r="H635" s="6">
        <v>46022</v>
      </c>
      <c r="I635" t="s">
        <v>29</v>
      </c>
      <c r="J635">
        <v>3</v>
      </c>
      <c r="K635">
        <v>0</v>
      </c>
      <c r="L635">
        <v>0</v>
      </c>
      <c r="M635">
        <v>0</v>
      </c>
      <c r="N635" t="s">
        <v>3915</v>
      </c>
      <c r="O635" t="s">
        <v>3915</v>
      </c>
      <c r="P635" t="s">
        <v>3915</v>
      </c>
      <c r="Q635">
        <v>0</v>
      </c>
      <c r="R635" t="s">
        <v>30</v>
      </c>
      <c r="S635">
        <v>0</v>
      </c>
      <c r="T635">
        <v>0</v>
      </c>
      <c r="U635" t="s">
        <v>3915</v>
      </c>
      <c r="V635" t="s">
        <v>31</v>
      </c>
      <c r="W635">
        <v>0</v>
      </c>
    </row>
    <row r="636" spans="1:23" x14ac:dyDescent="0.25">
      <c r="A636" t="s">
        <v>4905</v>
      </c>
      <c r="B636" t="s">
        <v>3693</v>
      </c>
      <c r="C636" t="s">
        <v>3692</v>
      </c>
      <c r="D636" t="s">
        <v>4479</v>
      </c>
      <c r="E636" t="s">
        <v>4898</v>
      </c>
      <c r="F636" t="s">
        <v>2901</v>
      </c>
      <c r="G636" t="s">
        <v>1406</v>
      </c>
      <c r="H636" s="6">
        <v>46022</v>
      </c>
      <c r="I636" t="s">
        <v>29</v>
      </c>
      <c r="J636">
        <v>2</v>
      </c>
      <c r="K636">
        <v>0</v>
      </c>
      <c r="L636">
        <v>0</v>
      </c>
      <c r="M636">
        <v>0</v>
      </c>
      <c r="N636" t="s">
        <v>3915</v>
      </c>
      <c r="O636" t="s">
        <v>3915</v>
      </c>
      <c r="P636" t="s">
        <v>3915</v>
      </c>
      <c r="Q636">
        <v>0</v>
      </c>
      <c r="R636" t="s">
        <v>30</v>
      </c>
      <c r="S636">
        <v>0</v>
      </c>
      <c r="T636">
        <v>0</v>
      </c>
      <c r="U636" t="s">
        <v>3915</v>
      </c>
      <c r="V636" t="s">
        <v>31</v>
      </c>
      <c r="W636">
        <v>0</v>
      </c>
    </row>
    <row r="637" spans="1:23" x14ac:dyDescent="0.25">
      <c r="A637" t="s">
        <v>4906</v>
      </c>
      <c r="B637" t="s">
        <v>3695</v>
      </c>
      <c r="C637" t="s">
        <v>3694</v>
      </c>
      <c r="D637" t="s">
        <v>4479</v>
      </c>
      <c r="E637" t="s">
        <v>4898</v>
      </c>
      <c r="F637" t="s">
        <v>2901</v>
      </c>
      <c r="G637" t="s">
        <v>1406</v>
      </c>
      <c r="H637" s="6">
        <v>46022</v>
      </c>
      <c r="I637" t="s">
        <v>29</v>
      </c>
      <c r="J637">
        <v>5</v>
      </c>
      <c r="K637">
        <v>0</v>
      </c>
      <c r="L637">
        <v>0</v>
      </c>
      <c r="M637">
        <v>0</v>
      </c>
      <c r="N637" t="s">
        <v>3915</v>
      </c>
      <c r="O637" t="s">
        <v>3915</v>
      </c>
      <c r="P637" t="s">
        <v>3915</v>
      </c>
      <c r="Q637">
        <v>0</v>
      </c>
      <c r="R637" t="s">
        <v>30</v>
      </c>
      <c r="S637">
        <v>0</v>
      </c>
      <c r="T637">
        <v>0</v>
      </c>
      <c r="U637" t="s">
        <v>3915</v>
      </c>
      <c r="V637" t="s">
        <v>31</v>
      </c>
      <c r="W637">
        <v>0</v>
      </c>
    </row>
    <row r="638" spans="1:23" x14ac:dyDescent="0.25">
      <c r="A638" t="s">
        <v>4907</v>
      </c>
      <c r="B638" t="s">
        <v>3697</v>
      </c>
      <c r="C638" t="s">
        <v>3696</v>
      </c>
      <c r="D638" t="s">
        <v>4479</v>
      </c>
      <c r="E638" t="s">
        <v>4898</v>
      </c>
      <c r="F638" t="s">
        <v>2901</v>
      </c>
      <c r="G638" t="s">
        <v>1406</v>
      </c>
      <c r="H638" s="6">
        <v>46022</v>
      </c>
      <c r="I638" t="s">
        <v>29</v>
      </c>
      <c r="J638">
        <v>5</v>
      </c>
      <c r="K638">
        <v>0</v>
      </c>
      <c r="L638">
        <v>0</v>
      </c>
      <c r="M638">
        <v>0</v>
      </c>
      <c r="N638" t="s">
        <v>3915</v>
      </c>
      <c r="O638" t="s">
        <v>3915</v>
      </c>
      <c r="P638" t="s">
        <v>3915</v>
      </c>
      <c r="Q638">
        <v>0</v>
      </c>
      <c r="R638" t="s">
        <v>30</v>
      </c>
      <c r="S638">
        <v>0</v>
      </c>
      <c r="T638">
        <v>0</v>
      </c>
      <c r="U638" t="s">
        <v>3915</v>
      </c>
      <c r="V638" t="s">
        <v>31</v>
      </c>
      <c r="W638">
        <v>0</v>
      </c>
    </row>
    <row r="639" spans="1:23" x14ac:dyDescent="0.25">
      <c r="A639" t="s">
        <v>4908</v>
      </c>
      <c r="B639" t="s">
        <v>3699</v>
      </c>
      <c r="C639" t="s">
        <v>3698</v>
      </c>
      <c r="D639" t="s">
        <v>4479</v>
      </c>
      <c r="E639" t="s">
        <v>4898</v>
      </c>
      <c r="F639" t="s">
        <v>2901</v>
      </c>
      <c r="G639" t="s">
        <v>1406</v>
      </c>
      <c r="H639" s="6">
        <v>46022</v>
      </c>
      <c r="I639" t="s">
        <v>29</v>
      </c>
      <c r="J639">
        <v>17</v>
      </c>
      <c r="K639">
        <v>0</v>
      </c>
      <c r="L639">
        <v>0</v>
      </c>
      <c r="M639">
        <v>0</v>
      </c>
      <c r="N639" t="s">
        <v>3915</v>
      </c>
      <c r="O639" t="s">
        <v>3915</v>
      </c>
      <c r="P639" t="s">
        <v>3915</v>
      </c>
      <c r="Q639">
        <v>0</v>
      </c>
      <c r="R639" t="s">
        <v>30</v>
      </c>
      <c r="S639">
        <v>0</v>
      </c>
      <c r="T639">
        <v>0</v>
      </c>
      <c r="U639" t="s">
        <v>3915</v>
      </c>
      <c r="V639" t="s">
        <v>31</v>
      </c>
      <c r="W639">
        <v>0</v>
      </c>
    </row>
    <row r="640" spans="1:23" x14ac:dyDescent="0.25">
      <c r="A640" t="s">
        <v>4079</v>
      </c>
      <c r="B640" t="s">
        <v>3701</v>
      </c>
      <c r="C640" t="s">
        <v>3700</v>
      </c>
      <c r="D640" t="s">
        <v>4479</v>
      </c>
      <c r="E640" t="s">
        <v>4898</v>
      </c>
      <c r="F640" t="s">
        <v>2901</v>
      </c>
      <c r="G640" t="s">
        <v>1406</v>
      </c>
      <c r="H640" s="6">
        <v>46022</v>
      </c>
      <c r="I640" t="s">
        <v>29</v>
      </c>
      <c r="J640">
        <v>13</v>
      </c>
      <c r="K640">
        <v>0</v>
      </c>
      <c r="L640">
        <v>0</v>
      </c>
      <c r="M640">
        <v>0</v>
      </c>
      <c r="N640" t="s">
        <v>3915</v>
      </c>
      <c r="O640" t="s">
        <v>3915</v>
      </c>
      <c r="P640" t="s">
        <v>3915</v>
      </c>
      <c r="Q640">
        <v>0</v>
      </c>
      <c r="R640" t="s">
        <v>30</v>
      </c>
      <c r="S640">
        <v>0</v>
      </c>
      <c r="T640">
        <v>0</v>
      </c>
      <c r="U640" t="s">
        <v>3915</v>
      </c>
      <c r="V640" t="s">
        <v>31</v>
      </c>
      <c r="W640">
        <v>0</v>
      </c>
    </row>
    <row r="641" spans="1:23" x14ac:dyDescent="0.25">
      <c r="A641" t="s">
        <v>4909</v>
      </c>
      <c r="B641" t="s">
        <v>2900</v>
      </c>
      <c r="C641" t="s">
        <v>2899</v>
      </c>
      <c r="D641" t="s">
        <v>4479</v>
      </c>
      <c r="E641" t="s">
        <v>4898</v>
      </c>
      <c r="F641" t="s">
        <v>2901</v>
      </c>
      <c r="G641" t="s">
        <v>1406</v>
      </c>
      <c r="H641" s="6">
        <v>46022</v>
      </c>
      <c r="I641" t="s">
        <v>29</v>
      </c>
      <c r="J641">
        <v>1</v>
      </c>
      <c r="K641">
        <v>0</v>
      </c>
      <c r="L641">
        <v>0</v>
      </c>
      <c r="M641">
        <v>0</v>
      </c>
      <c r="N641" t="s">
        <v>3915</v>
      </c>
      <c r="O641" t="s">
        <v>3915</v>
      </c>
      <c r="P641" t="s">
        <v>3915</v>
      </c>
      <c r="Q641">
        <v>0</v>
      </c>
      <c r="R641" t="s">
        <v>30</v>
      </c>
      <c r="S641">
        <v>0</v>
      </c>
      <c r="T641">
        <v>0</v>
      </c>
      <c r="U641" t="s">
        <v>3915</v>
      </c>
      <c r="V641" t="s">
        <v>31</v>
      </c>
      <c r="W641">
        <v>0</v>
      </c>
    </row>
    <row r="642" spans="1:23" x14ac:dyDescent="0.25">
      <c r="A642" t="s">
        <v>4063</v>
      </c>
      <c r="B642" t="s">
        <v>3703</v>
      </c>
      <c r="C642" t="s">
        <v>3702</v>
      </c>
      <c r="D642" t="s">
        <v>4479</v>
      </c>
      <c r="E642" t="s">
        <v>4898</v>
      </c>
      <c r="F642" t="s">
        <v>2901</v>
      </c>
      <c r="G642" t="s">
        <v>1406</v>
      </c>
      <c r="H642" s="6">
        <v>46022</v>
      </c>
      <c r="I642" t="s">
        <v>29</v>
      </c>
      <c r="J642">
        <v>14</v>
      </c>
      <c r="K642">
        <v>0</v>
      </c>
      <c r="L642">
        <v>0</v>
      </c>
      <c r="M642">
        <v>0</v>
      </c>
      <c r="N642" t="s">
        <v>3915</v>
      </c>
      <c r="O642" t="s">
        <v>3915</v>
      </c>
      <c r="P642" t="s">
        <v>3915</v>
      </c>
      <c r="Q642">
        <v>0</v>
      </c>
      <c r="R642" t="s">
        <v>30</v>
      </c>
      <c r="S642">
        <v>0</v>
      </c>
      <c r="T642">
        <v>0</v>
      </c>
      <c r="U642" t="s">
        <v>3915</v>
      </c>
      <c r="V642" t="s">
        <v>31</v>
      </c>
      <c r="W642">
        <v>0</v>
      </c>
    </row>
    <row r="643" spans="1:23" x14ac:dyDescent="0.25">
      <c r="A643" t="s">
        <v>4910</v>
      </c>
      <c r="B643" t="s">
        <v>3705</v>
      </c>
      <c r="C643" t="s">
        <v>3704</v>
      </c>
      <c r="D643" t="s">
        <v>4479</v>
      </c>
      <c r="E643" t="s">
        <v>4898</v>
      </c>
      <c r="F643" t="s">
        <v>2901</v>
      </c>
      <c r="G643" t="s">
        <v>1406</v>
      </c>
      <c r="H643" s="6">
        <v>46022</v>
      </c>
      <c r="I643" t="s">
        <v>29</v>
      </c>
      <c r="J643">
        <v>7</v>
      </c>
      <c r="K643">
        <v>0</v>
      </c>
      <c r="L643">
        <v>0</v>
      </c>
      <c r="M643">
        <v>0</v>
      </c>
      <c r="N643" t="s">
        <v>3915</v>
      </c>
      <c r="O643" t="s">
        <v>3915</v>
      </c>
      <c r="P643" t="s">
        <v>3915</v>
      </c>
      <c r="Q643">
        <v>0</v>
      </c>
      <c r="R643" t="s">
        <v>30</v>
      </c>
      <c r="S643">
        <v>0</v>
      </c>
      <c r="T643">
        <v>0</v>
      </c>
      <c r="U643" t="s">
        <v>3915</v>
      </c>
      <c r="V643" t="s">
        <v>31</v>
      </c>
      <c r="W643">
        <v>0</v>
      </c>
    </row>
    <row r="644" spans="1:23" x14ac:dyDescent="0.25">
      <c r="A644" t="s">
        <v>4911</v>
      </c>
      <c r="B644" t="s">
        <v>2903</v>
      </c>
      <c r="C644" t="s">
        <v>2902</v>
      </c>
      <c r="D644" t="s">
        <v>4479</v>
      </c>
      <c r="E644" t="s">
        <v>4898</v>
      </c>
      <c r="F644" t="s">
        <v>2901</v>
      </c>
      <c r="G644" t="s">
        <v>1406</v>
      </c>
      <c r="H644" s="6">
        <v>46022</v>
      </c>
      <c r="I644" t="s">
        <v>29</v>
      </c>
      <c r="J644">
        <v>11</v>
      </c>
      <c r="K644">
        <v>0</v>
      </c>
      <c r="L644">
        <v>0</v>
      </c>
      <c r="M644">
        <v>0</v>
      </c>
      <c r="N644" t="s">
        <v>3915</v>
      </c>
      <c r="O644" t="s">
        <v>3915</v>
      </c>
      <c r="P644" t="s">
        <v>3915</v>
      </c>
      <c r="Q644">
        <v>0</v>
      </c>
      <c r="R644" t="s">
        <v>30</v>
      </c>
      <c r="S644">
        <v>0</v>
      </c>
      <c r="T644">
        <v>0</v>
      </c>
      <c r="U644" t="s">
        <v>3915</v>
      </c>
      <c r="V644" t="s">
        <v>31</v>
      </c>
      <c r="W644">
        <v>0</v>
      </c>
    </row>
    <row r="645" spans="1:23" x14ac:dyDescent="0.25">
      <c r="A645" t="s">
        <v>4912</v>
      </c>
      <c r="B645" t="s">
        <v>3707</v>
      </c>
      <c r="C645" t="s">
        <v>3706</v>
      </c>
      <c r="D645" t="s">
        <v>4479</v>
      </c>
      <c r="E645" t="s">
        <v>4898</v>
      </c>
      <c r="F645" t="s">
        <v>2901</v>
      </c>
      <c r="G645" t="s">
        <v>1406</v>
      </c>
      <c r="H645" s="6">
        <v>46022</v>
      </c>
      <c r="I645" t="s">
        <v>29</v>
      </c>
      <c r="J645">
        <v>9</v>
      </c>
      <c r="K645">
        <v>0</v>
      </c>
      <c r="L645">
        <v>0</v>
      </c>
      <c r="M645">
        <v>0</v>
      </c>
      <c r="N645" t="s">
        <v>3915</v>
      </c>
      <c r="O645" t="s">
        <v>3915</v>
      </c>
      <c r="P645" t="s">
        <v>3915</v>
      </c>
      <c r="Q645">
        <v>0</v>
      </c>
      <c r="R645" t="s">
        <v>30</v>
      </c>
      <c r="S645">
        <v>0</v>
      </c>
      <c r="T645">
        <v>0</v>
      </c>
      <c r="U645" t="s">
        <v>3915</v>
      </c>
      <c r="V645" t="s">
        <v>31</v>
      </c>
      <c r="W645">
        <v>0</v>
      </c>
    </row>
    <row r="646" spans="1:23" x14ac:dyDescent="0.25">
      <c r="A646" t="s">
        <v>4052</v>
      </c>
      <c r="B646" t="s">
        <v>3709</v>
      </c>
      <c r="C646" t="s">
        <v>3708</v>
      </c>
      <c r="D646" t="s">
        <v>4479</v>
      </c>
      <c r="E646" t="s">
        <v>4898</v>
      </c>
      <c r="F646" t="s">
        <v>2901</v>
      </c>
      <c r="G646" t="s">
        <v>1406</v>
      </c>
      <c r="H646" s="6">
        <v>46022</v>
      </c>
      <c r="I646" t="s">
        <v>29</v>
      </c>
      <c r="J646">
        <v>1</v>
      </c>
      <c r="K646">
        <v>0</v>
      </c>
      <c r="L646">
        <v>0</v>
      </c>
      <c r="M646">
        <v>0</v>
      </c>
      <c r="N646" t="s">
        <v>3915</v>
      </c>
      <c r="O646" t="s">
        <v>3915</v>
      </c>
      <c r="P646" t="s">
        <v>3915</v>
      </c>
      <c r="Q646">
        <v>0</v>
      </c>
      <c r="R646" t="s">
        <v>30</v>
      </c>
      <c r="S646">
        <v>0</v>
      </c>
      <c r="T646">
        <v>0</v>
      </c>
      <c r="U646" t="s">
        <v>3915</v>
      </c>
      <c r="V646" t="s">
        <v>31</v>
      </c>
      <c r="W646">
        <v>0</v>
      </c>
    </row>
    <row r="647" spans="1:23" x14ac:dyDescent="0.25">
      <c r="A647" t="s">
        <v>4246</v>
      </c>
      <c r="B647" t="s">
        <v>3711</v>
      </c>
      <c r="C647" t="s">
        <v>3710</v>
      </c>
      <c r="D647" t="s">
        <v>4479</v>
      </c>
      <c r="E647" t="s">
        <v>4898</v>
      </c>
      <c r="F647" t="s">
        <v>2901</v>
      </c>
      <c r="G647" t="s">
        <v>1406</v>
      </c>
      <c r="H647" s="6">
        <v>46022</v>
      </c>
      <c r="I647" t="s">
        <v>29</v>
      </c>
      <c r="J647">
        <v>1</v>
      </c>
      <c r="K647">
        <v>0</v>
      </c>
      <c r="L647">
        <v>0</v>
      </c>
      <c r="M647">
        <v>0</v>
      </c>
      <c r="N647" t="s">
        <v>3915</v>
      </c>
      <c r="O647" t="s">
        <v>3915</v>
      </c>
      <c r="P647" t="s">
        <v>3915</v>
      </c>
      <c r="Q647">
        <v>0</v>
      </c>
      <c r="R647" t="s">
        <v>30</v>
      </c>
      <c r="S647">
        <v>0</v>
      </c>
      <c r="T647">
        <v>0</v>
      </c>
      <c r="U647" t="s">
        <v>3915</v>
      </c>
      <c r="V647" t="s">
        <v>31</v>
      </c>
      <c r="W647">
        <v>0</v>
      </c>
    </row>
    <row r="648" spans="1:23" x14ac:dyDescent="0.25">
      <c r="A648" t="s">
        <v>4913</v>
      </c>
      <c r="B648" t="s">
        <v>3713</v>
      </c>
      <c r="C648" t="s">
        <v>3712</v>
      </c>
      <c r="D648" t="s">
        <v>4479</v>
      </c>
      <c r="E648" t="s">
        <v>4898</v>
      </c>
      <c r="F648" t="s">
        <v>2901</v>
      </c>
      <c r="G648" t="s">
        <v>1406</v>
      </c>
      <c r="H648" s="6">
        <v>46022</v>
      </c>
      <c r="I648" t="s">
        <v>29</v>
      </c>
      <c r="J648">
        <v>1</v>
      </c>
      <c r="K648">
        <v>0</v>
      </c>
      <c r="L648">
        <v>0</v>
      </c>
      <c r="M648">
        <v>0</v>
      </c>
      <c r="N648" t="s">
        <v>3915</v>
      </c>
      <c r="O648" t="s">
        <v>3915</v>
      </c>
      <c r="P648" t="s">
        <v>3915</v>
      </c>
      <c r="Q648">
        <v>0</v>
      </c>
      <c r="R648" t="s">
        <v>30</v>
      </c>
      <c r="S648">
        <v>0</v>
      </c>
      <c r="T648">
        <v>0</v>
      </c>
      <c r="U648" t="s">
        <v>3915</v>
      </c>
      <c r="V648" t="s">
        <v>31</v>
      </c>
      <c r="W648">
        <v>0</v>
      </c>
    </row>
    <row r="649" spans="1:23" x14ac:dyDescent="0.25">
      <c r="A649" t="s">
        <v>4914</v>
      </c>
      <c r="B649" t="s">
        <v>3715</v>
      </c>
      <c r="C649" t="s">
        <v>3714</v>
      </c>
      <c r="D649" t="s">
        <v>4479</v>
      </c>
      <c r="E649" t="s">
        <v>4898</v>
      </c>
      <c r="F649" t="s">
        <v>2901</v>
      </c>
      <c r="G649" t="s">
        <v>1406</v>
      </c>
      <c r="H649" s="6">
        <v>46022</v>
      </c>
      <c r="I649" t="s">
        <v>29</v>
      </c>
      <c r="J649">
        <v>2</v>
      </c>
      <c r="K649">
        <v>0</v>
      </c>
      <c r="L649">
        <v>0</v>
      </c>
      <c r="M649">
        <v>0</v>
      </c>
      <c r="N649" t="s">
        <v>3915</v>
      </c>
      <c r="O649" t="s">
        <v>3915</v>
      </c>
      <c r="P649" t="s">
        <v>3915</v>
      </c>
      <c r="Q649">
        <v>0</v>
      </c>
      <c r="R649" t="s">
        <v>30</v>
      </c>
      <c r="S649">
        <v>0</v>
      </c>
      <c r="T649">
        <v>0</v>
      </c>
      <c r="U649" t="s">
        <v>3915</v>
      </c>
      <c r="V649" t="s">
        <v>31</v>
      </c>
      <c r="W649">
        <v>0</v>
      </c>
    </row>
    <row r="650" spans="1:23" x14ac:dyDescent="0.25">
      <c r="A650" t="s">
        <v>4307</v>
      </c>
      <c r="B650" t="s">
        <v>3717</v>
      </c>
      <c r="C650" t="s">
        <v>3716</v>
      </c>
      <c r="D650" t="s">
        <v>4479</v>
      </c>
      <c r="E650" t="s">
        <v>4898</v>
      </c>
      <c r="F650" t="s">
        <v>2901</v>
      </c>
      <c r="G650" t="s">
        <v>1406</v>
      </c>
      <c r="H650" s="6">
        <v>46022</v>
      </c>
      <c r="I650" t="s">
        <v>29</v>
      </c>
      <c r="J650">
        <v>2</v>
      </c>
      <c r="K650">
        <v>0</v>
      </c>
      <c r="L650">
        <v>0</v>
      </c>
      <c r="M650">
        <v>0</v>
      </c>
      <c r="N650" t="s">
        <v>3915</v>
      </c>
      <c r="O650" t="s">
        <v>3915</v>
      </c>
      <c r="P650" t="s">
        <v>3915</v>
      </c>
      <c r="Q650">
        <v>0</v>
      </c>
      <c r="R650" t="s">
        <v>30</v>
      </c>
      <c r="S650">
        <v>0</v>
      </c>
      <c r="T650">
        <v>0</v>
      </c>
      <c r="U650" t="s">
        <v>3915</v>
      </c>
      <c r="V650" t="s">
        <v>31</v>
      </c>
      <c r="W650">
        <v>0</v>
      </c>
    </row>
    <row r="651" spans="1:23" x14ac:dyDescent="0.25">
      <c r="A651" t="s">
        <v>4915</v>
      </c>
      <c r="B651" t="s">
        <v>3719</v>
      </c>
      <c r="C651" t="s">
        <v>3718</v>
      </c>
      <c r="D651" t="s">
        <v>4479</v>
      </c>
      <c r="E651" t="s">
        <v>4898</v>
      </c>
      <c r="F651" t="s">
        <v>2901</v>
      </c>
      <c r="G651" t="s">
        <v>1406</v>
      </c>
      <c r="H651" s="6">
        <v>46022</v>
      </c>
      <c r="I651" t="s">
        <v>29</v>
      </c>
      <c r="J651">
        <v>2</v>
      </c>
      <c r="K651">
        <v>0</v>
      </c>
      <c r="L651">
        <v>0</v>
      </c>
      <c r="M651">
        <v>0</v>
      </c>
      <c r="N651" t="s">
        <v>3915</v>
      </c>
      <c r="O651" t="s">
        <v>3915</v>
      </c>
      <c r="P651" t="s">
        <v>3915</v>
      </c>
      <c r="Q651">
        <v>0</v>
      </c>
      <c r="R651" t="s">
        <v>30</v>
      </c>
      <c r="S651">
        <v>0</v>
      </c>
      <c r="T651">
        <v>0</v>
      </c>
      <c r="U651" t="s">
        <v>3915</v>
      </c>
      <c r="V651" t="s">
        <v>31</v>
      </c>
      <c r="W651">
        <v>0</v>
      </c>
    </row>
    <row r="652" spans="1:23" x14ac:dyDescent="0.25">
      <c r="A652" t="s">
        <v>4081</v>
      </c>
      <c r="B652" t="s">
        <v>3721</v>
      </c>
      <c r="C652" t="s">
        <v>3720</v>
      </c>
      <c r="D652" t="s">
        <v>4479</v>
      </c>
      <c r="E652" t="s">
        <v>4898</v>
      </c>
      <c r="F652" t="s">
        <v>2901</v>
      </c>
      <c r="G652" t="s">
        <v>1406</v>
      </c>
      <c r="H652" s="6">
        <v>46022</v>
      </c>
      <c r="I652" t="s">
        <v>29</v>
      </c>
      <c r="J652">
        <v>2</v>
      </c>
      <c r="K652">
        <v>0</v>
      </c>
      <c r="L652">
        <v>0</v>
      </c>
      <c r="M652">
        <v>0</v>
      </c>
      <c r="N652" t="s">
        <v>3915</v>
      </c>
      <c r="O652" t="s">
        <v>3915</v>
      </c>
      <c r="P652" t="s">
        <v>3915</v>
      </c>
      <c r="Q652">
        <v>0</v>
      </c>
      <c r="R652" t="s">
        <v>30</v>
      </c>
      <c r="S652">
        <v>0</v>
      </c>
      <c r="T652">
        <v>0</v>
      </c>
      <c r="U652" t="s">
        <v>3915</v>
      </c>
      <c r="V652" t="s">
        <v>31</v>
      </c>
      <c r="W652">
        <v>0</v>
      </c>
    </row>
    <row r="653" spans="1:23" x14ac:dyDescent="0.25">
      <c r="A653" t="s">
        <v>4916</v>
      </c>
      <c r="B653" t="s">
        <v>3723</v>
      </c>
      <c r="C653" t="s">
        <v>3722</v>
      </c>
      <c r="D653" t="s">
        <v>4479</v>
      </c>
      <c r="E653" t="s">
        <v>4898</v>
      </c>
      <c r="F653" t="s">
        <v>2901</v>
      </c>
      <c r="G653" t="s">
        <v>1406</v>
      </c>
      <c r="H653" s="6">
        <v>46022</v>
      </c>
      <c r="I653" t="s">
        <v>29</v>
      </c>
      <c r="J653">
        <v>6</v>
      </c>
      <c r="K653">
        <v>0</v>
      </c>
      <c r="L653">
        <v>0</v>
      </c>
      <c r="M653">
        <v>0</v>
      </c>
      <c r="N653" t="s">
        <v>3915</v>
      </c>
      <c r="O653" t="s">
        <v>3915</v>
      </c>
      <c r="P653" t="s">
        <v>3915</v>
      </c>
      <c r="Q653">
        <v>0</v>
      </c>
      <c r="R653" t="s">
        <v>30</v>
      </c>
      <c r="S653">
        <v>0</v>
      </c>
      <c r="T653">
        <v>0</v>
      </c>
      <c r="U653" t="s">
        <v>3915</v>
      </c>
      <c r="V653" t="s">
        <v>31</v>
      </c>
      <c r="W653">
        <v>0</v>
      </c>
    </row>
    <row r="654" spans="1:23" x14ac:dyDescent="0.25">
      <c r="A654" t="s">
        <v>4033</v>
      </c>
      <c r="B654" t="s">
        <v>3725</v>
      </c>
      <c r="C654" t="s">
        <v>3724</v>
      </c>
      <c r="D654" t="s">
        <v>4479</v>
      </c>
      <c r="E654" t="s">
        <v>4898</v>
      </c>
      <c r="F654" t="s">
        <v>2901</v>
      </c>
      <c r="G654" t="s">
        <v>1406</v>
      </c>
      <c r="H654" s="6">
        <v>46022</v>
      </c>
      <c r="I654" t="s">
        <v>29</v>
      </c>
      <c r="J654">
        <v>3</v>
      </c>
      <c r="K654">
        <v>0</v>
      </c>
      <c r="L654">
        <v>0</v>
      </c>
      <c r="M654">
        <v>0</v>
      </c>
      <c r="N654" t="s">
        <v>3915</v>
      </c>
      <c r="O654" t="s">
        <v>3915</v>
      </c>
      <c r="P654" t="s">
        <v>3915</v>
      </c>
      <c r="Q654">
        <v>0</v>
      </c>
      <c r="R654" t="s">
        <v>30</v>
      </c>
      <c r="S654">
        <v>0</v>
      </c>
      <c r="T654">
        <v>0</v>
      </c>
      <c r="U654" t="s">
        <v>3915</v>
      </c>
      <c r="V654" t="s">
        <v>31</v>
      </c>
      <c r="W654">
        <v>0</v>
      </c>
    </row>
    <row r="655" spans="1:23" x14ac:dyDescent="0.25">
      <c r="A655" t="s">
        <v>4917</v>
      </c>
      <c r="B655" t="s">
        <v>3727</v>
      </c>
      <c r="C655" t="s">
        <v>3726</v>
      </c>
      <c r="D655" t="s">
        <v>4479</v>
      </c>
      <c r="E655" t="s">
        <v>4898</v>
      </c>
      <c r="F655" t="s">
        <v>2901</v>
      </c>
      <c r="G655" t="s">
        <v>1406</v>
      </c>
      <c r="H655" s="6">
        <v>46022</v>
      </c>
      <c r="I655" t="s">
        <v>29</v>
      </c>
      <c r="J655">
        <v>1</v>
      </c>
      <c r="K655">
        <v>0</v>
      </c>
      <c r="L655">
        <v>0</v>
      </c>
      <c r="M655">
        <v>0</v>
      </c>
      <c r="N655" t="s">
        <v>3915</v>
      </c>
      <c r="O655" t="s">
        <v>3915</v>
      </c>
      <c r="P655" t="s">
        <v>3915</v>
      </c>
      <c r="Q655">
        <v>0</v>
      </c>
      <c r="R655" t="s">
        <v>30</v>
      </c>
      <c r="S655">
        <v>0</v>
      </c>
      <c r="T655">
        <v>0</v>
      </c>
      <c r="U655" t="s">
        <v>3915</v>
      </c>
      <c r="V655" t="s">
        <v>31</v>
      </c>
      <c r="W655">
        <v>0</v>
      </c>
    </row>
    <row r="656" spans="1:23" x14ac:dyDescent="0.25">
      <c r="A656" t="s">
        <v>4918</v>
      </c>
      <c r="B656" t="s">
        <v>3729</v>
      </c>
      <c r="C656" t="s">
        <v>3728</v>
      </c>
      <c r="D656" t="s">
        <v>4479</v>
      </c>
      <c r="E656" t="s">
        <v>4898</v>
      </c>
      <c r="F656" t="s">
        <v>2901</v>
      </c>
      <c r="G656" t="s">
        <v>1406</v>
      </c>
      <c r="H656" s="6">
        <v>46022</v>
      </c>
      <c r="I656" t="s">
        <v>29</v>
      </c>
      <c r="J656">
        <v>38</v>
      </c>
      <c r="K656">
        <v>0</v>
      </c>
      <c r="L656">
        <v>0</v>
      </c>
      <c r="M656">
        <v>0</v>
      </c>
      <c r="N656" t="s">
        <v>3915</v>
      </c>
      <c r="O656" t="s">
        <v>3915</v>
      </c>
      <c r="P656" t="s">
        <v>3915</v>
      </c>
      <c r="Q656">
        <v>0</v>
      </c>
      <c r="R656" t="s">
        <v>30</v>
      </c>
      <c r="S656">
        <v>0</v>
      </c>
      <c r="T656">
        <v>0</v>
      </c>
      <c r="U656" t="s">
        <v>3915</v>
      </c>
      <c r="V656" t="s">
        <v>31</v>
      </c>
      <c r="W656">
        <v>0</v>
      </c>
    </row>
    <row r="657" spans="1:23" x14ac:dyDescent="0.25">
      <c r="A657" t="s">
        <v>4919</v>
      </c>
      <c r="B657" t="s">
        <v>3731</v>
      </c>
      <c r="C657" t="s">
        <v>3730</v>
      </c>
      <c r="D657" t="s">
        <v>4479</v>
      </c>
      <c r="E657" t="s">
        <v>4898</v>
      </c>
      <c r="F657" t="s">
        <v>2901</v>
      </c>
      <c r="G657" t="s">
        <v>1406</v>
      </c>
      <c r="H657" s="6">
        <v>46022</v>
      </c>
      <c r="I657" t="s">
        <v>29</v>
      </c>
      <c r="J657">
        <v>4</v>
      </c>
      <c r="K657">
        <v>0</v>
      </c>
      <c r="L657">
        <v>0</v>
      </c>
      <c r="M657">
        <v>0</v>
      </c>
      <c r="N657" t="s">
        <v>3915</v>
      </c>
      <c r="O657" t="s">
        <v>3915</v>
      </c>
      <c r="P657" t="s">
        <v>3915</v>
      </c>
      <c r="Q657">
        <v>0</v>
      </c>
      <c r="R657" t="s">
        <v>30</v>
      </c>
      <c r="S657">
        <v>0</v>
      </c>
      <c r="T657">
        <v>0</v>
      </c>
      <c r="U657" t="s">
        <v>3915</v>
      </c>
      <c r="V657" t="s">
        <v>31</v>
      </c>
      <c r="W657">
        <v>0</v>
      </c>
    </row>
    <row r="658" spans="1:23" x14ac:dyDescent="0.25">
      <c r="A658" t="s">
        <v>4920</v>
      </c>
      <c r="B658" t="s">
        <v>3733</v>
      </c>
      <c r="C658" t="s">
        <v>3732</v>
      </c>
      <c r="D658" t="s">
        <v>4479</v>
      </c>
      <c r="E658" t="s">
        <v>4898</v>
      </c>
      <c r="F658" t="s">
        <v>2901</v>
      </c>
      <c r="G658" t="s">
        <v>1406</v>
      </c>
      <c r="H658" s="6">
        <v>46022</v>
      </c>
      <c r="I658" t="s">
        <v>29</v>
      </c>
      <c r="J658">
        <v>5</v>
      </c>
      <c r="K658">
        <v>0</v>
      </c>
      <c r="L658">
        <v>0</v>
      </c>
      <c r="M658">
        <v>0</v>
      </c>
      <c r="N658" t="s">
        <v>3915</v>
      </c>
      <c r="O658" t="s">
        <v>3915</v>
      </c>
      <c r="P658" t="s">
        <v>3915</v>
      </c>
      <c r="Q658">
        <v>0</v>
      </c>
      <c r="R658" t="s">
        <v>30</v>
      </c>
      <c r="S658">
        <v>0</v>
      </c>
      <c r="T658">
        <v>0</v>
      </c>
      <c r="U658" t="s">
        <v>3915</v>
      </c>
      <c r="V658" t="s">
        <v>31</v>
      </c>
      <c r="W658">
        <v>0</v>
      </c>
    </row>
    <row r="659" spans="1:23" x14ac:dyDescent="0.25">
      <c r="A659" t="s">
        <v>4921</v>
      </c>
      <c r="B659" t="s">
        <v>3735</v>
      </c>
      <c r="C659" t="s">
        <v>3734</v>
      </c>
      <c r="D659" t="s">
        <v>4479</v>
      </c>
      <c r="E659" t="s">
        <v>4898</v>
      </c>
      <c r="F659" t="s">
        <v>2901</v>
      </c>
      <c r="G659" t="s">
        <v>1406</v>
      </c>
      <c r="H659" s="6">
        <v>46022</v>
      </c>
      <c r="I659" t="s">
        <v>29</v>
      </c>
      <c r="J659">
        <v>2</v>
      </c>
      <c r="K659">
        <v>0</v>
      </c>
      <c r="L659">
        <v>0</v>
      </c>
      <c r="M659">
        <v>0</v>
      </c>
      <c r="N659" t="s">
        <v>3915</v>
      </c>
      <c r="O659" t="s">
        <v>3915</v>
      </c>
      <c r="P659" t="s">
        <v>3915</v>
      </c>
      <c r="Q659">
        <v>0</v>
      </c>
      <c r="R659" t="s">
        <v>30</v>
      </c>
      <c r="S659">
        <v>0</v>
      </c>
      <c r="T659">
        <v>0</v>
      </c>
      <c r="U659" t="s">
        <v>3915</v>
      </c>
      <c r="V659" t="s">
        <v>31</v>
      </c>
      <c r="W659">
        <v>0</v>
      </c>
    </row>
    <row r="660" spans="1:23" x14ac:dyDescent="0.25">
      <c r="A660" t="s">
        <v>4922</v>
      </c>
      <c r="B660" t="s">
        <v>3737</v>
      </c>
      <c r="C660" t="s">
        <v>3736</v>
      </c>
      <c r="D660" t="s">
        <v>4479</v>
      </c>
      <c r="E660" t="s">
        <v>4898</v>
      </c>
      <c r="F660" t="s">
        <v>2901</v>
      </c>
      <c r="G660" t="s">
        <v>1406</v>
      </c>
      <c r="H660" s="6">
        <v>46022</v>
      </c>
      <c r="I660" t="s">
        <v>29</v>
      </c>
      <c r="J660">
        <v>5</v>
      </c>
      <c r="K660">
        <v>0</v>
      </c>
      <c r="L660">
        <v>0</v>
      </c>
      <c r="M660">
        <v>0</v>
      </c>
      <c r="N660" t="s">
        <v>3915</v>
      </c>
      <c r="O660" t="s">
        <v>3915</v>
      </c>
      <c r="P660" t="s">
        <v>3915</v>
      </c>
      <c r="Q660">
        <v>0</v>
      </c>
      <c r="R660" t="s">
        <v>30</v>
      </c>
      <c r="S660">
        <v>0</v>
      </c>
      <c r="T660">
        <v>0</v>
      </c>
      <c r="U660" t="s">
        <v>3915</v>
      </c>
      <c r="V660" t="s">
        <v>31</v>
      </c>
      <c r="W660">
        <v>0</v>
      </c>
    </row>
    <row r="661" spans="1:23" x14ac:dyDescent="0.25">
      <c r="A661" t="s">
        <v>4923</v>
      </c>
      <c r="B661" t="s">
        <v>3739</v>
      </c>
      <c r="C661" t="s">
        <v>3738</v>
      </c>
      <c r="D661" t="s">
        <v>4479</v>
      </c>
      <c r="E661" t="s">
        <v>4898</v>
      </c>
      <c r="F661" t="s">
        <v>2901</v>
      </c>
      <c r="G661" t="s">
        <v>1406</v>
      </c>
      <c r="H661" s="6">
        <v>46022</v>
      </c>
      <c r="I661" t="s">
        <v>29</v>
      </c>
      <c r="J661">
        <v>4</v>
      </c>
      <c r="K661">
        <v>0</v>
      </c>
      <c r="L661">
        <v>0</v>
      </c>
      <c r="M661">
        <v>0</v>
      </c>
      <c r="N661" t="s">
        <v>3915</v>
      </c>
      <c r="O661" t="s">
        <v>3915</v>
      </c>
      <c r="P661" t="s">
        <v>3915</v>
      </c>
      <c r="Q661">
        <v>0</v>
      </c>
      <c r="R661" t="s">
        <v>30</v>
      </c>
      <c r="S661">
        <v>0</v>
      </c>
      <c r="T661">
        <v>0</v>
      </c>
      <c r="U661" t="s">
        <v>3915</v>
      </c>
      <c r="V661" t="s">
        <v>31</v>
      </c>
      <c r="W661">
        <v>0</v>
      </c>
    </row>
    <row r="662" spans="1:23" x14ac:dyDescent="0.25">
      <c r="A662" t="s">
        <v>4924</v>
      </c>
      <c r="B662" t="s">
        <v>3741</v>
      </c>
      <c r="C662" t="s">
        <v>3740</v>
      </c>
      <c r="D662" t="s">
        <v>4479</v>
      </c>
      <c r="E662" t="s">
        <v>4898</v>
      </c>
      <c r="F662" t="s">
        <v>2901</v>
      </c>
      <c r="G662" t="s">
        <v>1406</v>
      </c>
      <c r="H662" s="6">
        <v>46022</v>
      </c>
      <c r="I662" t="s">
        <v>29</v>
      </c>
      <c r="J662">
        <v>2</v>
      </c>
      <c r="K662">
        <v>0</v>
      </c>
      <c r="L662">
        <v>0</v>
      </c>
      <c r="M662">
        <v>0</v>
      </c>
      <c r="N662" t="s">
        <v>3915</v>
      </c>
      <c r="O662" t="s">
        <v>3915</v>
      </c>
      <c r="P662" t="s">
        <v>3915</v>
      </c>
      <c r="Q662">
        <v>0</v>
      </c>
      <c r="R662" t="s">
        <v>30</v>
      </c>
      <c r="S662">
        <v>0</v>
      </c>
      <c r="T662">
        <v>0</v>
      </c>
      <c r="U662" t="s">
        <v>3915</v>
      </c>
      <c r="V662" t="s">
        <v>31</v>
      </c>
      <c r="W662">
        <v>0</v>
      </c>
    </row>
    <row r="663" spans="1:23" x14ac:dyDescent="0.25">
      <c r="A663" t="s">
        <v>4925</v>
      </c>
      <c r="B663" t="s">
        <v>3743</v>
      </c>
      <c r="C663" t="s">
        <v>3742</v>
      </c>
      <c r="D663" t="s">
        <v>4479</v>
      </c>
      <c r="E663" t="s">
        <v>4898</v>
      </c>
      <c r="F663" t="s">
        <v>2901</v>
      </c>
      <c r="G663" t="s">
        <v>1406</v>
      </c>
      <c r="H663" s="6">
        <v>46022</v>
      </c>
      <c r="I663" t="s">
        <v>29</v>
      </c>
      <c r="J663">
        <v>2</v>
      </c>
      <c r="K663">
        <v>0</v>
      </c>
      <c r="L663">
        <v>0</v>
      </c>
      <c r="M663">
        <v>0</v>
      </c>
      <c r="N663" t="s">
        <v>3915</v>
      </c>
      <c r="O663" t="s">
        <v>3915</v>
      </c>
      <c r="P663" t="s">
        <v>3915</v>
      </c>
      <c r="Q663">
        <v>0</v>
      </c>
      <c r="R663" t="s">
        <v>30</v>
      </c>
      <c r="S663">
        <v>0</v>
      </c>
      <c r="T663">
        <v>0</v>
      </c>
      <c r="U663" t="s">
        <v>3915</v>
      </c>
      <c r="V663" t="s">
        <v>31</v>
      </c>
      <c r="W663">
        <v>0</v>
      </c>
    </row>
    <row r="664" spans="1:23" x14ac:dyDescent="0.25">
      <c r="A664" t="s">
        <v>4926</v>
      </c>
      <c r="B664" t="s">
        <v>3745</v>
      </c>
      <c r="C664" t="s">
        <v>3744</v>
      </c>
      <c r="D664" t="s">
        <v>4479</v>
      </c>
      <c r="E664" t="s">
        <v>4898</v>
      </c>
      <c r="F664" t="s">
        <v>2901</v>
      </c>
      <c r="G664" t="s">
        <v>1406</v>
      </c>
      <c r="H664" s="6">
        <v>46022</v>
      </c>
      <c r="I664" t="s">
        <v>29</v>
      </c>
      <c r="J664">
        <v>5</v>
      </c>
      <c r="K664">
        <v>0</v>
      </c>
      <c r="L664">
        <v>0</v>
      </c>
      <c r="M664">
        <v>0</v>
      </c>
      <c r="N664" t="s">
        <v>3915</v>
      </c>
      <c r="O664" t="s">
        <v>3915</v>
      </c>
      <c r="P664" t="s">
        <v>3915</v>
      </c>
      <c r="Q664">
        <v>0</v>
      </c>
      <c r="R664" t="s">
        <v>30</v>
      </c>
      <c r="S664">
        <v>0</v>
      </c>
      <c r="T664">
        <v>0</v>
      </c>
      <c r="U664" t="s">
        <v>3915</v>
      </c>
      <c r="V664" t="s">
        <v>31</v>
      </c>
      <c r="W664">
        <v>0</v>
      </c>
    </row>
    <row r="665" spans="1:23" x14ac:dyDescent="0.25">
      <c r="A665" t="s">
        <v>4927</v>
      </c>
      <c r="B665" t="s">
        <v>3747</v>
      </c>
      <c r="C665" t="s">
        <v>3746</v>
      </c>
      <c r="D665" t="s">
        <v>4479</v>
      </c>
      <c r="E665" t="s">
        <v>4898</v>
      </c>
      <c r="F665" t="s">
        <v>2901</v>
      </c>
      <c r="G665" t="s">
        <v>1406</v>
      </c>
      <c r="H665" s="6">
        <v>46022</v>
      </c>
      <c r="I665" t="s">
        <v>29</v>
      </c>
      <c r="J665">
        <v>1</v>
      </c>
      <c r="K665">
        <v>0</v>
      </c>
      <c r="L665">
        <v>0</v>
      </c>
      <c r="M665">
        <v>0</v>
      </c>
      <c r="N665" t="s">
        <v>3915</v>
      </c>
      <c r="O665" t="s">
        <v>3915</v>
      </c>
      <c r="P665" t="s">
        <v>3915</v>
      </c>
      <c r="Q665">
        <v>0</v>
      </c>
      <c r="R665" t="s">
        <v>30</v>
      </c>
      <c r="S665">
        <v>0</v>
      </c>
      <c r="T665">
        <v>0</v>
      </c>
      <c r="U665" t="s">
        <v>3915</v>
      </c>
      <c r="V665" t="s">
        <v>31</v>
      </c>
      <c r="W665">
        <v>0</v>
      </c>
    </row>
    <row r="666" spans="1:23" x14ac:dyDescent="0.25">
      <c r="A666" t="s">
        <v>4928</v>
      </c>
      <c r="B666" t="s">
        <v>3749</v>
      </c>
      <c r="C666" t="s">
        <v>3748</v>
      </c>
      <c r="D666" t="s">
        <v>4479</v>
      </c>
      <c r="E666" t="s">
        <v>4898</v>
      </c>
      <c r="F666" t="s">
        <v>2901</v>
      </c>
      <c r="G666" t="s">
        <v>1406</v>
      </c>
      <c r="H666" s="6">
        <v>46022</v>
      </c>
      <c r="I666" t="s">
        <v>29</v>
      </c>
      <c r="J666">
        <v>1</v>
      </c>
      <c r="K666">
        <v>0</v>
      </c>
      <c r="L666">
        <v>0</v>
      </c>
      <c r="M666">
        <v>0</v>
      </c>
      <c r="N666" t="s">
        <v>3915</v>
      </c>
      <c r="O666" t="s">
        <v>3915</v>
      </c>
      <c r="P666" t="s">
        <v>3915</v>
      </c>
      <c r="Q666">
        <v>0</v>
      </c>
      <c r="R666" t="s">
        <v>30</v>
      </c>
      <c r="S666">
        <v>0</v>
      </c>
      <c r="T666">
        <v>0</v>
      </c>
      <c r="U666" t="s">
        <v>3915</v>
      </c>
      <c r="V666" t="s">
        <v>31</v>
      </c>
      <c r="W666">
        <v>0</v>
      </c>
    </row>
    <row r="667" spans="1:23" x14ac:dyDescent="0.25">
      <c r="A667" t="s">
        <v>4929</v>
      </c>
      <c r="B667" t="s">
        <v>3751</v>
      </c>
      <c r="C667" t="s">
        <v>3750</v>
      </c>
      <c r="D667" t="s">
        <v>4479</v>
      </c>
      <c r="E667" t="s">
        <v>4898</v>
      </c>
      <c r="F667" t="s">
        <v>2901</v>
      </c>
      <c r="G667" t="s">
        <v>1406</v>
      </c>
      <c r="H667" s="6">
        <v>46022</v>
      </c>
      <c r="I667" t="s">
        <v>29</v>
      </c>
      <c r="J667">
        <v>3</v>
      </c>
      <c r="K667">
        <v>0</v>
      </c>
      <c r="L667">
        <v>0</v>
      </c>
      <c r="M667">
        <v>0</v>
      </c>
      <c r="N667" t="s">
        <v>3915</v>
      </c>
      <c r="O667" t="s">
        <v>3915</v>
      </c>
      <c r="P667" t="s">
        <v>3915</v>
      </c>
      <c r="Q667">
        <v>0</v>
      </c>
      <c r="R667" t="s">
        <v>30</v>
      </c>
      <c r="S667">
        <v>0</v>
      </c>
      <c r="T667">
        <v>0</v>
      </c>
      <c r="U667" t="s">
        <v>3915</v>
      </c>
      <c r="V667" t="s">
        <v>31</v>
      </c>
      <c r="W667">
        <v>0</v>
      </c>
    </row>
    <row r="668" spans="1:23" x14ac:dyDescent="0.25">
      <c r="A668" t="s">
        <v>4930</v>
      </c>
      <c r="B668" t="s">
        <v>3753</v>
      </c>
      <c r="C668" t="s">
        <v>3752</v>
      </c>
      <c r="D668" t="s">
        <v>4479</v>
      </c>
      <c r="E668" t="s">
        <v>4898</v>
      </c>
      <c r="F668" t="s">
        <v>2901</v>
      </c>
      <c r="G668" t="s">
        <v>1406</v>
      </c>
      <c r="H668" s="6">
        <v>46022</v>
      </c>
      <c r="I668" t="s">
        <v>29</v>
      </c>
      <c r="J668">
        <v>108</v>
      </c>
      <c r="K668">
        <v>0</v>
      </c>
      <c r="L668">
        <v>0</v>
      </c>
      <c r="M668">
        <v>0</v>
      </c>
      <c r="N668" t="s">
        <v>3915</v>
      </c>
      <c r="O668" t="s">
        <v>3915</v>
      </c>
      <c r="P668" t="s">
        <v>3915</v>
      </c>
      <c r="Q668">
        <v>0</v>
      </c>
      <c r="R668" t="s">
        <v>30</v>
      </c>
      <c r="S668">
        <v>0</v>
      </c>
      <c r="T668">
        <v>0</v>
      </c>
      <c r="U668" t="s">
        <v>3915</v>
      </c>
      <c r="V668" t="s">
        <v>31</v>
      </c>
      <c r="W668">
        <v>0</v>
      </c>
    </row>
    <row r="669" spans="1:23" x14ac:dyDescent="0.25">
      <c r="A669" t="s">
        <v>4069</v>
      </c>
      <c r="B669" t="s">
        <v>3755</v>
      </c>
      <c r="C669" t="s">
        <v>3754</v>
      </c>
      <c r="D669" t="s">
        <v>4479</v>
      </c>
      <c r="E669" t="s">
        <v>4898</v>
      </c>
      <c r="F669" t="s">
        <v>2901</v>
      </c>
      <c r="G669" t="s">
        <v>1406</v>
      </c>
      <c r="H669" s="6">
        <v>46022</v>
      </c>
      <c r="I669" t="s">
        <v>29</v>
      </c>
      <c r="J669">
        <v>49</v>
      </c>
      <c r="K669">
        <v>0</v>
      </c>
      <c r="L669">
        <v>0</v>
      </c>
      <c r="M669">
        <v>0</v>
      </c>
      <c r="N669" t="s">
        <v>3915</v>
      </c>
      <c r="O669" t="s">
        <v>3915</v>
      </c>
      <c r="P669" t="s">
        <v>3915</v>
      </c>
      <c r="Q669">
        <v>0</v>
      </c>
      <c r="R669" t="s">
        <v>30</v>
      </c>
      <c r="S669">
        <v>0</v>
      </c>
      <c r="T669">
        <v>0</v>
      </c>
      <c r="U669" t="s">
        <v>3915</v>
      </c>
      <c r="V669" t="s">
        <v>31</v>
      </c>
      <c r="W669">
        <v>0</v>
      </c>
    </row>
    <row r="670" spans="1:23" x14ac:dyDescent="0.25">
      <c r="A670" t="s">
        <v>4931</v>
      </c>
      <c r="B670" t="s">
        <v>3757</v>
      </c>
      <c r="C670" t="s">
        <v>3756</v>
      </c>
      <c r="D670" t="s">
        <v>4479</v>
      </c>
      <c r="E670" t="s">
        <v>4898</v>
      </c>
      <c r="F670" t="s">
        <v>2901</v>
      </c>
      <c r="G670" t="s">
        <v>1406</v>
      </c>
      <c r="H670" s="6">
        <v>46022</v>
      </c>
      <c r="I670" t="s">
        <v>29</v>
      </c>
      <c r="J670">
        <v>8</v>
      </c>
      <c r="K670">
        <v>0</v>
      </c>
      <c r="L670">
        <v>0</v>
      </c>
      <c r="M670">
        <v>0</v>
      </c>
      <c r="N670" t="s">
        <v>3915</v>
      </c>
      <c r="O670" t="s">
        <v>3915</v>
      </c>
      <c r="P670" t="s">
        <v>3915</v>
      </c>
      <c r="Q670">
        <v>0</v>
      </c>
      <c r="R670" t="s">
        <v>30</v>
      </c>
      <c r="S670">
        <v>0</v>
      </c>
      <c r="T670">
        <v>0</v>
      </c>
      <c r="U670" t="s">
        <v>3915</v>
      </c>
      <c r="V670" t="s">
        <v>31</v>
      </c>
      <c r="W670">
        <v>0</v>
      </c>
    </row>
    <row r="671" spans="1:23" x14ac:dyDescent="0.25">
      <c r="A671" t="s">
        <v>4932</v>
      </c>
      <c r="B671" t="s">
        <v>3759</v>
      </c>
      <c r="C671" t="s">
        <v>3758</v>
      </c>
      <c r="D671" t="s">
        <v>4479</v>
      </c>
      <c r="E671" t="s">
        <v>4898</v>
      </c>
      <c r="F671" t="s">
        <v>2901</v>
      </c>
      <c r="G671" t="s">
        <v>1406</v>
      </c>
      <c r="H671" s="6">
        <v>46022</v>
      </c>
      <c r="I671" t="s">
        <v>29</v>
      </c>
      <c r="J671">
        <v>3</v>
      </c>
      <c r="K671">
        <v>0</v>
      </c>
      <c r="L671">
        <v>0</v>
      </c>
      <c r="M671">
        <v>0</v>
      </c>
      <c r="N671" t="s">
        <v>3915</v>
      </c>
      <c r="O671" t="s">
        <v>3915</v>
      </c>
      <c r="P671" t="s">
        <v>3915</v>
      </c>
      <c r="Q671">
        <v>0</v>
      </c>
      <c r="R671" t="s">
        <v>30</v>
      </c>
      <c r="S671">
        <v>0</v>
      </c>
      <c r="T671">
        <v>0</v>
      </c>
      <c r="U671" t="s">
        <v>3915</v>
      </c>
      <c r="V671" t="s">
        <v>31</v>
      </c>
      <c r="W671">
        <v>0</v>
      </c>
    </row>
    <row r="672" spans="1:23" x14ac:dyDescent="0.25">
      <c r="A672" t="s">
        <v>4933</v>
      </c>
      <c r="B672" t="s">
        <v>3761</v>
      </c>
      <c r="C672" t="s">
        <v>3760</v>
      </c>
      <c r="D672" t="s">
        <v>4479</v>
      </c>
      <c r="E672" t="s">
        <v>4898</v>
      </c>
      <c r="F672" t="s">
        <v>2901</v>
      </c>
      <c r="G672" t="s">
        <v>1406</v>
      </c>
      <c r="H672" s="6">
        <v>46022</v>
      </c>
      <c r="I672" t="s">
        <v>29</v>
      </c>
      <c r="J672">
        <v>2</v>
      </c>
      <c r="K672">
        <v>0</v>
      </c>
      <c r="L672">
        <v>0</v>
      </c>
      <c r="M672">
        <v>0</v>
      </c>
      <c r="N672" t="s">
        <v>3915</v>
      </c>
      <c r="O672" t="s">
        <v>3915</v>
      </c>
      <c r="P672" t="s">
        <v>3915</v>
      </c>
      <c r="Q672">
        <v>0</v>
      </c>
      <c r="R672" t="s">
        <v>30</v>
      </c>
      <c r="S672">
        <v>0</v>
      </c>
      <c r="T672">
        <v>0</v>
      </c>
      <c r="U672" t="s">
        <v>3915</v>
      </c>
      <c r="V672" t="s">
        <v>31</v>
      </c>
      <c r="W672">
        <v>0</v>
      </c>
    </row>
    <row r="673" spans="1:23" x14ac:dyDescent="0.25">
      <c r="A673" t="s">
        <v>4232</v>
      </c>
      <c r="B673" t="s">
        <v>3765</v>
      </c>
      <c r="C673" t="s">
        <v>3764</v>
      </c>
      <c r="D673" t="s">
        <v>4479</v>
      </c>
      <c r="E673" t="s">
        <v>4898</v>
      </c>
      <c r="F673" t="s">
        <v>2901</v>
      </c>
      <c r="G673" t="s">
        <v>1406</v>
      </c>
      <c r="H673" s="6">
        <v>46022</v>
      </c>
      <c r="I673" t="s">
        <v>29</v>
      </c>
      <c r="J673">
        <v>1</v>
      </c>
      <c r="K673">
        <v>0</v>
      </c>
      <c r="L673">
        <v>0</v>
      </c>
      <c r="M673">
        <v>0</v>
      </c>
      <c r="N673" t="s">
        <v>3915</v>
      </c>
      <c r="O673" t="s">
        <v>3915</v>
      </c>
      <c r="P673" t="s">
        <v>3915</v>
      </c>
      <c r="Q673">
        <v>0</v>
      </c>
      <c r="R673" t="s">
        <v>30</v>
      </c>
      <c r="S673">
        <v>0</v>
      </c>
      <c r="T673">
        <v>0</v>
      </c>
      <c r="U673" t="s">
        <v>3915</v>
      </c>
      <c r="V673" t="s">
        <v>31</v>
      </c>
      <c r="W673">
        <v>0</v>
      </c>
    </row>
    <row r="674" spans="1:23" x14ac:dyDescent="0.25">
      <c r="A674" t="s">
        <v>4934</v>
      </c>
      <c r="B674" t="s">
        <v>3767</v>
      </c>
      <c r="C674" t="s">
        <v>3766</v>
      </c>
      <c r="D674" t="s">
        <v>4479</v>
      </c>
      <c r="E674" t="s">
        <v>4898</v>
      </c>
      <c r="F674" t="s">
        <v>2901</v>
      </c>
      <c r="G674" t="s">
        <v>1406</v>
      </c>
      <c r="H674" s="6">
        <v>46022</v>
      </c>
      <c r="I674" t="s">
        <v>29</v>
      </c>
      <c r="J674">
        <v>1</v>
      </c>
      <c r="K674">
        <v>0</v>
      </c>
      <c r="L674">
        <v>0</v>
      </c>
      <c r="M674">
        <v>0</v>
      </c>
      <c r="N674" t="s">
        <v>3915</v>
      </c>
      <c r="O674" t="s">
        <v>3915</v>
      </c>
      <c r="P674" t="s">
        <v>3915</v>
      </c>
      <c r="Q674">
        <v>0</v>
      </c>
      <c r="R674" t="s">
        <v>30</v>
      </c>
      <c r="S674">
        <v>0</v>
      </c>
      <c r="T674">
        <v>0</v>
      </c>
      <c r="U674" t="s">
        <v>3915</v>
      </c>
      <c r="V674" t="s">
        <v>31</v>
      </c>
      <c r="W674">
        <v>0</v>
      </c>
    </row>
    <row r="675" spans="1:23" x14ac:dyDescent="0.25">
      <c r="A675" t="s">
        <v>4935</v>
      </c>
      <c r="B675" t="s">
        <v>3769</v>
      </c>
      <c r="C675" t="s">
        <v>3768</v>
      </c>
      <c r="D675" t="s">
        <v>4479</v>
      </c>
      <c r="E675" t="s">
        <v>4898</v>
      </c>
      <c r="F675" t="s">
        <v>2901</v>
      </c>
      <c r="G675" t="s">
        <v>1406</v>
      </c>
      <c r="H675" s="6">
        <v>46022</v>
      </c>
      <c r="I675" t="s">
        <v>29</v>
      </c>
      <c r="J675">
        <v>2</v>
      </c>
      <c r="K675">
        <v>0</v>
      </c>
      <c r="L675">
        <v>0</v>
      </c>
      <c r="M675">
        <v>0</v>
      </c>
      <c r="N675" t="s">
        <v>3915</v>
      </c>
      <c r="O675" t="s">
        <v>3915</v>
      </c>
      <c r="P675" t="s">
        <v>3915</v>
      </c>
      <c r="Q675">
        <v>0</v>
      </c>
      <c r="R675" t="s">
        <v>30</v>
      </c>
      <c r="S675">
        <v>0</v>
      </c>
      <c r="T675">
        <v>0</v>
      </c>
      <c r="U675" t="s">
        <v>3915</v>
      </c>
      <c r="V675" t="s">
        <v>31</v>
      </c>
      <c r="W675">
        <v>0</v>
      </c>
    </row>
    <row r="676" spans="1:23" x14ac:dyDescent="0.25">
      <c r="A676" t="s">
        <v>4936</v>
      </c>
      <c r="B676" t="s">
        <v>3771</v>
      </c>
      <c r="C676" t="s">
        <v>3770</v>
      </c>
      <c r="D676" t="s">
        <v>4479</v>
      </c>
      <c r="E676" t="s">
        <v>4898</v>
      </c>
      <c r="F676" t="s">
        <v>2901</v>
      </c>
      <c r="G676" t="s">
        <v>1406</v>
      </c>
      <c r="H676" s="6">
        <v>46022</v>
      </c>
      <c r="I676" t="s">
        <v>29</v>
      </c>
      <c r="J676">
        <v>2</v>
      </c>
      <c r="K676">
        <v>0</v>
      </c>
      <c r="L676">
        <v>0</v>
      </c>
      <c r="M676">
        <v>0</v>
      </c>
      <c r="N676" t="s">
        <v>3915</v>
      </c>
      <c r="O676" t="s">
        <v>3915</v>
      </c>
      <c r="P676" t="s">
        <v>3915</v>
      </c>
      <c r="Q676">
        <v>0</v>
      </c>
      <c r="R676" t="s">
        <v>30</v>
      </c>
      <c r="S676">
        <v>0</v>
      </c>
      <c r="T676">
        <v>0</v>
      </c>
      <c r="U676" t="s">
        <v>3915</v>
      </c>
      <c r="V676" t="s">
        <v>31</v>
      </c>
      <c r="W676">
        <v>0</v>
      </c>
    </row>
    <row r="677" spans="1:23" x14ac:dyDescent="0.25">
      <c r="A677" t="s">
        <v>4937</v>
      </c>
      <c r="B677" t="s">
        <v>3773</v>
      </c>
      <c r="C677" t="s">
        <v>3772</v>
      </c>
      <c r="D677" t="s">
        <v>4479</v>
      </c>
      <c r="E677" t="s">
        <v>4898</v>
      </c>
      <c r="F677" t="s">
        <v>2901</v>
      </c>
      <c r="G677" t="s">
        <v>1406</v>
      </c>
      <c r="H677" s="6">
        <v>46022</v>
      </c>
      <c r="I677" t="s">
        <v>29</v>
      </c>
      <c r="J677">
        <v>3</v>
      </c>
      <c r="K677">
        <v>0</v>
      </c>
      <c r="L677">
        <v>0</v>
      </c>
      <c r="M677">
        <v>0</v>
      </c>
      <c r="N677" t="s">
        <v>3915</v>
      </c>
      <c r="O677" t="s">
        <v>3915</v>
      </c>
      <c r="P677" t="s">
        <v>3915</v>
      </c>
      <c r="Q677">
        <v>0</v>
      </c>
      <c r="R677" t="s">
        <v>30</v>
      </c>
      <c r="S677">
        <v>0</v>
      </c>
      <c r="T677">
        <v>0</v>
      </c>
      <c r="U677" t="s">
        <v>3915</v>
      </c>
      <c r="V677" t="s">
        <v>31</v>
      </c>
      <c r="W677">
        <v>0</v>
      </c>
    </row>
    <row r="678" spans="1:23" x14ac:dyDescent="0.25">
      <c r="A678" t="s">
        <v>4938</v>
      </c>
      <c r="B678" t="s">
        <v>3775</v>
      </c>
      <c r="C678" t="s">
        <v>3774</v>
      </c>
      <c r="D678" t="s">
        <v>4479</v>
      </c>
      <c r="E678" t="s">
        <v>4898</v>
      </c>
      <c r="F678" t="s">
        <v>2901</v>
      </c>
      <c r="G678" t="s">
        <v>1406</v>
      </c>
      <c r="H678" s="6">
        <v>46022</v>
      </c>
      <c r="I678" t="s">
        <v>29</v>
      </c>
      <c r="J678">
        <v>1</v>
      </c>
      <c r="K678">
        <v>0</v>
      </c>
      <c r="L678">
        <v>0</v>
      </c>
      <c r="M678">
        <v>0</v>
      </c>
      <c r="N678" t="s">
        <v>3915</v>
      </c>
      <c r="O678" t="s">
        <v>3915</v>
      </c>
      <c r="P678" t="s">
        <v>3915</v>
      </c>
      <c r="Q678">
        <v>0</v>
      </c>
      <c r="R678" t="s">
        <v>30</v>
      </c>
      <c r="S678">
        <v>0</v>
      </c>
      <c r="T678">
        <v>0</v>
      </c>
      <c r="U678" t="s">
        <v>3915</v>
      </c>
      <c r="V678" t="s">
        <v>31</v>
      </c>
      <c r="W678">
        <v>0</v>
      </c>
    </row>
    <row r="679" spans="1:23" x14ac:dyDescent="0.25">
      <c r="A679" t="s">
        <v>4939</v>
      </c>
      <c r="B679" t="s">
        <v>3777</v>
      </c>
      <c r="C679" t="s">
        <v>3776</v>
      </c>
      <c r="D679" t="s">
        <v>4479</v>
      </c>
      <c r="E679" t="s">
        <v>4898</v>
      </c>
      <c r="F679" t="s">
        <v>2901</v>
      </c>
      <c r="G679" t="s">
        <v>1406</v>
      </c>
      <c r="H679" s="6">
        <v>46022</v>
      </c>
      <c r="I679" t="s">
        <v>29</v>
      </c>
      <c r="J679">
        <v>3</v>
      </c>
      <c r="K679">
        <v>0</v>
      </c>
      <c r="L679">
        <v>0</v>
      </c>
      <c r="M679">
        <v>0</v>
      </c>
      <c r="N679" t="s">
        <v>3915</v>
      </c>
      <c r="O679" t="s">
        <v>3915</v>
      </c>
      <c r="P679" t="s">
        <v>3915</v>
      </c>
      <c r="Q679">
        <v>0</v>
      </c>
      <c r="R679" t="s">
        <v>30</v>
      </c>
      <c r="S679">
        <v>0</v>
      </c>
      <c r="T679">
        <v>0</v>
      </c>
      <c r="U679" t="s">
        <v>3915</v>
      </c>
      <c r="V679" t="s">
        <v>31</v>
      </c>
      <c r="W679">
        <v>0</v>
      </c>
    </row>
    <row r="680" spans="1:23" x14ac:dyDescent="0.25">
      <c r="A680" t="s">
        <v>4940</v>
      </c>
      <c r="B680" t="s">
        <v>3779</v>
      </c>
      <c r="C680" t="s">
        <v>3778</v>
      </c>
      <c r="D680" t="s">
        <v>4479</v>
      </c>
      <c r="E680" t="s">
        <v>4898</v>
      </c>
      <c r="F680" t="s">
        <v>2901</v>
      </c>
      <c r="G680" t="s">
        <v>1406</v>
      </c>
      <c r="H680" s="6">
        <v>46022</v>
      </c>
      <c r="I680" t="s">
        <v>29</v>
      </c>
      <c r="J680">
        <v>6</v>
      </c>
      <c r="K680">
        <v>0</v>
      </c>
      <c r="L680">
        <v>0</v>
      </c>
      <c r="M680">
        <v>0</v>
      </c>
      <c r="N680" t="s">
        <v>3915</v>
      </c>
      <c r="O680" t="s">
        <v>3915</v>
      </c>
      <c r="P680" t="s">
        <v>3915</v>
      </c>
      <c r="Q680">
        <v>0</v>
      </c>
      <c r="R680" t="s">
        <v>30</v>
      </c>
      <c r="S680">
        <v>0</v>
      </c>
      <c r="T680">
        <v>0</v>
      </c>
      <c r="U680" t="s">
        <v>3915</v>
      </c>
      <c r="V680" t="s">
        <v>31</v>
      </c>
      <c r="W680">
        <v>0</v>
      </c>
    </row>
    <row r="681" spans="1:23" x14ac:dyDescent="0.25">
      <c r="A681" t="s">
        <v>4941</v>
      </c>
      <c r="B681" t="s">
        <v>3781</v>
      </c>
      <c r="C681" t="s">
        <v>3780</v>
      </c>
      <c r="D681" t="s">
        <v>4479</v>
      </c>
      <c r="E681" t="s">
        <v>4898</v>
      </c>
      <c r="F681" t="s">
        <v>2901</v>
      </c>
      <c r="G681" t="s">
        <v>1406</v>
      </c>
      <c r="H681" s="6">
        <v>46022</v>
      </c>
      <c r="I681" t="s">
        <v>29</v>
      </c>
      <c r="J681">
        <v>3</v>
      </c>
      <c r="K681">
        <v>0</v>
      </c>
      <c r="L681">
        <v>0</v>
      </c>
      <c r="M681">
        <v>0</v>
      </c>
      <c r="N681" t="s">
        <v>3915</v>
      </c>
      <c r="O681" t="s">
        <v>3915</v>
      </c>
      <c r="P681" t="s">
        <v>3915</v>
      </c>
      <c r="Q681">
        <v>0</v>
      </c>
      <c r="R681" t="s">
        <v>30</v>
      </c>
      <c r="S681">
        <v>0</v>
      </c>
      <c r="T681">
        <v>0</v>
      </c>
      <c r="U681" t="s">
        <v>3915</v>
      </c>
      <c r="V681" t="s">
        <v>31</v>
      </c>
      <c r="W681">
        <v>0</v>
      </c>
    </row>
    <row r="682" spans="1:23" x14ac:dyDescent="0.25">
      <c r="A682" t="s">
        <v>4942</v>
      </c>
      <c r="B682" t="s">
        <v>3783</v>
      </c>
      <c r="C682" t="s">
        <v>3782</v>
      </c>
      <c r="D682" t="s">
        <v>4479</v>
      </c>
      <c r="E682" t="s">
        <v>4898</v>
      </c>
      <c r="F682" t="s">
        <v>2901</v>
      </c>
      <c r="G682" t="s">
        <v>1406</v>
      </c>
      <c r="H682" s="6">
        <v>46022</v>
      </c>
      <c r="I682" t="s">
        <v>29</v>
      </c>
      <c r="J682">
        <v>1</v>
      </c>
      <c r="K682">
        <v>0</v>
      </c>
      <c r="L682">
        <v>0</v>
      </c>
      <c r="M682">
        <v>0</v>
      </c>
      <c r="N682" t="s">
        <v>3915</v>
      </c>
      <c r="O682" t="s">
        <v>3915</v>
      </c>
      <c r="P682" t="s">
        <v>3915</v>
      </c>
      <c r="Q682">
        <v>0</v>
      </c>
      <c r="R682" t="s">
        <v>30</v>
      </c>
      <c r="S682">
        <v>0</v>
      </c>
      <c r="T682">
        <v>0</v>
      </c>
      <c r="U682" t="s">
        <v>3915</v>
      </c>
      <c r="V682" t="s">
        <v>31</v>
      </c>
      <c r="W682">
        <v>0</v>
      </c>
    </row>
    <row r="683" spans="1:23" x14ac:dyDescent="0.25">
      <c r="A683" t="s">
        <v>4114</v>
      </c>
      <c r="B683" t="s">
        <v>3785</v>
      </c>
      <c r="C683" t="s">
        <v>3784</v>
      </c>
      <c r="D683" t="s">
        <v>4479</v>
      </c>
      <c r="E683" t="s">
        <v>4898</v>
      </c>
      <c r="F683" t="s">
        <v>2901</v>
      </c>
      <c r="G683" t="s">
        <v>1406</v>
      </c>
      <c r="H683" s="6">
        <v>46022</v>
      </c>
      <c r="I683" t="s">
        <v>29</v>
      </c>
      <c r="J683">
        <v>1</v>
      </c>
      <c r="K683">
        <v>0</v>
      </c>
      <c r="L683">
        <v>0</v>
      </c>
      <c r="M683">
        <v>0</v>
      </c>
      <c r="N683" t="s">
        <v>3915</v>
      </c>
      <c r="O683" t="s">
        <v>3915</v>
      </c>
      <c r="P683" t="s">
        <v>3915</v>
      </c>
      <c r="Q683">
        <v>0</v>
      </c>
      <c r="R683" t="s">
        <v>30</v>
      </c>
      <c r="S683">
        <v>0</v>
      </c>
      <c r="T683">
        <v>0</v>
      </c>
      <c r="U683" t="s">
        <v>3915</v>
      </c>
      <c r="V683" t="s">
        <v>31</v>
      </c>
      <c r="W683">
        <v>0</v>
      </c>
    </row>
    <row r="684" spans="1:23" x14ac:dyDescent="0.25">
      <c r="A684" t="s">
        <v>4943</v>
      </c>
      <c r="B684" t="s">
        <v>3787</v>
      </c>
      <c r="C684" t="s">
        <v>3786</v>
      </c>
      <c r="D684" t="s">
        <v>4479</v>
      </c>
      <c r="E684" t="s">
        <v>4898</v>
      </c>
      <c r="F684" t="s">
        <v>2901</v>
      </c>
      <c r="G684" t="s">
        <v>1406</v>
      </c>
      <c r="H684" s="6">
        <v>46022</v>
      </c>
      <c r="I684" t="s">
        <v>29</v>
      </c>
      <c r="J684">
        <v>2</v>
      </c>
      <c r="K684">
        <v>0</v>
      </c>
      <c r="L684">
        <v>0</v>
      </c>
      <c r="M684">
        <v>0</v>
      </c>
      <c r="N684" t="s">
        <v>3915</v>
      </c>
      <c r="O684" t="s">
        <v>3915</v>
      </c>
      <c r="P684" t="s">
        <v>3915</v>
      </c>
      <c r="Q684">
        <v>0</v>
      </c>
      <c r="R684" t="s">
        <v>30</v>
      </c>
      <c r="S684">
        <v>0</v>
      </c>
      <c r="T684">
        <v>0</v>
      </c>
      <c r="U684" t="s">
        <v>3915</v>
      </c>
      <c r="V684" t="s">
        <v>31</v>
      </c>
      <c r="W684">
        <v>0</v>
      </c>
    </row>
    <row r="685" spans="1:23" x14ac:dyDescent="0.25">
      <c r="A685" t="s">
        <v>4029</v>
      </c>
      <c r="B685" t="s">
        <v>3789</v>
      </c>
      <c r="C685" t="s">
        <v>3788</v>
      </c>
      <c r="D685" t="s">
        <v>4479</v>
      </c>
      <c r="E685" t="s">
        <v>4898</v>
      </c>
      <c r="F685" t="s">
        <v>2901</v>
      </c>
      <c r="G685" t="s">
        <v>1406</v>
      </c>
      <c r="H685" s="6">
        <v>46022</v>
      </c>
      <c r="I685" t="s">
        <v>29</v>
      </c>
      <c r="J685">
        <v>2</v>
      </c>
      <c r="K685">
        <v>0</v>
      </c>
      <c r="L685">
        <v>0</v>
      </c>
      <c r="M685">
        <v>0</v>
      </c>
      <c r="N685" t="s">
        <v>3915</v>
      </c>
      <c r="O685" t="s">
        <v>3915</v>
      </c>
      <c r="P685" t="s">
        <v>3915</v>
      </c>
      <c r="Q685">
        <v>0</v>
      </c>
      <c r="R685" t="s">
        <v>2095</v>
      </c>
      <c r="S685">
        <v>0</v>
      </c>
      <c r="T685">
        <v>0</v>
      </c>
      <c r="U685" t="s">
        <v>3915</v>
      </c>
      <c r="V685" t="s">
        <v>31</v>
      </c>
      <c r="W685">
        <v>0</v>
      </c>
    </row>
    <row r="686" spans="1:23" x14ac:dyDescent="0.25">
      <c r="A686" t="s">
        <v>4031</v>
      </c>
      <c r="B686" t="s">
        <v>2907</v>
      </c>
      <c r="C686" t="s">
        <v>3790</v>
      </c>
      <c r="D686" t="s">
        <v>4479</v>
      </c>
      <c r="E686" t="s">
        <v>4898</v>
      </c>
      <c r="F686" t="s">
        <v>2901</v>
      </c>
      <c r="G686" t="s">
        <v>1406</v>
      </c>
      <c r="H686" s="6">
        <v>46022</v>
      </c>
      <c r="I686" t="s">
        <v>29</v>
      </c>
      <c r="J686">
        <v>0</v>
      </c>
      <c r="K686">
        <v>0</v>
      </c>
      <c r="L686">
        <v>0</v>
      </c>
      <c r="M686">
        <v>0</v>
      </c>
      <c r="N686" t="s">
        <v>3915</v>
      </c>
      <c r="O686" t="s">
        <v>3915</v>
      </c>
      <c r="P686" t="s">
        <v>3915</v>
      </c>
      <c r="Q686">
        <v>0</v>
      </c>
      <c r="R686" t="s">
        <v>2095</v>
      </c>
      <c r="S686">
        <v>0</v>
      </c>
      <c r="T686">
        <v>0</v>
      </c>
      <c r="U686" t="s">
        <v>3915</v>
      </c>
      <c r="V686" t="s">
        <v>31</v>
      </c>
      <c r="W686">
        <v>0</v>
      </c>
    </row>
    <row r="687" spans="1:23" x14ac:dyDescent="0.25">
      <c r="A687" t="s">
        <v>4944</v>
      </c>
      <c r="B687" t="s">
        <v>3792</v>
      </c>
      <c r="C687" t="s">
        <v>3791</v>
      </c>
      <c r="D687" t="s">
        <v>4479</v>
      </c>
      <c r="E687" t="s">
        <v>4898</v>
      </c>
      <c r="F687" t="s">
        <v>2901</v>
      </c>
      <c r="G687" t="s">
        <v>1406</v>
      </c>
      <c r="H687" s="6">
        <v>46022</v>
      </c>
      <c r="I687" t="s">
        <v>29</v>
      </c>
      <c r="J687">
        <v>2</v>
      </c>
      <c r="K687">
        <v>0</v>
      </c>
      <c r="L687">
        <v>0</v>
      </c>
      <c r="M687">
        <v>0</v>
      </c>
      <c r="N687" t="s">
        <v>3915</v>
      </c>
      <c r="O687" t="s">
        <v>3915</v>
      </c>
      <c r="P687" t="s">
        <v>3915</v>
      </c>
      <c r="Q687">
        <v>0</v>
      </c>
      <c r="R687" t="s">
        <v>2095</v>
      </c>
      <c r="S687">
        <v>0</v>
      </c>
      <c r="T687">
        <v>0</v>
      </c>
      <c r="U687" t="s">
        <v>3915</v>
      </c>
      <c r="V687" t="s">
        <v>31</v>
      </c>
      <c r="W687">
        <v>0</v>
      </c>
    </row>
    <row r="688" spans="1:23" x14ac:dyDescent="0.25">
      <c r="A688" t="s">
        <v>4945</v>
      </c>
      <c r="B688" t="s">
        <v>3794</v>
      </c>
      <c r="C688" t="s">
        <v>3793</v>
      </c>
      <c r="D688" t="s">
        <v>4479</v>
      </c>
      <c r="E688" t="s">
        <v>4898</v>
      </c>
      <c r="F688" t="s">
        <v>2901</v>
      </c>
      <c r="G688" t="s">
        <v>1406</v>
      </c>
      <c r="H688" s="6">
        <v>46022</v>
      </c>
      <c r="I688" t="s">
        <v>29</v>
      </c>
      <c r="J688">
        <v>2</v>
      </c>
      <c r="K688">
        <v>0</v>
      </c>
      <c r="L688">
        <v>0</v>
      </c>
      <c r="M688">
        <v>0</v>
      </c>
      <c r="N688" t="s">
        <v>3915</v>
      </c>
      <c r="O688" t="s">
        <v>3915</v>
      </c>
      <c r="P688" t="s">
        <v>3915</v>
      </c>
      <c r="Q688">
        <v>0</v>
      </c>
      <c r="R688" t="s">
        <v>2095</v>
      </c>
      <c r="S688">
        <v>0</v>
      </c>
      <c r="T688">
        <v>0</v>
      </c>
      <c r="U688" t="s">
        <v>3915</v>
      </c>
      <c r="V688" t="s">
        <v>31</v>
      </c>
      <c r="W688">
        <v>0</v>
      </c>
    </row>
    <row r="689" spans="1:23" x14ac:dyDescent="0.25">
      <c r="A689" t="s">
        <v>4946</v>
      </c>
      <c r="B689" t="s">
        <v>3796</v>
      </c>
      <c r="C689" t="s">
        <v>3795</v>
      </c>
      <c r="D689" t="s">
        <v>4479</v>
      </c>
      <c r="E689" t="s">
        <v>4898</v>
      </c>
      <c r="F689" t="s">
        <v>2901</v>
      </c>
      <c r="G689" t="s">
        <v>1406</v>
      </c>
      <c r="H689" s="6">
        <v>46022</v>
      </c>
      <c r="I689" t="s">
        <v>29</v>
      </c>
      <c r="J689">
        <v>1</v>
      </c>
      <c r="K689">
        <v>0</v>
      </c>
      <c r="L689">
        <v>0</v>
      </c>
      <c r="M689">
        <v>0</v>
      </c>
      <c r="N689" t="s">
        <v>3915</v>
      </c>
      <c r="O689" t="s">
        <v>3915</v>
      </c>
      <c r="P689" t="s">
        <v>3915</v>
      </c>
      <c r="Q689">
        <v>0</v>
      </c>
      <c r="R689" t="s">
        <v>30</v>
      </c>
      <c r="S689">
        <v>0</v>
      </c>
      <c r="T689">
        <v>0</v>
      </c>
      <c r="U689" t="s">
        <v>3915</v>
      </c>
      <c r="V689" t="s">
        <v>31</v>
      </c>
      <c r="W689">
        <v>0</v>
      </c>
    </row>
    <row r="690" spans="1:23" x14ac:dyDescent="0.25">
      <c r="A690" t="s">
        <v>4011</v>
      </c>
      <c r="B690" t="s">
        <v>3798</v>
      </c>
      <c r="C690" t="s">
        <v>3797</v>
      </c>
      <c r="D690" t="s">
        <v>4479</v>
      </c>
      <c r="E690" t="s">
        <v>4898</v>
      </c>
      <c r="F690" t="s">
        <v>2901</v>
      </c>
      <c r="G690" t="s">
        <v>1406</v>
      </c>
      <c r="H690" s="6">
        <v>46022</v>
      </c>
      <c r="I690" t="s">
        <v>29</v>
      </c>
      <c r="J690">
        <v>102</v>
      </c>
      <c r="K690">
        <v>0</v>
      </c>
      <c r="L690">
        <v>0</v>
      </c>
      <c r="M690">
        <v>0</v>
      </c>
      <c r="N690" t="s">
        <v>3915</v>
      </c>
      <c r="O690" t="s">
        <v>3915</v>
      </c>
      <c r="P690" t="s">
        <v>3915</v>
      </c>
      <c r="Q690">
        <v>0</v>
      </c>
      <c r="R690" t="s">
        <v>30</v>
      </c>
      <c r="S690">
        <v>0</v>
      </c>
      <c r="T690">
        <v>0</v>
      </c>
      <c r="U690" t="s">
        <v>3915</v>
      </c>
      <c r="V690" t="s">
        <v>31</v>
      </c>
      <c r="W690">
        <v>0</v>
      </c>
    </row>
    <row r="691" spans="1:23" x14ac:dyDescent="0.25">
      <c r="A691" t="s">
        <v>4947</v>
      </c>
      <c r="B691" t="s">
        <v>3800</v>
      </c>
      <c r="C691" t="s">
        <v>3799</v>
      </c>
      <c r="D691" t="s">
        <v>4479</v>
      </c>
      <c r="E691" t="s">
        <v>4898</v>
      </c>
      <c r="F691" t="s">
        <v>2901</v>
      </c>
      <c r="G691" t="s">
        <v>1406</v>
      </c>
      <c r="H691" s="6">
        <v>46022</v>
      </c>
      <c r="I691" t="s">
        <v>29</v>
      </c>
      <c r="J691">
        <v>1</v>
      </c>
      <c r="K691">
        <v>0</v>
      </c>
      <c r="L691">
        <v>0</v>
      </c>
      <c r="M691">
        <v>0</v>
      </c>
      <c r="N691" t="s">
        <v>3915</v>
      </c>
      <c r="O691" t="s">
        <v>3915</v>
      </c>
      <c r="P691" t="s">
        <v>3915</v>
      </c>
      <c r="Q691">
        <v>0</v>
      </c>
      <c r="R691" t="s">
        <v>30</v>
      </c>
      <c r="S691">
        <v>0</v>
      </c>
      <c r="T691">
        <v>0</v>
      </c>
      <c r="U691" t="s">
        <v>3915</v>
      </c>
      <c r="V691" t="s">
        <v>31</v>
      </c>
      <c r="W691">
        <v>0</v>
      </c>
    </row>
    <row r="692" spans="1:23" x14ac:dyDescent="0.25">
      <c r="A692" t="s">
        <v>4948</v>
      </c>
      <c r="B692" t="s">
        <v>3802</v>
      </c>
      <c r="C692" t="s">
        <v>3801</v>
      </c>
      <c r="D692" t="s">
        <v>4479</v>
      </c>
      <c r="E692" t="s">
        <v>4898</v>
      </c>
      <c r="F692" t="s">
        <v>2901</v>
      </c>
      <c r="G692" t="s">
        <v>1406</v>
      </c>
      <c r="H692" s="6">
        <v>46022</v>
      </c>
      <c r="I692" t="s">
        <v>29</v>
      </c>
      <c r="J692">
        <v>2</v>
      </c>
      <c r="K692">
        <v>0</v>
      </c>
      <c r="L692">
        <v>0</v>
      </c>
      <c r="M692">
        <v>0</v>
      </c>
      <c r="N692" t="s">
        <v>3915</v>
      </c>
      <c r="O692" t="s">
        <v>3915</v>
      </c>
      <c r="P692" t="s">
        <v>3915</v>
      </c>
      <c r="Q692">
        <v>0</v>
      </c>
      <c r="R692" t="s">
        <v>30</v>
      </c>
      <c r="S692">
        <v>0</v>
      </c>
      <c r="T692">
        <v>0</v>
      </c>
      <c r="U692" t="s">
        <v>3915</v>
      </c>
      <c r="V692" t="s">
        <v>31</v>
      </c>
      <c r="W692">
        <v>0</v>
      </c>
    </row>
    <row r="693" spans="1:23" x14ac:dyDescent="0.25">
      <c r="A693" t="s">
        <v>4949</v>
      </c>
      <c r="B693" t="s">
        <v>3804</v>
      </c>
      <c r="C693" t="s">
        <v>3803</v>
      </c>
      <c r="D693" t="s">
        <v>4479</v>
      </c>
      <c r="E693" t="s">
        <v>4898</v>
      </c>
      <c r="F693" t="s">
        <v>2901</v>
      </c>
      <c r="G693" t="s">
        <v>1406</v>
      </c>
      <c r="H693" s="6">
        <v>46022</v>
      </c>
      <c r="I693" t="s">
        <v>29</v>
      </c>
      <c r="J693">
        <v>3</v>
      </c>
      <c r="K693">
        <v>0</v>
      </c>
      <c r="L693">
        <v>0</v>
      </c>
      <c r="M693">
        <v>0</v>
      </c>
      <c r="N693" t="s">
        <v>3915</v>
      </c>
      <c r="O693" t="s">
        <v>3915</v>
      </c>
      <c r="P693" t="s">
        <v>3915</v>
      </c>
      <c r="Q693">
        <v>0</v>
      </c>
      <c r="R693" t="s">
        <v>30</v>
      </c>
      <c r="S693">
        <v>0</v>
      </c>
      <c r="T693">
        <v>0</v>
      </c>
      <c r="U693" t="s">
        <v>3915</v>
      </c>
      <c r="V693" t="s">
        <v>31</v>
      </c>
      <c r="W693">
        <v>0</v>
      </c>
    </row>
    <row r="694" spans="1:23" x14ac:dyDescent="0.25">
      <c r="A694" t="s">
        <v>4950</v>
      </c>
      <c r="B694" t="s">
        <v>3806</v>
      </c>
      <c r="C694" t="s">
        <v>3805</v>
      </c>
      <c r="D694" t="s">
        <v>4479</v>
      </c>
      <c r="E694" t="s">
        <v>4898</v>
      </c>
      <c r="F694" t="s">
        <v>2901</v>
      </c>
      <c r="G694" t="s">
        <v>1406</v>
      </c>
      <c r="H694" s="6">
        <v>46022</v>
      </c>
      <c r="I694" t="s">
        <v>29</v>
      </c>
      <c r="J694">
        <v>2</v>
      </c>
      <c r="K694">
        <v>0</v>
      </c>
      <c r="L694">
        <v>0</v>
      </c>
      <c r="M694">
        <v>0</v>
      </c>
      <c r="N694" t="s">
        <v>3915</v>
      </c>
      <c r="O694" t="s">
        <v>3915</v>
      </c>
      <c r="P694" t="s">
        <v>3915</v>
      </c>
      <c r="Q694">
        <v>0</v>
      </c>
      <c r="R694" t="s">
        <v>30</v>
      </c>
      <c r="S694">
        <v>0</v>
      </c>
      <c r="T694">
        <v>0</v>
      </c>
      <c r="U694" t="s">
        <v>3915</v>
      </c>
      <c r="V694" t="s">
        <v>31</v>
      </c>
      <c r="W694">
        <v>0</v>
      </c>
    </row>
    <row r="695" spans="1:23" x14ac:dyDescent="0.25">
      <c r="A695" t="s">
        <v>4951</v>
      </c>
      <c r="B695" t="s">
        <v>3808</v>
      </c>
      <c r="C695" t="s">
        <v>3807</v>
      </c>
      <c r="D695" t="s">
        <v>4479</v>
      </c>
      <c r="E695" t="s">
        <v>4898</v>
      </c>
      <c r="F695" t="s">
        <v>2901</v>
      </c>
      <c r="G695" t="s">
        <v>1406</v>
      </c>
      <c r="H695" s="6">
        <v>46022</v>
      </c>
      <c r="I695" t="s">
        <v>29</v>
      </c>
      <c r="J695">
        <v>1</v>
      </c>
      <c r="K695">
        <v>0</v>
      </c>
      <c r="L695">
        <v>0</v>
      </c>
      <c r="M695">
        <v>0</v>
      </c>
      <c r="N695" t="s">
        <v>3915</v>
      </c>
      <c r="O695" t="s">
        <v>3915</v>
      </c>
      <c r="P695" t="s">
        <v>3915</v>
      </c>
      <c r="Q695">
        <v>0</v>
      </c>
      <c r="R695" t="s">
        <v>30</v>
      </c>
      <c r="S695">
        <v>0</v>
      </c>
      <c r="T695">
        <v>0</v>
      </c>
      <c r="U695" t="s">
        <v>3915</v>
      </c>
      <c r="V695" t="s">
        <v>31</v>
      </c>
      <c r="W695">
        <v>0</v>
      </c>
    </row>
    <row r="696" spans="1:23" x14ac:dyDescent="0.25">
      <c r="A696" t="s">
        <v>4218</v>
      </c>
      <c r="B696" t="s">
        <v>3810</v>
      </c>
      <c r="C696" t="s">
        <v>3809</v>
      </c>
      <c r="D696" t="s">
        <v>4479</v>
      </c>
      <c r="E696" t="s">
        <v>4898</v>
      </c>
      <c r="F696" t="s">
        <v>2901</v>
      </c>
      <c r="G696" t="s">
        <v>1406</v>
      </c>
      <c r="H696" s="6">
        <v>46022</v>
      </c>
      <c r="I696" t="s">
        <v>29</v>
      </c>
      <c r="J696">
        <v>58.5</v>
      </c>
      <c r="K696">
        <v>0</v>
      </c>
      <c r="L696">
        <v>0</v>
      </c>
      <c r="M696">
        <v>0</v>
      </c>
      <c r="N696" t="s">
        <v>3915</v>
      </c>
      <c r="O696" t="s">
        <v>3915</v>
      </c>
      <c r="P696" t="s">
        <v>3915</v>
      </c>
      <c r="Q696">
        <v>0</v>
      </c>
      <c r="R696" t="s">
        <v>30</v>
      </c>
      <c r="S696">
        <v>0</v>
      </c>
      <c r="T696">
        <v>0</v>
      </c>
      <c r="U696" t="s">
        <v>3915</v>
      </c>
      <c r="V696" t="s">
        <v>31</v>
      </c>
      <c r="W696">
        <v>0</v>
      </c>
    </row>
    <row r="697" spans="1:23" x14ac:dyDescent="0.25">
      <c r="A697" t="s">
        <v>4952</v>
      </c>
      <c r="B697" t="s">
        <v>3812</v>
      </c>
      <c r="C697" t="s">
        <v>3811</v>
      </c>
      <c r="D697" t="s">
        <v>4479</v>
      </c>
      <c r="E697" t="s">
        <v>4898</v>
      </c>
      <c r="F697" t="s">
        <v>2901</v>
      </c>
      <c r="G697" t="s">
        <v>1406</v>
      </c>
      <c r="H697" s="6">
        <v>46022</v>
      </c>
      <c r="I697" t="s">
        <v>29</v>
      </c>
      <c r="J697">
        <v>3</v>
      </c>
      <c r="K697">
        <v>0</v>
      </c>
      <c r="L697">
        <v>0</v>
      </c>
      <c r="M697">
        <v>0</v>
      </c>
      <c r="N697" t="s">
        <v>3915</v>
      </c>
      <c r="O697" t="s">
        <v>3915</v>
      </c>
      <c r="P697" t="s">
        <v>3915</v>
      </c>
      <c r="Q697">
        <v>0</v>
      </c>
      <c r="R697" t="s">
        <v>30</v>
      </c>
      <c r="S697">
        <v>0</v>
      </c>
      <c r="T697">
        <v>0</v>
      </c>
      <c r="U697" t="s">
        <v>3915</v>
      </c>
      <c r="V697" t="s">
        <v>31</v>
      </c>
      <c r="W697">
        <v>0</v>
      </c>
    </row>
    <row r="698" spans="1:23" x14ac:dyDescent="0.25">
      <c r="A698" t="s">
        <v>3934</v>
      </c>
      <c r="B698" t="s">
        <v>3814</v>
      </c>
      <c r="C698" t="s">
        <v>3813</v>
      </c>
      <c r="D698" t="s">
        <v>4479</v>
      </c>
      <c r="E698" t="s">
        <v>4898</v>
      </c>
      <c r="F698" t="s">
        <v>2901</v>
      </c>
      <c r="G698" t="s">
        <v>1406</v>
      </c>
      <c r="H698" s="6">
        <v>46022</v>
      </c>
      <c r="I698" t="s">
        <v>29</v>
      </c>
      <c r="J698">
        <v>1</v>
      </c>
      <c r="K698">
        <v>0</v>
      </c>
      <c r="L698">
        <v>0</v>
      </c>
      <c r="M698">
        <v>0</v>
      </c>
      <c r="N698" t="s">
        <v>3915</v>
      </c>
      <c r="O698" t="s">
        <v>3915</v>
      </c>
      <c r="P698" t="s">
        <v>3915</v>
      </c>
      <c r="Q698">
        <v>0</v>
      </c>
      <c r="R698" t="s">
        <v>30</v>
      </c>
      <c r="S698">
        <v>0</v>
      </c>
      <c r="T698">
        <v>0</v>
      </c>
      <c r="U698" t="s">
        <v>3915</v>
      </c>
      <c r="V698" t="s">
        <v>31</v>
      </c>
      <c r="W698">
        <v>0</v>
      </c>
    </row>
    <row r="699" spans="1:23" x14ac:dyDescent="0.25">
      <c r="A699" t="s">
        <v>4953</v>
      </c>
      <c r="B699" t="s">
        <v>3816</v>
      </c>
      <c r="C699" t="s">
        <v>3815</v>
      </c>
      <c r="D699" t="s">
        <v>4479</v>
      </c>
      <c r="E699" t="s">
        <v>4898</v>
      </c>
      <c r="F699" t="s">
        <v>2901</v>
      </c>
      <c r="G699" t="s">
        <v>1406</v>
      </c>
      <c r="H699" s="6">
        <v>46022</v>
      </c>
      <c r="I699" t="s">
        <v>29</v>
      </c>
      <c r="J699">
        <v>64</v>
      </c>
      <c r="K699">
        <v>0</v>
      </c>
      <c r="L699">
        <v>0</v>
      </c>
      <c r="M699">
        <v>0</v>
      </c>
      <c r="N699" t="s">
        <v>3915</v>
      </c>
      <c r="O699" t="s">
        <v>3915</v>
      </c>
      <c r="P699" t="s">
        <v>3915</v>
      </c>
      <c r="Q699">
        <v>0</v>
      </c>
      <c r="R699" t="s">
        <v>30</v>
      </c>
      <c r="S699">
        <v>0</v>
      </c>
      <c r="T699">
        <v>0</v>
      </c>
      <c r="U699" t="s">
        <v>3915</v>
      </c>
      <c r="V699" t="s">
        <v>31</v>
      </c>
      <c r="W699">
        <v>0</v>
      </c>
    </row>
    <row r="700" spans="1:23" x14ac:dyDescent="0.25">
      <c r="A700" t="s">
        <v>4219</v>
      </c>
      <c r="B700" t="s">
        <v>3818</v>
      </c>
      <c r="C700" t="s">
        <v>3817</v>
      </c>
      <c r="D700" t="s">
        <v>4479</v>
      </c>
      <c r="E700" t="s">
        <v>4898</v>
      </c>
      <c r="F700" t="s">
        <v>2901</v>
      </c>
      <c r="G700" t="s">
        <v>1406</v>
      </c>
      <c r="H700" s="6">
        <v>46022</v>
      </c>
      <c r="I700" t="s">
        <v>29</v>
      </c>
      <c r="J700">
        <v>1</v>
      </c>
      <c r="K700">
        <v>0</v>
      </c>
      <c r="L700">
        <v>0</v>
      </c>
      <c r="M700">
        <v>0</v>
      </c>
      <c r="N700" t="s">
        <v>3915</v>
      </c>
      <c r="O700" t="s">
        <v>3915</v>
      </c>
      <c r="P700" t="s">
        <v>3915</v>
      </c>
      <c r="Q700">
        <v>0</v>
      </c>
      <c r="R700" t="s">
        <v>30</v>
      </c>
      <c r="S700">
        <v>0</v>
      </c>
      <c r="T700">
        <v>0</v>
      </c>
      <c r="U700" t="s">
        <v>3915</v>
      </c>
      <c r="V700" t="s">
        <v>31</v>
      </c>
      <c r="W700">
        <v>0</v>
      </c>
    </row>
    <row r="701" spans="1:23" x14ac:dyDescent="0.25">
      <c r="A701" t="s">
        <v>4954</v>
      </c>
      <c r="B701" t="s">
        <v>3820</v>
      </c>
      <c r="C701" t="s">
        <v>3819</v>
      </c>
      <c r="D701" t="s">
        <v>4479</v>
      </c>
      <c r="E701" t="s">
        <v>4898</v>
      </c>
      <c r="F701" t="s">
        <v>2901</v>
      </c>
      <c r="G701" t="s">
        <v>1406</v>
      </c>
      <c r="H701" s="6">
        <v>46022</v>
      </c>
      <c r="I701" t="s">
        <v>29</v>
      </c>
      <c r="J701">
        <v>2</v>
      </c>
      <c r="K701">
        <v>0</v>
      </c>
      <c r="L701">
        <v>0</v>
      </c>
      <c r="M701">
        <v>0</v>
      </c>
      <c r="N701" t="s">
        <v>3915</v>
      </c>
      <c r="O701" t="s">
        <v>3915</v>
      </c>
      <c r="P701" t="s">
        <v>3915</v>
      </c>
      <c r="Q701">
        <v>0</v>
      </c>
      <c r="R701" t="s">
        <v>30</v>
      </c>
      <c r="S701">
        <v>0</v>
      </c>
      <c r="T701">
        <v>0</v>
      </c>
      <c r="U701" t="s">
        <v>3915</v>
      </c>
      <c r="V701" t="s">
        <v>31</v>
      </c>
      <c r="W701">
        <v>0</v>
      </c>
    </row>
    <row r="702" spans="1:23" x14ac:dyDescent="0.25">
      <c r="A702" t="s">
        <v>4955</v>
      </c>
      <c r="B702" t="s">
        <v>3822</v>
      </c>
      <c r="C702" t="s">
        <v>3821</v>
      </c>
      <c r="D702" t="s">
        <v>4479</v>
      </c>
      <c r="E702" t="s">
        <v>4898</v>
      </c>
      <c r="F702" t="s">
        <v>2901</v>
      </c>
      <c r="G702" t="s">
        <v>1406</v>
      </c>
      <c r="H702" s="6">
        <v>46022</v>
      </c>
      <c r="I702" t="s">
        <v>29</v>
      </c>
      <c r="J702">
        <v>2</v>
      </c>
      <c r="K702">
        <v>0</v>
      </c>
      <c r="L702">
        <v>0</v>
      </c>
      <c r="M702">
        <v>0</v>
      </c>
      <c r="N702" t="s">
        <v>3915</v>
      </c>
      <c r="O702" t="s">
        <v>3915</v>
      </c>
      <c r="P702" t="s">
        <v>3915</v>
      </c>
      <c r="Q702">
        <v>0</v>
      </c>
      <c r="R702" t="s">
        <v>30</v>
      </c>
      <c r="S702">
        <v>0</v>
      </c>
      <c r="T702">
        <v>0</v>
      </c>
      <c r="U702" t="s">
        <v>3915</v>
      </c>
      <c r="V702" t="s">
        <v>31</v>
      </c>
      <c r="W702">
        <v>0</v>
      </c>
    </row>
    <row r="703" spans="1:23" x14ac:dyDescent="0.25">
      <c r="A703" t="s">
        <v>4956</v>
      </c>
      <c r="B703" t="s">
        <v>3824</v>
      </c>
      <c r="C703" t="s">
        <v>3823</v>
      </c>
      <c r="D703" t="s">
        <v>4479</v>
      </c>
      <c r="E703" t="s">
        <v>4898</v>
      </c>
      <c r="F703" t="s">
        <v>2901</v>
      </c>
      <c r="G703" t="s">
        <v>1406</v>
      </c>
      <c r="H703" s="6">
        <v>46022</v>
      </c>
      <c r="I703" t="s">
        <v>29</v>
      </c>
      <c r="J703">
        <v>10</v>
      </c>
      <c r="K703">
        <v>0</v>
      </c>
      <c r="L703">
        <v>0</v>
      </c>
      <c r="M703">
        <v>0</v>
      </c>
      <c r="N703" t="s">
        <v>3915</v>
      </c>
      <c r="O703" t="s">
        <v>3915</v>
      </c>
      <c r="P703" t="s">
        <v>3915</v>
      </c>
      <c r="Q703">
        <v>0</v>
      </c>
      <c r="R703" t="s">
        <v>30</v>
      </c>
      <c r="S703">
        <v>0</v>
      </c>
      <c r="T703">
        <v>0</v>
      </c>
      <c r="U703" t="s">
        <v>3915</v>
      </c>
      <c r="V703" t="s">
        <v>31</v>
      </c>
      <c r="W703">
        <v>0</v>
      </c>
    </row>
    <row r="704" spans="1:23" x14ac:dyDescent="0.25">
      <c r="A704" t="s">
        <v>4379</v>
      </c>
      <c r="B704" t="s">
        <v>3826</v>
      </c>
      <c r="C704" t="s">
        <v>3825</v>
      </c>
      <c r="D704" t="s">
        <v>4479</v>
      </c>
      <c r="E704" t="s">
        <v>4898</v>
      </c>
      <c r="F704" t="s">
        <v>2901</v>
      </c>
      <c r="G704" t="s">
        <v>1406</v>
      </c>
      <c r="H704" s="6">
        <v>46022</v>
      </c>
      <c r="I704" t="s">
        <v>29</v>
      </c>
      <c r="J704">
        <v>16</v>
      </c>
      <c r="K704">
        <v>0</v>
      </c>
      <c r="L704">
        <v>0</v>
      </c>
      <c r="M704">
        <v>0</v>
      </c>
      <c r="N704" t="s">
        <v>3915</v>
      </c>
      <c r="O704" t="s">
        <v>3915</v>
      </c>
      <c r="P704" t="s">
        <v>3915</v>
      </c>
      <c r="Q704">
        <v>0</v>
      </c>
      <c r="R704" t="s">
        <v>30</v>
      </c>
      <c r="S704">
        <v>0</v>
      </c>
      <c r="T704">
        <v>0</v>
      </c>
      <c r="U704" t="s">
        <v>3915</v>
      </c>
      <c r="V704" t="s">
        <v>31</v>
      </c>
      <c r="W704">
        <v>0</v>
      </c>
    </row>
    <row r="705" spans="1:23" x14ac:dyDescent="0.25">
      <c r="A705" t="s">
        <v>4348</v>
      </c>
      <c r="B705" t="s">
        <v>3828</v>
      </c>
      <c r="C705" t="s">
        <v>3827</v>
      </c>
      <c r="D705" t="s">
        <v>4479</v>
      </c>
      <c r="E705" t="s">
        <v>4898</v>
      </c>
      <c r="F705" t="s">
        <v>2901</v>
      </c>
      <c r="G705" t="s">
        <v>1406</v>
      </c>
      <c r="H705" s="6">
        <v>46022</v>
      </c>
      <c r="I705" t="s">
        <v>29</v>
      </c>
      <c r="J705">
        <v>19</v>
      </c>
      <c r="K705">
        <v>0</v>
      </c>
      <c r="L705">
        <v>0</v>
      </c>
      <c r="M705">
        <v>0</v>
      </c>
      <c r="N705" t="s">
        <v>3915</v>
      </c>
      <c r="O705" t="s">
        <v>3915</v>
      </c>
      <c r="P705" t="s">
        <v>3915</v>
      </c>
      <c r="Q705">
        <v>0</v>
      </c>
      <c r="R705" t="s">
        <v>30</v>
      </c>
      <c r="S705">
        <v>0</v>
      </c>
      <c r="T705">
        <v>0</v>
      </c>
      <c r="U705" t="s">
        <v>3915</v>
      </c>
      <c r="V705" t="s">
        <v>31</v>
      </c>
      <c r="W705">
        <v>0</v>
      </c>
    </row>
    <row r="706" spans="1:23" x14ac:dyDescent="0.25">
      <c r="A706" t="s">
        <v>4221</v>
      </c>
      <c r="B706" t="s">
        <v>3830</v>
      </c>
      <c r="C706" t="s">
        <v>3829</v>
      </c>
      <c r="D706" t="s">
        <v>4479</v>
      </c>
      <c r="E706" t="s">
        <v>4898</v>
      </c>
      <c r="F706" t="s">
        <v>2901</v>
      </c>
      <c r="G706" t="s">
        <v>1406</v>
      </c>
      <c r="H706" s="6">
        <v>46022</v>
      </c>
      <c r="I706" t="s">
        <v>29</v>
      </c>
      <c r="J706">
        <v>100</v>
      </c>
      <c r="K706">
        <v>0</v>
      </c>
      <c r="L706">
        <v>0</v>
      </c>
      <c r="M706">
        <v>0</v>
      </c>
      <c r="N706" t="s">
        <v>3915</v>
      </c>
      <c r="O706" t="s">
        <v>3915</v>
      </c>
      <c r="P706" t="s">
        <v>3915</v>
      </c>
      <c r="Q706">
        <v>0</v>
      </c>
      <c r="R706" t="s">
        <v>30</v>
      </c>
      <c r="S706">
        <v>0</v>
      </c>
      <c r="T706">
        <v>0</v>
      </c>
      <c r="U706" t="s">
        <v>3915</v>
      </c>
      <c r="V706" t="s">
        <v>31</v>
      </c>
      <c r="W706">
        <v>0</v>
      </c>
    </row>
    <row r="707" spans="1:23" x14ac:dyDescent="0.25">
      <c r="A707" t="s">
        <v>4957</v>
      </c>
      <c r="B707" t="s">
        <v>3832</v>
      </c>
      <c r="C707" t="s">
        <v>3831</v>
      </c>
      <c r="D707" t="s">
        <v>4479</v>
      </c>
      <c r="E707" t="s">
        <v>4898</v>
      </c>
      <c r="F707" t="s">
        <v>2901</v>
      </c>
      <c r="G707" t="s">
        <v>1406</v>
      </c>
      <c r="H707" s="6">
        <v>46022</v>
      </c>
      <c r="I707" t="s">
        <v>29</v>
      </c>
      <c r="J707">
        <v>10</v>
      </c>
      <c r="K707">
        <v>0</v>
      </c>
      <c r="L707">
        <v>0</v>
      </c>
      <c r="M707">
        <v>0</v>
      </c>
      <c r="N707" t="s">
        <v>3915</v>
      </c>
      <c r="O707" t="s">
        <v>3915</v>
      </c>
      <c r="P707" t="s">
        <v>3915</v>
      </c>
      <c r="Q707">
        <v>0</v>
      </c>
      <c r="R707" t="s">
        <v>30</v>
      </c>
      <c r="S707">
        <v>0</v>
      </c>
      <c r="T707">
        <v>0</v>
      </c>
      <c r="U707" t="s">
        <v>3915</v>
      </c>
      <c r="V707" t="s">
        <v>31</v>
      </c>
      <c r="W707">
        <v>0</v>
      </c>
    </row>
    <row r="708" spans="1:23" x14ac:dyDescent="0.25">
      <c r="A708" t="s">
        <v>4958</v>
      </c>
      <c r="B708" t="s">
        <v>3834</v>
      </c>
      <c r="C708" t="s">
        <v>3833</v>
      </c>
      <c r="D708" t="s">
        <v>4479</v>
      </c>
      <c r="E708" t="s">
        <v>4898</v>
      </c>
      <c r="F708" t="s">
        <v>2901</v>
      </c>
      <c r="G708" t="s">
        <v>1406</v>
      </c>
      <c r="H708" s="6">
        <v>46022</v>
      </c>
      <c r="I708" t="s">
        <v>29</v>
      </c>
      <c r="J708">
        <v>1</v>
      </c>
      <c r="K708">
        <v>0</v>
      </c>
      <c r="L708">
        <v>0</v>
      </c>
      <c r="M708">
        <v>0</v>
      </c>
      <c r="N708" t="s">
        <v>3915</v>
      </c>
      <c r="O708" t="s">
        <v>3915</v>
      </c>
      <c r="P708" t="s">
        <v>3915</v>
      </c>
      <c r="Q708">
        <v>0</v>
      </c>
      <c r="R708" t="s">
        <v>30</v>
      </c>
      <c r="S708">
        <v>0</v>
      </c>
      <c r="T708">
        <v>0</v>
      </c>
      <c r="U708" t="s">
        <v>3915</v>
      </c>
      <c r="V708" t="s">
        <v>31</v>
      </c>
      <c r="W708">
        <v>0</v>
      </c>
    </row>
    <row r="709" spans="1:23" x14ac:dyDescent="0.25">
      <c r="A709" t="s">
        <v>4959</v>
      </c>
      <c r="B709" t="s">
        <v>3836</v>
      </c>
      <c r="C709" t="s">
        <v>3835</v>
      </c>
      <c r="D709" t="s">
        <v>4479</v>
      </c>
      <c r="E709" t="s">
        <v>4898</v>
      </c>
      <c r="F709" t="s">
        <v>2901</v>
      </c>
      <c r="G709" t="s">
        <v>1406</v>
      </c>
      <c r="H709" s="6">
        <v>46022</v>
      </c>
      <c r="I709" t="s">
        <v>29</v>
      </c>
      <c r="J709">
        <v>6</v>
      </c>
      <c r="K709">
        <v>0</v>
      </c>
      <c r="L709">
        <v>0</v>
      </c>
      <c r="M709">
        <v>0</v>
      </c>
      <c r="N709" t="s">
        <v>3915</v>
      </c>
      <c r="O709" t="s">
        <v>3915</v>
      </c>
      <c r="P709" t="s">
        <v>3915</v>
      </c>
      <c r="Q709">
        <v>0</v>
      </c>
      <c r="R709" t="s">
        <v>30</v>
      </c>
      <c r="S709">
        <v>0</v>
      </c>
      <c r="T709">
        <v>0</v>
      </c>
      <c r="U709" t="s">
        <v>3915</v>
      </c>
      <c r="V709" t="s">
        <v>31</v>
      </c>
      <c r="W709">
        <v>0</v>
      </c>
    </row>
    <row r="710" spans="1:23" x14ac:dyDescent="0.25">
      <c r="A710" t="s">
        <v>4960</v>
      </c>
      <c r="B710" t="s">
        <v>3838</v>
      </c>
      <c r="C710" t="s">
        <v>3837</v>
      </c>
      <c r="D710" t="s">
        <v>4479</v>
      </c>
      <c r="E710" t="s">
        <v>4898</v>
      </c>
      <c r="F710" t="s">
        <v>2901</v>
      </c>
      <c r="G710" t="s">
        <v>1406</v>
      </c>
      <c r="H710" s="6">
        <v>46022</v>
      </c>
      <c r="I710" t="s">
        <v>29</v>
      </c>
      <c r="J710">
        <v>15</v>
      </c>
      <c r="K710">
        <v>0</v>
      </c>
      <c r="L710">
        <v>0</v>
      </c>
      <c r="M710">
        <v>0</v>
      </c>
      <c r="N710" t="s">
        <v>3915</v>
      </c>
      <c r="O710" t="s">
        <v>3915</v>
      </c>
      <c r="P710" t="s">
        <v>3915</v>
      </c>
      <c r="Q710">
        <v>0</v>
      </c>
      <c r="R710" t="s">
        <v>30</v>
      </c>
      <c r="S710">
        <v>0</v>
      </c>
      <c r="T710">
        <v>0</v>
      </c>
      <c r="U710" t="s">
        <v>3915</v>
      </c>
      <c r="V710" t="s">
        <v>31</v>
      </c>
      <c r="W710">
        <v>0</v>
      </c>
    </row>
    <row r="711" spans="1:23" x14ac:dyDescent="0.25">
      <c r="A711" t="s">
        <v>4036</v>
      </c>
      <c r="B711" t="s">
        <v>3840</v>
      </c>
      <c r="C711" t="s">
        <v>3839</v>
      </c>
      <c r="D711" t="s">
        <v>4479</v>
      </c>
      <c r="E711" t="s">
        <v>4898</v>
      </c>
      <c r="F711" t="s">
        <v>2901</v>
      </c>
      <c r="G711" t="s">
        <v>1406</v>
      </c>
      <c r="H711" s="6">
        <v>46022</v>
      </c>
      <c r="I711" t="s">
        <v>29</v>
      </c>
      <c r="J711">
        <v>25</v>
      </c>
      <c r="K711">
        <v>0</v>
      </c>
      <c r="L711">
        <v>0</v>
      </c>
      <c r="M711">
        <v>0</v>
      </c>
      <c r="N711" t="s">
        <v>3915</v>
      </c>
      <c r="O711" t="s">
        <v>3915</v>
      </c>
      <c r="P711" t="s">
        <v>3915</v>
      </c>
      <c r="Q711">
        <v>0</v>
      </c>
      <c r="R711" t="s">
        <v>30</v>
      </c>
      <c r="S711">
        <v>0</v>
      </c>
      <c r="T711">
        <v>0</v>
      </c>
      <c r="U711" t="s">
        <v>3915</v>
      </c>
      <c r="V711" t="s">
        <v>31</v>
      </c>
      <c r="W711">
        <v>0</v>
      </c>
    </row>
    <row r="712" spans="1:23" x14ac:dyDescent="0.25">
      <c r="A712" t="s">
        <v>4961</v>
      </c>
      <c r="B712" t="s">
        <v>3842</v>
      </c>
      <c r="C712" t="s">
        <v>3841</v>
      </c>
      <c r="D712" t="s">
        <v>4479</v>
      </c>
      <c r="E712" t="s">
        <v>4898</v>
      </c>
      <c r="F712" t="s">
        <v>2901</v>
      </c>
      <c r="G712" t="s">
        <v>1406</v>
      </c>
      <c r="H712" s="6">
        <v>46022</v>
      </c>
      <c r="I712" t="s">
        <v>29</v>
      </c>
      <c r="J712">
        <v>3</v>
      </c>
      <c r="K712">
        <v>0</v>
      </c>
      <c r="L712">
        <v>0</v>
      </c>
      <c r="M712">
        <v>0</v>
      </c>
      <c r="N712" t="s">
        <v>3915</v>
      </c>
      <c r="O712" t="s">
        <v>3915</v>
      </c>
      <c r="P712" t="s">
        <v>3915</v>
      </c>
      <c r="Q712">
        <v>0</v>
      </c>
      <c r="R712" t="s">
        <v>30</v>
      </c>
      <c r="S712">
        <v>0</v>
      </c>
      <c r="T712">
        <v>0</v>
      </c>
      <c r="U712" t="s">
        <v>3915</v>
      </c>
      <c r="V712" t="s">
        <v>31</v>
      </c>
      <c r="W712">
        <v>0</v>
      </c>
    </row>
    <row r="713" spans="1:23" x14ac:dyDescent="0.25">
      <c r="A713" t="s">
        <v>4962</v>
      </c>
      <c r="B713" t="s">
        <v>3844</v>
      </c>
      <c r="C713" t="s">
        <v>3843</v>
      </c>
      <c r="D713" t="s">
        <v>4479</v>
      </c>
      <c r="E713" t="s">
        <v>4898</v>
      </c>
      <c r="F713" t="s">
        <v>2901</v>
      </c>
      <c r="G713" t="s">
        <v>1406</v>
      </c>
      <c r="H713" s="6">
        <v>46022</v>
      </c>
      <c r="I713" t="s">
        <v>29</v>
      </c>
      <c r="J713">
        <v>36</v>
      </c>
      <c r="K713">
        <v>0</v>
      </c>
      <c r="L713">
        <v>0</v>
      </c>
      <c r="M713">
        <v>0</v>
      </c>
      <c r="N713" t="s">
        <v>3915</v>
      </c>
      <c r="O713" t="s">
        <v>3915</v>
      </c>
      <c r="P713" t="s">
        <v>3915</v>
      </c>
      <c r="Q713">
        <v>0</v>
      </c>
      <c r="R713" t="s">
        <v>30</v>
      </c>
      <c r="S713">
        <v>0</v>
      </c>
      <c r="T713">
        <v>0</v>
      </c>
      <c r="U713" t="s">
        <v>3915</v>
      </c>
      <c r="V713" t="s">
        <v>31</v>
      </c>
      <c r="W713">
        <v>0</v>
      </c>
    </row>
    <row r="714" spans="1:23" x14ac:dyDescent="0.25">
      <c r="A714" t="s">
        <v>4963</v>
      </c>
      <c r="B714" t="s">
        <v>3846</v>
      </c>
      <c r="C714" t="s">
        <v>3845</v>
      </c>
      <c r="D714" t="s">
        <v>4479</v>
      </c>
      <c r="E714" t="s">
        <v>4898</v>
      </c>
      <c r="F714" t="s">
        <v>2901</v>
      </c>
      <c r="G714" t="s">
        <v>1406</v>
      </c>
      <c r="H714" s="6">
        <v>46022</v>
      </c>
      <c r="I714" t="s">
        <v>29</v>
      </c>
      <c r="J714">
        <v>1</v>
      </c>
      <c r="K714">
        <v>0</v>
      </c>
      <c r="L714">
        <v>0</v>
      </c>
      <c r="M714">
        <v>0</v>
      </c>
      <c r="N714" t="s">
        <v>3915</v>
      </c>
      <c r="O714" t="s">
        <v>3915</v>
      </c>
      <c r="P714" t="s">
        <v>3915</v>
      </c>
      <c r="Q714">
        <v>0</v>
      </c>
      <c r="R714" t="s">
        <v>30</v>
      </c>
      <c r="S714">
        <v>0</v>
      </c>
      <c r="T714">
        <v>0</v>
      </c>
      <c r="U714" t="s">
        <v>3915</v>
      </c>
      <c r="V714" t="s">
        <v>31</v>
      </c>
      <c r="W714">
        <v>0</v>
      </c>
    </row>
    <row r="715" spans="1:23" x14ac:dyDescent="0.25">
      <c r="A715" t="s">
        <v>4964</v>
      </c>
      <c r="B715" t="s">
        <v>3848</v>
      </c>
      <c r="C715" t="s">
        <v>3847</v>
      </c>
      <c r="D715" t="s">
        <v>4479</v>
      </c>
      <c r="E715" t="s">
        <v>4898</v>
      </c>
      <c r="F715" t="s">
        <v>2901</v>
      </c>
      <c r="G715" t="s">
        <v>1406</v>
      </c>
      <c r="H715" s="6">
        <v>46022</v>
      </c>
      <c r="I715" t="s">
        <v>29</v>
      </c>
      <c r="J715">
        <v>1</v>
      </c>
      <c r="K715">
        <v>0</v>
      </c>
      <c r="L715">
        <v>0</v>
      </c>
      <c r="M715">
        <v>0</v>
      </c>
      <c r="N715" t="s">
        <v>3915</v>
      </c>
      <c r="O715" t="s">
        <v>3915</v>
      </c>
      <c r="P715" t="s">
        <v>3915</v>
      </c>
      <c r="Q715">
        <v>0</v>
      </c>
      <c r="R715" t="s">
        <v>30</v>
      </c>
      <c r="S715">
        <v>0</v>
      </c>
      <c r="T715">
        <v>0</v>
      </c>
      <c r="U715" t="s">
        <v>3915</v>
      </c>
      <c r="V715" t="s">
        <v>31</v>
      </c>
      <c r="W715">
        <v>0</v>
      </c>
    </row>
    <row r="716" spans="1:23" x14ac:dyDescent="0.25">
      <c r="A716" t="s">
        <v>4965</v>
      </c>
      <c r="B716" t="s">
        <v>3850</v>
      </c>
      <c r="C716" t="s">
        <v>3849</v>
      </c>
      <c r="D716" t="s">
        <v>4479</v>
      </c>
      <c r="E716" t="s">
        <v>4898</v>
      </c>
      <c r="F716" t="s">
        <v>2901</v>
      </c>
      <c r="G716" t="s">
        <v>1406</v>
      </c>
      <c r="H716" s="6">
        <v>46022</v>
      </c>
      <c r="I716" t="s">
        <v>29</v>
      </c>
      <c r="J716">
        <v>1</v>
      </c>
      <c r="K716">
        <v>0</v>
      </c>
      <c r="L716">
        <v>0</v>
      </c>
      <c r="M716">
        <v>0</v>
      </c>
      <c r="N716" t="s">
        <v>3915</v>
      </c>
      <c r="O716" t="s">
        <v>3915</v>
      </c>
      <c r="P716" t="s">
        <v>3915</v>
      </c>
      <c r="Q716">
        <v>0</v>
      </c>
      <c r="R716" t="s">
        <v>30</v>
      </c>
      <c r="S716">
        <v>0</v>
      </c>
      <c r="T716">
        <v>0</v>
      </c>
      <c r="U716" t="s">
        <v>3915</v>
      </c>
      <c r="V716" t="s">
        <v>31</v>
      </c>
      <c r="W716">
        <v>0</v>
      </c>
    </row>
    <row r="717" spans="1:23" x14ac:dyDescent="0.25">
      <c r="A717" t="s">
        <v>4062</v>
      </c>
      <c r="B717" t="s">
        <v>3852</v>
      </c>
      <c r="C717" t="s">
        <v>3851</v>
      </c>
      <c r="D717" t="s">
        <v>4479</v>
      </c>
      <c r="E717" t="s">
        <v>4898</v>
      </c>
      <c r="F717" t="s">
        <v>2901</v>
      </c>
      <c r="G717" t="s">
        <v>1406</v>
      </c>
      <c r="H717" s="6">
        <v>46022</v>
      </c>
      <c r="I717" t="s">
        <v>29</v>
      </c>
      <c r="J717">
        <v>71</v>
      </c>
      <c r="K717">
        <v>0</v>
      </c>
      <c r="L717">
        <v>0</v>
      </c>
      <c r="M717">
        <v>0</v>
      </c>
      <c r="N717" t="s">
        <v>3915</v>
      </c>
      <c r="O717" t="s">
        <v>3915</v>
      </c>
      <c r="P717" t="s">
        <v>3915</v>
      </c>
      <c r="Q717">
        <v>0</v>
      </c>
      <c r="R717" t="s">
        <v>30</v>
      </c>
      <c r="S717">
        <v>0</v>
      </c>
      <c r="T717">
        <v>0</v>
      </c>
      <c r="U717" t="s">
        <v>3915</v>
      </c>
      <c r="V717" t="s">
        <v>31</v>
      </c>
      <c r="W717">
        <v>0</v>
      </c>
    </row>
    <row r="718" spans="1:23" x14ac:dyDescent="0.25">
      <c r="A718" t="s">
        <v>4966</v>
      </c>
      <c r="B718" t="s">
        <v>3854</v>
      </c>
      <c r="C718" t="s">
        <v>3853</v>
      </c>
      <c r="D718" t="s">
        <v>4479</v>
      </c>
      <c r="E718" t="s">
        <v>4898</v>
      </c>
      <c r="F718" t="s">
        <v>2901</v>
      </c>
      <c r="G718" t="s">
        <v>1406</v>
      </c>
      <c r="H718" s="6">
        <v>46022</v>
      </c>
      <c r="I718" t="s">
        <v>29</v>
      </c>
      <c r="J718">
        <v>3</v>
      </c>
      <c r="K718">
        <v>0</v>
      </c>
      <c r="L718">
        <v>0</v>
      </c>
      <c r="M718">
        <v>0</v>
      </c>
      <c r="N718" t="s">
        <v>3915</v>
      </c>
      <c r="O718" t="s">
        <v>3915</v>
      </c>
      <c r="P718" t="s">
        <v>3915</v>
      </c>
      <c r="Q718">
        <v>0</v>
      </c>
      <c r="R718" t="s">
        <v>30</v>
      </c>
      <c r="S718">
        <v>0</v>
      </c>
      <c r="T718">
        <v>0</v>
      </c>
      <c r="U718" t="s">
        <v>3915</v>
      </c>
      <c r="V718" t="s">
        <v>31</v>
      </c>
      <c r="W718">
        <v>0</v>
      </c>
    </row>
    <row r="719" spans="1:23" x14ac:dyDescent="0.25">
      <c r="A719" t="s">
        <v>4967</v>
      </c>
      <c r="B719" t="s">
        <v>3856</v>
      </c>
      <c r="C719" t="s">
        <v>3855</v>
      </c>
      <c r="D719" t="s">
        <v>4479</v>
      </c>
      <c r="E719" t="s">
        <v>4898</v>
      </c>
      <c r="F719" t="s">
        <v>2901</v>
      </c>
      <c r="G719" t="s">
        <v>1406</v>
      </c>
      <c r="H719" s="6">
        <v>46022</v>
      </c>
      <c r="I719" t="s">
        <v>29</v>
      </c>
      <c r="J719">
        <v>6</v>
      </c>
      <c r="K719">
        <v>0</v>
      </c>
      <c r="L719">
        <v>0</v>
      </c>
      <c r="M719">
        <v>0</v>
      </c>
      <c r="N719" t="s">
        <v>3915</v>
      </c>
      <c r="O719" t="s">
        <v>3915</v>
      </c>
      <c r="P719" t="s">
        <v>3915</v>
      </c>
      <c r="Q719">
        <v>0</v>
      </c>
      <c r="R719" t="s">
        <v>30</v>
      </c>
      <c r="S719">
        <v>0</v>
      </c>
      <c r="T719">
        <v>0</v>
      </c>
      <c r="U719" t="s">
        <v>3915</v>
      </c>
      <c r="V719" t="s">
        <v>31</v>
      </c>
      <c r="W719">
        <v>0</v>
      </c>
    </row>
    <row r="720" spans="1:23" x14ac:dyDescent="0.25">
      <c r="A720" t="s">
        <v>4968</v>
      </c>
      <c r="B720" t="s">
        <v>3858</v>
      </c>
      <c r="C720" t="s">
        <v>3857</v>
      </c>
      <c r="D720" t="s">
        <v>4479</v>
      </c>
      <c r="E720" t="s">
        <v>4898</v>
      </c>
      <c r="F720" t="s">
        <v>2901</v>
      </c>
      <c r="G720" t="s">
        <v>1406</v>
      </c>
      <c r="H720" s="6">
        <v>46022</v>
      </c>
      <c r="I720" t="s">
        <v>29</v>
      </c>
      <c r="J720">
        <v>5</v>
      </c>
      <c r="K720">
        <v>0</v>
      </c>
      <c r="L720">
        <v>0</v>
      </c>
      <c r="M720">
        <v>0</v>
      </c>
      <c r="N720" t="s">
        <v>3915</v>
      </c>
      <c r="O720" t="s">
        <v>3915</v>
      </c>
      <c r="P720" t="s">
        <v>3915</v>
      </c>
      <c r="Q720">
        <v>0</v>
      </c>
      <c r="R720" t="s">
        <v>30</v>
      </c>
      <c r="S720">
        <v>0</v>
      </c>
      <c r="T720">
        <v>0</v>
      </c>
      <c r="U720" t="s">
        <v>3915</v>
      </c>
      <c r="V720" t="s">
        <v>31</v>
      </c>
      <c r="W720">
        <v>0</v>
      </c>
    </row>
    <row r="721" spans="1:23" x14ac:dyDescent="0.25">
      <c r="A721" t="s">
        <v>4969</v>
      </c>
      <c r="B721" t="s">
        <v>3860</v>
      </c>
      <c r="C721" t="s">
        <v>3859</v>
      </c>
      <c r="D721" t="s">
        <v>4479</v>
      </c>
      <c r="E721" t="s">
        <v>4898</v>
      </c>
      <c r="F721" t="s">
        <v>2901</v>
      </c>
      <c r="G721" t="s">
        <v>1406</v>
      </c>
      <c r="H721" s="6">
        <v>46022</v>
      </c>
      <c r="I721" t="s">
        <v>29</v>
      </c>
      <c r="J721">
        <v>180</v>
      </c>
      <c r="K721">
        <v>0</v>
      </c>
      <c r="L721">
        <v>0</v>
      </c>
      <c r="M721">
        <v>0</v>
      </c>
      <c r="N721" t="s">
        <v>3915</v>
      </c>
      <c r="O721" t="s">
        <v>3915</v>
      </c>
      <c r="P721" t="s">
        <v>3915</v>
      </c>
      <c r="Q721">
        <v>0</v>
      </c>
      <c r="R721" t="s">
        <v>30</v>
      </c>
      <c r="S721">
        <v>0</v>
      </c>
      <c r="T721">
        <v>0</v>
      </c>
      <c r="U721" t="s">
        <v>3915</v>
      </c>
      <c r="V721" t="s">
        <v>31</v>
      </c>
      <c r="W721">
        <v>0</v>
      </c>
    </row>
    <row r="722" spans="1:23" x14ac:dyDescent="0.25">
      <c r="A722" t="s">
        <v>4970</v>
      </c>
      <c r="B722" t="s">
        <v>3862</v>
      </c>
      <c r="C722" t="s">
        <v>3861</v>
      </c>
      <c r="D722" t="s">
        <v>4479</v>
      </c>
      <c r="E722" t="s">
        <v>4898</v>
      </c>
      <c r="F722" t="s">
        <v>2901</v>
      </c>
      <c r="G722" t="s">
        <v>1406</v>
      </c>
      <c r="H722" s="6">
        <v>46022</v>
      </c>
      <c r="I722" t="s">
        <v>29</v>
      </c>
      <c r="J722">
        <v>7</v>
      </c>
      <c r="K722">
        <v>0</v>
      </c>
      <c r="L722">
        <v>0</v>
      </c>
      <c r="M722">
        <v>0</v>
      </c>
      <c r="N722" t="s">
        <v>3915</v>
      </c>
      <c r="O722" t="s">
        <v>3915</v>
      </c>
      <c r="P722" t="s">
        <v>3915</v>
      </c>
      <c r="Q722">
        <v>0</v>
      </c>
      <c r="R722" t="s">
        <v>30</v>
      </c>
      <c r="S722">
        <v>0</v>
      </c>
      <c r="T722">
        <v>0</v>
      </c>
      <c r="U722" t="s">
        <v>3915</v>
      </c>
      <c r="V722" t="s">
        <v>31</v>
      </c>
      <c r="W722">
        <v>0</v>
      </c>
    </row>
    <row r="723" spans="1:23" x14ac:dyDescent="0.25">
      <c r="A723" t="s">
        <v>4971</v>
      </c>
      <c r="B723" t="s">
        <v>3864</v>
      </c>
      <c r="C723" t="s">
        <v>3863</v>
      </c>
      <c r="D723" t="s">
        <v>4479</v>
      </c>
      <c r="E723" t="s">
        <v>4898</v>
      </c>
      <c r="F723" t="s">
        <v>2901</v>
      </c>
      <c r="G723" t="s">
        <v>1406</v>
      </c>
      <c r="H723" s="6">
        <v>46022</v>
      </c>
      <c r="I723" t="s">
        <v>29</v>
      </c>
      <c r="J723">
        <v>1</v>
      </c>
      <c r="K723">
        <v>0</v>
      </c>
      <c r="L723">
        <v>0</v>
      </c>
      <c r="M723">
        <v>0</v>
      </c>
      <c r="N723" t="s">
        <v>3915</v>
      </c>
      <c r="O723" t="s">
        <v>3915</v>
      </c>
      <c r="P723" t="s">
        <v>3915</v>
      </c>
      <c r="Q723">
        <v>0</v>
      </c>
      <c r="R723" t="s">
        <v>30</v>
      </c>
      <c r="S723">
        <v>0</v>
      </c>
      <c r="T723">
        <v>0</v>
      </c>
      <c r="U723" t="s">
        <v>3915</v>
      </c>
      <c r="V723" t="s">
        <v>31</v>
      </c>
      <c r="W723">
        <v>0</v>
      </c>
    </row>
    <row r="724" spans="1:23" x14ac:dyDescent="0.25">
      <c r="A724" t="s">
        <v>4972</v>
      </c>
      <c r="B724" t="s">
        <v>3866</v>
      </c>
      <c r="C724" t="s">
        <v>3865</v>
      </c>
      <c r="D724" t="s">
        <v>4479</v>
      </c>
      <c r="E724" t="s">
        <v>4898</v>
      </c>
      <c r="F724" t="s">
        <v>2901</v>
      </c>
      <c r="G724" t="s">
        <v>1406</v>
      </c>
      <c r="H724" s="6">
        <v>46022</v>
      </c>
      <c r="I724" t="s">
        <v>29</v>
      </c>
      <c r="J724">
        <v>54</v>
      </c>
      <c r="K724">
        <v>0</v>
      </c>
      <c r="L724">
        <v>0</v>
      </c>
      <c r="M724">
        <v>0</v>
      </c>
      <c r="N724" t="s">
        <v>3915</v>
      </c>
      <c r="O724" t="s">
        <v>3915</v>
      </c>
      <c r="P724" t="s">
        <v>3915</v>
      </c>
      <c r="Q724">
        <v>0</v>
      </c>
      <c r="R724" t="s">
        <v>30</v>
      </c>
      <c r="S724">
        <v>0</v>
      </c>
      <c r="T724">
        <v>0</v>
      </c>
      <c r="U724" t="s">
        <v>3915</v>
      </c>
      <c r="V724" t="s">
        <v>31</v>
      </c>
      <c r="W724">
        <v>0</v>
      </c>
    </row>
    <row r="725" spans="1:23" x14ac:dyDescent="0.25">
      <c r="A725" t="s">
        <v>4973</v>
      </c>
      <c r="B725" t="s">
        <v>3868</v>
      </c>
      <c r="C725" t="s">
        <v>3867</v>
      </c>
      <c r="D725" t="s">
        <v>4479</v>
      </c>
      <c r="E725" t="s">
        <v>4898</v>
      </c>
      <c r="F725" t="s">
        <v>2901</v>
      </c>
      <c r="G725" t="s">
        <v>1406</v>
      </c>
      <c r="H725" s="6">
        <v>46022</v>
      </c>
      <c r="I725" t="s">
        <v>29</v>
      </c>
      <c r="J725">
        <v>1</v>
      </c>
      <c r="K725">
        <v>0</v>
      </c>
      <c r="L725">
        <v>0</v>
      </c>
      <c r="M725">
        <v>0</v>
      </c>
      <c r="N725" t="s">
        <v>3915</v>
      </c>
      <c r="O725" t="s">
        <v>3915</v>
      </c>
      <c r="P725" t="s">
        <v>3915</v>
      </c>
      <c r="Q725">
        <v>0</v>
      </c>
      <c r="R725" t="s">
        <v>30</v>
      </c>
      <c r="S725">
        <v>0</v>
      </c>
      <c r="T725">
        <v>0</v>
      </c>
      <c r="U725" t="s">
        <v>3915</v>
      </c>
      <c r="V725" t="s">
        <v>31</v>
      </c>
      <c r="W725">
        <v>0</v>
      </c>
    </row>
    <row r="726" spans="1:23" x14ac:dyDescent="0.25">
      <c r="A726" t="s">
        <v>4223</v>
      </c>
      <c r="B726" t="s">
        <v>3870</v>
      </c>
      <c r="C726" t="s">
        <v>3869</v>
      </c>
      <c r="D726" t="s">
        <v>4479</v>
      </c>
      <c r="E726" t="s">
        <v>4898</v>
      </c>
      <c r="F726" t="s">
        <v>2901</v>
      </c>
      <c r="G726" t="s">
        <v>1406</v>
      </c>
      <c r="H726" s="6">
        <v>46022</v>
      </c>
      <c r="I726" t="s">
        <v>29</v>
      </c>
      <c r="J726">
        <v>3</v>
      </c>
      <c r="K726">
        <v>0</v>
      </c>
      <c r="L726">
        <v>0</v>
      </c>
      <c r="M726">
        <v>0</v>
      </c>
      <c r="N726" t="s">
        <v>3915</v>
      </c>
      <c r="O726" t="s">
        <v>3915</v>
      </c>
      <c r="P726" t="s">
        <v>3915</v>
      </c>
      <c r="Q726">
        <v>0</v>
      </c>
      <c r="R726" t="s">
        <v>30</v>
      </c>
      <c r="S726">
        <v>0</v>
      </c>
      <c r="T726">
        <v>0</v>
      </c>
      <c r="U726" t="s">
        <v>3915</v>
      </c>
      <c r="V726" t="s">
        <v>31</v>
      </c>
      <c r="W726">
        <v>0</v>
      </c>
    </row>
    <row r="727" spans="1:23" x14ac:dyDescent="0.25">
      <c r="A727" t="s">
        <v>4974</v>
      </c>
      <c r="B727" t="s">
        <v>3872</v>
      </c>
      <c r="C727" t="s">
        <v>3871</v>
      </c>
      <c r="D727" t="s">
        <v>4479</v>
      </c>
      <c r="E727" t="s">
        <v>4898</v>
      </c>
      <c r="F727" t="s">
        <v>2901</v>
      </c>
      <c r="G727" t="s">
        <v>1406</v>
      </c>
      <c r="H727" s="6">
        <v>46022</v>
      </c>
      <c r="I727" t="s">
        <v>29</v>
      </c>
      <c r="J727">
        <v>1</v>
      </c>
      <c r="K727">
        <v>0</v>
      </c>
      <c r="L727">
        <v>0</v>
      </c>
      <c r="M727">
        <v>0</v>
      </c>
      <c r="N727" t="s">
        <v>3915</v>
      </c>
      <c r="O727" t="s">
        <v>3915</v>
      </c>
      <c r="P727" t="s">
        <v>3915</v>
      </c>
      <c r="Q727">
        <v>0</v>
      </c>
      <c r="R727" t="s">
        <v>30</v>
      </c>
      <c r="S727">
        <v>0</v>
      </c>
      <c r="T727">
        <v>0</v>
      </c>
      <c r="U727" t="s">
        <v>3915</v>
      </c>
      <c r="V727" t="s">
        <v>31</v>
      </c>
      <c r="W727">
        <v>0</v>
      </c>
    </row>
    <row r="728" spans="1:23" x14ac:dyDescent="0.25">
      <c r="A728" t="s">
        <v>4975</v>
      </c>
      <c r="B728" t="s">
        <v>3874</v>
      </c>
      <c r="C728" t="s">
        <v>3873</v>
      </c>
      <c r="D728" t="s">
        <v>4479</v>
      </c>
      <c r="E728" t="s">
        <v>4898</v>
      </c>
      <c r="F728" t="s">
        <v>2901</v>
      </c>
      <c r="G728" t="s">
        <v>1406</v>
      </c>
      <c r="H728" s="6">
        <v>46022</v>
      </c>
      <c r="I728" t="s">
        <v>29</v>
      </c>
      <c r="J728">
        <v>2</v>
      </c>
      <c r="K728">
        <v>0</v>
      </c>
      <c r="L728">
        <v>0</v>
      </c>
      <c r="M728">
        <v>0</v>
      </c>
      <c r="N728" t="s">
        <v>3915</v>
      </c>
      <c r="O728" t="s">
        <v>3915</v>
      </c>
      <c r="P728" t="s">
        <v>3915</v>
      </c>
      <c r="Q728">
        <v>0</v>
      </c>
      <c r="R728" t="s">
        <v>30</v>
      </c>
      <c r="S728">
        <v>0</v>
      </c>
      <c r="T728">
        <v>0</v>
      </c>
      <c r="U728" t="s">
        <v>3915</v>
      </c>
      <c r="V728" t="s">
        <v>31</v>
      </c>
      <c r="W728">
        <v>0</v>
      </c>
    </row>
    <row r="729" spans="1:23" x14ac:dyDescent="0.25">
      <c r="A729" t="s">
        <v>4034</v>
      </c>
      <c r="B729" t="s">
        <v>3876</v>
      </c>
      <c r="C729" t="s">
        <v>3875</v>
      </c>
      <c r="D729" t="s">
        <v>4479</v>
      </c>
      <c r="E729" t="s">
        <v>4898</v>
      </c>
      <c r="F729" t="s">
        <v>2901</v>
      </c>
      <c r="G729" t="s">
        <v>1406</v>
      </c>
      <c r="H729" s="6">
        <v>46022</v>
      </c>
      <c r="I729" t="s">
        <v>29</v>
      </c>
      <c r="J729">
        <v>8</v>
      </c>
      <c r="K729">
        <v>0</v>
      </c>
      <c r="L729">
        <v>0</v>
      </c>
      <c r="M729">
        <v>0</v>
      </c>
      <c r="N729" t="s">
        <v>3915</v>
      </c>
      <c r="O729" t="s">
        <v>3915</v>
      </c>
      <c r="P729" t="s">
        <v>3915</v>
      </c>
      <c r="Q729">
        <v>0</v>
      </c>
      <c r="R729" t="s">
        <v>30</v>
      </c>
      <c r="S729">
        <v>0</v>
      </c>
      <c r="T729">
        <v>0</v>
      </c>
      <c r="U729" t="s">
        <v>3915</v>
      </c>
      <c r="V729" t="s">
        <v>31</v>
      </c>
      <c r="W729">
        <v>0</v>
      </c>
    </row>
    <row r="730" spans="1:23" x14ac:dyDescent="0.25">
      <c r="A730" t="s">
        <v>3998</v>
      </c>
      <c r="B730" t="s">
        <v>3878</v>
      </c>
      <c r="C730" t="s">
        <v>3877</v>
      </c>
      <c r="D730" t="s">
        <v>4479</v>
      </c>
      <c r="E730" t="s">
        <v>4898</v>
      </c>
      <c r="F730" t="s">
        <v>2901</v>
      </c>
      <c r="G730" t="s">
        <v>1406</v>
      </c>
      <c r="H730" s="6">
        <v>46022</v>
      </c>
      <c r="I730" t="s">
        <v>29</v>
      </c>
      <c r="J730">
        <v>30</v>
      </c>
      <c r="K730">
        <v>0</v>
      </c>
      <c r="L730">
        <v>0</v>
      </c>
      <c r="M730">
        <v>0</v>
      </c>
      <c r="N730" t="s">
        <v>3915</v>
      </c>
      <c r="O730" t="s">
        <v>3915</v>
      </c>
      <c r="P730" t="s">
        <v>3915</v>
      </c>
      <c r="Q730">
        <v>0</v>
      </c>
      <c r="R730" t="s">
        <v>30</v>
      </c>
      <c r="S730">
        <v>0</v>
      </c>
      <c r="T730">
        <v>0</v>
      </c>
      <c r="U730" t="s">
        <v>3915</v>
      </c>
      <c r="V730" t="s">
        <v>31</v>
      </c>
      <c r="W730">
        <v>0</v>
      </c>
    </row>
    <row r="731" spans="1:23" x14ac:dyDescent="0.25">
      <c r="A731" t="s">
        <v>4976</v>
      </c>
      <c r="B731" t="s">
        <v>3880</v>
      </c>
      <c r="C731" t="s">
        <v>3879</v>
      </c>
      <c r="D731" t="s">
        <v>4479</v>
      </c>
      <c r="E731" t="s">
        <v>4898</v>
      </c>
      <c r="F731" t="s">
        <v>2901</v>
      </c>
      <c r="G731" t="s">
        <v>1406</v>
      </c>
      <c r="H731" s="6">
        <v>46022</v>
      </c>
      <c r="I731" t="s">
        <v>29</v>
      </c>
      <c r="J731">
        <v>1</v>
      </c>
      <c r="K731">
        <v>0</v>
      </c>
      <c r="L731">
        <v>0</v>
      </c>
      <c r="M731">
        <v>0</v>
      </c>
      <c r="N731" t="s">
        <v>3915</v>
      </c>
      <c r="O731" t="s">
        <v>3915</v>
      </c>
      <c r="P731" t="s">
        <v>3915</v>
      </c>
      <c r="Q731">
        <v>0</v>
      </c>
      <c r="R731" t="s">
        <v>30</v>
      </c>
      <c r="S731">
        <v>0</v>
      </c>
      <c r="T731">
        <v>0</v>
      </c>
      <c r="U731" t="s">
        <v>3915</v>
      </c>
      <c r="V731" t="s">
        <v>31</v>
      </c>
      <c r="W731">
        <v>0</v>
      </c>
    </row>
    <row r="732" spans="1:23" x14ac:dyDescent="0.25">
      <c r="A732" t="s">
        <v>4977</v>
      </c>
      <c r="B732" t="s">
        <v>3882</v>
      </c>
      <c r="C732" t="s">
        <v>3881</v>
      </c>
      <c r="D732" t="s">
        <v>4479</v>
      </c>
      <c r="E732" t="s">
        <v>4898</v>
      </c>
      <c r="F732" t="s">
        <v>2901</v>
      </c>
      <c r="G732" t="s">
        <v>1406</v>
      </c>
      <c r="H732" s="6">
        <v>46022</v>
      </c>
      <c r="I732" t="s">
        <v>29</v>
      </c>
      <c r="J732">
        <v>1</v>
      </c>
      <c r="K732">
        <v>0</v>
      </c>
      <c r="L732">
        <v>0</v>
      </c>
      <c r="M732">
        <v>0</v>
      </c>
      <c r="N732" t="s">
        <v>3915</v>
      </c>
      <c r="O732" t="s">
        <v>3915</v>
      </c>
      <c r="P732" t="s">
        <v>3915</v>
      </c>
      <c r="Q732">
        <v>0</v>
      </c>
      <c r="R732" t="s">
        <v>30</v>
      </c>
      <c r="S732">
        <v>0</v>
      </c>
      <c r="T732">
        <v>0</v>
      </c>
      <c r="U732" t="s">
        <v>3915</v>
      </c>
      <c r="V732" t="s">
        <v>31</v>
      </c>
      <c r="W732">
        <v>0</v>
      </c>
    </row>
    <row r="733" spans="1:23" x14ac:dyDescent="0.25">
      <c r="A733" t="s">
        <v>4978</v>
      </c>
      <c r="B733" t="s">
        <v>3884</v>
      </c>
      <c r="C733" t="s">
        <v>3883</v>
      </c>
      <c r="D733" t="s">
        <v>4479</v>
      </c>
      <c r="E733" t="s">
        <v>4898</v>
      </c>
      <c r="F733" t="s">
        <v>2901</v>
      </c>
      <c r="G733" t="s">
        <v>1406</v>
      </c>
      <c r="H733" s="6">
        <v>46022</v>
      </c>
      <c r="I733" t="s">
        <v>29</v>
      </c>
      <c r="J733">
        <v>1</v>
      </c>
      <c r="K733">
        <v>0</v>
      </c>
      <c r="L733">
        <v>0</v>
      </c>
      <c r="M733">
        <v>0</v>
      </c>
      <c r="N733" t="s">
        <v>3915</v>
      </c>
      <c r="O733" t="s">
        <v>3915</v>
      </c>
      <c r="P733" t="s">
        <v>3915</v>
      </c>
      <c r="Q733">
        <v>0</v>
      </c>
      <c r="R733" t="s">
        <v>30</v>
      </c>
      <c r="S733">
        <v>0</v>
      </c>
      <c r="T733">
        <v>0</v>
      </c>
      <c r="U733" t="s">
        <v>3915</v>
      </c>
      <c r="V733" t="s">
        <v>31</v>
      </c>
      <c r="W733">
        <v>0</v>
      </c>
    </row>
    <row r="734" spans="1:23" x14ac:dyDescent="0.25">
      <c r="A734" t="s">
        <v>4979</v>
      </c>
      <c r="B734" t="s">
        <v>3886</v>
      </c>
      <c r="C734" t="s">
        <v>3885</v>
      </c>
      <c r="D734" t="s">
        <v>4479</v>
      </c>
      <c r="E734" t="s">
        <v>4898</v>
      </c>
      <c r="F734" t="s">
        <v>2901</v>
      </c>
      <c r="G734" t="s">
        <v>1406</v>
      </c>
      <c r="H734" s="6">
        <v>46022</v>
      </c>
      <c r="I734" t="s">
        <v>29</v>
      </c>
      <c r="J734">
        <v>5</v>
      </c>
      <c r="K734">
        <v>0</v>
      </c>
      <c r="L734">
        <v>0</v>
      </c>
      <c r="M734">
        <v>0</v>
      </c>
      <c r="N734" t="s">
        <v>3915</v>
      </c>
      <c r="O734" t="s">
        <v>3915</v>
      </c>
      <c r="P734" t="s">
        <v>3915</v>
      </c>
      <c r="Q734">
        <v>0</v>
      </c>
      <c r="R734" t="s">
        <v>30</v>
      </c>
      <c r="S734">
        <v>0</v>
      </c>
      <c r="T734">
        <v>0</v>
      </c>
      <c r="U734" t="s">
        <v>3915</v>
      </c>
      <c r="V734" t="s">
        <v>31</v>
      </c>
      <c r="W734">
        <v>0</v>
      </c>
    </row>
    <row r="735" spans="1:23" x14ac:dyDescent="0.25">
      <c r="A735" t="s">
        <v>4980</v>
      </c>
      <c r="B735" t="s">
        <v>3888</v>
      </c>
      <c r="C735" t="s">
        <v>3887</v>
      </c>
      <c r="D735" t="s">
        <v>4479</v>
      </c>
      <c r="E735" t="s">
        <v>4898</v>
      </c>
      <c r="F735" t="s">
        <v>2901</v>
      </c>
      <c r="G735" t="s">
        <v>1406</v>
      </c>
      <c r="H735" s="6">
        <v>46022</v>
      </c>
      <c r="I735" t="s">
        <v>29</v>
      </c>
      <c r="J735">
        <v>4</v>
      </c>
      <c r="K735">
        <v>0</v>
      </c>
      <c r="L735">
        <v>0</v>
      </c>
      <c r="M735">
        <v>0</v>
      </c>
      <c r="N735" t="s">
        <v>3915</v>
      </c>
      <c r="O735" t="s">
        <v>3915</v>
      </c>
      <c r="P735" t="s">
        <v>3915</v>
      </c>
      <c r="Q735">
        <v>0</v>
      </c>
      <c r="R735" t="s">
        <v>30</v>
      </c>
      <c r="S735">
        <v>0</v>
      </c>
      <c r="T735">
        <v>0</v>
      </c>
      <c r="U735" t="s">
        <v>3915</v>
      </c>
      <c r="V735" t="s">
        <v>31</v>
      </c>
      <c r="W735">
        <v>0</v>
      </c>
    </row>
    <row r="736" spans="1:23" x14ac:dyDescent="0.25">
      <c r="A736" t="s">
        <v>4981</v>
      </c>
      <c r="B736" t="s">
        <v>3890</v>
      </c>
      <c r="C736" t="s">
        <v>3889</v>
      </c>
      <c r="D736" t="s">
        <v>4479</v>
      </c>
      <c r="E736" t="s">
        <v>4898</v>
      </c>
      <c r="F736" t="s">
        <v>2901</v>
      </c>
      <c r="G736" t="s">
        <v>1406</v>
      </c>
      <c r="H736" s="6">
        <v>46022</v>
      </c>
      <c r="I736" t="s">
        <v>29</v>
      </c>
      <c r="J736">
        <v>6</v>
      </c>
      <c r="K736">
        <v>0</v>
      </c>
      <c r="L736">
        <v>0</v>
      </c>
      <c r="M736">
        <v>0</v>
      </c>
      <c r="N736" t="s">
        <v>3915</v>
      </c>
      <c r="O736" t="s">
        <v>3915</v>
      </c>
      <c r="P736" t="s">
        <v>3915</v>
      </c>
      <c r="Q736">
        <v>0</v>
      </c>
      <c r="R736" t="s">
        <v>30</v>
      </c>
      <c r="S736">
        <v>0</v>
      </c>
      <c r="T736">
        <v>0</v>
      </c>
      <c r="U736" t="s">
        <v>3915</v>
      </c>
      <c r="V736" t="s">
        <v>31</v>
      </c>
      <c r="W736">
        <v>0</v>
      </c>
    </row>
    <row r="737" spans="1:23" x14ac:dyDescent="0.25">
      <c r="A737" t="s">
        <v>4982</v>
      </c>
      <c r="B737" t="s">
        <v>3892</v>
      </c>
      <c r="C737" t="s">
        <v>3891</v>
      </c>
      <c r="D737" t="s">
        <v>4479</v>
      </c>
      <c r="E737" t="s">
        <v>4898</v>
      </c>
      <c r="F737" t="s">
        <v>2901</v>
      </c>
      <c r="G737" t="s">
        <v>1406</v>
      </c>
      <c r="H737" s="6">
        <v>46022</v>
      </c>
      <c r="I737" t="s">
        <v>29</v>
      </c>
      <c r="J737">
        <v>1</v>
      </c>
      <c r="K737">
        <v>0</v>
      </c>
      <c r="L737">
        <v>0</v>
      </c>
      <c r="M737">
        <v>0</v>
      </c>
      <c r="N737" t="s">
        <v>3915</v>
      </c>
      <c r="O737" t="s">
        <v>3915</v>
      </c>
      <c r="P737" t="s">
        <v>3915</v>
      </c>
      <c r="Q737">
        <v>0</v>
      </c>
      <c r="R737" t="s">
        <v>30</v>
      </c>
      <c r="S737">
        <v>0</v>
      </c>
      <c r="T737">
        <v>0</v>
      </c>
      <c r="U737" t="s">
        <v>3915</v>
      </c>
      <c r="V737" t="s">
        <v>31</v>
      </c>
      <c r="W737">
        <v>0</v>
      </c>
    </row>
    <row r="738" spans="1:23" x14ac:dyDescent="0.25">
      <c r="A738" t="s">
        <v>4983</v>
      </c>
      <c r="B738" t="s">
        <v>3894</v>
      </c>
      <c r="C738" t="s">
        <v>3893</v>
      </c>
      <c r="D738" t="s">
        <v>4479</v>
      </c>
      <c r="E738" t="s">
        <v>4898</v>
      </c>
      <c r="F738" t="s">
        <v>2901</v>
      </c>
      <c r="G738" t="s">
        <v>1406</v>
      </c>
      <c r="H738" s="6">
        <v>46022</v>
      </c>
      <c r="I738" t="s">
        <v>29</v>
      </c>
      <c r="J738">
        <v>3</v>
      </c>
      <c r="K738">
        <v>0</v>
      </c>
      <c r="L738">
        <v>0</v>
      </c>
      <c r="M738">
        <v>0</v>
      </c>
      <c r="N738" t="s">
        <v>3915</v>
      </c>
      <c r="O738" t="s">
        <v>3915</v>
      </c>
      <c r="P738" t="s">
        <v>3915</v>
      </c>
      <c r="Q738">
        <v>0</v>
      </c>
      <c r="R738" t="s">
        <v>30</v>
      </c>
      <c r="S738">
        <v>0</v>
      </c>
      <c r="T738">
        <v>0</v>
      </c>
      <c r="U738" t="s">
        <v>3915</v>
      </c>
      <c r="V738" t="s">
        <v>31</v>
      </c>
      <c r="W738">
        <v>0</v>
      </c>
    </row>
    <row r="739" spans="1:23" x14ac:dyDescent="0.25">
      <c r="A739" t="s">
        <v>4984</v>
      </c>
      <c r="B739" t="s">
        <v>3896</v>
      </c>
      <c r="C739" t="s">
        <v>3895</v>
      </c>
      <c r="D739" t="s">
        <v>4479</v>
      </c>
      <c r="E739" t="s">
        <v>4898</v>
      </c>
      <c r="F739" t="s">
        <v>2901</v>
      </c>
      <c r="G739" t="s">
        <v>1406</v>
      </c>
      <c r="H739" s="6">
        <v>46022</v>
      </c>
      <c r="I739" t="s">
        <v>29</v>
      </c>
      <c r="J739">
        <v>1</v>
      </c>
      <c r="K739">
        <v>0</v>
      </c>
      <c r="L739">
        <v>0</v>
      </c>
      <c r="M739">
        <v>0</v>
      </c>
      <c r="N739" t="s">
        <v>3915</v>
      </c>
      <c r="O739" t="s">
        <v>3915</v>
      </c>
      <c r="P739" t="s">
        <v>3915</v>
      </c>
      <c r="Q739">
        <v>0</v>
      </c>
      <c r="R739" t="s">
        <v>30</v>
      </c>
      <c r="S739">
        <v>0</v>
      </c>
      <c r="T739">
        <v>0</v>
      </c>
      <c r="U739" t="s">
        <v>3915</v>
      </c>
      <c r="V739" t="s">
        <v>31</v>
      </c>
      <c r="W739">
        <v>0</v>
      </c>
    </row>
    <row r="740" spans="1:23" x14ac:dyDescent="0.25">
      <c r="A740" t="s">
        <v>4985</v>
      </c>
      <c r="B740" t="s">
        <v>3898</v>
      </c>
      <c r="C740" t="s">
        <v>3897</v>
      </c>
      <c r="D740" t="s">
        <v>4479</v>
      </c>
      <c r="E740" t="s">
        <v>4898</v>
      </c>
      <c r="F740" t="s">
        <v>2901</v>
      </c>
      <c r="G740" t="s">
        <v>1406</v>
      </c>
      <c r="H740" s="6">
        <v>46022</v>
      </c>
      <c r="I740" t="s">
        <v>29</v>
      </c>
      <c r="J740">
        <v>2</v>
      </c>
      <c r="K740">
        <v>0</v>
      </c>
      <c r="L740">
        <v>0</v>
      </c>
      <c r="M740">
        <v>0</v>
      </c>
      <c r="N740" t="s">
        <v>3915</v>
      </c>
      <c r="O740" t="s">
        <v>3915</v>
      </c>
      <c r="P740" t="s">
        <v>3915</v>
      </c>
      <c r="Q740">
        <v>0</v>
      </c>
      <c r="R740" t="s">
        <v>30</v>
      </c>
      <c r="S740">
        <v>0</v>
      </c>
      <c r="T740">
        <v>0</v>
      </c>
      <c r="U740" t="s">
        <v>3915</v>
      </c>
      <c r="V740" t="s">
        <v>31</v>
      </c>
      <c r="W740">
        <v>0</v>
      </c>
    </row>
    <row r="741" spans="1:23" x14ac:dyDescent="0.25">
      <c r="A741" t="s">
        <v>4986</v>
      </c>
      <c r="B741" t="s">
        <v>3900</v>
      </c>
      <c r="C741" t="s">
        <v>3899</v>
      </c>
      <c r="D741" t="s">
        <v>4479</v>
      </c>
      <c r="E741" t="s">
        <v>4898</v>
      </c>
      <c r="F741" t="s">
        <v>2901</v>
      </c>
      <c r="G741" t="s">
        <v>1406</v>
      </c>
      <c r="H741" s="6">
        <v>46022</v>
      </c>
      <c r="I741" t="s">
        <v>29</v>
      </c>
      <c r="J741">
        <v>1</v>
      </c>
      <c r="K741">
        <v>0</v>
      </c>
      <c r="L741">
        <v>0</v>
      </c>
      <c r="M741">
        <v>0</v>
      </c>
      <c r="N741" t="s">
        <v>3915</v>
      </c>
      <c r="O741" t="s">
        <v>3915</v>
      </c>
      <c r="P741" t="s">
        <v>3915</v>
      </c>
      <c r="Q741">
        <v>0</v>
      </c>
      <c r="R741" t="s">
        <v>30</v>
      </c>
      <c r="S741">
        <v>0</v>
      </c>
      <c r="T741">
        <v>0</v>
      </c>
      <c r="U741" t="s">
        <v>3915</v>
      </c>
      <c r="V741" t="s">
        <v>31</v>
      </c>
      <c r="W741">
        <v>0</v>
      </c>
    </row>
    <row r="742" spans="1:23" x14ac:dyDescent="0.25">
      <c r="A742" t="s">
        <v>4037</v>
      </c>
      <c r="B742" t="s">
        <v>3902</v>
      </c>
      <c r="C742" t="s">
        <v>3901</v>
      </c>
      <c r="D742" t="s">
        <v>4479</v>
      </c>
      <c r="E742" t="s">
        <v>4898</v>
      </c>
      <c r="F742" t="s">
        <v>2901</v>
      </c>
      <c r="G742" t="s">
        <v>1406</v>
      </c>
      <c r="H742" s="6">
        <v>46022</v>
      </c>
      <c r="I742" t="s">
        <v>29</v>
      </c>
      <c r="J742">
        <v>7</v>
      </c>
      <c r="K742">
        <v>0</v>
      </c>
      <c r="L742">
        <v>0</v>
      </c>
      <c r="M742">
        <v>0</v>
      </c>
      <c r="N742" t="s">
        <v>3915</v>
      </c>
      <c r="O742" t="s">
        <v>3915</v>
      </c>
      <c r="P742" t="s">
        <v>3915</v>
      </c>
      <c r="Q742">
        <v>0</v>
      </c>
      <c r="R742" t="s">
        <v>30</v>
      </c>
      <c r="S742">
        <v>0</v>
      </c>
      <c r="T742">
        <v>0</v>
      </c>
      <c r="U742" t="s">
        <v>3915</v>
      </c>
      <c r="V742" t="s">
        <v>31</v>
      </c>
      <c r="W742">
        <v>0</v>
      </c>
    </row>
    <row r="743" spans="1:23" x14ac:dyDescent="0.25">
      <c r="A743" t="s">
        <v>4987</v>
      </c>
      <c r="B743" t="s">
        <v>3904</v>
      </c>
      <c r="C743" t="s">
        <v>3903</v>
      </c>
      <c r="D743" t="s">
        <v>4479</v>
      </c>
      <c r="E743" t="s">
        <v>4898</v>
      </c>
      <c r="F743" t="s">
        <v>2901</v>
      </c>
      <c r="G743" t="s">
        <v>1406</v>
      </c>
      <c r="H743" s="6">
        <v>46022</v>
      </c>
      <c r="I743" t="s">
        <v>29</v>
      </c>
      <c r="J743">
        <v>2</v>
      </c>
      <c r="K743">
        <v>0</v>
      </c>
      <c r="L743">
        <v>0</v>
      </c>
      <c r="M743">
        <v>0</v>
      </c>
      <c r="N743" t="s">
        <v>3915</v>
      </c>
      <c r="O743" t="s">
        <v>3915</v>
      </c>
      <c r="P743" t="s">
        <v>3915</v>
      </c>
      <c r="Q743">
        <v>0</v>
      </c>
      <c r="R743" t="s">
        <v>30</v>
      </c>
      <c r="S743">
        <v>0</v>
      </c>
      <c r="T743">
        <v>0</v>
      </c>
      <c r="U743" t="s">
        <v>3915</v>
      </c>
      <c r="V743" t="s">
        <v>31</v>
      </c>
      <c r="W743">
        <v>0</v>
      </c>
    </row>
    <row r="744" spans="1:23" x14ac:dyDescent="0.25">
      <c r="A744" t="s">
        <v>3968</v>
      </c>
      <c r="B744" t="s">
        <v>4988</v>
      </c>
      <c r="C744" t="s">
        <v>4989</v>
      </c>
      <c r="D744" t="s">
        <v>4479</v>
      </c>
      <c r="E744" t="s">
        <v>4898</v>
      </c>
      <c r="F744" t="s">
        <v>2901</v>
      </c>
      <c r="G744" t="s">
        <v>1406</v>
      </c>
      <c r="H744" s="6">
        <v>46022</v>
      </c>
      <c r="I744" t="s">
        <v>29</v>
      </c>
      <c r="J744">
        <v>0</v>
      </c>
      <c r="K744">
        <v>0</v>
      </c>
      <c r="L744">
        <v>0</v>
      </c>
      <c r="M744">
        <v>0</v>
      </c>
      <c r="N744" t="s">
        <v>3915</v>
      </c>
      <c r="O744" t="s">
        <v>3915</v>
      </c>
      <c r="P744" t="s">
        <v>3915</v>
      </c>
      <c r="Q744">
        <v>0</v>
      </c>
      <c r="R744" t="s">
        <v>30</v>
      </c>
      <c r="S744">
        <v>0</v>
      </c>
      <c r="T744">
        <v>0</v>
      </c>
      <c r="U744" t="s">
        <v>3915</v>
      </c>
      <c r="V744" t="s">
        <v>31</v>
      </c>
      <c r="W744">
        <v>0</v>
      </c>
    </row>
    <row r="745" spans="1:23" x14ac:dyDescent="0.25">
      <c r="A745" t="s">
        <v>4990</v>
      </c>
      <c r="B745" t="s">
        <v>3906</v>
      </c>
      <c r="C745" t="s">
        <v>3905</v>
      </c>
      <c r="D745" t="s">
        <v>4479</v>
      </c>
      <c r="E745" t="s">
        <v>4898</v>
      </c>
      <c r="F745" t="s">
        <v>2901</v>
      </c>
      <c r="G745" t="s">
        <v>1406</v>
      </c>
      <c r="H745" s="6">
        <v>46022</v>
      </c>
      <c r="I745" t="s">
        <v>29</v>
      </c>
      <c r="J745">
        <v>6</v>
      </c>
      <c r="K745">
        <v>0</v>
      </c>
      <c r="L745">
        <v>0</v>
      </c>
      <c r="M745">
        <v>0</v>
      </c>
      <c r="N745" t="s">
        <v>3915</v>
      </c>
      <c r="O745" t="s">
        <v>3915</v>
      </c>
      <c r="P745" t="s">
        <v>3915</v>
      </c>
      <c r="Q745">
        <v>0</v>
      </c>
      <c r="R745" t="s">
        <v>30</v>
      </c>
      <c r="S745">
        <v>0</v>
      </c>
      <c r="T745">
        <v>0</v>
      </c>
      <c r="U745" t="s">
        <v>3915</v>
      </c>
      <c r="V745" t="s">
        <v>31</v>
      </c>
      <c r="W745">
        <v>0</v>
      </c>
    </row>
    <row r="746" spans="1:23" x14ac:dyDescent="0.25">
      <c r="A746" t="s">
        <v>4991</v>
      </c>
      <c r="B746" t="s">
        <v>3908</v>
      </c>
      <c r="C746" t="s">
        <v>3907</v>
      </c>
      <c r="D746" t="s">
        <v>4479</v>
      </c>
      <c r="E746" t="s">
        <v>4898</v>
      </c>
      <c r="F746" t="s">
        <v>2901</v>
      </c>
      <c r="G746" t="s">
        <v>1406</v>
      </c>
      <c r="H746" s="6">
        <v>46022</v>
      </c>
      <c r="I746" t="s">
        <v>29</v>
      </c>
      <c r="J746">
        <v>9</v>
      </c>
      <c r="K746">
        <v>0</v>
      </c>
      <c r="L746">
        <v>0</v>
      </c>
      <c r="M746">
        <v>0</v>
      </c>
      <c r="N746" t="s">
        <v>3915</v>
      </c>
      <c r="O746" t="s">
        <v>3915</v>
      </c>
      <c r="P746" t="s">
        <v>3915</v>
      </c>
      <c r="Q746">
        <v>0</v>
      </c>
      <c r="R746" t="s">
        <v>30</v>
      </c>
      <c r="S746">
        <v>0</v>
      </c>
      <c r="T746">
        <v>0</v>
      </c>
      <c r="U746" t="s">
        <v>3915</v>
      </c>
      <c r="V746" t="s">
        <v>31</v>
      </c>
      <c r="W746">
        <v>0</v>
      </c>
    </row>
    <row r="747" spans="1:23" x14ac:dyDescent="0.25">
      <c r="A747" t="s">
        <v>4233</v>
      </c>
      <c r="B747" t="s">
        <v>3910</v>
      </c>
      <c r="C747" t="s">
        <v>3909</v>
      </c>
      <c r="D747" t="s">
        <v>4479</v>
      </c>
      <c r="E747" t="s">
        <v>4898</v>
      </c>
      <c r="F747" t="s">
        <v>2901</v>
      </c>
      <c r="G747" t="s">
        <v>1406</v>
      </c>
      <c r="H747" s="6">
        <v>46022</v>
      </c>
      <c r="I747" t="s">
        <v>29</v>
      </c>
      <c r="J747">
        <v>3</v>
      </c>
      <c r="K747">
        <v>0</v>
      </c>
      <c r="L747">
        <v>0</v>
      </c>
      <c r="M747">
        <v>0</v>
      </c>
      <c r="N747" t="s">
        <v>3915</v>
      </c>
      <c r="O747" t="s">
        <v>3915</v>
      </c>
      <c r="P747" t="s">
        <v>3915</v>
      </c>
      <c r="Q747">
        <v>0</v>
      </c>
      <c r="R747" t="s">
        <v>30</v>
      </c>
      <c r="S747">
        <v>0</v>
      </c>
      <c r="T747">
        <v>0</v>
      </c>
      <c r="U747" t="s">
        <v>3915</v>
      </c>
      <c r="V747" t="s">
        <v>31</v>
      </c>
      <c r="W747">
        <v>0</v>
      </c>
    </row>
    <row r="748" spans="1:23" x14ac:dyDescent="0.25">
      <c r="A748" t="s">
        <v>4992</v>
      </c>
      <c r="B748" t="s">
        <v>3914</v>
      </c>
      <c r="C748" t="s">
        <v>3913</v>
      </c>
      <c r="D748" t="s">
        <v>4479</v>
      </c>
      <c r="E748" t="s">
        <v>4993</v>
      </c>
      <c r="F748" t="s">
        <v>2922</v>
      </c>
      <c r="G748" t="s">
        <v>1406</v>
      </c>
      <c r="H748" s="6">
        <v>46022</v>
      </c>
      <c r="I748" t="s">
        <v>29</v>
      </c>
      <c r="J748">
        <v>1</v>
      </c>
      <c r="K748">
        <v>0</v>
      </c>
      <c r="L748">
        <v>0</v>
      </c>
      <c r="M748">
        <v>0</v>
      </c>
      <c r="N748" t="s">
        <v>3915</v>
      </c>
      <c r="O748" t="s">
        <v>3915</v>
      </c>
      <c r="P748" t="s">
        <v>3915</v>
      </c>
      <c r="Q748">
        <v>0</v>
      </c>
      <c r="R748" t="s">
        <v>30</v>
      </c>
      <c r="S748">
        <v>0</v>
      </c>
      <c r="T748">
        <v>0</v>
      </c>
      <c r="U748" t="s">
        <v>3915</v>
      </c>
      <c r="V748" t="s">
        <v>31</v>
      </c>
      <c r="W748">
        <v>0</v>
      </c>
    </row>
    <row r="749" spans="1:23" x14ac:dyDescent="0.25">
      <c r="A749" t="s">
        <v>5037</v>
      </c>
      <c r="B749" t="s">
        <v>2930</v>
      </c>
      <c r="C749" t="s">
        <v>2929</v>
      </c>
      <c r="D749" t="s">
        <v>4479</v>
      </c>
      <c r="E749" t="s">
        <v>4993</v>
      </c>
      <c r="F749" t="s">
        <v>2922</v>
      </c>
      <c r="G749" t="s">
        <v>1406</v>
      </c>
      <c r="H749" s="6">
        <v>46022</v>
      </c>
      <c r="I749" t="s">
        <v>29</v>
      </c>
      <c r="J749">
        <v>0</v>
      </c>
      <c r="K749">
        <v>0</v>
      </c>
      <c r="L749">
        <v>0</v>
      </c>
      <c r="M749">
        <v>0</v>
      </c>
      <c r="N749" t="s">
        <v>3915</v>
      </c>
      <c r="O749" t="s">
        <v>3915</v>
      </c>
      <c r="P749" t="s">
        <v>3915</v>
      </c>
      <c r="Q749">
        <v>0</v>
      </c>
      <c r="R749" t="s">
        <v>30</v>
      </c>
      <c r="S749">
        <v>0</v>
      </c>
      <c r="T749">
        <v>0</v>
      </c>
      <c r="U749" t="s">
        <v>3915</v>
      </c>
      <c r="V749" t="s">
        <v>31</v>
      </c>
      <c r="W749">
        <v>0</v>
      </c>
    </row>
    <row r="750" spans="1:23" x14ac:dyDescent="0.25">
      <c r="A750" t="s">
        <v>4994</v>
      </c>
      <c r="B750" t="s">
        <v>3329</v>
      </c>
      <c r="C750" t="s">
        <v>3328</v>
      </c>
      <c r="D750" t="s">
        <v>4479</v>
      </c>
      <c r="E750" t="s">
        <v>4995</v>
      </c>
      <c r="F750" t="s">
        <v>3330</v>
      </c>
      <c r="G750" t="s">
        <v>1406</v>
      </c>
      <c r="H750" s="6">
        <v>46022</v>
      </c>
      <c r="I750" t="s">
        <v>29</v>
      </c>
      <c r="J750">
        <v>1</v>
      </c>
      <c r="K750">
        <v>0</v>
      </c>
      <c r="L750">
        <v>0</v>
      </c>
      <c r="M750">
        <v>0</v>
      </c>
      <c r="N750" t="s">
        <v>3915</v>
      </c>
      <c r="O750" t="s">
        <v>3915</v>
      </c>
      <c r="P750" t="s">
        <v>3915</v>
      </c>
      <c r="Q750">
        <v>0</v>
      </c>
      <c r="R750" t="s">
        <v>30</v>
      </c>
      <c r="S750">
        <v>0</v>
      </c>
      <c r="T750">
        <v>0</v>
      </c>
      <c r="U750" t="s">
        <v>3915</v>
      </c>
      <c r="V750" t="s">
        <v>31</v>
      </c>
      <c r="W750">
        <v>0</v>
      </c>
    </row>
    <row r="751" spans="1:23" x14ac:dyDescent="0.25">
      <c r="A751" t="s">
        <v>4996</v>
      </c>
      <c r="B751" t="s">
        <v>1569</v>
      </c>
      <c r="C751" t="s">
        <v>1568</v>
      </c>
      <c r="D751" t="s">
        <v>4479</v>
      </c>
      <c r="E751" t="s">
        <v>1390</v>
      </c>
      <c r="F751" t="s">
        <v>1405</v>
      </c>
      <c r="G751" t="s">
        <v>1406</v>
      </c>
      <c r="H751" s="6">
        <v>46022</v>
      </c>
      <c r="I751" t="s">
        <v>29</v>
      </c>
      <c r="J751">
        <v>1</v>
      </c>
      <c r="K751">
        <v>0</v>
      </c>
      <c r="L751">
        <v>0</v>
      </c>
      <c r="M751">
        <v>0</v>
      </c>
      <c r="N751" t="s">
        <v>3915</v>
      </c>
      <c r="O751" t="s">
        <v>3915</v>
      </c>
      <c r="P751" t="s">
        <v>3915</v>
      </c>
      <c r="Q751">
        <v>0</v>
      </c>
      <c r="R751" t="s">
        <v>30</v>
      </c>
      <c r="S751">
        <v>0</v>
      </c>
      <c r="T751">
        <v>0</v>
      </c>
      <c r="U751" t="s">
        <v>3915</v>
      </c>
      <c r="V751" t="s">
        <v>31</v>
      </c>
      <c r="W751">
        <v>0</v>
      </c>
    </row>
    <row r="752" spans="1:23" x14ac:dyDescent="0.25">
      <c r="A752" t="s">
        <v>4239</v>
      </c>
      <c r="B752" t="s">
        <v>1404</v>
      </c>
      <c r="C752" t="s">
        <v>1403</v>
      </c>
      <c r="D752" t="s">
        <v>4479</v>
      </c>
      <c r="E752" t="s">
        <v>1390</v>
      </c>
      <c r="F752" t="s">
        <v>1405</v>
      </c>
      <c r="G752" t="s">
        <v>1406</v>
      </c>
      <c r="H752" s="6">
        <v>46022</v>
      </c>
      <c r="I752" t="s">
        <v>29</v>
      </c>
      <c r="J752">
        <v>1</v>
      </c>
      <c r="K752">
        <v>0</v>
      </c>
      <c r="L752">
        <v>0</v>
      </c>
      <c r="M752">
        <v>0</v>
      </c>
      <c r="N752" t="s">
        <v>3915</v>
      </c>
      <c r="O752" t="s">
        <v>3915</v>
      </c>
      <c r="P752" t="s">
        <v>3915</v>
      </c>
      <c r="Q752">
        <v>0</v>
      </c>
      <c r="R752" t="s">
        <v>30</v>
      </c>
      <c r="S752">
        <v>0</v>
      </c>
      <c r="T752">
        <v>0</v>
      </c>
      <c r="U752" t="s">
        <v>3915</v>
      </c>
      <c r="V752" t="s">
        <v>31</v>
      </c>
      <c r="W752">
        <v>0</v>
      </c>
    </row>
    <row r="753" spans="1:23" x14ac:dyDescent="0.25">
      <c r="A753" t="s">
        <v>4997</v>
      </c>
      <c r="B753" t="s">
        <v>2979</v>
      </c>
      <c r="C753" t="s">
        <v>2978</v>
      </c>
      <c r="D753" t="s">
        <v>4479</v>
      </c>
      <c r="E753" t="s">
        <v>1390</v>
      </c>
      <c r="F753" t="s">
        <v>1405</v>
      </c>
      <c r="G753" t="s">
        <v>1406</v>
      </c>
      <c r="H753" s="6">
        <v>46022</v>
      </c>
      <c r="I753" t="s">
        <v>29</v>
      </c>
      <c r="J753">
        <v>8</v>
      </c>
      <c r="K753">
        <v>0</v>
      </c>
      <c r="L753">
        <v>0</v>
      </c>
      <c r="M753">
        <v>0</v>
      </c>
      <c r="N753" t="s">
        <v>3915</v>
      </c>
      <c r="O753" t="s">
        <v>3915</v>
      </c>
      <c r="P753" t="s">
        <v>3915</v>
      </c>
      <c r="Q753">
        <v>0</v>
      </c>
      <c r="R753" t="s">
        <v>30</v>
      </c>
      <c r="S753">
        <v>0</v>
      </c>
      <c r="T753">
        <v>0</v>
      </c>
      <c r="U753" t="s">
        <v>3915</v>
      </c>
      <c r="V753" t="s">
        <v>31</v>
      </c>
      <c r="W753">
        <v>0</v>
      </c>
    </row>
    <row r="754" spans="1:23" x14ac:dyDescent="0.25">
      <c r="A754" t="s">
        <v>4000</v>
      </c>
      <c r="B754" t="s">
        <v>2981</v>
      </c>
      <c r="C754" t="s">
        <v>2980</v>
      </c>
      <c r="D754" t="s">
        <v>4479</v>
      </c>
      <c r="E754" t="s">
        <v>1390</v>
      </c>
      <c r="F754" t="s">
        <v>1405</v>
      </c>
      <c r="G754" t="s">
        <v>1406</v>
      </c>
      <c r="H754" s="6">
        <v>46022</v>
      </c>
      <c r="I754" t="s">
        <v>29</v>
      </c>
      <c r="J754">
        <v>2</v>
      </c>
      <c r="K754">
        <v>0</v>
      </c>
      <c r="L754">
        <v>0</v>
      </c>
      <c r="M754">
        <v>0</v>
      </c>
      <c r="N754" t="s">
        <v>3915</v>
      </c>
      <c r="O754" t="s">
        <v>3915</v>
      </c>
      <c r="P754" t="s">
        <v>3915</v>
      </c>
      <c r="Q754">
        <v>0</v>
      </c>
      <c r="R754" t="s">
        <v>30</v>
      </c>
      <c r="S754">
        <v>0</v>
      </c>
      <c r="T754">
        <v>0</v>
      </c>
      <c r="U754" t="s">
        <v>3915</v>
      </c>
      <c r="V754" t="s">
        <v>31</v>
      </c>
      <c r="W754">
        <v>0</v>
      </c>
    </row>
    <row r="755" spans="1:23" x14ac:dyDescent="0.25">
      <c r="A755" t="s">
        <v>4342</v>
      </c>
      <c r="B755" t="s">
        <v>2983</v>
      </c>
      <c r="C755" t="s">
        <v>2982</v>
      </c>
      <c r="D755" t="s">
        <v>4479</v>
      </c>
      <c r="E755" t="s">
        <v>1390</v>
      </c>
      <c r="F755" t="s">
        <v>1405</v>
      </c>
      <c r="G755" t="s">
        <v>1406</v>
      </c>
      <c r="H755" s="6">
        <v>46022</v>
      </c>
      <c r="I755" t="s">
        <v>29</v>
      </c>
      <c r="J755">
        <v>8</v>
      </c>
      <c r="K755">
        <v>0</v>
      </c>
      <c r="L755">
        <v>0</v>
      </c>
      <c r="M755">
        <v>0</v>
      </c>
      <c r="N755" t="s">
        <v>3915</v>
      </c>
      <c r="O755" t="s">
        <v>3915</v>
      </c>
      <c r="P755" t="s">
        <v>3915</v>
      </c>
      <c r="Q755">
        <v>0</v>
      </c>
      <c r="R755" t="s">
        <v>30</v>
      </c>
      <c r="S755">
        <v>0</v>
      </c>
      <c r="T755">
        <v>0</v>
      </c>
      <c r="U755" t="s">
        <v>3915</v>
      </c>
      <c r="V755" t="s">
        <v>31</v>
      </c>
      <c r="W755">
        <v>0</v>
      </c>
    </row>
    <row r="756" spans="1:23" x14ac:dyDescent="0.25">
      <c r="A756" t="s">
        <v>4321</v>
      </c>
      <c r="B756" t="s">
        <v>2985</v>
      </c>
      <c r="C756" t="s">
        <v>2984</v>
      </c>
      <c r="D756" t="s">
        <v>4479</v>
      </c>
      <c r="E756" t="s">
        <v>1390</v>
      </c>
      <c r="F756" t="s">
        <v>1405</v>
      </c>
      <c r="G756" t="s">
        <v>1406</v>
      </c>
      <c r="H756" s="6">
        <v>46022</v>
      </c>
      <c r="I756" t="s">
        <v>29</v>
      </c>
      <c r="J756">
        <v>2</v>
      </c>
      <c r="K756">
        <v>0</v>
      </c>
      <c r="L756">
        <v>0</v>
      </c>
      <c r="M756">
        <v>0</v>
      </c>
      <c r="N756" t="s">
        <v>3915</v>
      </c>
      <c r="O756" t="s">
        <v>3915</v>
      </c>
      <c r="P756" t="s">
        <v>3915</v>
      </c>
      <c r="Q756">
        <v>0</v>
      </c>
      <c r="R756" t="s">
        <v>30</v>
      </c>
      <c r="S756">
        <v>0</v>
      </c>
      <c r="T756">
        <v>0</v>
      </c>
      <c r="U756" t="s">
        <v>3915</v>
      </c>
      <c r="V756" t="s">
        <v>31</v>
      </c>
      <c r="W756">
        <v>0</v>
      </c>
    </row>
    <row r="757" spans="1:23" x14ac:dyDescent="0.25">
      <c r="A757" t="s">
        <v>4998</v>
      </c>
      <c r="B757" t="s">
        <v>2987</v>
      </c>
      <c r="C757" t="s">
        <v>2986</v>
      </c>
      <c r="D757" t="s">
        <v>4479</v>
      </c>
      <c r="E757" t="s">
        <v>1390</v>
      </c>
      <c r="F757" t="s">
        <v>1405</v>
      </c>
      <c r="G757" t="s">
        <v>1406</v>
      </c>
      <c r="H757" s="6">
        <v>46022</v>
      </c>
      <c r="I757" t="s">
        <v>29</v>
      </c>
      <c r="J757">
        <v>1</v>
      </c>
      <c r="K757">
        <v>0</v>
      </c>
      <c r="L757">
        <v>0</v>
      </c>
      <c r="M757">
        <v>0</v>
      </c>
      <c r="N757" t="s">
        <v>3915</v>
      </c>
      <c r="O757" t="s">
        <v>3915</v>
      </c>
      <c r="P757" t="s">
        <v>3915</v>
      </c>
      <c r="Q757">
        <v>0</v>
      </c>
      <c r="R757" t="s">
        <v>30</v>
      </c>
      <c r="S757">
        <v>0</v>
      </c>
      <c r="T757">
        <v>0</v>
      </c>
      <c r="U757" t="s">
        <v>3915</v>
      </c>
      <c r="V757" t="s">
        <v>31</v>
      </c>
      <c r="W757">
        <v>0</v>
      </c>
    </row>
    <row r="758" spans="1:23" x14ac:dyDescent="0.25">
      <c r="A758" t="s">
        <v>4999</v>
      </c>
      <c r="B758" t="s">
        <v>2989</v>
      </c>
      <c r="C758" t="s">
        <v>2988</v>
      </c>
      <c r="D758" t="s">
        <v>4479</v>
      </c>
      <c r="E758" t="s">
        <v>1390</v>
      </c>
      <c r="F758" t="s">
        <v>1405</v>
      </c>
      <c r="G758" t="s">
        <v>1406</v>
      </c>
      <c r="H758" s="6">
        <v>46022</v>
      </c>
      <c r="I758" t="s">
        <v>29</v>
      </c>
      <c r="J758">
        <v>1</v>
      </c>
      <c r="K758">
        <v>0</v>
      </c>
      <c r="L758">
        <v>0</v>
      </c>
      <c r="M758">
        <v>0</v>
      </c>
      <c r="N758" t="s">
        <v>3915</v>
      </c>
      <c r="O758" t="s">
        <v>3915</v>
      </c>
      <c r="P758" t="s">
        <v>3915</v>
      </c>
      <c r="Q758">
        <v>0</v>
      </c>
      <c r="R758" t="s">
        <v>30</v>
      </c>
      <c r="S758">
        <v>0</v>
      </c>
      <c r="T758">
        <v>0</v>
      </c>
      <c r="U758" t="s">
        <v>3915</v>
      </c>
      <c r="V758" t="s">
        <v>31</v>
      </c>
      <c r="W758">
        <v>0</v>
      </c>
    </row>
    <row r="759" spans="1:23" x14ac:dyDescent="0.25">
      <c r="A759" t="s">
        <v>5000</v>
      </c>
      <c r="B759" t="s">
        <v>3675</v>
      </c>
      <c r="C759" t="s">
        <v>3674</v>
      </c>
      <c r="D759" t="s">
        <v>4479</v>
      </c>
      <c r="E759" t="s">
        <v>5001</v>
      </c>
      <c r="F759" t="s">
        <v>1030</v>
      </c>
      <c r="G759" t="s">
        <v>1406</v>
      </c>
      <c r="H759" s="6">
        <v>46022</v>
      </c>
      <c r="I759" t="s">
        <v>29</v>
      </c>
      <c r="J759">
        <v>361.09100000000001</v>
      </c>
      <c r="K759">
        <v>0</v>
      </c>
      <c r="L759">
        <v>0</v>
      </c>
      <c r="M759">
        <v>0</v>
      </c>
      <c r="N759" t="s">
        <v>5002</v>
      </c>
      <c r="O759" t="s">
        <v>3915</v>
      </c>
      <c r="P759" t="s">
        <v>3915</v>
      </c>
      <c r="Q759">
        <v>0</v>
      </c>
      <c r="R759" t="s">
        <v>1031</v>
      </c>
      <c r="S759">
        <v>0</v>
      </c>
      <c r="T759">
        <v>0</v>
      </c>
      <c r="U759" t="s">
        <v>3915</v>
      </c>
      <c r="V759" t="s">
        <v>31</v>
      </c>
      <c r="W759">
        <v>0</v>
      </c>
    </row>
    <row r="760" spans="1:23" x14ac:dyDescent="0.25">
      <c r="A760" t="s">
        <v>5003</v>
      </c>
      <c r="B760" t="s">
        <v>3677</v>
      </c>
      <c r="C760" t="s">
        <v>3676</v>
      </c>
      <c r="D760" t="s">
        <v>4479</v>
      </c>
      <c r="E760" t="s">
        <v>5001</v>
      </c>
      <c r="F760" t="s">
        <v>1030</v>
      </c>
      <c r="G760" t="s">
        <v>1406</v>
      </c>
      <c r="H760" s="6">
        <v>46022</v>
      </c>
      <c r="I760" t="s">
        <v>29</v>
      </c>
      <c r="J760">
        <v>323.17</v>
      </c>
      <c r="K760">
        <v>0</v>
      </c>
      <c r="L760">
        <v>0</v>
      </c>
      <c r="M760">
        <v>0</v>
      </c>
      <c r="N760" t="s">
        <v>3915</v>
      </c>
      <c r="O760" t="s">
        <v>3915</v>
      </c>
      <c r="P760" t="s">
        <v>3915</v>
      </c>
      <c r="Q760">
        <v>0</v>
      </c>
      <c r="R760" t="s">
        <v>1031</v>
      </c>
      <c r="S760">
        <v>0</v>
      </c>
      <c r="T760">
        <v>0</v>
      </c>
      <c r="U760" t="s">
        <v>3915</v>
      </c>
      <c r="V760" t="s">
        <v>31</v>
      </c>
      <c r="W760">
        <v>0</v>
      </c>
    </row>
    <row r="761" spans="1:23" x14ac:dyDescent="0.25">
      <c r="A761" t="s">
        <v>5004</v>
      </c>
      <c r="B761" t="s">
        <v>1396</v>
      </c>
      <c r="C761" t="s">
        <v>1397</v>
      </c>
      <c r="D761" t="s">
        <v>4479</v>
      </c>
      <c r="E761" t="s">
        <v>5001</v>
      </c>
      <c r="F761" t="s">
        <v>1030</v>
      </c>
      <c r="G761" t="s">
        <v>1406</v>
      </c>
      <c r="H761" s="6">
        <v>46022</v>
      </c>
      <c r="I761" t="s">
        <v>29</v>
      </c>
      <c r="J761">
        <v>608.55899999999997</v>
      </c>
      <c r="K761">
        <v>0</v>
      </c>
      <c r="L761">
        <v>0</v>
      </c>
      <c r="M761">
        <v>0</v>
      </c>
      <c r="N761" t="s">
        <v>5005</v>
      </c>
      <c r="O761" t="s">
        <v>3915</v>
      </c>
      <c r="P761" t="s">
        <v>3915</v>
      </c>
      <c r="Q761">
        <v>0</v>
      </c>
      <c r="R761" t="s">
        <v>1031</v>
      </c>
      <c r="S761">
        <v>0</v>
      </c>
      <c r="T761">
        <v>0</v>
      </c>
      <c r="U761" t="s">
        <v>3915</v>
      </c>
      <c r="V761" t="s">
        <v>31</v>
      </c>
      <c r="W761">
        <v>0</v>
      </c>
    </row>
    <row r="762" spans="1:23" x14ac:dyDescent="0.25">
      <c r="A762" t="s">
        <v>5006</v>
      </c>
      <c r="B762" t="s">
        <v>2880</v>
      </c>
      <c r="C762" t="s">
        <v>2879</v>
      </c>
      <c r="D762" t="s">
        <v>4479</v>
      </c>
      <c r="E762" t="s">
        <v>5001</v>
      </c>
      <c r="F762" t="s">
        <v>1030</v>
      </c>
      <c r="G762" t="s">
        <v>1406</v>
      </c>
      <c r="H762" s="6">
        <v>46022</v>
      </c>
      <c r="I762" t="s">
        <v>29</v>
      </c>
      <c r="J762">
        <v>1E-4</v>
      </c>
      <c r="K762">
        <v>0</v>
      </c>
      <c r="L762">
        <v>0</v>
      </c>
      <c r="M762">
        <v>0</v>
      </c>
      <c r="N762" t="s">
        <v>3915</v>
      </c>
      <c r="O762" t="s">
        <v>3915</v>
      </c>
      <c r="P762" t="s">
        <v>3915</v>
      </c>
      <c r="Q762">
        <v>0</v>
      </c>
      <c r="R762" t="s">
        <v>1031</v>
      </c>
      <c r="S762">
        <v>0</v>
      </c>
      <c r="T762">
        <v>0</v>
      </c>
      <c r="U762" t="s">
        <v>3915</v>
      </c>
      <c r="V762" t="s">
        <v>31</v>
      </c>
      <c r="W762">
        <v>0</v>
      </c>
    </row>
    <row r="763" spans="1:23" x14ac:dyDescent="0.25">
      <c r="A763" t="s">
        <v>5007</v>
      </c>
      <c r="B763" t="s">
        <v>1554</v>
      </c>
      <c r="C763" t="s">
        <v>1553</v>
      </c>
      <c r="D763" t="s">
        <v>4479</v>
      </c>
      <c r="E763" t="s">
        <v>5001</v>
      </c>
      <c r="F763" t="s">
        <v>1030</v>
      </c>
      <c r="G763" t="s">
        <v>1406</v>
      </c>
      <c r="H763" s="6">
        <v>46022</v>
      </c>
      <c r="I763" t="s">
        <v>29</v>
      </c>
      <c r="J763">
        <v>1.0000000000000001E-5</v>
      </c>
      <c r="K763">
        <v>0</v>
      </c>
      <c r="L763">
        <v>0</v>
      </c>
      <c r="M763">
        <v>0</v>
      </c>
      <c r="N763" t="s">
        <v>3915</v>
      </c>
      <c r="O763" t="s">
        <v>3915</v>
      </c>
      <c r="P763" t="s">
        <v>3915</v>
      </c>
      <c r="Q763">
        <v>0</v>
      </c>
      <c r="R763" t="s">
        <v>1031</v>
      </c>
      <c r="S763">
        <v>0</v>
      </c>
      <c r="T763">
        <v>0</v>
      </c>
      <c r="U763" t="s">
        <v>3915</v>
      </c>
      <c r="V763" t="s">
        <v>31</v>
      </c>
      <c r="W763">
        <v>0</v>
      </c>
    </row>
    <row r="764" spans="1:23" x14ac:dyDescent="0.25">
      <c r="A764" t="s">
        <v>5008</v>
      </c>
      <c r="B764" t="s">
        <v>2886</v>
      </c>
      <c r="C764" t="s">
        <v>2885</v>
      </c>
      <c r="D764" t="s">
        <v>4479</v>
      </c>
      <c r="E764" t="s">
        <v>5001</v>
      </c>
      <c r="F764" t="s">
        <v>1030</v>
      </c>
      <c r="G764" t="s">
        <v>1406</v>
      </c>
      <c r="H764" s="6">
        <v>46022</v>
      </c>
      <c r="I764" t="s">
        <v>29</v>
      </c>
      <c r="J764">
        <v>5.9999999999999995E-4</v>
      </c>
      <c r="K764">
        <v>0</v>
      </c>
      <c r="L764">
        <v>0</v>
      </c>
      <c r="M764">
        <v>0</v>
      </c>
      <c r="N764" t="s">
        <v>3915</v>
      </c>
      <c r="O764" t="s">
        <v>3915</v>
      </c>
      <c r="P764" t="s">
        <v>3915</v>
      </c>
      <c r="Q764">
        <v>0</v>
      </c>
      <c r="R764" t="s">
        <v>1031</v>
      </c>
      <c r="S764">
        <v>0</v>
      </c>
      <c r="T764">
        <v>0</v>
      </c>
      <c r="U764" t="s">
        <v>3915</v>
      </c>
      <c r="V764" t="s">
        <v>31</v>
      </c>
      <c r="W764">
        <v>0</v>
      </c>
    </row>
    <row r="765" spans="1:23" x14ac:dyDescent="0.25">
      <c r="A765" t="s">
        <v>5009</v>
      </c>
      <c r="B765" t="s">
        <v>2991</v>
      </c>
      <c r="C765" t="s">
        <v>2990</v>
      </c>
      <c r="D765" t="s">
        <v>4479</v>
      </c>
      <c r="E765" t="s">
        <v>4323</v>
      </c>
      <c r="F765" t="s">
        <v>2992</v>
      </c>
      <c r="G765" t="s">
        <v>1406</v>
      </c>
      <c r="H765" s="6">
        <v>46022</v>
      </c>
      <c r="I765" t="s">
        <v>29</v>
      </c>
      <c r="J765">
        <v>1</v>
      </c>
      <c r="K765">
        <v>0</v>
      </c>
      <c r="L765">
        <v>0</v>
      </c>
      <c r="M765">
        <v>0</v>
      </c>
      <c r="N765" t="s">
        <v>3915</v>
      </c>
      <c r="O765" t="s">
        <v>3915</v>
      </c>
      <c r="P765" t="s">
        <v>3915</v>
      </c>
      <c r="Q765">
        <v>0</v>
      </c>
      <c r="R765" t="s">
        <v>30</v>
      </c>
      <c r="S765">
        <v>0</v>
      </c>
      <c r="T765">
        <v>0</v>
      </c>
      <c r="U765" t="s">
        <v>3915</v>
      </c>
      <c r="V765" t="s">
        <v>31</v>
      </c>
      <c r="W765">
        <v>0</v>
      </c>
    </row>
    <row r="766" spans="1:23" x14ac:dyDescent="0.25">
      <c r="A766" t="s">
        <v>5010</v>
      </c>
      <c r="B766" t="s">
        <v>2994</v>
      </c>
      <c r="C766" t="s">
        <v>2993</v>
      </c>
      <c r="D766" t="s">
        <v>4479</v>
      </c>
      <c r="E766" t="s">
        <v>4323</v>
      </c>
      <c r="F766" t="s">
        <v>2992</v>
      </c>
      <c r="G766" t="s">
        <v>1406</v>
      </c>
      <c r="H766" s="6">
        <v>46022</v>
      </c>
      <c r="I766" t="s">
        <v>29</v>
      </c>
      <c r="J766">
        <v>1</v>
      </c>
      <c r="K766">
        <v>0</v>
      </c>
      <c r="L766">
        <v>0</v>
      </c>
      <c r="M766">
        <v>0</v>
      </c>
      <c r="N766" t="s">
        <v>3915</v>
      </c>
      <c r="O766" t="s">
        <v>3915</v>
      </c>
      <c r="P766" t="s">
        <v>3915</v>
      </c>
      <c r="Q766">
        <v>0</v>
      </c>
      <c r="R766" t="s">
        <v>30</v>
      </c>
      <c r="S766">
        <v>0</v>
      </c>
      <c r="T766">
        <v>0</v>
      </c>
      <c r="U766" t="s">
        <v>3915</v>
      </c>
      <c r="V766" t="s">
        <v>31</v>
      </c>
      <c r="W766">
        <v>0</v>
      </c>
    </row>
    <row r="767" spans="1:23" x14ac:dyDescent="0.25">
      <c r="A767" t="s">
        <v>5011</v>
      </c>
      <c r="B767" t="s">
        <v>2996</v>
      </c>
      <c r="C767" t="s">
        <v>2995</v>
      </c>
      <c r="D767" t="s">
        <v>4479</v>
      </c>
      <c r="E767" t="s">
        <v>4323</v>
      </c>
      <c r="F767" t="s">
        <v>2992</v>
      </c>
      <c r="G767" t="s">
        <v>1406</v>
      </c>
      <c r="H767" s="6">
        <v>46022</v>
      </c>
      <c r="I767" t="s">
        <v>29</v>
      </c>
      <c r="J767">
        <v>1</v>
      </c>
      <c r="K767">
        <v>0</v>
      </c>
      <c r="L767">
        <v>0</v>
      </c>
      <c r="M767">
        <v>0</v>
      </c>
      <c r="N767" t="s">
        <v>3915</v>
      </c>
      <c r="O767" t="s">
        <v>3915</v>
      </c>
      <c r="P767" t="s">
        <v>3915</v>
      </c>
      <c r="Q767">
        <v>0</v>
      </c>
      <c r="R767" t="s">
        <v>30</v>
      </c>
      <c r="S767">
        <v>0</v>
      </c>
      <c r="T767">
        <v>0</v>
      </c>
      <c r="U767" t="s">
        <v>3915</v>
      </c>
      <c r="V767" t="s">
        <v>31</v>
      </c>
      <c r="W767">
        <v>0</v>
      </c>
    </row>
    <row r="768" spans="1:23" x14ac:dyDescent="0.25">
      <c r="A768" t="s">
        <v>5012</v>
      </c>
      <c r="B768" t="s">
        <v>2998</v>
      </c>
      <c r="C768" t="s">
        <v>2997</v>
      </c>
      <c r="D768" t="s">
        <v>4479</v>
      </c>
      <c r="E768" t="s">
        <v>4323</v>
      </c>
      <c r="F768" t="s">
        <v>2992</v>
      </c>
      <c r="G768" t="s">
        <v>1406</v>
      </c>
      <c r="H768" s="6">
        <v>46022</v>
      </c>
      <c r="I768" t="s">
        <v>29</v>
      </c>
      <c r="J768">
        <v>1</v>
      </c>
      <c r="K768">
        <v>0</v>
      </c>
      <c r="L768">
        <v>0</v>
      </c>
      <c r="M768">
        <v>0</v>
      </c>
      <c r="N768" t="s">
        <v>3915</v>
      </c>
      <c r="O768" t="s">
        <v>3915</v>
      </c>
      <c r="P768" t="s">
        <v>3915</v>
      </c>
      <c r="Q768">
        <v>0</v>
      </c>
      <c r="R768" t="s">
        <v>30</v>
      </c>
      <c r="S768">
        <v>0</v>
      </c>
      <c r="T768">
        <v>0</v>
      </c>
      <c r="U768" t="s">
        <v>3915</v>
      </c>
      <c r="V768" t="s">
        <v>31</v>
      </c>
      <c r="W768">
        <v>0</v>
      </c>
    </row>
    <row r="769" spans="1:23" x14ac:dyDescent="0.25">
      <c r="A769" t="s">
        <v>5013</v>
      </c>
      <c r="B769" t="s">
        <v>3000</v>
      </c>
      <c r="C769" t="s">
        <v>2999</v>
      </c>
      <c r="D769" t="s">
        <v>4479</v>
      </c>
      <c r="E769" t="s">
        <v>4323</v>
      </c>
      <c r="F769" t="s">
        <v>2992</v>
      </c>
      <c r="G769" t="s">
        <v>1406</v>
      </c>
      <c r="H769" s="6">
        <v>46022</v>
      </c>
      <c r="I769" t="s">
        <v>29</v>
      </c>
      <c r="J769">
        <v>1</v>
      </c>
      <c r="K769">
        <v>0</v>
      </c>
      <c r="L769">
        <v>0</v>
      </c>
      <c r="M769">
        <v>0</v>
      </c>
      <c r="N769" t="s">
        <v>3915</v>
      </c>
      <c r="O769" t="s">
        <v>3915</v>
      </c>
      <c r="P769" t="s">
        <v>3915</v>
      </c>
      <c r="Q769">
        <v>0</v>
      </c>
      <c r="R769" t="s">
        <v>30</v>
      </c>
      <c r="S769">
        <v>0</v>
      </c>
      <c r="T769">
        <v>0</v>
      </c>
      <c r="U769" t="s">
        <v>3915</v>
      </c>
      <c r="V769" t="s">
        <v>31</v>
      </c>
      <c r="W769">
        <v>0</v>
      </c>
    </row>
    <row r="770" spans="1:23" x14ac:dyDescent="0.25">
      <c r="A770" t="s">
        <v>5014</v>
      </c>
      <c r="B770" t="s">
        <v>3002</v>
      </c>
      <c r="C770" t="s">
        <v>3001</v>
      </c>
      <c r="D770" t="s">
        <v>4479</v>
      </c>
      <c r="E770" t="s">
        <v>4323</v>
      </c>
      <c r="F770" t="s">
        <v>2992</v>
      </c>
      <c r="G770" t="s">
        <v>1406</v>
      </c>
      <c r="H770" s="6">
        <v>46022</v>
      </c>
      <c r="I770" t="s">
        <v>29</v>
      </c>
      <c r="J770">
        <v>1</v>
      </c>
      <c r="K770">
        <v>0</v>
      </c>
      <c r="L770">
        <v>0</v>
      </c>
      <c r="M770">
        <v>0</v>
      </c>
      <c r="N770" t="s">
        <v>3915</v>
      </c>
      <c r="O770" t="s">
        <v>3915</v>
      </c>
      <c r="P770" t="s">
        <v>3915</v>
      </c>
      <c r="Q770">
        <v>0</v>
      </c>
      <c r="R770" t="s">
        <v>30</v>
      </c>
      <c r="S770">
        <v>0</v>
      </c>
      <c r="T770">
        <v>0</v>
      </c>
      <c r="U770" t="s">
        <v>3915</v>
      </c>
      <c r="V770" t="s">
        <v>31</v>
      </c>
      <c r="W770">
        <v>0</v>
      </c>
    </row>
    <row r="771" spans="1:23" x14ac:dyDescent="0.25">
      <c r="A771" t="s">
        <v>4306</v>
      </c>
      <c r="B771" t="s">
        <v>3004</v>
      </c>
      <c r="C771" t="s">
        <v>3003</v>
      </c>
      <c r="D771" t="s">
        <v>4479</v>
      </c>
      <c r="E771" t="s">
        <v>4323</v>
      </c>
      <c r="F771" t="s">
        <v>2992</v>
      </c>
      <c r="G771" t="s">
        <v>1406</v>
      </c>
      <c r="H771" s="6">
        <v>46022</v>
      </c>
      <c r="I771" t="s">
        <v>29</v>
      </c>
      <c r="J771">
        <v>1</v>
      </c>
      <c r="K771">
        <v>0</v>
      </c>
      <c r="L771">
        <v>0</v>
      </c>
      <c r="M771">
        <v>0</v>
      </c>
      <c r="N771" t="s">
        <v>3915</v>
      </c>
      <c r="O771" t="s">
        <v>3915</v>
      </c>
      <c r="P771" t="s">
        <v>3915</v>
      </c>
      <c r="Q771">
        <v>0</v>
      </c>
      <c r="R771" t="s">
        <v>30</v>
      </c>
      <c r="S771">
        <v>0</v>
      </c>
      <c r="T771">
        <v>0</v>
      </c>
      <c r="U771" t="s">
        <v>3915</v>
      </c>
      <c r="V771" t="s">
        <v>31</v>
      </c>
      <c r="W771">
        <v>0</v>
      </c>
    </row>
    <row r="772" spans="1:23" x14ac:dyDescent="0.25">
      <c r="A772" t="s">
        <v>5015</v>
      </c>
      <c r="B772" t="s">
        <v>1080</v>
      </c>
      <c r="C772" t="s">
        <v>1081</v>
      </c>
      <c r="D772" t="s">
        <v>4479</v>
      </c>
      <c r="E772" t="s">
        <v>4203</v>
      </c>
      <c r="F772" t="s">
        <v>1069</v>
      </c>
      <c r="G772" t="s">
        <v>1406</v>
      </c>
      <c r="H772" s="6">
        <v>46022</v>
      </c>
      <c r="I772" t="s">
        <v>29</v>
      </c>
      <c r="J772">
        <v>0</v>
      </c>
      <c r="K772">
        <v>0</v>
      </c>
      <c r="L772">
        <v>0</v>
      </c>
      <c r="M772">
        <v>0</v>
      </c>
      <c r="N772" t="s">
        <v>3915</v>
      </c>
      <c r="O772" t="s">
        <v>3915</v>
      </c>
      <c r="P772" t="s">
        <v>3915</v>
      </c>
      <c r="Q772">
        <v>0</v>
      </c>
      <c r="R772" t="s">
        <v>30</v>
      </c>
      <c r="S772">
        <v>0</v>
      </c>
      <c r="T772">
        <v>0</v>
      </c>
      <c r="U772" t="s">
        <v>3915</v>
      </c>
      <c r="V772" t="s">
        <v>31</v>
      </c>
      <c r="W772">
        <v>0</v>
      </c>
    </row>
    <row r="773" spans="1:23" x14ac:dyDescent="0.25">
      <c r="A773" t="s">
        <v>10281</v>
      </c>
      <c r="B773" t="s">
        <v>1090</v>
      </c>
      <c r="C773" t="s">
        <v>1091</v>
      </c>
      <c r="D773" t="s">
        <v>4479</v>
      </c>
      <c r="E773" t="s">
        <v>4203</v>
      </c>
      <c r="F773" t="s">
        <v>1069</v>
      </c>
      <c r="G773" t="s">
        <v>1406</v>
      </c>
      <c r="H773" s="6">
        <v>46022</v>
      </c>
      <c r="I773" t="s">
        <v>29</v>
      </c>
      <c r="J773">
        <v>0</v>
      </c>
      <c r="K773">
        <v>0</v>
      </c>
      <c r="L773">
        <v>0</v>
      </c>
      <c r="M773">
        <v>0</v>
      </c>
      <c r="N773" t="s">
        <v>3915</v>
      </c>
      <c r="O773" t="s">
        <v>3915</v>
      </c>
      <c r="P773" t="s">
        <v>3915</v>
      </c>
      <c r="Q773">
        <v>0</v>
      </c>
      <c r="R773" t="s">
        <v>30</v>
      </c>
      <c r="S773">
        <v>0</v>
      </c>
      <c r="T773">
        <v>0</v>
      </c>
      <c r="U773" t="s">
        <v>3915</v>
      </c>
      <c r="V773" t="s">
        <v>31</v>
      </c>
      <c r="W773">
        <v>0</v>
      </c>
    </row>
    <row r="774" spans="1:23" x14ac:dyDescent="0.25">
      <c r="A774" t="s">
        <v>10282</v>
      </c>
      <c r="B774" t="s">
        <v>1092</v>
      </c>
      <c r="C774" t="s">
        <v>1093</v>
      </c>
      <c r="D774" t="s">
        <v>4479</v>
      </c>
      <c r="E774" t="s">
        <v>4203</v>
      </c>
      <c r="F774" t="s">
        <v>1069</v>
      </c>
      <c r="G774" t="s">
        <v>1406</v>
      </c>
      <c r="H774" s="6">
        <v>46022</v>
      </c>
      <c r="I774" t="s">
        <v>29</v>
      </c>
      <c r="J774">
        <v>0</v>
      </c>
      <c r="K774">
        <v>0</v>
      </c>
      <c r="L774">
        <v>0</v>
      </c>
      <c r="M774">
        <v>0</v>
      </c>
      <c r="N774" t="s">
        <v>3915</v>
      </c>
      <c r="O774" t="s">
        <v>3915</v>
      </c>
      <c r="P774" t="s">
        <v>3915</v>
      </c>
      <c r="Q774">
        <v>0</v>
      </c>
      <c r="R774" t="s">
        <v>30</v>
      </c>
      <c r="S774">
        <v>0</v>
      </c>
      <c r="T774">
        <v>0</v>
      </c>
      <c r="U774" t="s">
        <v>3915</v>
      </c>
      <c r="V774" t="s">
        <v>31</v>
      </c>
      <c r="W774">
        <v>0</v>
      </c>
    </row>
    <row r="775" spans="1:23" x14ac:dyDescent="0.25">
      <c r="A775" t="s">
        <v>10345</v>
      </c>
      <c r="B775" t="s">
        <v>1094</v>
      </c>
      <c r="C775" t="s">
        <v>1095</v>
      </c>
      <c r="D775" t="s">
        <v>4479</v>
      </c>
      <c r="E775" t="s">
        <v>4203</v>
      </c>
      <c r="F775" t="s">
        <v>1069</v>
      </c>
      <c r="G775" t="s">
        <v>1406</v>
      </c>
      <c r="H775" s="6">
        <v>46022</v>
      </c>
      <c r="I775" t="s">
        <v>29</v>
      </c>
      <c r="J775">
        <v>0</v>
      </c>
      <c r="K775">
        <v>0</v>
      </c>
      <c r="L775">
        <v>0</v>
      </c>
      <c r="M775">
        <v>0</v>
      </c>
      <c r="N775" t="s">
        <v>3915</v>
      </c>
      <c r="O775" t="s">
        <v>3915</v>
      </c>
      <c r="P775" t="s">
        <v>3915</v>
      </c>
      <c r="Q775">
        <v>0</v>
      </c>
      <c r="R775" t="s">
        <v>30</v>
      </c>
      <c r="S775">
        <v>0</v>
      </c>
      <c r="T775">
        <v>0</v>
      </c>
      <c r="U775" t="s">
        <v>3915</v>
      </c>
      <c r="V775" t="s">
        <v>31</v>
      </c>
      <c r="W775">
        <v>0</v>
      </c>
    </row>
    <row r="776" spans="1:23" x14ac:dyDescent="0.25">
      <c r="A776" t="s">
        <v>4100</v>
      </c>
      <c r="B776" t="s">
        <v>1106</v>
      </c>
      <c r="C776" t="s">
        <v>1107</v>
      </c>
      <c r="D776" t="s">
        <v>4479</v>
      </c>
      <c r="E776" t="s">
        <v>4203</v>
      </c>
      <c r="F776" t="s">
        <v>1069</v>
      </c>
      <c r="G776" t="s">
        <v>1406</v>
      </c>
      <c r="H776" s="6">
        <v>46022</v>
      </c>
      <c r="I776" t="s">
        <v>29</v>
      </c>
      <c r="J776">
        <v>0</v>
      </c>
      <c r="K776">
        <v>0</v>
      </c>
      <c r="L776">
        <v>0</v>
      </c>
      <c r="M776">
        <v>0</v>
      </c>
      <c r="N776" t="s">
        <v>3915</v>
      </c>
      <c r="O776" t="s">
        <v>3915</v>
      </c>
      <c r="P776" t="s">
        <v>3915</v>
      </c>
      <c r="Q776">
        <v>0</v>
      </c>
      <c r="R776" t="s">
        <v>30</v>
      </c>
      <c r="S776">
        <v>0</v>
      </c>
      <c r="T776">
        <v>0</v>
      </c>
      <c r="U776" t="s">
        <v>3915</v>
      </c>
      <c r="V776" t="s">
        <v>31</v>
      </c>
      <c r="W776">
        <v>0</v>
      </c>
    </row>
    <row r="777" spans="1:23" x14ac:dyDescent="0.25">
      <c r="A777" t="s">
        <v>5016</v>
      </c>
      <c r="B777" t="s">
        <v>1108</v>
      </c>
      <c r="C777" t="s">
        <v>1109</v>
      </c>
      <c r="D777" t="s">
        <v>4479</v>
      </c>
      <c r="E777" t="s">
        <v>4203</v>
      </c>
      <c r="F777" t="s">
        <v>1069</v>
      </c>
      <c r="G777" t="s">
        <v>1406</v>
      </c>
      <c r="H777" s="6">
        <v>46022</v>
      </c>
      <c r="I777" t="s">
        <v>29</v>
      </c>
      <c r="J777">
        <v>0</v>
      </c>
      <c r="K777">
        <v>0</v>
      </c>
      <c r="L777">
        <v>0</v>
      </c>
      <c r="M777">
        <v>0</v>
      </c>
      <c r="N777" t="s">
        <v>3915</v>
      </c>
      <c r="O777" t="s">
        <v>3915</v>
      </c>
      <c r="P777" t="s">
        <v>3915</v>
      </c>
      <c r="Q777">
        <v>0</v>
      </c>
      <c r="R777" t="s">
        <v>30</v>
      </c>
      <c r="S777">
        <v>0</v>
      </c>
      <c r="T777">
        <v>0</v>
      </c>
      <c r="U777" t="s">
        <v>3915</v>
      </c>
      <c r="V777" t="s">
        <v>31</v>
      </c>
      <c r="W777">
        <v>0</v>
      </c>
    </row>
    <row r="778" spans="1:23" x14ac:dyDescent="0.25">
      <c r="A778" t="s">
        <v>5017</v>
      </c>
      <c r="B778" t="s">
        <v>1110</v>
      </c>
      <c r="C778" t="s">
        <v>1111</v>
      </c>
      <c r="D778" t="s">
        <v>4479</v>
      </c>
      <c r="E778" t="s">
        <v>4203</v>
      </c>
      <c r="F778" t="s">
        <v>1069</v>
      </c>
      <c r="G778" t="s">
        <v>1406</v>
      </c>
      <c r="H778" s="6">
        <v>46022</v>
      </c>
      <c r="I778" t="s">
        <v>29</v>
      </c>
      <c r="J778">
        <v>0</v>
      </c>
      <c r="K778">
        <v>0</v>
      </c>
      <c r="L778">
        <v>0</v>
      </c>
      <c r="M778">
        <v>0</v>
      </c>
      <c r="N778" t="s">
        <v>3915</v>
      </c>
      <c r="O778" t="s">
        <v>3915</v>
      </c>
      <c r="P778" t="s">
        <v>3915</v>
      </c>
      <c r="Q778">
        <v>0</v>
      </c>
      <c r="R778" t="s">
        <v>30</v>
      </c>
      <c r="S778">
        <v>0</v>
      </c>
      <c r="T778">
        <v>0</v>
      </c>
      <c r="U778" t="s">
        <v>3915</v>
      </c>
      <c r="V778" t="s">
        <v>31</v>
      </c>
      <c r="W778">
        <v>0</v>
      </c>
    </row>
    <row r="779" spans="1:23" x14ac:dyDescent="0.25">
      <c r="A779" t="s">
        <v>5018</v>
      </c>
      <c r="B779" t="s">
        <v>3350</v>
      </c>
      <c r="C779" t="s">
        <v>3349</v>
      </c>
      <c r="D779" t="s">
        <v>4479</v>
      </c>
      <c r="E779" t="s">
        <v>4203</v>
      </c>
      <c r="F779" t="s">
        <v>1069</v>
      </c>
      <c r="G779" t="s">
        <v>1406</v>
      </c>
      <c r="H779" s="6">
        <v>46022</v>
      </c>
      <c r="I779" t="s">
        <v>29</v>
      </c>
      <c r="J779">
        <v>60</v>
      </c>
      <c r="K779">
        <v>0</v>
      </c>
      <c r="L779">
        <v>0</v>
      </c>
      <c r="M779">
        <v>0</v>
      </c>
      <c r="N779" t="s">
        <v>3915</v>
      </c>
      <c r="O779" t="s">
        <v>3915</v>
      </c>
      <c r="P779" t="s">
        <v>3915</v>
      </c>
      <c r="Q779">
        <v>0</v>
      </c>
      <c r="R779" t="s">
        <v>30</v>
      </c>
      <c r="S779">
        <v>0</v>
      </c>
      <c r="T779">
        <v>0</v>
      </c>
      <c r="U779" t="s">
        <v>3915</v>
      </c>
      <c r="V779" t="s">
        <v>31</v>
      </c>
      <c r="W779">
        <v>0</v>
      </c>
    </row>
    <row r="780" spans="1:23" x14ac:dyDescent="0.25">
      <c r="A780" t="s">
        <v>5019</v>
      </c>
      <c r="B780" t="s">
        <v>3352</v>
      </c>
      <c r="C780" t="s">
        <v>3351</v>
      </c>
      <c r="D780" t="s">
        <v>4479</v>
      </c>
      <c r="E780" t="s">
        <v>4203</v>
      </c>
      <c r="F780" t="s">
        <v>1069</v>
      </c>
      <c r="G780" t="s">
        <v>1406</v>
      </c>
      <c r="H780" s="6">
        <v>46022</v>
      </c>
      <c r="I780" t="s">
        <v>29</v>
      </c>
      <c r="J780">
        <v>130</v>
      </c>
      <c r="K780">
        <v>0</v>
      </c>
      <c r="L780">
        <v>0</v>
      </c>
      <c r="M780">
        <v>0</v>
      </c>
      <c r="N780" t="s">
        <v>3915</v>
      </c>
      <c r="O780" t="s">
        <v>3915</v>
      </c>
      <c r="P780" t="s">
        <v>3915</v>
      </c>
      <c r="Q780">
        <v>0</v>
      </c>
      <c r="R780" t="s">
        <v>30</v>
      </c>
      <c r="S780">
        <v>0</v>
      </c>
      <c r="T780">
        <v>0</v>
      </c>
      <c r="U780" t="s">
        <v>3915</v>
      </c>
      <c r="V780" t="s">
        <v>31</v>
      </c>
      <c r="W780">
        <v>0</v>
      </c>
    </row>
    <row r="781" spans="1:23" x14ac:dyDescent="0.25">
      <c r="A781" t="s">
        <v>5020</v>
      </c>
      <c r="B781" t="s">
        <v>3354</v>
      </c>
      <c r="C781" t="s">
        <v>3353</v>
      </c>
      <c r="D781" t="s">
        <v>4479</v>
      </c>
      <c r="E781" t="s">
        <v>4203</v>
      </c>
      <c r="F781" t="s">
        <v>1069</v>
      </c>
      <c r="G781" t="s">
        <v>1406</v>
      </c>
      <c r="H781" s="6">
        <v>46022</v>
      </c>
      <c r="I781" t="s">
        <v>29</v>
      </c>
      <c r="J781">
        <v>136</v>
      </c>
      <c r="K781">
        <v>0</v>
      </c>
      <c r="L781">
        <v>0</v>
      </c>
      <c r="M781">
        <v>0</v>
      </c>
      <c r="N781" t="s">
        <v>3915</v>
      </c>
      <c r="O781" t="s">
        <v>3915</v>
      </c>
      <c r="P781" t="s">
        <v>3915</v>
      </c>
      <c r="Q781">
        <v>0</v>
      </c>
      <c r="R781" t="s">
        <v>30</v>
      </c>
      <c r="S781">
        <v>0</v>
      </c>
      <c r="T781">
        <v>0</v>
      </c>
      <c r="U781" t="s">
        <v>3915</v>
      </c>
      <c r="V781" t="s">
        <v>31</v>
      </c>
      <c r="W781">
        <v>0</v>
      </c>
    </row>
    <row r="782" spans="1:23" x14ac:dyDescent="0.25">
      <c r="A782" t="s">
        <v>4252</v>
      </c>
      <c r="B782" t="s">
        <v>3356</v>
      </c>
      <c r="C782" t="s">
        <v>3355</v>
      </c>
      <c r="D782" t="s">
        <v>4479</v>
      </c>
      <c r="E782" t="s">
        <v>4203</v>
      </c>
      <c r="F782" t="s">
        <v>1069</v>
      </c>
      <c r="G782" t="s">
        <v>1406</v>
      </c>
      <c r="H782" s="6">
        <v>46022</v>
      </c>
      <c r="I782" t="s">
        <v>29</v>
      </c>
      <c r="J782">
        <v>69</v>
      </c>
      <c r="K782">
        <v>0</v>
      </c>
      <c r="L782">
        <v>0</v>
      </c>
      <c r="M782">
        <v>0</v>
      </c>
      <c r="N782" t="s">
        <v>3915</v>
      </c>
      <c r="O782" t="s">
        <v>3915</v>
      </c>
      <c r="P782" t="s">
        <v>3915</v>
      </c>
      <c r="Q782">
        <v>0</v>
      </c>
      <c r="R782" t="s">
        <v>30</v>
      </c>
      <c r="S782">
        <v>0</v>
      </c>
      <c r="T782">
        <v>0</v>
      </c>
      <c r="U782" t="s">
        <v>3915</v>
      </c>
      <c r="V782" t="s">
        <v>31</v>
      </c>
      <c r="W782">
        <v>0</v>
      </c>
    </row>
    <row r="783" spans="1:23" x14ac:dyDescent="0.25">
      <c r="A783" t="s">
        <v>5021</v>
      </c>
      <c r="B783" t="s">
        <v>3358</v>
      </c>
      <c r="C783" t="s">
        <v>3357</v>
      </c>
      <c r="D783" t="s">
        <v>4479</v>
      </c>
      <c r="E783" t="s">
        <v>4203</v>
      </c>
      <c r="F783" t="s">
        <v>1069</v>
      </c>
      <c r="G783" t="s">
        <v>1406</v>
      </c>
      <c r="H783" s="6">
        <v>46022</v>
      </c>
      <c r="I783" t="s">
        <v>29</v>
      </c>
      <c r="J783">
        <v>67</v>
      </c>
      <c r="K783">
        <v>0</v>
      </c>
      <c r="L783">
        <v>0</v>
      </c>
      <c r="M783">
        <v>0</v>
      </c>
      <c r="N783" t="s">
        <v>3915</v>
      </c>
      <c r="O783" t="s">
        <v>3915</v>
      </c>
      <c r="P783" t="s">
        <v>3915</v>
      </c>
      <c r="Q783">
        <v>0</v>
      </c>
      <c r="R783" t="s">
        <v>30</v>
      </c>
      <c r="S783">
        <v>0</v>
      </c>
      <c r="T783">
        <v>0</v>
      </c>
      <c r="U783" t="s">
        <v>3915</v>
      </c>
      <c r="V783" t="s">
        <v>31</v>
      </c>
      <c r="W783">
        <v>0</v>
      </c>
    </row>
    <row r="784" spans="1:23" x14ac:dyDescent="0.25">
      <c r="A784" t="s">
        <v>10283</v>
      </c>
      <c r="B784" t="s">
        <v>2271</v>
      </c>
      <c r="C784" t="s">
        <v>2270</v>
      </c>
      <c r="D784" t="s">
        <v>4479</v>
      </c>
      <c r="E784" t="s">
        <v>4203</v>
      </c>
      <c r="F784" t="s">
        <v>1069</v>
      </c>
      <c r="G784" t="s">
        <v>1406</v>
      </c>
      <c r="H784" s="6">
        <v>46022</v>
      </c>
      <c r="I784" t="s">
        <v>29</v>
      </c>
      <c r="J784">
        <v>0</v>
      </c>
      <c r="K784">
        <v>0</v>
      </c>
      <c r="L784">
        <v>0</v>
      </c>
      <c r="M784">
        <v>0</v>
      </c>
      <c r="N784" t="s">
        <v>3915</v>
      </c>
      <c r="O784" t="s">
        <v>3915</v>
      </c>
      <c r="P784" t="s">
        <v>3915</v>
      </c>
      <c r="Q784">
        <v>0</v>
      </c>
      <c r="R784" t="s">
        <v>30</v>
      </c>
      <c r="S784">
        <v>0</v>
      </c>
      <c r="T784">
        <v>0</v>
      </c>
      <c r="U784" t="s">
        <v>3915</v>
      </c>
      <c r="V784" t="s">
        <v>31</v>
      </c>
      <c r="W784">
        <v>0</v>
      </c>
    </row>
    <row r="785" spans="1:23" x14ac:dyDescent="0.25">
      <c r="A785" t="s">
        <v>4468</v>
      </c>
      <c r="B785" t="s">
        <v>1146</v>
      </c>
      <c r="C785" t="s">
        <v>1147</v>
      </c>
      <c r="D785" t="s">
        <v>4479</v>
      </c>
      <c r="E785" t="s">
        <v>4203</v>
      </c>
      <c r="F785" t="s">
        <v>1069</v>
      </c>
      <c r="G785" t="s">
        <v>1406</v>
      </c>
      <c r="H785" s="6">
        <v>46022</v>
      </c>
      <c r="I785" t="s">
        <v>29</v>
      </c>
      <c r="J785">
        <v>0</v>
      </c>
      <c r="K785">
        <v>0</v>
      </c>
      <c r="L785">
        <v>0</v>
      </c>
      <c r="M785">
        <v>0</v>
      </c>
      <c r="N785" t="s">
        <v>3915</v>
      </c>
      <c r="O785" t="s">
        <v>3915</v>
      </c>
      <c r="P785" t="s">
        <v>3915</v>
      </c>
      <c r="Q785">
        <v>0</v>
      </c>
      <c r="R785" t="s">
        <v>30</v>
      </c>
      <c r="S785">
        <v>0</v>
      </c>
      <c r="T785">
        <v>0</v>
      </c>
      <c r="U785" t="s">
        <v>3915</v>
      </c>
      <c r="V785" t="s">
        <v>31</v>
      </c>
      <c r="W785">
        <v>0</v>
      </c>
    </row>
    <row r="786" spans="1:23" x14ac:dyDescent="0.25">
      <c r="A786" t="s">
        <v>5022</v>
      </c>
      <c r="B786" t="s">
        <v>3360</v>
      </c>
      <c r="C786" t="s">
        <v>3359</v>
      </c>
      <c r="D786" t="s">
        <v>4479</v>
      </c>
      <c r="E786" t="s">
        <v>4203</v>
      </c>
      <c r="F786" t="s">
        <v>1069</v>
      </c>
      <c r="G786" t="s">
        <v>1406</v>
      </c>
      <c r="H786" s="6">
        <v>46022</v>
      </c>
      <c r="I786" t="s">
        <v>29</v>
      </c>
      <c r="J786">
        <v>1455</v>
      </c>
      <c r="K786">
        <v>0</v>
      </c>
      <c r="L786">
        <v>0</v>
      </c>
      <c r="M786">
        <v>0</v>
      </c>
      <c r="N786" t="s">
        <v>3915</v>
      </c>
      <c r="O786" t="s">
        <v>3915</v>
      </c>
      <c r="P786" t="s">
        <v>3915</v>
      </c>
      <c r="Q786">
        <v>0</v>
      </c>
      <c r="R786" t="s">
        <v>30</v>
      </c>
      <c r="S786">
        <v>0</v>
      </c>
      <c r="T786">
        <v>0</v>
      </c>
      <c r="U786" t="s">
        <v>3915</v>
      </c>
      <c r="V786" t="s">
        <v>31</v>
      </c>
      <c r="W786">
        <v>0</v>
      </c>
    </row>
    <row r="787" spans="1:23" x14ac:dyDescent="0.25">
      <c r="A787" t="s">
        <v>5023</v>
      </c>
      <c r="B787" t="s">
        <v>3362</v>
      </c>
      <c r="C787" t="s">
        <v>3361</v>
      </c>
      <c r="D787" t="s">
        <v>4479</v>
      </c>
      <c r="E787" t="s">
        <v>4203</v>
      </c>
      <c r="F787" t="s">
        <v>1069</v>
      </c>
      <c r="G787" t="s">
        <v>1406</v>
      </c>
      <c r="H787" s="6">
        <v>46022</v>
      </c>
      <c r="I787" t="s">
        <v>29</v>
      </c>
      <c r="J787">
        <v>4200</v>
      </c>
      <c r="K787">
        <v>0</v>
      </c>
      <c r="L787">
        <v>0</v>
      </c>
      <c r="M787">
        <v>0</v>
      </c>
      <c r="N787" t="s">
        <v>3915</v>
      </c>
      <c r="O787" t="s">
        <v>3915</v>
      </c>
      <c r="P787" t="s">
        <v>3915</v>
      </c>
      <c r="Q787">
        <v>0</v>
      </c>
      <c r="R787" t="s">
        <v>30</v>
      </c>
      <c r="S787">
        <v>0</v>
      </c>
      <c r="T787">
        <v>0</v>
      </c>
      <c r="U787" t="s">
        <v>3915</v>
      </c>
      <c r="V787" t="s">
        <v>31</v>
      </c>
      <c r="W787">
        <v>0</v>
      </c>
    </row>
    <row r="788" spans="1:23" x14ac:dyDescent="0.25">
      <c r="A788" t="s">
        <v>4215</v>
      </c>
      <c r="B788" t="s">
        <v>3364</v>
      </c>
      <c r="C788" t="s">
        <v>3363</v>
      </c>
      <c r="D788" t="s">
        <v>4479</v>
      </c>
      <c r="E788" t="s">
        <v>4203</v>
      </c>
      <c r="F788" t="s">
        <v>1069</v>
      </c>
      <c r="G788" t="s">
        <v>1406</v>
      </c>
      <c r="H788" s="6">
        <v>46022</v>
      </c>
      <c r="I788" t="s">
        <v>29</v>
      </c>
      <c r="J788">
        <v>2</v>
      </c>
      <c r="K788">
        <v>0</v>
      </c>
      <c r="L788">
        <v>0</v>
      </c>
      <c r="M788">
        <v>0</v>
      </c>
      <c r="N788" t="s">
        <v>3915</v>
      </c>
      <c r="O788" t="s">
        <v>3915</v>
      </c>
      <c r="P788" t="s">
        <v>3915</v>
      </c>
      <c r="Q788">
        <v>0</v>
      </c>
      <c r="R788" t="s">
        <v>30</v>
      </c>
      <c r="S788">
        <v>0</v>
      </c>
      <c r="T788">
        <v>0</v>
      </c>
      <c r="U788" t="s">
        <v>3915</v>
      </c>
      <c r="V788" t="s">
        <v>31</v>
      </c>
      <c r="W788">
        <v>0</v>
      </c>
    </row>
    <row r="789" spans="1:23" x14ac:dyDescent="0.25">
      <c r="A789" t="s">
        <v>5024</v>
      </c>
      <c r="B789" t="s">
        <v>3366</v>
      </c>
      <c r="C789" t="s">
        <v>3365</v>
      </c>
      <c r="D789" t="s">
        <v>4479</v>
      </c>
      <c r="E789" t="s">
        <v>4203</v>
      </c>
      <c r="F789" t="s">
        <v>1069</v>
      </c>
      <c r="G789" t="s">
        <v>1406</v>
      </c>
      <c r="H789" s="6">
        <v>46022</v>
      </c>
      <c r="I789" t="s">
        <v>29</v>
      </c>
      <c r="J789">
        <v>2876</v>
      </c>
      <c r="K789">
        <v>0</v>
      </c>
      <c r="L789">
        <v>0</v>
      </c>
      <c r="M789">
        <v>0</v>
      </c>
      <c r="N789" t="s">
        <v>3915</v>
      </c>
      <c r="O789" t="s">
        <v>3915</v>
      </c>
      <c r="P789" t="s">
        <v>3915</v>
      </c>
      <c r="Q789">
        <v>0</v>
      </c>
      <c r="R789" t="s">
        <v>30</v>
      </c>
      <c r="S789">
        <v>0</v>
      </c>
      <c r="T789">
        <v>0</v>
      </c>
      <c r="U789" t="s">
        <v>3915</v>
      </c>
      <c r="V789" t="s">
        <v>31</v>
      </c>
      <c r="W789">
        <v>0</v>
      </c>
    </row>
    <row r="790" spans="1:23" x14ac:dyDescent="0.25">
      <c r="A790" t="s">
        <v>5025</v>
      </c>
      <c r="B790" t="s">
        <v>3368</v>
      </c>
      <c r="C790" t="s">
        <v>3367</v>
      </c>
      <c r="D790" t="s">
        <v>4479</v>
      </c>
      <c r="E790" t="s">
        <v>4203</v>
      </c>
      <c r="F790" t="s">
        <v>1069</v>
      </c>
      <c r="G790" t="s">
        <v>1406</v>
      </c>
      <c r="H790" s="6">
        <v>46022</v>
      </c>
      <c r="I790" t="s">
        <v>29</v>
      </c>
      <c r="J790">
        <v>65</v>
      </c>
      <c r="K790">
        <v>0</v>
      </c>
      <c r="L790">
        <v>0</v>
      </c>
      <c r="M790">
        <v>0</v>
      </c>
      <c r="N790" t="s">
        <v>3915</v>
      </c>
      <c r="O790" t="s">
        <v>3915</v>
      </c>
      <c r="P790" t="s">
        <v>3915</v>
      </c>
      <c r="Q790">
        <v>0</v>
      </c>
      <c r="R790" t="s">
        <v>30</v>
      </c>
      <c r="S790">
        <v>0</v>
      </c>
      <c r="T790">
        <v>0</v>
      </c>
      <c r="U790" t="s">
        <v>3915</v>
      </c>
      <c r="V790" t="s">
        <v>31</v>
      </c>
      <c r="W790">
        <v>0</v>
      </c>
    </row>
    <row r="791" spans="1:23" x14ac:dyDescent="0.25">
      <c r="A791" t="s">
        <v>4403</v>
      </c>
      <c r="B791" t="s">
        <v>3370</v>
      </c>
      <c r="C791" t="s">
        <v>3369</v>
      </c>
      <c r="D791" t="s">
        <v>4479</v>
      </c>
      <c r="E791" t="s">
        <v>4203</v>
      </c>
      <c r="F791" t="s">
        <v>1069</v>
      </c>
      <c r="G791" t="s">
        <v>1406</v>
      </c>
      <c r="H791" s="6">
        <v>46022</v>
      </c>
      <c r="I791" t="s">
        <v>29</v>
      </c>
      <c r="J791">
        <v>63</v>
      </c>
      <c r="K791">
        <v>0</v>
      </c>
      <c r="L791">
        <v>0</v>
      </c>
      <c r="M791">
        <v>0</v>
      </c>
      <c r="N791" t="s">
        <v>3915</v>
      </c>
      <c r="O791" t="s">
        <v>3915</v>
      </c>
      <c r="P791" t="s">
        <v>3915</v>
      </c>
      <c r="Q791">
        <v>0</v>
      </c>
      <c r="R791" t="s">
        <v>30</v>
      </c>
      <c r="S791">
        <v>0</v>
      </c>
      <c r="T791">
        <v>0</v>
      </c>
      <c r="U791" t="s">
        <v>3915</v>
      </c>
      <c r="V791" t="s">
        <v>31</v>
      </c>
      <c r="W791">
        <v>0</v>
      </c>
    </row>
    <row r="792" spans="1:23" x14ac:dyDescent="0.25">
      <c r="A792" t="s">
        <v>4407</v>
      </c>
      <c r="B792" t="s">
        <v>3372</v>
      </c>
      <c r="C792" t="s">
        <v>3371</v>
      </c>
      <c r="D792" t="s">
        <v>4479</v>
      </c>
      <c r="E792" t="s">
        <v>4203</v>
      </c>
      <c r="F792" t="s">
        <v>1069</v>
      </c>
      <c r="G792" t="s">
        <v>1406</v>
      </c>
      <c r="H792" s="6">
        <v>46022</v>
      </c>
      <c r="I792" t="s">
        <v>29</v>
      </c>
      <c r="J792">
        <v>194</v>
      </c>
      <c r="K792">
        <v>0</v>
      </c>
      <c r="L792">
        <v>0</v>
      </c>
      <c r="M792">
        <v>0</v>
      </c>
      <c r="N792" t="s">
        <v>3915</v>
      </c>
      <c r="O792" t="s">
        <v>3915</v>
      </c>
      <c r="P792" t="s">
        <v>3915</v>
      </c>
      <c r="Q792">
        <v>0</v>
      </c>
      <c r="R792" t="s">
        <v>30</v>
      </c>
      <c r="S792">
        <v>0</v>
      </c>
      <c r="T792">
        <v>0</v>
      </c>
      <c r="U792" t="s">
        <v>3915</v>
      </c>
      <c r="V792" t="s">
        <v>31</v>
      </c>
      <c r="W792">
        <v>0</v>
      </c>
    </row>
    <row r="793" spans="1:23" x14ac:dyDescent="0.25">
      <c r="A793" t="s">
        <v>4410</v>
      </c>
      <c r="B793" t="s">
        <v>3374</v>
      </c>
      <c r="C793" t="s">
        <v>3373</v>
      </c>
      <c r="D793" t="s">
        <v>4479</v>
      </c>
      <c r="E793" t="s">
        <v>4203</v>
      </c>
      <c r="F793" t="s">
        <v>1069</v>
      </c>
      <c r="G793" t="s">
        <v>1406</v>
      </c>
      <c r="H793" s="6">
        <v>46022</v>
      </c>
      <c r="I793" t="s">
        <v>29</v>
      </c>
      <c r="J793">
        <v>68</v>
      </c>
      <c r="K793">
        <v>0</v>
      </c>
      <c r="L793">
        <v>0</v>
      </c>
      <c r="M793">
        <v>0</v>
      </c>
      <c r="N793" t="s">
        <v>3915</v>
      </c>
      <c r="O793" t="s">
        <v>3915</v>
      </c>
      <c r="P793" t="s">
        <v>3915</v>
      </c>
      <c r="Q793">
        <v>0</v>
      </c>
      <c r="R793" t="s">
        <v>30</v>
      </c>
      <c r="S793">
        <v>0</v>
      </c>
      <c r="T793">
        <v>0</v>
      </c>
      <c r="U793" t="s">
        <v>3915</v>
      </c>
      <c r="V793" t="s">
        <v>31</v>
      </c>
      <c r="W793">
        <v>0</v>
      </c>
    </row>
    <row r="794" spans="1:23" x14ac:dyDescent="0.25">
      <c r="A794" t="s">
        <v>5026</v>
      </c>
      <c r="B794" t="s">
        <v>3376</v>
      </c>
      <c r="C794" t="s">
        <v>3375</v>
      </c>
      <c r="D794" t="s">
        <v>4479</v>
      </c>
      <c r="E794" t="s">
        <v>4203</v>
      </c>
      <c r="F794" t="s">
        <v>1069</v>
      </c>
      <c r="G794" t="s">
        <v>1406</v>
      </c>
      <c r="H794" s="6">
        <v>46022</v>
      </c>
      <c r="I794" t="s">
        <v>29</v>
      </c>
      <c r="J794">
        <v>40</v>
      </c>
      <c r="K794">
        <v>0</v>
      </c>
      <c r="L794">
        <v>0</v>
      </c>
      <c r="M794">
        <v>0</v>
      </c>
      <c r="N794" t="s">
        <v>3915</v>
      </c>
      <c r="O794" t="s">
        <v>3915</v>
      </c>
      <c r="P794" t="s">
        <v>3915</v>
      </c>
      <c r="Q794">
        <v>0</v>
      </c>
      <c r="R794" t="s">
        <v>30</v>
      </c>
      <c r="S794">
        <v>0</v>
      </c>
      <c r="T794">
        <v>0</v>
      </c>
      <c r="U794" t="s">
        <v>3915</v>
      </c>
      <c r="V794" t="s">
        <v>31</v>
      </c>
      <c r="W794">
        <v>0</v>
      </c>
    </row>
    <row r="795" spans="1:23" x14ac:dyDescent="0.25">
      <c r="A795" t="s">
        <v>4366</v>
      </c>
      <c r="B795" t="s">
        <v>3378</v>
      </c>
      <c r="C795" t="s">
        <v>3377</v>
      </c>
      <c r="D795" t="s">
        <v>4479</v>
      </c>
      <c r="E795" t="s">
        <v>4203</v>
      </c>
      <c r="F795" t="s">
        <v>1069</v>
      </c>
      <c r="G795" t="s">
        <v>1406</v>
      </c>
      <c r="H795" s="6">
        <v>46022</v>
      </c>
      <c r="I795" t="s">
        <v>29</v>
      </c>
      <c r="J795">
        <v>386</v>
      </c>
      <c r="K795">
        <v>0</v>
      </c>
      <c r="L795">
        <v>0</v>
      </c>
      <c r="M795">
        <v>0</v>
      </c>
      <c r="N795" t="s">
        <v>3915</v>
      </c>
      <c r="O795" t="s">
        <v>3915</v>
      </c>
      <c r="P795" t="s">
        <v>3915</v>
      </c>
      <c r="Q795">
        <v>0</v>
      </c>
      <c r="R795" t="s">
        <v>30</v>
      </c>
      <c r="S795">
        <v>0</v>
      </c>
      <c r="T795">
        <v>0</v>
      </c>
      <c r="U795" t="s">
        <v>3915</v>
      </c>
      <c r="V795" t="s">
        <v>31</v>
      </c>
      <c r="W795">
        <v>0</v>
      </c>
    </row>
    <row r="796" spans="1:23" x14ac:dyDescent="0.25">
      <c r="A796" t="s">
        <v>4438</v>
      </c>
      <c r="B796" t="s">
        <v>3380</v>
      </c>
      <c r="C796" t="s">
        <v>3379</v>
      </c>
      <c r="D796" t="s">
        <v>4479</v>
      </c>
      <c r="E796" t="s">
        <v>4203</v>
      </c>
      <c r="F796" t="s">
        <v>1069</v>
      </c>
      <c r="G796" t="s">
        <v>1406</v>
      </c>
      <c r="H796" s="6">
        <v>46022</v>
      </c>
      <c r="I796" t="s">
        <v>29</v>
      </c>
      <c r="J796">
        <v>182</v>
      </c>
      <c r="K796">
        <v>0</v>
      </c>
      <c r="L796">
        <v>0</v>
      </c>
      <c r="M796">
        <v>0</v>
      </c>
      <c r="N796" t="s">
        <v>3915</v>
      </c>
      <c r="O796" t="s">
        <v>3915</v>
      </c>
      <c r="P796" t="s">
        <v>3915</v>
      </c>
      <c r="Q796">
        <v>0</v>
      </c>
      <c r="R796" t="s">
        <v>30</v>
      </c>
      <c r="S796">
        <v>0</v>
      </c>
      <c r="T796">
        <v>0</v>
      </c>
      <c r="U796" t="s">
        <v>3915</v>
      </c>
      <c r="V796" t="s">
        <v>31</v>
      </c>
      <c r="W796">
        <v>0</v>
      </c>
    </row>
    <row r="797" spans="1:23" x14ac:dyDescent="0.25">
      <c r="A797" t="s">
        <v>4445</v>
      </c>
      <c r="B797" t="s">
        <v>3382</v>
      </c>
      <c r="C797" t="s">
        <v>3381</v>
      </c>
      <c r="D797" t="s">
        <v>4479</v>
      </c>
      <c r="E797" t="s">
        <v>4203</v>
      </c>
      <c r="F797" t="s">
        <v>1069</v>
      </c>
      <c r="G797" t="s">
        <v>1406</v>
      </c>
      <c r="H797" s="6">
        <v>46022</v>
      </c>
      <c r="I797" t="s">
        <v>29</v>
      </c>
      <c r="J797">
        <v>14</v>
      </c>
      <c r="K797">
        <v>0</v>
      </c>
      <c r="L797">
        <v>0</v>
      </c>
      <c r="M797">
        <v>0</v>
      </c>
      <c r="N797" t="s">
        <v>3915</v>
      </c>
      <c r="O797" t="s">
        <v>3915</v>
      </c>
      <c r="P797" t="s">
        <v>3915</v>
      </c>
      <c r="Q797">
        <v>0</v>
      </c>
      <c r="R797" t="s">
        <v>30</v>
      </c>
      <c r="S797">
        <v>0</v>
      </c>
      <c r="T797">
        <v>0</v>
      </c>
      <c r="U797" t="s">
        <v>3915</v>
      </c>
      <c r="V797" t="s">
        <v>31</v>
      </c>
      <c r="W797">
        <v>0</v>
      </c>
    </row>
    <row r="798" spans="1:23" x14ac:dyDescent="0.25">
      <c r="A798" t="s">
        <v>4446</v>
      </c>
      <c r="B798" t="s">
        <v>3384</v>
      </c>
      <c r="C798" t="s">
        <v>3383</v>
      </c>
      <c r="D798" t="s">
        <v>4479</v>
      </c>
      <c r="E798" t="s">
        <v>4203</v>
      </c>
      <c r="F798" t="s">
        <v>1069</v>
      </c>
      <c r="G798" t="s">
        <v>1406</v>
      </c>
      <c r="H798" s="6">
        <v>46022</v>
      </c>
      <c r="I798" t="s">
        <v>29</v>
      </c>
      <c r="J798">
        <v>192</v>
      </c>
      <c r="K798">
        <v>0</v>
      </c>
      <c r="L798">
        <v>0</v>
      </c>
      <c r="M798">
        <v>0</v>
      </c>
      <c r="N798" t="s">
        <v>3915</v>
      </c>
      <c r="O798" t="s">
        <v>3915</v>
      </c>
      <c r="P798" t="s">
        <v>3915</v>
      </c>
      <c r="Q798">
        <v>0</v>
      </c>
      <c r="R798" t="s">
        <v>30</v>
      </c>
      <c r="S798">
        <v>0</v>
      </c>
      <c r="T798">
        <v>0</v>
      </c>
      <c r="U798" t="s">
        <v>3915</v>
      </c>
      <c r="V798" t="s">
        <v>31</v>
      </c>
      <c r="W798">
        <v>0</v>
      </c>
    </row>
    <row r="799" spans="1:23" x14ac:dyDescent="0.25">
      <c r="A799" t="s">
        <v>4464</v>
      </c>
      <c r="B799" t="s">
        <v>3386</v>
      </c>
      <c r="C799" t="s">
        <v>3385</v>
      </c>
      <c r="D799" t="s">
        <v>4479</v>
      </c>
      <c r="E799" t="s">
        <v>4203</v>
      </c>
      <c r="F799" t="s">
        <v>1069</v>
      </c>
      <c r="G799" t="s">
        <v>1406</v>
      </c>
      <c r="H799" s="6">
        <v>46022</v>
      </c>
      <c r="I799" t="s">
        <v>29</v>
      </c>
      <c r="J799">
        <v>14</v>
      </c>
      <c r="K799">
        <v>0</v>
      </c>
      <c r="L799">
        <v>0</v>
      </c>
      <c r="M799">
        <v>0</v>
      </c>
      <c r="N799" t="s">
        <v>3915</v>
      </c>
      <c r="O799" t="s">
        <v>3915</v>
      </c>
      <c r="P799" t="s">
        <v>3915</v>
      </c>
      <c r="Q799">
        <v>0</v>
      </c>
      <c r="R799" t="s">
        <v>30</v>
      </c>
      <c r="S799">
        <v>0</v>
      </c>
      <c r="T799">
        <v>0</v>
      </c>
      <c r="U799" t="s">
        <v>3915</v>
      </c>
      <c r="V799" t="s">
        <v>31</v>
      </c>
      <c r="W799">
        <v>0</v>
      </c>
    </row>
    <row r="800" spans="1:23" x14ac:dyDescent="0.25">
      <c r="A800" t="s">
        <v>4465</v>
      </c>
      <c r="B800" t="s">
        <v>3388</v>
      </c>
      <c r="C800" t="s">
        <v>3387</v>
      </c>
      <c r="D800" t="s">
        <v>4479</v>
      </c>
      <c r="E800" t="s">
        <v>4203</v>
      </c>
      <c r="F800" t="s">
        <v>1069</v>
      </c>
      <c r="G800" t="s">
        <v>1406</v>
      </c>
      <c r="H800" s="6">
        <v>46022</v>
      </c>
      <c r="I800" t="s">
        <v>29</v>
      </c>
      <c r="J800">
        <v>1542</v>
      </c>
      <c r="K800">
        <v>0</v>
      </c>
      <c r="L800">
        <v>0</v>
      </c>
      <c r="M800">
        <v>0</v>
      </c>
      <c r="N800" t="s">
        <v>3915</v>
      </c>
      <c r="O800" t="s">
        <v>3915</v>
      </c>
      <c r="P800" t="s">
        <v>3915</v>
      </c>
      <c r="Q800">
        <v>0</v>
      </c>
      <c r="R800" t="s">
        <v>30</v>
      </c>
      <c r="S800">
        <v>0</v>
      </c>
      <c r="T800">
        <v>0</v>
      </c>
      <c r="U800" t="s">
        <v>3915</v>
      </c>
      <c r="V800" t="s">
        <v>31</v>
      </c>
      <c r="W800">
        <v>0</v>
      </c>
    </row>
    <row r="801" spans="1:23" x14ac:dyDescent="0.25">
      <c r="A801" t="s">
        <v>4469</v>
      </c>
      <c r="B801" t="s">
        <v>3390</v>
      </c>
      <c r="C801" t="s">
        <v>3389</v>
      </c>
      <c r="D801" t="s">
        <v>4479</v>
      </c>
      <c r="E801" t="s">
        <v>4203</v>
      </c>
      <c r="F801" t="s">
        <v>1069</v>
      </c>
      <c r="G801" t="s">
        <v>1406</v>
      </c>
      <c r="H801" s="6">
        <v>46022</v>
      </c>
      <c r="I801" t="s">
        <v>29</v>
      </c>
      <c r="J801">
        <v>65</v>
      </c>
      <c r="K801">
        <v>0</v>
      </c>
      <c r="L801">
        <v>0</v>
      </c>
      <c r="M801">
        <v>0</v>
      </c>
      <c r="N801" t="s">
        <v>3915</v>
      </c>
      <c r="O801" t="s">
        <v>3915</v>
      </c>
      <c r="P801" t="s">
        <v>3915</v>
      </c>
      <c r="Q801">
        <v>0</v>
      </c>
      <c r="R801" t="s">
        <v>30</v>
      </c>
      <c r="S801">
        <v>0</v>
      </c>
      <c r="T801">
        <v>0</v>
      </c>
      <c r="U801" t="s">
        <v>3915</v>
      </c>
      <c r="V801" t="s">
        <v>31</v>
      </c>
      <c r="W801">
        <v>0</v>
      </c>
    </row>
    <row r="802" spans="1:23" x14ac:dyDescent="0.25">
      <c r="A802" t="s">
        <v>4404</v>
      </c>
      <c r="B802" t="s">
        <v>3392</v>
      </c>
      <c r="C802" t="s">
        <v>3391</v>
      </c>
      <c r="D802" t="s">
        <v>4479</v>
      </c>
      <c r="E802" t="s">
        <v>4203</v>
      </c>
      <c r="F802" t="s">
        <v>1069</v>
      </c>
      <c r="G802" t="s">
        <v>1406</v>
      </c>
      <c r="H802" s="6">
        <v>46022</v>
      </c>
      <c r="I802" t="s">
        <v>29</v>
      </c>
      <c r="J802">
        <v>1360</v>
      </c>
      <c r="K802">
        <v>0</v>
      </c>
      <c r="L802">
        <v>0</v>
      </c>
      <c r="M802">
        <v>0</v>
      </c>
      <c r="N802" t="s">
        <v>3915</v>
      </c>
      <c r="O802" t="s">
        <v>3915</v>
      </c>
      <c r="P802" t="s">
        <v>3915</v>
      </c>
      <c r="Q802">
        <v>0</v>
      </c>
      <c r="R802" t="s">
        <v>30</v>
      </c>
      <c r="S802">
        <v>0</v>
      </c>
      <c r="T802">
        <v>0</v>
      </c>
      <c r="U802" t="s">
        <v>3915</v>
      </c>
      <c r="V802" t="s">
        <v>31</v>
      </c>
      <c r="W802">
        <v>0</v>
      </c>
    </row>
    <row r="803" spans="1:23" x14ac:dyDescent="0.25">
      <c r="A803" t="s">
        <v>4471</v>
      </c>
      <c r="B803" t="s">
        <v>3394</v>
      </c>
      <c r="C803" t="s">
        <v>3393</v>
      </c>
      <c r="D803" t="s">
        <v>4479</v>
      </c>
      <c r="E803" t="s">
        <v>4203</v>
      </c>
      <c r="F803" t="s">
        <v>1069</v>
      </c>
      <c r="G803" t="s">
        <v>1406</v>
      </c>
      <c r="H803" s="6">
        <v>46022</v>
      </c>
      <c r="I803" t="s">
        <v>29</v>
      </c>
      <c r="J803">
        <v>314</v>
      </c>
      <c r="K803">
        <v>0</v>
      </c>
      <c r="L803">
        <v>0</v>
      </c>
      <c r="M803">
        <v>0</v>
      </c>
      <c r="N803" t="s">
        <v>3915</v>
      </c>
      <c r="O803" t="s">
        <v>3915</v>
      </c>
      <c r="P803" t="s">
        <v>3915</v>
      </c>
      <c r="Q803">
        <v>0</v>
      </c>
      <c r="R803" t="s">
        <v>30</v>
      </c>
      <c r="S803">
        <v>0</v>
      </c>
      <c r="T803">
        <v>0</v>
      </c>
      <c r="U803" t="s">
        <v>3915</v>
      </c>
      <c r="V803" t="s">
        <v>31</v>
      </c>
      <c r="W803">
        <v>0</v>
      </c>
    </row>
    <row r="804" spans="1:23" x14ac:dyDescent="0.25">
      <c r="A804" t="s">
        <v>5027</v>
      </c>
      <c r="B804" t="s">
        <v>3396</v>
      </c>
      <c r="C804" t="s">
        <v>3395</v>
      </c>
      <c r="D804" t="s">
        <v>4479</v>
      </c>
      <c r="E804" t="s">
        <v>4203</v>
      </c>
      <c r="F804" t="s">
        <v>1069</v>
      </c>
      <c r="G804" t="s">
        <v>1406</v>
      </c>
      <c r="H804" s="6">
        <v>46022</v>
      </c>
      <c r="I804" t="s">
        <v>29</v>
      </c>
      <c r="J804">
        <v>37</v>
      </c>
      <c r="K804">
        <v>0</v>
      </c>
      <c r="L804">
        <v>0</v>
      </c>
      <c r="M804">
        <v>0</v>
      </c>
      <c r="N804" t="s">
        <v>3915</v>
      </c>
      <c r="O804" t="s">
        <v>3915</v>
      </c>
      <c r="P804" t="s">
        <v>3915</v>
      </c>
      <c r="Q804">
        <v>0</v>
      </c>
      <c r="R804" t="s">
        <v>30</v>
      </c>
      <c r="S804">
        <v>0</v>
      </c>
      <c r="T804">
        <v>0</v>
      </c>
      <c r="U804" t="s">
        <v>3915</v>
      </c>
      <c r="V804" t="s">
        <v>31</v>
      </c>
      <c r="W804">
        <v>0</v>
      </c>
    </row>
    <row r="805" spans="1:23" x14ac:dyDescent="0.25">
      <c r="A805" t="s">
        <v>5028</v>
      </c>
      <c r="B805" t="s">
        <v>3398</v>
      </c>
      <c r="C805" t="s">
        <v>3397</v>
      </c>
      <c r="D805" t="s">
        <v>4479</v>
      </c>
      <c r="E805" t="s">
        <v>4203</v>
      </c>
      <c r="F805" t="s">
        <v>1069</v>
      </c>
      <c r="G805" t="s">
        <v>1406</v>
      </c>
      <c r="H805" s="6">
        <v>46022</v>
      </c>
      <c r="I805" t="s">
        <v>29</v>
      </c>
      <c r="J805">
        <v>164</v>
      </c>
      <c r="K805">
        <v>0</v>
      </c>
      <c r="L805">
        <v>0</v>
      </c>
      <c r="M805">
        <v>0</v>
      </c>
      <c r="N805" t="s">
        <v>3915</v>
      </c>
      <c r="O805" t="s">
        <v>3915</v>
      </c>
      <c r="P805" t="s">
        <v>3915</v>
      </c>
      <c r="Q805">
        <v>0</v>
      </c>
      <c r="R805" t="s">
        <v>30</v>
      </c>
      <c r="S805">
        <v>0</v>
      </c>
      <c r="T805">
        <v>0</v>
      </c>
      <c r="U805" t="s">
        <v>3915</v>
      </c>
      <c r="V805" t="s">
        <v>31</v>
      </c>
      <c r="W805">
        <v>0</v>
      </c>
    </row>
    <row r="806" spans="1:23" x14ac:dyDescent="0.25">
      <c r="A806" t="s">
        <v>10284</v>
      </c>
      <c r="B806" t="s">
        <v>1234</v>
      </c>
      <c r="C806" t="s">
        <v>1235</v>
      </c>
      <c r="D806" t="s">
        <v>4479</v>
      </c>
      <c r="E806" t="s">
        <v>4203</v>
      </c>
      <c r="F806" t="s">
        <v>1069</v>
      </c>
      <c r="G806" t="s">
        <v>1406</v>
      </c>
      <c r="H806" s="6">
        <v>46022</v>
      </c>
      <c r="I806" t="s">
        <v>29</v>
      </c>
      <c r="J806">
        <v>0</v>
      </c>
      <c r="K806">
        <v>0</v>
      </c>
      <c r="L806">
        <v>0</v>
      </c>
      <c r="M806">
        <v>0</v>
      </c>
      <c r="N806" t="s">
        <v>3915</v>
      </c>
      <c r="O806" t="s">
        <v>3915</v>
      </c>
      <c r="P806" t="s">
        <v>3915</v>
      </c>
      <c r="Q806">
        <v>0</v>
      </c>
      <c r="R806" t="s">
        <v>30</v>
      </c>
      <c r="S806">
        <v>0</v>
      </c>
      <c r="T806">
        <v>0</v>
      </c>
      <c r="U806" t="s">
        <v>3915</v>
      </c>
      <c r="V806" t="s">
        <v>31</v>
      </c>
      <c r="W806">
        <v>0</v>
      </c>
    </row>
    <row r="807" spans="1:23" x14ac:dyDescent="0.25">
      <c r="A807" t="s">
        <v>10285</v>
      </c>
      <c r="B807" t="s">
        <v>1236</v>
      </c>
      <c r="C807" t="s">
        <v>1237</v>
      </c>
      <c r="D807" t="s">
        <v>4479</v>
      </c>
      <c r="E807" t="s">
        <v>4203</v>
      </c>
      <c r="F807" t="s">
        <v>1069</v>
      </c>
      <c r="G807" t="s">
        <v>1406</v>
      </c>
      <c r="H807" s="6">
        <v>46022</v>
      </c>
      <c r="I807" t="s">
        <v>29</v>
      </c>
      <c r="J807">
        <v>0</v>
      </c>
      <c r="K807">
        <v>0</v>
      </c>
      <c r="L807">
        <v>0</v>
      </c>
      <c r="M807">
        <v>0</v>
      </c>
      <c r="N807" t="s">
        <v>3915</v>
      </c>
      <c r="O807" t="s">
        <v>3915</v>
      </c>
      <c r="P807" t="s">
        <v>3915</v>
      </c>
      <c r="Q807">
        <v>0</v>
      </c>
      <c r="R807" t="s">
        <v>30</v>
      </c>
      <c r="S807">
        <v>0</v>
      </c>
      <c r="T807">
        <v>0</v>
      </c>
      <c r="U807" t="s">
        <v>3915</v>
      </c>
      <c r="V807" t="s">
        <v>31</v>
      </c>
      <c r="W807">
        <v>0</v>
      </c>
    </row>
    <row r="808" spans="1:23" x14ac:dyDescent="0.25">
      <c r="A808" t="s">
        <v>10339</v>
      </c>
      <c r="B808" t="s">
        <v>1238</v>
      </c>
      <c r="C808" t="s">
        <v>1239</v>
      </c>
      <c r="D808" t="s">
        <v>4479</v>
      </c>
      <c r="E808" t="s">
        <v>4203</v>
      </c>
      <c r="F808" t="s">
        <v>1069</v>
      </c>
      <c r="G808" t="s">
        <v>1406</v>
      </c>
      <c r="H808" s="6">
        <v>46022</v>
      </c>
      <c r="I808" t="s">
        <v>29</v>
      </c>
      <c r="J808">
        <v>0</v>
      </c>
      <c r="K808">
        <v>0</v>
      </c>
      <c r="L808">
        <v>0</v>
      </c>
      <c r="M808">
        <v>0</v>
      </c>
      <c r="N808" t="s">
        <v>3915</v>
      </c>
      <c r="O808" t="s">
        <v>3915</v>
      </c>
      <c r="P808" t="s">
        <v>3915</v>
      </c>
      <c r="Q808">
        <v>0</v>
      </c>
      <c r="R808" t="s">
        <v>30</v>
      </c>
      <c r="S808">
        <v>0</v>
      </c>
      <c r="T808">
        <v>0</v>
      </c>
      <c r="U808" t="s">
        <v>3915</v>
      </c>
      <c r="V808" t="s">
        <v>31</v>
      </c>
      <c r="W808">
        <v>0</v>
      </c>
    </row>
    <row r="809" spans="1:23" x14ac:dyDescent="0.25">
      <c r="A809" t="s">
        <v>5362</v>
      </c>
      <c r="B809" t="s">
        <v>1240</v>
      </c>
      <c r="C809" t="s">
        <v>1241</v>
      </c>
      <c r="D809" t="s">
        <v>4479</v>
      </c>
      <c r="E809" t="s">
        <v>4203</v>
      </c>
      <c r="F809" t="s">
        <v>1069</v>
      </c>
      <c r="G809" t="s">
        <v>1406</v>
      </c>
      <c r="H809" s="6">
        <v>46022</v>
      </c>
      <c r="I809" t="s">
        <v>29</v>
      </c>
      <c r="J809">
        <v>0</v>
      </c>
      <c r="K809">
        <v>0</v>
      </c>
      <c r="L809">
        <v>0</v>
      </c>
      <c r="M809">
        <v>0</v>
      </c>
      <c r="N809" t="s">
        <v>3915</v>
      </c>
      <c r="O809" t="s">
        <v>3915</v>
      </c>
      <c r="P809" t="s">
        <v>3915</v>
      </c>
      <c r="Q809">
        <v>0</v>
      </c>
      <c r="R809" t="s">
        <v>30</v>
      </c>
      <c r="S809">
        <v>0</v>
      </c>
      <c r="T809">
        <v>0</v>
      </c>
      <c r="U809" t="s">
        <v>3915</v>
      </c>
      <c r="V809" t="s">
        <v>31</v>
      </c>
      <c r="W809">
        <v>0</v>
      </c>
    </row>
    <row r="810" spans="1:23" x14ac:dyDescent="0.25">
      <c r="A810" t="s">
        <v>4360</v>
      </c>
      <c r="B810" t="s">
        <v>1242</v>
      </c>
      <c r="C810" t="s">
        <v>1243</v>
      </c>
      <c r="D810" t="s">
        <v>4479</v>
      </c>
      <c r="E810" t="s">
        <v>4203</v>
      </c>
      <c r="F810" t="s">
        <v>1069</v>
      </c>
      <c r="G810" t="s">
        <v>1406</v>
      </c>
      <c r="H810" s="6">
        <v>46022</v>
      </c>
      <c r="I810" t="s">
        <v>29</v>
      </c>
      <c r="J810">
        <v>0</v>
      </c>
      <c r="K810">
        <v>0</v>
      </c>
      <c r="L810">
        <v>0</v>
      </c>
      <c r="M810">
        <v>0</v>
      </c>
      <c r="N810" t="s">
        <v>3915</v>
      </c>
      <c r="O810" t="s">
        <v>3915</v>
      </c>
      <c r="P810" t="s">
        <v>3915</v>
      </c>
      <c r="Q810">
        <v>0</v>
      </c>
      <c r="R810" t="s">
        <v>30</v>
      </c>
      <c r="S810">
        <v>0</v>
      </c>
      <c r="T810">
        <v>0</v>
      </c>
      <c r="U810" t="s">
        <v>3915</v>
      </c>
      <c r="V810" t="s">
        <v>31</v>
      </c>
      <c r="W810">
        <v>0</v>
      </c>
    </row>
    <row r="811" spans="1:23" x14ac:dyDescent="0.25">
      <c r="A811" t="s">
        <v>10286</v>
      </c>
      <c r="B811" t="s">
        <v>1282</v>
      </c>
      <c r="C811" t="s">
        <v>1283</v>
      </c>
      <c r="D811" t="s">
        <v>4479</v>
      </c>
      <c r="E811" t="s">
        <v>4203</v>
      </c>
      <c r="F811" t="s">
        <v>1069</v>
      </c>
      <c r="G811" t="s">
        <v>1406</v>
      </c>
      <c r="H811" s="6">
        <v>46022</v>
      </c>
      <c r="I811" t="s">
        <v>29</v>
      </c>
      <c r="J811">
        <v>0</v>
      </c>
      <c r="K811">
        <v>0</v>
      </c>
      <c r="L811">
        <v>0</v>
      </c>
      <c r="M811">
        <v>0</v>
      </c>
      <c r="N811" t="s">
        <v>3915</v>
      </c>
      <c r="O811" t="s">
        <v>3915</v>
      </c>
      <c r="P811" t="s">
        <v>3915</v>
      </c>
      <c r="Q811">
        <v>0</v>
      </c>
      <c r="R811" t="s">
        <v>30</v>
      </c>
      <c r="S811">
        <v>0</v>
      </c>
      <c r="T811">
        <v>0</v>
      </c>
      <c r="U811" t="s">
        <v>3915</v>
      </c>
      <c r="V811" t="s">
        <v>31</v>
      </c>
      <c r="W811">
        <v>0</v>
      </c>
    </row>
    <row r="812" spans="1:23" x14ac:dyDescent="0.25">
      <c r="A812" t="s">
        <v>10287</v>
      </c>
      <c r="B812" t="s">
        <v>1294</v>
      </c>
      <c r="C812" t="s">
        <v>1295</v>
      </c>
      <c r="D812" t="s">
        <v>4479</v>
      </c>
      <c r="E812" t="s">
        <v>4203</v>
      </c>
      <c r="F812" t="s">
        <v>1069</v>
      </c>
      <c r="G812" t="s">
        <v>1406</v>
      </c>
      <c r="H812" s="6">
        <v>46022</v>
      </c>
      <c r="I812" t="s">
        <v>29</v>
      </c>
      <c r="J812">
        <v>0</v>
      </c>
      <c r="K812">
        <v>0</v>
      </c>
      <c r="L812">
        <v>0</v>
      </c>
      <c r="M812">
        <v>0</v>
      </c>
      <c r="N812" t="s">
        <v>3915</v>
      </c>
      <c r="O812" t="s">
        <v>3915</v>
      </c>
      <c r="P812" t="s">
        <v>3915</v>
      </c>
      <c r="Q812">
        <v>0</v>
      </c>
      <c r="R812" t="s">
        <v>30</v>
      </c>
      <c r="S812">
        <v>0</v>
      </c>
      <c r="T812">
        <v>0</v>
      </c>
      <c r="U812" t="s">
        <v>3915</v>
      </c>
      <c r="V812" t="s">
        <v>31</v>
      </c>
      <c r="W812">
        <v>0</v>
      </c>
    </row>
    <row r="813" spans="1:23" x14ac:dyDescent="0.25">
      <c r="A813" t="s">
        <v>5416</v>
      </c>
      <c r="B813" t="s">
        <v>1296</v>
      </c>
      <c r="C813" t="s">
        <v>1297</v>
      </c>
      <c r="D813" t="s">
        <v>4479</v>
      </c>
      <c r="E813" t="s">
        <v>4203</v>
      </c>
      <c r="F813" t="s">
        <v>1069</v>
      </c>
      <c r="G813" t="s">
        <v>1406</v>
      </c>
      <c r="H813" s="6">
        <v>46022</v>
      </c>
      <c r="I813" t="s">
        <v>29</v>
      </c>
      <c r="J813">
        <v>0</v>
      </c>
      <c r="K813">
        <v>0</v>
      </c>
      <c r="L813">
        <v>0</v>
      </c>
      <c r="M813">
        <v>0</v>
      </c>
      <c r="N813" t="s">
        <v>3915</v>
      </c>
      <c r="O813" t="s">
        <v>3915</v>
      </c>
      <c r="P813" t="s">
        <v>3915</v>
      </c>
      <c r="Q813">
        <v>0</v>
      </c>
      <c r="R813" t="s">
        <v>30</v>
      </c>
      <c r="S813">
        <v>0</v>
      </c>
      <c r="T813">
        <v>0</v>
      </c>
      <c r="U813" t="s">
        <v>3915</v>
      </c>
      <c r="V813" t="s">
        <v>31</v>
      </c>
      <c r="W813">
        <v>0</v>
      </c>
    </row>
    <row r="814" spans="1:23" x14ac:dyDescent="0.25">
      <c r="A814" t="s">
        <v>5029</v>
      </c>
      <c r="B814" t="s">
        <v>3400</v>
      </c>
      <c r="C814" t="s">
        <v>3399</v>
      </c>
      <c r="D814" t="s">
        <v>4479</v>
      </c>
      <c r="E814" t="s">
        <v>4203</v>
      </c>
      <c r="F814" t="s">
        <v>1069</v>
      </c>
      <c r="G814" t="s">
        <v>1406</v>
      </c>
      <c r="H814" s="6">
        <v>46022</v>
      </c>
      <c r="I814" t="s">
        <v>29</v>
      </c>
      <c r="J814">
        <v>4</v>
      </c>
      <c r="K814">
        <v>0</v>
      </c>
      <c r="L814">
        <v>0</v>
      </c>
      <c r="M814">
        <v>0</v>
      </c>
      <c r="N814" t="s">
        <v>3915</v>
      </c>
      <c r="O814" t="s">
        <v>3915</v>
      </c>
      <c r="P814" t="s">
        <v>3915</v>
      </c>
      <c r="Q814">
        <v>0</v>
      </c>
      <c r="R814" t="s">
        <v>30</v>
      </c>
      <c r="S814">
        <v>0</v>
      </c>
      <c r="T814">
        <v>0</v>
      </c>
      <c r="U814" t="s">
        <v>3915</v>
      </c>
      <c r="V814" t="s">
        <v>31</v>
      </c>
      <c r="W814">
        <v>0</v>
      </c>
    </row>
    <row r="815" spans="1:23" x14ac:dyDescent="0.25">
      <c r="A815" t="s">
        <v>4205</v>
      </c>
      <c r="B815" t="s">
        <v>3402</v>
      </c>
      <c r="C815" t="s">
        <v>3401</v>
      </c>
      <c r="D815" t="s">
        <v>4479</v>
      </c>
      <c r="E815" t="s">
        <v>4203</v>
      </c>
      <c r="F815" t="s">
        <v>1069</v>
      </c>
      <c r="G815" t="s">
        <v>1406</v>
      </c>
      <c r="H815" s="6">
        <v>46022</v>
      </c>
      <c r="I815" t="s">
        <v>29</v>
      </c>
      <c r="J815">
        <v>4</v>
      </c>
      <c r="K815">
        <v>0</v>
      </c>
      <c r="L815">
        <v>0</v>
      </c>
      <c r="M815">
        <v>0</v>
      </c>
      <c r="N815" t="s">
        <v>3915</v>
      </c>
      <c r="O815" t="s">
        <v>3915</v>
      </c>
      <c r="P815" t="s">
        <v>3915</v>
      </c>
      <c r="Q815">
        <v>0</v>
      </c>
      <c r="R815" t="s">
        <v>30</v>
      </c>
      <c r="S815">
        <v>0</v>
      </c>
      <c r="T815">
        <v>0</v>
      </c>
      <c r="U815" t="s">
        <v>3915</v>
      </c>
      <c r="V815" t="s">
        <v>31</v>
      </c>
      <c r="W815">
        <v>0</v>
      </c>
    </row>
    <row r="816" spans="1:23" x14ac:dyDescent="0.25">
      <c r="A816" t="s">
        <v>5030</v>
      </c>
      <c r="B816" t="s">
        <v>1354</v>
      </c>
      <c r="C816" t="s">
        <v>1355</v>
      </c>
      <c r="D816" t="s">
        <v>4479</v>
      </c>
      <c r="E816" t="s">
        <v>4203</v>
      </c>
      <c r="F816" t="s">
        <v>1069</v>
      </c>
      <c r="G816" t="s">
        <v>1406</v>
      </c>
      <c r="H816" s="6">
        <v>46022</v>
      </c>
      <c r="I816" t="s">
        <v>29</v>
      </c>
      <c r="J816">
        <v>110</v>
      </c>
      <c r="K816">
        <v>0</v>
      </c>
      <c r="L816">
        <v>0</v>
      </c>
      <c r="M816">
        <v>0</v>
      </c>
      <c r="N816" t="s">
        <v>3915</v>
      </c>
      <c r="O816" t="s">
        <v>3915</v>
      </c>
      <c r="P816" t="s">
        <v>3915</v>
      </c>
      <c r="Q816">
        <v>0</v>
      </c>
      <c r="R816" t="s">
        <v>82</v>
      </c>
      <c r="S816">
        <v>0</v>
      </c>
      <c r="T816">
        <v>0</v>
      </c>
      <c r="U816" t="s">
        <v>3915</v>
      </c>
      <c r="V816" t="s">
        <v>31</v>
      </c>
      <c r="W816">
        <v>0</v>
      </c>
    </row>
    <row r="817" spans="1:23" x14ac:dyDescent="0.25">
      <c r="A817" t="s">
        <v>4340</v>
      </c>
      <c r="B817" t="s">
        <v>1358</v>
      </c>
      <c r="C817" t="s">
        <v>1359</v>
      </c>
      <c r="D817" t="s">
        <v>4479</v>
      </c>
      <c r="E817" t="s">
        <v>4203</v>
      </c>
      <c r="F817" t="s">
        <v>1069</v>
      </c>
      <c r="G817" t="s">
        <v>1406</v>
      </c>
      <c r="H817" s="6">
        <v>46022</v>
      </c>
      <c r="I817" t="s">
        <v>29</v>
      </c>
      <c r="J817">
        <v>0</v>
      </c>
      <c r="K817">
        <v>0</v>
      </c>
      <c r="L817">
        <v>0</v>
      </c>
      <c r="M817">
        <v>0</v>
      </c>
      <c r="N817" t="s">
        <v>3915</v>
      </c>
      <c r="O817" t="s">
        <v>3915</v>
      </c>
      <c r="P817" t="s">
        <v>3915</v>
      </c>
      <c r="Q817">
        <v>0</v>
      </c>
      <c r="R817" t="s">
        <v>82</v>
      </c>
      <c r="S817">
        <v>0</v>
      </c>
      <c r="T817">
        <v>0</v>
      </c>
      <c r="U817" t="s">
        <v>3915</v>
      </c>
      <c r="V817" t="s">
        <v>31</v>
      </c>
      <c r="W817">
        <v>0</v>
      </c>
    </row>
    <row r="818" spans="1:23" x14ac:dyDescent="0.25">
      <c r="A818" t="s">
        <v>4380</v>
      </c>
      <c r="B818" t="s">
        <v>1362</v>
      </c>
      <c r="C818" t="s">
        <v>1363</v>
      </c>
      <c r="D818" t="s">
        <v>4479</v>
      </c>
      <c r="E818" t="s">
        <v>4203</v>
      </c>
      <c r="F818" t="s">
        <v>1069</v>
      </c>
      <c r="G818" t="s">
        <v>1406</v>
      </c>
      <c r="H818" s="6">
        <v>46022</v>
      </c>
      <c r="I818" t="s">
        <v>29</v>
      </c>
      <c r="J818">
        <v>0</v>
      </c>
      <c r="K818">
        <v>0</v>
      </c>
      <c r="L818">
        <v>0</v>
      </c>
      <c r="M818">
        <v>0</v>
      </c>
      <c r="N818" t="s">
        <v>3915</v>
      </c>
      <c r="O818" t="s">
        <v>3915</v>
      </c>
      <c r="P818" t="s">
        <v>3915</v>
      </c>
      <c r="Q818">
        <v>0</v>
      </c>
      <c r="R818" t="s">
        <v>82</v>
      </c>
      <c r="S818">
        <v>0</v>
      </c>
      <c r="T818">
        <v>0</v>
      </c>
      <c r="U818" t="s">
        <v>3915</v>
      </c>
      <c r="V818" t="s">
        <v>31</v>
      </c>
      <c r="W818">
        <v>0</v>
      </c>
    </row>
    <row r="819" spans="1:23" x14ac:dyDescent="0.25">
      <c r="A819" t="s">
        <v>5031</v>
      </c>
      <c r="B819" t="s">
        <v>1364</v>
      </c>
      <c r="C819" t="s">
        <v>1365</v>
      </c>
      <c r="D819" t="s">
        <v>4479</v>
      </c>
      <c r="E819" t="s">
        <v>4203</v>
      </c>
      <c r="F819" t="s">
        <v>1069</v>
      </c>
      <c r="G819" t="s">
        <v>1406</v>
      </c>
      <c r="H819" s="6">
        <v>46022</v>
      </c>
      <c r="I819" t="s">
        <v>29</v>
      </c>
      <c r="J819">
        <v>0</v>
      </c>
      <c r="K819">
        <v>0</v>
      </c>
      <c r="L819">
        <v>0</v>
      </c>
      <c r="M819">
        <v>0</v>
      </c>
      <c r="N819" t="s">
        <v>3915</v>
      </c>
      <c r="O819" t="s">
        <v>3915</v>
      </c>
      <c r="P819" t="s">
        <v>3915</v>
      </c>
      <c r="Q819">
        <v>0</v>
      </c>
      <c r="R819" t="s">
        <v>82</v>
      </c>
      <c r="S819">
        <v>0</v>
      </c>
      <c r="T819">
        <v>0</v>
      </c>
      <c r="U819" t="s">
        <v>3915</v>
      </c>
      <c r="V819" t="s">
        <v>31</v>
      </c>
      <c r="W819">
        <v>0</v>
      </c>
    </row>
    <row r="820" spans="1:23" x14ac:dyDescent="0.25">
      <c r="A820" t="s">
        <v>10340</v>
      </c>
      <c r="B820" t="s">
        <v>1368</v>
      </c>
      <c r="C820" t="s">
        <v>1369</v>
      </c>
      <c r="D820" t="s">
        <v>4479</v>
      </c>
      <c r="E820" t="s">
        <v>4203</v>
      </c>
      <c r="F820" t="s">
        <v>1069</v>
      </c>
      <c r="G820" t="s">
        <v>1406</v>
      </c>
      <c r="H820" s="6">
        <v>46022</v>
      </c>
      <c r="I820" t="s">
        <v>29</v>
      </c>
      <c r="J820">
        <v>0</v>
      </c>
      <c r="K820">
        <v>0</v>
      </c>
      <c r="L820">
        <v>0</v>
      </c>
      <c r="M820">
        <v>0</v>
      </c>
      <c r="N820" t="s">
        <v>3915</v>
      </c>
      <c r="O820" t="s">
        <v>3915</v>
      </c>
      <c r="P820" t="s">
        <v>3915</v>
      </c>
      <c r="Q820">
        <v>0</v>
      </c>
      <c r="R820" t="s">
        <v>30</v>
      </c>
      <c r="S820">
        <v>0</v>
      </c>
      <c r="T820">
        <v>0</v>
      </c>
      <c r="U820" t="s">
        <v>3915</v>
      </c>
      <c r="V820" t="s">
        <v>31</v>
      </c>
      <c r="W820">
        <v>0</v>
      </c>
    </row>
    <row r="821" spans="1:23" x14ac:dyDescent="0.25">
      <c r="A821" t="s">
        <v>5554</v>
      </c>
      <c r="B821" t="s">
        <v>2399</v>
      </c>
      <c r="C821" t="s">
        <v>2398</v>
      </c>
      <c r="D821" t="s">
        <v>4479</v>
      </c>
      <c r="E821" t="s">
        <v>4203</v>
      </c>
      <c r="F821" t="s">
        <v>1069</v>
      </c>
      <c r="G821" t="s">
        <v>1406</v>
      </c>
      <c r="H821" s="6">
        <v>46022</v>
      </c>
      <c r="I821" t="s">
        <v>29</v>
      </c>
      <c r="J821">
        <v>0</v>
      </c>
      <c r="K821">
        <v>0</v>
      </c>
      <c r="L821">
        <v>0</v>
      </c>
      <c r="M821">
        <v>0</v>
      </c>
      <c r="N821" t="s">
        <v>3915</v>
      </c>
      <c r="O821" t="s">
        <v>3915</v>
      </c>
      <c r="P821" t="s">
        <v>3915</v>
      </c>
      <c r="Q821">
        <v>0</v>
      </c>
      <c r="R821" t="s">
        <v>30</v>
      </c>
      <c r="S821">
        <v>0</v>
      </c>
      <c r="T821">
        <v>0</v>
      </c>
      <c r="U821" t="s">
        <v>3915</v>
      </c>
      <c r="V821" t="s">
        <v>31</v>
      </c>
      <c r="W8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W1345"/>
  <sheetViews>
    <sheetView workbookViewId="0">
      <selection activeCell="C12" sqref="C12"/>
    </sheetView>
  </sheetViews>
  <sheetFormatPr baseColWidth="10" defaultRowHeight="15" x14ac:dyDescent="0.25"/>
  <cols>
    <col min="1" max="1" width="6" bestFit="1" customWidth="1"/>
    <col min="2" max="2" width="86.85546875" bestFit="1" customWidth="1"/>
    <col min="3" max="3" width="20.28515625" bestFit="1" customWidth="1"/>
    <col min="4" max="4" width="7" bestFit="1" customWidth="1"/>
    <col min="5" max="5" width="6" bestFit="1" customWidth="1"/>
    <col min="6" max="6" width="39" bestFit="1" customWidth="1"/>
    <col min="7" max="7" width="10.5703125" bestFit="1" customWidth="1"/>
    <col min="8" max="8" width="10.140625" bestFit="1" customWidth="1"/>
    <col min="9" max="9" width="14" bestFit="1" customWidth="1"/>
    <col min="10" max="10" width="9" bestFit="1" customWidth="1"/>
    <col min="11" max="11" width="12" bestFit="1" customWidth="1"/>
    <col min="12" max="12" width="9.85546875" bestFit="1" customWidth="1"/>
    <col min="13" max="13" width="9.42578125" bestFit="1" customWidth="1"/>
    <col min="14" max="14" width="34.140625" bestFit="1" customWidth="1"/>
    <col min="15" max="15" width="15.140625" bestFit="1" customWidth="1"/>
    <col min="16" max="16" width="6.140625" bestFit="1" customWidth="1"/>
    <col min="17" max="17" width="7" bestFit="1" customWidth="1"/>
    <col min="18" max="18" width="6.42578125" bestFit="1" customWidth="1"/>
    <col min="19" max="19" width="6.28515625" bestFit="1" customWidth="1"/>
    <col min="20" max="20" width="9.28515625" bestFit="1" customWidth="1"/>
    <col min="21" max="21" width="7.140625" bestFit="1" customWidth="1"/>
    <col min="22" max="22" width="7" bestFit="1" customWidth="1"/>
    <col min="23" max="23" width="10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3916</v>
      </c>
      <c r="B2" t="s">
        <v>79</v>
      </c>
      <c r="C2" t="s">
        <v>80</v>
      </c>
      <c r="D2" t="s">
        <v>4479</v>
      </c>
      <c r="E2" t="s">
        <v>26</v>
      </c>
      <c r="F2" t="s">
        <v>81</v>
      </c>
      <c r="G2" t="s">
        <v>1406</v>
      </c>
      <c r="H2" s="6">
        <v>46022</v>
      </c>
      <c r="I2" t="s">
        <v>29</v>
      </c>
      <c r="J2">
        <v>3</v>
      </c>
      <c r="K2">
        <v>0</v>
      </c>
      <c r="L2">
        <v>0</v>
      </c>
      <c r="M2">
        <v>0</v>
      </c>
      <c r="N2" t="s">
        <v>3915</v>
      </c>
      <c r="O2" t="s">
        <v>3915</v>
      </c>
      <c r="P2" t="s">
        <v>3915</v>
      </c>
      <c r="Q2">
        <v>0</v>
      </c>
      <c r="R2" t="s">
        <v>82</v>
      </c>
      <c r="S2">
        <v>0</v>
      </c>
      <c r="T2">
        <v>0</v>
      </c>
      <c r="U2" t="s">
        <v>3915</v>
      </c>
      <c r="V2" t="s">
        <v>31</v>
      </c>
      <c r="W2">
        <v>0</v>
      </c>
    </row>
    <row r="3" spans="1:23" x14ac:dyDescent="0.25">
      <c r="A3" t="s">
        <v>4716</v>
      </c>
      <c r="B3" t="s">
        <v>1578</v>
      </c>
      <c r="C3" t="s">
        <v>1577</v>
      </c>
      <c r="D3" t="s">
        <v>4479</v>
      </c>
      <c r="E3" t="s">
        <v>26</v>
      </c>
      <c r="F3" t="s">
        <v>81</v>
      </c>
      <c r="G3" t="s">
        <v>1406</v>
      </c>
      <c r="H3" s="6">
        <v>46022</v>
      </c>
      <c r="I3" t="s">
        <v>29</v>
      </c>
      <c r="J3">
        <v>0.1</v>
      </c>
      <c r="K3">
        <v>0</v>
      </c>
      <c r="L3">
        <v>0</v>
      </c>
      <c r="M3">
        <v>0</v>
      </c>
      <c r="N3" t="s">
        <v>3915</v>
      </c>
      <c r="O3" t="s">
        <v>3915</v>
      </c>
      <c r="P3" t="s">
        <v>3915</v>
      </c>
      <c r="Q3">
        <v>0</v>
      </c>
      <c r="R3" t="s">
        <v>489</v>
      </c>
      <c r="S3">
        <v>0</v>
      </c>
      <c r="T3">
        <v>0</v>
      </c>
      <c r="U3" t="s">
        <v>3915</v>
      </c>
      <c r="V3" t="s">
        <v>31</v>
      </c>
      <c r="W3">
        <v>0</v>
      </c>
    </row>
    <row r="4" spans="1:23" x14ac:dyDescent="0.25">
      <c r="A4" t="s">
        <v>4490</v>
      </c>
      <c r="B4" t="s">
        <v>1582</v>
      </c>
      <c r="C4" t="s">
        <v>1581</v>
      </c>
      <c r="D4" t="s">
        <v>4479</v>
      </c>
      <c r="E4" t="s">
        <v>26</v>
      </c>
      <c r="F4" t="s">
        <v>81</v>
      </c>
      <c r="G4" t="s">
        <v>1406</v>
      </c>
      <c r="H4" s="6">
        <v>46022</v>
      </c>
      <c r="I4" t="s">
        <v>29</v>
      </c>
      <c r="J4">
        <v>1.8</v>
      </c>
      <c r="K4">
        <v>0</v>
      </c>
      <c r="L4">
        <v>0</v>
      </c>
      <c r="M4">
        <v>0</v>
      </c>
      <c r="N4" t="s">
        <v>3915</v>
      </c>
      <c r="O4" t="s">
        <v>3915</v>
      </c>
      <c r="P4" t="s">
        <v>3915</v>
      </c>
      <c r="Q4">
        <v>0</v>
      </c>
      <c r="R4" t="s">
        <v>489</v>
      </c>
      <c r="S4">
        <v>0</v>
      </c>
      <c r="T4">
        <v>0</v>
      </c>
      <c r="U4" t="s">
        <v>3915</v>
      </c>
      <c r="V4" t="s">
        <v>31</v>
      </c>
      <c r="W4">
        <v>0</v>
      </c>
    </row>
    <row r="5" spans="1:23" x14ac:dyDescent="0.25">
      <c r="A5" t="s">
        <v>5032</v>
      </c>
      <c r="B5" t="s">
        <v>1586</v>
      </c>
      <c r="C5" t="s">
        <v>1585</v>
      </c>
      <c r="D5" t="s">
        <v>4479</v>
      </c>
      <c r="E5" t="s">
        <v>26</v>
      </c>
      <c r="F5" t="s">
        <v>81</v>
      </c>
      <c r="G5" t="s">
        <v>1406</v>
      </c>
      <c r="H5" s="6">
        <v>46022</v>
      </c>
      <c r="I5" t="s">
        <v>29</v>
      </c>
      <c r="J5">
        <v>7</v>
      </c>
      <c r="K5">
        <v>0</v>
      </c>
      <c r="L5">
        <v>0</v>
      </c>
      <c r="M5">
        <v>0</v>
      </c>
      <c r="N5" t="s">
        <v>3915</v>
      </c>
      <c r="O5" t="s">
        <v>3915</v>
      </c>
      <c r="P5" t="s">
        <v>3915</v>
      </c>
      <c r="Q5">
        <v>0</v>
      </c>
      <c r="R5" t="s">
        <v>82</v>
      </c>
      <c r="S5">
        <v>0</v>
      </c>
      <c r="T5">
        <v>0</v>
      </c>
      <c r="U5" t="s">
        <v>3915</v>
      </c>
      <c r="V5" t="s">
        <v>31</v>
      </c>
      <c r="W5">
        <v>0</v>
      </c>
    </row>
    <row r="6" spans="1:23" x14ac:dyDescent="0.25">
      <c r="A6" t="s">
        <v>5033</v>
      </c>
      <c r="B6" t="s">
        <v>1590</v>
      </c>
      <c r="C6" t="s">
        <v>1589</v>
      </c>
      <c r="D6" t="s">
        <v>4479</v>
      </c>
      <c r="E6" t="s">
        <v>26</v>
      </c>
      <c r="F6" t="s">
        <v>81</v>
      </c>
      <c r="G6" t="s">
        <v>1406</v>
      </c>
      <c r="H6" s="6">
        <v>46022</v>
      </c>
      <c r="I6" t="s">
        <v>29</v>
      </c>
      <c r="J6">
        <v>4.1100000000000003</v>
      </c>
      <c r="K6">
        <v>0</v>
      </c>
      <c r="L6">
        <v>0</v>
      </c>
      <c r="M6">
        <v>0</v>
      </c>
      <c r="N6" t="s">
        <v>3915</v>
      </c>
      <c r="O6" t="s">
        <v>3915</v>
      </c>
      <c r="P6" t="s">
        <v>3915</v>
      </c>
      <c r="Q6">
        <v>0</v>
      </c>
      <c r="R6" t="s">
        <v>82</v>
      </c>
      <c r="S6">
        <v>0</v>
      </c>
      <c r="T6">
        <v>0</v>
      </c>
      <c r="U6" t="s">
        <v>3915</v>
      </c>
      <c r="V6" t="s">
        <v>31</v>
      </c>
      <c r="W6">
        <v>0</v>
      </c>
    </row>
    <row r="7" spans="1:23" x14ac:dyDescent="0.25">
      <c r="A7" t="s">
        <v>10346</v>
      </c>
      <c r="B7" t="s">
        <v>10347</v>
      </c>
      <c r="C7" t="s">
        <v>10348</v>
      </c>
      <c r="D7" t="s">
        <v>4479</v>
      </c>
      <c r="E7" t="s">
        <v>26</v>
      </c>
      <c r="F7" t="s">
        <v>81</v>
      </c>
      <c r="G7" t="s">
        <v>1406</v>
      </c>
      <c r="H7" s="6">
        <v>46022</v>
      </c>
      <c r="I7" t="s">
        <v>29</v>
      </c>
      <c r="J7">
        <v>3</v>
      </c>
      <c r="K7">
        <v>0</v>
      </c>
      <c r="L7">
        <v>0</v>
      </c>
      <c r="M7">
        <v>0</v>
      </c>
      <c r="N7" t="s">
        <v>3915</v>
      </c>
      <c r="O7" t="s">
        <v>3915</v>
      </c>
      <c r="P7" t="s">
        <v>3915</v>
      </c>
      <c r="Q7">
        <v>0</v>
      </c>
      <c r="R7" t="s">
        <v>489</v>
      </c>
      <c r="S7">
        <v>0</v>
      </c>
      <c r="T7">
        <v>0</v>
      </c>
      <c r="U7" t="s">
        <v>3915</v>
      </c>
      <c r="V7" t="s">
        <v>31</v>
      </c>
      <c r="W7">
        <v>0</v>
      </c>
    </row>
    <row r="8" spans="1:23" x14ac:dyDescent="0.25">
      <c r="A8" t="s">
        <v>5034</v>
      </c>
      <c r="B8" t="s">
        <v>1592</v>
      </c>
      <c r="C8" t="s">
        <v>1591</v>
      </c>
      <c r="D8" t="s">
        <v>4479</v>
      </c>
      <c r="E8" t="s">
        <v>26</v>
      </c>
      <c r="F8" t="s">
        <v>81</v>
      </c>
      <c r="G8" t="s">
        <v>1406</v>
      </c>
      <c r="H8" s="6">
        <v>46022</v>
      </c>
      <c r="I8" t="s">
        <v>29</v>
      </c>
      <c r="J8">
        <v>4</v>
      </c>
      <c r="K8">
        <v>0</v>
      </c>
      <c r="L8">
        <v>0</v>
      </c>
      <c r="M8">
        <v>0</v>
      </c>
      <c r="N8" t="s">
        <v>3915</v>
      </c>
      <c r="O8" t="s">
        <v>3915</v>
      </c>
      <c r="P8" t="s">
        <v>3915</v>
      </c>
      <c r="Q8">
        <v>0</v>
      </c>
      <c r="R8" t="s">
        <v>489</v>
      </c>
      <c r="S8">
        <v>0</v>
      </c>
      <c r="T8">
        <v>0</v>
      </c>
      <c r="U8" t="s">
        <v>3915</v>
      </c>
      <c r="V8" t="s">
        <v>31</v>
      </c>
      <c r="W8">
        <v>0</v>
      </c>
    </row>
    <row r="9" spans="1:23" x14ac:dyDescent="0.25">
      <c r="A9" t="s">
        <v>4982</v>
      </c>
      <c r="B9" t="s">
        <v>6228</v>
      </c>
      <c r="C9" t="s">
        <v>6227</v>
      </c>
      <c r="D9" t="s">
        <v>4479</v>
      </c>
      <c r="E9" t="s">
        <v>26</v>
      </c>
      <c r="F9" t="s">
        <v>81</v>
      </c>
      <c r="G9" t="s">
        <v>1406</v>
      </c>
      <c r="H9" s="6">
        <v>46022</v>
      </c>
      <c r="I9" t="s">
        <v>29</v>
      </c>
      <c r="J9">
        <v>6.3</v>
      </c>
      <c r="K9">
        <v>0</v>
      </c>
      <c r="L9">
        <v>0</v>
      </c>
      <c r="M9">
        <v>0</v>
      </c>
      <c r="N9" t="s">
        <v>3915</v>
      </c>
      <c r="O9" t="s">
        <v>3915</v>
      </c>
      <c r="P9" t="s">
        <v>3915</v>
      </c>
      <c r="Q9">
        <v>0</v>
      </c>
      <c r="R9" t="s">
        <v>82</v>
      </c>
      <c r="S9">
        <v>0</v>
      </c>
      <c r="T9">
        <v>0</v>
      </c>
      <c r="U9" t="s">
        <v>3915</v>
      </c>
      <c r="V9" t="s">
        <v>31</v>
      </c>
      <c r="W9">
        <v>0</v>
      </c>
    </row>
    <row r="10" spans="1:23" x14ac:dyDescent="0.25">
      <c r="A10" t="s">
        <v>10314</v>
      </c>
      <c r="B10" t="s">
        <v>6634</v>
      </c>
      <c r="C10" t="s">
        <v>6633</v>
      </c>
      <c r="D10" t="s">
        <v>4479</v>
      </c>
      <c r="E10" t="s">
        <v>26</v>
      </c>
      <c r="F10" t="s">
        <v>81</v>
      </c>
      <c r="G10" t="s">
        <v>1406</v>
      </c>
      <c r="H10" s="6">
        <v>46022</v>
      </c>
      <c r="I10" t="s">
        <v>29</v>
      </c>
      <c r="J10">
        <v>6</v>
      </c>
      <c r="K10">
        <v>0</v>
      </c>
      <c r="L10">
        <v>0</v>
      </c>
      <c r="M10">
        <v>0</v>
      </c>
      <c r="N10" t="s">
        <v>3915</v>
      </c>
      <c r="O10" t="s">
        <v>3915</v>
      </c>
      <c r="P10" t="s">
        <v>3915</v>
      </c>
      <c r="Q10">
        <v>0</v>
      </c>
      <c r="R10" t="s">
        <v>489</v>
      </c>
      <c r="S10">
        <v>0</v>
      </c>
      <c r="T10">
        <v>0</v>
      </c>
      <c r="U10" t="s">
        <v>3915</v>
      </c>
      <c r="V10" t="s">
        <v>31</v>
      </c>
      <c r="W10">
        <v>0</v>
      </c>
    </row>
    <row r="11" spans="1:23" x14ac:dyDescent="0.25">
      <c r="A11" t="s">
        <v>10297</v>
      </c>
      <c r="B11" t="s">
        <v>10315</v>
      </c>
      <c r="C11" t="s">
        <v>6661</v>
      </c>
      <c r="D11" t="s">
        <v>4479</v>
      </c>
      <c r="E11" t="s">
        <v>26</v>
      </c>
      <c r="F11" t="s">
        <v>81</v>
      </c>
      <c r="G11" t="s">
        <v>1406</v>
      </c>
      <c r="H11" s="6">
        <v>46022</v>
      </c>
      <c r="I11" t="s">
        <v>29</v>
      </c>
      <c r="J11">
        <v>7</v>
      </c>
      <c r="K11">
        <v>0</v>
      </c>
      <c r="L11">
        <v>0</v>
      </c>
      <c r="M11">
        <v>0</v>
      </c>
      <c r="N11" t="s">
        <v>3915</v>
      </c>
      <c r="O11" t="s">
        <v>3915</v>
      </c>
      <c r="P11" t="s">
        <v>3915</v>
      </c>
      <c r="Q11">
        <v>0</v>
      </c>
      <c r="R11" t="s">
        <v>82</v>
      </c>
      <c r="S11">
        <v>0</v>
      </c>
      <c r="T11">
        <v>0</v>
      </c>
      <c r="U11" t="s">
        <v>3915</v>
      </c>
      <c r="V11" t="s">
        <v>31</v>
      </c>
      <c r="W11">
        <v>0</v>
      </c>
    </row>
    <row r="12" spans="1:23" x14ac:dyDescent="0.25">
      <c r="A12" t="s">
        <v>4814</v>
      </c>
      <c r="B12" t="s">
        <v>1604</v>
      </c>
      <c r="C12" t="s">
        <v>1603</v>
      </c>
      <c r="D12" t="s">
        <v>4479</v>
      </c>
      <c r="E12" t="s">
        <v>26</v>
      </c>
      <c r="F12" t="s">
        <v>81</v>
      </c>
      <c r="G12" t="s">
        <v>1406</v>
      </c>
      <c r="H12" s="6">
        <v>46022</v>
      </c>
      <c r="I12" t="s">
        <v>29</v>
      </c>
      <c r="J12">
        <v>93.43</v>
      </c>
      <c r="K12">
        <v>0</v>
      </c>
      <c r="L12">
        <v>0</v>
      </c>
      <c r="M12">
        <v>0</v>
      </c>
      <c r="N12" t="s">
        <v>3915</v>
      </c>
      <c r="O12" t="s">
        <v>3915</v>
      </c>
      <c r="P12" t="s">
        <v>3915</v>
      </c>
      <c r="Q12">
        <v>0</v>
      </c>
      <c r="R12" t="s">
        <v>82</v>
      </c>
      <c r="S12">
        <v>0</v>
      </c>
      <c r="T12">
        <v>0</v>
      </c>
      <c r="U12" t="s">
        <v>3915</v>
      </c>
      <c r="V12" t="s">
        <v>31</v>
      </c>
      <c r="W12">
        <v>0</v>
      </c>
    </row>
    <row r="13" spans="1:23" x14ac:dyDescent="0.25">
      <c r="A13" t="s">
        <v>5040</v>
      </c>
      <c r="B13" t="s">
        <v>1606</v>
      </c>
      <c r="C13" t="s">
        <v>1605</v>
      </c>
      <c r="D13" t="s">
        <v>4479</v>
      </c>
      <c r="E13" t="s">
        <v>26</v>
      </c>
      <c r="F13" t="s">
        <v>81</v>
      </c>
      <c r="G13" t="s">
        <v>1406</v>
      </c>
      <c r="H13" s="6">
        <v>46022</v>
      </c>
      <c r="I13" t="s">
        <v>29</v>
      </c>
      <c r="J13">
        <v>8</v>
      </c>
      <c r="K13">
        <v>0</v>
      </c>
      <c r="L13">
        <v>0</v>
      </c>
      <c r="M13">
        <v>0</v>
      </c>
      <c r="N13" t="s">
        <v>3915</v>
      </c>
      <c r="O13" t="s">
        <v>3915</v>
      </c>
      <c r="P13" t="s">
        <v>3915</v>
      </c>
      <c r="Q13">
        <v>0</v>
      </c>
      <c r="R13" t="s">
        <v>82</v>
      </c>
      <c r="S13">
        <v>0</v>
      </c>
      <c r="T13">
        <v>0</v>
      </c>
      <c r="U13" t="s">
        <v>3915</v>
      </c>
      <c r="V13" t="s">
        <v>31</v>
      </c>
      <c r="W13">
        <v>0</v>
      </c>
    </row>
    <row r="14" spans="1:23" x14ac:dyDescent="0.25">
      <c r="A14" t="s">
        <v>10334</v>
      </c>
      <c r="B14" t="s">
        <v>6792</v>
      </c>
      <c r="C14" t="s">
        <v>6791</v>
      </c>
      <c r="D14" t="s">
        <v>4479</v>
      </c>
      <c r="E14" t="s">
        <v>26</v>
      </c>
      <c r="F14" t="s">
        <v>81</v>
      </c>
      <c r="G14" t="s">
        <v>1406</v>
      </c>
      <c r="H14" s="6">
        <v>46022</v>
      </c>
      <c r="I14" t="s">
        <v>29</v>
      </c>
      <c r="J14">
        <v>6</v>
      </c>
      <c r="K14">
        <v>0</v>
      </c>
      <c r="L14">
        <v>0</v>
      </c>
      <c r="M14">
        <v>0</v>
      </c>
      <c r="N14" t="s">
        <v>3915</v>
      </c>
      <c r="O14" t="s">
        <v>3915</v>
      </c>
      <c r="P14" t="s">
        <v>3915</v>
      </c>
      <c r="Q14">
        <v>0</v>
      </c>
      <c r="R14" t="s">
        <v>82</v>
      </c>
      <c r="S14">
        <v>0</v>
      </c>
      <c r="T14">
        <v>0</v>
      </c>
      <c r="U14" t="s">
        <v>3915</v>
      </c>
      <c r="V14" t="s">
        <v>31</v>
      </c>
      <c r="W14">
        <v>0</v>
      </c>
    </row>
    <row r="15" spans="1:23" x14ac:dyDescent="0.25">
      <c r="A15" t="s">
        <v>10349</v>
      </c>
      <c r="B15" t="s">
        <v>10350</v>
      </c>
      <c r="C15" t="s">
        <v>10351</v>
      </c>
      <c r="D15" t="s">
        <v>4479</v>
      </c>
      <c r="E15" t="s">
        <v>26</v>
      </c>
      <c r="F15" t="s">
        <v>81</v>
      </c>
      <c r="G15" t="s">
        <v>1406</v>
      </c>
      <c r="H15" s="6">
        <v>46022</v>
      </c>
      <c r="I15" t="s">
        <v>29</v>
      </c>
      <c r="J15">
        <v>6</v>
      </c>
      <c r="K15">
        <v>0</v>
      </c>
      <c r="L15">
        <v>0</v>
      </c>
      <c r="M15">
        <v>0</v>
      </c>
      <c r="N15" t="s">
        <v>3915</v>
      </c>
      <c r="O15" t="s">
        <v>3915</v>
      </c>
      <c r="P15" t="s">
        <v>3915</v>
      </c>
      <c r="Q15">
        <v>0</v>
      </c>
      <c r="R15" t="s">
        <v>489</v>
      </c>
      <c r="S15">
        <v>0</v>
      </c>
      <c r="T15">
        <v>0</v>
      </c>
      <c r="U15" t="s">
        <v>3915</v>
      </c>
      <c r="V15" t="s">
        <v>31</v>
      </c>
      <c r="W15">
        <v>0</v>
      </c>
    </row>
    <row r="16" spans="1:23" x14ac:dyDescent="0.25">
      <c r="A16" t="s">
        <v>4543</v>
      </c>
      <c r="B16" t="s">
        <v>1612</v>
      </c>
      <c r="C16" t="s">
        <v>1611</v>
      </c>
      <c r="D16" t="s">
        <v>4479</v>
      </c>
      <c r="E16" t="s">
        <v>26</v>
      </c>
      <c r="F16" t="s">
        <v>81</v>
      </c>
      <c r="G16" t="s">
        <v>1406</v>
      </c>
      <c r="H16" s="6">
        <v>46022</v>
      </c>
      <c r="I16" t="s">
        <v>29</v>
      </c>
      <c r="J16">
        <v>3</v>
      </c>
      <c r="K16">
        <v>0</v>
      </c>
      <c r="L16">
        <v>0</v>
      </c>
      <c r="M16">
        <v>0</v>
      </c>
      <c r="N16" t="s">
        <v>3915</v>
      </c>
      <c r="O16" t="s">
        <v>3915</v>
      </c>
      <c r="P16" t="s">
        <v>3915</v>
      </c>
      <c r="Q16">
        <v>0</v>
      </c>
      <c r="R16" t="s">
        <v>82</v>
      </c>
      <c r="S16">
        <v>0</v>
      </c>
      <c r="T16">
        <v>0</v>
      </c>
      <c r="U16" t="s">
        <v>3915</v>
      </c>
      <c r="V16" t="s">
        <v>31</v>
      </c>
      <c r="W16">
        <v>0</v>
      </c>
    </row>
    <row r="17" spans="1:23" x14ac:dyDescent="0.25">
      <c r="A17" t="s">
        <v>10352</v>
      </c>
      <c r="B17" t="s">
        <v>10353</v>
      </c>
      <c r="C17" t="s">
        <v>10354</v>
      </c>
      <c r="D17" t="s">
        <v>4479</v>
      </c>
      <c r="E17" t="s">
        <v>26</v>
      </c>
      <c r="F17" t="s">
        <v>81</v>
      </c>
      <c r="G17" t="s">
        <v>1406</v>
      </c>
      <c r="H17" s="6">
        <v>46022</v>
      </c>
      <c r="I17" t="s">
        <v>29</v>
      </c>
      <c r="J17">
        <v>4</v>
      </c>
      <c r="K17">
        <v>0</v>
      </c>
      <c r="L17">
        <v>0</v>
      </c>
      <c r="M17">
        <v>0</v>
      </c>
      <c r="N17" t="s">
        <v>3915</v>
      </c>
      <c r="O17" t="s">
        <v>3915</v>
      </c>
      <c r="P17" t="s">
        <v>3915</v>
      </c>
      <c r="Q17">
        <v>0</v>
      </c>
      <c r="R17" t="s">
        <v>489</v>
      </c>
      <c r="S17">
        <v>0</v>
      </c>
      <c r="T17">
        <v>0</v>
      </c>
      <c r="U17" t="s">
        <v>3915</v>
      </c>
      <c r="V17" t="s">
        <v>31</v>
      </c>
      <c r="W17">
        <v>0</v>
      </c>
    </row>
    <row r="18" spans="1:23" x14ac:dyDescent="0.25">
      <c r="A18" t="s">
        <v>10298</v>
      </c>
      <c r="B18" t="s">
        <v>4530</v>
      </c>
      <c r="C18" t="s">
        <v>4531</v>
      </c>
      <c r="D18" t="s">
        <v>4479</v>
      </c>
      <c r="E18" t="s">
        <v>26</v>
      </c>
      <c r="F18" t="s">
        <v>81</v>
      </c>
      <c r="G18" t="s">
        <v>1406</v>
      </c>
      <c r="H18" s="6">
        <v>46022</v>
      </c>
      <c r="I18" t="s">
        <v>29</v>
      </c>
      <c r="J18">
        <v>24.4</v>
      </c>
      <c r="K18">
        <v>0</v>
      </c>
      <c r="L18">
        <v>0</v>
      </c>
      <c r="M18">
        <v>0</v>
      </c>
      <c r="N18" t="s">
        <v>3915</v>
      </c>
      <c r="O18" t="s">
        <v>3915</v>
      </c>
      <c r="P18" t="s">
        <v>3915</v>
      </c>
      <c r="Q18">
        <v>0</v>
      </c>
      <c r="R18" t="s">
        <v>82</v>
      </c>
      <c r="S18">
        <v>0</v>
      </c>
      <c r="T18">
        <v>0</v>
      </c>
      <c r="U18" t="s">
        <v>3915</v>
      </c>
      <c r="V18" t="s">
        <v>31</v>
      </c>
      <c r="W18">
        <v>0</v>
      </c>
    </row>
    <row r="19" spans="1:23" x14ac:dyDescent="0.25">
      <c r="A19" t="s">
        <v>10355</v>
      </c>
      <c r="B19" t="s">
        <v>9602</v>
      </c>
      <c r="C19" t="s">
        <v>9601</v>
      </c>
      <c r="D19" t="s">
        <v>4479</v>
      </c>
      <c r="E19" t="s">
        <v>26</v>
      </c>
      <c r="F19" t="s">
        <v>81</v>
      </c>
      <c r="G19" t="s">
        <v>1406</v>
      </c>
      <c r="H19" s="6">
        <v>46022</v>
      </c>
      <c r="I19" t="s">
        <v>29</v>
      </c>
      <c r="J19">
        <v>2</v>
      </c>
      <c r="K19">
        <v>0</v>
      </c>
      <c r="L19">
        <v>0</v>
      </c>
      <c r="M19">
        <v>0</v>
      </c>
      <c r="N19" t="s">
        <v>3915</v>
      </c>
      <c r="O19" t="s">
        <v>3915</v>
      </c>
      <c r="P19" t="s">
        <v>3915</v>
      </c>
      <c r="Q19">
        <v>0</v>
      </c>
      <c r="R19" t="s">
        <v>489</v>
      </c>
      <c r="S19">
        <v>0</v>
      </c>
      <c r="T19">
        <v>0</v>
      </c>
      <c r="U19" t="s">
        <v>3915</v>
      </c>
      <c r="V19" t="s">
        <v>31</v>
      </c>
      <c r="W19">
        <v>0</v>
      </c>
    </row>
    <row r="20" spans="1:23" x14ac:dyDescent="0.25">
      <c r="A20" t="s">
        <v>5043</v>
      </c>
      <c r="B20" t="s">
        <v>1616</v>
      </c>
      <c r="C20" t="s">
        <v>1615</v>
      </c>
      <c r="D20" t="s">
        <v>4479</v>
      </c>
      <c r="E20" t="s">
        <v>26</v>
      </c>
      <c r="F20" t="s">
        <v>81</v>
      </c>
      <c r="G20" t="s">
        <v>1406</v>
      </c>
      <c r="H20" s="6">
        <v>46022</v>
      </c>
      <c r="I20" t="s">
        <v>29</v>
      </c>
      <c r="J20">
        <v>2</v>
      </c>
      <c r="K20">
        <v>0</v>
      </c>
      <c r="L20">
        <v>0</v>
      </c>
      <c r="M20">
        <v>0</v>
      </c>
      <c r="N20" t="s">
        <v>3915</v>
      </c>
      <c r="O20" t="s">
        <v>3915</v>
      </c>
      <c r="P20" t="s">
        <v>3915</v>
      </c>
      <c r="Q20">
        <v>0</v>
      </c>
      <c r="R20" t="s">
        <v>489</v>
      </c>
      <c r="S20">
        <v>0</v>
      </c>
      <c r="T20">
        <v>0</v>
      </c>
      <c r="U20" t="s">
        <v>3915</v>
      </c>
      <c r="V20" t="s">
        <v>31</v>
      </c>
      <c r="W20">
        <v>0</v>
      </c>
    </row>
    <row r="21" spans="1:23" x14ac:dyDescent="0.25">
      <c r="A21" t="s">
        <v>5044</v>
      </c>
      <c r="B21" t="s">
        <v>1618</v>
      </c>
      <c r="C21" t="s">
        <v>1617</v>
      </c>
      <c r="D21" t="s">
        <v>4479</v>
      </c>
      <c r="E21" t="s">
        <v>26</v>
      </c>
      <c r="F21" t="s">
        <v>81</v>
      </c>
      <c r="G21" t="s">
        <v>1406</v>
      </c>
      <c r="H21" s="6">
        <v>46022</v>
      </c>
      <c r="I21" t="s">
        <v>29</v>
      </c>
      <c r="J21">
        <v>1</v>
      </c>
      <c r="K21">
        <v>0</v>
      </c>
      <c r="L21">
        <v>0</v>
      </c>
      <c r="M21">
        <v>0</v>
      </c>
      <c r="N21" t="s">
        <v>3915</v>
      </c>
      <c r="O21" t="s">
        <v>3915</v>
      </c>
      <c r="P21" t="s">
        <v>3915</v>
      </c>
      <c r="Q21">
        <v>0</v>
      </c>
      <c r="R21" t="s">
        <v>489</v>
      </c>
      <c r="S21">
        <v>0</v>
      </c>
      <c r="T21">
        <v>0</v>
      </c>
      <c r="U21" t="s">
        <v>3915</v>
      </c>
      <c r="V21" t="s">
        <v>31</v>
      </c>
      <c r="W21">
        <v>0</v>
      </c>
    </row>
    <row r="22" spans="1:23" x14ac:dyDescent="0.25">
      <c r="A22" t="s">
        <v>5045</v>
      </c>
      <c r="B22" t="s">
        <v>1624</v>
      </c>
      <c r="C22" t="s">
        <v>1623</v>
      </c>
      <c r="D22" t="s">
        <v>4479</v>
      </c>
      <c r="E22" t="s">
        <v>26</v>
      </c>
      <c r="F22" t="s">
        <v>81</v>
      </c>
      <c r="G22" t="s">
        <v>1406</v>
      </c>
      <c r="H22" s="6">
        <v>46022</v>
      </c>
      <c r="I22" t="s">
        <v>29</v>
      </c>
      <c r="J22">
        <v>120</v>
      </c>
      <c r="K22">
        <v>0</v>
      </c>
      <c r="L22">
        <v>0</v>
      </c>
      <c r="M22">
        <v>0</v>
      </c>
      <c r="N22" t="s">
        <v>3915</v>
      </c>
      <c r="O22" t="s">
        <v>3915</v>
      </c>
      <c r="P22" t="s">
        <v>3915</v>
      </c>
      <c r="Q22">
        <v>0</v>
      </c>
      <c r="R22" t="s">
        <v>30</v>
      </c>
      <c r="S22">
        <v>0</v>
      </c>
      <c r="T22">
        <v>0</v>
      </c>
      <c r="U22" t="s">
        <v>3915</v>
      </c>
      <c r="V22" t="s">
        <v>31</v>
      </c>
      <c r="W22">
        <v>0</v>
      </c>
    </row>
    <row r="23" spans="1:23" x14ac:dyDescent="0.25">
      <c r="A23" t="s">
        <v>5046</v>
      </c>
      <c r="B23" t="s">
        <v>1626</v>
      </c>
      <c r="C23" t="s">
        <v>1625</v>
      </c>
      <c r="D23" t="s">
        <v>4479</v>
      </c>
      <c r="E23" t="s">
        <v>26</v>
      </c>
      <c r="F23" t="s">
        <v>81</v>
      </c>
      <c r="G23" t="s">
        <v>1406</v>
      </c>
      <c r="H23" s="6">
        <v>46022</v>
      </c>
      <c r="I23" t="s">
        <v>29</v>
      </c>
      <c r="J23">
        <v>9990</v>
      </c>
      <c r="K23">
        <v>0</v>
      </c>
      <c r="L23">
        <v>0</v>
      </c>
      <c r="M23">
        <v>0</v>
      </c>
      <c r="N23" t="s">
        <v>3915</v>
      </c>
      <c r="O23" t="s">
        <v>3915</v>
      </c>
      <c r="P23" t="s">
        <v>3915</v>
      </c>
      <c r="Q23">
        <v>0</v>
      </c>
      <c r="R23" t="s">
        <v>30</v>
      </c>
      <c r="S23">
        <v>0</v>
      </c>
      <c r="T23">
        <v>0</v>
      </c>
      <c r="U23" t="s">
        <v>3915</v>
      </c>
      <c r="V23" t="s">
        <v>31</v>
      </c>
      <c r="W23">
        <v>0</v>
      </c>
    </row>
    <row r="24" spans="1:23" x14ac:dyDescent="0.25">
      <c r="A24" t="s">
        <v>3917</v>
      </c>
      <c r="B24" t="s">
        <v>83</v>
      </c>
      <c r="C24" t="s">
        <v>84</v>
      </c>
      <c r="D24" t="s">
        <v>4479</v>
      </c>
      <c r="E24" t="s">
        <v>26</v>
      </c>
      <c r="F24" t="s">
        <v>81</v>
      </c>
      <c r="G24" t="s">
        <v>1406</v>
      </c>
      <c r="H24" s="6">
        <v>46022</v>
      </c>
      <c r="I24" t="s">
        <v>29</v>
      </c>
      <c r="J24">
        <v>6455</v>
      </c>
      <c r="K24">
        <v>0</v>
      </c>
      <c r="L24">
        <v>0</v>
      </c>
      <c r="M24">
        <v>0</v>
      </c>
      <c r="N24" t="s">
        <v>3915</v>
      </c>
      <c r="O24" t="s">
        <v>3915</v>
      </c>
      <c r="P24" t="s">
        <v>3915</v>
      </c>
      <c r="Q24">
        <v>0</v>
      </c>
      <c r="R24" t="s">
        <v>30</v>
      </c>
      <c r="S24">
        <v>0</v>
      </c>
      <c r="T24">
        <v>0</v>
      </c>
      <c r="U24" t="s">
        <v>3915</v>
      </c>
      <c r="V24" t="s">
        <v>31</v>
      </c>
      <c r="W24">
        <v>0</v>
      </c>
    </row>
    <row r="25" spans="1:23" x14ac:dyDescent="0.25">
      <c r="A25" t="s">
        <v>3918</v>
      </c>
      <c r="B25" t="s">
        <v>85</v>
      </c>
      <c r="C25" t="s">
        <v>86</v>
      </c>
      <c r="D25" t="s">
        <v>4479</v>
      </c>
      <c r="E25" t="s">
        <v>26</v>
      </c>
      <c r="F25" t="s">
        <v>81</v>
      </c>
      <c r="G25" t="s">
        <v>1406</v>
      </c>
      <c r="H25" s="6">
        <v>46022</v>
      </c>
      <c r="I25" t="s">
        <v>29</v>
      </c>
      <c r="J25">
        <v>4964</v>
      </c>
      <c r="K25">
        <v>0</v>
      </c>
      <c r="L25">
        <v>0</v>
      </c>
      <c r="M25">
        <v>0</v>
      </c>
      <c r="N25" t="s">
        <v>3915</v>
      </c>
      <c r="O25" t="s">
        <v>3915</v>
      </c>
      <c r="P25" t="s">
        <v>3915</v>
      </c>
      <c r="Q25">
        <v>0</v>
      </c>
      <c r="R25" t="s">
        <v>30</v>
      </c>
      <c r="S25">
        <v>0</v>
      </c>
      <c r="T25">
        <v>0</v>
      </c>
      <c r="U25" t="s">
        <v>3915</v>
      </c>
      <c r="V25" t="s">
        <v>31</v>
      </c>
      <c r="W25">
        <v>0</v>
      </c>
    </row>
    <row r="26" spans="1:23" x14ac:dyDescent="0.25">
      <c r="A26" t="s">
        <v>3919</v>
      </c>
      <c r="B26" t="s">
        <v>87</v>
      </c>
      <c r="C26" t="s">
        <v>88</v>
      </c>
      <c r="D26" t="s">
        <v>4479</v>
      </c>
      <c r="E26" t="s">
        <v>26</v>
      </c>
      <c r="F26" t="s">
        <v>81</v>
      </c>
      <c r="G26" t="s">
        <v>1406</v>
      </c>
      <c r="H26" s="6">
        <v>46022</v>
      </c>
      <c r="I26" t="s">
        <v>29</v>
      </c>
      <c r="J26">
        <v>2105</v>
      </c>
      <c r="K26">
        <v>0</v>
      </c>
      <c r="L26">
        <v>0</v>
      </c>
      <c r="M26">
        <v>0</v>
      </c>
      <c r="N26" t="s">
        <v>3915</v>
      </c>
      <c r="O26" t="s">
        <v>3915</v>
      </c>
      <c r="P26" t="s">
        <v>3915</v>
      </c>
      <c r="Q26">
        <v>0</v>
      </c>
      <c r="R26" t="s">
        <v>30</v>
      </c>
      <c r="S26">
        <v>0</v>
      </c>
      <c r="T26">
        <v>0</v>
      </c>
      <c r="U26" t="s">
        <v>3915</v>
      </c>
      <c r="V26" t="s">
        <v>31</v>
      </c>
      <c r="W26">
        <v>0</v>
      </c>
    </row>
    <row r="27" spans="1:23" x14ac:dyDescent="0.25">
      <c r="A27" t="s">
        <v>4954</v>
      </c>
      <c r="B27" t="s">
        <v>1628</v>
      </c>
      <c r="C27" t="s">
        <v>1627</v>
      </c>
      <c r="D27" t="s">
        <v>4479</v>
      </c>
      <c r="E27" t="s">
        <v>26</v>
      </c>
      <c r="F27" t="s">
        <v>81</v>
      </c>
      <c r="G27" t="s">
        <v>1406</v>
      </c>
      <c r="H27" s="6">
        <v>46022</v>
      </c>
      <c r="I27" t="s">
        <v>29</v>
      </c>
      <c r="J27">
        <v>150</v>
      </c>
      <c r="K27">
        <v>0</v>
      </c>
      <c r="L27">
        <v>0</v>
      </c>
      <c r="M27">
        <v>0</v>
      </c>
      <c r="N27" t="s">
        <v>3915</v>
      </c>
      <c r="O27" t="s">
        <v>3915</v>
      </c>
      <c r="P27" t="s">
        <v>3915</v>
      </c>
      <c r="Q27">
        <v>0</v>
      </c>
      <c r="R27" t="s">
        <v>30</v>
      </c>
      <c r="S27">
        <v>0</v>
      </c>
      <c r="T27">
        <v>0</v>
      </c>
      <c r="U27" t="s">
        <v>3915</v>
      </c>
      <c r="V27" t="s">
        <v>31</v>
      </c>
      <c r="W27">
        <v>0</v>
      </c>
    </row>
    <row r="28" spans="1:23" x14ac:dyDescent="0.25">
      <c r="A28" t="s">
        <v>3920</v>
      </c>
      <c r="B28" t="s">
        <v>89</v>
      </c>
      <c r="C28" t="s">
        <v>90</v>
      </c>
      <c r="D28" t="s">
        <v>4479</v>
      </c>
      <c r="E28" t="s">
        <v>26</v>
      </c>
      <c r="F28" t="s">
        <v>81</v>
      </c>
      <c r="G28" t="s">
        <v>1406</v>
      </c>
      <c r="H28" s="6">
        <v>46022</v>
      </c>
      <c r="I28" t="s">
        <v>29</v>
      </c>
      <c r="J28">
        <v>77</v>
      </c>
      <c r="K28">
        <v>0</v>
      </c>
      <c r="L28">
        <v>0</v>
      </c>
      <c r="M28">
        <v>0</v>
      </c>
      <c r="N28" t="s">
        <v>3915</v>
      </c>
      <c r="O28" t="s">
        <v>3915</v>
      </c>
      <c r="P28" t="s">
        <v>3915</v>
      </c>
      <c r="Q28">
        <v>0</v>
      </c>
      <c r="R28" t="s">
        <v>30</v>
      </c>
      <c r="S28">
        <v>0</v>
      </c>
      <c r="T28">
        <v>0</v>
      </c>
      <c r="U28" t="s">
        <v>3915</v>
      </c>
      <c r="V28" t="s">
        <v>31</v>
      </c>
      <c r="W28">
        <v>0</v>
      </c>
    </row>
    <row r="29" spans="1:23" x14ac:dyDescent="0.25">
      <c r="A29" t="s">
        <v>3921</v>
      </c>
      <c r="B29" t="s">
        <v>91</v>
      </c>
      <c r="C29" t="s">
        <v>92</v>
      </c>
      <c r="D29" t="s">
        <v>4479</v>
      </c>
      <c r="E29" t="s">
        <v>26</v>
      </c>
      <c r="F29" t="s">
        <v>81</v>
      </c>
      <c r="G29" t="s">
        <v>1406</v>
      </c>
      <c r="H29" s="6">
        <v>46022</v>
      </c>
      <c r="I29" t="s">
        <v>29</v>
      </c>
      <c r="J29">
        <v>191</v>
      </c>
      <c r="K29">
        <v>0</v>
      </c>
      <c r="L29">
        <v>0</v>
      </c>
      <c r="M29">
        <v>0</v>
      </c>
      <c r="N29" t="s">
        <v>3915</v>
      </c>
      <c r="O29" t="s">
        <v>3915</v>
      </c>
      <c r="P29" t="s">
        <v>3915</v>
      </c>
      <c r="Q29">
        <v>0</v>
      </c>
      <c r="R29" t="s">
        <v>30</v>
      </c>
      <c r="S29">
        <v>0</v>
      </c>
      <c r="T29">
        <v>0</v>
      </c>
      <c r="U29" t="s">
        <v>3915</v>
      </c>
      <c r="V29" t="s">
        <v>31</v>
      </c>
      <c r="W29">
        <v>0</v>
      </c>
    </row>
    <row r="30" spans="1:23" x14ac:dyDescent="0.25">
      <c r="A30" t="s">
        <v>5047</v>
      </c>
      <c r="B30" t="s">
        <v>1630</v>
      </c>
      <c r="C30" t="s">
        <v>1629</v>
      </c>
      <c r="D30" t="s">
        <v>4479</v>
      </c>
      <c r="E30" t="s">
        <v>26</v>
      </c>
      <c r="F30" t="s">
        <v>81</v>
      </c>
      <c r="G30" t="s">
        <v>1406</v>
      </c>
      <c r="H30" s="6">
        <v>46022</v>
      </c>
      <c r="I30" t="s">
        <v>29</v>
      </c>
      <c r="J30">
        <v>58</v>
      </c>
      <c r="K30">
        <v>0</v>
      </c>
      <c r="L30">
        <v>0</v>
      </c>
      <c r="M30">
        <v>0</v>
      </c>
      <c r="N30" t="s">
        <v>3915</v>
      </c>
      <c r="O30" t="s">
        <v>3915</v>
      </c>
      <c r="P30" t="s">
        <v>3915</v>
      </c>
      <c r="Q30">
        <v>0</v>
      </c>
      <c r="R30" t="s">
        <v>30</v>
      </c>
      <c r="S30">
        <v>0</v>
      </c>
      <c r="T30">
        <v>0</v>
      </c>
      <c r="U30" t="s">
        <v>3915</v>
      </c>
      <c r="V30" t="s">
        <v>31</v>
      </c>
      <c r="W30">
        <v>0</v>
      </c>
    </row>
    <row r="31" spans="1:23" x14ac:dyDescent="0.25">
      <c r="A31" t="s">
        <v>5004</v>
      </c>
      <c r="B31" t="s">
        <v>1632</v>
      </c>
      <c r="C31" t="s">
        <v>1631</v>
      </c>
      <c r="D31" t="s">
        <v>4479</v>
      </c>
      <c r="E31" t="s">
        <v>26</v>
      </c>
      <c r="F31" t="s">
        <v>81</v>
      </c>
      <c r="G31" t="s">
        <v>1406</v>
      </c>
      <c r="H31" s="6">
        <v>46022</v>
      </c>
      <c r="I31" t="s">
        <v>29</v>
      </c>
      <c r="J31">
        <v>58</v>
      </c>
      <c r="K31">
        <v>0</v>
      </c>
      <c r="L31">
        <v>0</v>
      </c>
      <c r="M31">
        <v>0</v>
      </c>
      <c r="N31" t="s">
        <v>3915</v>
      </c>
      <c r="O31" t="s">
        <v>3915</v>
      </c>
      <c r="P31" t="s">
        <v>3915</v>
      </c>
      <c r="Q31">
        <v>0</v>
      </c>
      <c r="R31" t="s">
        <v>30</v>
      </c>
      <c r="S31">
        <v>0</v>
      </c>
      <c r="T31">
        <v>0</v>
      </c>
      <c r="U31" t="s">
        <v>3915</v>
      </c>
      <c r="V31" t="s">
        <v>31</v>
      </c>
      <c r="W31">
        <v>0</v>
      </c>
    </row>
    <row r="32" spans="1:23" x14ac:dyDescent="0.25">
      <c r="A32" t="s">
        <v>4728</v>
      </c>
      <c r="B32" t="s">
        <v>1634</v>
      </c>
      <c r="C32" t="s">
        <v>1633</v>
      </c>
      <c r="D32" t="s">
        <v>4479</v>
      </c>
      <c r="E32" t="s">
        <v>26</v>
      </c>
      <c r="F32" t="s">
        <v>81</v>
      </c>
      <c r="G32" t="s">
        <v>1406</v>
      </c>
      <c r="H32" s="6">
        <v>46022</v>
      </c>
      <c r="I32" t="s">
        <v>29</v>
      </c>
      <c r="J32">
        <v>40</v>
      </c>
      <c r="K32">
        <v>0</v>
      </c>
      <c r="L32">
        <v>0</v>
      </c>
      <c r="M32">
        <v>0</v>
      </c>
      <c r="N32" t="s">
        <v>3915</v>
      </c>
      <c r="O32" t="s">
        <v>3915</v>
      </c>
      <c r="P32" t="s">
        <v>3915</v>
      </c>
      <c r="Q32">
        <v>0</v>
      </c>
      <c r="R32" t="s">
        <v>30</v>
      </c>
      <c r="S32">
        <v>0</v>
      </c>
      <c r="T32">
        <v>0</v>
      </c>
      <c r="U32" t="s">
        <v>3915</v>
      </c>
      <c r="V32" t="s">
        <v>31</v>
      </c>
      <c r="W32">
        <v>0</v>
      </c>
    </row>
    <row r="33" spans="1:23" x14ac:dyDescent="0.25">
      <c r="A33" t="s">
        <v>5048</v>
      </c>
      <c r="B33" t="s">
        <v>1650</v>
      </c>
      <c r="C33" t="s">
        <v>1649</v>
      </c>
      <c r="D33" t="s">
        <v>4479</v>
      </c>
      <c r="E33" t="s">
        <v>1394</v>
      </c>
      <c r="F33" t="s">
        <v>95</v>
      </c>
      <c r="G33" t="s">
        <v>1406</v>
      </c>
      <c r="H33" s="6">
        <v>46022</v>
      </c>
      <c r="I33" t="s">
        <v>29</v>
      </c>
      <c r="J33">
        <v>20</v>
      </c>
      <c r="K33">
        <v>0</v>
      </c>
      <c r="L33">
        <v>0</v>
      </c>
      <c r="M33">
        <v>0</v>
      </c>
      <c r="N33" t="s">
        <v>3915</v>
      </c>
      <c r="O33" t="s">
        <v>3915</v>
      </c>
      <c r="P33" t="s">
        <v>3915</v>
      </c>
      <c r="Q33">
        <v>0</v>
      </c>
      <c r="R33" t="s">
        <v>30</v>
      </c>
      <c r="S33">
        <v>0</v>
      </c>
      <c r="T33">
        <v>0</v>
      </c>
      <c r="U33" t="s">
        <v>3915</v>
      </c>
      <c r="V33" t="s">
        <v>31</v>
      </c>
      <c r="W33">
        <v>0</v>
      </c>
    </row>
    <row r="34" spans="1:23" x14ac:dyDescent="0.25">
      <c r="A34" t="s">
        <v>5049</v>
      </c>
      <c r="B34" t="s">
        <v>1652</v>
      </c>
      <c r="C34" t="s">
        <v>1651</v>
      </c>
      <c r="D34" t="s">
        <v>4479</v>
      </c>
      <c r="E34" t="s">
        <v>1394</v>
      </c>
      <c r="F34" t="s">
        <v>95</v>
      </c>
      <c r="G34" t="s">
        <v>1406</v>
      </c>
      <c r="H34" s="6">
        <v>46022</v>
      </c>
      <c r="I34" t="s">
        <v>29</v>
      </c>
      <c r="J34">
        <v>10</v>
      </c>
      <c r="K34">
        <v>0</v>
      </c>
      <c r="L34">
        <v>0</v>
      </c>
      <c r="M34">
        <v>0</v>
      </c>
      <c r="N34" t="s">
        <v>3915</v>
      </c>
      <c r="O34" t="s">
        <v>3915</v>
      </c>
      <c r="P34" t="s">
        <v>3915</v>
      </c>
      <c r="Q34">
        <v>0</v>
      </c>
      <c r="R34" t="s">
        <v>30</v>
      </c>
      <c r="S34">
        <v>0</v>
      </c>
      <c r="T34">
        <v>0</v>
      </c>
      <c r="U34" t="s">
        <v>3915</v>
      </c>
      <c r="V34" t="s">
        <v>31</v>
      </c>
      <c r="W34">
        <v>0</v>
      </c>
    </row>
    <row r="35" spans="1:23" x14ac:dyDescent="0.25">
      <c r="A35" t="s">
        <v>5050</v>
      </c>
      <c r="B35" t="s">
        <v>1654</v>
      </c>
      <c r="C35" t="s">
        <v>1653</v>
      </c>
      <c r="D35" t="s">
        <v>4479</v>
      </c>
      <c r="E35" t="s">
        <v>1394</v>
      </c>
      <c r="F35" t="s">
        <v>95</v>
      </c>
      <c r="G35" t="s">
        <v>1406</v>
      </c>
      <c r="H35" s="6">
        <v>46022</v>
      </c>
      <c r="I35" t="s">
        <v>29</v>
      </c>
      <c r="J35">
        <v>8</v>
      </c>
      <c r="K35">
        <v>0</v>
      </c>
      <c r="L35">
        <v>0</v>
      </c>
      <c r="M35">
        <v>0</v>
      </c>
      <c r="N35" t="s">
        <v>3915</v>
      </c>
      <c r="O35" t="s">
        <v>3915</v>
      </c>
      <c r="P35" t="s">
        <v>3915</v>
      </c>
      <c r="Q35">
        <v>0</v>
      </c>
      <c r="R35" t="s">
        <v>30</v>
      </c>
      <c r="S35">
        <v>0</v>
      </c>
      <c r="T35">
        <v>0</v>
      </c>
      <c r="U35" t="s">
        <v>3915</v>
      </c>
      <c r="V35" t="s">
        <v>31</v>
      </c>
      <c r="W35">
        <v>0</v>
      </c>
    </row>
    <row r="36" spans="1:23" x14ac:dyDescent="0.25">
      <c r="A36" t="s">
        <v>5051</v>
      </c>
      <c r="B36" t="s">
        <v>1656</v>
      </c>
      <c r="C36" t="s">
        <v>1655</v>
      </c>
      <c r="D36" t="s">
        <v>4479</v>
      </c>
      <c r="E36" t="s">
        <v>1394</v>
      </c>
      <c r="F36" t="s">
        <v>95</v>
      </c>
      <c r="G36" t="s">
        <v>1406</v>
      </c>
      <c r="H36" s="6">
        <v>46022</v>
      </c>
      <c r="I36" t="s">
        <v>29</v>
      </c>
      <c r="J36">
        <v>2</v>
      </c>
      <c r="K36">
        <v>0</v>
      </c>
      <c r="L36">
        <v>0</v>
      </c>
      <c r="M36">
        <v>0</v>
      </c>
      <c r="N36" t="s">
        <v>3915</v>
      </c>
      <c r="O36" t="s">
        <v>3915</v>
      </c>
      <c r="P36" t="s">
        <v>3915</v>
      </c>
      <c r="Q36">
        <v>0</v>
      </c>
      <c r="R36" t="s">
        <v>30</v>
      </c>
      <c r="S36">
        <v>0</v>
      </c>
      <c r="T36">
        <v>0</v>
      </c>
      <c r="U36" t="s">
        <v>3915</v>
      </c>
      <c r="V36" t="s">
        <v>31</v>
      </c>
      <c r="W36">
        <v>0</v>
      </c>
    </row>
    <row r="37" spans="1:23" x14ac:dyDescent="0.25">
      <c r="A37" t="s">
        <v>5052</v>
      </c>
      <c r="B37" t="s">
        <v>1658</v>
      </c>
      <c r="C37" t="s">
        <v>1657</v>
      </c>
      <c r="D37" t="s">
        <v>4479</v>
      </c>
      <c r="E37" t="s">
        <v>1394</v>
      </c>
      <c r="F37" t="s">
        <v>95</v>
      </c>
      <c r="G37" t="s">
        <v>1406</v>
      </c>
      <c r="H37" s="6">
        <v>46022</v>
      </c>
      <c r="I37" t="s">
        <v>29</v>
      </c>
      <c r="J37">
        <v>24</v>
      </c>
      <c r="K37">
        <v>0</v>
      </c>
      <c r="L37">
        <v>0</v>
      </c>
      <c r="M37">
        <v>0</v>
      </c>
      <c r="N37" t="s">
        <v>3915</v>
      </c>
      <c r="O37" t="s">
        <v>3915</v>
      </c>
      <c r="P37" t="s">
        <v>3915</v>
      </c>
      <c r="Q37">
        <v>0</v>
      </c>
      <c r="R37" t="s">
        <v>30</v>
      </c>
      <c r="S37">
        <v>0</v>
      </c>
      <c r="T37">
        <v>0</v>
      </c>
      <c r="U37" t="s">
        <v>3915</v>
      </c>
      <c r="V37" t="s">
        <v>31</v>
      </c>
      <c r="W37">
        <v>0</v>
      </c>
    </row>
    <row r="38" spans="1:23" x14ac:dyDescent="0.25">
      <c r="A38" t="s">
        <v>5053</v>
      </c>
      <c r="B38" t="s">
        <v>1660</v>
      </c>
      <c r="C38" t="s">
        <v>1659</v>
      </c>
      <c r="D38" t="s">
        <v>4479</v>
      </c>
      <c r="E38" t="s">
        <v>1394</v>
      </c>
      <c r="F38" t="s">
        <v>95</v>
      </c>
      <c r="G38" t="s">
        <v>1406</v>
      </c>
      <c r="H38" s="6">
        <v>46022</v>
      </c>
      <c r="I38" t="s">
        <v>29</v>
      </c>
      <c r="J38">
        <v>24</v>
      </c>
      <c r="K38">
        <v>0</v>
      </c>
      <c r="L38">
        <v>0</v>
      </c>
      <c r="M38">
        <v>0</v>
      </c>
      <c r="N38" t="s">
        <v>3915</v>
      </c>
      <c r="O38" t="s">
        <v>3915</v>
      </c>
      <c r="P38" t="s">
        <v>3915</v>
      </c>
      <c r="Q38">
        <v>0</v>
      </c>
      <c r="R38" t="s">
        <v>30</v>
      </c>
      <c r="S38">
        <v>0</v>
      </c>
      <c r="T38">
        <v>0</v>
      </c>
      <c r="U38" t="s">
        <v>3915</v>
      </c>
      <c r="V38" t="s">
        <v>31</v>
      </c>
      <c r="W38">
        <v>0</v>
      </c>
    </row>
    <row r="39" spans="1:23" x14ac:dyDescent="0.25">
      <c r="A39" t="s">
        <v>5054</v>
      </c>
      <c r="B39" t="s">
        <v>1662</v>
      </c>
      <c r="C39" t="s">
        <v>1661</v>
      </c>
      <c r="D39" t="s">
        <v>4479</v>
      </c>
      <c r="E39" t="s">
        <v>1394</v>
      </c>
      <c r="F39" t="s">
        <v>95</v>
      </c>
      <c r="G39" t="s">
        <v>1406</v>
      </c>
      <c r="H39" s="6">
        <v>46022</v>
      </c>
      <c r="I39" t="s">
        <v>29</v>
      </c>
      <c r="J39">
        <v>58</v>
      </c>
      <c r="K39">
        <v>0</v>
      </c>
      <c r="L39">
        <v>0</v>
      </c>
      <c r="M39">
        <v>0</v>
      </c>
      <c r="N39" t="s">
        <v>3915</v>
      </c>
      <c r="O39" t="s">
        <v>3915</v>
      </c>
      <c r="P39" t="s">
        <v>3915</v>
      </c>
      <c r="Q39">
        <v>0</v>
      </c>
      <c r="R39" t="s">
        <v>30</v>
      </c>
      <c r="S39">
        <v>0</v>
      </c>
      <c r="T39">
        <v>0</v>
      </c>
      <c r="U39" t="s">
        <v>3915</v>
      </c>
      <c r="V39" t="s">
        <v>31</v>
      </c>
      <c r="W39">
        <v>0</v>
      </c>
    </row>
    <row r="40" spans="1:23" x14ac:dyDescent="0.25">
      <c r="A40" t="s">
        <v>5055</v>
      </c>
      <c r="B40" t="s">
        <v>1664</v>
      </c>
      <c r="C40" t="s">
        <v>1663</v>
      </c>
      <c r="D40" t="s">
        <v>4479</v>
      </c>
      <c r="E40" t="s">
        <v>1394</v>
      </c>
      <c r="F40" t="s">
        <v>95</v>
      </c>
      <c r="G40" t="s">
        <v>1406</v>
      </c>
      <c r="H40" s="6">
        <v>46022</v>
      </c>
      <c r="I40" t="s">
        <v>29</v>
      </c>
      <c r="J40">
        <v>50</v>
      </c>
      <c r="K40">
        <v>0</v>
      </c>
      <c r="L40">
        <v>0</v>
      </c>
      <c r="M40">
        <v>0</v>
      </c>
      <c r="N40" t="s">
        <v>3915</v>
      </c>
      <c r="O40" t="s">
        <v>3915</v>
      </c>
      <c r="P40" t="s">
        <v>3915</v>
      </c>
      <c r="Q40">
        <v>0</v>
      </c>
      <c r="R40" t="s">
        <v>30</v>
      </c>
      <c r="S40">
        <v>0</v>
      </c>
      <c r="T40">
        <v>0</v>
      </c>
      <c r="U40" t="s">
        <v>3915</v>
      </c>
      <c r="V40" t="s">
        <v>31</v>
      </c>
      <c r="W40">
        <v>0</v>
      </c>
    </row>
    <row r="41" spans="1:23" x14ac:dyDescent="0.25">
      <c r="A41" t="s">
        <v>5056</v>
      </c>
      <c r="B41" t="s">
        <v>1666</v>
      </c>
      <c r="C41" t="s">
        <v>1665</v>
      </c>
      <c r="D41" t="s">
        <v>4479</v>
      </c>
      <c r="E41" t="s">
        <v>1394</v>
      </c>
      <c r="F41" t="s">
        <v>95</v>
      </c>
      <c r="G41" t="s">
        <v>1406</v>
      </c>
      <c r="H41" s="6">
        <v>46022</v>
      </c>
      <c r="I41" t="s">
        <v>29</v>
      </c>
      <c r="J41">
        <v>44</v>
      </c>
      <c r="K41">
        <v>0</v>
      </c>
      <c r="L41">
        <v>0</v>
      </c>
      <c r="M41">
        <v>0</v>
      </c>
      <c r="N41" t="s">
        <v>3915</v>
      </c>
      <c r="O41" t="s">
        <v>3915</v>
      </c>
      <c r="P41" t="s">
        <v>3915</v>
      </c>
      <c r="Q41">
        <v>0</v>
      </c>
      <c r="R41" t="s">
        <v>30</v>
      </c>
      <c r="S41">
        <v>0</v>
      </c>
      <c r="T41">
        <v>0</v>
      </c>
      <c r="U41" t="s">
        <v>3915</v>
      </c>
      <c r="V41" t="s">
        <v>31</v>
      </c>
      <c r="W41">
        <v>0</v>
      </c>
    </row>
    <row r="42" spans="1:23" x14ac:dyDescent="0.25">
      <c r="A42" t="s">
        <v>5057</v>
      </c>
      <c r="B42" t="s">
        <v>1668</v>
      </c>
      <c r="C42" t="s">
        <v>1667</v>
      </c>
      <c r="D42" t="s">
        <v>4479</v>
      </c>
      <c r="E42" t="s">
        <v>1394</v>
      </c>
      <c r="F42" t="s">
        <v>95</v>
      </c>
      <c r="G42" t="s">
        <v>1406</v>
      </c>
      <c r="H42" s="6">
        <v>46022</v>
      </c>
      <c r="I42" t="s">
        <v>29</v>
      </c>
      <c r="J42">
        <v>8</v>
      </c>
      <c r="K42">
        <v>0</v>
      </c>
      <c r="L42">
        <v>0</v>
      </c>
      <c r="M42">
        <v>0</v>
      </c>
      <c r="N42" t="s">
        <v>3915</v>
      </c>
      <c r="O42" t="s">
        <v>3915</v>
      </c>
      <c r="P42" t="s">
        <v>3915</v>
      </c>
      <c r="Q42">
        <v>0</v>
      </c>
      <c r="R42" t="s">
        <v>30</v>
      </c>
      <c r="S42">
        <v>0</v>
      </c>
      <c r="T42">
        <v>0</v>
      </c>
      <c r="U42" t="s">
        <v>3915</v>
      </c>
      <c r="V42" t="s">
        <v>31</v>
      </c>
      <c r="W42">
        <v>0</v>
      </c>
    </row>
    <row r="43" spans="1:23" x14ac:dyDescent="0.25">
      <c r="A43" t="s">
        <v>5058</v>
      </c>
      <c r="B43" t="s">
        <v>1670</v>
      </c>
      <c r="C43" t="s">
        <v>1669</v>
      </c>
      <c r="D43" t="s">
        <v>4479</v>
      </c>
      <c r="E43" t="s">
        <v>1394</v>
      </c>
      <c r="F43" t="s">
        <v>95</v>
      </c>
      <c r="G43" t="s">
        <v>1406</v>
      </c>
      <c r="H43" s="6">
        <v>46022</v>
      </c>
      <c r="I43" t="s">
        <v>29</v>
      </c>
      <c r="J43">
        <v>5</v>
      </c>
      <c r="K43">
        <v>0</v>
      </c>
      <c r="L43">
        <v>0</v>
      </c>
      <c r="M43">
        <v>0</v>
      </c>
      <c r="N43" t="s">
        <v>3915</v>
      </c>
      <c r="O43" t="s">
        <v>3915</v>
      </c>
      <c r="P43" t="s">
        <v>3915</v>
      </c>
      <c r="Q43">
        <v>0</v>
      </c>
      <c r="R43" t="s">
        <v>30</v>
      </c>
      <c r="S43">
        <v>0</v>
      </c>
      <c r="T43">
        <v>0</v>
      </c>
      <c r="U43" t="s">
        <v>3915</v>
      </c>
      <c r="V43" t="s">
        <v>31</v>
      </c>
      <c r="W43">
        <v>0</v>
      </c>
    </row>
    <row r="44" spans="1:23" x14ac:dyDescent="0.25">
      <c r="A44" t="s">
        <v>5059</v>
      </c>
      <c r="B44" t="s">
        <v>1672</v>
      </c>
      <c r="C44" t="s">
        <v>1671</v>
      </c>
      <c r="D44" t="s">
        <v>4479</v>
      </c>
      <c r="E44" t="s">
        <v>1394</v>
      </c>
      <c r="F44" t="s">
        <v>95</v>
      </c>
      <c r="G44" t="s">
        <v>1406</v>
      </c>
      <c r="H44" s="6">
        <v>46022</v>
      </c>
      <c r="I44" t="s">
        <v>29</v>
      </c>
      <c r="J44">
        <v>14</v>
      </c>
      <c r="K44">
        <v>0</v>
      </c>
      <c r="L44">
        <v>0</v>
      </c>
      <c r="M44">
        <v>0</v>
      </c>
      <c r="N44" t="s">
        <v>3915</v>
      </c>
      <c r="O44" t="s">
        <v>3915</v>
      </c>
      <c r="P44" t="s">
        <v>3915</v>
      </c>
      <c r="Q44">
        <v>0</v>
      </c>
      <c r="R44" t="s">
        <v>30</v>
      </c>
      <c r="S44">
        <v>0</v>
      </c>
      <c r="T44">
        <v>0</v>
      </c>
      <c r="U44" t="s">
        <v>3915</v>
      </c>
      <c r="V44" t="s">
        <v>31</v>
      </c>
      <c r="W44">
        <v>0</v>
      </c>
    </row>
    <row r="45" spans="1:23" x14ac:dyDescent="0.25">
      <c r="A45" t="s">
        <v>5060</v>
      </c>
      <c r="B45" t="s">
        <v>1674</v>
      </c>
      <c r="C45" t="s">
        <v>1673</v>
      </c>
      <c r="D45" t="s">
        <v>4479</v>
      </c>
      <c r="E45" t="s">
        <v>1394</v>
      </c>
      <c r="F45" t="s">
        <v>95</v>
      </c>
      <c r="G45" t="s">
        <v>1406</v>
      </c>
      <c r="H45" s="6">
        <v>46022</v>
      </c>
      <c r="I45" t="s">
        <v>29</v>
      </c>
      <c r="J45">
        <v>20</v>
      </c>
      <c r="K45">
        <v>0</v>
      </c>
      <c r="L45">
        <v>0</v>
      </c>
      <c r="M45">
        <v>0</v>
      </c>
      <c r="N45" t="s">
        <v>3915</v>
      </c>
      <c r="O45" t="s">
        <v>3915</v>
      </c>
      <c r="P45" t="s">
        <v>3915</v>
      </c>
      <c r="Q45">
        <v>0</v>
      </c>
      <c r="R45" t="s">
        <v>30</v>
      </c>
      <c r="S45">
        <v>0</v>
      </c>
      <c r="T45">
        <v>0</v>
      </c>
      <c r="U45" t="s">
        <v>3915</v>
      </c>
      <c r="V45" t="s">
        <v>31</v>
      </c>
      <c r="W45">
        <v>0</v>
      </c>
    </row>
    <row r="46" spans="1:23" x14ac:dyDescent="0.25">
      <c r="A46" t="s">
        <v>5061</v>
      </c>
      <c r="B46" t="s">
        <v>1676</v>
      </c>
      <c r="C46" t="s">
        <v>1675</v>
      </c>
      <c r="D46" t="s">
        <v>4479</v>
      </c>
      <c r="E46" t="s">
        <v>1394</v>
      </c>
      <c r="F46" t="s">
        <v>95</v>
      </c>
      <c r="G46" t="s">
        <v>1406</v>
      </c>
      <c r="H46" s="6">
        <v>46022</v>
      </c>
      <c r="I46" t="s">
        <v>29</v>
      </c>
      <c r="J46">
        <v>50</v>
      </c>
      <c r="K46">
        <v>0</v>
      </c>
      <c r="L46">
        <v>0</v>
      </c>
      <c r="M46">
        <v>0</v>
      </c>
      <c r="N46" t="s">
        <v>3915</v>
      </c>
      <c r="O46" t="s">
        <v>3915</v>
      </c>
      <c r="P46" t="s">
        <v>3915</v>
      </c>
      <c r="Q46">
        <v>0</v>
      </c>
      <c r="R46" t="s">
        <v>30</v>
      </c>
      <c r="S46">
        <v>0</v>
      </c>
      <c r="T46">
        <v>0</v>
      </c>
      <c r="U46" t="s">
        <v>3915</v>
      </c>
      <c r="V46" t="s">
        <v>31</v>
      </c>
      <c r="W46">
        <v>0</v>
      </c>
    </row>
    <row r="47" spans="1:23" x14ac:dyDescent="0.25">
      <c r="A47" t="s">
        <v>5062</v>
      </c>
      <c r="B47" t="s">
        <v>1678</v>
      </c>
      <c r="C47" t="s">
        <v>1677</v>
      </c>
      <c r="D47" t="s">
        <v>4479</v>
      </c>
      <c r="E47" t="s">
        <v>1394</v>
      </c>
      <c r="F47" t="s">
        <v>95</v>
      </c>
      <c r="G47" t="s">
        <v>1406</v>
      </c>
      <c r="H47" s="6">
        <v>46022</v>
      </c>
      <c r="I47" t="s">
        <v>29</v>
      </c>
      <c r="J47">
        <v>11</v>
      </c>
      <c r="K47">
        <v>0</v>
      </c>
      <c r="L47">
        <v>0</v>
      </c>
      <c r="M47">
        <v>0</v>
      </c>
      <c r="N47" t="s">
        <v>3915</v>
      </c>
      <c r="O47" t="s">
        <v>3915</v>
      </c>
      <c r="P47" t="s">
        <v>3915</v>
      </c>
      <c r="Q47">
        <v>0</v>
      </c>
      <c r="R47" t="s">
        <v>30</v>
      </c>
      <c r="S47">
        <v>0</v>
      </c>
      <c r="T47">
        <v>0</v>
      </c>
      <c r="U47" t="s">
        <v>3915</v>
      </c>
      <c r="V47" t="s">
        <v>31</v>
      </c>
      <c r="W47">
        <v>0</v>
      </c>
    </row>
    <row r="48" spans="1:23" x14ac:dyDescent="0.25">
      <c r="A48" t="s">
        <v>5063</v>
      </c>
      <c r="B48" t="s">
        <v>1680</v>
      </c>
      <c r="C48" t="s">
        <v>1679</v>
      </c>
      <c r="D48" t="s">
        <v>4479</v>
      </c>
      <c r="E48" t="s">
        <v>1394</v>
      </c>
      <c r="F48" t="s">
        <v>95</v>
      </c>
      <c r="G48" t="s">
        <v>1406</v>
      </c>
      <c r="H48" s="6">
        <v>46022</v>
      </c>
      <c r="I48" t="s">
        <v>29</v>
      </c>
      <c r="J48">
        <v>20</v>
      </c>
      <c r="K48">
        <v>0</v>
      </c>
      <c r="L48">
        <v>0</v>
      </c>
      <c r="M48">
        <v>0</v>
      </c>
      <c r="N48" t="s">
        <v>3915</v>
      </c>
      <c r="O48" t="s">
        <v>3915</v>
      </c>
      <c r="P48" t="s">
        <v>3915</v>
      </c>
      <c r="Q48">
        <v>0</v>
      </c>
      <c r="R48" t="s">
        <v>30</v>
      </c>
      <c r="S48">
        <v>0</v>
      </c>
      <c r="T48">
        <v>0</v>
      </c>
      <c r="U48" t="s">
        <v>3915</v>
      </c>
      <c r="V48" t="s">
        <v>31</v>
      </c>
      <c r="W48">
        <v>0</v>
      </c>
    </row>
    <row r="49" spans="1:23" x14ac:dyDescent="0.25">
      <c r="A49" t="s">
        <v>5064</v>
      </c>
      <c r="B49" t="s">
        <v>1682</v>
      </c>
      <c r="C49" t="s">
        <v>1681</v>
      </c>
      <c r="D49" t="s">
        <v>4479</v>
      </c>
      <c r="E49" t="s">
        <v>1394</v>
      </c>
      <c r="F49" t="s">
        <v>95</v>
      </c>
      <c r="G49" t="s">
        <v>1406</v>
      </c>
      <c r="H49" s="6">
        <v>46022</v>
      </c>
      <c r="I49" t="s">
        <v>29</v>
      </c>
      <c r="J49">
        <v>20</v>
      </c>
      <c r="K49">
        <v>0</v>
      </c>
      <c r="L49">
        <v>0</v>
      </c>
      <c r="M49">
        <v>0</v>
      </c>
      <c r="N49" t="s">
        <v>3915</v>
      </c>
      <c r="O49" t="s">
        <v>3915</v>
      </c>
      <c r="P49" t="s">
        <v>3915</v>
      </c>
      <c r="Q49">
        <v>0</v>
      </c>
      <c r="R49" t="s">
        <v>30</v>
      </c>
      <c r="S49">
        <v>0</v>
      </c>
      <c r="T49">
        <v>0</v>
      </c>
      <c r="U49" t="s">
        <v>3915</v>
      </c>
      <c r="V49" t="s">
        <v>31</v>
      </c>
      <c r="W49">
        <v>0</v>
      </c>
    </row>
    <row r="50" spans="1:23" x14ac:dyDescent="0.25">
      <c r="A50" t="s">
        <v>5065</v>
      </c>
      <c r="B50" t="s">
        <v>1684</v>
      </c>
      <c r="C50" t="s">
        <v>1683</v>
      </c>
      <c r="D50" t="s">
        <v>4479</v>
      </c>
      <c r="E50" t="s">
        <v>1394</v>
      </c>
      <c r="F50" t="s">
        <v>95</v>
      </c>
      <c r="G50" t="s">
        <v>1406</v>
      </c>
      <c r="H50" s="6">
        <v>46022</v>
      </c>
      <c r="I50" t="s">
        <v>29</v>
      </c>
      <c r="J50">
        <v>10</v>
      </c>
      <c r="K50">
        <v>0</v>
      </c>
      <c r="L50">
        <v>0</v>
      </c>
      <c r="M50">
        <v>0</v>
      </c>
      <c r="N50" t="s">
        <v>3915</v>
      </c>
      <c r="O50" t="s">
        <v>3915</v>
      </c>
      <c r="P50" t="s">
        <v>3915</v>
      </c>
      <c r="Q50">
        <v>0</v>
      </c>
      <c r="R50" t="s">
        <v>30</v>
      </c>
      <c r="S50">
        <v>0</v>
      </c>
      <c r="T50">
        <v>0</v>
      </c>
      <c r="U50" t="s">
        <v>3915</v>
      </c>
      <c r="V50" t="s">
        <v>31</v>
      </c>
      <c r="W50">
        <v>0</v>
      </c>
    </row>
    <row r="51" spans="1:23" x14ac:dyDescent="0.25">
      <c r="A51" t="s">
        <v>5066</v>
      </c>
      <c r="B51" t="s">
        <v>1412</v>
      </c>
      <c r="C51" t="s">
        <v>1411</v>
      </c>
      <c r="D51" t="s">
        <v>4479</v>
      </c>
      <c r="E51" t="s">
        <v>1394</v>
      </c>
      <c r="F51" t="s">
        <v>95</v>
      </c>
      <c r="G51" t="s">
        <v>1406</v>
      </c>
      <c r="H51" s="6">
        <v>46022</v>
      </c>
      <c r="I51" t="s">
        <v>29</v>
      </c>
      <c r="J51">
        <v>466</v>
      </c>
      <c r="K51">
        <v>0</v>
      </c>
      <c r="L51">
        <v>0</v>
      </c>
      <c r="M51">
        <v>0</v>
      </c>
      <c r="N51" t="s">
        <v>3915</v>
      </c>
      <c r="O51" t="s">
        <v>3915</v>
      </c>
      <c r="P51" t="s">
        <v>3915</v>
      </c>
      <c r="Q51">
        <v>0</v>
      </c>
      <c r="R51" t="s">
        <v>30</v>
      </c>
      <c r="S51">
        <v>0</v>
      </c>
      <c r="T51">
        <v>0</v>
      </c>
      <c r="U51" t="s">
        <v>3915</v>
      </c>
      <c r="V51" t="s">
        <v>31</v>
      </c>
      <c r="W51">
        <v>0</v>
      </c>
    </row>
    <row r="52" spans="1:23" x14ac:dyDescent="0.25">
      <c r="A52" t="s">
        <v>5067</v>
      </c>
      <c r="B52" t="s">
        <v>1414</v>
      </c>
      <c r="C52" t="s">
        <v>1413</v>
      </c>
      <c r="D52" t="s">
        <v>4479</v>
      </c>
      <c r="E52" t="s">
        <v>1394</v>
      </c>
      <c r="F52" t="s">
        <v>95</v>
      </c>
      <c r="G52" t="s">
        <v>1406</v>
      </c>
      <c r="H52" s="6">
        <v>46022</v>
      </c>
      <c r="I52" t="s">
        <v>29</v>
      </c>
      <c r="J52">
        <v>443</v>
      </c>
      <c r="K52">
        <v>0</v>
      </c>
      <c r="L52">
        <v>0</v>
      </c>
      <c r="M52">
        <v>0</v>
      </c>
      <c r="N52" t="s">
        <v>3915</v>
      </c>
      <c r="O52" t="s">
        <v>3915</v>
      </c>
      <c r="P52" t="s">
        <v>3915</v>
      </c>
      <c r="Q52">
        <v>0</v>
      </c>
      <c r="R52" t="s">
        <v>30</v>
      </c>
      <c r="S52">
        <v>0</v>
      </c>
      <c r="T52">
        <v>0</v>
      </c>
      <c r="U52" t="s">
        <v>3915</v>
      </c>
      <c r="V52" t="s">
        <v>31</v>
      </c>
      <c r="W52">
        <v>0</v>
      </c>
    </row>
    <row r="53" spans="1:23" x14ac:dyDescent="0.25">
      <c r="A53" t="s">
        <v>5068</v>
      </c>
      <c r="B53" t="s">
        <v>1686</v>
      </c>
      <c r="C53" t="s">
        <v>1685</v>
      </c>
      <c r="D53" t="s">
        <v>4479</v>
      </c>
      <c r="E53" t="s">
        <v>1394</v>
      </c>
      <c r="F53" t="s">
        <v>95</v>
      </c>
      <c r="G53" t="s">
        <v>1406</v>
      </c>
      <c r="H53" s="6">
        <v>46022</v>
      </c>
      <c r="I53" t="s">
        <v>29</v>
      </c>
      <c r="J53">
        <v>237</v>
      </c>
      <c r="K53">
        <v>0</v>
      </c>
      <c r="L53">
        <v>0</v>
      </c>
      <c r="M53">
        <v>0</v>
      </c>
      <c r="N53" t="s">
        <v>3915</v>
      </c>
      <c r="O53" t="s">
        <v>3915</v>
      </c>
      <c r="P53" t="s">
        <v>3915</v>
      </c>
      <c r="Q53">
        <v>0</v>
      </c>
      <c r="R53" t="s">
        <v>30</v>
      </c>
      <c r="S53">
        <v>0</v>
      </c>
      <c r="T53">
        <v>0</v>
      </c>
      <c r="U53" t="s">
        <v>3915</v>
      </c>
      <c r="V53" t="s">
        <v>31</v>
      </c>
      <c r="W53">
        <v>0</v>
      </c>
    </row>
    <row r="54" spans="1:23" x14ac:dyDescent="0.25">
      <c r="A54" t="s">
        <v>5069</v>
      </c>
      <c r="B54" t="s">
        <v>1688</v>
      </c>
      <c r="C54" t="s">
        <v>1687</v>
      </c>
      <c r="D54" t="s">
        <v>4479</v>
      </c>
      <c r="E54" t="s">
        <v>1394</v>
      </c>
      <c r="F54" t="s">
        <v>95</v>
      </c>
      <c r="G54" t="s">
        <v>1406</v>
      </c>
      <c r="H54" s="6">
        <v>46022</v>
      </c>
      <c r="I54" t="s">
        <v>29</v>
      </c>
      <c r="J54">
        <v>64</v>
      </c>
      <c r="K54">
        <v>0</v>
      </c>
      <c r="L54">
        <v>0</v>
      </c>
      <c r="M54">
        <v>0</v>
      </c>
      <c r="N54" t="s">
        <v>3915</v>
      </c>
      <c r="O54" t="s">
        <v>3915</v>
      </c>
      <c r="P54" t="s">
        <v>3915</v>
      </c>
      <c r="Q54">
        <v>0</v>
      </c>
      <c r="R54" t="s">
        <v>30</v>
      </c>
      <c r="S54">
        <v>0</v>
      </c>
      <c r="T54">
        <v>0</v>
      </c>
      <c r="U54" t="s">
        <v>3915</v>
      </c>
      <c r="V54" t="s">
        <v>31</v>
      </c>
      <c r="W54">
        <v>0</v>
      </c>
    </row>
    <row r="55" spans="1:23" x14ac:dyDescent="0.25">
      <c r="A55" t="s">
        <v>5070</v>
      </c>
      <c r="B55" t="s">
        <v>1690</v>
      </c>
      <c r="C55" t="s">
        <v>1689</v>
      </c>
      <c r="D55" t="s">
        <v>4479</v>
      </c>
      <c r="E55" t="s">
        <v>1394</v>
      </c>
      <c r="F55" t="s">
        <v>95</v>
      </c>
      <c r="G55" t="s">
        <v>1406</v>
      </c>
      <c r="H55" s="6">
        <v>46022</v>
      </c>
      <c r="I55" t="s">
        <v>29</v>
      </c>
      <c r="J55">
        <v>22</v>
      </c>
      <c r="K55">
        <v>0</v>
      </c>
      <c r="L55">
        <v>0</v>
      </c>
      <c r="M55">
        <v>0</v>
      </c>
      <c r="N55" t="s">
        <v>3915</v>
      </c>
      <c r="O55" t="s">
        <v>3915</v>
      </c>
      <c r="P55" t="s">
        <v>3915</v>
      </c>
      <c r="Q55">
        <v>0</v>
      </c>
      <c r="R55" t="s">
        <v>30</v>
      </c>
      <c r="S55">
        <v>0</v>
      </c>
      <c r="T55">
        <v>0</v>
      </c>
      <c r="U55" t="s">
        <v>3915</v>
      </c>
      <c r="V55" t="s">
        <v>31</v>
      </c>
      <c r="W55">
        <v>0</v>
      </c>
    </row>
    <row r="56" spans="1:23" x14ac:dyDescent="0.25">
      <c r="A56" t="s">
        <v>5071</v>
      </c>
      <c r="B56" t="s">
        <v>1692</v>
      </c>
      <c r="C56" t="s">
        <v>1691</v>
      </c>
      <c r="D56" t="s">
        <v>4479</v>
      </c>
      <c r="E56" t="s">
        <v>1394</v>
      </c>
      <c r="F56" t="s">
        <v>95</v>
      </c>
      <c r="G56" t="s">
        <v>1406</v>
      </c>
      <c r="H56" s="6">
        <v>46022</v>
      </c>
      <c r="I56" t="s">
        <v>29</v>
      </c>
      <c r="J56">
        <v>20</v>
      </c>
      <c r="K56">
        <v>0</v>
      </c>
      <c r="L56">
        <v>0</v>
      </c>
      <c r="M56">
        <v>0</v>
      </c>
      <c r="N56" t="s">
        <v>3915</v>
      </c>
      <c r="O56" t="s">
        <v>3915</v>
      </c>
      <c r="P56" t="s">
        <v>3915</v>
      </c>
      <c r="Q56">
        <v>0</v>
      </c>
      <c r="R56" t="s">
        <v>30</v>
      </c>
      <c r="S56">
        <v>0</v>
      </c>
      <c r="T56">
        <v>0</v>
      </c>
      <c r="U56" t="s">
        <v>3915</v>
      </c>
      <c r="V56" t="s">
        <v>31</v>
      </c>
      <c r="W56">
        <v>0</v>
      </c>
    </row>
    <row r="57" spans="1:23" x14ac:dyDescent="0.25">
      <c r="A57" t="s">
        <v>5072</v>
      </c>
      <c r="B57" t="s">
        <v>1694</v>
      </c>
      <c r="C57" t="s">
        <v>1693</v>
      </c>
      <c r="D57" t="s">
        <v>4479</v>
      </c>
      <c r="E57" t="s">
        <v>1394</v>
      </c>
      <c r="F57" t="s">
        <v>95</v>
      </c>
      <c r="G57" t="s">
        <v>1406</v>
      </c>
      <c r="H57" s="6">
        <v>46022</v>
      </c>
      <c r="I57" t="s">
        <v>29</v>
      </c>
      <c r="J57">
        <v>22</v>
      </c>
      <c r="K57">
        <v>0</v>
      </c>
      <c r="L57">
        <v>0</v>
      </c>
      <c r="M57">
        <v>0</v>
      </c>
      <c r="N57" t="s">
        <v>3915</v>
      </c>
      <c r="O57" t="s">
        <v>3915</v>
      </c>
      <c r="P57" t="s">
        <v>3915</v>
      </c>
      <c r="Q57">
        <v>0</v>
      </c>
      <c r="R57" t="s">
        <v>30</v>
      </c>
      <c r="S57">
        <v>0</v>
      </c>
      <c r="T57">
        <v>0</v>
      </c>
      <c r="U57" t="s">
        <v>3915</v>
      </c>
      <c r="V57" t="s">
        <v>31</v>
      </c>
      <c r="W57">
        <v>0</v>
      </c>
    </row>
    <row r="58" spans="1:23" x14ac:dyDescent="0.25">
      <c r="A58" t="s">
        <v>5073</v>
      </c>
      <c r="B58" t="s">
        <v>1696</v>
      </c>
      <c r="C58" t="s">
        <v>1695</v>
      </c>
      <c r="D58" t="s">
        <v>4479</v>
      </c>
      <c r="E58" t="s">
        <v>1394</v>
      </c>
      <c r="F58" t="s">
        <v>95</v>
      </c>
      <c r="G58" t="s">
        <v>1406</v>
      </c>
      <c r="H58" s="6">
        <v>46022</v>
      </c>
      <c r="I58" t="s">
        <v>29</v>
      </c>
      <c r="J58">
        <v>20</v>
      </c>
      <c r="K58">
        <v>0</v>
      </c>
      <c r="L58">
        <v>0</v>
      </c>
      <c r="M58">
        <v>0</v>
      </c>
      <c r="N58" t="s">
        <v>3915</v>
      </c>
      <c r="O58" t="s">
        <v>3915</v>
      </c>
      <c r="P58" t="s">
        <v>3915</v>
      </c>
      <c r="Q58">
        <v>0</v>
      </c>
      <c r="R58" t="s">
        <v>30</v>
      </c>
      <c r="S58">
        <v>0</v>
      </c>
      <c r="T58">
        <v>0</v>
      </c>
      <c r="U58" t="s">
        <v>3915</v>
      </c>
      <c r="V58" t="s">
        <v>31</v>
      </c>
      <c r="W58">
        <v>0</v>
      </c>
    </row>
    <row r="59" spans="1:23" x14ac:dyDescent="0.25">
      <c r="A59" t="s">
        <v>5074</v>
      </c>
      <c r="B59" t="s">
        <v>1698</v>
      </c>
      <c r="C59" t="s">
        <v>1697</v>
      </c>
      <c r="D59" t="s">
        <v>4479</v>
      </c>
      <c r="E59" t="s">
        <v>1394</v>
      </c>
      <c r="F59" t="s">
        <v>95</v>
      </c>
      <c r="G59" t="s">
        <v>1406</v>
      </c>
      <c r="H59" s="6">
        <v>46022</v>
      </c>
      <c r="I59" t="s">
        <v>29</v>
      </c>
      <c r="J59">
        <v>1</v>
      </c>
      <c r="K59">
        <v>0</v>
      </c>
      <c r="L59">
        <v>0</v>
      </c>
      <c r="M59">
        <v>0</v>
      </c>
      <c r="N59" t="s">
        <v>3915</v>
      </c>
      <c r="O59" t="s">
        <v>3915</v>
      </c>
      <c r="P59" t="s">
        <v>3915</v>
      </c>
      <c r="Q59">
        <v>0</v>
      </c>
      <c r="R59" t="s">
        <v>30</v>
      </c>
      <c r="S59">
        <v>0</v>
      </c>
      <c r="T59">
        <v>0</v>
      </c>
      <c r="U59" t="s">
        <v>3915</v>
      </c>
      <c r="V59" t="s">
        <v>31</v>
      </c>
      <c r="W59">
        <v>0</v>
      </c>
    </row>
    <row r="60" spans="1:23" x14ac:dyDescent="0.25">
      <c r="A60" t="s">
        <v>5075</v>
      </c>
      <c r="B60" t="s">
        <v>1700</v>
      </c>
      <c r="C60" t="s">
        <v>1699</v>
      </c>
      <c r="D60" t="s">
        <v>4479</v>
      </c>
      <c r="E60" t="s">
        <v>1394</v>
      </c>
      <c r="F60" t="s">
        <v>95</v>
      </c>
      <c r="G60" t="s">
        <v>1406</v>
      </c>
      <c r="H60" s="6">
        <v>46022</v>
      </c>
      <c r="I60" t="s">
        <v>29</v>
      </c>
      <c r="J60">
        <v>28</v>
      </c>
      <c r="K60">
        <v>0</v>
      </c>
      <c r="L60">
        <v>0</v>
      </c>
      <c r="M60">
        <v>0</v>
      </c>
      <c r="N60" t="s">
        <v>3915</v>
      </c>
      <c r="O60" t="s">
        <v>3915</v>
      </c>
      <c r="P60" t="s">
        <v>3915</v>
      </c>
      <c r="Q60">
        <v>0</v>
      </c>
      <c r="R60" t="s">
        <v>30</v>
      </c>
      <c r="S60">
        <v>0</v>
      </c>
      <c r="T60">
        <v>0</v>
      </c>
      <c r="U60" t="s">
        <v>3915</v>
      </c>
      <c r="V60" t="s">
        <v>31</v>
      </c>
      <c r="W60">
        <v>0</v>
      </c>
    </row>
    <row r="61" spans="1:23" x14ac:dyDescent="0.25">
      <c r="A61" t="s">
        <v>4677</v>
      </c>
      <c r="B61" t="s">
        <v>1416</v>
      </c>
      <c r="C61" t="s">
        <v>1415</v>
      </c>
      <c r="D61" t="s">
        <v>4479</v>
      </c>
      <c r="E61" t="s">
        <v>1394</v>
      </c>
      <c r="F61" t="s">
        <v>95</v>
      </c>
      <c r="G61" t="s">
        <v>1406</v>
      </c>
      <c r="H61" s="6">
        <v>46022</v>
      </c>
      <c r="I61" t="s">
        <v>29</v>
      </c>
      <c r="J61">
        <v>258</v>
      </c>
      <c r="K61">
        <v>0</v>
      </c>
      <c r="L61">
        <v>0</v>
      </c>
      <c r="M61">
        <v>0</v>
      </c>
      <c r="N61" t="s">
        <v>3915</v>
      </c>
      <c r="O61" t="s">
        <v>3915</v>
      </c>
      <c r="P61" t="s">
        <v>3915</v>
      </c>
      <c r="Q61">
        <v>0</v>
      </c>
      <c r="R61" t="s">
        <v>30</v>
      </c>
      <c r="S61">
        <v>0</v>
      </c>
      <c r="T61">
        <v>0</v>
      </c>
      <c r="U61" t="s">
        <v>3915</v>
      </c>
      <c r="V61" t="s">
        <v>31</v>
      </c>
      <c r="W61">
        <v>0</v>
      </c>
    </row>
    <row r="62" spans="1:23" x14ac:dyDescent="0.25">
      <c r="A62" t="s">
        <v>5076</v>
      </c>
      <c r="B62" t="s">
        <v>1702</v>
      </c>
      <c r="C62" t="s">
        <v>1701</v>
      </c>
      <c r="D62" t="s">
        <v>4479</v>
      </c>
      <c r="E62" t="s">
        <v>1394</v>
      </c>
      <c r="F62" t="s">
        <v>95</v>
      </c>
      <c r="G62" t="s">
        <v>1406</v>
      </c>
      <c r="H62" s="6">
        <v>46022</v>
      </c>
      <c r="I62" t="s">
        <v>29</v>
      </c>
      <c r="J62">
        <v>265</v>
      </c>
      <c r="K62">
        <v>0</v>
      </c>
      <c r="L62">
        <v>0</v>
      </c>
      <c r="M62">
        <v>0</v>
      </c>
      <c r="N62" t="s">
        <v>3915</v>
      </c>
      <c r="O62" t="s">
        <v>3915</v>
      </c>
      <c r="P62" t="s">
        <v>3915</v>
      </c>
      <c r="Q62">
        <v>0</v>
      </c>
      <c r="R62" t="s">
        <v>30</v>
      </c>
      <c r="S62">
        <v>0</v>
      </c>
      <c r="T62">
        <v>0</v>
      </c>
      <c r="U62" t="s">
        <v>3915</v>
      </c>
      <c r="V62" t="s">
        <v>31</v>
      </c>
      <c r="W62">
        <v>0</v>
      </c>
    </row>
    <row r="63" spans="1:23" x14ac:dyDescent="0.25">
      <c r="A63" t="s">
        <v>3922</v>
      </c>
      <c r="B63" t="s">
        <v>93</v>
      </c>
      <c r="C63" t="s">
        <v>94</v>
      </c>
      <c r="D63" t="s">
        <v>4479</v>
      </c>
      <c r="E63" t="s">
        <v>1394</v>
      </c>
      <c r="F63" t="s">
        <v>95</v>
      </c>
      <c r="G63" t="s">
        <v>1406</v>
      </c>
      <c r="H63" s="6">
        <v>46022</v>
      </c>
      <c r="I63" t="s">
        <v>29</v>
      </c>
      <c r="J63">
        <v>199</v>
      </c>
      <c r="K63">
        <v>0</v>
      </c>
      <c r="L63">
        <v>0</v>
      </c>
      <c r="M63">
        <v>0</v>
      </c>
      <c r="N63" t="s">
        <v>3915</v>
      </c>
      <c r="O63" t="s">
        <v>3915</v>
      </c>
      <c r="P63" t="s">
        <v>3915</v>
      </c>
      <c r="Q63">
        <v>0</v>
      </c>
      <c r="R63" t="s">
        <v>30</v>
      </c>
      <c r="S63">
        <v>0</v>
      </c>
      <c r="T63">
        <v>0</v>
      </c>
      <c r="U63" t="s">
        <v>3915</v>
      </c>
      <c r="V63" t="s">
        <v>31</v>
      </c>
      <c r="W63">
        <v>0</v>
      </c>
    </row>
    <row r="64" spans="1:23" x14ac:dyDescent="0.25">
      <c r="A64" t="s">
        <v>5077</v>
      </c>
      <c r="B64" t="s">
        <v>1418</v>
      </c>
      <c r="C64" t="s">
        <v>1417</v>
      </c>
      <c r="D64" t="s">
        <v>4479</v>
      </c>
      <c r="E64" t="s">
        <v>1394</v>
      </c>
      <c r="F64" t="s">
        <v>95</v>
      </c>
      <c r="G64" t="s">
        <v>1406</v>
      </c>
      <c r="H64" s="6">
        <v>46022</v>
      </c>
      <c r="I64" t="s">
        <v>29</v>
      </c>
      <c r="J64">
        <v>118</v>
      </c>
      <c r="K64">
        <v>0</v>
      </c>
      <c r="L64">
        <v>0</v>
      </c>
      <c r="M64">
        <v>0</v>
      </c>
      <c r="N64" t="s">
        <v>3915</v>
      </c>
      <c r="O64" t="s">
        <v>3915</v>
      </c>
      <c r="P64" t="s">
        <v>3915</v>
      </c>
      <c r="Q64">
        <v>0</v>
      </c>
      <c r="R64" t="s">
        <v>30</v>
      </c>
      <c r="S64">
        <v>0</v>
      </c>
      <c r="T64">
        <v>0</v>
      </c>
      <c r="U64" t="s">
        <v>3915</v>
      </c>
      <c r="V64" t="s">
        <v>31</v>
      </c>
      <c r="W64">
        <v>0</v>
      </c>
    </row>
    <row r="65" spans="1:23" x14ac:dyDescent="0.25">
      <c r="A65" t="s">
        <v>5078</v>
      </c>
      <c r="B65" t="s">
        <v>1420</v>
      </c>
      <c r="C65" t="s">
        <v>1419</v>
      </c>
      <c r="D65" t="s">
        <v>4479</v>
      </c>
      <c r="E65" t="s">
        <v>1394</v>
      </c>
      <c r="F65" t="s">
        <v>95</v>
      </c>
      <c r="G65" t="s">
        <v>1406</v>
      </c>
      <c r="H65" s="6">
        <v>46022</v>
      </c>
      <c r="I65" t="s">
        <v>29</v>
      </c>
      <c r="J65">
        <v>60</v>
      </c>
      <c r="K65">
        <v>0</v>
      </c>
      <c r="L65">
        <v>0</v>
      </c>
      <c r="M65">
        <v>0</v>
      </c>
      <c r="N65" t="s">
        <v>3915</v>
      </c>
      <c r="O65" t="s">
        <v>3915</v>
      </c>
      <c r="P65" t="s">
        <v>3915</v>
      </c>
      <c r="Q65">
        <v>0</v>
      </c>
      <c r="R65" t="s">
        <v>30</v>
      </c>
      <c r="S65">
        <v>0</v>
      </c>
      <c r="T65">
        <v>0</v>
      </c>
      <c r="U65" t="s">
        <v>3915</v>
      </c>
      <c r="V65" t="s">
        <v>31</v>
      </c>
      <c r="W65">
        <v>0</v>
      </c>
    </row>
    <row r="66" spans="1:23" x14ac:dyDescent="0.25">
      <c r="A66" t="s">
        <v>5079</v>
      </c>
      <c r="B66" t="s">
        <v>1704</v>
      </c>
      <c r="C66" t="s">
        <v>1703</v>
      </c>
      <c r="D66" t="s">
        <v>4479</v>
      </c>
      <c r="E66" t="s">
        <v>1394</v>
      </c>
      <c r="F66" t="s">
        <v>95</v>
      </c>
      <c r="G66" t="s">
        <v>1406</v>
      </c>
      <c r="H66" s="6">
        <v>46022</v>
      </c>
      <c r="I66" t="s">
        <v>29</v>
      </c>
      <c r="J66">
        <v>115</v>
      </c>
      <c r="K66">
        <v>0</v>
      </c>
      <c r="L66">
        <v>0</v>
      </c>
      <c r="M66">
        <v>0</v>
      </c>
      <c r="N66" t="s">
        <v>3915</v>
      </c>
      <c r="O66" t="s">
        <v>3915</v>
      </c>
      <c r="P66" t="s">
        <v>3915</v>
      </c>
      <c r="Q66">
        <v>0</v>
      </c>
      <c r="R66" t="s">
        <v>30</v>
      </c>
      <c r="S66">
        <v>0</v>
      </c>
      <c r="T66">
        <v>0</v>
      </c>
      <c r="U66" t="s">
        <v>3915</v>
      </c>
      <c r="V66" t="s">
        <v>31</v>
      </c>
      <c r="W66">
        <v>0</v>
      </c>
    </row>
    <row r="67" spans="1:23" x14ac:dyDescent="0.25">
      <c r="A67" t="s">
        <v>5080</v>
      </c>
      <c r="B67" t="s">
        <v>1706</v>
      </c>
      <c r="C67" t="s">
        <v>1705</v>
      </c>
      <c r="D67" t="s">
        <v>4479</v>
      </c>
      <c r="E67" t="s">
        <v>1394</v>
      </c>
      <c r="F67" t="s">
        <v>95</v>
      </c>
      <c r="G67" t="s">
        <v>1406</v>
      </c>
      <c r="H67" s="6">
        <v>46022</v>
      </c>
      <c r="I67" t="s">
        <v>29</v>
      </c>
      <c r="J67">
        <v>5</v>
      </c>
      <c r="K67">
        <v>0</v>
      </c>
      <c r="L67">
        <v>0</v>
      </c>
      <c r="M67">
        <v>0</v>
      </c>
      <c r="N67" t="s">
        <v>3915</v>
      </c>
      <c r="O67" t="s">
        <v>3915</v>
      </c>
      <c r="P67" t="s">
        <v>3915</v>
      </c>
      <c r="Q67">
        <v>0</v>
      </c>
      <c r="R67" t="s">
        <v>30</v>
      </c>
      <c r="S67">
        <v>0</v>
      </c>
      <c r="T67">
        <v>0</v>
      </c>
      <c r="U67" t="s">
        <v>3915</v>
      </c>
      <c r="V67" t="s">
        <v>31</v>
      </c>
      <c r="W67">
        <v>0</v>
      </c>
    </row>
    <row r="68" spans="1:23" x14ac:dyDescent="0.25">
      <c r="A68" t="s">
        <v>5081</v>
      </c>
      <c r="B68" t="s">
        <v>1708</v>
      </c>
      <c r="C68" t="s">
        <v>1707</v>
      </c>
      <c r="D68" t="s">
        <v>4479</v>
      </c>
      <c r="E68" t="s">
        <v>1394</v>
      </c>
      <c r="F68" t="s">
        <v>95</v>
      </c>
      <c r="G68" t="s">
        <v>1406</v>
      </c>
      <c r="H68" s="6">
        <v>46022</v>
      </c>
      <c r="I68" t="s">
        <v>29</v>
      </c>
      <c r="J68">
        <v>3</v>
      </c>
      <c r="K68">
        <v>0</v>
      </c>
      <c r="L68">
        <v>0</v>
      </c>
      <c r="M68">
        <v>0</v>
      </c>
      <c r="N68" t="s">
        <v>3915</v>
      </c>
      <c r="O68" t="s">
        <v>3915</v>
      </c>
      <c r="P68" t="s">
        <v>3915</v>
      </c>
      <c r="Q68">
        <v>0</v>
      </c>
      <c r="R68" t="s">
        <v>30</v>
      </c>
      <c r="S68">
        <v>0</v>
      </c>
      <c r="T68">
        <v>0</v>
      </c>
      <c r="U68" t="s">
        <v>3915</v>
      </c>
      <c r="V68" t="s">
        <v>31</v>
      </c>
      <c r="W68">
        <v>0</v>
      </c>
    </row>
    <row r="69" spans="1:23" x14ac:dyDescent="0.25">
      <c r="A69" t="s">
        <v>5082</v>
      </c>
      <c r="B69" t="s">
        <v>1710</v>
      </c>
      <c r="C69" t="s">
        <v>1709</v>
      </c>
      <c r="D69" t="s">
        <v>4479</v>
      </c>
      <c r="E69" t="s">
        <v>1394</v>
      </c>
      <c r="F69" t="s">
        <v>95</v>
      </c>
      <c r="G69" t="s">
        <v>1406</v>
      </c>
      <c r="H69" s="6">
        <v>46022</v>
      </c>
      <c r="I69" t="s">
        <v>29</v>
      </c>
      <c r="J69">
        <v>5</v>
      </c>
      <c r="K69">
        <v>0</v>
      </c>
      <c r="L69">
        <v>0</v>
      </c>
      <c r="M69">
        <v>0</v>
      </c>
      <c r="N69" t="s">
        <v>3915</v>
      </c>
      <c r="O69" t="s">
        <v>3915</v>
      </c>
      <c r="P69" t="s">
        <v>3915</v>
      </c>
      <c r="Q69">
        <v>0</v>
      </c>
      <c r="R69" t="s">
        <v>30</v>
      </c>
      <c r="S69">
        <v>0</v>
      </c>
      <c r="T69">
        <v>0</v>
      </c>
      <c r="U69" t="s">
        <v>3915</v>
      </c>
      <c r="V69" t="s">
        <v>31</v>
      </c>
      <c r="W69">
        <v>0</v>
      </c>
    </row>
    <row r="70" spans="1:23" x14ac:dyDescent="0.25">
      <c r="A70" t="s">
        <v>5083</v>
      </c>
      <c r="B70" t="s">
        <v>1712</v>
      </c>
      <c r="C70" t="s">
        <v>1711</v>
      </c>
      <c r="D70" t="s">
        <v>4479</v>
      </c>
      <c r="E70" t="s">
        <v>1394</v>
      </c>
      <c r="F70" t="s">
        <v>95</v>
      </c>
      <c r="G70" t="s">
        <v>1406</v>
      </c>
      <c r="H70" s="6">
        <v>46022</v>
      </c>
      <c r="I70" t="s">
        <v>29</v>
      </c>
      <c r="J70">
        <v>5</v>
      </c>
      <c r="K70">
        <v>0</v>
      </c>
      <c r="L70">
        <v>0</v>
      </c>
      <c r="M70">
        <v>0</v>
      </c>
      <c r="N70" t="s">
        <v>3915</v>
      </c>
      <c r="O70" t="s">
        <v>3915</v>
      </c>
      <c r="P70" t="s">
        <v>3915</v>
      </c>
      <c r="Q70">
        <v>0</v>
      </c>
      <c r="R70" t="s">
        <v>30</v>
      </c>
      <c r="S70">
        <v>0</v>
      </c>
      <c r="T70">
        <v>0</v>
      </c>
      <c r="U70" t="s">
        <v>3915</v>
      </c>
      <c r="V70" t="s">
        <v>31</v>
      </c>
      <c r="W70">
        <v>0</v>
      </c>
    </row>
    <row r="71" spans="1:23" x14ac:dyDescent="0.25">
      <c r="A71" t="s">
        <v>3923</v>
      </c>
      <c r="B71" t="s">
        <v>96</v>
      </c>
      <c r="C71" t="s">
        <v>97</v>
      </c>
      <c r="D71" t="s">
        <v>4479</v>
      </c>
      <c r="E71" t="s">
        <v>1394</v>
      </c>
      <c r="F71" t="s">
        <v>95</v>
      </c>
      <c r="G71" t="s">
        <v>1406</v>
      </c>
      <c r="H71" s="6">
        <v>46022</v>
      </c>
      <c r="I71" t="s">
        <v>29</v>
      </c>
      <c r="J71">
        <v>10</v>
      </c>
      <c r="K71">
        <v>0</v>
      </c>
      <c r="L71">
        <v>0</v>
      </c>
      <c r="M71">
        <v>0</v>
      </c>
      <c r="N71" t="s">
        <v>3915</v>
      </c>
      <c r="O71" t="s">
        <v>3915</v>
      </c>
      <c r="P71" t="s">
        <v>3915</v>
      </c>
      <c r="Q71">
        <v>0</v>
      </c>
      <c r="R71" t="s">
        <v>30</v>
      </c>
      <c r="S71">
        <v>0</v>
      </c>
      <c r="T71">
        <v>0</v>
      </c>
      <c r="U71" t="s">
        <v>3915</v>
      </c>
      <c r="V71" t="s">
        <v>31</v>
      </c>
      <c r="W71">
        <v>0</v>
      </c>
    </row>
    <row r="72" spans="1:23" x14ac:dyDescent="0.25">
      <c r="A72" t="s">
        <v>5084</v>
      </c>
      <c r="B72" t="s">
        <v>1422</v>
      </c>
      <c r="C72" t="s">
        <v>1421</v>
      </c>
      <c r="D72" t="s">
        <v>4479</v>
      </c>
      <c r="E72" t="s">
        <v>1394</v>
      </c>
      <c r="F72" t="s">
        <v>95</v>
      </c>
      <c r="G72" t="s">
        <v>1406</v>
      </c>
      <c r="H72" s="6">
        <v>46022</v>
      </c>
      <c r="I72" t="s">
        <v>29</v>
      </c>
      <c r="J72">
        <v>116</v>
      </c>
      <c r="K72">
        <v>0</v>
      </c>
      <c r="L72">
        <v>0</v>
      </c>
      <c r="M72">
        <v>0</v>
      </c>
      <c r="N72" t="s">
        <v>3915</v>
      </c>
      <c r="O72" t="s">
        <v>3915</v>
      </c>
      <c r="P72" t="s">
        <v>3915</v>
      </c>
      <c r="Q72">
        <v>0</v>
      </c>
      <c r="R72" t="s">
        <v>101</v>
      </c>
      <c r="S72">
        <v>0</v>
      </c>
      <c r="T72">
        <v>0</v>
      </c>
      <c r="U72" t="s">
        <v>3915</v>
      </c>
      <c r="V72" t="s">
        <v>31</v>
      </c>
      <c r="W72">
        <v>0</v>
      </c>
    </row>
    <row r="73" spans="1:23" x14ac:dyDescent="0.25">
      <c r="A73" t="s">
        <v>5085</v>
      </c>
      <c r="B73" t="s">
        <v>1714</v>
      </c>
      <c r="C73" t="s">
        <v>1713</v>
      </c>
      <c r="D73" t="s">
        <v>4479</v>
      </c>
      <c r="E73" t="s">
        <v>1394</v>
      </c>
      <c r="F73" t="s">
        <v>95</v>
      </c>
      <c r="G73" t="s">
        <v>1406</v>
      </c>
      <c r="H73" s="6">
        <v>46022</v>
      </c>
      <c r="I73" t="s">
        <v>29</v>
      </c>
      <c r="J73">
        <v>45</v>
      </c>
      <c r="K73">
        <v>0</v>
      </c>
      <c r="L73">
        <v>0</v>
      </c>
      <c r="M73">
        <v>0</v>
      </c>
      <c r="N73" t="s">
        <v>3915</v>
      </c>
      <c r="O73" t="s">
        <v>3915</v>
      </c>
      <c r="P73" t="s">
        <v>3915</v>
      </c>
      <c r="Q73">
        <v>0</v>
      </c>
      <c r="R73" t="s">
        <v>101</v>
      </c>
      <c r="S73">
        <v>0</v>
      </c>
      <c r="T73">
        <v>0</v>
      </c>
      <c r="U73" t="s">
        <v>3915</v>
      </c>
      <c r="V73" t="s">
        <v>31</v>
      </c>
      <c r="W73">
        <v>0</v>
      </c>
    </row>
    <row r="74" spans="1:23" x14ac:dyDescent="0.25">
      <c r="A74" t="s">
        <v>3924</v>
      </c>
      <c r="B74" t="s">
        <v>98</v>
      </c>
      <c r="C74" t="s">
        <v>99</v>
      </c>
      <c r="D74" t="s">
        <v>4479</v>
      </c>
      <c r="E74" t="s">
        <v>1394</v>
      </c>
      <c r="F74" t="s">
        <v>95</v>
      </c>
      <c r="G74" t="s">
        <v>1406</v>
      </c>
      <c r="H74" s="6">
        <v>46022</v>
      </c>
      <c r="I74" t="s">
        <v>29</v>
      </c>
      <c r="J74">
        <v>6</v>
      </c>
      <c r="K74">
        <v>0</v>
      </c>
      <c r="L74">
        <v>0</v>
      </c>
      <c r="M74">
        <v>0</v>
      </c>
      <c r="N74" t="s">
        <v>3915</v>
      </c>
      <c r="O74" t="s">
        <v>3915</v>
      </c>
      <c r="P74" t="s">
        <v>3915</v>
      </c>
      <c r="Q74">
        <v>0</v>
      </c>
      <c r="R74" t="s">
        <v>101</v>
      </c>
      <c r="S74">
        <v>0</v>
      </c>
      <c r="T74">
        <v>0</v>
      </c>
      <c r="U74" t="s">
        <v>3915</v>
      </c>
      <c r="V74" t="s">
        <v>31</v>
      </c>
      <c r="W74">
        <v>0</v>
      </c>
    </row>
    <row r="75" spans="1:23" x14ac:dyDescent="0.25">
      <c r="A75" t="s">
        <v>5086</v>
      </c>
      <c r="B75" t="s">
        <v>1424</v>
      </c>
      <c r="C75" t="s">
        <v>1423</v>
      </c>
      <c r="D75" t="s">
        <v>4479</v>
      </c>
      <c r="E75" t="s">
        <v>1394</v>
      </c>
      <c r="F75" t="s">
        <v>95</v>
      </c>
      <c r="G75" t="s">
        <v>1406</v>
      </c>
      <c r="H75" s="6">
        <v>46022</v>
      </c>
      <c r="I75" t="s">
        <v>29</v>
      </c>
      <c r="J75">
        <v>69</v>
      </c>
      <c r="K75">
        <v>0</v>
      </c>
      <c r="L75">
        <v>0</v>
      </c>
      <c r="M75">
        <v>0</v>
      </c>
      <c r="N75" t="s">
        <v>3915</v>
      </c>
      <c r="O75" t="s">
        <v>3915</v>
      </c>
      <c r="P75" t="s">
        <v>3915</v>
      </c>
      <c r="Q75">
        <v>0</v>
      </c>
      <c r="R75" t="s">
        <v>101</v>
      </c>
      <c r="S75">
        <v>0</v>
      </c>
      <c r="T75">
        <v>0</v>
      </c>
      <c r="U75" t="s">
        <v>3915</v>
      </c>
      <c r="V75" t="s">
        <v>31</v>
      </c>
      <c r="W75">
        <v>0</v>
      </c>
    </row>
    <row r="76" spans="1:23" x14ac:dyDescent="0.25">
      <c r="A76" t="s">
        <v>4691</v>
      </c>
      <c r="B76" t="s">
        <v>1716</v>
      </c>
      <c r="C76" t="s">
        <v>1715</v>
      </c>
      <c r="D76" t="s">
        <v>4479</v>
      </c>
      <c r="E76" t="s">
        <v>1394</v>
      </c>
      <c r="F76" t="s">
        <v>95</v>
      </c>
      <c r="G76" t="s">
        <v>1406</v>
      </c>
      <c r="H76" s="6">
        <v>46022</v>
      </c>
      <c r="I76" t="s">
        <v>29</v>
      </c>
      <c r="J76">
        <v>3</v>
      </c>
      <c r="K76">
        <v>0</v>
      </c>
      <c r="L76">
        <v>0</v>
      </c>
      <c r="M76">
        <v>0</v>
      </c>
      <c r="N76" t="s">
        <v>3915</v>
      </c>
      <c r="O76" t="s">
        <v>3915</v>
      </c>
      <c r="P76" t="s">
        <v>3915</v>
      </c>
      <c r="Q76">
        <v>0</v>
      </c>
      <c r="R76" t="s">
        <v>101</v>
      </c>
      <c r="S76">
        <v>0</v>
      </c>
      <c r="T76">
        <v>0</v>
      </c>
      <c r="U76" t="s">
        <v>3915</v>
      </c>
      <c r="V76" t="s">
        <v>31</v>
      </c>
      <c r="W76">
        <v>0</v>
      </c>
    </row>
    <row r="77" spans="1:23" x14ac:dyDescent="0.25">
      <c r="A77" t="s">
        <v>4705</v>
      </c>
      <c r="B77" t="s">
        <v>1718</v>
      </c>
      <c r="C77" t="s">
        <v>1717</v>
      </c>
      <c r="D77" t="s">
        <v>4479</v>
      </c>
      <c r="E77" t="s">
        <v>1394</v>
      </c>
      <c r="F77" t="s">
        <v>95</v>
      </c>
      <c r="G77" t="s">
        <v>1406</v>
      </c>
      <c r="H77" s="6">
        <v>46022</v>
      </c>
      <c r="I77" t="s">
        <v>29</v>
      </c>
      <c r="J77">
        <v>1</v>
      </c>
      <c r="K77">
        <v>0</v>
      </c>
      <c r="L77">
        <v>0</v>
      </c>
      <c r="M77">
        <v>0</v>
      </c>
      <c r="N77" t="s">
        <v>3915</v>
      </c>
      <c r="O77" t="s">
        <v>3915</v>
      </c>
      <c r="P77" t="s">
        <v>3915</v>
      </c>
      <c r="Q77">
        <v>0</v>
      </c>
      <c r="R77" t="s">
        <v>101</v>
      </c>
      <c r="S77">
        <v>0</v>
      </c>
      <c r="T77">
        <v>0</v>
      </c>
      <c r="U77" t="s">
        <v>3915</v>
      </c>
      <c r="V77" t="s">
        <v>31</v>
      </c>
      <c r="W77">
        <v>0</v>
      </c>
    </row>
    <row r="78" spans="1:23" x14ac:dyDescent="0.25">
      <c r="A78" t="s">
        <v>5087</v>
      </c>
      <c r="B78" t="s">
        <v>1720</v>
      </c>
      <c r="C78" t="s">
        <v>1719</v>
      </c>
      <c r="D78" t="s">
        <v>4479</v>
      </c>
      <c r="E78" t="s">
        <v>1394</v>
      </c>
      <c r="F78" t="s">
        <v>95</v>
      </c>
      <c r="G78" t="s">
        <v>1406</v>
      </c>
      <c r="H78" s="6">
        <v>46022</v>
      </c>
      <c r="I78" t="s">
        <v>29</v>
      </c>
      <c r="J78">
        <v>1</v>
      </c>
      <c r="K78">
        <v>0</v>
      </c>
      <c r="L78">
        <v>0</v>
      </c>
      <c r="M78">
        <v>0</v>
      </c>
      <c r="N78" t="s">
        <v>3915</v>
      </c>
      <c r="O78" t="s">
        <v>3915</v>
      </c>
      <c r="P78" t="s">
        <v>3915</v>
      </c>
      <c r="Q78">
        <v>0</v>
      </c>
      <c r="R78" t="s">
        <v>101</v>
      </c>
      <c r="S78">
        <v>0</v>
      </c>
      <c r="T78">
        <v>0</v>
      </c>
      <c r="U78" t="s">
        <v>3915</v>
      </c>
      <c r="V78" t="s">
        <v>31</v>
      </c>
      <c r="W78">
        <v>0</v>
      </c>
    </row>
    <row r="79" spans="1:23" x14ac:dyDescent="0.25">
      <c r="A79" t="s">
        <v>3925</v>
      </c>
      <c r="B79" t="s">
        <v>102</v>
      </c>
      <c r="C79" t="s">
        <v>103</v>
      </c>
      <c r="D79" t="s">
        <v>4479</v>
      </c>
      <c r="E79" t="s">
        <v>1394</v>
      </c>
      <c r="F79" t="s">
        <v>95</v>
      </c>
      <c r="G79" t="s">
        <v>1406</v>
      </c>
      <c r="H79" s="6">
        <v>46022</v>
      </c>
      <c r="I79" t="s">
        <v>29</v>
      </c>
      <c r="J79">
        <v>0</v>
      </c>
      <c r="K79">
        <v>0</v>
      </c>
      <c r="L79">
        <v>0</v>
      </c>
      <c r="M79">
        <v>0</v>
      </c>
      <c r="N79" t="s">
        <v>3915</v>
      </c>
      <c r="O79" t="s">
        <v>3915</v>
      </c>
      <c r="P79" t="s">
        <v>3915</v>
      </c>
      <c r="Q79">
        <v>0</v>
      </c>
      <c r="R79" t="s">
        <v>104</v>
      </c>
      <c r="S79">
        <v>0</v>
      </c>
      <c r="T79">
        <v>0</v>
      </c>
      <c r="U79" t="s">
        <v>3915</v>
      </c>
      <c r="V79" t="s">
        <v>31</v>
      </c>
      <c r="W79">
        <v>0</v>
      </c>
    </row>
    <row r="80" spans="1:23" x14ac:dyDescent="0.25">
      <c r="A80" t="s">
        <v>5088</v>
      </c>
      <c r="B80" t="s">
        <v>1722</v>
      </c>
      <c r="C80" t="s">
        <v>1721</v>
      </c>
      <c r="D80" t="s">
        <v>4479</v>
      </c>
      <c r="E80" t="s">
        <v>1394</v>
      </c>
      <c r="F80" t="s">
        <v>95</v>
      </c>
      <c r="G80" t="s">
        <v>1406</v>
      </c>
      <c r="H80" s="6">
        <v>46022</v>
      </c>
      <c r="I80" t="s">
        <v>29</v>
      </c>
      <c r="J80">
        <v>1</v>
      </c>
      <c r="K80">
        <v>0</v>
      </c>
      <c r="L80">
        <v>0</v>
      </c>
      <c r="M80">
        <v>0</v>
      </c>
      <c r="N80" t="s">
        <v>3915</v>
      </c>
      <c r="O80" t="s">
        <v>3915</v>
      </c>
      <c r="P80" t="s">
        <v>3915</v>
      </c>
      <c r="Q80">
        <v>0</v>
      </c>
      <c r="R80" t="s">
        <v>104</v>
      </c>
      <c r="S80">
        <v>0</v>
      </c>
      <c r="T80">
        <v>0</v>
      </c>
      <c r="U80" t="s">
        <v>3915</v>
      </c>
      <c r="V80" t="s">
        <v>31</v>
      </c>
      <c r="W80">
        <v>0</v>
      </c>
    </row>
    <row r="81" spans="1:23" x14ac:dyDescent="0.25">
      <c r="A81" t="s">
        <v>3926</v>
      </c>
      <c r="B81" t="s">
        <v>107</v>
      </c>
      <c r="C81" t="s">
        <v>108</v>
      </c>
      <c r="D81" t="s">
        <v>4479</v>
      </c>
      <c r="E81" t="s">
        <v>1394</v>
      </c>
      <c r="F81" t="s">
        <v>95</v>
      </c>
      <c r="G81" t="s">
        <v>1406</v>
      </c>
      <c r="H81" s="6">
        <v>46022</v>
      </c>
      <c r="I81" t="s">
        <v>29</v>
      </c>
      <c r="J81">
        <v>14</v>
      </c>
      <c r="K81">
        <v>0</v>
      </c>
      <c r="L81">
        <v>0</v>
      </c>
      <c r="M81">
        <v>0</v>
      </c>
      <c r="N81" t="s">
        <v>3915</v>
      </c>
      <c r="O81" t="s">
        <v>3915</v>
      </c>
      <c r="P81" t="s">
        <v>3915</v>
      </c>
      <c r="Q81">
        <v>0</v>
      </c>
      <c r="R81" t="s">
        <v>101</v>
      </c>
      <c r="S81">
        <v>0</v>
      </c>
      <c r="T81">
        <v>0</v>
      </c>
      <c r="U81" t="s">
        <v>3915</v>
      </c>
      <c r="V81" t="s">
        <v>31</v>
      </c>
      <c r="W81">
        <v>0</v>
      </c>
    </row>
    <row r="82" spans="1:23" x14ac:dyDescent="0.25">
      <c r="A82" t="s">
        <v>3927</v>
      </c>
      <c r="B82" t="s">
        <v>109</v>
      </c>
      <c r="C82" t="s">
        <v>110</v>
      </c>
      <c r="D82" t="s">
        <v>4479</v>
      </c>
      <c r="E82" t="s">
        <v>1394</v>
      </c>
      <c r="F82" t="s">
        <v>95</v>
      </c>
      <c r="G82" t="s">
        <v>1406</v>
      </c>
      <c r="H82" s="6">
        <v>46022</v>
      </c>
      <c r="I82" t="s">
        <v>29</v>
      </c>
      <c r="J82">
        <v>0</v>
      </c>
      <c r="K82">
        <v>0</v>
      </c>
      <c r="L82">
        <v>0</v>
      </c>
      <c r="M82">
        <v>0</v>
      </c>
      <c r="N82" t="s">
        <v>3915</v>
      </c>
      <c r="O82" t="s">
        <v>3915</v>
      </c>
      <c r="P82" t="s">
        <v>3915</v>
      </c>
      <c r="Q82">
        <v>0</v>
      </c>
      <c r="R82" t="s">
        <v>101</v>
      </c>
      <c r="S82">
        <v>0</v>
      </c>
      <c r="T82">
        <v>0</v>
      </c>
      <c r="U82" t="s">
        <v>3915</v>
      </c>
      <c r="V82" t="s">
        <v>31</v>
      </c>
      <c r="W82">
        <v>0</v>
      </c>
    </row>
    <row r="83" spans="1:23" x14ac:dyDescent="0.25">
      <c r="A83" t="s">
        <v>5089</v>
      </c>
      <c r="B83" t="s">
        <v>1724</v>
      </c>
      <c r="C83" t="s">
        <v>1723</v>
      </c>
      <c r="D83" t="s">
        <v>4479</v>
      </c>
      <c r="E83" t="s">
        <v>1394</v>
      </c>
      <c r="F83" t="s">
        <v>95</v>
      </c>
      <c r="G83" t="s">
        <v>1406</v>
      </c>
      <c r="H83" s="6">
        <v>46022</v>
      </c>
      <c r="I83" t="s">
        <v>29</v>
      </c>
      <c r="J83">
        <v>5</v>
      </c>
      <c r="K83">
        <v>0</v>
      </c>
      <c r="L83">
        <v>0</v>
      </c>
      <c r="M83">
        <v>0</v>
      </c>
      <c r="N83" t="s">
        <v>3915</v>
      </c>
      <c r="O83" t="s">
        <v>3915</v>
      </c>
      <c r="P83" t="s">
        <v>3915</v>
      </c>
      <c r="Q83">
        <v>0</v>
      </c>
      <c r="R83" t="s">
        <v>101</v>
      </c>
      <c r="S83">
        <v>0</v>
      </c>
      <c r="T83">
        <v>0</v>
      </c>
      <c r="U83" t="s">
        <v>3915</v>
      </c>
      <c r="V83" t="s">
        <v>31</v>
      </c>
      <c r="W83">
        <v>0</v>
      </c>
    </row>
    <row r="84" spans="1:23" x14ac:dyDescent="0.25">
      <c r="A84" t="s">
        <v>4678</v>
      </c>
      <c r="B84" t="s">
        <v>1726</v>
      </c>
      <c r="C84" t="s">
        <v>1725</v>
      </c>
      <c r="D84" t="s">
        <v>4479</v>
      </c>
      <c r="E84" t="s">
        <v>1394</v>
      </c>
      <c r="F84" t="s">
        <v>95</v>
      </c>
      <c r="G84" t="s">
        <v>1406</v>
      </c>
      <c r="H84" s="6">
        <v>46022</v>
      </c>
      <c r="I84" t="s">
        <v>29</v>
      </c>
      <c r="J84">
        <v>2</v>
      </c>
      <c r="K84">
        <v>0</v>
      </c>
      <c r="L84">
        <v>0</v>
      </c>
      <c r="M84">
        <v>0</v>
      </c>
      <c r="N84" t="s">
        <v>3915</v>
      </c>
      <c r="O84" t="s">
        <v>3915</v>
      </c>
      <c r="P84" t="s">
        <v>3915</v>
      </c>
      <c r="Q84">
        <v>0</v>
      </c>
      <c r="R84" t="s">
        <v>101</v>
      </c>
      <c r="S84">
        <v>0</v>
      </c>
      <c r="T84">
        <v>0</v>
      </c>
      <c r="U84" t="s">
        <v>3915</v>
      </c>
      <c r="V84" t="s">
        <v>31</v>
      </c>
      <c r="W84">
        <v>0</v>
      </c>
    </row>
    <row r="85" spans="1:23" x14ac:dyDescent="0.25">
      <c r="A85" t="s">
        <v>5090</v>
      </c>
      <c r="B85" t="s">
        <v>1728</v>
      </c>
      <c r="C85" t="s">
        <v>1727</v>
      </c>
      <c r="D85" t="s">
        <v>4479</v>
      </c>
      <c r="E85" t="s">
        <v>1394</v>
      </c>
      <c r="F85" t="s">
        <v>95</v>
      </c>
      <c r="G85" t="s">
        <v>1406</v>
      </c>
      <c r="H85" s="6">
        <v>46022</v>
      </c>
      <c r="I85" t="s">
        <v>29</v>
      </c>
      <c r="J85">
        <v>1</v>
      </c>
      <c r="K85">
        <v>0</v>
      </c>
      <c r="L85">
        <v>0</v>
      </c>
      <c r="M85">
        <v>0</v>
      </c>
      <c r="N85" t="s">
        <v>3915</v>
      </c>
      <c r="O85" t="s">
        <v>3915</v>
      </c>
      <c r="P85" t="s">
        <v>3915</v>
      </c>
      <c r="Q85">
        <v>0</v>
      </c>
      <c r="R85" t="s">
        <v>101</v>
      </c>
      <c r="S85">
        <v>0</v>
      </c>
      <c r="T85">
        <v>0</v>
      </c>
      <c r="U85" t="s">
        <v>3915</v>
      </c>
      <c r="V85" t="s">
        <v>31</v>
      </c>
      <c r="W85">
        <v>0</v>
      </c>
    </row>
    <row r="86" spans="1:23" x14ac:dyDescent="0.25">
      <c r="A86" t="s">
        <v>5091</v>
      </c>
      <c r="B86" t="s">
        <v>1732</v>
      </c>
      <c r="C86" t="s">
        <v>1731</v>
      </c>
      <c r="D86" t="s">
        <v>4479</v>
      </c>
      <c r="E86" t="s">
        <v>1394</v>
      </c>
      <c r="F86" t="s">
        <v>95</v>
      </c>
      <c r="G86" t="s">
        <v>1406</v>
      </c>
      <c r="H86" s="6">
        <v>46022</v>
      </c>
      <c r="I86" t="s">
        <v>29</v>
      </c>
      <c r="J86">
        <v>8</v>
      </c>
      <c r="K86">
        <v>0</v>
      </c>
      <c r="L86">
        <v>0</v>
      </c>
      <c r="M86">
        <v>0</v>
      </c>
      <c r="N86" t="s">
        <v>3915</v>
      </c>
      <c r="O86" t="s">
        <v>3915</v>
      </c>
      <c r="P86" t="s">
        <v>3915</v>
      </c>
      <c r="Q86">
        <v>0</v>
      </c>
      <c r="R86" t="s">
        <v>101</v>
      </c>
      <c r="S86">
        <v>0</v>
      </c>
      <c r="T86">
        <v>0</v>
      </c>
      <c r="U86" t="s">
        <v>3915</v>
      </c>
      <c r="V86" t="s">
        <v>31</v>
      </c>
      <c r="W86">
        <v>0</v>
      </c>
    </row>
    <row r="87" spans="1:23" x14ac:dyDescent="0.25">
      <c r="A87" t="s">
        <v>5092</v>
      </c>
      <c r="B87" t="s">
        <v>1734</v>
      </c>
      <c r="C87" t="s">
        <v>1733</v>
      </c>
      <c r="D87" t="s">
        <v>4479</v>
      </c>
      <c r="E87" t="s">
        <v>1394</v>
      </c>
      <c r="F87" t="s">
        <v>95</v>
      </c>
      <c r="G87" t="s">
        <v>1406</v>
      </c>
      <c r="H87" s="6">
        <v>46022</v>
      </c>
      <c r="I87" t="s">
        <v>29</v>
      </c>
      <c r="J87">
        <v>3</v>
      </c>
      <c r="K87">
        <v>0</v>
      </c>
      <c r="L87">
        <v>0</v>
      </c>
      <c r="M87">
        <v>0</v>
      </c>
      <c r="N87" t="s">
        <v>3915</v>
      </c>
      <c r="O87" t="s">
        <v>3915</v>
      </c>
      <c r="P87" t="s">
        <v>3915</v>
      </c>
      <c r="Q87">
        <v>0</v>
      </c>
      <c r="R87" t="s">
        <v>101</v>
      </c>
      <c r="S87">
        <v>0</v>
      </c>
      <c r="T87">
        <v>0</v>
      </c>
      <c r="U87" t="s">
        <v>3915</v>
      </c>
      <c r="V87" t="s">
        <v>31</v>
      </c>
      <c r="W87">
        <v>0</v>
      </c>
    </row>
    <row r="88" spans="1:23" x14ac:dyDescent="0.25">
      <c r="A88" t="s">
        <v>5093</v>
      </c>
      <c r="B88" t="s">
        <v>1736</v>
      </c>
      <c r="C88" t="s">
        <v>1735</v>
      </c>
      <c r="D88" t="s">
        <v>4479</v>
      </c>
      <c r="E88" t="s">
        <v>1394</v>
      </c>
      <c r="F88" t="s">
        <v>95</v>
      </c>
      <c r="G88" t="s">
        <v>1406</v>
      </c>
      <c r="H88" s="6">
        <v>46022</v>
      </c>
      <c r="I88" t="s">
        <v>29</v>
      </c>
      <c r="J88">
        <v>11</v>
      </c>
      <c r="K88">
        <v>0</v>
      </c>
      <c r="L88">
        <v>0</v>
      </c>
      <c r="M88">
        <v>0</v>
      </c>
      <c r="N88" t="s">
        <v>3915</v>
      </c>
      <c r="O88" t="s">
        <v>3915</v>
      </c>
      <c r="P88" t="s">
        <v>3915</v>
      </c>
      <c r="Q88">
        <v>0</v>
      </c>
      <c r="R88" t="s">
        <v>101</v>
      </c>
      <c r="S88">
        <v>0</v>
      </c>
      <c r="T88">
        <v>0</v>
      </c>
      <c r="U88" t="s">
        <v>3915</v>
      </c>
      <c r="V88" t="s">
        <v>31</v>
      </c>
      <c r="W88">
        <v>0</v>
      </c>
    </row>
    <row r="89" spans="1:23" x14ac:dyDescent="0.25">
      <c r="A89" t="s">
        <v>5094</v>
      </c>
      <c r="B89" t="s">
        <v>1738</v>
      </c>
      <c r="C89" t="s">
        <v>1737</v>
      </c>
      <c r="D89" t="s">
        <v>4479</v>
      </c>
      <c r="E89" t="s">
        <v>1394</v>
      </c>
      <c r="F89" t="s">
        <v>95</v>
      </c>
      <c r="G89" t="s">
        <v>1406</v>
      </c>
      <c r="H89" s="6">
        <v>46022</v>
      </c>
      <c r="I89" t="s">
        <v>29</v>
      </c>
      <c r="J89">
        <v>10</v>
      </c>
      <c r="K89">
        <v>0</v>
      </c>
      <c r="L89">
        <v>0</v>
      </c>
      <c r="M89">
        <v>0</v>
      </c>
      <c r="N89" t="s">
        <v>3915</v>
      </c>
      <c r="O89" t="s">
        <v>3915</v>
      </c>
      <c r="P89" t="s">
        <v>3915</v>
      </c>
      <c r="Q89">
        <v>0</v>
      </c>
      <c r="R89" t="s">
        <v>101</v>
      </c>
      <c r="S89">
        <v>0</v>
      </c>
      <c r="T89">
        <v>0</v>
      </c>
      <c r="U89" t="s">
        <v>3915</v>
      </c>
      <c r="V89" t="s">
        <v>31</v>
      </c>
      <c r="W89">
        <v>0</v>
      </c>
    </row>
    <row r="90" spans="1:23" x14ac:dyDescent="0.25">
      <c r="A90" t="s">
        <v>5095</v>
      </c>
      <c r="B90" t="s">
        <v>1740</v>
      </c>
      <c r="C90" t="s">
        <v>1739</v>
      </c>
      <c r="D90" t="s">
        <v>4479</v>
      </c>
      <c r="E90" t="s">
        <v>1394</v>
      </c>
      <c r="F90" t="s">
        <v>95</v>
      </c>
      <c r="G90" t="s">
        <v>1406</v>
      </c>
      <c r="H90" s="6">
        <v>46022</v>
      </c>
      <c r="I90" t="s">
        <v>29</v>
      </c>
      <c r="J90">
        <v>20</v>
      </c>
      <c r="K90">
        <v>0</v>
      </c>
      <c r="L90">
        <v>0</v>
      </c>
      <c r="M90">
        <v>0</v>
      </c>
      <c r="N90" t="s">
        <v>3915</v>
      </c>
      <c r="O90" t="s">
        <v>3915</v>
      </c>
      <c r="P90" t="s">
        <v>3915</v>
      </c>
      <c r="Q90">
        <v>0</v>
      </c>
      <c r="R90" t="s">
        <v>101</v>
      </c>
      <c r="S90">
        <v>0</v>
      </c>
      <c r="T90">
        <v>0</v>
      </c>
      <c r="U90" t="s">
        <v>3915</v>
      </c>
      <c r="V90" t="s">
        <v>31</v>
      </c>
      <c r="W90">
        <v>0</v>
      </c>
    </row>
    <row r="91" spans="1:23" x14ac:dyDescent="0.25">
      <c r="A91" t="s">
        <v>5096</v>
      </c>
      <c r="B91" t="s">
        <v>1742</v>
      </c>
      <c r="C91" t="s">
        <v>1741</v>
      </c>
      <c r="D91" t="s">
        <v>4479</v>
      </c>
      <c r="E91" t="s">
        <v>1394</v>
      </c>
      <c r="F91" t="s">
        <v>95</v>
      </c>
      <c r="G91" t="s">
        <v>1406</v>
      </c>
      <c r="H91" s="6">
        <v>46022</v>
      </c>
      <c r="I91" t="s">
        <v>29</v>
      </c>
      <c r="J91">
        <v>3</v>
      </c>
      <c r="K91">
        <v>0</v>
      </c>
      <c r="L91">
        <v>0</v>
      </c>
      <c r="M91">
        <v>0</v>
      </c>
      <c r="N91" t="s">
        <v>3915</v>
      </c>
      <c r="O91" t="s">
        <v>3915</v>
      </c>
      <c r="P91" t="s">
        <v>3915</v>
      </c>
      <c r="Q91">
        <v>0</v>
      </c>
      <c r="R91" t="s">
        <v>101</v>
      </c>
      <c r="S91">
        <v>0</v>
      </c>
      <c r="T91">
        <v>0</v>
      </c>
      <c r="U91" t="s">
        <v>3915</v>
      </c>
      <c r="V91" t="s">
        <v>31</v>
      </c>
      <c r="W91">
        <v>0</v>
      </c>
    </row>
    <row r="92" spans="1:23" x14ac:dyDescent="0.25">
      <c r="A92" t="s">
        <v>5097</v>
      </c>
      <c r="B92" t="s">
        <v>1744</v>
      </c>
      <c r="C92" t="s">
        <v>1743</v>
      </c>
      <c r="D92" t="s">
        <v>4479</v>
      </c>
      <c r="E92" t="s">
        <v>1394</v>
      </c>
      <c r="F92" t="s">
        <v>95</v>
      </c>
      <c r="G92" t="s">
        <v>1406</v>
      </c>
      <c r="H92" s="6">
        <v>46022</v>
      </c>
      <c r="I92" t="s">
        <v>29</v>
      </c>
      <c r="J92">
        <v>67</v>
      </c>
      <c r="K92">
        <v>0</v>
      </c>
      <c r="L92">
        <v>0</v>
      </c>
      <c r="M92">
        <v>0</v>
      </c>
      <c r="N92" t="s">
        <v>3915</v>
      </c>
      <c r="O92" t="s">
        <v>3915</v>
      </c>
      <c r="P92" t="s">
        <v>3915</v>
      </c>
      <c r="Q92">
        <v>0</v>
      </c>
      <c r="R92" t="s">
        <v>101</v>
      </c>
      <c r="S92">
        <v>0</v>
      </c>
      <c r="T92">
        <v>0</v>
      </c>
      <c r="U92" t="s">
        <v>3915</v>
      </c>
      <c r="V92" t="s">
        <v>31</v>
      </c>
      <c r="W92">
        <v>0</v>
      </c>
    </row>
    <row r="93" spans="1:23" x14ac:dyDescent="0.25">
      <c r="A93" t="s">
        <v>5098</v>
      </c>
      <c r="B93" t="s">
        <v>1746</v>
      </c>
      <c r="C93" t="s">
        <v>1745</v>
      </c>
      <c r="D93" t="s">
        <v>4479</v>
      </c>
      <c r="E93" t="s">
        <v>1394</v>
      </c>
      <c r="F93" t="s">
        <v>95</v>
      </c>
      <c r="G93" t="s">
        <v>1406</v>
      </c>
      <c r="H93" s="6">
        <v>46022</v>
      </c>
      <c r="I93" t="s">
        <v>29</v>
      </c>
      <c r="J93">
        <v>64</v>
      </c>
      <c r="K93">
        <v>0</v>
      </c>
      <c r="L93">
        <v>0</v>
      </c>
      <c r="M93">
        <v>0</v>
      </c>
      <c r="N93" t="s">
        <v>3915</v>
      </c>
      <c r="O93" t="s">
        <v>3915</v>
      </c>
      <c r="P93" t="s">
        <v>3915</v>
      </c>
      <c r="Q93">
        <v>0</v>
      </c>
      <c r="R93" t="s">
        <v>101</v>
      </c>
      <c r="S93">
        <v>0</v>
      </c>
      <c r="T93">
        <v>0</v>
      </c>
      <c r="U93" t="s">
        <v>3915</v>
      </c>
      <c r="V93" t="s">
        <v>31</v>
      </c>
      <c r="W93">
        <v>0</v>
      </c>
    </row>
    <row r="94" spans="1:23" x14ac:dyDescent="0.25">
      <c r="A94" t="s">
        <v>5099</v>
      </c>
      <c r="B94" t="s">
        <v>1748</v>
      </c>
      <c r="C94" t="s">
        <v>1747</v>
      </c>
      <c r="D94" t="s">
        <v>4479</v>
      </c>
      <c r="E94" t="s">
        <v>1394</v>
      </c>
      <c r="F94" t="s">
        <v>95</v>
      </c>
      <c r="G94" t="s">
        <v>1406</v>
      </c>
      <c r="H94" s="6">
        <v>46022</v>
      </c>
      <c r="I94" t="s">
        <v>29</v>
      </c>
      <c r="J94">
        <v>11</v>
      </c>
      <c r="K94">
        <v>0</v>
      </c>
      <c r="L94">
        <v>0</v>
      </c>
      <c r="M94">
        <v>0</v>
      </c>
      <c r="N94" t="s">
        <v>3915</v>
      </c>
      <c r="O94" t="s">
        <v>3915</v>
      </c>
      <c r="P94" t="s">
        <v>3915</v>
      </c>
      <c r="Q94">
        <v>0</v>
      </c>
      <c r="R94" t="s">
        <v>101</v>
      </c>
      <c r="S94">
        <v>0</v>
      </c>
      <c r="T94">
        <v>0</v>
      </c>
      <c r="U94" t="s">
        <v>3915</v>
      </c>
      <c r="V94" t="s">
        <v>31</v>
      </c>
      <c r="W94">
        <v>0</v>
      </c>
    </row>
    <row r="95" spans="1:23" x14ac:dyDescent="0.25">
      <c r="A95" t="s">
        <v>5100</v>
      </c>
      <c r="B95" t="s">
        <v>1750</v>
      </c>
      <c r="C95" t="s">
        <v>1749</v>
      </c>
      <c r="D95" t="s">
        <v>4479</v>
      </c>
      <c r="E95" t="s">
        <v>1394</v>
      </c>
      <c r="F95" t="s">
        <v>95</v>
      </c>
      <c r="G95" t="s">
        <v>1406</v>
      </c>
      <c r="H95" s="6">
        <v>46022</v>
      </c>
      <c r="I95" t="s">
        <v>29</v>
      </c>
      <c r="J95">
        <v>5</v>
      </c>
      <c r="K95">
        <v>0</v>
      </c>
      <c r="L95">
        <v>0</v>
      </c>
      <c r="M95">
        <v>0</v>
      </c>
      <c r="N95" t="s">
        <v>3915</v>
      </c>
      <c r="O95" t="s">
        <v>3915</v>
      </c>
      <c r="P95" t="s">
        <v>3915</v>
      </c>
      <c r="Q95">
        <v>0</v>
      </c>
      <c r="R95" t="s">
        <v>101</v>
      </c>
      <c r="S95">
        <v>0</v>
      </c>
      <c r="T95">
        <v>0</v>
      </c>
      <c r="U95" t="s">
        <v>3915</v>
      </c>
      <c r="V95" t="s">
        <v>31</v>
      </c>
      <c r="W95">
        <v>0</v>
      </c>
    </row>
    <row r="96" spans="1:23" x14ac:dyDescent="0.25">
      <c r="A96" t="s">
        <v>5101</v>
      </c>
      <c r="B96" t="s">
        <v>1752</v>
      </c>
      <c r="C96" t="s">
        <v>1751</v>
      </c>
      <c r="D96" t="s">
        <v>4479</v>
      </c>
      <c r="E96" t="s">
        <v>1394</v>
      </c>
      <c r="F96" t="s">
        <v>95</v>
      </c>
      <c r="G96" t="s">
        <v>1406</v>
      </c>
      <c r="H96" s="6">
        <v>46022</v>
      </c>
      <c r="I96" t="s">
        <v>29</v>
      </c>
      <c r="J96">
        <v>4</v>
      </c>
      <c r="K96">
        <v>0</v>
      </c>
      <c r="L96">
        <v>0</v>
      </c>
      <c r="M96">
        <v>0</v>
      </c>
      <c r="N96" t="s">
        <v>3915</v>
      </c>
      <c r="O96" t="s">
        <v>3915</v>
      </c>
      <c r="P96" t="s">
        <v>3915</v>
      </c>
      <c r="Q96">
        <v>0</v>
      </c>
      <c r="R96" t="s">
        <v>101</v>
      </c>
      <c r="S96">
        <v>0</v>
      </c>
      <c r="T96">
        <v>0</v>
      </c>
      <c r="U96" t="s">
        <v>3915</v>
      </c>
      <c r="V96" t="s">
        <v>31</v>
      </c>
      <c r="W96">
        <v>0</v>
      </c>
    </row>
    <row r="97" spans="1:23" x14ac:dyDescent="0.25">
      <c r="A97" t="s">
        <v>5102</v>
      </c>
      <c r="B97" t="s">
        <v>1754</v>
      </c>
      <c r="C97" t="s">
        <v>1753</v>
      </c>
      <c r="D97" t="s">
        <v>4479</v>
      </c>
      <c r="E97" t="s">
        <v>1394</v>
      </c>
      <c r="F97" t="s">
        <v>95</v>
      </c>
      <c r="G97" t="s">
        <v>1406</v>
      </c>
      <c r="H97" s="6">
        <v>46022</v>
      </c>
      <c r="I97" t="s">
        <v>29</v>
      </c>
      <c r="J97">
        <v>9</v>
      </c>
      <c r="K97">
        <v>0</v>
      </c>
      <c r="L97">
        <v>0</v>
      </c>
      <c r="M97">
        <v>0</v>
      </c>
      <c r="N97" t="s">
        <v>3915</v>
      </c>
      <c r="O97" t="s">
        <v>3915</v>
      </c>
      <c r="P97" t="s">
        <v>3915</v>
      </c>
      <c r="Q97">
        <v>0</v>
      </c>
      <c r="R97" t="s">
        <v>101</v>
      </c>
      <c r="S97">
        <v>0</v>
      </c>
      <c r="T97">
        <v>0</v>
      </c>
      <c r="U97" t="s">
        <v>3915</v>
      </c>
      <c r="V97" t="s">
        <v>31</v>
      </c>
      <c r="W97">
        <v>0</v>
      </c>
    </row>
    <row r="98" spans="1:23" x14ac:dyDescent="0.25">
      <c r="A98" t="s">
        <v>5103</v>
      </c>
      <c r="B98" t="s">
        <v>1756</v>
      </c>
      <c r="C98" t="s">
        <v>1755</v>
      </c>
      <c r="D98" t="s">
        <v>4479</v>
      </c>
      <c r="E98" t="s">
        <v>1394</v>
      </c>
      <c r="F98" t="s">
        <v>95</v>
      </c>
      <c r="G98" t="s">
        <v>1406</v>
      </c>
      <c r="H98" s="6">
        <v>46022</v>
      </c>
      <c r="I98" t="s">
        <v>29</v>
      </c>
      <c r="J98">
        <v>7</v>
      </c>
      <c r="K98">
        <v>0</v>
      </c>
      <c r="L98">
        <v>0</v>
      </c>
      <c r="M98">
        <v>0</v>
      </c>
      <c r="N98" t="s">
        <v>3915</v>
      </c>
      <c r="O98" t="s">
        <v>3915</v>
      </c>
      <c r="P98" t="s">
        <v>3915</v>
      </c>
      <c r="Q98">
        <v>0</v>
      </c>
      <c r="R98" t="s">
        <v>101</v>
      </c>
      <c r="S98">
        <v>0</v>
      </c>
      <c r="T98">
        <v>0</v>
      </c>
      <c r="U98" t="s">
        <v>3915</v>
      </c>
      <c r="V98" t="s">
        <v>31</v>
      </c>
      <c r="W98">
        <v>0</v>
      </c>
    </row>
    <row r="99" spans="1:23" x14ac:dyDescent="0.25">
      <c r="A99" t="s">
        <v>5104</v>
      </c>
      <c r="B99" t="s">
        <v>1758</v>
      </c>
      <c r="C99" t="s">
        <v>1757</v>
      </c>
      <c r="D99" t="s">
        <v>4479</v>
      </c>
      <c r="E99" t="s">
        <v>1394</v>
      </c>
      <c r="F99" t="s">
        <v>95</v>
      </c>
      <c r="G99" t="s">
        <v>1406</v>
      </c>
      <c r="H99" s="6">
        <v>46022</v>
      </c>
      <c r="I99" t="s">
        <v>29</v>
      </c>
      <c r="J99">
        <v>4</v>
      </c>
      <c r="K99">
        <v>0</v>
      </c>
      <c r="L99">
        <v>0</v>
      </c>
      <c r="M99">
        <v>0</v>
      </c>
      <c r="N99" t="s">
        <v>3915</v>
      </c>
      <c r="O99" t="s">
        <v>3915</v>
      </c>
      <c r="P99" t="s">
        <v>3915</v>
      </c>
      <c r="Q99">
        <v>0</v>
      </c>
      <c r="R99" t="s">
        <v>101</v>
      </c>
      <c r="S99">
        <v>0</v>
      </c>
      <c r="T99">
        <v>0</v>
      </c>
      <c r="U99" t="s">
        <v>3915</v>
      </c>
      <c r="V99" t="s">
        <v>31</v>
      </c>
      <c r="W99">
        <v>0</v>
      </c>
    </row>
    <row r="100" spans="1:23" x14ac:dyDescent="0.25">
      <c r="A100" t="s">
        <v>5105</v>
      </c>
      <c r="B100" t="s">
        <v>1760</v>
      </c>
      <c r="C100" t="s">
        <v>1759</v>
      </c>
      <c r="D100" t="s">
        <v>4479</v>
      </c>
      <c r="E100" t="s">
        <v>1394</v>
      </c>
      <c r="F100" t="s">
        <v>95</v>
      </c>
      <c r="G100" t="s">
        <v>1406</v>
      </c>
      <c r="H100" s="6">
        <v>46022</v>
      </c>
      <c r="I100" t="s">
        <v>29</v>
      </c>
      <c r="J100">
        <v>10</v>
      </c>
      <c r="K100">
        <v>0</v>
      </c>
      <c r="L100">
        <v>0</v>
      </c>
      <c r="M100">
        <v>0</v>
      </c>
      <c r="N100" t="s">
        <v>3915</v>
      </c>
      <c r="O100" t="s">
        <v>3915</v>
      </c>
      <c r="P100" t="s">
        <v>3915</v>
      </c>
      <c r="Q100">
        <v>0</v>
      </c>
      <c r="R100" t="s">
        <v>101</v>
      </c>
      <c r="S100">
        <v>0</v>
      </c>
      <c r="T100">
        <v>0</v>
      </c>
      <c r="U100" t="s">
        <v>3915</v>
      </c>
      <c r="V100" t="s">
        <v>31</v>
      </c>
      <c r="W100">
        <v>0</v>
      </c>
    </row>
    <row r="101" spans="1:23" x14ac:dyDescent="0.25">
      <c r="A101" t="s">
        <v>5106</v>
      </c>
      <c r="B101" t="s">
        <v>1762</v>
      </c>
      <c r="C101" t="s">
        <v>1761</v>
      </c>
      <c r="D101" t="s">
        <v>4479</v>
      </c>
      <c r="E101" t="s">
        <v>1394</v>
      </c>
      <c r="F101" t="s">
        <v>95</v>
      </c>
      <c r="G101" t="s">
        <v>1406</v>
      </c>
      <c r="H101" s="6">
        <v>46022</v>
      </c>
      <c r="I101" t="s">
        <v>29</v>
      </c>
      <c r="J101">
        <v>4</v>
      </c>
      <c r="K101">
        <v>0</v>
      </c>
      <c r="L101">
        <v>0</v>
      </c>
      <c r="M101">
        <v>0</v>
      </c>
      <c r="N101" t="s">
        <v>3915</v>
      </c>
      <c r="O101" t="s">
        <v>3915</v>
      </c>
      <c r="P101" t="s">
        <v>3915</v>
      </c>
      <c r="Q101">
        <v>0</v>
      </c>
      <c r="R101" t="s">
        <v>101</v>
      </c>
      <c r="S101">
        <v>0</v>
      </c>
      <c r="T101">
        <v>0</v>
      </c>
      <c r="U101" t="s">
        <v>3915</v>
      </c>
      <c r="V101" t="s">
        <v>31</v>
      </c>
      <c r="W101">
        <v>0</v>
      </c>
    </row>
    <row r="102" spans="1:23" x14ac:dyDescent="0.25">
      <c r="A102" t="s">
        <v>5107</v>
      </c>
      <c r="B102" t="s">
        <v>1426</v>
      </c>
      <c r="C102" t="s">
        <v>1425</v>
      </c>
      <c r="D102" t="s">
        <v>4479</v>
      </c>
      <c r="E102" t="s">
        <v>1394</v>
      </c>
      <c r="F102" t="s">
        <v>95</v>
      </c>
      <c r="G102" t="s">
        <v>1406</v>
      </c>
      <c r="H102" s="6">
        <v>46022</v>
      </c>
      <c r="I102" t="s">
        <v>29</v>
      </c>
      <c r="J102">
        <v>9</v>
      </c>
      <c r="K102">
        <v>0</v>
      </c>
      <c r="L102">
        <v>0</v>
      </c>
      <c r="M102">
        <v>0</v>
      </c>
      <c r="N102" t="s">
        <v>3915</v>
      </c>
      <c r="O102" t="s">
        <v>3915</v>
      </c>
      <c r="P102" t="s">
        <v>3915</v>
      </c>
      <c r="Q102">
        <v>0</v>
      </c>
      <c r="R102" t="s">
        <v>101</v>
      </c>
      <c r="S102">
        <v>0</v>
      </c>
      <c r="T102">
        <v>0</v>
      </c>
      <c r="U102" t="s">
        <v>3915</v>
      </c>
      <c r="V102" t="s">
        <v>31</v>
      </c>
      <c r="W102">
        <v>0</v>
      </c>
    </row>
    <row r="103" spans="1:23" x14ac:dyDescent="0.25">
      <c r="A103" t="s">
        <v>5108</v>
      </c>
      <c r="B103" t="s">
        <v>1428</v>
      </c>
      <c r="C103" t="s">
        <v>1427</v>
      </c>
      <c r="D103" t="s">
        <v>4479</v>
      </c>
      <c r="E103" t="s">
        <v>1394</v>
      </c>
      <c r="F103" t="s">
        <v>95</v>
      </c>
      <c r="G103" t="s">
        <v>1406</v>
      </c>
      <c r="H103" s="6">
        <v>46022</v>
      </c>
      <c r="I103" t="s">
        <v>29</v>
      </c>
      <c r="J103">
        <v>18</v>
      </c>
      <c r="K103">
        <v>0</v>
      </c>
      <c r="L103">
        <v>0</v>
      </c>
      <c r="M103">
        <v>0</v>
      </c>
      <c r="N103" t="s">
        <v>3915</v>
      </c>
      <c r="O103" t="s">
        <v>3915</v>
      </c>
      <c r="P103" t="s">
        <v>3915</v>
      </c>
      <c r="Q103">
        <v>0</v>
      </c>
      <c r="R103" t="s">
        <v>101</v>
      </c>
      <c r="S103">
        <v>0</v>
      </c>
      <c r="T103">
        <v>0</v>
      </c>
      <c r="U103" t="s">
        <v>3915</v>
      </c>
      <c r="V103" t="s">
        <v>31</v>
      </c>
      <c r="W103">
        <v>0</v>
      </c>
    </row>
    <row r="104" spans="1:23" x14ac:dyDescent="0.25">
      <c r="A104" t="s">
        <v>5109</v>
      </c>
      <c r="B104" t="s">
        <v>1766</v>
      </c>
      <c r="C104" t="s">
        <v>1765</v>
      </c>
      <c r="D104" t="s">
        <v>4479</v>
      </c>
      <c r="E104" t="s">
        <v>1394</v>
      </c>
      <c r="F104" t="s">
        <v>95</v>
      </c>
      <c r="G104" t="s">
        <v>1406</v>
      </c>
      <c r="H104" s="6">
        <v>46022</v>
      </c>
      <c r="I104" t="s">
        <v>29</v>
      </c>
      <c r="J104">
        <v>8</v>
      </c>
      <c r="K104">
        <v>0</v>
      </c>
      <c r="L104">
        <v>0</v>
      </c>
      <c r="M104">
        <v>0</v>
      </c>
      <c r="N104" t="s">
        <v>3915</v>
      </c>
      <c r="O104" t="s">
        <v>3915</v>
      </c>
      <c r="P104" t="s">
        <v>3915</v>
      </c>
      <c r="Q104">
        <v>0</v>
      </c>
      <c r="R104" t="s">
        <v>101</v>
      </c>
      <c r="S104">
        <v>0</v>
      </c>
      <c r="T104">
        <v>0</v>
      </c>
      <c r="U104" t="s">
        <v>3915</v>
      </c>
      <c r="V104" t="s">
        <v>31</v>
      </c>
      <c r="W104">
        <v>0</v>
      </c>
    </row>
    <row r="105" spans="1:23" x14ac:dyDescent="0.25">
      <c r="A105" t="s">
        <v>5110</v>
      </c>
      <c r="B105" t="s">
        <v>1768</v>
      </c>
      <c r="C105" t="s">
        <v>1767</v>
      </c>
      <c r="D105" t="s">
        <v>4479</v>
      </c>
      <c r="E105" t="s">
        <v>1394</v>
      </c>
      <c r="F105" t="s">
        <v>95</v>
      </c>
      <c r="G105" t="s">
        <v>1406</v>
      </c>
      <c r="H105" s="6">
        <v>46022</v>
      </c>
      <c r="I105" t="s">
        <v>29</v>
      </c>
      <c r="J105">
        <v>2</v>
      </c>
      <c r="K105">
        <v>0</v>
      </c>
      <c r="L105">
        <v>0</v>
      </c>
      <c r="M105">
        <v>0</v>
      </c>
      <c r="N105" t="s">
        <v>3915</v>
      </c>
      <c r="O105" t="s">
        <v>3915</v>
      </c>
      <c r="P105" t="s">
        <v>3915</v>
      </c>
      <c r="Q105">
        <v>0</v>
      </c>
      <c r="R105" t="s">
        <v>101</v>
      </c>
      <c r="S105">
        <v>0</v>
      </c>
      <c r="T105">
        <v>0</v>
      </c>
      <c r="U105" t="s">
        <v>3915</v>
      </c>
      <c r="V105" t="s">
        <v>31</v>
      </c>
      <c r="W105">
        <v>0</v>
      </c>
    </row>
    <row r="106" spans="1:23" x14ac:dyDescent="0.25">
      <c r="A106" t="s">
        <v>5111</v>
      </c>
      <c r="B106" t="s">
        <v>1770</v>
      </c>
      <c r="C106" t="s">
        <v>1769</v>
      </c>
      <c r="D106" t="s">
        <v>4479</v>
      </c>
      <c r="E106" t="s">
        <v>1394</v>
      </c>
      <c r="F106" t="s">
        <v>95</v>
      </c>
      <c r="G106" t="s">
        <v>1406</v>
      </c>
      <c r="H106" s="6">
        <v>46022</v>
      </c>
      <c r="I106" t="s">
        <v>29</v>
      </c>
      <c r="J106">
        <v>2</v>
      </c>
      <c r="K106">
        <v>0</v>
      </c>
      <c r="L106">
        <v>0</v>
      </c>
      <c r="M106">
        <v>0</v>
      </c>
      <c r="N106" t="s">
        <v>3915</v>
      </c>
      <c r="O106" t="s">
        <v>3915</v>
      </c>
      <c r="P106" t="s">
        <v>3915</v>
      </c>
      <c r="Q106">
        <v>0</v>
      </c>
      <c r="R106" t="s">
        <v>101</v>
      </c>
      <c r="S106">
        <v>0</v>
      </c>
      <c r="T106">
        <v>0</v>
      </c>
      <c r="U106" t="s">
        <v>3915</v>
      </c>
      <c r="V106" t="s">
        <v>31</v>
      </c>
      <c r="W106">
        <v>0</v>
      </c>
    </row>
    <row r="107" spans="1:23" x14ac:dyDescent="0.25">
      <c r="A107" t="s">
        <v>5112</v>
      </c>
      <c r="B107" t="s">
        <v>1772</v>
      </c>
      <c r="C107" t="s">
        <v>1771</v>
      </c>
      <c r="D107" t="s">
        <v>4479</v>
      </c>
      <c r="E107" t="s">
        <v>1394</v>
      </c>
      <c r="F107" t="s">
        <v>95</v>
      </c>
      <c r="G107" t="s">
        <v>1406</v>
      </c>
      <c r="H107" s="6">
        <v>46022</v>
      </c>
      <c r="I107" t="s">
        <v>29</v>
      </c>
      <c r="J107">
        <v>3</v>
      </c>
      <c r="K107">
        <v>0</v>
      </c>
      <c r="L107">
        <v>0</v>
      </c>
      <c r="M107">
        <v>0</v>
      </c>
      <c r="N107" t="s">
        <v>3915</v>
      </c>
      <c r="O107" t="s">
        <v>3915</v>
      </c>
      <c r="P107" t="s">
        <v>3915</v>
      </c>
      <c r="Q107">
        <v>0</v>
      </c>
      <c r="R107" t="s">
        <v>30</v>
      </c>
      <c r="S107">
        <v>0</v>
      </c>
      <c r="T107">
        <v>0</v>
      </c>
      <c r="U107" t="s">
        <v>3915</v>
      </c>
      <c r="V107" t="s">
        <v>31</v>
      </c>
      <c r="W107">
        <v>0</v>
      </c>
    </row>
    <row r="108" spans="1:23" x14ac:dyDescent="0.25">
      <c r="A108" t="s">
        <v>5113</v>
      </c>
      <c r="B108" t="s">
        <v>1774</v>
      </c>
      <c r="C108" t="s">
        <v>1773</v>
      </c>
      <c r="D108" t="s">
        <v>4479</v>
      </c>
      <c r="E108" t="s">
        <v>1394</v>
      </c>
      <c r="F108" t="s">
        <v>95</v>
      </c>
      <c r="G108" t="s">
        <v>1406</v>
      </c>
      <c r="H108" s="6">
        <v>46022</v>
      </c>
      <c r="I108" t="s">
        <v>29</v>
      </c>
      <c r="J108">
        <v>2</v>
      </c>
      <c r="K108">
        <v>0</v>
      </c>
      <c r="L108">
        <v>0</v>
      </c>
      <c r="M108">
        <v>0</v>
      </c>
      <c r="N108" t="s">
        <v>3915</v>
      </c>
      <c r="O108" t="s">
        <v>3915</v>
      </c>
      <c r="P108" t="s">
        <v>3915</v>
      </c>
      <c r="Q108">
        <v>0</v>
      </c>
      <c r="R108" t="s">
        <v>30</v>
      </c>
      <c r="S108">
        <v>0</v>
      </c>
      <c r="T108">
        <v>0</v>
      </c>
      <c r="U108" t="s">
        <v>3915</v>
      </c>
      <c r="V108" t="s">
        <v>31</v>
      </c>
      <c r="W108">
        <v>0</v>
      </c>
    </row>
    <row r="109" spans="1:23" x14ac:dyDescent="0.25">
      <c r="A109" t="s">
        <v>5114</v>
      </c>
      <c r="B109" t="s">
        <v>1776</v>
      </c>
      <c r="C109" t="s">
        <v>1775</v>
      </c>
      <c r="D109" t="s">
        <v>4479</v>
      </c>
      <c r="E109" t="s">
        <v>1394</v>
      </c>
      <c r="F109" t="s">
        <v>95</v>
      </c>
      <c r="G109" t="s">
        <v>1406</v>
      </c>
      <c r="H109" s="6">
        <v>46022</v>
      </c>
      <c r="I109" t="s">
        <v>29</v>
      </c>
      <c r="J109">
        <v>6</v>
      </c>
      <c r="K109">
        <v>0</v>
      </c>
      <c r="L109">
        <v>0</v>
      </c>
      <c r="M109">
        <v>0</v>
      </c>
      <c r="N109" t="s">
        <v>3915</v>
      </c>
      <c r="O109" t="s">
        <v>3915</v>
      </c>
      <c r="P109" t="s">
        <v>3915</v>
      </c>
      <c r="Q109">
        <v>0</v>
      </c>
      <c r="R109" t="s">
        <v>30</v>
      </c>
      <c r="S109">
        <v>0</v>
      </c>
      <c r="T109">
        <v>0</v>
      </c>
      <c r="U109" t="s">
        <v>3915</v>
      </c>
      <c r="V109" t="s">
        <v>31</v>
      </c>
      <c r="W109">
        <v>0</v>
      </c>
    </row>
    <row r="110" spans="1:23" x14ac:dyDescent="0.25">
      <c r="A110" t="s">
        <v>5115</v>
      </c>
      <c r="B110" t="s">
        <v>1778</v>
      </c>
      <c r="C110" t="s">
        <v>1777</v>
      </c>
      <c r="D110" t="s">
        <v>4479</v>
      </c>
      <c r="E110" t="s">
        <v>1394</v>
      </c>
      <c r="F110" t="s">
        <v>95</v>
      </c>
      <c r="G110" t="s">
        <v>1406</v>
      </c>
      <c r="H110" s="6">
        <v>46022</v>
      </c>
      <c r="I110" t="s">
        <v>29</v>
      </c>
      <c r="J110">
        <v>9</v>
      </c>
      <c r="K110">
        <v>0</v>
      </c>
      <c r="L110">
        <v>0</v>
      </c>
      <c r="M110">
        <v>0</v>
      </c>
      <c r="N110" t="s">
        <v>3915</v>
      </c>
      <c r="O110" t="s">
        <v>3915</v>
      </c>
      <c r="P110" t="s">
        <v>3915</v>
      </c>
      <c r="Q110">
        <v>0</v>
      </c>
      <c r="R110" t="s">
        <v>30</v>
      </c>
      <c r="S110">
        <v>0</v>
      </c>
      <c r="T110">
        <v>0</v>
      </c>
      <c r="U110" t="s">
        <v>3915</v>
      </c>
      <c r="V110" t="s">
        <v>31</v>
      </c>
      <c r="W110">
        <v>0</v>
      </c>
    </row>
    <row r="111" spans="1:23" x14ac:dyDescent="0.25">
      <c r="A111" t="s">
        <v>5116</v>
      </c>
      <c r="B111" t="s">
        <v>1780</v>
      </c>
      <c r="C111" t="s">
        <v>1779</v>
      </c>
      <c r="D111" t="s">
        <v>4479</v>
      </c>
      <c r="E111" t="s">
        <v>1394</v>
      </c>
      <c r="F111" t="s">
        <v>95</v>
      </c>
      <c r="G111" t="s">
        <v>1406</v>
      </c>
      <c r="H111" s="6">
        <v>46022</v>
      </c>
      <c r="I111" t="s">
        <v>29</v>
      </c>
      <c r="J111">
        <v>5</v>
      </c>
      <c r="K111">
        <v>0</v>
      </c>
      <c r="L111">
        <v>0</v>
      </c>
      <c r="M111">
        <v>0</v>
      </c>
      <c r="N111" t="s">
        <v>3915</v>
      </c>
      <c r="O111" t="s">
        <v>3915</v>
      </c>
      <c r="P111" t="s">
        <v>3915</v>
      </c>
      <c r="Q111">
        <v>0</v>
      </c>
      <c r="R111" t="s">
        <v>30</v>
      </c>
      <c r="S111">
        <v>0</v>
      </c>
      <c r="T111">
        <v>0</v>
      </c>
      <c r="U111" t="s">
        <v>3915</v>
      </c>
      <c r="V111" t="s">
        <v>31</v>
      </c>
      <c r="W111">
        <v>0</v>
      </c>
    </row>
    <row r="112" spans="1:23" x14ac:dyDescent="0.25">
      <c r="A112" t="s">
        <v>5117</v>
      </c>
      <c r="B112" t="s">
        <v>1782</v>
      </c>
      <c r="C112" t="s">
        <v>1781</v>
      </c>
      <c r="D112" t="s">
        <v>4479</v>
      </c>
      <c r="E112" t="s">
        <v>1394</v>
      </c>
      <c r="F112" t="s">
        <v>95</v>
      </c>
      <c r="G112" t="s">
        <v>1406</v>
      </c>
      <c r="H112" s="6">
        <v>46022</v>
      </c>
      <c r="I112" t="s">
        <v>29</v>
      </c>
      <c r="J112">
        <v>44</v>
      </c>
      <c r="K112">
        <v>0</v>
      </c>
      <c r="L112">
        <v>0</v>
      </c>
      <c r="M112">
        <v>0</v>
      </c>
      <c r="N112" t="s">
        <v>3915</v>
      </c>
      <c r="O112" t="s">
        <v>3915</v>
      </c>
      <c r="P112" t="s">
        <v>3915</v>
      </c>
      <c r="Q112">
        <v>0</v>
      </c>
      <c r="R112" t="s">
        <v>30</v>
      </c>
      <c r="S112">
        <v>0</v>
      </c>
      <c r="T112">
        <v>0</v>
      </c>
      <c r="U112" t="s">
        <v>3915</v>
      </c>
      <c r="V112" t="s">
        <v>31</v>
      </c>
      <c r="W112">
        <v>0</v>
      </c>
    </row>
    <row r="113" spans="1:23" x14ac:dyDescent="0.25">
      <c r="A113" t="s">
        <v>5118</v>
      </c>
      <c r="B113" t="s">
        <v>1784</v>
      </c>
      <c r="C113" t="s">
        <v>1783</v>
      </c>
      <c r="D113" t="s">
        <v>4479</v>
      </c>
      <c r="E113" t="s">
        <v>1394</v>
      </c>
      <c r="F113" t="s">
        <v>95</v>
      </c>
      <c r="G113" t="s">
        <v>1406</v>
      </c>
      <c r="H113" s="6">
        <v>46022</v>
      </c>
      <c r="I113" t="s">
        <v>29</v>
      </c>
      <c r="J113">
        <v>4</v>
      </c>
      <c r="K113">
        <v>0</v>
      </c>
      <c r="L113">
        <v>0</v>
      </c>
      <c r="M113">
        <v>0</v>
      </c>
      <c r="N113" t="s">
        <v>3915</v>
      </c>
      <c r="O113" t="s">
        <v>3915</v>
      </c>
      <c r="P113" t="s">
        <v>3915</v>
      </c>
      <c r="Q113">
        <v>0</v>
      </c>
      <c r="R113" t="s">
        <v>30</v>
      </c>
      <c r="S113">
        <v>0</v>
      </c>
      <c r="T113">
        <v>0</v>
      </c>
      <c r="U113" t="s">
        <v>3915</v>
      </c>
      <c r="V113" t="s">
        <v>31</v>
      </c>
      <c r="W113">
        <v>0</v>
      </c>
    </row>
    <row r="114" spans="1:23" x14ac:dyDescent="0.25">
      <c r="A114" t="s">
        <v>5119</v>
      </c>
      <c r="B114" t="s">
        <v>1786</v>
      </c>
      <c r="C114" t="s">
        <v>1785</v>
      </c>
      <c r="D114" t="s">
        <v>4479</v>
      </c>
      <c r="E114" t="s">
        <v>1394</v>
      </c>
      <c r="F114" t="s">
        <v>95</v>
      </c>
      <c r="G114" t="s">
        <v>1406</v>
      </c>
      <c r="H114" s="6">
        <v>46022</v>
      </c>
      <c r="I114" t="s">
        <v>29</v>
      </c>
      <c r="J114">
        <v>20</v>
      </c>
      <c r="K114">
        <v>0</v>
      </c>
      <c r="L114">
        <v>0</v>
      </c>
      <c r="M114">
        <v>0</v>
      </c>
      <c r="N114" t="s">
        <v>3915</v>
      </c>
      <c r="O114" t="s">
        <v>3915</v>
      </c>
      <c r="P114" t="s">
        <v>3915</v>
      </c>
      <c r="Q114">
        <v>0</v>
      </c>
      <c r="R114" t="s">
        <v>30</v>
      </c>
      <c r="S114">
        <v>0</v>
      </c>
      <c r="T114">
        <v>0</v>
      </c>
      <c r="U114" t="s">
        <v>3915</v>
      </c>
      <c r="V114" t="s">
        <v>31</v>
      </c>
      <c r="W114">
        <v>0</v>
      </c>
    </row>
    <row r="115" spans="1:23" x14ac:dyDescent="0.25">
      <c r="A115" t="s">
        <v>5120</v>
      </c>
      <c r="B115" t="s">
        <v>1788</v>
      </c>
      <c r="C115" t="s">
        <v>1787</v>
      </c>
      <c r="D115" t="s">
        <v>4479</v>
      </c>
      <c r="E115" t="s">
        <v>1394</v>
      </c>
      <c r="F115" t="s">
        <v>95</v>
      </c>
      <c r="G115" t="s">
        <v>1406</v>
      </c>
      <c r="H115" s="6">
        <v>46022</v>
      </c>
      <c r="I115" t="s">
        <v>29</v>
      </c>
      <c r="J115">
        <v>20</v>
      </c>
      <c r="K115">
        <v>0</v>
      </c>
      <c r="L115">
        <v>0</v>
      </c>
      <c r="M115">
        <v>0</v>
      </c>
      <c r="N115" t="s">
        <v>3915</v>
      </c>
      <c r="O115" t="s">
        <v>3915</v>
      </c>
      <c r="P115" t="s">
        <v>3915</v>
      </c>
      <c r="Q115">
        <v>0</v>
      </c>
      <c r="R115" t="s">
        <v>30</v>
      </c>
      <c r="S115">
        <v>0</v>
      </c>
      <c r="T115">
        <v>0</v>
      </c>
      <c r="U115" t="s">
        <v>3915</v>
      </c>
      <c r="V115" t="s">
        <v>31</v>
      </c>
      <c r="W115">
        <v>0</v>
      </c>
    </row>
    <row r="116" spans="1:23" x14ac:dyDescent="0.25">
      <c r="A116" t="s">
        <v>4895</v>
      </c>
      <c r="B116" t="s">
        <v>1790</v>
      </c>
      <c r="C116" t="s">
        <v>1789</v>
      </c>
      <c r="D116" t="s">
        <v>4479</v>
      </c>
      <c r="E116" t="s">
        <v>1394</v>
      </c>
      <c r="F116" t="s">
        <v>95</v>
      </c>
      <c r="G116" t="s">
        <v>1406</v>
      </c>
      <c r="H116" s="6">
        <v>46022</v>
      </c>
      <c r="I116" t="s">
        <v>29</v>
      </c>
      <c r="J116">
        <v>24</v>
      </c>
      <c r="K116">
        <v>0</v>
      </c>
      <c r="L116">
        <v>0</v>
      </c>
      <c r="M116">
        <v>0</v>
      </c>
      <c r="N116" t="s">
        <v>3915</v>
      </c>
      <c r="O116" t="s">
        <v>3915</v>
      </c>
      <c r="P116" t="s">
        <v>3915</v>
      </c>
      <c r="Q116">
        <v>0</v>
      </c>
      <c r="R116" t="s">
        <v>30</v>
      </c>
      <c r="S116">
        <v>0</v>
      </c>
      <c r="T116">
        <v>0</v>
      </c>
      <c r="U116" t="s">
        <v>3915</v>
      </c>
      <c r="V116" t="s">
        <v>31</v>
      </c>
      <c r="W116">
        <v>0</v>
      </c>
    </row>
    <row r="117" spans="1:23" x14ac:dyDescent="0.25">
      <c r="A117" t="s">
        <v>5121</v>
      </c>
      <c r="B117" t="s">
        <v>1792</v>
      </c>
      <c r="C117" t="s">
        <v>1791</v>
      </c>
      <c r="D117" t="s">
        <v>4479</v>
      </c>
      <c r="E117" t="s">
        <v>1394</v>
      </c>
      <c r="F117" t="s">
        <v>95</v>
      </c>
      <c r="G117" t="s">
        <v>1406</v>
      </c>
      <c r="H117" s="6">
        <v>46022</v>
      </c>
      <c r="I117" t="s">
        <v>29</v>
      </c>
      <c r="J117">
        <v>20</v>
      </c>
      <c r="K117">
        <v>0</v>
      </c>
      <c r="L117">
        <v>0</v>
      </c>
      <c r="M117">
        <v>0</v>
      </c>
      <c r="N117" t="s">
        <v>3915</v>
      </c>
      <c r="O117" t="s">
        <v>3915</v>
      </c>
      <c r="P117" t="s">
        <v>3915</v>
      </c>
      <c r="Q117">
        <v>0</v>
      </c>
      <c r="R117" t="s">
        <v>30</v>
      </c>
      <c r="S117">
        <v>0</v>
      </c>
      <c r="T117">
        <v>0</v>
      </c>
      <c r="U117" t="s">
        <v>3915</v>
      </c>
      <c r="V117" t="s">
        <v>31</v>
      </c>
      <c r="W117">
        <v>0</v>
      </c>
    </row>
    <row r="118" spans="1:23" x14ac:dyDescent="0.25">
      <c r="A118" t="s">
        <v>5122</v>
      </c>
      <c r="B118" t="s">
        <v>1794</v>
      </c>
      <c r="C118" t="s">
        <v>1793</v>
      </c>
      <c r="D118" t="s">
        <v>4479</v>
      </c>
      <c r="E118" t="s">
        <v>1394</v>
      </c>
      <c r="F118" t="s">
        <v>95</v>
      </c>
      <c r="G118" t="s">
        <v>1406</v>
      </c>
      <c r="H118" s="6">
        <v>46022</v>
      </c>
      <c r="I118" t="s">
        <v>29</v>
      </c>
      <c r="J118">
        <v>25</v>
      </c>
      <c r="K118">
        <v>0</v>
      </c>
      <c r="L118">
        <v>0</v>
      </c>
      <c r="M118">
        <v>0</v>
      </c>
      <c r="N118" t="s">
        <v>3915</v>
      </c>
      <c r="O118" t="s">
        <v>3915</v>
      </c>
      <c r="P118" t="s">
        <v>3915</v>
      </c>
      <c r="Q118">
        <v>0</v>
      </c>
      <c r="R118" t="s">
        <v>30</v>
      </c>
      <c r="S118">
        <v>0</v>
      </c>
      <c r="T118">
        <v>0</v>
      </c>
      <c r="U118" t="s">
        <v>3915</v>
      </c>
      <c r="V118" t="s">
        <v>31</v>
      </c>
      <c r="W118">
        <v>0</v>
      </c>
    </row>
    <row r="119" spans="1:23" x14ac:dyDescent="0.25">
      <c r="A119" t="s">
        <v>5123</v>
      </c>
      <c r="B119" t="s">
        <v>1796</v>
      </c>
      <c r="C119" t="s">
        <v>1795</v>
      </c>
      <c r="D119" t="s">
        <v>4479</v>
      </c>
      <c r="E119" t="s">
        <v>1394</v>
      </c>
      <c r="F119" t="s">
        <v>95</v>
      </c>
      <c r="G119" t="s">
        <v>1406</v>
      </c>
      <c r="H119" s="6">
        <v>46022</v>
      </c>
      <c r="I119" t="s">
        <v>29</v>
      </c>
      <c r="J119">
        <v>12</v>
      </c>
      <c r="K119">
        <v>0</v>
      </c>
      <c r="L119">
        <v>0</v>
      </c>
      <c r="M119">
        <v>0</v>
      </c>
      <c r="N119" t="s">
        <v>3915</v>
      </c>
      <c r="O119" t="s">
        <v>3915</v>
      </c>
      <c r="P119" t="s">
        <v>3915</v>
      </c>
      <c r="Q119">
        <v>0</v>
      </c>
      <c r="R119" t="s">
        <v>30</v>
      </c>
      <c r="S119">
        <v>0</v>
      </c>
      <c r="T119">
        <v>0</v>
      </c>
      <c r="U119" t="s">
        <v>3915</v>
      </c>
      <c r="V119" t="s">
        <v>31</v>
      </c>
      <c r="W119">
        <v>0</v>
      </c>
    </row>
    <row r="120" spans="1:23" x14ac:dyDescent="0.25">
      <c r="A120" t="s">
        <v>5124</v>
      </c>
      <c r="B120" t="s">
        <v>1798</v>
      </c>
      <c r="C120" t="s">
        <v>1797</v>
      </c>
      <c r="D120" t="s">
        <v>4479</v>
      </c>
      <c r="E120" t="s">
        <v>1394</v>
      </c>
      <c r="F120" t="s">
        <v>95</v>
      </c>
      <c r="G120" t="s">
        <v>1406</v>
      </c>
      <c r="H120" s="6">
        <v>46022</v>
      </c>
      <c r="I120" t="s">
        <v>29</v>
      </c>
      <c r="J120">
        <v>8</v>
      </c>
      <c r="K120">
        <v>0</v>
      </c>
      <c r="L120">
        <v>0</v>
      </c>
      <c r="M120">
        <v>0</v>
      </c>
      <c r="N120" t="s">
        <v>3915</v>
      </c>
      <c r="O120" t="s">
        <v>3915</v>
      </c>
      <c r="P120" t="s">
        <v>3915</v>
      </c>
      <c r="Q120">
        <v>0</v>
      </c>
      <c r="R120" t="s">
        <v>30</v>
      </c>
      <c r="S120">
        <v>0</v>
      </c>
      <c r="T120">
        <v>0</v>
      </c>
      <c r="U120" t="s">
        <v>3915</v>
      </c>
      <c r="V120" t="s">
        <v>31</v>
      </c>
      <c r="W120">
        <v>0</v>
      </c>
    </row>
    <row r="121" spans="1:23" x14ac:dyDescent="0.25">
      <c r="A121" t="s">
        <v>5125</v>
      </c>
      <c r="B121" t="s">
        <v>1800</v>
      </c>
      <c r="C121" t="s">
        <v>1799</v>
      </c>
      <c r="D121" t="s">
        <v>4479</v>
      </c>
      <c r="E121" t="s">
        <v>1394</v>
      </c>
      <c r="F121" t="s">
        <v>95</v>
      </c>
      <c r="G121" t="s">
        <v>1406</v>
      </c>
      <c r="H121" s="6">
        <v>46022</v>
      </c>
      <c r="I121" t="s">
        <v>29</v>
      </c>
      <c r="J121">
        <v>6</v>
      </c>
      <c r="K121">
        <v>0</v>
      </c>
      <c r="L121">
        <v>0</v>
      </c>
      <c r="M121">
        <v>0</v>
      </c>
      <c r="N121" t="s">
        <v>3915</v>
      </c>
      <c r="O121" t="s">
        <v>3915</v>
      </c>
      <c r="P121" t="s">
        <v>3915</v>
      </c>
      <c r="Q121">
        <v>0</v>
      </c>
      <c r="R121" t="s">
        <v>30</v>
      </c>
      <c r="S121">
        <v>0</v>
      </c>
      <c r="T121">
        <v>0</v>
      </c>
      <c r="U121" t="s">
        <v>3915</v>
      </c>
      <c r="V121" t="s">
        <v>31</v>
      </c>
      <c r="W121">
        <v>0</v>
      </c>
    </row>
    <row r="122" spans="1:23" x14ac:dyDescent="0.25">
      <c r="A122" t="s">
        <v>4960</v>
      </c>
      <c r="B122" t="s">
        <v>1430</v>
      </c>
      <c r="C122" t="s">
        <v>1429</v>
      </c>
      <c r="D122" t="s">
        <v>4479</v>
      </c>
      <c r="E122" t="s">
        <v>1394</v>
      </c>
      <c r="F122" t="s">
        <v>95</v>
      </c>
      <c r="G122" t="s">
        <v>1406</v>
      </c>
      <c r="H122" s="6">
        <v>46022</v>
      </c>
      <c r="I122" t="s">
        <v>29</v>
      </c>
      <c r="J122">
        <v>445</v>
      </c>
      <c r="K122">
        <v>0</v>
      </c>
      <c r="L122">
        <v>0</v>
      </c>
      <c r="M122">
        <v>0</v>
      </c>
      <c r="N122" t="s">
        <v>3915</v>
      </c>
      <c r="O122" t="s">
        <v>3915</v>
      </c>
      <c r="P122" t="s">
        <v>3915</v>
      </c>
      <c r="Q122">
        <v>0</v>
      </c>
      <c r="R122" t="s">
        <v>30</v>
      </c>
      <c r="S122">
        <v>0</v>
      </c>
      <c r="T122">
        <v>0</v>
      </c>
      <c r="U122" t="s">
        <v>3915</v>
      </c>
      <c r="V122" t="s">
        <v>31</v>
      </c>
      <c r="W122">
        <v>0</v>
      </c>
    </row>
    <row r="123" spans="1:23" x14ac:dyDescent="0.25">
      <c r="A123" t="s">
        <v>5126</v>
      </c>
      <c r="B123" t="s">
        <v>1432</v>
      </c>
      <c r="C123" t="s">
        <v>1431</v>
      </c>
      <c r="D123" t="s">
        <v>4479</v>
      </c>
      <c r="E123" t="s">
        <v>1394</v>
      </c>
      <c r="F123" t="s">
        <v>95</v>
      </c>
      <c r="G123" t="s">
        <v>1406</v>
      </c>
      <c r="H123" s="6">
        <v>46022</v>
      </c>
      <c r="I123" t="s">
        <v>29</v>
      </c>
      <c r="J123">
        <v>551</v>
      </c>
      <c r="K123">
        <v>0</v>
      </c>
      <c r="L123">
        <v>0</v>
      </c>
      <c r="M123">
        <v>0</v>
      </c>
      <c r="N123" t="s">
        <v>3915</v>
      </c>
      <c r="O123" t="s">
        <v>3915</v>
      </c>
      <c r="P123" t="s">
        <v>3915</v>
      </c>
      <c r="Q123">
        <v>0</v>
      </c>
      <c r="R123" t="s">
        <v>30</v>
      </c>
      <c r="S123">
        <v>0</v>
      </c>
      <c r="T123">
        <v>0</v>
      </c>
      <c r="U123" t="s">
        <v>3915</v>
      </c>
      <c r="V123" t="s">
        <v>31</v>
      </c>
      <c r="W123">
        <v>0</v>
      </c>
    </row>
    <row r="124" spans="1:23" x14ac:dyDescent="0.25">
      <c r="A124" t="s">
        <v>5127</v>
      </c>
      <c r="B124" t="s">
        <v>1802</v>
      </c>
      <c r="C124" t="s">
        <v>1801</v>
      </c>
      <c r="D124" t="s">
        <v>4479</v>
      </c>
      <c r="E124" t="s">
        <v>1394</v>
      </c>
      <c r="F124" t="s">
        <v>95</v>
      </c>
      <c r="G124" t="s">
        <v>1406</v>
      </c>
      <c r="H124" s="6">
        <v>46022</v>
      </c>
      <c r="I124" t="s">
        <v>29</v>
      </c>
      <c r="J124">
        <v>382</v>
      </c>
      <c r="K124">
        <v>0</v>
      </c>
      <c r="L124">
        <v>0</v>
      </c>
      <c r="M124">
        <v>0</v>
      </c>
      <c r="N124" t="s">
        <v>3915</v>
      </c>
      <c r="O124" t="s">
        <v>3915</v>
      </c>
      <c r="P124" t="s">
        <v>3915</v>
      </c>
      <c r="Q124">
        <v>0</v>
      </c>
      <c r="R124" t="s">
        <v>30</v>
      </c>
      <c r="S124">
        <v>0</v>
      </c>
      <c r="T124">
        <v>0</v>
      </c>
      <c r="U124" t="s">
        <v>3915</v>
      </c>
      <c r="V124" t="s">
        <v>31</v>
      </c>
      <c r="W124">
        <v>0</v>
      </c>
    </row>
    <row r="125" spans="1:23" x14ac:dyDescent="0.25">
      <c r="A125" t="s">
        <v>5128</v>
      </c>
      <c r="B125" t="s">
        <v>1804</v>
      </c>
      <c r="C125" t="s">
        <v>1803</v>
      </c>
      <c r="D125" t="s">
        <v>4479</v>
      </c>
      <c r="E125" t="s">
        <v>1394</v>
      </c>
      <c r="F125" t="s">
        <v>95</v>
      </c>
      <c r="G125" t="s">
        <v>1406</v>
      </c>
      <c r="H125" s="6">
        <v>46022</v>
      </c>
      <c r="I125" t="s">
        <v>29</v>
      </c>
      <c r="J125">
        <v>87</v>
      </c>
      <c r="K125">
        <v>0</v>
      </c>
      <c r="L125">
        <v>0</v>
      </c>
      <c r="M125">
        <v>0</v>
      </c>
      <c r="N125" t="s">
        <v>3915</v>
      </c>
      <c r="O125" t="s">
        <v>3915</v>
      </c>
      <c r="P125" t="s">
        <v>3915</v>
      </c>
      <c r="Q125">
        <v>0</v>
      </c>
      <c r="R125" t="s">
        <v>30</v>
      </c>
      <c r="S125">
        <v>0</v>
      </c>
      <c r="T125">
        <v>0</v>
      </c>
      <c r="U125" t="s">
        <v>3915</v>
      </c>
      <c r="V125" t="s">
        <v>31</v>
      </c>
      <c r="W125">
        <v>0</v>
      </c>
    </row>
    <row r="126" spans="1:23" x14ac:dyDescent="0.25">
      <c r="A126" t="s">
        <v>5129</v>
      </c>
      <c r="B126" t="s">
        <v>1806</v>
      </c>
      <c r="C126" t="s">
        <v>1805</v>
      </c>
      <c r="D126" t="s">
        <v>4479</v>
      </c>
      <c r="E126" t="s">
        <v>1394</v>
      </c>
      <c r="F126" t="s">
        <v>95</v>
      </c>
      <c r="G126" t="s">
        <v>1406</v>
      </c>
      <c r="H126" s="6">
        <v>46022</v>
      </c>
      <c r="I126" t="s">
        <v>29</v>
      </c>
      <c r="J126">
        <v>5</v>
      </c>
      <c r="K126">
        <v>0</v>
      </c>
      <c r="L126">
        <v>0</v>
      </c>
      <c r="M126">
        <v>0</v>
      </c>
      <c r="N126" t="s">
        <v>3915</v>
      </c>
      <c r="O126" t="s">
        <v>3915</v>
      </c>
      <c r="P126" t="s">
        <v>3915</v>
      </c>
      <c r="Q126">
        <v>0</v>
      </c>
      <c r="R126" t="s">
        <v>30</v>
      </c>
      <c r="S126">
        <v>0</v>
      </c>
      <c r="T126">
        <v>0</v>
      </c>
      <c r="U126" t="s">
        <v>3915</v>
      </c>
      <c r="V126" t="s">
        <v>31</v>
      </c>
      <c r="W126">
        <v>0</v>
      </c>
    </row>
    <row r="127" spans="1:23" x14ac:dyDescent="0.25">
      <c r="A127" t="s">
        <v>5130</v>
      </c>
      <c r="B127" t="s">
        <v>1808</v>
      </c>
      <c r="C127" t="s">
        <v>1807</v>
      </c>
      <c r="D127" t="s">
        <v>4479</v>
      </c>
      <c r="E127" t="s">
        <v>1394</v>
      </c>
      <c r="F127" t="s">
        <v>95</v>
      </c>
      <c r="G127" t="s">
        <v>1406</v>
      </c>
      <c r="H127" s="6">
        <v>46022</v>
      </c>
      <c r="I127" t="s">
        <v>29</v>
      </c>
      <c r="J127">
        <v>1</v>
      </c>
      <c r="K127">
        <v>0</v>
      </c>
      <c r="L127">
        <v>0</v>
      </c>
      <c r="M127">
        <v>0</v>
      </c>
      <c r="N127" t="s">
        <v>3915</v>
      </c>
      <c r="O127" t="s">
        <v>3915</v>
      </c>
      <c r="P127" t="s">
        <v>3915</v>
      </c>
      <c r="Q127">
        <v>0</v>
      </c>
      <c r="R127" t="s">
        <v>30</v>
      </c>
      <c r="S127">
        <v>0</v>
      </c>
      <c r="T127">
        <v>0</v>
      </c>
      <c r="U127" t="s">
        <v>3915</v>
      </c>
      <c r="V127" t="s">
        <v>31</v>
      </c>
      <c r="W127">
        <v>0</v>
      </c>
    </row>
    <row r="128" spans="1:23" x14ac:dyDescent="0.25">
      <c r="A128" t="s">
        <v>5131</v>
      </c>
      <c r="B128" t="s">
        <v>1810</v>
      </c>
      <c r="C128" t="s">
        <v>1809</v>
      </c>
      <c r="D128" t="s">
        <v>4479</v>
      </c>
      <c r="E128" t="s">
        <v>1394</v>
      </c>
      <c r="F128" t="s">
        <v>95</v>
      </c>
      <c r="G128" t="s">
        <v>1406</v>
      </c>
      <c r="H128" s="6">
        <v>46022</v>
      </c>
      <c r="I128" t="s">
        <v>29</v>
      </c>
      <c r="J128">
        <v>10</v>
      </c>
      <c r="K128">
        <v>0</v>
      </c>
      <c r="L128">
        <v>0</v>
      </c>
      <c r="M128">
        <v>0</v>
      </c>
      <c r="N128" t="s">
        <v>3915</v>
      </c>
      <c r="O128" t="s">
        <v>3915</v>
      </c>
      <c r="P128" t="s">
        <v>3915</v>
      </c>
      <c r="Q128">
        <v>0</v>
      </c>
      <c r="R128" t="s">
        <v>30</v>
      </c>
      <c r="S128">
        <v>0</v>
      </c>
      <c r="T128">
        <v>0</v>
      </c>
      <c r="U128" t="s">
        <v>3915</v>
      </c>
      <c r="V128" t="s">
        <v>31</v>
      </c>
      <c r="W128">
        <v>0</v>
      </c>
    </row>
    <row r="129" spans="1:23" x14ac:dyDescent="0.25">
      <c r="A129" t="s">
        <v>5132</v>
      </c>
      <c r="B129" t="s">
        <v>1812</v>
      </c>
      <c r="C129" t="s">
        <v>1811</v>
      </c>
      <c r="D129" t="s">
        <v>4479</v>
      </c>
      <c r="E129" t="s">
        <v>1394</v>
      </c>
      <c r="F129" t="s">
        <v>95</v>
      </c>
      <c r="G129" t="s">
        <v>1406</v>
      </c>
      <c r="H129" s="6">
        <v>46022</v>
      </c>
      <c r="I129" t="s">
        <v>29</v>
      </c>
      <c r="J129">
        <v>20</v>
      </c>
      <c r="K129">
        <v>0</v>
      </c>
      <c r="L129">
        <v>0</v>
      </c>
      <c r="M129">
        <v>0</v>
      </c>
      <c r="N129" t="s">
        <v>3915</v>
      </c>
      <c r="O129" t="s">
        <v>3915</v>
      </c>
      <c r="P129" t="s">
        <v>3915</v>
      </c>
      <c r="Q129">
        <v>0</v>
      </c>
      <c r="R129" t="s">
        <v>30</v>
      </c>
      <c r="S129">
        <v>0</v>
      </c>
      <c r="T129">
        <v>0</v>
      </c>
      <c r="U129" t="s">
        <v>3915</v>
      </c>
      <c r="V129" t="s">
        <v>31</v>
      </c>
      <c r="W129">
        <v>0</v>
      </c>
    </row>
    <row r="130" spans="1:23" x14ac:dyDescent="0.25">
      <c r="A130" t="s">
        <v>5133</v>
      </c>
      <c r="B130" t="s">
        <v>1814</v>
      </c>
      <c r="C130" t="s">
        <v>1813</v>
      </c>
      <c r="D130" t="s">
        <v>4479</v>
      </c>
      <c r="E130" t="s">
        <v>1394</v>
      </c>
      <c r="F130" t="s">
        <v>95</v>
      </c>
      <c r="G130" t="s">
        <v>1406</v>
      </c>
      <c r="H130" s="6">
        <v>46022</v>
      </c>
      <c r="I130" t="s">
        <v>29</v>
      </c>
      <c r="J130">
        <v>57</v>
      </c>
      <c r="K130">
        <v>0</v>
      </c>
      <c r="L130">
        <v>0</v>
      </c>
      <c r="M130">
        <v>0</v>
      </c>
      <c r="N130" t="s">
        <v>3915</v>
      </c>
      <c r="O130" t="s">
        <v>3915</v>
      </c>
      <c r="P130" t="s">
        <v>3915</v>
      </c>
      <c r="Q130">
        <v>0</v>
      </c>
      <c r="R130" t="s">
        <v>30</v>
      </c>
      <c r="S130">
        <v>0</v>
      </c>
      <c r="T130">
        <v>0</v>
      </c>
      <c r="U130" t="s">
        <v>3915</v>
      </c>
      <c r="V130" t="s">
        <v>31</v>
      </c>
      <c r="W130">
        <v>0</v>
      </c>
    </row>
    <row r="131" spans="1:23" x14ac:dyDescent="0.25">
      <c r="A131" t="s">
        <v>5134</v>
      </c>
      <c r="B131" t="s">
        <v>1816</v>
      </c>
      <c r="C131" t="s">
        <v>1815</v>
      </c>
      <c r="D131" t="s">
        <v>4479</v>
      </c>
      <c r="E131" t="s">
        <v>1394</v>
      </c>
      <c r="F131" t="s">
        <v>95</v>
      </c>
      <c r="G131" t="s">
        <v>1406</v>
      </c>
      <c r="H131" s="6">
        <v>46022</v>
      </c>
      <c r="I131" t="s">
        <v>29</v>
      </c>
      <c r="J131">
        <v>23</v>
      </c>
      <c r="K131">
        <v>0</v>
      </c>
      <c r="L131">
        <v>0</v>
      </c>
      <c r="M131">
        <v>0</v>
      </c>
      <c r="N131" t="s">
        <v>3915</v>
      </c>
      <c r="O131" t="s">
        <v>3915</v>
      </c>
      <c r="P131" t="s">
        <v>3915</v>
      </c>
      <c r="Q131">
        <v>0</v>
      </c>
      <c r="R131" t="s">
        <v>30</v>
      </c>
      <c r="S131">
        <v>0</v>
      </c>
      <c r="T131">
        <v>0</v>
      </c>
      <c r="U131" t="s">
        <v>3915</v>
      </c>
      <c r="V131" t="s">
        <v>31</v>
      </c>
      <c r="W131">
        <v>0</v>
      </c>
    </row>
    <row r="132" spans="1:23" x14ac:dyDescent="0.25">
      <c r="A132" t="s">
        <v>5135</v>
      </c>
      <c r="B132" t="s">
        <v>1818</v>
      </c>
      <c r="C132" t="s">
        <v>1817</v>
      </c>
      <c r="D132" t="s">
        <v>4479</v>
      </c>
      <c r="E132" t="s">
        <v>1394</v>
      </c>
      <c r="F132" t="s">
        <v>95</v>
      </c>
      <c r="G132" t="s">
        <v>1406</v>
      </c>
      <c r="H132" s="6">
        <v>46022</v>
      </c>
      <c r="I132" t="s">
        <v>29</v>
      </c>
      <c r="J132">
        <v>999</v>
      </c>
      <c r="K132">
        <v>0</v>
      </c>
      <c r="L132">
        <v>0</v>
      </c>
      <c r="M132">
        <v>0</v>
      </c>
      <c r="N132" t="s">
        <v>3915</v>
      </c>
      <c r="O132" t="s">
        <v>3915</v>
      </c>
      <c r="P132" t="s">
        <v>3915</v>
      </c>
      <c r="Q132">
        <v>0</v>
      </c>
      <c r="R132" t="s">
        <v>30</v>
      </c>
      <c r="S132">
        <v>0</v>
      </c>
      <c r="T132">
        <v>0</v>
      </c>
      <c r="U132" t="s">
        <v>3915</v>
      </c>
      <c r="V132" t="s">
        <v>31</v>
      </c>
      <c r="W132">
        <v>0</v>
      </c>
    </row>
    <row r="133" spans="1:23" x14ac:dyDescent="0.25">
      <c r="A133" t="s">
        <v>5136</v>
      </c>
      <c r="B133" t="s">
        <v>1820</v>
      </c>
      <c r="C133" t="s">
        <v>1819</v>
      </c>
      <c r="D133" t="s">
        <v>4479</v>
      </c>
      <c r="E133" t="s">
        <v>1394</v>
      </c>
      <c r="F133" t="s">
        <v>95</v>
      </c>
      <c r="G133" t="s">
        <v>1406</v>
      </c>
      <c r="H133" s="6">
        <v>46022</v>
      </c>
      <c r="I133" t="s">
        <v>29</v>
      </c>
      <c r="J133">
        <v>80</v>
      </c>
      <c r="K133">
        <v>0</v>
      </c>
      <c r="L133">
        <v>0</v>
      </c>
      <c r="M133">
        <v>0</v>
      </c>
      <c r="N133" t="s">
        <v>3915</v>
      </c>
      <c r="O133" t="s">
        <v>3915</v>
      </c>
      <c r="P133" t="s">
        <v>3915</v>
      </c>
      <c r="Q133">
        <v>0</v>
      </c>
      <c r="R133" t="s">
        <v>30</v>
      </c>
      <c r="S133">
        <v>0</v>
      </c>
      <c r="T133">
        <v>0</v>
      </c>
      <c r="U133" t="s">
        <v>3915</v>
      </c>
      <c r="V133" t="s">
        <v>31</v>
      </c>
      <c r="W133">
        <v>0</v>
      </c>
    </row>
    <row r="134" spans="1:23" x14ac:dyDescent="0.25">
      <c r="A134" t="s">
        <v>5137</v>
      </c>
      <c r="B134" t="s">
        <v>1822</v>
      </c>
      <c r="C134" t="s">
        <v>1821</v>
      </c>
      <c r="D134" t="s">
        <v>4479</v>
      </c>
      <c r="E134" t="s">
        <v>1394</v>
      </c>
      <c r="F134" t="s">
        <v>95</v>
      </c>
      <c r="G134" t="s">
        <v>1406</v>
      </c>
      <c r="H134" s="6">
        <v>46022</v>
      </c>
      <c r="I134" t="s">
        <v>29</v>
      </c>
      <c r="J134">
        <v>947</v>
      </c>
      <c r="K134">
        <v>0</v>
      </c>
      <c r="L134">
        <v>0</v>
      </c>
      <c r="M134">
        <v>0</v>
      </c>
      <c r="N134" t="s">
        <v>3915</v>
      </c>
      <c r="O134" t="s">
        <v>3915</v>
      </c>
      <c r="P134" t="s">
        <v>3915</v>
      </c>
      <c r="Q134">
        <v>0</v>
      </c>
      <c r="R134" t="s">
        <v>30</v>
      </c>
      <c r="S134">
        <v>0</v>
      </c>
      <c r="T134">
        <v>0</v>
      </c>
      <c r="U134" t="s">
        <v>3915</v>
      </c>
      <c r="V134" t="s">
        <v>31</v>
      </c>
      <c r="W134">
        <v>0</v>
      </c>
    </row>
    <row r="135" spans="1:23" x14ac:dyDescent="0.25">
      <c r="A135" t="s">
        <v>5138</v>
      </c>
      <c r="B135" t="s">
        <v>1434</v>
      </c>
      <c r="C135" t="s">
        <v>1433</v>
      </c>
      <c r="D135" t="s">
        <v>4479</v>
      </c>
      <c r="E135" t="s">
        <v>1394</v>
      </c>
      <c r="F135" t="s">
        <v>95</v>
      </c>
      <c r="G135" t="s">
        <v>1406</v>
      </c>
      <c r="H135" s="6">
        <v>46022</v>
      </c>
      <c r="I135" t="s">
        <v>29</v>
      </c>
      <c r="J135">
        <v>252</v>
      </c>
      <c r="K135">
        <v>0</v>
      </c>
      <c r="L135">
        <v>0</v>
      </c>
      <c r="M135">
        <v>0</v>
      </c>
      <c r="N135" t="s">
        <v>3915</v>
      </c>
      <c r="O135" t="s">
        <v>3915</v>
      </c>
      <c r="P135" t="s">
        <v>3915</v>
      </c>
      <c r="Q135">
        <v>0</v>
      </c>
      <c r="R135" t="s">
        <v>30</v>
      </c>
      <c r="S135">
        <v>0</v>
      </c>
      <c r="T135">
        <v>0</v>
      </c>
      <c r="U135" t="s">
        <v>3915</v>
      </c>
      <c r="V135" t="s">
        <v>31</v>
      </c>
      <c r="W135">
        <v>0</v>
      </c>
    </row>
    <row r="136" spans="1:23" x14ac:dyDescent="0.25">
      <c r="A136" t="s">
        <v>5139</v>
      </c>
      <c r="B136" t="s">
        <v>1436</v>
      </c>
      <c r="C136" t="s">
        <v>1435</v>
      </c>
      <c r="D136" t="s">
        <v>4479</v>
      </c>
      <c r="E136" t="s">
        <v>1394</v>
      </c>
      <c r="F136" t="s">
        <v>95</v>
      </c>
      <c r="G136" t="s">
        <v>1406</v>
      </c>
      <c r="H136" s="6">
        <v>46022</v>
      </c>
      <c r="I136" t="s">
        <v>29</v>
      </c>
      <c r="J136">
        <v>17</v>
      </c>
      <c r="K136">
        <v>0</v>
      </c>
      <c r="L136">
        <v>0</v>
      </c>
      <c r="M136">
        <v>0</v>
      </c>
      <c r="N136" t="s">
        <v>3915</v>
      </c>
      <c r="O136" t="s">
        <v>3915</v>
      </c>
      <c r="P136" t="s">
        <v>3915</v>
      </c>
      <c r="Q136">
        <v>0</v>
      </c>
      <c r="R136" t="s">
        <v>30</v>
      </c>
      <c r="S136">
        <v>0</v>
      </c>
      <c r="T136">
        <v>0</v>
      </c>
      <c r="U136" t="s">
        <v>3915</v>
      </c>
      <c r="V136" t="s">
        <v>31</v>
      </c>
      <c r="W136">
        <v>0</v>
      </c>
    </row>
    <row r="137" spans="1:23" x14ac:dyDescent="0.25">
      <c r="A137" t="s">
        <v>5140</v>
      </c>
      <c r="B137" t="s">
        <v>1438</v>
      </c>
      <c r="C137" t="s">
        <v>1437</v>
      </c>
      <c r="D137" t="s">
        <v>4479</v>
      </c>
      <c r="E137" t="s">
        <v>1394</v>
      </c>
      <c r="F137" t="s">
        <v>95</v>
      </c>
      <c r="G137" t="s">
        <v>1406</v>
      </c>
      <c r="H137" s="6">
        <v>46022</v>
      </c>
      <c r="I137" t="s">
        <v>29</v>
      </c>
      <c r="J137">
        <v>70</v>
      </c>
      <c r="K137">
        <v>0</v>
      </c>
      <c r="L137">
        <v>0</v>
      </c>
      <c r="M137">
        <v>0</v>
      </c>
      <c r="N137" t="s">
        <v>3915</v>
      </c>
      <c r="O137" t="s">
        <v>3915</v>
      </c>
      <c r="P137" t="s">
        <v>3915</v>
      </c>
      <c r="Q137">
        <v>0</v>
      </c>
      <c r="R137" t="s">
        <v>30</v>
      </c>
      <c r="S137">
        <v>0</v>
      </c>
      <c r="T137">
        <v>0</v>
      </c>
      <c r="U137" t="s">
        <v>3915</v>
      </c>
      <c r="V137" t="s">
        <v>31</v>
      </c>
      <c r="W137">
        <v>0</v>
      </c>
    </row>
    <row r="138" spans="1:23" x14ac:dyDescent="0.25">
      <c r="A138" t="s">
        <v>4483</v>
      </c>
      <c r="B138" t="s">
        <v>1824</v>
      </c>
      <c r="C138" t="s">
        <v>1823</v>
      </c>
      <c r="D138" t="s">
        <v>4479</v>
      </c>
      <c r="E138" t="s">
        <v>1394</v>
      </c>
      <c r="F138" t="s">
        <v>95</v>
      </c>
      <c r="G138" t="s">
        <v>1406</v>
      </c>
      <c r="H138" s="6">
        <v>46022</v>
      </c>
      <c r="I138" t="s">
        <v>29</v>
      </c>
      <c r="J138">
        <v>27</v>
      </c>
      <c r="K138">
        <v>0</v>
      </c>
      <c r="L138">
        <v>0</v>
      </c>
      <c r="M138">
        <v>0</v>
      </c>
      <c r="N138" t="s">
        <v>3915</v>
      </c>
      <c r="O138" t="s">
        <v>3915</v>
      </c>
      <c r="P138" t="s">
        <v>3915</v>
      </c>
      <c r="Q138">
        <v>0</v>
      </c>
      <c r="R138" t="s">
        <v>30</v>
      </c>
      <c r="S138">
        <v>0</v>
      </c>
      <c r="T138">
        <v>0</v>
      </c>
      <c r="U138" t="s">
        <v>3915</v>
      </c>
      <c r="V138" t="s">
        <v>31</v>
      </c>
      <c r="W138">
        <v>0</v>
      </c>
    </row>
    <row r="139" spans="1:23" x14ac:dyDescent="0.25">
      <c r="A139" t="s">
        <v>5141</v>
      </c>
      <c r="B139" t="s">
        <v>1826</v>
      </c>
      <c r="C139" t="s">
        <v>1825</v>
      </c>
      <c r="D139" t="s">
        <v>4479</v>
      </c>
      <c r="E139" t="s">
        <v>1394</v>
      </c>
      <c r="F139" t="s">
        <v>95</v>
      </c>
      <c r="G139" t="s">
        <v>1406</v>
      </c>
      <c r="H139" s="6">
        <v>46022</v>
      </c>
      <c r="I139" t="s">
        <v>29</v>
      </c>
      <c r="J139">
        <v>17</v>
      </c>
      <c r="K139">
        <v>0</v>
      </c>
      <c r="L139">
        <v>0</v>
      </c>
      <c r="M139">
        <v>0</v>
      </c>
      <c r="N139" t="s">
        <v>3915</v>
      </c>
      <c r="O139" t="s">
        <v>3915</v>
      </c>
      <c r="P139" t="s">
        <v>3915</v>
      </c>
      <c r="Q139">
        <v>0</v>
      </c>
      <c r="R139" t="s">
        <v>30</v>
      </c>
      <c r="S139">
        <v>0</v>
      </c>
      <c r="T139">
        <v>0</v>
      </c>
      <c r="U139" t="s">
        <v>3915</v>
      </c>
      <c r="V139" t="s">
        <v>31</v>
      </c>
      <c r="W139">
        <v>0</v>
      </c>
    </row>
    <row r="140" spans="1:23" x14ac:dyDescent="0.25">
      <c r="A140" t="s">
        <v>5142</v>
      </c>
      <c r="B140" t="s">
        <v>1828</v>
      </c>
      <c r="C140" t="s">
        <v>1827</v>
      </c>
      <c r="D140" t="s">
        <v>4479</v>
      </c>
      <c r="E140" t="s">
        <v>1394</v>
      </c>
      <c r="F140" t="s">
        <v>95</v>
      </c>
      <c r="G140" t="s">
        <v>1406</v>
      </c>
      <c r="H140" s="6">
        <v>46022</v>
      </c>
      <c r="I140" t="s">
        <v>29</v>
      </c>
      <c r="J140">
        <v>10</v>
      </c>
      <c r="K140">
        <v>0</v>
      </c>
      <c r="L140">
        <v>0</v>
      </c>
      <c r="M140">
        <v>0</v>
      </c>
      <c r="N140" t="s">
        <v>3915</v>
      </c>
      <c r="O140" t="s">
        <v>3915</v>
      </c>
      <c r="P140" t="s">
        <v>3915</v>
      </c>
      <c r="Q140">
        <v>0</v>
      </c>
      <c r="R140" t="s">
        <v>30</v>
      </c>
      <c r="S140">
        <v>0</v>
      </c>
      <c r="T140">
        <v>0</v>
      </c>
      <c r="U140" t="s">
        <v>3915</v>
      </c>
      <c r="V140" t="s">
        <v>31</v>
      </c>
      <c r="W140">
        <v>0</v>
      </c>
    </row>
    <row r="141" spans="1:23" x14ac:dyDescent="0.25">
      <c r="A141" t="s">
        <v>5143</v>
      </c>
      <c r="B141" t="s">
        <v>1830</v>
      </c>
      <c r="C141" t="s">
        <v>1829</v>
      </c>
      <c r="D141" t="s">
        <v>4479</v>
      </c>
      <c r="E141" t="s">
        <v>1394</v>
      </c>
      <c r="F141" t="s">
        <v>95</v>
      </c>
      <c r="G141" t="s">
        <v>1406</v>
      </c>
      <c r="H141" s="6">
        <v>46022</v>
      </c>
      <c r="I141" t="s">
        <v>29</v>
      </c>
      <c r="J141">
        <v>15</v>
      </c>
      <c r="K141">
        <v>0</v>
      </c>
      <c r="L141">
        <v>0</v>
      </c>
      <c r="M141">
        <v>0</v>
      </c>
      <c r="N141" t="s">
        <v>3915</v>
      </c>
      <c r="O141" t="s">
        <v>3915</v>
      </c>
      <c r="P141" t="s">
        <v>3915</v>
      </c>
      <c r="Q141">
        <v>0</v>
      </c>
      <c r="R141" t="s">
        <v>30</v>
      </c>
      <c r="S141">
        <v>0</v>
      </c>
      <c r="T141">
        <v>0</v>
      </c>
      <c r="U141" t="s">
        <v>3915</v>
      </c>
      <c r="V141" t="s">
        <v>31</v>
      </c>
      <c r="W141">
        <v>0</v>
      </c>
    </row>
    <row r="142" spans="1:23" x14ac:dyDescent="0.25">
      <c r="A142" t="s">
        <v>3928</v>
      </c>
      <c r="B142" t="s">
        <v>113</v>
      </c>
      <c r="C142" t="s">
        <v>114</v>
      </c>
      <c r="D142" t="s">
        <v>4479</v>
      </c>
      <c r="E142" t="s">
        <v>1394</v>
      </c>
      <c r="F142" t="s">
        <v>95</v>
      </c>
      <c r="G142" t="s">
        <v>1406</v>
      </c>
      <c r="H142" s="6">
        <v>46022</v>
      </c>
      <c r="I142" t="s">
        <v>29</v>
      </c>
      <c r="J142">
        <v>0</v>
      </c>
      <c r="K142">
        <v>0</v>
      </c>
      <c r="L142">
        <v>0</v>
      </c>
      <c r="M142">
        <v>0</v>
      </c>
      <c r="N142" t="s">
        <v>3915</v>
      </c>
      <c r="O142" t="s">
        <v>3915</v>
      </c>
      <c r="P142" t="s">
        <v>3915</v>
      </c>
      <c r="Q142">
        <v>0</v>
      </c>
      <c r="R142" t="s">
        <v>30</v>
      </c>
      <c r="S142">
        <v>0</v>
      </c>
      <c r="T142">
        <v>0</v>
      </c>
      <c r="U142" t="s">
        <v>3915</v>
      </c>
      <c r="V142" t="s">
        <v>31</v>
      </c>
      <c r="W142">
        <v>0</v>
      </c>
    </row>
    <row r="143" spans="1:23" x14ac:dyDescent="0.25">
      <c r="A143" t="s">
        <v>5144</v>
      </c>
      <c r="B143" t="s">
        <v>1832</v>
      </c>
      <c r="C143" t="s">
        <v>1831</v>
      </c>
      <c r="D143" t="s">
        <v>4479</v>
      </c>
      <c r="E143" t="s">
        <v>1394</v>
      </c>
      <c r="F143" t="s">
        <v>95</v>
      </c>
      <c r="G143" t="s">
        <v>1406</v>
      </c>
      <c r="H143" s="6">
        <v>46022</v>
      </c>
      <c r="I143" t="s">
        <v>29</v>
      </c>
      <c r="J143">
        <v>30</v>
      </c>
      <c r="K143">
        <v>0</v>
      </c>
      <c r="L143">
        <v>0</v>
      </c>
      <c r="M143">
        <v>0</v>
      </c>
      <c r="N143" t="s">
        <v>3915</v>
      </c>
      <c r="O143" t="s">
        <v>3915</v>
      </c>
      <c r="P143" t="s">
        <v>3915</v>
      </c>
      <c r="Q143">
        <v>0</v>
      </c>
      <c r="R143" t="s">
        <v>30</v>
      </c>
      <c r="S143">
        <v>0</v>
      </c>
      <c r="T143">
        <v>0</v>
      </c>
      <c r="U143" t="s">
        <v>3915</v>
      </c>
      <c r="V143" t="s">
        <v>31</v>
      </c>
      <c r="W143">
        <v>0</v>
      </c>
    </row>
    <row r="144" spans="1:23" x14ac:dyDescent="0.25">
      <c r="A144" t="s">
        <v>5145</v>
      </c>
      <c r="B144" t="s">
        <v>1834</v>
      </c>
      <c r="C144" t="s">
        <v>1833</v>
      </c>
      <c r="D144" t="s">
        <v>4479</v>
      </c>
      <c r="E144" t="s">
        <v>1394</v>
      </c>
      <c r="F144" t="s">
        <v>95</v>
      </c>
      <c r="G144" t="s">
        <v>1406</v>
      </c>
      <c r="H144" s="6">
        <v>46022</v>
      </c>
      <c r="I144" t="s">
        <v>29</v>
      </c>
      <c r="J144">
        <v>20</v>
      </c>
      <c r="K144">
        <v>0</v>
      </c>
      <c r="L144">
        <v>0</v>
      </c>
      <c r="M144">
        <v>0</v>
      </c>
      <c r="N144" t="s">
        <v>3915</v>
      </c>
      <c r="O144" t="s">
        <v>3915</v>
      </c>
      <c r="P144" t="s">
        <v>3915</v>
      </c>
      <c r="Q144">
        <v>0</v>
      </c>
      <c r="R144" t="s">
        <v>30</v>
      </c>
      <c r="S144">
        <v>0</v>
      </c>
      <c r="T144">
        <v>0</v>
      </c>
      <c r="U144" t="s">
        <v>3915</v>
      </c>
      <c r="V144" t="s">
        <v>31</v>
      </c>
      <c r="W144">
        <v>0</v>
      </c>
    </row>
    <row r="145" spans="1:23" x14ac:dyDescent="0.25">
      <c r="A145" t="s">
        <v>4702</v>
      </c>
      <c r="B145" t="s">
        <v>1836</v>
      </c>
      <c r="C145" t="s">
        <v>1835</v>
      </c>
      <c r="D145" t="s">
        <v>4479</v>
      </c>
      <c r="E145" t="s">
        <v>1394</v>
      </c>
      <c r="F145" t="s">
        <v>95</v>
      </c>
      <c r="G145" t="s">
        <v>1406</v>
      </c>
      <c r="H145" s="6">
        <v>46022</v>
      </c>
      <c r="I145" t="s">
        <v>29</v>
      </c>
      <c r="J145">
        <v>6</v>
      </c>
      <c r="K145">
        <v>0</v>
      </c>
      <c r="L145">
        <v>0</v>
      </c>
      <c r="M145">
        <v>0</v>
      </c>
      <c r="N145" t="s">
        <v>3915</v>
      </c>
      <c r="O145" t="s">
        <v>3915</v>
      </c>
      <c r="P145" t="s">
        <v>3915</v>
      </c>
      <c r="Q145">
        <v>0</v>
      </c>
      <c r="R145" t="s">
        <v>30</v>
      </c>
      <c r="S145">
        <v>0</v>
      </c>
      <c r="T145">
        <v>0</v>
      </c>
      <c r="U145" t="s">
        <v>3915</v>
      </c>
      <c r="V145" t="s">
        <v>31</v>
      </c>
      <c r="W145">
        <v>0</v>
      </c>
    </row>
    <row r="146" spans="1:23" x14ac:dyDescent="0.25">
      <c r="A146" t="s">
        <v>4703</v>
      </c>
      <c r="B146" t="s">
        <v>1838</v>
      </c>
      <c r="C146" t="s">
        <v>1837</v>
      </c>
      <c r="D146" t="s">
        <v>4479</v>
      </c>
      <c r="E146" t="s">
        <v>1394</v>
      </c>
      <c r="F146" t="s">
        <v>95</v>
      </c>
      <c r="G146" t="s">
        <v>1406</v>
      </c>
      <c r="H146" s="6">
        <v>46022</v>
      </c>
      <c r="I146" t="s">
        <v>29</v>
      </c>
      <c r="J146">
        <v>22</v>
      </c>
      <c r="K146">
        <v>0</v>
      </c>
      <c r="L146">
        <v>0</v>
      </c>
      <c r="M146">
        <v>0</v>
      </c>
      <c r="N146" t="s">
        <v>3915</v>
      </c>
      <c r="O146" t="s">
        <v>3915</v>
      </c>
      <c r="P146" t="s">
        <v>3915</v>
      </c>
      <c r="Q146">
        <v>0</v>
      </c>
      <c r="R146" t="s">
        <v>30</v>
      </c>
      <c r="S146">
        <v>0</v>
      </c>
      <c r="T146">
        <v>0</v>
      </c>
      <c r="U146" t="s">
        <v>3915</v>
      </c>
      <c r="V146" t="s">
        <v>31</v>
      </c>
      <c r="W146">
        <v>0</v>
      </c>
    </row>
    <row r="147" spans="1:23" x14ac:dyDescent="0.25">
      <c r="A147" t="s">
        <v>4689</v>
      </c>
      <c r="B147" t="s">
        <v>1840</v>
      </c>
      <c r="C147" t="s">
        <v>1839</v>
      </c>
      <c r="D147" t="s">
        <v>4479</v>
      </c>
      <c r="E147" t="s">
        <v>1394</v>
      </c>
      <c r="F147" t="s">
        <v>95</v>
      </c>
      <c r="G147" t="s">
        <v>1406</v>
      </c>
      <c r="H147" s="6">
        <v>46022</v>
      </c>
      <c r="I147" t="s">
        <v>29</v>
      </c>
      <c r="J147">
        <v>1</v>
      </c>
      <c r="K147">
        <v>0</v>
      </c>
      <c r="L147">
        <v>0</v>
      </c>
      <c r="M147">
        <v>0</v>
      </c>
      <c r="N147" t="s">
        <v>3915</v>
      </c>
      <c r="O147" t="s">
        <v>3915</v>
      </c>
      <c r="P147" t="s">
        <v>3915</v>
      </c>
      <c r="Q147">
        <v>0</v>
      </c>
      <c r="R147" t="s">
        <v>30</v>
      </c>
      <c r="S147">
        <v>0</v>
      </c>
      <c r="T147">
        <v>0</v>
      </c>
      <c r="U147" t="s">
        <v>3915</v>
      </c>
      <c r="V147" t="s">
        <v>31</v>
      </c>
      <c r="W147">
        <v>0</v>
      </c>
    </row>
    <row r="148" spans="1:23" x14ac:dyDescent="0.25">
      <c r="A148" t="s">
        <v>5146</v>
      </c>
      <c r="B148" t="s">
        <v>1842</v>
      </c>
      <c r="C148" t="s">
        <v>1841</v>
      </c>
      <c r="D148" t="s">
        <v>4479</v>
      </c>
      <c r="E148" t="s">
        <v>1394</v>
      </c>
      <c r="F148" t="s">
        <v>95</v>
      </c>
      <c r="G148" t="s">
        <v>1406</v>
      </c>
      <c r="H148" s="6">
        <v>46022</v>
      </c>
      <c r="I148" t="s">
        <v>29</v>
      </c>
      <c r="J148">
        <v>24</v>
      </c>
      <c r="K148">
        <v>0</v>
      </c>
      <c r="L148">
        <v>0</v>
      </c>
      <c r="M148">
        <v>0</v>
      </c>
      <c r="N148" t="s">
        <v>3915</v>
      </c>
      <c r="O148" t="s">
        <v>3915</v>
      </c>
      <c r="P148" t="s">
        <v>3915</v>
      </c>
      <c r="Q148">
        <v>0</v>
      </c>
      <c r="R148" t="s">
        <v>30</v>
      </c>
      <c r="S148">
        <v>0</v>
      </c>
      <c r="T148">
        <v>0</v>
      </c>
      <c r="U148" t="s">
        <v>3915</v>
      </c>
      <c r="V148" t="s">
        <v>31</v>
      </c>
      <c r="W148">
        <v>0</v>
      </c>
    </row>
    <row r="149" spans="1:23" x14ac:dyDescent="0.25">
      <c r="A149" t="s">
        <v>3929</v>
      </c>
      <c r="B149" t="s">
        <v>117</v>
      </c>
      <c r="C149" t="s">
        <v>118</v>
      </c>
      <c r="D149" t="s">
        <v>4479</v>
      </c>
      <c r="E149" t="s">
        <v>1394</v>
      </c>
      <c r="F149" t="s">
        <v>95</v>
      </c>
      <c r="G149" t="s">
        <v>1406</v>
      </c>
      <c r="H149" s="6">
        <v>46022</v>
      </c>
      <c r="I149" t="s">
        <v>29</v>
      </c>
      <c r="J149">
        <v>17</v>
      </c>
      <c r="K149">
        <v>0</v>
      </c>
      <c r="L149">
        <v>0</v>
      </c>
      <c r="M149">
        <v>0</v>
      </c>
      <c r="N149" t="s">
        <v>3915</v>
      </c>
      <c r="O149" t="s">
        <v>3915</v>
      </c>
      <c r="P149" t="s">
        <v>3915</v>
      </c>
      <c r="Q149">
        <v>0</v>
      </c>
      <c r="R149" t="s">
        <v>30</v>
      </c>
      <c r="S149">
        <v>0</v>
      </c>
      <c r="T149">
        <v>0</v>
      </c>
      <c r="U149" t="s">
        <v>3915</v>
      </c>
      <c r="V149" t="s">
        <v>31</v>
      </c>
      <c r="W149">
        <v>0</v>
      </c>
    </row>
    <row r="150" spans="1:23" x14ac:dyDescent="0.25">
      <c r="A150" t="s">
        <v>4688</v>
      </c>
      <c r="B150" t="s">
        <v>1844</v>
      </c>
      <c r="C150" t="s">
        <v>1843</v>
      </c>
      <c r="D150" t="s">
        <v>4479</v>
      </c>
      <c r="E150" t="s">
        <v>1394</v>
      </c>
      <c r="F150" t="s">
        <v>95</v>
      </c>
      <c r="G150" t="s">
        <v>1406</v>
      </c>
      <c r="H150" s="6">
        <v>46022</v>
      </c>
      <c r="I150" t="s">
        <v>29</v>
      </c>
      <c r="J150">
        <v>10</v>
      </c>
      <c r="K150">
        <v>0</v>
      </c>
      <c r="L150">
        <v>0</v>
      </c>
      <c r="M150">
        <v>0</v>
      </c>
      <c r="N150" t="s">
        <v>3915</v>
      </c>
      <c r="O150" t="s">
        <v>3915</v>
      </c>
      <c r="P150" t="s">
        <v>3915</v>
      </c>
      <c r="Q150">
        <v>0</v>
      </c>
      <c r="R150" t="s">
        <v>30</v>
      </c>
      <c r="S150">
        <v>0</v>
      </c>
      <c r="T150">
        <v>0</v>
      </c>
      <c r="U150" t="s">
        <v>3915</v>
      </c>
      <c r="V150" t="s">
        <v>31</v>
      </c>
      <c r="W150">
        <v>0</v>
      </c>
    </row>
    <row r="151" spans="1:23" x14ac:dyDescent="0.25">
      <c r="A151" t="s">
        <v>5147</v>
      </c>
      <c r="B151" t="s">
        <v>1846</v>
      </c>
      <c r="C151" t="s">
        <v>1845</v>
      </c>
      <c r="D151" t="s">
        <v>4479</v>
      </c>
      <c r="E151" t="s">
        <v>1394</v>
      </c>
      <c r="F151" t="s">
        <v>95</v>
      </c>
      <c r="G151" t="s">
        <v>1406</v>
      </c>
      <c r="H151" s="6">
        <v>46022</v>
      </c>
      <c r="I151" t="s">
        <v>29</v>
      </c>
      <c r="J151">
        <v>6</v>
      </c>
      <c r="K151">
        <v>0</v>
      </c>
      <c r="L151">
        <v>0</v>
      </c>
      <c r="M151">
        <v>0</v>
      </c>
      <c r="N151" t="s">
        <v>3915</v>
      </c>
      <c r="O151" t="s">
        <v>3915</v>
      </c>
      <c r="P151" t="s">
        <v>3915</v>
      </c>
      <c r="Q151">
        <v>0</v>
      </c>
      <c r="R151" t="s">
        <v>30</v>
      </c>
      <c r="S151">
        <v>0</v>
      </c>
      <c r="T151">
        <v>0</v>
      </c>
      <c r="U151" t="s">
        <v>3915</v>
      </c>
      <c r="V151" t="s">
        <v>31</v>
      </c>
      <c r="W151">
        <v>0</v>
      </c>
    </row>
    <row r="152" spans="1:23" x14ac:dyDescent="0.25">
      <c r="A152" t="s">
        <v>5148</v>
      </c>
      <c r="B152" t="s">
        <v>1858</v>
      </c>
      <c r="C152" t="s">
        <v>1857</v>
      </c>
      <c r="D152" t="s">
        <v>4479</v>
      </c>
      <c r="E152" t="s">
        <v>3930</v>
      </c>
      <c r="F152" t="s">
        <v>121</v>
      </c>
      <c r="G152" t="s">
        <v>1406</v>
      </c>
      <c r="H152" s="6">
        <v>46022</v>
      </c>
      <c r="I152" t="s">
        <v>29</v>
      </c>
      <c r="J152">
        <v>12</v>
      </c>
      <c r="K152">
        <v>0</v>
      </c>
      <c r="L152">
        <v>0</v>
      </c>
      <c r="M152">
        <v>0</v>
      </c>
      <c r="N152" t="s">
        <v>3915</v>
      </c>
      <c r="O152" t="s">
        <v>3915</v>
      </c>
      <c r="P152" t="s">
        <v>3915</v>
      </c>
      <c r="Q152">
        <v>0</v>
      </c>
      <c r="R152" t="s">
        <v>104</v>
      </c>
      <c r="S152">
        <v>0</v>
      </c>
      <c r="T152">
        <v>0</v>
      </c>
      <c r="U152" t="s">
        <v>3915</v>
      </c>
      <c r="V152" t="s">
        <v>31</v>
      </c>
      <c r="W152">
        <v>0</v>
      </c>
    </row>
    <row r="153" spans="1:23" x14ac:dyDescent="0.25">
      <c r="A153" t="s">
        <v>3932</v>
      </c>
      <c r="B153" t="s">
        <v>124</v>
      </c>
      <c r="C153" t="s">
        <v>125</v>
      </c>
      <c r="D153" t="s">
        <v>4479</v>
      </c>
      <c r="E153" t="s">
        <v>3930</v>
      </c>
      <c r="F153" t="s">
        <v>121</v>
      </c>
      <c r="G153" t="s">
        <v>1406</v>
      </c>
      <c r="H153" s="6">
        <v>46022</v>
      </c>
      <c r="I153" t="s">
        <v>29</v>
      </c>
      <c r="J153">
        <v>0</v>
      </c>
      <c r="K153">
        <v>0</v>
      </c>
      <c r="L153">
        <v>0</v>
      </c>
      <c r="M153">
        <v>0</v>
      </c>
      <c r="N153" t="s">
        <v>3915</v>
      </c>
      <c r="O153" t="s">
        <v>3915</v>
      </c>
      <c r="P153" t="s">
        <v>3915</v>
      </c>
      <c r="Q153">
        <v>0</v>
      </c>
      <c r="R153" t="s">
        <v>104</v>
      </c>
      <c r="S153">
        <v>0</v>
      </c>
      <c r="T153">
        <v>0</v>
      </c>
      <c r="U153" t="s">
        <v>3915</v>
      </c>
      <c r="V153" t="s">
        <v>31</v>
      </c>
      <c r="W153">
        <v>0</v>
      </c>
    </row>
    <row r="154" spans="1:23" x14ac:dyDescent="0.25">
      <c r="A154" t="s">
        <v>3933</v>
      </c>
      <c r="B154" t="s">
        <v>126</v>
      </c>
      <c r="C154" t="s">
        <v>127</v>
      </c>
      <c r="D154" t="s">
        <v>4479</v>
      </c>
      <c r="E154" t="s">
        <v>3930</v>
      </c>
      <c r="F154" t="s">
        <v>121</v>
      </c>
      <c r="G154" t="s">
        <v>1406</v>
      </c>
      <c r="H154" s="6">
        <v>46022</v>
      </c>
      <c r="I154" t="s">
        <v>29</v>
      </c>
      <c r="J154">
        <v>1</v>
      </c>
      <c r="K154">
        <v>0</v>
      </c>
      <c r="L154">
        <v>0</v>
      </c>
      <c r="M154">
        <v>0</v>
      </c>
      <c r="N154" t="s">
        <v>3915</v>
      </c>
      <c r="O154" t="s">
        <v>3915</v>
      </c>
      <c r="P154" t="s">
        <v>3915</v>
      </c>
      <c r="Q154">
        <v>0</v>
      </c>
      <c r="R154" t="s">
        <v>104</v>
      </c>
      <c r="S154">
        <v>0</v>
      </c>
      <c r="T154">
        <v>0</v>
      </c>
      <c r="U154" t="s">
        <v>3915</v>
      </c>
      <c r="V154" t="s">
        <v>31</v>
      </c>
      <c r="W154">
        <v>0</v>
      </c>
    </row>
    <row r="155" spans="1:23" x14ac:dyDescent="0.25">
      <c r="A155" t="s">
        <v>3934</v>
      </c>
      <c r="B155" t="s">
        <v>128</v>
      </c>
      <c r="C155" t="s">
        <v>129</v>
      </c>
      <c r="D155" t="s">
        <v>4479</v>
      </c>
      <c r="E155" t="s">
        <v>3930</v>
      </c>
      <c r="F155" t="s">
        <v>121</v>
      </c>
      <c r="G155" t="s">
        <v>1406</v>
      </c>
      <c r="H155" s="6">
        <v>46022</v>
      </c>
      <c r="I155" t="s">
        <v>29</v>
      </c>
      <c r="J155">
        <v>5</v>
      </c>
      <c r="K155">
        <v>0</v>
      </c>
      <c r="L155">
        <v>0</v>
      </c>
      <c r="M155">
        <v>0</v>
      </c>
      <c r="N155" t="s">
        <v>3915</v>
      </c>
      <c r="O155" t="s">
        <v>3915</v>
      </c>
      <c r="P155" t="s">
        <v>3915</v>
      </c>
      <c r="Q155">
        <v>0</v>
      </c>
      <c r="R155" t="s">
        <v>104</v>
      </c>
      <c r="S155">
        <v>0</v>
      </c>
      <c r="T155">
        <v>0</v>
      </c>
      <c r="U155" t="s">
        <v>3915</v>
      </c>
      <c r="V155" t="s">
        <v>31</v>
      </c>
      <c r="W155">
        <v>0</v>
      </c>
    </row>
    <row r="156" spans="1:23" x14ac:dyDescent="0.25">
      <c r="A156" t="s">
        <v>5149</v>
      </c>
      <c r="B156" t="s">
        <v>1860</v>
      </c>
      <c r="C156" t="s">
        <v>1859</v>
      </c>
      <c r="D156" t="s">
        <v>4479</v>
      </c>
      <c r="E156" t="s">
        <v>3930</v>
      </c>
      <c r="F156" t="s">
        <v>121</v>
      </c>
      <c r="G156" t="s">
        <v>1406</v>
      </c>
      <c r="H156" s="6">
        <v>46022</v>
      </c>
      <c r="I156" t="s">
        <v>29</v>
      </c>
      <c r="J156">
        <v>5</v>
      </c>
      <c r="K156">
        <v>0</v>
      </c>
      <c r="L156">
        <v>0</v>
      </c>
      <c r="M156">
        <v>0</v>
      </c>
      <c r="N156" t="s">
        <v>3915</v>
      </c>
      <c r="O156" t="s">
        <v>3915</v>
      </c>
      <c r="P156" t="s">
        <v>3915</v>
      </c>
      <c r="Q156">
        <v>0</v>
      </c>
      <c r="R156" t="s">
        <v>104</v>
      </c>
      <c r="S156">
        <v>0</v>
      </c>
      <c r="T156">
        <v>0</v>
      </c>
      <c r="U156" t="s">
        <v>3915</v>
      </c>
      <c r="V156" t="s">
        <v>31</v>
      </c>
      <c r="W156">
        <v>0</v>
      </c>
    </row>
    <row r="157" spans="1:23" x14ac:dyDescent="0.25">
      <c r="A157" t="s">
        <v>3935</v>
      </c>
      <c r="B157" t="s">
        <v>130</v>
      </c>
      <c r="C157" t="s">
        <v>131</v>
      </c>
      <c r="D157" t="s">
        <v>4479</v>
      </c>
      <c r="E157" t="s">
        <v>3930</v>
      </c>
      <c r="F157" t="s">
        <v>121</v>
      </c>
      <c r="G157" t="s">
        <v>1406</v>
      </c>
      <c r="H157" s="6">
        <v>46022</v>
      </c>
      <c r="I157" t="s">
        <v>29</v>
      </c>
      <c r="J157">
        <v>0</v>
      </c>
      <c r="K157">
        <v>0</v>
      </c>
      <c r="L157">
        <v>0</v>
      </c>
      <c r="M157">
        <v>0</v>
      </c>
      <c r="N157" t="s">
        <v>3915</v>
      </c>
      <c r="O157" t="s">
        <v>3915</v>
      </c>
      <c r="P157" t="s">
        <v>3915</v>
      </c>
      <c r="Q157">
        <v>0</v>
      </c>
      <c r="R157" t="s">
        <v>104</v>
      </c>
      <c r="S157">
        <v>0</v>
      </c>
      <c r="T157">
        <v>0</v>
      </c>
      <c r="U157" t="s">
        <v>3915</v>
      </c>
      <c r="V157" t="s">
        <v>31</v>
      </c>
      <c r="W157">
        <v>0</v>
      </c>
    </row>
    <row r="158" spans="1:23" x14ac:dyDescent="0.25">
      <c r="A158" t="s">
        <v>3936</v>
      </c>
      <c r="B158" t="s">
        <v>132</v>
      </c>
      <c r="C158" t="s">
        <v>133</v>
      </c>
      <c r="D158" t="s">
        <v>4479</v>
      </c>
      <c r="E158" t="s">
        <v>3930</v>
      </c>
      <c r="F158" t="s">
        <v>121</v>
      </c>
      <c r="G158" t="s">
        <v>1406</v>
      </c>
      <c r="H158" s="6">
        <v>46022</v>
      </c>
      <c r="I158" t="s">
        <v>29</v>
      </c>
      <c r="J158">
        <v>3</v>
      </c>
      <c r="K158">
        <v>0</v>
      </c>
      <c r="L158">
        <v>0</v>
      </c>
      <c r="M158">
        <v>0</v>
      </c>
      <c r="N158" t="s">
        <v>3915</v>
      </c>
      <c r="O158" t="s">
        <v>3915</v>
      </c>
      <c r="P158" t="s">
        <v>3915</v>
      </c>
      <c r="Q158">
        <v>0</v>
      </c>
      <c r="R158" t="s">
        <v>104</v>
      </c>
      <c r="S158">
        <v>0</v>
      </c>
      <c r="T158">
        <v>0</v>
      </c>
      <c r="U158" t="s">
        <v>3915</v>
      </c>
      <c r="V158" t="s">
        <v>31</v>
      </c>
      <c r="W158">
        <v>0</v>
      </c>
    </row>
    <row r="159" spans="1:23" x14ac:dyDescent="0.25">
      <c r="A159" t="s">
        <v>3937</v>
      </c>
      <c r="B159" t="s">
        <v>134</v>
      </c>
      <c r="C159" t="s">
        <v>135</v>
      </c>
      <c r="D159" t="s">
        <v>4479</v>
      </c>
      <c r="E159" t="s">
        <v>3930</v>
      </c>
      <c r="F159" t="s">
        <v>121</v>
      </c>
      <c r="G159" t="s">
        <v>1406</v>
      </c>
      <c r="H159" s="6">
        <v>46022</v>
      </c>
      <c r="I159" t="s">
        <v>29</v>
      </c>
      <c r="J159">
        <v>10</v>
      </c>
      <c r="K159">
        <v>0</v>
      </c>
      <c r="L159">
        <v>0</v>
      </c>
      <c r="M159">
        <v>0</v>
      </c>
      <c r="N159" t="s">
        <v>3915</v>
      </c>
      <c r="O159" t="s">
        <v>3915</v>
      </c>
      <c r="P159" t="s">
        <v>3915</v>
      </c>
      <c r="Q159">
        <v>0</v>
      </c>
      <c r="R159" t="s">
        <v>104</v>
      </c>
      <c r="S159">
        <v>0</v>
      </c>
      <c r="T159">
        <v>0</v>
      </c>
      <c r="U159" t="s">
        <v>3915</v>
      </c>
      <c r="V159" t="s">
        <v>31</v>
      </c>
      <c r="W159">
        <v>0</v>
      </c>
    </row>
    <row r="160" spans="1:23" x14ac:dyDescent="0.25">
      <c r="A160" t="s">
        <v>3938</v>
      </c>
      <c r="B160" t="s">
        <v>136</v>
      </c>
      <c r="C160" t="s">
        <v>137</v>
      </c>
      <c r="D160" t="s">
        <v>4479</v>
      </c>
      <c r="E160" t="s">
        <v>3930</v>
      </c>
      <c r="F160" t="s">
        <v>121</v>
      </c>
      <c r="G160" t="s">
        <v>1406</v>
      </c>
      <c r="H160" s="6">
        <v>46022</v>
      </c>
      <c r="I160" t="s">
        <v>29</v>
      </c>
      <c r="J160">
        <v>0</v>
      </c>
      <c r="K160">
        <v>0</v>
      </c>
      <c r="L160">
        <v>0</v>
      </c>
      <c r="M160">
        <v>0</v>
      </c>
      <c r="N160" t="s">
        <v>3915</v>
      </c>
      <c r="O160" t="s">
        <v>3915</v>
      </c>
      <c r="P160" t="s">
        <v>3915</v>
      </c>
      <c r="Q160">
        <v>0</v>
      </c>
      <c r="R160" t="s">
        <v>104</v>
      </c>
      <c r="S160">
        <v>0</v>
      </c>
      <c r="T160">
        <v>0</v>
      </c>
      <c r="U160" t="s">
        <v>3915</v>
      </c>
      <c r="V160" t="s">
        <v>31</v>
      </c>
      <c r="W160">
        <v>0</v>
      </c>
    </row>
    <row r="161" spans="1:23" x14ac:dyDescent="0.25">
      <c r="A161" t="s">
        <v>3939</v>
      </c>
      <c r="B161" t="s">
        <v>138</v>
      </c>
      <c r="C161" t="s">
        <v>139</v>
      </c>
      <c r="D161" t="s">
        <v>4479</v>
      </c>
      <c r="E161" t="s">
        <v>3930</v>
      </c>
      <c r="F161" t="s">
        <v>121</v>
      </c>
      <c r="G161" t="s">
        <v>1406</v>
      </c>
      <c r="H161" s="6">
        <v>46022</v>
      </c>
      <c r="I161" t="s">
        <v>29</v>
      </c>
      <c r="J161">
        <v>8</v>
      </c>
      <c r="K161">
        <v>0</v>
      </c>
      <c r="L161">
        <v>0</v>
      </c>
      <c r="M161">
        <v>0</v>
      </c>
      <c r="N161" t="s">
        <v>3915</v>
      </c>
      <c r="O161" t="s">
        <v>3915</v>
      </c>
      <c r="P161" t="s">
        <v>3915</v>
      </c>
      <c r="Q161">
        <v>0</v>
      </c>
      <c r="R161" t="s">
        <v>104</v>
      </c>
      <c r="S161">
        <v>0</v>
      </c>
      <c r="T161">
        <v>0</v>
      </c>
      <c r="U161" t="s">
        <v>3915</v>
      </c>
      <c r="V161" t="s">
        <v>31</v>
      </c>
      <c r="W161">
        <v>0</v>
      </c>
    </row>
    <row r="162" spans="1:23" x14ac:dyDescent="0.25">
      <c r="A162" t="s">
        <v>3941</v>
      </c>
      <c r="B162" t="s">
        <v>142</v>
      </c>
      <c r="C162" t="s">
        <v>143</v>
      </c>
      <c r="D162" t="s">
        <v>4479</v>
      </c>
      <c r="E162" t="s">
        <v>3930</v>
      </c>
      <c r="F162" t="s">
        <v>121</v>
      </c>
      <c r="G162" t="s">
        <v>1406</v>
      </c>
      <c r="H162" s="6">
        <v>46022</v>
      </c>
      <c r="I162" t="s">
        <v>29</v>
      </c>
      <c r="J162">
        <v>0</v>
      </c>
      <c r="K162">
        <v>0</v>
      </c>
      <c r="L162">
        <v>0</v>
      </c>
      <c r="M162">
        <v>0</v>
      </c>
      <c r="N162" t="s">
        <v>3915</v>
      </c>
      <c r="O162" t="s">
        <v>3915</v>
      </c>
      <c r="P162" t="s">
        <v>3915</v>
      </c>
      <c r="Q162">
        <v>0</v>
      </c>
      <c r="R162" t="s">
        <v>104</v>
      </c>
      <c r="S162">
        <v>0</v>
      </c>
      <c r="T162">
        <v>0</v>
      </c>
      <c r="U162" t="s">
        <v>3915</v>
      </c>
      <c r="V162" t="s">
        <v>31</v>
      </c>
      <c r="W162">
        <v>0</v>
      </c>
    </row>
    <row r="163" spans="1:23" x14ac:dyDescent="0.25">
      <c r="A163" t="s">
        <v>3942</v>
      </c>
      <c r="B163" t="s">
        <v>144</v>
      </c>
      <c r="C163" t="s">
        <v>145</v>
      </c>
      <c r="D163" t="s">
        <v>4479</v>
      </c>
      <c r="E163" t="s">
        <v>3930</v>
      </c>
      <c r="F163" t="s">
        <v>121</v>
      </c>
      <c r="G163" t="s">
        <v>1406</v>
      </c>
      <c r="H163" s="6">
        <v>46022</v>
      </c>
      <c r="I163" t="s">
        <v>29</v>
      </c>
      <c r="J163">
        <v>0</v>
      </c>
      <c r="K163">
        <v>0</v>
      </c>
      <c r="L163">
        <v>0</v>
      </c>
      <c r="M163">
        <v>0</v>
      </c>
      <c r="N163" t="s">
        <v>3915</v>
      </c>
      <c r="O163" t="s">
        <v>3915</v>
      </c>
      <c r="P163" t="s">
        <v>3915</v>
      </c>
      <c r="Q163">
        <v>0</v>
      </c>
      <c r="R163" t="s">
        <v>104</v>
      </c>
      <c r="S163">
        <v>0</v>
      </c>
      <c r="T163">
        <v>0</v>
      </c>
      <c r="U163" t="s">
        <v>3915</v>
      </c>
      <c r="V163" t="s">
        <v>31</v>
      </c>
      <c r="W163">
        <v>0</v>
      </c>
    </row>
    <row r="164" spans="1:23" x14ac:dyDescent="0.25">
      <c r="A164" t="s">
        <v>3943</v>
      </c>
      <c r="B164" t="s">
        <v>146</v>
      </c>
      <c r="C164" t="s">
        <v>147</v>
      </c>
      <c r="D164" t="s">
        <v>4479</v>
      </c>
      <c r="E164" t="s">
        <v>3930</v>
      </c>
      <c r="F164" t="s">
        <v>121</v>
      </c>
      <c r="G164" t="s">
        <v>1406</v>
      </c>
      <c r="H164" s="6">
        <v>46022</v>
      </c>
      <c r="I164" t="s">
        <v>29</v>
      </c>
      <c r="J164">
        <v>0</v>
      </c>
      <c r="K164">
        <v>0</v>
      </c>
      <c r="L164">
        <v>0</v>
      </c>
      <c r="M164">
        <v>0</v>
      </c>
      <c r="N164" t="s">
        <v>3915</v>
      </c>
      <c r="O164" t="s">
        <v>3915</v>
      </c>
      <c r="P164" t="s">
        <v>3915</v>
      </c>
      <c r="Q164">
        <v>0</v>
      </c>
      <c r="R164" t="s">
        <v>104</v>
      </c>
      <c r="S164">
        <v>0</v>
      </c>
      <c r="T164">
        <v>0</v>
      </c>
      <c r="U164" t="s">
        <v>3915</v>
      </c>
      <c r="V164" t="s">
        <v>31</v>
      </c>
      <c r="W164">
        <v>0</v>
      </c>
    </row>
    <row r="165" spans="1:23" x14ac:dyDescent="0.25">
      <c r="A165" t="s">
        <v>4869</v>
      </c>
      <c r="B165" t="s">
        <v>1862</v>
      </c>
      <c r="C165" t="s">
        <v>1861</v>
      </c>
      <c r="D165" t="s">
        <v>4479</v>
      </c>
      <c r="E165" t="s">
        <v>3930</v>
      </c>
      <c r="F165" t="s">
        <v>121</v>
      </c>
      <c r="G165" t="s">
        <v>1406</v>
      </c>
      <c r="H165" s="6">
        <v>46022</v>
      </c>
      <c r="I165" t="s">
        <v>29</v>
      </c>
      <c r="J165">
        <v>35</v>
      </c>
      <c r="K165">
        <v>0</v>
      </c>
      <c r="L165">
        <v>0</v>
      </c>
      <c r="M165">
        <v>0</v>
      </c>
      <c r="N165" t="s">
        <v>3915</v>
      </c>
      <c r="O165" t="s">
        <v>3915</v>
      </c>
      <c r="P165" t="s">
        <v>3915</v>
      </c>
      <c r="Q165">
        <v>0</v>
      </c>
      <c r="R165" t="s">
        <v>104</v>
      </c>
      <c r="S165">
        <v>0</v>
      </c>
      <c r="T165">
        <v>0</v>
      </c>
      <c r="U165" t="s">
        <v>3915</v>
      </c>
      <c r="V165" t="s">
        <v>31</v>
      </c>
      <c r="W165">
        <v>0</v>
      </c>
    </row>
    <row r="166" spans="1:23" x14ac:dyDescent="0.25">
      <c r="A166" t="s">
        <v>3944</v>
      </c>
      <c r="B166" t="s">
        <v>148</v>
      </c>
      <c r="C166" t="s">
        <v>149</v>
      </c>
      <c r="D166" t="s">
        <v>4479</v>
      </c>
      <c r="E166" t="s">
        <v>3930</v>
      </c>
      <c r="F166" t="s">
        <v>121</v>
      </c>
      <c r="G166" t="s">
        <v>1406</v>
      </c>
      <c r="H166" s="6">
        <v>46022</v>
      </c>
      <c r="I166" t="s">
        <v>29</v>
      </c>
      <c r="J166">
        <v>0</v>
      </c>
      <c r="K166">
        <v>0</v>
      </c>
      <c r="L166">
        <v>0</v>
      </c>
      <c r="M166">
        <v>0</v>
      </c>
      <c r="N166" t="s">
        <v>3915</v>
      </c>
      <c r="O166" t="s">
        <v>3915</v>
      </c>
      <c r="P166" t="s">
        <v>3915</v>
      </c>
      <c r="Q166">
        <v>0</v>
      </c>
      <c r="R166" t="s">
        <v>104</v>
      </c>
      <c r="S166">
        <v>0</v>
      </c>
      <c r="T166">
        <v>0</v>
      </c>
      <c r="U166" t="s">
        <v>3915</v>
      </c>
      <c r="V166" t="s">
        <v>31</v>
      </c>
      <c r="W166">
        <v>0</v>
      </c>
    </row>
    <row r="167" spans="1:23" x14ac:dyDescent="0.25">
      <c r="A167" t="s">
        <v>3945</v>
      </c>
      <c r="B167" t="s">
        <v>150</v>
      </c>
      <c r="C167" t="s">
        <v>151</v>
      </c>
      <c r="D167" t="s">
        <v>4479</v>
      </c>
      <c r="E167" t="s">
        <v>3930</v>
      </c>
      <c r="F167" t="s">
        <v>121</v>
      </c>
      <c r="G167" t="s">
        <v>1406</v>
      </c>
      <c r="H167" s="6">
        <v>46022</v>
      </c>
      <c r="I167" t="s">
        <v>29</v>
      </c>
      <c r="J167">
        <v>0</v>
      </c>
      <c r="K167">
        <v>0</v>
      </c>
      <c r="L167">
        <v>0</v>
      </c>
      <c r="M167">
        <v>0</v>
      </c>
      <c r="N167" t="s">
        <v>3915</v>
      </c>
      <c r="O167" t="s">
        <v>3915</v>
      </c>
      <c r="P167" t="s">
        <v>3915</v>
      </c>
      <c r="Q167">
        <v>0</v>
      </c>
      <c r="R167" t="s">
        <v>104</v>
      </c>
      <c r="S167">
        <v>0</v>
      </c>
      <c r="T167">
        <v>0</v>
      </c>
      <c r="U167" t="s">
        <v>3915</v>
      </c>
      <c r="V167" t="s">
        <v>31</v>
      </c>
      <c r="W167">
        <v>0</v>
      </c>
    </row>
    <row r="168" spans="1:23" x14ac:dyDescent="0.25">
      <c r="A168" t="s">
        <v>5150</v>
      </c>
      <c r="B168" t="s">
        <v>1864</v>
      </c>
      <c r="C168" t="s">
        <v>1863</v>
      </c>
      <c r="D168" t="s">
        <v>4479</v>
      </c>
      <c r="E168" t="s">
        <v>3930</v>
      </c>
      <c r="F168" t="s">
        <v>121</v>
      </c>
      <c r="G168" t="s">
        <v>1406</v>
      </c>
      <c r="H168" s="6">
        <v>46022</v>
      </c>
      <c r="I168" t="s">
        <v>29</v>
      </c>
      <c r="J168">
        <v>1</v>
      </c>
      <c r="K168">
        <v>0</v>
      </c>
      <c r="L168">
        <v>0</v>
      </c>
      <c r="M168">
        <v>0</v>
      </c>
      <c r="N168" t="s">
        <v>3915</v>
      </c>
      <c r="O168" t="s">
        <v>3915</v>
      </c>
      <c r="P168" t="s">
        <v>3915</v>
      </c>
      <c r="Q168">
        <v>0</v>
      </c>
      <c r="R168" t="s">
        <v>104</v>
      </c>
      <c r="S168">
        <v>0</v>
      </c>
      <c r="T168">
        <v>0</v>
      </c>
      <c r="U168" t="s">
        <v>3915</v>
      </c>
      <c r="V168" t="s">
        <v>31</v>
      </c>
      <c r="W168">
        <v>0</v>
      </c>
    </row>
    <row r="169" spans="1:23" x14ac:dyDescent="0.25">
      <c r="A169" t="s">
        <v>3946</v>
      </c>
      <c r="B169" t="s">
        <v>152</v>
      </c>
      <c r="C169" t="s">
        <v>153</v>
      </c>
      <c r="D169" t="s">
        <v>4479</v>
      </c>
      <c r="E169" t="s">
        <v>3930</v>
      </c>
      <c r="F169" t="s">
        <v>121</v>
      </c>
      <c r="G169" t="s">
        <v>1406</v>
      </c>
      <c r="H169" s="6">
        <v>46022</v>
      </c>
      <c r="I169" t="s">
        <v>29</v>
      </c>
      <c r="J169">
        <v>0</v>
      </c>
      <c r="K169">
        <v>0</v>
      </c>
      <c r="L169">
        <v>0</v>
      </c>
      <c r="M169">
        <v>0</v>
      </c>
      <c r="N169" t="s">
        <v>3915</v>
      </c>
      <c r="O169" t="s">
        <v>3915</v>
      </c>
      <c r="P169" t="s">
        <v>3915</v>
      </c>
      <c r="Q169">
        <v>0</v>
      </c>
      <c r="R169" t="s">
        <v>104</v>
      </c>
      <c r="S169">
        <v>0</v>
      </c>
      <c r="T169">
        <v>0</v>
      </c>
      <c r="U169" t="s">
        <v>3915</v>
      </c>
      <c r="V169" t="s">
        <v>31</v>
      </c>
      <c r="W169">
        <v>0</v>
      </c>
    </row>
    <row r="170" spans="1:23" x14ac:dyDescent="0.25">
      <c r="A170" t="s">
        <v>3947</v>
      </c>
      <c r="B170" t="s">
        <v>154</v>
      </c>
      <c r="C170" t="s">
        <v>155</v>
      </c>
      <c r="D170" t="s">
        <v>4479</v>
      </c>
      <c r="E170" t="s">
        <v>3930</v>
      </c>
      <c r="F170" t="s">
        <v>121</v>
      </c>
      <c r="G170" t="s">
        <v>1406</v>
      </c>
      <c r="H170" s="6">
        <v>46022</v>
      </c>
      <c r="I170" t="s">
        <v>29</v>
      </c>
      <c r="J170">
        <v>10</v>
      </c>
      <c r="K170">
        <v>0</v>
      </c>
      <c r="L170">
        <v>0</v>
      </c>
      <c r="M170">
        <v>0</v>
      </c>
      <c r="N170" t="s">
        <v>3915</v>
      </c>
      <c r="O170" t="s">
        <v>3915</v>
      </c>
      <c r="P170" t="s">
        <v>3915</v>
      </c>
      <c r="Q170">
        <v>0</v>
      </c>
      <c r="R170" t="s">
        <v>104</v>
      </c>
      <c r="S170">
        <v>0</v>
      </c>
      <c r="T170">
        <v>0</v>
      </c>
      <c r="U170" t="s">
        <v>3915</v>
      </c>
      <c r="V170" t="s">
        <v>31</v>
      </c>
      <c r="W170">
        <v>0</v>
      </c>
    </row>
    <row r="171" spans="1:23" x14ac:dyDescent="0.25">
      <c r="A171" t="s">
        <v>3948</v>
      </c>
      <c r="B171" t="s">
        <v>156</v>
      </c>
      <c r="C171" t="s">
        <v>157</v>
      </c>
      <c r="D171" t="s">
        <v>4479</v>
      </c>
      <c r="E171" t="s">
        <v>3930</v>
      </c>
      <c r="F171" t="s">
        <v>121</v>
      </c>
      <c r="G171" t="s">
        <v>1406</v>
      </c>
      <c r="H171" s="6">
        <v>46022</v>
      </c>
      <c r="I171" t="s">
        <v>29</v>
      </c>
      <c r="J171">
        <v>0</v>
      </c>
      <c r="K171">
        <v>0</v>
      </c>
      <c r="L171">
        <v>0</v>
      </c>
      <c r="M171">
        <v>0</v>
      </c>
      <c r="N171" t="s">
        <v>3915</v>
      </c>
      <c r="O171" t="s">
        <v>3915</v>
      </c>
      <c r="P171" t="s">
        <v>3915</v>
      </c>
      <c r="Q171">
        <v>0</v>
      </c>
      <c r="R171" t="s">
        <v>104</v>
      </c>
      <c r="S171">
        <v>0</v>
      </c>
      <c r="T171">
        <v>0</v>
      </c>
      <c r="U171" t="s">
        <v>3915</v>
      </c>
      <c r="V171" t="s">
        <v>31</v>
      </c>
      <c r="W171">
        <v>0</v>
      </c>
    </row>
    <row r="172" spans="1:23" x14ac:dyDescent="0.25">
      <c r="A172" t="s">
        <v>3949</v>
      </c>
      <c r="B172" t="s">
        <v>160</v>
      </c>
      <c r="C172" t="s">
        <v>161</v>
      </c>
      <c r="D172" t="s">
        <v>4479</v>
      </c>
      <c r="E172" t="s">
        <v>3930</v>
      </c>
      <c r="F172" t="s">
        <v>121</v>
      </c>
      <c r="G172" t="s">
        <v>1406</v>
      </c>
      <c r="H172" s="6">
        <v>46022</v>
      </c>
      <c r="I172" t="s">
        <v>29</v>
      </c>
      <c r="J172">
        <v>0</v>
      </c>
      <c r="K172">
        <v>0</v>
      </c>
      <c r="L172">
        <v>0</v>
      </c>
      <c r="M172">
        <v>0</v>
      </c>
      <c r="N172" t="s">
        <v>3915</v>
      </c>
      <c r="O172" t="s">
        <v>3915</v>
      </c>
      <c r="P172" t="s">
        <v>3915</v>
      </c>
      <c r="Q172">
        <v>0</v>
      </c>
      <c r="R172" t="s">
        <v>104</v>
      </c>
      <c r="S172">
        <v>0</v>
      </c>
      <c r="T172">
        <v>0</v>
      </c>
      <c r="U172" t="s">
        <v>3915</v>
      </c>
      <c r="V172" t="s">
        <v>31</v>
      </c>
      <c r="W172">
        <v>0</v>
      </c>
    </row>
    <row r="173" spans="1:23" x14ac:dyDescent="0.25">
      <c r="A173" t="s">
        <v>3950</v>
      </c>
      <c r="B173" t="s">
        <v>162</v>
      </c>
      <c r="C173" t="s">
        <v>163</v>
      </c>
      <c r="D173" t="s">
        <v>4479</v>
      </c>
      <c r="E173" t="s">
        <v>3930</v>
      </c>
      <c r="F173" t="s">
        <v>121</v>
      </c>
      <c r="G173" t="s">
        <v>1406</v>
      </c>
      <c r="H173" s="6">
        <v>46022</v>
      </c>
      <c r="I173" t="s">
        <v>29</v>
      </c>
      <c r="J173">
        <v>1</v>
      </c>
      <c r="K173">
        <v>0</v>
      </c>
      <c r="L173">
        <v>0</v>
      </c>
      <c r="M173">
        <v>0</v>
      </c>
      <c r="N173" t="s">
        <v>3915</v>
      </c>
      <c r="O173" t="s">
        <v>3915</v>
      </c>
      <c r="P173" t="s">
        <v>3915</v>
      </c>
      <c r="Q173">
        <v>0</v>
      </c>
      <c r="R173" t="s">
        <v>104</v>
      </c>
      <c r="S173">
        <v>0</v>
      </c>
      <c r="T173">
        <v>0</v>
      </c>
      <c r="U173" t="s">
        <v>3915</v>
      </c>
      <c r="V173" t="s">
        <v>31</v>
      </c>
      <c r="W173">
        <v>0</v>
      </c>
    </row>
    <row r="174" spans="1:23" x14ac:dyDescent="0.25">
      <c r="A174" t="s">
        <v>3951</v>
      </c>
      <c r="B174" t="s">
        <v>164</v>
      </c>
      <c r="C174" t="s">
        <v>165</v>
      </c>
      <c r="D174" t="s">
        <v>4479</v>
      </c>
      <c r="E174" t="s">
        <v>3930</v>
      </c>
      <c r="F174" t="s">
        <v>121</v>
      </c>
      <c r="G174" t="s">
        <v>1406</v>
      </c>
      <c r="H174" s="6">
        <v>46022</v>
      </c>
      <c r="I174" t="s">
        <v>29</v>
      </c>
      <c r="J174">
        <v>3</v>
      </c>
      <c r="K174">
        <v>0</v>
      </c>
      <c r="L174">
        <v>0</v>
      </c>
      <c r="M174">
        <v>0</v>
      </c>
      <c r="N174" t="s">
        <v>3915</v>
      </c>
      <c r="O174" t="s">
        <v>3915</v>
      </c>
      <c r="P174" t="s">
        <v>3915</v>
      </c>
      <c r="Q174">
        <v>0</v>
      </c>
      <c r="R174" t="s">
        <v>104</v>
      </c>
      <c r="S174">
        <v>0</v>
      </c>
      <c r="T174">
        <v>0</v>
      </c>
      <c r="U174" t="s">
        <v>3915</v>
      </c>
      <c r="V174" t="s">
        <v>31</v>
      </c>
      <c r="W174">
        <v>0</v>
      </c>
    </row>
    <row r="175" spans="1:23" x14ac:dyDescent="0.25">
      <c r="A175" t="s">
        <v>5151</v>
      </c>
      <c r="B175" t="s">
        <v>1866</v>
      </c>
      <c r="C175" t="s">
        <v>1865</v>
      </c>
      <c r="D175" t="s">
        <v>4479</v>
      </c>
      <c r="E175" t="s">
        <v>3930</v>
      </c>
      <c r="F175" t="s">
        <v>121</v>
      </c>
      <c r="G175" t="s">
        <v>1406</v>
      </c>
      <c r="H175" s="6">
        <v>46022</v>
      </c>
      <c r="I175" t="s">
        <v>29</v>
      </c>
      <c r="J175">
        <v>17</v>
      </c>
      <c r="K175">
        <v>0</v>
      </c>
      <c r="L175">
        <v>0</v>
      </c>
      <c r="M175">
        <v>0</v>
      </c>
      <c r="N175" t="s">
        <v>3915</v>
      </c>
      <c r="O175" t="s">
        <v>3915</v>
      </c>
      <c r="P175" t="s">
        <v>3915</v>
      </c>
      <c r="Q175">
        <v>0</v>
      </c>
      <c r="R175" t="s">
        <v>101</v>
      </c>
      <c r="S175">
        <v>0</v>
      </c>
      <c r="T175">
        <v>0</v>
      </c>
      <c r="U175" t="s">
        <v>3915</v>
      </c>
      <c r="V175" t="s">
        <v>31</v>
      </c>
      <c r="W175">
        <v>0</v>
      </c>
    </row>
    <row r="176" spans="1:23" x14ac:dyDescent="0.25">
      <c r="A176" t="s">
        <v>5152</v>
      </c>
      <c r="B176" t="s">
        <v>1848</v>
      </c>
      <c r="C176" t="s">
        <v>1847</v>
      </c>
      <c r="D176" t="s">
        <v>4479</v>
      </c>
      <c r="E176" t="s">
        <v>3953</v>
      </c>
      <c r="F176" t="s">
        <v>168</v>
      </c>
      <c r="G176" t="s">
        <v>1406</v>
      </c>
      <c r="H176" s="6">
        <v>46022</v>
      </c>
      <c r="I176" t="s">
        <v>29</v>
      </c>
      <c r="J176">
        <v>1</v>
      </c>
      <c r="K176">
        <v>0</v>
      </c>
      <c r="L176">
        <v>0</v>
      </c>
      <c r="M176">
        <v>0</v>
      </c>
      <c r="N176" t="s">
        <v>3915</v>
      </c>
      <c r="O176" t="s">
        <v>3915</v>
      </c>
      <c r="P176" t="s">
        <v>3915</v>
      </c>
      <c r="Q176">
        <v>0</v>
      </c>
      <c r="R176" t="s">
        <v>101</v>
      </c>
      <c r="S176">
        <v>0</v>
      </c>
      <c r="T176">
        <v>0</v>
      </c>
      <c r="U176" t="s">
        <v>3915</v>
      </c>
      <c r="V176" t="s">
        <v>31</v>
      </c>
      <c r="W176">
        <v>0</v>
      </c>
    </row>
    <row r="177" spans="1:23" x14ac:dyDescent="0.25">
      <c r="A177" t="s">
        <v>3952</v>
      </c>
      <c r="B177" t="s">
        <v>166</v>
      </c>
      <c r="C177" t="s">
        <v>167</v>
      </c>
      <c r="D177" t="s">
        <v>4479</v>
      </c>
      <c r="E177" t="s">
        <v>3953</v>
      </c>
      <c r="F177" t="s">
        <v>168</v>
      </c>
      <c r="G177" t="s">
        <v>1406</v>
      </c>
      <c r="H177" s="6">
        <v>46022</v>
      </c>
      <c r="I177" t="s">
        <v>29</v>
      </c>
      <c r="J177">
        <v>1</v>
      </c>
      <c r="K177">
        <v>0</v>
      </c>
      <c r="L177">
        <v>0</v>
      </c>
      <c r="M177">
        <v>0</v>
      </c>
      <c r="N177" t="s">
        <v>3915</v>
      </c>
      <c r="O177" t="s">
        <v>3915</v>
      </c>
      <c r="P177" t="s">
        <v>3915</v>
      </c>
      <c r="Q177">
        <v>0</v>
      </c>
      <c r="R177" t="s">
        <v>101</v>
      </c>
      <c r="S177">
        <v>0</v>
      </c>
      <c r="T177">
        <v>0</v>
      </c>
      <c r="U177" t="s">
        <v>3915</v>
      </c>
      <c r="V177" t="s">
        <v>31</v>
      </c>
      <c r="W177">
        <v>0</v>
      </c>
    </row>
    <row r="178" spans="1:23" x14ac:dyDescent="0.25">
      <c r="A178" t="s">
        <v>4700</v>
      </c>
      <c r="B178" t="s">
        <v>1850</v>
      </c>
      <c r="C178" t="s">
        <v>1849</v>
      </c>
      <c r="D178" t="s">
        <v>4479</v>
      </c>
      <c r="E178" t="s">
        <v>3953</v>
      </c>
      <c r="F178" t="s">
        <v>168</v>
      </c>
      <c r="G178" t="s">
        <v>1406</v>
      </c>
      <c r="H178" s="6">
        <v>46022</v>
      </c>
      <c r="I178" t="s">
        <v>29</v>
      </c>
      <c r="J178">
        <v>3</v>
      </c>
      <c r="K178">
        <v>0</v>
      </c>
      <c r="L178">
        <v>0</v>
      </c>
      <c r="M178">
        <v>0</v>
      </c>
      <c r="N178" t="s">
        <v>3915</v>
      </c>
      <c r="O178" t="s">
        <v>3915</v>
      </c>
      <c r="P178" t="s">
        <v>3915</v>
      </c>
      <c r="Q178">
        <v>0</v>
      </c>
      <c r="R178" t="s">
        <v>101</v>
      </c>
      <c r="S178">
        <v>0</v>
      </c>
      <c r="T178">
        <v>0</v>
      </c>
      <c r="U178" t="s">
        <v>3915</v>
      </c>
      <c r="V178" t="s">
        <v>31</v>
      </c>
      <c r="W178">
        <v>0</v>
      </c>
    </row>
    <row r="179" spans="1:23" x14ac:dyDescent="0.25">
      <c r="A179" t="s">
        <v>3954</v>
      </c>
      <c r="B179" t="s">
        <v>169</v>
      </c>
      <c r="C179" t="s">
        <v>170</v>
      </c>
      <c r="D179" t="s">
        <v>4479</v>
      </c>
      <c r="E179" t="s">
        <v>3953</v>
      </c>
      <c r="F179" t="s">
        <v>168</v>
      </c>
      <c r="G179" t="s">
        <v>1406</v>
      </c>
      <c r="H179" s="6">
        <v>46022</v>
      </c>
      <c r="I179" t="s">
        <v>29</v>
      </c>
      <c r="J179">
        <v>0</v>
      </c>
      <c r="K179">
        <v>0</v>
      </c>
      <c r="L179">
        <v>0</v>
      </c>
      <c r="M179">
        <v>0</v>
      </c>
      <c r="N179" t="s">
        <v>3915</v>
      </c>
      <c r="O179" t="s">
        <v>3915</v>
      </c>
      <c r="P179" t="s">
        <v>3915</v>
      </c>
      <c r="Q179">
        <v>0</v>
      </c>
      <c r="R179" t="s">
        <v>101</v>
      </c>
      <c r="S179">
        <v>0</v>
      </c>
      <c r="T179">
        <v>0</v>
      </c>
      <c r="U179" t="s">
        <v>3915</v>
      </c>
      <c r="V179" t="s">
        <v>31</v>
      </c>
      <c r="W179">
        <v>0</v>
      </c>
    </row>
    <row r="180" spans="1:23" x14ac:dyDescent="0.25">
      <c r="A180" t="s">
        <v>5153</v>
      </c>
      <c r="B180" t="s">
        <v>1852</v>
      </c>
      <c r="C180" t="s">
        <v>1851</v>
      </c>
      <c r="D180" t="s">
        <v>4479</v>
      </c>
      <c r="E180" t="s">
        <v>3953</v>
      </c>
      <c r="F180" t="s">
        <v>168</v>
      </c>
      <c r="G180" t="s">
        <v>1406</v>
      </c>
      <c r="H180" s="6">
        <v>46022</v>
      </c>
      <c r="I180" t="s">
        <v>29</v>
      </c>
      <c r="J180">
        <v>3</v>
      </c>
      <c r="K180">
        <v>0</v>
      </c>
      <c r="L180">
        <v>0</v>
      </c>
      <c r="M180">
        <v>0</v>
      </c>
      <c r="N180" t="s">
        <v>3915</v>
      </c>
      <c r="O180" t="s">
        <v>3915</v>
      </c>
      <c r="P180" t="s">
        <v>3915</v>
      </c>
      <c r="Q180">
        <v>0</v>
      </c>
      <c r="R180" t="s">
        <v>101</v>
      </c>
      <c r="S180">
        <v>0</v>
      </c>
      <c r="T180">
        <v>0</v>
      </c>
      <c r="U180" t="s">
        <v>3915</v>
      </c>
      <c r="V180" t="s">
        <v>31</v>
      </c>
      <c r="W180">
        <v>0</v>
      </c>
    </row>
    <row r="181" spans="1:23" x14ac:dyDescent="0.25">
      <c r="A181" t="s">
        <v>3955</v>
      </c>
      <c r="B181" t="s">
        <v>171</v>
      </c>
      <c r="C181" t="s">
        <v>172</v>
      </c>
      <c r="D181" t="s">
        <v>4479</v>
      </c>
      <c r="E181" t="s">
        <v>3953</v>
      </c>
      <c r="F181" t="s">
        <v>168</v>
      </c>
      <c r="G181" t="s">
        <v>1406</v>
      </c>
      <c r="H181" s="6">
        <v>46022</v>
      </c>
      <c r="I181" t="s">
        <v>29</v>
      </c>
      <c r="J181">
        <v>0</v>
      </c>
      <c r="K181">
        <v>0</v>
      </c>
      <c r="L181">
        <v>0</v>
      </c>
      <c r="M181">
        <v>0</v>
      </c>
      <c r="N181" t="s">
        <v>3915</v>
      </c>
      <c r="O181" t="s">
        <v>3915</v>
      </c>
      <c r="P181" t="s">
        <v>3915</v>
      </c>
      <c r="Q181">
        <v>0</v>
      </c>
      <c r="R181" t="s">
        <v>101</v>
      </c>
      <c r="S181">
        <v>0</v>
      </c>
      <c r="T181">
        <v>0</v>
      </c>
      <c r="U181" t="s">
        <v>3915</v>
      </c>
      <c r="V181" t="s">
        <v>31</v>
      </c>
      <c r="W181">
        <v>0</v>
      </c>
    </row>
    <row r="182" spans="1:23" x14ac:dyDescent="0.25">
      <c r="A182" t="s">
        <v>3956</v>
      </c>
      <c r="B182" t="s">
        <v>173</v>
      </c>
      <c r="C182" t="s">
        <v>174</v>
      </c>
      <c r="D182" t="s">
        <v>4479</v>
      </c>
      <c r="E182" t="s">
        <v>3953</v>
      </c>
      <c r="F182" t="s">
        <v>168</v>
      </c>
      <c r="G182" t="s">
        <v>1406</v>
      </c>
      <c r="H182" s="6">
        <v>46022</v>
      </c>
      <c r="I182" t="s">
        <v>29</v>
      </c>
      <c r="J182">
        <v>0</v>
      </c>
      <c r="K182">
        <v>0</v>
      </c>
      <c r="L182">
        <v>0</v>
      </c>
      <c r="M182">
        <v>0</v>
      </c>
      <c r="N182" t="s">
        <v>3915</v>
      </c>
      <c r="O182" t="s">
        <v>3915</v>
      </c>
      <c r="P182" t="s">
        <v>3915</v>
      </c>
      <c r="Q182">
        <v>0</v>
      </c>
      <c r="R182" t="s">
        <v>101</v>
      </c>
      <c r="S182">
        <v>0</v>
      </c>
      <c r="T182">
        <v>0</v>
      </c>
      <c r="U182" t="s">
        <v>3915</v>
      </c>
      <c r="V182" t="s">
        <v>31</v>
      </c>
      <c r="W182">
        <v>0</v>
      </c>
    </row>
    <row r="183" spans="1:23" x14ac:dyDescent="0.25">
      <c r="A183" t="s">
        <v>3958</v>
      </c>
      <c r="B183" t="s">
        <v>177</v>
      </c>
      <c r="C183" t="s">
        <v>178</v>
      </c>
      <c r="D183" t="s">
        <v>4479</v>
      </c>
      <c r="E183" t="s">
        <v>3953</v>
      </c>
      <c r="F183" t="s">
        <v>168</v>
      </c>
      <c r="G183" t="s">
        <v>1406</v>
      </c>
      <c r="H183" s="6">
        <v>46022</v>
      </c>
      <c r="I183" t="s">
        <v>29</v>
      </c>
      <c r="J183">
        <v>21</v>
      </c>
      <c r="K183">
        <v>0</v>
      </c>
      <c r="L183">
        <v>0</v>
      </c>
      <c r="M183">
        <v>0</v>
      </c>
      <c r="N183" t="s">
        <v>3915</v>
      </c>
      <c r="O183" t="s">
        <v>3915</v>
      </c>
      <c r="P183" t="s">
        <v>3915</v>
      </c>
      <c r="Q183">
        <v>0</v>
      </c>
      <c r="R183" t="s">
        <v>101</v>
      </c>
      <c r="S183">
        <v>0</v>
      </c>
      <c r="T183">
        <v>0</v>
      </c>
      <c r="U183" t="s">
        <v>3915</v>
      </c>
      <c r="V183" t="s">
        <v>31</v>
      </c>
      <c r="W183">
        <v>0</v>
      </c>
    </row>
    <row r="184" spans="1:23" x14ac:dyDescent="0.25">
      <c r="A184" t="s">
        <v>3959</v>
      </c>
      <c r="B184" t="s">
        <v>179</v>
      </c>
      <c r="C184" t="s">
        <v>180</v>
      </c>
      <c r="D184" t="s">
        <v>4479</v>
      </c>
      <c r="E184" t="s">
        <v>3953</v>
      </c>
      <c r="F184" t="s">
        <v>168</v>
      </c>
      <c r="G184" t="s">
        <v>1406</v>
      </c>
      <c r="H184" s="6">
        <v>46022</v>
      </c>
      <c r="I184" t="s">
        <v>29</v>
      </c>
      <c r="J184">
        <v>0</v>
      </c>
      <c r="K184">
        <v>0</v>
      </c>
      <c r="L184">
        <v>0</v>
      </c>
      <c r="M184">
        <v>0</v>
      </c>
      <c r="N184" t="s">
        <v>3915</v>
      </c>
      <c r="O184" t="s">
        <v>3915</v>
      </c>
      <c r="P184" t="s">
        <v>3915</v>
      </c>
      <c r="Q184">
        <v>0</v>
      </c>
      <c r="R184" t="s">
        <v>101</v>
      </c>
      <c r="S184">
        <v>0</v>
      </c>
      <c r="T184">
        <v>0</v>
      </c>
      <c r="U184" t="s">
        <v>3915</v>
      </c>
      <c r="V184" t="s">
        <v>31</v>
      </c>
      <c r="W184">
        <v>0</v>
      </c>
    </row>
    <row r="185" spans="1:23" x14ac:dyDescent="0.25">
      <c r="A185" t="s">
        <v>5154</v>
      </c>
      <c r="B185" t="s">
        <v>1854</v>
      </c>
      <c r="C185" t="s">
        <v>1853</v>
      </c>
      <c r="D185" t="s">
        <v>4479</v>
      </c>
      <c r="E185" t="s">
        <v>3953</v>
      </c>
      <c r="F185" t="s">
        <v>168</v>
      </c>
      <c r="G185" t="s">
        <v>1406</v>
      </c>
      <c r="H185" s="6">
        <v>46022</v>
      </c>
      <c r="I185" t="s">
        <v>29</v>
      </c>
      <c r="J185">
        <v>3</v>
      </c>
      <c r="K185">
        <v>0</v>
      </c>
      <c r="L185">
        <v>0</v>
      </c>
      <c r="M185">
        <v>0</v>
      </c>
      <c r="N185" t="s">
        <v>3915</v>
      </c>
      <c r="O185" t="s">
        <v>3915</v>
      </c>
      <c r="P185" t="s">
        <v>3915</v>
      </c>
      <c r="Q185">
        <v>0</v>
      </c>
      <c r="R185" t="s">
        <v>101</v>
      </c>
      <c r="S185">
        <v>0</v>
      </c>
      <c r="T185">
        <v>0</v>
      </c>
      <c r="U185" t="s">
        <v>3915</v>
      </c>
      <c r="V185" t="s">
        <v>31</v>
      </c>
      <c r="W185">
        <v>0</v>
      </c>
    </row>
    <row r="186" spans="1:23" x14ac:dyDescent="0.25">
      <c r="A186" t="s">
        <v>3960</v>
      </c>
      <c r="B186" t="s">
        <v>181</v>
      </c>
      <c r="C186" t="s">
        <v>182</v>
      </c>
      <c r="D186" t="s">
        <v>4479</v>
      </c>
      <c r="E186" t="s">
        <v>3953</v>
      </c>
      <c r="F186" t="s">
        <v>168</v>
      </c>
      <c r="G186" t="s">
        <v>1406</v>
      </c>
      <c r="H186" s="6">
        <v>46022</v>
      </c>
      <c r="I186" t="s">
        <v>29</v>
      </c>
      <c r="J186">
        <v>9</v>
      </c>
      <c r="K186">
        <v>0</v>
      </c>
      <c r="L186">
        <v>0</v>
      </c>
      <c r="M186">
        <v>0</v>
      </c>
      <c r="N186" t="s">
        <v>3915</v>
      </c>
      <c r="O186" t="s">
        <v>3915</v>
      </c>
      <c r="P186" t="s">
        <v>3915</v>
      </c>
      <c r="Q186">
        <v>0</v>
      </c>
      <c r="R186" t="s">
        <v>101</v>
      </c>
      <c r="S186">
        <v>0</v>
      </c>
      <c r="T186">
        <v>0</v>
      </c>
      <c r="U186" t="s">
        <v>3915</v>
      </c>
      <c r="V186" t="s">
        <v>31</v>
      </c>
      <c r="W186">
        <v>0</v>
      </c>
    </row>
    <row r="187" spans="1:23" x14ac:dyDescent="0.25">
      <c r="A187" t="s">
        <v>3961</v>
      </c>
      <c r="B187" t="s">
        <v>184</v>
      </c>
      <c r="C187" t="s">
        <v>185</v>
      </c>
      <c r="D187" t="s">
        <v>4479</v>
      </c>
      <c r="E187" t="s">
        <v>3953</v>
      </c>
      <c r="F187" t="s">
        <v>168</v>
      </c>
      <c r="G187" t="s">
        <v>1406</v>
      </c>
      <c r="H187" s="6">
        <v>46022</v>
      </c>
      <c r="I187" t="s">
        <v>29</v>
      </c>
      <c r="J187">
        <v>1</v>
      </c>
      <c r="K187">
        <v>0</v>
      </c>
      <c r="L187">
        <v>0</v>
      </c>
      <c r="M187">
        <v>0</v>
      </c>
      <c r="N187" t="s">
        <v>3915</v>
      </c>
      <c r="O187" t="s">
        <v>3915</v>
      </c>
      <c r="P187" t="s">
        <v>3915</v>
      </c>
      <c r="Q187">
        <v>0</v>
      </c>
      <c r="R187" t="s">
        <v>101</v>
      </c>
      <c r="S187">
        <v>0</v>
      </c>
      <c r="T187">
        <v>0</v>
      </c>
      <c r="U187" t="s">
        <v>3915</v>
      </c>
      <c r="V187" t="s">
        <v>31</v>
      </c>
      <c r="W187">
        <v>0</v>
      </c>
    </row>
    <row r="188" spans="1:23" x14ac:dyDescent="0.25">
      <c r="A188" t="s">
        <v>3962</v>
      </c>
      <c r="B188" t="s">
        <v>187</v>
      </c>
      <c r="C188" t="s">
        <v>188</v>
      </c>
      <c r="D188" t="s">
        <v>4479</v>
      </c>
      <c r="E188" t="s">
        <v>3953</v>
      </c>
      <c r="F188" t="s">
        <v>168</v>
      </c>
      <c r="G188" t="s">
        <v>1406</v>
      </c>
      <c r="H188" s="6">
        <v>46022</v>
      </c>
      <c r="I188" t="s">
        <v>29</v>
      </c>
      <c r="J188">
        <v>5</v>
      </c>
      <c r="K188">
        <v>0</v>
      </c>
      <c r="L188">
        <v>0</v>
      </c>
      <c r="M188">
        <v>0</v>
      </c>
      <c r="N188" t="s">
        <v>3915</v>
      </c>
      <c r="O188" t="s">
        <v>3915</v>
      </c>
      <c r="P188" t="s">
        <v>3915</v>
      </c>
      <c r="Q188">
        <v>0</v>
      </c>
      <c r="R188" t="s">
        <v>101</v>
      </c>
      <c r="S188">
        <v>0</v>
      </c>
      <c r="T188">
        <v>0</v>
      </c>
      <c r="U188" t="s">
        <v>3915</v>
      </c>
      <c r="V188" t="s">
        <v>31</v>
      </c>
      <c r="W188">
        <v>0</v>
      </c>
    </row>
    <row r="189" spans="1:23" x14ac:dyDescent="0.25">
      <c r="A189" t="s">
        <v>3963</v>
      </c>
      <c r="B189" t="s">
        <v>189</v>
      </c>
      <c r="C189" t="s">
        <v>190</v>
      </c>
      <c r="D189" t="s">
        <v>4479</v>
      </c>
      <c r="E189" t="s">
        <v>3953</v>
      </c>
      <c r="F189" t="s">
        <v>168</v>
      </c>
      <c r="G189" t="s">
        <v>1406</v>
      </c>
      <c r="H189" s="6">
        <v>46022</v>
      </c>
      <c r="I189" t="s">
        <v>29</v>
      </c>
      <c r="J189">
        <v>3</v>
      </c>
      <c r="K189">
        <v>0</v>
      </c>
      <c r="L189">
        <v>0</v>
      </c>
      <c r="M189">
        <v>0</v>
      </c>
      <c r="N189" t="s">
        <v>3915</v>
      </c>
      <c r="O189" t="s">
        <v>3915</v>
      </c>
      <c r="P189" t="s">
        <v>3915</v>
      </c>
      <c r="Q189">
        <v>0</v>
      </c>
      <c r="R189" t="s">
        <v>101</v>
      </c>
      <c r="S189">
        <v>0</v>
      </c>
      <c r="T189">
        <v>0</v>
      </c>
      <c r="U189" t="s">
        <v>3915</v>
      </c>
      <c r="V189" t="s">
        <v>31</v>
      </c>
      <c r="W189">
        <v>0</v>
      </c>
    </row>
    <row r="190" spans="1:23" x14ac:dyDescent="0.25">
      <c r="A190" t="s">
        <v>3964</v>
      </c>
      <c r="B190" t="s">
        <v>191</v>
      </c>
      <c r="C190" t="s">
        <v>192</v>
      </c>
      <c r="D190" t="s">
        <v>4479</v>
      </c>
      <c r="E190" t="s">
        <v>3953</v>
      </c>
      <c r="F190" t="s">
        <v>168</v>
      </c>
      <c r="G190" t="s">
        <v>1406</v>
      </c>
      <c r="H190" s="6">
        <v>46022</v>
      </c>
      <c r="I190" t="s">
        <v>29</v>
      </c>
      <c r="J190">
        <v>3</v>
      </c>
      <c r="K190">
        <v>0</v>
      </c>
      <c r="L190">
        <v>0</v>
      </c>
      <c r="M190">
        <v>0</v>
      </c>
      <c r="N190" t="s">
        <v>3915</v>
      </c>
      <c r="O190" t="s">
        <v>3915</v>
      </c>
      <c r="P190" t="s">
        <v>3915</v>
      </c>
      <c r="Q190">
        <v>0</v>
      </c>
      <c r="R190" t="s">
        <v>101</v>
      </c>
      <c r="S190">
        <v>0</v>
      </c>
      <c r="T190">
        <v>0</v>
      </c>
      <c r="U190" t="s">
        <v>3915</v>
      </c>
      <c r="V190" t="s">
        <v>31</v>
      </c>
      <c r="W190">
        <v>0</v>
      </c>
    </row>
    <row r="191" spans="1:23" x14ac:dyDescent="0.25">
      <c r="A191" t="s">
        <v>3965</v>
      </c>
      <c r="B191" t="s">
        <v>194</v>
      </c>
      <c r="C191" t="s">
        <v>195</v>
      </c>
      <c r="D191" t="s">
        <v>4479</v>
      </c>
      <c r="E191" t="s">
        <v>3953</v>
      </c>
      <c r="F191" t="s">
        <v>168</v>
      </c>
      <c r="G191" t="s">
        <v>1406</v>
      </c>
      <c r="H191" s="6">
        <v>46022</v>
      </c>
      <c r="I191" t="s">
        <v>29</v>
      </c>
      <c r="J191">
        <v>6</v>
      </c>
      <c r="K191">
        <v>0</v>
      </c>
      <c r="L191">
        <v>0</v>
      </c>
      <c r="M191">
        <v>0</v>
      </c>
      <c r="N191" t="s">
        <v>3915</v>
      </c>
      <c r="O191" t="s">
        <v>3915</v>
      </c>
      <c r="P191" t="s">
        <v>3915</v>
      </c>
      <c r="Q191">
        <v>0</v>
      </c>
      <c r="R191" t="s">
        <v>101</v>
      </c>
      <c r="S191">
        <v>0</v>
      </c>
      <c r="T191">
        <v>0</v>
      </c>
      <c r="U191" t="s">
        <v>3915</v>
      </c>
      <c r="V191" t="s">
        <v>31</v>
      </c>
      <c r="W191">
        <v>0</v>
      </c>
    </row>
    <row r="192" spans="1:23" x14ac:dyDescent="0.25">
      <c r="A192" t="s">
        <v>3966</v>
      </c>
      <c r="B192" t="s">
        <v>196</v>
      </c>
      <c r="C192" t="s">
        <v>197</v>
      </c>
      <c r="D192" t="s">
        <v>4479</v>
      </c>
      <c r="E192" t="s">
        <v>3953</v>
      </c>
      <c r="F192" t="s">
        <v>168</v>
      </c>
      <c r="G192" t="s">
        <v>1406</v>
      </c>
      <c r="H192" s="6">
        <v>46022</v>
      </c>
      <c r="I192" t="s">
        <v>29</v>
      </c>
      <c r="J192">
        <v>7</v>
      </c>
      <c r="K192">
        <v>0</v>
      </c>
      <c r="L192">
        <v>0</v>
      </c>
      <c r="M192">
        <v>0</v>
      </c>
      <c r="N192" t="s">
        <v>3915</v>
      </c>
      <c r="O192" t="s">
        <v>3915</v>
      </c>
      <c r="P192" t="s">
        <v>3915</v>
      </c>
      <c r="Q192">
        <v>0</v>
      </c>
      <c r="R192" t="s">
        <v>101</v>
      </c>
      <c r="S192">
        <v>0</v>
      </c>
      <c r="T192">
        <v>0</v>
      </c>
      <c r="U192" t="s">
        <v>3915</v>
      </c>
      <c r="V192" t="s">
        <v>31</v>
      </c>
      <c r="W192">
        <v>0</v>
      </c>
    </row>
    <row r="193" spans="1:23" x14ac:dyDescent="0.25">
      <c r="A193" t="s">
        <v>3967</v>
      </c>
      <c r="B193" t="s">
        <v>198</v>
      </c>
      <c r="C193" t="s">
        <v>199</v>
      </c>
      <c r="D193" t="s">
        <v>4479</v>
      </c>
      <c r="E193" t="s">
        <v>3953</v>
      </c>
      <c r="F193" t="s">
        <v>168</v>
      </c>
      <c r="G193" t="s">
        <v>1406</v>
      </c>
      <c r="H193" s="6">
        <v>46022</v>
      </c>
      <c r="I193" t="s">
        <v>29</v>
      </c>
      <c r="J193">
        <v>0</v>
      </c>
      <c r="K193">
        <v>0</v>
      </c>
      <c r="L193">
        <v>0</v>
      </c>
      <c r="M193">
        <v>0</v>
      </c>
      <c r="N193" t="s">
        <v>3915</v>
      </c>
      <c r="O193" t="s">
        <v>3915</v>
      </c>
      <c r="P193" t="s">
        <v>3915</v>
      </c>
      <c r="Q193">
        <v>0</v>
      </c>
      <c r="R193" t="s">
        <v>101</v>
      </c>
      <c r="S193">
        <v>0</v>
      </c>
      <c r="T193">
        <v>0</v>
      </c>
      <c r="U193" t="s">
        <v>3915</v>
      </c>
      <c r="V193" t="s">
        <v>31</v>
      </c>
      <c r="W193">
        <v>0</v>
      </c>
    </row>
    <row r="194" spans="1:23" x14ac:dyDescent="0.25">
      <c r="A194" t="s">
        <v>3968</v>
      </c>
      <c r="B194" t="s">
        <v>206</v>
      </c>
      <c r="C194" t="s">
        <v>207</v>
      </c>
      <c r="D194" t="s">
        <v>4479</v>
      </c>
      <c r="E194" t="s">
        <v>3953</v>
      </c>
      <c r="F194" t="s">
        <v>168</v>
      </c>
      <c r="G194" t="s">
        <v>1406</v>
      </c>
      <c r="H194" s="6">
        <v>46022</v>
      </c>
      <c r="I194" t="s">
        <v>29</v>
      </c>
      <c r="J194">
        <v>7</v>
      </c>
      <c r="K194">
        <v>0</v>
      </c>
      <c r="L194">
        <v>0</v>
      </c>
      <c r="M194">
        <v>0</v>
      </c>
      <c r="N194" t="s">
        <v>3915</v>
      </c>
      <c r="O194" t="s">
        <v>3915</v>
      </c>
      <c r="P194" t="s">
        <v>3915</v>
      </c>
      <c r="Q194">
        <v>0</v>
      </c>
      <c r="R194" t="s">
        <v>101</v>
      </c>
      <c r="S194">
        <v>0</v>
      </c>
      <c r="T194">
        <v>0</v>
      </c>
      <c r="U194" t="s">
        <v>3915</v>
      </c>
      <c r="V194" t="s">
        <v>31</v>
      </c>
      <c r="W194">
        <v>0</v>
      </c>
    </row>
    <row r="195" spans="1:23" x14ac:dyDescent="0.25">
      <c r="A195" t="s">
        <v>3969</v>
      </c>
      <c r="B195" t="s">
        <v>208</v>
      </c>
      <c r="C195" t="s">
        <v>209</v>
      </c>
      <c r="D195" t="s">
        <v>4479</v>
      </c>
      <c r="E195" t="s">
        <v>3953</v>
      </c>
      <c r="F195" t="s">
        <v>168</v>
      </c>
      <c r="G195" t="s">
        <v>1406</v>
      </c>
      <c r="H195" s="6">
        <v>46022</v>
      </c>
      <c r="I195" t="s">
        <v>29</v>
      </c>
      <c r="J195">
        <v>0</v>
      </c>
      <c r="K195">
        <v>0</v>
      </c>
      <c r="L195">
        <v>0</v>
      </c>
      <c r="M195">
        <v>0</v>
      </c>
      <c r="N195" t="s">
        <v>3915</v>
      </c>
      <c r="O195" t="s">
        <v>3915</v>
      </c>
      <c r="P195" t="s">
        <v>3915</v>
      </c>
      <c r="Q195">
        <v>0</v>
      </c>
      <c r="R195" t="s">
        <v>101</v>
      </c>
      <c r="S195">
        <v>0</v>
      </c>
      <c r="T195">
        <v>0</v>
      </c>
      <c r="U195" t="s">
        <v>3915</v>
      </c>
      <c r="V195" t="s">
        <v>31</v>
      </c>
      <c r="W195">
        <v>0</v>
      </c>
    </row>
    <row r="196" spans="1:23" x14ac:dyDescent="0.25">
      <c r="A196" t="s">
        <v>3970</v>
      </c>
      <c r="B196" t="s">
        <v>210</v>
      </c>
      <c r="C196" t="s">
        <v>211</v>
      </c>
      <c r="D196" t="s">
        <v>4479</v>
      </c>
      <c r="E196" t="s">
        <v>3953</v>
      </c>
      <c r="F196" t="s">
        <v>168</v>
      </c>
      <c r="G196" t="s">
        <v>1406</v>
      </c>
      <c r="H196" s="6">
        <v>46022</v>
      </c>
      <c r="I196" t="s">
        <v>29</v>
      </c>
      <c r="J196">
        <v>2</v>
      </c>
      <c r="K196">
        <v>0</v>
      </c>
      <c r="L196">
        <v>0</v>
      </c>
      <c r="M196">
        <v>0</v>
      </c>
      <c r="N196" t="s">
        <v>3915</v>
      </c>
      <c r="O196" t="s">
        <v>3915</v>
      </c>
      <c r="P196" t="s">
        <v>3915</v>
      </c>
      <c r="Q196">
        <v>0</v>
      </c>
      <c r="R196" t="s">
        <v>101</v>
      </c>
      <c r="S196">
        <v>0</v>
      </c>
      <c r="T196">
        <v>0</v>
      </c>
      <c r="U196" t="s">
        <v>3915</v>
      </c>
      <c r="V196" t="s">
        <v>31</v>
      </c>
      <c r="W196">
        <v>0</v>
      </c>
    </row>
    <row r="197" spans="1:23" x14ac:dyDescent="0.25">
      <c r="A197" t="s">
        <v>3971</v>
      </c>
      <c r="B197" t="s">
        <v>213</v>
      </c>
      <c r="C197" t="s">
        <v>214</v>
      </c>
      <c r="D197" t="s">
        <v>4479</v>
      </c>
      <c r="E197" t="s">
        <v>3953</v>
      </c>
      <c r="F197" t="s">
        <v>168</v>
      </c>
      <c r="G197" t="s">
        <v>1406</v>
      </c>
      <c r="H197" s="6">
        <v>46022</v>
      </c>
      <c r="I197" t="s">
        <v>29</v>
      </c>
      <c r="J197">
        <v>0</v>
      </c>
      <c r="K197">
        <v>0</v>
      </c>
      <c r="L197">
        <v>0</v>
      </c>
      <c r="M197">
        <v>0</v>
      </c>
      <c r="N197" t="s">
        <v>3915</v>
      </c>
      <c r="O197" t="s">
        <v>3915</v>
      </c>
      <c r="P197" t="s">
        <v>3915</v>
      </c>
      <c r="Q197">
        <v>0</v>
      </c>
      <c r="R197" t="s">
        <v>101</v>
      </c>
      <c r="S197">
        <v>0</v>
      </c>
      <c r="T197">
        <v>0</v>
      </c>
      <c r="U197" t="s">
        <v>3915</v>
      </c>
      <c r="V197" t="s">
        <v>31</v>
      </c>
      <c r="W197">
        <v>0</v>
      </c>
    </row>
    <row r="198" spans="1:23" x14ac:dyDescent="0.25">
      <c r="A198" t="s">
        <v>3972</v>
      </c>
      <c r="B198" t="s">
        <v>215</v>
      </c>
      <c r="C198" t="s">
        <v>216</v>
      </c>
      <c r="D198" t="s">
        <v>4479</v>
      </c>
      <c r="E198" t="s">
        <v>3953</v>
      </c>
      <c r="F198" t="s">
        <v>168</v>
      </c>
      <c r="G198" t="s">
        <v>1406</v>
      </c>
      <c r="H198" s="6">
        <v>46022</v>
      </c>
      <c r="I198" t="s">
        <v>29</v>
      </c>
      <c r="J198">
        <v>49</v>
      </c>
      <c r="K198">
        <v>0</v>
      </c>
      <c r="L198">
        <v>0</v>
      </c>
      <c r="M198">
        <v>0</v>
      </c>
      <c r="N198" t="s">
        <v>3915</v>
      </c>
      <c r="O198" t="s">
        <v>3915</v>
      </c>
      <c r="P198" t="s">
        <v>3915</v>
      </c>
      <c r="Q198">
        <v>0</v>
      </c>
      <c r="R198" t="s">
        <v>101</v>
      </c>
      <c r="S198">
        <v>0</v>
      </c>
      <c r="T198">
        <v>0</v>
      </c>
      <c r="U198" t="s">
        <v>3915</v>
      </c>
      <c r="V198" t="s">
        <v>31</v>
      </c>
      <c r="W198">
        <v>0</v>
      </c>
    </row>
    <row r="199" spans="1:23" x14ac:dyDescent="0.25">
      <c r="A199" t="s">
        <v>3973</v>
      </c>
      <c r="B199" t="s">
        <v>217</v>
      </c>
      <c r="C199" t="s">
        <v>218</v>
      </c>
      <c r="D199" t="s">
        <v>4479</v>
      </c>
      <c r="E199" t="s">
        <v>3953</v>
      </c>
      <c r="F199" t="s">
        <v>168</v>
      </c>
      <c r="G199" t="s">
        <v>1406</v>
      </c>
      <c r="H199" s="6">
        <v>46022</v>
      </c>
      <c r="I199" t="s">
        <v>29</v>
      </c>
      <c r="J199">
        <v>5</v>
      </c>
      <c r="K199">
        <v>0</v>
      </c>
      <c r="L199">
        <v>0</v>
      </c>
      <c r="M199">
        <v>0</v>
      </c>
      <c r="N199" t="s">
        <v>3915</v>
      </c>
      <c r="O199" t="s">
        <v>3915</v>
      </c>
      <c r="P199" t="s">
        <v>3915</v>
      </c>
      <c r="Q199">
        <v>0</v>
      </c>
      <c r="R199" t="s">
        <v>101</v>
      </c>
      <c r="S199">
        <v>0</v>
      </c>
      <c r="T199">
        <v>0</v>
      </c>
      <c r="U199" t="s">
        <v>3915</v>
      </c>
      <c r="V199" t="s">
        <v>31</v>
      </c>
      <c r="W199">
        <v>0</v>
      </c>
    </row>
    <row r="200" spans="1:23" x14ac:dyDescent="0.25">
      <c r="A200" t="s">
        <v>3975</v>
      </c>
      <c r="B200" t="s">
        <v>222</v>
      </c>
      <c r="C200" t="s">
        <v>223</v>
      </c>
      <c r="D200" t="s">
        <v>4479</v>
      </c>
      <c r="E200" t="s">
        <v>3953</v>
      </c>
      <c r="F200" t="s">
        <v>168</v>
      </c>
      <c r="G200" t="s">
        <v>1406</v>
      </c>
      <c r="H200" s="6">
        <v>46022</v>
      </c>
      <c r="I200" t="s">
        <v>29</v>
      </c>
      <c r="J200">
        <v>1</v>
      </c>
      <c r="K200">
        <v>0</v>
      </c>
      <c r="L200">
        <v>0</v>
      </c>
      <c r="M200">
        <v>0</v>
      </c>
      <c r="N200" t="s">
        <v>3915</v>
      </c>
      <c r="O200" t="s">
        <v>3915</v>
      </c>
      <c r="P200" t="s">
        <v>3915</v>
      </c>
      <c r="Q200">
        <v>0</v>
      </c>
      <c r="R200" t="s">
        <v>101</v>
      </c>
      <c r="S200">
        <v>0</v>
      </c>
      <c r="T200">
        <v>0</v>
      </c>
      <c r="U200" t="s">
        <v>3915</v>
      </c>
      <c r="V200" t="s">
        <v>31</v>
      </c>
      <c r="W200">
        <v>0</v>
      </c>
    </row>
    <row r="201" spans="1:23" x14ac:dyDescent="0.25">
      <c r="A201" t="s">
        <v>3976</v>
      </c>
      <c r="B201" t="s">
        <v>224</v>
      </c>
      <c r="C201" t="s">
        <v>225</v>
      </c>
      <c r="D201" t="s">
        <v>4479</v>
      </c>
      <c r="E201" t="s">
        <v>3953</v>
      </c>
      <c r="F201" t="s">
        <v>168</v>
      </c>
      <c r="G201" t="s">
        <v>1406</v>
      </c>
      <c r="H201" s="6">
        <v>46022</v>
      </c>
      <c r="I201" t="s">
        <v>29</v>
      </c>
      <c r="J201">
        <v>0</v>
      </c>
      <c r="K201">
        <v>0</v>
      </c>
      <c r="L201">
        <v>0</v>
      </c>
      <c r="M201">
        <v>0</v>
      </c>
      <c r="N201" t="s">
        <v>3915</v>
      </c>
      <c r="O201" t="s">
        <v>3915</v>
      </c>
      <c r="P201" t="s">
        <v>3915</v>
      </c>
      <c r="Q201">
        <v>0</v>
      </c>
      <c r="R201" t="s">
        <v>101</v>
      </c>
      <c r="S201">
        <v>0</v>
      </c>
      <c r="T201">
        <v>0</v>
      </c>
      <c r="U201" t="s">
        <v>3915</v>
      </c>
      <c r="V201" t="s">
        <v>31</v>
      </c>
      <c r="W201">
        <v>0</v>
      </c>
    </row>
    <row r="202" spans="1:23" x14ac:dyDescent="0.25">
      <c r="A202" t="s">
        <v>3977</v>
      </c>
      <c r="B202" t="s">
        <v>226</v>
      </c>
      <c r="C202" t="s">
        <v>227</v>
      </c>
      <c r="D202" t="s">
        <v>4479</v>
      </c>
      <c r="E202" t="s">
        <v>3953</v>
      </c>
      <c r="F202" t="s">
        <v>168</v>
      </c>
      <c r="G202" t="s">
        <v>1406</v>
      </c>
      <c r="H202" s="6">
        <v>46022</v>
      </c>
      <c r="I202" t="s">
        <v>29</v>
      </c>
      <c r="J202">
        <v>1</v>
      </c>
      <c r="K202">
        <v>0</v>
      </c>
      <c r="L202">
        <v>0</v>
      </c>
      <c r="M202">
        <v>0</v>
      </c>
      <c r="N202" t="s">
        <v>3915</v>
      </c>
      <c r="O202" t="s">
        <v>3915</v>
      </c>
      <c r="P202" t="s">
        <v>3915</v>
      </c>
      <c r="Q202">
        <v>0</v>
      </c>
      <c r="R202" t="s">
        <v>101</v>
      </c>
      <c r="S202">
        <v>0</v>
      </c>
      <c r="T202">
        <v>0</v>
      </c>
      <c r="U202" t="s">
        <v>3915</v>
      </c>
      <c r="V202" t="s">
        <v>31</v>
      </c>
      <c r="W202">
        <v>0</v>
      </c>
    </row>
    <row r="203" spans="1:23" x14ac:dyDescent="0.25">
      <c r="A203" t="s">
        <v>5155</v>
      </c>
      <c r="B203" t="s">
        <v>1856</v>
      </c>
      <c r="C203" t="s">
        <v>1855</v>
      </c>
      <c r="D203" t="s">
        <v>4479</v>
      </c>
      <c r="E203" t="s">
        <v>3953</v>
      </c>
      <c r="F203" t="s">
        <v>168</v>
      </c>
      <c r="G203" t="s">
        <v>1406</v>
      </c>
      <c r="H203" s="6">
        <v>46022</v>
      </c>
      <c r="I203" t="s">
        <v>29</v>
      </c>
      <c r="J203">
        <v>1</v>
      </c>
      <c r="K203">
        <v>0</v>
      </c>
      <c r="L203">
        <v>0</v>
      </c>
      <c r="M203">
        <v>0</v>
      </c>
      <c r="N203" t="s">
        <v>3915</v>
      </c>
      <c r="O203" t="s">
        <v>3915</v>
      </c>
      <c r="P203" t="s">
        <v>3915</v>
      </c>
      <c r="Q203">
        <v>0</v>
      </c>
      <c r="R203" t="s">
        <v>101</v>
      </c>
      <c r="S203">
        <v>0</v>
      </c>
      <c r="T203">
        <v>0</v>
      </c>
      <c r="U203" t="s">
        <v>3915</v>
      </c>
      <c r="V203" t="s">
        <v>31</v>
      </c>
      <c r="W203">
        <v>0</v>
      </c>
    </row>
    <row r="204" spans="1:23" x14ac:dyDescent="0.25">
      <c r="A204" t="s">
        <v>3978</v>
      </c>
      <c r="B204" t="s">
        <v>228</v>
      </c>
      <c r="C204" t="s">
        <v>229</v>
      </c>
      <c r="D204" t="s">
        <v>4479</v>
      </c>
      <c r="E204" t="s">
        <v>3953</v>
      </c>
      <c r="F204" t="s">
        <v>168</v>
      </c>
      <c r="G204" t="s">
        <v>1406</v>
      </c>
      <c r="H204" s="6">
        <v>46022</v>
      </c>
      <c r="I204" t="s">
        <v>29</v>
      </c>
      <c r="J204">
        <v>1</v>
      </c>
      <c r="K204">
        <v>0</v>
      </c>
      <c r="L204">
        <v>0</v>
      </c>
      <c r="M204">
        <v>0</v>
      </c>
      <c r="N204" t="s">
        <v>3915</v>
      </c>
      <c r="O204" t="s">
        <v>3915</v>
      </c>
      <c r="P204" t="s">
        <v>3915</v>
      </c>
      <c r="Q204">
        <v>0</v>
      </c>
      <c r="R204" t="s">
        <v>101</v>
      </c>
      <c r="S204">
        <v>0</v>
      </c>
      <c r="T204">
        <v>0</v>
      </c>
      <c r="U204" t="s">
        <v>3915</v>
      </c>
      <c r="V204" t="s">
        <v>31</v>
      </c>
      <c r="W204">
        <v>0</v>
      </c>
    </row>
    <row r="205" spans="1:23" x14ac:dyDescent="0.25">
      <c r="A205" t="s">
        <v>5156</v>
      </c>
      <c r="B205" t="s">
        <v>1868</v>
      </c>
      <c r="C205" t="s">
        <v>1867</v>
      </c>
      <c r="D205" t="s">
        <v>4479</v>
      </c>
      <c r="E205" t="s">
        <v>3980</v>
      </c>
      <c r="F205" t="s">
        <v>232</v>
      </c>
      <c r="G205" t="s">
        <v>1406</v>
      </c>
      <c r="H205" s="6">
        <v>46022</v>
      </c>
      <c r="I205" t="s">
        <v>29</v>
      </c>
      <c r="J205">
        <v>3</v>
      </c>
      <c r="K205">
        <v>0</v>
      </c>
      <c r="L205">
        <v>0</v>
      </c>
      <c r="M205">
        <v>0</v>
      </c>
      <c r="N205" t="s">
        <v>3915</v>
      </c>
      <c r="O205" t="s">
        <v>3915</v>
      </c>
      <c r="P205" t="s">
        <v>3915</v>
      </c>
      <c r="Q205">
        <v>0</v>
      </c>
      <c r="R205" t="s">
        <v>30</v>
      </c>
      <c r="S205">
        <v>0</v>
      </c>
      <c r="T205">
        <v>0</v>
      </c>
      <c r="U205" t="s">
        <v>3915</v>
      </c>
      <c r="V205" t="s">
        <v>31</v>
      </c>
      <c r="W205">
        <v>0</v>
      </c>
    </row>
    <row r="206" spans="1:23" x14ac:dyDescent="0.25">
      <c r="A206" t="s">
        <v>4496</v>
      </c>
      <c r="B206" t="s">
        <v>1870</v>
      </c>
      <c r="C206" t="s">
        <v>1869</v>
      </c>
      <c r="D206" t="s">
        <v>4479</v>
      </c>
      <c r="E206" t="s">
        <v>3980</v>
      </c>
      <c r="F206" t="s">
        <v>232</v>
      </c>
      <c r="G206" t="s">
        <v>1406</v>
      </c>
      <c r="H206" s="6">
        <v>46022</v>
      </c>
      <c r="I206" t="s">
        <v>29</v>
      </c>
      <c r="J206">
        <v>73</v>
      </c>
      <c r="K206">
        <v>0</v>
      </c>
      <c r="L206">
        <v>0</v>
      </c>
      <c r="M206">
        <v>0</v>
      </c>
      <c r="N206" t="s">
        <v>3915</v>
      </c>
      <c r="O206" t="s">
        <v>3915</v>
      </c>
      <c r="P206" t="s">
        <v>3915</v>
      </c>
      <c r="Q206">
        <v>0</v>
      </c>
      <c r="R206" t="s">
        <v>30</v>
      </c>
      <c r="S206">
        <v>0</v>
      </c>
      <c r="T206">
        <v>0</v>
      </c>
      <c r="U206" t="s">
        <v>3915</v>
      </c>
      <c r="V206" t="s">
        <v>31</v>
      </c>
      <c r="W206">
        <v>0</v>
      </c>
    </row>
    <row r="207" spans="1:23" x14ac:dyDescent="0.25">
      <c r="A207" t="s">
        <v>3979</v>
      </c>
      <c r="B207" t="s">
        <v>230</v>
      </c>
      <c r="C207" t="s">
        <v>231</v>
      </c>
      <c r="D207" t="s">
        <v>4479</v>
      </c>
      <c r="E207" t="s">
        <v>3980</v>
      </c>
      <c r="F207" t="s">
        <v>232</v>
      </c>
      <c r="G207" t="s">
        <v>1406</v>
      </c>
      <c r="H207" s="6">
        <v>46022</v>
      </c>
      <c r="I207" t="s">
        <v>29</v>
      </c>
      <c r="J207">
        <v>4</v>
      </c>
      <c r="K207">
        <v>0</v>
      </c>
      <c r="L207">
        <v>0</v>
      </c>
      <c r="M207">
        <v>0</v>
      </c>
      <c r="N207" t="s">
        <v>3915</v>
      </c>
      <c r="O207" t="s">
        <v>3915</v>
      </c>
      <c r="P207" t="s">
        <v>3915</v>
      </c>
      <c r="Q207">
        <v>0</v>
      </c>
      <c r="R207" t="s">
        <v>30</v>
      </c>
      <c r="S207">
        <v>0</v>
      </c>
      <c r="T207">
        <v>0</v>
      </c>
      <c r="U207" t="s">
        <v>3915</v>
      </c>
      <c r="V207" t="s">
        <v>31</v>
      </c>
      <c r="W207">
        <v>0</v>
      </c>
    </row>
    <row r="208" spans="1:23" x14ac:dyDescent="0.25">
      <c r="A208" t="s">
        <v>4498</v>
      </c>
      <c r="B208" t="s">
        <v>1872</v>
      </c>
      <c r="C208" t="s">
        <v>1871</v>
      </c>
      <c r="D208" t="s">
        <v>4479</v>
      </c>
      <c r="E208" t="s">
        <v>3980</v>
      </c>
      <c r="F208" t="s">
        <v>232</v>
      </c>
      <c r="G208" t="s">
        <v>1406</v>
      </c>
      <c r="H208" s="6">
        <v>46022</v>
      </c>
      <c r="I208" t="s">
        <v>29</v>
      </c>
      <c r="J208">
        <v>40</v>
      </c>
      <c r="K208">
        <v>0</v>
      </c>
      <c r="L208">
        <v>0</v>
      </c>
      <c r="M208">
        <v>0</v>
      </c>
      <c r="N208" t="s">
        <v>3915</v>
      </c>
      <c r="O208" t="s">
        <v>3915</v>
      </c>
      <c r="P208" t="s">
        <v>3915</v>
      </c>
      <c r="Q208">
        <v>0</v>
      </c>
      <c r="R208" t="s">
        <v>30</v>
      </c>
      <c r="S208">
        <v>0</v>
      </c>
      <c r="T208">
        <v>0</v>
      </c>
      <c r="U208" t="s">
        <v>3915</v>
      </c>
      <c r="V208" t="s">
        <v>31</v>
      </c>
      <c r="W208">
        <v>0</v>
      </c>
    </row>
    <row r="209" spans="1:23" x14ac:dyDescent="0.25">
      <c r="A209" t="s">
        <v>5157</v>
      </c>
      <c r="B209" t="s">
        <v>1874</v>
      </c>
      <c r="C209" t="s">
        <v>1873</v>
      </c>
      <c r="D209" t="s">
        <v>4479</v>
      </c>
      <c r="E209" t="s">
        <v>3980</v>
      </c>
      <c r="F209" t="s">
        <v>232</v>
      </c>
      <c r="G209" t="s">
        <v>1406</v>
      </c>
      <c r="H209" s="6">
        <v>46022</v>
      </c>
      <c r="I209" t="s">
        <v>29</v>
      </c>
      <c r="J209">
        <v>30</v>
      </c>
      <c r="K209">
        <v>0</v>
      </c>
      <c r="L209">
        <v>0</v>
      </c>
      <c r="M209">
        <v>0</v>
      </c>
      <c r="N209" t="s">
        <v>3915</v>
      </c>
      <c r="O209" t="s">
        <v>3915</v>
      </c>
      <c r="P209" t="s">
        <v>3915</v>
      </c>
      <c r="Q209">
        <v>0</v>
      </c>
      <c r="R209" t="s">
        <v>30</v>
      </c>
      <c r="S209">
        <v>0</v>
      </c>
      <c r="T209">
        <v>0</v>
      </c>
      <c r="U209" t="s">
        <v>3915</v>
      </c>
      <c r="V209" t="s">
        <v>31</v>
      </c>
      <c r="W209">
        <v>0</v>
      </c>
    </row>
    <row r="210" spans="1:23" x14ac:dyDescent="0.25">
      <c r="A210" t="s">
        <v>5158</v>
      </c>
      <c r="B210" t="s">
        <v>1876</v>
      </c>
      <c r="C210" t="s">
        <v>1875</v>
      </c>
      <c r="D210" t="s">
        <v>4479</v>
      </c>
      <c r="E210" t="s">
        <v>3980</v>
      </c>
      <c r="F210" t="s">
        <v>232</v>
      </c>
      <c r="G210" t="s">
        <v>1406</v>
      </c>
      <c r="H210" s="6">
        <v>46022</v>
      </c>
      <c r="I210" t="s">
        <v>29</v>
      </c>
      <c r="J210">
        <v>4</v>
      </c>
      <c r="K210">
        <v>0</v>
      </c>
      <c r="L210">
        <v>0</v>
      </c>
      <c r="M210">
        <v>0</v>
      </c>
      <c r="N210" t="s">
        <v>3915</v>
      </c>
      <c r="O210" t="s">
        <v>3915</v>
      </c>
      <c r="P210" t="s">
        <v>3915</v>
      </c>
      <c r="Q210">
        <v>0</v>
      </c>
      <c r="R210" t="s">
        <v>30</v>
      </c>
      <c r="S210">
        <v>0</v>
      </c>
      <c r="T210">
        <v>0</v>
      </c>
      <c r="U210" t="s">
        <v>3915</v>
      </c>
      <c r="V210" t="s">
        <v>31</v>
      </c>
      <c r="W210">
        <v>0</v>
      </c>
    </row>
    <row r="211" spans="1:23" x14ac:dyDescent="0.25">
      <c r="A211" t="s">
        <v>3981</v>
      </c>
      <c r="B211" t="s">
        <v>233</v>
      </c>
      <c r="C211" t="s">
        <v>234</v>
      </c>
      <c r="D211" t="s">
        <v>4479</v>
      </c>
      <c r="E211" t="s">
        <v>3980</v>
      </c>
      <c r="F211" t="s">
        <v>232</v>
      </c>
      <c r="G211" t="s">
        <v>1406</v>
      </c>
      <c r="H211" s="6">
        <v>46022</v>
      </c>
      <c r="I211" t="s">
        <v>29</v>
      </c>
      <c r="J211">
        <v>55</v>
      </c>
      <c r="K211">
        <v>0</v>
      </c>
      <c r="L211">
        <v>0</v>
      </c>
      <c r="M211">
        <v>0</v>
      </c>
      <c r="N211" t="s">
        <v>3915</v>
      </c>
      <c r="O211" t="s">
        <v>3915</v>
      </c>
      <c r="P211" t="s">
        <v>3915</v>
      </c>
      <c r="Q211">
        <v>0</v>
      </c>
      <c r="R211" t="s">
        <v>30</v>
      </c>
      <c r="S211">
        <v>0</v>
      </c>
      <c r="T211">
        <v>0</v>
      </c>
      <c r="U211" t="s">
        <v>3915</v>
      </c>
      <c r="V211" t="s">
        <v>31</v>
      </c>
      <c r="W211">
        <v>0</v>
      </c>
    </row>
    <row r="212" spans="1:23" x14ac:dyDescent="0.25">
      <c r="A212" t="s">
        <v>3982</v>
      </c>
      <c r="B212" t="s">
        <v>235</v>
      </c>
      <c r="C212" t="s">
        <v>236</v>
      </c>
      <c r="D212" t="s">
        <v>4479</v>
      </c>
      <c r="E212" t="s">
        <v>3980</v>
      </c>
      <c r="F212" t="s">
        <v>232</v>
      </c>
      <c r="G212" t="s">
        <v>1406</v>
      </c>
      <c r="H212" s="6">
        <v>46022</v>
      </c>
      <c r="I212" t="s">
        <v>29</v>
      </c>
      <c r="J212">
        <v>24</v>
      </c>
      <c r="K212">
        <v>0</v>
      </c>
      <c r="L212">
        <v>0</v>
      </c>
      <c r="M212">
        <v>0</v>
      </c>
      <c r="N212" t="s">
        <v>3915</v>
      </c>
      <c r="O212" t="s">
        <v>3915</v>
      </c>
      <c r="P212" t="s">
        <v>3915</v>
      </c>
      <c r="Q212">
        <v>0</v>
      </c>
      <c r="R212" t="s">
        <v>30</v>
      </c>
      <c r="S212">
        <v>0</v>
      </c>
      <c r="T212">
        <v>0</v>
      </c>
      <c r="U212" t="s">
        <v>3915</v>
      </c>
      <c r="V212" t="s">
        <v>31</v>
      </c>
      <c r="W212">
        <v>0</v>
      </c>
    </row>
    <row r="213" spans="1:23" x14ac:dyDescent="0.25">
      <c r="A213" t="s">
        <v>5159</v>
      </c>
      <c r="B213" t="s">
        <v>1878</v>
      </c>
      <c r="C213" t="s">
        <v>1877</v>
      </c>
      <c r="D213" t="s">
        <v>4479</v>
      </c>
      <c r="E213" t="s">
        <v>3980</v>
      </c>
      <c r="F213" t="s">
        <v>232</v>
      </c>
      <c r="G213" t="s">
        <v>1406</v>
      </c>
      <c r="H213" s="6">
        <v>46022</v>
      </c>
      <c r="I213" t="s">
        <v>29</v>
      </c>
      <c r="J213">
        <v>40</v>
      </c>
      <c r="K213">
        <v>0</v>
      </c>
      <c r="L213">
        <v>0</v>
      </c>
      <c r="M213">
        <v>0</v>
      </c>
      <c r="N213" t="s">
        <v>3915</v>
      </c>
      <c r="O213" t="s">
        <v>3915</v>
      </c>
      <c r="P213" t="s">
        <v>3915</v>
      </c>
      <c r="Q213">
        <v>0</v>
      </c>
      <c r="R213" t="s">
        <v>30</v>
      </c>
      <c r="S213">
        <v>0</v>
      </c>
      <c r="T213">
        <v>0</v>
      </c>
      <c r="U213" t="s">
        <v>3915</v>
      </c>
      <c r="V213" t="s">
        <v>31</v>
      </c>
      <c r="W213">
        <v>0</v>
      </c>
    </row>
    <row r="214" spans="1:23" x14ac:dyDescent="0.25">
      <c r="A214" t="s">
        <v>5160</v>
      </c>
      <c r="B214" t="s">
        <v>1880</v>
      </c>
      <c r="C214" t="s">
        <v>1879</v>
      </c>
      <c r="D214" t="s">
        <v>4479</v>
      </c>
      <c r="E214" t="s">
        <v>3980</v>
      </c>
      <c r="F214" t="s">
        <v>232</v>
      </c>
      <c r="G214" t="s">
        <v>1406</v>
      </c>
      <c r="H214" s="6">
        <v>46022</v>
      </c>
      <c r="I214" t="s">
        <v>29</v>
      </c>
      <c r="J214">
        <v>1</v>
      </c>
      <c r="K214">
        <v>0</v>
      </c>
      <c r="L214">
        <v>0</v>
      </c>
      <c r="M214">
        <v>0</v>
      </c>
      <c r="N214" t="s">
        <v>3915</v>
      </c>
      <c r="O214" t="s">
        <v>3915</v>
      </c>
      <c r="P214" t="s">
        <v>3915</v>
      </c>
      <c r="Q214">
        <v>0</v>
      </c>
      <c r="R214" t="s">
        <v>30</v>
      </c>
      <c r="S214">
        <v>0</v>
      </c>
      <c r="T214">
        <v>0</v>
      </c>
      <c r="U214" t="s">
        <v>3915</v>
      </c>
      <c r="V214" t="s">
        <v>31</v>
      </c>
      <c r="W214">
        <v>0</v>
      </c>
    </row>
    <row r="215" spans="1:23" x14ac:dyDescent="0.25">
      <c r="A215" t="s">
        <v>4551</v>
      </c>
      <c r="B215" t="s">
        <v>1882</v>
      </c>
      <c r="C215" t="s">
        <v>1881</v>
      </c>
      <c r="D215" t="s">
        <v>4479</v>
      </c>
      <c r="E215" t="s">
        <v>3980</v>
      </c>
      <c r="F215" t="s">
        <v>232</v>
      </c>
      <c r="G215" t="s">
        <v>1406</v>
      </c>
      <c r="H215" s="6">
        <v>46022</v>
      </c>
      <c r="I215" t="s">
        <v>29</v>
      </c>
      <c r="J215">
        <v>46</v>
      </c>
      <c r="K215">
        <v>0</v>
      </c>
      <c r="L215">
        <v>0</v>
      </c>
      <c r="M215">
        <v>0</v>
      </c>
      <c r="N215" t="s">
        <v>3915</v>
      </c>
      <c r="O215" t="s">
        <v>3915</v>
      </c>
      <c r="P215" t="s">
        <v>3915</v>
      </c>
      <c r="Q215">
        <v>0</v>
      </c>
      <c r="R215" t="s">
        <v>30</v>
      </c>
      <c r="S215">
        <v>0</v>
      </c>
      <c r="T215">
        <v>0</v>
      </c>
      <c r="U215" t="s">
        <v>3915</v>
      </c>
      <c r="V215" t="s">
        <v>31</v>
      </c>
      <c r="W215">
        <v>0</v>
      </c>
    </row>
    <row r="216" spans="1:23" x14ac:dyDescent="0.25">
      <c r="A216" t="s">
        <v>5161</v>
      </c>
      <c r="B216" t="s">
        <v>1884</v>
      </c>
      <c r="C216" t="s">
        <v>1883</v>
      </c>
      <c r="D216" t="s">
        <v>4479</v>
      </c>
      <c r="E216" t="s">
        <v>3980</v>
      </c>
      <c r="F216" t="s">
        <v>232</v>
      </c>
      <c r="G216" t="s">
        <v>1406</v>
      </c>
      <c r="H216" s="6">
        <v>46022</v>
      </c>
      <c r="I216" t="s">
        <v>29</v>
      </c>
      <c r="J216">
        <v>2186</v>
      </c>
      <c r="K216">
        <v>0</v>
      </c>
      <c r="L216">
        <v>0</v>
      </c>
      <c r="M216">
        <v>0</v>
      </c>
      <c r="N216" t="s">
        <v>3915</v>
      </c>
      <c r="O216" t="s">
        <v>3915</v>
      </c>
      <c r="P216" t="s">
        <v>3915</v>
      </c>
      <c r="Q216">
        <v>0</v>
      </c>
      <c r="R216" t="s">
        <v>30</v>
      </c>
      <c r="S216">
        <v>0</v>
      </c>
      <c r="T216">
        <v>0</v>
      </c>
      <c r="U216" t="s">
        <v>3915</v>
      </c>
      <c r="V216" t="s">
        <v>31</v>
      </c>
      <c r="W216">
        <v>0</v>
      </c>
    </row>
    <row r="217" spans="1:23" x14ac:dyDescent="0.25">
      <c r="A217" t="s">
        <v>4941</v>
      </c>
      <c r="B217" t="s">
        <v>1886</v>
      </c>
      <c r="C217" t="s">
        <v>1885</v>
      </c>
      <c r="D217" t="s">
        <v>4479</v>
      </c>
      <c r="E217" t="s">
        <v>3980</v>
      </c>
      <c r="F217" t="s">
        <v>232</v>
      </c>
      <c r="G217" t="s">
        <v>1406</v>
      </c>
      <c r="H217" s="6">
        <v>46022</v>
      </c>
      <c r="I217" t="s">
        <v>29</v>
      </c>
      <c r="J217">
        <v>24</v>
      </c>
      <c r="K217">
        <v>0</v>
      </c>
      <c r="L217">
        <v>0</v>
      </c>
      <c r="M217">
        <v>0</v>
      </c>
      <c r="N217" t="s">
        <v>3915</v>
      </c>
      <c r="O217" t="s">
        <v>3915</v>
      </c>
      <c r="P217" t="s">
        <v>3915</v>
      </c>
      <c r="Q217">
        <v>0</v>
      </c>
      <c r="R217" t="s">
        <v>30</v>
      </c>
      <c r="S217">
        <v>0</v>
      </c>
      <c r="T217">
        <v>0</v>
      </c>
      <c r="U217" t="s">
        <v>3915</v>
      </c>
      <c r="V217" t="s">
        <v>31</v>
      </c>
      <c r="W217">
        <v>0</v>
      </c>
    </row>
    <row r="218" spans="1:23" x14ac:dyDescent="0.25">
      <c r="A218" t="s">
        <v>5162</v>
      </c>
      <c r="B218" t="s">
        <v>1888</v>
      </c>
      <c r="C218" t="s">
        <v>1887</v>
      </c>
      <c r="D218" t="s">
        <v>4479</v>
      </c>
      <c r="E218" t="s">
        <v>3980</v>
      </c>
      <c r="F218" t="s">
        <v>232</v>
      </c>
      <c r="G218" t="s">
        <v>1406</v>
      </c>
      <c r="H218" s="6">
        <v>46022</v>
      </c>
      <c r="I218" t="s">
        <v>29</v>
      </c>
      <c r="J218">
        <v>24</v>
      </c>
      <c r="K218">
        <v>0</v>
      </c>
      <c r="L218">
        <v>0</v>
      </c>
      <c r="M218">
        <v>0</v>
      </c>
      <c r="N218" t="s">
        <v>3915</v>
      </c>
      <c r="O218" t="s">
        <v>3915</v>
      </c>
      <c r="P218" t="s">
        <v>3915</v>
      </c>
      <c r="Q218">
        <v>0</v>
      </c>
      <c r="R218" t="s">
        <v>30</v>
      </c>
      <c r="S218">
        <v>0</v>
      </c>
      <c r="T218">
        <v>0</v>
      </c>
      <c r="U218" t="s">
        <v>3915</v>
      </c>
      <c r="V218" t="s">
        <v>31</v>
      </c>
      <c r="W218">
        <v>0</v>
      </c>
    </row>
    <row r="219" spans="1:23" x14ac:dyDescent="0.25">
      <c r="A219" t="s">
        <v>4553</v>
      </c>
      <c r="B219" t="s">
        <v>1890</v>
      </c>
      <c r="C219" t="s">
        <v>1889</v>
      </c>
      <c r="D219" t="s">
        <v>4479</v>
      </c>
      <c r="E219" t="s">
        <v>3980</v>
      </c>
      <c r="F219" t="s">
        <v>232</v>
      </c>
      <c r="G219" t="s">
        <v>1406</v>
      </c>
      <c r="H219" s="6">
        <v>46022</v>
      </c>
      <c r="I219" t="s">
        <v>29</v>
      </c>
      <c r="J219">
        <v>39</v>
      </c>
      <c r="K219">
        <v>0</v>
      </c>
      <c r="L219">
        <v>0</v>
      </c>
      <c r="M219">
        <v>0</v>
      </c>
      <c r="N219" t="s">
        <v>3915</v>
      </c>
      <c r="O219" t="s">
        <v>3915</v>
      </c>
      <c r="P219" t="s">
        <v>3915</v>
      </c>
      <c r="Q219">
        <v>0</v>
      </c>
      <c r="R219" t="s">
        <v>30</v>
      </c>
      <c r="S219">
        <v>0</v>
      </c>
      <c r="T219">
        <v>0</v>
      </c>
      <c r="U219" t="s">
        <v>3915</v>
      </c>
      <c r="V219" t="s">
        <v>31</v>
      </c>
      <c r="W219">
        <v>0</v>
      </c>
    </row>
    <row r="220" spans="1:23" x14ac:dyDescent="0.25">
      <c r="A220" t="s">
        <v>5163</v>
      </c>
      <c r="B220" t="s">
        <v>1892</v>
      </c>
      <c r="C220" t="s">
        <v>1891</v>
      </c>
      <c r="D220" t="s">
        <v>4479</v>
      </c>
      <c r="E220" t="s">
        <v>3980</v>
      </c>
      <c r="F220" t="s">
        <v>232</v>
      </c>
      <c r="G220" t="s">
        <v>1406</v>
      </c>
      <c r="H220" s="6">
        <v>46022</v>
      </c>
      <c r="I220" t="s">
        <v>29</v>
      </c>
      <c r="J220">
        <v>6</v>
      </c>
      <c r="K220">
        <v>0</v>
      </c>
      <c r="L220">
        <v>0</v>
      </c>
      <c r="M220">
        <v>0</v>
      </c>
      <c r="N220" t="s">
        <v>3915</v>
      </c>
      <c r="O220" t="s">
        <v>3915</v>
      </c>
      <c r="P220" t="s">
        <v>3915</v>
      </c>
      <c r="Q220">
        <v>0</v>
      </c>
      <c r="R220" t="s">
        <v>30</v>
      </c>
      <c r="S220">
        <v>0</v>
      </c>
      <c r="T220">
        <v>0</v>
      </c>
      <c r="U220" t="s">
        <v>3915</v>
      </c>
      <c r="V220" t="s">
        <v>31</v>
      </c>
      <c r="W220">
        <v>0</v>
      </c>
    </row>
    <row r="221" spans="1:23" x14ac:dyDescent="0.25">
      <c r="A221" t="s">
        <v>4552</v>
      </c>
      <c r="B221" t="s">
        <v>1894</v>
      </c>
      <c r="C221" t="s">
        <v>1893</v>
      </c>
      <c r="D221" t="s">
        <v>4479</v>
      </c>
      <c r="E221" t="s">
        <v>3980</v>
      </c>
      <c r="F221" t="s">
        <v>232</v>
      </c>
      <c r="G221" t="s">
        <v>1406</v>
      </c>
      <c r="H221" s="6">
        <v>46022</v>
      </c>
      <c r="I221" t="s">
        <v>29</v>
      </c>
      <c r="J221">
        <v>6</v>
      </c>
      <c r="K221">
        <v>0</v>
      </c>
      <c r="L221">
        <v>0</v>
      </c>
      <c r="M221">
        <v>0</v>
      </c>
      <c r="N221" t="s">
        <v>3915</v>
      </c>
      <c r="O221" t="s">
        <v>3915</v>
      </c>
      <c r="P221" t="s">
        <v>3915</v>
      </c>
      <c r="Q221">
        <v>0</v>
      </c>
      <c r="R221" t="s">
        <v>30</v>
      </c>
      <c r="S221">
        <v>0</v>
      </c>
      <c r="T221">
        <v>0</v>
      </c>
      <c r="U221" t="s">
        <v>3915</v>
      </c>
      <c r="V221" t="s">
        <v>31</v>
      </c>
      <c r="W221">
        <v>0</v>
      </c>
    </row>
    <row r="222" spans="1:23" x14ac:dyDescent="0.25">
      <c r="A222" t="s">
        <v>5164</v>
      </c>
      <c r="B222" t="s">
        <v>1896</v>
      </c>
      <c r="C222" t="s">
        <v>1895</v>
      </c>
      <c r="D222" t="s">
        <v>4479</v>
      </c>
      <c r="E222" t="s">
        <v>3980</v>
      </c>
      <c r="F222" t="s">
        <v>232</v>
      </c>
      <c r="G222" t="s">
        <v>1406</v>
      </c>
      <c r="H222" s="6">
        <v>46022</v>
      </c>
      <c r="I222" t="s">
        <v>29</v>
      </c>
      <c r="J222">
        <v>10</v>
      </c>
      <c r="K222">
        <v>0</v>
      </c>
      <c r="L222">
        <v>0</v>
      </c>
      <c r="M222">
        <v>0</v>
      </c>
      <c r="N222" t="s">
        <v>3915</v>
      </c>
      <c r="O222" t="s">
        <v>3915</v>
      </c>
      <c r="P222" t="s">
        <v>3915</v>
      </c>
      <c r="Q222">
        <v>0</v>
      </c>
      <c r="R222" t="s">
        <v>30</v>
      </c>
      <c r="S222">
        <v>0</v>
      </c>
      <c r="T222">
        <v>0</v>
      </c>
      <c r="U222" t="s">
        <v>3915</v>
      </c>
      <c r="V222" t="s">
        <v>31</v>
      </c>
      <c r="W222">
        <v>0</v>
      </c>
    </row>
    <row r="223" spans="1:23" x14ac:dyDescent="0.25">
      <c r="A223" t="s">
        <v>5165</v>
      </c>
      <c r="B223" t="s">
        <v>1898</v>
      </c>
      <c r="C223" t="s">
        <v>1897</v>
      </c>
      <c r="D223" t="s">
        <v>4479</v>
      </c>
      <c r="E223" t="s">
        <v>3980</v>
      </c>
      <c r="F223" t="s">
        <v>232</v>
      </c>
      <c r="G223" t="s">
        <v>1406</v>
      </c>
      <c r="H223" s="6">
        <v>46022</v>
      </c>
      <c r="I223" t="s">
        <v>29</v>
      </c>
      <c r="J223">
        <v>10</v>
      </c>
      <c r="K223">
        <v>0</v>
      </c>
      <c r="L223">
        <v>0</v>
      </c>
      <c r="M223">
        <v>0</v>
      </c>
      <c r="N223" t="s">
        <v>3915</v>
      </c>
      <c r="O223" t="s">
        <v>3915</v>
      </c>
      <c r="P223" t="s">
        <v>3915</v>
      </c>
      <c r="Q223">
        <v>0</v>
      </c>
      <c r="R223" t="s">
        <v>30</v>
      </c>
      <c r="S223">
        <v>0</v>
      </c>
      <c r="T223">
        <v>0</v>
      </c>
      <c r="U223" t="s">
        <v>3915</v>
      </c>
      <c r="V223" t="s">
        <v>31</v>
      </c>
      <c r="W223">
        <v>0</v>
      </c>
    </row>
    <row r="224" spans="1:23" x14ac:dyDescent="0.25">
      <c r="A224" t="s">
        <v>5166</v>
      </c>
      <c r="B224" t="s">
        <v>1440</v>
      </c>
      <c r="C224" t="s">
        <v>1439</v>
      </c>
      <c r="D224" t="s">
        <v>4479</v>
      </c>
      <c r="E224" t="s">
        <v>3980</v>
      </c>
      <c r="F224" t="s">
        <v>232</v>
      </c>
      <c r="G224" t="s">
        <v>1406</v>
      </c>
      <c r="H224" s="6">
        <v>46022</v>
      </c>
      <c r="I224" t="s">
        <v>29</v>
      </c>
      <c r="J224">
        <v>1</v>
      </c>
      <c r="K224">
        <v>0</v>
      </c>
      <c r="L224">
        <v>0</v>
      </c>
      <c r="M224">
        <v>0</v>
      </c>
      <c r="N224" t="s">
        <v>3915</v>
      </c>
      <c r="O224" t="s">
        <v>3915</v>
      </c>
      <c r="P224" t="s">
        <v>3915</v>
      </c>
      <c r="Q224">
        <v>0</v>
      </c>
      <c r="R224" t="s">
        <v>30</v>
      </c>
      <c r="S224">
        <v>0</v>
      </c>
      <c r="T224">
        <v>0</v>
      </c>
      <c r="U224" t="s">
        <v>3915</v>
      </c>
      <c r="V224" t="s">
        <v>31</v>
      </c>
      <c r="W224">
        <v>0</v>
      </c>
    </row>
    <row r="225" spans="1:23" x14ac:dyDescent="0.25">
      <c r="A225" t="s">
        <v>5167</v>
      </c>
      <c r="B225" t="s">
        <v>1900</v>
      </c>
      <c r="C225" t="s">
        <v>1899</v>
      </c>
      <c r="D225" t="s">
        <v>4479</v>
      </c>
      <c r="E225" t="s">
        <v>3980</v>
      </c>
      <c r="F225" t="s">
        <v>232</v>
      </c>
      <c r="G225" t="s">
        <v>1406</v>
      </c>
      <c r="H225" s="6">
        <v>46022</v>
      </c>
      <c r="I225" t="s">
        <v>29</v>
      </c>
      <c r="J225">
        <v>8</v>
      </c>
      <c r="K225">
        <v>0</v>
      </c>
      <c r="L225">
        <v>0</v>
      </c>
      <c r="M225">
        <v>0</v>
      </c>
      <c r="N225" t="s">
        <v>3915</v>
      </c>
      <c r="O225" t="s">
        <v>3915</v>
      </c>
      <c r="P225" t="s">
        <v>3915</v>
      </c>
      <c r="Q225">
        <v>0</v>
      </c>
      <c r="R225" t="s">
        <v>30</v>
      </c>
      <c r="S225">
        <v>0</v>
      </c>
      <c r="T225">
        <v>0</v>
      </c>
      <c r="U225" t="s">
        <v>3915</v>
      </c>
      <c r="V225" t="s">
        <v>31</v>
      </c>
      <c r="W225">
        <v>0</v>
      </c>
    </row>
    <row r="226" spans="1:23" x14ac:dyDescent="0.25">
      <c r="A226" t="s">
        <v>5168</v>
      </c>
      <c r="B226" t="s">
        <v>1902</v>
      </c>
      <c r="C226" t="s">
        <v>1901</v>
      </c>
      <c r="D226" t="s">
        <v>4479</v>
      </c>
      <c r="E226" t="s">
        <v>3980</v>
      </c>
      <c r="F226" t="s">
        <v>232</v>
      </c>
      <c r="G226" t="s">
        <v>1406</v>
      </c>
      <c r="H226" s="6">
        <v>46022</v>
      </c>
      <c r="I226" t="s">
        <v>29</v>
      </c>
      <c r="J226">
        <v>37</v>
      </c>
      <c r="K226">
        <v>0</v>
      </c>
      <c r="L226">
        <v>0</v>
      </c>
      <c r="M226">
        <v>0</v>
      </c>
      <c r="N226" t="s">
        <v>3915</v>
      </c>
      <c r="O226" t="s">
        <v>3915</v>
      </c>
      <c r="P226" t="s">
        <v>3915</v>
      </c>
      <c r="Q226">
        <v>0</v>
      </c>
      <c r="R226" t="s">
        <v>30</v>
      </c>
      <c r="S226">
        <v>0</v>
      </c>
      <c r="T226">
        <v>0</v>
      </c>
      <c r="U226" t="s">
        <v>3915</v>
      </c>
      <c r="V226" t="s">
        <v>31</v>
      </c>
      <c r="W226">
        <v>0</v>
      </c>
    </row>
    <row r="227" spans="1:23" x14ac:dyDescent="0.25">
      <c r="A227" t="s">
        <v>5169</v>
      </c>
      <c r="B227" t="s">
        <v>1904</v>
      </c>
      <c r="C227" t="s">
        <v>1903</v>
      </c>
      <c r="D227" t="s">
        <v>4479</v>
      </c>
      <c r="E227" t="s">
        <v>3980</v>
      </c>
      <c r="F227" t="s">
        <v>232</v>
      </c>
      <c r="G227" t="s">
        <v>1406</v>
      </c>
      <c r="H227" s="6">
        <v>46022</v>
      </c>
      <c r="I227" t="s">
        <v>29</v>
      </c>
      <c r="J227">
        <v>3</v>
      </c>
      <c r="K227">
        <v>0</v>
      </c>
      <c r="L227">
        <v>0</v>
      </c>
      <c r="M227">
        <v>0</v>
      </c>
      <c r="N227" t="s">
        <v>3915</v>
      </c>
      <c r="O227" t="s">
        <v>3915</v>
      </c>
      <c r="P227" t="s">
        <v>3915</v>
      </c>
      <c r="Q227">
        <v>0</v>
      </c>
      <c r="R227" t="s">
        <v>30</v>
      </c>
      <c r="S227">
        <v>0</v>
      </c>
      <c r="T227">
        <v>0</v>
      </c>
      <c r="U227" t="s">
        <v>3915</v>
      </c>
      <c r="V227" t="s">
        <v>31</v>
      </c>
      <c r="W227">
        <v>0</v>
      </c>
    </row>
    <row r="228" spans="1:23" x14ac:dyDescent="0.25">
      <c r="A228" t="s">
        <v>5170</v>
      </c>
      <c r="B228" t="s">
        <v>1906</v>
      </c>
      <c r="C228" t="s">
        <v>1905</v>
      </c>
      <c r="D228" t="s">
        <v>4479</v>
      </c>
      <c r="E228" t="s">
        <v>3980</v>
      </c>
      <c r="F228" t="s">
        <v>232</v>
      </c>
      <c r="G228" t="s">
        <v>1406</v>
      </c>
      <c r="H228" s="6">
        <v>46022</v>
      </c>
      <c r="I228" t="s">
        <v>29</v>
      </c>
      <c r="J228">
        <v>6</v>
      </c>
      <c r="K228">
        <v>0</v>
      </c>
      <c r="L228">
        <v>0</v>
      </c>
      <c r="M228">
        <v>0</v>
      </c>
      <c r="N228" t="s">
        <v>3915</v>
      </c>
      <c r="O228" t="s">
        <v>3915</v>
      </c>
      <c r="P228" t="s">
        <v>3915</v>
      </c>
      <c r="Q228">
        <v>0</v>
      </c>
      <c r="R228" t="s">
        <v>30</v>
      </c>
      <c r="S228">
        <v>0</v>
      </c>
      <c r="T228">
        <v>0</v>
      </c>
      <c r="U228" t="s">
        <v>3915</v>
      </c>
      <c r="V228" t="s">
        <v>31</v>
      </c>
      <c r="W228">
        <v>0</v>
      </c>
    </row>
    <row r="229" spans="1:23" x14ac:dyDescent="0.25">
      <c r="A229" t="s">
        <v>5171</v>
      </c>
      <c r="B229" t="s">
        <v>1912</v>
      </c>
      <c r="C229" t="s">
        <v>1911</v>
      </c>
      <c r="D229" t="s">
        <v>4479</v>
      </c>
      <c r="E229" t="s">
        <v>3980</v>
      </c>
      <c r="F229" t="s">
        <v>232</v>
      </c>
      <c r="G229" t="s">
        <v>1406</v>
      </c>
      <c r="H229" s="6">
        <v>46022</v>
      </c>
      <c r="I229" t="s">
        <v>29</v>
      </c>
      <c r="J229">
        <v>27</v>
      </c>
      <c r="K229">
        <v>0</v>
      </c>
      <c r="L229">
        <v>0</v>
      </c>
      <c r="M229">
        <v>0</v>
      </c>
      <c r="N229" t="s">
        <v>3915</v>
      </c>
      <c r="O229" t="s">
        <v>3915</v>
      </c>
      <c r="P229" t="s">
        <v>3915</v>
      </c>
      <c r="Q229">
        <v>0</v>
      </c>
      <c r="R229" t="s">
        <v>30</v>
      </c>
      <c r="S229">
        <v>0</v>
      </c>
      <c r="T229">
        <v>0</v>
      </c>
      <c r="U229" t="s">
        <v>3915</v>
      </c>
      <c r="V229" t="s">
        <v>31</v>
      </c>
      <c r="W229">
        <v>0</v>
      </c>
    </row>
    <row r="230" spans="1:23" x14ac:dyDescent="0.25">
      <c r="A230" t="s">
        <v>5172</v>
      </c>
      <c r="B230" t="s">
        <v>1914</v>
      </c>
      <c r="C230" t="s">
        <v>1913</v>
      </c>
      <c r="D230" t="s">
        <v>4479</v>
      </c>
      <c r="E230" t="s">
        <v>3980</v>
      </c>
      <c r="F230" t="s">
        <v>232</v>
      </c>
      <c r="G230" t="s">
        <v>1406</v>
      </c>
      <c r="H230" s="6">
        <v>46022</v>
      </c>
      <c r="I230" t="s">
        <v>29</v>
      </c>
      <c r="J230">
        <v>150</v>
      </c>
      <c r="K230">
        <v>0</v>
      </c>
      <c r="L230">
        <v>0</v>
      </c>
      <c r="M230">
        <v>0</v>
      </c>
      <c r="N230" t="s">
        <v>3915</v>
      </c>
      <c r="O230" t="s">
        <v>3915</v>
      </c>
      <c r="P230" t="s">
        <v>3915</v>
      </c>
      <c r="Q230">
        <v>0</v>
      </c>
      <c r="R230" t="s">
        <v>30</v>
      </c>
      <c r="S230">
        <v>0</v>
      </c>
      <c r="T230">
        <v>0</v>
      </c>
      <c r="U230" t="s">
        <v>3915</v>
      </c>
      <c r="V230" t="s">
        <v>31</v>
      </c>
      <c r="W230">
        <v>0</v>
      </c>
    </row>
    <row r="231" spans="1:23" x14ac:dyDescent="0.25">
      <c r="A231" t="s">
        <v>5173</v>
      </c>
      <c r="B231" t="s">
        <v>1916</v>
      </c>
      <c r="C231" t="s">
        <v>1915</v>
      </c>
      <c r="D231" t="s">
        <v>4479</v>
      </c>
      <c r="E231" t="s">
        <v>3980</v>
      </c>
      <c r="F231" t="s">
        <v>232</v>
      </c>
      <c r="G231" t="s">
        <v>1406</v>
      </c>
      <c r="H231" s="6">
        <v>46022</v>
      </c>
      <c r="I231" t="s">
        <v>29</v>
      </c>
      <c r="J231">
        <v>46</v>
      </c>
      <c r="K231">
        <v>0</v>
      </c>
      <c r="L231">
        <v>0</v>
      </c>
      <c r="M231">
        <v>0</v>
      </c>
      <c r="N231" t="s">
        <v>3915</v>
      </c>
      <c r="O231" t="s">
        <v>3915</v>
      </c>
      <c r="P231" t="s">
        <v>3915</v>
      </c>
      <c r="Q231">
        <v>0</v>
      </c>
      <c r="R231" t="s">
        <v>30</v>
      </c>
      <c r="S231">
        <v>0</v>
      </c>
      <c r="T231">
        <v>0</v>
      </c>
      <c r="U231" t="s">
        <v>3915</v>
      </c>
      <c r="V231" t="s">
        <v>31</v>
      </c>
      <c r="W231">
        <v>0</v>
      </c>
    </row>
    <row r="232" spans="1:23" x14ac:dyDescent="0.25">
      <c r="A232" t="s">
        <v>4649</v>
      </c>
      <c r="B232" t="s">
        <v>1918</v>
      </c>
      <c r="C232" t="s">
        <v>1917</v>
      </c>
      <c r="D232" t="s">
        <v>4479</v>
      </c>
      <c r="E232" t="s">
        <v>3980</v>
      </c>
      <c r="F232" t="s">
        <v>232</v>
      </c>
      <c r="G232" t="s">
        <v>1406</v>
      </c>
      <c r="H232" s="6">
        <v>46022</v>
      </c>
      <c r="I232" t="s">
        <v>29</v>
      </c>
      <c r="J232">
        <v>22</v>
      </c>
      <c r="K232">
        <v>0</v>
      </c>
      <c r="L232">
        <v>0</v>
      </c>
      <c r="M232">
        <v>0</v>
      </c>
      <c r="N232" t="s">
        <v>3915</v>
      </c>
      <c r="O232" t="s">
        <v>3915</v>
      </c>
      <c r="P232" t="s">
        <v>3915</v>
      </c>
      <c r="Q232">
        <v>0</v>
      </c>
      <c r="R232" t="s">
        <v>30</v>
      </c>
      <c r="S232">
        <v>0</v>
      </c>
      <c r="T232">
        <v>0</v>
      </c>
      <c r="U232" t="s">
        <v>3915</v>
      </c>
      <c r="V232" t="s">
        <v>31</v>
      </c>
      <c r="W232">
        <v>0</v>
      </c>
    </row>
    <row r="233" spans="1:23" x14ac:dyDescent="0.25">
      <c r="A233" t="s">
        <v>3983</v>
      </c>
      <c r="B233" t="s">
        <v>237</v>
      </c>
      <c r="C233" t="s">
        <v>238</v>
      </c>
      <c r="D233" t="s">
        <v>4479</v>
      </c>
      <c r="E233" t="s">
        <v>3980</v>
      </c>
      <c r="F233" t="s">
        <v>232</v>
      </c>
      <c r="G233" t="s">
        <v>1406</v>
      </c>
      <c r="H233" s="6">
        <v>46022</v>
      </c>
      <c r="I233" t="s">
        <v>29</v>
      </c>
      <c r="J233">
        <v>6</v>
      </c>
      <c r="K233">
        <v>0</v>
      </c>
      <c r="L233">
        <v>0</v>
      </c>
      <c r="M233">
        <v>0</v>
      </c>
      <c r="N233" t="s">
        <v>3915</v>
      </c>
      <c r="O233" t="s">
        <v>3915</v>
      </c>
      <c r="P233" t="s">
        <v>3915</v>
      </c>
      <c r="Q233">
        <v>0</v>
      </c>
      <c r="R233" t="s">
        <v>30</v>
      </c>
      <c r="S233">
        <v>0</v>
      </c>
      <c r="T233">
        <v>0</v>
      </c>
      <c r="U233" t="s">
        <v>3915</v>
      </c>
      <c r="V233" t="s">
        <v>31</v>
      </c>
      <c r="W233">
        <v>0</v>
      </c>
    </row>
    <row r="234" spans="1:23" x14ac:dyDescent="0.25">
      <c r="A234" t="s">
        <v>5174</v>
      </c>
      <c r="B234" t="s">
        <v>1920</v>
      </c>
      <c r="C234" t="s">
        <v>1919</v>
      </c>
      <c r="D234" t="s">
        <v>4479</v>
      </c>
      <c r="E234" t="s">
        <v>3980</v>
      </c>
      <c r="F234" t="s">
        <v>232</v>
      </c>
      <c r="G234" t="s">
        <v>1406</v>
      </c>
      <c r="H234" s="6">
        <v>46022</v>
      </c>
      <c r="I234" t="s">
        <v>29</v>
      </c>
      <c r="J234">
        <v>6</v>
      </c>
      <c r="K234">
        <v>0</v>
      </c>
      <c r="L234">
        <v>0</v>
      </c>
      <c r="M234">
        <v>0</v>
      </c>
      <c r="N234" t="s">
        <v>3915</v>
      </c>
      <c r="O234" t="s">
        <v>3915</v>
      </c>
      <c r="P234" t="s">
        <v>3915</v>
      </c>
      <c r="Q234">
        <v>0</v>
      </c>
      <c r="R234" t="s">
        <v>30</v>
      </c>
      <c r="S234">
        <v>0</v>
      </c>
      <c r="T234">
        <v>0</v>
      </c>
      <c r="U234" t="s">
        <v>3915</v>
      </c>
      <c r="V234" t="s">
        <v>31</v>
      </c>
      <c r="W234">
        <v>0</v>
      </c>
    </row>
    <row r="235" spans="1:23" x14ac:dyDescent="0.25">
      <c r="A235" t="s">
        <v>4775</v>
      </c>
      <c r="B235" t="s">
        <v>1922</v>
      </c>
      <c r="C235" t="s">
        <v>1921</v>
      </c>
      <c r="D235" t="s">
        <v>4479</v>
      </c>
      <c r="E235" t="s">
        <v>3980</v>
      </c>
      <c r="F235" t="s">
        <v>232</v>
      </c>
      <c r="G235" t="s">
        <v>1406</v>
      </c>
      <c r="H235" s="6">
        <v>46022</v>
      </c>
      <c r="I235" t="s">
        <v>29</v>
      </c>
      <c r="J235">
        <v>6</v>
      </c>
      <c r="K235">
        <v>0</v>
      </c>
      <c r="L235">
        <v>0</v>
      </c>
      <c r="M235">
        <v>0</v>
      </c>
      <c r="N235" t="s">
        <v>3915</v>
      </c>
      <c r="O235" t="s">
        <v>3915</v>
      </c>
      <c r="P235" t="s">
        <v>3915</v>
      </c>
      <c r="Q235">
        <v>0</v>
      </c>
      <c r="R235" t="s">
        <v>30</v>
      </c>
      <c r="S235">
        <v>0</v>
      </c>
      <c r="T235">
        <v>0</v>
      </c>
      <c r="U235" t="s">
        <v>3915</v>
      </c>
      <c r="V235" t="s">
        <v>31</v>
      </c>
      <c r="W235">
        <v>0</v>
      </c>
    </row>
    <row r="236" spans="1:23" x14ac:dyDescent="0.25">
      <c r="A236" t="s">
        <v>5175</v>
      </c>
      <c r="B236" t="s">
        <v>1924</v>
      </c>
      <c r="C236" t="s">
        <v>1923</v>
      </c>
      <c r="D236" t="s">
        <v>4479</v>
      </c>
      <c r="E236" t="s">
        <v>3980</v>
      </c>
      <c r="F236" t="s">
        <v>232</v>
      </c>
      <c r="G236" t="s">
        <v>1406</v>
      </c>
      <c r="H236" s="6">
        <v>46022</v>
      </c>
      <c r="I236" t="s">
        <v>29</v>
      </c>
      <c r="J236">
        <v>50</v>
      </c>
      <c r="K236">
        <v>0</v>
      </c>
      <c r="L236">
        <v>0</v>
      </c>
      <c r="M236">
        <v>0</v>
      </c>
      <c r="N236" t="s">
        <v>3915</v>
      </c>
      <c r="O236" t="s">
        <v>3915</v>
      </c>
      <c r="P236" t="s">
        <v>3915</v>
      </c>
      <c r="Q236">
        <v>0</v>
      </c>
      <c r="R236" t="s">
        <v>30</v>
      </c>
      <c r="S236">
        <v>0</v>
      </c>
      <c r="T236">
        <v>0</v>
      </c>
      <c r="U236" t="s">
        <v>3915</v>
      </c>
      <c r="V236" t="s">
        <v>31</v>
      </c>
      <c r="W236">
        <v>0</v>
      </c>
    </row>
    <row r="237" spans="1:23" x14ac:dyDescent="0.25">
      <c r="A237" t="s">
        <v>3984</v>
      </c>
      <c r="B237" t="s">
        <v>239</v>
      </c>
      <c r="C237" t="s">
        <v>240</v>
      </c>
      <c r="D237" t="s">
        <v>4479</v>
      </c>
      <c r="E237" t="s">
        <v>3980</v>
      </c>
      <c r="F237" t="s">
        <v>232</v>
      </c>
      <c r="G237" t="s">
        <v>1406</v>
      </c>
      <c r="H237" s="6">
        <v>46022</v>
      </c>
      <c r="I237" t="s">
        <v>29</v>
      </c>
      <c r="J237">
        <v>1</v>
      </c>
      <c r="K237">
        <v>0</v>
      </c>
      <c r="L237">
        <v>0</v>
      </c>
      <c r="M237">
        <v>0</v>
      </c>
      <c r="N237" t="s">
        <v>3915</v>
      </c>
      <c r="O237" t="s">
        <v>3915</v>
      </c>
      <c r="P237" t="s">
        <v>3915</v>
      </c>
      <c r="Q237">
        <v>0</v>
      </c>
      <c r="R237" t="s">
        <v>30</v>
      </c>
      <c r="S237">
        <v>0</v>
      </c>
      <c r="T237">
        <v>0</v>
      </c>
      <c r="U237" t="s">
        <v>3915</v>
      </c>
      <c r="V237" t="s">
        <v>31</v>
      </c>
      <c r="W237">
        <v>0</v>
      </c>
    </row>
    <row r="238" spans="1:23" x14ac:dyDescent="0.25">
      <c r="A238" t="s">
        <v>3985</v>
      </c>
      <c r="B238" t="s">
        <v>241</v>
      </c>
      <c r="C238" t="s">
        <v>242</v>
      </c>
      <c r="D238" t="s">
        <v>4479</v>
      </c>
      <c r="E238" t="s">
        <v>3980</v>
      </c>
      <c r="F238" t="s">
        <v>232</v>
      </c>
      <c r="G238" t="s">
        <v>1406</v>
      </c>
      <c r="H238" s="6">
        <v>46022</v>
      </c>
      <c r="I238" t="s">
        <v>29</v>
      </c>
      <c r="J238">
        <v>17</v>
      </c>
      <c r="K238">
        <v>0</v>
      </c>
      <c r="L238">
        <v>0</v>
      </c>
      <c r="M238">
        <v>0</v>
      </c>
      <c r="N238" t="s">
        <v>3915</v>
      </c>
      <c r="O238" t="s">
        <v>3915</v>
      </c>
      <c r="P238" t="s">
        <v>3915</v>
      </c>
      <c r="Q238">
        <v>0</v>
      </c>
      <c r="R238" t="s">
        <v>30</v>
      </c>
      <c r="S238">
        <v>0</v>
      </c>
      <c r="T238">
        <v>0</v>
      </c>
      <c r="U238" t="s">
        <v>3915</v>
      </c>
      <c r="V238" t="s">
        <v>31</v>
      </c>
      <c r="W238">
        <v>0</v>
      </c>
    </row>
    <row r="239" spans="1:23" x14ac:dyDescent="0.25">
      <c r="A239" t="s">
        <v>3986</v>
      </c>
      <c r="B239" t="s">
        <v>243</v>
      </c>
      <c r="C239" t="s">
        <v>244</v>
      </c>
      <c r="D239" t="s">
        <v>4479</v>
      </c>
      <c r="E239" t="s">
        <v>3980</v>
      </c>
      <c r="F239" t="s">
        <v>232</v>
      </c>
      <c r="G239" t="s">
        <v>1406</v>
      </c>
      <c r="H239" s="6">
        <v>46022</v>
      </c>
      <c r="I239" t="s">
        <v>29</v>
      </c>
      <c r="J239">
        <v>0</v>
      </c>
      <c r="K239">
        <v>0</v>
      </c>
      <c r="L239">
        <v>0</v>
      </c>
      <c r="M239">
        <v>0</v>
      </c>
      <c r="N239" t="s">
        <v>3915</v>
      </c>
      <c r="O239" t="s">
        <v>3915</v>
      </c>
      <c r="P239" t="s">
        <v>3915</v>
      </c>
      <c r="Q239">
        <v>0</v>
      </c>
      <c r="R239" t="s">
        <v>30</v>
      </c>
      <c r="S239">
        <v>0</v>
      </c>
      <c r="T239">
        <v>0</v>
      </c>
      <c r="U239" t="s">
        <v>3915</v>
      </c>
      <c r="V239" t="s">
        <v>31</v>
      </c>
      <c r="W239">
        <v>0</v>
      </c>
    </row>
    <row r="240" spans="1:23" x14ac:dyDescent="0.25">
      <c r="A240" t="s">
        <v>3987</v>
      </c>
      <c r="B240" t="s">
        <v>245</v>
      </c>
      <c r="C240" t="s">
        <v>246</v>
      </c>
      <c r="D240" t="s">
        <v>4479</v>
      </c>
      <c r="E240" t="s">
        <v>3980</v>
      </c>
      <c r="F240" t="s">
        <v>232</v>
      </c>
      <c r="G240" t="s">
        <v>1406</v>
      </c>
      <c r="H240" s="6">
        <v>46022</v>
      </c>
      <c r="I240" t="s">
        <v>29</v>
      </c>
      <c r="J240">
        <v>0</v>
      </c>
      <c r="K240">
        <v>0</v>
      </c>
      <c r="L240">
        <v>0</v>
      </c>
      <c r="M240">
        <v>0</v>
      </c>
      <c r="N240" t="s">
        <v>3915</v>
      </c>
      <c r="O240" t="s">
        <v>3915</v>
      </c>
      <c r="P240" t="s">
        <v>3915</v>
      </c>
      <c r="Q240">
        <v>0</v>
      </c>
      <c r="R240" t="s">
        <v>30</v>
      </c>
      <c r="S240">
        <v>0</v>
      </c>
      <c r="T240">
        <v>0</v>
      </c>
      <c r="U240" t="s">
        <v>3915</v>
      </c>
      <c r="V240" t="s">
        <v>31</v>
      </c>
      <c r="W240">
        <v>0</v>
      </c>
    </row>
    <row r="241" spans="1:23" x14ac:dyDescent="0.25">
      <c r="A241" t="s">
        <v>3988</v>
      </c>
      <c r="B241" t="s">
        <v>247</v>
      </c>
      <c r="C241" t="s">
        <v>248</v>
      </c>
      <c r="D241" t="s">
        <v>4479</v>
      </c>
      <c r="E241" t="s">
        <v>3980</v>
      </c>
      <c r="F241" t="s">
        <v>232</v>
      </c>
      <c r="G241" t="s">
        <v>1406</v>
      </c>
      <c r="H241" s="6">
        <v>46022</v>
      </c>
      <c r="I241" t="s">
        <v>29</v>
      </c>
      <c r="J241">
        <v>11</v>
      </c>
      <c r="K241">
        <v>0</v>
      </c>
      <c r="L241">
        <v>0</v>
      </c>
      <c r="M241">
        <v>0</v>
      </c>
      <c r="N241" t="s">
        <v>3915</v>
      </c>
      <c r="O241" t="s">
        <v>3915</v>
      </c>
      <c r="P241" t="s">
        <v>3915</v>
      </c>
      <c r="Q241">
        <v>0</v>
      </c>
      <c r="R241" t="s">
        <v>30</v>
      </c>
      <c r="S241">
        <v>0</v>
      </c>
      <c r="T241">
        <v>0</v>
      </c>
      <c r="U241" t="s">
        <v>3915</v>
      </c>
      <c r="V241" t="s">
        <v>31</v>
      </c>
      <c r="W241">
        <v>0</v>
      </c>
    </row>
    <row r="242" spans="1:23" x14ac:dyDescent="0.25">
      <c r="A242" t="s">
        <v>3989</v>
      </c>
      <c r="B242" t="s">
        <v>249</v>
      </c>
      <c r="C242" t="s">
        <v>250</v>
      </c>
      <c r="D242" t="s">
        <v>4479</v>
      </c>
      <c r="E242" t="s">
        <v>3980</v>
      </c>
      <c r="F242" t="s">
        <v>232</v>
      </c>
      <c r="G242" t="s">
        <v>1406</v>
      </c>
      <c r="H242" s="6">
        <v>46022</v>
      </c>
      <c r="I242" t="s">
        <v>29</v>
      </c>
      <c r="J242">
        <v>26</v>
      </c>
      <c r="K242">
        <v>0</v>
      </c>
      <c r="L242">
        <v>0</v>
      </c>
      <c r="M242">
        <v>0</v>
      </c>
      <c r="N242" t="s">
        <v>3915</v>
      </c>
      <c r="O242" t="s">
        <v>3915</v>
      </c>
      <c r="P242" t="s">
        <v>3915</v>
      </c>
      <c r="Q242">
        <v>0</v>
      </c>
      <c r="R242" t="s">
        <v>30</v>
      </c>
      <c r="S242">
        <v>0</v>
      </c>
      <c r="T242">
        <v>0</v>
      </c>
      <c r="U242" t="s">
        <v>3915</v>
      </c>
      <c r="V242" t="s">
        <v>31</v>
      </c>
      <c r="W242">
        <v>0</v>
      </c>
    </row>
    <row r="243" spans="1:23" x14ac:dyDescent="0.25">
      <c r="A243" t="s">
        <v>3990</v>
      </c>
      <c r="B243" t="s">
        <v>251</v>
      </c>
      <c r="C243" t="s">
        <v>252</v>
      </c>
      <c r="D243" t="s">
        <v>4479</v>
      </c>
      <c r="E243" t="s">
        <v>3980</v>
      </c>
      <c r="F243" t="s">
        <v>232</v>
      </c>
      <c r="G243" t="s">
        <v>1406</v>
      </c>
      <c r="H243" s="6">
        <v>46022</v>
      </c>
      <c r="I243" t="s">
        <v>29</v>
      </c>
      <c r="J243">
        <v>0</v>
      </c>
      <c r="K243">
        <v>0</v>
      </c>
      <c r="L243">
        <v>0</v>
      </c>
      <c r="M243">
        <v>0</v>
      </c>
      <c r="N243" t="s">
        <v>3915</v>
      </c>
      <c r="O243" t="s">
        <v>3915</v>
      </c>
      <c r="P243" t="s">
        <v>3915</v>
      </c>
      <c r="Q243">
        <v>0</v>
      </c>
      <c r="R243" t="s">
        <v>30</v>
      </c>
      <c r="S243">
        <v>0</v>
      </c>
      <c r="T243">
        <v>0</v>
      </c>
      <c r="U243" t="s">
        <v>3915</v>
      </c>
      <c r="V243" t="s">
        <v>31</v>
      </c>
      <c r="W243">
        <v>0</v>
      </c>
    </row>
    <row r="244" spans="1:23" x14ac:dyDescent="0.25">
      <c r="A244" t="s">
        <v>3991</v>
      </c>
      <c r="B244" t="s">
        <v>253</v>
      </c>
      <c r="C244" t="s">
        <v>254</v>
      </c>
      <c r="D244" t="s">
        <v>4479</v>
      </c>
      <c r="E244" t="s">
        <v>3980</v>
      </c>
      <c r="F244" t="s">
        <v>232</v>
      </c>
      <c r="G244" t="s">
        <v>1406</v>
      </c>
      <c r="H244" s="6">
        <v>46022</v>
      </c>
      <c r="I244" t="s">
        <v>29</v>
      </c>
      <c r="J244">
        <v>0</v>
      </c>
      <c r="K244">
        <v>0</v>
      </c>
      <c r="L244">
        <v>0</v>
      </c>
      <c r="M244">
        <v>0</v>
      </c>
      <c r="N244" t="s">
        <v>3915</v>
      </c>
      <c r="O244" t="s">
        <v>3915</v>
      </c>
      <c r="P244" t="s">
        <v>3915</v>
      </c>
      <c r="Q244">
        <v>0</v>
      </c>
      <c r="R244" t="s">
        <v>30</v>
      </c>
      <c r="S244">
        <v>0</v>
      </c>
      <c r="T244">
        <v>0</v>
      </c>
      <c r="U244" t="s">
        <v>3915</v>
      </c>
      <c r="V244" t="s">
        <v>31</v>
      </c>
      <c r="W244">
        <v>0</v>
      </c>
    </row>
    <row r="245" spans="1:23" x14ac:dyDescent="0.25">
      <c r="A245" t="s">
        <v>3992</v>
      </c>
      <c r="B245" t="s">
        <v>255</v>
      </c>
      <c r="C245" t="s">
        <v>256</v>
      </c>
      <c r="D245" t="s">
        <v>4479</v>
      </c>
      <c r="E245" t="s">
        <v>3980</v>
      </c>
      <c r="F245" t="s">
        <v>232</v>
      </c>
      <c r="G245" t="s">
        <v>1406</v>
      </c>
      <c r="H245" s="6">
        <v>46022</v>
      </c>
      <c r="I245" t="s">
        <v>29</v>
      </c>
      <c r="J245">
        <v>16</v>
      </c>
      <c r="K245">
        <v>0</v>
      </c>
      <c r="L245">
        <v>0</v>
      </c>
      <c r="M245">
        <v>0</v>
      </c>
      <c r="N245" t="s">
        <v>3915</v>
      </c>
      <c r="O245" t="s">
        <v>3915</v>
      </c>
      <c r="P245" t="s">
        <v>3915</v>
      </c>
      <c r="Q245">
        <v>0</v>
      </c>
      <c r="R245" t="s">
        <v>30</v>
      </c>
      <c r="S245">
        <v>0</v>
      </c>
      <c r="T245">
        <v>0</v>
      </c>
      <c r="U245" t="s">
        <v>3915</v>
      </c>
      <c r="V245" t="s">
        <v>31</v>
      </c>
      <c r="W245">
        <v>0</v>
      </c>
    </row>
    <row r="246" spans="1:23" x14ac:dyDescent="0.25">
      <c r="A246" t="s">
        <v>3993</v>
      </c>
      <c r="B246" t="s">
        <v>257</v>
      </c>
      <c r="C246" t="s">
        <v>258</v>
      </c>
      <c r="D246" t="s">
        <v>4479</v>
      </c>
      <c r="E246" t="s">
        <v>3980</v>
      </c>
      <c r="F246" t="s">
        <v>232</v>
      </c>
      <c r="G246" t="s">
        <v>1406</v>
      </c>
      <c r="H246" s="6">
        <v>46022</v>
      </c>
      <c r="I246" t="s">
        <v>29</v>
      </c>
      <c r="J246">
        <v>5</v>
      </c>
      <c r="K246">
        <v>0</v>
      </c>
      <c r="L246">
        <v>0</v>
      </c>
      <c r="M246">
        <v>0</v>
      </c>
      <c r="N246" t="s">
        <v>3915</v>
      </c>
      <c r="O246" t="s">
        <v>3915</v>
      </c>
      <c r="P246" t="s">
        <v>3915</v>
      </c>
      <c r="Q246">
        <v>0</v>
      </c>
      <c r="R246" t="s">
        <v>30</v>
      </c>
      <c r="S246">
        <v>0</v>
      </c>
      <c r="T246">
        <v>0</v>
      </c>
      <c r="U246" t="s">
        <v>3915</v>
      </c>
      <c r="V246" t="s">
        <v>31</v>
      </c>
      <c r="W246">
        <v>0</v>
      </c>
    </row>
    <row r="247" spans="1:23" x14ac:dyDescent="0.25">
      <c r="A247" t="s">
        <v>3994</v>
      </c>
      <c r="B247" t="s">
        <v>259</v>
      </c>
      <c r="C247" t="s">
        <v>260</v>
      </c>
      <c r="D247" t="s">
        <v>4479</v>
      </c>
      <c r="E247" t="s">
        <v>3980</v>
      </c>
      <c r="F247" t="s">
        <v>232</v>
      </c>
      <c r="G247" t="s">
        <v>1406</v>
      </c>
      <c r="H247" s="6">
        <v>46022</v>
      </c>
      <c r="I247" t="s">
        <v>29</v>
      </c>
      <c r="J247">
        <v>0</v>
      </c>
      <c r="K247">
        <v>0</v>
      </c>
      <c r="L247">
        <v>0</v>
      </c>
      <c r="M247">
        <v>0</v>
      </c>
      <c r="N247" t="s">
        <v>3915</v>
      </c>
      <c r="O247" t="s">
        <v>3915</v>
      </c>
      <c r="P247" t="s">
        <v>3915</v>
      </c>
      <c r="Q247">
        <v>0</v>
      </c>
      <c r="R247" t="s">
        <v>30</v>
      </c>
      <c r="S247">
        <v>0</v>
      </c>
      <c r="T247">
        <v>0</v>
      </c>
      <c r="U247" t="s">
        <v>3915</v>
      </c>
      <c r="V247" t="s">
        <v>31</v>
      </c>
      <c r="W247">
        <v>0</v>
      </c>
    </row>
    <row r="248" spans="1:23" x14ac:dyDescent="0.25">
      <c r="A248" t="s">
        <v>3995</v>
      </c>
      <c r="B248" t="s">
        <v>261</v>
      </c>
      <c r="C248" t="s">
        <v>262</v>
      </c>
      <c r="D248" t="s">
        <v>4479</v>
      </c>
      <c r="E248" t="s">
        <v>3980</v>
      </c>
      <c r="F248" t="s">
        <v>232</v>
      </c>
      <c r="G248" t="s">
        <v>1406</v>
      </c>
      <c r="H248" s="6">
        <v>46022</v>
      </c>
      <c r="I248" t="s">
        <v>29</v>
      </c>
      <c r="J248">
        <v>0</v>
      </c>
      <c r="K248">
        <v>0</v>
      </c>
      <c r="L248">
        <v>0</v>
      </c>
      <c r="M248">
        <v>0</v>
      </c>
      <c r="N248" t="s">
        <v>3915</v>
      </c>
      <c r="O248" t="s">
        <v>3915</v>
      </c>
      <c r="P248" t="s">
        <v>3915</v>
      </c>
      <c r="Q248">
        <v>0</v>
      </c>
      <c r="R248" t="s">
        <v>30</v>
      </c>
      <c r="S248">
        <v>0</v>
      </c>
      <c r="T248">
        <v>0</v>
      </c>
      <c r="U248" t="s">
        <v>3915</v>
      </c>
      <c r="V248" t="s">
        <v>31</v>
      </c>
      <c r="W248">
        <v>0</v>
      </c>
    </row>
    <row r="249" spans="1:23" x14ac:dyDescent="0.25">
      <c r="A249" t="s">
        <v>3996</v>
      </c>
      <c r="B249" t="s">
        <v>263</v>
      </c>
      <c r="C249" t="s">
        <v>264</v>
      </c>
      <c r="D249" t="s">
        <v>4479</v>
      </c>
      <c r="E249" t="s">
        <v>3980</v>
      </c>
      <c r="F249" t="s">
        <v>232</v>
      </c>
      <c r="G249" t="s">
        <v>1406</v>
      </c>
      <c r="H249" s="6">
        <v>46022</v>
      </c>
      <c r="I249" t="s">
        <v>29</v>
      </c>
      <c r="J249">
        <v>0</v>
      </c>
      <c r="K249">
        <v>0</v>
      </c>
      <c r="L249">
        <v>0</v>
      </c>
      <c r="M249">
        <v>0</v>
      </c>
      <c r="N249" t="s">
        <v>3915</v>
      </c>
      <c r="O249" t="s">
        <v>3915</v>
      </c>
      <c r="P249" t="s">
        <v>3915</v>
      </c>
      <c r="Q249">
        <v>0</v>
      </c>
      <c r="R249" t="s">
        <v>30</v>
      </c>
      <c r="S249">
        <v>0</v>
      </c>
      <c r="T249">
        <v>0</v>
      </c>
      <c r="U249" t="s">
        <v>3915</v>
      </c>
      <c r="V249" t="s">
        <v>31</v>
      </c>
      <c r="W249">
        <v>0</v>
      </c>
    </row>
    <row r="250" spans="1:23" x14ac:dyDescent="0.25">
      <c r="A250" t="s">
        <v>3997</v>
      </c>
      <c r="B250" t="s">
        <v>265</v>
      </c>
      <c r="C250" t="s">
        <v>266</v>
      </c>
      <c r="D250" t="s">
        <v>4479</v>
      </c>
      <c r="E250" t="s">
        <v>3980</v>
      </c>
      <c r="F250" t="s">
        <v>232</v>
      </c>
      <c r="G250" t="s">
        <v>1406</v>
      </c>
      <c r="H250" s="6">
        <v>46022</v>
      </c>
      <c r="I250" t="s">
        <v>29</v>
      </c>
      <c r="J250">
        <v>4</v>
      </c>
      <c r="K250">
        <v>0</v>
      </c>
      <c r="L250">
        <v>0</v>
      </c>
      <c r="M250">
        <v>0</v>
      </c>
      <c r="N250" t="s">
        <v>3915</v>
      </c>
      <c r="O250" t="s">
        <v>3915</v>
      </c>
      <c r="P250" t="s">
        <v>3915</v>
      </c>
      <c r="Q250">
        <v>0</v>
      </c>
      <c r="R250" t="s">
        <v>30</v>
      </c>
      <c r="S250">
        <v>0</v>
      </c>
      <c r="T250">
        <v>0</v>
      </c>
      <c r="U250" t="s">
        <v>3915</v>
      </c>
      <c r="V250" t="s">
        <v>31</v>
      </c>
      <c r="W250">
        <v>0</v>
      </c>
    </row>
    <row r="251" spans="1:23" x14ac:dyDescent="0.25">
      <c r="A251" t="s">
        <v>3998</v>
      </c>
      <c r="B251" t="s">
        <v>267</v>
      </c>
      <c r="C251" t="s">
        <v>268</v>
      </c>
      <c r="D251" t="s">
        <v>4479</v>
      </c>
      <c r="E251" t="s">
        <v>3980</v>
      </c>
      <c r="F251" t="s">
        <v>232</v>
      </c>
      <c r="G251" t="s">
        <v>1406</v>
      </c>
      <c r="H251" s="6">
        <v>46022</v>
      </c>
      <c r="I251" t="s">
        <v>29</v>
      </c>
      <c r="J251">
        <v>0</v>
      </c>
      <c r="K251">
        <v>0</v>
      </c>
      <c r="L251">
        <v>0</v>
      </c>
      <c r="M251">
        <v>0</v>
      </c>
      <c r="N251" t="s">
        <v>3915</v>
      </c>
      <c r="O251" t="s">
        <v>3915</v>
      </c>
      <c r="P251" t="s">
        <v>3915</v>
      </c>
      <c r="Q251">
        <v>0</v>
      </c>
      <c r="R251" t="s">
        <v>30</v>
      </c>
      <c r="S251">
        <v>0</v>
      </c>
      <c r="T251">
        <v>0</v>
      </c>
      <c r="U251" t="s">
        <v>3915</v>
      </c>
      <c r="V251" t="s">
        <v>31</v>
      </c>
      <c r="W251">
        <v>0</v>
      </c>
    </row>
    <row r="252" spans="1:23" x14ac:dyDescent="0.25">
      <c r="A252" t="s">
        <v>5176</v>
      </c>
      <c r="B252" t="s">
        <v>1926</v>
      </c>
      <c r="C252" t="s">
        <v>1925</v>
      </c>
      <c r="D252" t="s">
        <v>4479</v>
      </c>
      <c r="E252" t="s">
        <v>3980</v>
      </c>
      <c r="F252" t="s">
        <v>232</v>
      </c>
      <c r="G252" t="s">
        <v>1406</v>
      </c>
      <c r="H252" s="6">
        <v>46022</v>
      </c>
      <c r="I252" t="s">
        <v>29</v>
      </c>
      <c r="J252">
        <v>20</v>
      </c>
      <c r="K252">
        <v>0</v>
      </c>
      <c r="L252">
        <v>0</v>
      </c>
      <c r="M252">
        <v>0</v>
      </c>
      <c r="N252" t="s">
        <v>3915</v>
      </c>
      <c r="O252" t="s">
        <v>3915</v>
      </c>
      <c r="P252" t="s">
        <v>3915</v>
      </c>
      <c r="Q252">
        <v>0</v>
      </c>
      <c r="R252" t="s">
        <v>30</v>
      </c>
      <c r="S252">
        <v>0</v>
      </c>
      <c r="T252">
        <v>0</v>
      </c>
      <c r="U252" t="s">
        <v>3915</v>
      </c>
      <c r="V252" t="s">
        <v>31</v>
      </c>
      <c r="W252">
        <v>0</v>
      </c>
    </row>
    <row r="253" spans="1:23" x14ac:dyDescent="0.25">
      <c r="A253" t="s">
        <v>5177</v>
      </c>
      <c r="B253" t="s">
        <v>1928</v>
      </c>
      <c r="C253" t="s">
        <v>1927</v>
      </c>
      <c r="D253" t="s">
        <v>4479</v>
      </c>
      <c r="E253" t="s">
        <v>3980</v>
      </c>
      <c r="F253" t="s">
        <v>232</v>
      </c>
      <c r="G253" t="s">
        <v>1406</v>
      </c>
      <c r="H253" s="6">
        <v>46022</v>
      </c>
      <c r="I253" t="s">
        <v>29</v>
      </c>
      <c r="J253">
        <v>1</v>
      </c>
      <c r="K253">
        <v>0</v>
      </c>
      <c r="L253">
        <v>0</v>
      </c>
      <c r="M253">
        <v>0</v>
      </c>
      <c r="N253" t="s">
        <v>3915</v>
      </c>
      <c r="O253" t="s">
        <v>3915</v>
      </c>
      <c r="P253" t="s">
        <v>3915</v>
      </c>
      <c r="Q253">
        <v>0</v>
      </c>
      <c r="R253" t="s">
        <v>30</v>
      </c>
      <c r="S253">
        <v>0</v>
      </c>
      <c r="T253">
        <v>0</v>
      </c>
      <c r="U253" t="s">
        <v>3915</v>
      </c>
      <c r="V253" t="s">
        <v>31</v>
      </c>
      <c r="W253">
        <v>0</v>
      </c>
    </row>
    <row r="254" spans="1:23" x14ac:dyDescent="0.25">
      <c r="A254" t="s">
        <v>5178</v>
      </c>
      <c r="B254" t="s">
        <v>1930</v>
      </c>
      <c r="C254" t="s">
        <v>1929</v>
      </c>
      <c r="D254" t="s">
        <v>4479</v>
      </c>
      <c r="E254" t="s">
        <v>3980</v>
      </c>
      <c r="F254" t="s">
        <v>232</v>
      </c>
      <c r="G254" t="s">
        <v>1406</v>
      </c>
      <c r="H254" s="6">
        <v>46022</v>
      </c>
      <c r="I254" t="s">
        <v>29</v>
      </c>
      <c r="J254">
        <v>2</v>
      </c>
      <c r="K254">
        <v>0</v>
      </c>
      <c r="L254">
        <v>0</v>
      </c>
      <c r="M254">
        <v>0</v>
      </c>
      <c r="N254" t="s">
        <v>3915</v>
      </c>
      <c r="O254" t="s">
        <v>3915</v>
      </c>
      <c r="P254" t="s">
        <v>3915</v>
      </c>
      <c r="Q254">
        <v>0</v>
      </c>
      <c r="R254" t="s">
        <v>30</v>
      </c>
      <c r="S254">
        <v>0</v>
      </c>
      <c r="T254">
        <v>0</v>
      </c>
      <c r="U254" t="s">
        <v>3915</v>
      </c>
      <c r="V254" t="s">
        <v>31</v>
      </c>
      <c r="W254">
        <v>0</v>
      </c>
    </row>
    <row r="255" spans="1:23" x14ac:dyDescent="0.25">
      <c r="A255" t="s">
        <v>5179</v>
      </c>
      <c r="B255" t="s">
        <v>1932</v>
      </c>
      <c r="C255" t="s">
        <v>1931</v>
      </c>
      <c r="D255" t="s">
        <v>4479</v>
      </c>
      <c r="E255" t="s">
        <v>3980</v>
      </c>
      <c r="F255" t="s">
        <v>232</v>
      </c>
      <c r="G255" t="s">
        <v>1406</v>
      </c>
      <c r="H255" s="6">
        <v>46022</v>
      </c>
      <c r="I255" t="s">
        <v>29</v>
      </c>
      <c r="J255">
        <v>3</v>
      </c>
      <c r="K255">
        <v>0</v>
      </c>
      <c r="L255">
        <v>0</v>
      </c>
      <c r="M255">
        <v>0</v>
      </c>
      <c r="N255" t="s">
        <v>3915</v>
      </c>
      <c r="O255" t="s">
        <v>3915</v>
      </c>
      <c r="P255" t="s">
        <v>3915</v>
      </c>
      <c r="Q255">
        <v>0</v>
      </c>
      <c r="R255" t="s">
        <v>30</v>
      </c>
      <c r="S255">
        <v>0</v>
      </c>
      <c r="T255">
        <v>0</v>
      </c>
      <c r="U255" t="s">
        <v>3915</v>
      </c>
      <c r="V255" t="s">
        <v>31</v>
      </c>
      <c r="W255">
        <v>0</v>
      </c>
    </row>
    <row r="256" spans="1:23" x14ac:dyDescent="0.25">
      <c r="A256" t="s">
        <v>4000</v>
      </c>
      <c r="B256" t="s">
        <v>271</v>
      </c>
      <c r="C256" t="s">
        <v>272</v>
      </c>
      <c r="D256" t="s">
        <v>4479</v>
      </c>
      <c r="E256" t="s">
        <v>3980</v>
      </c>
      <c r="F256" t="s">
        <v>232</v>
      </c>
      <c r="G256" t="s">
        <v>1406</v>
      </c>
      <c r="H256" s="6">
        <v>46022</v>
      </c>
      <c r="I256" t="s">
        <v>29</v>
      </c>
      <c r="J256">
        <v>0</v>
      </c>
      <c r="K256">
        <v>0</v>
      </c>
      <c r="L256">
        <v>0</v>
      </c>
      <c r="M256">
        <v>0</v>
      </c>
      <c r="N256" t="s">
        <v>3915</v>
      </c>
      <c r="O256" t="s">
        <v>3915</v>
      </c>
      <c r="P256" t="s">
        <v>3915</v>
      </c>
      <c r="Q256">
        <v>0</v>
      </c>
      <c r="R256" t="s">
        <v>30</v>
      </c>
      <c r="S256">
        <v>0</v>
      </c>
      <c r="T256">
        <v>0</v>
      </c>
      <c r="U256" t="s">
        <v>3915</v>
      </c>
      <c r="V256" t="s">
        <v>31</v>
      </c>
      <c r="W256">
        <v>0</v>
      </c>
    </row>
    <row r="257" spans="1:23" x14ac:dyDescent="0.25">
      <c r="A257" t="s">
        <v>5180</v>
      </c>
      <c r="B257" t="s">
        <v>1934</v>
      </c>
      <c r="C257" t="s">
        <v>1933</v>
      </c>
      <c r="D257" t="s">
        <v>4479</v>
      </c>
      <c r="E257" t="s">
        <v>3980</v>
      </c>
      <c r="F257" t="s">
        <v>232</v>
      </c>
      <c r="G257" t="s">
        <v>1406</v>
      </c>
      <c r="H257" s="6">
        <v>46022</v>
      </c>
      <c r="I257" t="s">
        <v>29</v>
      </c>
      <c r="J257">
        <v>9</v>
      </c>
      <c r="K257">
        <v>0</v>
      </c>
      <c r="L257">
        <v>0</v>
      </c>
      <c r="M257">
        <v>0</v>
      </c>
      <c r="N257" t="s">
        <v>3915</v>
      </c>
      <c r="O257" t="s">
        <v>3915</v>
      </c>
      <c r="P257" t="s">
        <v>3915</v>
      </c>
      <c r="Q257">
        <v>0</v>
      </c>
      <c r="R257" t="s">
        <v>30</v>
      </c>
      <c r="S257">
        <v>0</v>
      </c>
      <c r="T257">
        <v>0</v>
      </c>
      <c r="U257" t="s">
        <v>3915</v>
      </c>
      <c r="V257" t="s">
        <v>31</v>
      </c>
      <c r="W257">
        <v>0</v>
      </c>
    </row>
    <row r="258" spans="1:23" x14ac:dyDescent="0.25">
      <c r="A258" t="s">
        <v>4001</v>
      </c>
      <c r="B258" t="s">
        <v>273</v>
      </c>
      <c r="C258" t="s">
        <v>274</v>
      </c>
      <c r="D258" t="s">
        <v>4479</v>
      </c>
      <c r="E258" t="s">
        <v>3980</v>
      </c>
      <c r="F258" t="s">
        <v>232</v>
      </c>
      <c r="G258" t="s">
        <v>1406</v>
      </c>
      <c r="H258" s="6">
        <v>46022</v>
      </c>
      <c r="I258" t="s">
        <v>29</v>
      </c>
      <c r="J258">
        <v>14</v>
      </c>
      <c r="K258">
        <v>0</v>
      </c>
      <c r="L258">
        <v>0</v>
      </c>
      <c r="M258">
        <v>0</v>
      </c>
      <c r="N258" t="s">
        <v>3915</v>
      </c>
      <c r="O258" t="s">
        <v>3915</v>
      </c>
      <c r="P258" t="s">
        <v>3915</v>
      </c>
      <c r="Q258">
        <v>0</v>
      </c>
      <c r="R258" t="s">
        <v>30</v>
      </c>
      <c r="S258">
        <v>0</v>
      </c>
      <c r="T258">
        <v>0</v>
      </c>
      <c r="U258" t="s">
        <v>3915</v>
      </c>
      <c r="V258" t="s">
        <v>31</v>
      </c>
      <c r="W258">
        <v>0</v>
      </c>
    </row>
    <row r="259" spans="1:23" x14ac:dyDescent="0.25">
      <c r="A259" t="s">
        <v>4002</v>
      </c>
      <c r="B259" t="s">
        <v>275</v>
      </c>
      <c r="C259" t="s">
        <v>276</v>
      </c>
      <c r="D259" t="s">
        <v>4479</v>
      </c>
      <c r="E259" t="s">
        <v>3980</v>
      </c>
      <c r="F259" t="s">
        <v>232</v>
      </c>
      <c r="G259" t="s">
        <v>1406</v>
      </c>
      <c r="H259" s="6">
        <v>46022</v>
      </c>
      <c r="I259" t="s">
        <v>29</v>
      </c>
      <c r="J259">
        <v>38</v>
      </c>
      <c r="K259">
        <v>0</v>
      </c>
      <c r="L259">
        <v>0</v>
      </c>
      <c r="M259">
        <v>0</v>
      </c>
      <c r="N259" t="s">
        <v>3915</v>
      </c>
      <c r="O259" t="s">
        <v>3915</v>
      </c>
      <c r="P259" t="s">
        <v>3915</v>
      </c>
      <c r="Q259">
        <v>0</v>
      </c>
      <c r="R259" t="s">
        <v>30</v>
      </c>
      <c r="S259">
        <v>0</v>
      </c>
      <c r="T259">
        <v>0</v>
      </c>
      <c r="U259" t="s">
        <v>3915</v>
      </c>
      <c r="V259" t="s">
        <v>31</v>
      </c>
      <c r="W259">
        <v>0</v>
      </c>
    </row>
    <row r="260" spans="1:23" x14ac:dyDescent="0.25">
      <c r="A260" t="s">
        <v>4003</v>
      </c>
      <c r="B260" t="s">
        <v>277</v>
      </c>
      <c r="C260" t="s">
        <v>278</v>
      </c>
      <c r="D260" t="s">
        <v>4479</v>
      </c>
      <c r="E260" t="s">
        <v>3980</v>
      </c>
      <c r="F260" t="s">
        <v>232</v>
      </c>
      <c r="G260" t="s">
        <v>1406</v>
      </c>
      <c r="H260" s="6">
        <v>46022</v>
      </c>
      <c r="I260" t="s">
        <v>29</v>
      </c>
      <c r="J260">
        <v>0</v>
      </c>
      <c r="K260">
        <v>0</v>
      </c>
      <c r="L260">
        <v>0</v>
      </c>
      <c r="M260">
        <v>0</v>
      </c>
      <c r="N260" t="s">
        <v>3915</v>
      </c>
      <c r="O260" t="s">
        <v>3915</v>
      </c>
      <c r="P260" t="s">
        <v>3915</v>
      </c>
      <c r="Q260">
        <v>0</v>
      </c>
      <c r="R260" t="s">
        <v>30</v>
      </c>
      <c r="S260">
        <v>0</v>
      </c>
      <c r="T260">
        <v>0</v>
      </c>
      <c r="U260" t="s">
        <v>3915</v>
      </c>
      <c r="V260" t="s">
        <v>31</v>
      </c>
      <c r="W260">
        <v>0</v>
      </c>
    </row>
    <row r="261" spans="1:23" x14ac:dyDescent="0.25">
      <c r="A261" t="s">
        <v>4004</v>
      </c>
      <c r="B261" t="s">
        <v>279</v>
      </c>
      <c r="C261" t="s">
        <v>280</v>
      </c>
      <c r="D261" t="s">
        <v>4479</v>
      </c>
      <c r="E261" t="s">
        <v>3980</v>
      </c>
      <c r="F261" t="s">
        <v>232</v>
      </c>
      <c r="G261" t="s">
        <v>1406</v>
      </c>
      <c r="H261" s="6">
        <v>46022</v>
      </c>
      <c r="I261" t="s">
        <v>29</v>
      </c>
      <c r="J261">
        <v>37</v>
      </c>
      <c r="K261">
        <v>0</v>
      </c>
      <c r="L261">
        <v>0</v>
      </c>
      <c r="M261">
        <v>0</v>
      </c>
      <c r="N261" t="s">
        <v>3915</v>
      </c>
      <c r="O261" t="s">
        <v>3915</v>
      </c>
      <c r="P261" t="s">
        <v>3915</v>
      </c>
      <c r="Q261">
        <v>0</v>
      </c>
      <c r="R261" t="s">
        <v>30</v>
      </c>
      <c r="S261">
        <v>0</v>
      </c>
      <c r="T261">
        <v>0</v>
      </c>
      <c r="U261" t="s">
        <v>3915</v>
      </c>
      <c r="V261" t="s">
        <v>31</v>
      </c>
      <c r="W261">
        <v>0</v>
      </c>
    </row>
    <row r="262" spans="1:23" x14ac:dyDescent="0.25">
      <c r="A262" t="s">
        <v>4005</v>
      </c>
      <c r="B262" t="s">
        <v>281</v>
      </c>
      <c r="C262" t="s">
        <v>282</v>
      </c>
      <c r="D262" t="s">
        <v>4479</v>
      </c>
      <c r="E262" t="s">
        <v>3980</v>
      </c>
      <c r="F262" t="s">
        <v>232</v>
      </c>
      <c r="G262" t="s">
        <v>1406</v>
      </c>
      <c r="H262" s="6">
        <v>46022</v>
      </c>
      <c r="I262" t="s">
        <v>29</v>
      </c>
      <c r="J262">
        <v>0</v>
      </c>
      <c r="K262">
        <v>0</v>
      </c>
      <c r="L262">
        <v>0</v>
      </c>
      <c r="M262">
        <v>0</v>
      </c>
      <c r="N262" t="s">
        <v>3915</v>
      </c>
      <c r="O262" t="s">
        <v>3915</v>
      </c>
      <c r="P262" t="s">
        <v>3915</v>
      </c>
      <c r="Q262">
        <v>0</v>
      </c>
      <c r="R262" t="s">
        <v>30</v>
      </c>
      <c r="S262">
        <v>0</v>
      </c>
      <c r="T262">
        <v>0</v>
      </c>
      <c r="U262" t="s">
        <v>3915</v>
      </c>
      <c r="V262" t="s">
        <v>31</v>
      </c>
      <c r="W262">
        <v>0</v>
      </c>
    </row>
    <row r="263" spans="1:23" x14ac:dyDescent="0.25">
      <c r="A263" t="s">
        <v>4006</v>
      </c>
      <c r="B263" t="s">
        <v>283</v>
      </c>
      <c r="C263" t="s">
        <v>284</v>
      </c>
      <c r="D263" t="s">
        <v>4479</v>
      </c>
      <c r="E263" t="s">
        <v>3980</v>
      </c>
      <c r="F263" t="s">
        <v>232</v>
      </c>
      <c r="G263" t="s">
        <v>1406</v>
      </c>
      <c r="H263" s="6">
        <v>46022</v>
      </c>
      <c r="I263" t="s">
        <v>29</v>
      </c>
      <c r="J263">
        <v>0</v>
      </c>
      <c r="K263">
        <v>0</v>
      </c>
      <c r="L263">
        <v>0</v>
      </c>
      <c r="M263">
        <v>0</v>
      </c>
      <c r="N263" t="s">
        <v>3915</v>
      </c>
      <c r="O263" t="s">
        <v>3915</v>
      </c>
      <c r="P263" t="s">
        <v>3915</v>
      </c>
      <c r="Q263">
        <v>0</v>
      </c>
      <c r="R263" t="s">
        <v>30</v>
      </c>
      <c r="S263">
        <v>0</v>
      </c>
      <c r="T263">
        <v>0</v>
      </c>
      <c r="U263" t="s">
        <v>3915</v>
      </c>
      <c r="V263" t="s">
        <v>31</v>
      </c>
      <c r="W263">
        <v>0</v>
      </c>
    </row>
    <row r="264" spans="1:23" x14ac:dyDescent="0.25">
      <c r="A264" t="s">
        <v>4007</v>
      </c>
      <c r="B264" t="s">
        <v>285</v>
      </c>
      <c r="C264" t="s">
        <v>286</v>
      </c>
      <c r="D264" t="s">
        <v>4479</v>
      </c>
      <c r="E264" t="s">
        <v>3980</v>
      </c>
      <c r="F264" t="s">
        <v>232</v>
      </c>
      <c r="G264" t="s">
        <v>1406</v>
      </c>
      <c r="H264" s="6">
        <v>46022</v>
      </c>
      <c r="I264" t="s">
        <v>29</v>
      </c>
      <c r="J264">
        <v>1</v>
      </c>
      <c r="K264">
        <v>0</v>
      </c>
      <c r="L264">
        <v>0</v>
      </c>
      <c r="M264">
        <v>0</v>
      </c>
      <c r="N264" t="s">
        <v>3915</v>
      </c>
      <c r="O264" t="s">
        <v>3915</v>
      </c>
      <c r="P264" t="s">
        <v>3915</v>
      </c>
      <c r="Q264">
        <v>0</v>
      </c>
      <c r="R264" t="s">
        <v>30</v>
      </c>
      <c r="S264">
        <v>0</v>
      </c>
      <c r="T264">
        <v>0</v>
      </c>
      <c r="U264" t="s">
        <v>3915</v>
      </c>
      <c r="V264" t="s">
        <v>31</v>
      </c>
      <c r="W264">
        <v>0</v>
      </c>
    </row>
    <row r="265" spans="1:23" x14ac:dyDescent="0.25">
      <c r="A265" t="s">
        <v>4008</v>
      </c>
      <c r="B265" t="s">
        <v>287</v>
      </c>
      <c r="C265" t="s">
        <v>288</v>
      </c>
      <c r="D265" t="s">
        <v>4479</v>
      </c>
      <c r="E265" t="s">
        <v>3980</v>
      </c>
      <c r="F265" t="s">
        <v>232</v>
      </c>
      <c r="G265" t="s">
        <v>1406</v>
      </c>
      <c r="H265" s="6">
        <v>46022</v>
      </c>
      <c r="I265" t="s">
        <v>29</v>
      </c>
      <c r="J265">
        <v>17</v>
      </c>
      <c r="K265">
        <v>0</v>
      </c>
      <c r="L265">
        <v>0</v>
      </c>
      <c r="M265">
        <v>0</v>
      </c>
      <c r="N265" t="s">
        <v>3915</v>
      </c>
      <c r="O265" t="s">
        <v>3915</v>
      </c>
      <c r="P265" t="s">
        <v>3915</v>
      </c>
      <c r="Q265">
        <v>0</v>
      </c>
      <c r="R265" t="s">
        <v>30</v>
      </c>
      <c r="S265">
        <v>0</v>
      </c>
      <c r="T265">
        <v>0</v>
      </c>
      <c r="U265" t="s">
        <v>3915</v>
      </c>
      <c r="V265" t="s">
        <v>31</v>
      </c>
      <c r="W265">
        <v>0</v>
      </c>
    </row>
    <row r="266" spans="1:23" x14ac:dyDescent="0.25">
      <c r="A266" t="s">
        <v>5181</v>
      </c>
      <c r="B266" t="s">
        <v>1938</v>
      </c>
      <c r="C266" t="s">
        <v>1937</v>
      </c>
      <c r="D266" t="s">
        <v>4479</v>
      </c>
      <c r="E266" t="s">
        <v>3980</v>
      </c>
      <c r="F266" t="s">
        <v>232</v>
      </c>
      <c r="G266" t="s">
        <v>1406</v>
      </c>
      <c r="H266" s="6">
        <v>46022</v>
      </c>
      <c r="I266" t="s">
        <v>29</v>
      </c>
      <c r="J266">
        <v>10</v>
      </c>
      <c r="K266">
        <v>0</v>
      </c>
      <c r="L266">
        <v>0</v>
      </c>
      <c r="M266">
        <v>0</v>
      </c>
      <c r="N266" t="s">
        <v>3915</v>
      </c>
      <c r="O266" t="s">
        <v>3915</v>
      </c>
      <c r="P266" t="s">
        <v>3915</v>
      </c>
      <c r="Q266">
        <v>0</v>
      </c>
      <c r="R266" t="s">
        <v>30</v>
      </c>
      <c r="S266">
        <v>0</v>
      </c>
      <c r="T266">
        <v>0</v>
      </c>
      <c r="U266" t="s">
        <v>3915</v>
      </c>
      <c r="V266" t="s">
        <v>31</v>
      </c>
      <c r="W266">
        <v>0</v>
      </c>
    </row>
    <row r="267" spans="1:23" x14ac:dyDescent="0.25">
      <c r="A267" t="s">
        <v>4009</v>
      </c>
      <c r="B267" t="s">
        <v>289</v>
      </c>
      <c r="C267" t="s">
        <v>290</v>
      </c>
      <c r="D267" t="s">
        <v>4479</v>
      </c>
      <c r="E267" t="s">
        <v>3980</v>
      </c>
      <c r="F267" t="s">
        <v>232</v>
      </c>
      <c r="G267" t="s">
        <v>1406</v>
      </c>
      <c r="H267" s="6">
        <v>46022</v>
      </c>
      <c r="I267" t="s">
        <v>29</v>
      </c>
      <c r="J267">
        <v>14</v>
      </c>
      <c r="K267">
        <v>0</v>
      </c>
      <c r="L267">
        <v>0</v>
      </c>
      <c r="M267">
        <v>0</v>
      </c>
      <c r="N267" t="s">
        <v>3915</v>
      </c>
      <c r="O267" t="s">
        <v>3915</v>
      </c>
      <c r="P267" t="s">
        <v>3915</v>
      </c>
      <c r="Q267">
        <v>0</v>
      </c>
      <c r="R267" t="s">
        <v>30</v>
      </c>
      <c r="S267">
        <v>0</v>
      </c>
      <c r="T267">
        <v>0</v>
      </c>
      <c r="U267" t="s">
        <v>3915</v>
      </c>
      <c r="V267" t="s">
        <v>31</v>
      </c>
      <c r="W267">
        <v>0</v>
      </c>
    </row>
    <row r="268" spans="1:23" x14ac:dyDescent="0.25">
      <c r="A268" t="s">
        <v>4010</v>
      </c>
      <c r="B268" t="s">
        <v>291</v>
      </c>
      <c r="C268" t="s">
        <v>292</v>
      </c>
      <c r="D268" t="s">
        <v>4479</v>
      </c>
      <c r="E268" t="s">
        <v>3980</v>
      </c>
      <c r="F268" t="s">
        <v>232</v>
      </c>
      <c r="G268" t="s">
        <v>1406</v>
      </c>
      <c r="H268" s="6">
        <v>46022</v>
      </c>
      <c r="I268" t="s">
        <v>29</v>
      </c>
      <c r="J268">
        <v>50</v>
      </c>
      <c r="K268">
        <v>0</v>
      </c>
      <c r="L268">
        <v>0</v>
      </c>
      <c r="M268">
        <v>0</v>
      </c>
      <c r="N268" t="s">
        <v>3915</v>
      </c>
      <c r="O268" t="s">
        <v>3915</v>
      </c>
      <c r="P268" t="s">
        <v>3915</v>
      </c>
      <c r="Q268">
        <v>0</v>
      </c>
      <c r="R268" t="s">
        <v>30</v>
      </c>
      <c r="S268">
        <v>0</v>
      </c>
      <c r="T268">
        <v>0</v>
      </c>
      <c r="U268" t="s">
        <v>3915</v>
      </c>
      <c r="V268" t="s">
        <v>31</v>
      </c>
      <c r="W268">
        <v>0</v>
      </c>
    </row>
    <row r="269" spans="1:23" x14ac:dyDescent="0.25">
      <c r="A269" t="s">
        <v>4011</v>
      </c>
      <c r="B269" t="s">
        <v>293</v>
      </c>
      <c r="C269" t="s">
        <v>294</v>
      </c>
      <c r="D269" t="s">
        <v>4479</v>
      </c>
      <c r="E269" t="s">
        <v>3980</v>
      </c>
      <c r="F269" t="s">
        <v>232</v>
      </c>
      <c r="G269" t="s">
        <v>1406</v>
      </c>
      <c r="H269" s="6">
        <v>46022</v>
      </c>
      <c r="I269" t="s">
        <v>29</v>
      </c>
      <c r="J269">
        <v>20</v>
      </c>
      <c r="K269">
        <v>0</v>
      </c>
      <c r="L269">
        <v>0</v>
      </c>
      <c r="M269">
        <v>0</v>
      </c>
      <c r="N269" t="s">
        <v>3915</v>
      </c>
      <c r="O269" t="s">
        <v>3915</v>
      </c>
      <c r="P269" t="s">
        <v>3915</v>
      </c>
      <c r="Q269">
        <v>0</v>
      </c>
      <c r="R269" t="s">
        <v>30</v>
      </c>
      <c r="S269">
        <v>0</v>
      </c>
      <c r="T269">
        <v>0</v>
      </c>
      <c r="U269" t="s">
        <v>3915</v>
      </c>
      <c r="V269" t="s">
        <v>31</v>
      </c>
      <c r="W269">
        <v>0</v>
      </c>
    </row>
    <row r="270" spans="1:23" x14ac:dyDescent="0.25">
      <c r="A270" t="s">
        <v>4012</v>
      </c>
      <c r="B270" t="s">
        <v>295</v>
      </c>
      <c r="C270" t="s">
        <v>296</v>
      </c>
      <c r="D270" t="s">
        <v>4479</v>
      </c>
      <c r="E270" t="s">
        <v>3980</v>
      </c>
      <c r="F270" t="s">
        <v>232</v>
      </c>
      <c r="G270" t="s">
        <v>1406</v>
      </c>
      <c r="H270" s="6">
        <v>46022</v>
      </c>
      <c r="I270" t="s">
        <v>29</v>
      </c>
      <c r="J270">
        <v>2</v>
      </c>
      <c r="K270">
        <v>0</v>
      </c>
      <c r="L270">
        <v>0</v>
      </c>
      <c r="M270">
        <v>0</v>
      </c>
      <c r="N270" t="s">
        <v>3915</v>
      </c>
      <c r="O270" t="s">
        <v>3915</v>
      </c>
      <c r="P270" t="s">
        <v>3915</v>
      </c>
      <c r="Q270">
        <v>0</v>
      </c>
      <c r="R270" t="s">
        <v>30</v>
      </c>
      <c r="S270">
        <v>0</v>
      </c>
      <c r="T270">
        <v>0</v>
      </c>
      <c r="U270" t="s">
        <v>3915</v>
      </c>
      <c r="V270" t="s">
        <v>31</v>
      </c>
      <c r="W270">
        <v>0</v>
      </c>
    </row>
    <row r="271" spans="1:23" x14ac:dyDescent="0.25">
      <c r="A271" t="s">
        <v>1395</v>
      </c>
      <c r="B271" t="s">
        <v>297</v>
      </c>
      <c r="C271" t="s">
        <v>298</v>
      </c>
      <c r="D271" t="s">
        <v>4479</v>
      </c>
      <c r="E271" t="s">
        <v>3980</v>
      </c>
      <c r="F271" t="s">
        <v>232</v>
      </c>
      <c r="G271" t="s">
        <v>1406</v>
      </c>
      <c r="H271" s="6">
        <v>46022</v>
      </c>
      <c r="I271" t="s">
        <v>29</v>
      </c>
      <c r="J271">
        <v>26</v>
      </c>
      <c r="K271">
        <v>0</v>
      </c>
      <c r="L271">
        <v>0</v>
      </c>
      <c r="M271">
        <v>0</v>
      </c>
      <c r="N271" t="s">
        <v>3915</v>
      </c>
      <c r="O271" t="s">
        <v>3915</v>
      </c>
      <c r="P271" t="s">
        <v>3915</v>
      </c>
      <c r="Q271">
        <v>0</v>
      </c>
      <c r="R271" t="s">
        <v>30</v>
      </c>
      <c r="S271">
        <v>0</v>
      </c>
      <c r="T271">
        <v>0</v>
      </c>
      <c r="U271" t="s">
        <v>3915</v>
      </c>
      <c r="V271" t="s">
        <v>31</v>
      </c>
      <c r="W271">
        <v>0</v>
      </c>
    </row>
    <row r="272" spans="1:23" x14ac:dyDescent="0.25">
      <c r="A272" t="s">
        <v>4013</v>
      </c>
      <c r="B272" t="s">
        <v>299</v>
      </c>
      <c r="C272" t="s">
        <v>300</v>
      </c>
      <c r="D272" t="s">
        <v>4479</v>
      </c>
      <c r="E272" t="s">
        <v>3980</v>
      </c>
      <c r="F272" t="s">
        <v>232</v>
      </c>
      <c r="G272" t="s">
        <v>1406</v>
      </c>
      <c r="H272" s="6">
        <v>46022</v>
      </c>
      <c r="I272" t="s">
        <v>29</v>
      </c>
      <c r="J272">
        <v>0</v>
      </c>
      <c r="K272">
        <v>0</v>
      </c>
      <c r="L272">
        <v>0</v>
      </c>
      <c r="M272">
        <v>0</v>
      </c>
      <c r="N272" t="s">
        <v>3915</v>
      </c>
      <c r="O272" t="s">
        <v>3915</v>
      </c>
      <c r="P272" t="s">
        <v>3915</v>
      </c>
      <c r="Q272">
        <v>0</v>
      </c>
      <c r="R272" t="s">
        <v>30</v>
      </c>
      <c r="S272">
        <v>0</v>
      </c>
      <c r="T272">
        <v>0</v>
      </c>
      <c r="U272" t="s">
        <v>3915</v>
      </c>
      <c r="V272" t="s">
        <v>31</v>
      </c>
      <c r="W272">
        <v>0</v>
      </c>
    </row>
    <row r="273" spans="1:23" x14ac:dyDescent="0.25">
      <c r="A273" t="s">
        <v>4014</v>
      </c>
      <c r="B273" t="s">
        <v>301</v>
      </c>
      <c r="C273" t="s">
        <v>302</v>
      </c>
      <c r="D273" t="s">
        <v>4479</v>
      </c>
      <c r="E273" t="s">
        <v>3980</v>
      </c>
      <c r="F273" t="s">
        <v>232</v>
      </c>
      <c r="G273" t="s">
        <v>1406</v>
      </c>
      <c r="H273" s="6">
        <v>46022</v>
      </c>
      <c r="I273" t="s">
        <v>29</v>
      </c>
      <c r="J273">
        <v>0</v>
      </c>
      <c r="K273">
        <v>0</v>
      </c>
      <c r="L273">
        <v>0</v>
      </c>
      <c r="M273">
        <v>0</v>
      </c>
      <c r="N273" t="s">
        <v>3915</v>
      </c>
      <c r="O273" t="s">
        <v>3915</v>
      </c>
      <c r="P273" t="s">
        <v>3915</v>
      </c>
      <c r="Q273">
        <v>0</v>
      </c>
      <c r="R273" t="s">
        <v>30</v>
      </c>
      <c r="S273">
        <v>0</v>
      </c>
      <c r="T273">
        <v>0</v>
      </c>
      <c r="U273" t="s">
        <v>3915</v>
      </c>
      <c r="V273" t="s">
        <v>31</v>
      </c>
      <c r="W273">
        <v>0</v>
      </c>
    </row>
    <row r="274" spans="1:23" x14ac:dyDescent="0.25">
      <c r="A274" t="s">
        <v>4015</v>
      </c>
      <c r="B274" t="s">
        <v>303</v>
      </c>
      <c r="C274" t="s">
        <v>304</v>
      </c>
      <c r="D274" t="s">
        <v>4479</v>
      </c>
      <c r="E274" t="s">
        <v>3980</v>
      </c>
      <c r="F274" t="s">
        <v>232</v>
      </c>
      <c r="G274" t="s">
        <v>1406</v>
      </c>
      <c r="H274" s="6">
        <v>46022</v>
      </c>
      <c r="I274" t="s">
        <v>29</v>
      </c>
      <c r="J274">
        <v>9</v>
      </c>
      <c r="K274">
        <v>0</v>
      </c>
      <c r="L274">
        <v>0</v>
      </c>
      <c r="M274">
        <v>0</v>
      </c>
      <c r="N274" t="s">
        <v>3915</v>
      </c>
      <c r="O274" t="s">
        <v>3915</v>
      </c>
      <c r="P274" t="s">
        <v>3915</v>
      </c>
      <c r="Q274">
        <v>0</v>
      </c>
      <c r="R274" t="s">
        <v>30</v>
      </c>
      <c r="S274">
        <v>0</v>
      </c>
      <c r="T274">
        <v>0</v>
      </c>
      <c r="U274" t="s">
        <v>3915</v>
      </c>
      <c r="V274" t="s">
        <v>31</v>
      </c>
      <c r="W274">
        <v>0</v>
      </c>
    </row>
    <row r="275" spans="1:23" x14ac:dyDescent="0.25">
      <c r="A275" t="s">
        <v>4016</v>
      </c>
      <c r="B275" t="s">
        <v>305</v>
      </c>
      <c r="C275" t="s">
        <v>306</v>
      </c>
      <c r="D275" t="s">
        <v>4479</v>
      </c>
      <c r="E275" t="s">
        <v>3980</v>
      </c>
      <c r="F275" t="s">
        <v>232</v>
      </c>
      <c r="G275" t="s">
        <v>1406</v>
      </c>
      <c r="H275" s="6">
        <v>46022</v>
      </c>
      <c r="I275" t="s">
        <v>29</v>
      </c>
      <c r="J275">
        <v>3</v>
      </c>
      <c r="K275">
        <v>0</v>
      </c>
      <c r="L275">
        <v>0</v>
      </c>
      <c r="M275">
        <v>0</v>
      </c>
      <c r="N275" t="s">
        <v>3915</v>
      </c>
      <c r="O275" t="s">
        <v>3915</v>
      </c>
      <c r="P275" t="s">
        <v>3915</v>
      </c>
      <c r="Q275">
        <v>0</v>
      </c>
      <c r="R275" t="s">
        <v>30</v>
      </c>
      <c r="S275">
        <v>0</v>
      </c>
      <c r="T275">
        <v>0</v>
      </c>
      <c r="U275" t="s">
        <v>3915</v>
      </c>
      <c r="V275" t="s">
        <v>31</v>
      </c>
      <c r="W275">
        <v>0</v>
      </c>
    </row>
    <row r="276" spans="1:23" x14ac:dyDescent="0.25">
      <c r="A276" t="s">
        <v>4017</v>
      </c>
      <c r="B276" t="s">
        <v>307</v>
      </c>
      <c r="C276" t="s">
        <v>308</v>
      </c>
      <c r="D276" t="s">
        <v>4479</v>
      </c>
      <c r="E276" t="s">
        <v>3980</v>
      </c>
      <c r="F276" t="s">
        <v>232</v>
      </c>
      <c r="G276" t="s">
        <v>1406</v>
      </c>
      <c r="H276" s="6">
        <v>46022</v>
      </c>
      <c r="I276" t="s">
        <v>29</v>
      </c>
      <c r="J276">
        <v>4</v>
      </c>
      <c r="K276">
        <v>0</v>
      </c>
      <c r="L276">
        <v>0</v>
      </c>
      <c r="M276">
        <v>0</v>
      </c>
      <c r="N276" t="s">
        <v>3915</v>
      </c>
      <c r="O276" t="s">
        <v>3915</v>
      </c>
      <c r="P276" t="s">
        <v>3915</v>
      </c>
      <c r="Q276">
        <v>0</v>
      </c>
      <c r="R276" t="s">
        <v>30</v>
      </c>
      <c r="S276">
        <v>0</v>
      </c>
      <c r="T276">
        <v>0</v>
      </c>
      <c r="U276" t="s">
        <v>3915</v>
      </c>
      <c r="V276" t="s">
        <v>31</v>
      </c>
      <c r="W276">
        <v>0</v>
      </c>
    </row>
    <row r="277" spans="1:23" x14ac:dyDescent="0.25">
      <c r="A277" t="s">
        <v>4565</v>
      </c>
      <c r="B277" t="s">
        <v>1940</v>
      </c>
      <c r="C277" t="s">
        <v>1939</v>
      </c>
      <c r="D277" t="s">
        <v>4479</v>
      </c>
      <c r="E277" t="s">
        <v>3980</v>
      </c>
      <c r="F277" t="s">
        <v>232</v>
      </c>
      <c r="G277" t="s">
        <v>1406</v>
      </c>
      <c r="H277" s="6">
        <v>46022</v>
      </c>
      <c r="I277" t="s">
        <v>29</v>
      </c>
      <c r="J277">
        <v>12</v>
      </c>
      <c r="K277">
        <v>0</v>
      </c>
      <c r="L277">
        <v>0</v>
      </c>
      <c r="M277">
        <v>0</v>
      </c>
      <c r="N277" t="s">
        <v>3915</v>
      </c>
      <c r="O277" t="s">
        <v>3915</v>
      </c>
      <c r="P277" t="s">
        <v>3915</v>
      </c>
      <c r="Q277">
        <v>0</v>
      </c>
      <c r="R277" t="s">
        <v>30</v>
      </c>
      <c r="S277">
        <v>0</v>
      </c>
      <c r="T277">
        <v>0</v>
      </c>
      <c r="U277" t="s">
        <v>3915</v>
      </c>
      <c r="V277" t="s">
        <v>31</v>
      </c>
      <c r="W277">
        <v>0</v>
      </c>
    </row>
    <row r="278" spans="1:23" x14ac:dyDescent="0.25">
      <c r="A278" t="s">
        <v>4018</v>
      </c>
      <c r="B278" t="s">
        <v>309</v>
      </c>
      <c r="C278" t="s">
        <v>310</v>
      </c>
      <c r="D278" t="s">
        <v>4479</v>
      </c>
      <c r="E278" t="s">
        <v>3980</v>
      </c>
      <c r="F278" t="s">
        <v>232</v>
      </c>
      <c r="G278" t="s">
        <v>1406</v>
      </c>
      <c r="H278" s="6">
        <v>46022</v>
      </c>
      <c r="I278" t="s">
        <v>29</v>
      </c>
      <c r="J278">
        <v>0</v>
      </c>
      <c r="K278">
        <v>0</v>
      </c>
      <c r="L278">
        <v>0</v>
      </c>
      <c r="M278">
        <v>0</v>
      </c>
      <c r="N278" t="s">
        <v>3915</v>
      </c>
      <c r="O278" t="s">
        <v>3915</v>
      </c>
      <c r="P278" t="s">
        <v>3915</v>
      </c>
      <c r="Q278">
        <v>0</v>
      </c>
      <c r="R278" t="s">
        <v>30</v>
      </c>
      <c r="S278">
        <v>0</v>
      </c>
      <c r="T278">
        <v>0</v>
      </c>
      <c r="U278" t="s">
        <v>3915</v>
      </c>
      <c r="V278" t="s">
        <v>31</v>
      </c>
      <c r="W278">
        <v>0</v>
      </c>
    </row>
    <row r="279" spans="1:23" x14ac:dyDescent="0.25">
      <c r="A279" t="s">
        <v>4019</v>
      </c>
      <c r="B279" t="s">
        <v>311</v>
      </c>
      <c r="C279" t="s">
        <v>312</v>
      </c>
      <c r="D279" t="s">
        <v>4479</v>
      </c>
      <c r="E279" t="s">
        <v>3980</v>
      </c>
      <c r="F279" t="s">
        <v>232</v>
      </c>
      <c r="G279" t="s">
        <v>1406</v>
      </c>
      <c r="H279" s="6">
        <v>46022</v>
      </c>
      <c r="I279" t="s">
        <v>29</v>
      </c>
      <c r="J279">
        <v>12</v>
      </c>
      <c r="K279">
        <v>0</v>
      </c>
      <c r="L279">
        <v>0</v>
      </c>
      <c r="M279">
        <v>0</v>
      </c>
      <c r="N279" t="s">
        <v>3915</v>
      </c>
      <c r="O279" t="s">
        <v>3915</v>
      </c>
      <c r="P279" t="s">
        <v>3915</v>
      </c>
      <c r="Q279">
        <v>0</v>
      </c>
      <c r="R279" t="s">
        <v>30</v>
      </c>
      <c r="S279">
        <v>0</v>
      </c>
      <c r="T279">
        <v>0</v>
      </c>
      <c r="U279" t="s">
        <v>3915</v>
      </c>
      <c r="V279" t="s">
        <v>31</v>
      </c>
      <c r="W279">
        <v>0</v>
      </c>
    </row>
    <row r="280" spans="1:23" x14ac:dyDescent="0.25">
      <c r="A280" t="s">
        <v>4020</v>
      </c>
      <c r="B280" t="s">
        <v>313</v>
      </c>
      <c r="C280" t="s">
        <v>314</v>
      </c>
      <c r="D280" t="s">
        <v>4479</v>
      </c>
      <c r="E280" t="s">
        <v>3980</v>
      </c>
      <c r="F280" t="s">
        <v>232</v>
      </c>
      <c r="G280" t="s">
        <v>1406</v>
      </c>
      <c r="H280" s="6">
        <v>46022</v>
      </c>
      <c r="I280" t="s">
        <v>29</v>
      </c>
      <c r="J280">
        <v>8</v>
      </c>
      <c r="K280">
        <v>0</v>
      </c>
      <c r="L280">
        <v>0</v>
      </c>
      <c r="M280">
        <v>0</v>
      </c>
      <c r="N280" t="s">
        <v>3915</v>
      </c>
      <c r="O280" t="s">
        <v>3915</v>
      </c>
      <c r="P280" t="s">
        <v>3915</v>
      </c>
      <c r="Q280">
        <v>0</v>
      </c>
      <c r="R280" t="s">
        <v>30</v>
      </c>
      <c r="S280">
        <v>0</v>
      </c>
      <c r="T280">
        <v>0</v>
      </c>
      <c r="U280" t="s">
        <v>3915</v>
      </c>
      <c r="V280" t="s">
        <v>31</v>
      </c>
      <c r="W280">
        <v>0</v>
      </c>
    </row>
    <row r="281" spans="1:23" x14ac:dyDescent="0.25">
      <c r="A281" t="s">
        <v>5182</v>
      </c>
      <c r="B281" t="s">
        <v>1942</v>
      </c>
      <c r="C281" t="s">
        <v>1941</v>
      </c>
      <c r="D281" t="s">
        <v>4479</v>
      </c>
      <c r="E281" t="s">
        <v>3980</v>
      </c>
      <c r="F281" t="s">
        <v>232</v>
      </c>
      <c r="G281" t="s">
        <v>1406</v>
      </c>
      <c r="H281" s="6">
        <v>46022</v>
      </c>
      <c r="I281" t="s">
        <v>29</v>
      </c>
      <c r="J281">
        <v>8</v>
      </c>
      <c r="K281">
        <v>0</v>
      </c>
      <c r="L281">
        <v>0</v>
      </c>
      <c r="M281">
        <v>0</v>
      </c>
      <c r="N281" t="s">
        <v>3915</v>
      </c>
      <c r="O281" t="s">
        <v>3915</v>
      </c>
      <c r="P281" t="s">
        <v>3915</v>
      </c>
      <c r="Q281">
        <v>0</v>
      </c>
      <c r="R281" t="s">
        <v>30</v>
      </c>
      <c r="S281">
        <v>0</v>
      </c>
      <c r="T281">
        <v>0</v>
      </c>
      <c r="U281" t="s">
        <v>3915</v>
      </c>
      <c r="V281" t="s">
        <v>31</v>
      </c>
      <c r="W281">
        <v>0</v>
      </c>
    </row>
    <row r="282" spans="1:23" x14ac:dyDescent="0.25">
      <c r="A282" t="s">
        <v>4021</v>
      </c>
      <c r="B282" t="s">
        <v>317</v>
      </c>
      <c r="C282" t="s">
        <v>318</v>
      </c>
      <c r="D282" t="s">
        <v>4479</v>
      </c>
      <c r="E282" t="s">
        <v>3980</v>
      </c>
      <c r="F282" t="s">
        <v>232</v>
      </c>
      <c r="G282" t="s">
        <v>1406</v>
      </c>
      <c r="H282" s="6">
        <v>46022</v>
      </c>
      <c r="I282" t="s">
        <v>29</v>
      </c>
      <c r="J282">
        <v>6</v>
      </c>
      <c r="K282">
        <v>0</v>
      </c>
      <c r="L282">
        <v>0</v>
      </c>
      <c r="M282">
        <v>0</v>
      </c>
      <c r="N282" t="s">
        <v>3915</v>
      </c>
      <c r="O282" t="s">
        <v>3915</v>
      </c>
      <c r="P282" t="s">
        <v>3915</v>
      </c>
      <c r="Q282">
        <v>0</v>
      </c>
      <c r="R282" t="s">
        <v>30</v>
      </c>
      <c r="S282">
        <v>0</v>
      </c>
      <c r="T282">
        <v>0</v>
      </c>
      <c r="U282" t="s">
        <v>3915</v>
      </c>
      <c r="V282" t="s">
        <v>31</v>
      </c>
      <c r="W282">
        <v>0</v>
      </c>
    </row>
    <row r="283" spans="1:23" x14ac:dyDescent="0.25">
      <c r="A283" t="s">
        <v>4022</v>
      </c>
      <c r="B283" t="s">
        <v>319</v>
      </c>
      <c r="C283" t="s">
        <v>320</v>
      </c>
      <c r="D283" t="s">
        <v>4479</v>
      </c>
      <c r="E283" t="s">
        <v>3980</v>
      </c>
      <c r="F283" t="s">
        <v>232</v>
      </c>
      <c r="G283" t="s">
        <v>1406</v>
      </c>
      <c r="H283" s="6">
        <v>46022</v>
      </c>
      <c r="I283" t="s">
        <v>29</v>
      </c>
      <c r="J283">
        <v>6</v>
      </c>
      <c r="K283">
        <v>0</v>
      </c>
      <c r="L283">
        <v>0</v>
      </c>
      <c r="M283">
        <v>0</v>
      </c>
      <c r="N283" t="s">
        <v>3915</v>
      </c>
      <c r="O283" t="s">
        <v>3915</v>
      </c>
      <c r="P283" t="s">
        <v>3915</v>
      </c>
      <c r="Q283">
        <v>0</v>
      </c>
      <c r="R283" t="s">
        <v>30</v>
      </c>
      <c r="S283">
        <v>0</v>
      </c>
      <c r="T283">
        <v>0</v>
      </c>
      <c r="U283" t="s">
        <v>3915</v>
      </c>
      <c r="V283" t="s">
        <v>31</v>
      </c>
      <c r="W283">
        <v>0</v>
      </c>
    </row>
    <row r="284" spans="1:23" x14ac:dyDescent="0.25">
      <c r="A284" t="s">
        <v>4023</v>
      </c>
      <c r="B284" t="s">
        <v>321</v>
      </c>
      <c r="C284" t="s">
        <v>322</v>
      </c>
      <c r="D284" t="s">
        <v>4479</v>
      </c>
      <c r="E284" t="s">
        <v>3980</v>
      </c>
      <c r="F284" t="s">
        <v>232</v>
      </c>
      <c r="G284" t="s">
        <v>1406</v>
      </c>
      <c r="H284" s="6">
        <v>46022</v>
      </c>
      <c r="I284" t="s">
        <v>29</v>
      </c>
      <c r="J284">
        <v>0</v>
      </c>
      <c r="K284">
        <v>0</v>
      </c>
      <c r="L284">
        <v>0</v>
      </c>
      <c r="M284">
        <v>0</v>
      </c>
      <c r="N284" t="s">
        <v>3915</v>
      </c>
      <c r="O284" t="s">
        <v>3915</v>
      </c>
      <c r="P284" t="s">
        <v>3915</v>
      </c>
      <c r="Q284">
        <v>0</v>
      </c>
      <c r="R284" t="s">
        <v>30</v>
      </c>
      <c r="S284">
        <v>0</v>
      </c>
      <c r="T284">
        <v>0</v>
      </c>
      <c r="U284" t="s">
        <v>3915</v>
      </c>
      <c r="V284" t="s">
        <v>31</v>
      </c>
      <c r="W284">
        <v>0</v>
      </c>
    </row>
    <row r="285" spans="1:23" x14ac:dyDescent="0.25">
      <c r="A285" t="s">
        <v>4024</v>
      </c>
      <c r="B285" t="s">
        <v>323</v>
      </c>
      <c r="C285" t="s">
        <v>324</v>
      </c>
      <c r="D285" t="s">
        <v>4479</v>
      </c>
      <c r="E285" t="s">
        <v>3980</v>
      </c>
      <c r="F285" t="s">
        <v>232</v>
      </c>
      <c r="G285" t="s">
        <v>1406</v>
      </c>
      <c r="H285" s="6">
        <v>46022</v>
      </c>
      <c r="I285" t="s">
        <v>29</v>
      </c>
      <c r="J285">
        <v>0</v>
      </c>
      <c r="K285">
        <v>0</v>
      </c>
      <c r="L285">
        <v>0</v>
      </c>
      <c r="M285">
        <v>0</v>
      </c>
      <c r="N285" t="s">
        <v>3915</v>
      </c>
      <c r="O285" t="s">
        <v>3915</v>
      </c>
      <c r="P285" t="s">
        <v>3915</v>
      </c>
      <c r="Q285">
        <v>0</v>
      </c>
      <c r="R285" t="s">
        <v>30</v>
      </c>
      <c r="S285">
        <v>0</v>
      </c>
      <c r="T285">
        <v>0</v>
      </c>
      <c r="U285" t="s">
        <v>3915</v>
      </c>
      <c r="V285" t="s">
        <v>31</v>
      </c>
      <c r="W285">
        <v>0</v>
      </c>
    </row>
    <row r="286" spans="1:23" x14ac:dyDescent="0.25">
      <c r="A286" t="s">
        <v>4026</v>
      </c>
      <c r="B286" t="s">
        <v>327</v>
      </c>
      <c r="C286" t="s">
        <v>328</v>
      </c>
      <c r="D286" t="s">
        <v>4479</v>
      </c>
      <c r="E286" t="s">
        <v>3980</v>
      </c>
      <c r="F286" t="s">
        <v>232</v>
      </c>
      <c r="G286" t="s">
        <v>1406</v>
      </c>
      <c r="H286" s="6">
        <v>46022</v>
      </c>
      <c r="I286" t="s">
        <v>29</v>
      </c>
      <c r="J286">
        <v>0</v>
      </c>
      <c r="K286">
        <v>0</v>
      </c>
      <c r="L286">
        <v>0</v>
      </c>
      <c r="M286">
        <v>0</v>
      </c>
      <c r="N286" t="s">
        <v>3915</v>
      </c>
      <c r="O286" t="s">
        <v>3915</v>
      </c>
      <c r="P286" t="s">
        <v>3915</v>
      </c>
      <c r="Q286">
        <v>0</v>
      </c>
      <c r="R286" t="s">
        <v>30</v>
      </c>
      <c r="S286">
        <v>0</v>
      </c>
      <c r="T286">
        <v>0</v>
      </c>
      <c r="U286" t="s">
        <v>3915</v>
      </c>
      <c r="V286" t="s">
        <v>31</v>
      </c>
      <c r="W286">
        <v>0</v>
      </c>
    </row>
    <row r="287" spans="1:23" x14ac:dyDescent="0.25">
      <c r="A287" t="s">
        <v>4027</v>
      </c>
      <c r="B287" t="s">
        <v>329</v>
      </c>
      <c r="C287" t="s">
        <v>330</v>
      </c>
      <c r="D287" t="s">
        <v>4479</v>
      </c>
      <c r="E287" t="s">
        <v>3980</v>
      </c>
      <c r="F287" t="s">
        <v>232</v>
      </c>
      <c r="G287" t="s">
        <v>1406</v>
      </c>
      <c r="H287" s="6">
        <v>46022</v>
      </c>
      <c r="I287" t="s">
        <v>29</v>
      </c>
      <c r="J287">
        <v>2</v>
      </c>
      <c r="K287">
        <v>0</v>
      </c>
      <c r="L287">
        <v>0</v>
      </c>
      <c r="M287">
        <v>0</v>
      </c>
      <c r="N287" t="s">
        <v>3915</v>
      </c>
      <c r="O287" t="s">
        <v>3915</v>
      </c>
      <c r="P287" t="s">
        <v>3915</v>
      </c>
      <c r="Q287">
        <v>0</v>
      </c>
      <c r="R287" t="s">
        <v>30</v>
      </c>
      <c r="S287">
        <v>0</v>
      </c>
      <c r="T287">
        <v>0</v>
      </c>
      <c r="U287" t="s">
        <v>3915</v>
      </c>
      <c r="V287" t="s">
        <v>31</v>
      </c>
      <c r="W287">
        <v>0</v>
      </c>
    </row>
    <row r="288" spans="1:23" x14ac:dyDescent="0.25">
      <c r="A288" t="s">
        <v>4028</v>
      </c>
      <c r="B288" t="s">
        <v>331</v>
      </c>
      <c r="C288" t="s">
        <v>332</v>
      </c>
      <c r="D288" t="s">
        <v>4479</v>
      </c>
      <c r="E288" t="s">
        <v>3980</v>
      </c>
      <c r="F288" t="s">
        <v>232</v>
      </c>
      <c r="G288" t="s">
        <v>1406</v>
      </c>
      <c r="H288" s="6">
        <v>46022</v>
      </c>
      <c r="I288" t="s">
        <v>29</v>
      </c>
      <c r="J288">
        <v>26</v>
      </c>
      <c r="K288">
        <v>0</v>
      </c>
      <c r="L288">
        <v>0</v>
      </c>
      <c r="M288">
        <v>0</v>
      </c>
      <c r="N288" t="s">
        <v>3915</v>
      </c>
      <c r="O288" t="s">
        <v>3915</v>
      </c>
      <c r="P288" t="s">
        <v>3915</v>
      </c>
      <c r="Q288">
        <v>0</v>
      </c>
      <c r="R288" t="s">
        <v>30</v>
      </c>
      <c r="S288">
        <v>0</v>
      </c>
      <c r="T288">
        <v>0</v>
      </c>
      <c r="U288" t="s">
        <v>3915</v>
      </c>
      <c r="V288" t="s">
        <v>31</v>
      </c>
      <c r="W288">
        <v>0</v>
      </c>
    </row>
    <row r="289" spans="1:23" x14ac:dyDescent="0.25">
      <c r="A289" t="s">
        <v>4697</v>
      </c>
      <c r="B289" t="s">
        <v>1944</v>
      </c>
      <c r="C289" t="s">
        <v>1943</v>
      </c>
      <c r="D289" t="s">
        <v>4479</v>
      </c>
      <c r="E289" t="s">
        <v>3980</v>
      </c>
      <c r="F289" t="s">
        <v>232</v>
      </c>
      <c r="G289" t="s">
        <v>1406</v>
      </c>
      <c r="H289" s="6">
        <v>46022</v>
      </c>
      <c r="I289" t="s">
        <v>29</v>
      </c>
      <c r="J289">
        <v>25</v>
      </c>
      <c r="K289">
        <v>0</v>
      </c>
      <c r="L289">
        <v>0</v>
      </c>
      <c r="M289">
        <v>0</v>
      </c>
      <c r="N289" t="s">
        <v>3915</v>
      </c>
      <c r="O289" t="s">
        <v>3915</v>
      </c>
      <c r="P289" t="s">
        <v>3915</v>
      </c>
      <c r="Q289">
        <v>0</v>
      </c>
      <c r="R289" t="s">
        <v>30</v>
      </c>
      <c r="S289">
        <v>0</v>
      </c>
      <c r="T289">
        <v>0</v>
      </c>
      <c r="U289" t="s">
        <v>3915</v>
      </c>
      <c r="V289" t="s">
        <v>31</v>
      </c>
      <c r="W289">
        <v>0</v>
      </c>
    </row>
    <row r="290" spans="1:23" x14ac:dyDescent="0.25">
      <c r="A290" t="s">
        <v>4029</v>
      </c>
      <c r="B290" t="s">
        <v>337</v>
      </c>
      <c r="C290" t="s">
        <v>338</v>
      </c>
      <c r="D290" t="s">
        <v>4479</v>
      </c>
      <c r="E290" t="s">
        <v>3980</v>
      </c>
      <c r="F290" t="s">
        <v>232</v>
      </c>
      <c r="G290" t="s">
        <v>1406</v>
      </c>
      <c r="H290" s="6">
        <v>46022</v>
      </c>
      <c r="I290" t="s">
        <v>29</v>
      </c>
      <c r="J290">
        <v>10</v>
      </c>
      <c r="K290">
        <v>0</v>
      </c>
      <c r="L290">
        <v>0</v>
      </c>
      <c r="M290">
        <v>0</v>
      </c>
      <c r="N290" t="s">
        <v>3915</v>
      </c>
      <c r="O290" t="s">
        <v>3915</v>
      </c>
      <c r="P290" t="s">
        <v>3915</v>
      </c>
      <c r="Q290">
        <v>0</v>
      </c>
      <c r="R290" t="s">
        <v>30</v>
      </c>
      <c r="S290">
        <v>0</v>
      </c>
      <c r="T290">
        <v>0</v>
      </c>
      <c r="U290" t="s">
        <v>3915</v>
      </c>
      <c r="V290" t="s">
        <v>31</v>
      </c>
      <c r="W290">
        <v>0</v>
      </c>
    </row>
    <row r="291" spans="1:23" x14ac:dyDescent="0.25">
      <c r="A291" t="s">
        <v>4030</v>
      </c>
      <c r="B291" t="s">
        <v>339</v>
      </c>
      <c r="C291" t="s">
        <v>340</v>
      </c>
      <c r="D291" t="s">
        <v>4479</v>
      </c>
      <c r="E291" t="s">
        <v>3980</v>
      </c>
      <c r="F291" t="s">
        <v>232</v>
      </c>
      <c r="G291" t="s">
        <v>1406</v>
      </c>
      <c r="H291" s="6">
        <v>46022</v>
      </c>
      <c r="I291" t="s">
        <v>29</v>
      </c>
      <c r="J291">
        <v>20</v>
      </c>
      <c r="K291">
        <v>0</v>
      </c>
      <c r="L291">
        <v>0</v>
      </c>
      <c r="M291">
        <v>0</v>
      </c>
      <c r="N291" t="s">
        <v>3915</v>
      </c>
      <c r="O291" t="s">
        <v>3915</v>
      </c>
      <c r="P291" t="s">
        <v>3915</v>
      </c>
      <c r="Q291">
        <v>0</v>
      </c>
      <c r="R291" t="s">
        <v>30</v>
      </c>
      <c r="S291">
        <v>0</v>
      </c>
      <c r="T291">
        <v>0</v>
      </c>
      <c r="U291" t="s">
        <v>3915</v>
      </c>
      <c r="V291" t="s">
        <v>31</v>
      </c>
      <c r="W291">
        <v>0</v>
      </c>
    </row>
    <row r="292" spans="1:23" x14ac:dyDescent="0.25">
      <c r="A292" t="s">
        <v>4031</v>
      </c>
      <c r="B292" t="s">
        <v>341</v>
      </c>
      <c r="C292" t="s">
        <v>342</v>
      </c>
      <c r="D292" t="s">
        <v>4479</v>
      </c>
      <c r="E292" t="s">
        <v>3980</v>
      </c>
      <c r="F292" t="s">
        <v>232</v>
      </c>
      <c r="G292" t="s">
        <v>1406</v>
      </c>
      <c r="H292" s="6">
        <v>46022</v>
      </c>
      <c r="I292" t="s">
        <v>29</v>
      </c>
      <c r="J292">
        <v>21</v>
      </c>
      <c r="K292">
        <v>0</v>
      </c>
      <c r="L292">
        <v>0</v>
      </c>
      <c r="M292">
        <v>0</v>
      </c>
      <c r="N292" t="s">
        <v>3915</v>
      </c>
      <c r="O292" t="s">
        <v>3915</v>
      </c>
      <c r="P292" t="s">
        <v>3915</v>
      </c>
      <c r="Q292">
        <v>0</v>
      </c>
      <c r="R292" t="s">
        <v>30</v>
      </c>
      <c r="S292">
        <v>0</v>
      </c>
      <c r="T292">
        <v>0</v>
      </c>
      <c r="U292" t="s">
        <v>3915</v>
      </c>
      <c r="V292" t="s">
        <v>31</v>
      </c>
      <c r="W292">
        <v>0</v>
      </c>
    </row>
    <row r="293" spans="1:23" x14ac:dyDescent="0.25">
      <c r="A293" t="s">
        <v>4601</v>
      </c>
      <c r="B293" t="s">
        <v>1946</v>
      </c>
      <c r="C293" t="s">
        <v>1945</v>
      </c>
      <c r="D293" t="s">
        <v>4479</v>
      </c>
      <c r="E293" t="s">
        <v>3980</v>
      </c>
      <c r="F293" t="s">
        <v>232</v>
      </c>
      <c r="G293" t="s">
        <v>1406</v>
      </c>
      <c r="H293" s="6">
        <v>46022</v>
      </c>
      <c r="I293" t="s">
        <v>29</v>
      </c>
      <c r="J293">
        <v>2</v>
      </c>
      <c r="K293">
        <v>0</v>
      </c>
      <c r="L293">
        <v>0</v>
      </c>
      <c r="M293">
        <v>0</v>
      </c>
      <c r="N293" t="s">
        <v>3915</v>
      </c>
      <c r="O293" t="s">
        <v>3915</v>
      </c>
      <c r="P293" t="s">
        <v>3915</v>
      </c>
      <c r="Q293">
        <v>0</v>
      </c>
      <c r="R293" t="s">
        <v>30</v>
      </c>
      <c r="S293">
        <v>0</v>
      </c>
      <c r="T293">
        <v>0</v>
      </c>
      <c r="U293" t="s">
        <v>3915</v>
      </c>
      <c r="V293" t="s">
        <v>31</v>
      </c>
      <c r="W293">
        <v>0</v>
      </c>
    </row>
    <row r="294" spans="1:23" x14ac:dyDescent="0.25">
      <c r="A294" t="s">
        <v>4843</v>
      </c>
      <c r="B294" t="s">
        <v>1948</v>
      </c>
      <c r="C294" t="s">
        <v>1947</v>
      </c>
      <c r="D294" t="s">
        <v>4479</v>
      </c>
      <c r="E294" t="s">
        <v>3980</v>
      </c>
      <c r="F294" t="s">
        <v>232</v>
      </c>
      <c r="G294" t="s">
        <v>1406</v>
      </c>
      <c r="H294" s="6">
        <v>46022</v>
      </c>
      <c r="I294" t="s">
        <v>29</v>
      </c>
      <c r="J294">
        <v>9</v>
      </c>
      <c r="K294">
        <v>0</v>
      </c>
      <c r="L294">
        <v>0</v>
      </c>
      <c r="M294">
        <v>0</v>
      </c>
      <c r="N294" t="s">
        <v>3915</v>
      </c>
      <c r="O294" t="s">
        <v>3915</v>
      </c>
      <c r="P294" t="s">
        <v>3915</v>
      </c>
      <c r="Q294">
        <v>0</v>
      </c>
      <c r="R294" t="s">
        <v>30</v>
      </c>
      <c r="S294">
        <v>0</v>
      </c>
      <c r="T294">
        <v>0</v>
      </c>
      <c r="U294" t="s">
        <v>3915</v>
      </c>
      <c r="V294" t="s">
        <v>31</v>
      </c>
      <c r="W294">
        <v>0</v>
      </c>
    </row>
    <row r="295" spans="1:23" x14ac:dyDescent="0.25">
      <c r="A295" t="s">
        <v>4032</v>
      </c>
      <c r="B295" t="s">
        <v>343</v>
      </c>
      <c r="C295" t="s">
        <v>344</v>
      </c>
      <c r="D295" t="s">
        <v>4479</v>
      </c>
      <c r="E295" t="s">
        <v>3980</v>
      </c>
      <c r="F295" t="s">
        <v>232</v>
      </c>
      <c r="G295" t="s">
        <v>1406</v>
      </c>
      <c r="H295" s="6">
        <v>46022</v>
      </c>
      <c r="I295" t="s">
        <v>29</v>
      </c>
      <c r="J295">
        <v>6</v>
      </c>
      <c r="K295">
        <v>0</v>
      </c>
      <c r="L295">
        <v>0</v>
      </c>
      <c r="M295">
        <v>0</v>
      </c>
      <c r="N295" t="s">
        <v>3915</v>
      </c>
      <c r="O295" t="s">
        <v>3915</v>
      </c>
      <c r="P295" t="s">
        <v>3915</v>
      </c>
      <c r="Q295">
        <v>0</v>
      </c>
      <c r="R295" t="s">
        <v>30</v>
      </c>
      <c r="S295">
        <v>0</v>
      </c>
      <c r="T295">
        <v>0</v>
      </c>
      <c r="U295" t="s">
        <v>3915</v>
      </c>
      <c r="V295" t="s">
        <v>31</v>
      </c>
      <c r="W295">
        <v>0</v>
      </c>
    </row>
    <row r="296" spans="1:23" x14ac:dyDescent="0.25">
      <c r="A296" t="s">
        <v>5183</v>
      </c>
      <c r="B296" t="s">
        <v>1950</v>
      </c>
      <c r="C296" t="s">
        <v>1949</v>
      </c>
      <c r="D296" t="s">
        <v>4479</v>
      </c>
      <c r="E296" t="s">
        <v>3980</v>
      </c>
      <c r="F296" t="s">
        <v>232</v>
      </c>
      <c r="G296" t="s">
        <v>1406</v>
      </c>
      <c r="H296" s="6">
        <v>46022</v>
      </c>
      <c r="I296" t="s">
        <v>29</v>
      </c>
      <c r="J296">
        <v>4</v>
      </c>
      <c r="K296">
        <v>0</v>
      </c>
      <c r="L296">
        <v>0</v>
      </c>
      <c r="M296">
        <v>0</v>
      </c>
      <c r="N296" t="s">
        <v>3915</v>
      </c>
      <c r="O296" t="s">
        <v>3915</v>
      </c>
      <c r="P296" t="s">
        <v>3915</v>
      </c>
      <c r="Q296">
        <v>0</v>
      </c>
      <c r="R296" t="s">
        <v>30</v>
      </c>
      <c r="S296">
        <v>0</v>
      </c>
      <c r="T296">
        <v>0</v>
      </c>
      <c r="U296" t="s">
        <v>3915</v>
      </c>
      <c r="V296" t="s">
        <v>31</v>
      </c>
      <c r="W296">
        <v>0</v>
      </c>
    </row>
    <row r="297" spans="1:23" x14ac:dyDescent="0.25">
      <c r="A297" t="s">
        <v>4033</v>
      </c>
      <c r="B297" t="s">
        <v>345</v>
      </c>
      <c r="C297" t="s">
        <v>346</v>
      </c>
      <c r="D297" t="s">
        <v>4479</v>
      </c>
      <c r="E297" t="s">
        <v>3980</v>
      </c>
      <c r="F297" t="s">
        <v>232</v>
      </c>
      <c r="G297" t="s">
        <v>1406</v>
      </c>
      <c r="H297" s="6">
        <v>46022</v>
      </c>
      <c r="I297" t="s">
        <v>29</v>
      </c>
      <c r="J297">
        <v>3</v>
      </c>
      <c r="K297">
        <v>0</v>
      </c>
      <c r="L297">
        <v>0</v>
      </c>
      <c r="M297">
        <v>0</v>
      </c>
      <c r="N297" t="s">
        <v>3915</v>
      </c>
      <c r="O297" t="s">
        <v>3915</v>
      </c>
      <c r="P297" t="s">
        <v>3915</v>
      </c>
      <c r="Q297">
        <v>0</v>
      </c>
      <c r="R297" t="s">
        <v>30</v>
      </c>
      <c r="S297">
        <v>0</v>
      </c>
      <c r="T297">
        <v>0</v>
      </c>
      <c r="U297" t="s">
        <v>3915</v>
      </c>
      <c r="V297" t="s">
        <v>31</v>
      </c>
      <c r="W297">
        <v>0</v>
      </c>
    </row>
    <row r="298" spans="1:23" x14ac:dyDescent="0.25">
      <c r="A298" t="s">
        <v>5184</v>
      </c>
      <c r="B298" t="s">
        <v>1952</v>
      </c>
      <c r="C298" t="s">
        <v>1951</v>
      </c>
      <c r="D298" t="s">
        <v>4479</v>
      </c>
      <c r="E298" t="s">
        <v>3980</v>
      </c>
      <c r="F298" t="s">
        <v>232</v>
      </c>
      <c r="G298" t="s">
        <v>1406</v>
      </c>
      <c r="H298" s="6">
        <v>46022</v>
      </c>
      <c r="I298" t="s">
        <v>29</v>
      </c>
      <c r="J298">
        <v>10</v>
      </c>
      <c r="K298">
        <v>0</v>
      </c>
      <c r="L298">
        <v>0</v>
      </c>
      <c r="M298">
        <v>0</v>
      </c>
      <c r="N298" t="s">
        <v>3915</v>
      </c>
      <c r="O298" t="s">
        <v>3915</v>
      </c>
      <c r="P298" t="s">
        <v>3915</v>
      </c>
      <c r="Q298">
        <v>0</v>
      </c>
      <c r="R298" t="s">
        <v>30</v>
      </c>
      <c r="S298">
        <v>0</v>
      </c>
      <c r="T298">
        <v>0</v>
      </c>
      <c r="U298" t="s">
        <v>3915</v>
      </c>
      <c r="V298" t="s">
        <v>31</v>
      </c>
      <c r="W298">
        <v>0</v>
      </c>
    </row>
    <row r="299" spans="1:23" x14ac:dyDescent="0.25">
      <c r="A299" t="s">
        <v>5185</v>
      </c>
      <c r="B299" t="s">
        <v>1954</v>
      </c>
      <c r="C299" t="s">
        <v>1953</v>
      </c>
      <c r="D299" t="s">
        <v>4479</v>
      </c>
      <c r="E299" t="s">
        <v>3980</v>
      </c>
      <c r="F299" t="s">
        <v>232</v>
      </c>
      <c r="G299" t="s">
        <v>1406</v>
      </c>
      <c r="H299" s="6">
        <v>46022</v>
      </c>
      <c r="I299" t="s">
        <v>29</v>
      </c>
      <c r="J299">
        <v>2</v>
      </c>
      <c r="K299">
        <v>0</v>
      </c>
      <c r="L299">
        <v>0</v>
      </c>
      <c r="M299">
        <v>0</v>
      </c>
      <c r="N299" t="s">
        <v>3915</v>
      </c>
      <c r="O299" t="s">
        <v>3915</v>
      </c>
      <c r="P299" t="s">
        <v>3915</v>
      </c>
      <c r="Q299">
        <v>0</v>
      </c>
      <c r="R299" t="s">
        <v>30</v>
      </c>
      <c r="S299">
        <v>0</v>
      </c>
      <c r="T299">
        <v>0</v>
      </c>
      <c r="U299" t="s">
        <v>3915</v>
      </c>
      <c r="V299" t="s">
        <v>31</v>
      </c>
      <c r="W299">
        <v>0</v>
      </c>
    </row>
    <row r="300" spans="1:23" x14ac:dyDescent="0.25">
      <c r="A300" t="s">
        <v>4034</v>
      </c>
      <c r="B300" t="s">
        <v>349</v>
      </c>
      <c r="C300" t="s">
        <v>350</v>
      </c>
      <c r="D300" t="s">
        <v>4479</v>
      </c>
      <c r="E300" t="s">
        <v>3980</v>
      </c>
      <c r="F300" t="s">
        <v>232</v>
      </c>
      <c r="G300" t="s">
        <v>1406</v>
      </c>
      <c r="H300" s="6">
        <v>46022</v>
      </c>
      <c r="I300" t="s">
        <v>29</v>
      </c>
      <c r="J300">
        <v>2</v>
      </c>
      <c r="K300">
        <v>0</v>
      </c>
      <c r="L300">
        <v>0</v>
      </c>
      <c r="M300">
        <v>0</v>
      </c>
      <c r="N300" t="s">
        <v>3915</v>
      </c>
      <c r="O300" t="s">
        <v>3915</v>
      </c>
      <c r="P300" t="s">
        <v>3915</v>
      </c>
      <c r="Q300">
        <v>0</v>
      </c>
      <c r="R300" t="s">
        <v>30</v>
      </c>
      <c r="S300">
        <v>0</v>
      </c>
      <c r="T300">
        <v>0</v>
      </c>
      <c r="U300" t="s">
        <v>3915</v>
      </c>
      <c r="V300" t="s">
        <v>31</v>
      </c>
      <c r="W300">
        <v>0</v>
      </c>
    </row>
    <row r="301" spans="1:23" x14ac:dyDescent="0.25">
      <c r="A301" t="s">
        <v>5186</v>
      </c>
      <c r="B301" t="s">
        <v>1956</v>
      </c>
      <c r="C301" t="s">
        <v>1955</v>
      </c>
      <c r="D301" t="s">
        <v>4479</v>
      </c>
      <c r="E301" t="s">
        <v>3980</v>
      </c>
      <c r="F301" t="s">
        <v>232</v>
      </c>
      <c r="G301" t="s">
        <v>1406</v>
      </c>
      <c r="H301" s="6">
        <v>46022</v>
      </c>
      <c r="I301" t="s">
        <v>29</v>
      </c>
      <c r="J301">
        <v>5</v>
      </c>
      <c r="K301">
        <v>0</v>
      </c>
      <c r="L301">
        <v>0</v>
      </c>
      <c r="M301">
        <v>0</v>
      </c>
      <c r="N301" t="s">
        <v>3915</v>
      </c>
      <c r="O301" t="s">
        <v>3915</v>
      </c>
      <c r="P301" t="s">
        <v>3915</v>
      </c>
      <c r="Q301">
        <v>0</v>
      </c>
      <c r="R301" t="s">
        <v>30</v>
      </c>
      <c r="S301">
        <v>0</v>
      </c>
      <c r="T301">
        <v>0</v>
      </c>
      <c r="U301" t="s">
        <v>3915</v>
      </c>
      <c r="V301" t="s">
        <v>31</v>
      </c>
      <c r="W301">
        <v>0</v>
      </c>
    </row>
    <row r="302" spans="1:23" x14ac:dyDescent="0.25">
      <c r="A302" t="s">
        <v>4035</v>
      </c>
      <c r="B302" t="s">
        <v>351</v>
      </c>
      <c r="C302" t="s">
        <v>352</v>
      </c>
      <c r="D302" t="s">
        <v>4479</v>
      </c>
      <c r="E302" t="s">
        <v>3980</v>
      </c>
      <c r="F302" t="s">
        <v>232</v>
      </c>
      <c r="G302" t="s">
        <v>1406</v>
      </c>
      <c r="H302" s="6">
        <v>46022</v>
      </c>
      <c r="I302" t="s">
        <v>29</v>
      </c>
      <c r="J302">
        <v>0</v>
      </c>
      <c r="K302">
        <v>0</v>
      </c>
      <c r="L302">
        <v>0</v>
      </c>
      <c r="M302">
        <v>0</v>
      </c>
      <c r="N302" t="s">
        <v>3915</v>
      </c>
      <c r="O302" t="s">
        <v>3915</v>
      </c>
      <c r="P302" t="s">
        <v>3915</v>
      </c>
      <c r="Q302">
        <v>0</v>
      </c>
      <c r="R302" t="s">
        <v>30</v>
      </c>
      <c r="S302">
        <v>0</v>
      </c>
      <c r="T302">
        <v>0</v>
      </c>
      <c r="U302" t="s">
        <v>3915</v>
      </c>
      <c r="V302" t="s">
        <v>31</v>
      </c>
      <c r="W302">
        <v>0</v>
      </c>
    </row>
    <row r="303" spans="1:23" x14ac:dyDescent="0.25">
      <c r="A303" t="s">
        <v>4036</v>
      </c>
      <c r="B303" t="s">
        <v>353</v>
      </c>
      <c r="C303" t="s">
        <v>354</v>
      </c>
      <c r="D303" t="s">
        <v>4479</v>
      </c>
      <c r="E303" t="s">
        <v>3980</v>
      </c>
      <c r="F303" t="s">
        <v>232</v>
      </c>
      <c r="G303" t="s">
        <v>1406</v>
      </c>
      <c r="H303" s="6">
        <v>46022</v>
      </c>
      <c r="I303" t="s">
        <v>29</v>
      </c>
      <c r="J303">
        <v>0</v>
      </c>
      <c r="K303">
        <v>0</v>
      </c>
      <c r="L303">
        <v>0</v>
      </c>
      <c r="M303">
        <v>0</v>
      </c>
      <c r="N303" t="s">
        <v>3915</v>
      </c>
      <c r="O303" t="s">
        <v>3915</v>
      </c>
      <c r="P303" t="s">
        <v>3915</v>
      </c>
      <c r="Q303">
        <v>0</v>
      </c>
      <c r="R303" t="s">
        <v>30</v>
      </c>
      <c r="S303">
        <v>0</v>
      </c>
      <c r="T303">
        <v>0</v>
      </c>
      <c r="U303" t="s">
        <v>3915</v>
      </c>
      <c r="V303" t="s">
        <v>31</v>
      </c>
      <c r="W303">
        <v>0</v>
      </c>
    </row>
    <row r="304" spans="1:23" x14ac:dyDescent="0.25">
      <c r="A304" t="s">
        <v>4812</v>
      </c>
      <c r="B304" t="s">
        <v>1958</v>
      </c>
      <c r="C304" t="s">
        <v>1957</v>
      </c>
      <c r="D304" t="s">
        <v>4479</v>
      </c>
      <c r="E304" t="s">
        <v>3980</v>
      </c>
      <c r="F304" t="s">
        <v>232</v>
      </c>
      <c r="G304" t="s">
        <v>1406</v>
      </c>
      <c r="H304" s="6">
        <v>46022</v>
      </c>
      <c r="I304" t="s">
        <v>29</v>
      </c>
      <c r="J304">
        <v>29</v>
      </c>
      <c r="K304">
        <v>0</v>
      </c>
      <c r="L304">
        <v>0</v>
      </c>
      <c r="M304">
        <v>0</v>
      </c>
      <c r="N304" t="s">
        <v>3915</v>
      </c>
      <c r="O304" t="s">
        <v>3915</v>
      </c>
      <c r="P304" t="s">
        <v>3915</v>
      </c>
      <c r="Q304">
        <v>0</v>
      </c>
      <c r="R304" t="s">
        <v>30</v>
      </c>
      <c r="S304">
        <v>0</v>
      </c>
      <c r="T304">
        <v>0</v>
      </c>
      <c r="U304" t="s">
        <v>3915</v>
      </c>
      <c r="V304" t="s">
        <v>31</v>
      </c>
      <c r="W304">
        <v>0</v>
      </c>
    </row>
    <row r="305" spans="1:23" x14ac:dyDescent="0.25">
      <c r="A305" t="s">
        <v>4037</v>
      </c>
      <c r="B305" t="s">
        <v>355</v>
      </c>
      <c r="C305" t="s">
        <v>356</v>
      </c>
      <c r="D305" t="s">
        <v>4479</v>
      </c>
      <c r="E305" t="s">
        <v>3980</v>
      </c>
      <c r="F305" t="s">
        <v>232</v>
      </c>
      <c r="G305" t="s">
        <v>1406</v>
      </c>
      <c r="H305" s="6">
        <v>46022</v>
      </c>
      <c r="I305" t="s">
        <v>29</v>
      </c>
      <c r="J305">
        <v>172</v>
      </c>
      <c r="K305">
        <v>0</v>
      </c>
      <c r="L305">
        <v>0</v>
      </c>
      <c r="M305">
        <v>0</v>
      </c>
      <c r="N305" t="s">
        <v>3915</v>
      </c>
      <c r="O305" t="s">
        <v>3915</v>
      </c>
      <c r="P305" t="s">
        <v>3915</v>
      </c>
      <c r="Q305">
        <v>0</v>
      </c>
      <c r="R305" t="s">
        <v>30</v>
      </c>
      <c r="S305">
        <v>0</v>
      </c>
      <c r="T305">
        <v>0</v>
      </c>
      <c r="U305" t="s">
        <v>3915</v>
      </c>
      <c r="V305" t="s">
        <v>31</v>
      </c>
      <c r="W305">
        <v>0</v>
      </c>
    </row>
    <row r="306" spans="1:23" x14ac:dyDescent="0.25">
      <c r="A306" t="s">
        <v>4038</v>
      </c>
      <c r="B306" t="s">
        <v>357</v>
      </c>
      <c r="C306" t="s">
        <v>358</v>
      </c>
      <c r="D306" t="s">
        <v>4479</v>
      </c>
      <c r="E306" t="s">
        <v>3980</v>
      </c>
      <c r="F306" t="s">
        <v>232</v>
      </c>
      <c r="G306" t="s">
        <v>1406</v>
      </c>
      <c r="H306" s="6">
        <v>46022</v>
      </c>
      <c r="I306" t="s">
        <v>29</v>
      </c>
      <c r="J306">
        <v>151</v>
      </c>
      <c r="K306">
        <v>0</v>
      </c>
      <c r="L306">
        <v>0</v>
      </c>
      <c r="M306">
        <v>0</v>
      </c>
      <c r="N306" t="s">
        <v>3915</v>
      </c>
      <c r="O306" t="s">
        <v>3915</v>
      </c>
      <c r="P306" t="s">
        <v>3915</v>
      </c>
      <c r="Q306">
        <v>0</v>
      </c>
      <c r="R306" t="s">
        <v>30</v>
      </c>
      <c r="S306">
        <v>0</v>
      </c>
      <c r="T306">
        <v>0</v>
      </c>
      <c r="U306" t="s">
        <v>3915</v>
      </c>
      <c r="V306" t="s">
        <v>31</v>
      </c>
      <c r="W306">
        <v>0</v>
      </c>
    </row>
    <row r="307" spans="1:23" x14ac:dyDescent="0.25">
      <c r="A307" t="s">
        <v>4039</v>
      </c>
      <c r="B307" t="s">
        <v>359</v>
      </c>
      <c r="C307" t="s">
        <v>360</v>
      </c>
      <c r="D307" t="s">
        <v>4479</v>
      </c>
      <c r="E307" t="s">
        <v>3980</v>
      </c>
      <c r="F307" t="s">
        <v>232</v>
      </c>
      <c r="G307" t="s">
        <v>1406</v>
      </c>
      <c r="H307" s="6">
        <v>46022</v>
      </c>
      <c r="I307" t="s">
        <v>29</v>
      </c>
      <c r="J307">
        <v>57</v>
      </c>
      <c r="K307">
        <v>0</v>
      </c>
      <c r="L307">
        <v>0</v>
      </c>
      <c r="M307">
        <v>0</v>
      </c>
      <c r="N307" t="s">
        <v>3915</v>
      </c>
      <c r="O307" t="s">
        <v>3915</v>
      </c>
      <c r="P307" t="s">
        <v>3915</v>
      </c>
      <c r="Q307">
        <v>0</v>
      </c>
      <c r="R307" t="s">
        <v>30</v>
      </c>
      <c r="S307">
        <v>0</v>
      </c>
      <c r="T307">
        <v>0</v>
      </c>
      <c r="U307" t="s">
        <v>3915</v>
      </c>
      <c r="V307" t="s">
        <v>31</v>
      </c>
      <c r="W307">
        <v>0</v>
      </c>
    </row>
    <row r="308" spans="1:23" x14ac:dyDescent="0.25">
      <c r="A308" t="s">
        <v>4681</v>
      </c>
      <c r="B308" t="s">
        <v>1960</v>
      </c>
      <c r="C308" t="s">
        <v>1959</v>
      </c>
      <c r="D308" t="s">
        <v>4479</v>
      </c>
      <c r="E308" t="s">
        <v>3980</v>
      </c>
      <c r="F308" t="s">
        <v>232</v>
      </c>
      <c r="G308" t="s">
        <v>1406</v>
      </c>
      <c r="H308" s="6">
        <v>46022</v>
      </c>
      <c r="I308" t="s">
        <v>29</v>
      </c>
      <c r="J308">
        <v>24</v>
      </c>
      <c r="K308">
        <v>0</v>
      </c>
      <c r="L308">
        <v>0</v>
      </c>
      <c r="M308">
        <v>0</v>
      </c>
      <c r="N308" t="s">
        <v>3915</v>
      </c>
      <c r="O308" t="s">
        <v>3915</v>
      </c>
      <c r="P308" t="s">
        <v>3915</v>
      </c>
      <c r="Q308">
        <v>0</v>
      </c>
      <c r="R308" t="s">
        <v>30</v>
      </c>
      <c r="S308">
        <v>0</v>
      </c>
      <c r="T308">
        <v>0</v>
      </c>
      <c r="U308" t="s">
        <v>3915</v>
      </c>
      <c r="V308" t="s">
        <v>31</v>
      </c>
      <c r="W308">
        <v>0</v>
      </c>
    </row>
    <row r="309" spans="1:23" x14ac:dyDescent="0.25">
      <c r="A309" t="s">
        <v>4040</v>
      </c>
      <c r="B309" t="s">
        <v>361</v>
      </c>
      <c r="C309" t="s">
        <v>362</v>
      </c>
      <c r="D309" t="s">
        <v>4479</v>
      </c>
      <c r="E309" t="s">
        <v>3980</v>
      </c>
      <c r="F309" t="s">
        <v>232</v>
      </c>
      <c r="G309" t="s">
        <v>1406</v>
      </c>
      <c r="H309" s="6">
        <v>46022</v>
      </c>
      <c r="I309" t="s">
        <v>29</v>
      </c>
      <c r="J309">
        <v>102</v>
      </c>
      <c r="K309">
        <v>0</v>
      </c>
      <c r="L309">
        <v>0</v>
      </c>
      <c r="M309">
        <v>0</v>
      </c>
      <c r="N309" t="s">
        <v>3915</v>
      </c>
      <c r="O309" t="s">
        <v>3915</v>
      </c>
      <c r="P309" t="s">
        <v>3915</v>
      </c>
      <c r="Q309">
        <v>0</v>
      </c>
      <c r="R309" t="s">
        <v>30</v>
      </c>
      <c r="S309">
        <v>0</v>
      </c>
      <c r="T309">
        <v>0</v>
      </c>
      <c r="U309" t="s">
        <v>3915</v>
      </c>
      <c r="V309" t="s">
        <v>31</v>
      </c>
      <c r="W309">
        <v>0</v>
      </c>
    </row>
    <row r="310" spans="1:23" x14ac:dyDescent="0.25">
      <c r="A310" t="s">
        <v>4041</v>
      </c>
      <c r="B310" t="s">
        <v>363</v>
      </c>
      <c r="C310" t="s">
        <v>364</v>
      </c>
      <c r="D310" t="s">
        <v>4479</v>
      </c>
      <c r="E310" t="s">
        <v>3980</v>
      </c>
      <c r="F310" t="s">
        <v>232</v>
      </c>
      <c r="G310" t="s">
        <v>1406</v>
      </c>
      <c r="H310" s="6">
        <v>46022</v>
      </c>
      <c r="I310" t="s">
        <v>29</v>
      </c>
      <c r="J310">
        <v>12</v>
      </c>
      <c r="K310">
        <v>0</v>
      </c>
      <c r="L310">
        <v>0</v>
      </c>
      <c r="M310">
        <v>0</v>
      </c>
      <c r="N310" t="s">
        <v>3915</v>
      </c>
      <c r="O310" t="s">
        <v>3915</v>
      </c>
      <c r="P310" t="s">
        <v>3915</v>
      </c>
      <c r="Q310">
        <v>0</v>
      </c>
      <c r="R310" t="s">
        <v>30</v>
      </c>
      <c r="S310">
        <v>0</v>
      </c>
      <c r="T310">
        <v>0</v>
      </c>
      <c r="U310" t="s">
        <v>3915</v>
      </c>
      <c r="V310" t="s">
        <v>31</v>
      </c>
      <c r="W310">
        <v>0</v>
      </c>
    </row>
    <row r="311" spans="1:23" x14ac:dyDescent="0.25">
      <c r="A311" t="s">
        <v>4042</v>
      </c>
      <c r="B311" t="s">
        <v>365</v>
      </c>
      <c r="C311" t="s">
        <v>366</v>
      </c>
      <c r="D311" t="s">
        <v>4479</v>
      </c>
      <c r="E311" t="s">
        <v>3980</v>
      </c>
      <c r="F311" t="s">
        <v>232</v>
      </c>
      <c r="G311" t="s">
        <v>1406</v>
      </c>
      <c r="H311" s="6">
        <v>46022</v>
      </c>
      <c r="I311" t="s">
        <v>29</v>
      </c>
      <c r="J311">
        <v>78</v>
      </c>
      <c r="K311">
        <v>0</v>
      </c>
      <c r="L311">
        <v>0</v>
      </c>
      <c r="M311">
        <v>0</v>
      </c>
      <c r="N311" t="s">
        <v>3915</v>
      </c>
      <c r="O311" t="s">
        <v>3915</v>
      </c>
      <c r="P311" t="s">
        <v>3915</v>
      </c>
      <c r="Q311">
        <v>0</v>
      </c>
      <c r="R311" t="s">
        <v>30</v>
      </c>
      <c r="S311">
        <v>0</v>
      </c>
      <c r="T311">
        <v>0</v>
      </c>
      <c r="U311" t="s">
        <v>3915</v>
      </c>
      <c r="V311" t="s">
        <v>31</v>
      </c>
      <c r="W311">
        <v>0</v>
      </c>
    </row>
    <row r="312" spans="1:23" x14ac:dyDescent="0.25">
      <c r="A312" t="s">
        <v>4043</v>
      </c>
      <c r="B312" t="s">
        <v>367</v>
      </c>
      <c r="C312" t="s">
        <v>368</v>
      </c>
      <c r="D312" t="s">
        <v>4479</v>
      </c>
      <c r="E312" t="s">
        <v>3980</v>
      </c>
      <c r="F312" t="s">
        <v>232</v>
      </c>
      <c r="G312" t="s">
        <v>1406</v>
      </c>
      <c r="H312" s="6">
        <v>46022</v>
      </c>
      <c r="I312" t="s">
        <v>29</v>
      </c>
      <c r="J312">
        <v>232</v>
      </c>
      <c r="K312">
        <v>0</v>
      </c>
      <c r="L312">
        <v>0</v>
      </c>
      <c r="M312">
        <v>0</v>
      </c>
      <c r="N312" t="s">
        <v>3915</v>
      </c>
      <c r="O312" t="s">
        <v>3915</v>
      </c>
      <c r="P312" t="s">
        <v>3915</v>
      </c>
      <c r="Q312">
        <v>0</v>
      </c>
      <c r="R312" t="s">
        <v>30</v>
      </c>
      <c r="S312">
        <v>0</v>
      </c>
      <c r="T312">
        <v>0</v>
      </c>
      <c r="U312" t="s">
        <v>3915</v>
      </c>
      <c r="V312" t="s">
        <v>31</v>
      </c>
      <c r="W312">
        <v>0</v>
      </c>
    </row>
    <row r="313" spans="1:23" x14ac:dyDescent="0.25">
      <c r="A313" t="s">
        <v>4044</v>
      </c>
      <c r="B313" t="s">
        <v>369</v>
      </c>
      <c r="C313" t="s">
        <v>370</v>
      </c>
      <c r="D313" t="s">
        <v>4479</v>
      </c>
      <c r="E313" t="s">
        <v>3980</v>
      </c>
      <c r="F313" t="s">
        <v>232</v>
      </c>
      <c r="G313" t="s">
        <v>1406</v>
      </c>
      <c r="H313" s="6">
        <v>46022</v>
      </c>
      <c r="I313" t="s">
        <v>29</v>
      </c>
      <c r="J313">
        <v>0</v>
      </c>
      <c r="K313">
        <v>0</v>
      </c>
      <c r="L313">
        <v>0</v>
      </c>
      <c r="M313">
        <v>0</v>
      </c>
      <c r="N313" t="s">
        <v>3915</v>
      </c>
      <c r="O313" t="s">
        <v>3915</v>
      </c>
      <c r="P313" t="s">
        <v>3915</v>
      </c>
      <c r="Q313">
        <v>0</v>
      </c>
      <c r="R313" t="s">
        <v>30</v>
      </c>
      <c r="S313">
        <v>0</v>
      </c>
      <c r="T313">
        <v>0</v>
      </c>
      <c r="U313" t="s">
        <v>3915</v>
      </c>
      <c r="V313" t="s">
        <v>31</v>
      </c>
      <c r="W313">
        <v>0</v>
      </c>
    </row>
    <row r="314" spans="1:23" x14ac:dyDescent="0.25">
      <c r="A314" t="s">
        <v>4045</v>
      </c>
      <c r="B314" t="s">
        <v>371</v>
      </c>
      <c r="C314" t="s">
        <v>372</v>
      </c>
      <c r="D314" t="s">
        <v>4479</v>
      </c>
      <c r="E314" t="s">
        <v>3980</v>
      </c>
      <c r="F314" t="s">
        <v>232</v>
      </c>
      <c r="G314" t="s">
        <v>1406</v>
      </c>
      <c r="H314" s="6">
        <v>46022</v>
      </c>
      <c r="I314" t="s">
        <v>29</v>
      </c>
      <c r="J314">
        <v>62</v>
      </c>
      <c r="K314">
        <v>0</v>
      </c>
      <c r="L314">
        <v>0</v>
      </c>
      <c r="M314">
        <v>0</v>
      </c>
      <c r="N314" t="s">
        <v>3915</v>
      </c>
      <c r="O314" t="s">
        <v>3915</v>
      </c>
      <c r="P314" t="s">
        <v>3915</v>
      </c>
      <c r="Q314">
        <v>0</v>
      </c>
      <c r="R314" t="s">
        <v>30</v>
      </c>
      <c r="S314">
        <v>0</v>
      </c>
      <c r="T314">
        <v>0</v>
      </c>
      <c r="U314" t="s">
        <v>3915</v>
      </c>
      <c r="V314" t="s">
        <v>31</v>
      </c>
      <c r="W314">
        <v>0</v>
      </c>
    </row>
    <row r="315" spans="1:23" x14ac:dyDescent="0.25">
      <c r="A315" t="s">
        <v>4046</v>
      </c>
      <c r="B315" t="s">
        <v>373</v>
      </c>
      <c r="C315" t="s">
        <v>374</v>
      </c>
      <c r="D315" t="s">
        <v>4479</v>
      </c>
      <c r="E315" t="s">
        <v>3980</v>
      </c>
      <c r="F315" t="s">
        <v>232</v>
      </c>
      <c r="G315" t="s">
        <v>1406</v>
      </c>
      <c r="H315" s="6">
        <v>46022</v>
      </c>
      <c r="I315" t="s">
        <v>29</v>
      </c>
      <c r="J315">
        <v>22</v>
      </c>
      <c r="K315">
        <v>0</v>
      </c>
      <c r="L315">
        <v>0</v>
      </c>
      <c r="M315">
        <v>0</v>
      </c>
      <c r="N315" t="s">
        <v>3915</v>
      </c>
      <c r="O315" t="s">
        <v>3915</v>
      </c>
      <c r="P315" t="s">
        <v>3915</v>
      </c>
      <c r="Q315">
        <v>0</v>
      </c>
      <c r="R315" t="s">
        <v>30</v>
      </c>
      <c r="S315">
        <v>0</v>
      </c>
      <c r="T315">
        <v>0</v>
      </c>
      <c r="U315" t="s">
        <v>3915</v>
      </c>
      <c r="V315" t="s">
        <v>31</v>
      </c>
      <c r="W315">
        <v>0</v>
      </c>
    </row>
    <row r="316" spans="1:23" x14ac:dyDescent="0.25">
      <c r="A316" t="s">
        <v>4047</v>
      </c>
      <c r="B316" t="s">
        <v>375</v>
      </c>
      <c r="C316" t="s">
        <v>376</v>
      </c>
      <c r="D316" t="s">
        <v>4479</v>
      </c>
      <c r="E316" t="s">
        <v>3980</v>
      </c>
      <c r="F316" t="s">
        <v>232</v>
      </c>
      <c r="G316" t="s">
        <v>1406</v>
      </c>
      <c r="H316" s="6">
        <v>46022</v>
      </c>
      <c r="I316" t="s">
        <v>29</v>
      </c>
      <c r="J316">
        <v>0</v>
      </c>
      <c r="K316">
        <v>0</v>
      </c>
      <c r="L316">
        <v>0</v>
      </c>
      <c r="M316">
        <v>0</v>
      </c>
      <c r="N316" t="s">
        <v>3915</v>
      </c>
      <c r="O316" t="s">
        <v>3915</v>
      </c>
      <c r="P316" t="s">
        <v>3915</v>
      </c>
      <c r="Q316">
        <v>0</v>
      </c>
      <c r="R316" t="s">
        <v>30</v>
      </c>
      <c r="S316">
        <v>0</v>
      </c>
      <c r="T316">
        <v>0</v>
      </c>
      <c r="U316" t="s">
        <v>3915</v>
      </c>
      <c r="V316" t="s">
        <v>31</v>
      </c>
      <c r="W316">
        <v>0</v>
      </c>
    </row>
    <row r="317" spans="1:23" x14ac:dyDescent="0.25">
      <c r="A317" t="s">
        <v>4048</v>
      </c>
      <c r="B317" t="s">
        <v>377</v>
      </c>
      <c r="C317" t="s">
        <v>378</v>
      </c>
      <c r="D317" t="s">
        <v>4479</v>
      </c>
      <c r="E317" t="s">
        <v>3980</v>
      </c>
      <c r="F317" t="s">
        <v>232</v>
      </c>
      <c r="G317" t="s">
        <v>1406</v>
      </c>
      <c r="H317" s="6">
        <v>46022</v>
      </c>
      <c r="I317" t="s">
        <v>29</v>
      </c>
      <c r="J317">
        <v>15</v>
      </c>
      <c r="K317">
        <v>0</v>
      </c>
      <c r="L317">
        <v>0</v>
      </c>
      <c r="M317">
        <v>0</v>
      </c>
      <c r="N317" t="s">
        <v>3915</v>
      </c>
      <c r="O317" t="s">
        <v>3915</v>
      </c>
      <c r="P317" t="s">
        <v>3915</v>
      </c>
      <c r="Q317">
        <v>0</v>
      </c>
      <c r="R317" t="s">
        <v>30</v>
      </c>
      <c r="S317">
        <v>0</v>
      </c>
      <c r="T317">
        <v>0</v>
      </c>
      <c r="U317" t="s">
        <v>3915</v>
      </c>
      <c r="V317" t="s">
        <v>31</v>
      </c>
      <c r="W317">
        <v>0</v>
      </c>
    </row>
    <row r="318" spans="1:23" x14ac:dyDescent="0.25">
      <c r="A318" t="s">
        <v>4049</v>
      </c>
      <c r="B318" t="s">
        <v>379</v>
      </c>
      <c r="C318" t="s">
        <v>380</v>
      </c>
      <c r="D318" t="s">
        <v>4479</v>
      </c>
      <c r="E318" t="s">
        <v>3980</v>
      </c>
      <c r="F318" t="s">
        <v>232</v>
      </c>
      <c r="G318" t="s">
        <v>1406</v>
      </c>
      <c r="H318" s="6">
        <v>46022</v>
      </c>
      <c r="I318" t="s">
        <v>29</v>
      </c>
      <c r="J318">
        <v>41</v>
      </c>
      <c r="K318">
        <v>0</v>
      </c>
      <c r="L318">
        <v>0</v>
      </c>
      <c r="M318">
        <v>0</v>
      </c>
      <c r="N318" t="s">
        <v>3915</v>
      </c>
      <c r="O318" t="s">
        <v>3915</v>
      </c>
      <c r="P318" t="s">
        <v>3915</v>
      </c>
      <c r="Q318">
        <v>0</v>
      </c>
      <c r="R318" t="s">
        <v>30</v>
      </c>
      <c r="S318">
        <v>0</v>
      </c>
      <c r="T318">
        <v>0</v>
      </c>
      <c r="U318" t="s">
        <v>3915</v>
      </c>
      <c r="V318" t="s">
        <v>31</v>
      </c>
      <c r="W318">
        <v>0</v>
      </c>
    </row>
    <row r="319" spans="1:23" x14ac:dyDescent="0.25">
      <c r="A319" t="s">
        <v>4050</v>
      </c>
      <c r="B319" t="s">
        <v>381</v>
      </c>
      <c r="C319" t="s">
        <v>382</v>
      </c>
      <c r="D319" t="s">
        <v>4479</v>
      </c>
      <c r="E319" t="s">
        <v>3980</v>
      </c>
      <c r="F319" t="s">
        <v>232</v>
      </c>
      <c r="G319" t="s">
        <v>1406</v>
      </c>
      <c r="H319" s="6">
        <v>46022</v>
      </c>
      <c r="I319" t="s">
        <v>29</v>
      </c>
      <c r="J319">
        <v>6</v>
      </c>
      <c r="K319">
        <v>0</v>
      </c>
      <c r="L319">
        <v>0</v>
      </c>
      <c r="M319">
        <v>0</v>
      </c>
      <c r="N319" t="s">
        <v>3915</v>
      </c>
      <c r="O319" t="s">
        <v>3915</v>
      </c>
      <c r="P319" t="s">
        <v>3915</v>
      </c>
      <c r="Q319">
        <v>0</v>
      </c>
      <c r="R319" t="s">
        <v>30</v>
      </c>
      <c r="S319">
        <v>0</v>
      </c>
      <c r="T319">
        <v>0</v>
      </c>
      <c r="U319" t="s">
        <v>3915</v>
      </c>
      <c r="V319" t="s">
        <v>31</v>
      </c>
      <c r="W319">
        <v>0</v>
      </c>
    </row>
    <row r="320" spans="1:23" x14ac:dyDescent="0.25">
      <c r="A320" t="s">
        <v>5187</v>
      </c>
      <c r="B320" t="s">
        <v>1962</v>
      </c>
      <c r="C320" t="s">
        <v>1961</v>
      </c>
      <c r="D320" t="s">
        <v>4479</v>
      </c>
      <c r="E320" t="s">
        <v>3980</v>
      </c>
      <c r="F320" t="s">
        <v>232</v>
      </c>
      <c r="G320" t="s">
        <v>1406</v>
      </c>
      <c r="H320" s="6">
        <v>46022</v>
      </c>
      <c r="I320" t="s">
        <v>29</v>
      </c>
      <c r="J320">
        <v>1</v>
      </c>
      <c r="K320">
        <v>0</v>
      </c>
      <c r="L320">
        <v>0</v>
      </c>
      <c r="M320">
        <v>0</v>
      </c>
      <c r="N320" t="s">
        <v>3915</v>
      </c>
      <c r="O320" t="s">
        <v>3915</v>
      </c>
      <c r="P320" t="s">
        <v>3915</v>
      </c>
      <c r="Q320">
        <v>0</v>
      </c>
      <c r="R320" t="s">
        <v>30</v>
      </c>
      <c r="S320">
        <v>0</v>
      </c>
      <c r="T320">
        <v>0</v>
      </c>
      <c r="U320" t="s">
        <v>3915</v>
      </c>
      <c r="V320" t="s">
        <v>31</v>
      </c>
      <c r="W320">
        <v>0</v>
      </c>
    </row>
    <row r="321" spans="1:23" x14ac:dyDescent="0.25">
      <c r="A321" t="s">
        <v>4051</v>
      </c>
      <c r="B321" t="s">
        <v>383</v>
      </c>
      <c r="C321" t="s">
        <v>384</v>
      </c>
      <c r="D321" t="s">
        <v>4479</v>
      </c>
      <c r="E321" t="s">
        <v>3980</v>
      </c>
      <c r="F321" t="s">
        <v>232</v>
      </c>
      <c r="G321" t="s">
        <v>1406</v>
      </c>
      <c r="H321" s="6">
        <v>46022</v>
      </c>
      <c r="I321" t="s">
        <v>29</v>
      </c>
      <c r="J321">
        <v>10</v>
      </c>
      <c r="K321">
        <v>0</v>
      </c>
      <c r="L321">
        <v>0</v>
      </c>
      <c r="M321">
        <v>0</v>
      </c>
      <c r="N321" t="s">
        <v>3915</v>
      </c>
      <c r="O321" t="s">
        <v>3915</v>
      </c>
      <c r="P321" t="s">
        <v>3915</v>
      </c>
      <c r="Q321">
        <v>0</v>
      </c>
      <c r="R321" t="s">
        <v>30</v>
      </c>
      <c r="S321">
        <v>0</v>
      </c>
      <c r="T321">
        <v>0</v>
      </c>
      <c r="U321" t="s">
        <v>3915</v>
      </c>
      <c r="V321" t="s">
        <v>31</v>
      </c>
      <c r="W321">
        <v>0</v>
      </c>
    </row>
    <row r="322" spans="1:23" x14ac:dyDescent="0.25">
      <c r="A322" t="s">
        <v>5188</v>
      </c>
      <c r="B322" t="s">
        <v>1964</v>
      </c>
      <c r="C322" t="s">
        <v>1963</v>
      </c>
      <c r="D322" t="s">
        <v>4479</v>
      </c>
      <c r="E322" t="s">
        <v>3980</v>
      </c>
      <c r="F322" t="s">
        <v>232</v>
      </c>
      <c r="G322" t="s">
        <v>1406</v>
      </c>
      <c r="H322" s="6">
        <v>46022</v>
      </c>
      <c r="I322" t="s">
        <v>29</v>
      </c>
      <c r="J322">
        <v>6</v>
      </c>
      <c r="K322">
        <v>0</v>
      </c>
      <c r="L322">
        <v>0</v>
      </c>
      <c r="M322">
        <v>0</v>
      </c>
      <c r="N322" t="s">
        <v>3915</v>
      </c>
      <c r="O322" t="s">
        <v>3915</v>
      </c>
      <c r="P322" t="s">
        <v>3915</v>
      </c>
      <c r="Q322">
        <v>0</v>
      </c>
      <c r="R322" t="s">
        <v>30</v>
      </c>
      <c r="S322">
        <v>0</v>
      </c>
      <c r="T322">
        <v>0</v>
      </c>
      <c r="U322" t="s">
        <v>3915</v>
      </c>
      <c r="V322" t="s">
        <v>31</v>
      </c>
      <c r="W322">
        <v>0</v>
      </c>
    </row>
    <row r="323" spans="1:23" x14ac:dyDescent="0.25">
      <c r="A323" t="s">
        <v>4052</v>
      </c>
      <c r="B323" t="s">
        <v>385</v>
      </c>
      <c r="C323" t="s">
        <v>386</v>
      </c>
      <c r="D323" t="s">
        <v>4479</v>
      </c>
      <c r="E323" t="s">
        <v>3980</v>
      </c>
      <c r="F323" t="s">
        <v>232</v>
      </c>
      <c r="G323" t="s">
        <v>1406</v>
      </c>
      <c r="H323" s="6">
        <v>46022</v>
      </c>
      <c r="I323" t="s">
        <v>29</v>
      </c>
      <c r="J323">
        <v>0</v>
      </c>
      <c r="K323">
        <v>0</v>
      </c>
      <c r="L323">
        <v>0</v>
      </c>
      <c r="M323">
        <v>0</v>
      </c>
      <c r="N323" t="s">
        <v>3915</v>
      </c>
      <c r="O323" t="s">
        <v>3915</v>
      </c>
      <c r="P323" t="s">
        <v>3915</v>
      </c>
      <c r="Q323">
        <v>0</v>
      </c>
      <c r="R323" t="s">
        <v>30</v>
      </c>
      <c r="S323">
        <v>0</v>
      </c>
      <c r="T323">
        <v>0</v>
      </c>
      <c r="U323" t="s">
        <v>3915</v>
      </c>
      <c r="V323" t="s">
        <v>31</v>
      </c>
      <c r="W323">
        <v>0</v>
      </c>
    </row>
    <row r="324" spans="1:23" x14ac:dyDescent="0.25">
      <c r="A324" t="s">
        <v>5189</v>
      </c>
      <c r="B324" t="s">
        <v>1966</v>
      </c>
      <c r="C324" t="s">
        <v>1965</v>
      </c>
      <c r="D324" t="s">
        <v>4479</v>
      </c>
      <c r="E324" t="s">
        <v>3980</v>
      </c>
      <c r="F324" t="s">
        <v>232</v>
      </c>
      <c r="G324" t="s">
        <v>1406</v>
      </c>
      <c r="H324" s="6">
        <v>46022</v>
      </c>
      <c r="I324" t="s">
        <v>29</v>
      </c>
      <c r="J324">
        <v>2</v>
      </c>
      <c r="K324">
        <v>0</v>
      </c>
      <c r="L324">
        <v>0</v>
      </c>
      <c r="M324">
        <v>0</v>
      </c>
      <c r="N324" t="s">
        <v>3915</v>
      </c>
      <c r="O324" t="s">
        <v>3915</v>
      </c>
      <c r="P324" t="s">
        <v>3915</v>
      </c>
      <c r="Q324">
        <v>0</v>
      </c>
      <c r="R324" t="s">
        <v>30</v>
      </c>
      <c r="S324">
        <v>0</v>
      </c>
      <c r="T324">
        <v>0</v>
      </c>
      <c r="U324" t="s">
        <v>3915</v>
      </c>
      <c r="V324" t="s">
        <v>31</v>
      </c>
      <c r="W324">
        <v>0</v>
      </c>
    </row>
    <row r="325" spans="1:23" x14ac:dyDescent="0.25">
      <c r="A325" t="s">
        <v>5190</v>
      </c>
      <c r="B325" t="s">
        <v>1446</v>
      </c>
      <c r="C325" t="s">
        <v>1445</v>
      </c>
      <c r="D325" t="s">
        <v>4479</v>
      </c>
      <c r="E325" t="s">
        <v>3980</v>
      </c>
      <c r="F325" t="s">
        <v>232</v>
      </c>
      <c r="G325" t="s">
        <v>1406</v>
      </c>
      <c r="H325" s="6">
        <v>46022</v>
      </c>
      <c r="I325" t="s">
        <v>29</v>
      </c>
      <c r="J325">
        <v>9</v>
      </c>
      <c r="K325">
        <v>0</v>
      </c>
      <c r="L325">
        <v>0</v>
      </c>
      <c r="M325">
        <v>0</v>
      </c>
      <c r="N325" t="s">
        <v>3915</v>
      </c>
      <c r="O325" t="s">
        <v>3915</v>
      </c>
      <c r="P325" t="s">
        <v>3915</v>
      </c>
      <c r="Q325">
        <v>0</v>
      </c>
      <c r="R325" t="s">
        <v>30</v>
      </c>
      <c r="S325">
        <v>0</v>
      </c>
      <c r="T325">
        <v>0</v>
      </c>
      <c r="U325" t="s">
        <v>3915</v>
      </c>
      <c r="V325" t="s">
        <v>31</v>
      </c>
      <c r="W325">
        <v>0</v>
      </c>
    </row>
    <row r="326" spans="1:23" x14ac:dyDescent="0.25">
      <c r="A326" t="s">
        <v>5191</v>
      </c>
      <c r="B326" t="s">
        <v>1448</v>
      </c>
      <c r="C326" t="s">
        <v>1447</v>
      </c>
      <c r="D326" t="s">
        <v>4479</v>
      </c>
      <c r="E326" t="s">
        <v>3980</v>
      </c>
      <c r="F326" t="s">
        <v>232</v>
      </c>
      <c r="G326" t="s">
        <v>1406</v>
      </c>
      <c r="H326" s="6">
        <v>46022</v>
      </c>
      <c r="I326" t="s">
        <v>29</v>
      </c>
      <c r="J326">
        <v>2</v>
      </c>
      <c r="K326">
        <v>0</v>
      </c>
      <c r="L326">
        <v>0</v>
      </c>
      <c r="M326">
        <v>0</v>
      </c>
      <c r="N326" t="s">
        <v>3915</v>
      </c>
      <c r="O326" t="s">
        <v>3915</v>
      </c>
      <c r="P326" t="s">
        <v>3915</v>
      </c>
      <c r="Q326">
        <v>0</v>
      </c>
      <c r="R326" t="s">
        <v>30</v>
      </c>
      <c r="S326">
        <v>0</v>
      </c>
      <c r="T326">
        <v>0</v>
      </c>
      <c r="U326" t="s">
        <v>3915</v>
      </c>
      <c r="V326" t="s">
        <v>31</v>
      </c>
      <c r="W326">
        <v>0</v>
      </c>
    </row>
    <row r="327" spans="1:23" x14ac:dyDescent="0.25">
      <c r="A327" t="s">
        <v>4054</v>
      </c>
      <c r="B327" t="s">
        <v>389</v>
      </c>
      <c r="C327" t="s">
        <v>390</v>
      </c>
      <c r="D327" t="s">
        <v>4479</v>
      </c>
      <c r="E327" t="s">
        <v>3980</v>
      </c>
      <c r="F327" t="s">
        <v>232</v>
      </c>
      <c r="G327" t="s">
        <v>1406</v>
      </c>
      <c r="H327" s="6">
        <v>46022</v>
      </c>
      <c r="I327" t="s">
        <v>29</v>
      </c>
      <c r="J327">
        <v>6</v>
      </c>
      <c r="K327">
        <v>0</v>
      </c>
      <c r="L327">
        <v>0</v>
      </c>
      <c r="M327">
        <v>0</v>
      </c>
      <c r="N327" t="s">
        <v>3915</v>
      </c>
      <c r="O327" t="s">
        <v>3915</v>
      </c>
      <c r="P327" t="s">
        <v>3915</v>
      </c>
      <c r="Q327">
        <v>0</v>
      </c>
      <c r="R327" t="s">
        <v>30</v>
      </c>
      <c r="S327">
        <v>0</v>
      </c>
      <c r="T327">
        <v>0</v>
      </c>
      <c r="U327" t="s">
        <v>3915</v>
      </c>
      <c r="V327" t="s">
        <v>31</v>
      </c>
      <c r="W327">
        <v>0</v>
      </c>
    </row>
    <row r="328" spans="1:23" x14ac:dyDescent="0.25">
      <c r="A328" t="s">
        <v>4055</v>
      </c>
      <c r="B328" t="s">
        <v>391</v>
      </c>
      <c r="C328" t="s">
        <v>392</v>
      </c>
      <c r="D328" t="s">
        <v>4479</v>
      </c>
      <c r="E328" t="s">
        <v>3980</v>
      </c>
      <c r="F328" t="s">
        <v>232</v>
      </c>
      <c r="G328" t="s">
        <v>1406</v>
      </c>
      <c r="H328" s="6">
        <v>46022</v>
      </c>
      <c r="I328" t="s">
        <v>29</v>
      </c>
      <c r="J328">
        <v>2</v>
      </c>
      <c r="K328">
        <v>0</v>
      </c>
      <c r="L328">
        <v>0</v>
      </c>
      <c r="M328">
        <v>0</v>
      </c>
      <c r="N328" t="s">
        <v>3915</v>
      </c>
      <c r="O328" t="s">
        <v>3915</v>
      </c>
      <c r="P328" t="s">
        <v>3915</v>
      </c>
      <c r="Q328">
        <v>0</v>
      </c>
      <c r="R328" t="s">
        <v>30</v>
      </c>
      <c r="S328">
        <v>0</v>
      </c>
      <c r="T328">
        <v>0</v>
      </c>
      <c r="U328" t="s">
        <v>3915</v>
      </c>
      <c r="V328" t="s">
        <v>31</v>
      </c>
      <c r="W328">
        <v>0</v>
      </c>
    </row>
    <row r="329" spans="1:23" x14ac:dyDescent="0.25">
      <c r="A329" t="s">
        <v>5192</v>
      </c>
      <c r="B329" t="s">
        <v>1968</v>
      </c>
      <c r="C329" t="s">
        <v>1967</v>
      </c>
      <c r="D329" t="s">
        <v>4479</v>
      </c>
      <c r="E329" t="s">
        <v>3980</v>
      </c>
      <c r="F329" t="s">
        <v>232</v>
      </c>
      <c r="G329" t="s">
        <v>1406</v>
      </c>
      <c r="H329" s="6">
        <v>46022</v>
      </c>
      <c r="I329" t="s">
        <v>29</v>
      </c>
      <c r="J329">
        <v>4</v>
      </c>
      <c r="K329">
        <v>0</v>
      </c>
      <c r="L329">
        <v>0</v>
      </c>
      <c r="M329">
        <v>0</v>
      </c>
      <c r="N329" t="s">
        <v>3915</v>
      </c>
      <c r="O329" t="s">
        <v>3915</v>
      </c>
      <c r="P329" t="s">
        <v>3915</v>
      </c>
      <c r="Q329">
        <v>0</v>
      </c>
      <c r="R329" t="s">
        <v>30</v>
      </c>
      <c r="S329">
        <v>0</v>
      </c>
      <c r="T329">
        <v>0</v>
      </c>
      <c r="U329" t="s">
        <v>3915</v>
      </c>
      <c r="V329" t="s">
        <v>31</v>
      </c>
      <c r="W329">
        <v>0</v>
      </c>
    </row>
    <row r="330" spans="1:23" x14ac:dyDescent="0.25">
      <c r="A330" t="s">
        <v>5193</v>
      </c>
      <c r="B330" t="s">
        <v>1970</v>
      </c>
      <c r="C330" t="s">
        <v>1969</v>
      </c>
      <c r="D330" t="s">
        <v>4479</v>
      </c>
      <c r="E330" t="s">
        <v>3980</v>
      </c>
      <c r="F330" t="s">
        <v>232</v>
      </c>
      <c r="G330" t="s">
        <v>1406</v>
      </c>
      <c r="H330" s="6">
        <v>46022</v>
      </c>
      <c r="I330" t="s">
        <v>29</v>
      </c>
      <c r="J330">
        <v>4</v>
      </c>
      <c r="K330">
        <v>0</v>
      </c>
      <c r="L330">
        <v>0</v>
      </c>
      <c r="M330">
        <v>0</v>
      </c>
      <c r="N330" t="s">
        <v>3915</v>
      </c>
      <c r="O330" t="s">
        <v>3915</v>
      </c>
      <c r="P330" t="s">
        <v>3915</v>
      </c>
      <c r="Q330">
        <v>0</v>
      </c>
      <c r="R330" t="s">
        <v>30</v>
      </c>
      <c r="S330">
        <v>0</v>
      </c>
      <c r="T330">
        <v>0</v>
      </c>
      <c r="U330" t="s">
        <v>3915</v>
      </c>
      <c r="V330" t="s">
        <v>31</v>
      </c>
      <c r="W330">
        <v>0</v>
      </c>
    </row>
    <row r="331" spans="1:23" x14ac:dyDescent="0.25">
      <c r="A331" t="s">
        <v>5194</v>
      </c>
      <c r="B331" t="s">
        <v>1972</v>
      </c>
      <c r="C331" t="s">
        <v>1971</v>
      </c>
      <c r="D331" t="s">
        <v>4479</v>
      </c>
      <c r="E331" t="s">
        <v>3980</v>
      </c>
      <c r="F331" t="s">
        <v>232</v>
      </c>
      <c r="G331" t="s">
        <v>1406</v>
      </c>
      <c r="H331" s="6">
        <v>46022</v>
      </c>
      <c r="I331" t="s">
        <v>29</v>
      </c>
      <c r="J331">
        <v>10</v>
      </c>
      <c r="K331">
        <v>0</v>
      </c>
      <c r="L331">
        <v>0</v>
      </c>
      <c r="M331">
        <v>0</v>
      </c>
      <c r="N331" t="s">
        <v>3915</v>
      </c>
      <c r="O331" t="s">
        <v>3915</v>
      </c>
      <c r="P331" t="s">
        <v>3915</v>
      </c>
      <c r="Q331">
        <v>0</v>
      </c>
      <c r="R331" t="s">
        <v>30</v>
      </c>
      <c r="S331">
        <v>0</v>
      </c>
      <c r="T331">
        <v>0</v>
      </c>
      <c r="U331" t="s">
        <v>3915</v>
      </c>
      <c r="V331" t="s">
        <v>31</v>
      </c>
      <c r="W331">
        <v>0</v>
      </c>
    </row>
    <row r="332" spans="1:23" x14ac:dyDescent="0.25">
      <c r="A332" t="s">
        <v>4056</v>
      </c>
      <c r="B332" t="s">
        <v>393</v>
      </c>
      <c r="C332" t="s">
        <v>394</v>
      </c>
      <c r="D332" t="s">
        <v>4479</v>
      </c>
      <c r="E332" t="s">
        <v>3980</v>
      </c>
      <c r="F332" t="s">
        <v>232</v>
      </c>
      <c r="G332" t="s">
        <v>1406</v>
      </c>
      <c r="H332" s="6">
        <v>46022</v>
      </c>
      <c r="I332" t="s">
        <v>29</v>
      </c>
      <c r="J332">
        <v>5</v>
      </c>
      <c r="K332">
        <v>0</v>
      </c>
      <c r="L332">
        <v>0</v>
      </c>
      <c r="M332">
        <v>0</v>
      </c>
      <c r="N332" t="s">
        <v>3915</v>
      </c>
      <c r="O332" t="s">
        <v>3915</v>
      </c>
      <c r="P332" t="s">
        <v>3915</v>
      </c>
      <c r="Q332">
        <v>0</v>
      </c>
      <c r="R332" t="s">
        <v>30</v>
      </c>
      <c r="S332">
        <v>0</v>
      </c>
      <c r="T332">
        <v>0</v>
      </c>
      <c r="U332" t="s">
        <v>3915</v>
      </c>
      <c r="V332" t="s">
        <v>31</v>
      </c>
      <c r="W332">
        <v>0</v>
      </c>
    </row>
    <row r="333" spans="1:23" x14ac:dyDescent="0.25">
      <c r="A333" t="s">
        <v>5195</v>
      </c>
      <c r="B333" t="s">
        <v>1974</v>
      </c>
      <c r="C333" t="s">
        <v>1973</v>
      </c>
      <c r="D333" t="s">
        <v>4479</v>
      </c>
      <c r="E333" t="s">
        <v>3980</v>
      </c>
      <c r="F333" t="s">
        <v>232</v>
      </c>
      <c r="G333" t="s">
        <v>1406</v>
      </c>
      <c r="H333" s="6">
        <v>46022</v>
      </c>
      <c r="I333" t="s">
        <v>29</v>
      </c>
      <c r="J333">
        <v>9</v>
      </c>
      <c r="K333">
        <v>0</v>
      </c>
      <c r="L333">
        <v>0</v>
      </c>
      <c r="M333">
        <v>0</v>
      </c>
      <c r="N333" t="s">
        <v>3915</v>
      </c>
      <c r="O333" t="s">
        <v>3915</v>
      </c>
      <c r="P333" t="s">
        <v>3915</v>
      </c>
      <c r="Q333">
        <v>0</v>
      </c>
      <c r="R333" t="s">
        <v>30</v>
      </c>
      <c r="S333">
        <v>0</v>
      </c>
      <c r="T333">
        <v>0</v>
      </c>
      <c r="U333" t="s">
        <v>3915</v>
      </c>
      <c r="V333" t="s">
        <v>31</v>
      </c>
      <c r="W333">
        <v>0</v>
      </c>
    </row>
    <row r="334" spans="1:23" x14ac:dyDescent="0.25">
      <c r="A334" t="s">
        <v>4057</v>
      </c>
      <c r="B334" t="s">
        <v>395</v>
      </c>
      <c r="C334" t="s">
        <v>396</v>
      </c>
      <c r="D334" t="s">
        <v>4479</v>
      </c>
      <c r="E334" t="s">
        <v>3980</v>
      </c>
      <c r="F334" t="s">
        <v>232</v>
      </c>
      <c r="G334" t="s">
        <v>1406</v>
      </c>
      <c r="H334" s="6">
        <v>46022</v>
      </c>
      <c r="I334" t="s">
        <v>29</v>
      </c>
      <c r="J334">
        <v>0</v>
      </c>
      <c r="K334">
        <v>0</v>
      </c>
      <c r="L334">
        <v>0</v>
      </c>
      <c r="M334">
        <v>0</v>
      </c>
      <c r="N334" t="s">
        <v>3915</v>
      </c>
      <c r="O334" t="s">
        <v>3915</v>
      </c>
      <c r="P334" t="s">
        <v>3915</v>
      </c>
      <c r="Q334">
        <v>0</v>
      </c>
      <c r="R334" t="s">
        <v>30</v>
      </c>
      <c r="S334">
        <v>0</v>
      </c>
      <c r="T334">
        <v>0</v>
      </c>
      <c r="U334" t="s">
        <v>3915</v>
      </c>
      <c r="V334" t="s">
        <v>31</v>
      </c>
      <c r="W334">
        <v>0</v>
      </c>
    </row>
    <row r="335" spans="1:23" x14ac:dyDescent="0.25">
      <c r="A335" t="s">
        <v>5196</v>
      </c>
      <c r="B335" t="s">
        <v>1976</v>
      </c>
      <c r="C335" t="s">
        <v>1975</v>
      </c>
      <c r="D335" t="s">
        <v>4479</v>
      </c>
      <c r="E335" t="s">
        <v>3980</v>
      </c>
      <c r="F335" t="s">
        <v>232</v>
      </c>
      <c r="G335" t="s">
        <v>1406</v>
      </c>
      <c r="H335" s="6">
        <v>46022</v>
      </c>
      <c r="I335" t="s">
        <v>29</v>
      </c>
      <c r="J335">
        <v>1486</v>
      </c>
      <c r="K335">
        <v>0</v>
      </c>
      <c r="L335">
        <v>0</v>
      </c>
      <c r="M335">
        <v>0</v>
      </c>
      <c r="N335" t="s">
        <v>3915</v>
      </c>
      <c r="O335" t="s">
        <v>3915</v>
      </c>
      <c r="P335" t="s">
        <v>3915</v>
      </c>
      <c r="Q335">
        <v>0</v>
      </c>
      <c r="R335" t="s">
        <v>30</v>
      </c>
      <c r="S335">
        <v>0</v>
      </c>
      <c r="T335">
        <v>0</v>
      </c>
      <c r="U335" t="s">
        <v>3915</v>
      </c>
      <c r="V335" t="s">
        <v>31</v>
      </c>
      <c r="W335">
        <v>0</v>
      </c>
    </row>
    <row r="336" spans="1:23" x14ac:dyDescent="0.25">
      <c r="A336" t="s">
        <v>5197</v>
      </c>
      <c r="B336" t="s">
        <v>1978</v>
      </c>
      <c r="C336" t="s">
        <v>1977</v>
      </c>
      <c r="D336" t="s">
        <v>4479</v>
      </c>
      <c r="E336" t="s">
        <v>3980</v>
      </c>
      <c r="F336" t="s">
        <v>232</v>
      </c>
      <c r="G336" t="s">
        <v>1406</v>
      </c>
      <c r="H336" s="6">
        <v>46022</v>
      </c>
      <c r="I336" t="s">
        <v>29</v>
      </c>
      <c r="J336">
        <v>2</v>
      </c>
      <c r="K336">
        <v>0</v>
      </c>
      <c r="L336">
        <v>0</v>
      </c>
      <c r="M336">
        <v>0</v>
      </c>
      <c r="N336" t="s">
        <v>3915</v>
      </c>
      <c r="O336" t="s">
        <v>3915</v>
      </c>
      <c r="P336" t="s">
        <v>3915</v>
      </c>
      <c r="Q336">
        <v>0</v>
      </c>
      <c r="R336" t="s">
        <v>30</v>
      </c>
      <c r="S336">
        <v>0</v>
      </c>
      <c r="T336">
        <v>0</v>
      </c>
      <c r="U336" t="s">
        <v>3915</v>
      </c>
      <c r="V336" t="s">
        <v>31</v>
      </c>
      <c r="W336">
        <v>0</v>
      </c>
    </row>
    <row r="337" spans="1:23" x14ac:dyDescent="0.25">
      <c r="A337" t="s">
        <v>5198</v>
      </c>
      <c r="B337" t="s">
        <v>1980</v>
      </c>
      <c r="C337" t="s">
        <v>1979</v>
      </c>
      <c r="D337" t="s">
        <v>4479</v>
      </c>
      <c r="E337" t="s">
        <v>3980</v>
      </c>
      <c r="F337" t="s">
        <v>232</v>
      </c>
      <c r="G337" t="s">
        <v>1406</v>
      </c>
      <c r="H337" s="6">
        <v>46022</v>
      </c>
      <c r="I337" t="s">
        <v>29</v>
      </c>
      <c r="J337">
        <v>52</v>
      </c>
      <c r="K337">
        <v>0</v>
      </c>
      <c r="L337">
        <v>0</v>
      </c>
      <c r="M337">
        <v>0</v>
      </c>
      <c r="N337" t="s">
        <v>3915</v>
      </c>
      <c r="O337" t="s">
        <v>3915</v>
      </c>
      <c r="P337" t="s">
        <v>3915</v>
      </c>
      <c r="Q337">
        <v>0</v>
      </c>
      <c r="R337" t="s">
        <v>30</v>
      </c>
      <c r="S337">
        <v>0</v>
      </c>
      <c r="T337">
        <v>0</v>
      </c>
      <c r="U337" t="s">
        <v>3915</v>
      </c>
      <c r="V337" t="s">
        <v>31</v>
      </c>
      <c r="W337">
        <v>0</v>
      </c>
    </row>
    <row r="338" spans="1:23" x14ac:dyDescent="0.25">
      <c r="A338" t="s">
        <v>5199</v>
      </c>
      <c r="B338" t="s">
        <v>1982</v>
      </c>
      <c r="C338" t="s">
        <v>1981</v>
      </c>
      <c r="D338" t="s">
        <v>4479</v>
      </c>
      <c r="E338" t="s">
        <v>3980</v>
      </c>
      <c r="F338" t="s">
        <v>232</v>
      </c>
      <c r="G338" t="s">
        <v>1406</v>
      </c>
      <c r="H338" s="6">
        <v>46022</v>
      </c>
      <c r="I338" t="s">
        <v>29</v>
      </c>
      <c r="J338">
        <v>127</v>
      </c>
      <c r="K338">
        <v>0</v>
      </c>
      <c r="L338">
        <v>0</v>
      </c>
      <c r="M338">
        <v>0</v>
      </c>
      <c r="N338" t="s">
        <v>3915</v>
      </c>
      <c r="O338" t="s">
        <v>3915</v>
      </c>
      <c r="P338" t="s">
        <v>3915</v>
      </c>
      <c r="Q338">
        <v>0</v>
      </c>
      <c r="R338" t="s">
        <v>30</v>
      </c>
      <c r="S338">
        <v>0</v>
      </c>
      <c r="T338">
        <v>0</v>
      </c>
      <c r="U338" t="s">
        <v>3915</v>
      </c>
      <c r="V338" t="s">
        <v>31</v>
      </c>
      <c r="W338">
        <v>0</v>
      </c>
    </row>
    <row r="339" spans="1:23" x14ac:dyDescent="0.25">
      <c r="A339" t="s">
        <v>5200</v>
      </c>
      <c r="B339" t="s">
        <v>1984</v>
      </c>
      <c r="C339" t="s">
        <v>1983</v>
      </c>
      <c r="D339" t="s">
        <v>4479</v>
      </c>
      <c r="E339" t="s">
        <v>3980</v>
      </c>
      <c r="F339" t="s">
        <v>232</v>
      </c>
      <c r="G339" t="s">
        <v>1406</v>
      </c>
      <c r="H339" s="6">
        <v>46022</v>
      </c>
      <c r="I339" t="s">
        <v>29</v>
      </c>
      <c r="J339">
        <v>2</v>
      </c>
      <c r="K339">
        <v>0</v>
      </c>
      <c r="L339">
        <v>0</v>
      </c>
      <c r="M339">
        <v>0</v>
      </c>
      <c r="N339" t="s">
        <v>3915</v>
      </c>
      <c r="O339" t="s">
        <v>3915</v>
      </c>
      <c r="P339" t="s">
        <v>3915</v>
      </c>
      <c r="Q339">
        <v>0</v>
      </c>
      <c r="R339" t="s">
        <v>30</v>
      </c>
      <c r="S339">
        <v>0</v>
      </c>
      <c r="T339">
        <v>0</v>
      </c>
      <c r="U339" t="s">
        <v>3915</v>
      </c>
      <c r="V339" t="s">
        <v>31</v>
      </c>
      <c r="W339">
        <v>0</v>
      </c>
    </row>
    <row r="340" spans="1:23" x14ac:dyDescent="0.25">
      <c r="A340" t="s">
        <v>5201</v>
      </c>
      <c r="B340" t="s">
        <v>1986</v>
      </c>
      <c r="C340" t="s">
        <v>1985</v>
      </c>
      <c r="D340" t="s">
        <v>4479</v>
      </c>
      <c r="E340" t="s">
        <v>3980</v>
      </c>
      <c r="F340" t="s">
        <v>232</v>
      </c>
      <c r="G340" t="s">
        <v>1406</v>
      </c>
      <c r="H340" s="6">
        <v>46022</v>
      </c>
      <c r="I340" t="s">
        <v>29</v>
      </c>
      <c r="J340">
        <v>1</v>
      </c>
      <c r="K340">
        <v>0</v>
      </c>
      <c r="L340">
        <v>0</v>
      </c>
      <c r="M340">
        <v>0</v>
      </c>
      <c r="N340" t="s">
        <v>3915</v>
      </c>
      <c r="O340" t="s">
        <v>3915</v>
      </c>
      <c r="P340" t="s">
        <v>3915</v>
      </c>
      <c r="Q340">
        <v>0</v>
      </c>
      <c r="R340" t="s">
        <v>30</v>
      </c>
      <c r="S340">
        <v>0</v>
      </c>
      <c r="T340">
        <v>0</v>
      </c>
      <c r="U340" t="s">
        <v>3915</v>
      </c>
      <c r="V340" t="s">
        <v>31</v>
      </c>
      <c r="W340">
        <v>0</v>
      </c>
    </row>
    <row r="341" spans="1:23" x14ac:dyDescent="0.25">
      <c r="A341" t="s">
        <v>4626</v>
      </c>
      <c r="B341" t="s">
        <v>1988</v>
      </c>
      <c r="C341" t="s">
        <v>1987</v>
      </c>
      <c r="D341" t="s">
        <v>4479</v>
      </c>
      <c r="E341" t="s">
        <v>3980</v>
      </c>
      <c r="F341" t="s">
        <v>232</v>
      </c>
      <c r="G341" t="s">
        <v>1406</v>
      </c>
      <c r="H341" s="6">
        <v>46022</v>
      </c>
      <c r="I341" t="s">
        <v>29</v>
      </c>
      <c r="J341">
        <v>24</v>
      </c>
      <c r="K341">
        <v>0</v>
      </c>
      <c r="L341">
        <v>0</v>
      </c>
      <c r="M341">
        <v>0</v>
      </c>
      <c r="N341" t="s">
        <v>3915</v>
      </c>
      <c r="O341" t="s">
        <v>3915</v>
      </c>
      <c r="P341" t="s">
        <v>3915</v>
      </c>
      <c r="Q341">
        <v>0</v>
      </c>
      <c r="R341" t="s">
        <v>30</v>
      </c>
      <c r="S341">
        <v>0</v>
      </c>
      <c r="T341">
        <v>0</v>
      </c>
      <c r="U341" t="s">
        <v>3915</v>
      </c>
      <c r="V341" t="s">
        <v>31</v>
      </c>
      <c r="W341">
        <v>0</v>
      </c>
    </row>
    <row r="342" spans="1:23" x14ac:dyDescent="0.25">
      <c r="A342" t="s">
        <v>5202</v>
      </c>
      <c r="B342" t="s">
        <v>1990</v>
      </c>
      <c r="C342" t="s">
        <v>1989</v>
      </c>
      <c r="D342" t="s">
        <v>4479</v>
      </c>
      <c r="E342" t="s">
        <v>3980</v>
      </c>
      <c r="F342" t="s">
        <v>232</v>
      </c>
      <c r="G342" t="s">
        <v>1406</v>
      </c>
      <c r="H342" s="6">
        <v>46022</v>
      </c>
      <c r="I342" t="s">
        <v>29</v>
      </c>
      <c r="J342">
        <v>1</v>
      </c>
      <c r="K342">
        <v>0</v>
      </c>
      <c r="L342">
        <v>0</v>
      </c>
      <c r="M342">
        <v>0</v>
      </c>
      <c r="N342" t="s">
        <v>3915</v>
      </c>
      <c r="O342" t="s">
        <v>3915</v>
      </c>
      <c r="P342" t="s">
        <v>3915</v>
      </c>
      <c r="Q342">
        <v>0</v>
      </c>
      <c r="R342" t="s">
        <v>30</v>
      </c>
      <c r="S342">
        <v>0</v>
      </c>
      <c r="T342">
        <v>0</v>
      </c>
      <c r="U342" t="s">
        <v>3915</v>
      </c>
      <c r="V342" t="s">
        <v>31</v>
      </c>
      <c r="W342">
        <v>0</v>
      </c>
    </row>
    <row r="343" spans="1:23" x14ac:dyDescent="0.25">
      <c r="A343" t="s">
        <v>5203</v>
      </c>
      <c r="B343" t="s">
        <v>1450</v>
      </c>
      <c r="C343" t="s">
        <v>1449</v>
      </c>
      <c r="D343" t="s">
        <v>4479</v>
      </c>
      <c r="E343" t="s">
        <v>3980</v>
      </c>
      <c r="F343" t="s">
        <v>232</v>
      </c>
      <c r="G343" t="s">
        <v>1406</v>
      </c>
      <c r="H343" s="6">
        <v>46022</v>
      </c>
      <c r="I343" t="s">
        <v>29</v>
      </c>
      <c r="J343">
        <v>59</v>
      </c>
      <c r="K343">
        <v>0</v>
      </c>
      <c r="L343">
        <v>0</v>
      </c>
      <c r="M343">
        <v>0</v>
      </c>
      <c r="N343" t="s">
        <v>3915</v>
      </c>
      <c r="O343" t="s">
        <v>3915</v>
      </c>
      <c r="P343" t="s">
        <v>3915</v>
      </c>
      <c r="Q343">
        <v>0</v>
      </c>
      <c r="R343" t="s">
        <v>30</v>
      </c>
      <c r="S343">
        <v>0</v>
      </c>
      <c r="T343">
        <v>0</v>
      </c>
      <c r="U343" t="s">
        <v>3915</v>
      </c>
      <c r="V343" t="s">
        <v>31</v>
      </c>
      <c r="W343">
        <v>0</v>
      </c>
    </row>
    <row r="344" spans="1:23" x14ac:dyDescent="0.25">
      <c r="A344" t="s">
        <v>5204</v>
      </c>
      <c r="B344" t="s">
        <v>1992</v>
      </c>
      <c r="C344" t="s">
        <v>1991</v>
      </c>
      <c r="D344" t="s">
        <v>4479</v>
      </c>
      <c r="E344" t="s">
        <v>3980</v>
      </c>
      <c r="F344" t="s">
        <v>232</v>
      </c>
      <c r="G344" t="s">
        <v>1406</v>
      </c>
      <c r="H344" s="6">
        <v>46022</v>
      </c>
      <c r="I344" t="s">
        <v>29</v>
      </c>
      <c r="J344">
        <v>2</v>
      </c>
      <c r="K344">
        <v>0</v>
      </c>
      <c r="L344">
        <v>0</v>
      </c>
      <c r="M344">
        <v>0</v>
      </c>
      <c r="N344" t="s">
        <v>3915</v>
      </c>
      <c r="O344" t="s">
        <v>3915</v>
      </c>
      <c r="P344" t="s">
        <v>3915</v>
      </c>
      <c r="Q344">
        <v>0</v>
      </c>
      <c r="R344" t="s">
        <v>30</v>
      </c>
      <c r="S344">
        <v>0</v>
      </c>
      <c r="T344">
        <v>0</v>
      </c>
      <c r="U344" t="s">
        <v>3915</v>
      </c>
      <c r="V344" t="s">
        <v>31</v>
      </c>
      <c r="W344">
        <v>0</v>
      </c>
    </row>
    <row r="345" spans="1:23" x14ac:dyDescent="0.25">
      <c r="A345" t="s">
        <v>4654</v>
      </c>
      <c r="B345" t="s">
        <v>1994</v>
      </c>
      <c r="C345" t="s">
        <v>1993</v>
      </c>
      <c r="D345" t="s">
        <v>4479</v>
      </c>
      <c r="E345" t="s">
        <v>3980</v>
      </c>
      <c r="F345" t="s">
        <v>232</v>
      </c>
      <c r="G345" t="s">
        <v>1406</v>
      </c>
      <c r="H345" s="6">
        <v>46022</v>
      </c>
      <c r="I345" t="s">
        <v>29</v>
      </c>
      <c r="J345">
        <v>49</v>
      </c>
      <c r="K345">
        <v>0</v>
      </c>
      <c r="L345">
        <v>0</v>
      </c>
      <c r="M345">
        <v>0</v>
      </c>
      <c r="N345" t="s">
        <v>3915</v>
      </c>
      <c r="O345" t="s">
        <v>3915</v>
      </c>
      <c r="P345" t="s">
        <v>3915</v>
      </c>
      <c r="Q345">
        <v>0</v>
      </c>
      <c r="R345" t="s">
        <v>30</v>
      </c>
      <c r="S345">
        <v>0</v>
      </c>
      <c r="T345">
        <v>0</v>
      </c>
      <c r="U345" t="s">
        <v>3915</v>
      </c>
      <c r="V345" t="s">
        <v>31</v>
      </c>
      <c r="W345">
        <v>0</v>
      </c>
    </row>
    <row r="346" spans="1:23" x14ac:dyDescent="0.25">
      <c r="A346" t="s">
        <v>5205</v>
      </c>
      <c r="B346" t="s">
        <v>1996</v>
      </c>
      <c r="C346" t="s">
        <v>1995</v>
      </c>
      <c r="D346" t="s">
        <v>4479</v>
      </c>
      <c r="E346" t="s">
        <v>3980</v>
      </c>
      <c r="F346" t="s">
        <v>232</v>
      </c>
      <c r="G346" t="s">
        <v>1406</v>
      </c>
      <c r="H346" s="6">
        <v>46022</v>
      </c>
      <c r="I346" t="s">
        <v>29</v>
      </c>
      <c r="J346">
        <v>23</v>
      </c>
      <c r="K346">
        <v>0</v>
      </c>
      <c r="L346">
        <v>0</v>
      </c>
      <c r="M346">
        <v>0</v>
      </c>
      <c r="N346" t="s">
        <v>3915</v>
      </c>
      <c r="O346" t="s">
        <v>3915</v>
      </c>
      <c r="P346" t="s">
        <v>3915</v>
      </c>
      <c r="Q346">
        <v>0</v>
      </c>
      <c r="R346" t="s">
        <v>30</v>
      </c>
      <c r="S346">
        <v>0</v>
      </c>
      <c r="T346">
        <v>0</v>
      </c>
      <c r="U346" t="s">
        <v>3915</v>
      </c>
      <c r="V346" t="s">
        <v>31</v>
      </c>
      <c r="W346">
        <v>0</v>
      </c>
    </row>
    <row r="347" spans="1:23" x14ac:dyDescent="0.25">
      <c r="A347" t="s">
        <v>5206</v>
      </c>
      <c r="B347" t="s">
        <v>1998</v>
      </c>
      <c r="C347" t="s">
        <v>1997</v>
      </c>
      <c r="D347" t="s">
        <v>4479</v>
      </c>
      <c r="E347" t="s">
        <v>3980</v>
      </c>
      <c r="F347" t="s">
        <v>232</v>
      </c>
      <c r="G347" t="s">
        <v>1406</v>
      </c>
      <c r="H347" s="6">
        <v>46022</v>
      </c>
      <c r="I347" t="s">
        <v>29</v>
      </c>
      <c r="J347">
        <v>8</v>
      </c>
      <c r="K347">
        <v>0</v>
      </c>
      <c r="L347">
        <v>0</v>
      </c>
      <c r="M347">
        <v>0</v>
      </c>
      <c r="N347" t="s">
        <v>3915</v>
      </c>
      <c r="O347" t="s">
        <v>3915</v>
      </c>
      <c r="P347" t="s">
        <v>3915</v>
      </c>
      <c r="Q347">
        <v>0</v>
      </c>
      <c r="R347" t="s">
        <v>30</v>
      </c>
      <c r="S347">
        <v>0</v>
      </c>
      <c r="T347">
        <v>0</v>
      </c>
      <c r="U347" t="s">
        <v>3915</v>
      </c>
      <c r="V347" t="s">
        <v>31</v>
      </c>
      <c r="W347">
        <v>0</v>
      </c>
    </row>
    <row r="348" spans="1:23" x14ac:dyDescent="0.25">
      <c r="A348" t="s">
        <v>5207</v>
      </c>
      <c r="B348" t="s">
        <v>2002</v>
      </c>
      <c r="C348" t="s">
        <v>2001</v>
      </c>
      <c r="D348" t="s">
        <v>4479</v>
      </c>
      <c r="E348" t="s">
        <v>3980</v>
      </c>
      <c r="F348" t="s">
        <v>232</v>
      </c>
      <c r="G348" t="s">
        <v>1406</v>
      </c>
      <c r="H348" s="6">
        <v>46022</v>
      </c>
      <c r="I348" t="s">
        <v>29</v>
      </c>
      <c r="J348">
        <v>6</v>
      </c>
      <c r="K348">
        <v>0</v>
      </c>
      <c r="L348">
        <v>0</v>
      </c>
      <c r="M348">
        <v>0</v>
      </c>
      <c r="N348" t="s">
        <v>3915</v>
      </c>
      <c r="O348" t="s">
        <v>3915</v>
      </c>
      <c r="P348" t="s">
        <v>3915</v>
      </c>
      <c r="Q348">
        <v>0</v>
      </c>
      <c r="R348" t="s">
        <v>30</v>
      </c>
      <c r="S348">
        <v>0</v>
      </c>
      <c r="T348">
        <v>0</v>
      </c>
      <c r="U348" t="s">
        <v>3915</v>
      </c>
      <c r="V348" t="s">
        <v>31</v>
      </c>
      <c r="W348">
        <v>0</v>
      </c>
    </row>
    <row r="349" spans="1:23" x14ac:dyDescent="0.25">
      <c r="A349" t="s">
        <v>5030</v>
      </c>
      <c r="B349" t="s">
        <v>2004</v>
      </c>
      <c r="C349" t="s">
        <v>2003</v>
      </c>
      <c r="D349" t="s">
        <v>4479</v>
      </c>
      <c r="E349" t="s">
        <v>3980</v>
      </c>
      <c r="F349" t="s">
        <v>232</v>
      </c>
      <c r="G349" t="s">
        <v>1406</v>
      </c>
      <c r="H349" s="6">
        <v>46022</v>
      </c>
      <c r="I349" t="s">
        <v>29</v>
      </c>
      <c r="J349">
        <v>12</v>
      </c>
      <c r="K349">
        <v>0</v>
      </c>
      <c r="L349">
        <v>0</v>
      </c>
      <c r="M349">
        <v>0</v>
      </c>
      <c r="N349" t="s">
        <v>3915</v>
      </c>
      <c r="O349" t="s">
        <v>3915</v>
      </c>
      <c r="P349" t="s">
        <v>3915</v>
      </c>
      <c r="Q349">
        <v>0</v>
      </c>
      <c r="R349" t="s">
        <v>30</v>
      </c>
      <c r="S349">
        <v>0</v>
      </c>
      <c r="T349">
        <v>0</v>
      </c>
      <c r="U349" t="s">
        <v>3915</v>
      </c>
      <c r="V349" t="s">
        <v>31</v>
      </c>
      <c r="W349">
        <v>0</v>
      </c>
    </row>
    <row r="350" spans="1:23" x14ac:dyDescent="0.25">
      <c r="A350" t="s">
        <v>5208</v>
      </c>
      <c r="B350" t="s">
        <v>2006</v>
      </c>
      <c r="C350" t="s">
        <v>2005</v>
      </c>
      <c r="D350" t="s">
        <v>4479</v>
      </c>
      <c r="E350" t="s">
        <v>3980</v>
      </c>
      <c r="F350" t="s">
        <v>232</v>
      </c>
      <c r="G350" t="s">
        <v>1406</v>
      </c>
      <c r="H350" s="6">
        <v>46022</v>
      </c>
      <c r="I350" t="s">
        <v>29</v>
      </c>
      <c r="J350">
        <v>14</v>
      </c>
      <c r="K350">
        <v>0</v>
      </c>
      <c r="L350">
        <v>0</v>
      </c>
      <c r="M350">
        <v>0</v>
      </c>
      <c r="N350" t="s">
        <v>3915</v>
      </c>
      <c r="O350" t="s">
        <v>3915</v>
      </c>
      <c r="P350" t="s">
        <v>3915</v>
      </c>
      <c r="Q350">
        <v>0</v>
      </c>
      <c r="R350" t="s">
        <v>30</v>
      </c>
      <c r="S350">
        <v>0</v>
      </c>
      <c r="T350">
        <v>0</v>
      </c>
      <c r="U350" t="s">
        <v>3915</v>
      </c>
      <c r="V350" t="s">
        <v>31</v>
      </c>
      <c r="W350">
        <v>0</v>
      </c>
    </row>
    <row r="351" spans="1:23" x14ac:dyDescent="0.25">
      <c r="A351" t="s">
        <v>5209</v>
      </c>
      <c r="B351" t="s">
        <v>2008</v>
      </c>
      <c r="C351" t="s">
        <v>2007</v>
      </c>
      <c r="D351" t="s">
        <v>4479</v>
      </c>
      <c r="E351" t="s">
        <v>3980</v>
      </c>
      <c r="F351" t="s">
        <v>232</v>
      </c>
      <c r="G351" t="s">
        <v>1406</v>
      </c>
      <c r="H351" s="6">
        <v>46022</v>
      </c>
      <c r="I351" t="s">
        <v>29</v>
      </c>
      <c r="J351">
        <v>6</v>
      </c>
      <c r="K351">
        <v>0</v>
      </c>
      <c r="L351">
        <v>0</v>
      </c>
      <c r="M351">
        <v>0</v>
      </c>
      <c r="N351" t="s">
        <v>3915</v>
      </c>
      <c r="O351" t="s">
        <v>3915</v>
      </c>
      <c r="P351" t="s">
        <v>3915</v>
      </c>
      <c r="Q351">
        <v>0</v>
      </c>
      <c r="R351" t="s">
        <v>30</v>
      </c>
      <c r="S351">
        <v>0</v>
      </c>
      <c r="T351">
        <v>0</v>
      </c>
      <c r="U351" t="s">
        <v>3915</v>
      </c>
      <c r="V351" t="s">
        <v>31</v>
      </c>
      <c r="W351">
        <v>0</v>
      </c>
    </row>
    <row r="352" spans="1:23" x14ac:dyDescent="0.25">
      <c r="A352" t="s">
        <v>5210</v>
      </c>
      <c r="B352" t="s">
        <v>2010</v>
      </c>
      <c r="C352" t="s">
        <v>2009</v>
      </c>
      <c r="D352" t="s">
        <v>4479</v>
      </c>
      <c r="E352" t="s">
        <v>3980</v>
      </c>
      <c r="F352" t="s">
        <v>232</v>
      </c>
      <c r="G352" t="s">
        <v>1406</v>
      </c>
      <c r="H352" s="6">
        <v>46022</v>
      </c>
      <c r="I352" t="s">
        <v>29</v>
      </c>
      <c r="J352">
        <v>12</v>
      </c>
      <c r="K352">
        <v>0</v>
      </c>
      <c r="L352">
        <v>0</v>
      </c>
      <c r="M352">
        <v>0</v>
      </c>
      <c r="N352" t="s">
        <v>3915</v>
      </c>
      <c r="O352" t="s">
        <v>3915</v>
      </c>
      <c r="P352" t="s">
        <v>3915</v>
      </c>
      <c r="Q352">
        <v>0</v>
      </c>
      <c r="R352" t="s">
        <v>30</v>
      </c>
      <c r="S352">
        <v>0</v>
      </c>
      <c r="T352">
        <v>0</v>
      </c>
      <c r="U352" t="s">
        <v>3915</v>
      </c>
      <c r="V352" t="s">
        <v>31</v>
      </c>
      <c r="W352">
        <v>0</v>
      </c>
    </row>
    <row r="353" spans="1:23" x14ac:dyDescent="0.25">
      <c r="A353" t="s">
        <v>5211</v>
      </c>
      <c r="B353" t="s">
        <v>2014</v>
      </c>
      <c r="C353" t="s">
        <v>2013</v>
      </c>
      <c r="D353" t="s">
        <v>4479</v>
      </c>
      <c r="E353" t="s">
        <v>3980</v>
      </c>
      <c r="F353" t="s">
        <v>232</v>
      </c>
      <c r="G353" t="s">
        <v>1406</v>
      </c>
      <c r="H353" s="6">
        <v>46022</v>
      </c>
      <c r="I353" t="s">
        <v>29</v>
      </c>
      <c r="J353">
        <v>1</v>
      </c>
      <c r="K353">
        <v>0</v>
      </c>
      <c r="L353">
        <v>0</v>
      </c>
      <c r="M353">
        <v>0</v>
      </c>
      <c r="N353" t="s">
        <v>3915</v>
      </c>
      <c r="O353" t="s">
        <v>3915</v>
      </c>
      <c r="P353" t="s">
        <v>3915</v>
      </c>
      <c r="Q353">
        <v>0</v>
      </c>
      <c r="R353" t="s">
        <v>30</v>
      </c>
      <c r="S353">
        <v>0</v>
      </c>
      <c r="T353">
        <v>0</v>
      </c>
      <c r="U353" t="s">
        <v>3915</v>
      </c>
      <c r="V353" t="s">
        <v>31</v>
      </c>
      <c r="W353">
        <v>0</v>
      </c>
    </row>
    <row r="354" spans="1:23" x14ac:dyDescent="0.25">
      <c r="A354" t="s">
        <v>5212</v>
      </c>
      <c r="B354" t="s">
        <v>2016</v>
      </c>
      <c r="C354" t="s">
        <v>2015</v>
      </c>
      <c r="D354" t="s">
        <v>4479</v>
      </c>
      <c r="E354" t="s">
        <v>3980</v>
      </c>
      <c r="F354" t="s">
        <v>232</v>
      </c>
      <c r="G354" t="s">
        <v>1406</v>
      </c>
      <c r="H354" s="6">
        <v>46022</v>
      </c>
      <c r="I354" t="s">
        <v>29</v>
      </c>
      <c r="J354">
        <v>15</v>
      </c>
      <c r="K354">
        <v>0</v>
      </c>
      <c r="L354">
        <v>0</v>
      </c>
      <c r="M354">
        <v>0</v>
      </c>
      <c r="N354" t="s">
        <v>3915</v>
      </c>
      <c r="O354" t="s">
        <v>3915</v>
      </c>
      <c r="P354" t="s">
        <v>3915</v>
      </c>
      <c r="Q354">
        <v>0</v>
      </c>
      <c r="R354" t="s">
        <v>30</v>
      </c>
      <c r="S354">
        <v>0</v>
      </c>
      <c r="T354">
        <v>0</v>
      </c>
      <c r="U354" t="s">
        <v>3915</v>
      </c>
      <c r="V354" t="s">
        <v>31</v>
      </c>
      <c r="W354">
        <v>0</v>
      </c>
    </row>
    <row r="355" spans="1:23" x14ac:dyDescent="0.25">
      <c r="A355" t="s">
        <v>5213</v>
      </c>
      <c r="B355" t="s">
        <v>1452</v>
      </c>
      <c r="C355" t="s">
        <v>1451</v>
      </c>
      <c r="D355" t="s">
        <v>4479</v>
      </c>
      <c r="E355" t="s">
        <v>3980</v>
      </c>
      <c r="F355" t="s">
        <v>232</v>
      </c>
      <c r="G355" t="s">
        <v>1406</v>
      </c>
      <c r="H355" s="6">
        <v>46022</v>
      </c>
      <c r="I355" t="s">
        <v>29</v>
      </c>
      <c r="J355">
        <v>14</v>
      </c>
      <c r="K355">
        <v>0</v>
      </c>
      <c r="L355">
        <v>0</v>
      </c>
      <c r="M355">
        <v>0</v>
      </c>
      <c r="N355" t="s">
        <v>3915</v>
      </c>
      <c r="O355" t="s">
        <v>3915</v>
      </c>
      <c r="P355" t="s">
        <v>3915</v>
      </c>
      <c r="Q355">
        <v>0</v>
      </c>
      <c r="R355" t="s">
        <v>30</v>
      </c>
      <c r="S355">
        <v>0</v>
      </c>
      <c r="T355">
        <v>0</v>
      </c>
      <c r="U355" t="s">
        <v>3915</v>
      </c>
      <c r="V355" t="s">
        <v>31</v>
      </c>
      <c r="W355">
        <v>0</v>
      </c>
    </row>
    <row r="356" spans="1:23" x14ac:dyDescent="0.25">
      <c r="A356" t="s">
        <v>4058</v>
      </c>
      <c r="B356" t="s">
        <v>397</v>
      </c>
      <c r="C356" t="s">
        <v>398</v>
      </c>
      <c r="D356" t="s">
        <v>4479</v>
      </c>
      <c r="E356" t="s">
        <v>3980</v>
      </c>
      <c r="F356" t="s">
        <v>232</v>
      </c>
      <c r="G356" t="s">
        <v>1406</v>
      </c>
      <c r="H356" s="6">
        <v>46022</v>
      </c>
      <c r="I356" t="s">
        <v>29</v>
      </c>
      <c r="J356">
        <v>26</v>
      </c>
      <c r="K356">
        <v>0</v>
      </c>
      <c r="L356">
        <v>0</v>
      </c>
      <c r="M356">
        <v>0</v>
      </c>
      <c r="N356" t="s">
        <v>3915</v>
      </c>
      <c r="O356" t="s">
        <v>3915</v>
      </c>
      <c r="P356" t="s">
        <v>3915</v>
      </c>
      <c r="Q356">
        <v>0</v>
      </c>
      <c r="R356" t="s">
        <v>30</v>
      </c>
      <c r="S356">
        <v>0</v>
      </c>
      <c r="T356">
        <v>0</v>
      </c>
      <c r="U356" t="s">
        <v>3915</v>
      </c>
      <c r="V356" t="s">
        <v>31</v>
      </c>
      <c r="W356">
        <v>0</v>
      </c>
    </row>
    <row r="357" spans="1:23" x14ac:dyDescent="0.25">
      <c r="A357" t="s">
        <v>4059</v>
      </c>
      <c r="B357" t="s">
        <v>399</v>
      </c>
      <c r="C357" t="s">
        <v>400</v>
      </c>
      <c r="D357" t="s">
        <v>4479</v>
      </c>
      <c r="E357" t="s">
        <v>3980</v>
      </c>
      <c r="F357" t="s">
        <v>232</v>
      </c>
      <c r="G357" t="s">
        <v>1406</v>
      </c>
      <c r="H357" s="6">
        <v>46022</v>
      </c>
      <c r="I357" t="s">
        <v>29</v>
      </c>
      <c r="J357">
        <v>229</v>
      </c>
      <c r="K357">
        <v>0</v>
      </c>
      <c r="L357">
        <v>0</v>
      </c>
      <c r="M357">
        <v>0</v>
      </c>
      <c r="N357" t="s">
        <v>3915</v>
      </c>
      <c r="O357" t="s">
        <v>3915</v>
      </c>
      <c r="P357" t="s">
        <v>3915</v>
      </c>
      <c r="Q357">
        <v>0</v>
      </c>
      <c r="R357" t="s">
        <v>30</v>
      </c>
      <c r="S357">
        <v>0</v>
      </c>
      <c r="T357">
        <v>0</v>
      </c>
      <c r="U357" t="s">
        <v>3915</v>
      </c>
      <c r="V357" t="s">
        <v>31</v>
      </c>
      <c r="W357">
        <v>0</v>
      </c>
    </row>
    <row r="358" spans="1:23" x14ac:dyDescent="0.25">
      <c r="A358" t="s">
        <v>4060</v>
      </c>
      <c r="B358" t="s">
        <v>401</v>
      </c>
      <c r="C358" t="s">
        <v>402</v>
      </c>
      <c r="D358" t="s">
        <v>4479</v>
      </c>
      <c r="E358" t="s">
        <v>3980</v>
      </c>
      <c r="F358" t="s">
        <v>232</v>
      </c>
      <c r="G358" t="s">
        <v>1406</v>
      </c>
      <c r="H358" s="6">
        <v>46022</v>
      </c>
      <c r="I358" t="s">
        <v>29</v>
      </c>
      <c r="J358">
        <v>0</v>
      </c>
      <c r="K358">
        <v>0</v>
      </c>
      <c r="L358">
        <v>0</v>
      </c>
      <c r="M358">
        <v>0</v>
      </c>
      <c r="N358" t="s">
        <v>3915</v>
      </c>
      <c r="O358" t="s">
        <v>3915</v>
      </c>
      <c r="P358" t="s">
        <v>3915</v>
      </c>
      <c r="Q358">
        <v>0</v>
      </c>
      <c r="R358" t="s">
        <v>30</v>
      </c>
      <c r="S358">
        <v>0</v>
      </c>
      <c r="T358">
        <v>0</v>
      </c>
      <c r="U358" t="s">
        <v>3915</v>
      </c>
      <c r="V358" t="s">
        <v>31</v>
      </c>
      <c r="W358">
        <v>0</v>
      </c>
    </row>
    <row r="359" spans="1:23" x14ac:dyDescent="0.25">
      <c r="A359" t="s">
        <v>5214</v>
      </c>
      <c r="B359" t="s">
        <v>1454</v>
      </c>
      <c r="C359" t="s">
        <v>1453</v>
      </c>
      <c r="D359" t="s">
        <v>4479</v>
      </c>
      <c r="E359" t="s">
        <v>3980</v>
      </c>
      <c r="F359" t="s">
        <v>232</v>
      </c>
      <c r="G359" t="s">
        <v>1406</v>
      </c>
      <c r="H359" s="6">
        <v>46022</v>
      </c>
      <c r="I359" t="s">
        <v>29</v>
      </c>
      <c r="J359">
        <v>1</v>
      </c>
      <c r="K359">
        <v>0</v>
      </c>
      <c r="L359">
        <v>0</v>
      </c>
      <c r="M359">
        <v>0</v>
      </c>
      <c r="N359" t="s">
        <v>3915</v>
      </c>
      <c r="O359" t="s">
        <v>3915</v>
      </c>
      <c r="P359" t="s">
        <v>3915</v>
      </c>
      <c r="Q359">
        <v>0</v>
      </c>
      <c r="R359" t="s">
        <v>30</v>
      </c>
      <c r="S359">
        <v>0</v>
      </c>
      <c r="T359">
        <v>0</v>
      </c>
      <c r="U359" t="s">
        <v>3915</v>
      </c>
      <c r="V359" t="s">
        <v>31</v>
      </c>
      <c r="W359">
        <v>0</v>
      </c>
    </row>
    <row r="360" spans="1:23" x14ac:dyDescent="0.25">
      <c r="A360" t="s">
        <v>4061</v>
      </c>
      <c r="B360" t="s">
        <v>403</v>
      </c>
      <c r="C360" t="s">
        <v>404</v>
      </c>
      <c r="D360" t="s">
        <v>4479</v>
      </c>
      <c r="E360" t="s">
        <v>3980</v>
      </c>
      <c r="F360" t="s">
        <v>232</v>
      </c>
      <c r="G360" t="s">
        <v>1406</v>
      </c>
      <c r="H360" s="6">
        <v>46022</v>
      </c>
      <c r="I360" t="s">
        <v>29</v>
      </c>
      <c r="J360">
        <v>7</v>
      </c>
      <c r="K360">
        <v>0</v>
      </c>
      <c r="L360">
        <v>0</v>
      </c>
      <c r="M360">
        <v>0</v>
      </c>
      <c r="N360" t="s">
        <v>3915</v>
      </c>
      <c r="O360" t="s">
        <v>3915</v>
      </c>
      <c r="P360" t="s">
        <v>3915</v>
      </c>
      <c r="Q360">
        <v>0</v>
      </c>
      <c r="R360" t="s">
        <v>30</v>
      </c>
      <c r="S360">
        <v>0</v>
      </c>
      <c r="T360">
        <v>0</v>
      </c>
      <c r="U360" t="s">
        <v>3915</v>
      </c>
      <c r="V360" t="s">
        <v>31</v>
      </c>
      <c r="W360">
        <v>0</v>
      </c>
    </row>
    <row r="361" spans="1:23" x14ac:dyDescent="0.25">
      <c r="A361" t="s">
        <v>4062</v>
      </c>
      <c r="B361" t="s">
        <v>405</v>
      </c>
      <c r="C361" t="s">
        <v>406</v>
      </c>
      <c r="D361" t="s">
        <v>4479</v>
      </c>
      <c r="E361" t="s">
        <v>3980</v>
      </c>
      <c r="F361" t="s">
        <v>232</v>
      </c>
      <c r="G361" t="s">
        <v>1406</v>
      </c>
      <c r="H361" s="6">
        <v>46022</v>
      </c>
      <c r="I361" t="s">
        <v>29</v>
      </c>
      <c r="J361">
        <v>11</v>
      </c>
      <c r="K361">
        <v>0</v>
      </c>
      <c r="L361">
        <v>0</v>
      </c>
      <c r="M361">
        <v>0</v>
      </c>
      <c r="N361" t="s">
        <v>3915</v>
      </c>
      <c r="O361" t="s">
        <v>3915</v>
      </c>
      <c r="P361" t="s">
        <v>3915</v>
      </c>
      <c r="Q361">
        <v>0</v>
      </c>
      <c r="R361" t="s">
        <v>30</v>
      </c>
      <c r="S361">
        <v>0</v>
      </c>
      <c r="T361">
        <v>0</v>
      </c>
      <c r="U361" t="s">
        <v>3915</v>
      </c>
      <c r="V361" t="s">
        <v>31</v>
      </c>
      <c r="W361">
        <v>0</v>
      </c>
    </row>
    <row r="362" spans="1:23" x14ac:dyDescent="0.25">
      <c r="A362" t="s">
        <v>4063</v>
      </c>
      <c r="B362" t="s">
        <v>407</v>
      </c>
      <c r="C362" t="s">
        <v>408</v>
      </c>
      <c r="D362" t="s">
        <v>4479</v>
      </c>
      <c r="E362" t="s">
        <v>3980</v>
      </c>
      <c r="F362" t="s">
        <v>232</v>
      </c>
      <c r="G362" t="s">
        <v>1406</v>
      </c>
      <c r="H362" s="6">
        <v>46022</v>
      </c>
      <c r="I362" t="s">
        <v>29</v>
      </c>
      <c r="J362">
        <v>131</v>
      </c>
      <c r="K362">
        <v>0</v>
      </c>
      <c r="L362">
        <v>0</v>
      </c>
      <c r="M362">
        <v>0</v>
      </c>
      <c r="N362" t="s">
        <v>3915</v>
      </c>
      <c r="O362" t="s">
        <v>3915</v>
      </c>
      <c r="P362" t="s">
        <v>3915</v>
      </c>
      <c r="Q362">
        <v>0</v>
      </c>
      <c r="R362" t="s">
        <v>30</v>
      </c>
      <c r="S362">
        <v>0</v>
      </c>
      <c r="T362">
        <v>0</v>
      </c>
      <c r="U362" t="s">
        <v>3915</v>
      </c>
      <c r="V362" t="s">
        <v>31</v>
      </c>
      <c r="W362">
        <v>0</v>
      </c>
    </row>
    <row r="363" spans="1:23" x14ac:dyDescent="0.25">
      <c r="A363" t="s">
        <v>5215</v>
      </c>
      <c r="B363" t="s">
        <v>2018</v>
      </c>
      <c r="C363" t="s">
        <v>2017</v>
      </c>
      <c r="D363" t="s">
        <v>4479</v>
      </c>
      <c r="E363" t="s">
        <v>3980</v>
      </c>
      <c r="F363" t="s">
        <v>232</v>
      </c>
      <c r="G363" t="s">
        <v>1406</v>
      </c>
      <c r="H363" s="6">
        <v>46022</v>
      </c>
      <c r="I363" t="s">
        <v>29</v>
      </c>
      <c r="J363">
        <v>14</v>
      </c>
      <c r="K363">
        <v>0</v>
      </c>
      <c r="L363">
        <v>0</v>
      </c>
      <c r="M363">
        <v>0</v>
      </c>
      <c r="N363" t="s">
        <v>3915</v>
      </c>
      <c r="O363" t="s">
        <v>3915</v>
      </c>
      <c r="P363" t="s">
        <v>3915</v>
      </c>
      <c r="Q363">
        <v>0</v>
      </c>
      <c r="R363" t="s">
        <v>30</v>
      </c>
      <c r="S363">
        <v>0</v>
      </c>
      <c r="T363">
        <v>0</v>
      </c>
      <c r="U363" t="s">
        <v>3915</v>
      </c>
      <c r="V363" t="s">
        <v>31</v>
      </c>
      <c r="W363">
        <v>0</v>
      </c>
    </row>
    <row r="364" spans="1:23" x14ac:dyDescent="0.25">
      <c r="A364" t="s">
        <v>4064</v>
      </c>
      <c r="B364" t="s">
        <v>409</v>
      </c>
      <c r="C364" t="s">
        <v>410</v>
      </c>
      <c r="D364" t="s">
        <v>4479</v>
      </c>
      <c r="E364" t="s">
        <v>3980</v>
      </c>
      <c r="F364" t="s">
        <v>232</v>
      </c>
      <c r="G364" t="s">
        <v>1406</v>
      </c>
      <c r="H364" s="6">
        <v>46022</v>
      </c>
      <c r="I364" t="s">
        <v>29</v>
      </c>
      <c r="J364">
        <v>0</v>
      </c>
      <c r="K364">
        <v>0</v>
      </c>
      <c r="L364">
        <v>0</v>
      </c>
      <c r="M364">
        <v>0</v>
      </c>
      <c r="N364" t="s">
        <v>3915</v>
      </c>
      <c r="O364" t="s">
        <v>3915</v>
      </c>
      <c r="P364" t="s">
        <v>3915</v>
      </c>
      <c r="Q364">
        <v>0</v>
      </c>
      <c r="R364" t="s">
        <v>30</v>
      </c>
      <c r="S364">
        <v>0</v>
      </c>
      <c r="T364">
        <v>0</v>
      </c>
      <c r="U364" t="s">
        <v>3915</v>
      </c>
      <c r="V364" t="s">
        <v>31</v>
      </c>
      <c r="W364">
        <v>0</v>
      </c>
    </row>
    <row r="365" spans="1:23" x14ac:dyDescent="0.25">
      <c r="A365" t="s">
        <v>4065</v>
      </c>
      <c r="B365" t="s">
        <v>411</v>
      </c>
      <c r="C365" t="s">
        <v>412</v>
      </c>
      <c r="D365" t="s">
        <v>4479</v>
      </c>
      <c r="E365" t="s">
        <v>3980</v>
      </c>
      <c r="F365" t="s">
        <v>232</v>
      </c>
      <c r="G365" t="s">
        <v>1406</v>
      </c>
      <c r="H365" s="6">
        <v>46022</v>
      </c>
      <c r="I365" t="s">
        <v>29</v>
      </c>
      <c r="J365">
        <v>0</v>
      </c>
      <c r="K365">
        <v>0</v>
      </c>
      <c r="L365">
        <v>0</v>
      </c>
      <c r="M365">
        <v>0</v>
      </c>
      <c r="N365" t="s">
        <v>3915</v>
      </c>
      <c r="O365" t="s">
        <v>3915</v>
      </c>
      <c r="P365" t="s">
        <v>3915</v>
      </c>
      <c r="Q365">
        <v>0</v>
      </c>
      <c r="R365" t="s">
        <v>30</v>
      </c>
      <c r="S365">
        <v>0</v>
      </c>
      <c r="T365">
        <v>0</v>
      </c>
      <c r="U365" t="s">
        <v>3915</v>
      </c>
      <c r="V365" t="s">
        <v>31</v>
      </c>
      <c r="W365">
        <v>0</v>
      </c>
    </row>
    <row r="366" spans="1:23" x14ac:dyDescent="0.25">
      <c r="A366" t="s">
        <v>5216</v>
      </c>
      <c r="B366" t="s">
        <v>1456</v>
      </c>
      <c r="C366" t="s">
        <v>1455</v>
      </c>
      <c r="D366" t="s">
        <v>4479</v>
      </c>
      <c r="E366" t="s">
        <v>3980</v>
      </c>
      <c r="F366" t="s">
        <v>232</v>
      </c>
      <c r="G366" t="s">
        <v>1406</v>
      </c>
      <c r="H366" s="6">
        <v>46022</v>
      </c>
      <c r="I366" t="s">
        <v>29</v>
      </c>
      <c r="J366">
        <v>20</v>
      </c>
      <c r="K366">
        <v>0</v>
      </c>
      <c r="L366">
        <v>0</v>
      </c>
      <c r="M366">
        <v>0</v>
      </c>
      <c r="N366" t="s">
        <v>3915</v>
      </c>
      <c r="O366" t="s">
        <v>3915</v>
      </c>
      <c r="P366" t="s">
        <v>3915</v>
      </c>
      <c r="Q366">
        <v>0</v>
      </c>
      <c r="R366" t="s">
        <v>30</v>
      </c>
      <c r="S366">
        <v>0</v>
      </c>
      <c r="T366">
        <v>0</v>
      </c>
      <c r="U366" t="s">
        <v>3915</v>
      </c>
      <c r="V366" t="s">
        <v>31</v>
      </c>
      <c r="W366">
        <v>0</v>
      </c>
    </row>
    <row r="367" spans="1:23" x14ac:dyDescent="0.25">
      <c r="A367" t="s">
        <v>4066</v>
      </c>
      <c r="B367" t="s">
        <v>413</v>
      </c>
      <c r="C367" t="s">
        <v>414</v>
      </c>
      <c r="D367" t="s">
        <v>4479</v>
      </c>
      <c r="E367" t="s">
        <v>3980</v>
      </c>
      <c r="F367" t="s">
        <v>232</v>
      </c>
      <c r="G367" t="s">
        <v>1406</v>
      </c>
      <c r="H367" s="6">
        <v>46022</v>
      </c>
      <c r="I367" t="s">
        <v>29</v>
      </c>
      <c r="J367">
        <v>5</v>
      </c>
      <c r="K367">
        <v>0</v>
      </c>
      <c r="L367">
        <v>0</v>
      </c>
      <c r="M367">
        <v>0</v>
      </c>
      <c r="N367" t="s">
        <v>3915</v>
      </c>
      <c r="O367" t="s">
        <v>3915</v>
      </c>
      <c r="P367" t="s">
        <v>3915</v>
      </c>
      <c r="Q367">
        <v>0</v>
      </c>
      <c r="R367" t="s">
        <v>30</v>
      </c>
      <c r="S367">
        <v>0</v>
      </c>
      <c r="T367">
        <v>0</v>
      </c>
      <c r="U367" t="s">
        <v>3915</v>
      </c>
      <c r="V367" t="s">
        <v>31</v>
      </c>
      <c r="W367">
        <v>0</v>
      </c>
    </row>
    <row r="368" spans="1:23" x14ac:dyDescent="0.25">
      <c r="A368" t="s">
        <v>5217</v>
      </c>
      <c r="B368" t="s">
        <v>2020</v>
      </c>
      <c r="C368" t="s">
        <v>2019</v>
      </c>
      <c r="D368" t="s">
        <v>4479</v>
      </c>
      <c r="E368" t="s">
        <v>3980</v>
      </c>
      <c r="F368" t="s">
        <v>232</v>
      </c>
      <c r="G368" t="s">
        <v>1406</v>
      </c>
      <c r="H368" s="6">
        <v>46022</v>
      </c>
      <c r="I368" t="s">
        <v>29</v>
      </c>
      <c r="J368">
        <v>8</v>
      </c>
      <c r="K368">
        <v>0</v>
      </c>
      <c r="L368">
        <v>0</v>
      </c>
      <c r="M368">
        <v>0</v>
      </c>
      <c r="N368" t="s">
        <v>3915</v>
      </c>
      <c r="O368" t="s">
        <v>3915</v>
      </c>
      <c r="P368" t="s">
        <v>3915</v>
      </c>
      <c r="Q368">
        <v>0</v>
      </c>
      <c r="R368" t="s">
        <v>30</v>
      </c>
      <c r="S368">
        <v>0</v>
      </c>
      <c r="T368">
        <v>0</v>
      </c>
      <c r="U368" t="s">
        <v>3915</v>
      </c>
      <c r="V368" t="s">
        <v>31</v>
      </c>
      <c r="W368">
        <v>0</v>
      </c>
    </row>
    <row r="369" spans="1:23" x14ac:dyDescent="0.25">
      <c r="A369" t="s">
        <v>5218</v>
      </c>
      <c r="B369" t="s">
        <v>2024</v>
      </c>
      <c r="C369" t="s">
        <v>2023</v>
      </c>
      <c r="D369" t="s">
        <v>4479</v>
      </c>
      <c r="E369" t="s">
        <v>3980</v>
      </c>
      <c r="F369" t="s">
        <v>232</v>
      </c>
      <c r="G369" t="s">
        <v>1406</v>
      </c>
      <c r="H369" s="6">
        <v>46022</v>
      </c>
      <c r="I369" t="s">
        <v>29</v>
      </c>
      <c r="J369">
        <v>3</v>
      </c>
      <c r="K369">
        <v>0</v>
      </c>
      <c r="L369">
        <v>0</v>
      </c>
      <c r="M369">
        <v>0</v>
      </c>
      <c r="N369" t="s">
        <v>3915</v>
      </c>
      <c r="O369" t="s">
        <v>3915</v>
      </c>
      <c r="P369" t="s">
        <v>3915</v>
      </c>
      <c r="Q369">
        <v>0</v>
      </c>
      <c r="R369" t="s">
        <v>30</v>
      </c>
      <c r="S369">
        <v>0</v>
      </c>
      <c r="T369">
        <v>0</v>
      </c>
      <c r="U369" t="s">
        <v>3915</v>
      </c>
      <c r="V369" t="s">
        <v>31</v>
      </c>
      <c r="W369">
        <v>0</v>
      </c>
    </row>
    <row r="370" spans="1:23" x14ac:dyDescent="0.25">
      <c r="A370" t="s">
        <v>5219</v>
      </c>
      <c r="B370" t="s">
        <v>2026</v>
      </c>
      <c r="C370" t="s">
        <v>2025</v>
      </c>
      <c r="D370" t="s">
        <v>4479</v>
      </c>
      <c r="E370" t="s">
        <v>3980</v>
      </c>
      <c r="F370" t="s">
        <v>232</v>
      </c>
      <c r="G370" t="s">
        <v>1406</v>
      </c>
      <c r="H370" s="6">
        <v>46022</v>
      </c>
      <c r="I370" t="s">
        <v>29</v>
      </c>
      <c r="J370">
        <v>5</v>
      </c>
      <c r="K370">
        <v>0</v>
      </c>
      <c r="L370">
        <v>0</v>
      </c>
      <c r="M370">
        <v>0</v>
      </c>
      <c r="N370" t="s">
        <v>3915</v>
      </c>
      <c r="O370" t="s">
        <v>3915</v>
      </c>
      <c r="P370" t="s">
        <v>3915</v>
      </c>
      <c r="Q370">
        <v>0</v>
      </c>
      <c r="R370" t="s">
        <v>30</v>
      </c>
      <c r="S370">
        <v>0</v>
      </c>
      <c r="T370">
        <v>0</v>
      </c>
      <c r="U370" t="s">
        <v>3915</v>
      </c>
      <c r="V370" t="s">
        <v>31</v>
      </c>
      <c r="W370">
        <v>0</v>
      </c>
    </row>
    <row r="371" spans="1:23" x14ac:dyDescent="0.25">
      <c r="A371" t="s">
        <v>4067</v>
      </c>
      <c r="B371" t="s">
        <v>415</v>
      </c>
      <c r="C371" t="s">
        <v>416</v>
      </c>
      <c r="D371" t="s">
        <v>4479</v>
      </c>
      <c r="E371" t="s">
        <v>3980</v>
      </c>
      <c r="F371" t="s">
        <v>232</v>
      </c>
      <c r="G371" t="s">
        <v>1406</v>
      </c>
      <c r="H371" s="6">
        <v>46022</v>
      </c>
      <c r="I371" t="s">
        <v>29</v>
      </c>
      <c r="J371">
        <v>4</v>
      </c>
      <c r="K371">
        <v>0</v>
      </c>
      <c r="L371">
        <v>0</v>
      </c>
      <c r="M371">
        <v>0</v>
      </c>
      <c r="N371" t="s">
        <v>3915</v>
      </c>
      <c r="O371" t="s">
        <v>3915</v>
      </c>
      <c r="P371" t="s">
        <v>3915</v>
      </c>
      <c r="Q371">
        <v>0</v>
      </c>
      <c r="R371" t="s">
        <v>30</v>
      </c>
      <c r="S371">
        <v>0</v>
      </c>
      <c r="T371">
        <v>0</v>
      </c>
      <c r="U371" t="s">
        <v>3915</v>
      </c>
      <c r="V371" t="s">
        <v>31</v>
      </c>
      <c r="W371">
        <v>0</v>
      </c>
    </row>
    <row r="372" spans="1:23" x14ac:dyDescent="0.25">
      <c r="A372" t="s">
        <v>5220</v>
      </c>
      <c r="B372" t="s">
        <v>2028</v>
      </c>
      <c r="C372" t="s">
        <v>2027</v>
      </c>
      <c r="D372" t="s">
        <v>4479</v>
      </c>
      <c r="E372" t="s">
        <v>3980</v>
      </c>
      <c r="F372" t="s">
        <v>232</v>
      </c>
      <c r="G372" t="s">
        <v>1406</v>
      </c>
      <c r="H372" s="6">
        <v>46022</v>
      </c>
      <c r="I372" t="s">
        <v>29</v>
      </c>
      <c r="J372">
        <v>6</v>
      </c>
      <c r="K372">
        <v>0</v>
      </c>
      <c r="L372">
        <v>0</v>
      </c>
      <c r="M372">
        <v>0</v>
      </c>
      <c r="N372" t="s">
        <v>3915</v>
      </c>
      <c r="O372" t="s">
        <v>3915</v>
      </c>
      <c r="P372" t="s">
        <v>3915</v>
      </c>
      <c r="Q372">
        <v>0</v>
      </c>
      <c r="R372" t="s">
        <v>30</v>
      </c>
      <c r="S372">
        <v>0</v>
      </c>
      <c r="T372">
        <v>0</v>
      </c>
      <c r="U372" t="s">
        <v>3915</v>
      </c>
      <c r="V372" t="s">
        <v>31</v>
      </c>
      <c r="W372">
        <v>0</v>
      </c>
    </row>
    <row r="373" spans="1:23" x14ac:dyDescent="0.25">
      <c r="A373" t="s">
        <v>4068</v>
      </c>
      <c r="B373" t="s">
        <v>417</v>
      </c>
      <c r="C373" t="s">
        <v>418</v>
      </c>
      <c r="D373" t="s">
        <v>4479</v>
      </c>
      <c r="E373" t="s">
        <v>3980</v>
      </c>
      <c r="F373" t="s">
        <v>232</v>
      </c>
      <c r="G373" t="s">
        <v>1406</v>
      </c>
      <c r="H373" s="6">
        <v>46022</v>
      </c>
      <c r="I373" t="s">
        <v>29</v>
      </c>
      <c r="J373">
        <v>0</v>
      </c>
      <c r="K373">
        <v>0</v>
      </c>
      <c r="L373">
        <v>0</v>
      </c>
      <c r="M373">
        <v>0</v>
      </c>
      <c r="N373" t="s">
        <v>3915</v>
      </c>
      <c r="O373" t="s">
        <v>3915</v>
      </c>
      <c r="P373" t="s">
        <v>3915</v>
      </c>
      <c r="Q373">
        <v>0</v>
      </c>
      <c r="R373" t="s">
        <v>30</v>
      </c>
      <c r="S373">
        <v>0</v>
      </c>
      <c r="T373">
        <v>0</v>
      </c>
      <c r="U373" t="s">
        <v>3915</v>
      </c>
      <c r="V373" t="s">
        <v>31</v>
      </c>
      <c r="W373">
        <v>0</v>
      </c>
    </row>
    <row r="374" spans="1:23" x14ac:dyDescent="0.25">
      <c r="A374" t="s">
        <v>5221</v>
      </c>
      <c r="B374" t="s">
        <v>2030</v>
      </c>
      <c r="C374" t="s">
        <v>2029</v>
      </c>
      <c r="D374" t="s">
        <v>4479</v>
      </c>
      <c r="E374" t="s">
        <v>3980</v>
      </c>
      <c r="F374" t="s">
        <v>232</v>
      </c>
      <c r="G374" t="s">
        <v>1406</v>
      </c>
      <c r="H374" s="6">
        <v>46022</v>
      </c>
      <c r="I374" t="s">
        <v>29</v>
      </c>
      <c r="J374">
        <v>9</v>
      </c>
      <c r="K374">
        <v>0</v>
      </c>
      <c r="L374">
        <v>0</v>
      </c>
      <c r="M374">
        <v>0</v>
      </c>
      <c r="N374" t="s">
        <v>3915</v>
      </c>
      <c r="O374" t="s">
        <v>3915</v>
      </c>
      <c r="P374" t="s">
        <v>3915</v>
      </c>
      <c r="Q374">
        <v>0</v>
      </c>
      <c r="R374" t="s">
        <v>30</v>
      </c>
      <c r="S374">
        <v>0</v>
      </c>
      <c r="T374">
        <v>0</v>
      </c>
      <c r="U374" t="s">
        <v>3915</v>
      </c>
      <c r="V374" t="s">
        <v>31</v>
      </c>
      <c r="W374">
        <v>0</v>
      </c>
    </row>
    <row r="375" spans="1:23" x14ac:dyDescent="0.25">
      <c r="A375" t="s">
        <v>5222</v>
      </c>
      <c r="B375" t="s">
        <v>2032</v>
      </c>
      <c r="C375" t="s">
        <v>2031</v>
      </c>
      <c r="D375" t="s">
        <v>4479</v>
      </c>
      <c r="E375" t="s">
        <v>3980</v>
      </c>
      <c r="F375" t="s">
        <v>232</v>
      </c>
      <c r="G375" t="s">
        <v>1406</v>
      </c>
      <c r="H375" s="6">
        <v>46022</v>
      </c>
      <c r="I375" t="s">
        <v>29</v>
      </c>
      <c r="J375">
        <v>16</v>
      </c>
      <c r="K375">
        <v>0</v>
      </c>
      <c r="L375">
        <v>0</v>
      </c>
      <c r="M375">
        <v>0</v>
      </c>
      <c r="N375" t="s">
        <v>3915</v>
      </c>
      <c r="O375" t="s">
        <v>3915</v>
      </c>
      <c r="P375" t="s">
        <v>3915</v>
      </c>
      <c r="Q375">
        <v>0</v>
      </c>
      <c r="R375" t="s">
        <v>30</v>
      </c>
      <c r="S375">
        <v>0</v>
      </c>
      <c r="T375">
        <v>0</v>
      </c>
      <c r="U375" t="s">
        <v>3915</v>
      </c>
      <c r="V375" t="s">
        <v>31</v>
      </c>
      <c r="W375">
        <v>0</v>
      </c>
    </row>
    <row r="376" spans="1:23" x14ac:dyDescent="0.25">
      <c r="A376" t="s">
        <v>4069</v>
      </c>
      <c r="B376" t="s">
        <v>419</v>
      </c>
      <c r="C376" t="s">
        <v>420</v>
      </c>
      <c r="D376" t="s">
        <v>4479</v>
      </c>
      <c r="E376" t="s">
        <v>3980</v>
      </c>
      <c r="F376" t="s">
        <v>232</v>
      </c>
      <c r="G376" t="s">
        <v>1406</v>
      </c>
      <c r="H376" s="6">
        <v>46022</v>
      </c>
      <c r="I376" t="s">
        <v>29</v>
      </c>
      <c r="J376">
        <v>28</v>
      </c>
      <c r="K376">
        <v>0</v>
      </c>
      <c r="L376">
        <v>0</v>
      </c>
      <c r="M376">
        <v>0</v>
      </c>
      <c r="N376" t="s">
        <v>3915</v>
      </c>
      <c r="O376" t="s">
        <v>3915</v>
      </c>
      <c r="P376" t="s">
        <v>3915</v>
      </c>
      <c r="Q376">
        <v>0</v>
      </c>
      <c r="R376" t="s">
        <v>30</v>
      </c>
      <c r="S376">
        <v>0</v>
      </c>
      <c r="T376">
        <v>0</v>
      </c>
      <c r="U376" t="s">
        <v>3915</v>
      </c>
      <c r="V376" t="s">
        <v>31</v>
      </c>
      <c r="W376">
        <v>0</v>
      </c>
    </row>
    <row r="377" spans="1:23" x14ac:dyDescent="0.25">
      <c r="A377" t="s">
        <v>4070</v>
      </c>
      <c r="B377" t="s">
        <v>421</v>
      </c>
      <c r="C377" t="s">
        <v>422</v>
      </c>
      <c r="D377" t="s">
        <v>4479</v>
      </c>
      <c r="E377" t="s">
        <v>3980</v>
      </c>
      <c r="F377" t="s">
        <v>232</v>
      </c>
      <c r="G377" t="s">
        <v>1406</v>
      </c>
      <c r="H377" s="6">
        <v>46022</v>
      </c>
      <c r="I377" t="s">
        <v>29</v>
      </c>
      <c r="J377">
        <v>15</v>
      </c>
      <c r="K377">
        <v>0</v>
      </c>
      <c r="L377">
        <v>0</v>
      </c>
      <c r="M377">
        <v>0</v>
      </c>
      <c r="N377" t="s">
        <v>3915</v>
      </c>
      <c r="O377" t="s">
        <v>3915</v>
      </c>
      <c r="P377" t="s">
        <v>3915</v>
      </c>
      <c r="Q377">
        <v>0</v>
      </c>
      <c r="R377" t="s">
        <v>30</v>
      </c>
      <c r="S377">
        <v>0</v>
      </c>
      <c r="T377">
        <v>0</v>
      </c>
      <c r="U377" t="s">
        <v>3915</v>
      </c>
      <c r="V377" t="s">
        <v>31</v>
      </c>
      <c r="W377">
        <v>0</v>
      </c>
    </row>
    <row r="378" spans="1:23" x14ac:dyDescent="0.25">
      <c r="A378" t="s">
        <v>4071</v>
      </c>
      <c r="B378" t="s">
        <v>423</v>
      </c>
      <c r="C378" t="s">
        <v>424</v>
      </c>
      <c r="D378" t="s">
        <v>4479</v>
      </c>
      <c r="E378" t="s">
        <v>3980</v>
      </c>
      <c r="F378" t="s">
        <v>232</v>
      </c>
      <c r="G378" t="s">
        <v>1406</v>
      </c>
      <c r="H378" s="6">
        <v>46022</v>
      </c>
      <c r="I378" t="s">
        <v>29</v>
      </c>
      <c r="J378">
        <v>115</v>
      </c>
      <c r="K378">
        <v>0</v>
      </c>
      <c r="L378">
        <v>0</v>
      </c>
      <c r="M378">
        <v>0</v>
      </c>
      <c r="N378" t="s">
        <v>3915</v>
      </c>
      <c r="O378" t="s">
        <v>3915</v>
      </c>
      <c r="P378" t="s">
        <v>3915</v>
      </c>
      <c r="Q378">
        <v>0</v>
      </c>
      <c r="R378" t="s">
        <v>30</v>
      </c>
      <c r="S378">
        <v>0</v>
      </c>
      <c r="T378">
        <v>0</v>
      </c>
      <c r="U378" t="s">
        <v>3915</v>
      </c>
      <c r="V378" t="s">
        <v>31</v>
      </c>
      <c r="W378">
        <v>0</v>
      </c>
    </row>
    <row r="379" spans="1:23" x14ac:dyDescent="0.25">
      <c r="A379" t="s">
        <v>4072</v>
      </c>
      <c r="B379" t="s">
        <v>425</v>
      </c>
      <c r="C379" t="s">
        <v>426</v>
      </c>
      <c r="D379" t="s">
        <v>4479</v>
      </c>
      <c r="E379" t="s">
        <v>3980</v>
      </c>
      <c r="F379" t="s">
        <v>232</v>
      </c>
      <c r="G379" t="s">
        <v>1406</v>
      </c>
      <c r="H379" s="6">
        <v>46022</v>
      </c>
      <c r="I379" t="s">
        <v>29</v>
      </c>
      <c r="J379">
        <v>53</v>
      </c>
      <c r="K379">
        <v>0</v>
      </c>
      <c r="L379">
        <v>0</v>
      </c>
      <c r="M379">
        <v>0</v>
      </c>
      <c r="N379" t="s">
        <v>3915</v>
      </c>
      <c r="O379" t="s">
        <v>3915</v>
      </c>
      <c r="P379" t="s">
        <v>3915</v>
      </c>
      <c r="Q379">
        <v>0</v>
      </c>
      <c r="R379" t="s">
        <v>30</v>
      </c>
      <c r="S379">
        <v>0</v>
      </c>
      <c r="T379">
        <v>0</v>
      </c>
      <c r="U379" t="s">
        <v>3915</v>
      </c>
      <c r="V379" t="s">
        <v>31</v>
      </c>
      <c r="W379">
        <v>0</v>
      </c>
    </row>
    <row r="380" spans="1:23" x14ac:dyDescent="0.25">
      <c r="A380" t="s">
        <v>5223</v>
      </c>
      <c r="B380" t="s">
        <v>2034</v>
      </c>
      <c r="C380" t="s">
        <v>2033</v>
      </c>
      <c r="D380" t="s">
        <v>4479</v>
      </c>
      <c r="E380" t="s">
        <v>3980</v>
      </c>
      <c r="F380" t="s">
        <v>232</v>
      </c>
      <c r="G380" t="s">
        <v>1406</v>
      </c>
      <c r="H380" s="6">
        <v>46022</v>
      </c>
      <c r="I380" t="s">
        <v>29</v>
      </c>
      <c r="J380">
        <v>14</v>
      </c>
      <c r="K380">
        <v>0</v>
      </c>
      <c r="L380">
        <v>0</v>
      </c>
      <c r="M380">
        <v>0</v>
      </c>
      <c r="N380" t="s">
        <v>3915</v>
      </c>
      <c r="O380" t="s">
        <v>3915</v>
      </c>
      <c r="P380" t="s">
        <v>3915</v>
      </c>
      <c r="Q380">
        <v>0</v>
      </c>
      <c r="R380" t="s">
        <v>30</v>
      </c>
      <c r="S380">
        <v>0</v>
      </c>
      <c r="T380">
        <v>0</v>
      </c>
      <c r="U380" t="s">
        <v>3915</v>
      </c>
      <c r="V380" t="s">
        <v>31</v>
      </c>
      <c r="W380">
        <v>0</v>
      </c>
    </row>
    <row r="381" spans="1:23" x14ac:dyDescent="0.25">
      <c r="A381" t="s">
        <v>4073</v>
      </c>
      <c r="B381" t="s">
        <v>427</v>
      </c>
      <c r="C381" t="s">
        <v>428</v>
      </c>
      <c r="D381" t="s">
        <v>4479</v>
      </c>
      <c r="E381" t="s">
        <v>3980</v>
      </c>
      <c r="F381" t="s">
        <v>232</v>
      </c>
      <c r="G381" t="s">
        <v>1406</v>
      </c>
      <c r="H381" s="6">
        <v>46022</v>
      </c>
      <c r="I381" t="s">
        <v>29</v>
      </c>
      <c r="J381">
        <v>0</v>
      </c>
      <c r="K381">
        <v>0</v>
      </c>
      <c r="L381">
        <v>0</v>
      </c>
      <c r="M381">
        <v>0</v>
      </c>
      <c r="N381" t="s">
        <v>3915</v>
      </c>
      <c r="O381" t="s">
        <v>3915</v>
      </c>
      <c r="P381" t="s">
        <v>3915</v>
      </c>
      <c r="Q381">
        <v>0</v>
      </c>
      <c r="R381" t="s">
        <v>30</v>
      </c>
      <c r="S381">
        <v>0</v>
      </c>
      <c r="T381">
        <v>0</v>
      </c>
      <c r="U381" t="s">
        <v>3915</v>
      </c>
      <c r="V381" t="s">
        <v>31</v>
      </c>
      <c r="W381">
        <v>0</v>
      </c>
    </row>
    <row r="382" spans="1:23" x14ac:dyDescent="0.25">
      <c r="A382" t="s">
        <v>5225</v>
      </c>
      <c r="B382" t="s">
        <v>2036</v>
      </c>
      <c r="C382" t="s">
        <v>2035</v>
      </c>
      <c r="D382" t="s">
        <v>4479</v>
      </c>
      <c r="E382" t="s">
        <v>3980</v>
      </c>
      <c r="F382" t="s">
        <v>232</v>
      </c>
      <c r="G382" t="s">
        <v>1406</v>
      </c>
      <c r="H382" s="6">
        <v>46022</v>
      </c>
      <c r="I382" t="s">
        <v>29</v>
      </c>
      <c r="J382">
        <v>2</v>
      </c>
      <c r="K382">
        <v>0</v>
      </c>
      <c r="L382">
        <v>0</v>
      </c>
      <c r="M382">
        <v>0</v>
      </c>
      <c r="N382" t="s">
        <v>3915</v>
      </c>
      <c r="O382" t="s">
        <v>3915</v>
      </c>
      <c r="P382" t="s">
        <v>3915</v>
      </c>
      <c r="Q382">
        <v>0</v>
      </c>
      <c r="R382" t="s">
        <v>30</v>
      </c>
      <c r="S382">
        <v>0</v>
      </c>
      <c r="T382">
        <v>0</v>
      </c>
      <c r="U382" t="s">
        <v>3915</v>
      </c>
      <c r="V382" t="s">
        <v>31</v>
      </c>
      <c r="W382">
        <v>0</v>
      </c>
    </row>
    <row r="383" spans="1:23" x14ac:dyDescent="0.25">
      <c r="A383" t="s">
        <v>5226</v>
      </c>
      <c r="B383" t="s">
        <v>2038</v>
      </c>
      <c r="C383" t="s">
        <v>2037</v>
      </c>
      <c r="D383" t="s">
        <v>4479</v>
      </c>
      <c r="E383" t="s">
        <v>3980</v>
      </c>
      <c r="F383" t="s">
        <v>232</v>
      </c>
      <c r="G383" t="s">
        <v>1406</v>
      </c>
      <c r="H383" s="6">
        <v>46022</v>
      </c>
      <c r="I383" t="s">
        <v>29</v>
      </c>
      <c r="J383">
        <v>2</v>
      </c>
      <c r="K383">
        <v>0</v>
      </c>
      <c r="L383">
        <v>0</v>
      </c>
      <c r="M383">
        <v>0</v>
      </c>
      <c r="N383" t="s">
        <v>3915</v>
      </c>
      <c r="O383" t="s">
        <v>3915</v>
      </c>
      <c r="P383" t="s">
        <v>3915</v>
      </c>
      <c r="Q383">
        <v>0</v>
      </c>
      <c r="R383" t="s">
        <v>30</v>
      </c>
      <c r="S383">
        <v>0</v>
      </c>
      <c r="T383">
        <v>0</v>
      </c>
      <c r="U383" t="s">
        <v>3915</v>
      </c>
      <c r="V383" t="s">
        <v>31</v>
      </c>
      <c r="W383">
        <v>0</v>
      </c>
    </row>
    <row r="384" spans="1:23" x14ac:dyDescent="0.25">
      <c r="A384" t="s">
        <v>4658</v>
      </c>
      <c r="B384" t="s">
        <v>2040</v>
      </c>
      <c r="C384" t="s">
        <v>2039</v>
      </c>
      <c r="D384" t="s">
        <v>4479</v>
      </c>
      <c r="E384" t="s">
        <v>3980</v>
      </c>
      <c r="F384" t="s">
        <v>232</v>
      </c>
      <c r="G384" t="s">
        <v>1406</v>
      </c>
      <c r="H384" s="6">
        <v>46022</v>
      </c>
      <c r="I384" t="s">
        <v>29</v>
      </c>
      <c r="J384">
        <v>15</v>
      </c>
      <c r="K384">
        <v>0</v>
      </c>
      <c r="L384">
        <v>0</v>
      </c>
      <c r="M384">
        <v>0</v>
      </c>
      <c r="N384" t="s">
        <v>3915</v>
      </c>
      <c r="O384" t="s">
        <v>3915</v>
      </c>
      <c r="P384" t="s">
        <v>3915</v>
      </c>
      <c r="Q384">
        <v>0</v>
      </c>
      <c r="R384" t="s">
        <v>30</v>
      </c>
      <c r="S384">
        <v>0</v>
      </c>
      <c r="T384">
        <v>0</v>
      </c>
      <c r="U384" t="s">
        <v>3915</v>
      </c>
      <c r="V384" t="s">
        <v>31</v>
      </c>
      <c r="W384">
        <v>0</v>
      </c>
    </row>
    <row r="385" spans="1:23" x14ac:dyDescent="0.25">
      <c r="A385" t="s">
        <v>5227</v>
      </c>
      <c r="B385" t="s">
        <v>2042</v>
      </c>
      <c r="C385" t="s">
        <v>2041</v>
      </c>
      <c r="D385" t="s">
        <v>4479</v>
      </c>
      <c r="E385" t="s">
        <v>3980</v>
      </c>
      <c r="F385" t="s">
        <v>232</v>
      </c>
      <c r="G385" t="s">
        <v>1406</v>
      </c>
      <c r="H385" s="6">
        <v>46022</v>
      </c>
      <c r="I385" t="s">
        <v>29</v>
      </c>
      <c r="J385">
        <v>6</v>
      </c>
      <c r="K385">
        <v>0</v>
      </c>
      <c r="L385">
        <v>0</v>
      </c>
      <c r="M385">
        <v>0</v>
      </c>
      <c r="N385" t="s">
        <v>3915</v>
      </c>
      <c r="O385" t="s">
        <v>3915</v>
      </c>
      <c r="P385" t="s">
        <v>3915</v>
      </c>
      <c r="Q385">
        <v>0</v>
      </c>
      <c r="R385" t="s">
        <v>30</v>
      </c>
      <c r="S385">
        <v>0</v>
      </c>
      <c r="T385">
        <v>0</v>
      </c>
      <c r="U385" t="s">
        <v>3915</v>
      </c>
      <c r="V385" t="s">
        <v>31</v>
      </c>
      <c r="W385">
        <v>0</v>
      </c>
    </row>
    <row r="386" spans="1:23" x14ac:dyDescent="0.25">
      <c r="A386" t="s">
        <v>5228</v>
      </c>
      <c r="B386" t="s">
        <v>2044</v>
      </c>
      <c r="C386" t="s">
        <v>2043</v>
      </c>
      <c r="D386" t="s">
        <v>4479</v>
      </c>
      <c r="E386" t="s">
        <v>3980</v>
      </c>
      <c r="F386" t="s">
        <v>232</v>
      </c>
      <c r="G386" t="s">
        <v>1406</v>
      </c>
      <c r="H386" s="6">
        <v>46022</v>
      </c>
      <c r="I386" t="s">
        <v>29</v>
      </c>
      <c r="J386">
        <v>1</v>
      </c>
      <c r="K386">
        <v>0</v>
      </c>
      <c r="L386">
        <v>0</v>
      </c>
      <c r="M386">
        <v>0</v>
      </c>
      <c r="N386" t="s">
        <v>3915</v>
      </c>
      <c r="O386" t="s">
        <v>3915</v>
      </c>
      <c r="P386" t="s">
        <v>3915</v>
      </c>
      <c r="Q386">
        <v>0</v>
      </c>
      <c r="R386" t="s">
        <v>30</v>
      </c>
      <c r="S386">
        <v>0</v>
      </c>
      <c r="T386">
        <v>0</v>
      </c>
      <c r="U386" t="s">
        <v>3915</v>
      </c>
      <c r="V386" t="s">
        <v>31</v>
      </c>
      <c r="W386">
        <v>0</v>
      </c>
    </row>
    <row r="387" spans="1:23" x14ac:dyDescent="0.25">
      <c r="A387" t="s">
        <v>5229</v>
      </c>
      <c r="B387" t="s">
        <v>2046</v>
      </c>
      <c r="C387" t="s">
        <v>2045</v>
      </c>
      <c r="D387" t="s">
        <v>4479</v>
      </c>
      <c r="E387" t="s">
        <v>3980</v>
      </c>
      <c r="F387" t="s">
        <v>232</v>
      </c>
      <c r="G387" t="s">
        <v>1406</v>
      </c>
      <c r="H387" s="6">
        <v>46022</v>
      </c>
      <c r="I387" t="s">
        <v>29</v>
      </c>
      <c r="J387">
        <v>2</v>
      </c>
      <c r="K387">
        <v>0</v>
      </c>
      <c r="L387">
        <v>0</v>
      </c>
      <c r="M387">
        <v>0</v>
      </c>
      <c r="N387" t="s">
        <v>3915</v>
      </c>
      <c r="O387" t="s">
        <v>3915</v>
      </c>
      <c r="P387" t="s">
        <v>3915</v>
      </c>
      <c r="Q387">
        <v>0</v>
      </c>
      <c r="R387" t="s">
        <v>30</v>
      </c>
      <c r="S387">
        <v>0</v>
      </c>
      <c r="T387">
        <v>0</v>
      </c>
      <c r="U387" t="s">
        <v>3915</v>
      </c>
      <c r="V387" t="s">
        <v>31</v>
      </c>
      <c r="W387">
        <v>0</v>
      </c>
    </row>
    <row r="388" spans="1:23" x14ac:dyDescent="0.25">
      <c r="A388" t="s">
        <v>5230</v>
      </c>
      <c r="B388" t="s">
        <v>1460</v>
      </c>
      <c r="C388" t="s">
        <v>1459</v>
      </c>
      <c r="D388" t="s">
        <v>4479</v>
      </c>
      <c r="E388" t="s">
        <v>3980</v>
      </c>
      <c r="F388" t="s">
        <v>232</v>
      </c>
      <c r="G388" t="s">
        <v>1406</v>
      </c>
      <c r="H388" s="6">
        <v>46022</v>
      </c>
      <c r="I388" t="s">
        <v>29</v>
      </c>
      <c r="J388">
        <v>17</v>
      </c>
      <c r="K388">
        <v>0</v>
      </c>
      <c r="L388">
        <v>0</v>
      </c>
      <c r="M388">
        <v>0</v>
      </c>
      <c r="N388" t="s">
        <v>3915</v>
      </c>
      <c r="O388" t="s">
        <v>3915</v>
      </c>
      <c r="P388" t="s">
        <v>3915</v>
      </c>
      <c r="Q388">
        <v>0</v>
      </c>
      <c r="R388" t="s">
        <v>30</v>
      </c>
      <c r="S388">
        <v>0</v>
      </c>
      <c r="T388">
        <v>0</v>
      </c>
      <c r="U388" t="s">
        <v>3915</v>
      </c>
      <c r="V388" t="s">
        <v>31</v>
      </c>
      <c r="W388">
        <v>0</v>
      </c>
    </row>
    <row r="389" spans="1:23" x14ac:dyDescent="0.25">
      <c r="A389" t="s">
        <v>4074</v>
      </c>
      <c r="B389" t="s">
        <v>429</v>
      </c>
      <c r="C389" t="s">
        <v>430</v>
      </c>
      <c r="D389" t="s">
        <v>4479</v>
      </c>
      <c r="E389" t="s">
        <v>3980</v>
      </c>
      <c r="F389" t="s">
        <v>232</v>
      </c>
      <c r="G389" t="s">
        <v>1406</v>
      </c>
      <c r="H389" s="6">
        <v>46022</v>
      </c>
      <c r="I389" t="s">
        <v>29</v>
      </c>
      <c r="J389">
        <v>31</v>
      </c>
      <c r="K389">
        <v>0</v>
      </c>
      <c r="L389">
        <v>0</v>
      </c>
      <c r="M389">
        <v>0</v>
      </c>
      <c r="N389" t="s">
        <v>3915</v>
      </c>
      <c r="O389" t="s">
        <v>3915</v>
      </c>
      <c r="P389" t="s">
        <v>3915</v>
      </c>
      <c r="Q389">
        <v>0</v>
      </c>
      <c r="R389" t="s">
        <v>30</v>
      </c>
      <c r="S389">
        <v>0</v>
      </c>
      <c r="T389">
        <v>0</v>
      </c>
      <c r="U389" t="s">
        <v>3915</v>
      </c>
      <c r="V389" t="s">
        <v>31</v>
      </c>
      <c r="W389">
        <v>0</v>
      </c>
    </row>
    <row r="390" spans="1:23" x14ac:dyDescent="0.25">
      <c r="A390" t="s">
        <v>4075</v>
      </c>
      <c r="B390" t="s">
        <v>431</v>
      </c>
      <c r="C390" t="s">
        <v>432</v>
      </c>
      <c r="D390" t="s">
        <v>4479</v>
      </c>
      <c r="E390" t="s">
        <v>3980</v>
      </c>
      <c r="F390" t="s">
        <v>232</v>
      </c>
      <c r="G390" t="s">
        <v>1406</v>
      </c>
      <c r="H390" s="6">
        <v>46022</v>
      </c>
      <c r="I390" t="s">
        <v>29</v>
      </c>
      <c r="J390">
        <v>91</v>
      </c>
      <c r="K390">
        <v>0</v>
      </c>
      <c r="L390">
        <v>0</v>
      </c>
      <c r="M390">
        <v>0</v>
      </c>
      <c r="N390" t="s">
        <v>3915</v>
      </c>
      <c r="O390" t="s">
        <v>3915</v>
      </c>
      <c r="P390" t="s">
        <v>3915</v>
      </c>
      <c r="Q390">
        <v>0</v>
      </c>
      <c r="R390" t="s">
        <v>30</v>
      </c>
      <c r="S390">
        <v>0</v>
      </c>
      <c r="T390">
        <v>0</v>
      </c>
      <c r="U390" t="s">
        <v>3915</v>
      </c>
      <c r="V390" t="s">
        <v>31</v>
      </c>
      <c r="W390">
        <v>0</v>
      </c>
    </row>
    <row r="391" spans="1:23" x14ac:dyDescent="0.25">
      <c r="A391" t="s">
        <v>4076</v>
      </c>
      <c r="B391" t="s">
        <v>433</v>
      </c>
      <c r="C391" t="s">
        <v>434</v>
      </c>
      <c r="D391" t="s">
        <v>4479</v>
      </c>
      <c r="E391" t="s">
        <v>3980</v>
      </c>
      <c r="F391" t="s">
        <v>232</v>
      </c>
      <c r="G391" t="s">
        <v>1406</v>
      </c>
      <c r="H391" s="6">
        <v>46022</v>
      </c>
      <c r="I391" t="s">
        <v>29</v>
      </c>
      <c r="J391">
        <v>0</v>
      </c>
      <c r="K391">
        <v>0</v>
      </c>
      <c r="L391">
        <v>0</v>
      </c>
      <c r="M391">
        <v>0</v>
      </c>
      <c r="N391" t="s">
        <v>3915</v>
      </c>
      <c r="O391" t="s">
        <v>3915</v>
      </c>
      <c r="P391" t="s">
        <v>3915</v>
      </c>
      <c r="Q391">
        <v>0</v>
      </c>
      <c r="R391" t="s">
        <v>30</v>
      </c>
      <c r="S391">
        <v>0</v>
      </c>
      <c r="T391">
        <v>0</v>
      </c>
      <c r="U391" t="s">
        <v>3915</v>
      </c>
      <c r="V391" t="s">
        <v>31</v>
      </c>
      <c r="W391">
        <v>0</v>
      </c>
    </row>
    <row r="392" spans="1:23" x14ac:dyDescent="0.25">
      <c r="A392" t="s">
        <v>4077</v>
      </c>
      <c r="B392" t="s">
        <v>435</v>
      </c>
      <c r="C392" t="s">
        <v>436</v>
      </c>
      <c r="D392" t="s">
        <v>4479</v>
      </c>
      <c r="E392" t="s">
        <v>3980</v>
      </c>
      <c r="F392" t="s">
        <v>232</v>
      </c>
      <c r="G392" t="s">
        <v>1406</v>
      </c>
      <c r="H392" s="6">
        <v>46022</v>
      </c>
      <c r="I392" t="s">
        <v>29</v>
      </c>
      <c r="J392">
        <v>9</v>
      </c>
      <c r="K392">
        <v>0</v>
      </c>
      <c r="L392">
        <v>0</v>
      </c>
      <c r="M392">
        <v>0</v>
      </c>
      <c r="N392" t="s">
        <v>3915</v>
      </c>
      <c r="O392" t="s">
        <v>3915</v>
      </c>
      <c r="P392" t="s">
        <v>3915</v>
      </c>
      <c r="Q392">
        <v>0</v>
      </c>
      <c r="R392" t="s">
        <v>30</v>
      </c>
      <c r="S392">
        <v>0</v>
      </c>
      <c r="T392">
        <v>0</v>
      </c>
      <c r="U392" t="s">
        <v>3915</v>
      </c>
      <c r="V392" t="s">
        <v>31</v>
      </c>
      <c r="W392">
        <v>0</v>
      </c>
    </row>
    <row r="393" spans="1:23" x14ac:dyDescent="0.25">
      <c r="A393" t="s">
        <v>4078</v>
      </c>
      <c r="B393" t="s">
        <v>437</v>
      </c>
      <c r="C393" t="s">
        <v>438</v>
      </c>
      <c r="D393" t="s">
        <v>4479</v>
      </c>
      <c r="E393" t="s">
        <v>3980</v>
      </c>
      <c r="F393" t="s">
        <v>232</v>
      </c>
      <c r="G393" t="s">
        <v>1406</v>
      </c>
      <c r="H393" s="6">
        <v>46022</v>
      </c>
      <c r="I393" t="s">
        <v>29</v>
      </c>
      <c r="J393">
        <v>17</v>
      </c>
      <c r="K393">
        <v>0</v>
      </c>
      <c r="L393">
        <v>0</v>
      </c>
      <c r="M393">
        <v>0</v>
      </c>
      <c r="N393" t="s">
        <v>3915</v>
      </c>
      <c r="O393" t="s">
        <v>3915</v>
      </c>
      <c r="P393" t="s">
        <v>3915</v>
      </c>
      <c r="Q393">
        <v>0</v>
      </c>
      <c r="R393" t="s">
        <v>30</v>
      </c>
      <c r="S393">
        <v>0</v>
      </c>
      <c r="T393">
        <v>0</v>
      </c>
      <c r="U393" t="s">
        <v>3915</v>
      </c>
      <c r="V393" t="s">
        <v>31</v>
      </c>
      <c r="W393">
        <v>0</v>
      </c>
    </row>
    <row r="394" spans="1:23" x14ac:dyDescent="0.25">
      <c r="A394" t="s">
        <v>4079</v>
      </c>
      <c r="B394" t="s">
        <v>439</v>
      </c>
      <c r="C394" t="s">
        <v>440</v>
      </c>
      <c r="D394" t="s">
        <v>4479</v>
      </c>
      <c r="E394" t="s">
        <v>3980</v>
      </c>
      <c r="F394" t="s">
        <v>232</v>
      </c>
      <c r="G394" t="s">
        <v>1406</v>
      </c>
      <c r="H394" s="6">
        <v>46022</v>
      </c>
      <c r="I394" t="s">
        <v>29</v>
      </c>
      <c r="J394">
        <v>26</v>
      </c>
      <c r="K394">
        <v>0</v>
      </c>
      <c r="L394">
        <v>0</v>
      </c>
      <c r="M394">
        <v>0</v>
      </c>
      <c r="N394" t="s">
        <v>3915</v>
      </c>
      <c r="O394" t="s">
        <v>3915</v>
      </c>
      <c r="P394" t="s">
        <v>3915</v>
      </c>
      <c r="Q394">
        <v>0</v>
      </c>
      <c r="R394" t="s">
        <v>30</v>
      </c>
      <c r="S394">
        <v>0</v>
      </c>
      <c r="T394">
        <v>0</v>
      </c>
      <c r="U394" t="s">
        <v>3915</v>
      </c>
      <c r="V394" t="s">
        <v>31</v>
      </c>
      <c r="W394">
        <v>0</v>
      </c>
    </row>
    <row r="395" spans="1:23" x14ac:dyDescent="0.25">
      <c r="A395" t="s">
        <v>4080</v>
      </c>
      <c r="B395" t="s">
        <v>441</v>
      </c>
      <c r="C395" t="s">
        <v>442</v>
      </c>
      <c r="D395" t="s">
        <v>4479</v>
      </c>
      <c r="E395" t="s">
        <v>3980</v>
      </c>
      <c r="F395" t="s">
        <v>232</v>
      </c>
      <c r="G395" t="s">
        <v>1406</v>
      </c>
      <c r="H395" s="6">
        <v>46022</v>
      </c>
      <c r="I395" t="s">
        <v>29</v>
      </c>
      <c r="J395">
        <v>0</v>
      </c>
      <c r="K395">
        <v>0</v>
      </c>
      <c r="L395">
        <v>0</v>
      </c>
      <c r="M395">
        <v>0</v>
      </c>
      <c r="N395" t="s">
        <v>3915</v>
      </c>
      <c r="O395" t="s">
        <v>3915</v>
      </c>
      <c r="P395" t="s">
        <v>3915</v>
      </c>
      <c r="Q395">
        <v>0</v>
      </c>
      <c r="R395" t="s">
        <v>30</v>
      </c>
      <c r="S395">
        <v>0</v>
      </c>
      <c r="T395">
        <v>0</v>
      </c>
      <c r="U395" t="s">
        <v>3915</v>
      </c>
      <c r="V395" t="s">
        <v>31</v>
      </c>
      <c r="W395">
        <v>0</v>
      </c>
    </row>
    <row r="396" spans="1:23" x14ac:dyDescent="0.25">
      <c r="A396" t="s">
        <v>4838</v>
      </c>
      <c r="B396" t="s">
        <v>2048</v>
      </c>
      <c r="C396" t="s">
        <v>2047</v>
      </c>
      <c r="D396" t="s">
        <v>4479</v>
      </c>
      <c r="E396" t="s">
        <v>3980</v>
      </c>
      <c r="F396" t="s">
        <v>232</v>
      </c>
      <c r="G396" t="s">
        <v>1406</v>
      </c>
      <c r="H396" s="6">
        <v>46022</v>
      </c>
      <c r="I396" t="s">
        <v>29</v>
      </c>
      <c r="J396">
        <v>8</v>
      </c>
      <c r="K396">
        <v>0</v>
      </c>
      <c r="L396">
        <v>0</v>
      </c>
      <c r="M396">
        <v>0</v>
      </c>
      <c r="N396" t="s">
        <v>3915</v>
      </c>
      <c r="O396" t="s">
        <v>3915</v>
      </c>
      <c r="P396" t="s">
        <v>3915</v>
      </c>
      <c r="Q396">
        <v>0</v>
      </c>
      <c r="R396" t="s">
        <v>30</v>
      </c>
      <c r="S396">
        <v>0</v>
      </c>
      <c r="T396">
        <v>0</v>
      </c>
      <c r="U396" t="s">
        <v>3915</v>
      </c>
      <c r="V396" t="s">
        <v>31</v>
      </c>
      <c r="W396">
        <v>0</v>
      </c>
    </row>
    <row r="397" spans="1:23" x14ac:dyDescent="0.25">
      <c r="A397" t="s">
        <v>5231</v>
      </c>
      <c r="B397" t="s">
        <v>2050</v>
      </c>
      <c r="C397" t="s">
        <v>2049</v>
      </c>
      <c r="D397" t="s">
        <v>4479</v>
      </c>
      <c r="E397" t="s">
        <v>3980</v>
      </c>
      <c r="F397" t="s">
        <v>232</v>
      </c>
      <c r="G397" t="s">
        <v>1406</v>
      </c>
      <c r="H397" s="6">
        <v>46022</v>
      </c>
      <c r="I397" t="s">
        <v>29</v>
      </c>
      <c r="J397">
        <v>11</v>
      </c>
      <c r="K397">
        <v>0</v>
      </c>
      <c r="L397">
        <v>0</v>
      </c>
      <c r="M397">
        <v>0</v>
      </c>
      <c r="N397" t="s">
        <v>3915</v>
      </c>
      <c r="O397" t="s">
        <v>3915</v>
      </c>
      <c r="P397" t="s">
        <v>3915</v>
      </c>
      <c r="Q397">
        <v>0</v>
      </c>
      <c r="R397" t="s">
        <v>30</v>
      </c>
      <c r="S397">
        <v>0</v>
      </c>
      <c r="T397">
        <v>0</v>
      </c>
      <c r="U397" t="s">
        <v>3915</v>
      </c>
      <c r="V397" t="s">
        <v>31</v>
      </c>
      <c r="W397">
        <v>0</v>
      </c>
    </row>
    <row r="398" spans="1:23" x14ac:dyDescent="0.25">
      <c r="A398" t="s">
        <v>5232</v>
      </c>
      <c r="B398" t="s">
        <v>2052</v>
      </c>
      <c r="C398" t="s">
        <v>2051</v>
      </c>
      <c r="D398" t="s">
        <v>4479</v>
      </c>
      <c r="E398" t="s">
        <v>3980</v>
      </c>
      <c r="F398" t="s">
        <v>232</v>
      </c>
      <c r="G398" t="s">
        <v>1406</v>
      </c>
      <c r="H398" s="6">
        <v>46022</v>
      </c>
      <c r="I398" t="s">
        <v>29</v>
      </c>
      <c r="J398">
        <v>69</v>
      </c>
      <c r="K398">
        <v>0</v>
      </c>
      <c r="L398">
        <v>0</v>
      </c>
      <c r="M398">
        <v>0</v>
      </c>
      <c r="N398" t="s">
        <v>3915</v>
      </c>
      <c r="O398" t="s">
        <v>3915</v>
      </c>
      <c r="P398" t="s">
        <v>3915</v>
      </c>
      <c r="Q398">
        <v>0</v>
      </c>
      <c r="R398" t="s">
        <v>30</v>
      </c>
      <c r="S398">
        <v>0</v>
      </c>
      <c r="T398">
        <v>0</v>
      </c>
      <c r="U398" t="s">
        <v>3915</v>
      </c>
      <c r="V398" t="s">
        <v>31</v>
      </c>
      <c r="W398">
        <v>0</v>
      </c>
    </row>
    <row r="399" spans="1:23" x14ac:dyDescent="0.25">
      <c r="A399" t="s">
        <v>5233</v>
      </c>
      <c r="B399" t="s">
        <v>2056</v>
      </c>
      <c r="C399" t="s">
        <v>2055</v>
      </c>
      <c r="D399" t="s">
        <v>4479</v>
      </c>
      <c r="E399" t="s">
        <v>3980</v>
      </c>
      <c r="F399" t="s">
        <v>232</v>
      </c>
      <c r="G399" t="s">
        <v>1406</v>
      </c>
      <c r="H399" s="6">
        <v>46022</v>
      </c>
      <c r="I399" t="s">
        <v>29</v>
      </c>
      <c r="J399">
        <v>4</v>
      </c>
      <c r="K399">
        <v>0</v>
      </c>
      <c r="L399">
        <v>0</v>
      </c>
      <c r="M399">
        <v>0</v>
      </c>
      <c r="N399" t="s">
        <v>3915</v>
      </c>
      <c r="O399" t="s">
        <v>3915</v>
      </c>
      <c r="P399" t="s">
        <v>3915</v>
      </c>
      <c r="Q399">
        <v>0</v>
      </c>
      <c r="R399" t="s">
        <v>30</v>
      </c>
      <c r="S399">
        <v>0</v>
      </c>
      <c r="T399">
        <v>0</v>
      </c>
      <c r="U399" t="s">
        <v>3915</v>
      </c>
      <c r="V399" t="s">
        <v>31</v>
      </c>
      <c r="W399">
        <v>0</v>
      </c>
    </row>
    <row r="400" spans="1:23" x14ac:dyDescent="0.25">
      <c r="A400" t="s">
        <v>5234</v>
      </c>
      <c r="B400" t="s">
        <v>2058</v>
      </c>
      <c r="C400" t="s">
        <v>2057</v>
      </c>
      <c r="D400" t="s">
        <v>4479</v>
      </c>
      <c r="E400" t="s">
        <v>3980</v>
      </c>
      <c r="F400" t="s">
        <v>232</v>
      </c>
      <c r="G400" t="s">
        <v>1406</v>
      </c>
      <c r="H400" s="6">
        <v>46022</v>
      </c>
      <c r="I400" t="s">
        <v>29</v>
      </c>
      <c r="J400">
        <v>3</v>
      </c>
      <c r="K400">
        <v>0</v>
      </c>
      <c r="L400">
        <v>0</v>
      </c>
      <c r="M400">
        <v>0</v>
      </c>
      <c r="N400" t="s">
        <v>3915</v>
      </c>
      <c r="O400" t="s">
        <v>3915</v>
      </c>
      <c r="P400" t="s">
        <v>3915</v>
      </c>
      <c r="Q400">
        <v>0</v>
      </c>
      <c r="R400" t="s">
        <v>30</v>
      </c>
      <c r="S400">
        <v>0</v>
      </c>
      <c r="T400">
        <v>0</v>
      </c>
      <c r="U400" t="s">
        <v>3915</v>
      </c>
      <c r="V400" t="s">
        <v>31</v>
      </c>
      <c r="W400">
        <v>0</v>
      </c>
    </row>
    <row r="401" spans="1:23" x14ac:dyDescent="0.25">
      <c r="A401" t="s">
        <v>4082</v>
      </c>
      <c r="B401" t="s">
        <v>445</v>
      </c>
      <c r="C401" t="s">
        <v>446</v>
      </c>
      <c r="D401" t="s">
        <v>4479</v>
      </c>
      <c r="E401" t="s">
        <v>3980</v>
      </c>
      <c r="F401" t="s">
        <v>232</v>
      </c>
      <c r="G401" t="s">
        <v>1406</v>
      </c>
      <c r="H401" s="6">
        <v>46022</v>
      </c>
      <c r="I401" t="s">
        <v>29</v>
      </c>
      <c r="J401">
        <v>149</v>
      </c>
      <c r="K401">
        <v>0</v>
      </c>
      <c r="L401">
        <v>0</v>
      </c>
      <c r="M401">
        <v>0</v>
      </c>
      <c r="N401" t="s">
        <v>3915</v>
      </c>
      <c r="O401" t="s">
        <v>3915</v>
      </c>
      <c r="P401" t="s">
        <v>3915</v>
      </c>
      <c r="Q401">
        <v>0</v>
      </c>
      <c r="R401" t="s">
        <v>30</v>
      </c>
      <c r="S401">
        <v>0</v>
      </c>
      <c r="T401">
        <v>0</v>
      </c>
      <c r="U401" t="s">
        <v>3915</v>
      </c>
      <c r="V401" t="s">
        <v>31</v>
      </c>
      <c r="W401">
        <v>0</v>
      </c>
    </row>
    <row r="402" spans="1:23" x14ac:dyDescent="0.25">
      <c r="A402" t="s">
        <v>4083</v>
      </c>
      <c r="B402" t="s">
        <v>447</v>
      </c>
      <c r="C402" t="s">
        <v>448</v>
      </c>
      <c r="D402" t="s">
        <v>4479</v>
      </c>
      <c r="E402" t="s">
        <v>3980</v>
      </c>
      <c r="F402" t="s">
        <v>232</v>
      </c>
      <c r="G402" t="s">
        <v>1406</v>
      </c>
      <c r="H402" s="6">
        <v>46022</v>
      </c>
      <c r="I402" t="s">
        <v>29</v>
      </c>
      <c r="J402">
        <v>62</v>
      </c>
      <c r="K402">
        <v>0</v>
      </c>
      <c r="L402">
        <v>0</v>
      </c>
      <c r="M402">
        <v>0</v>
      </c>
      <c r="N402" t="s">
        <v>3915</v>
      </c>
      <c r="O402" t="s">
        <v>3915</v>
      </c>
      <c r="P402" t="s">
        <v>3915</v>
      </c>
      <c r="Q402">
        <v>0</v>
      </c>
      <c r="R402" t="s">
        <v>30</v>
      </c>
      <c r="S402">
        <v>0</v>
      </c>
      <c r="T402">
        <v>0</v>
      </c>
      <c r="U402" t="s">
        <v>3915</v>
      </c>
      <c r="V402" t="s">
        <v>31</v>
      </c>
      <c r="W402">
        <v>0</v>
      </c>
    </row>
    <row r="403" spans="1:23" x14ac:dyDescent="0.25">
      <c r="A403" t="s">
        <v>4084</v>
      </c>
      <c r="B403" t="s">
        <v>450</v>
      </c>
      <c r="C403" t="s">
        <v>451</v>
      </c>
      <c r="D403" t="s">
        <v>4479</v>
      </c>
      <c r="E403" t="s">
        <v>3980</v>
      </c>
      <c r="F403" t="s">
        <v>232</v>
      </c>
      <c r="G403" t="s">
        <v>1406</v>
      </c>
      <c r="H403" s="6">
        <v>46022</v>
      </c>
      <c r="I403" t="s">
        <v>29</v>
      </c>
      <c r="J403">
        <v>156</v>
      </c>
      <c r="K403">
        <v>0</v>
      </c>
      <c r="L403">
        <v>0</v>
      </c>
      <c r="M403">
        <v>0</v>
      </c>
      <c r="N403" t="s">
        <v>3915</v>
      </c>
      <c r="O403" t="s">
        <v>3915</v>
      </c>
      <c r="P403" t="s">
        <v>3915</v>
      </c>
      <c r="Q403">
        <v>0</v>
      </c>
      <c r="R403" t="s">
        <v>30</v>
      </c>
      <c r="S403">
        <v>0</v>
      </c>
      <c r="T403">
        <v>0</v>
      </c>
      <c r="U403" t="s">
        <v>3915</v>
      </c>
      <c r="V403" t="s">
        <v>31</v>
      </c>
      <c r="W403">
        <v>0</v>
      </c>
    </row>
    <row r="404" spans="1:23" x14ac:dyDescent="0.25">
      <c r="A404" t="s">
        <v>4085</v>
      </c>
      <c r="B404" t="s">
        <v>452</v>
      </c>
      <c r="C404" t="s">
        <v>453</v>
      </c>
      <c r="D404" t="s">
        <v>4479</v>
      </c>
      <c r="E404" t="s">
        <v>3980</v>
      </c>
      <c r="F404" t="s">
        <v>232</v>
      </c>
      <c r="G404" t="s">
        <v>1406</v>
      </c>
      <c r="H404" s="6">
        <v>46022</v>
      </c>
      <c r="I404" t="s">
        <v>29</v>
      </c>
      <c r="J404">
        <v>16</v>
      </c>
      <c r="K404">
        <v>0</v>
      </c>
      <c r="L404">
        <v>0</v>
      </c>
      <c r="M404">
        <v>0</v>
      </c>
      <c r="N404" t="s">
        <v>3915</v>
      </c>
      <c r="O404" t="s">
        <v>3915</v>
      </c>
      <c r="P404" t="s">
        <v>3915</v>
      </c>
      <c r="Q404">
        <v>0</v>
      </c>
      <c r="R404" t="s">
        <v>30</v>
      </c>
      <c r="S404">
        <v>0</v>
      </c>
      <c r="T404">
        <v>0</v>
      </c>
      <c r="U404" t="s">
        <v>3915</v>
      </c>
      <c r="V404" t="s">
        <v>31</v>
      </c>
      <c r="W404">
        <v>0</v>
      </c>
    </row>
    <row r="405" spans="1:23" x14ac:dyDescent="0.25">
      <c r="A405" t="s">
        <v>4086</v>
      </c>
      <c r="B405" t="s">
        <v>454</v>
      </c>
      <c r="C405" t="s">
        <v>455</v>
      </c>
      <c r="D405" t="s">
        <v>4479</v>
      </c>
      <c r="E405" t="s">
        <v>3980</v>
      </c>
      <c r="F405" t="s">
        <v>232</v>
      </c>
      <c r="G405" t="s">
        <v>1406</v>
      </c>
      <c r="H405" s="6">
        <v>46022</v>
      </c>
      <c r="I405" t="s">
        <v>29</v>
      </c>
      <c r="J405">
        <v>21</v>
      </c>
      <c r="K405">
        <v>0</v>
      </c>
      <c r="L405">
        <v>0</v>
      </c>
      <c r="M405">
        <v>0</v>
      </c>
      <c r="N405" t="s">
        <v>3915</v>
      </c>
      <c r="O405" t="s">
        <v>3915</v>
      </c>
      <c r="P405" t="s">
        <v>3915</v>
      </c>
      <c r="Q405">
        <v>0</v>
      </c>
      <c r="R405" t="s">
        <v>30</v>
      </c>
      <c r="S405">
        <v>0</v>
      </c>
      <c r="T405">
        <v>0</v>
      </c>
      <c r="U405" t="s">
        <v>3915</v>
      </c>
      <c r="V405" t="s">
        <v>31</v>
      </c>
      <c r="W405">
        <v>0</v>
      </c>
    </row>
    <row r="406" spans="1:23" x14ac:dyDescent="0.25">
      <c r="A406" t="s">
        <v>4087</v>
      </c>
      <c r="B406" t="s">
        <v>457</v>
      </c>
      <c r="C406" t="s">
        <v>458</v>
      </c>
      <c r="D406" t="s">
        <v>4479</v>
      </c>
      <c r="E406" t="s">
        <v>3980</v>
      </c>
      <c r="F406" t="s">
        <v>232</v>
      </c>
      <c r="G406" t="s">
        <v>1406</v>
      </c>
      <c r="H406" s="6">
        <v>46022</v>
      </c>
      <c r="I406" t="s">
        <v>29</v>
      </c>
      <c r="J406">
        <v>12</v>
      </c>
      <c r="K406">
        <v>0</v>
      </c>
      <c r="L406">
        <v>0</v>
      </c>
      <c r="M406">
        <v>0</v>
      </c>
      <c r="N406" t="s">
        <v>3915</v>
      </c>
      <c r="O406" t="s">
        <v>3915</v>
      </c>
      <c r="P406" t="s">
        <v>3915</v>
      </c>
      <c r="Q406">
        <v>0</v>
      </c>
      <c r="R406" t="s">
        <v>30</v>
      </c>
      <c r="S406">
        <v>0</v>
      </c>
      <c r="T406">
        <v>0</v>
      </c>
      <c r="U406" t="s">
        <v>3915</v>
      </c>
      <c r="V406" t="s">
        <v>31</v>
      </c>
      <c r="W406">
        <v>0</v>
      </c>
    </row>
    <row r="407" spans="1:23" x14ac:dyDescent="0.25">
      <c r="A407" t="s">
        <v>4088</v>
      </c>
      <c r="B407" t="s">
        <v>459</v>
      </c>
      <c r="C407" t="s">
        <v>460</v>
      </c>
      <c r="D407" t="s">
        <v>4479</v>
      </c>
      <c r="E407" t="s">
        <v>3980</v>
      </c>
      <c r="F407" t="s">
        <v>232</v>
      </c>
      <c r="G407" t="s">
        <v>1406</v>
      </c>
      <c r="H407" s="6">
        <v>46022</v>
      </c>
      <c r="I407" t="s">
        <v>29</v>
      </c>
      <c r="J407">
        <v>21</v>
      </c>
      <c r="K407">
        <v>0</v>
      </c>
      <c r="L407">
        <v>0</v>
      </c>
      <c r="M407">
        <v>0</v>
      </c>
      <c r="N407" t="s">
        <v>3915</v>
      </c>
      <c r="O407" t="s">
        <v>3915</v>
      </c>
      <c r="P407" t="s">
        <v>3915</v>
      </c>
      <c r="Q407">
        <v>0</v>
      </c>
      <c r="R407" t="s">
        <v>30</v>
      </c>
      <c r="S407">
        <v>0</v>
      </c>
      <c r="T407">
        <v>0</v>
      </c>
      <c r="U407" t="s">
        <v>3915</v>
      </c>
      <c r="V407" t="s">
        <v>31</v>
      </c>
      <c r="W407">
        <v>0</v>
      </c>
    </row>
    <row r="408" spans="1:23" x14ac:dyDescent="0.25">
      <c r="A408" t="s">
        <v>4089</v>
      </c>
      <c r="B408" t="s">
        <v>462</v>
      </c>
      <c r="C408" t="s">
        <v>463</v>
      </c>
      <c r="D408" t="s">
        <v>4479</v>
      </c>
      <c r="E408" t="s">
        <v>3980</v>
      </c>
      <c r="F408" t="s">
        <v>232</v>
      </c>
      <c r="G408" t="s">
        <v>1406</v>
      </c>
      <c r="H408" s="6">
        <v>46022</v>
      </c>
      <c r="I408" t="s">
        <v>29</v>
      </c>
      <c r="J408">
        <v>59</v>
      </c>
      <c r="K408">
        <v>0</v>
      </c>
      <c r="L408">
        <v>0</v>
      </c>
      <c r="M408">
        <v>0</v>
      </c>
      <c r="N408" t="s">
        <v>3915</v>
      </c>
      <c r="O408" t="s">
        <v>3915</v>
      </c>
      <c r="P408" t="s">
        <v>3915</v>
      </c>
      <c r="Q408">
        <v>0</v>
      </c>
      <c r="R408" t="s">
        <v>30</v>
      </c>
      <c r="S408">
        <v>0</v>
      </c>
      <c r="T408">
        <v>0</v>
      </c>
      <c r="U408" t="s">
        <v>3915</v>
      </c>
      <c r="V408" t="s">
        <v>31</v>
      </c>
      <c r="W408">
        <v>0</v>
      </c>
    </row>
    <row r="409" spans="1:23" x14ac:dyDescent="0.25">
      <c r="A409" t="s">
        <v>4090</v>
      </c>
      <c r="B409" t="s">
        <v>465</v>
      </c>
      <c r="C409" t="s">
        <v>466</v>
      </c>
      <c r="D409" t="s">
        <v>4479</v>
      </c>
      <c r="E409" t="s">
        <v>3980</v>
      </c>
      <c r="F409" t="s">
        <v>232</v>
      </c>
      <c r="G409" t="s">
        <v>1406</v>
      </c>
      <c r="H409" s="6">
        <v>46022</v>
      </c>
      <c r="I409" t="s">
        <v>29</v>
      </c>
      <c r="J409">
        <v>3</v>
      </c>
      <c r="K409">
        <v>0</v>
      </c>
      <c r="L409">
        <v>0</v>
      </c>
      <c r="M409">
        <v>0</v>
      </c>
      <c r="N409" t="s">
        <v>3915</v>
      </c>
      <c r="O409" t="s">
        <v>3915</v>
      </c>
      <c r="P409" t="s">
        <v>3915</v>
      </c>
      <c r="Q409">
        <v>0</v>
      </c>
      <c r="R409" t="s">
        <v>30</v>
      </c>
      <c r="S409">
        <v>0</v>
      </c>
      <c r="T409">
        <v>0</v>
      </c>
      <c r="U409" t="s">
        <v>3915</v>
      </c>
      <c r="V409" t="s">
        <v>31</v>
      </c>
      <c r="W409">
        <v>0</v>
      </c>
    </row>
    <row r="410" spans="1:23" x14ac:dyDescent="0.25">
      <c r="A410" t="s">
        <v>4091</v>
      </c>
      <c r="B410" t="s">
        <v>468</v>
      </c>
      <c r="C410" t="s">
        <v>469</v>
      </c>
      <c r="D410" t="s">
        <v>4479</v>
      </c>
      <c r="E410" t="s">
        <v>3980</v>
      </c>
      <c r="F410" t="s">
        <v>232</v>
      </c>
      <c r="G410" t="s">
        <v>1406</v>
      </c>
      <c r="H410" s="6">
        <v>46022</v>
      </c>
      <c r="I410" t="s">
        <v>29</v>
      </c>
      <c r="J410">
        <v>6</v>
      </c>
      <c r="K410">
        <v>0</v>
      </c>
      <c r="L410">
        <v>0</v>
      </c>
      <c r="M410">
        <v>0</v>
      </c>
      <c r="N410" t="s">
        <v>3915</v>
      </c>
      <c r="O410" t="s">
        <v>3915</v>
      </c>
      <c r="P410" t="s">
        <v>3915</v>
      </c>
      <c r="Q410">
        <v>0</v>
      </c>
      <c r="R410" t="s">
        <v>30</v>
      </c>
      <c r="S410">
        <v>0</v>
      </c>
      <c r="T410">
        <v>0</v>
      </c>
      <c r="U410" t="s">
        <v>3915</v>
      </c>
      <c r="V410" t="s">
        <v>31</v>
      </c>
      <c r="W410">
        <v>0</v>
      </c>
    </row>
    <row r="411" spans="1:23" x14ac:dyDescent="0.25">
      <c r="A411" t="s">
        <v>4092</v>
      </c>
      <c r="B411" t="s">
        <v>470</v>
      </c>
      <c r="C411" t="s">
        <v>471</v>
      </c>
      <c r="D411" t="s">
        <v>4479</v>
      </c>
      <c r="E411" t="s">
        <v>3980</v>
      </c>
      <c r="F411" t="s">
        <v>232</v>
      </c>
      <c r="G411" t="s">
        <v>1406</v>
      </c>
      <c r="H411" s="6">
        <v>46022</v>
      </c>
      <c r="I411" t="s">
        <v>29</v>
      </c>
      <c r="J411">
        <v>74</v>
      </c>
      <c r="K411">
        <v>0</v>
      </c>
      <c r="L411">
        <v>0</v>
      </c>
      <c r="M411">
        <v>0</v>
      </c>
      <c r="N411" t="s">
        <v>3915</v>
      </c>
      <c r="O411" t="s">
        <v>3915</v>
      </c>
      <c r="P411" t="s">
        <v>3915</v>
      </c>
      <c r="Q411">
        <v>0</v>
      </c>
      <c r="R411" t="s">
        <v>30</v>
      </c>
      <c r="S411">
        <v>0</v>
      </c>
      <c r="T411">
        <v>0</v>
      </c>
      <c r="U411" t="s">
        <v>3915</v>
      </c>
      <c r="V411" t="s">
        <v>31</v>
      </c>
      <c r="W411">
        <v>0</v>
      </c>
    </row>
    <row r="412" spans="1:23" x14ac:dyDescent="0.25">
      <c r="A412" t="s">
        <v>5235</v>
      </c>
      <c r="B412" t="s">
        <v>2217</v>
      </c>
      <c r="C412" t="s">
        <v>2216</v>
      </c>
      <c r="D412" t="s">
        <v>4479</v>
      </c>
      <c r="E412" t="s">
        <v>4094</v>
      </c>
      <c r="F412" t="s">
        <v>480</v>
      </c>
      <c r="G412" t="s">
        <v>1406</v>
      </c>
      <c r="H412" s="6">
        <v>46022</v>
      </c>
      <c r="I412" t="s">
        <v>29</v>
      </c>
      <c r="J412">
        <v>1.41</v>
      </c>
      <c r="K412">
        <v>0</v>
      </c>
      <c r="L412">
        <v>0</v>
      </c>
      <c r="M412">
        <v>0</v>
      </c>
      <c r="N412" t="s">
        <v>3915</v>
      </c>
      <c r="O412" t="s">
        <v>3915</v>
      </c>
      <c r="P412" t="s">
        <v>3915</v>
      </c>
      <c r="Q412">
        <v>0</v>
      </c>
      <c r="R412" t="s">
        <v>489</v>
      </c>
      <c r="S412">
        <v>0</v>
      </c>
      <c r="T412">
        <v>0</v>
      </c>
      <c r="U412" t="s">
        <v>3915</v>
      </c>
      <c r="V412" t="s">
        <v>31</v>
      </c>
      <c r="W412">
        <v>0</v>
      </c>
    </row>
    <row r="413" spans="1:23" x14ac:dyDescent="0.25">
      <c r="A413" t="s">
        <v>4093</v>
      </c>
      <c r="B413" t="s">
        <v>478</v>
      </c>
      <c r="C413" t="s">
        <v>479</v>
      </c>
      <c r="D413" t="s">
        <v>4479</v>
      </c>
      <c r="E413" t="s">
        <v>4094</v>
      </c>
      <c r="F413" t="s">
        <v>480</v>
      </c>
      <c r="G413" t="s">
        <v>1406</v>
      </c>
      <c r="H413" s="6">
        <v>46022</v>
      </c>
      <c r="I413" t="s">
        <v>29</v>
      </c>
      <c r="J413">
        <v>8.01</v>
      </c>
      <c r="K413">
        <v>0</v>
      </c>
      <c r="L413">
        <v>0</v>
      </c>
      <c r="M413">
        <v>0</v>
      </c>
      <c r="N413" t="s">
        <v>3915</v>
      </c>
      <c r="O413" t="s">
        <v>3915</v>
      </c>
      <c r="P413" t="s">
        <v>3915</v>
      </c>
      <c r="Q413">
        <v>0</v>
      </c>
      <c r="R413" t="s">
        <v>82</v>
      </c>
      <c r="S413">
        <v>0</v>
      </c>
      <c r="T413">
        <v>0</v>
      </c>
      <c r="U413" t="s">
        <v>3915</v>
      </c>
      <c r="V413" t="s">
        <v>31</v>
      </c>
      <c r="W413">
        <v>0</v>
      </c>
    </row>
    <row r="414" spans="1:23" x14ac:dyDescent="0.25">
      <c r="A414" t="s">
        <v>4474</v>
      </c>
      <c r="B414" t="s">
        <v>2223</v>
      </c>
      <c r="C414" t="s">
        <v>2222</v>
      </c>
      <c r="D414" t="s">
        <v>4479</v>
      </c>
      <c r="E414" t="s">
        <v>4094</v>
      </c>
      <c r="F414" t="s">
        <v>480</v>
      </c>
      <c r="G414" t="s">
        <v>1406</v>
      </c>
      <c r="H414" s="6">
        <v>46022</v>
      </c>
      <c r="I414" t="s">
        <v>29</v>
      </c>
      <c r="J414">
        <v>2.0499999999999998</v>
      </c>
      <c r="K414">
        <v>0</v>
      </c>
      <c r="L414">
        <v>0</v>
      </c>
      <c r="M414">
        <v>0</v>
      </c>
      <c r="N414" t="s">
        <v>3915</v>
      </c>
      <c r="O414" t="s">
        <v>3915</v>
      </c>
      <c r="P414" t="s">
        <v>3915</v>
      </c>
      <c r="Q414">
        <v>0</v>
      </c>
      <c r="R414" t="s">
        <v>489</v>
      </c>
      <c r="S414">
        <v>0</v>
      </c>
      <c r="T414">
        <v>0</v>
      </c>
      <c r="U414" t="s">
        <v>3915</v>
      </c>
      <c r="V414" t="s">
        <v>31</v>
      </c>
      <c r="W414">
        <v>0</v>
      </c>
    </row>
    <row r="415" spans="1:23" x14ac:dyDescent="0.25">
      <c r="A415" t="s">
        <v>5236</v>
      </c>
      <c r="B415" t="s">
        <v>2227</v>
      </c>
      <c r="C415" t="s">
        <v>2226</v>
      </c>
      <c r="D415" t="s">
        <v>4479</v>
      </c>
      <c r="E415" t="s">
        <v>4094</v>
      </c>
      <c r="F415" t="s">
        <v>480</v>
      </c>
      <c r="G415" t="s">
        <v>1406</v>
      </c>
      <c r="H415" s="6">
        <v>46022</v>
      </c>
      <c r="I415" t="s">
        <v>29</v>
      </c>
      <c r="J415">
        <v>149.19999999999999</v>
      </c>
      <c r="K415">
        <v>0</v>
      </c>
      <c r="L415">
        <v>0</v>
      </c>
      <c r="M415">
        <v>0</v>
      </c>
      <c r="N415" t="s">
        <v>3915</v>
      </c>
      <c r="O415" t="s">
        <v>3915</v>
      </c>
      <c r="P415" t="s">
        <v>3915</v>
      </c>
      <c r="Q415">
        <v>0</v>
      </c>
      <c r="R415" t="s">
        <v>82</v>
      </c>
      <c r="S415">
        <v>0</v>
      </c>
      <c r="T415">
        <v>0</v>
      </c>
      <c r="U415" t="s">
        <v>3915</v>
      </c>
      <c r="V415" t="s">
        <v>31</v>
      </c>
      <c r="W415">
        <v>0</v>
      </c>
    </row>
    <row r="416" spans="1:23" x14ac:dyDescent="0.25">
      <c r="A416" t="s">
        <v>4095</v>
      </c>
      <c r="B416" t="s">
        <v>483</v>
      </c>
      <c r="C416" t="s">
        <v>484</v>
      </c>
      <c r="D416" t="s">
        <v>4479</v>
      </c>
      <c r="E416" t="s">
        <v>4094</v>
      </c>
      <c r="F416" t="s">
        <v>480</v>
      </c>
      <c r="G416" t="s">
        <v>1406</v>
      </c>
      <c r="H416" s="6">
        <v>46022</v>
      </c>
      <c r="I416" t="s">
        <v>29</v>
      </c>
      <c r="J416">
        <v>112.4</v>
      </c>
      <c r="K416">
        <v>0</v>
      </c>
      <c r="L416">
        <v>0</v>
      </c>
      <c r="M416">
        <v>0</v>
      </c>
      <c r="N416" t="s">
        <v>3915</v>
      </c>
      <c r="O416" t="s">
        <v>3915</v>
      </c>
      <c r="P416" t="s">
        <v>3915</v>
      </c>
      <c r="Q416">
        <v>0</v>
      </c>
      <c r="R416" t="s">
        <v>82</v>
      </c>
      <c r="S416">
        <v>0</v>
      </c>
      <c r="T416">
        <v>0</v>
      </c>
      <c r="U416" t="s">
        <v>3915</v>
      </c>
      <c r="V416" t="s">
        <v>31</v>
      </c>
      <c r="W416">
        <v>0</v>
      </c>
    </row>
    <row r="417" spans="1:23" x14ac:dyDescent="0.25">
      <c r="A417" t="s">
        <v>4096</v>
      </c>
      <c r="B417" t="s">
        <v>485</v>
      </c>
      <c r="C417" t="s">
        <v>486</v>
      </c>
      <c r="D417" t="s">
        <v>4479</v>
      </c>
      <c r="E417" t="s">
        <v>4094</v>
      </c>
      <c r="F417" t="s">
        <v>480</v>
      </c>
      <c r="G417" t="s">
        <v>1406</v>
      </c>
      <c r="H417" s="6">
        <v>46022</v>
      </c>
      <c r="I417" t="s">
        <v>29</v>
      </c>
      <c r="J417">
        <v>25.02</v>
      </c>
      <c r="K417">
        <v>0</v>
      </c>
      <c r="L417">
        <v>0</v>
      </c>
      <c r="M417">
        <v>0</v>
      </c>
      <c r="N417" t="s">
        <v>3915</v>
      </c>
      <c r="O417" t="s">
        <v>3915</v>
      </c>
      <c r="P417" t="s">
        <v>3915</v>
      </c>
      <c r="Q417">
        <v>0</v>
      </c>
      <c r="R417" t="s">
        <v>82</v>
      </c>
      <c r="S417">
        <v>0</v>
      </c>
      <c r="T417">
        <v>0</v>
      </c>
      <c r="U417" t="s">
        <v>3915</v>
      </c>
      <c r="V417" t="s">
        <v>31</v>
      </c>
      <c r="W417">
        <v>0</v>
      </c>
    </row>
    <row r="418" spans="1:23" x14ac:dyDescent="0.25">
      <c r="A418" t="s">
        <v>4097</v>
      </c>
      <c r="B418" t="s">
        <v>487</v>
      </c>
      <c r="C418" t="s">
        <v>488</v>
      </c>
      <c r="D418" t="s">
        <v>4479</v>
      </c>
      <c r="E418" t="s">
        <v>4094</v>
      </c>
      <c r="F418" t="s">
        <v>480</v>
      </c>
      <c r="G418" t="s">
        <v>1406</v>
      </c>
      <c r="H418" s="6">
        <v>46022</v>
      </c>
      <c r="I418" t="s">
        <v>29</v>
      </c>
      <c r="J418">
        <v>1.8</v>
      </c>
      <c r="K418">
        <v>0</v>
      </c>
      <c r="L418">
        <v>0</v>
      </c>
      <c r="M418">
        <v>0</v>
      </c>
      <c r="N418" t="s">
        <v>3915</v>
      </c>
      <c r="O418" t="s">
        <v>3915</v>
      </c>
      <c r="P418" t="s">
        <v>3915</v>
      </c>
      <c r="Q418">
        <v>0</v>
      </c>
      <c r="R418" t="s">
        <v>489</v>
      </c>
      <c r="S418">
        <v>0</v>
      </c>
      <c r="T418">
        <v>0</v>
      </c>
      <c r="U418" t="s">
        <v>3915</v>
      </c>
      <c r="V418" t="s">
        <v>31</v>
      </c>
      <c r="W418">
        <v>0</v>
      </c>
    </row>
    <row r="419" spans="1:23" x14ac:dyDescent="0.25">
      <c r="A419" t="s">
        <v>4098</v>
      </c>
      <c r="B419" t="s">
        <v>490</v>
      </c>
      <c r="C419" t="s">
        <v>491</v>
      </c>
      <c r="D419" t="s">
        <v>4479</v>
      </c>
      <c r="E419" t="s">
        <v>4094</v>
      </c>
      <c r="F419" t="s">
        <v>480</v>
      </c>
      <c r="G419" t="s">
        <v>1406</v>
      </c>
      <c r="H419" s="6">
        <v>46022</v>
      </c>
      <c r="I419" t="s">
        <v>29</v>
      </c>
      <c r="J419">
        <v>61</v>
      </c>
      <c r="K419">
        <v>0</v>
      </c>
      <c r="L419">
        <v>0</v>
      </c>
      <c r="M419">
        <v>0</v>
      </c>
      <c r="N419" t="s">
        <v>3915</v>
      </c>
      <c r="O419" t="s">
        <v>3915</v>
      </c>
      <c r="P419" t="s">
        <v>3915</v>
      </c>
      <c r="Q419">
        <v>0</v>
      </c>
      <c r="R419" t="s">
        <v>82</v>
      </c>
      <c r="S419">
        <v>0</v>
      </c>
      <c r="T419">
        <v>0</v>
      </c>
      <c r="U419" t="s">
        <v>3915</v>
      </c>
      <c r="V419" t="s">
        <v>31</v>
      </c>
      <c r="W419">
        <v>0</v>
      </c>
    </row>
    <row r="420" spans="1:23" x14ac:dyDescent="0.25">
      <c r="A420" t="s">
        <v>4099</v>
      </c>
      <c r="B420" t="s">
        <v>492</v>
      </c>
      <c r="C420" t="s">
        <v>493</v>
      </c>
      <c r="D420" t="s">
        <v>4479</v>
      </c>
      <c r="E420" t="s">
        <v>4094</v>
      </c>
      <c r="F420" t="s">
        <v>480</v>
      </c>
      <c r="G420" t="s">
        <v>1406</v>
      </c>
      <c r="H420" s="6">
        <v>46022</v>
      </c>
      <c r="I420" t="s">
        <v>29</v>
      </c>
      <c r="J420">
        <v>10.94</v>
      </c>
      <c r="K420">
        <v>0</v>
      </c>
      <c r="L420">
        <v>0</v>
      </c>
      <c r="M420">
        <v>0</v>
      </c>
      <c r="N420" t="s">
        <v>3915</v>
      </c>
      <c r="O420" t="s">
        <v>3915</v>
      </c>
      <c r="P420" t="s">
        <v>3915</v>
      </c>
      <c r="Q420">
        <v>0</v>
      </c>
      <c r="R420" t="s">
        <v>82</v>
      </c>
      <c r="S420">
        <v>0</v>
      </c>
      <c r="T420">
        <v>0</v>
      </c>
      <c r="U420" t="s">
        <v>3915</v>
      </c>
      <c r="V420" t="s">
        <v>31</v>
      </c>
      <c r="W420">
        <v>0</v>
      </c>
    </row>
    <row r="421" spans="1:23" x14ac:dyDescent="0.25">
      <c r="A421" t="s">
        <v>5237</v>
      </c>
      <c r="B421" t="s">
        <v>1512</v>
      </c>
      <c r="C421" t="s">
        <v>1511</v>
      </c>
      <c r="D421" t="s">
        <v>4479</v>
      </c>
      <c r="E421" t="s">
        <v>4094</v>
      </c>
      <c r="F421" t="s">
        <v>480</v>
      </c>
      <c r="G421" t="s">
        <v>1406</v>
      </c>
      <c r="H421" s="6">
        <v>46022</v>
      </c>
      <c r="I421" t="s">
        <v>29</v>
      </c>
      <c r="J421">
        <v>498.5</v>
      </c>
      <c r="K421">
        <v>0</v>
      </c>
      <c r="L421">
        <v>0</v>
      </c>
      <c r="M421">
        <v>0</v>
      </c>
      <c r="N421" t="s">
        <v>3915</v>
      </c>
      <c r="O421" t="s">
        <v>3915</v>
      </c>
      <c r="P421" t="s">
        <v>3915</v>
      </c>
      <c r="Q421">
        <v>0</v>
      </c>
      <c r="R421" t="s">
        <v>82</v>
      </c>
      <c r="S421">
        <v>0</v>
      </c>
      <c r="T421">
        <v>0</v>
      </c>
      <c r="U421" t="s">
        <v>3915</v>
      </c>
      <c r="V421" t="s">
        <v>31</v>
      </c>
      <c r="W421">
        <v>0</v>
      </c>
    </row>
    <row r="422" spans="1:23" x14ac:dyDescent="0.25">
      <c r="A422" t="s">
        <v>5238</v>
      </c>
      <c r="B422" t="s">
        <v>2229</v>
      </c>
      <c r="C422" t="s">
        <v>2228</v>
      </c>
      <c r="D422" t="s">
        <v>4479</v>
      </c>
      <c r="E422" t="s">
        <v>4094</v>
      </c>
      <c r="F422" t="s">
        <v>480</v>
      </c>
      <c r="G422" t="s">
        <v>1406</v>
      </c>
      <c r="H422" s="6">
        <v>46022</v>
      </c>
      <c r="I422" t="s">
        <v>29</v>
      </c>
      <c r="J422">
        <v>235.72</v>
      </c>
      <c r="K422">
        <v>0</v>
      </c>
      <c r="L422">
        <v>0</v>
      </c>
      <c r="M422">
        <v>0</v>
      </c>
      <c r="N422" t="s">
        <v>3915</v>
      </c>
      <c r="O422" t="s">
        <v>3915</v>
      </c>
      <c r="P422" t="s">
        <v>3915</v>
      </c>
      <c r="Q422">
        <v>0</v>
      </c>
      <c r="R422" t="s">
        <v>489</v>
      </c>
      <c r="S422">
        <v>0</v>
      </c>
      <c r="T422">
        <v>0</v>
      </c>
      <c r="U422" t="s">
        <v>3915</v>
      </c>
      <c r="V422" t="s">
        <v>31</v>
      </c>
      <c r="W422">
        <v>0</v>
      </c>
    </row>
    <row r="423" spans="1:23" x14ac:dyDescent="0.25">
      <c r="A423" t="s">
        <v>5239</v>
      </c>
      <c r="B423" t="s">
        <v>2231</v>
      </c>
      <c r="C423" t="s">
        <v>2230</v>
      </c>
      <c r="D423" t="s">
        <v>4479</v>
      </c>
      <c r="E423" t="s">
        <v>4094</v>
      </c>
      <c r="F423" t="s">
        <v>480</v>
      </c>
      <c r="G423" t="s">
        <v>1406</v>
      </c>
      <c r="H423" s="6">
        <v>46022</v>
      </c>
      <c r="I423" t="s">
        <v>29</v>
      </c>
      <c r="J423">
        <v>2.9</v>
      </c>
      <c r="K423">
        <v>0</v>
      </c>
      <c r="L423">
        <v>0</v>
      </c>
      <c r="M423">
        <v>0</v>
      </c>
      <c r="N423" t="s">
        <v>3915</v>
      </c>
      <c r="O423" t="s">
        <v>3915</v>
      </c>
      <c r="P423" t="s">
        <v>3915</v>
      </c>
      <c r="Q423">
        <v>0</v>
      </c>
      <c r="R423" t="s">
        <v>82</v>
      </c>
      <c r="S423">
        <v>0</v>
      </c>
      <c r="T423">
        <v>0</v>
      </c>
      <c r="U423" t="s">
        <v>3915</v>
      </c>
      <c r="V423" t="s">
        <v>31</v>
      </c>
      <c r="W423">
        <v>0</v>
      </c>
    </row>
    <row r="424" spans="1:23" x14ac:dyDescent="0.25">
      <c r="A424" t="s">
        <v>4755</v>
      </c>
      <c r="B424" t="s">
        <v>2240</v>
      </c>
      <c r="C424" t="s">
        <v>2239</v>
      </c>
      <c r="D424" t="s">
        <v>4479</v>
      </c>
      <c r="E424" t="s">
        <v>4599</v>
      </c>
      <c r="F424" t="s">
        <v>2241</v>
      </c>
      <c r="G424" t="s">
        <v>1406</v>
      </c>
      <c r="H424" s="6">
        <v>46022</v>
      </c>
      <c r="I424" t="s">
        <v>29</v>
      </c>
      <c r="J424">
        <v>1</v>
      </c>
      <c r="K424">
        <v>0</v>
      </c>
      <c r="L424">
        <v>0</v>
      </c>
      <c r="M424">
        <v>0</v>
      </c>
      <c r="N424" t="s">
        <v>3915</v>
      </c>
      <c r="O424" t="s">
        <v>3915</v>
      </c>
      <c r="P424" t="s">
        <v>3915</v>
      </c>
      <c r="Q424">
        <v>0</v>
      </c>
      <c r="R424" t="s">
        <v>30</v>
      </c>
      <c r="S424">
        <v>0</v>
      </c>
      <c r="T424">
        <v>0</v>
      </c>
      <c r="U424" t="s">
        <v>3915</v>
      </c>
      <c r="V424" t="s">
        <v>31</v>
      </c>
      <c r="W424">
        <v>0</v>
      </c>
    </row>
    <row r="425" spans="1:23" x14ac:dyDescent="0.25">
      <c r="A425" t="s">
        <v>5240</v>
      </c>
      <c r="B425" t="s">
        <v>1564</v>
      </c>
      <c r="C425" t="s">
        <v>1563</v>
      </c>
      <c r="D425" t="s">
        <v>4479</v>
      </c>
      <c r="E425" t="s">
        <v>4680</v>
      </c>
      <c r="F425" t="s">
        <v>1565</v>
      </c>
      <c r="G425" t="s">
        <v>1406</v>
      </c>
      <c r="H425" s="6">
        <v>46022</v>
      </c>
      <c r="I425" t="s">
        <v>29</v>
      </c>
      <c r="J425">
        <v>1</v>
      </c>
      <c r="K425">
        <v>0</v>
      </c>
      <c r="L425">
        <v>0</v>
      </c>
      <c r="M425">
        <v>0</v>
      </c>
      <c r="N425" t="s">
        <v>3915</v>
      </c>
      <c r="O425" t="s">
        <v>3915</v>
      </c>
      <c r="P425" t="s">
        <v>3915</v>
      </c>
      <c r="Q425">
        <v>0</v>
      </c>
      <c r="R425" t="s">
        <v>30</v>
      </c>
      <c r="S425">
        <v>0</v>
      </c>
      <c r="T425">
        <v>0</v>
      </c>
      <c r="U425" t="s">
        <v>3915</v>
      </c>
      <c r="V425" t="s">
        <v>31</v>
      </c>
      <c r="W425">
        <v>0</v>
      </c>
    </row>
    <row r="426" spans="1:23" x14ac:dyDescent="0.25">
      <c r="A426" t="s">
        <v>5241</v>
      </c>
      <c r="B426" t="s">
        <v>1567</v>
      </c>
      <c r="C426" t="s">
        <v>1566</v>
      </c>
      <c r="D426" t="s">
        <v>4479</v>
      </c>
      <c r="E426" t="s">
        <v>4680</v>
      </c>
      <c r="F426" t="s">
        <v>1565</v>
      </c>
      <c r="G426" t="s">
        <v>1406</v>
      </c>
      <c r="H426" s="6">
        <v>46022</v>
      </c>
      <c r="I426" t="s">
        <v>29</v>
      </c>
      <c r="J426">
        <v>1</v>
      </c>
      <c r="K426">
        <v>0</v>
      </c>
      <c r="L426">
        <v>0</v>
      </c>
      <c r="M426">
        <v>0</v>
      </c>
      <c r="N426" t="s">
        <v>3915</v>
      </c>
      <c r="O426" t="s">
        <v>3915</v>
      </c>
      <c r="P426" t="s">
        <v>3915</v>
      </c>
      <c r="Q426">
        <v>0</v>
      </c>
      <c r="R426" t="s">
        <v>30</v>
      </c>
      <c r="S426">
        <v>0</v>
      </c>
      <c r="T426">
        <v>0</v>
      </c>
      <c r="U426" t="s">
        <v>3915</v>
      </c>
      <c r="V426" t="s">
        <v>31</v>
      </c>
      <c r="W426">
        <v>0</v>
      </c>
    </row>
    <row r="427" spans="1:23" x14ac:dyDescent="0.25">
      <c r="A427" t="s">
        <v>4657</v>
      </c>
      <c r="B427" t="s">
        <v>1569</v>
      </c>
      <c r="C427" t="s">
        <v>1568</v>
      </c>
      <c r="D427" t="s">
        <v>4479</v>
      </c>
      <c r="E427" t="s">
        <v>4680</v>
      </c>
      <c r="F427" t="s">
        <v>1565</v>
      </c>
      <c r="G427" t="s">
        <v>1406</v>
      </c>
      <c r="H427" s="6">
        <v>46022</v>
      </c>
      <c r="I427" t="s">
        <v>29</v>
      </c>
      <c r="J427">
        <v>1</v>
      </c>
      <c r="K427">
        <v>0</v>
      </c>
      <c r="L427">
        <v>0</v>
      </c>
      <c r="M427">
        <v>0</v>
      </c>
      <c r="N427" t="s">
        <v>3915</v>
      </c>
      <c r="O427" t="s">
        <v>3915</v>
      </c>
      <c r="P427" t="s">
        <v>3915</v>
      </c>
      <c r="Q427">
        <v>0</v>
      </c>
      <c r="R427" t="s">
        <v>30</v>
      </c>
      <c r="S427">
        <v>0</v>
      </c>
      <c r="T427">
        <v>0</v>
      </c>
      <c r="U427" t="s">
        <v>3915</v>
      </c>
      <c r="V427" t="s">
        <v>31</v>
      </c>
      <c r="W427">
        <v>0</v>
      </c>
    </row>
    <row r="428" spans="1:23" x14ac:dyDescent="0.25">
      <c r="A428" t="s">
        <v>5242</v>
      </c>
      <c r="B428" t="s">
        <v>1571</v>
      </c>
      <c r="C428" t="s">
        <v>1570</v>
      </c>
      <c r="D428" t="s">
        <v>4479</v>
      </c>
      <c r="E428" t="s">
        <v>4680</v>
      </c>
      <c r="F428" t="s">
        <v>1565</v>
      </c>
      <c r="G428" t="s">
        <v>1406</v>
      </c>
      <c r="H428" s="6">
        <v>46022</v>
      </c>
      <c r="I428" t="s">
        <v>29</v>
      </c>
      <c r="J428">
        <v>1</v>
      </c>
      <c r="K428">
        <v>0</v>
      </c>
      <c r="L428">
        <v>0</v>
      </c>
      <c r="M428">
        <v>0</v>
      </c>
      <c r="N428" t="s">
        <v>3915</v>
      </c>
      <c r="O428" t="s">
        <v>3915</v>
      </c>
      <c r="P428" t="s">
        <v>3915</v>
      </c>
      <c r="Q428">
        <v>0</v>
      </c>
      <c r="R428" t="s">
        <v>30</v>
      </c>
      <c r="S428">
        <v>0</v>
      </c>
      <c r="T428">
        <v>0</v>
      </c>
      <c r="U428" t="s">
        <v>3915</v>
      </c>
      <c r="V428" t="s">
        <v>31</v>
      </c>
      <c r="W428">
        <v>0</v>
      </c>
    </row>
    <row r="429" spans="1:23" x14ac:dyDescent="0.25">
      <c r="A429" t="s">
        <v>5243</v>
      </c>
      <c r="B429" t="s">
        <v>1573</v>
      </c>
      <c r="C429" t="s">
        <v>1572</v>
      </c>
      <c r="D429" t="s">
        <v>4479</v>
      </c>
      <c r="E429" t="s">
        <v>4680</v>
      </c>
      <c r="F429" t="s">
        <v>1565</v>
      </c>
      <c r="G429" t="s">
        <v>1406</v>
      </c>
      <c r="H429" s="6">
        <v>46022</v>
      </c>
      <c r="I429" t="s">
        <v>29</v>
      </c>
      <c r="J429">
        <v>1</v>
      </c>
      <c r="K429">
        <v>0</v>
      </c>
      <c r="L429">
        <v>0</v>
      </c>
      <c r="M429">
        <v>0</v>
      </c>
      <c r="N429" t="s">
        <v>3915</v>
      </c>
      <c r="O429" t="s">
        <v>3915</v>
      </c>
      <c r="P429" t="s">
        <v>3915</v>
      </c>
      <c r="Q429">
        <v>0</v>
      </c>
      <c r="R429" t="s">
        <v>30</v>
      </c>
      <c r="S429">
        <v>0</v>
      </c>
      <c r="T429">
        <v>0</v>
      </c>
      <c r="U429" t="s">
        <v>3915</v>
      </c>
      <c r="V429" t="s">
        <v>31</v>
      </c>
      <c r="W429">
        <v>0</v>
      </c>
    </row>
    <row r="430" spans="1:23" x14ac:dyDescent="0.25">
      <c r="A430" t="s">
        <v>5244</v>
      </c>
      <c r="B430" t="s">
        <v>2403</v>
      </c>
      <c r="C430" t="s">
        <v>2402</v>
      </c>
      <c r="D430" t="s">
        <v>4479</v>
      </c>
      <c r="E430" t="s">
        <v>4101</v>
      </c>
      <c r="F430" t="s">
        <v>28</v>
      </c>
      <c r="G430" t="s">
        <v>1406</v>
      </c>
      <c r="H430" s="6">
        <v>46022</v>
      </c>
      <c r="I430" t="s">
        <v>29</v>
      </c>
      <c r="J430">
        <v>1</v>
      </c>
      <c r="K430">
        <v>0</v>
      </c>
      <c r="L430">
        <v>0</v>
      </c>
      <c r="M430">
        <v>0</v>
      </c>
      <c r="N430" t="s">
        <v>3915</v>
      </c>
      <c r="O430" t="s">
        <v>3915</v>
      </c>
      <c r="P430" t="s">
        <v>3915</v>
      </c>
      <c r="Q430">
        <v>0</v>
      </c>
      <c r="R430" t="s">
        <v>30</v>
      </c>
      <c r="S430">
        <v>0</v>
      </c>
      <c r="T430">
        <v>0</v>
      </c>
      <c r="U430" t="s">
        <v>3915</v>
      </c>
      <c r="V430" t="s">
        <v>31</v>
      </c>
      <c r="W430">
        <v>0</v>
      </c>
    </row>
    <row r="431" spans="1:23" x14ac:dyDescent="0.25">
      <c r="A431" t="s">
        <v>5245</v>
      </c>
      <c r="B431" t="s">
        <v>2405</v>
      </c>
      <c r="C431" t="s">
        <v>2404</v>
      </c>
      <c r="D431" t="s">
        <v>4479</v>
      </c>
      <c r="E431" t="s">
        <v>4101</v>
      </c>
      <c r="F431" t="s">
        <v>28</v>
      </c>
      <c r="G431" t="s">
        <v>1406</v>
      </c>
      <c r="H431" s="6">
        <v>46022</v>
      </c>
      <c r="I431" t="s">
        <v>29</v>
      </c>
      <c r="J431">
        <v>5</v>
      </c>
      <c r="K431">
        <v>0</v>
      </c>
      <c r="L431">
        <v>0</v>
      </c>
      <c r="M431">
        <v>0</v>
      </c>
      <c r="N431" t="s">
        <v>3915</v>
      </c>
      <c r="O431" t="s">
        <v>3915</v>
      </c>
      <c r="P431" t="s">
        <v>3915</v>
      </c>
      <c r="Q431">
        <v>0</v>
      </c>
      <c r="R431" t="s">
        <v>30</v>
      </c>
      <c r="S431">
        <v>0</v>
      </c>
      <c r="T431">
        <v>0</v>
      </c>
      <c r="U431" t="s">
        <v>3915</v>
      </c>
      <c r="V431" t="s">
        <v>31</v>
      </c>
      <c r="W431">
        <v>0</v>
      </c>
    </row>
    <row r="432" spans="1:23" x14ac:dyDescent="0.25">
      <c r="A432" t="s">
        <v>5246</v>
      </c>
      <c r="B432" t="s">
        <v>2407</v>
      </c>
      <c r="C432" t="s">
        <v>2406</v>
      </c>
      <c r="D432" t="s">
        <v>4479</v>
      </c>
      <c r="E432" t="s">
        <v>4101</v>
      </c>
      <c r="F432" t="s">
        <v>28</v>
      </c>
      <c r="G432" t="s">
        <v>1406</v>
      </c>
      <c r="H432" s="6">
        <v>46022</v>
      </c>
      <c r="I432" t="s">
        <v>29</v>
      </c>
      <c r="J432">
        <v>83</v>
      </c>
      <c r="K432">
        <v>0</v>
      </c>
      <c r="L432">
        <v>0</v>
      </c>
      <c r="M432">
        <v>0</v>
      </c>
      <c r="N432" t="s">
        <v>3915</v>
      </c>
      <c r="O432" t="s">
        <v>3915</v>
      </c>
      <c r="P432" t="s">
        <v>3915</v>
      </c>
      <c r="Q432">
        <v>0</v>
      </c>
      <c r="R432" t="s">
        <v>30</v>
      </c>
      <c r="S432">
        <v>0</v>
      </c>
      <c r="T432">
        <v>0</v>
      </c>
      <c r="U432" t="s">
        <v>3915</v>
      </c>
      <c r="V432" t="s">
        <v>31</v>
      </c>
      <c r="W432">
        <v>0</v>
      </c>
    </row>
    <row r="433" spans="1:23" x14ac:dyDescent="0.25">
      <c r="A433" t="s">
        <v>5247</v>
      </c>
      <c r="B433" t="s">
        <v>2409</v>
      </c>
      <c r="C433" t="s">
        <v>2408</v>
      </c>
      <c r="D433" t="s">
        <v>4479</v>
      </c>
      <c r="E433" t="s">
        <v>4101</v>
      </c>
      <c r="F433" t="s">
        <v>28</v>
      </c>
      <c r="G433" t="s">
        <v>1406</v>
      </c>
      <c r="H433" s="6">
        <v>46022</v>
      </c>
      <c r="I433" t="s">
        <v>29</v>
      </c>
      <c r="J433">
        <v>139</v>
      </c>
      <c r="K433">
        <v>0</v>
      </c>
      <c r="L433">
        <v>0</v>
      </c>
      <c r="M433">
        <v>0</v>
      </c>
      <c r="N433" t="s">
        <v>3915</v>
      </c>
      <c r="O433" t="s">
        <v>3915</v>
      </c>
      <c r="P433" t="s">
        <v>3915</v>
      </c>
      <c r="Q433">
        <v>0</v>
      </c>
      <c r="R433" t="s">
        <v>30</v>
      </c>
      <c r="S433">
        <v>0</v>
      </c>
      <c r="T433">
        <v>0</v>
      </c>
      <c r="U433" t="s">
        <v>3915</v>
      </c>
      <c r="V433" t="s">
        <v>31</v>
      </c>
      <c r="W433">
        <v>0</v>
      </c>
    </row>
    <row r="434" spans="1:23" x14ac:dyDescent="0.25">
      <c r="A434" t="s">
        <v>5248</v>
      </c>
      <c r="B434" t="s">
        <v>2411</v>
      </c>
      <c r="C434" t="s">
        <v>2410</v>
      </c>
      <c r="D434" t="s">
        <v>4479</v>
      </c>
      <c r="E434" t="s">
        <v>4101</v>
      </c>
      <c r="F434" t="s">
        <v>28</v>
      </c>
      <c r="G434" t="s">
        <v>1406</v>
      </c>
      <c r="H434" s="6">
        <v>46022</v>
      </c>
      <c r="I434" t="s">
        <v>29</v>
      </c>
      <c r="J434">
        <v>41</v>
      </c>
      <c r="K434">
        <v>0</v>
      </c>
      <c r="L434">
        <v>0</v>
      </c>
      <c r="M434">
        <v>0</v>
      </c>
      <c r="N434" t="s">
        <v>3915</v>
      </c>
      <c r="O434" t="s">
        <v>3915</v>
      </c>
      <c r="P434" t="s">
        <v>3915</v>
      </c>
      <c r="Q434">
        <v>0</v>
      </c>
      <c r="R434" t="s">
        <v>30</v>
      </c>
      <c r="S434">
        <v>0</v>
      </c>
      <c r="T434">
        <v>0</v>
      </c>
      <c r="U434" t="s">
        <v>3915</v>
      </c>
      <c r="V434" t="s">
        <v>31</v>
      </c>
      <c r="W434">
        <v>0</v>
      </c>
    </row>
    <row r="435" spans="1:23" x14ac:dyDescent="0.25">
      <c r="A435" t="s">
        <v>5249</v>
      </c>
      <c r="B435" t="s">
        <v>2413</v>
      </c>
      <c r="C435" t="s">
        <v>2412</v>
      </c>
      <c r="D435" t="s">
        <v>4479</v>
      </c>
      <c r="E435" t="s">
        <v>4101</v>
      </c>
      <c r="F435" t="s">
        <v>28</v>
      </c>
      <c r="G435" t="s">
        <v>1406</v>
      </c>
      <c r="H435" s="6">
        <v>46022</v>
      </c>
      <c r="I435" t="s">
        <v>29</v>
      </c>
      <c r="J435">
        <v>20</v>
      </c>
      <c r="K435">
        <v>0</v>
      </c>
      <c r="L435">
        <v>0</v>
      </c>
      <c r="M435">
        <v>0</v>
      </c>
      <c r="N435" t="s">
        <v>3915</v>
      </c>
      <c r="O435" t="s">
        <v>3915</v>
      </c>
      <c r="P435" t="s">
        <v>3915</v>
      </c>
      <c r="Q435">
        <v>0</v>
      </c>
      <c r="R435" t="s">
        <v>30</v>
      </c>
      <c r="S435">
        <v>0</v>
      </c>
      <c r="T435">
        <v>0</v>
      </c>
      <c r="U435" t="s">
        <v>3915</v>
      </c>
      <c r="V435" t="s">
        <v>31</v>
      </c>
      <c r="W435">
        <v>0</v>
      </c>
    </row>
    <row r="436" spans="1:23" x14ac:dyDescent="0.25">
      <c r="A436" t="s">
        <v>5250</v>
      </c>
      <c r="B436" t="s">
        <v>2415</v>
      </c>
      <c r="C436" t="s">
        <v>2414</v>
      </c>
      <c r="D436" t="s">
        <v>4479</v>
      </c>
      <c r="E436" t="s">
        <v>4101</v>
      </c>
      <c r="F436" t="s">
        <v>28</v>
      </c>
      <c r="G436" t="s">
        <v>1406</v>
      </c>
      <c r="H436" s="6">
        <v>46022</v>
      </c>
      <c r="I436" t="s">
        <v>29</v>
      </c>
      <c r="J436">
        <v>158</v>
      </c>
      <c r="K436">
        <v>0</v>
      </c>
      <c r="L436">
        <v>0</v>
      </c>
      <c r="M436">
        <v>0</v>
      </c>
      <c r="N436" t="s">
        <v>3915</v>
      </c>
      <c r="O436" t="s">
        <v>3915</v>
      </c>
      <c r="P436" t="s">
        <v>3915</v>
      </c>
      <c r="Q436">
        <v>0</v>
      </c>
      <c r="R436" t="s">
        <v>30</v>
      </c>
      <c r="S436">
        <v>0</v>
      </c>
      <c r="T436">
        <v>0</v>
      </c>
      <c r="U436" t="s">
        <v>3915</v>
      </c>
      <c r="V436" t="s">
        <v>31</v>
      </c>
      <c r="W436">
        <v>0</v>
      </c>
    </row>
    <row r="437" spans="1:23" x14ac:dyDescent="0.25">
      <c r="A437" t="s">
        <v>5251</v>
      </c>
      <c r="B437" t="s">
        <v>2417</v>
      </c>
      <c r="C437" t="s">
        <v>2416</v>
      </c>
      <c r="D437" t="s">
        <v>4479</v>
      </c>
      <c r="E437" t="s">
        <v>4101</v>
      </c>
      <c r="F437" t="s">
        <v>28</v>
      </c>
      <c r="G437" t="s">
        <v>1406</v>
      </c>
      <c r="H437" s="6">
        <v>46022</v>
      </c>
      <c r="I437" t="s">
        <v>29</v>
      </c>
      <c r="J437">
        <v>34</v>
      </c>
      <c r="K437">
        <v>0</v>
      </c>
      <c r="L437">
        <v>0</v>
      </c>
      <c r="M437">
        <v>0</v>
      </c>
      <c r="N437" t="s">
        <v>3915</v>
      </c>
      <c r="O437" t="s">
        <v>3915</v>
      </c>
      <c r="P437" t="s">
        <v>3915</v>
      </c>
      <c r="Q437">
        <v>0</v>
      </c>
      <c r="R437" t="s">
        <v>30</v>
      </c>
      <c r="S437">
        <v>0</v>
      </c>
      <c r="T437">
        <v>0</v>
      </c>
      <c r="U437" t="s">
        <v>3915</v>
      </c>
      <c r="V437" t="s">
        <v>31</v>
      </c>
      <c r="W437">
        <v>0</v>
      </c>
    </row>
    <row r="438" spans="1:23" x14ac:dyDescent="0.25">
      <c r="A438" t="s">
        <v>5252</v>
      </c>
      <c r="B438" t="s">
        <v>2419</v>
      </c>
      <c r="C438" t="s">
        <v>2418</v>
      </c>
      <c r="D438" t="s">
        <v>4479</v>
      </c>
      <c r="E438" t="s">
        <v>4101</v>
      </c>
      <c r="F438" t="s">
        <v>28</v>
      </c>
      <c r="G438" t="s">
        <v>1406</v>
      </c>
      <c r="H438" s="6">
        <v>46022</v>
      </c>
      <c r="I438" t="s">
        <v>29</v>
      </c>
      <c r="J438">
        <v>60</v>
      </c>
      <c r="K438">
        <v>0</v>
      </c>
      <c r="L438">
        <v>0</v>
      </c>
      <c r="M438">
        <v>0</v>
      </c>
      <c r="N438" t="s">
        <v>3915</v>
      </c>
      <c r="O438" t="s">
        <v>3915</v>
      </c>
      <c r="P438" t="s">
        <v>3915</v>
      </c>
      <c r="Q438">
        <v>0</v>
      </c>
      <c r="R438" t="s">
        <v>30</v>
      </c>
      <c r="S438">
        <v>0</v>
      </c>
      <c r="T438">
        <v>0</v>
      </c>
      <c r="U438" t="s">
        <v>3915</v>
      </c>
      <c r="V438" t="s">
        <v>31</v>
      </c>
      <c r="W438">
        <v>0</v>
      </c>
    </row>
    <row r="439" spans="1:23" x14ac:dyDescent="0.25">
      <c r="A439" t="s">
        <v>5253</v>
      </c>
      <c r="B439" t="s">
        <v>2421</v>
      </c>
      <c r="C439" t="s">
        <v>2420</v>
      </c>
      <c r="D439" t="s">
        <v>4479</v>
      </c>
      <c r="E439" t="s">
        <v>4101</v>
      </c>
      <c r="F439" t="s">
        <v>28</v>
      </c>
      <c r="G439" t="s">
        <v>1406</v>
      </c>
      <c r="H439" s="6">
        <v>46022</v>
      </c>
      <c r="I439" t="s">
        <v>29</v>
      </c>
      <c r="J439">
        <v>40</v>
      </c>
      <c r="K439">
        <v>0</v>
      </c>
      <c r="L439">
        <v>0</v>
      </c>
      <c r="M439">
        <v>0</v>
      </c>
      <c r="N439" t="s">
        <v>3915</v>
      </c>
      <c r="O439" t="s">
        <v>3915</v>
      </c>
      <c r="P439" t="s">
        <v>3915</v>
      </c>
      <c r="Q439">
        <v>0</v>
      </c>
      <c r="R439" t="s">
        <v>30</v>
      </c>
      <c r="S439">
        <v>0</v>
      </c>
      <c r="T439">
        <v>0</v>
      </c>
      <c r="U439" t="s">
        <v>3915</v>
      </c>
      <c r="V439" t="s">
        <v>31</v>
      </c>
      <c r="W439">
        <v>0</v>
      </c>
    </row>
    <row r="440" spans="1:23" x14ac:dyDescent="0.25">
      <c r="A440" t="s">
        <v>5254</v>
      </c>
      <c r="B440" t="s">
        <v>2423</v>
      </c>
      <c r="C440" t="s">
        <v>2422</v>
      </c>
      <c r="D440" t="s">
        <v>4479</v>
      </c>
      <c r="E440" t="s">
        <v>4101</v>
      </c>
      <c r="F440" t="s">
        <v>28</v>
      </c>
      <c r="G440" t="s">
        <v>1406</v>
      </c>
      <c r="H440" s="6">
        <v>46022</v>
      </c>
      <c r="I440" t="s">
        <v>29</v>
      </c>
      <c r="J440">
        <v>21</v>
      </c>
      <c r="K440">
        <v>0</v>
      </c>
      <c r="L440">
        <v>0</v>
      </c>
      <c r="M440">
        <v>0</v>
      </c>
      <c r="N440" t="s">
        <v>3915</v>
      </c>
      <c r="O440" t="s">
        <v>3915</v>
      </c>
      <c r="P440" t="s">
        <v>3915</v>
      </c>
      <c r="Q440">
        <v>0</v>
      </c>
      <c r="R440" t="s">
        <v>30</v>
      </c>
      <c r="S440">
        <v>0</v>
      </c>
      <c r="T440">
        <v>0</v>
      </c>
      <c r="U440" t="s">
        <v>3915</v>
      </c>
      <c r="V440" t="s">
        <v>31</v>
      </c>
      <c r="W440">
        <v>0</v>
      </c>
    </row>
    <row r="441" spans="1:23" x14ac:dyDescent="0.25">
      <c r="A441" t="s">
        <v>5255</v>
      </c>
      <c r="B441" t="s">
        <v>2425</v>
      </c>
      <c r="C441" t="s">
        <v>2424</v>
      </c>
      <c r="D441" t="s">
        <v>4479</v>
      </c>
      <c r="E441" t="s">
        <v>4101</v>
      </c>
      <c r="F441" t="s">
        <v>28</v>
      </c>
      <c r="G441" t="s">
        <v>1406</v>
      </c>
      <c r="H441" s="6">
        <v>46022</v>
      </c>
      <c r="I441" t="s">
        <v>29</v>
      </c>
      <c r="J441">
        <v>2</v>
      </c>
      <c r="K441">
        <v>0</v>
      </c>
      <c r="L441">
        <v>0</v>
      </c>
      <c r="M441">
        <v>0</v>
      </c>
      <c r="N441" t="s">
        <v>3915</v>
      </c>
      <c r="O441" t="s">
        <v>3915</v>
      </c>
      <c r="P441" t="s">
        <v>3915</v>
      </c>
      <c r="Q441">
        <v>0</v>
      </c>
      <c r="R441" t="s">
        <v>30</v>
      </c>
      <c r="S441">
        <v>0</v>
      </c>
      <c r="T441">
        <v>0</v>
      </c>
      <c r="U441" t="s">
        <v>3915</v>
      </c>
      <c r="V441" t="s">
        <v>31</v>
      </c>
      <c r="W441">
        <v>0</v>
      </c>
    </row>
    <row r="442" spans="1:23" x14ac:dyDescent="0.25">
      <c r="A442" t="s">
        <v>4928</v>
      </c>
      <c r="B442" t="s">
        <v>2427</v>
      </c>
      <c r="C442" t="s">
        <v>2426</v>
      </c>
      <c r="D442" t="s">
        <v>4479</v>
      </c>
      <c r="E442" t="s">
        <v>4101</v>
      </c>
      <c r="F442" t="s">
        <v>28</v>
      </c>
      <c r="G442" t="s">
        <v>1406</v>
      </c>
      <c r="H442" s="6">
        <v>46022</v>
      </c>
      <c r="I442" t="s">
        <v>29</v>
      </c>
      <c r="J442">
        <v>1</v>
      </c>
      <c r="K442">
        <v>0</v>
      </c>
      <c r="L442">
        <v>0</v>
      </c>
      <c r="M442">
        <v>0</v>
      </c>
      <c r="N442" t="s">
        <v>3915</v>
      </c>
      <c r="O442" t="s">
        <v>3915</v>
      </c>
      <c r="P442" t="s">
        <v>3915</v>
      </c>
      <c r="Q442">
        <v>0</v>
      </c>
      <c r="R442" t="s">
        <v>30</v>
      </c>
      <c r="S442">
        <v>0</v>
      </c>
      <c r="T442">
        <v>0</v>
      </c>
      <c r="U442" t="s">
        <v>3915</v>
      </c>
      <c r="V442" t="s">
        <v>31</v>
      </c>
      <c r="W442">
        <v>0</v>
      </c>
    </row>
    <row r="443" spans="1:23" x14ac:dyDescent="0.25">
      <c r="A443" t="s">
        <v>5256</v>
      </c>
      <c r="B443" t="s">
        <v>2429</v>
      </c>
      <c r="C443" t="s">
        <v>2428</v>
      </c>
      <c r="D443" t="s">
        <v>4479</v>
      </c>
      <c r="E443" t="s">
        <v>4101</v>
      </c>
      <c r="F443" t="s">
        <v>28</v>
      </c>
      <c r="G443" t="s">
        <v>1406</v>
      </c>
      <c r="H443" s="6">
        <v>46022</v>
      </c>
      <c r="I443" t="s">
        <v>29</v>
      </c>
      <c r="J443">
        <v>151</v>
      </c>
      <c r="K443">
        <v>0</v>
      </c>
      <c r="L443">
        <v>0</v>
      </c>
      <c r="M443">
        <v>0</v>
      </c>
      <c r="N443" t="s">
        <v>3915</v>
      </c>
      <c r="O443" t="s">
        <v>3915</v>
      </c>
      <c r="P443" t="s">
        <v>3915</v>
      </c>
      <c r="Q443">
        <v>0</v>
      </c>
      <c r="R443" t="s">
        <v>500</v>
      </c>
      <c r="S443">
        <v>0</v>
      </c>
      <c r="T443">
        <v>0</v>
      </c>
      <c r="U443" t="s">
        <v>3915</v>
      </c>
      <c r="V443" t="s">
        <v>31</v>
      </c>
      <c r="W443">
        <v>0</v>
      </c>
    </row>
    <row r="444" spans="1:23" x14ac:dyDescent="0.25">
      <c r="A444" t="s">
        <v>5257</v>
      </c>
      <c r="B444" t="s">
        <v>2431</v>
      </c>
      <c r="C444" t="s">
        <v>2430</v>
      </c>
      <c r="D444" t="s">
        <v>4479</v>
      </c>
      <c r="E444" t="s">
        <v>4101</v>
      </c>
      <c r="F444" t="s">
        <v>28</v>
      </c>
      <c r="G444" t="s">
        <v>1406</v>
      </c>
      <c r="H444" s="6">
        <v>46022</v>
      </c>
      <c r="I444" t="s">
        <v>29</v>
      </c>
      <c r="J444">
        <v>37</v>
      </c>
      <c r="K444">
        <v>0</v>
      </c>
      <c r="L444">
        <v>0</v>
      </c>
      <c r="M444">
        <v>0</v>
      </c>
      <c r="N444" t="s">
        <v>3915</v>
      </c>
      <c r="O444" t="s">
        <v>3915</v>
      </c>
      <c r="P444" t="s">
        <v>3915</v>
      </c>
      <c r="Q444">
        <v>0</v>
      </c>
      <c r="R444" t="s">
        <v>500</v>
      </c>
      <c r="S444">
        <v>0</v>
      </c>
      <c r="T444">
        <v>0</v>
      </c>
      <c r="U444" t="s">
        <v>3915</v>
      </c>
      <c r="V444" t="s">
        <v>31</v>
      </c>
      <c r="W444">
        <v>0</v>
      </c>
    </row>
    <row r="445" spans="1:23" x14ac:dyDescent="0.25">
      <c r="A445" t="s">
        <v>5258</v>
      </c>
      <c r="B445" t="s">
        <v>2433</v>
      </c>
      <c r="C445" t="s">
        <v>2432</v>
      </c>
      <c r="D445" t="s">
        <v>4479</v>
      </c>
      <c r="E445" t="s">
        <v>4101</v>
      </c>
      <c r="F445" t="s">
        <v>28</v>
      </c>
      <c r="G445" t="s">
        <v>1406</v>
      </c>
      <c r="H445" s="6">
        <v>46022</v>
      </c>
      <c r="I445" t="s">
        <v>29</v>
      </c>
      <c r="J445">
        <v>73</v>
      </c>
      <c r="K445">
        <v>0</v>
      </c>
      <c r="L445">
        <v>0</v>
      </c>
      <c r="M445">
        <v>0</v>
      </c>
      <c r="N445" t="s">
        <v>3915</v>
      </c>
      <c r="O445" t="s">
        <v>3915</v>
      </c>
      <c r="P445" t="s">
        <v>3915</v>
      </c>
      <c r="Q445">
        <v>0</v>
      </c>
      <c r="R445" t="s">
        <v>500</v>
      </c>
      <c r="S445">
        <v>0</v>
      </c>
      <c r="T445">
        <v>0</v>
      </c>
      <c r="U445" t="s">
        <v>3915</v>
      </c>
      <c r="V445" t="s">
        <v>31</v>
      </c>
      <c r="W445">
        <v>0</v>
      </c>
    </row>
    <row r="446" spans="1:23" x14ac:dyDescent="0.25">
      <c r="A446" t="s">
        <v>5259</v>
      </c>
      <c r="B446" t="s">
        <v>2435</v>
      </c>
      <c r="C446" t="s">
        <v>2434</v>
      </c>
      <c r="D446" t="s">
        <v>4479</v>
      </c>
      <c r="E446" t="s">
        <v>4101</v>
      </c>
      <c r="F446" t="s">
        <v>28</v>
      </c>
      <c r="G446" t="s">
        <v>1406</v>
      </c>
      <c r="H446" s="6">
        <v>46022</v>
      </c>
      <c r="I446" t="s">
        <v>29</v>
      </c>
      <c r="J446">
        <v>124</v>
      </c>
      <c r="K446">
        <v>0</v>
      </c>
      <c r="L446">
        <v>0</v>
      </c>
      <c r="M446">
        <v>0</v>
      </c>
      <c r="N446" t="s">
        <v>3915</v>
      </c>
      <c r="O446" t="s">
        <v>3915</v>
      </c>
      <c r="P446" t="s">
        <v>3915</v>
      </c>
      <c r="Q446">
        <v>0</v>
      </c>
      <c r="R446" t="s">
        <v>500</v>
      </c>
      <c r="S446">
        <v>0</v>
      </c>
      <c r="T446">
        <v>0</v>
      </c>
      <c r="U446" t="s">
        <v>3915</v>
      </c>
      <c r="V446" t="s">
        <v>31</v>
      </c>
      <c r="W446">
        <v>0</v>
      </c>
    </row>
    <row r="447" spans="1:23" x14ac:dyDescent="0.25">
      <c r="A447" t="s">
        <v>4725</v>
      </c>
      <c r="B447" t="s">
        <v>2437</v>
      </c>
      <c r="C447" t="s">
        <v>2436</v>
      </c>
      <c r="D447" t="s">
        <v>4479</v>
      </c>
      <c r="E447" t="s">
        <v>4101</v>
      </c>
      <c r="F447" t="s">
        <v>28</v>
      </c>
      <c r="G447" t="s">
        <v>1406</v>
      </c>
      <c r="H447" s="6">
        <v>46022</v>
      </c>
      <c r="I447" t="s">
        <v>29</v>
      </c>
      <c r="J447">
        <v>40</v>
      </c>
      <c r="K447">
        <v>0</v>
      </c>
      <c r="L447">
        <v>0</v>
      </c>
      <c r="M447">
        <v>0</v>
      </c>
      <c r="N447" t="s">
        <v>3915</v>
      </c>
      <c r="O447" t="s">
        <v>3915</v>
      </c>
      <c r="P447" t="s">
        <v>3915</v>
      </c>
      <c r="Q447">
        <v>0</v>
      </c>
      <c r="R447" t="s">
        <v>500</v>
      </c>
      <c r="S447">
        <v>0</v>
      </c>
      <c r="T447">
        <v>0</v>
      </c>
      <c r="U447" t="s">
        <v>3915</v>
      </c>
      <c r="V447" t="s">
        <v>31</v>
      </c>
      <c r="W447">
        <v>0</v>
      </c>
    </row>
    <row r="448" spans="1:23" x14ac:dyDescent="0.25">
      <c r="A448" t="s">
        <v>5260</v>
      </c>
      <c r="B448" t="s">
        <v>2439</v>
      </c>
      <c r="C448" t="s">
        <v>2438</v>
      </c>
      <c r="D448" t="s">
        <v>4479</v>
      </c>
      <c r="E448" t="s">
        <v>4101</v>
      </c>
      <c r="F448" t="s">
        <v>28</v>
      </c>
      <c r="G448" t="s">
        <v>1406</v>
      </c>
      <c r="H448" s="6">
        <v>46022</v>
      </c>
      <c r="I448" t="s">
        <v>29</v>
      </c>
      <c r="J448">
        <v>43</v>
      </c>
      <c r="K448">
        <v>0</v>
      </c>
      <c r="L448">
        <v>0</v>
      </c>
      <c r="M448">
        <v>0</v>
      </c>
      <c r="N448" t="s">
        <v>3915</v>
      </c>
      <c r="O448" t="s">
        <v>3915</v>
      </c>
      <c r="P448" t="s">
        <v>3915</v>
      </c>
      <c r="Q448">
        <v>0</v>
      </c>
      <c r="R448" t="s">
        <v>500</v>
      </c>
      <c r="S448">
        <v>0</v>
      </c>
      <c r="T448">
        <v>0</v>
      </c>
      <c r="U448" t="s">
        <v>3915</v>
      </c>
      <c r="V448" t="s">
        <v>31</v>
      </c>
      <c r="W448">
        <v>0</v>
      </c>
    </row>
    <row r="449" spans="1:23" x14ac:dyDescent="0.25">
      <c r="A449" t="s">
        <v>5261</v>
      </c>
      <c r="B449" t="s">
        <v>2441</v>
      </c>
      <c r="C449" t="s">
        <v>2440</v>
      </c>
      <c r="D449" t="s">
        <v>4479</v>
      </c>
      <c r="E449" t="s">
        <v>4101</v>
      </c>
      <c r="F449" t="s">
        <v>28</v>
      </c>
      <c r="G449" t="s">
        <v>1406</v>
      </c>
      <c r="H449" s="6">
        <v>46022</v>
      </c>
      <c r="I449" t="s">
        <v>29</v>
      </c>
      <c r="J449">
        <v>69</v>
      </c>
      <c r="K449">
        <v>0</v>
      </c>
      <c r="L449">
        <v>0</v>
      </c>
      <c r="M449">
        <v>0</v>
      </c>
      <c r="N449" t="s">
        <v>3915</v>
      </c>
      <c r="O449" t="s">
        <v>3915</v>
      </c>
      <c r="P449" t="s">
        <v>3915</v>
      </c>
      <c r="Q449">
        <v>0</v>
      </c>
      <c r="R449" t="s">
        <v>500</v>
      </c>
      <c r="S449">
        <v>0</v>
      </c>
      <c r="T449">
        <v>0</v>
      </c>
      <c r="U449" t="s">
        <v>3915</v>
      </c>
      <c r="V449" t="s">
        <v>31</v>
      </c>
      <c r="W449">
        <v>0</v>
      </c>
    </row>
    <row r="450" spans="1:23" x14ac:dyDescent="0.25">
      <c r="A450" t="s">
        <v>5262</v>
      </c>
      <c r="B450" t="s">
        <v>2443</v>
      </c>
      <c r="C450" t="s">
        <v>2442</v>
      </c>
      <c r="D450" t="s">
        <v>4479</v>
      </c>
      <c r="E450" t="s">
        <v>4101</v>
      </c>
      <c r="F450" t="s">
        <v>28</v>
      </c>
      <c r="G450" t="s">
        <v>1406</v>
      </c>
      <c r="H450" s="6">
        <v>46022</v>
      </c>
      <c r="I450" t="s">
        <v>29</v>
      </c>
      <c r="J450">
        <v>20</v>
      </c>
      <c r="K450">
        <v>0</v>
      </c>
      <c r="L450">
        <v>0</v>
      </c>
      <c r="M450">
        <v>0</v>
      </c>
      <c r="N450" t="s">
        <v>3915</v>
      </c>
      <c r="O450" t="s">
        <v>3915</v>
      </c>
      <c r="P450" t="s">
        <v>3915</v>
      </c>
      <c r="Q450">
        <v>0</v>
      </c>
      <c r="R450" t="s">
        <v>30</v>
      </c>
      <c r="S450">
        <v>0</v>
      </c>
      <c r="T450">
        <v>0</v>
      </c>
      <c r="U450" t="s">
        <v>3915</v>
      </c>
      <c r="V450" t="s">
        <v>31</v>
      </c>
      <c r="W450">
        <v>0</v>
      </c>
    </row>
    <row r="451" spans="1:23" x14ac:dyDescent="0.25">
      <c r="A451" t="s">
        <v>4102</v>
      </c>
      <c r="B451" t="s">
        <v>505</v>
      </c>
      <c r="C451" t="s">
        <v>506</v>
      </c>
      <c r="D451" t="s">
        <v>4479</v>
      </c>
      <c r="E451" t="s">
        <v>4101</v>
      </c>
      <c r="F451" t="s">
        <v>28</v>
      </c>
      <c r="G451" t="s">
        <v>1406</v>
      </c>
      <c r="H451" s="6">
        <v>46022</v>
      </c>
      <c r="I451" t="s">
        <v>29</v>
      </c>
      <c r="J451">
        <v>1</v>
      </c>
      <c r="K451">
        <v>0</v>
      </c>
      <c r="L451">
        <v>0</v>
      </c>
      <c r="M451">
        <v>0</v>
      </c>
      <c r="N451" t="s">
        <v>3915</v>
      </c>
      <c r="O451" t="s">
        <v>3915</v>
      </c>
      <c r="P451" t="s">
        <v>3915</v>
      </c>
      <c r="Q451">
        <v>0</v>
      </c>
      <c r="R451" t="s">
        <v>500</v>
      </c>
      <c r="S451">
        <v>0</v>
      </c>
      <c r="T451">
        <v>0</v>
      </c>
      <c r="U451" t="s">
        <v>3915</v>
      </c>
      <c r="V451" t="s">
        <v>31</v>
      </c>
      <c r="W451">
        <v>0</v>
      </c>
    </row>
    <row r="452" spans="1:23" x14ac:dyDescent="0.25">
      <c r="A452" t="s">
        <v>4103</v>
      </c>
      <c r="B452" t="s">
        <v>507</v>
      </c>
      <c r="C452" t="s">
        <v>508</v>
      </c>
      <c r="D452" t="s">
        <v>4479</v>
      </c>
      <c r="E452" t="s">
        <v>4101</v>
      </c>
      <c r="F452" t="s">
        <v>28</v>
      </c>
      <c r="G452" t="s">
        <v>1406</v>
      </c>
      <c r="H452" s="6">
        <v>46022</v>
      </c>
      <c r="I452" t="s">
        <v>29</v>
      </c>
      <c r="J452">
        <v>1</v>
      </c>
      <c r="K452">
        <v>0</v>
      </c>
      <c r="L452">
        <v>0</v>
      </c>
      <c r="M452">
        <v>0</v>
      </c>
      <c r="N452" t="s">
        <v>3915</v>
      </c>
      <c r="O452" t="s">
        <v>3915</v>
      </c>
      <c r="P452" t="s">
        <v>3915</v>
      </c>
      <c r="Q452">
        <v>0</v>
      </c>
      <c r="R452" t="s">
        <v>500</v>
      </c>
      <c r="S452">
        <v>0</v>
      </c>
      <c r="T452">
        <v>0</v>
      </c>
      <c r="U452" t="s">
        <v>3915</v>
      </c>
      <c r="V452" t="s">
        <v>31</v>
      </c>
      <c r="W452">
        <v>0</v>
      </c>
    </row>
    <row r="453" spans="1:23" x14ac:dyDescent="0.25">
      <c r="A453" t="s">
        <v>4104</v>
      </c>
      <c r="B453" t="s">
        <v>511</v>
      </c>
      <c r="C453" t="s">
        <v>512</v>
      </c>
      <c r="D453" t="s">
        <v>4479</v>
      </c>
      <c r="E453" t="s">
        <v>4101</v>
      </c>
      <c r="F453" t="s">
        <v>28</v>
      </c>
      <c r="G453" t="s">
        <v>1406</v>
      </c>
      <c r="H453" s="6">
        <v>46022</v>
      </c>
      <c r="I453" t="s">
        <v>29</v>
      </c>
      <c r="J453">
        <v>9</v>
      </c>
      <c r="K453">
        <v>0</v>
      </c>
      <c r="L453">
        <v>0</v>
      </c>
      <c r="M453">
        <v>0</v>
      </c>
      <c r="N453" t="s">
        <v>3915</v>
      </c>
      <c r="O453" t="s">
        <v>3915</v>
      </c>
      <c r="P453" t="s">
        <v>3915</v>
      </c>
      <c r="Q453">
        <v>0</v>
      </c>
      <c r="R453" t="s">
        <v>500</v>
      </c>
      <c r="S453">
        <v>0</v>
      </c>
      <c r="T453">
        <v>0</v>
      </c>
      <c r="U453" t="s">
        <v>3915</v>
      </c>
      <c r="V453" t="s">
        <v>31</v>
      </c>
      <c r="W453">
        <v>0</v>
      </c>
    </row>
    <row r="454" spans="1:23" x14ac:dyDescent="0.25">
      <c r="A454" t="s">
        <v>4105</v>
      </c>
      <c r="B454" t="s">
        <v>515</v>
      </c>
      <c r="C454" t="s">
        <v>516</v>
      </c>
      <c r="D454" t="s">
        <v>4479</v>
      </c>
      <c r="E454" t="s">
        <v>4101</v>
      </c>
      <c r="F454" t="s">
        <v>28</v>
      </c>
      <c r="G454" t="s">
        <v>1406</v>
      </c>
      <c r="H454" s="6">
        <v>46022</v>
      </c>
      <c r="I454" t="s">
        <v>29</v>
      </c>
      <c r="J454">
        <v>2</v>
      </c>
      <c r="K454">
        <v>0</v>
      </c>
      <c r="L454">
        <v>0</v>
      </c>
      <c r="M454">
        <v>0</v>
      </c>
      <c r="N454" t="s">
        <v>3915</v>
      </c>
      <c r="O454" t="s">
        <v>3915</v>
      </c>
      <c r="P454" t="s">
        <v>3915</v>
      </c>
      <c r="Q454">
        <v>0</v>
      </c>
      <c r="R454" t="s">
        <v>500</v>
      </c>
      <c r="S454">
        <v>0</v>
      </c>
      <c r="T454">
        <v>0</v>
      </c>
      <c r="U454" t="s">
        <v>3915</v>
      </c>
      <c r="V454" t="s">
        <v>31</v>
      </c>
      <c r="W454">
        <v>0</v>
      </c>
    </row>
    <row r="455" spans="1:23" x14ac:dyDescent="0.25">
      <c r="A455" t="s">
        <v>4106</v>
      </c>
      <c r="B455" t="s">
        <v>519</v>
      </c>
      <c r="C455" t="s">
        <v>520</v>
      </c>
      <c r="D455" t="s">
        <v>4479</v>
      </c>
      <c r="E455" t="s">
        <v>4101</v>
      </c>
      <c r="F455" t="s">
        <v>28</v>
      </c>
      <c r="G455" t="s">
        <v>1406</v>
      </c>
      <c r="H455" s="6">
        <v>46022</v>
      </c>
      <c r="I455" t="s">
        <v>29</v>
      </c>
      <c r="J455">
        <v>3</v>
      </c>
      <c r="K455">
        <v>0</v>
      </c>
      <c r="L455">
        <v>0</v>
      </c>
      <c r="M455">
        <v>0</v>
      </c>
      <c r="N455" t="s">
        <v>3915</v>
      </c>
      <c r="O455" t="s">
        <v>3915</v>
      </c>
      <c r="P455" t="s">
        <v>3915</v>
      </c>
      <c r="Q455">
        <v>0</v>
      </c>
      <c r="R455" t="s">
        <v>500</v>
      </c>
      <c r="S455">
        <v>0</v>
      </c>
      <c r="T455">
        <v>0</v>
      </c>
      <c r="U455" t="s">
        <v>3915</v>
      </c>
      <c r="V455" t="s">
        <v>31</v>
      </c>
      <c r="W455">
        <v>0</v>
      </c>
    </row>
    <row r="456" spans="1:23" x14ac:dyDescent="0.25">
      <c r="A456" t="s">
        <v>4107</v>
      </c>
      <c r="B456" t="s">
        <v>521</v>
      </c>
      <c r="C456" t="s">
        <v>522</v>
      </c>
      <c r="D456" t="s">
        <v>4479</v>
      </c>
      <c r="E456" t="s">
        <v>4101</v>
      </c>
      <c r="F456" t="s">
        <v>28</v>
      </c>
      <c r="G456" t="s">
        <v>1406</v>
      </c>
      <c r="H456" s="6">
        <v>46022</v>
      </c>
      <c r="I456" t="s">
        <v>29</v>
      </c>
      <c r="J456">
        <v>3</v>
      </c>
      <c r="K456">
        <v>0</v>
      </c>
      <c r="L456">
        <v>0</v>
      </c>
      <c r="M456">
        <v>0</v>
      </c>
      <c r="N456" t="s">
        <v>3915</v>
      </c>
      <c r="O456" t="s">
        <v>3915</v>
      </c>
      <c r="P456" t="s">
        <v>3915</v>
      </c>
      <c r="Q456">
        <v>0</v>
      </c>
      <c r="R456" t="s">
        <v>500</v>
      </c>
      <c r="S456">
        <v>0</v>
      </c>
      <c r="T456">
        <v>0</v>
      </c>
      <c r="U456" t="s">
        <v>3915</v>
      </c>
      <c r="V456" t="s">
        <v>31</v>
      </c>
      <c r="W456">
        <v>0</v>
      </c>
    </row>
    <row r="457" spans="1:23" x14ac:dyDescent="0.25">
      <c r="A457" t="s">
        <v>4108</v>
      </c>
      <c r="B457" t="s">
        <v>527</v>
      </c>
      <c r="C457" t="s">
        <v>528</v>
      </c>
      <c r="D457" t="s">
        <v>4479</v>
      </c>
      <c r="E457" t="s">
        <v>4101</v>
      </c>
      <c r="F457" t="s">
        <v>28</v>
      </c>
      <c r="G457" t="s">
        <v>1406</v>
      </c>
      <c r="H457" s="6">
        <v>46022</v>
      </c>
      <c r="I457" t="s">
        <v>29</v>
      </c>
      <c r="J457">
        <v>1</v>
      </c>
      <c r="K457">
        <v>0</v>
      </c>
      <c r="L457">
        <v>0</v>
      </c>
      <c r="M457">
        <v>0</v>
      </c>
      <c r="N457" t="s">
        <v>3915</v>
      </c>
      <c r="O457" t="s">
        <v>3915</v>
      </c>
      <c r="P457" t="s">
        <v>3915</v>
      </c>
      <c r="Q457">
        <v>0</v>
      </c>
      <c r="R457" t="s">
        <v>500</v>
      </c>
      <c r="S457">
        <v>0</v>
      </c>
      <c r="T457">
        <v>0</v>
      </c>
      <c r="U457" t="s">
        <v>3915</v>
      </c>
      <c r="V457" t="s">
        <v>31</v>
      </c>
      <c r="W457">
        <v>0</v>
      </c>
    </row>
    <row r="458" spans="1:23" x14ac:dyDescent="0.25">
      <c r="A458" t="s">
        <v>4109</v>
      </c>
      <c r="B458" t="s">
        <v>531</v>
      </c>
      <c r="C458" t="s">
        <v>532</v>
      </c>
      <c r="D458" t="s">
        <v>4479</v>
      </c>
      <c r="E458" t="s">
        <v>4101</v>
      </c>
      <c r="F458" t="s">
        <v>28</v>
      </c>
      <c r="G458" t="s">
        <v>1406</v>
      </c>
      <c r="H458" s="6">
        <v>46022</v>
      </c>
      <c r="I458" t="s">
        <v>29</v>
      </c>
      <c r="J458">
        <v>0</v>
      </c>
      <c r="K458">
        <v>0</v>
      </c>
      <c r="L458">
        <v>0</v>
      </c>
      <c r="M458">
        <v>0</v>
      </c>
      <c r="N458" t="s">
        <v>3915</v>
      </c>
      <c r="O458" t="s">
        <v>3915</v>
      </c>
      <c r="P458" t="s">
        <v>3915</v>
      </c>
      <c r="Q458">
        <v>0</v>
      </c>
      <c r="R458" t="s">
        <v>500</v>
      </c>
      <c r="S458">
        <v>0</v>
      </c>
      <c r="T458">
        <v>0</v>
      </c>
      <c r="U458" t="s">
        <v>3915</v>
      </c>
      <c r="V458" t="s">
        <v>31</v>
      </c>
      <c r="W458">
        <v>0</v>
      </c>
    </row>
    <row r="459" spans="1:23" x14ac:dyDescent="0.25">
      <c r="A459" t="s">
        <v>4110</v>
      </c>
      <c r="B459" t="s">
        <v>533</v>
      </c>
      <c r="C459" t="s">
        <v>534</v>
      </c>
      <c r="D459" t="s">
        <v>4479</v>
      </c>
      <c r="E459" t="s">
        <v>4101</v>
      </c>
      <c r="F459" t="s">
        <v>28</v>
      </c>
      <c r="G459" t="s">
        <v>1406</v>
      </c>
      <c r="H459" s="6">
        <v>46022</v>
      </c>
      <c r="I459" t="s">
        <v>29</v>
      </c>
      <c r="J459">
        <v>1</v>
      </c>
      <c r="K459">
        <v>0</v>
      </c>
      <c r="L459">
        <v>0</v>
      </c>
      <c r="M459">
        <v>0</v>
      </c>
      <c r="N459" t="s">
        <v>3915</v>
      </c>
      <c r="O459" t="s">
        <v>3915</v>
      </c>
      <c r="P459" t="s">
        <v>3915</v>
      </c>
      <c r="Q459">
        <v>0</v>
      </c>
      <c r="R459" t="s">
        <v>500</v>
      </c>
      <c r="S459">
        <v>0</v>
      </c>
      <c r="T459">
        <v>0</v>
      </c>
      <c r="U459" t="s">
        <v>3915</v>
      </c>
      <c r="V459" t="s">
        <v>31</v>
      </c>
      <c r="W459">
        <v>0</v>
      </c>
    </row>
    <row r="460" spans="1:23" x14ac:dyDescent="0.25">
      <c r="A460" t="s">
        <v>4111</v>
      </c>
      <c r="B460" t="s">
        <v>535</v>
      </c>
      <c r="C460" t="s">
        <v>536</v>
      </c>
      <c r="D460" t="s">
        <v>4479</v>
      </c>
      <c r="E460" t="s">
        <v>4101</v>
      </c>
      <c r="F460" t="s">
        <v>28</v>
      </c>
      <c r="G460" t="s">
        <v>1406</v>
      </c>
      <c r="H460" s="6">
        <v>46022</v>
      </c>
      <c r="I460" t="s">
        <v>29</v>
      </c>
      <c r="J460">
        <v>0</v>
      </c>
      <c r="K460">
        <v>0</v>
      </c>
      <c r="L460">
        <v>0</v>
      </c>
      <c r="M460">
        <v>0</v>
      </c>
      <c r="N460" t="s">
        <v>3915</v>
      </c>
      <c r="O460" t="s">
        <v>3915</v>
      </c>
      <c r="P460" t="s">
        <v>3915</v>
      </c>
      <c r="Q460">
        <v>0</v>
      </c>
      <c r="R460" t="s">
        <v>500</v>
      </c>
      <c r="S460">
        <v>0</v>
      </c>
      <c r="T460">
        <v>0</v>
      </c>
      <c r="U460" t="s">
        <v>3915</v>
      </c>
      <c r="V460" t="s">
        <v>31</v>
      </c>
      <c r="W460">
        <v>0</v>
      </c>
    </row>
    <row r="461" spans="1:23" x14ac:dyDescent="0.25">
      <c r="A461" t="s">
        <v>4112</v>
      </c>
      <c r="B461" t="s">
        <v>537</v>
      </c>
      <c r="C461" t="s">
        <v>538</v>
      </c>
      <c r="D461" t="s">
        <v>4479</v>
      </c>
      <c r="E461" t="s">
        <v>4101</v>
      </c>
      <c r="F461" t="s">
        <v>28</v>
      </c>
      <c r="G461" t="s">
        <v>1406</v>
      </c>
      <c r="H461" s="6">
        <v>46022</v>
      </c>
      <c r="I461" t="s">
        <v>29</v>
      </c>
      <c r="J461">
        <v>4</v>
      </c>
      <c r="K461">
        <v>0</v>
      </c>
      <c r="L461">
        <v>0</v>
      </c>
      <c r="M461">
        <v>0</v>
      </c>
      <c r="N461" t="s">
        <v>3915</v>
      </c>
      <c r="O461" t="s">
        <v>3915</v>
      </c>
      <c r="P461" t="s">
        <v>3915</v>
      </c>
      <c r="Q461">
        <v>0</v>
      </c>
      <c r="R461" t="s">
        <v>500</v>
      </c>
      <c r="S461">
        <v>0</v>
      </c>
      <c r="T461">
        <v>0</v>
      </c>
      <c r="U461" t="s">
        <v>3915</v>
      </c>
      <c r="V461" t="s">
        <v>31</v>
      </c>
      <c r="W461">
        <v>0</v>
      </c>
    </row>
    <row r="462" spans="1:23" x14ac:dyDescent="0.25">
      <c r="A462" t="s">
        <v>4113</v>
      </c>
      <c r="B462" t="s">
        <v>539</v>
      </c>
      <c r="C462" t="s">
        <v>540</v>
      </c>
      <c r="D462" t="s">
        <v>4479</v>
      </c>
      <c r="E462" t="s">
        <v>4101</v>
      </c>
      <c r="F462" t="s">
        <v>28</v>
      </c>
      <c r="G462" t="s">
        <v>1406</v>
      </c>
      <c r="H462" s="6">
        <v>46022</v>
      </c>
      <c r="I462" t="s">
        <v>29</v>
      </c>
      <c r="J462">
        <v>0</v>
      </c>
      <c r="K462">
        <v>0</v>
      </c>
      <c r="L462">
        <v>0</v>
      </c>
      <c r="M462">
        <v>0</v>
      </c>
      <c r="N462" t="s">
        <v>3915</v>
      </c>
      <c r="O462" t="s">
        <v>3915</v>
      </c>
      <c r="P462" t="s">
        <v>3915</v>
      </c>
      <c r="Q462">
        <v>0</v>
      </c>
      <c r="R462" t="s">
        <v>500</v>
      </c>
      <c r="S462">
        <v>0</v>
      </c>
      <c r="T462">
        <v>0</v>
      </c>
      <c r="U462" t="s">
        <v>3915</v>
      </c>
      <c r="V462" t="s">
        <v>31</v>
      </c>
      <c r="W462">
        <v>0</v>
      </c>
    </row>
    <row r="463" spans="1:23" x14ac:dyDescent="0.25">
      <c r="A463" t="s">
        <v>4114</v>
      </c>
      <c r="B463" t="s">
        <v>541</v>
      </c>
      <c r="C463" t="s">
        <v>542</v>
      </c>
      <c r="D463" t="s">
        <v>4479</v>
      </c>
      <c r="E463" t="s">
        <v>4101</v>
      </c>
      <c r="F463" t="s">
        <v>28</v>
      </c>
      <c r="G463" t="s">
        <v>1406</v>
      </c>
      <c r="H463" s="6">
        <v>46022</v>
      </c>
      <c r="I463" t="s">
        <v>29</v>
      </c>
      <c r="J463">
        <v>0</v>
      </c>
      <c r="K463">
        <v>0</v>
      </c>
      <c r="L463">
        <v>0</v>
      </c>
      <c r="M463">
        <v>0</v>
      </c>
      <c r="N463" t="s">
        <v>3915</v>
      </c>
      <c r="O463" t="s">
        <v>3915</v>
      </c>
      <c r="P463" t="s">
        <v>3915</v>
      </c>
      <c r="Q463">
        <v>0</v>
      </c>
      <c r="R463" t="s">
        <v>500</v>
      </c>
      <c r="S463">
        <v>0</v>
      </c>
      <c r="T463">
        <v>0</v>
      </c>
      <c r="U463" t="s">
        <v>3915</v>
      </c>
      <c r="V463" t="s">
        <v>31</v>
      </c>
      <c r="W463">
        <v>0</v>
      </c>
    </row>
    <row r="464" spans="1:23" x14ac:dyDescent="0.25">
      <c r="A464" t="s">
        <v>4115</v>
      </c>
      <c r="B464" t="s">
        <v>543</v>
      </c>
      <c r="C464" t="s">
        <v>544</v>
      </c>
      <c r="D464" t="s">
        <v>4479</v>
      </c>
      <c r="E464" t="s">
        <v>4101</v>
      </c>
      <c r="F464" t="s">
        <v>28</v>
      </c>
      <c r="G464" t="s">
        <v>1406</v>
      </c>
      <c r="H464" s="6">
        <v>46022</v>
      </c>
      <c r="I464" t="s">
        <v>29</v>
      </c>
      <c r="J464">
        <v>2</v>
      </c>
      <c r="K464">
        <v>0</v>
      </c>
      <c r="L464">
        <v>0</v>
      </c>
      <c r="M464">
        <v>0</v>
      </c>
      <c r="N464" t="s">
        <v>3915</v>
      </c>
      <c r="O464" t="s">
        <v>3915</v>
      </c>
      <c r="P464" t="s">
        <v>3915</v>
      </c>
      <c r="Q464">
        <v>0</v>
      </c>
      <c r="R464" t="s">
        <v>500</v>
      </c>
      <c r="S464">
        <v>0</v>
      </c>
      <c r="T464">
        <v>0</v>
      </c>
      <c r="U464" t="s">
        <v>3915</v>
      </c>
      <c r="V464" t="s">
        <v>31</v>
      </c>
      <c r="W464">
        <v>0</v>
      </c>
    </row>
    <row r="465" spans="1:23" x14ac:dyDescent="0.25">
      <c r="A465" t="s">
        <v>4116</v>
      </c>
      <c r="B465" t="s">
        <v>545</v>
      </c>
      <c r="C465" t="s">
        <v>546</v>
      </c>
      <c r="D465" t="s">
        <v>4479</v>
      </c>
      <c r="E465" t="s">
        <v>4101</v>
      </c>
      <c r="F465" t="s">
        <v>28</v>
      </c>
      <c r="G465" t="s">
        <v>1406</v>
      </c>
      <c r="H465" s="6">
        <v>46022</v>
      </c>
      <c r="I465" t="s">
        <v>29</v>
      </c>
      <c r="J465">
        <v>0</v>
      </c>
      <c r="K465">
        <v>0</v>
      </c>
      <c r="L465">
        <v>0</v>
      </c>
      <c r="M465">
        <v>0</v>
      </c>
      <c r="N465" t="s">
        <v>3915</v>
      </c>
      <c r="O465" t="s">
        <v>3915</v>
      </c>
      <c r="P465" t="s">
        <v>3915</v>
      </c>
      <c r="Q465">
        <v>0</v>
      </c>
      <c r="R465" t="s">
        <v>500</v>
      </c>
      <c r="S465">
        <v>0</v>
      </c>
      <c r="T465">
        <v>0</v>
      </c>
      <c r="U465" t="s">
        <v>3915</v>
      </c>
      <c r="V465" t="s">
        <v>31</v>
      </c>
      <c r="W465">
        <v>0</v>
      </c>
    </row>
    <row r="466" spans="1:23" x14ac:dyDescent="0.25">
      <c r="A466" t="s">
        <v>4117</v>
      </c>
      <c r="B466" t="s">
        <v>547</v>
      </c>
      <c r="C466" t="s">
        <v>548</v>
      </c>
      <c r="D466" t="s">
        <v>4479</v>
      </c>
      <c r="E466" t="s">
        <v>4101</v>
      </c>
      <c r="F466" t="s">
        <v>28</v>
      </c>
      <c r="G466" t="s">
        <v>1406</v>
      </c>
      <c r="H466" s="6">
        <v>46022</v>
      </c>
      <c r="I466" t="s">
        <v>29</v>
      </c>
      <c r="J466">
        <v>4</v>
      </c>
      <c r="K466">
        <v>0</v>
      </c>
      <c r="L466">
        <v>0</v>
      </c>
      <c r="M466">
        <v>0</v>
      </c>
      <c r="N466" t="s">
        <v>3915</v>
      </c>
      <c r="O466" t="s">
        <v>3915</v>
      </c>
      <c r="P466" t="s">
        <v>3915</v>
      </c>
      <c r="Q466">
        <v>0</v>
      </c>
      <c r="R466" t="s">
        <v>500</v>
      </c>
      <c r="S466">
        <v>0</v>
      </c>
      <c r="T466">
        <v>0</v>
      </c>
      <c r="U466" t="s">
        <v>3915</v>
      </c>
      <c r="V466" t="s">
        <v>31</v>
      </c>
      <c r="W466">
        <v>0</v>
      </c>
    </row>
    <row r="467" spans="1:23" x14ac:dyDescent="0.25">
      <c r="A467" t="s">
        <v>4118</v>
      </c>
      <c r="B467" t="s">
        <v>549</v>
      </c>
      <c r="C467" t="s">
        <v>550</v>
      </c>
      <c r="D467" t="s">
        <v>4479</v>
      </c>
      <c r="E467" t="s">
        <v>4101</v>
      </c>
      <c r="F467" t="s">
        <v>28</v>
      </c>
      <c r="G467" t="s">
        <v>1406</v>
      </c>
      <c r="H467" s="6">
        <v>46022</v>
      </c>
      <c r="I467" t="s">
        <v>29</v>
      </c>
      <c r="J467">
        <v>4</v>
      </c>
      <c r="K467">
        <v>0</v>
      </c>
      <c r="L467">
        <v>0</v>
      </c>
      <c r="M467">
        <v>0</v>
      </c>
      <c r="N467" t="s">
        <v>3915</v>
      </c>
      <c r="O467" t="s">
        <v>3915</v>
      </c>
      <c r="P467" t="s">
        <v>3915</v>
      </c>
      <c r="Q467">
        <v>0</v>
      </c>
      <c r="R467" t="s">
        <v>500</v>
      </c>
      <c r="S467">
        <v>0</v>
      </c>
      <c r="T467">
        <v>0</v>
      </c>
      <c r="U467" t="s">
        <v>3915</v>
      </c>
      <c r="V467" t="s">
        <v>31</v>
      </c>
      <c r="W467">
        <v>0</v>
      </c>
    </row>
    <row r="468" spans="1:23" x14ac:dyDescent="0.25">
      <c r="A468" t="s">
        <v>4119</v>
      </c>
      <c r="B468" t="s">
        <v>551</v>
      </c>
      <c r="C468" t="s">
        <v>552</v>
      </c>
      <c r="D468" t="s">
        <v>4479</v>
      </c>
      <c r="E468" t="s">
        <v>4101</v>
      </c>
      <c r="F468" t="s">
        <v>28</v>
      </c>
      <c r="G468" t="s">
        <v>1406</v>
      </c>
      <c r="H468" s="6">
        <v>46022</v>
      </c>
      <c r="I468" t="s">
        <v>29</v>
      </c>
      <c r="J468">
        <v>0</v>
      </c>
      <c r="K468">
        <v>0</v>
      </c>
      <c r="L468">
        <v>0</v>
      </c>
      <c r="M468">
        <v>0</v>
      </c>
      <c r="N468" t="s">
        <v>3915</v>
      </c>
      <c r="O468" t="s">
        <v>3915</v>
      </c>
      <c r="P468" t="s">
        <v>3915</v>
      </c>
      <c r="Q468">
        <v>0</v>
      </c>
      <c r="R468" t="s">
        <v>500</v>
      </c>
      <c r="S468">
        <v>0</v>
      </c>
      <c r="T468">
        <v>0</v>
      </c>
      <c r="U468" t="s">
        <v>3915</v>
      </c>
      <c r="V468" t="s">
        <v>31</v>
      </c>
      <c r="W468">
        <v>0</v>
      </c>
    </row>
    <row r="469" spans="1:23" x14ac:dyDescent="0.25">
      <c r="A469" t="s">
        <v>4120</v>
      </c>
      <c r="B469" t="s">
        <v>553</v>
      </c>
      <c r="C469" t="s">
        <v>554</v>
      </c>
      <c r="D469" t="s">
        <v>4479</v>
      </c>
      <c r="E469" t="s">
        <v>4101</v>
      </c>
      <c r="F469" t="s">
        <v>28</v>
      </c>
      <c r="G469" t="s">
        <v>1406</v>
      </c>
      <c r="H469" s="6">
        <v>46022</v>
      </c>
      <c r="I469" t="s">
        <v>29</v>
      </c>
      <c r="J469">
        <v>1</v>
      </c>
      <c r="K469">
        <v>0</v>
      </c>
      <c r="L469">
        <v>0</v>
      </c>
      <c r="M469">
        <v>0</v>
      </c>
      <c r="N469" t="s">
        <v>3915</v>
      </c>
      <c r="O469" t="s">
        <v>3915</v>
      </c>
      <c r="P469" t="s">
        <v>3915</v>
      </c>
      <c r="Q469">
        <v>0</v>
      </c>
      <c r="R469" t="s">
        <v>500</v>
      </c>
      <c r="S469">
        <v>0</v>
      </c>
      <c r="T469">
        <v>0</v>
      </c>
      <c r="U469" t="s">
        <v>3915</v>
      </c>
      <c r="V469" t="s">
        <v>31</v>
      </c>
      <c r="W469">
        <v>0</v>
      </c>
    </row>
    <row r="470" spans="1:23" x14ac:dyDescent="0.25">
      <c r="A470" t="s">
        <v>4121</v>
      </c>
      <c r="B470" t="s">
        <v>555</v>
      </c>
      <c r="C470" t="s">
        <v>556</v>
      </c>
      <c r="D470" t="s">
        <v>4479</v>
      </c>
      <c r="E470" t="s">
        <v>4101</v>
      </c>
      <c r="F470" t="s">
        <v>28</v>
      </c>
      <c r="G470" t="s">
        <v>1406</v>
      </c>
      <c r="H470" s="6">
        <v>46022</v>
      </c>
      <c r="I470" t="s">
        <v>29</v>
      </c>
      <c r="J470">
        <v>2</v>
      </c>
      <c r="K470">
        <v>0</v>
      </c>
      <c r="L470">
        <v>0</v>
      </c>
      <c r="M470">
        <v>0</v>
      </c>
      <c r="N470" t="s">
        <v>3915</v>
      </c>
      <c r="O470" t="s">
        <v>3915</v>
      </c>
      <c r="P470" t="s">
        <v>3915</v>
      </c>
      <c r="Q470">
        <v>0</v>
      </c>
      <c r="R470" t="s">
        <v>500</v>
      </c>
      <c r="S470">
        <v>0</v>
      </c>
      <c r="T470">
        <v>0</v>
      </c>
      <c r="U470" t="s">
        <v>3915</v>
      </c>
      <c r="V470" t="s">
        <v>31</v>
      </c>
      <c r="W470">
        <v>0</v>
      </c>
    </row>
    <row r="471" spans="1:23" x14ac:dyDescent="0.25">
      <c r="A471" t="s">
        <v>10299</v>
      </c>
      <c r="B471" t="s">
        <v>557</v>
      </c>
      <c r="C471" t="s">
        <v>558</v>
      </c>
      <c r="D471" t="s">
        <v>4479</v>
      </c>
      <c r="E471" t="s">
        <v>4101</v>
      </c>
      <c r="F471" t="s">
        <v>28</v>
      </c>
      <c r="G471" t="s">
        <v>1406</v>
      </c>
      <c r="H471" s="6">
        <v>46022</v>
      </c>
      <c r="I471" t="s">
        <v>29</v>
      </c>
      <c r="J471">
        <v>2</v>
      </c>
      <c r="K471">
        <v>0</v>
      </c>
      <c r="L471">
        <v>0</v>
      </c>
      <c r="M471">
        <v>0</v>
      </c>
      <c r="N471" t="s">
        <v>3915</v>
      </c>
      <c r="O471" t="s">
        <v>3915</v>
      </c>
      <c r="P471" t="s">
        <v>3915</v>
      </c>
      <c r="Q471">
        <v>0</v>
      </c>
      <c r="R471" t="s">
        <v>30</v>
      </c>
      <c r="S471">
        <v>0</v>
      </c>
      <c r="T471">
        <v>0</v>
      </c>
      <c r="U471" t="s">
        <v>3915</v>
      </c>
      <c r="V471" t="s">
        <v>31</v>
      </c>
      <c r="W471">
        <v>0</v>
      </c>
    </row>
    <row r="472" spans="1:23" x14ac:dyDescent="0.25">
      <c r="A472" t="s">
        <v>4122</v>
      </c>
      <c r="B472" t="s">
        <v>573</v>
      </c>
      <c r="C472" t="s">
        <v>574</v>
      </c>
      <c r="D472" t="s">
        <v>4479</v>
      </c>
      <c r="E472" t="s">
        <v>4101</v>
      </c>
      <c r="F472" t="s">
        <v>28</v>
      </c>
      <c r="G472" t="s">
        <v>1406</v>
      </c>
      <c r="H472" s="6">
        <v>46022</v>
      </c>
      <c r="I472" t="s">
        <v>29</v>
      </c>
      <c r="J472">
        <v>1</v>
      </c>
      <c r="K472">
        <v>0</v>
      </c>
      <c r="L472">
        <v>0</v>
      </c>
      <c r="M472">
        <v>0</v>
      </c>
      <c r="N472" t="s">
        <v>3915</v>
      </c>
      <c r="O472" t="s">
        <v>3915</v>
      </c>
      <c r="P472" t="s">
        <v>3915</v>
      </c>
      <c r="Q472">
        <v>0</v>
      </c>
      <c r="R472" t="s">
        <v>30</v>
      </c>
      <c r="S472">
        <v>0</v>
      </c>
      <c r="T472">
        <v>0</v>
      </c>
      <c r="U472" t="s">
        <v>3915</v>
      </c>
      <c r="V472" t="s">
        <v>31</v>
      </c>
      <c r="W472">
        <v>0</v>
      </c>
    </row>
    <row r="473" spans="1:23" x14ac:dyDescent="0.25">
      <c r="A473" t="s">
        <v>5263</v>
      </c>
      <c r="B473" t="s">
        <v>2445</v>
      </c>
      <c r="C473" t="s">
        <v>2444</v>
      </c>
      <c r="D473" t="s">
        <v>4479</v>
      </c>
      <c r="E473" t="s">
        <v>4101</v>
      </c>
      <c r="F473" t="s">
        <v>28</v>
      </c>
      <c r="G473" t="s">
        <v>1406</v>
      </c>
      <c r="H473" s="6">
        <v>46022</v>
      </c>
      <c r="I473" t="s">
        <v>29</v>
      </c>
      <c r="J473">
        <v>1</v>
      </c>
      <c r="K473">
        <v>0</v>
      </c>
      <c r="L473">
        <v>0</v>
      </c>
      <c r="M473">
        <v>0</v>
      </c>
      <c r="N473" t="s">
        <v>3915</v>
      </c>
      <c r="O473" t="s">
        <v>3915</v>
      </c>
      <c r="P473" t="s">
        <v>3915</v>
      </c>
      <c r="Q473">
        <v>0</v>
      </c>
      <c r="R473" t="s">
        <v>30</v>
      </c>
      <c r="S473">
        <v>0</v>
      </c>
      <c r="T473">
        <v>0</v>
      </c>
      <c r="U473" t="s">
        <v>3915</v>
      </c>
      <c r="V473" t="s">
        <v>31</v>
      </c>
      <c r="W473">
        <v>0</v>
      </c>
    </row>
    <row r="474" spans="1:23" x14ac:dyDescent="0.25">
      <c r="A474" t="s">
        <v>5264</v>
      </c>
      <c r="B474" t="s">
        <v>2449</v>
      </c>
      <c r="C474" t="s">
        <v>2448</v>
      </c>
      <c r="D474" t="s">
        <v>4479</v>
      </c>
      <c r="E474" t="s">
        <v>4101</v>
      </c>
      <c r="F474" t="s">
        <v>28</v>
      </c>
      <c r="G474" t="s">
        <v>1406</v>
      </c>
      <c r="H474" s="6">
        <v>46022</v>
      </c>
      <c r="I474" t="s">
        <v>29</v>
      </c>
      <c r="J474">
        <v>1</v>
      </c>
      <c r="K474">
        <v>0</v>
      </c>
      <c r="L474">
        <v>0</v>
      </c>
      <c r="M474">
        <v>0</v>
      </c>
      <c r="N474" t="s">
        <v>3915</v>
      </c>
      <c r="O474" t="s">
        <v>3915</v>
      </c>
      <c r="P474" t="s">
        <v>3915</v>
      </c>
      <c r="Q474">
        <v>0</v>
      </c>
      <c r="R474" t="s">
        <v>30</v>
      </c>
      <c r="S474">
        <v>0</v>
      </c>
      <c r="T474">
        <v>0</v>
      </c>
      <c r="U474" t="s">
        <v>3915</v>
      </c>
      <c r="V474" t="s">
        <v>31</v>
      </c>
      <c r="W474">
        <v>0</v>
      </c>
    </row>
    <row r="475" spans="1:23" x14ac:dyDescent="0.25">
      <c r="A475" t="s">
        <v>5265</v>
      </c>
      <c r="B475" t="s">
        <v>2451</v>
      </c>
      <c r="C475" t="s">
        <v>2450</v>
      </c>
      <c r="D475" t="s">
        <v>4479</v>
      </c>
      <c r="E475" t="s">
        <v>4101</v>
      </c>
      <c r="F475" t="s">
        <v>28</v>
      </c>
      <c r="G475" t="s">
        <v>1406</v>
      </c>
      <c r="H475" s="6">
        <v>46022</v>
      </c>
      <c r="I475" t="s">
        <v>29</v>
      </c>
      <c r="J475">
        <v>2</v>
      </c>
      <c r="K475">
        <v>0</v>
      </c>
      <c r="L475">
        <v>0</v>
      </c>
      <c r="M475">
        <v>0</v>
      </c>
      <c r="N475" t="s">
        <v>3915</v>
      </c>
      <c r="O475" t="s">
        <v>3915</v>
      </c>
      <c r="P475" t="s">
        <v>3915</v>
      </c>
      <c r="Q475">
        <v>0</v>
      </c>
      <c r="R475" t="s">
        <v>30</v>
      </c>
      <c r="S475">
        <v>0</v>
      </c>
      <c r="T475">
        <v>0</v>
      </c>
      <c r="U475" t="s">
        <v>3915</v>
      </c>
      <c r="V475" t="s">
        <v>31</v>
      </c>
      <c r="W475">
        <v>0</v>
      </c>
    </row>
    <row r="476" spans="1:23" x14ac:dyDescent="0.25">
      <c r="A476" t="s">
        <v>5266</v>
      </c>
      <c r="B476" t="s">
        <v>2453</v>
      </c>
      <c r="C476" t="s">
        <v>2452</v>
      </c>
      <c r="D476" t="s">
        <v>4479</v>
      </c>
      <c r="E476" t="s">
        <v>4101</v>
      </c>
      <c r="F476" t="s">
        <v>28</v>
      </c>
      <c r="G476" t="s">
        <v>1406</v>
      </c>
      <c r="H476" s="6">
        <v>46022</v>
      </c>
      <c r="I476" t="s">
        <v>29</v>
      </c>
      <c r="J476">
        <v>2</v>
      </c>
      <c r="K476">
        <v>0</v>
      </c>
      <c r="L476">
        <v>0</v>
      </c>
      <c r="M476">
        <v>0</v>
      </c>
      <c r="N476" t="s">
        <v>3915</v>
      </c>
      <c r="O476" t="s">
        <v>3915</v>
      </c>
      <c r="P476" t="s">
        <v>3915</v>
      </c>
      <c r="Q476">
        <v>0</v>
      </c>
      <c r="R476" t="s">
        <v>30</v>
      </c>
      <c r="S476">
        <v>0</v>
      </c>
      <c r="T476">
        <v>0</v>
      </c>
      <c r="U476" t="s">
        <v>3915</v>
      </c>
      <c r="V476" t="s">
        <v>31</v>
      </c>
      <c r="W476">
        <v>0</v>
      </c>
    </row>
    <row r="477" spans="1:23" x14ac:dyDescent="0.25">
      <c r="A477" t="s">
        <v>5267</v>
      </c>
      <c r="B477" t="s">
        <v>2455</v>
      </c>
      <c r="C477" t="s">
        <v>2454</v>
      </c>
      <c r="D477" t="s">
        <v>4479</v>
      </c>
      <c r="E477" t="s">
        <v>4101</v>
      </c>
      <c r="F477" t="s">
        <v>28</v>
      </c>
      <c r="G477" t="s">
        <v>1406</v>
      </c>
      <c r="H477" s="6">
        <v>46022</v>
      </c>
      <c r="I477" t="s">
        <v>29</v>
      </c>
      <c r="J477">
        <v>3</v>
      </c>
      <c r="K477">
        <v>0</v>
      </c>
      <c r="L477">
        <v>0</v>
      </c>
      <c r="M477">
        <v>0</v>
      </c>
      <c r="N477" t="s">
        <v>3915</v>
      </c>
      <c r="O477" t="s">
        <v>3915</v>
      </c>
      <c r="P477" t="s">
        <v>3915</v>
      </c>
      <c r="Q477">
        <v>0</v>
      </c>
      <c r="R477" t="s">
        <v>30</v>
      </c>
      <c r="S477">
        <v>0</v>
      </c>
      <c r="T477">
        <v>0</v>
      </c>
      <c r="U477" t="s">
        <v>3915</v>
      </c>
      <c r="V477" t="s">
        <v>31</v>
      </c>
      <c r="W477">
        <v>0</v>
      </c>
    </row>
    <row r="478" spans="1:23" x14ac:dyDescent="0.25">
      <c r="A478" t="s">
        <v>4651</v>
      </c>
      <c r="B478" t="s">
        <v>2457</v>
      </c>
      <c r="C478" t="s">
        <v>2456</v>
      </c>
      <c r="D478" t="s">
        <v>4479</v>
      </c>
      <c r="E478" t="s">
        <v>4101</v>
      </c>
      <c r="F478" t="s">
        <v>28</v>
      </c>
      <c r="G478" t="s">
        <v>1406</v>
      </c>
      <c r="H478" s="6">
        <v>46022</v>
      </c>
      <c r="I478" t="s">
        <v>29</v>
      </c>
      <c r="J478">
        <v>4</v>
      </c>
      <c r="K478">
        <v>0</v>
      </c>
      <c r="L478">
        <v>0</v>
      </c>
      <c r="M478">
        <v>0</v>
      </c>
      <c r="N478" t="s">
        <v>3915</v>
      </c>
      <c r="O478" t="s">
        <v>3915</v>
      </c>
      <c r="P478" t="s">
        <v>3915</v>
      </c>
      <c r="Q478">
        <v>0</v>
      </c>
      <c r="R478" t="s">
        <v>30</v>
      </c>
      <c r="S478">
        <v>0</v>
      </c>
      <c r="T478">
        <v>0</v>
      </c>
      <c r="U478" t="s">
        <v>3915</v>
      </c>
      <c r="V478" t="s">
        <v>31</v>
      </c>
      <c r="W478">
        <v>0</v>
      </c>
    </row>
    <row r="479" spans="1:23" x14ac:dyDescent="0.25">
      <c r="A479" t="s">
        <v>5268</v>
      </c>
      <c r="B479" t="s">
        <v>2459</v>
      </c>
      <c r="C479" t="s">
        <v>2458</v>
      </c>
      <c r="D479" t="s">
        <v>4479</v>
      </c>
      <c r="E479" t="s">
        <v>4101</v>
      </c>
      <c r="F479" t="s">
        <v>28</v>
      </c>
      <c r="G479" t="s">
        <v>1406</v>
      </c>
      <c r="H479" s="6">
        <v>46022</v>
      </c>
      <c r="I479" t="s">
        <v>29</v>
      </c>
      <c r="J479">
        <v>9</v>
      </c>
      <c r="K479">
        <v>0</v>
      </c>
      <c r="L479">
        <v>0</v>
      </c>
      <c r="M479">
        <v>0</v>
      </c>
      <c r="N479" t="s">
        <v>3915</v>
      </c>
      <c r="O479" t="s">
        <v>3915</v>
      </c>
      <c r="P479" t="s">
        <v>3915</v>
      </c>
      <c r="Q479">
        <v>0</v>
      </c>
      <c r="R479" t="s">
        <v>30</v>
      </c>
      <c r="S479">
        <v>0</v>
      </c>
      <c r="T479">
        <v>0</v>
      </c>
      <c r="U479" t="s">
        <v>3915</v>
      </c>
      <c r="V479" t="s">
        <v>31</v>
      </c>
      <c r="W479">
        <v>0</v>
      </c>
    </row>
    <row r="480" spans="1:23" x14ac:dyDescent="0.25">
      <c r="A480" t="s">
        <v>5269</v>
      </c>
      <c r="B480" t="s">
        <v>2461</v>
      </c>
      <c r="C480" t="s">
        <v>2460</v>
      </c>
      <c r="D480" t="s">
        <v>4479</v>
      </c>
      <c r="E480" t="s">
        <v>4101</v>
      </c>
      <c r="F480" t="s">
        <v>28</v>
      </c>
      <c r="G480" t="s">
        <v>1406</v>
      </c>
      <c r="H480" s="6">
        <v>46022</v>
      </c>
      <c r="I480" t="s">
        <v>29</v>
      </c>
      <c r="J480">
        <v>2</v>
      </c>
      <c r="K480">
        <v>0</v>
      </c>
      <c r="L480">
        <v>0</v>
      </c>
      <c r="M480">
        <v>0</v>
      </c>
      <c r="N480" t="s">
        <v>3915</v>
      </c>
      <c r="O480" t="s">
        <v>3915</v>
      </c>
      <c r="P480" t="s">
        <v>3915</v>
      </c>
      <c r="Q480">
        <v>0</v>
      </c>
      <c r="R480" t="s">
        <v>30</v>
      </c>
      <c r="S480">
        <v>0</v>
      </c>
      <c r="T480">
        <v>0</v>
      </c>
      <c r="U480" t="s">
        <v>3915</v>
      </c>
      <c r="V480" t="s">
        <v>31</v>
      </c>
      <c r="W480">
        <v>0</v>
      </c>
    </row>
    <row r="481" spans="1:23" x14ac:dyDescent="0.25">
      <c r="A481" t="s">
        <v>4752</v>
      </c>
      <c r="B481" t="s">
        <v>2463</v>
      </c>
      <c r="C481" t="s">
        <v>2462</v>
      </c>
      <c r="D481" t="s">
        <v>4479</v>
      </c>
      <c r="E481" t="s">
        <v>4101</v>
      </c>
      <c r="F481" t="s">
        <v>28</v>
      </c>
      <c r="G481" t="s">
        <v>1406</v>
      </c>
      <c r="H481" s="6">
        <v>46022</v>
      </c>
      <c r="I481" t="s">
        <v>29</v>
      </c>
      <c r="J481">
        <v>1</v>
      </c>
      <c r="K481">
        <v>0</v>
      </c>
      <c r="L481">
        <v>0</v>
      </c>
      <c r="M481">
        <v>0</v>
      </c>
      <c r="N481" t="s">
        <v>3915</v>
      </c>
      <c r="O481" t="s">
        <v>3915</v>
      </c>
      <c r="P481" t="s">
        <v>3915</v>
      </c>
      <c r="Q481">
        <v>0</v>
      </c>
      <c r="R481" t="s">
        <v>30</v>
      </c>
      <c r="S481">
        <v>0</v>
      </c>
      <c r="T481">
        <v>0</v>
      </c>
      <c r="U481" t="s">
        <v>3915</v>
      </c>
      <c r="V481" t="s">
        <v>31</v>
      </c>
      <c r="W481">
        <v>0</v>
      </c>
    </row>
    <row r="482" spans="1:23" x14ac:dyDescent="0.25">
      <c r="A482" t="s">
        <v>5270</v>
      </c>
      <c r="B482" t="s">
        <v>2465</v>
      </c>
      <c r="C482" t="s">
        <v>2464</v>
      </c>
      <c r="D482" t="s">
        <v>4479</v>
      </c>
      <c r="E482" t="s">
        <v>4101</v>
      </c>
      <c r="F482" t="s">
        <v>28</v>
      </c>
      <c r="G482" t="s">
        <v>1406</v>
      </c>
      <c r="H482" s="6">
        <v>46022</v>
      </c>
      <c r="I482" t="s">
        <v>29</v>
      </c>
      <c r="J482">
        <v>17</v>
      </c>
      <c r="K482">
        <v>0</v>
      </c>
      <c r="L482">
        <v>0</v>
      </c>
      <c r="M482">
        <v>0</v>
      </c>
      <c r="N482" t="s">
        <v>3915</v>
      </c>
      <c r="O482" t="s">
        <v>3915</v>
      </c>
      <c r="P482" t="s">
        <v>3915</v>
      </c>
      <c r="Q482">
        <v>0</v>
      </c>
      <c r="R482" t="s">
        <v>30</v>
      </c>
      <c r="S482">
        <v>0</v>
      </c>
      <c r="T482">
        <v>0</v>
      </c>
      <c r="U482" t="s">
        <v>3915</v>
      </c>
      <c r="V482" t="s">
        <v>31</v>
      </c>
      <c r="W482">
        <v>0</v>
      </c>
    </row>
    <row r="483" spans="1:23" x14ac:dyDescent="0.25">
      <c r="A483" t="s">
        <v>4682</v>
      </c>
      <c r="B483" t="s">
        <v>2467</v>
      </c>
      <c r="C483" t="s">
        <v>2466</v>
      </c>
      <c r="D483" t="s">
        <v>4479</v>
      </c>
      <c r="E483" t="s">
        <v>4101</v>
      </c>
      <c r="F483" t="s">
        <v>28</v>
      </c>
      <c r="G483" t="s">
        <v>1406</v>
      </c>
      <c r="H483" s="6">
        <v>46022</v>
      </c>
      <c r="I483" t="s">
        <v>29</v>
      </c>
      <c r="J483">
        <v>78</v>
      </c>
      <c r="K483">
        <v>0</v>
      </c>
      <c r="L483">
        <v>0</v>
      </c>
      <c r="M483">
        <v>0</v>
      </c>
      <c r="N483" t="s">
        <v>3915</v>
      </c>
      <c r="O483" t="s">
        <v>3915</v>
      </c>
      <c r="P483" t="s">
        <v>3915</v>
      </c>
      <c r="Q483">
        <v>0</v>
      </c>
      <c r="R483" t="s">
        <v>30</v>
      </c>
      <c r="S483">
        <v>0</v>
      </c>
      <c r="T483">
        <v>0</v>
      </c>
      <c r="U483" t="s">
        <v>3915</v>
      </c>
      <c r="V483" t="s">
        <v>31</v>
      </c>
      <c r="W483">
        <v>0</v>
      </c>
    </row>
    <row r="484" spans="1:23" x14ac:dyDescent="0.25">
      <c r="A484" t="s">
        <v>4720</v>
      </c>
      <c r="B484" t="s">
        <v>2469</v>
      </c>
      <c r="C484" t="s">
        <v>2468</v>
      </c>
      <c r="D484" t="s">
        <v>4479</v>
      </c>
      <c r="E484" t="s">
        <v>4101</v>
      </c>
      <c r="F484" t="s">
        <v>28</v>
      </c>
      <c r="G484" t="s">
        <v>1406</v>
      </c>
      <c r="H484" s="6">
        <v>46022</v>
      </c>
      <c r="I484" t="s">
        <v>29</v>
      </c>
      <c r="J484">
        <v>15</v>
      </c>
      <c r="K484">
        <v>0</v>
      </c>
      <c r="L484">
        <v>0</v>
      </c>
      <c r="M484">
        <v>0</v>
      </c>
      <c r="N484" t="s">
        <v>3915</v>
      </c>
      <c r="O484" t="s">
        <v>3915</v>
      </c>
      <c r="P484" t="s">
        <v>3915</v>
      </c>
      <c r="Q484">
        <v>0</v>
      </c>
      <c r="R484" t="s">
        <v>30</v>
      </c>
      <c r="S484">
        <v>0</v>
      </c>
      <c r="T484">
        <v>0</v>
      </c>
      <c r="U484" t="s">
        <v>3915</v>
      </c>
      <c r="V484" t="s">
        <v>31</v>
      </c>
      <c r="W484">
        <v>0</v>
      </c>
    </row>
    <row r="485" spans="1:23" x14ac:dyDescent="0.25">
      <c r="A485" t="s">
        <v>5271</v>
      </c>
      <c r="B485" t="s">
        <v>2471</v>
      </c>
      <c r="C485" t="s">
        <v>2470</v>
      </c>
      <c r="D485" t="s">
        <v>4479</v>
      </c>
      <c r="E485" t="s">
        <v>4101</v>
      </c>
      <c r="F485" t="s">
        <v>28</v>
      </c>
      <c r="G485" t="s">
        <v>1406</v>
      </c>
      <c r="H485" s="6">
        <v>46022</v>
      </c>
      <c r="I485" t="s">
        <v>29</v>
      </c>
      <c r="J485">
        <v>10</v>
      </c>
      <c r="K485">
        <v>0</v>
      </c>
      <c r="L485">
        <v>0</v>
      </c>
      <c r="M485">
        <v>0</v>
      </c>
      <c r="N485" t="s">
        <v>3915</v>
      </c>
      <c r="O485" t="s">
        <v>3915</v>
      </c>
      <c r="P485" t="s">
        <v>3915</v>
      </c>
      <c r="Q485">
        <v>0</v>
      </c>
      <c r="R485" t="s">
        <v>30</v>
      </c>
      <c r="S485">
        <v>0</v>
      </c>
      <c r="T485">
        <v>0</v>
      </c>
      <c r="U485" t="s">
        <v>3915</v>
      </c>
      <c r="V485" t="s">
        <v>31</v>
      </c>
      <c r="W485">
        <v>0</v>
      </c>
    </row>
    <row r="486" spans="1:23" x14ac:dyDescent="0.25">
      <c r="A486" t="s">
        <v>4124</v>
      </c>
      <c r="B486" t="s">
        <v>593</v>
      </c>
      <c r="C486" t="s">
        <v>594</v>
      </c>
      <c r="D486" t="s">
        <v>4479</v>
      </c>
      <c r="E486" t="s">
        <v>4101</v>
      </c>
      <c r="F486" t="s">
        <v>28</v>
      </c>
      <c r="G486" t="s">
        <v>1406</v>
      </c>
      <c r="H486" s="6">
        <v>46022</v>
      </c>
      <c r="I486" t="s">
        <v>29</v>
      </c>
      <c r="J486">
        <v>1</v>
      </c>
      <c r="K486">
        <v>0</v>
      </c>
      <c r="L486">
        <v>0</v>
      </c>
      <c r="M486">
        <v>0</v>
      </c>
      <c r="N486" t="s">
        <v>3915</v>
      </c>
      <c r="O486" t="s">
        <v>3915</v>
      </c>
      <c r="P486" t="s">
        <v>3915</v>
      </c>
      <c r="Q486">
        <v>0</v>
      </c>
      <c r="R486" t="s">
        <v>30</v>
      </c>
      <c r="S486">
        <v>0</v>
      </c>
      <c r="T486">
        <v>0</v>
      </c>
      <c r="U486" t="s">
        <v>3915</v>
      </c>
      <c r="V486" t="s">
        <v>31</v>
      </c>
      <c r="W486">
        <v>0</v>
      </c>
    </row>
    <row r="487" spans="1:23" x14ac:dyDescent="0.25">
      <c r="A487" t="s">
        <v>4125</v>
      </c>
      <c r="B487" t="s">
        <v>603</v>
      </c>
      <c r="C487" t="s">
        <v>604</v>
      </c>
      <c r="D487" t="s">
        <v>4479</v>
      </c>
      <c r="E487" t="s">
        <v>4101</v>
      </c>
      <c r="F487" t="s">
        <v>28</v>
      </c>
      <c r="G487" t="s">
        <v>1406</v>
      </c>
      <c r="H487" s="6">
        <v>46022</v>
      </c>
      <c r="I487" t="s">
        <v>29</v>
      </c>
      <c r="J487">
        <v>0</v>
      </c>
      <c r="K487">
        <v>0</v>
      </c>
      <c r="L487">
        <v>0</v>
      </c>
      <c r="M487">
        <v>0</v>
      </c>
      <c r="N487" t="s">
        <v>3915</v>
      </c>
      <c r="O487" t="s">
        <v>3915</v>
      </c>
      <c r="P487" t="s">
        <v>3915</v>
      </c>
      <c r="Q487">
        <v>0</v>
      </c>
      <c r="R487" t="s">
        <v>30</v>
      </c>
      <c r="S487">
        <v>0</v>
      </c>
      <c r="T487">
        <v>0</v>
      </c>
      <c r="U487" t="s">
        <v>3915</v>
      </c>
      <c r="V487" t="s">
        <v>31</v>
      </c>
      <c r="W487">
        <v>0</v>
      </c>
    </row>
    <row r="488" spans="1:23" x14ac:dyDescent="0.25">
      <c r="A488" t="s">
        <v>4126</v>
      </c>
      <c r="B488" t="s">
        <v>605</v>
      </c>
      <c r="C488" t="s">
        <v>606</v>
      </c>
      <c r="D488" t="s">
        <v>4479</v>
      </c>
      <c r="E488" t="s">
        <v>4101</v>
      </c>
      <c r="F488" t="s">
        <v>28</v>
      </c>
      <c r="G488" t="s">
        <v>1406</v>
      </c>
      <c r="H488" s="6">
        <v>46022</v>
      </c>
      <c r="I488" t="s">
        <v>29</v>
      </c>
      <c r="J488">
        <v>1</v>
      </c>
      <c r="K488">
        <v>0</v>
      </c>
      <c r="L488">
        <v>0</v>
      </c>
      <c r="M488">
        <v>0</v>
      </c>
      <c r="N488" t="s">
        <v>3915</v>
      </c>
      <c r="O488" t="s">
        <v>3915</v>
      </c>
      <c r="P488" t="s">
        <v>3915</v>
      </c>
      <c r="Q488">
        <v>0</v>
      </c>
      <c r="R488" t="s">
        <v>30</v>
      </c>
      <c r="S488">
        <v>0</v>
      </c>
      <c r="T488">
        <v>0</v>
      </c>
      <c r="U488" t="s">
        <v>3915</v>
      </c>
      <c r="V488" t="s">
        <v>31</v>
      </c>
      <c r="W488">
        <v>0</v>
      </c>
    </row>
    <row r="489" spans="1:23" x14ac:dyDescent="0.25">
      <c r="A489" t="s">
        <v>4127</v>
      </c>
      <c r="B489" t="s">
        <v>609</v>
      </c>
      <c r="C489" t="s">
        <v>610</v>
      </c>
      <c r="D489" t="s">
        <v>4479</v>
      </c>
      <c r="E489" t="s">
        <v>4101</v>
      </c>
      <c r="F489" t="s">
        <v>28</v>
      </c>
      <c r="G489" t="s">
        <v>1406</v>
      </c>
      <c r="H489" s="6">
        <v>46022</v>
      </c>
      <c r="I489" t="s">
        <v>29</v>
      </c>
      <c r="J489">
        <v>2</v>
      </c>
      <c r="K489">
        <v>0</v>
      </c>
      <c r="L489">
        <v>0</v>
      </c>
      <c r="M489">
        <v>0</v>
      </c>
      <c r="N489" t="s">
        <v>3915</v>
      </c>
      <c r="O489" t="s">
        <v>3915</v>
      </c>
      <c r="P489" t="s">
        <v>3915</v>
      </c>
      <c r="Q489">
        <v>0</v>
      </c>
      <c r="R489" t="s">
        <v>30</v>
      </c>
      <c r="S489">
        <v>0</v>
      </c>
      <c r="T489">
        <v>0</v>
      </c>
      <c r="U489" t="s">
        <v>3915</v>
      </c>
      <c r="V489" t="s">
        <v>31</v>
      </c>
      <c r="W489">
        <v>0</v>
      </c>
    </row>
    <row r="490" spans="1:23" x14ac:dyDescent="0.25">
      <c r="A490" t="s">
        <v>4128</v>
      </c>
      <c r="B490" t="s">
        <v>615</v>
      </c>
      <c r="C490" t="s">
        <v>616</v>
      </c>
      <c r="D490" t="s">
        <v>4479</v>
      </c>
      <c r="E490" t="s">
        <v>4101</v>
      </c>
      <c r="F490" t="s">
        <v>28</v>
      </c>
      <c r="G490" t="s">
        <v>1406</v>
      </c>
      <c r="H490" s="6">
        <v>46022</v>
      </c>
      <c r="I490" t="s">
        <v>29</v>
      </c>
      <c r="J490">
        <v>0</v>
      </c>
      <c r="K490">
        <v>0</v>
      </c>
      <c r="L490">
        <v>0</v>
      </c>
      <c r="M490">
        <v>0</v>
      </c>
      <c r="N490" t="s">
        <v>3915</v>
      </c>
      <c r="O490" t="s">
        <v>3915</v>
      </c>
      <c r="P490" t="s">
        <v>3915</v>
      </c>
      <c r="Q490">
        <v>0</v>
      </c>
      <c r="R490" t="s">
        <v>30</v>
      </c>
      <c r="S490">
        <v>0</v>
      </c>
      <c r="T490">
        <v>0</v>
      </c>
      <c r="U490" t="s">
        <v>3915</v>
      </c>
      <c r="V490" t="s">
        <v>31</v>
      </c>
      <c r="W490">
        <v>0</v>
      </c>
    </row>
    <row r="491" spans="1:23" x14ac:dyDescent="0.25">
      <c r="A491" t="s">
        <v>4129</v>
      </c>
      <c r="B491" t="s">
        <v>621</v>
      </c>
      <c r="C491" t="s">
        <v>622</v>
      </c>
      <c r="D491" t="s">
        <v>4479</v>
      </c>
      <c r="E491" t="s">
        <v>4101</v>
      </c>
      <c r="F491" t="s">
        <v>28</v>
      </c>
      <c r="G491" t="s">
        <v>1406</v>
      </c>
      <c r="H491" s="6">
        <v>46022</v>
      </c>
      <c r="I491" t="s">
        <v>29</v>
      </c>
      <c r="J491">
        <v>1</v>
      </c>
      <c r="K491">
        <v>0</v>
      </c>
      <c r="L491">
        <v>0</v>
      </c>
      <c r="M491">
        <v>0</v>
      </c>
      <c r="N491" t="s">
        <v>3915</v>
      </c>
      <c r="O491" t="s">
        <v>3915</v>
      </c>
      <c r="P491" t="s">
        <v>3915</v>
      </c>
      <c r="Q491">
        <v>0</v>
      </c>
      <c r="R491" t="s">
        <v>30</v>
      </c>
      <c r="S491">
        <v>0</v>
      </c>
      <c r="T491">
        <v>0</v>
      </c>
      <c r="U491" t="s">
        <v>3915</v>
      </c>
      <c r="V491" t="s">
        <v>31</v>
      </c>
      <c r="W491">
        <v>0</v>
      </c>
    </row>
    <row r="492" spans="1:23" x14ac:dyDescent="0.25">
      <c r="A492" t="s">
        <v>4130</v>
      </c>
      <c r="B492" t="s">
        <v>623</v>
      </c>
      <c r="C492" t="s">
        <v>624</v>
      </c>
      <c r="D492" t="s">
        <v>4479</v>
      </c>
      <c r="E492" t="s">
        <v>4101</v>
      </c>
      <c r="F492" t="s">
        <v>28</v>
      </c>
      <c r="G492" t="s">
        <v>1406</v>
      </c>
      <c r="H492" s="6">
        <v>46022</v>
      </c>
      <c r="I492" t="s">
        <v>29</v>
      </c>
      <c r="J492">
        <v>1</v>
      </c>
      <c r="K492">
        <v>0</v>
      </c>
      <c r="L492">
        <v>0</v>
      </c>
      <c r="M492">
        <v>0</v>
      </c>
      <c r="N492" t="s">
        <v>3915</v>
      </c>
      <c r="O492" t="s">
        <v>3915</v>
      </c>
      <c r="P492" t="s">
        <v>3915</v>
      </c>
      <c r="Q492">
        <v>0</v>
      </c>
      <c r="R492" t="s">
        <v>30</v>
      </c>
      <c r="S492">
        <v>0</v>
      </c>
      <c r="T492">
        <v>0</v>
      </c>
      <c r="U492" t="s">
        <v>3915</v>
      </c>
      <c r="V492" t="s">
        <v>31</v>
      </c>
      <c r="W492">
        <v>0</v>
      </c>
    </row>
    <row r="493" spans="1:23" x14ac:dyDescent="0.25">
      <c r="A493" t="s">
        <v>10359</v>
      </c>
      <c r="B493" t="s">
        <v>625</v>
      </c>
      <c r="C493" t="s">
        <v>626</v>
      </c>
      <c r="D493" t="s">
        <v>4479</v>
      </c>
      <c r="E493" t="s">
        <v>4101</v>
      </c>
      <c r="F493" t="s">
        <v>28</v>
      </c>
      <c r="G493" t="s">
        <v>1406</v>
      </c>
      <c r="H493" s="6">
        <v>46022</v>
      </c>
      <c r="I493" t="s">
        <v>29</v>
      </c>
      <c r="J493">
        <v>2</v>
      </c>
      <c r="K493">
        <v>0</v>
      </c>
      <c r="L493">
        <v>0</v>
      </c>
      <c r="M493">
        <v>0</v>
      </c>
      <c r="N493" t="s">
        <v>3915</v>
      </c>
      <c r="O493" t="s">
        <v>3915</v>
      </c>
      <c r="P493" t="s">
        <v>3915</v>
      </c>
      <c r="Q493">
        <v>0</v>
      </c>
      <c r="R493" t="s">
        <v>30</v>
      </c>
      <c r="S493">
        <v>0</v>
      </c>
      <c r="T493">
        <v>0</v>
      </c>
      <c r="U493" t="s">
        <v>3915</v>
      </c>
      <c r="V493" t="s">
        <v>31</v>
      </c>
      <c r="W493">
        <v>0</v>
      </c>
    </row>
    <row r="494" spans="1:23" x14ac:dyDescent="0.25">
      <c r="A494" t="s">
        <v>4131</v>
      </c>
      <c r="B494" t="s">
        <v>627</v>
      </c>
      <c r="C494" t="s">
        <v>628</v>
      </c>
      <c r="D494" t="s">
        <v>4479</v>
      </c>
      <c r="E494" t="s">
        <v>4101</v>
      </c>
      <c r="F494" t="s">
        <v>28</v>
      </c>
      <c r="G494" t="s">
        <v>1406</v>
      </c>
      <c r="H494" s="6">
        <v>46022</v>
      </c>
      <c r="I494" t="s">
        <v>29</v>
      </c>
      <c r="J494">
        <v>3</v>
      </c>
      <c r="K494">
        <v>0</v>
      </c>
      <c r="L494">
        <v>0</v>
      </c>
      <c r="M494">
        <v>0</v>
      </c>
      <c r="N494" t="s">
        <v>3915</v>
      </c>
      <c r="O494" t="s">
        <v>3915</v>
      </c>
      <c r="P494" t="s">
        <v>3915</v>
      </c>
      <c r="Q494">
        <v>0</v>
      </c>
      <c r="R494" t="s">
        <v>30</v>
      </c>
      <c r="S494">
        <v>0</v>
      </c>
      <c r="T494">
        <v>0</v>
      </c>
      <c r="U494" t="s">
        <v>3915</v>
      </c>
      <c r="V494" t="s">
        <v>31</v>
      </c>
      <c r="W494">
        <v>0</v>
      </c>
    </row>
    <row r="495" spans="1:23" x14ac:dyDescent="0.25">
      <c r="A495" t="s">
        <v>10300</v>
      </c>
      <c r="B495" t="s">
        <v>629</v>
      </c>
      <c r="C495" t="s">
        <v>630</v>
      </c>
      <c r="D495" t="s">
        <v>4479</v>
      </c>
      <c r="E495" t="s">
        <v>4101</v>
      </c>
      <c r="F495" t="s">
        <v>28</v>
      </c>
      <c r="G495" t="s">
        <v>1406</v>
      </c>
      <c r="H495" s="6">
        <v>46022</v>
      </c>
      <c r="I495" t="s">
        <v>29</v>
      </c>
      <c r="J495">
        <v>1</v>
      </c>
      <c r="K495">
        <v>0</v>
      </c>
      <c r="L495">
        <v>0</v>
      </c>
      <c r="M495">
        <v>0</v>
      </c>
      <c r="N495" t="s">
        <v>3915</v>
      </c>
      <c r="O495" t="s">
        <v>3915</v>
      </c>
      <c r="P495" t="s">
        <v>3915</v>
      </c>
      <c r="Q495">
        <v>0</v>
      </c>
      <c r="R495" t="s">
        <v>30</v>
      </c>
      <c r="S495">
        <v>0</v>
      </c>
      <c r="T495">
        <v>0</v>
      </c>
      <c r="U495" t="s">
        <v>3915</v>
      </c>
      <c r="V495" t="s">
        <v>31</v>
      </c>
      <c r="W495">
        <v>0</v>
      </c>
    </row>
    <row r="496" spans="1:23" x14ac:dyDescent="0.25">
      <c r="A496" t="s">
        <v>4132</v>
      </c>
      <c r="B496" t="s">
        <v>631</v>
      </c>
      <c r="C496" t="s">
        <v>632</v>
      </c>
      <c r="D496" t="s">
        <v>4479</v>
      </c>
      <c r="E496" t="s">
        <v>4101</v>
      </c>
      <c r="F496" t="s">
        <v>28</v>
      </c>
      <c r="G496" t="s">
        <v>1406</v>
      </c>
      <c r="H496" s="6">
        <v>46022</v>
      </c>
      <c r="I496" t="s">
        <v>29</v>
      </c>
      <c r="J496">
        <v>0</v>
      </c>
      <c r="K496">
        <v>0</v>
      </c>
      <c r="L496">
        <v>0</v>
      </c>
      <c r="M496">
        <v>0</v>
      </c>
      <c r="N496" t="s">
        <v>3915</v>
      </c>
      <c r="O496" t="s">
        <v>3915</v>
      </c>
      <c r="P496" t="s">
        <v>3915</v>
      </c>
      <c r="Q496">
        <v>0</v>
      </c>
      <c r="R496" t="s">
        <v>30</v>
      </c>
      <c r="S496">
        <v>0</v>
      </c>
      <c r="T496">
        <v>0</v>
      </c>
      <c r="U496" t="s">
        <v>3915</v>
      </c>
      <c r="V496" t="s">
        <v>31</v>
      </c>
      <c r="W496">
        <v>0</v>
      </c>
    </row>
    <row r="497" spans="1:23" x14ac:dyDescent="0.25">
      <c r="A497" t="s">
        <v>4133</v>
      </c>
      <c r="B497" t="s">
        <v>635</v>
      </c>
      <c r="C497" t="s">
        <v>636</v>
      </c>
      <c r="D497" t="s">
        <v>4479</v>
      </c>
      <c r="E497" t="s">
        <v>4101</v>
      </c>
      <c r="F497" t="s">
        <v>28</v>
      </c>
      <c r="G497" t="s">
        <v>1406</v>
      </c>
      <c r="H497" s="6">
        <v>46022</v>
      </c>
      <c r="I497" t="s">
        <v>29</v>
      </c>
      <c r="J497">
        <v>0</v>
      </c>
      <c r="K497">
        <v>0</v>
      </c>
      <c r="L497">
        <v>0</v>
      </c>
      <c r="M497">
        <v>0</v>
      </c>
      <c r="N497" t="s">
        <v>3915</v>
      </c>
      <c r="O497" t="s">
        <v>3915</v>
      </c>
      <c r="P497" t="s">
        <v>3915</v>
      </c>
      <c r="Q497">
        <v>0</v>
      </c>
      <c r="R497" t="s">
        <v>30</v>
      </c>
      <c r="S497">
        <v>0</v>
      </c>
      <c r="T497">
        <v>0</v>
      </c>
      <c r="U497" t="s">
        <v>3915</v>
      </c>
      <c r="V497" t="s">
        <v>31</v>
      </c>
      <c r="W497">
        <v>0</v>
      </c>
    </row>
    <row r="498" spans="1:23" x14ac:dyDescent="0.25">
      <c r="A498" t="s">
        <v>4134</v>
      </c>
      <c r="B498" t="s">
        <v>637</v>
      </c>
      <c r="C498" t="s">
        <v>638</v>
      </c>
      <c r="D498" t="s">
        <v>4479</v>
      </c>
      <c r="E498" t="s">
        <v>4101</v>
      </c>
      <c r="F498" t="s">
        <v>28</v>
      </c>
      <c r="G498" t="s">
        <v>1406</v>
      </c>
      <c r="H498" s="6">
        <v>46022</v>
      </c>
      <c r="I498" t="s">
        <v>29</v>
      </c>
      <c r="J498">
        <v>2</v>
      </c>
      <c r="K498">
        <v>0</v>
      </c>
      <c r="L498">
        <v>0</v>
      </c>
      <c r="M498">
        <v>0</v>
      </c>
      <c r="N498" t="s">
        <v>3915</v>
      </c>
      <c r="O498" t="s">
        <v>3915</v>
      </c>
      <c r="P498" t="s">
        <v>3915</v>
      </c>
      <c r="Q498">
        <v>0</v>
      </c>
      <c r="R498" t="s">
        <v>30</v>
      </c>
      <c r="S498">
        <v>0</v>
      </c>
      <c r="T498">
        <v>0</v>
      </c>
      <c r="U498" t="s">
        <v>3915</v>
      </c>
      <c r="V498" t="s">
        <v>31</v>
      </c>
      <c r="W498">
        <v>0</v>
      </c>
    </row>
    <row r="499" spans="1:23" x14ac:dyDescent="0.25">
      <c r="A499" t="s">
        <v>4135</v>
      </c>
      <c r="B499" t="s">
        <v>641</v>
      </c>
      <c r="C499" t="s">
        <v>642</v>
      </c>
      <c r="D499" t="s">
        <v>4479</v>
      </c>
      <c r="E499" t="s">
        <v>4101</v>
      </c>
      <c r="F499" t="s">
        <v>28</v>
      </c>
      <c r="G499" t="s">
        <v>1406</v>
      </c>
      <c r="H499" s="6">
        <v>46022</v>
      </c>
      <c r="I499" t="s">
        <v>29</v>
      </c>
      <c r="J499">
        <v>1</v>
      </c>
      <c r="K499">
        <v>0</v>
      </c>
      <c r="L499">
        <v>0</v>
      </c>
      <c r="M499">
        <v>0</v>
      </c>
      <c r="N499" t="s">
        <v>3915</v>
      </c>
      <c r="O499" t="s">
        <v>3915</v>
      </c>
      <c r="P499" t="s">
        <v>3915</v>
      </c>
      <c r="Q499">
        <v>0</v>
      </c>
      <c r="R499" t="s">
        <v>30</v>
      </c>
      <c r="S499">
        <v>0</v>
      </c>
      <c r="T499">
        <v>0</v>
      </c>
      <c r="U499" t="s">
        <v>3915</v>
      </c>
      <c r="V499" t="s">
        <v>31</v>
      </c>
      <c r="W499">
        <v>0</v>
      </c>
    </row>
    <row r="500" spans="1:23" x14ac:dyDescent="0.25">
      <c r="A500" t="s">
        <v>4136</v>
      </c>
      <c r="B500" t="s">
        <v>643</v>
      </c>
      <c r="C500" t="s">
        <v>644</v>
      </c>
      <c r="D500" t="s">
        <v>4479</v>
      </c>
      <c r="E500" t="s">
        <v>4101</v>
      </c>
      <c r="F500" t="s">
        <v>28</v>
      </c>
      <c r="G500" t="s">
        <v>1406</v>
      </c>
      <c r="H500" s="6">
        <v>46022</v>
      </c>
      <c r="I500" t="s">
        <v>29</v>
      </c>
      <c r="J500">
        <v>0</v>
      </c>
      <c r="K500">
        <v>0</v>
      </c>
      <c r="L500">
        <v>0</v>
      </c>
      <c r="M500">
        <v>0</v>
      </c>
      <c r="N500" t="s">
        <v>3915</v>
      </c>
      <c r="O500" t="s">
        <v>3915</v>
      </c>
      <c r="P500" t="s">
        <v>3915</v>
      </c>
      <c r="Q500">
        <v>0</v>
      </c>
      <c r="R500" t="s">
        <v>30</v>
      </c>
      <c r="S500">
        <v>0</v>
      </c>
      <c r="T500">
        <v>0</v>
      </c>
      <c r="U500" t="s">
        <v>3915</v>
      </c>
      <c r="V500" t="s">
        <v>31</v>
      </c>
      <c r="W500">
        <v>0</v>
      </c>
    </row>
    <row r="501" spans="1:23" x14ac:dyDescent="0.25">
      <c r="A501" t="s">
        <v>4138</v>
      </c>
      <c r="B501" t="s">
        <v>651</v>
      </c>
      <c r="C501" t="s">
        <v>652</v>
      </c>
      <c r="D501" t="s">
        <v>4479</v>
      </c>
      <c r="E501" t="s">
        <v>4101</v>
      </c>
      <c r="F501" t="s">
        <v>28</v>
      </c>
      <c r="G501" t="s">
        <v>1406</v>
      </c>
      <c r="H501" s="6">
        <v>46022</v>
      </c>
      <c r="I501" t="s">
        <v>29</v>
      </c>
      <c r="J501">
        <v>1</v>
      </c>
      <c r="K501">
        <v>0</v>
      </c>
      <c r="L501">
        <v>0</v>
      </c>
      <c r="M501">
        <v>0</v>
      </c>
      <c r="N501" t="s">
        <v>3915</v>
      </c>
      <c r="O501" t="s">
        <v>3915</v>
      </c>
      <c r="P501" t="s">
        <v>3915</v>
      </c>
      <c r="Q501">
        <v>0</v>
      </c>
      <c r="R501" t="s">
        <v>30</v>
      </c>
      <c r="S501">
        <v>0</v>
      </c>
      <c r="T501">
        <v>0</v>
      </c>
      <c r="U501" t="s">
        <v>3915</v>
      </c>
      <c r="V501" t="s">
        <v>31</v>
      </c>
      <c r="W501">
        <v>0</v>
      </c>
    </row>
    <row r="502" spans="1:23" x14ac:dyDescent="0.25">
      <c r="A502" t="s">
        <v>4139</v>
      </c>
      <c r="B502" t="s">
        <v>655</v>
      </c>
      <c r="C502" t="s">
        <v>656</v>
      </c>
      <c r="D502" t="s">
        <v>4479</v>
      </c>
      <c r="E502" t="s">
        <v>4101</v>
      </c>
      <c r="F502" t="s">
        <v>28</v>
      </c>
      <c r="G502" t="s">
        <v>1406</v>
      </c>
      <c r="H502" s="6">
        <v>46022</v>
      </c>
      <c r="I502" t="s">
        <v>29</v>
      </c>
      <c r="J502">
        <v>1</v>
      </c>
      <c r="K502">
        <v>0</v>
      </c>
      <c r="L502">
        <v>0</v>
      </c>
      <c r="M502">
        <v>0</v>
      </c>
      <c r="N502" t="s">
        <v>3915</v>
      </c>
      <c r="O502" t="s">
        <v>3915</v>
      </c>
      <c r="P502" t="s">
        <v>3915</v>
      </c>
      <c r="Q502">
        <v>0</v>
      </c>
      <c r="R502" t="s">
        <v>30</v>
      </c>
      <c r="S502">
        <v>0</v>
      </c>
      <c r="T502">
        <v>0</v>
      </c>
      <c r="U502" t="s">
        <v>3915</v>
      </c>
      <c r="V502" t="s">
        <v>31</v>
      </c>
      <c r="W502">
        <v>0</v>
      </c>
    </row>
    <row r="503" spans="1:23" x14ac:dyDescent="0.25">
      <c r="A503" t="s">
        <v>5273</v>
      </c>
      <c r="B503" t="s">
        <v>2479</v>
      </c>
      <c r="C503" t="s">
        <v>2478</v>
      </c>
      <c r="D503" t="s">
        <v>4479</v>
      </c>
      <c r="E503" t="s">
        <v>4101</v>
      </c>
      <c r="F503" t="s">
        <v>28</v>
      </c>
      <c r="G503" t="s">
        <v>1406</v>
      </c>
      <c r="H503" s="6">
        <v>46022</v>
      </c>
      <c r="I503" t="s">
        <v>29</v>
      </c>
      <c r="J503">
        <v>1</v>
      </c>
      <c r="K503">
        <v>0</v>
      </c>
      <c r="L503">
        <v>0</v>
      </c>
      <c r="M503">
        <v>0</v>
      </c>
      <c r="N503" t="s">
        <v>3915</v>
      </c>
      <c r="O503" t="s">
        <v>3915</v>
      </c>
      <c r="P503" t="s">
        <v>3915</v>
      </c>
      <c r="Q503">
        <v>0</v>
      </c>
      <c r="R503" t="s">
        <v>30</v>
      </c>
      <c r="S503">
        <v>0</v>
      </c>
      <c r="T503">
        <v>0</v>
      </c>
      <c r="U503" t="s">
        <v>3915</v>
      </c>
      <c r="V503" t="s">
        <v>31</v>
      </c>
      <c r="W503">
        <v>0</v>
      </c>
    </row>
    <row r="504" spans="1:23" x14ac:dyDescent="0.25">
      <c r="A504" t="s">
        <v>4748</v>
      </c>
      <c r="B504" t="s">
        <v>2481</v>
      </c>
      <c r="C504" t="s">
        <v>2480</v>
      </c>
      <c r="D504" t="s">
        <v>4479</v>
      </c>
      <c r="E504" t="s">
        <v>4101</v>
      </c>
      <c r="F504" t="s">
        <v>28</v>
      </c>
      <c r="G504" t="s">
        <v>1406</v>
      </c>
      <c r="H504" s="6">
        <v>46022</v>
      </c>
      <c r="I504" t="s">
        <v>29</v>
      </c>
      <c r="J504">
        <v>1</v>
      </c>
      <c r="K504">
        <v>0</v>
      </c>
      <c r="L504">
        <v>0</v>
      </c>
      <c r="M504">
        <v>0</v>
      </c>
      <c r="N504" t="s">
        <v>3915</v>
      </c>
      <c r="O504" t="s">
        <v>3915</v>
      </c>
      <c r="P504" t="s">
        <v>3915</v>
      </c>
      <c r="Q504">
        <v>0</v>
      </c>
      <c r="R504" t="s">
        <v>30</v>
      </c>
      <c r="S504">
        <v>0</v>
      </c>
      <c r="T504">
        <v>0</v>
      </c>
      <c r="U504" t="s">
        <v>3915</v>
      </c>
      <c r="V504" t="s">
        <v>31</v>
      </c>
      <c r="W504">
        <v>0</v>
      </c>
    </row>
    <row r="505" spans="1:23" x14ac:dyDescent="0.25">
      <c r="A505" t="s">
        <v>5274</v>
      </c>
      <c r="B505" t="s">
        <v>2483</v>
      </c>
      <c r="C505" t="s">
        <v>2482</v>
      </c>
      <c r="D505" t="s">
        <v>4479</v>
      </c>
      <c r="E505" t="s">
        <v>4101</v>
      </c>
      <c r="F505" t="s">
        <v>28</v>
      </c>
      <c r="G505" t="s">
        <v>1406</v>
      </c>
      <c r="H505" s="6">
        <v>46022</v>
      </c>
      <c r="I505" t="s">
        <v>29</v>
      </c>
      <c r="J505">
        <v>1</v>
      </c>
      <c r="K505">
        <v>0</v>
      </c>
      <c r="L505">
        <v>0</v>
      </c>
      <c r="M505">
        <v>0</v>
      </c>
      <c r="N505" t="s">
        <v>3915</v>
      </c>
      <c r="O505" t="s">
        <v>3915</v>
      </c>
      <c r="P505" t="s">
        <v>3915</v>
      </c>
      <c r="Q505">
        <v>0</v>
      </c>
      <c r="R505" t="s">
        <v>30</v>
      </c>
      <c r="S505">
        <v>0</v>
      </c>
      <c r="T505">
        <v>0</v>
      </c>
      <c r="U505" t="s">
        <v>3915</v>
      </c>
      <c r="V505" t="s">
        <v>31</v>
      </c>
      <c r="W505">
        <v>0</v>
      </c>
    </row>
    <row r="506" spans="1:23" x14ac:dyDescent="0.25">
      <c r="A506" t="s">
        <v>5275</v>
      </c>
      <c r="B506" t="s">
        <v>2485</v>
      </c>
      <c r="C506" t="s">
        <v>2484</v>
      </c>
      <c r="D506" t="s">
        <v>4479</v>
      </c>
      <c r="E506" t="s">
        <v>4101</v>
      </c>
      <c r="F506" t="s">
        <v>28</v>
      </c>
      <c r="G506" t="s">
        <v>1406</v>
      </c>
      <c r="H506" s="6">
        <v>46022</v>
      </c>
      <c r="I506" t="s">
        <v>29</v>
      </c>
      <c r="J506">
        <v>1</v>
      </c>
      <c r="K506">
        <v>0</v>
      </c>
      <c r="L506">
        <v>0</v>
      </c>
      <c r="M506">
        <v>0</v>
      </c>
      <c r="N506" t="s">
        <v>3915</v>
      </c>
      <c r="O506" t="s">
        <v>3915</v>
      </c>
      <c r="P506" t="s">
        <v>3915</v>
      </c>
      <c r="Q506">
        <v>0</v>
      </c>
      <c r="R506" t="s">
        <v>30</v>
      </c>
      <c r="S506">
        <v>0</v>
      </c>
      <c r="T506">
        <v>0</v>
      </c>
      <c r="U506" t="s">
        <v>3915</v>
      </c>
      <c r="V506" t="s">
        <v>31</v>
      </c>
      <c r="W506">
        <v>0</v>
      </c>
    </row>
    <row r="507" spans="1:23" x14ac:dyDescent="0.25">
      <c r="A507" t="s">
        <v>5276</v>
      </c>
      <c r="B507" t="s">
        <v>2060</v>
      </c>
      <c r="C507" t="s">
        <v>2059</v>
      </c>
      <c r="D507" t="s">
        <v>4479</v>
      </c>
      <c r="E507" t="s">
        <v>27</v>
      </c>
      <c r="F507" t="s">
        <v>669</v>
      </c>
      <c r="G507" t="s">
        <v>1406</v>
      </c>
      <c r="H507" s="6">
        <v>46022</v>
      </c>
      <c r="I507" t="s">
        <v>29</v>
      </c>
      <c r="J507">
        <v>37</v>
      </c>
      <c r="K507">
        <v>0</v>
      </c>
      <c r="L507">
        <v>0</v>
      </c>
      <c r="M507">
        <v>0</v>
      </c>
      <c r="N507" t="s">
        <v>3915</v>
      </c>
      <c r="O507" t="s">
        <v>3915</v>
      </c>
      <c r="P507" t="s">
        <v>3915</v>
      </c>
      <c r="Q507">
        <v>0</v>
      </c>
      <c r="R507" t="s">
        <v>30</v>
      </c>
      <c r="S507">
        <v>0</v>
      </c>
      <c r="T507">
        <v>0</v>
      </c>
      <c r="U507" t="s">
        <v>3915</v>
      </c>
      <c r="V507" t="s">
        <v>31</v>
      </c>
      <c r="W507">
        <v>0</v>
      </c>
    </row>
    <row r="508" spans="1:23" x14ac:dyDescent="0.25">
      <c r="A508" t="s">
        <v>5277</v>
      </c>
      <c r="B508" t="s">
        <v>2062</v>
      </c>
      <c r="C508" t="s">
        <v>2061</v>
      </c>
      <c r="D508" t="s">
        <v>4479</v>
      </c>
      <c r="E508" t="s">
        <v>27</v>
      </c>
      <c r="F508" t="s">
        <v>669</v>
      </c>
      <c r="G508" t="s">
        <v>1406</v>
      </c>
      <c r="H508" s="6">
        <v>46022</v>
      </c>
      <c r="I508" t="s">
        <v>29</v>
      </c>
      <c r="J508">
        <v>6</v>
      </c>
      <c r="K508">
        <v>0</v>
      </c>
      <c r="L508">
        <v>0</v>
      </c>
      <c r="M508">
        <v>0</v>
      </c>
      <c r="N508" t="s">
        <v>3915</v>
      </c>
      <c r="O508" t="s">
        <v>3915</v>
      </c>
      <c r="P508" t="s">
        <v>3915</v>
      </c>
      <c r="Q508">
        <v>0</v>
      </c>
      <c r="R508" t="s">
        <v>30</v>
      </c>
      <c r="S508">
        <v>0</v>
      </c>
      <c r="T508">
        <v>0</v>
      </c>
      <c r="U508" t="s">
        <v>3915</v>
      </c>
      <c r="V508" t="s">
        <v>31</v>
      </c>
      <c r="W508">
        <v>0</v>
      </c>
    </row>
    <row r="509" spans="1:23" x14ac:dyDescent="0.25">
      <c r="A509" t="s">
        <v>4513</v>
      </c>
      <c r="B509" t="s">
        <v>2064</v>
      </c>
      <c r="C509" t="s">
        <v>2063</v>
      </c>
      <c r="D509" t="s">
        <v>4479</v>
      </c>
      <c r="E509" t="s">
        <v>27</v>
      </c>
      <c r="F509" t="s">
        <v>669</v>
      </c>
      <c r="G509" t="s">
        <v>1406</v>
      </c>
      <c r="H509" s="6">
        <v>46022</v>
      </c>
      <c r="I509" t="s">
        <v>29</v>
      </c>
      <c r="J509">
        <v>35</v>
      </c>
      <c r="K509">
        <v>0</v>
      </c>
      <c r="L509">
        <v>0</v>
      </c>
      <c r="M509">
        <v>0</v>
      </c>
      <c r="N509" t="s">
        <v>3915</v>
      </c>
      <c r="O509" t="s">
        <v>3915</v>
      </c>
      <c r="P509" t="s">
        <v>3915</v>
      </c>
      <c r="Q509">
        <v>0</v>
      </c>
      <c r="R509" t="s">
        <v>30</v>
      </c>
      <c r="S509">
        <v>0</v>
      </c>
      <c r="T509">
        <v>0</v>
      </c>
      <c r="U509" t="s">
        <v>3915</v>
      </c>
      <c r="V509" t="s">
        <v>31</v>
      </c>
      <c r="W509">
        <v>0</v>
      </c>
    </row>
    <row r="510" spans="1:23" x14ac:dyDescent="0.25">
      <c r="A510" t="s">
        <v>5278</v>
      </c>
      <c r="B510" t="s">
        <v>2066</v>
      </c>
      <c r="C510" t="s">
        <v>2065</v>
      </c>
      <c r="D510" t="s">
        <v>4479</v>
      </c>
      <c r="E510" t="s">
        <v>27</v>
      </c>
      <c r="F510" t="s">
        <v>669</v>
      </c>
      <c r="G510" t="s">
        <v>1406</v>
      </c>
      <c r="H510" s="6">
        <v>46022</v>
      </c>
      <c r="I510" t="s">
        <v>29</v>
      </c>
      <c r="J510">
        <v>3</v>
      </c>
      <c r="K510">
        <v>0</v>
      </c>
      <c r="L510">
        <v>0</v>
      </c>
      <c r="M510">
        <v>0</v>
      </c>
      <c r="N510" t="s">
        <v>3915</v>
      </c>
      <c r="O510" t="s">
        <v>3915</v>
      </c>
      <c r="P510" t="s">
        <v>3915</v>
      </c>
      <c r="Q510">
        <v>0</v>
      </c>
      <c r="R510" t="s">
        <v>30</v>
      </c>
      <c r="S510">
        <v>0</v>
      </c>
      <c r="T510">
        <v>0</v>
      </c>
      <c r="U510" t="s">
        <v>3915</v>
      </c>
      <c r="V510" t="s">
        <v>31</v>
      </c>
      <c r="W510">
        <v>0</v>
      </c>
    </row>
    <row r="511" spans="1:23" x14ac:dyDescent="0.25">
      <c r="A511" t="s">
        <v>4141</v>
      </c>
      <c r="B511" t="s">
        <v>667</v>
      </c>
      <c r="C511" t="s">
        <v>668</v>
      </c>
      <c r="D511" t="s">
        <v>4479</v>
      </c>
      <c r="E511" t="s">
        <v>27</v>
      </c>
      <c r="F511" t="s">
        <v>669</v>
      </c>
      <c r="G511" t="s">
        <v>1406</v>
      </c>
      <c r="H511" s="6">
        <v>46022</v>
      </c>
      <c r="I511" t="s">
        <v>29</v>
      </c>
      <c r="J511">
        <v>6</v>
      </c>
      <c r="K511">
        <v>0</v>
      </c>
      <c r="L511">
        <v>0</v>
      </c>
      <c r="M511">
        <v>0</v>
      </c>
      <c r="N511" t="s">
        <v>3915</v>
      </c>
      <c r="O511" t="s">
        <v>3915</v>
      </c>
      <c r="P511" t="s">
        <v>3915</v>
      </c>
      <c r="Q511">
        <v>0</v>
      </c>
      <c r="R511" t="s">
        <v>30</v>
      </c>
      <c r="S511">
        <v>0</v>
      </c>
      <c r="T511">
        <v>0</v>
      </c>
      <c r="U511" t="s">
        <v>3915</v>
      </c>
      <c r="V511" t="s">
        <v>31</v>
      </c>
      <c r="W511">
        <v>0</v>
      </c>
    </row>
    <row r="512" spans="1:23" x14ac:dyDescent="0.25">
      <c r="A512" t="s">
        <v>4891</v>
      </c>
      <c r="B512" t="s">
        <v>2068</v>
      </c>
      <c r="C512" t="s">
        <v>2067</v>
      </c>
      <c r="D512" t="s">
        <v>4479</v>
      </c>
      <c r="E512" t="s">
        <v>27</v>
      </c>
      <c r="F512" t="s">
        <v>669</v>
      </c>
      <c r="G512" t="s">
        <v>1406</v>
      </c>
      <c r="H512" s="6">
        <v>46022</v>
      </c>
      <c r="I512" t="s">
        <v>29</v>
      </c>
      <c r="J512">
        <v>9</v>
      </c>
      <c r="K512">
        <v>0</v>
      </c>
      <c r="L512">
        <v>0</v>
      </c>
      <c r="M512">
        <v>0</v>
      </c>
      <c r="N512" t="s">
        <v>3915</v>
      </c>
      <c r="O512" t="s">
        <v>3915</v>
      </c>
      <c r="P512" t="s">
        <v>3915</v>
      </c>
      <c r="Q512">
        <v>0</v>
      </c>
      <c r="R512" t="s">
        <v>30</v>
      </c>
      <c r="S512">
        <v>0</v>
      </c>
      <c r="T512">
        <v>0</v>
      </c>
      <c r="U512" t="s">
        <v>3915</v>
      </c>
      <c r="V512" t="s">
        <v>31</v>
      </c>
      <c r="W512">
        <v>0</v>
      </c>
    </row>
    <row r="513" spans="1:23" x14ac:dyDescent="0.25">
      <c r="A513" t="s">
        <v>5279</v>
      </c>
      <c r="B513" t="s">
        <v>2070</v>
      </c>
      <c r="C513" t="s">
        <v>2069</v>
      </c>
      <c r="D513" t="s">
        <v>4479</v>
      </c>
      <c r="E513" t="s">
        <v>27</v>
      </c>
      <c r="F513" t="s">
        <v>669</v>
      </c>
      <c r="G513" t="s">
        <v>1406</v>
      </c>
      <c r="H513" s="6">
        <v>46022</v>
      </c>
      <c r="I513" t="s">
        <v>29</v>
      </c>
      <c r="J513">
        <v>20</v>
      </c>
      <c r="K513">
        <v>0</v>
      </c>
      <c r="L513">
        <v>0</v>
      </c>
      <c r="M513">
        <v>0</v>
      </c>
      <c r="N513" t="s">
        <v>3915</v>
      </c>
      <c r="O513" t="s">
        <v>3915</v>
      </c>
      <c r="P513" t="s">
        <v>3915</v>
      </c>
      <c r="Q513">
        <v>0</v>
      </c>
      <c r="R513" t="s">
        <v>30</v>
      </c>
      <c r="S513">
        <v>0</v>
      </c>
      <c r="T513">
        <v>0</v>
      </c>
      <c r="U513" t="s">
        <v>3915</v>
      </c>
      <c r="V513" t="s">
        <v>31</v>
      </c>
      <c r="W513">
        <v>0</v>
      </c>
    </row>
    <row r="514" spans="1:23" x14ac:dyDescent="0.25">
      <c r="A514" t="s">
        <v>5280</v>
      </c>
      <c r="B514" t="s">
        <v>2072</v>
      </c>
      <c r="C514" t="s">
        <v>2071</v>
      </c>
      <c r="D514" t="s">
        <v>4479</v>
      </c>
      <c r="E514" t="s">
        <v>27</v>
      </c>
      <c r="F514" t="s">
        <v>669</v>
      </c>
      <c r="G514" t="s">
        <v>1406</v>
      </c>
      <c r="H514" s="6">
        <v>46022</v>
      </c>
      <c r="I514" t="s">
        <v>29</v>
      </c>
      <c r="J514">
        <v>59</v>
      </c>
      <c r="K514">
        <v>0</v>
      </c>
      <c r="L514">
        <v>0</v>
      </c>
      <c r="M514">
        <v>0</v>
      </c>
      <c r="N514" t="s">
        <v>3915</v>
      </c>
      <c r="O514" t="s">
        <v>3915</v>
      </c>
      <c r="P514" t="s">
        <v>3915</v>
      </c>
      <c r="Q514">
        <v>0</v>
      </c>
      <c r="R514" t="s">
        <v>30</v>
      </c>
      <c r="S514">
        <v>0</v>
      </c>
      <c r="T514">
        <v>0</v>
      </c>
      <c r="U514" t="s">
        <v>3915</v>
      </c>
      <c r="V514" t="s">
        <v>31</v>
      </c>
      <c r="W514">
        <v>0</v>
      </c>
    </row>
    <row r="515" spans="1:23" x14ac:dyDescent="0.25">
      <c r="A515" t="s">
        <v>5281</v>
      </c>
      <c r="B515" t="s">
        <v>2074</v>
      </c>
      <c r="C515" t="s">
        <v>2073</v>
      </c>
      <c r="D515" t="s">
        <v>4479</v>
      </c>
      <c r="E515" t="s">
        <v>27</v>
      </c>
      <c r="F515" t="s">
        <v>669</v>
      </c>
      <c r="G515" t="s">
        <v>1406</v>
      </c>
      <c r="H515" s="6">
        <v>46022</v>
      </c>
      <c r="I515" t="s">
        <v>29</v>
      </c>
      <c r="J515">
        <v>18</v>
      </c>
      <c r="K515">
        <v>0</v>
      </c>
      <c r="L515">
        <v>0</v>
      </c>
      <c r="M515">
        <v>0</v>
      </c>
      <c r="N515" t="s">
        <v>3915</v>
      </c>
      <c r="O515" t="s">
        <v>3915</v>
      </c>
      <c r="P515" t="s">
        <v>3915</v>
      </c>
      <c r="Q515">
        <v>0</v>
      </c>
      <c r="R515" t="s">
        <v>30</v>
      </c>
      <c r="S515">
        <v>0</v>
      </c>
      <c r="T515">
        <v>0</v>
      </c>
      <c r="U515" t="s">
        <v>3915</v>
      </c>
      <c r="V515" t="s">
        <v>31</v>
      </c>
      <c r="W515">
        <v>0</v>
      </c>
    </row>
    <row r="516" spans="1:23" x14ac:dyDescent="0.25">
      <c r="A516" t="s">
        <v>5282</v>
      </c>
      <c r="B516" t="s">
        <v>2076</v>
      </c>
      <c r="C516" t="s">
        <v>2075</v>
      </c>
      <c r="D516" t="s">
        <v>4479</v>
      </c>
      <c r="E516" t="s">
        <v>27</v>
      </c>
      <c r="F516" t="s">
        <v>669</v>
      </c>
      <c r="G516" t="s">
        <v>1406</v>
      </c>
      <c r="H516" s="6">
        <v>46022</v>
      </c>
      <c r="I516" t="s">
        <v>29</v>
      </c>
      <c r="J516">
        <v>2</v>
      </c>
      <c r="K516">
        <v>0</v>
      </c>
      <c r="L516">
        <v>0</v>
      </c>
      <c r="M516">
        <v>0</v>
      </c>
      <c r="N516" t="s">
        <v>3915</v>
      </c>
      <c r="O516" t="s">
        <v>3915</v>
      </c>
      <c r="P516" t="s">
        <v>3915</v>
      </c>
      <c r="Q516">
        <v>0</v>
      </c>
      <c r="R516" t="s">
        <v>30</v>
      </c>
      <c r="S516">
        <v>0</v>
      </c>
      <c r="T516">
        <v>0</v>
      </c>
      <c r="U516" t="s">
        <v>3915</v>
      </c>
      <c r="V516" t="s">
        <v>31</v>
      </c>
      <c r="W516">
        <v>0</v>
      </c>
    </row>
    <row r="517" spans="1:23" x14ac:dyDescent="0.25">
      <c r="A517" t="s">
        <v>4892</v>
      </c>
      <c r="B517" t="s">
        <v>2078</v>
      </c>
      <c r="C517" t="s">
        <v>2077</v>
      </c>
      <c r="D517" t="s">
        <v>4479</v>
      </c>
      <c r="E517" t="s">
        <v>27</v>
      </c>
      <c r="F517" t="s">
        <v>669</v>
      </c>
      <c r="G517" t="s">
        <v>1406</v>
      </c>
      <c r="H517" s="6">
        <v>46022</v>
      </c>
      <c r="I517" t="s">
        <v>29</v>
      </c>
      <c r="J517">
        <v>13</v>
      </c>
      <c r="K517">
        <v>0</v>
      </c>
      <c r="L517">
        <v>0</v>
      </c>
      <c r="M517">
        <v>0</v>
      </c>
      <c r="N517" t="s">
        <v>3915</v>
      </c>
      <c r="O517" t="s">
        <v>3915</v>
      </c>
      <c r="P517" t="s">
        <v>3915</v>
      </c>
      <c r="Q517">
        <v>0</v>
      </c>
      <c r="R517" t="s">
        <v>30</v>
      </c>
      <c r="S517">
        <v>0</v>
      </c>
      <c r="T517">
        <v>0</v>
      </c>
      <c r="U517" t="s">
        <v>3915</v>
      </c>
      <c r="V517" t="s">
        <v>31</v>
      </c>
      <c r="W517">
        <v>0</v>
      </c>
    </row>
    <row r="518" spans="1:23" x14ac:dyDescent="0.25">
      <c r="A518" t="s">
        <v>5283</v>
      </c>
      <c r="B518" t="s">
        <v>2080</v>
      </c>
      <c r="C518" t="s">
        <v>2079</v>
      </c>
      <c r="D518" t="s">
        <v>4479</v>
      </c>
      <c r="E518" t="s">
        <v>27</v>
      </c>
      <c r="F518" t="s">
        <v>669</v>
      </c>
      <c r="G518" t="s">
        <v>1406</v>
      </c>
      <c r="H518" s="6">
        <v>46022</v>
      </c>
      <c r="I518" t="s">
        <v>29</v>
      </c>
      <c r="J518">
        <v>7</v>
      </c>
      <c r="K518">
        <v>0</v>
      </c>
      <c r="L518">
        <v>0</v>
      </c>
      <c r="M518">
        <v>0</v>
      </c>
      <c r="N518" t="s">
        <v>3915</v>
      </c>
      <c r="O518" t="s">
        <v>3915</v>
      </c>
      <c r="P518" t="s">
        <v>3915</v>
      </c>
      <c r="Q518">
        <v>0</v>
      </c>
      <c r="R518" t="s">
        <v>30</v>
      </c>
      <c r="S518">
        <v>0</v>
      </c>
      <c r="T518">
        <v>0</v>
      </c>
      <c r="U518" t="s">
        <v>3915</v>
      </c>
      <c r="V518" t="s">
        <v>31</v>
      </c>
      <c r="W518">
        <v>0</v>
      </c>
    </row>
    <row r="519" spans="1:23" x14ac:dyDescent="0.25">
      <c r="A519" t="s">
        <v>4142</v>
      </c>
      <c r="B519" t="s">
        <v>670</v>
      </c>
      <c r="C519" t="s">
        <v>671</v>
      </c>
      <c r="D519" t="s">
        <v>4479</v>
      </c>
      <c r="E519" t="s">
        <v>27</v>
      </c>
      <c r="F519" t="s">
        <v>669</v>
      </c>
      <c r="G519" t="s">
        <v>1406</v>
      </c>
      <c r="H519" s="6">
        <v>46022</v>
      </c>
      <c r="I519" t="s">
        <v>29</v>
      </c>
      <c r="J519">
        <v>0</v>
      </c>
      <c r="K519">
        <v>0</v>
      </c>
      <c r="L519">
        <v>0</v>
      </c>
      <c r="M519">
        <v>0</v>
      </c>
      <c r="N519" t="s">
        <v>3915</v>
      </c>
      <c r="O519" t="s">
        <v>3915</v>
      </c>
      <c r="P519" t="s">
        <v>3915</v>
      </c>
      <c r="Q519">
        <v>0</v>
      </c>
      <c r="R519" t="s">
        <v>30</v>
      </c>
      <c r="S519">
        <v>0</v>
      </c>
      <c r="T519">
        <v>0</v>
      </c>
      <c r="U519" t="s">
        <v>3915</v>
      </c>
      <c r="V519" t="s">
        <v>31</v>
      </c>
      <c r="W519">
        <v>0</v>
      </c>
    </row>
    <row r="520" spans="1:23" x14ac:dyDescent="0.25">
      <c r="A520" t="s">
        <v>4975</v>
      </c>
      <c r="B520" t="s">
        <v>1462</v>
      </c>
      <c r="C520" t="s">
        <v>1461</v>
      </c>
      <c r="D520" t="s">
        <v>4479</v>
      </c>
      <c r="E520" t="s">
        <v>27</v>
      </c>
      <c r="F520" t="s">
        <v>669</v>
      </c>
      <c r="G520" t="s">
        <v>1406</v>
      </c>
      <c r="H520" s="6">
        <v>46022</v>
      </c>
      <c r="I520" t="s">
        <v>29</v>
      </c>
      <c r="J520">
        <v>45</v>
      </c>
      <c r="K520">
        <v>0</v>
      </c>
      <c r="L520">
        <v>0</v>
      </c>
      <c r="M520">
        <v>0</v>
      </c>
      <c r="N520" t="s">
        <v>3915</v>
      </c>
      <c r="O520" t="s">
        <v>3915</v>
      </c>
      <c r="P520" t="s">
        <v>3915</v>
      </c>
      <c r="Q520">
        <v>0</v>
      </c>
      <c r="R520" t="s">
        <v>30</v>
      </c>
      <c r="S520">
        <v>0</v>
      </c>
      <c r="T520">
        <v>0</v>
      </c>
      <c r="U520" t="s">
        <v>3915</v>
      </c>
      <c r="V520" t="s">
        <v>31</v>
      </c>
      <c r="W520">
        <v>0</v>
      </c>
    </row>
    <row r="521" spans="1:23" x14ac:dyDescent="0.25">
      <c r="A521" t="s">
        <v>5284</v>
      </c>
      <c r="B521" t="s">
        <v>2082</v>
      </c>
      <c r="C521" t="s">
        <v>2081</v>
      </c>
      <c r="D521" t="s">
        <v>4479</v>
      </c>
      <c r="E521" t="s">
        <v>27</v>
      </c>
      <c r="F521" t="s">
        <v>669</v>
      </c>
      <c r="G521" t="s">
        <v>1406</v>
      </c>
      <c r="H521" s="6">
        <v>46022</v>
      </c>
      <c r="I521" t="s">
        <v>29</v>
      </c>
      <c r="J521">
        <v>58</v>
      </c>
      <c r="K521">
        <v>0</v>
      </c>
      <c r="L521">
        <v>0</v>
      </c>
      <c r="M521">
        <v>0</v>
      </c>
      <c r="N521" t="s">
        <v>3915</v>
      </c>
      <c r="O521" t="s">
        <v>3915</v>
      </c>
      <c r="P521" t="s">
        <v>3915</v>
      </c>
      <c r="Q521">
        <v>0</v>
      </c>
      <c r="R521" t="s">
        <v>30</v>
      </c>
      <c r="S521">
        <v>0</v>
      </c>
      <c r="T521">
        <v>0</v>
      </c>
      <c r="U521" t="s">
        <v>3915</v>
      </c>
      <c r="V521" t="s">
        <v>31</v>
      </c>
      <c r="W521">
        <v>0</v>
      </c>
    </row>
    <row r="522" spans="1:23" x14ac:dyDescent="0.25">
      <c r="A522" t="s">
        <v>5285</v>
      </c>
      <c r="B522" t="s">
        <v>2084</v>
      </c>
      <c r="C522" t="s">
        <v>2083</v>
      </c>
      <c r="D522" t="s">
        <v>4479</v>
      </c>
      <c r="E522" t="s">
        <v>27</v>
      </c>
      <c r="F522" t="s">
        <v>669</v>
      </c>
      <c r="G522" t="s">
        <v>1406</v>
      </c>
      <c r="H522" s="6">
        <v>46022</v>
      </c>
      <c r="I522" t="s">
        <v>29</v>
      </c>
      <c r="J522">
        <v>92</v>
      </c>
      <c r="K522">
        <v>0</v>
      </c>
      <c r="L522">
        <v>0</v>
      </c>
      <c r="M522">
        <v>0</v>
      </c>
      <c r="N522" t="s">
        <v>3915</v>
      </c>
      <c r="O522" t="s">
        <v>3915</v>
      </c>
      <c r="P522" t="s">
        <v>3915</v>
      </c>
      <c r="Q522">
        <v>0</v>
      </c>
      <c r="R522" t="s">
        <v>30</v>
      </c>
      <c r="S522">
        <v>0</v>
      </c>
      <c r="T522">
        <v>0</v>
      </c>
      <c r="U522" t="s">
        <v>3915</v>
      </c>
      <c r="V522" t="s">
        <v>31</v>
      </c>
      <c r="W522">
        <v>0</v>
      </c>
    </row>
    <row r="523" spans="1:23" x14ac:dyDescent="0.25">
      <c r="A523" t="s">
        <v>5286</v>
      </c>
      <c r="B523" t="s">
        <v>2086</v>
      </c>
      <c r="C523" t="s">
        <v>2085</v>
      </c>
      <c r="D523" t="s">
        <v>4479</v>
      </c>
      <c r="E523" t="s">
        <v>27</v>
      </c>
      <c r="F523" t="s">
        <v>669</v>
      </c>
      <c r="G523" t="s">
        <v>1406</v>
      </c>
      <c r="H523" s="6">
        <v>46022</v>
      </c>
      <c r="I523" t="s">
        <v>29</v>
      </c>
      <c r="J523">
        <v>161</v>
      </c>
      <c r="K523">
        <v>0</v>
      </c>
      <c r="L523">
        <v>0</v>
      </c>
      <c r="M523">
        <v>0</v>
      </c>
      <c r="N523" t="s">
        <v>3915</v>
      </c>
      <c r="O523" t="s">
        <v>3915</v>
      </c>
      <c r="P523" t="s">
        <v>3915</v>
      </c>
      <c r="Q523">
        <v>0</v>
      </c>
      <c r="R523" t="s">
        <v>30</v>
      </c>
      <c r="S523">
        <v>0</v>
      </c>
      <c r="T523">
        <v>0</v>
      </c>
      <c r="U523" t="s">
        <v>3915</v>
      </c>
      <c r="V523" t="s">
        <v>31</v>
      </c>
      <c r="W523">
        <v>0</v>
      </c>
    </row>
    <row r="524" spans="1:23" x14ac:dyDescent="0.25">
      <c r="A524" t="s">
        <v>5287</v>
      </c>
      <c r="B524" t="s">
        <v>2088</v>
      </c>
      <c r="C524" t="s">
        <v>2087</v>
      </c>
      <c r="D524" t="s">
        <v>4479</v>
      </c>
      <c r="E524" t="s">
        <v>27</v>
      </c>
      <c r="F524" t="s">
        <v>669</v>
      </c>
      <c r="G524" t="s">
        <v>1406</v>
      </c>
      <c r="H524" s="6">
        <v>46022</v>
      </c>
      <c r="I524" t="s">
        <v>29</v>
      </c>
      <c r="J524">
        <v>22</v>
      </c>
      <c r="K524">
        <v>0</v>
      </c>
      <c r="L524">
        <v>0</v>
      </c>
      <c r="M524">
        <v>0</v>
      </c>
      <c r="N524" t="s">
        <v>3915</v>
      </c>
      <c r="O524" t="s">
        <v>3915</v>
      </c>
      <c r="P524" t="s">
        <v>3915</v>
      </c>
      <c r="Q524">
        <v>0</v>
      </c>
      <c r="R524" t="s">
        <v>30</v>
      </c>
      <c r="S524">
        <v>0</v>
      </c>
      <c r="T524">
        <v>0</v>
      </c>
      <c r="U524" t="s">
        <v>3915</v>
      </c>
      <c r="V524" t="s">
        <v>31</v>
      </c>
      <c r="W524">
        <v>0</v>
      </c>
    </row>
    <row r="525" spans="1:23" x14ac:dyDescent="0.25">
      <c r="A525" t="s">
        <v>4143</v>
      </c>
      <c r="B525" t="s">
        <v>672</v>
      </c>
      <c r="C525" t="s">
        <v>673</v>
      </c>
      <c r="D525" t="s">
        <v>4479</v>
      </c>
      <c r="E525" t="s">
        <v>27</v>
      </c>
      <c r="F525" t="s">
        <v>669</v>
      </c>
      <c r="G525" t="s">
        <v>1406</v>
      </c>
      <c r="H525" s="6">
        <v>46022</v>
      </c>
      <c r="I525" t="s">
        <v>29</v>
      </c>
      <c r="J525">
        <v>142</v>
      </c>
      <c r="K525">
        <v>0</v>
      </c>
      <c r="L525">
        <v>0</v>
      </c>
      <c r="M525">
        <v>0</v>
      </c>
      <c r="N525" t="s">
        <v>3915</v>
      </c>
      <c r="O525" t="s">
        <v>3915</v>
      </c>
      <c r="P525" t="s">
        <v>3915</v>
      </c>
      <c r="Q525">
        <v>0</v>
      </c>
      <c r="R525" t="s">
        <v>30</v>
      </c>
      <c r="S525">
        <v>0</v>
      </c>
      <c r="T525">
        <v>0</v>
      </c>
      <c r="U525" t="s">
        <v>3915</v>
      </c>
      <c r="V525" t="s">
        <v>31</v>
      </c>
      <c r="W525">
        <v>0</v>
      </c>
    </row>
    <row r="526" spans="1:23" x14ac:dyDescent="0.25">
      <c r="A526" t="s">
        <v>4144</v>
      </c>
      <c r="B526" t="s">
        <v>674</v>
      </c>
      <c r="C526" t="s">
        <v>675</v>
      </c>
      <c r="D526" t="s">
        <v>4479</v>
      </c>
      <c r="E526" t="s">
        <v>27</v>
      </c>
      <c r="F526" t="s">
        <v>669</v>
      </c>
      <c r="G526" t="s">
        <v>1406</v>
      </c>
      <c r="H526" s="6">
        <v>46022</v>
      </c>
      <c r="I526" t="s">
        <v>29</v>
      </c>
      <c r="J526">
        <v>5</v>
      </c>
      <c r="K526">
        <v>0</v>
      </c>
      <c r="L526">
        <v>0</v>
      </c>
      <c r="M526">
        <v>0</v>
      </c>
      <c r="N526" t="s">
        <v>3915</v>
      </c>
      <c r="O526" t="s">
        <v>3915</v>
      </c>
      <c r="P526" t="s">
        <v>3915</v>
      </c>
      <c r="Q526">
        <v>0</v>
      </c>
      <c r="R526" t="s">
        <v>30</v>
      </c>
      <c r="S526">
        <v>0</v>
      </c>
      <c r="T526">
        <v>0</v>
      </c>
      <c r="U526" t="s">
        <v>3915</v>
      </c>
      <c r="V526" t="s">
        <v>31</v>
      </c>
      <c r="W526">
        <v>0</v>
      </c>
    </row>
    <row r="527" spans="1:23" x14ac:dyDescent="0.25">
      <c r="A527" t="s">
        <v>5288</v>
      </c>
      <c r="B527" t="s">
        <v>1464</v>
      </c>
      <c r="C527" t="s">
        <v>1463</v>
      </c>
      <c r="D527" t="s">
        <v>4479</v>
      </c>
      <c r="E527" t="s">
        <v>27</v>
      </c>
      <c r="F527" t="s">
        <v>669</v>
      </c>
      <c r="G527" t="s">
        <v>1406</v>
      </c>
      <c r="H527" s="6">
        <v>46022</v>
      </c>
      <c r="I527" t="s">
        <v>29</v>
      </c>
      <c r="J527">
        <v>29</v>
      </c>
      <c r="K527">
        <v>0</v>
      </c>
      <c r="L527">
        <v>0</v>
      </c>
      <c r="M527">
        <v>0</v>
      </c>
      <c r="N527" t="s">
        <v>3915</v>
      </c>
      <c r="O527" t="s">
        <v>3915</v>
      </c>
      <c r="P527" t="s">
        <v>3915</v>
      </c>
      <c r="Q527">
        <v>0</v>
      </c>
      <c r="R527" t="s">
        <v>30</v>
      </c>
      <c r="S527">
        <v>0</v>
      </c>
      <c r="T527">
        <v>0</v>
      </c>
      <c r="U527" t="s">
        <v>3915</v>
      </c>
      <c r="V527" t="s">
        <v>31</v>
      </c>
      <c r="W527">
        <v>0</v>
      </c>
    </row>
    <row r="528" spans="1:23" x14ac:dyDescent="0.25">
      <c r="A528" t="s">
        <v>5289</v>
      </c>
      <c r="B528" t="s">
        <v>2090</v>
      </c>
      <c r="C528" t="s">
        <v>2089</v>
      </c>
      <c r="D528" t="s">
        <v>4479</v>
      </c>
      <c r="E528" t="s">
        <v>27</v>
      </c>
      <c r="F528" t="s">
        <v>669</v>
      </c>
      <c r="G528" t="s">
        <v>1406</v>
      </c>
      <c r="H528" s="6">
        <v>46022</v>
      </c>
      <c r="I528" t="s">
        <v>29</v>
      </c>
      <c r="J528">
        <v>18</v>
      </c>
      <c r="K528">
        <v>0</v>
      </c>
      <c r="L528">
        <v>0</v>
      </c>
      <c r="M528">
        <v>0</v>
      </c>
      <c r="N528" t="s">
        <v>3915</v>
      </c>
      <c r="O528" t="s">
        <v>3915</v>
      </c>
      <c r="P528" t="s">
        <v>3915</v>
      </c>
      <c r="Q528">
        <v>0</v>
      </c>
      <c r="R528" t="s">
        <v>30</v>
      </c>
      <c r="S528">
        <v>0</v>
      </c>
      <c r="T528">
        <v>0</v>
      </c>
      <c r="U528" t="s">
        <v>3915</v>
      </c>
      <c r="V528" t="s">
        <v>31</v>
      </c>
      <c r="W528">
        <v>0</v>
      </c>
    </row>
    <row r="529" spans="1:23" x14ac:dyDescent="0.25">
      <c r="A529" t="s">
        <v>4145</v>
      </c>
      <c r="B529" t="s">
        <v>676</v>
      </c>
      <c r="C529" t="s">
        <v>677</v>
      </c>
      <c r="D529" t="s">
        <v>4479</v>
      </c>
      <c r="E529" t="s">
        <v>27</v>
      </c>
      <c r="F529" t="s">
        <v>669</v>
      </c>
      <c r="G529" t="s">
        <v>1406</v>
      </c>
      <c r="H529" s="6">
        <v>46022</v>
      </c>
      <c r="I529" t="s">
        <v>29</v>
      </c>
      <c r="J529">
        <v>0</v>
      </c>
      <c r="K529">
        <v>0</v>
      </c>
      <c r="L529">
        <v>0</v>
      </c>
      <c r="M529">
        <v>0</v>
      </c>
      <c r="N529" t="s">
        <v>3915</v>
      </c>
      <c r="O529" t="s">
        <v>3915</v>
      </c>
      <c r="P529" t="s">
        <v>3915</v>
      </c>
      <c r="Q529">
        <v>0</v>
      </c>
      <c r="R529" t="s">
        <v>678</v>
      </c>
      <c r="S529">
        <v>0</v>
      </c>
      <c r="T529">
        <v>0</v>
      </c>
      <c r="U529" t="s">
        <v>3915</v>
      </c>
      <c r="V529" t="s">
        <v>31</v>
      </c>
      <c r="W529">
        <v>0</v>
      </c>
    </row>
    <row r="530" spans="1:23" x14ac:dyDescent="0.25">
      <c r="A530" t="s">
        <v>4146</v>
      </c>
      <c r="B530" t="s">
        <v>679</v>
      </c>
      <c r="C530" t="s">
        <v>680</v>
      </c>
      <c r="D530" t="s">
        <v>4479</v>
      </c>
      <c r="E530" t="s">
        <v>27</v>
      </c>
      <c r="F530" t="s">
        <v>669</v>
      </c>
      <c r="G530" t="s">
        <v>1406</v>
      </c>
      <c r="H530" s="6">
        <v>46022</v>
      </c>
      <c r="I530" t="s">
        <v>29</v>
      </c>
      <c r="J530">
        <v>1</v>
      </c>
      <c r="K530">
        <v>0</v>
      </c>
      <c r="L530">
        <v>0</v>
      </c>
      <c r="M530">
        <v>0</v>
      </c>
      <c r="N530" t="s">
        <v>3915</v>
      </c>
      <c r="O530" t="s">
        <v>3915</v>
      </c>
      <c r="P530" t="s">
        <v>3915</v>
      </c>
      <c r="Q530">
        <v>0</v>
      </c>
      <c r="R530" t="s">
        <v>678</v>
      </c>
      <c r="S530">
        <v>0</v>
      </c>
      <c r="T530">
        <v>0</v>
      </c>
      <c r="U530" t="s">
        <v>3915</v>
      </c>
      <c r="V530" t="s">
        <v>31</v>
      </c>
      <c r="W530">
        <v>0</v>
      </c>
    </row>
    <row r="531" spans="1:23" x14ac:dyDescent="0.25">
      <c r="A531" t="s">
        <v>4147</v>
      </c>
      <c r="B531" t="s">
        <v>681</v>
      </c>
      <c r="C531" t="s">
        <v>682</v>
      </c>
      <c r="D531" t="s">
        <v>4479</v>
      </c>
      <c r="E531" t="s">
        <v>27</v>
      </c>
      <c r="F531" t="s">
        <v>669</v>
      </c>
      <c r="G531" t="s">
        <v>1406</v>
      </c>
      <c r="H531" s="6">
        <v>46022</v>
      </c>
      <c r="I531" t="s">
        <v>29</v>
      </c>
      <c r="J531">
        <v>0</v>
      </c>
      <c r="K531">
        <v>0</v>
      </c>
      <c r="L531">
        <v>0</v>
      </c>
      <c r="M531">
        <v>0</v>
      </c>
      <c r="N531" t="s">
        <v>3915</v>
      </c>
      <c r="O531" t="s">
        <v>3915</v>
      </c>
      <c r="P531" t="s">
        <v>3915</v>
      </c>
      <c r="Q531">
        <v>0</v>
      </c>
      <c r="R531" t="s">
        <v>678</v>
      </c>
      <c r="S531">
        <v>0</v>
      </c>
      <c r="T531">
        <v>0</v>
      </c>
      <c r="U531" t="s">
        <v>3915</v>
      </c>
      <c r="V531" t="s">
        <v>31</v>
      </c>
      <c r="W531">
        <v>0</v>
      </c>
    </row>
    <row r="532" spans="1:23" x14ac:dyDescent="0.25">
      <c r="A532" t="s">
        <v>4148</v>
      </c>
      <c r="B532" t="s">
        <v>4149</v>
      </c>
      <c r="C532" t="s">
        <v>4150</v>
      </c>
      <c r="D532" t="s">
        <v>4479</v>
      </c>
      <c r="E532" t="s">
        <v>27</v>
      </c>
      <c r="F532" t="s">
        <v>669</v>
      </c>
      <c r="G532" t="s">
        <v>1406</v>
      </c>
      <c r="H532" s="6">
        <v>46022</v>
      </c>
      <c r="I532" t="s">
        <v>29</v>
      </c>
      <c r="J532">
        <v>0</v>
      </c>
      <c r="K532">
        <v>0</v>
      </c>
      <c r="L532">
        <v>0</v>
      </c>
      <c r="M532">
        <v>0</v>
      </c>
      <c r="N532" t="s">
        <v>3915</v>
      </c>
      <c r="O532" t="s">
        <v>3915</v>
      </c>
      <c r="P532" t="s">
        <v>3915</v>
      </c>
      <c r="Q532">
        <v>0</v>
      </c>
      <c r="R532" t="s">
        <v>678</v>
      </c>
      <c r="S532">
        <v>0</v>
      </c>
      <c r="T532">
        <v>0</v>
      </c>
      <c r="U532" t="s">
        <v>3915</v>
      </c>
      <c r="V532" t="s">
        <v>31</v>
      </c>
      <c r="W532">
        <v>0</v>
      </c>
    </row>
    <row r="533" spans="1:23" x14ac:dyDescent="0.25">
      <c r="A533" t="s">
        <v>4151</v>
      </c>
      <c r="B533" t="s">
        <v>685</v>
      </c>
      <c r="C533" t="s">
        <v>686</v>
      </c>
      <c r="D533" t="s">
        <v>4479</v>
      </c>
      <c r="E533" t="s">
        <v>27</v>
      </c>
      <c r="F533" t="s">
        <v>669</v>
      </c>
      <c r="G533" t="s">
        <v>1406</v>
      </c>
      <c r="H533" s="6">
        <v>46022</v>
      </c>
      <c r="I533" t="s">
        <v>29</v>
      </c>
      <c r="J533">
        <v>0</v>
      </c>
      <c r="K533">
        <v>0</v>
      </c>
      <c r="L533">
        <v>0</v>
      </c>
      <c r="M533">
        <v>0</v>
      </c>
      <c r="N533" t="s">
        <v>3915</v>
      </c>
      <c r="O533" t="s">
        <v>3915</v>
      </c>
      <c r="P533" t="s">
        <v>3915</v>
      </c>
      <c r="Q533">
        <v>0</v>
      </c>
      <c r="R533" t="s">
        <v>30</v>
      </c>
      <c r="S533">
        <v>0</v>
      </c>
      <c r="T533">
        <v>0</v>
      </c>
      <c r="U533" t="s">
        <v>3915</v>
      </c>
      <c r="V533" t="s">
        <v>31</v>
      </c>
      <c r="W533">
        <v>0</v>
      </c>
    </row>
    <row r="534" spans="1:23" x14ac:dyDescent="0.25">
      <c r="A534" t="s">
        <v>5290</v>
      </c>
      <c r="B534" t="s">
        <v>2094</v>
      </c>
      <c r="C534" t="s">
        <v>2093</v>
      </c>
      <c r="D534" t="s">
        <v>4479</v>
      </c>
      <c r="E534" t="s">
        <v>27</v>
      </c>
      <c r="F534" t="s">
        <v>669</v>
      </c>
      <c r="G534" t="s">
        <v>1406</v>
      </c>
      <c r="H534" s="6">
        <v>46022</v>
      </c>
      <c r="I534" t="s">
        <v>29</v>
      </c>
      <c r="J534">
        <v>3</v>
      </c>
      <c r="K534">
        <v>0</v>
      </c>
      <c r="L534">
        <v>0</v>
      </c>
      <c r="M534">
        <v>0</v>
      </c>
      <c r="N534" t="s">
        <v>3915</v>
      </c>
      <c r="O534" t="s">
        <v>3915</v>
      </c>
      <c r="P534" t="s">
        <v>3915</v>
      </c>
      <c r="Q534">
        <v>0</v>
      </c>
      <c r="R534" t="s">
        <v>2095</v>
      </c>
      <c r="S534">
        <v>0</v>
      </c>
      <c r="T534">
        <v>0</v>
      </c>
      <c r="U534" t="s">
        <v>3915</v>
      </c>
      <c r="V534" t="s">
        <v>31</v>
      </c>
      <c r="W534">
        <v>0</v>
      </c>
    </row>
    <row r="535" spans="1:23" x14ac:dyDescent="0.25">
      <c r="A535" t="s">
        <v>5291</v>
      </c>
      <c r="B535" t="s">
        <v>2097</v>
      </c>
      <c r="C535" t="s">
        <v>2096</v>
      </c>
      <c r="D535" t="s">
        <v>4479</v>
      </c>
      <c r="E535" t="s">
        <v>27</v>
      </c>
      <c r="F535" t="s">
        <v>669</v>
      </c>
      <c r="G535" t="s">
        <v>1406</v>
      </c>
      <c r="H535" s="6">
        <v>46022</v>
      </c>
      <c r="I535" t="s">
        <v>29</v>
      </c>
      <c r="J535">
        <v>91</v>
      </c>
      <c r="K535">
        <v>0</v>
      </c>
      <c r="L535">
        <v>0</v>
      </c>
      <c r="M535">
        <v>0</v>
      </c>
      <c r="N535" t="s">
        <v>3915</v>
      </c>
      <c r="O535" t="s">
        <v>3915</v>
      </c>
      <c r="P535" t="s">
        <v>3915</v>
      </c>
      <c r="Q535">
        <v>0</v>
      </c>
      <c r="R535" t="s">
        <v>30</v>
      </c>
      <c r="S535">
        <v>0</v>
      </c>
      <c r="T535">
        <v>0</v>
      </c>
      <c r="U535" t="s">
        <v>3915</v>
      </c>
      <c r="V535" t="s">
        <v>31</v>
      </c>
      <c r="W535">
        <v>0</v>
      </c>
    </row>
    <row r="536" spans="1:23" x14ac:dyDescent="0.25">
      <c r="A536" t="s">
        <v>5292</v>
      </c>
      <c r="B536" t="s">
        <v>2099</v>
      </c>
      <c r="C536" t="s">
        <v>2098</v>
      </c>
      <c r="D536" t="s">
        <v>4479</v>
      </c>
      <c r="E536" t="s">
        <v>27</v>
      </c>
      <c r="F536" t="s">
        <v>669</v>
      </c>
      <c r="G536" t="s">
        <v>1406</v>
      </c>
      <c r="H536" s="6">
        <v>46022</v>
      </c>
      <c r="I536" t="s">
        <v>29</v>
      </c>
      <c r="J536">
        <v>108</v>
      </c>
      <c r="K536">
        <v>0</v>
      </c>
      <c r="L536">
        <v>0</v>
      </c>
      <c r="M536">
        <v>0</v>
      </c>
      <c r="N536" t="s">
        <v>3915</v>
      </c>
      <c r="O536" t="s">
        <v>3915</v>
      </c>
      <c r="P536" t="s">
        <v>3915</v>
      </c>
      <c r="Q536">
        <v>0</v>
      </c>
      <c r="R536" t="s">
        <v>30</v>
      </c>
      <c r="S536">
        <v>0</v>
      </c>
      <c r="T536">
        <v>0</v>
      </c>
      <c r="U536" t="s">
        <v>3915</v>
      </c>
      <c r="V536" t="s">
        <v>31</v>
      </c>
      <c r="W536">
        <v>0</v>
      </c>
    </row>
    <row r="537" spans="1:23" x14ac:dyDescent="0.25">
      <c r="A537" t="s">
        <v>5293</v>
      </c>
      <c r="B537" t="s">
        <v>2101</v>
      </c>
      <c r="C537" t="s">
        <v>2100</v>
      </c>
      <c r="D537" t="s">
        <v>4479</v>
      </c>
      <c r="E537" t="s">
        <v>27</v>
      </c>
      <c r="F537" t="s">
        <v>669</v>
      </c>
      <c r="G537" t="s">
        <v>1406</v>
      </c>
      <c r="H537" s="6">
        <v>46022</v>
      </c>
      <c r="I537" t="s">
        <v>29</v>
      </c>
      <c r="J537">
        <v>237</v>
      </c>
      <c r="K537">
        <v>0</v>
      </c>
      <c r="L537">
        <v>0</v>
      </c>
      <c r="M537">
        <v>0</v>
      </c>
      <c r="N537" t="s">
        <v>3915</v>
      </c>
      <c r="O537" t="s">
        <v>3915</v>
      </c>
      <c r="P537" t="s">
        <v>3915</v>
      </c>
      <c r="Q537">
        <v>0</v>
      </c>
      <c r="R537" t="s">
        <v>30</v>
      </c>
      <c r="S537">
        <v>0</v>
      </c>
      <c r="T537">
        <v>0</v>
      </c>
      <c r="U537" t="s">
        <v>3915</v>
      </c>
      <c r="V537" t="s">
        <v>31</v>
      </c>
      <c r="W537">
        <v>0</v>
      </c>
    </row>
    <row r="538" spans="1:23" x14ac:dyDescent="0.25">
      <c r="A538" t="s">
        <v>5294</v>
      </c>
      <c r="B538" t="s">
        <v>2103</v>
      </c>
      <c r="C538" t="s">
        <v>2102</v>
      </c>
      <c r="D538" t="s">
        <v>4479</v>
      </c>
      <c r="E538" t="s">
        <v>27</v>
      </c>
      <c r="F538" t="s">
        <v>669</v>
      </c>
      <c r="G538" t="s">
        <v>1406</v>
      </c>
      <c r="H538" s="6">
        <v>46022</v>
      </c>
      <c r="I538" t="s">
        <v>29</v>
      </c>
      <c r="J538">
        <v>238</v>
      </c>
      <c r="K538">
        <v>0</v>
      </c>
      <c r="L538">
        <v>0</v>
      </c>
      <c r="M538">
        <v>0</v>
      </c>
      <c r="N538" t="s">
        <v>3915</v>
      </c>
      <c r="O538" t="s">
        <v>3915</v>
      </c>
      <c r="P538" t="s">
        <v>3915</v>
      </c>
      <c r="Q538">
        <v>0</v>
      </c>
      <c r="R538" t="s">
        <v>30</v>
      </c>
      <c r="S538">
        <v>0</v>
      </c>
      <c r="T538">
        <v>0</v>
      </c>
      <c r="U538" t="s">
        <v>3915</v>
      </c>
      <c r="V538" t="s">
        <v>31</v>
      </c>
      <c r="W538">
        <v>0</v>
      </c>
    </row>
    <row r="539" spans="1:23" x14ac:dyDescent="0.25">
      <c r="A539" t="s">
        <v>4152</v>
      </c>
      <c r="B539" t="s">
        <v>687</v>
      </c>
      <c r="C539" t="s">
        <v>688</v>
      </c>
      <c r="D539" t="s">
        <v>4479</v>
      </c>
      <c r="E539" t="s">
        <v>27</v>
      </c>
      <c r="F539" t="s">
        <v>669</v>
      </c>
      <c r="G539" t="s">
        <v>1406</v>
      </c>
      <c r="H539" s="6">
        <v>46022</v>
      </c>
      <c r="I539" t="s">
        <v>29</v>
      </c>
      <c r="J539">
        <v>0</v>
      </c>
      <c r="K539">
        <v>0</v>
      </c>
      <c r="L539">
        <v>0</v>
      </c>
      <c r="M539">
        <v>0</v>
      </c>
      <c r="N539" t="s">
        <v>3915</v>
      </c>
      <c r="O539" t="s">
        <v>3915</v>
      </c>
      <c r="P539" t="s">
        <v>3915</v>
      </c>
      <c r="Q539">
        <v>0</v>
      </c>
      <c r="R539" t="s">
        <v>30</v>
      </c>
      <c r="S539">
        <v>0</v>
      </c>
      <c r="T539">
        <v>0</v>
      </c>
      <c r="U539" t="s">
        <v>3915</v>
      </c>
      <c r="V539" t="s">
        <v>31</v>
      </c>
      <c r="W539">
        <v>0</v>
      </c>
    </row>
    <row r="540" spans="1:23" x14ac:dyDescent="0.25">
      <c r="A540" t="s">
        <v>5028</v>
      </c>
      <c r="B540" t="s">
        <v>2105</v>
      </c>
      <c r="C540" t="s">
        <v>2104</v>
      </c>
      <c r="D540" t="s">
        <v>4479</v>
      </c>
      <c r="E540" t="s">
        <v>27</v>
      </c>
      <c r="F540" t="s">
        <v>669</v>
      </c>
      <c r="G540" t="s">
        <v>1406</v>
      </c>
      <c r="H540" s="6">
        <v>46022</v>
      </c>
      <c r="I540" t="s">
        <v>29</v>
      </c>
      <c r="J540">
        <v>24</v>
      </c>
      <c r="K540">
        <v>0</v>
      </c>
      <c r="L540">
        <v>0</v>
      </c>
      <c r="M540">
        <v>0</v>
      </c>
      <c r="N540" t="s">
        <v>3915</v>
      </c>
      <c r="O540" t="s">
        <v>3915</v>
      </c>
      <c r="P540" t="s">
        <v>3915</v>
      </c>
      <c r="Q540">
        <v>0</v>
      </c>
      <c r="R540" t="s">
        <v>30</v>
      </c>
      <c r="S540">
        <v>0</v>
      </c>
      <c r="T540">
        <v>0</v>
      </c>
      <c r="U540" t="s">
        <v>3915</v>
      </c>
      <c r="V540" t="s">
        <v>31</v>
      </c>
      <c r="W540">
        <v>0</v>
      </c>
    </row>
    <row r="541" spans="1:23" x14ac:dyDescent="0.25">
      <c r="A541" t="s">
        <v>5295</v>
      </c>
      <c r="B541" t="s">
        <v>2107</v>
      </c>
      <c r="C541" t="s">
        <v>2106</v>
      </c>
      <c r="D541" t="s">
        <v>4479</v>
      </c>
      <c r="E541" t="s">
        <v>27</v>
      </c>
      <c r="F541" t="s">
        <v>669</v>
      </c>
      <c r="G541" t="s">
        <v>1406</v>
      </c>
      <c r="H541" s="6">
        <v>46022</v>
      </c>
      <c r="I541" t="s">
        <v>29</v>
      </c>
      <c r="J541">
        <v>5</v>
      </c>
      <c r="K541">
        <v>0</v>
      </c>
      <c r="L541">
        <v>0</v>
      </c>
      <c r="M541">
        <v>0</v>
      </c>
      <c r="N541" t="s">
        <v>3915</v>
      </c>
      <c r="O541" t="s">
        <v>3915</v>
      </c>
      <c r="P541" t="s">
        <v>3915</v>
      </c>
      <c r="Q541">
        <v>0</v>
      </c>
      <c r="R541" t="s">
        <v>30</v>
      </c>
      <c r="S541">
        <v>0</v>
      </c>
      <c r="T541">
        <v>0</v>
      </c>
      <c r="U541" t="s">
        <v>3915</v>
      </c>
      <c r="V541" t="s">
        <v>31</v>
      </c>
      <c r="W541">
        <v>0</v>
      </c>
    </row>
    <row r="542" spans="1:23" x14ac:dyDescent="0.25">
      <c r="A542" t="s">
        <v>5296</v>
      </c>
      <c r="B542" t="s">
        <v>2109</v>
      </c>
      <c r="C542" t="s">
        <v>2108</v>
      </c>
      <c r="D542" t="s">
        <v>4479</v>
      </c>
      <c r="E542" t="s">
        <v>27</v>
      </c>
      <c r="F542" t="s">
        <v>669</v>
      </c>
      <c r="G542" t="s">
        <v>1406</v>
      </c>
      <c r="H542" s="6">
        <v>46022</v>
      </c>
      <c r="I542" t="s">
        <v>29</v>
      </c>
      <c r="J542">
        <v>67</v>
      </c>
      <c r="K542">
        <v>0</v>
      </c>
      <c r="L542">
        <v>0</v>
      </c>
      <c r="M542">
        <v>0</v>
      </c>
      <c r="N542" t="s">
        <v>3915</v>
      </c>
      <c r="O542" t="s">
        <v>3915</v>
      </c>
      <c r="P542" t="s">
        <v>3915</v>
      </c>
      <c r="Q542">
        <v>0</v>
      </c>
      <c r="R542" t="s">
        <v>30</v>
      </c>
      <c r="S542">
        <v>0</v>
      </c>
      <c r="T542">
        <v>0</v>
      </c>
      <c r="U542" t="s">
        <v>3915</v>
      </c>
      <c r="V542" t="s">
        <v>31</v>
      </c>
      <c r="W542">
        <v>0</v>
      </c>
    </row>
    <row r="543" spans="1:23" x14ac:dyDescent="0.25">
      <c r="A543" t="s">
        <v>4153</v>
      </c>
      <c r="B543" t="s">
        <v>689</v>
      </c>
      <c r="C543" t="s">
        <v>690</v>
      </c>
      <c r="D543" t="s">
        <v>4479</v>
      </c>
      <c r="E543" t="s">
        <v>27</v>
      </c>
      <c r="F543" t="s">
        <v>669</v>
      </c>
      <c r="G543" t="s">
        <v>1406</v>
      </c>
      <c r="H543" s="6">
        <v>46022</v>
      </c>
      <c r="I543" t="s">
        <v>29</v>
      </c>
      <c r="J543">
        <v>201</v>
      </c>
      <c r="K543">
        <v>0</v>
      </c>
      <c r="L543">
        <v>0</v>
      </c>
      <c r="M543">
        <v>0</v>
      </c>
      <c r="N543" t="s">
        <v>3915</v>
      </c>
      <c r="O543" t="s">
        <v>3915</v>
      </c>
      <c r="P543" t="s">
        <v>3915</v>
      </c>
      <c r="Q543">
        <v>0</v>
      </c>
      <c r="R543" t="s">
        <v>30</v>
      </c>
      <c r="S543">
        <v>0</v>
      </c>
      <c r="T543">
        <v>0</v>
      </c>
      <c r="U543" t="s">
        <v>3915</v>
      </c>
      <c r="V543" t="s">
        <v>31</v>
      </c>
      <c r="W543">
        <v>0</v>
      </c>
    </row>
    <row r="544" spans="1:23" x14ac:dyDescent="0.25">
      <c r="A544" t="s">
        <v>4154</v>
      </c>
      <c r="B544" t="s">
        <v>691</v>
      </c>
      <c r="C544" t="s">
        <v>692</v>
      </c>
      <c r="D544" t="s">
        <v>4479</v>
      </c>
      <c r="E544" t="s">
        <v>27</v>
      </c>
      <c r="F544" t="s">
        <v>669</v>
      </c>
      <c r="G544" t="s">
        <v>1406</v>
      </c>
      <c r="H544" s="6">
        <v>46022</v>
      </c>
      <c r="I544" t="s">
        <v>29</v>
      </c>
      <c r="J544">
        <v>4</v>
      </c>
      <c r="K544">
        <v>0</v>
      </c>
      <c r="L544">
        <v>0</v>
      </c>
      <c r="M544">
        <v>0</v>
      </c>
      <c r="N544" t="s">
        <v>3915</v>
      </c>
      <c r="O544" t="s">
        <v>3915</v>
      </c>
      <c r="P544" t="s">
        <v>3915</v>
      </c>
      <c r="Q544">
        <v>0</v>
      </c>
      <c r="R544" t="s">
        <v>30</v>
      </c>
      <c r="S544">
        <v>0</v>
      </c>
      <c r="T544">
        <v>0</v>
      </c>
      <c r="U544" t="s">
        <v>3915</v>
      </c>
      <c r="V544" t="s">
        <v>31</v>
      </c>
      <c r="W544">
        <v>0</v>
      </c>
    </row>
    <row r="545" spans="1:23" x14ac:dyDescent="0.25">
      <c r="A545" t="s">
        <v>5297</v>
      </c>
      <c r="B545" t="s">
        <v>2111</v>
      </c>
      <c r="C545" t="s">
        <v>2110</v>
      </c>
      <c r="D545" t="s">
        <v>4479</v>
      </c>
      <c r="E545" t="s">
        <v>27</v>
      </c>
      <c r="F545" t="s">
        <v>669</v>
      </c>
      <c r="G545" t="s">
        <v>1406</v>
      </c>
      <c r="H545" s="6">
        <v>46022</v>
      </c>
      <c r="I545" t="s">
        <v>29</v>
      </c>
      <c r="J545">
        <v>117</v>
      </c>
      <c r="K545">
        <v>0</v>
      </c>
      <c r="L545">
        <v>0</v>
      </c>
      <c r="M545">
        <v>0</v>
      </c>
      <c r="N545" t="s">
        <v>3915</v>
      </c>
      <c r="O545" t="s">
        <v>3915</v>
      </c>
      <c r="P545" t="s">
        <v>3915</v>
      </c>
      <c r="Q545">
        <v>0</v>
      </c>
      <c r="R545" t="s">
        <v>30</v>
      </c>
      <c r="S545">
        <v>0</v>
      </c>
      <c r="T545">
        <v>0</v>
      </c>
      <c r="U545" t="s">
        <v>3915</v>
      </c>
      <c r="V545" t="s">
        <v>31</v>
      </c>
      <c r="W545">
        <v>0</v>
      </c>
    </row>
    <row r="546" spans="1:23" x14ac:dyDescent="0.25">
      <c r="A546" t="s">
        <v>4155</v>
      </c>
      <c r="B546" t="s">
        <v>693</v>
      </c>
      <c r="C546" t="s">
        <v>694</v>
      </c>
      <c r="D546" t="s">
        <v>4479</v>
      </c>
      <c r="E546" t="s">
        <v>27</v>
      </c>
      <c r="F546" t="s">
        <v>669</v>
      </c>
      <c r="G546" t="s">
        <v>1406</v>
      </c>
      <c r="H546" s="6">
        <v>46022</v>
      </c>
      <c r="I546" t="s">
        <v>29</v>
      </c>
      <c r="J546">
        <v>5</v>
      </c>
      <c r="K546">
        <v>0</v>
      </c>
      <c r="L546">
        <v>0</v>
      </c>
      <c r="M546">
        <v>0</v>
      </c>
      <c r="N546" t="s">
        <v>3915</v>
      </c>
      <c r="O546" t="s">
        <v>3915</v>
      </c>
      <c r="P546" t="s">
        <v>3915</v>
      </c>
      <c r="Q546">
        <v>0</v>
      </c>
      <c r="R546" t="s">
        <v>30</v>
      </c>
      <c r="S546">
        <v>0</v>
      </c>
      <c r="T546">
        <v>0</v>
      </c>
      <c r="U546" t="s">
        <v>3915</v>
      </c>
      <c r="V546" t="s">
        <v>31</v>
      </c>
      <c r="W546">
        <v>0</v>
      </c>
    </row>
    <row r="547" spans="1:23" x14ac:dyDescent="0.25">
      <c r="A547" t="s">
        <v>4156</v>
      </c>
      <c r="B547" t="s">
        <v>695</v>
      </c>
      <c r="C547" t="s">
        <v>696</v>
      </c>
      <c r="D547" t="s">
        <v>4479</v>
      </c>
      <c r="E547" t="s">
        <v>27</v>
      </c>
      <c r="F547" t="s">
        <v>669</v>
      </c>
      <c r="G547" t="s">
        <v>1406</v>
      </c>
      <c r="H547" s="6">
        <v>46022</v>
      </c>
      <c r="I547" t="s">
        <v>29</v>
      </c>
      <c r="J547">
        <v>147</v>
      </c>
      <c r="K547">
        <v>0</v>
      </c>
      <c r="L547">
        <v>0</v>
      </c>
      <c r="M547">
        <v>0</v>
      </c>
      <c r="N547" t="s">
        <v>3915</v>
      </c>
      <c r="O547" t="s">
        <v>3915</v>
      </c>
      <c r="P547" t="s">
        <v>3915</v>
      </c>
      <c r="Q547">
        <v>0</v>
      </c>
      <c r="R547" t="s">
        <v>30</v>
      </c>
      <c r="S547">
        <v>0</v>
      </c>
      <c r="T547">
        <v>0</v>
      </c>
      <c r="U547" t="s">
        <v>3915</v>
      </c>
      <c r="V547" t="s">
        <v>31</v>
      </c>
      <c r="W547">
        <v>0</v>
      </c>
    </row>
    <row r="548" spans="1:23" x14ac:dyDescent="0.25">
      <c r="A548" t="s">
        <v>4157</v>
      </c>
      <c r="B548" t="s">
        <v>697</v>
      </c>
      <c r="C548" t="s">
        <v>698</v>
      </c>
      <c r="D548" t="s">
        <v>4479</v>
      </c>
      <c r="E548" t="s">
        <v>27</v>
      </c>
      <c r="F548" t="s">
        <v>669</v>
      </c>
      <c r="G548" t="s">
        <v>1406</v>
      </c>
      <c r="H548" s="6">
        <v>46022</v>
      </c>
      <c r="I548" t="s">
        <v>29</v>
      </c>
      <c r="J548">
        <v>70</v>
      </c>
      <c r="K548">
        <v>0</v>
      </c>
      <c r="L548">
        <v>0</v>
      </c>
      <c r="M548">
        <v>0</v>
      </c>
      <c r="N548" t="s">
        <v>3915</v>
      </c>
      <c r="O548" t="s">
        <v>3915</v>
      </c>
      <c r="P548" t="s">
        <v>3915</v>
      </c>
      <c r="Q548">
        <v>0</v>
      </c>
      <c r="R548" t="s">
        <v>30</v>
      </c>
      <c r="S548">
        <v>0</v>
      </c>
      <c r="T548">
        <v>0</v>
      </c>
      <c r="U548" t="s">
        <v>3915</v>
      </c>
      <c r="V548" t="s">
        <v>31</v>
      </c>
      <c r="W548">
        <v>0</v>
      </c>
    </row>
    <row r="549" spans="1:23" x14ac:dyDescent="0.25">
      <c r="A549" t="s">
        <v>5298</v>
      </c>
      <c r="B549" t="s">
        <v>1466</v>
      </c>
      <c r="C549" t="s">
        <v>1465</v>
      </c>
      <c r="D549" t="s">
        <v>4479</v>
      </c>
      <c r="E549" t="s">
        <v>27</v>
      </c>
      <c r="F549" t="s">
        <v>669</v>
      </c>
      <c r="G549" t="s">
        <v>1406</v>
      </c>
      <c r="H549" s="6">
        <v>46022</v>
      </c>
      <c r="I549" t="s">
        <v>29</v>
      </c>
      <c r="J549">
        <v>83</v>
      </c>
      <c r="K549">
        <v>0</v>
      </c>
      <c r="L549">
        <v>0</v>
      </c>
      <c r="M549">
        <v>0</v>
      </c>
      <c r="N549" t="s">
        <v>3915</v>
      </c>
      <c r="O549" t="s">
        <v>3915</v>
      </c>
      <c r="P549" t="s">
        <v>3915</v>
      </c>
      <c r="Q549">
        <v>0</v>
      </c>
      <c r="R549" t="s">
        <v>30</v>
      </c>
      <c r="S549">
        <v>0</v>
      </c>
      <c r="T549">
        <v>0</v>
      </c>
      <c r="U549" t="s">
        <v>3915</v>
      </c>
      <c r="V549" t="s">
        <v>31</v>
      </c>
      <c r="W549">
        <v>0</v>
      </c>
    </row>
    <row r="550" spans="1:23" x14ac:dyDescent="0.25">
      <c r="A550" t="s">
        <v>5299</v>
      </c>
      <c r="B550" t="s">
        <v>2113</v>
      </c>
      <c r="C550" t="s">
        <v>2112</v>
      </c>
      <c r="D550" t="s">
        <v>4479</v>
      </c>
      <c r="E550" t="s">
        <v>27</v>
      </c>
      <c r="F550" t="s">
        <v>669</v>
      </c>
      <c r="G550" t="s">
        <v>1406</v>
      </c>
      <c r="H550" s="6">
        <v>46022</v>
      </c>
      <c r="I550" t="s">
        <v>29</v>
      </c>
      <c r="J550">
        <v>98</v>
      </c>
      <c r="K550">
        <v>0</v>
      </c>
      <c r="L550">
        <v>0</v>
      </c>
      <c r="M550">
        <v>0</v>
      </c>
      <c r="N550" t="s">
        <v>3915</v>
      </c>
      <c r="O550" t="s">
        <v>3915</v>
      </c>
      <c r="P550" t="s">
        <v>3915</v>
      </c>
      <c r="Q550">
        <v>0</v>
      </c>
      <c r="R550" t="s">
        <v>30</v>
      </c>
      <c r="S550">
        <v>0</v>
      </c>
      <c r="T550">
        <v>0</v>
      </c>
      <c r="U550" t="s">
        <v>3915</v>
      </c>
      <c r="V550" t="s">
        <v>31</v>
      </c>
      <c r="W550">
        <v>0</v>
      </c>
    </row>
    <row r="551" spans="1:23" x14ac:dyDescent="0.25">
      <c r="A551" t="s">
        <v>5300</v>
      </c>
      <c r="B551" t="s">
        <v>2115</v>
      </c>
      <c r="C551" t="s">
        <v>2114</v>
      </c>
      <c r="D551" t="s">
        <v>4479</v>
      </c>
      <c r="E551" t="s">
        <v>27</v>
      </c>
      <c r="F551" t="s">
        <v>669</v>
      </c>
      <c r="G551" t="s">
        <v>1406</v>
      </c>
      <c r="H551" s="6">
        <v>46022</v>
      </c>
      <c r="I551" t="s">
        <v>29</v>
      </c>
      <c r="J551">
        <v>40</v>
      </c>
      <c r="K551">
        <v>0</v>
      </c>
      <c r="L551">
        <v>0</v>
      </c>
      <c r="M551">
        <v>0</v>
      </c>
      <c r="N551" t="s">
        <v>3915</v>
      </c>
      <c r="O551" t="s">
        <v>3915</v>
      </c>
      <c r="P551" t="s">
        <v>3915</v>
      </c>
      <c r="Q551">
        <v>0</v>
      </c>
      <c r="R551" t="s">
        <v>30</v>
      </c>
      <c r="S551">
        <v>0</v>
      </c>
      <c r="T551">
        <v>0</v>
      </c>
      <c r="U551" t="s">
        <v>3915</v>
      </c>
      <c r="V551" t="s">
        <v>31</v>
      </c>
      <c r="W551">
        <v>0</v>
      </c>
    </row>
    <row r="552" spans="1:23" x14ac:dyDescent="0.25">
      <c r="A552" t="s">
        <v>5301</v>
      </c>
      <c r="B552" t="s">
        <v>2117</v>
      </c>
      <c r="C552" t="s">
        <v>2116</v>
      </c>
      <c r="D552" t="s">
        <v>4479</v>
      </c>
      <c r="E552" t="s">
        <v>27</v>
      </c>
      <c r="F552" t="s">
        <v>669</v>
      </c>
      <c r="G552" t="s">
        <v>1406</v>
      </c>
      <c r="H552" s="6">
        <v>46022</v>
      </c>
      <c r="I552" t="s">
        <v>29</v>
      </c>
      <c r="J552">
        <v>100</v>
      </c>
      <c r="K552">
        <v>0</v>
      </c>
      <c r="L552">
        <v>0</v>
      </c>
      <c r="M552">
        <v>0</v>
      </c>
      <c r="N552" t="s">
        <v>3915</v>
      </c>
      <c r="O552" t="s">
        <v>3915</v>
      </c>
      <c r="P552" t="s">
        <v>3915</v>
      </c>
      <c r="Q552">
        <v>0</v>
      </c>
      <c r="R552" t="s">
        <v>30</v>
      </c>
      <c r="S552">
        <v>0</v>
      </c>
      <c r="T552">
        <v>0</v>
      </c>
      <c r="U552" t="s">
        <v>3915</v>
      </c>
      <c r="V552" t="s">
        <v>31</v>
      </c>
      <c r="W552">
        <v>0</v>
      </c>
    </row>
    <row r="553" spans="1:23" x14ac:dyDescent="0.25">
      <c r="A553" t="s">
        <v>5302</v>
      </c>
      <c r="B553" t="s">
        <v>2119</v>
      </c>
      <c r="C553" t="s">
        <v>2118</v>
      </c>
      <c r="D553" t="s">
        <v>4479</v>
      </c>
      <c r="E553" t="s">
        <v>27</v>
      </c>
      <c r="F553" t="s">
        <v>669</v>
      </c>
      <c r="G553" t="s">
        <v>1406</v>
      </c>
      <c r="H553" s="6">
        <v>46022</v>
      </c>
      <c r="I553" t="s">
        <v>29</v>
      </c>
      <c r="J553">
        <v>100</v>
      </c>
      <c r="K553">
        <v>0</v>
      </c>
      <c r="L553">
        <v>0</v>
      </c>
      <c r="M553">
        <v>0</v>
      </c>
      <c r="N553" t="s">
        <v>3915</v>
      </c>
      <c r="O553" t="s">
        <v>3915</v>
      </c>
      <c r="P553" t="s">
        <v>3915</v>
      </c>
      <c r="Q553">
        <v>0</v>
      </c>
      <c r="R553" t="s">
        <v>30</v>
      </c>
      <c r="S553">
        <v>0</v>
      </c>
      <c r="T553">
        <v>0</v>
      </c>
      <c r="U553" t="s">
        <v>3915</v>
      </c>
      <c r="V553" t="s">
        <v>31</v>
      </c>
      <c r="W553">
        <v>0</v>
      </c>
    </row>
    <row r="554" spans="1:23" x14ac:dyDescent="0.25">
      <c r="A554" t="s">
        <v>5303</v>
      </c>
      <c r="B554" t="s">
        <v>2121</v>
      </c>
      <c r="C554" t="s">
        <v>2120</v>
      </c>
      <c r="D554" t="s">
        <v>4479</v>
      </c>
      <c r="E554" t="s">
        <v>27</v>
      </c>
      <c r="F554" t="s">
        <v>669</v>
      </c>
      <c r="G554" t="s">
        <v>1406</v>
      </c>
      <c r="H554" s="6">
        <v>46022</v>
      </c>
      <c r="I554" t="s">
        <v>29</v>
      </c>
      <c r="J554">
        <v>23</v>
      </c>
      <c r="K554">
        <v>0</v>
      </c>
      <c r="L554">
        <v>0</v>
      </c>
      <c r="M554">
        <v>0</v>
      </c>
      <c r="N554" t="s">
        <v>3915</v>
      </c>
      <c r="O554" t="s">
        <v>3915</v>
      </c>
      <c r="P554" t="s">
        <v>3915</v>
      </c>
      <c r="Q554">
        <v>0</v>
      </c>
      <c r="R554" t="s">
        <v>30</v>
      </c>
      <c r="S554">
        <v>0</v>
      </c>
      <c r="T554">
        <v>0</v>
      </c>
      <c r="U554" t="s">
        <v>3915</v>
      </c>
      <c r="V554" t="s">
        <v>31</v>
      </c>
      <c r="W554">
        <v>0</v>
      </c>
    </row>
    <row r="555" spans="1:23" x14ac:dyDescent="0.25">
      <c r="A555" t="s">
        <v>5304</v>
      </c>
      <c r="B555" t="s">
        <v>2123</v>
      </c>
      <c r="C555" t="s">
        <v>2122</v>
      </c>
      <c r="D555" t="s">
        <v>4479</v>
      </c>
      <c r="E555" t="s">
        <v>27</v>
      </c>
      <c r="F555" t="s">
        <v>669</v>
      </c>
      <c r="G555" t="s">
        <v>1406</v>
      </c>
      <c r="H555" s="6">
        <v>46022</v>
      </c>
      <c r="I555" t="s">
        <v>29</v>
      </c>
      <c r="J555">
        <v>112</v>
      </c>
      <c r="K555">
        <v>0</v>
      </c>
      <c r="L555">
        <v>0</v>
      </c>
      <c r="M555">
        <v>0</v>
      </c>
      <c r="N555" t="s">
        <v>3915</v>
      </c>
      <c r="O555" t="s">
        <v>3915</v>
      </c>
      <c r="P555" t="s">
        <v>3915</v>
      </c>
      <c r="Q555">
        <v>0</v>
      </c>
      <c r="R555" t="s">
        <v>30</v>
      </c>
      <c r="S555">
        <v>0</v>
      </c>
      <c r="T555">
        <v>0</v>
      </c>
      <c r="U555" t="s">
        <v>3915</v>
      </c>
      <c r="V555" t="s">
        <v>31</v>
      </c>
      <c r="W555">
        <v>0</v>
      </c>
    </row>
    <row r="556" spans="1:23" x14ac:dyDescent="0.25">
      <c r="A556" t="s">
        <v>5305</v>
      </c>
      <c r="B556" t="s">
        <v>1468</v>
      </c>
      <c r="C556" t="s">
        <v>1467</v>
      </c>
      <c r="D556" t="s">
        <v>4479</v>
      </c>
      <c r="E556" t="s">
        <v>27</v>
      </c>
      <c r="F556" t="s">
        <v>669</v>
      </c>
      <c r="G556" t="s">
        <v>1406</v>
      </c>
      <c r="H556" s="6">
        <v>46022</v>
      </c>
      <c r="I556" t="s">
        <v>29</v>
      </c>
      <c r="J556">
        <v>404</v>
      </c>
      <c r="K556">
        <v>0</v>
      </c>
      <c r="L556">
        <v>0</v>
      </c>
      <c r="M556">
        <v>0</v>
      </c>
      <c r="N556" t="s">
        <v>3915</v>
      </c>
      <c r="O556" t="s">
        <v>3915</v>
      </c>
      <c r="P556" t="s">
        <v>3915</v>
      </c>
      <c r="Q556">
        <v>0</v>
      </c>
      <c r="R556" t="s">
        <v>30</v>
      </c>
      <c r="S556">
        <v>0</v>
      </c>
      <c r="T556">
        <v>0</v>
      </c>
      <c r="U556" t="s">
        <v>3915</v>
      </c>
      <c r="V556" t="s">
        <v>31</v>
      </c>
      <c r="W556">
        <v>0</v>
      </c>
    </row>
    <row r="557" spans="1:23" x14ac:dyDescent="0.25">
      <c r="A557" t="s">
        <v>5306</v>
      </c>
      <c r="B557" t="s">
        <v>1470</v>
      </c>
      <c r="C557" t="s">
        <v>1469</v>
      </c>
      <c r="D557" t="s">
        <v>4479</v>
      </c>
      <c r="E557" t="s">
        <v>27</v>
      </c>
      <c r="F557" t="s">
        <v>669</v>
      </c>
      <c r="G557" t="s">
        <v>1406</v>
      </c>
      <c r="H557" s="6">
        <v>46022</v>
      </c>
      <c r="I557" t="s">
        <v>29</v>
      </c>
      <c r="J557">
        <v>570</v>
      </c>
      <c r="K557">
        <v>0</v>
      </c>
      <c r="L557">
        <v>0</v>
      </c>
      <c r="M557">
        <v>0</v>
      </c>
      <c r="N557" t="s">
        <v>3915</v>
      </c>
      <c r="O557" t="s">
        <v>3915</v>
      </c>
      <c r="P557" t="s">
        <v>3915</v>
      </c>
      <c r="Q557">
        <v>0</v>
      </c>
      <c r="R557" t="s">
        <v>30</v>
      </c>
      <c r="S557">
        <v>0</v>
      </c>
      <c r="T557">
        <v>0</v>
      </c>
      <c r="U557" t="s">
        <v>3915</v>
      </c>
      <c r="V557" t="s">
        <v>31</v>
      </c>
      <c r="W557">
        <v>0</v>
      </c>
    </row>
    <row r="558" spans="1:23" x14ac:dyDescent="0.25">
      <c r="A558" t="s">
        <v>5307</v>
      </c>
      <c r="B558" t="s">
        <v>1472</v>
      </c>
      <c r="C558" t="s">
        <v>1471</v>
      </c>
      <c r="D558" t="s">
        <v>4479</v>
      </c>
      <c r="E558" t="s">
        <v>27</v>
      </c>
      <c r="F558" t="s">
        <v>669</v>
      </c>
      <c r="G558" t="s">
        <v>1406</v>
      </c>
      <c r="H558" s="6">
        <v>46022</v>
      </c>
      <c r="I558" t="s">
        <v>29</v>
      </c>
      <c r="J558">
        <v>12</v>
      </c>
      <c r="K558">
        <v>0</v>
      </c>
      <c r="L558">
        <v>0</v>
      </c>
      <c r="M558">
        <v>0</v>
      </c>
      <c r="N558" t="s">
        <v>3915</v>
      </c>
      <c r="O558" t="s">
        <v>3915</v>
      </c>
      <c r="P558" t="s">
        <v>3915</v>
      </c>
      <c r="Q558">
        <v>0</v>
      </c>
      <c r="R558" t="s">
        <v>30</v>
      </c>
      <c r="S558">
        <v>0</v>
      </c>
      <c r="T558">
        <v>0</v>
      </c>
      <c r="U558" t="s">
        <v>3915</v>
      </c>
      <c r="V558" t="s">
        <v>31</v>
      </c>
      <c r="W558">
        <v>0</v>
      </c>
    </row>
    <row r="559" spans="1:23" x14ac:dyDescent="0.25">
      <c r="A559" t="s">
        <v>4497</v>
      </c>
      <c r="B559" t="s">
        <v>1476</v>
      </c>
      <c r="C559" t="s">
        <v>1475</v>
      </c>
      <c r="D559" t="s">
        <v>4479</v>
      </c>
      <c r="E559" t="s">
        <v>27</v>
      </c>
      <c r="F559" t="s">
        <v>669</v>
      </c>
      <c r="G559" t="s">
        <v>1406</v>
      </c>
      <c r="H559" s="6">
        <v>46022</v>
      </c>
      <c r="I559" t="s">
        <v>29</v>
      </c>
      <c r="J559">
        <v>177</v>
      </c>
      <c r="K559">
        <v>0</v>
      </c>
      <c r="L559">
        <v>0</v>
      </c>
      <c r="M559">
        <v>0</v>
      </c>
      <c r="N559" t="s">
        <v>3915</v>
      </c>
      <c r="O559" t="s">
        <v>3915</v>
      </c>
      <c r="P559" t="s">
        <v>3915</v>
      </c>
      <c r="Q559">
        <v>0</v>
      </c>
      <c r="R559" t="s">
        <v>30</v>
      </c>
      <c r="S559">
        <v>0</v>
      </c>
      <c r="T559">
        <v>0</v>
      </c>
      <c r="U559" t="s">
        <v>3915</v>
      </c>
      <c r="V559" t="s">
        <v>31</v>
      </c>
      <c r="W559">
        <v>0</v>
      </c>
    </row>
    <row r="560" spans="1:23" x14ac:dyDescent="0.25">
      <c r="A560" t="s">
        <v>5308</v>
      </c>
      <c r="B560" t="s">
        <v>2125</v>
      </c>
      <c r="C560" t="s">
        <v>2124</v>
      </c>
      <c r="D560" t="s">
        <v>4479</v>
      </c>
      <c r="E560" t="s">
        <v>27</v>
      </c>
      <c r="F560" t="s">
        <v>669</v>
      </c>
      <c r="G560" t="s">
        <v>1406</v>
      </c>
      <c r="H560" s="6">
        <v>46022</v>
      </c>
      <c r="I560" t="s">
        <v>29</v>
      </c>
      <c r="J560">
        <v>14</v>
      </c>
      <c r="K560">
        <v>0</v>
      </c>
      <c r="L560">
        <v>0</v>
      </c>
      <c r="M560">
        <v>0</v>
      </c>
      <c r="N560" t="s">
        <v>3915</v>
      </c>
      <c r="O560" t="s">
        <v>3915</v>
      </c>
      <c r="P560" t="s">
        <v>3915</v>
      </c>
      <c r="Q560">
        <v>0</v>
      </c>
      <c r="R560" t="s">
        <v>30</v>
      </c>
      <c r="S560">
        <v>0</v>
      </c>
      <c r="T560">
        <v>0</v>
      </c>
      <c r="U560" t="s">
        <v>3915</v>
      </c>
      <c r="V560" t="s">
        <v>31</v>
      </c>
      <c r="W560">
        <v>0</v>
      </c>
    </row>
    <row r="561" spans="1:23" x14ac:dyDescent="0.25">
      <c r="A561" t="s">
        <v>5309</v>
      </c>
      <c r="B561" t="s">
        <v>1478</v>
      </c>
      <c r="C561" t="s">
        <v>1477</v>
      </c>
      <c r="D561" t="s">
        <v>4479</v>
      </c>
      <c r="E561" t="s">
        <v>27</v>
      </c>
      <c r="F561" t="s">
        <v>669</v>
      </c>
      <c r="G561" t="s">
        <v>1406</v>
      </c>
      <c r="H561" s="6">
        <v>46022</v>
      </c>
      <c r="I561" t="s">
        <v>29</v>
      </c>
      <c r="J561">
        <v>30</v>
      </c>
      <c r="K561">
        <v>0</v>
      </c>
      <c r="L561">
        <v>0</v>
      </c>
      <c r="M561">
        <v>0</v>
      </c>
      <c r="N561" t="s">
        <v>3915</v>
      </c>
      <c r="O561" t="s">
        <v>3915</v>
      </c>
      <c r="P561" t="s">
        <v>3915</v>
      </c>
      <c r="Q561">
        <v>0</v>
      </c>
      <c r="R561" t="s">
        <v>30</v>
      </c>
      <c r="S561">
        <v>0</v>
      </c>
      <c r="T561">
        <v>0</v>
      </c>
      <c r="U561" t="s">
        <v>3915</v>
      </c>
      <c r="V561" t="s">
        <v>31</v>
      </c>
      <c r="W561">
        <v>0</v>
      </c>
    </row>
    <row r="562" spans="1:23" x14ac:dyDescent="0.25">
      <c r="A562" t="s">
        <v>73</v>
      </c>
      <c r="B562" t="s">
        <v>1480</v>
      </c>
      <c r="C562" t="s">
        <v>1479</v>
      </c>
      <c r="D562" t="s">
        <v>4479</v>
      </c>
      <c r="E562" t="s">
        <v>27</v>
      </c>
      <c r="F562" t="s">
        <v>669</v>
      </c>
      <c r="G562" t="s">
        <v>1406</v>
      </c>
      <c r="H562" s="6">
        <v>46022</v>
      </c>
      <c r="I562" t="s">
        <v>29</v>
      </c>
      <c r="J562">
        <v>50</v>
      </c>
      <c r="K562">
        <v>0</v>
      </c>
      <c r="L562">
        <v>0</v>
      </c>
      <c r="M562">
        <v>0</v>
      </c>
      <c r="N562" t="s">
        <v>3915</v>
      </c>
      <c r="O562" t="s">
        <v>3915</v>
      </c>
      <c r="P562" t="s">
        <v>3915</v>
      </c>
      <c r="Q562">
        <v>0</v>
      </c>
      <c r="R562" t="s">
        <v>30</v>
      </c>
      <c r="S562">
        <v>0</v>
      </c>
      <c r="T562">
        <v>0</v>
      </c>
      <c r="U562" t="s">
        <v>3915</v>
      </c>
      <c r="V562" t="s">
        <v>31</v>
      </c>
      <c r="W562">
        <v>0</v>
      </c>
    </row>
    <row r="563" spans="1:23" x14ac:dyDescent="0.25">
      <c r="A563" t="s">
        <v>5310</v>
      </c>
      <c r="B563" t="s">
        <v>1482</v>
      </c>
      <c r="C563" t="s">
        <v>1481</v>
      </c>
      <c r="D563" t="s">
        <v>4479</v>
      </c>
      <c r="E563" t="s">
        <v>27</v>
      </c>
      <c r="F563" t="s">
        <v>669</v>
      </c>
      <c r="G563" t="s">
        <v>1406</v>
      </c>
      <c r="H563" s="6">
        <v>46022</v>
      </c>
      <c r="I563" t="s">
        <v>29</v>
      </c>
      <c r="J563">
        <v>18</v>
      </c>
      <c r="K563">
        <v>0</v>
      </c>
      <c r="L563">
        <v>0</v>
      </c>
      <c r="M563">
        <v>0</v>
      </c>
      <c r="N563" t="s">
        <v>3915</v>
      </c>
      <c r="O563" t="s">
        <v>3915</v>
      </c>
      <c r="P563" t="s">
        <v>3915</v>
      </c>
      <c r="Q563">
        <v>0</v>
      </c>
      <c r="R563" t="s">
        <v>30</v>
      </c>
      <c r="S563">
        <v>0</v>
      </c>
      <c r="T563">
        <v>0</v>
      </c>
      <c r="U563" t="s">
        <v>3915</v>
      </c>
      <c r="V563" t="s">
        <v>31</v>
      </c>
      <c r="W563">
        <v>0</v>
      </c>
    </row>
    <row r="564" spans="1:23" x14ac:dyDescent="0.25">
      <c r="A564" t="s">
        <v>5311</v>
      </c>
      <c r="B564" t="s">
        <v>1484</v>
      </c>
      <c r="C564" t="s">
        <v>1483</v>
      </c>
      <c r="D564" t="s">
        <v>4479</v>
      </c>
      <c r="E564" t="s">
        <v>27</v>
      </c>
      <c r="F564" t="s">
        <v>669</v>
      </c>
      <c r="G564" t="s">
        <v>1406</v>
      </c>
      <c r="H564" s="6">
        <v>46022</v>
      </c>
      <c r="I564" t="s">
        <v>29</v>
      </c>
      <c r="J564">
        <v>66</v>
      </c>
      <c r="K564">
        <v>0</v>
      </c>
      <c r="L564">
        <v>0</v>
      </c>
      <c r="M564">
        <v>0</v>
      </c>
      <c r="N564" t="s">
        <v>3915</v>
      </c>
      <c r="O564" t="s">
        <v>3915</v>
      </c>
      <c r="P564" t="s">
        <v>3915</v>
      </c>
      <c r="Q564">
        <v>0</v>
      </c>
      <c r="R564" t="s">
        <v>30</v>
      </c>
      <c r="S564">
        <v>0</v>
      </c>
      <c r="T564">
        <v>0</v>
      </c>
      <c r="U564" t="s">
        <v>3915</v>
      </c>
      <c r="V564" t="s">
        <v>31</v>
      </c>
      <c r="W564">
        <v>0</v>
      </c>
    </row>
    <row r="565" spans="1:23" x14ac:dyDescent="0.25">
      <c r="A565" t="s">
        <v>5312</v>
      </c>
      <c r="B565" t="s">
        <v>2127</v>
      </c>
      <c r="C565" t="s">
        <v>2126</v>
      </c>
      <c r="D565" t="s">
        <v>4479</v>
      </c>
      <c r="E565" t="s">
        <v>27</v>
      </c>
      <c r="F565" t="s">
        <v>669</v>
      </c>
      <c r="G565" t="s">
        <v>1406</v>
      </c>
      <c r="H565" s="6">
        <v>46022</v>
      </c>
      <c r="I565" t="s">
        <v>29</v>
      </c>
      <c r="J565">
        <v>114</v>
      </c>
      <c r="K565">
        <v>0</v>
      </c>
      <c r="L565">
        <v>0</v>
      </c>
      <c r="M565">
        <v>0</v>
      </c>
      <c r="N565" t="s">
        <v>3915</v>
      </c>
      <c r="O565" t="s">
        <v>3915</v>
      </c>
      <c r="P565" t="s">
        <v>3915</v>
      </c>
      <c r="Q565">
        <v>0</v>
      </c>
      <c r="R565" t="s">
        <v>30</v>
      </c>
      <c r="S565">
        <v>0</v>
      </c>
      <c r="T565">
        <v>0</v>
      </c>
      <c r="U565" t="s">
        <v>3915</v>
      </c>
      <c r="V565" t="s">
        <v>31</v>
      </c>
      <c r="W565">
        <v>0</v>
      </c>
    </row>
    <row r="566" spans="1:23" x14ac:dyDescent="0.25">
      <c r="A566" t="s">
        <v>5313</v>
      </c>
      <c r="B566" t="s">
        <v>2129</v>
      </c>
      <c r="C566" t="s">
        <v>2128</v>
      </c>
      <c r="D566" t="s">
        <v>4479</v>
      </c>
      <c r="E566" t="s">
        <v>27</v>
      </c>
      <c r="F566" t="s">
        <v>669</v>
      </c>
      <c r="G566" t="s">
        <v>1406</v>
      </c>
      <c r="H566" s="6">
        <v>46022</v>
      </c>
      <c r="I566" t="s">
        <v>29</v>
      </c>
      <c r="J566">
        <v>24</v>
      </c>
      <c r="K566">
        <v>0</v>
      </c>
      <c r="L566">
        <v>0</v>
      </c>
      <c r="M566">
        <v>0</v>
      </c>
      <c r="N566" t="s">
        <v>3915</v>
      </c>
      <c r="O566" t="s">
        <v>3915</v>
      </c>
      <c r="P566" t="s">
        <v>3915</v>
      </c>
      <c r="Q566">
        <v>0</v>
      </c>
      <c r="R566" t="s">
        <v>30</v>
      </c>
      <c r="S566">
        <v>0</v>
      </c>
      <c r="T566">
        <v>0</v>
      </c>
      <c r="U566" t="s">
        <v>3915</v>
      </c>
      <c r="V566" t="s">
        <v>31</v>
      </c>
      <c r="W566">
        <v>0</v>
      </c>
    </row>
    <row r="567" spans="1:23" x14ac:dyDescent="0.25">
      <c r="A567" t="s">
        <v>4158</v>
      </c>
      <c r="B567" t="s">
        <v>699</v>
      </c>
      <c r="C567" t="s">
        <v>700</v>
      </c>
      <c r="D567" t="s">
        <v>4479</v>
      </c>
      <c r="E567" t="s">
        <v>27</v>
      </c>
      <c r="F567" t="s">
        <v>669</v>
      </c>
      <c r="G567" t="s">
        <v>1406</v>
      </c>
      <c r="H567" s="6">
        <v>46022</v>
      </c>
      <c r="I567" t="s">
        <v>29</v>
      </c>
      <c r="J567">
        <v>182</v>
      </c>
      <c r="K567">
        <v>0</v>
      </c>
      <c r="L567">
        <v>0</v>
      </c>
      <c r="M567">
        <v>0</v>
      </c>
      <c r="N567" t="s">
        <v>3915</v>
      </c>
      <c r="O567" t="s">
        <v>3915</v>
      </c>
      <c r="P567" t="s">
        <v>3915</v>
      </c>
      <c r="Q567">
        <v>0</v>
      </c>
      <c r="R567" t="s">
        <v>30</v>
      </c>
      <c r="S567">
        <v>0</v>
      </c>
      <c r="T567">
        <v>0</v>
      </c>
      <c r="U567" t="s">
        <v>3915</v>
      </c>
      <c r="V567" t="s">
        <v>31</v>
      </c>
      <c r="W567">
        <v>0</v>
      </c>
    </row>
    <row r="568" spans="1:23" x14ac:dyDescent="0.25">
      <c r="A568" t="s">
        <v>4159</v>
      </c>
      <c r="B568" t="s">
        <v>701</v>
      </c>
      <c r="C568" t="s">
        <v>702</v>
      </c>
      <c r="D568" t="s">
        <v>4479</v>
      </c>
      <c r="E568" t="s">
        <v>27</v>
      </c>
      <c r="F568" t="s">
        <v>669</v>
      </c>
      <c r="G568" t="s">
        <v>1406</v>
      </c>
      <c r="H568" s="6">
        <v>46022</v>
      </c>
      <c r="I568" t="s">
        <v>29</v>
      </c>
      <c r="J568">
        <v>0</v>
      </c>
      <c r="K568">
        <v>0</v>
      </c>
      <c r="L568">
        <v>0</v>
      </c>
      <c r="M568">
        <v>0</v>
      </c>
      <c r="N568" t="s">
        <v>3915</v>
      </c>
      <c r="O568" t="s">
        <v>3915</v>
      </c>
      <c r="P568" t="s">
        <v>3915</v>
      </c>
      <c r="Q568">
        <v>0</v>
      </c>
      <c r="R568" t="s">
        <v>30</v>
      </c>
      <c r="S568">
        <v>0</v>
      </c>
      <c r="T568">
        <v>0</v>
      </c>
      <c r="U568" t="s">
        <v>3915</v>
      </c>
      <c r="V568" t="s">
        <v>31</v>
      </c>
      <c r="W568">
        <v>0</v>
      </c>
    </row>
    <row r="569" spans="1:23" x14ac:dyDescent="0.25">
      <c r="A569" t="s">
        <v>5314</v>
      </c>
      <c r="B569" t="s">
        <v>2131</v>
      </c>
      <c r="C569" t="s">
        <v>2130</v>
      </c>
      <c r="D569" t="s">
        <v>4479</v>
      </c>
      <c r="E569" t="s">
        <v>27</v>
      </c>
      <c r="F569" t="s">
        <v>669</v>
      </c>
      <c r="G569" t="s">
        <v>1406</v>
      </c>
      <c r="H569" s="6">
        <v>46022</v>
      </c>
      <c r="I569" t="s">
        <v>29</v>
      </c>
      <c r="J569">
        <v>8</v>
      </c>
      <c r="K569">
        <v>0</v>
      </c>
      <c r="L569">
        <v>0</v>
      </c>
      <c r="M569">
        <v>0</v>
      </c>
      <c r="N569" t="s">
        <v>3915</v>
      </c>
      <c r="O569" t="s">
        <v>3915</v>
      </c>
      <c r="P569" t="s">
        <v>3915</v>
      </c>
      <c r="Q569">
        <v>0</v>
      </c>
      <c r="R569" t="s">
        <v>30</v>
      </c>
      <c r="S569">
        <v>0</v>
      </c>
      <c r="T569">
        <v>0</v>
      </c>
      <c r="U569" t="s">
        <v>3915</v>
      </c>
      <c r="V569" t="s">
        <v>31</v>
      </c>
      <c r="W569">
        <v>0</v>
      </c>
    </row>
    <row r="570" spans="1:23" x14ac:dyDescent="0.25">
      <c r="A570" t="s">
        <v>5315</v>
      </c>
      <c r="B570" t="s">
        <v>1488</v>
      </c>
      <c r="C570" t="s">
        <v>1487</v>
      </c>
      <c r="D570" t="s">
        <v>4479</v>
      </c>
      <c r="E570" t="s">
        <v>27</v>
      </c>
      <c r="F570" t="s">
        <v>669</v>
      </c>
      <c r="G570" t="s">
        <v>1406</v>
      </c>
      <c r="H570" s="6">
        <v>46022</v>
      </c>
      <c r="I570" t="s">
        <v>29</v>
      </c>
      <c r="J570">
        <v>148</v>
      </c>
      <c r="K570">
        <v>0</v>
      </c>
      <c r="L570">
        <v>0</v>
      </c>
      <c r="M570">
        <v>0</v>
      </c>
      <c r="N570" t="s">
        <v>3915</v>
      </c>
      <c r="O570" t="s">
        <v>3915</v>
      </c>
      <c r="P570" t="s">
        <v>3915</v>
      </c>
      <c r="Q570">
        <v>0</v>
      </c>
      <c r="R570" t="s">
        <v>30</v>
      </c>
      <c r="S570">
        <v>0</v>
      </c>
      <c r="T570">
        <v>0</v>
      </c>
      <c r="U570" t="s">
        <v>3915</v>
      </c>
      <c r="V570" t="s">
        <v>31</v>
      </c>
      <c r="W570">
        <v>0</v>
      </c>
    </row>
    <row r="571" spans="1:23" x14ac:dyDescent="0.25">
      <c r="A571" t="s">
        <v>5316</v>
      </c>
      <c r="B571" t="s">
        <v>2133</v>
      </c>
      <c r="C571" t="s">
        <v>2132</v>
      </c>
      <c r="D571" t="s">
        <v>4479</v>
      </c>
      <c r="E571" t="s">
        <v>27</v>
      </c>
      <c r="F571" t="s">
        <v>669</v>
      </c>
      <c r="G571" t="s">
        <v>1406</v>
      </c>
      <c r="H571" s="6">
        <v>46022</v>
      </c>
      <c r="I571" t="s">
        <v>29</v>
      </c>
      <c r="J571">
        <v>3</v>
      </c>
      <c r="K571">
        <v>0</v>
      </c>
      <c r="L571">
        <v>0</v>
      </c>
      <c r="M571">
        <v>0</v>
      </c>
      <c r="N571" t="s">
        <v>3915</v>
      </c>
      <c r="O571" t="s">
        <v>3915</v>
      </c>
      <c r="P571" t="s">
        <v>3915</v>
      </c>
      <c r="Q571">
        <v>0</v>
      </c>
      <c r="R571" t="s">
        <v>30</v>
      </c>
      <c r="S571">
        <v>0</v>
      </c>
      <c r="T571">
        <v>0</v>
      </c>
      <c r="U571" t="s">
        <v>3915</v>
      </c>
      <c r="V571" t="s">
        <v>31</v>
      </c>
      <c r="W571">
        <v>0</v>
      </c>
    </row>
    <row r="572" spans="1:23" x14ac:dyDescent="0.25">
      <c r="A572" t="s">
        <v>4672</v>
      </c>
      <c r="B572" t="s">
        <v>2137</v>
      </c>
      <c r="C572" t="s">
        <v>2136</v>
      </c>
      <c r="D572" t="s">
        <v>4479</v>
      </c>
      <c r="E572" t="s">
        <v>27</v>
      </c>
      <c r="F572" t="s">
        <v>669</v>
      </c>
      <c r="G572" t="s">
        <v>1406</v>
      </c>
      <c r="H572" s="6">
        <v>46022</v>
      </c>
      <c r="I572" t="s">
        <v>29</v>
      </c>
      <c r="J572">
        <v>2</v>
      </c>
      <c r="K572">
        <v>0</v>
      </c>
      <c r="L572">
        <v>0</v>
      </c>
      <c r="M572">
        <v>0</v>
      </c>
      <c r="N572" t="s">
        <v>3915</v>
      </c>
      <c r="O572" t="s">
        <v>3915</v>
      </c>
      <c r="P572" t="s">
        <v>3915</v>
      </c>
      <c r="Q572">
        <v>0</v>
      </c>
      <c r="R572" t="s">
        <v>30</v>
      </c>
      <c r="S572">
        <v>0</v>
      </c>
      <c r="T572">
        <v>0</v>
      </c>
      <c r="U572" t="s">
        <v>3915</v>
      </c>
      <c r="V572" t="s">
        <v>31</v>
      </c>
      <c r="W572">
        <v>0</v>
      </c>
    </row>
    <row r="573" spans="1:23" x14ac:dyDescent="0.25">
      <c r="A573" t="s">
        <v>4674</v>
      </c>
      <c r="B573" t="s">
        <v>2139</v>
      </c>
      <c r="C573" t="s">
        <v>2138</v>
      </c>
      <c r="D573" t="s">
        <v>4479</v>
      </c>
      <c r="E573" t="s">
        <v>27</v>
      </c>
      <c r="F573" t="s">
        <v>669</v>
      </c>
      <c r="G573" t="s">
        <v>1406</v>
      </c>
      <c r="H573" s="6">
        <v>46022</v>
      </c>
      <c r="I573" t="s">
        <v>29</v>
      </c>
      <c r="J573">
        <v>2</v>
      </c>
      <c r="K573">
        <v>0</v>
      </c>
      <c r="L573">
        <v>0</v>
      </c>
      <c r="M573">
        <v>0</v>
      </c>
      <c r="N573" t="s">
        <v>3915</v>
      </c>
      <c r="O573" t="s">
        <v>3915</v>
      </c>
      <c r="P573" t="s">
        <v>3915</v>
      </c>
      <c r="Q573">
        <v>0</v>
      </c>
      <c r="R573" t="s">
        <v>30</v>
      </c>
      <c r="S573">
        <v>0</v>
      </c>
      <c r="T573">
        <v>0</v>
      </c>
      <c r="U573" t="s">
        <v>3915</v>
      </c>
      <c r="V573" t="s">
        <v>31</v>
      </c>
      <c r="W573">
        <v>0</v>
      </c>
    </row>
    <row r="574" spans="1:23" x14ac:dyDescent="0.25">
      <c r="A574" t="s">
        <v>4160</v>
      </c>
      <c r="B574" t="s">
        <v>703</v>
      </c>
      <c r="C574" t="s">
        <v>704</v>
      </c>
      <c r="D574" t="s">
        <v>4479</v>
      </c>
      <c r="E574" t="s">
        <v>27</v>
      </c>
      <c r="F574" t="s">
        <v>669</v>
      </c>
      <c r="G574" t="s">
        <v>1406</v>
      </c>
      <c r="H574" s="6">
        <v>46022</v>
      </c>
      <c r="I574" t="s">
        <v>29</v>
      </c>
      <c r="J574">
        <v>0</v>
      </c>
      <c r="K574">
        <v>0</v>
      </c>
      <c r="L574">
        <v>0</v>
      </c>
      <c r="M574">
        <v>0</v>
      </c>
      <c r="N574" t="s">
        <v>3915</v>
      </c>
      <c r="O574" t="s">
        <v>3915</v>
      </c>
      <c r="P574" t="s">
        <v>3915</v>
      </c>
      <c r="Q574">
        <v>0</v>
      </c>
      <c r="R574" t="s">
        <v>30</v>
      </c>
      <c r="S574">
        <v>0</v>
      </c>
      <c r="T574">
        <v>0</v>
      </c>
      <c r="U574" t="s">
        <v>3915</v>
      </c>
      <c r="V574" t="s">
        <v>31</v>
      </c>
      <c r="W574">
        <v>0</v>
      </c>
    </row>
    <row r="575" spans="1:23" x14ac:dyDescent="0.25">
      <c r="A575" t="s">
        <v>5317</v>
      </c>
      <c r="B575" t="s">
        <v>2141</v>
      </c>
      <c r="C575" t="s">
        <v>2140</v>
      </c>
      <c r="D575" t="s">
        <v>4479</v>
      </c>
      <c r="E575" t="s">
        <v>27</v>
      </c>
      <c r="F575" t="s">
        <v>669</v>
      </c>
      <c r="G575" t="s">
        <v>1406</v>
      </c>
      <c r="H575" s="6">
        <v>46022</v>
      </c>
      <c r="I575" t="s">
        <v>29</v>
      </c>
      <c r="J575">
        <v>5</v>
      </c>
      <c r="K575">
        <v>0</v>
      </c>
      <c r="L575">
        <v>0</v>
      </c>
      <c r="M575">
        <v>0</v>
      </c>
      <c r="N575" t="s">
        <v>3915</v>
      </c>
      <c r="O575" t="s">
        <v>3915</v>
      </c>
      <c r="P575" t="s">
        <v>3915</v>
      </c>
      <c r="Q575">
        <v>0</v>
      </c>
      <c r="R575" t="s">
        <v>30</v>
      </c>
      <c r="S575">
        <v>0</v>
      </c>
      <c r="T575">
        <v>0</v>
      </c>
      <c r="U575" t="s">
        <v>3915</v>
      </c>
      <c r="V575" t="s">
        <v>31</v>
      </c>
      <c r="W575">
        <v>0</v>
      </c>
    </row>
    <row r="576" spans="1:23" x14ac:dyDescent="0.25">
      <c r="A576" t="s">
        <v>5318</v>
      </c>
      <c r="B576" t="s">
        <v>2143</v>
      </c>
      <c r="C576" t="s">
        <v>2142</v>
      </c>
      <c r="D576" t="s">
        <v>4479</v>
      </c>
      <c r="E576" t="s">
        <v>27</v>
      </c>
      <c r="F576" t="s">
        <v>669</v>
      </c>
      <c r="G576" t="s">
        <v>1406</v>
      </c>
      <c r="H576" s="6">
        <v>46022</v>
      </c>
      <c r="I576" t="s">
        <v>29</v>
      </c>
      <c r="J576">
        <v>20</v>
      </c>
      <c r="K576">
        <v>0</v>
      </c>
      <c r="L576">
        <v>0</v>
      </c>
      <c r="M576">
        <v>0</v>
      </c>
      <c r="N576" t="s">
        <v>3915</v>
      </c>
      <c r="O576" t="s">
        <v>3915</v>
      </c>
      <c r="P576" t="s">
        <v>3915</v>
      </c>
      <c r="Q576">
        <v>0</v>
      </c>
      <c r="R576" t="s">
        <v>30</v>
      </c>
      <c r="S576">
        <v>0</v>
      </c>
      <c r="T576">
        <v>0</v>
      </c>
      <c r="U576" t="s">
        <v>3915</v>
      </c>
      <c r="V576" t="s">
        <v>31</v>
      </c>
      <c r="W576">
        <v>0</v>
      </c>
    </row>
    <row r="577" spans="1:23" x14ac:dyDescent="0.25">
      <c r="A577" t="s">
        <v>4977</v>
      </c>
      <c r="B577" t="s">
        <v>2145</v>
      </c>
      <c r="C577" t="s">
        <v>2144</v>
      </c>
      <c r="D577" t="s">
        <v>4479</v>
      </c>
      <c r="E577" t="s">
        <v>27</v>
      </c>
      <c r="F577" t="s">
        <v>669</v>
      </c>
      <c r="G577" t="s">
        <v>1406</v>
      </c>
      <c r="H577" s="6">
        <v>46022</v>
      </c>
      <c r="I577" t="s">
        <v>29</v>
      </c>
      <c r="J577">
        <v>18</v>
      </c>
      <c r="K577">
        <v>0</v>
      </c>
      <c r="L577">
        <v>0</v>
      </c>
      <c r="M577">
        <v>0</v>
      </c>
      <c r="N577" t="s">
        <v>3915</v>
      </c>
      <c r="O577" t="s">
        <v>3915</v>
      </c>
      <c r="P577" t="s">
        <v>3915</v>
      </c>
      <c r="Q577">
        <v>0</v>
      </c>
      <c r="R577" t="s">
        <v>30</v>
      </c>
      <c r="S577">
        <v>0</v>
      </c>
      <c r="T577">
        <v>0</v>
      </c>
      <c r="U577" t="s">
        <v>3915</v>
      </c>
      <c r="V577" t="s">
        <v>31</v>
      </c>
      <c r="W577">
        <v>0</v>
      </c>
    </row>
    <row r="578" spans="1:23" x14ac:dyDescent="0.25">
      <c r="A578" t="s">
        <v>5319</v>
      </c>
      <c r="B578" t="s">
        <v>2147</v>
      </c>
      <c r="C578" t="s">
        <v>2146</v>
      </c>
      <c r="D578" t="s">
        <v>4479</v>
      </c>
      <c r="E578" t="s">
        <v>27</v>
      </c>
      <c r="F578" t="s">
        <v>669</v>
      </c>
      <c r="G578" t="s">
        <v>1406</v>
      </c>
      <c r="H578" s="6">
        <v>46022</v>
      </c>
      <c r="I578" t="s">
        <v>29</v>
      </c>
      <c r="J578">
        <v>21</v>
      </c>
      <c r="K578">
        <v>0</v>
      </c>
      <c r="L578">
        <v>0</v>
      </c>
      <c r="M578">
        <v>0</v>
      </c>
      <c r="N578" t="s">
        <v>3915</v>
      </c>
      <c r="O578" t="s">
        <v>3915</v>
      </c>
      <c r="P578" t="s">
        <v>3915</v>
      </c>
      <c r="Q578">
        <v>0</v>
      </c>
      <c r="R578" t="s">
        <v>30</v>
      </c>
      <c r="S578">
        <v>0</v>
      </c>
      <c r="T578">
        <v>0</v>
      </c>
      <c r="U578" t="s">
        <v>3915</v>
      </c>
      <c r="V578" t="s">
        <v>31</v>
      </c>
      <c r="W578">
        <v>0</v>
      </c>
    </row>
    <row r="579" spans="1:23" x14ac:dyDescent="0.25">
      <c r="A579" t="s">
        <v>5320</v>
      </c>
      <c r="B579" t="s">
        <v>2149</v>
      </c>
      <c r="C579" t="s">
        <v>2148</v>
      </c>
      <c r="D579" t="s">
        <v>4479</v>
      </c>
      <c r="E579" t="s">
        <v>27</v>
      </c>
      <c r="F579" t="s">
        <v>669</v>
      </c>
      <c r="G579" t="s">
        <v>1406</v>
      </c>
      <c r="H579" s="6">
        <v>46022</v>
      </c>
      <c r="I579" t="s">
        <v>29</v>
      </c>
      <c r="J579">
        <v>20</v>
      </c>
      <c r="K579">
        <v>0</v>
      </c>
      <c r="L579">
        <v>0</v>
      </c>
      <c r="M579">
        <v>0</v>
      </c>
      <c r="N579" t="s">
        <v>3915</v>
      </c>
      <c r="O579" t="s">
        <v>3915</v>
      </c>
      <c r="P579" t="s">
        <v>3915</v>
      </c>
      <c r="Q579">
        <v>0</v>
      </c>
      <c r="R579" t="s">
        <v>30</v>
      </c>
      <c r="S579">
        <v>0</v>
      </c>
      <c r="T579">
        <v>0</v>
      </c>
      <c r="U579" t="s">
        <v>3915</v>
      </c>
      <c r="V579" t="s">
        <v>31</v>
      </c>
      <c r="W579">
        <v>0</v>
      </c>
    </row>
    <row r="580" spans="1:23" x14ac:dyDescent="0.25">
      <c r="A580" t="s">
        <v>5321</v>
      </c>
      <c r="B580" t="s">
        <v>2151</v>
      </c>
      <c r="C580" t="s">
        <v>2150</v>
      </c>
      <c r="D580" t="s">
        <v>4479</v>
      </c>
      <c r="E580" t="s">
        <v>27</v>
      </c>
      <c r="F580" t="s">
        <v>669</v>
      </c>
      <c r="G580" t="s">
        <v>1406</v>
      </c>
      <c r="H580" s="6">
        <v>46022</v>
      </c>
      <c r="I580" t="s">
        <v>29</v>
      </c>
      <c r="J580">
        <v>57</v>
      </c>
      <c r="K580">
        <v>0</v>
      </c>
      <c r="L580">
        <v>0</v>
      </c>
      <c r="M580">
        <v>0</v>
      </c>
      <c r="N580" t="s">
        <v>3915</v>
      </c>
      <c r="O580" t="s">
        <v>3915</v>
      </c>
      <c r="P580" t="s">
        <v>3915</v>
      </c>
      <c r="Q580">
        <v>0</v>
      </c>
      <c r="R580" t="s">
        <v>30</v>
      </c>
      <c r="S580">
        <v>0</v>
      </c>
      <c r="T580">
        <v>0</v>
      </c>
      <c r="U580" t="s">
        <v>3915</v>
      </c>
      <c r="V580" t="s">
        <v>31</v>
      </c>
      <c r="W580">
        <v>0</v>
      </c>
    </row>
    <row r="581" spans="1:23" x14ac:dyDescent="0.25">
      <c r="A581" t="s">
        <v>5322</v>
      </c>
      <c r="B581" t="s">
        <v>2153</v>
      </c>
      <c r="C581" t="s">
        <v>2152</v>
      </c>
      <c r="D581" t="s">
        <v>4479</v>
      </c>
      <c r="E581" t="s">
        <v>27</v>
      </c>
      <c r="F581" t="s">
        <v>669</v>
      </c>
      <c r="G581" t="s">
        <v>1406</v>
      </c>
      <c r="H581" s="6">
        <v>46022</v>
      </c>
      <c r="I581" t="s">
        <v>29</v>
      </c>
      <c r="J581">
        <v>40</v>
      </c>
      <c r="K581">
        <v>0</v>
      </c>
      <c r="L581">
        <v>0</v>
      </c>
      <c r="M581">
        <v>0</v>
      </c>
      <c r="N581" t="s">
        <v>3915</v>
      </c>
      <c r="O581" t="s">
        <v>3915</v>
      </c>
      <c r="P581" t="s">
        <v>3915</v>
      </c>
      <c r="Q581">
        <v>0</v>
      </c>
      <c r="R581" t="s">
        <v>30</v>
      </c>
      <c r="S581">
        <v>0</v>
      </c>
      <c r="T581">
        <v>0</v>
      </c>
      <c r="U581" t="s">
        <v>3915</v>
      </c>
      <c r="V581" t="s">
        <v>31</v>
      </c>
      <c r="W581">
        <v>0</v>
      </c>
    </row>
    <row r="582" spans="1:23" x14ac:dyDescent="0.25">
      <c r="A582" t="s">
        <v>5323</v>
      </c>
      <c r="B582" t="s">
        <v>1490</v>
      </c>
      <c r="C582" t="s">
        <v>1489</v>
      </c>
      <c r="D582" t="s">
        <v>4479</v>
      </c>
      <c r="E582" t="s">
        <v>27</v>
      </c>
      <c r="F582" t="s">
        <v>669</v>
      </c>
      <c r="G582" t="s">
        <v>1406</v>
      </c>
      <c r="H582" s="6">
        <v>46022</v>
      </c>
      <c r="I582" t="s">
        <v>29</v>
      </c>
      <c r="J582">
        <v>278</v>
      </c>
      <c r="K582">
        <v>0</v>
      </c>
      <c r="L582">
        <v>0</v>
      </c>
      <c r="M582">
        <v>0</v>
      </c>
      <c r="N582" t="s">
        <v>3915</v>
      </c>
      <c r="O582" t="s">
        <v>3915</v>
      </c>
      <c r="P582" t="s">
        <v>3915</v>
      </c>
      <c r="Q582">
        <v>0</v>
      </c>
      <c r="R582" t="s">
        <v>30</v>
      </c>
      <c r="S582">
        <v>0</v>
      </c>
      <c r="T582">
        <v>0</v>
      </c>
      <c r="U582" t="s">
        <v>3915</v>
      </c>
      <c r="V582" t="s">
        <v>31</v>
      </c>
      <c r="W582">
        <v>0</v>
      </c>
    </row>
    <row r="583" spans="1:23" x14ac:dyDescent="0.25">
      <c r="A583" t="s">
        <v>5325</v>
      </c>
      <c r="B583" t="s">
        <v>2159</v>
      </c>
      <c r="C583" t="s">
        <v>2158</v>
      </c>
      <c r="D583" t="s">
        <v>4479</v>
      </c>
      <c r="E583" t="s">
        <v>27</v>
      </c>
      <c r="F583" t="s">
        <v>669</v>
      </c>
      <c r="G583" t="s">
        <v>1406</v>
      </c>
      <c r="H583" s="6">
        <v>46022</v>
      </c>
      <c r="I583" t="s">
        <v>29</v>
      </c>
      <c r="J583">
        <v>25</v>
      </c>
      <c r="K583">
        <v>0</v>
      </c>
      <c r="L583">
        <v>0</v>
      </c>
      <c r="M583">
        <v>0</v>
      </c>
      <c r="N583" t="s">
        <v>3915</v>
      </c>
      <c r="O583" t="s">
        <v>3915</v>
      </c>
      <c r="P583" t="s">
        <v>3915</v>
      </c>
      <c r="Q583">
        <v>0</v>
      </c>
      <c r="R583" t="s">
        <v>30</v>
      </c>
      <c r="S583">
        <v>0</v>
      </c>
      <c r="T583">
        <v>0</v>
      </c>
      <c r="U583" t="s">
        <v>3915</v>
      </c>
      <c r="V583" t="s">
        <v>31</v>
      </c>
      <c r="W583">
        <v>0</v>
      </c>
    </row>
    <row r="584" spans="1:23" x14ac:dyDescent="0.25">
      <c r="A584" t="s">
        <v>5326</v>
      </c>
      <c r="B584" t="s">
        <v>2161</v>
      </c>
      <c r="C584" t="s">
        <v>2160</v>
      </c>
      <c r="D584" t="s">
        <v>4479</v>
      </c>
      <c r="E584" t="s">
        <v>27</v>
      </c>
      <c r="F584" t="s">
        <v>669</v>
      </c>
      <c r="G584" t="s">
        <v>1406</v>
      </c>
      <c r="H584" s="6">
        <v>46022</v>
      </c>
      <c r="I584" t="s">
        <v>29</v>
      </c>
      <c r="J584">
        <v>4</v>
      </c>
      <c r="K584">
        <v>0</v>
      </c>
      <c r="L584">
        <v>0</v>
      </c>
      <c r="M584">
        <v>0</v>
      </c>
      <c r="N584" t="s">
        <v>3915</v>
      </c>
      <c r="O584" t="s">
        <v>3915</v>
      </c>
      <c r="P584" t="s">
        <v>3915</v>
      </c>
      <c r="Q584">
        <v>0</v>
      </c>
      <c r="R584" t="s">
        <v>30</v>
      </c>
      <c r="S584">
        <v>0</v>
      </c>
      <c r="T584">
        <v>0</v>
      </c>
      <c r="U584" t="s">
        <v>3915</v>
      </c>
      <c r="V584" t="s">
        <v>31</v>
      </c>
      <c r="W584">
        <v>0</v>
      </c>
    </row>
    <row r="585" spans="1:23" x14ac:dyDescent="0.25">
      <c r="A585" t="s">
        <v>4604</v>
      </c>
      <c r="B585" t="s">
        <v>1492</v>
      </c>
      <c r="C585" t="s">
        <v>1491</v>
      </c>
      <c r="D585" t="s">
        <v>4479</v>
      </c>
      <c r="E585" t="s">
        <v>27</v>
      </c>
      <c r="F585" t="s">
        <v>669</v>
      </c>
      <c r="G585" t="s">
        <v>1406</v>
      </c>
      <c r="H585" s="6">
        <v>46022</v>
      </c>
      <c r="I585" t="s">
        <v>29</v>
      </c>
      <c r="J585">
        <v>54</v>
      </c>
      <c r="K585">
        <v>0</v>
      </c>
      <c r="L585">
        <v>0</v>
      </c>
      <c r="M585">
        <v>0</v>
      </c>
      <c r="N585" t="s">
        <v>3915</v>
      </c>
      <c r="O585" t="s">
        <v>3915</v>
      </c>
      <c r="P585" t="s">
        <v>3915</v>
      </c>
      <c r="Q585">
        <v>0</v>
      </c>
      <c r="R585" t="s">
        <v>30</v>
      </c>
      <c r="S585">
        <v>0</v>
      </c>
      <c r="T585">
        <v>0</v>
      </c>
      <c r="U585" t="s">
        <v>3915</v>
      </c>
      <c r="V585" t="s">
        <v>31</v>
      </c>
      <c r="W585">
        <v>0</v>
      </c>
    </row>
    <row r="586" spans="1:23" x14ac:dyDescent="0.25">
      <c r="A586" t="s">
        <v>4161</v>
      </c>
      <c r="B586" t="s">
        <v>707</v>
      </c>
      <c r="C586" t="s">
        <v>708</v>
      </c>
      <c r="D586" t="s">
        <v>4479</v>
      </c>
      <c r="E586" t="s">
        <v>27</v>
      </c>
      <c r="F586" t="s">
        <v>669</v>
      </c>
      <c r="G586" t="s">
        <v>1406</v>
      </c>
      <c r="H586" s="6">
        <v>46022</v>
      </c>
      <c r="I586" t="s">
        <v>29</v>
      </c>
      <c r="J586">
        <v>0</v>
      </c>
      <c r="K586">
        <v>0</v>
      </c>
      <c r="L586">
        <v>0</v>
      </c>
      <c r="M586">
        <v>0</v>
      </c>
      <c r="N586" t="s">
        <v>3915</v>
      </c>
      <c r="O586" t="s">
        <v>3915</v>
      </c>
      <c r="P586" t="s">
        <v>3915</v>
      </c>
      <c r="Q586">
        <v>0</v>
      </c>
      <c r="R586" t="s">
        <v>30</v>
      </c>
      <c r="S586">
        <v>0</v>
      </c>
      <c r="T586">
        <v>0</v>
      </c>
      <c r="U586" t="s">
        <v>3915</v>
      </c>
      <c r="V586" t="s">
        <v>31</v>
      </c>
      <c r="W586">
        <v>0</v>
      </c>
    </row>
    <row r="587" spans="1:23" x14ac:dyDescent="0.25">
      <c r="A587" t="s">
        <v>4162</v>
      </c>
      <c r="B587" t="s">
        <v>709</v>
      </c>
      <c r="C587" t="s">
        <v>710</v>
      </c>
      <c r="D587" t="s">
        <v>4479</v>
      </c>
      <c r="E587" t="s">
        <v>27</v>
      </c>
      <c r="F587" t="s">
        <v>669</v>
      </c>
      <c r="G587" t="s">
        <v>1406</v>
      </c>
      <c r="H587" s="6">
        <v>46022</v>
      </c>
      <c r="I587" t="s">
        <v>29</v>
      </c>
      <c r="J587">
        <v>103</v>
      </c>
      <c r="K587">
        <v>0</v>
      </c>
      <c r="L587">
        <v>0</v>
      </c>
      <c r="M587">
        <v>0</v>
      </c>
      <c r="N587" t="s">
        <v>3915</v>
      </c>
      <c r="O587" t="s">
        <v>3915</v>
      </c>
      <c r="P587" t="s">
        <v>3915</v>
      </c>
      <c r="Q587">
        <v>0</v>
      </c>
      <c r="R587" t="s">
        <v>30</v>
      </c>
      <c r="S587">
        <v>0</v>
      </c>
      <c r="T587">
        <v>0</v>
      </c>
      <c r="U587" t="s">
        <v>3915</v>
      </c>
      <c r="V587" t="s">
        <v>31</v>
      </c>
      <c r="W587">
        <v>0</v>
      </c>
    </row>
    <row r="588" spans="1:23" x14ac:dyDescent="0.25">
      <c r="A588" t="s">
        <v>4163</v>
      </c>
      <c r="B588" t="s">
        <v>711</v>
      </c>
      <c r="C588" t="s">
        <v>712</v>
      </c>
      <c r="D588" t="s">
        <v>4479</v>
      </c>
      <c r="E588" t="s">
        <v>27</v>
      </c>
      <c r="F588" t="s">
        <v>669</v>
      </c>
      <c r="G588" t="s">
        <v>1406</v>
      </c>
      <c r="H588" s="6">
        <v>46022</v>
      </c>
      <c r="I588" t="s">
        <v>29</v>
      </c>
      <c r="J588">
        <v>80</v>
      </c>
      <c r="K588">
        <v>0</v>
      </c>
      <c r="L588">
        <v>0</v>
      </c>
      <c r="M588">
        <v>0</v>
      </c>
      <c r="N588" t="s">
        <v>3915</v>
      </c>
      <c r="O588" t="s">
        <v>3915</v>
      </c>
      <c r="P588" t="s">
        <v>3915</v>
      </c>
      <c r="Q588">
        <v>0</v>
      </c>
      <c r="R588" t="s">
        <v>30</v>
      </c>
      <c r="S588">
        <v>0</v>
      </c>
      <c r="T588">
        <v>0</v>
      </c>
      <c r="U588" t="s">
        <v>3915</v>
      </c>
      <c r="V588" t="s">
        <v>31</v>
      </c>
      <c r="W588">
        <v>0</v>
      </c>
    </row>
    <row r="589" spans="1:23" x14ac:dyDescent="0.25">
      <c r="A589" t="s">
        <v>4164</v>
      </c>
      <c r="B589" t="s">
        <v>713</v>
      </c>
      <c r="C589" t="s">
        <v>714</v>
      </c>
      <c r="D589" t="s">
        <v>4479</v>
      </c>
      <c r="E589" t="s">
        <v>27</v>
      </c>
      <c r="F589" t="s">
        <v>669</v>
      </c>
      <c r="G589" t="s">
        <v>1406</v>
      </c>
      <c r="H589" s="6">
        <v>46022</v>
      </c>
      <c r="I589" t="s">
        <v>29</v>
      </c>
      <c r="J589">
        <v>0</v>
      </c>
      <c r="K589">
        <v>0</v>
      </c>
      <c r="L589">
        <v>0</v>
      </c>
      <c r="M589">
        <v>0</v>
      </c>
      <c r="N589" t="s">
        <v>3915</v>
      </c>
      <c r="O589" t="s">
        <v>3915</v>
      </c>
      <c r="P589" t="s">
        <v>3915</v>
      </c>
      <c r="Q589">
        <v>0</v>
      </c>
      <c r="R589" t="s">
        <v>30</v>
      </c>
      <c r="S589">
        <v>0</v>
      </c>
      <c r="T589">
        <v>0</v>
      </c>
      <c r="U589" t="s">
        <v>3915</v>
      </c>
      <c r="V589" t="s">
        <v>31</v>
      </c>
      <c r="W589">
        <v>0</v>
      </c>
    </row>
    <row r="590" spans="1:23" x14ac:dyDescent="0.25">
      <c r="A590" t="s">
        <v>4165</v>
      </c>
      <c r="B590" t="s">
        <v>715</v>
      </c>
      <c r="C590" t="s">
        <v>716</v>
      </c>
      <c r="D590" t="s">
        <v>4479</v>
      </c>
      <c r="E590" t="s">
        <v>27</v>
      </c>
      <c r="F590" t="s">
        <v>669</v>
      </c>
      <c r="G590" t="s">
        <v>1406</v>
      </c>
      <c r="H590" s="6">
        <v>46022</v>
      </c>
      <c r="I590" t="s">
        <v>29</v>
      </c>
      <c r="J590">
        <v>6</v>
      </c>
      <c r="K590">
        <v>0</v>
      </c>
      <c r="L590">
        <v>0</v>
      </c>
      <c r="M590">
        <v>0</v>
      </c>
      <c r="N590" t="s">
        <v>3915</v>
      </c>
      <c r="O590" t="s">
        <v>3915</v>
      </c>
      <c r="P590" t="s">
        <v>3915</v>
      </c>
      <c r="Q590">
        <v>0</v>
      </c>
      <c r="R590" t="s">
        <v>30</v>
      </c>
      <c r="S590">
        <v>0</v>
      </c>
      <c r="T590">
        <v>0</v>
      </c>
      <c r="U590" t="s">
        <v>3915</v>
      </c>
      <c r="V590" t="s">
        <v>31</v>
      </c>
      <c r="W590">
        <v>0</v>
      </c>
    </row>
    <row r="591" spans="1:23" x14ac:dyDescent="0.25">
      <c r="A591" t="s">
        <v>4166</v>
      </c>
      <c r="B591" t="s">
        <v>717</v>
      </c>
      <c r="C591" t="s">
        <v>718</v>
      </c>
      <c r="D591" t="s">
        <v>4479</v>
      </c>
      <c r="E591" t="s">
        <v>27</v>
      </c>
      <c r="F591" t="s">
        <v>669</v>
      </c>
      <c r="G591" t="s">
        <v>1406</v>
      </c>
      <c r="H591" s="6">
        <v>46022</v>
      </c>
      <c r="I591" t="s">
        <v>29</v>
      </c>
      <c r="J591">
        <v>64</v>
      </c>
      <c r="K591">
        <v>0</v>
      </c>
      <c r="L591">
        <v>0</v>
      </c>
      <c r="M591">
        <v>0</v>
      </c>
      <c r="N591" t="s">
        <v>3915</v>
      </c>
      <c r="O591" t="s">
        <v>3915</v>
      </c>
      <c r="P591" t="s">
        <v>3915</v>
      </c>
      <c r="Q591">
        <v>0</v>
      </c>
      <c r="R591" t="s">
        <v>30</v>
      </c>
      <c r="S591">
        <v>0</v>
      </c>
      <c r="T591">
        <v>0</v>
      </c>
      <c r="U591" t="s">
        <v>3915</v>
      </c>
      <c r="V591" t="s">
        <v>31</v>
      </c>
      <c r="W591">
        <v>0</v>
      </c>
    </row>
    <row r="592" spans="1:23" x14ac:dyDescent="0.25">
      <c r="A592" t="s">
        <v>5327</v>
      </c>
      <c r="B592" t="s">
        <v>2163</v>
      </c>
      <c r="C592" t="s">
        <v>2162</v>
      </c>
      <c r="D592" t="s">
        <v>4479</v>
      </c>
      <c r="E592" t="s">
        <v>27</v>
      </c>
      <c r="F592" t="s">
        <v>669</v>
      </c>
      <c r="G592" t="s">
        <v>1406</v>
      </c>
      <c r="H592" s="6">
        <v>46022</v>
      </c>
      <c r="I592" t="s">
        <v>29</v>
      </c>
      <c r="J592">
        <v>434</v>
      </c>
      <c r="K592">
        <v>0</v>
      </c>
      <c r="L592">
        <v>0</v>
      </c>
      <c r="M592">
        <v>0</v>
      </c>
      <c r="N592" t="s">
        <v>3915</v>
      </c>
      <c r="O592" t="s">
        <v>3915</v>
      </c>
      <c r="P592" t="s">
        <v>3915</v>
      </c>
      <c r="Q592">
        <v>0</v>
      </c>
      <c r="R592" t="s">
        <v>30</v>
      </c>
      <c r="S592">
        <v>0</v>
      </c>
      <c r="T592">
        <v>0</v>
      </c>
      <c r="U592" t="s">
        <v>3915</v>
      </c>
      <c r="V592" t="s">
        <v>31</v>
      </c>
      <c r="W592">
        <v>0</v>
      </c>
    </row>
    <row r="593" spans="1:23" x14ac:dyDescent="0.25">
      <c r="A593" t="s">
        <v>4167</v>
      </c>
      <c r="B593" t="s">
        <v>719</v>
      </c>
      <c r="C593" t="s">
        <v>720</v>
      </c>
      <c r="D593" t="s">
        <v>4479</v>
      </c>
      <c r="E593" t="s">
        <v>27</v>
      </c>
      <c r="F593" t="s">
        <v>669</v>
      </c>
      <c r="G593" t="s">
        <v>1406</v>
      </c>
      <c r="H593" s="6">
        <v>46022</v>
      </c>
      <c r="I593" t="s">
        <v>29</v>
      </c>
      <c r="J593">
        <v>476</v>
      </c>
      <c r="K593">
        <v>0</v>
      </c>
      <c r="L593">
        <v>0</v>
      </c>
      <c r="M593">
        <v>0</v>
      </c>
      <c r="N593" t="s">
        <v>3915</v>
      </c>
      <c r="O593" t="s">
        <v>3915</v>
      </c>
      <c r="P593" t="s">
        <v>3915</v>
      </c>
      <c r="Q593">
        <v>0</v>
      </c>
      <c r="R593" t="s">
        <v>30</v>
      </c>
      <c r="S593">
        <v>0</v>
      </c>
      <c r="T593">
        <v>0</v>
      </c>
      <c r="U593" t="s">
        <v>3915</v>
      </c>
      <c r="V593" t="s">
        <v>31</v>
      </c>
      <c r="W593">
        <v>0</v>
      </c>
    </row>
    <row r="594" spans="1:23" x14ac:dyDescent="0.25">
      <c r="A594" t="s">
        <v>4168</v>
      </c>
      <c r="B594" t="s">
        <v>721</v>
      </c>
      <c r="C594" t="s">
        <v>722</v>
      </c>
      <c r="D594" t="s">
        <v>4479</v>
      </c>
      <c r="E594" t="s">
        <v>27</v>
      </c>
      <c r="F594" t="s">
        <v>669</v>
      </c>
      <c r="G594" t="s">
        <v>1406</v>
      </c>
      <c r="H594" s="6">
        <v>46022</v>
      </c>
      <c r="I594" t="s">
        <v>29</v>
      </c>
      <c r="J594">
        <v>0</v>
      </c>
      <c r="K594">
        <v>0</v>
      </c>
      <c r="L594">
        <v>0</v>
      </c>
      <c r="M594">
        <v>0</v>
      </c>
      <c r="N594" t="s">
        <v>3915</v>
      </c>
      <c r="O594" t="s">
        <v>3915</v>
      </c>
      <c r="P594" t="s">
        <v>3915</v>
      </c>
      <c r="Q594">
        <v>0</v>
      </c>
      <c r="R594" t="s">
        <v>30</v>
      </c>
      <c r="S594">
        <v>0</v>
      </c>
      <c r="T594">
        <v>0</v>
      </c>
      <c r="U594" t="s">
        <v>3915</v>
      </c>
      <c r="V594" t="s">
        <v>31</v>
      </c>
      <c r="W594">
        <v>0</v>
      </c>
    </row>
    <row r="595" spans="1:23" x14ac:dyDescent="0.25">
      <c r="A595" t="s">
        <v>5328</v>
      </c>
      <c r="B595" t="s">
        <v>2165</v>
      </c>
      <c r="C595" t="s">
        <v>2164</v>
      </c>
      <c r="D595" t="s">
        <v>4479</v>
      </c>
      <c r="E595" t="s">
        <v>27</v>
      </c>
      <c r="F595" t="s">
        <v>669</v>
      </c>
      <c r="G595" t="s">
        <v>1406</v>
      </c>
      <c r="H595" s="6">
        <v>46022</v>
      </c>
      <c r="I595" t="s">
        <v>29</v>
      </c>
      <c r="J595">
        <v>6</v>
      </c>
      <c r="K595">
        <v>0</v>
      </c>
      <c r="L595">
        <v>0</v>
      </c>
      <c r="M595">
        <v>0</v>
      </c>
      <c r="N595" t="s">
        <v>3915</v>
      </c>
      <c r="O595" t="s">
        <v>3915</v>
      </c>
      <c r="P595" t="s">
        <v>3915</v>
      </c>
      <c r="Q595">
        <v>0</v>
      </c>
      <c r="R595" t="s">
        <v>30</v>
      </c>
      <c r="S595">
        <v>0</v>
      </c>
      <c r="T595">
        <v>0</v>
      </c>
      <c r="U595" t="s">
        <v>3915</v>
      </c>
      <c r="V595" t="s">
        <v>31</v>
      </c>
      <c r="W595">
        <v>0</v>
      </c>
    </row>
    <row r="596" spans="1:23" x14ac:dyDescent="0.25">
      <c r="A596" t="s">
        <v>5329</v>
      </c>
      <c r="B596" t="s">
        <v>2167</v>
      </c>
      <c r="C596" t="s">
        <v>2166</v>
      </c>
      <c r="D596" t="s">
        <v>4479</v>
      </c>
      <c r="E596" t="s">
        <v>27</v>
      </c>
      <c r="F596" t="s">
        <v>669</v>
      </c>
      <c r="G596" t="s">
        <v>1406</v>
      </c>
      <c r="H596" s="6">
        <v>46022</v>
      </c>
      <c r="I596" t="s">
        <v>29</v>
      </c>
      <c r="J596">
        <v>100</v>
      </c>
      <c r="K596">
        <v>0</v>
      </c>
      <c r="L596">
        <v>0</v>
      </c>
      <c r="M596">
        <v>0</v>
      </c>
      <c r="N596" t="s">
        <v>3915</v>
      </c>
      <c r="O596" t="s">
        <v>3915</v>
      </c>
      <c r="P596" t="s">
        <v>3915</v>
      </c>
      <c r="Q596">
        <v>0</v>
      </c>
      <c r="R596" t="s">
        <v>30</v>
      </c>
      <c r="S596">
        <v>0</v>
      </c>
      <c r="T596">
        <v>0</v>
      </c>
      <c r="U596" t="s">
        <v>3915</v>
      </c>
      <c r="V596" t="s">
        <v>31</v>
      </c>
      <c r="W596">
        <v>0</v>
      </c>
    </row>
    <row r="597" spans="1:23" x14ac:dyDescent="0.25">
      <c r="A597" t="s">
        <v>5330</v>
      </c>
      <c r="B597" t="s">
        <v>2169</v>
      </c>
      <c r="C597" t="s">
        <v>2168</v>
      </c>
      <c r="D597" t="s">
        <v>4479</v>
      </c>
      <c r="E597" t="s">
        <v>27</v>
      </c>
      <c r="F597" t="s">
        <v>669</v>
      </c>
      <c r="G597" t="s">
        <v>1406</v>
      </c>
      <c r="H597" s="6">
        <v>46022</v>
      </c>
      <c r="I597" t="s">
        <v>29</v>
      </c>
      <c r="J597">
        <v>100</v>
      </c>
      <c r="K597">
        <v>0</v>
      </c>
      <c r="L597">
        <v>0</v>
      </c>
      <c r="M597">
        <v>0</v>
      </c>
      <c r="N597" t="s">
        <v>3915</v>
      </c>
      <c r="O597" t="s">
        <v>3915</v>
      </c>
      <c r="P597" t="s">
        <v>3915</v>
      </c>
      <c r="Q597">
        <v>0</v>
      </c>
      <c r="R597" t="s">
        <v>30</v>
      </c>
      <c r="S597">
        <v>0</v>
      </c>
      <c r="T597">
        <v>0</v>
      </c>
      <c r="U597" t="s">
        <v>3915</v>
      </c>
      <c r="V597" t="s">
        <v>31</v>
      </c>
      <c r="W597">
        <v>0</v>
      </c>
    </row>
    <row r="598" spans="1:23" x14ac:dyDescent="0.25">
      <c r="A598" t="s">
        <v>4853</v>
      </c>
      <c r="B598" t="s">
        <v>2171</v>
      </c>
      <c r="C598" t="s">
        <v>2170</v>
      </c>
      <c r="D598" t="s">
        <v>4479</v>
      </c>
      <c r="E598" t="s">
        <v>27</v>
      </c>
      <c r="F598" t="s">
        <v>669</v>
      </c>
      <c r="G598" t="s">
        <v>1406</v>
      </c>
      <c r="H598" s="6">
        <v>46022</v>
      </c>
      <c r="I598" t="s">
        <v>29</v>
      </c>
      <c r="J598">
        <v>68</v>
      </c>
      <c r="K598">
        <v>0</v>
      </c>
      <c r="L598">
        <v>0</v>
      </c>
      <c r="M598">
        <v>0</v>
      </c>
      <c r="N598" t="s">
        <v>3915</v>
      </c>
      <c r="O598" t="s">
        <v>3915</v>
      </c>
      <c r="P598" t="s">
        <v>3915</v>
      </c>
      <c r="Q598">
        <v>0</v>
      </c>
      <c r="R598" t="s">
        <v>30</v>
      </c>
      <c r="S598">
        <v>0</v>
      </c>
      <c r="T598">
        <v>0</v>
      </c>
      <c r="U598" t="s">
        <v>3915</v>
      </c>
      <c r="V598" t="s">
        <v>31</v>
      </c>
      <c r="W598">
        <v>0</v>
      </c>
    </row>
    <row r="599" spans="1:23" x14ac:dyDescent="0.25">
      <c r="A599" t="s">
        <v>5331</v>
      </c>
      <c r="B599" t="s">
        <v>2173</v>
      </c>
      <c r="C599" t="s">
        <v>2172</v>
      </c>
      <c r="D599" t="s">
        <v>4479</v>
      </c>
      <c r="E599" t="s">
        <v>27</v>
      </c>
      <c r="F599" t="s">
        <v>669</v>
      </c>
      <c r="G599" t="s">
        <v>1406</v>
      </c>
      <c r="H599" s="6">
        <v>46022</v>
      </c>
      <c r="I599" t="s">
        <v>29</v>
      </c>
      <c r="J599">
        <v>69</v>
      </c>
      <c r="K599">
        <v>0</v>
      </c>
      <c r="L599">
        <v>0</v>
      </c>
      <c r="M599">
        <v>0</v>
      </c>
      <c r="N599" t="s">
        <v>3915</v>
      </c>
      <c r="O599" t="s">
        <v>3915</v>
      </c>
      <c r="P599" t="s">
        <v>3915</v>
      </c>
      <c r="Q599">
        <v>0</v>
      </c>
      <c r="R599" t="s">
        <v>30</v>
      </c>
      <c r="S599">
        <v>0</v>
      </c>
      <c r="T599">
        <v>0</v>
      </c>
      <c r="U599" t="s">
        <v>3915</v>
      </c>
      <c r="V599" t="s">
        <v>31</v>
      </c>
      <c r="W599">
        <v>0</v>
      </c>
    </row>
    <row r="600" spans="1:23" x14ac:dyDescent="0.25">
      <c r="A600" t="s">
        <v>5332</v>
      </c>
      <c r="B600" t="s">
        <v>2175</v>
      </c>
      <c r="C600" t="s">
        <v>2174</v>
      </c>
      <c r="D600" t="s">
        <v>4479</v>
      </c>
      <c r="E600" t="s">
        <v>27</v>
      </c>
      <c r="F600" t="s">
        <v>669</v>
      </c>
      <c r="G600" t="s">
        <v>1406</v>
      </c>
      <c r="H600" s="6">
        <v>46022</v>
      </c>
      <c r="I600" t="s">
        <v>29</v>
      </c>
      <c r="J600">
        <v>8</v>
      </c>
      <c r="K600">
        <v>0</v>
      </c>
      <c r="L600">
        <v>0</v>
      </c>
      <c r="M600">
        <v>0</v>
      </c>
      <c r="N600" t="s">
        <v>3915</v>
      </c>
      <c r="O600" t="s">
        <v>3915</v>
      </c>
      <c r="P600" t="s">
        <v>3915</v>
      </c>
      <c r="Q600">
        <v>0</v>
      </c>
      <c r="R600" t="s">
        <v>30</v>
      </c>
      <c r="S600">
        <v>0</v>
      </c>
      <c r="T600">
        <v>0</v>
      </c>
      <c r="U600" t="s">
        <v>3915</v>
      </c>
      <c r="V600" t="s">
        <v>31</v>
      </c>
      <c r="W600">
        <v>0</v>
      </c>
    </row>
    <row r="601" spans="1:23" x14ac:dyDescent="0.25">
      <c r="A601" t="s">
        <v>5333</v>
      </c>
      <c r="B601" t="s">
        <v>2177</v>
      </c>
      <c r="C601" t="s">
        <v>2176</v>
      </c>
      <c r="D601" t="s">
        <v>4479</v>
      </c>
      <c r="E601" t="s">
        <v>27</v>
      </c>
      <c r="F601" t="s">
        <v>669</v>
      </c>
      <c r="G601" t="s">
        <v>1406</v>
      </c>
      <c r="H601" s="6">
        <v>46022</v>
      </c>
      <c r="I601" t="s">
        <v>29</v>
      </c>
      <c r="J601">
        <v>48</v>
      </c>
      <c r="K601">
        <v>0</v>
      </c>
      <c r="L601">
        <v>0</v>
      </c>
      <c r="M601">
        <v>0</v>
      </c>
      <c r="N601" t="s">
        <v>3915</v>
      </c>
      <c r="O601" t="s">
        <v>3915</v>
      </c>
      <c r="P601" t="s">
        <v>3915</v>
      </c>
      <c r="Q601">
        <v>0</v>
      </c>
      <c r="R601" t="s">
        <v>30</v>
      </c>
      <c r="S601">
        <v>0</v>
      </c>
      <c r="T601">
        <v>0</v>
      </c>
      <c r="U601" t="s">
        <v>3915</v>
      </c>
      <c r="V601" t="s">
        <v>31</v>
      </c>
      <c r="W601">
        <v>0</v>
      </c>
    </row>
    <row r="602" spans="1:23" x14ac:dyDescent="0.25">
      <c r="A602" t="s">
        <v>4169</v>
      </c>
      <c r="B602" t="s">
        <v>723</v>
      </c>
      <c r="C602" t="s">
        <v>724</v>
      </c>
      <c r="D602" t="s">
        <v>4479</v>
      </c>
      <c r="E602" t="s">
        <v>27</v>
      </c>
      <c r="F602" t="s">
        <v>669</v>
      </c>
      <c r="G602" t="s">
        <v>1406</v>
      </c>
      <c r="H602" s="6">
        <v>46022</v>
      </c>
      <c r="I602" t="s">
        <v>29</v>
      </c>
      <c r="J602">
        <v>0</v>
      </c>
      <c r="K602">
        <v>0</v>
      </c>
      <c r="L602">
        <v>0</v>
      </c>
      <c r="M602">
        <v>0</v>
      </c>
      <c r="N602" t="s">
        <v>3915</v>
      </c>
      <c r="O602" t="s">
        <v>3915</v>
      </c>
      <c r="P602" t="s">
        <v>3915</v>
      </c>
      <c r="Q602">
        <v>0</v>
      </c>
      <c r="R602" t="s">
        <v>30</v>
      </c>
      <c r="S602">
        <v>0</v>
      </c>
      <c r="T602">
        <v>0</v>
      </c>
      <c r="U602" t="s">
        <v>3915</v>
      </c>
      <c r="V602" t="s">
        <v>31</v>
      </c>
      <c r="W602">
        <v>0</v>
      </c>
    </row>
    <row r="603" spans="1:23" x14ac:dyDescent="0.25">
      <c r="A603" t="s">
        <v>5334</v>
      </c>
      <c r="B603" t="s">
        <v>2179</v>
      </c>
      <c r="C603" t="s">
        <v>2178</v>
      </c>
      <c r="D603" t="s">
        <v>4479</v>
      </c>
      <c r="E603" t="s">
        <v>27</v>
      </c>
      <c r="F603" t="s">
        <v>669</v>
      </c>
      <c r="G603" t="s">
        <v>1406</v>
      </c>
      <c r="H603" s="6">
        <v>46022</v>
      </c>
      <c r="I603" t="s">
        <v>29</v>
      </c>
      <c r="J603">
        <v>117</v>
      </c>
      <c r="K603">
        <v>0</v>
      </c>
      <c r="L603">
        <v>0</v>
      </c>
      <c r="M603">
        <v>0</v>
      </c>
      <c r="N603" t="s">
        <v>3915</v>
      </c>
      <c r="O603" t="s">
        <v>3915</v>
      </c>
      <c r="P603" t="s">
        <v>3915</v>
      </c>
      <c r="Q603">
        <v>0</v>
      </c>
      <c r="R603" t="s">
        <v>30</v>
      </c>
      <c r="S603">
        <v>0</v>
      </c>
      <c r="T603">
        <v>0</v>
      </c>
      <c r="U603" t="s">
        <v>3915</v>
      </c>
      <c r="V603" t="s">
        <v>31</v>
      </c>
      <c r="W603">
        <v>0</v>
      </c>
    </row>
    <row r="604" spans="1:23" x14ac:dyDescent="0.25">
      <c r="A604" t="s">
        <v>4170</v>
      </c>
      <c r="B604" t="s">
        <v>725</v>
      </c>
      <c r="C604" t="s">
        <v>726</v>
      </c>
      <c r="D604" t="s">
        <v>4479</v>
      </c>
      <c r="E604" t="s">
        <v>27</v>
      </c>
      <c r="F604" t="s">
        <v>669</v>
      </c>
      <c r="G604" t="s">
        <v>1406</v>
      </c>
      <c r="H604" s="6">
        <v>46022</v>
      </c>
      <c r="I604" t="s">
        <v>29</v>
      </c>
      <c r="J604">
        <v>0</v>
      </c>
      <c r="K604">
        <v>0</v>
      </c>
      <c r="L604">
        <v>0</v>
      </c>
      <c r="M604">
        <v>0</v>
      </c>
      <c r="N604" t="s">
        <v>3915</v>
      </c>
      <c r="O604" t="s">
        <v>3915</v>
      </c>
      <c r="P604" t="s">
        <v>3915</v>
      </c>
      <c r="Q604">
        <v>0</v>
      </c>
      <c r="R604" t="s">
        <v>30</v>
      </c>
      <c r="S604">
        <v>0</v>
      </c>
      <c r="T604">
        <v>0</v>
      </c>
      <c r="U604" t="s">
        <v>3915</v>
      </c>
      <c r="V604" t="s">
        <v>31</v>
      </c>
      <c r="W604">
        <v>0</v>
      </c>
    </row>
    <row r="605" spans="1:23" x14ac:dyDescent="0.25">
      <c r="A605" t="s">
        <v>5335</v>
      </c>
      <c r="B605" t="s">
        <v>2181</v>
      </c>
      <c r="C605" t="s">
        <v>2180</v>
      </c>
      <c r="D605" t="s">
        <v>4479</v>
      </c>
      <c r="E605" t="s">
        <v>27</v>
      </c>
      <c r="F605" t="s">
        <v>669</v>
      </c>
      <c r="G605" t="s">
        <v>1406</v>
      </c>
      <c r="H605" s="6">
        <v>46022</v>
      </c>
      <c r="I605" t="s">
        <v>29</v>
      </c>
      <c r="J605">
        <v>3</v>
      </c>
      <c r="K605">
        <v>0</v>
      </c>
      <c r="L605">
        <v>0</v>
      </c>
      <c r="M605">
        <v>0</v>
      </c>
      <c r="N605" t="s">
        <v>3915</v>
      </c>
      <c r="O605" t="s">
        <v>3915</v>
      </c>
      <c r="P605" t="s">
        <v>3915</v>
      </c>
      <c r="Q605">
        <v>0</v>
      </c>
      <c r="R605" t="s">
        <v>30</v>
      </c>
      <c r="S605">
        <v>0</v>
      </c>
      <c r="T605">
        <v>0</v>
      </c>
      <c r="U605" t="s">
        <v>3915</v>
      </c>
      <c r="V605" t="s">
        <v>31</v>
      </c>
      <c r="W605">
        <v>0</v>
      </c>
    </row>
    <row r="606" spans="1:23" x14ac:dyDescent="0.25">
      <c r="A606" t="s">
        <v>4171</v>
      </c>
      <c r="B606" t="s">
        <v>727</v>
      </c>
      <c r="C606" t="s">
        <v>728</v>
      </c>
      <c r="D606" t="s">
        <v>4479</v>
      </c>
      <c r="E606" t="s">
        <v>27</v>
      </c>
      <c r="F606" t="s">
        <v>669</v>
      </c>
      <c r="G606" t="s">
        <v>1406</v>
      </c>
      <c r="H606" s="6">
        <v>46022</v>
      </c>
      <c r="I606" t="s">
        <v>29</v>
      </c>
      <c r="J606">
        <v>3</v>
      </c>
      <c r="K606">
        <v>0</v>
      </c>
      <c r="L606">
        <v>0</v>
      </c>
      <c r="M606">
        <v>0</v>
      </c>
      <c r="N606" t="s">
        <v>3915</v>
      </c>
      <c r="O606" t="s">
        <v>3915</v>
      </c>
      <c r="P606" t="s">
        <v>3915</v>
      </c>
      <c r="Q606">
        <v>0</v>
      </c>
      <c r="R606" t="s">
        <v>30</v>
      </c>
      <c r="S606">
        <v>0</v>
      </c>
      <c r="T606">
        <v>0</v>
      </c>
      <c r="U606" t="s">
        <v>3915</v>
      </c>
      <c r="V606" t="s">
        <v>31</v>
      </c>
      <c r="W606">
        <v>0</v>
      </c>
    </row>
    <row r="607" spans="1:23" x14ac:dyDescent="0.25">
      <c r="A607" t="s">
        <v>4172</v>
      </c>
      <c r="B607" t="s">
        <v>729</v>
      </c>
      <c r="C607" t="s">
        <v>730</v>
      </c>
      <c r="D607" t="s">
        <v>4479</v>
      </c>
      <c r="E607" t="s">
        <v>27</v>
      </c>
      <c r="F607" t="s">
        <v>669</v>
      </c>
      <c r="G607" t="s">
        <v>1406</v>
      </c>
      <c r="H607" s="6">
        <v>46022</v>
      </c>
      <c r="I607" t="s">
        <v>29</v>
      </c>
      <c r="J607">
        <v>0</v>
      </c>
      <c r="K607">
        <v>0</v>
      </c>
      <c r="L607">
        <v>0</v>
      </c>
      <c r="M607">
        <v>0</v>
      </c>
      <c r="N607" t="s">
        <v>3915</v>
      </c>
      <c r="O607" t="s">
        <v>3915</v>
      </c>
      <c r="P607" t="s">
        <v>3915</v>
      </c>
      <c r="Q607">
        <v>0</v>
      </c>
      <c r="R607" t="s">
        <v>30</v>
      </c>
      <c r="S607">
        <v>0</v>
      </c>
      <c r="T607">
        <v>0</v>
      </c>
      <c r="U607" t="s">
        <v>3915</v>
      </c>
      <c r="V607" t="s">
        <v>31</v>
      </c>
      <c r="W607">
        <v>0</v>
      </c>
    </row>
    <row r="608" spans="1:23" x14ac:dyDescent="0.25">
      <c r="A608" t="s">
        <v>5336</v>
      </c>
      <c r="B608" t="s">
        <v>2183</v>
      </c>
      <c r="C608" t="s">
        <v>2182</v>
      </c>
      <c r="D608" t="s">
        <v>4479</v>
      </c>
      <c r="E608" t="s">
        <v>27</v>
      </c>
      <c r="F608" t="s">
        <v>669</v>
      </c>
      <c r="G608" t="s">
        <v>1406</v>
      </c>
      <c r="H608" s="6">
        <v>46022</v>
      </c>
      <c r="I608" t="s">
        <v>29</v>
      </c>
      <c r="J608">
        <v>1</v>
      </c>
      <c r="K608">
        <v>0</v>
      </c>
      <c r="L608">
        <v>0</v>
      </c>
      <c r="M608">
        <v>0</v>
      </c>
      <c r="N608" t="s">
        <v>3915</v>
      </c>
      <c r="O608" t="s">
        <v>3915</v>
      </c>
      <c r="P608" t="s">
        <v>3915</v>
      </c>
      <c r="Q608">
        <v>0</v>
      </c>
      <c r="R608" t="s">
        <v>30</v>
      </c>
      <c r="S608">
        <v>0</v>
      </c>
      <c r="T608">
        <v>0</v>
      </c>
      <c r="U608" t="s">
        <v>3915</v>
      </c>
      <c r="V608" t="s">
        <v>31</v>
      </c>
      <c r="W608">
        <v>0</v>
      </c>
    </row>
    <row r="609" spans="1:23" x14ac:dyDescent="0.25">
      <c r="A609" t="s">
        <v>5337</v>
      </c>
      <c r="B609" t="s">
        <v>1494</v>
      </c>
      <c r="C609" t="s">
        <v>1493</v>
      </c>
      <c r="D609" t="s">
        <v>4479</v>
      </c>
      <c r="E609" t="s">
        <v>27</v>
      </c>
      <c r="F609" t="s">
        <v>669</v>
      </c>
      <c r="G609" t="s">
        <v>1406</v>
      </c>
      <c r="H609" s="6">
        <v>46022</v>
      </c>
      <c r="I609" t="s">
        <v>29</v>
      </c>
      <c r="J609">
        <v>313</v>
      </c>
      <c r="K609">
        <v>0</v>
      </c>
      <c r="L609">
        <v>0</v>
      </c>
      <c r="M609">
        <v>0</v>
      </c>
      <c r="N609" t="s">
        <v>3915</v>
      </c>
      <c r="O609" t="s">
        <v>3915</v>
      </c>
      <c r="P609" t="s">
        <v>3915</v>
      </c>
      <c r="Q609">
        <v>0</v>
      </c>
      <c r="R609" t="s">
        <v>30</v>
      </c>
      <c r="S609">
        <v>0</v>
      </c>
      <c r="T609">
        <v>0</v>
      </c>
      <c r="U609" t="s">
        <v>3915</v>
      </c>
      <c r="V609" t="s">
        <v>31</v>
      </c>
      <c r="W609">
        <v>0</v>
      </c>
    </row>
    <row r="610" spans="1:23" x14ac:dyDescent="0.25">
      <c r="A610" t="s">
        <v>5338</v>
      </c>
      <c r="B610" t="s">
        <v>2185</v>
      </c>
      <c r="C610" t="s">
        <v>2184</v>
      </c>
      <c r="D610" t="s">
        <v>4479</v>
      </c>
      <c r="E610" t="s">
        <v>27</v>
      </c>
      <c r="F610" t="s">
        <v>669</v>
      </c>
      <c r="G610" t="s">
        <v>1406</v>
      </c>
      <c r="H610" s="6">
        <v>46022</v>
      </c>
      <c r="I610" t="s">
        <v>29</v>
      </c>
      <c r="J610">
        <v>286</v>
      </c>
      <c r="K610">
        <v>0</v>
      </c>
      <c r="L610">
        <v>0</v>
      </c>
      <c r="M610">
        <v>0</v>
      </c>
      <c r="N610" t="s">
        <v>3915</v>
      </c>
      <c r="O610" t="s">
        <v>3915</v>
      </c>
      <c r="P610" t="s">
        <v>3915</v>
      </c>
      <c r="Q610">
        <v>0</v>
      </c>
      <c r="R610" t="s">
        <v>30</v>
      </c>
      <c r="S610">
        <v>0</v>
      </c>
      <c r="T610">
        <v>0</v>
      </c>
      <c r="U610" t="s">
        <v>3915</v>
      </c>
      <c r="V610" t="s">
        <v>31</v>
      </c>
      <c r="W610">
        <v>0</v>
      </c>
    </row>
    <row r="611" spans="1:23" x14ac:dyDescent="0.25">
      <c r="A611" t="s">
        <v>5339</v>
      </c>
      <c r="B611" t="s">
        <v>1496</v>
      </c>
      <c r="C611" t="s">
        <v>1495</v>
      </c>
      <c r="D611" t="s">
        <v>4479</v>
      </c>
      <c r="E611" t="s">
        <v>27</v>
      </c>
      <c r="F611" t="s">
        <v>669</v>
      </c>
      <c r="G611" t="s">
        <v>1406</v>
      </c>
      <c r="H611" s="6">
        <v>46022</v>
      </c>
      <c r="I611" t="s">
        <v>29</v>
      </c>
      <c r="J611">
        <v>489</v>
      </c>
      <c r="K611">
        <v>0</v>
      </c>
      <c r="L611">
        <v>0</v>
      </c>
      <c r="M611">
        <v>0</v>
      </c>
      <c r="N611" t="s">
        <v>3915</v>
      </c>
      <c r="O611" t="s">
        <v>3915</v>
      </c>
      <c r="P611" t="s">
        <v>3915</v>
      </c>
      <c r="Q611">
        <v>0</v>
      </c>
      <c r="R611" t="s">
        <v>30</v>
      </c>
      <c r="S611">
        <v>0</v>
      </c>
      <c r="T611">
        <v>0</v>
      </c>
      <c r="U611" t="s">
        <v>3915</v>
      </c>
      <c r="V611" t="s">
        <v>31</v>
      </c>
      <c r="W611">
        <v>0</v>
      </c>
    </row>
    <row r="612" spans="1:23" x14ac:dyDescent="0.25">
      <c r="A612" t="s">
        <v>4499</v>
      </c>
      <c r="B612" t="s">
        <v>1498</v>
      </c>
      <c r="C612" t="s">
        <v>1497</v>
      </c>
      <c r="D612" t="s">
        <v>4479</v>
      </c>
      <c r="E612" t="s">
        <v>27</v>
      </c>
      <c r="F612" t="s">
        <v>669</v>
      </c>
      <c r="G612" t="s">
        <v>1406</v>
      </c>
      <c r="H612" s="6">
        <v>46022</v>
      </c>
      <c r="I612" t="s">
        <v>29</v>
      </c>
      <c r="J612">
        <v>205</v>
      </c>
      <c r="K612">
        <v>0</v>
      </c>
      <c r="L612">
        <v>0</v>
      </c>
      <c r="M612">
        <v>0</v>
      </c>
      <c r="N612" t="s">
        <v>3915</v>
      </c>
      <c r="O612" t="s">
        <v>3915</v>
      </c>
      <c r="P612" t="s">
        <v>3915</v>
      </c>
      <c r="Q612">
        <v>0</v>
      </c>
      <c r="R612" t="s">
        <v>30</v>
      </c>
      <c r="S612">
        <v>0</v>
      </c>
      <c r="T612">
        <v>0</v>
      </c>
      <c r="U612" t="s">
        <v>3915</v>
      </c>
      <c r="V612" t="s">
        <v>31</v>
      </c>
      <c r="W612">
        <v>0</v>
      </c>
    </row>
    <row r="613" spans="1:23" x14ac:dyDescent="0.25">
      <c r="A613" t="s">
        <v>5340</v>
      </c>
      <c r="B613" t="s">
        <v>2187</v>
      </c>
      <c r="C613" t="s">
        <v>2186</v>
      </c>
      <c r="D613" t="s">
        <v>4479</v>
      </c>
      <c r="E613" t="s">
        <v>27</v>
      </c>
      <c r="F613" t="s">
        <v>669</v>
      </c>
      <c r="G613" t="s">
        <v>1406</v>
      </c>
      <c r="H613" s="6">
        <v>46022</v>
      </c>
      <c r="I613" t="s">
        <v>29</v>
      </c>
      <c r="J613">
        <v>127</v>
      </c>
      <c r="K613">
        <v>0</v>
      </c>
      <c r="L613">
        <v>0</v>
      </c>
      <c r="M613">
        <v>0</v>
      </c>
      <c r="N613" t="s">
        <v>3915</v>
      </c>
      <c r="O613" t="s">
        <v>3915</v>
      </c>
      <c r="P613" t="s">
        <v>3915</v>
      </c>
      <c r="Q613">
        <v>0</v>
      </c>
      <c r="R613" t="s">
        <v>30</v>
      </c>
      <c r="S613">
        <v>0</v>
      </c>
      <c r="T613">
        <v>0</v>
      </c>
      <c r="U613" t="s">
        <v>3915</v>
      </c>
      <c r="V613" t="s">
        <v>31</v>
      </c>
      <c r="W613">
        <v>0</v>
      </c>
    </row>
    <row r="614" spans="1:23" x14ac:dyDescent="0.25">
      <c r="A614" t="s">
        <v>4827</v>
      </c>
      <c r="B614" t="s">
        <v>2189</v>
      </c>
      <c r="C614" t="s">
        <v>2188</v>
      </c>
      <c r="D614" t="s">
        <v>4479</v>
      </c>
      <c r="E614" t="s">
        <v>27</v>
      </c>
      <c r="F614" t="s">
        <v>669</v>
      </c>
      <c r="G614" t="s">
        <v>1406</v>
      </c>
      <c r="H614" s="6">
        <v>46022</v>
      </c>
      <c r="I614" t="s">
        <v>29</v>
      </c>
      <c r="J614">
        <v>1</v>
      </c>
      <c r="K614">
        <v>0</v>
      </c>
      <c r="L614">
        <v>0</v>
      </c>
      <c r="M614">
        <v>0</v>
      </c>
      <c r="N614" t="s">
        <v>3915</v>
      </c>
      <c r="O614" t="s">
        <v>3915</v>
      </c>
      <c r="P614" t="s">
        <v>3915</v>
      </c>
      <c r="Q614">
        <v>0</v>
      </c>
      <c r="R614" t="s">
        <v>30</v>
      </c>
      <c r="S614">
        <v>0</v>
      </c>
      <c r="T614">
        <v>0</v>
      </c>
      <c r="U614" t="s">
        <v>3915</v>
      </c>
      <c r="V614" t="s">
        <v>31</v>
      </c>
      <c r="W614">
        <v>0</v>
      </c>
    </row>
    <row r="615" spans="1:23" x14ac:dyDescent="0.25">
      <c r="A615" t="s">
        <v>4772</v>
      </c>
      <c r="B615" t="s">
        <v>2191</v>
      </c>
      <c r="C615" t="s">
        <v>2190</v>
      </c>
      <c r="D615" t="s">
        <v>4479</v>
      </c>
      <c r="E615" t="s">
        <v>27</v>
      </c>
      <c r="F615" t="s">
        <v>669</v>
      </c>
      <c r="G615" t="s">
        <v>1406</v>
      </c>
      <c r="H615" s="6">
        <v>46022</v>
      </c>
      <c r="I615" t="s">
        <v>29</v>
      </c>
      <c r="J615">
        <v>4</v>
      </c>
      <c r="K615">
        <v>0</v>
      </c>
      <c r="L615">
        <v>0</v>
      </c>
      <c r="M615">
        <v>0</v>
      </c>
      <c r="N615" t="s">
        <v>3915</v>
      </c>
      <c r="O615" t="s">
        <v>3915</v>
      </c>
      <c r="P615" t="s">
        <v>3915</v>
      </c>
      <c r="Q615">
        <v>0</v>
      </c>
      <c r="R615" t="s">
        <v>30</v>
      </c>
      <c r="S615">
        <v>0</v>
      </c>
      <c r="T615">
        <v>0</v>
      </c>
      <c r="U615" t="s">
        <v>3915</v>
      </c>
      <c r="V615" t="s">
        <v>31</v>
      </c>
      <c r="W615">
        <v>0</v>
      </c>
    </row>
    <row r="616" spans="1:23" x14ac:dyDescent="0.25">
      <c r="A616" t="s">
        <v>5341</v>
      </c>
      <c r="B616" t="s">
        <v>2193</v>
      </c>
      <c r="C616" t="s">
        <v>2192</v>
      </c>
      <c r="D616" t="s">
        <v>4479</v>
      </c>
      <c r="E616" t="s">
        <v>27</v>
      </c>
      <c r="F616" t="s">
        <v>669</v>
      </c>
      <c r="G616" t="s">
        <v>1406</v>
      </c>
      <c r="H616" s="6">
        <v>46022</v>
      </c>
      <c r="I616" t="s">
        <v>29</v>
      </c>
      <c r="J616">
        <v>1</v>
      </c>
      <c r="K616">
        <v>0</v>
      </c>
      <c r="L616">
        <v>0</v>
      </c>
      <c r="M616">
        <v>0</v>
      </c>
      <c r="N616" t="s">
        <v>3915</v>
      </c>
      <c r="O616" t="s">
        <v>3915</v>
      </c>
      <c r="P616" t="s">
        <v>3915</v>
      </c>
      <c r="Q616">
        <v>0</v>
      </c>
      <c r="R616" t="s">
        <v>30</v>
      </c>
      <c r="S616">
        <v>0</v>
      </c>
      <c r="T616">
        <v>0</v>
      </c>
      <c r="U616" t="s">
        <v>3915</v>
      </c>
      <c r="V616" t="s">
        <v>31</v>
      </c>
      <c r="W616">
        <v>0</v>
      </c>
    </row>
    <row r="617" spans="1:23" x14ac:dyDescent="0.25">
      <c r="A617" t="s">
        <v>4173</v>
      </c>
      <c r="B617" t="s">
        <v>731</v>
      </c>
      <c r="C617" t="s">
        <v>732</v>
      </c>
      <c r="D617" t="s">
        <v>4479</v>
      </c>
      <c r="E617" t="s">
        <v>27</v>
      </c>
      <c r="F617" t="s">
        <v>669</v>
      </c>
      <c r="G617" t="s">
        <v>1406</v>
      </c>
      <c r="H617" s="6">
        <v>46022</v>
      </c>
      <c r="I617" t="s">
        <v>29</v>
      </c>
      <c r="J617">
        <v>68</v>
      </c>
      <c r="K617">
        <v>0</v>
      </c>
      <c r="L617">
        <v>0</v>
      </c>
      <c r="M617">
        <v>0</v>
      </c>
      <c r="N617" t="s">
        <v>3915</v>
      </c>
      <c r="O617" t="s">
        <v>3915</v>
      </c>
      <c r="P617" t="s">
        <v>3915</v>
      </c>
      <c r="Q617">
        <v>0</v>
      </c>
      <c r="R617" t="s">
        <v>30</v>
      </c>
      <c r="S617">
        <v>0</v>
      </c>
      <c r="T617">
        <v>0</v>
      </c>
      <c r="U617" t="s">
        <v>3915</v>
      </c>
      <c r="V617" t="s">
        <v>31</v>
      </c>
      <c r="W617">
        <v>0</v>
      </c>
    </row>
    <row r="618" spans="1:23" x14ac:dyDescent="0.25">
      <c r="A618" t="s">
        <v>4174</v>
      </c>
      <c r="B618" t="s">
        <v>733</v>
      </c>
      <c r="C618" t="s">
        <v>734</v>
      </c>
      <c r="D618" t="s">
        <v>4479</v>
      </c>
      <c r="E618" t="s">
        <v>27</v>
      </c>
      <c r="F618" t="s">
        <v>669</v>
      </c>
      <c r="G618" t="s">
        <v>1406</v>
      </c>
      <c r="H618" s="6">
        <v>46022</v>
      </c>
      <c r="I618" t="s">
        <v>29</v>
      </c>
      <c r="J618">
        <v>0</v>
      </c>
      <c r="K618">
        <v>0</v>
      </c>
      <c r="L618">
        <v>0</v>
      </c>
      <c r="M618">
        <v>0</v>
      </c>
      <c r="N618" t="s">
        <v>3915</v>
      </c>
      <c r="O618" t="s">
        <v>3915</v>
      </c>
      <c r="P618" t="s">
        <v>3915</v>
      </c>
      <c r="Q618">
        <v>0</v>
      </c>
      <c r="R618" t="s">
        <v>30</v>
      </c>
      <c r="S618">
        <v>0</v>
      </c>
      <c r="T618">
        <v>0</v>
      </c>
      <c r="U618" t="s">
        <v>3915</v>
      </c>
      <c r="V618" t="s">
        <v>31</v>
      </c>
      <c r="W618">
        <v>0</v>
      </c>
    </row>
    <row r="619" spans="1:23" x14ac:dyDescent="0.25">
      <c r="A619" t="s">
        <v>4175</v>
      </c>
      <c r="B619" t="s">
        <v>737</v>
      </c>
      <c r="C619" t="s">
        <v>738</v>
      </c>
      <c r="D619" t="s">
        <v>4479</v>
      </c>
      <c r="E619" t="s">
        <v>27</v>
      </c>
      <c r="F619" t="s">
        <v>669</v>
      </c>
      <c r="G619" t="s">
        <v>1406</v>
      </c>
      <c r="H619" s="6">
        <v>46022</v>
      </c>
      <c r="I619" t="s">
        <v>29</v>
      </c>
      <c r="J619">
        <v>1</v>
      </c>
      <c r="K619">
        <v>0</v>
      </c>
      <c r="L619">
        <v>0</v>
      </c>
      <c r="M619">
        <v>0</v>
      </c>
      <c r="N619" t="s">
        <v>3915</v>
      </c>
      <c r="O619" t="s">
        <v>3915</v>
      </c>
      <c r="P619" t="s">
        <v>3915</v>
      </c>
      <c r="Q619">
        <v>0</v>
      </c>
      <c r="R619" t="s">
        <v>30</v>
      </c>
      <c r="S619">
        <v>0</v>
      </c>
      <c r="T619">
        <v>0</v>
      </c>
      <c r="U619" t="s">
        <v>3915</v>
      </c>
      <c r="V619" t="s">
        <v>31</v>
      </c>
      <c r="W619">
        <v>0</v>
      </c>
    </row>
    <row r="620" spans="1:23" x14ac:dyDescent="0.25">
      <c r="A620" t="s">
        <v>4176</v>
      </c>
      <c r="B620" t="s">
        <v>739</v>
      </c>
      <c r="C620" t="s">
        <v>740</v>
      </c>
      <c r="D620" t="s">
        <v>4479</v>
      </c>
      <c r="E620" t="s">
        <v>27</v>
      </c>
      <c r="F620" t="s">
        <v>669</v>
      </c>
      <c r="G620" t="s">
        <v>1406</v>
      </c>
      <c r="H620" s="6">
        <v>46022</v>
      </c>
      <c r="I620" t="s">
        <v>29</v>
      </c>
      <c r="J620">
        <v>0</v>
      </c>
      <c r="K620">
        <v>0</v>
      </c>
      <c r="L620">
        <v>0</v>
      </c>
      <c r="M620">
        <v>0</v>
      </c>
      <c r="N620" t="s">
        <v>3915</v>
      </c>
      <c r="O620" t="s">
        <v>3915</v>
      </c>
      <c r="P620" t="s">
        <v>3915</v>
      </c>
      <c r="Q620">
        <v>0</v>
      </c>
      <c r="R620" t="s">
        <v>30</v>
      </c>
      <c r="S620">
        <v>0</v>
      </c>
      <c r="T620">
        <v>0</v>
      </c>
      <c r="U620" t="s">
        <v>3915</v>
      </c>
      <c r="V620" t="s">
        <v>31</v>
      </c>
      <c r="W620">
        <v>0</v>
      </c>
    </row>
    <row r="621" spans="1:23" x14ac:dyDescent="0.25">
      <c r="A621" t="s">
        <v>4177</v>
      </c>
      <c r="B621" t="s">
        <v>741</v>
      </c>
      <c r="C621" t="s">
        <v>742</v>
      </c>
      <c r="D621" t="s">
        <v>4479</v>
      </c>
      <c r="E621" t="s">
        <v>27</v>
      </c>
      <c r="F621" t="s">
        <v>669</v>
      </c>
      <c r="G621" t="s">
        <v>1406</v>
      </c>
      <c r="H621" s="6">
        <v>46022</v>
      </c>
      <c r="I621" t="s">
        <v>29</v>
      </c>
      <c r="J621">
        <v>0</v>
      </c>
      <c r="K621">
        <v>0</v>
      </c>
      <c r="L621">
        <v>0</v>
      </c>
      <c r="M621">
        <v>0</v>
      </c>
      <c r="N621" t="s">
        <v>3915</v>
      </c>
      <c r="O621" t="s">
        <v>3915</v>
      </c>
      <c r="P621" t="s">
        <v>3915</v>
      </c>
      <c r="Q621">
        <v>0</v>
      </c>
      <c r="R621" t="s">
        <v>30</v>
      </c>
      <c r="S621">
        <v>0</v>
      </c>
      <c r="T621">
        <v>0</v>
      </c>
      <c r="U621" t="s">
        <v>3915</v>
      </c>
      <c r="V621" t="s">
        <v>31</v>
      </c>
      <c r="W621">
        <v>0</v>
      </c>
    </row>
    <row r="622" spans="1:23" x14ac:dyDescent="0.25">
      <c r="A622" t="s">
        <v>4917</v>
      </c>
      <c r="B622" t="s">
        <v>1502</v>
      </c>
      <c r="C622" t="s">
        <v>1501</v>
      </c>
      <c r="D622" t="s">
        <v>4479</v>
      </c>
      <c r="E622" t="s">
        <v>27</v>
      </c>
      <c r="F622" t="s">
        <v>669</v>
      </c>
      <c r="G622" t="s">
        <v>1406</v>
      </c>
      <c r="H622" s="6">
        <v>46022</v>
      </c>
      <c r="I622" t="s">
        <v>29</v>
      </c>
      <c r="J622">
        <v>39</v>
      </c>
      <c r="K622">
        <v>0</v>
      </c>
      <c r="L622">
        <v>0</v>
      </c>
      <c r="M622">
        <v>0</v>
      </c>
      <c r="N622" t="s">
        <v>3915</v>
      </c>
      <c r="O622" t="s">
        <v>3915</v>
      </c>
      <c r="P622" t="s">
        <v>3915</v>
      </c>
      <c r="Q622">
        <v>0</v>
      </c>
      <c r="R622" t="s">
        <v>30</v>
      </c>
      <c r="S622">
        <v>0</v>
      </c>
      <c r="T622">
        <v>0</v>
      </c>
      <c r="U622" t="s">
        <v>3915</v>
      </c>
      <c r="V622" t="s">
        <v>31</v>
      </c>
      <c r="W622">
        <v>0</v>
      </c>
    </row>
    <row r="623" spans="1:23" x14ac:dyDescent="0.25">
      <c r="A623" t="s">
        <v>5342</v>
      </c>
      <c r="B623" t="s">
        <v>1504</v>
      </c>
      <c r="C623" t="s">
        <v>1503</v>
      </c>
      <c r="D623" t="s">
        <v>4479</v>
      </c>
      <c r="E623" t="s">
        <v>27</v>
      </c>
      <c r="F623" t="s">
        <v>669</v>
      </c>
      <c r="G623" t="s">
        <v>1406</v>
      </c>
      <c r="H623" s="6">
        <v>46022</v>
      </c>
      <c r="I623" t="s">
        <v>29</v>
      </c>
      <c r="J623">
        <v>5</v>
      </c>
      <c r="K623">
        <v>0</v>
      </c>
      <c r="L623">
        <v>0</v>
      </c>
      <c r="M623">
        <v>0</v>
      </c>
      <c r="N623" t="s">
        <v>3915</v>
      </c>
      <c r="O623" t="s">
        <v>3915</v>
      </c>
      <c r="P623" t="s">
        <v>3915</v>
      </c>
      <c r="Q623">
        <v>0</v>
      </c>
      <c r="R623" t="s">
        <v>30</v>
      </c>
      <c r="S623">
        <v>0</v>
      </c>
      <c r="T623">
        <v>0</v>
      </c>
      <c r="U623" t="s">
        <v>3915</v>
      </c>
      <c r="V623" t="s">
        <v>31</v>
      </c>
      <c r="W623">
        <v>0</v>
      </c>
    </row>
    <row r="624" spans="1:23" x14ac:dyDescent="0.25">
      <c r="A624" t="s">
        <v>5343</v>
      </c>
      <c r="B624" t="s">
        <v>2195</v>
      </c>
      <c r="C624" t="s">
        <v>2194</v>
      </c>
      <c r="D624" t="s">
        <v>4479</v>
      </c>
      <c r="E624" t="s">
        <v>27</v>
      </c>
      <c r="F624" t="s">
        <v>669</v>
      </c>
      <c r="G624" t="s">
        <v>1406</v>
      </c>
      <c r="H624" s="6">
        <v>46022</v>
      </c>
      <c r="I624" t="s">
        <v>29</v>
      </c>
      <c r="J624">
        <v>54</v>
      </c>
      <c r="K624">
        <v>0</v>
      </c>
      <c r="L624">
        <v>0</v>
      </c>
      <c r="M624">
        <v>0</v>
      </c>
      <c r="N624" t="s">
        <v>3915</v>
      </c>
      <c r="O624" t="s">
        <v>3915</v>
      </c>
      <c r="P624" t="s">
        <v>3915</v>
      </c>
      <c r="Q624">
        <v>0</v>
      </c>
      <c r="R624" t="s">
        <v>30</v>
      </c>
      <c r="S624">
        <v>0</v>
      </c>
      <c r="T624">
        <v>0</v>
      </c>
      <c r="U624" t="s">
        <v>3915</v>
      </c>
      <c r="V624" t="s">
        <v>31</v>
      </c>
      <c r="W624">
        <v>0</v>
      </c>
    </row>
    <row r="625" spans="1:23" x14ac:dyDescent="0.25">
      <c r="A625" t="s">
        <v>5344</v>
      </c>
      <c r="B625" t="s">
        <v>1506</v>
      </c>
      <c r="C625" t="s">
        <v>1505</v>
      </c>
      <c r="D625" t="s">
        <v>4479</v>
      </c>
      <c r="E625" t="s">
        <v>27</v>
      </c>
      <c r="F625" t="s">
        <v>669</v>
      </c>
      <c r="G625" t="s">
        <v>1406</v>
      </c>
      <c r="H625" s="6">
        <v>46022</v>
      </c>
      <c r="I625" t="s">
        <v>29</v>
      </c>
      <c r="J625">
        <v>15</v>
      </c>
      <c r="K625">
        <v>0</v>
      </c>
      <c r="L625">
        <v>0</v>
      </c>
      <c r="M625">
        <v>0</v>
      </c>
      <c r="N625" t="s">
        <v>3915</v>
      </c>
      <c r="O625" t="s">
        <v>3915</v>
      </c>
      <c r="P625" t="s">
        <v>3915</v>
      </c>
      <c r="Q625">
        <v>0</v>
      </c>
      <c r="R625" t="s">
        <v>30</v>
      </c>
      <c r="S625">
        <v>0</v>
      </c>
      <c r="T625">
        <v>0</v>
      </c>
      <c r="U625" t="s">
        <v>3915</v>
      </c>
      <c r="V625" t="s">
        <v>31</v>
      </c>
      <c r="W625">
        <v>0</v>
      </c>
    </row>
    <row r="626" spans="1:23" x14ac:dyDescent="0.25">
      <c r="A626" t="s">
        <v>5345</v>
      </c>
      <c r="B626" t="s">
        <v>2197</v>
      </c>
      <c r="C626" t="s">
        <v>2196</v>
      </c>
      <c r="D626" t="s">
        <v>4479</v>
      </c>
      <c r="E626" t="s">
        <v>27</v>
      </c>
      <c r="F626" t="s">
        <v>669</v>
      </c>
      <c r="G626" t="s">
        <v>1406</v>
      </c>
      <c r="H626" s="6">
        <v>46022</v>
      </c>
      <c r="I626" t="s">
        <v>29</v>
      </c>
      <c r="J626">
        <v>50</v>
      </c>
      <c r="K626">
        <v>0</v>
      </c>
      <c r="L626">
        <v>0</v>
      </c>
      <c r="M626">
        <v>0</v>
      </c>
      <c r="N626" t="s">
        <v>3915</v>
      </c>
      <c r="O626" t="s">
        <v>3915</v>
      </c>
      <c r="P626" t="s">
        <v>3915</v>
      </c>
      <c r="Q626">
        <v>0</v>
      </c>
      <c r="R626" t="s">
        <v>30</v>
      </c>
      <c r="S626">
        <v>0</v>
      </c>
      <c r="T626">
        <v>0</v>
      </c>
      <c r="U626" t="s">
        <v>3915</v>
      </c>
      <c r="V626" t="s">
        <v>31</v>
      </c>
      <c r="W626">
        <v>0</v>
      </c>
    </row>
    <row r="627" spans="1:23" x14ac:dyDescent="0.25">
      <c r="A627" t="s">
        <v>5346</v>
      </c>
      <c r="B627" t="s">
        <v>2199</v>
      </c>
      <c r="C627" t="s">
        <v>2198</v>
      </c>
      <c r="D627" t="s">
        <v>4479</v>
      </c>
      <c r="E627" t="s">
        <v>27</v>
      </c>
      <c r="F627" t="s">
        <v>669</v>
      </c>
      <c r="G627" t="s">
        <v>1406</v>
      </c>
      <c r="H627" s="6">
        <v>46022</v>
      </c>
      <c r="I627" t="s">
        <v>29</v>
      </c>
      <c r="J627">
        <v>12</v>
      </c>
      <c r="K627">
        <v>0</v>
      </c>
      <c r="L627">
        <v>0</v>
      </c>
      <c r="M627">
        <v>0</v>
      </c>
      <c r="N627" t="s">
        <v>3915</v>
      </c>
      <c r="O627" t="s">
        <v>3915</v>
      </c>
      <c r="P627" t="s">
        <v>3915</v>
      </c>
      <c r="Q627">
        <v>0</v>
      </c>
      <c r="R627" t="s">
        <v>30</v>
      </c>
      <c r="S627">
        <v>0</v>
      </c>
      <c r="T627">
        <v>0</v>
      </c>
      <c r="U627" t="s">
        <v>3915</v>
      </c>
      <c r="V627" t="s">
        <v>31</v>
      </c>
      <c r="W627">
        <v>0</v>
      </c>
    </row>
    <row r="628" spans="1:23" x14ac:dyDescent="0.25">
      <c r="A628" t="s">
        <v>5347</v>
      </c>
      <c r="B628" t="s">
        <v>2201</v>
      </c>
      <c r="C628" t="s">
        <v>2200</v>
      </c>
      <c r="D628" t="s">
        <v>4479</v>
      </c>
      <c r="E628" t="s">
        <v>27</v>
      </c>
      <c r="F628" t="s">
        <v>669</v>
      </c>
      <c r="G628" t="s">
        <v>1406</v>
      </c>
      <c r="H628" s="6">
        <v>46022</v>
      </c>
      <c r="I628" t="s">
        <v>29</v>
      </c>
      <c r="J628">
        <v>24</v>
      </c>
      <c r="K628">
        <v>0</v>
      </c>
      <c r="L628">
        <v>0</v>
      </c>
      <c r="M628">
        <v>0</v>
      </c>
      <c r="N628" t="s">
        <v>3915</v>
      </c>
      <c r="O628" t="s">
        <v>3915</v>
      </c>
      <c r="P628" t="s">
        <v>3915</v>
      </c>
      <c r="Q628">
        <v>0</v>
      </c>
      <c r="R628" t="s">
        <v>30</v>
      </c>
      <c r="S628">
        <v>0</v>
      </c>
      <c r="T628">
        <v>0</v>
      </c>
      <c r="U628" t="s">
        <v>3915</v>
      </c>
      <c r="V628" t="s">
        <v>31</v>
      </c>
      <c r="W628">
        <v>0</v>
      </c>
    </row>
    <row r="629" spans="1:23" x14ac:dyDescent="0.25">
      <c r="A629" t="s">
        <v>5348</v>
      </c>
      <c r="B629" t="s">
        <v>2203</v>
      </c>
      <c r="C629" t="s">
        <v>2202</v>
      </c>
      <c r="D629" t="s">
        <v>4479</v>
      </c>
      <c r="E629" t="s">
        <v>27</v>
      </c>
      <c r="F629" t="s">
        <v>669</v>
      </c>
      <c r="G629" t="s">
        <v>1406</v>
      </c>
      <c r="H629" s="6">
        <v>46022</v>
      </c>
      <c r="I629" t="s">
        <v>29</v>
      </c>
      <c r="J629">
        <v>62</v>
      </c>
      <c r="K629">
        <v>0</v>
      </c>
      <c r="L629">
        <v>0</v>
      </c>
      <c r="M629">
        <v>0</v>
      </c>
      <c r="N629" t="s">
        <v>3915</v>
      </c>
      <c r="O629" t="s">
        <v>3915</v>
      </c>
      <c r="P629" t="s">
        <v>3915</v>
      </c>
      <c r="Q629">
        <v>0</v>
      </c>
      <c r="R629" t="s">
        <v>30</v>
      </c>
      <c r="S629">
        <v>0</v>
      </c>
      <c r="T629">
        <v>0</v>
      </c>
      <c r="U629" t="s">
        <v>3915</v>
      </c>
      <c r="V629" t="s">
        <v>31</v>
      </c>
      <c r="W629">
        <v>0</v>
      </c>
    </row>
    <row r="630" spans="1:23" x14ac:dyDescent="0.25">
      <c r="A630" t="s">
        <v>5015</v>
      </c>
      <c r="B630" t="s">
        <v>2205</v>
      </c>
      <c r="C630" t="s">
        <v>2204</v>
      </c>
      <c r="D630" t="s">
        <v>4479</v>
      </c>
      <c r="E630" t="s">
        <v>27</v>
      </c>
      <c r="F630" t="s">
        <v>669</v>
      </c>
      <c r="G630" t="s">
        <v>1406</v>
      </c>
      <c r="H630" s="6">
        <v>46022</v>
      </c>
      <c r="I630" t="s">
        <v>29</v>
      </c>
      <c r="J630">
        <v>24</v>
      </c>
      <c r="K630">
        <v>0</v>
      </c>
      <c r="L630">
        <v>0</v>
      </c>
      <c r="M630">
        <v>0</v>
      </c>
      <c r="N630" t="s">
        <v>3915</v>
      </c>
      <c r="O630" t="s">
        <v>3915</v>
      </c>
      <c r="P630" t="s">
        <v>3915</v>
      </c>
      <c r="Q630">
        <v>0</v>
      </c>
      <c r="R630" t="s">
        <v>30</v>
      </c>
      <c r="S630">
        <v>0</v>
      </c>
      <c r="T630">
        <v>0</v>
      </c>
      <c r="U630" t="s">
        <v>3915</v>
      </c>
      <c r="V630" t="s">
        <v>31</v>
      </c>
      <c r="W630">
        <v>0</v>
      </c>
    </row>
    <row r="631" spans="1:23" x14ac:dyDescent="0.25">
      <c r="A631" t="s">
        <v>4178</v>
      </c>
      <c r="B631" t="s">
        <v>743</v>
      </c>
      <c r="C631" t="s">
        <v>744</v>
      </c>
      <c r="D631" t="s">
        <v>4479</v>
      </c>
      <c r="E631" t="s">
        <v>27</v>
      </c>
      <c r="F631" t="s">
        <v>669</v>
      </c>
      <c r="G631" t="s">
        <v>1406</v>
      </c>
      <c r="H631" s="6">
        <v>46022</v>
      </c>
      <c r="I631" t="s">
        <v>29</v>
      </c>
      <c r="J631">
        <v>0</v>
      </c>
      <c r="K631">
        <v>0</v>
      </c>
      <c r="L631">
        <v>0</v>
      </c>
      <c r="M631">
        <v>0</v>
      </c>
      <c r="N631" t="s">
        <v>3915</v>
      </c>
      <c r="O631" t="s">
        <v>3915</v>
      </c>
      <c r="P631" t="s">
        <v>3915</v>
      </c>
      <c r="Q631">
        <v>0</v>
      </c>
      <c r="R631" t="s">
        <v>30</v>
      </c>
      <c r="S631">
        <v>0</v>
      </c>
      <c r="T631">
        <v>0</v>
      </c>
      <c r="U631" t="s">
        <v>3915</v>
      </c>
      <c r="V631" t="s">
        <v>31</v>
      </c>
      <c r="W631">
        <v>0</v>
      </c>
    </row>
    <row r="632" spans="1:23" x14ac:dyDescent="0.25">
      <c r="A632" t="s">
        <v>4936</v>
      </c>
      <c r="B632" t="s">
        <v>2207</v>
      </c>
      <c r="C632" t="s">
        <v>2206</v>
      </c>
      <c r="D632" t="s">
        <v>4479</v>
      </c>
      <c r="E632" t="s">
        <v>27</v>
      </c>
      <c r="F632" t="s">
        <v>669</v>
      </c>
      <c r="G632" t="s">
        <v>1406</v>
      </c>
      <c r="H632" s="6">
        <v>46022</v>
      </c>
      <c r="I632" t="s">
        <v>29</v>
      </c>
      <c r="J632">
        <v>12</v>
      </c>
      <c r="K632">
        <v>0</v>
      </c>
      <c r="L632">
        <v>0</v>
      </c>
      <c r="M632">
        <v>0</v>
      </c>
      <c r="N632" t="s">
        <v>3915</v>
      </c>
      <c r="O632" t="s">
        <v>3915</v>
      </c>
      <c r="P632" t="s">
        <v>3915</v>
      </c>
      <c r="Q632">
        <v>0</v>
      </c>
      <c r="R632" t="s">
        <v>30</v>
      </c>
      <c r="S632">
        <v>0</v>
      </c>
      <c r="T632">
        <v>0</v>
      </c>
      <c r="U632" t="s">
        <v>3915</v>
      </c>
      <c r="V632" t="s">
        <v>31</v>
      </c>
      <c r="W632">
        <v>0</v>
      </c>
    </row>
    <row r="633" spans="1:23" x14ac:dyDescent="0.25">
      <c r="A633" t="s">
        <v>5349</v>
      </c>
      <c r="B633" t="s">
        <v>2209</v>
      </c>
      <c r="C633" t="s">
        <v>2208</v>
      </c>
      <c r="D633" t="s">
        <v>4479</v>
      </c>
      <c r="E633" t="s">
        <v>27</v>
      </c>
      <c r="F633" t="s">
        <v>669</v>
      </c>
      <c r="G633" t="s">
        <v>1406</v>
      </c>
      <c r="H633" s="6">
        <v>46022</v>
      </c>
      <c r="I633" t="s">
        <v>29</v>
      </c>
      <c r="J633">
        <v>29</v>
      </c>
      <c r="K633">
        <v>0</v>
      </c>
      <c r="L633">
        <v>0</v>
      </c>
      <c r="M633">
        <v>0</v>
      </c>
      <c r="N633" t="s">
        <v>3915</v>
      </c>
      <c r="O633" t="s">
        <v>3915</v>
      </c>
      <c r="P633" t="s">
        <v>3915</v>
      </c>
      <c r="Q633">
        <v>0</v>
      </c>
      <c r="R633" t="s">
        <v>30</v>
      </c>
      <c r="S633">
        <v>0</v>
      </c>
      <c r="T633">
        <v>0</v>
      </c>
      <c r="U633" t="s">
        <v>3915</v>
      </c>
      <c r="V633" t="s">
        <v>31</v>
      </c>
      <c r="W633">
        <v>0</v>
      </c>
    </row>
    <row r="634" spans="1:23" x14ac:dyDescent="0.25">
      <c r="A634" t="s">
        <v>4179</v>
      </c>
      <c r="B634" t="s">
        <v>745</v>
      </c>
      <c r="C634" t="s">
        <v>746</v>
      </c>
      <c r="D634" t="s">
        <v>4479</v>
      </c>
      <c r="E634" t="s">
        <v>27</v>
      </c>
      <c r="F634" t="s">
        <v>669</v>
      </c>
      <c r="G634" t="s">
        <v>1406</v>
      </c>
      <c r="H634" s="6">
        <v>46022</v>
      </c>
      <c r="I634" t="s">
        <v>29</v>
      </c>
      <c r="J634">
        <v>28</v>
      </c>
      <c r="K634">
        <v>0</v>
      </c>
      <c r="L634">
        <v>0</v>
      </c>
      <c r="M634">
        <v>0</v>
      </c>
      <c r="N634" t="s">
        <v>3915</v>
      </c>
      <c r="O634" t="s">
        <v>3915</v>
      </c>
      <c r="P634" t="s">
        <v>3915</v>
      </c>
      <c r="Q634">
        <v>0</v>
      </c>
      <c r="R634" t="s">
        <v>30</v>
      </c>
      <c r="S634">
        <v>0</v>
      </c>
      <c r="T634">
        <v>0</v>
      </c>
      <c r="U634" t="s">
        <v>3915</v>
      </c>
      <c r="V634" t="s">
        <v>31</v>
      </c>
      <c r="W634">
        <v>0</v>
      </c>
    </row>
    <row r="635" spans="1:23" x14ac:dyDescent="0.25">
      <c r="A635" t="s">
        <v>4180</v>
      </c>
      <c r="B635" t="s">
        <v>747</v>
      </c>
      <c r="C635" t="s">
        <v>748</v>
      </c>
      <c r="D635" t="s">
        <v>4479</v>
      </c>
      <c r="E635" t="s">
        <v>27</v>
      </c>
      <c r="F635" t="s">
        <v>669</v>
      </c>
      <c r="G635" t="s">
        <v>1406</v>
      </c>
      <c r="H635" s="6">
        <v>46022</v>
      </c>
      <c r="I635" t="s">
        <v>29</v>
      </c>
      <c r="J635">
        <v>6</v>
      </c>
      <c r="K635">
        <v>0</v>
      </c>
      <c r="L635">
        <v>0</v>
      </c>
      <c r="M635">
        <v>0</v>
      </c>
      <c r="N635" t="s">
        <v>3915</v>
      </c>
      <c r="O635" t="s">
        <v>3915</v>
      </c>
      <c r="P635" t="s">
        <v>3915</v>
      </c>
      <c r="Q635">
        <v>0</v>
      </c>
      <c r="R635" t="s">
        <v>30</v>
      </c>
      <c r="S635">
        <v>0</v>
      </c>
      <c r="T635">
        <v>0</v>
      </c>
      <c r="U635" t="s">
        <v>3915</v>
      </c>
      <c r="V635" t="s">
        <v>31</v>
      </c>
      <c r="W635">
        <v>0</v>
      </c>
    </row>
    <row r="636" spans="1:23" x14ac:dyDescent="0.25">
      <c r="A636" t="s">
        <v>4181</v>
      </c>
      <c r="B636" t="s">
        <v>749</v>
      </c>
      <c r="C636" t="s">
        <v>750</v>
      </c>
      <c r="D636" t="s">
        <v>4479</v>
      </c>
      <c r="E636" t="s">
        <v>27</v>
      </c>
      <c r="F636" t="s">
        <v>669</v>
      </c>
      <c r="G636" t="s">
        <v>1406</v>
      </c>
      <c r="H636" s="6">
        <v>46022</v>
      </c>
      <c r="I636" t="s">
        <v>29</v>
      </c>
      <c r="J636">
        <v>3</v>
      </c>
      <c r="K636">
        <v>0</v>
      </c>
      <c r="L636">
        <v>0</v>
      </c>
      <c r="M636">
        <v>0</v>
      </c>
      <c r="N636" t="s">
        <v>3915</v>
      </c>
      <c r="O636" t="s">
        <v>3915</v>
      </c>
      <c r="P636" t="s">
        <v>3915</v>
      </c>
      <c r="Q636">
        <v>0</v>
      </c>
      <c r="R636" t="s">
        <v>30</v>
      </c>
      <c r="S636">
        <v>0</v>
      </c>
      <c r="T636">
        <v>0</v>
      </c>
      <c r="U636" t="s">
        <v>3915</v>
      </c>
      <c r="V636" t="s">
        <v>31</v>
      </c>
      <c r="W636">
        <v>0</v>
      </c>
    </row>
    <row r="637" spans="1:23" x14ac:dyDescent="0.25">
      <c r="A637" t="s">
        <v>4182</v>
      </c>
      <c r="B637" t="s">
        <v>751</v>
      </c>
      <c r="C637" t="s">
        <v>752</v>
      </c>
      <c r="D637" t="s">
        <v>4479</v>
      </c>
      <c r="E637" t="s">
        <v>27</v>
      </c>
      <c r="F637" t="s">
        <v>669</v>
      </c>
      <c r="G637" t="s">
        <v>1406</v>
      </c>
      <c r="H637" s="6">
        <v>46022</v>
      </c>
      <c r="I637" t="s">
        <v>29</v>
      </c>
      <c r="J637">
        <v>0</v>
      </c>
      <c r="K637">
        <v>0</v>
      </c>
      <c r="L637">
        <v>0</v>
      </c>
      <c r="M637">
        <v>0</v>
      </c>
      <c r="N637" t="s">
        <v>3915</v>
      </c>
      <c r="O637" t="s">
        <v>3915</v>
      </c>
      <c r="P637" t="s">
        <v>3915</v>
      </c>
      <c r="Q637">
        <v>0</v>
      </c>
      <c r="R637" t="s">
        <v>30</v>
      </c>
      <c r="S637">
        <v>0</v>
      </c>
      <c r="T637">
        <v>0</v>
      </c>
      <c r="U637" t="s">
        <v>3915</v>
      </c>
      <c r="V637" t="s">
        <v>31</v>
      </c>
      <c r="W637">
        <v>0</v>
      </c>
    </row>
    <row r="638" spans="1:23" x14ac:dyDescent="0.25">
      <c r="A638" t="s">
        <v>4798</v>
      </c>
      <c r="B638" t="s">
        <v>1508</v>
      </c>
      <c r="C638" t="s">
        <v>1507</v>
      </c>
      <c r="D638" t="s">
        <v>4479</v>
      </c>
      <c r="E638" t="s">
        <v>27</v>
      </c>
      <c r="F638" t="s">
        <v>669</v>
      </c>
      <c r="G638" t="s">
        <v>1406</v>
      </c>
      <c r="H638" s="6">
        <v>46022</v>
      </c>
      <c r="I638" t="s">
        <v>29</v>
      </c>
      <c r="J638">
        <v>227</v>
      </c>
      <c r="K638">
        <v>0</v>
      </c>
      <c r="L638">
        <v>0</v>
      </c>
      <c r="M638">
        <v>0</v>
      </c>
      <c r="N638" t="s">
        <v>3915</v>
      </c>
      <c r="O638" t="s">
        <v>3915</v>
      </c>
      <c r="P638" t="s">
        <v>3915</v>
      </c>
      <c r="Q638">
        <v>0</v>
      </c>
      <c r="R638" t="s">
        <v>30</v>
      </c>
      <c r="S638">
        <v>0</v>
      </c>
      <c r="T638">
        <v>0</v>
      </c>
      <c r="U638" t="s">
        <v>3915</v>
      </c>
      <c r="V638" t="s">
        <v>31</v>
      </c>
      <c r="W638">
        <v>0</v>
      </c>
    </row>
    <row r="639" spans="1:23" x14ac:dyDescent="0.25">
      <c r="A639" t="s">
        <v>4847</v>
      </c>
      <c r="B639" t="s">
        <v>1510</v>
      </c>
      <c r="C639" t="s">
        <v>1509</v>
      </c>
      <c r="D639" t="s">
        <v>4479</v>
      </c>
      <c r="E639" t="s">
        <v>27</v>
      </c>
      <c r="F639" t="s">
        <v>669</v>
      </c>
      <c r="G639" t="s">
        <v>1406</v>
      </c>
      <c r="H639" s="6">
        <v>46022</v>
      </c>
      <c r="I639" t="s">
        <v>29</v>
      </c>
      <c r="J639">
        <v>139</v>
      </c>
      <c r="K639">
        <v>0</v>
      </c>
      <c r="L639">
        <v>0</v>
      </c>
      <c r="M639">
        <v>0</v>
      </c>
      <c r="N639" t="s">
        <v>3915</v>
      </c>
      <c r="O639" t="s">
        <v>3915</v>
      </c>
      <c r="P639" t="s">
        <v>3915</v>
      </c>
      <c r="Q639">
        <v>0</v>
      </c>
      <c r="R639" t="s">
        <v>30</v>
      </c>
      <c r="S639">
        <v>0</v>
      </c>
      <c r="T639">
        <v>0</v>
      </c>
      <c r="U639" t="s">
        <v>3915</v>
      </c>
      <c r="V639" t="s">
        <v>31</v>
      </c>
      <c r="W639">
        <v>0</v>
      </c>
    </row>
    <row r="640" spans="1:23" x14ac:dyDescent="0.25">
      <c r="A640" t="s">
        <v>4183</v>
      </c>
      <c r="B640" t="s">
        <v>753</v>
      </c>
      <c r="C640" t="s">
        <v>754</v>
      </c>
      <c r="D640" t="s">
        <v>4479</v>
      </c>
      <c r="E640" t="s">
        <v>27</v>
      </c>
      <c r="F640" t="s">
        <v>669</v>
      </c>
      <c r="G640" t="s">
        <v>1406</v>
      </c>
      <c r="H640" s="6">
        <v>46022</v>
      </c>
      <c r="I640" t="s">
        <v>29</v>
      </c>
      <c r="J640">
        <v>0</v>
      </c>
      <c r="K640">
        <v>0</v>
      </c>
      <c r="L640">
        <v>0</v>
      </c>
      <c r="M640">
        <v>0</v>
      </c>
      <c r="N640" t="s">
        <v>3915</v>
      </c>
      <c r="O640" t="s">
        <v>3915</v>
      </c>
      <c r="P640" t="s">
        <v>3915</v>
      </c>
      <c r="Q640">
        <v>0</v>
      </c>
      <c r="R640" t="s">
        <v>30</v>
      </c>
      <c r="S640">
        <v>0</v>
      </c>
      <c r="T640">
        <v>0</v>
      </c>
      <c r="U640" t="s">
        <v>3915</v>
      </c>
      <c r="V640" t="s">
        <v>31</v>
      </c>
      <c r="W640">
        <v>0</v>
      </c>
    </row>
    <row r="641" spans="1:23" x14ac:dyDescent="0.25">
      <c r="A641" t="s">
        <v>4184</v>
      </c>
      <c r="B641" t="s">
        <v>755</v>
      </c>
      <c r="C641" t="s">
        <v>756</v>
      </c>
      <c r="D641" t="s">
        <v>4479</v>
      </c>
      <c r="E641" t="s">
        <v>27</v>
      </c>
      <c r="F641" t="s">
        <v>669</v>
      </c>
      <c r="G641" t="s">
        <v>1406</v>
      </c>
      <c r="H641" s="6">
        <v>46022</v>
      </c>
      <c r="I641" t="s">
        <v>29</v>
      </c>
      <c r="J641">
        <v>0</v>
      </c>
      <c r="K641">
        <v>0</v>
      </c>
      <c r="L641">
        <v>0</v>
      </c>
      <c r="M641">
        <v>0</v>
      </c>
      <c r="N641" t="s">
        <v>3915</v>
      </c>
      <c r="O641" t="s">
        <v>3915</v>
      </c>
      <c r="P641" t="s">
        <v>3915</v>
      </c>
      <c r="Q641">
        <v>0</v>
      </c>
      <c r="R641" t="s">
        <v>30</v>
      </c>
      <c r="S641">
        <v>0</v>
      </c>
      <c r="T641">
        <v>0</v>
      </c>
      <c r="U641" t="s">
        <v>3915</v>
      </c>
      <c r="V641" t="s">
        <v>31</v>
      </c>
      <c r="W641">
        <v>0</v>
      </c>
    </row>
    <row r="642" spans="1:23" x14ac:dyDescent="0.25">
      <c r="A642" t="s">
        <v>4896</v>
      </c>
      <c r="B642" t="s">
        <v>1514</v>
      </c>
      <c r="C642" t="s">
        <v>1513</v>
      </c>
      <c r="D642" t="s">
        <v>4479</v>
      </c>
      <c r="E642" t="s">
        <v>1398</v>
      </c>
      <c r="F642" t="s">
        <v>759</v>
      </c>
      <c r="G642" t="s">
        <v>1406</v>
      </c>
      <c r="H642" s="6">
        <v>46022</v>
      </c>
      <c r="I642" t="s">
        <v>29</v>
      </c>
      <c r="J642">
        <v>33</v>
      </c>
      <c r="K642">
        <v>0</v>
      </c>
      <c r="L642">
        <v>0</v>
      </c>
      <c r="M642">
        <v>0</v>
      </c>
      <c r="N642" t="s">
        <v>3915</v>
      </c>
      <c r="O642" t="s">
        <v>3915</v>
      </c>
      <c r="P642" t="s">
        <v>3915</v>
      </c>
      <c r="Q642">
        <v>0</v>
      </c>
      <c r="R642" t="s">
        <v>82</v>
      </c>
      <c r="S642">
        <v>0</v>
      </c>
      <c r="T642">
        <v>0</v>
      </c>
      <c r="U642" t="s">
        <v>3915</v>
      </c>
      <c r="V642" t="s">
        <v>31</v>
      </c>
      <c r="W642">
        <v>0</v>
      </c>
    </row>
    <row r="643" spans="1:23" x14ac:dyDescent="0.25">
      <c r="A643" t="s">
        <v>4663</v>
      </c>
      <c r="B643" t="s">
        <v>1516</v>
      </c>
      <c r="C643" t="s">
        <v>1515</v>
      </c>
      <c r="D643" t="s">
        <v>4479</v>
      </c>
      <c r="E643" t="s">
        <v>1398</v>
      </c>
      <c r="F643" t="s">
        <v>759</v>
      </c>
      <c r="G643" t="s">
        <v>1406</v>
      </c>
      <c r="H643" s="6">
        <v>46022</v>
      </c>
      <c r="I643" t="s">
        <v>29</v>
      </c>
      <c r="J643">
        <v>294</v>
      </c>
      <c r="K643">
        <v>0</v>
      </c>
      <c r="L643">
        <v>0</v>
      </c>
      <c r="M643">
        <v>0</v>
      </c>
      <c r="N643" t="s">
        <v>3915</v>
      </c>
      <c r="O643" t="s">
        <v>3915</v>
      </c>
      <c r="P643" t="s">
        <v>3915</v>
      </c>
      <c r="Q643">
        <v>0</v>
      </c>
      <c r="R643" t="s">
        <v>82</v>
      </c>
      <c r="S643">
        <v>0</v>
      </c>
      <c r="T643">
        <v>0</v>
      </c>
      <c r="U643" t="s">
        <v>3915</v>
      </c>
      <c r="V643" t="s">
        <v>31</v>
      </c>
      <c r="W643">
        <v>0</v>
      </c>
    </row>
    <row r="644" spans="1:23" x14ac:dyDescent="0.25">
      <c r="A644" t="s">
        <v>5350</v>
      </c>
      <c r="B644" t="s">
        <v>1518</v>
      </c>
      <c r="C644" t="s">
        <v>1517</v>
      </c>
      <c r="D644" t="s">
        <v>4479</v>
      </c>
      <c r="E644" t="s">
        <v>1398</v>
      </c>
      <c r="F644" t="s">
        <v>759</v>
      </c>
      <c r="G644" t="s">
        <v>1406</v>
      </c>
      <c r="H644" s="6">
        <v>46022</v>
      </c>
      <c r="I644" t="s">
        <v>29</v>
      </c>
      <c r="J644">
        <v>487</v>
      </c>
      <c r="K644">
        <v>0</v>
      </c>
      <c r="L644">
        <v>0</v>
      </c>
      <c r="M644">
        <v>0</v>
      </c>
      <c r="N644" t="s">
        <v>3915</v>
      </c>
      <c r="O644" t="s">
        <v>3915</v>
      </c>
      <c r="P644" t="s">
        <v>3915</v>
      </c>
      <c r="Q644">
        <v>0</v>
      </c>
      <c r="R644" t="s">
        <v>82</v>
      </c>
      <c r="S644">
        <v>0</v>
      </c>
      <c r="T644">
        <v>0</v>
      </c>
      <c r="U644" t="s">
        <v>3915</v>
      </c>
      <c r="V644" t="s">
        <v>31</v>
      </c>
      <c r="W644">
        <v>0</v>
      </c>
    </row>
    <row r="645" spans="1:23" x14ac:dyDescent="0.25">
      <c r="A645" t="s">
        <v>4185</v>
      </c>
      <c r="B645" t="s">
        <v>757</v>
      </c>
      <c r="C645" t="s">
        <v>758</v>
      </c>
      <c r="D645" t="s">
        <v>4479</v>
      </c>
      <c r="E645" t="s">
        <v>1398</v>
      </c>
      <c r="F645" t="s">
        <v>759</v>
      </c>
      <c r="G645" t="s">
        <v>1406</v>
      </c>
      <c r="H645" s="6">
        <v>46022</v>
      </c>
      <c r="I645" t="s">
        <v>29</v>
      </c>
      <c r="J645">
        <v>0</v>
      </c>
      <c r="K645">
        <v>0</v>
      </c>
      <c r="L645">
        <v>0</v>
      </c>
      <c r="M645">
        <v>0</v>
      </c>
      <c r="N645" t="s">
        <v>3915</v>
      </c>
      <c r="O645" t="s">
        <v>3915</v>
      </c>
      <c r="P645" t="s">
        <v>3915</v>
      </c>
      <c r="Q645">
        <v>0</v>
      </c>
      <c r="R645" t="s">
        <v>82</v>
      </c>
      <c r="S645">
        <v>0</v>
      </c>
      <c r="T645">
        <v>0</v>
      </c>
      <c r="U645" t="s">
        <v>3915</v>
      </c>
      <c r="V645" t="s">
        <v>31</v>
      </c>
      <c r="W645">
        <v>0</v>
      </c>
    </row>
    <row r="646" spans="1:23" x14ac:dyDescent="0.25">
      <c r="A646" t="s">
        <v>5351</v>
      </c>
      <c r="B646" t="s">
        <v>1520</v>
      </c>
      <c r="C646" t="s">
        <v>1519</v>
      </c>
      <c r="D646" t="s">
        <v>4479</v>
      </c>
      <c r="E646" t="s">
        <v>1398</v>
      </c>
      <c r="F646" t="s">
        <v>759</v>
      </c>
      <c r="G646" t="s">
        <v>1406</v>
      </c>
      <c r="H646" s="6">
        <v>46022</v>
      </c>
      <c r="I646" t="s">
        <v>29</v>
      </c>
      <c r="J646">
        <v>132</v>
      </c>
      <c r="K646">
        <v>0</v>
      </c>
      <c r="L646">
        <v>0</v>
      </c>
      <c r="M646">
        <v>0</v>
      </c>
      <c r="N646" t="s">
        <v>3915</v>
      </c>
      <c r="O646" t="s">
        <v>3915</v>
      </c>
      <c r="P646" t="s">
        <v>3915</v>
      </c>
      <c r="Q646">
        <v>0</v>
      </c>
      <c r="R646" t="s">
        <v>82</v>
      </c>
      <c r="S646">
        <v>0</v>
      </c>
      <c r="T646">
        <v>0</v>
      </c>
      <c r="U646" t="s">
        <v>3915</v>
      </c>
      <c r="V646" t="s">
        <v>31</v>
      </c>
      <c r="W646">
        <v>0</v>
      </c>
    </row>
    <row r="647" spans="1:23" x14ac:dyDescent="0.25">
      <c r="A647" t="s">
        <v>4740</v>
      </c>
      <c r="B647" t="s">
        <v>1522</v>
      </c>
      <c r="C647" t="s">
        <v>1521</v>
      </c>
      <c r="D647" t="s">
        <v>4479</v>
      </c>
      <c r="E647" t="s">
        <v>1398</v>
      </c>
      <c r="F647" t="s">
        <v>759</v>
      </c>
      <c r="G647" t="s">
        <v>1406</v>
      </c>
      <c r="H647" s="6">
        <v>46022</v>
      </c>
      <c r="I647" t="s">
        <v>29</v>
      </c>
      <c r="J647">
        <v>765</v>
      </c>
      <c r="K647">
        <v>0</v>
      </c>
      <c r="L647">
        <v>0</v>
      </c>
      <c r="M647">
        <v>0</v>
      </c>
      <c r="N647" t="s">
        <v>3915</v>
      </c>
      <c r="O647" t="s">
        <v>3915</v>
      </c>
      <c r="P647" t="s">
        <v>3915</v>
      </c>
      <c r="Q647">
        <v>0</v>
      </c>
      <c r="R647" t="s">
        <v>82</v>
      </c>
      <c r="S647">
        <v>0</v>
      </c>
      <c r="T647">
        <v>0</v>
      </c>
      <c r="U647" t="s">
        <v>3915</v>
      </c>
      <c r="V647" t="s">
        <v>31</v>
      </c>
      <c r="W647">
        <v>0</v>
      </c>
    </row>
    <row r="648" spans="1:23" x14ac:dyDescent="0.25">
      <c r="A648" t="s">
        <v>5352</v>
      </c>
      <c r="B648" t="s">
        <v>1524</v>
      </c>
      <c r="C648" t="s">
        <v>1523</v>
      </c>
      <c r="D648" t="s">
        <v>4479</v>
      </c>
      <c r="E648" t="s">
        <v>1398</v>
      </c>
      <c r="F648" t="s">
        <v>759</v>
      </c>
      <c r="G648" t="s">
        <v>1406</v>
      </c>
      <c r="H648" s="6">
        <v>46022</v>
      </c>
      <c r="I648" t="s">
        <v>29</v>
      </c>
      <c r="J648">
        <v>1116</v>
      </c>
      <c r="K648">
        <v>0</v>
      </c>
      <c r="L648">
        <v>0</v>
      </c>
      <c r="M648">
        <v>0</v>
      </c>
      <c r="N648" t="s">
        <v>3915</v>
      </c>
      <c r="O648" t="s">
        <v>3915</v>
      </c>
      <c r="P648" t="s">
        <v>3915</v>
      </c>
      <c r="Q648">
        <v>0</v>
      </c>
      <c r="R648" t="s">
        <v>82</v>
      </c>
      <c r="S648">
        <v>0</v>
      </c>
      <c r="T648">
        <v>0</v>
      </c>
      <c r="U648" t="s">
        <v>3915</v>
      </c>
      <c r="V648" t="s">
        <v>31</v>
      </c>
      <c r="W648">
        <v>0</v>
      </c>
    </row>
    <row r="649" spans="1:23" x14ac:dyDescent="0.25">
      <c r="A649" t="s">
        <v>4867</v>
      </c>
      <c r="B649" t="s">
        <v>1526</v>
      </c>
      <c r="C649" t="s">
        <v>1525</v>
      </c>
      <c r="D649" t="s">
        <v>4479</v>
      </c>
      <c r="E649" t="s">
        <v>1398</v>
      </c>
      <c r="F649" t="s">
        <v>759</v>
      </c>
      <c r="G649" t="s">
        <v>1406</v>
      </c>
      <c r="H649" s="6">
        <v>46022</v>
      </c>
      <c r="I649" t="s">
        <v>29</v>
      </c>
      <c r="J649">
        <v>165</v>
      </c>
      <c r="K649">
        <v>0</v>
      </c>
      <c r="L649">
        <v>0</v>
      </c>
      <c r="M649">
        <v>0</v>
      </c>
      <c r="N649" t="s">
        <v>3915</v>
      </c>
      <c r="O649" t="s">
        <v>3915</v>
      </c>
      <c r="P649" t="s">
        <v>3915</v>
      </c>
      <c r="Q649">
        <v>0</v>
      </c>
      <c r="R649" t="s">
        <v>82</v>
      </c>
      <c r="S649">
        <v>0</v>
      </c>
      <c r="T649">
        <v>0</v>
      </c>
      <c r="U649" t="s">
        <v>3915</v>
      </c>
      <c r="V649" t="s">
        <v>31</v>
      </c>
      <c r="W649">
        <v>0</v>
      </c>
    </row>
    <row r="650" spans="1:23" x14ac:dyDescent="0.25">
      <c r="A650" t="s">
        <v>5353</v>
      </c>
      <c r="B650" t="s">
        <v>2492</v>
      </c>
      <c r="C650" t="s">
        <v>2491</v>
      </c>
      <c r="D650" t="s">
        <v>4479</v>
      </c>
      <c r="E650" t="s">
        <v>1398</v>
      </c>
      <c r="F650" t="s">
        <v>759</v>
      </c>
      <c r="G650" t="s">
        <v>1406</v>
      </c>
      <c r="H650" s="6">
        <v>46022</v>
      </c>
      <c r="I650" t="s">
        <v>29</v>
      </c>
      <c r="J650">
        <v>78</v>
      </c>
      <c r="K650">
        <v>0</v>
      </c>
      <c r="L650">
        <v>0</v>
      </c>
      <c r="M650">
        <v>0</v>
      </c>
      <c r="N650" t="s">
        <v>3915</v>
      </c>
      <c r="O650" t="s">
        <v>3915</v>
      </c>
      <c r="P650" t="s">
        <v>3915</v>
      </c>
      <c r="Q650">
        <v>0</v>
      </c>
      <c r="R650" t="s">
        <v>82</v>
      </c>
      <c r="S650">
        <v>0</v>
      </c>
      <c r="T650">
        <v>0</v>
      </c>
      <c r="U650" t="s">
        <v>3915</v>
      </c>
      <c r="V650" t="s">
        <v>31</v>
      </c>
      <c r="W650">
        <v>0</v>
      </c>
    </row>
    <row r="651" spans="1:23" x14ac:dyDescent="0.25">
      <c r="A651" t="s">
        <v>4670</v>
      </c>
      <c r="B651" t="s">
        <v>1528</v>
      </c>
      <c r="C651" t="s">
        <v>1527</v>
      </c>
      <c r="D651" t="s">
        <v>4479</v>
      </c>
      <c r="E651" t="s">
        <v>1398</v>
      </c>
      <c r="F651" t="s">
        <v>759</v>
      </c>
      <c r="G651" t="s">
        <v>1406</v>
      </c>
      <c r="H651" s="6">
        <v>46022</v>
      </c>
      <c r="I651" t="s">
        <v>29</v>
      </c>
      <c r="J651">
        <v>392</v>
      </c>
      <c r="K651">
        <v>0</v>
      </c>
      <c r="L651">
        <v>0</v>
      </c>
      <c r="M651">
        <v>0</v>
      </c>
      <c r="N651" t="s">
        <v>3915</v>
      </c>
      <c r="O651" t="s">
        <v>3915</v>
      </c>
      <c r="P651" t="s">
        <v>3915</v>
      </c>
      <c r="Q651">
        <v>0</v>
      </c>
      <c r="R651" t="s">
        <v>82</v>
      </c>
      <c r="S651">
        <v>0</v>
      </c>
      <c r="T651">
        <v>0</v>
      </c>
      <c r="U651" t="s">
        <v>3915</v>
      </c>
      <c r="V651" t="s">
        <v>31</v>
      </c>
      <c r="W651">
        <v>0</v>
      </c>
    </row>
    <row r="652" spans="1:23" x14ac:dyDescent="0.25">
      <c r="A652" t="s">
        <v>4675</v>
      </c>
      <c r="B652" t="s">
        <v>1530</v>
      </c>
      <c r="C652" t="s">
        <v>1529</v>
      </c>
      <c r="D652" t="s">
        <v>4479</v>
      </c>
      <c r="E652" t="s">
        <v>1398</v>
      </c>
      <c r="F652" t="s">
        <v>759</v>
      </c>
      <c r="G652" t="s">
        <v>1406</v>
      </c>
      <c r="H652" s="6">
        <v>46022</v>
      </c>
      <c r="I652" t="s">
        <v>29</v>
      </c>
      <c r="J652">
        <v>1358.25</v>
      </c>
      <c r="K652">
        <v>0</v>
      </c>
      <c r="L652">
        <v>0</v>
      </c>
      <c r="M652">
        <v>0</v>
      </c>
      <c r="N652" t="s">
        <v>3915</v>
      </c>
      <c r="O652" t="s">
        <v>3915</v>
      </c>
      <c r="P652" t="s">
        <v>3915</v>
      </c>
      <c r="Q652">
        <v>0</v>
      </c>
      <c r="R652" t="s">
        <v>82</v>
      </c>
      <c r="S652">
        <v>0</v>
      </c>
      <c r="T652">
        <v>0</v>
      </c>
      <c r="U652" t="s">
        <v>3915</v>
      </c>
      <c r="V652" t="s">
        <v>31</v>
      </c>
      <c r="W652">
        <v>0</v>
      </c>
    </row>
    <row r="653" spans="1:23" x14ac:dyDescent="0.25">
      <c r="A653" t="s">
        <v>4186</v>
      </c>
      <c r="B653" t="s">
        <v>760</v>
      </c>
      <c r="C653" t="s">
        <v>761</v>
      </c>
      <c r="D653" t="s">
        <v>4479</v>
      </c>
      <c r="E653" t="s">
        <v>1398</v>
      </c>
      <c r="F653" t="s">
        <v>759</v>
      </c>
      <c r="G653" t="s">
        <v>1406</v>
      </c>
      <c r="H653" s="6">
        <v>46022</v>
      </c>
      <c r="I653" t="s">
        <v>29</v>
      </c>
      <c r="J653">
        <v>30.3</v>
      </c>
      <c r="K653">
        <v>0</v>
      </c>
      <c r="L653">
        <v>0</v>
      </c>
      <c r="M653">
        <v>0</v>
      </c>
      <c r="N653" t="s">
        <v>3915</v>
      </c>
      <c r="O653" t="s">
        <v>3915</v>
      </c>
      <c r="P653" t="s">
        <v>3915</v>
      </c>
      <c r="Q653">
        <v>0</v>
      </c>
      <c r="R653" t="s">
        <v>82</v>
      </c>
      <c r="S653">
        <v>0</v>
      </c>
      <c r="T653">
        <v>0</v>
      </c>
      <c r="U653" t="s">
        <v>3915</v>
      </c>
      <c r="V653" t="s">
        <v>31</v>
      </c>
      <c r="W653">
        <v>0</v>
      </c>
    </row>
    <row r="654" spans="1:23" x14ac:dyDescent="0.25">
      <c r="A654" t="s">
        <v>4667</v>
      </c>
      <c r="B654" t="s">
        <v>2494</v>
      </c>
      <c r="C654" t="s">
        <v>2493</v>
      </c>
      <c r="D654" t="s">
        <v>4479</v>
      </c>
      <c r="E654" t="s">
        <v>1398</v>
      </c>
      <c r="F654" t="s">
        <v>759</v>
      </c>
      <c r="G654" t="s">
        <v>1406</v>
      </c>
      <c r="H654" s="6">
        <v>46022</v>
      </c>
      <c r="I654" t="s">
        <v>29</v>
      </c>
      <c r="J654">
        <v>298.45</v>
      </c>
      <c r="K654">
        <v>0</v>
      </c>
      <c r="L654">
        <v>0</v>
      </c>
      <c r="M654">
        <v>0</v>
      </c>
      <c r="N654" t="s">
        <v>3915</v>
      </c>
      <c r="O654" t="s">
        <v>3915</v>
      </c>
      <c r="P654" t="s">
        <v>3915</v>
      </c>
      <c r="Q654">
        <v>0</v>
      </c>
      <c r="R654" t="s">
        <v>82</v>
      </c>
      <c r="S654">
        <v>0</v>
      </c>
      <c r="T654">
        <v>0</v>
      </c>
      <c r="U654" t="s">
        <v>3915</v>
      </c>
      <c r="V654" t="s">
        <v>31</v>
      </c>
      <c r="W654">
        <v>0</v>
      </c>
    </row>
    <row r="655" spans="1:23" x14ac:dyDescent="0.25">
      <c r="A655" t="s">
        <v>4187</v>
      </c>
      <c r="B655" t="s">
        <v>762</v>
      </c>
      <c r="C655" t="s">
        <v>763</v>
      </c>
      <c r="D655" t="s">
        <v>4479</v>
      </c>
      <c r="E655" t="s">
        <v>1398</v>
      </c>
      <c r="F655" t="s">
        <v>759</v>
      </c>
      <c r="G655" t="s">
        <v>1406</v>
      </c>
      <c r="H655" s="6">
        <v>46022</v>
      </c>
      <c r="I655" t="s">
        <v>29</v>
      </c>
      <c r="J655">
        <v>0</v>
      </c>
      <c r="K655">
        <v>0</v>
      </c>
      <c r="L655">
        <v>0</v>
      </c>
      <c r="M655">
        <v>0</v>
      </c>
      <c r="N655" t="s">
        <v>3915</v>
      </c>
      <c r="O655" t="s">
        <v>3915</v>
      </c>
      <c r="P655" t="s">
        <v>3915</v>
      </c>
      <c r="Q655">
        <v>0</v>
      </c>
      <c r="R655" t="s">
        <v>82</v>
      </c>
      <c r="S655">
        <v>0</v>
      </c>
      <c r="T655">
        <v>0</v>
      </c>
      <c r="U655" t="s">
        <v>3915</v>
      </c>
      <c r="V655" t="s">
        <v>31</v>
      </c>
      <c r="W655">
        <v>0</v>
      </c>
    </row>
    <row r="656" spans="1:23" x14ac:dyDescent="0.25">
      <c r="A656" t="s">
        <v>4188</v>
      </c>
      <c r="B656" t="s">
        <v>764</v>
      </c>
      <c r="C656" t="s">
        <v>765</v>
      </c>
      <c r="D656" t="s">
        <v>4479</v>
      </c>
      <c r="E656" t="s">
        <v>1398</v>
      </c>
      <c r="F656" t="s">
        <v>759</v>
      </c>
      <c r="G656" t="s">
        <v>1406</v>
      </c>
      <c r="H656" s="6">
        <v>46022</v>
      </c>
      <c r="I656" t="s">
        <v>29</v>
      </c>
      <c r="J656">
        <v>0</v>
      </c>
      <c r="K656">
        <v>0</v>
      </c>
      <c r="L656">
        <v>0</v>
      </c>
      <c r="M656">
        <v>0</v>
      </c>
      <c r="N656" t="s">
        <v>3915</v>
      </c>
      <c r="O656" t="s">
        <v>3915</v>
      </c>
      <c r="P656" t="s">
        <v>3915</v>
      </c>
      <c r="Q656">
        <v>0</v>
      </c>
      <c r="R656" t="s">
        <v>82</v>
      </c>
      <c r="S656">
        <v>0</v>
      </c>
      <c r="T656">
        <v>0</v>
      </c>
      <c r="U656" t="s">
        <v>3915</v>
      </c>
      <c r="V656" t="s">
        <v>31</v>
      </c>
      <c r="W656">
        <v>0</v>
      </c>
    </row>
    <row r="657" spans="1:23" x14ac:dyDescent="0.25">
      <c r="A657" t="s">
        <v>5354</v>
      </c>
      <c r="B657" t="s">
        <v>2496</v>
      </c>
      <c r="C657" t="s">
        <v>2495</v>
      </c>
      <c r="D657" t="s">
        <v>4479</v>
      </c>
      <c r="E657" t="s">
        <v>1398</v>
      </c>
      <c r="F657" t="s">
        <v>759</v>
      </c>
      <c r="G657" t="s">
        <v>1406</v>
      </c>
      <c r="H657" s="6">
        <v>46022</v>
      </c>
      <c r="I657" t="s">
        <v>29</v>
      </c>
      <c r="J657">
        <v>150</v>
      </c>
      <c r="K657">
        <v>0</v>
      </c>
      <c r="L657">
        <v>0</v>
      </c>
      <c r="M657">
        <v>0</v>
      </c>
      <c r="N657" t="s">
        <v>3915</v>
      </c>
      <c r="O657" t="s">
        <v>3915</v>
      </c>
      <c r="P657" t="s">
        <v>3915</v>
      </c>
      <c r="Q657">
        <v>0</v>
      </c>
      <c r="R657" t="s">
        <v>82</v>
      </c>
      <c r="S657">
        <v>0</v>
      </c>
      <c r="T657">
        <v>0</v>
      </c>
      <c r="U657" t="s">
        <v>3915</v>
      </c>
      <c r="V657" t="s">
        <v>31</v>
      </c>
      <c r="W657">
        <v>0</v>
      </c>
    </row>
    <row r="658" spans="1:23" x14ac:dyDescent="0.25">
      <c r="A658" t="s">
        <v>5355</v>
      </c>
      <c r="B658" t="s">
        <v>2498</v>
      </c>
      <c r="C658" t="s">
        <v>2497</v>
      </c>
      <c r="D658" t="s">
        <v>4479</v>
      </c>
      <c r="E658" t="s">
        <v>1398</v>
      </c>
      <c r="F658" t="s">
        <v>759</v>
      </c>
      <c r="G658" t="s">
        <v>1406</v>
      </c>
      <c r="H658" s="6">
        <v>46022</v>
      </c>
      <c r="I658" t="s">
        <v>29</v>
      </c>
      <c r="J658">
        <v>364</v>
      </c>
      <c r="K658">
        <v>0</v>
      </c>
      <c r="L658">
        <v>0</v>
      </c>
      <c r="M658">
        <v>0</v>
      </c>
      <c r="N658" t="s">
        <v>3915</v>
      </c>
      <c r="O658" t="s">
        <v>3915</v>
      </c>
      <c r="P658" t="s">
        <v>3915</v>
      </c>
      <c r="Q658">
        <v>0</v>
      </c>
      <c r="R658" t="s">
        <v>82</v>
      </c>
      <c r="S658">
        <v>0</v>
      </c>
      <c r="T658">
        <v>0</v>
      </c>
      <c r="U658" t="s">
        <v>3915</v>
      </c>
      <c r="V658" t="s">
        <v>31</v>
      </c>
      <c r="W658">
        <v>0</v>
      </c>
    </row>
    <row r="659" spans="1:23" x14ac:dyDescent="0.25">
      <c r="A659" t="s">
        <v>5356</v>
      </c>
      <c r="B659" t="s">
        <v>2500</v>
      </c>
      <c r="C659" t="s">
        <v>2499</v>
      </c>
      <c r="D659" t="s">
        <v>4479</v>
      </c>
      <c r="E659" t="s">
        <v>1398</v>
      </c>
      <c r="F659" t="s">
        <v>759</v>
      </c>
      <c r="G659" t="s">
        <v>1406</v>
      </c>
      <c r="H659" s="6">
        <v>46022</v>
      </c>
      <c r="I659" t="s">
        <v>29</v>
      </c>
      <c r="J659">
        <v>179</v>
      </c>
      <c r="K659">
        <v>0</v>
      </c>
      <c r="L659">
        <v>0</v>
      </c>
      <c r="M659">
        <v>0</v>
      </c>
      <c r="N659" t="s">
        <v>3915</v>
      </c>
      <c r="O659" t="s">
        <v>3915</v>
      </c>
      <c r="P659" t="s">
        <v>3915</v>
      </c>
      <c r="Q659">
        <v>0</v>
      </c>
      <c r="R659" t="s">
        <v>82</v>
      </c>
      <c r="S659">
        <v>0</v>
      </c>
      <c r="T659">
        <v>0</v>
      </c>
      <c r="U659" t="s">
        <v>3915</v>
      </c>
      <c r="V659" t="s">
        <v>31</v>
      </c>
      <c r="W659">
        <v>0</v>
      </c>
    </row>
    <row r="660" spans="1:23" x14ac:dyDescent="0.25">
      <c r="A660" t="s">
        <v>4189</v>
      </c>
      <c r="B660" t="s">
        <v>766</v>
      </c>
      <c r="C660" t="s">
        <v>767</v>
      </c>
      <c r="D660" t="s">
        <v>4479</v>
      </c>
      <c r="E660" t="s">
        <v>1398</v>
      </c>
      <c r="F660" t="s">
        <v>759</v>
      </c>
      <c r="G660" t="s">
        <v>1406</v>
      </c>
      <c r="H660" s="6">
        <v>46022</v>
      </c>
      <c r="I660" t="s">
        <v>29</v>
      </c>
      <c r="J660">
        <v>3</v>
      </c>
      <c r="K660">
        <v>0</v>
      </c>
      <c r="L660">
        <v>0</v>
      </c>
      <c r="M660">
        <v>0</v>
      </c>
      <c r="N660" t="s">
        <v>3915</v>
      </c>
      <c r="O660" t="s">
        <v>3915</v>
      </c>
      <c r="P660" t="s">
        <v>3915</v>
      </c>
      <c r="Q660">
        <v>0</v>
      </c>
      <c r="R660" t="s">
        <v>82</v>
      </c>
      <c r="S660">
        <v>0</v>
      </c>
      <c r="T660">
        <v>0</v>
      </c>
      <c r="U660" t="s">
        <v>3915</v>
      </c>
      <c r="V660" t="s">
        <v>31</v>
      </c>
      <c r="W660">
        <v>0</v>
      </c>
    </row>
    <row r="661" spans="1:23" x14ac:dyDescent="0.25">
      <c r="A661" t="s">
        <v>4190</v>
      </c>
      <c r="B661" t="s">
        <v>768</v>
      </c>
      <c r="C661" t="s">
        <v>769</v>
      </c>
      <c r="D661" t="s">
        <v>4479</v>
      </c>
      <c r="E661" t="s">
        <v>1398</v>
      </c>
      <c r="F661" t="s">
        <v>759</v>
      </c>
      <c r="G661" t="s">
        <v>1406</v>
      </c>
      <c r="H661" s="6">
        <v>46022</v>
      </c>
      <c r="I661" t="s">
        <v>29</v>
      </c>
      <c r="J661">
        <v>0</v>
      </c>
      <c r="K661">
        <v>0</v>
      </c>
      <c r="L661">
        <v>0</v>
      </c>
      <c r="M661">
        <v>0</v>
      </c>
      <c r="N661" t="s">
        <v>3915</v>
      </c>
      <c r="O661" t="s">
        <v>3915</v>
      </c>
      <c r="P661" t="s">
        <v>3915</v>
      </c>
      <c r="Q661">
        <v>0</v>
      </c>
      <c r="R661" t="s">
        <v>82</v>
      </c>
      <c r="S661">
        <v>0</v>
      </c>
      <c r="T661">
        <v>0</v>
      </c>
      <c r="U661" t="s">
        <v>3915</v>
      </c>
      <c r="V661" t="s">
        <v>31</v>
      </c>
      <c r="W661">
        <v>0</v>
      </c>
    </row>
    <row r="662" spans="1:23" x14ac:dyDescent="0.25">
      <c r="A662" t="s">
        <v>4191</v>
      </c>
      <c r="B662" t="s">
        <v>770</v>
      </c>
      <c r="C662" t="s">
        <v>771</v>
      </c>
      <c r="D662" t="s">
        <v>4479</v>
      </c>
      <c r="E662" t="s">
        <v>1398</v>
      </c>
      <c r="F662" t="s">
        <v>759</v>
      </c>
      <c r="G662" t="s">
        <v>1406</v>
      </c>
      <c r="H662" s="6">
        <v>46022</v>
      </c>
      <c r="I662" t="s">
        <v>29</v>
      </c>
      <c r="J662">
        <v>63.4</v>
      </c>
      <c r="K662">
        <v>0</v>
      </c>
      <c r="L662">
        <v>0</v>
      </c>
      <c r="M662">
        <v>0</v>
      </c>
      <c r="N662" t="s">
        <v>3915</v>
      </c>
      <c r="O662" t="s">
        <v>3915</v>
      </c>
      <c r="P662" t="s">
        <v>3915</v>
      </c>
      <c r="Q662">
        <v>0</v>
      </c>
      <c r="R662" t="s">
        <v>82</v>
      </c>
      <c r="S662">
        <v>0</v>
      </c>
      <c r="T662">
        <v>0</v>
      </c>
      <c r="U662" t="s">
        <v>3915</v>
      </c>
      <c r="V662" t="s">
        <v>31</v>
      </c>
      <c r="W662">
        <v>0</v>
      </c>
    </row>
    <row r="663" spans="1:23" x14ac:dyDescent="0.25">
      <c r="A663" t="s">
        <v>4668</v>
      </c>
      <c r="B663" t="s">
        <v>2502</v>
      </c>
      <c r="C663" t="s">
        <v>2501</v>
      </c>
      <c r="D663" t="s">
        <v>4479</v>
      </c>
      <c r="E663" t="s">
        <v>1398</v>
      </c>
      <c r="F663" t="s">
        <v>759</v>
      </c>
      <c r="G663" t="s">
        <v>1406</v>
      </c>
      <c r="H663" s="6">
        <v>46022</v>
      </c>
      <c r="I663" t="s">
        <v>29</v>
      </c>
      <c r="J663">
        <v>93</v>
      </c>
      <c r="K663">
        <v>0</v>
      </c>
      <c r="L663">
        <v>0</v>
      </c>
      <c r="M663">
        <v>0</v>
      </c>
      <c r="N663" t="s">
        <v>3915</v>
      </c>
      <c r="O663" t="s">
        <v>3915</v>
      </c>
      <c r="P663" t="s">
        <v>3915</v>
      </c>
      <c r="Q663">
        <v>0</v>
      </c>
      <c r="R663" t="s">
        <v>82</v>
      </c>
      <c r="S663">
        <v>0</v>
      </c>
      <c r="T663">
        <v>0</v>
      </c>
      <c r="U663" t="s">
        <v>3915</v>
      </c>
      <c r="V663" t="s">
        <v>31</v>
      </c>
      <c r="W663">
        <v>0</v>
      </c>
    </row>
    <row r="664" spans="1:23" x14ac:dyDescent="0.25">
      <c r="A664" t="s">
        <v>4669</v>
      </c>
      <c r="B664" t="s">
        <v>2504</v>
      </c>
      <c r="C664" t="s">
        <v>2503</v>
      </c>
      <c r="D664" t="s">
        <v>4479</v>
      </c>
      <c r="E664" t="s">
        <v>1398</v>
      </c>
      <c r="F664" t="s">
        <v>759</v>
      </c>
      <c r="G664" t="s">
        <v>1406</v>
      </c>
      <c r="H664" s="6">
        <v>46022</v>
      </c>
      <c r="I664" t="s">
        <v>29</v>
      </c>
      <c r="J664">
        <v>32.369999999999997</v>
      </c>
      <c r="K664">
        <v>0</v>
      </c>
      <c r="L664">
        <v>0</v>
      </c>
      <c r="M664">
        <v>0</v>
      </c>
      <c r="N664" t="s">
        <v>3915</v>
      </c>
      <c r="O664" t="s">
        <v>3915</v>
      </c>
      <c r="P664" t="s">
        <v>3915</v>
      </c>
      <c r="Q664">
        <v>0</v>
      </c>
      <c r="R664" t="s">
        <v>82</v>
      </c>
      <c r="S664">
        <v>0</v>
      </c>
      <c r="T664">
        <v>0</v>
      </c>
      <c r="U664" t="s">
        <v>3915</v>
      </c>
      <c r="V664" t="s">
        <v>31</v>
      </c>
      <c r="W664">
        <v>0</v>
      </c>
    </row>
    <row r="665" spans="1:23" x14ac:dyDescent="0.25">
      <c r="A665" t="s">
        <v>5357</v>
      </c>
      <c r="B665" t="s">
        <v>2506</v>
      </c>
      <c r="C665" t="s">
        <v>2505</v>
      </c>
      <c r="D665" t="s">
        <v>4479</v>
      </c>
      <c r="E665" t="s">
        <v>1398</v>
      </c>
      <c r="F665" t="s">
        <v>759</v>
      </c>
      <c r="G665" t="s">
        <v>1406</v>
      </c>
      <c r="H665" s="6">
        <v>46022</v>
      </c>
      <c r="I665" t="s">
        <v>29</v>
      </c>
      <c r="J665">
        <v>68</v>
      </c>
      <c r="K665">
        <v>0</v>
      </c>
      <c r="L665">
        <v>0</v>
      </c>
      <c r="M665">
        <v>0</v>
      </c>
      <c r="N665" t="s">
        <v>3915</v>
      </c>
      <c r="O665" t="s">
        <v>3915</v>
      </c>
      <c r="P665" t="s">
        <v>3915</v>
      </c>
      <c r="Q665">
        <v>0</v>
      </c>
      <c r="R665" t="s">
        <v>489</v>
      </c>
      <c r="S665">
        <v>0</v>
      </c>
      <c r="T665">
        <v>0</v>
      </c>
      <c r="U665" t="s">
        <v>3915</v>
      </c>
      <c r="V665" t="s">
        <v>31</v>
      </c>
      <c r="W665">
        <v>0</v>
      </c>
    </row>
    <row r="666" spans="1:23" x14ac:dyDescent="0.25">
      <c r="A666" t="s">
        <v>5358</v>
      </c>
      <c r="B666" t="s">
        <v>2508</v>
      </c>
      <c r="C666" t="s">
        <v>2507</v>
      </c>
      <c r="D666" t="s">
        <v>4479</v>
      </c>
      <c r="E666" t="s">
        <v>1398</v>
      </c>
      <c r="F666" t="s">
        <v>759</v>
      </c>
      <c r="G666" t="s">
        <v>1406</v>
      </c>
      <c r="H666" s="6">
        <v>46022</v>
      </c>
      <c r="I666" t="s">
        <v>29</v>
      </c>
      <c r="J666">
        <v>1.7</v>
      </c>
      <c r="K666">
        <v>0</v>
      </c>
      <c r="L666">
        <v>0</v>
      </c>
      <c r="M666">
        <v>0</v>
      </c>
      <c r="N666" t="s">
        <v>3915</v>
      </c>
      <c r="O666" t="s">
        <v>3915</v>
      </c>
      <c r="P666" t="s">
        <v>3915</v>
      </c>
      <c r="Q666">
        <v>0</v>
      </c>
      <c r="R666" t="s">
        <v>82</v>
      </c>
      <c r="S666">
        <v>0</v>
      </c>
      <c r="T666">
        <v>0</v>
      </c>
      <c r="U666" t="s">
        <v>3915</v>
      </c>
      <c r="V666" t="s">
        <v>31</v>
      </c>
      <c r="W666">
        <v>0</v>
      </c>
    </row>
    <row r="667" spans="1:23" x14ac:dyDescent="0.25">
      <c r="A667" t="s">
        <v>4192</v>
      </c>
      <c r="B667" t="s">
        <v>772</v>
      </c>
      <c r="C667" t="s">
        <v>773</v>
      </c>
      <c r="D667" t="s">
        <v>4479</v>
      </c>
      <c r="E667" t="s">
        <v>1398</v>
      </c>
      <c r="F667" t="s">
        <v>759</v>
      </c>
      <c r="G667" t="s">
        <v>1406</v>
      </c>
      <c r="H667" s="6">
        <v>46022</v>
      </c>
      <c r="I667" t="s">
        <v>29</v>
      </c>
      <c r="J667">
        <v>5.9</v>
      </c>
      <c r="K667">
        <v>0</v>
      </c>
      <c r="L667">
        <v>0</v>
      </c>
      <c r="M667">
        <v>0</v>
      </c>
      <c r="N667" t="s">
        <v>3915</v>
      </c>
      <c r="O667" t="s">
        <v>3915</v>
      </c>
      <c r="P667" t="s">
        <v>3915</v>
      </c>
      <c r="Q667">
        <v>0</v>
      </c>
      <c r="R667" t="s">
        <v>82</v>
      </c>
      <c r="S667">
        <v>0</v>
      </c>
      <c r="T667">
        <v>0</v>
      </c>
      <c r="U667" t="s">
        <v>3915</v>
      </c>
      <c r="V667" t="s">
        <v>31</v>
      </c>
      <c r="W667">
        <v>0</v>
      </c>
    </row>
    <row r="668" spans="1:23" x14ac:dyDescent="0.25">
      <c r="A668" t="s">
        <v>5359</v>
      </c>
      <c r="B668" t="s">
        <v>1532</v>
      </c>
      <c r="C668" t="s">
        <v>1531</v>
      </c>
      <c r="D668" t="s">
        <v>4479</v>
      </c>
      <c r="E668" t="s">
        <v>1398</v>
      </c>
      <c r="F668" t="s">
        <v>759</v>
      </c>
      <c r="G668" t="s">
        <v>1406</v>
      </c>
      <c r="H668" s="6">
        <v>46022</v>
      </c>
      <c r="I668" t="s">
        <v>29</v>
      </c>
      <c r="J668">
        <v>13.6</v>
      </c>
      <c r="K668">
        <v>0</v>
      </c>
      <c r="L668">
        <v>0</v>
      </c>
      <c r="M668">
        <v>0</v>
      </c>
      <c r="N668" t="s">
        <v>3915</v>
      </c>
      <c r="O668" t="s">
        <v>3915</v>
      </c>
      <c r="P668" t="s">
        <v>3915</v>
      </c>
      <c r="Q668">
        <v>0</v>
      </c>
      <c r="R668" t="s">
        <v>82</v>
      </c>
      <c r="S668">
        <v>0</v>
      </c>
      <c r="T668">
        <v>0</v>
      </c>
      <c r="U668" t="s">
        <v>3915</v>
      </c>
      <c r="V668" t="s">
        <v>31</v>
      </c>
      <c r="W668">
        <v>0</v>
      </c>
    </row>
    <row r="669" spans="1:23" x14ac:dyDescent="0.25">
      <c r="A669" t="s">
        <v>5360</v>
      </c>
      <c r="B669" t="s">
        <v>2510</v>
      </c>
      <c r="C669" t="s">
        <v>2509</v>
      </c>
      <c r="D669" t="s">
        <v>4479</v>
      </c>
      <c r="E669" t="s">
        <v>1398</v>
      </c>
      <c r="F669" t="s">
        <v>759</v>
      </c>
      <c r="G669" t="s">
        <v>1406</v>
      </c>
      <c r="H669" s="6">
        <v>46022</v>
      </c>
      <c r="I669" t="s">
        <v>29</v>
      </c>
      <c r="J669">
        <v>29.6</v>
      </c>
      <c r="K669">
        <v>0</v>
      </c>
      <c r="L669">
        <v>0</v>
      </c>
      <c r="M669">
        <v>0</v>
      </c>
      <c r="N669" t="s">
        <v>3915</v>
      </c>
      <c r="O669" t="s">
        <v>3915</v>
      </c>
      <c r="P669" t="s">
        <v>3915</v>
      </c>
      <c r="Q669">
        <v>0</v>
      </c>
      <c r="R669" t="s">
        <v>82</v>
      </c>
      <c r="S669">
        <v>0</v>
      </c>
      <c r="T669">
        <v>0</v>
      </c>
      <c r="U669" t="s">
        <v>3915</v>
      </c>
      <c r="V669" t="s">
        <v>31</v>
      </c>
      <c r="W669">
        <v>0</v>
      </c>
    </row>
    <row r="670" spans="1:23" x14ac:dyDescent="0.25">
      <c r="A670" t="s">
        <v>4193</v>
      </c>
      <c r="B670" t="s">
        <v>774</v>
      </c>
      <c r="C670" t="s">
        <v>775</v>
      </c>
      <c r="D670" t="s">
        <v>4479</v>
      </c>
      <c r="E670" t="s">
        <v>1398</v>
      </c>
      <c r="F670" t="s">
        <v>759</v>
      </c>
      <c r="G670" t="s">
        <v>1406</v>
      </c>
      <c r="H670" s="6">
        <v>46022</v>
      </c>
      <c r="I670" t="s">
        <v>29</v>
      </c>
      <c r="J670">
        <v>387</v>
      </c>
      <c r="K670">
        <v>0</v>
      </c>
      <c r="L670">
        <v>0</v>
      </c>
      <c r="M670">
        <v>0</v>
      </c>
      <c r="N670" t="s">
        <v>3915</v>
      </c>
      <c r="O670" t="s">
        <v>3915</v>
      </c>
      <c r="P670" t="s">
        <v>3915</v>
      </c>
      <c r="Q670">
        <v>0</v>
      </c>
      <c r="R670" t="s">
        <v>82</v>
      </c>
      <c r="S670">
        <v>0</v>
      </c>
      <c r="T670">
        <v>0</v>
      </c>
      <c r="U670" t="s">
        <v>3915</v>
      </c>
      <c r="V670" t="s">
        <v>31</v>
      </c>
      <c r="W670">
        <v>0</v>
      </c>
    </row>
    <row r="671" spans="1:23" x14ac:dyDescent="0.25">
      <c r="A671" t="s">
        <v>5361</v>
      </c>
      <c r="B671" t="s">
        <v>1534</v>
      </c>
      <c r="C671" t="s">
        <v>1533</v>
      </c>
      <c r="D671" t="s">
        <v>4479</v>
      </c>
      <c r="E671" t="s">
        <v>1398</v>
      </c>
      <c r="F671" t="s">
        <v>759</v>
      </c>
      <c r="G671" t="s">
        <v>1406</v>
      </c>
      <c r="H671" s="6">
        <v>46022</v>
      </c>
      <c r="I671" t="s">
        <v>29</v>
      </c>
      <c r="J671">
        <v>138.80000000000001</v>
      </c>
      <c r="K671">
        <v>0</v>
      </c>
      <c r="L671">
        <v>0</v>
      </c>
      <c r="M671">
        <v>0</v>
      </c>
      <c r="N671" t="s">
        <v>3915</v>
      </c>
      <c r="O671" t="s">
        <v>3915</v>
      </c>
      <c r="P671" t="s">
        <v>3915</v>
      </c>
      <c r="Q671">
        <v>0</v>
      </c>
      <c r="R671" t="s">
        <v>489</v>
      </c>
      <c r="S671">
        <v>0</v>
      </c>
      <c r="T671">
        <v>0</v>
      </c>
      <c r="U671" t="s">
        <v>3915</v>
      </c>
      <c r="V671" t="s">
        <v>31</v>
      </c>
      <c r="W671">
        <v>0</v>
      </c>
    </row>
    <row r="672" spans="1:23" x14ac:dyDescent="0.25">
      <c r="A672" t="s">
        <v>4194</v>
      </c>
      <c r="B672" t="s">
        <v>776</v>
      </c>
      <c r="C672" t="s">
        <v>777</v>
      </c>
      <c r="D672" t="s">
        <v>4479</v>
      </c>
      <c r="E672" t="s">
        <v>1398</v>
      </c>
      <c r="F672" t="s">
        <v>759</v>
      </c>
      <c r="G672" t="s">
        <v>1406</v>
      </c>
      <c r="H672" s="6">
        <v>46022</v>
      </c>
      <c r="I672" t="s">
        <v>29</v>
      </c>
      <c r="J672">
        <v>298.10000000000002</v>
      </c>
      <c r="K672">
        <v>0</v>
      </c>
      <c r="L672">
        <v>0</v>
      </c>
      <c r="M672">
        <v>0</v>
      </c>
      <c r="N672" t="s">
        <v>3915</v>
      </c>
      <c r="O672" t="s">
        <v>3915</v>
      </c>
      <c r="P672" t="s">
        <v>3915</v>
      </c>
      <c r="Q672">
        <v>0</v>
      </c>
      <c r="R672" t="s">
        <v>82</v>
      </c>
      <c r="S672">
        <v>0</v>
      </c>
      <c r="T672">
        <v>0</v>
      </c>
      <c r="U672" t="s">
        <v>3915</v>
      </c>
      <c r="V672" t="s">
        <v>31</v>
      </c>
      <c r="W672">
        <v>0</v>
      </c>
    </row>
    <row r="673" spans="1:23" x14ac:dyDescent="0.25">
      <c r="A673" t="s">
        <v>5362</v>
      </c>
      <c r="B673" t="s">
        <v>2514</v>
      </c>
      <c r="C673" t="s">
        <v>2513</v>
      </c>
      <c r="D673" t="s">
        <v>4479</v>
      </c>
      <c r="E673" t="s">
        <v>1398</v>
      </c>
      <c r="F673" t="s">
        <v>759</v>
      </c>
      <c r="G673" t="s">
        <v>1406</v>
      </c>
      <c r="H673" s="6">
        <v>46022</v>
      </c>
      <c r="I673" t="s">
        <v>29</v>
      </c>
      <c r="J673">
        <v>150</v>
      </c>
      <c r="K673">
        <v>0</v>
      </c>
      <c r="L673">
        <v>0</v>
      </c>
      <c r="M673">
        <v>0</v>
      </c>
      <c r="N673" t="s">
        <v>3915</v>
      </c>
      <c r="O673" t="s">
        <v>3915</v>
      </c>
      <c r="P673" t="s">
        <v>3915</v>
      </c>
      <c r="Q673">
        <v>0</v>
      </c>
      <c r="R673" t="s">
        <v>489</v>
      </c>
      <c r="S673">
        <v>0</v>
      </c>
      <c r="T673">
        <v>0</v>
      </c>
      <c r="U673" t="s">
        <v>3915</v>
      </c>
      <c r="V673" t="s">
        <v>31</v>
      </c>
      <c r="W673">
        <v>0</v>
      </c>
    </row>
    <row r="674" spans="1:23" x14ac:dyDescent="0.25">
      <c r="A674" t="s">
        <v>4195</v>
      </c>
      <c r="B674" t="s">
        <v>778</v>
      </c>
      <c r="C674" t="s">
        <v>779</v>
      </c>
      <c r="D674" t="s">
        <v>4479</v>
      </c>
      <c r="E674" t="s">
        <v>1398</v>
      </c>
      <c r="F674" t="s">
        <v>759</v>
      </c>
      <c r="G674" t="s">
        <v>1406</v>
      </c>
      <c r="H674" s="6">
        <v>46022</v>
      </c>
      <c r="I674" t="s">
        <v>29</v>
      </c>
      <c r="J674">
        <v>417</v>
      </c>
      <c r="K674">
        <v>0</v>
      </c>
      <c r="L674">
        <v>0</v>
      </c>
      <c r="M674">
        <v>0</v>
      </c>
      <c r="N674" t="s">
        <v>3915</v>
      </c>
      <c r="O674" t="s">
        <v>3915</v>
      </c>
      <c r="P674" t="s">
        <v>3915</v>
      </c>
      <c r="Q674">
        <v>0</v>
      </c>
      <c r="R674" t="s">
        <v>82</v>
      </c>
      <c r="S674">
        <v>0</v>
      </c>
      <c r="T674">
        <v>0</v>
      </c>
      <c r="U674" t="s">
        <v>3915</v>
      </c>
      <c r="V674" t="s">
        <v>31</v>
      </c>
      <c r="W674">
        <v>0</v>
      </c>
    </row>
    <row r="675" spans="1:23" x14ac:dyDescent="0.25">
      <c r="A675" t="s">
        <v>5363</v>
      </c>
      <c r="B675" t="s">
        <v>1536</v>
      </c>
      <c r="C675" t="s">
        <v>1535</v>
      </c>
      <c r="D675" t="s">
        <v>4479</v>
      </c>
      <c r="E675" t="s">
        <v>1398</v>
      </c>
      <c r="F675" t="s">
        <v>759</v>
      </c>
      <c r="G675" t="s">
        <v>1406</v>
      </c>
      <c r="H675" s="6">
        <v>46022</v>
      </c>
      <c r="I675" t="s">
        <v>29</v>
      </c>
      <c r="J675">
        <v>1140</v>
      </c>
      <c r="K675">
        <v>0</v>
      </c>
      <c r="L675">
        <v>0</v>
      </c>
      <c r="M675">
        <v>0</v>
      </c>
      <c r="N675" t="s">
        <v>3915</v>
      </c>
      <c r="O675" t="s">
        <v>3915</v>
      </c>
      <c r="P675" t="s">
        <v>3915</v>
      </c>
      <c r="Q675">
        <v>0</v>
      </c>
      <c r="R675" t="s">
        <v>489</v>
      </c>
      <c r="S675">
        <v>0</v>
      </c>
      <c r="T675">
        <v>0</v>
      </c>
      <c r="U675" t="s">
        <v>3915</v>
      </c>
      <c r="V675" t="s">
        <v>31</v>
      </c>
      <c r="W675">
        <v>0</v>
      </c>
    </row>
    <row r="676" spans="1:23" x14ac:dyDescent="0.25">
      <c r="A676" t="s">
        <v>5364</v>
      </c>
      <c r="B676" t="s">
        <v>1538</v>
      </c>
      <c r="C676" t="s">
        <v>1537</v>
      </c>
      <c r="D676" t="s">
        <v>4479</v>
      </c>
      <c r="E676" t="s">
        <v>1398</v>
      </c>
      <c r="F676" t="s">
        <v>759</v>
      </c>
      <c r="G676" t="s">
        <v>1406</v>
      </c>
      <c r="H676" s="6">
        <v>46022</v>
      </c>
      <c r="I676" t="s">
        <v>29</v>
      </c>
      <c r="J676">
        <v>123</v>
      </c>
      <c r="K676">
        <v>0</v>
      </c>
      <c r="L676">
        <v>0</v>
      </c>
      <c r="M676">
        <v>0</v>
      </c>
      <c r="N676" t="s">
        <v>3915</v>
      </c>
      <c r="O676" t="s">
        <v>3915</v>
      </c>
      <c r="P676" t="s">
        <v>3915</v>
      </c>
      <c r="Q676">
        <v>0</v>
      </c>
      <c r="R676" t="s">
        <v>82</v>
      </c>
      <c r="S676">
        <v>0</v>
      </c>
      <c r="T676">
        <v>0</v>
      </c>
      <c r="U676" t="s">
        <v>3915</v>
      </c>
      <c r="V676" t="s">
        <v>31</v>
      </c>
      <c r="W676">
        <v>0</v>
      </c>
    </row>
    <row r="677" spans="1:23" x14ac:dyDescent="0.25">
      <c r="A677" t="s">
        <v>5365</v>
      </c>
      <c r="B677" t="s">
        <v>1540</v>
      </c>
      <c r="C677" t="s">
        <v>1539</v>
      </c>
      <c r="D677" t="s">
        <v>4479</v>
      </c>
      <c r="E677" t="s">
        <v>1398</v>
      </c>
      <c r="F677" t="s">
        <v>759</v>
      </c>
      <c r="G677" t="s">
        <v>1406</v>
      </c>
      <c r="H677" s="6">
        <v>46022</v>
      </c>
      <c r="I677" t="s">
        <v>29</v>
      </c>
      <c r="J677">
        <v>310.55</v>
      </c>
      <c r="K677">
        <v>0</v>
      </c>
      <c r="L677">
        <v>0</v>
      </c>
      <c r="M677">
        <v>0</v>
      </c>
      <c r="N677" t="s">
        <v>3915</v>
      </c>
      <c r="O677" t="s">
        <v>3915</v>
      </c>
      <c r="P677" t="s">
        <v>3915</v>
      </c>
      <c r="Q677">
        <v>0</v>
      </c>
      <c r="R677" t="s">
        <v>82</v>
      </c>
      <c r="S677">
        <v>0</v>
      </c>
      <c r="T677">
        <v>0</v>
      </c>
      <c r="U677" t="s">
        <v>3915</v>
      </c>
      <c r="V677" t="s">
        <v>31</v>
      </c>
      <c r="W677">
        <v>0</v>
      </c>
    </row>
    <row r="678" spans="1:23" x14ac:dyDescent="0.25">
      <c r="A678" t="s">
        <v>4717</v>
      </c>
      <c r="B678" t="s">
        <v>1542</v>
      </c>
      <c r="C678" t="s">
        <v>1541</v>
      </c>
      <c r="D678" t="s">
        <v>4479</v>
      </c>
      <c r="E678" t="s">
        <v>1398</v>
      </c>
      <c r="F678" t="s">
        <v>759</v>
      </c>
      <c r="G678" t="s">
        <v>1406</v>
      </c>
      <c r="H678" s="6">
        <v>46022</v>
      </c>
      <c r="I678" t="s">
        <v>29</v>
      </c>
      <c r="J678">
        <v>241</v>
      </c>
      <c r="K678">
        <v>0</v>
      </c>
      <c r="L678">
        <v>0</v>
      </c>
      <c r="M678">
        <v>0</v>
      </c>
      <c r="N678" t="s">
        <v>3915</v>
      </c>
      <c r="O678" t="s">
        <v>3915</v>
      </c>
      <c r="P678" t="s">
        <v>3915</v>
      </c>
      <c r="Q678">
        <v>0</v>
      </c>
      <c r="R678" t="s">
        <v>82</v>
      </c>
      <c r="S678">
        <v>0</v>
      </c>
      <c r="T678">
        <v>0</v>
      </c>
      <c r="U678" t="s">
        <v>3915</v>
      </c>
      <c r="V678" t="s">
        <v>31</v>
      </c>
      <c r="W678">
        <v>0</v>
      </c>
    </row>
    <row r="679" spans="1:23" x14ac:dyDescent="0.25">
      <c r="A679" t="s">
        <v>5366</v>
      </c>
      <c r="B679" t="s">
        <v>2516</v>
      </c>
      <c r="C679" t="s">
        <v>2515</v>
      </c>
      <c r="D679" t="s">
        <v>4479</v>
      </c>
      <c r="E679" t="s">
        <v>1398</v>
      </c>
      <c r="F679" t="s">
        <v>759</v>
      </c>
      <c r="G679" t="s">
        <v>1406</v>
      </c>
      <c r="H679" s="6">
        <v>46022</v>
      </c>
      <c r="I679" t="s">
        <v>29</v>
      </c>
      <c r="J679">
        <v>2.4500000000000002</v>
      </c>
      <c r="K679">
        <v>0</v>
      </c>
      <c r="L679">
        <v>0</v>
      </c>
      <c r="M679">
        <v>0</v>
      </c>
      <c r="N679" t="s">
        <v>3915</v>
      </c>
      <c r="O679" t="s">
        <v>3915</v>
      </c>
      <c r="P679" t="s">
        <v>3915</v>
      </c>
      <c r="Q679">
        <v>0</v>
      </c>
      <c r="R679" t="s">
        <v>82</v>
      </c>
      <c r="S679">
        <v>0</v>
      </c>
      <c r="T679">
        <v>0</v>
      </c>
      <c r="U679" t="s">
        <v>3915</v>
      </c>
      <c r="V679" t="s">
        <v>31</v>
      </c>
      <c r="W679">
        <v>0</v>
      </c>
    </row>
    <row r="680" spans="1:23" x14ac:dyDescent="0.25">
      <c r="A680" t="s">
        <v>5367</v>
      </c>
      <c r="B680" t="s">
        <v>2518</v>
      </c>
      <c r="C680" t="s">
        <v>2517</v>
      </c>
      <c r="D680" t="s">
        <v>4479</v>
      </c>
      <c r="E680" t="s">
        <v>1398</v>
      </c>
      <c r="F680" t="s">
        <v>759</v>
      </c>
      <c r="G680" t="s">
        <v>1406</v>
      </c>
      <c r="H680" s="6">
        <v>46022</v>
      </c>
      <c r="I680" t="s">
        <v>29</v>
      </c>
      <c r="J680">
        <v>142.5</v>
      </c>
      <c r="K680">
        <v>0</v>
      </c>
      <c r="L680">
        <v>0</v>
      </c>
      <c r="M680">
        <v>0</v>
      </c>
      <c r="N680" t="s">
        <v>3915</v>
      </c>
      <c r="O680" t="s">
        <v>3915</v>
      </c>
      <c r="P680" t="s">
        <v>3915</v>
      </c>
      <c r="Q680">
        <v>0</v>
      </c>
      <c r="R680" t="s">
        <v>489</v>
      </c>
      <c r="S680">
        <v>0</v>
      </c>
      <c r="T680">
        <v>0</v>
      </c>
      <c r="U680" t="s">
        <v>3915</v>
      </c>
      <c r="V680" t="s">
        <v>31</v>
      </c>
      <c r="W680">
        <v>0</v>
      </c>
    </row>
    <row r="681" spans="1:23" x14ac:dyDescent="0.25">
      <c r="A681" t="s">
        <v>4196</v>
      </c>
      <c r="B681" t="s">
        <v>780</v>
      </c>
      <c r="C681" t="s">
        <v>781</v>
      </c>
      <c r="D681" t="s">
        <v>4479</v>
      </c>
      <c r="E681" t="s">
        <v>1398</v>
      </c>
      <c r="F681" t="s">
        <v>759</v>
      </c>
      <c r="G681" t="s">
        <v>1406</v>
      </c>
      <c r="H681" s="6">
        <v>46022</v>
      </c>
      <c r="I681" t="s">
        <v>29</v>
      </c>
      <c r="J681">
        <v>102</v>
      </c>
      <c r="K681">
        <v>0</v>
      </c>
      <c r="L681">
        <v>0</v>
      </c>
      <c r="M681">
        <v>0</v>
      </c>
      <c r="N681" t="s">
        <v>3915</v>
      </c>
      <c r="O681" t="s">
        <v>3915</v>
      </c>
      <c r="P681" t="s">
        <v>3915</v>
      </c>
      <c r="Q681">
        <v>0</v>
      </c>
      <c r="R681" t="s">
        <v>489</v>
      </c>
      <c r="S681">
        <v>0</v>
      </c>
      <c r="T681">
        <v>0</v>
      </c>
      <c r="U681" t="s">
        <v>3915</v>
      </c>
      <c r="V681" t="s">
        <v>31</v>
      </c>
      <c r="W681">
        <v>0</v>
      </c>
    </row>
    <row r="682" spans="1:23" x14ac:dyDescent="0.25">
      <c r="A682" t="s">
        <v>5368</v>
      </c>
      <c r="B682" t="s">
        <v>2520</v>
      </c>
      <c r="C682" t="s">
        <v>2519</v>
      </c>
      <c r="D682" t="s">
        <v>4479</v>
      </c>
      <c r="E682" t="s">
        <v>1398</v>
      </c>
      <c r="F682" t="s">
        <v>759</v>
      </c>
      <c r="G682" t="s">
        <v>1406</v>
      </c>
      <c r="H682" s="6">
        <v>46022</v>
      </c>
      <c r="I682" t="s">
        <v>29</v>
      </c>
      <c r="J682">
        <v>288</v>
      </c>
      <c r="K682">
        <v>0</v>
      </c>
      <c r="L682">
        <v>0</v>
      </c>
      <c r="M682">
        <v>0</v>
      </c>
      <c r="N682" t="s">
        <v>3915</v>
      </c>
      <c r="O682" t="s">
        <v>3915</v>
      </c>
      <c r="P682" t="s">
        <v>3915</v>
      </c>
      <c r="Q682">
        <v>0</v>
      </c>
      <c r="R682" t="s">
        <v>489</v>
      </c>
      <c r="S682">
        <v>0</v>
      </c>
      <c r="T682">
        <v>0</v>
      </c>
      <c r="U682" t="s">
        <v>3915</v>
      </c>
      <c r="V682" t="s">
        <v>31</v>
      </c>
      <c r="W682">
        <v>0</v>
      </c>
    </row>
    <row r="683" spans="1:23" x14ac:dyDescent="0.25">
      <c r="A683" t="s">
        <v>5369</v>
      </c>
      <c r="B683" t="s">
        <v>2522</v>
      </c>
      <c r="C683" t="s">
        <v>2521</v>
      </c>
      <c r="D683" t="s">
        <v>4479</v>
      </c>
      <c r="E683" t="s">
        <v>1398</v>
      </c>
      <c r="F683" t="s">
        <v>759</v>
      </c>
      <c r="G683" t="s">
        <v>1406</v>
      </c>
      <c r="H683" s="6">
        <v>46022</v>
      </c>
      <c r="I683" t="s">
        <v>29</v>
      </c>
      <c r="J683">
        <v>240</v>
      </c>
      <c r="K683">
        <v>0</v>
      </c>
      <c r="L683">
        <v>0</v>
      </c>
      <c r="M683">
        <v>0</v>
      </c>
      <c r="N683" t="s">
        <v>3915</v>
      </c>
      <c r="O683" t="s">
        <v>3915</v>
      </c>
      <c r="P683" t="s">
        <v>3915</v>
      </c>
      <c r="Q683">
        <v>0</v>
      </c>
      <c r="R683" t="s">
        <v>489</v>
      </c>
      <c r="S683">
        <v>0</v>
      </c>
      <c r="T683">
        <v>0</v>
      </c>
      <c r="U683" t="s">
        <v>3915</v>
      </c>
      <c r="V683" t="s">
        <v>31</v>
      </c>
      <c r="W683">
        <v>0</v>
      </c>
    </row>
    <row r="684" spans="1:23" x14ac:dyDescent="0.25">
      <c r="A684" t="s">
        <v>5370</v>
      </c>
      <c r="B684" t="s">
        <v>2524</v>
      </c>
      <c r="C684" t="s">
        <v>2523</v>
      </c>
      <c r="D684" t="s">
        <v>4479</v>
      </c>
      <c r="E684" t="s">
        <v>1398</v>
      </c>
      <c r="F684" t="s">
        <v>759</v>
      </c>
      <c r="G684" t="s">
        <v>1406</v>
      </c>
      <c r="H684" s="6">
        <v>46022</v>
      </c>
      <c r="I684" t="s">
        <v>29</v>
      </c>
      <c r="J684">
        <v>120</v>
      </c>
      <c r="K684">
        <v>0</v>
      </c>
      <c r="L684">
        <v>0</v>
      </c>
      <c r="M684">
        <v>0</v>
      </c>
      <c r="N684" t="s">
        <v>3915</v>
      </c>
      <c r="O684" t="s">
        <v>3915</v>
      </c>
      <c r="P684" t="s">
        <v>3915</v>
      </c>
      <c r="Q684">
        <v>0</v>
      </c>
      <c r="R684" t="s">
        <v>489</v>
      </c>
      <c r="S684">
        <v>0</v>
      </c>
      <c r="T684">
        <v>0</v>
      </c>
      <c r="U684" t="s">
        <v>3915</v>
      </c>
      <c r="V684" t="s">
        <v>31</v>
      </c>
      <c r="W684">
        <v>0</v>
      </c>
    </row>
    <row r="685" spans="1:23" x14ac:dyDescent="0.25">
      <c r="A685" t="s">
        <v>4573</v>
      </c>
      <c r="B685" t="s">
        <v>2526</v>
      </c>
      <c r="C685" t="s">
        <v>2525</v>
      </c>
      <c r="D685" t="s">
        <v>4479</v>
      </c>
      <c r="E685" t="s">
        <v>1398</v>
      </c>
      <c r="F685" t="s">
        <v>759</v>
      </c>
      <c r="G685" t="s">
        <v>1406</v>
      </c>
      <c r="H685" s="6">
        <v>46022</v>
      </c>
      <c r="I685" t="s">
        <v>29</v>
      </c>
      <c r="J685">
        <v>69</v>
      </c>
      <c r="K685">
        <v>0</v>
      </c>
      <c r="L685">
        <v>0</v>
      </c>
      <c r="M685">
        <v>0</v>
      </c>
      <c r="N685" t="s">
        <v>3915</v>
      </c>
      <c r="O685" t="s">
        <v>3915</v>
      </c>
      <c r="P685" t="s">
        <v>3915</v>
      </c>
      <c r="Q685">
        <v>0</v>
      </c>
      <c r="R685" t="s">
        <v>489</v>
      </c>
      <c r="S685">
        <v>0</v>
      </c>
      <c r="T685">
        <v>0</v>
      </c>
      <c r="U685" t="s">
        <v>3915</v>
      </c>
      <c r="V685" t="s">
        <v>31</v>
      </c>
      <c r="W685">
        <v>0</v>
      </c>
    </row>
    <row r="686" spans="1:23" x14ac:dyDescent="0.25">
      <c r="A686" t="s">
        <v>5371</v>
      </c>
      <c r="B686" t="s">
        <v>2528</v>
      </c>
      <c r="C686" t="s">
        <v>2527</v>
      </c>
      <c r="D686" t="s">
        <v>4479</v>
      </c>
      <c r="E686" t="s">
        <v>1398</v>
      </c>
      <c r="F686" t="s">
        <v>759</v>
      </c>
      <c r="G686" t="s">
        <v>1406</v>
      </c>
      <c r="H686" s="6">
        <v>46022</v>
      </c>
      <c r="I686" t="s">
        <v>29</v>
      </c>
      <c r="J686">
        <v>55.95</v>
      </c>
      <c r="K686">
        <v>0</v>
      </c>
      <c r="L686">
        <v>0</v>
      </c>
      <c r="M686">
        <v>0</v>
      </c>
      <c r="N686" t="s">
        <v>3915</v>
      </c>
      <c r="O686" t="s">
        <v>3915</v>
      </c>
      <c r="P686" t="s">
        <v>3915</v>
      </c>
      <c r="Q686">
        <v>0</v>
      </c>
      <c r="R686" t="s">
        <v>489</v>
      </c>
      <c r="S686">
        <v>0</v>
      </c>
      <c r="T686">
        <v>0</v>
      </c>
      <c r="U686" t="s">
        <v>3915</v>
      </c>
      <c r="V686" t="s">
        <v>31</v>
      </c>
      <c r="W686">
        <v>0</v>
      </c>
    </row>
    <row r="687" spans="1:23" x14ac:dyDescent="0.25">
      <c r="A687" t="s">
        <v>5372</v>
      </c>
      <c r="B687" t="s">
        <v>2530</v>
      </c>
      <c r="C687" t="s">
        <v>2529</v>
      </c>
      <c r="D687" t="s">
        <v>4479</v>
      </c>
      <c r="E687" t="s">
        <v>4198</v>
      </c>
      <c r="F687" t="s">
        <v>784</v>
      </c>
      <c r="G687" t="s">
        <v>1406</v>
      </c>
      <c r="H687" s="6">
        <v>46022</v>
      </c>
      <c r="I687" t="s">
        <v>29</v>
      </c>
      <c r="J687">
        <v>2</v>
      </c>
      <c r="K687">
        <v>0</v>
      </c>
      <c r="L687">
        <v>0</v>
      </c>
      <c r="M687">
        <v>0</v>
      </c>
      <c r="N687" t="s">
        <v>3915</v>
      </c>
      <c r="O687" t="s">
        <v>3915</v>
      </c>
      <c r="P687" t="s">
        <v>3915</v>
      </c>
      <c r="Q687">
        <v>0</v>
      </c>
      <c r="R687" t="s">
        <v>30</v>
      </c>
      <c r="S687">
        <v>0</v>
      </c>
      <c r="T687">
        <v>0</v>
      </c>
      <c r="U687" t="s">
        <v>3915</v>
      </c>
      <c r="V687" t="s">
        <v>31</v>
      </c>
      <c r="W687">
        <v>0</v>
      </c>
    </row>
    <row r="688" spans="1:23" x14ac:dyDescent="0.25">
      <c r="A688" t="s">
        <v>5373</v>
      </c>
      <c r="B688" t="s">
        <v>2532</v>
      </c>
      <c r="C688" t="s">
        <v>2531</v>
      </c>
      <c r="D688" t="s">
        <v>4479</v>
      </c>
      <c r="E688" t="s">
        <v>4198</v>
      </c>
      <c r="F688" t="s">
        <v>784</v>
      </c>
      <c r="G688" t="s">
        <v>1406</v>
      </c>
      <c r="H688" s="6">
        <v>46022</v>
      </c>
      <c r="I688" t="s">
        <v>29</v>
      </c>
      <c r="J688">
        <v>1</v>
      </c>
      <c r="K688">
        <v>0</v>
      </c>
      <c r="L688">
        <v>0</v>
      </c>
      <c r="M688">
        <v>0</v>
      </c>
      <c r="N688" t="s">
        <v>3915</v>
      </c>
      <c r="O688" t="s">
        <v>3915</v>
      </c>
      <c r="P688" t="s">
        <v>3915</v>
      </c>
      <c r="Q688">
        <v>0</v>
      </c>
      <c r="R688" t="s">
        <v>30</v>
      </c>
      <c r="S688">
        <v>0</v>
      </c>
      <c r="T688">
        <v>0</v>
      </c>
      <c r="U688" t="s">
        <v>3915</v>
      </c>
      <c r="V688" t="s">
        <v>31</v>
      </c>
      <c r="W688">
        <v>0</v>
      </c>
    </row>
    <row r="689" spans="1:23" x14ac:dyDescent="0.25">
      <c r="A689" t="s">
        <v>4197</v>
      </c>
      <c r="B689" t="s">
        <v>782</v>
      </c>
      <c r="C689" t="s">
        <v>783</v>
      </c>
      <c r="D689" t="s">
        <v>4479</v>
      </c>
      <c r="E689" t="s">
        <v>4198</v>
      </c>
      <c r="F689" t="s">
        <v>784</v>
      </c>
      <c r="G689" t="s">
        <v>1406</v>
      </c>
      <c r="H689" s="6">
        <v>46022</v>
      </c>
      <c r="I689" t="s">
        <v>29</v>
      </c>
      <c r="J689">
        <v>4</v>
      </c>
      <c r="K689">
        <v>0</v>
      </c>
      <c r="L689">
        <v>0</v>
      </c>
      <c r="M689">
        <v>0</v>
      </c>
      <c r="N689" t="s">
        <v>3915</v>
      </c>
      <c r="O689" t="s">
        <v>3915</v>
      </c>
      <c r="P689" t="s">
        <v>3915</v>
      </c>
      <c r="Q689">
        <v>0</v>
      </c>
      <c r="R689" t="s">
        <v>30</v>
      </c>
      <c r="S689">
        <v>0</v>
      </c>
      <c r="T689">
        <v>0</v>
      </c>
      <c r="U689" t="s">
        <v>3915</v>
      </c>
      <c r="V689" t="s">
        <v>31</v>
      </c>
      <c r="W689">
        <v>0</v>
      </c>
    </row>
    <row r="690" spans="1:23" x14ac:dyDescent="0.25">
      <c r="A690" t="s">
        <v>4199</v>
      </c>
      <c r="B690" t="s">
        <v>785</v>
      </c>
      <c r="C690" t="s">
        <v>786</v>
      </c>
      <c r="D690" t="s">
        <v>4479</v>
      </c>
      <c r="E690" t="s">
        <v>4198</v>
      </c>
      <c r="F690" t="s">
        <v>784</v>
      </c>
      <c r="G690" t="s">
        <v>1406</v>
      </c>
      <c r="H690" s="6">
        <v>46022</v>
      </c>
      <c r="I690" t="s">
        <v>29</v>
      </c>
      <c r="J690">
        <v>26</v>
      </c>
      <c r="K690">
        <v>0</v>
      </c>
      <c r="L690">
        <v>0</v>
      </c>
      <c r="M690">
        <v>0</v>
      </c>
      <c r="N690" t="s">
        <v>3915</v>
      </c>
      <c r="O690" t="s">
        <v>3915</v>
      </c>
      <c r="P690" t="s">
        <v>3915</v>
      </c>
      <c r="Q690">
        <v>0</v>
      </c>
      <c r="R690" t="s">
        <v>30</v>
      </c>
      <c r="S690">
        <v>0</v>
      </c>
      <c r="T690">
        <v>0</v>
      </c>
      <c r="U690" t="s">
        <v>3915</v>
      </c>
      <c r="V690" t="s">
        <v>31</v>
      </c>
      <c r="W690">
        <v>0</v>
      </c>
    </row>
    <row r="691" spans="1:23" x14ac:dyDescent="0.25">
      <c r="A691" t="s">
        <v>5374</v>
      </c>
      <c r="B691" t="s">
        <v>2534</v>
      </c>
      <c r="C691" t="s">
        <v>2533</v>
      </c>
      <c r="D691" t="s">
        <v>4479</v>
      </c>
      <c r="E691" t="s">
        <v>4198</v>
      </c>
      <c r="F691" t="s">
        <v>784</v>
      </c>
      <c r="G691" t="s">
        <v>1406</v>
      </c>
      <c r="H691" s="6">
        <v>46022</v>
      </c>
      <c r="I691" t="s">
        <v>29</v>
      </c>
      <c r="J691">
        <v>10</v>
      </c>
      <c r="K691">
        <v>0</v>
      </c>
      <c r="L691">
        <v>0</v>
      </c>
      <c r="M691">
        <v>0</v>
      </c>
      <c r="N691" t="s">
        <v>3915</v>
      </c>
      <c r="O691" t="s">
        <v>3915</v>
      </c>
      <c r="P691" t="s">
        <v>3915</v>
      </c>
      <c r="Q691">
        <v>0</v>
      </c>
      <c r="R691" t="s">
        <v>30</v>
      </c>
      <c r="S691">
        <v>0</v>
      </c>
      <c r="T691">
        <v>0</v>
      </c>
      <c r="U691" t="s">
        <v>3915</v>
      </c>
      <c r="V691" t="s">
        <v>31</v>
      </c>
      <c r="W691">
        <v>0</v>
      </c>
    </row>
    <row r="692" spans="1:23" x14ac:dyDescent="0.25">
      <c r="A692" t="s">
        <v>5375</v>
      </c>
      <c r="B692" t="s">
        <v>2536</v>
      </c>
      <c r="C692" t="s">
        <v>2535</v>
      </c>
      <c r="D692" t="s">
        <v>4479</v>
      </c>
      <c r="E692" t="s">
        <v>4198</v>
      </c>
      <c r="F692" t="s">
        <v>784</v>
      </c>
      <c r="G692" t="s">
        <v>1406</v>
      </c>
      <c r="H692" s="6">
        <v>46022</v>
      </c>
      <c r="I692" t="s">
        <v>29</v>
      </c>
      <c r="J692">
        <v>1</v>
      </c>
      <c r="K692">
        <v>0</v>
      </c>
      <c r="L692">
        <v>0</v>
      </c>
      <c r="M692">
        <v>0</v>
      </c>
      <c r="N692" t="s">
        <v>3915</v>
      </c>
      <c r="O692" t="s">
        <v>3915</v>
      </c>
      <c r="P692" t="s">
        <v>3915</v>
      </c>
      <c r="Q692">
        <v>0</v>
      </c>
      <c r="R692" t="s">
        <v>30</v>
      </c>
      <c r="S692">
        <v>0</v>
      </c>
      <c r="T692">
        <v>0</v>
      </c>
      <c r="U692" t="s">
        <v>3915</v>
      </c>
      <c r="V692" t="s">
        <v>31</v>
      </c>
      <c r="W692">
        <v>0</v>
      </c>
    </row>
    <row r="693" spans="1:23" x14ac:dyDescent="0.25">
      <c r="A693" t="s">
        <v>5376</v>
      </c>
      <c r="B693" t="s">
        <v>2538</v>
      </c>
      <c r="C693" t="s">
        <v>2537</v>
      </c>
      <c r="D693" t="s">
        <v>4479</v>
      </c>
      <c r="E693" t="s">
        <v>4198</v>
      </c>
      <c r="F693" t="s">
        <v>784</v>
      </c>
      <c r="G693" t="s">
        <v>1406</v>
      </c>
      <c r="H693" s="6">
        <v>46022</v>
      </c>
      <c r="I693" t="s">
        <v>29</v>
      </c>
      <c r="J693">
        <v>14</v>
      </c>
      <c r="K693">
        <v>0</v>
      </c>
      <c r="L693">
        <v>0</v>
      </c>
      <c r="M693">
        <v>0</v>
      </c>
      <c r="N693" t="s">
        <v>3915</v>
      </c>
      <c r="O693" t="s">
        <v>3915</v>
      </c>
      <c r="P693" t="s">
        <v>3915</v>
      </c>
      <c r="Q693">
        <v>0</v>
      </c>
      <c r="R693" t="s">
        <v>30</v>
      </c>
      <c r="S693">
        <v>0</v>
      </c>
      <c r="T693">
        <v>0</v>
      </c>
      <c r="U693" t="s">
        <v>3915</v>
      </c>
      <c r="V693" t="s">
        <v>31</v>
      </c>
      <c r="W693">
        <v>0</v>
      </c>
    </row>
    <row r="694" spans="1:23" x14ac:dyDescent="0.25">
      <c r="A694" t="s">
        <v>5377</v>
      </c>
      <c r="B694" t="s">
        <v>2540</v>
      </c>
      <c r="C694" t="s">
        <v>2539</v>
      </c>
      <c r="D694" t="s">
        <v>4479</v>
      </c>
      <c r="E694" t="s">
        <v>4198</v>
      </c>
      <c r="F694" t="s">
        <v>784</v>
      </c>
      <c r="G694" t="s">
        <v>1406</v>
      </c>
      <c r="H694" s="6">
        <v>46022</v>
      </c>
      <c r="I694" t="s">
        <v>29</v>
      </c>
      <c r="J694">
        <v>3</v>
      </c>
      <c r="K694">
        <v>0</v>
      </c>
      <c r="L694">
        <v>0</v>
      </c>
      <c r="M694">
        <v>0</v>
      </c>
      <c r="N694" t="s">
        <v>3915</v>
      </c>
      <c r="O694" t="s">
        <v>3915</v>
      </c>
      <c r="P694" t="s">
        <v>3915</v>
      </c>
      <c r="Q694">
        <v>0</v>
      </c>
      <c r="R694" t="s">
        <v>30</v>
      </c>
      <c r="S694">
        <v>0</v>
      </c>
      <c r="T694">
        <v>0</v>
      </c>
      <c r="U694" t="s">
        <v>3915</v>
      </c>
      <c r="V694" t="s">
        <v>31</v>
      </c>
      <c r="W694">
        <v>0</v>
      </c>
    </row>
    <row r="695" spans="1:23" x14ac:dyDescent="0.25">
      <c r="A695" t="s">
        <v>5378</v>
      </c>
      <c r="B695" t="s">
        <v>2542</v>
      </c>
      <c r="C695" t="s">
        <v>2541</v>
      </c>
      <c r="D695" t="s">
        <v>4479</v>
      </c>
      <c r="E695" t="s">
        <v>4198</v>
      </c>
      <c r="F695" t="s">
        <v>784</v>
      </c>
      <c r="G695" t="s">
        <v>1406</v>
      </c>
      <c r="H695" s="6">
        <v>46022</v>
      </c>
      <c r="I695" t="s">
        <v>29</v>
      </c>
      <c r="J695">
        <v>1</v>
      </c>
      <c r="K695">
        <v>0</v>
      </c>
      <c r="L695">
        <v>0</v>
      </c>
      <c r="M695">
        <v>0</v>
      </c>
      <c r="N695" t="s">
        <v>3915</v>
      </c>
      <c r="O695" t="s">
        <v>3915</v>
      </c>
      <c r="P695" t="s">
        <v>3915</v>
      </c>
      <c r="Q695">
        <v>0</v>
      </c>
      <c r="R695" t="s">
        <v>30</v>
      </c>
      <c r="S695">
        <v>0</v>
      </c>
      <c r="T695">
        <v>0</v>
      </c>
      <c r="U695" t="s">
        <v>3915</v>
      </c>
      <c r="V695" t="s">
        <v>31</v>
      </c>
      <c r="W695">
        <v>0</v>
      </c>
    </row>
    <row r="696" spans="1:23" x14ac:dyDescent="0.25">
      <c r="A696" t="s">
        <v>5379</v>
      </c>
      <c r="B696" t="s">
        <v>2544</v>
      </c>
      <c r="C696" t="s">
        <v>2543</v>
      </c>
      <c r="D696" t="s">
        <v>4479</v>
      </c>
      <c r="E696" t="s">
        <v>4198</v>
      </c>
      <c r="F696" t="s">
        <v>784</v>
      </c>
      <c r="G696" t="s">
        <v>1406</v>
      </c>
      <c r="H696" s="6">
        <v>46022</v>
      </c>
      <c r="I696" t="s">
        <v>29</v>
      </c>
      <c r="J696">
        <v>1</v>
      </c>
      <c r="K696">
        <v>0</v>
      </c>
      <c r="L696">
        <v>0</v>
      </c>
      <c r="M696">
        <v>0</v>
      </c>
      <c r="N696" t="s">
        <v>3915</v>
      </c>
      <c r="O696" t="s">
        <v>3915</v>
      </c>
      <c r="P696" t="s">
        <v>3915</v>
      </c>
      <c r="Q696">
        <v>0</v>
      </c>
      <c r="R696" t="s">
        <v>30</v>
      </c>
      <c r="S696">
        <v>0</v>
      </c>
      <c r="T696">
        <v>0</v>
      </c>
      <c r="U696" t="s">
        <v>3915</v>
      </c>
      <c r="V696" t="s">
        <v>31</v>
      </c>
      <c r="W696">
        <v>0</v>
      </c>
    </row>
    <row r="697" spans="1:23" x14ac:dyDescent="0.25">
      <c r="A697" t="s">
        <v>5380</v>
      </c>
      <c r="B697" t="s">
        <v>2546</v>
      </c>
      <c r="C697" t="s">
        <v>2545</v>
      </c>
      <c r="D697" t="s">
        <v>4479</v>
      </c>
      <c r="E697" t="s">
        <v>4198</v>
      </c>
      <c r="F697" t="s">
        <v>784</v>
      </c>
      <c r="G697" t="s">
        <v>1406</v>
      </c>
      <c r="H697" s="6">
        <v>46022</v>
      </c>
      <c r="I697" t="s">
        <v>29</v>
      </c>
      <c r="J697">
        <v>1</v>
      </c>
      <c r="K697">
        <v>0</v>
      </c>
      <c r="L697">
        <v>0</v>
      </c>
      <c r="M697">
        <v>0</v>
      </c>
      <c r="N697" t="s">
        <v>3915</v>
      </c>
      <c r="O697" t="s">
        <v>3915</v>
      </c>
      <c r="P697" t="s">
        <v>3915</v>
      </c>
      <c r="Q697">
        <v>0</v>
      </c>
      <c r="R697" t="s">
        <v>30</v>
      </c>
      <c r="S697">
        <v>0</v>
      </c>
      <c r="T697">
        <v>0</v>
      </c>
      <c r="U697" t="s">
        <v>3915</v>
      </c>
      <c r="V697" t="s">
        <v>31</v>
      </c>
      <c r="W697">
        <v>0</v>
      </c>
    </row>
    <row r="698" spans="1:23" x14ac:dyDescent="0.25">
      <c r="A698" t="s">
        <v>5381</v>
      </c>
      <c r="B698" t="s">
        <v>2548</v>
      </c>
      <c r="C698" t="s">
        <v>2547</v>
      </c>
      <c r="D698" t="s">
        <v>4479</v>
      </c>
      <c r="E698" t="s">
        <v>4198</v>
      </c>
      <c r="F698" t="s">
        <v>784</v>
      </c>
      <c r="G698" t="s">
        <v>1406</v>
      </c>
      <c r="H698" s="6">
        <v>46022</v>
      </c>
      <c r="I698" t="s">
        <v>29</v>
      </c>
      <c r="J698">
        <v>4</v>
      </c>
      <c r="K698">
        <v>0</v>
      </c>
      <c r="L698">
        <v>0</v>
      </c>
      <c r="M698">
        <v>0</v>
      </c>
      <c r="N698" t="s">
        <v>3915</v>
      </c>
      <c r="O698" t="s">
        <v>3915</v>
      </c>
      <c r="P698" t="s">
        <v>3915</v>
      </c>
      <c r="Q698">
        <v>0</v>
      </c>
      <c r="R698" t="s">
        <v>30</v>
      </c>
      <c r="S698">
        <v>0</v>
      </c>
      <c r="T698">
        <v>0</v>
      </c>
      <c r="U698" t="s">
        <v>3915</v>
      </c>
      <c r="V698" t="s">
        <v>31</v>
      </c>
      <c r="W698">
        <v>0</v>
      </c>
    </row>
    <row r="699" spans="1:23" x14ac:dyDescent="0.25">
      <c r="A699" t="s">
        <v>4576</v>
      </c>
      <c r="B699" t="s">
        <v>2550</v>
      </c>
      <c r="C699" t="s">
        <v>2549</v>
      </c>
      <c r="D699" t="s">
        <v>4479</v>
      </c>
      <c r="E699" t="s">
        <v>4198</v>
      </c>
      <c r="F699" t="s">
        <v>784</v>
      </c>
      <c r="G699" t="s">
        <v>1406</v>
      </c>
      <c r="H699" s="6">
        <v>46022</v>
      </c>
      <c r="I699" t="s">
        <v>29</v>
      </c>
      <c r="J699">
        <v>8</v>
      </c>
      <c r="K699">
        <v>0</v>
      </c>
      <c r="L699">
        <v>0</v>
      </c>
      <c r="M699">
        <v>0</v>
      </c>
      <c r="N699" t="s">
        <v>3915</v>
      </c>
      <c r="O699" t="s">
        <v>3915</v>
      </c>
      <c r="P699" t="s">
        <v>3915</v>
      </c>
      <c r="Q699">
        <v>0</v>
      </c>
      <c r="R699" t="s">
        <v>30</v>
      </c>
      <c r="S699">
        <v>0</v>
      </c>
      <c r="T699">
        <v>0</v>
      </c>
      <c r="U699" t="s">
        <v>3915</v>
      </c>
      <c r="V699" t="s">
        <v>31</v>
      </c>
      <c r="W699">
        <v>0</v>
      </c>
    </row>
    <row r="700" spans="1:23" x14ac:dyDescent="0.25">
      <c r="A700" t="s">
        <v>5382</v>
      </c>
      <c r="B700" t="s">
        <v>2552</v>
      </c>
      <c r="C700" t="s">
        <v>2551</v>
      </c>
      <c r="D700" t="s">
        <v>4479</v>
      </c>
      <c r="E700" t="s">
        <v>4198</v>
      </c>
      <c r="F700" t="s">
        <v>784</v>
      </c>
      <c r="G700" t="s">
        <v>1406</v>
      </c>
      <c r="H700" s="6">
        <v>46022</v>
      </c>
      <c r="I700" t="s">
        <v>29</v>
      </c>
      <c r="J700">
        <v>1</v>
      </c>
      <c r="K700">
        <v>0</v>
      </c>
      <c r="L700">
        <v>0</v>
      </c>
      <c r="M700">
        <v>0</v>
      </c>
      <c r="N700" t="s">
        <v>3915</v>
      </c>
      <c r="O700" t="s">
        <v>3915</v>
      </c>
      <c r="P700" t="s">
        <v>3915</v>
      </c>
      <c r="Q700">
        <v>0</v>
      </c>
      <c r="R700" t="s">
        <v>30</v>
      </c>
      <c r="S700">
        <v>0</v>
      </c>
      <c r="T700">
        <v>0</v>
      </c>
      <c r="U700" t="s">
        <v>3915</v>
      </c>
      <c r="V700" t="s">
        <v>31</v>
      </c>
      <c r="W700">
        <v>0</v>
      </c>
    </row>
    <row r="701" spans="1:23" x14ac:dyDescent="0.25">
      <c r="A701" t="s">
        <v>5383</v>
      </c>
      <c r="B701" t="s">
        <v>2554</v>
      </c>
      <c r="C701" t="s">
        <v>2553</v>
      </c>
      <c r="D701" t="s">
        <v>4479</v>
      </c>
      <c r="E701" t="s">
        <v>4198</v>
      </c>
      <c r="F701" t="s">
        <v>784</v>
      </c>
      <c r="G701" t="s">
        <v>1406</v>
      </c>
      <c r="H701" s="6">
        <v>46022</v>
      </c>
      <c r="I701" t="s">
        <v>29</v>
      </c>
      <c r="J701">
        <v>7</v>
      </c>
      <c r="K701">
        <v>0</v>
      </c>
      <c r="L701">
        <v>0</v>
      </c>
      <c r="M701">
        <v>0</v>
      </c>
      <c r="N701" t="s">
        <v>3915</v>
      </c>
      <c r="O701" t="s">
        <v>3915</v>
      </c>
      <c r="P701" t="s">
        <v>3915</v>
      </c>
      <c r="Q701">
        <v>0</v>
      </c>
      <c r="R701" t="s">
        <v>30</v>
      </c>
      <c r="S701">
        <v>0</v>
      </c>
      <c r="T701">
        <v>0</v>
      </c>
      <c r="U701" t="s">
        <v>3915</v>
      </c>
      <c r="V701" t="s">
        <v>31</v>
      </c>
      <c r="W701">
        <v>0</v>
      </c>
    </row>
    <row r="702" spans="1:23" x14ac:dyDescent="0.25">
      <c r="A702" t="s">
        <v>4563</v>
      </c>
      <c r="B702" t="s">
        <v>2556</v>
      </c>
      <c r="C702" t="s">
        <v>2555</v>
      </c>
      <c r="D702" t="s">
        <v>4479</v>
      </c>
      <c r="E702" t="s">
        <v>4198</v>
      </c>
      <c r="F702" t="s">
        <v>784</v>
      </c>
      <c r="G702" t="s">
        <v>1406</v>
      </c>
      <c r="H702" s="6">
        <v>46022</v>
      </c>
      <c r="I702" t="s">
        <v>29</v>
      </c>
      <c r="J702">
        <v>9</v>
      </c>
      <c r="K702">
        <v>0</v>
      </c>
      <c r="L702">
        <v>0</v>
      </c>
      <c r="M702">
        <v>0</v>
      </c>
      <c r="N702" t="s">
        <v>3915</v>
      </c>
      <c r="O702" t="s">
        <v>3915</v>
      </c>
      <c r="P702" t="s">
        <v>3915</v>
      </c>
      <c r="Q702">
        <v>0</v>
      </c>
      <c r="R702" t="s">
        <v>30</v>
      </c>
      <c r="S702">
        <v>0</v>
      </c>
      <c r="T702">
        <v>0</v>
      </c>
      <c r="U702" t="s">
        <v>3915</v>
      </c>
      <c r="V702" t="s">
        <v>31</v>
      </c>
      <c r="W702">
        <v>0</v>
      </c>
    </row>
    <row r="703" spans="1:23" x14ac:dyDescent="0.25">
      <c r="A703" t="s">
        <v>5384</v>
      </c>
      <c r="B703" t="s">
        <v>2558</v>
      </c>
      <c r="C703" t="s">
        <v>2557</v>
      </c>
      <c r="D703" t="s">
        <v>4479</v>
      </c>
      <c r="E703" t="s">
        <v>4198</v>
      </c>
      <c r="F703" t="s">
        <v>784</v>
      </c>
      <c r="G703" t="s">
        <v>1406</v>
      </c>
      <c r="H703" s="6">
        <v>46022</v>
      </c>
      <c r="I703" t="s">
        <v>29</v>
      </c>
      <c r="J703">
        <v>1</v>
      </c>
      <c r="K703">
        <v>0</v>
      </c>
      <c r="L703">
        <v>0</v>
      </c>
      <c r="M703">
        <v>0</v>
      </c>
      <c r="N703" t="s">
        <v>3915</v>
      </c>
      <c r="O703" t="s">
        <v>3915</v>
      </c>
      <c r="P703" t="s">
        <v>3915</v>
      </c>
      <c r="Q703">
        <v>0</v>
      </c>
      <c r="R703" t="s">
        <v>30</v>
      </c>
      <c r="S703">
        <v>0</v>
      </c>
      <c r="T703">
        <v>0</v>
      </c>
      <c r="U703" t="s">
        <v>3915</v>
      </c>
      <c r="V703" t="s">
        <v>31</v>
      </c>
      <c r="W703">
        <v>0</v>
      </c>
    </row>
    <row r="704" spans="1:23" x14ac:dyDescent="0.25">
      <c r="A704" t="s">
        <v>5385</v>
      </c>
      <c r="B704" t="s">
        <v>2560</v>
      </c>
      <c r="C704" t="s">
        <v>2559</v>
      </c>
      <c r="D704" t="s">
        <v>4479</v>
      </c>
      <c r="E704" t="s">
        <v>4198</v>
      </c>
      <c r="F704" t="s">
        <v>784</v>
      </c>
      <c r="G704" t="s">
        <v>1406</v>
      </c>
      <c r="H704" s="6">
        <v>46022</v>
      </c>
      <c r="I704" t="s">
        <v>29</v>
      </c>
      <c r="J704">
        <v>19</v>
      </c>
      <c r="K704">
        <v>0</v>
      </c>
      <c r="L704">
        <v>0</v>
      </c>
      <c r="M704">
        <v>0</v>
      </c>
      <c r="N704" t="s">
        <v>3915</v>
      </c>
      <c r="O704" t="s">
        <v>3915</v>
      </c>
      <c r="P704" t="s">
        <v>3915</v>
      </c>
      <c r="Q704">
        <v>0</v>
      </c>
      <c r="R704" t="s">
        <v>30</v>
      </c>
      <c r="S704">
        <v>0</v>
      </c>
      <c r="T704">
        <v>0</v>
      </c>
      <c r="U704" t="s">
        <v>3915</v>
      </c>
      <c r="V704" t="s">
        <v>31</v>
      </c>
      <c r="W704">
        <v>0</v>
      </c>
    </row>
    <row r="705" spans="1:23" x14ac:dyDescent="0.25">
      <c r="A705" t="s">
        <v>5386</v>
      </c>
      <c r="B705" t="s">
        <v>2562</v>
      </c>
      <c r="C705" t="s">
        <v>2561</v>
      </c>
      <c r="D705" t="s">
        <v>4479</v>
      </c>
      <c r="E705" t="s">
        <v>4198</v>
      </c>
      <c r="F705" t="s">
        <v>784</v>
      </c>
      <c r="G705" t="s">
        <v>1406</v>
      </c>
      <c r="H705" s="6">
        <v>46022</v>
      </c>
      <c r="I705" t="s">
        <v>29</v>
      </c>
      <c r="J705">
        <v>5</v>
      </c>
      <c r="K705">
        <v>0</v>
      </c>
      <c r="L705">
        <v>0</v>
      </c>
      <c r="M705">
        <v>0</v>
      </c>
      <c r="N705" t="s">
        <v>3915</v>
      </c>
      <c r="O705" t="s">
        <v>3915</v>
      </c>
      <c r="P705" t="s">
        <v>3915</v>
      </c>
      <c r="Q705">
        <v>0</v>
      </c>
      <c r="R705" t="s">
        <v>30</v>
      </c>
      <c r="S705">
        <v>0</v>
      </c>
      <c r="T705">
        <v>0</v>
      </c>
      <c r="U705" t="s">
        <v>3915</v>
      </c>
      <c r="V705" t="s">
        <v>31</v>
      </c>
      <c r="W705">
        <v>0</v>
      </c>
    </row>
    <row r="706" spans="1:23" x14ac:dyDescent="0.25">
      <c r="A706" t="s">
        <v>5387</v>
      </c>
      <c r="B706" t="s">
        <v>2564</v>
      </c>
      <c r="C706" t="s">
        <v>2563</v>
      </c>
      <c r="D706" t="s">
        <v>4479</v>
      </c>
      <c r="E706" t="s">
        <v>4198</v>
      </c>
      <c r="F706" t="s">
        <v>784</v>
      </c>
      <c r="G706" t="s">
        <v>1406</v>
      </c>
      <c r="H706" s="6">
        <v>46022</v>
      </c>
      <c r="I706" t="s">
        <v>29</v>
      </c>
      <c r="J706">
        <v>14</v>
      </c>
      <c r="K706">
        <v>0</v>
      </c>
      <c r="L706">
        <v>0</v>
      </c>
      <c r="M706">
        <v>0</v>
      </c>
      <c r="N706" t="s">
        <v>3915</v>
      </c>
      <c r="O706" t="s">
        <v>3915</v>
      </c>
      <c r="P706" t="s">
        <v>3915</v>
      </c>
      <c r="Q706">
        <v>0</v>
      </c>
      <c r="R706" t="s">
        <v>30</v>
      </c>
      <c r="S706">
        <v>0</v>
      </c>
      <c r="T706">
        <v>0</v>
      </c>
      <c r="U706" t="s">
        <v>3915</v>
      </c>
      <c r="V706" t="s">
        <v>31</v>
      </c>
      <c r="W706">
        <v>0</v>
      </c>
    </row>
    <row r="707" spans="1:23" x14ac:dyDescent="0.25">
      <c r="A707" t="s">
        <v>5388</v>
      </c>
      <c r="B707" t="s">
        <v>2566</v>
      </c>
      <c r="C707" t="s">
        <v>2565</v>
      </c>
      <c r="D707" t="s">
        <v>4479</v>
      </c>
      <c r="E707" t="s">
        <v>4198</v>
      </c>
      <c r="F707" t="s">
        <v>784</v>
      </c>
      <c r="G707" t="s">
        <v>1406</v>
      </c>
      <c r="H707" s="6">
        <v>46022</v>
      </c>
      <c r="I707" t="s">
        <v>29</v>
      </c>
      <c r="J707">
        <v>3</v>
      </c>
      <c r="K707">
        <v>0</v>
      </c>
      <c r="L707">
        <v>0</v>
      </c>
      <c r="M707">
        <v>0</v>
      </c>
      <c r="N707" t="s">
        <v>3915</v>
      </c>
      <c r="O707" t="s">
        <v>3915</v>
      </c>
      <c r="P707" t="s">
        <v>3915</v>
      </c>
      <c r="Q707">
        <v>0</v>
      </c>
      <c r="R707" t="s">
        <v>30</v>
      </c>
      <c r="S707">
        <v>0</v>
      </c>
      <c r="T707">
        <v>0</v>
      </c>
      <c r="U707" t="s">
        <v>3915</v>
      </c>
      <c r="V707" t="s">
        <v>31</v>
      </c>
      <c r="W707">
        <v>0</v>
      </c>
    </row>
    <row r="708" spans="1:23" x14ac:dyDescent="0.25">
      <c r="A708" t="s">
        <v>4579</v>
      </c>
      <c r="B708" t="s">
        <v>2568</v>
      </c>
      <c r="C708" t="s">
        <v>2567</v>
      </c>
      <c r="D708" t="s">
        <v>4479</v>
      </c>
      <c r="E708" t="s">
        <v>4198</v>
      </c>
      <c r="F708" t="s">
        <v>784</v>
      </c>
      <c r="G708" t="s">
        <v>1406</v>
      </c>
      <c r="H708" s="6">
        <v>46022</v>
      </c>
      <c r="I708" t="s">
        <v>29</v>
      </c>
      <c r="J708">
        <v>10</v>
      </c>
      <c r="K708">
        <v>0</v>
      </c>
      <c r="L708">
        <v>0</v>
      </c>
      <c r="M708">
        <v>0</v>
      </c>
      <c r="N708" t="s">
        <v>3915</v>
      </c>
      <c r="O708" t="s">
        <v>3915</v>
      </c>
      <c r="P708" t="s">
        <v>3915</v>
      </c>
      <c r="Q708">
        <v>0</v>
      </c>
      <c r="R708" t="s">
        <v>30</v>
      </c>
      <c r="S708">
        <v>0</v>
      </c>
      <c r="T708">
        <v>0</v>
      </c>
      <c r="U708" t="s">
        <v>3915</v>
      </c>
      <c r="V708" t="s">
        <v>31</v>
      </c>
      <c r="W708">
        <v>0</v>
      </c>
    </row>
    <row r="709" spans="1:23" x14ac:dyDescent="0.25">
      <c r="A709" t="s">
        <v>5389</v>
      </c>
      <c r="B709" t="s">
        <v>2570</v>
      </c>
      <c r="C709" t="s">
        <v>2569</v>
      </c>
      <c r="D709" t="s">
        <v>4479</v>
      </c>
      <c r="E709" t="s">
        <v>4198</v>
      </c>
      <c r="F709" t="s">
        <v>784</v>
      </c>
      <c r="G709" t="s">
        <v>1406</v>
      </c>
      <c r="H709" s="6">
        <v>46022</v>
      </c>
      <c r="I709" t="s">
        <v>29</v>
      </c>
      <c r="J709">
        <v>5</v>
      </c>
      <c r="K709">
        <v>0</v>
      </c>
      <c r="L709">
        <v>0</v>
      </c>
      <c r="M709">
        <v>0</v>
      </c>
      <c r="N709" t="s">
        <v>3915</v>
      </c>
      <c r="O709" t="s">
        <v>3915</v>
      </c>
      <c r="P709" t="s">
        <v>3915</v>
      </c>
      <c r="Q709">
        <v>0</v>
      </c>
      <c r="R709" t="s">
        <v>30</v>
      </c>
      <c r="S709">
        <v>0</v>
      </c>
      <c r="T709">
        <v>0</v>
      </c>
      <c r="U709" t="s">
        <v>3915</v>
      </c>
      <c r="V709" t="s">
        <v>31</v>
      </c>
      <c r="W709">
        <v>0</v>
      </c>
    </row>
    <row r="710" spans="1:23" x14ac:dyDescent="0.25">
      <c r="A710" t="s">
        <v>5390</v>
      </c>
      <c r="B710" t="s">
        <v>2572</v>
      </c>
      <c r="C710" t="s">
        <v>2571</v>
      </c>
      <c r="D710" t="s">
        <v>4479</v>
      </c>
      <c r="E710" t="s">
        <v>4198</v>
      </c>
      <c r="F710" t="s">
        <v>784</v>
      </c>
      <c r="G710" t="s">
        <v>1406</v>
      </c>
      <c r="H710" s="6">
        <v>46022</v>
      </c>
      <c r="I710" t="s">
        <v>29</v>
      </c>
      <c r="J710">
        <v>8</v>
      </c>
      <c r="K710">
        <v>0</v>
      </c>
      <c r="L710">
        <v>0</v>
      </c>
      <c r="M710">
        <v>0</v>
      </c>
      <c r="N710" t="s">
        <v>3915</v>
      </c>
      <c r="O710" t="s">
        <v>3915</v>
      </c>
      <c r="P710" t="s">
        <v>3915</v>
      </c>
      <c r="Q710">
        <v>0</v>
      </c>
      <c r="R710" t="s">
        <v>30</v>
      </c>
      <c r="S710">
        <v>0</v>
      </c>
      <c r="T710">
        <v>0</v>
      </c>
      <c r="U710" t="s">
        <v>3915</v>
      </c>
      <c r="V710" t="s">
        <v>31</v>
      </c>
      <c r="W710">
        <v>0</v>
      </c>
    </row>
    <row r="711" spans="1:23" x14ac:dyDescent="0.25">
      <c r="A711" t="s">
        <v>5391</v>
      </c>
      <c r="B711" t="s">
        <v>2574</v>
      </c>
      <c r="C711" t="s">
        <v>2573</v>
      </c>
      <c r="D711" t="s">
        <v>4479</v>
      </c>
      <c r="E711" t="s">
        <v>4198</v>
      </c>
      <c r="F711" t="s">
        <v>784</v>
      </c>
      <c r="G711" t="s">
        <v>1406</v>
      </c>
      <c r="H711" s="6">
        <v>46022</v>
      </c>
      <c r="I711" t="s">
        <v>29</v>
      </c>
      <c r="J711">
        <v>2</v>
      </c>
      <c r="K711">
        <v>0</v>
      </c>
      <c r="L711">
        <v>0</v>
      </c>
      <c r="M711">
        <v>0</v>
      </c>
      <c r="N711" t="s">
        <v>3915</v>
      </c>
      <c r="O711" t="s">
        <v>3915</v>
      </c>
      <c r="P711" t="s">
        <v>3915</v>
      </c>
      <c r="Q711">
        <v>0</v>
      </c>
      <c r="R711" t="s">
        <v>30</v>
      </c>
      <c r="S711">
        <v>0</v>
      </c>
      <c r="T711">
        <v>0</v>
      </c>
      <c r="U711" t="s">
        <v>3915</v>
      </c>
      <c r="V711" t="s">
        <v>31</v>
      </c>
      <c r="W711">
        <v>0</v>
      </c>
    </row>
    <row r="712" spans="1:23" x14ac:dyDescent="0.25">
      <c r="A712" t="s">
        <v>5392</v>
      </c>
      <c r="B712" t="s">
        <v>2576</v>
      </c>
      <c r="C712" t="s">
        <v>2575</v>
      </c>
      <c r="D712" t="s">
        <v>4479</v>
      </c>
      <c r="E712" t="s">
        <v>4198</v>
      </c>
      <c r="F712" t="s">
        <v>784</v>
      </c>
      <c r="G712" t="s">
        <v>1406</v>
      </c>
      <c r="H712" s="6">
        <v>46022</v>
      </c>
      <c r="I712" t="s">
        <v>29</v>
      </c>
      <c r="J712">
        <v>13</v>
      </c>
      <c r="K712">
        <v>0</v>
      </c>
      <c r="L712">
        <v>0</v>
      </c>
      <c r="M712">
        <v>0</v>
      </c>
      <c r="N712" t="s">
        <v>3915</v>
      </c>
      <c r="O712" t="s">
        <v>3915</v>
      </c>
      <c r="P712" t="s">
        <v>3915</v>
      </c>
      <c r="Q712">
        <v>0</v>
      </c>
      <c r="R712" t="s">
        <v>30</v>
      </c>
      <c r="S712">
        <v>0</v>
      </c>
      <c r="T712">
        <v>0</v>
      </c>
      <c r="U712" t="s">
        <v>3915</v>
      </c>
      <c r="V712" t="s">
        <v>31</v>
      </c>
      <c r="W712">
        <v>0</v>
      </c>
    </row>
    <row r="713" spans="1:23" x14ac:dyDescent="0.25">
      <c r="A713" t="s">
        <v>5393</v>
      </c>
      <c r="B713" t="s">
        <v>2578</v>
      </c>
      <c r="C713" t="s">
        <v>2577</v>
      </c>
      <c r="D713" t="s">
        <v>4479</v>
      </c>
      <c r="E713" t="s">
        <v>4198</v>
      </c>
      <c r="F713" t="s">
        <v>784</v>
      </c>
      <c r="G713" t="s">
        <v>1406</v>
      </c>
      <c r="H713" s="6">
        <v>46022</v>
      </c>
      <c r="I713" t="s">
        <v>29</v>
      </c>
      <c r="J713">
        <v>8</v>
      </c>
      <c r="K713">
        <v>0</v>
      </c>
      <c r="L713">
        <v>0</v>
      </c>
      <c r="M713">
        <v>0</v>
      </c>
      <c r="N713" t="s">
        <v>3915</v>
      </c>
      <c r="O713" t="s">
        <v>3915</v>
      </c>
      <c r="P713" t="s">
        <v>3915</v>
      </c>
      <c r="Q713">
        <v>0</v>
      </c>
      <c r="R713" t="s">
        <v>30</v>
      </c>
      <c r="S713">
        <v>0</v>
      </c>
      <c r="T713">
        <v>0</v>
      </c>
      <c r="U713" t="s">
        <v>3915</v>
      </c>
      <c r="V713" t="s">
        <v>31</v>
      </c>
      <c r="W713">
        <v>0</v>
      </c>
    </row>
    <row r="714" spans="1:23" x14ac:dyDescent="0.25">
      <c r="A714" t="s">
        <v>5394</v>
      </c>
      <c r="B714" t="s">
        <v>2580</v>
      </c>
      <c r="C714" t="s">
        <v>2579</v>
      </c>
      <c r="D714" t="s">
        <v>4479</v>
      </c>
      <c r="E714" t="s">
        <v>4198</v>
      </c>
      <c r="F714" t="s">
        <v>784</v>
      </c>
      <c r="G714" t="s">
        <v>1406</v>
      </c>
      <c r="H714" s="6">
        <v>46022</v>
      </c>
      <c r="I714" t="s">
        <v>29</v>
      </c>
      <c r="J714">
        <v>9</v>
      </c>
      <c r="K714">
        <v>0</v>
      </c>
      <c r="L714">
        <v>0</v>
      </c>
      <c r="M714">
        <v>0</v>
      </c>
      <c r="N714" t="s">
        <v>3915</v>
      </c>
      <c r="O714" t="s">
        <v>3915</v>
      </c>
      <c r="P714" t="s">
        <v>3915</v>
      </c>
      <c r="Q714">
        <v>0</v>
      </c>
      <c r="R714" t="s">
        <v>30</v>
      </c>
      <c r="S714">
        <v>0</v>
      </c>
      <c r="T714">
        <v>0</v>
      </c>
      <c r="U714" t="s">
        <v>3915</v>
      </c>
      <c r="V714" t="s">
        <v>31</v>
      </c>
      <c r="W714">
        <v>0</v>
      </c>
    </row>
    <row r="715" spans="1:23" x14ac:dyDescent="0.25">
      <c r="A715" t="s">
        <v>5395</v>
      </c>
      <c r="B715" t="s">
        <v>2582</v>
      </c>
      <c r="C715" t="s">
        <v>2581</v>
      </c>
      <c r="D715" t="s">
        <v>4479</v>
      </c>
      <c r="E715" t="s">
        <v>4198</v>
      </c>
      <c r="F715" t="s">
        <v>784</v>
      </c>
      <c r="G715" t="s">
        <v>1406</v>
      </c>
      <c r="H715" s="6">
        <v>46022</v>
      </c>
      <c r="I715" t="s">
        <v>29</v>
      </c>
      <c r="J715">
        <v>15</v>
      </c>
      <c r="K715">
        <v>0</v>
      </c>
      <c r="L715">
        <v>0</v>
      </c>
      <c r="M715">
        <v>0</v>
      </c>
      <c r="N715" t="s">
        <v>3915</v>
      </c>
      <c r="O715" t="s">
        <v>3915</v>
      </c>
      <c r="P715" t="s">
        <v>3915</v>
      </c>
      <c r="Q715">
        <v>0</v>
      </c>
      <c r="R715" t="s">
        <v>30</v>
      </c>
      <c r="S715">
        <v>0</v>
      </c>
      <c r="T715">
        <v>0</v>
      </c>
      <c r="U715" t="s">
        <v>3915</v>
      </c>
      <c r="V715" t="s">
        <v>31</v>
      </c>
      <c r="W715">
        <v>0</v>
      </c>
    </row>
    <row r="716" spans="1:23" x14ac:dyDescent="0.25">
      <c r="A716" t="s">
        <v>5396</v>
      </c>
      <c r="B716" t="s">
        <v>2584</v>
      </c>
      <c r="C716" t="s">
        <v>2583</v>
      </c>
      <c r="D716" t="s">
        <v>4479</v>
      </c>
      <c r="E716" t="s">
        <v>4198</v>
      </c>
      <c r="F716" t="s">
        <v>784</v>
      </c>
      <c r="G716" t="s">
        <v>1406</v>
      </c>
      <c r="H716" s="6">
        <v>46022</v>
      </c>
      <c r="I716" t="s">
        <v>29</v>
      </c>
      <c r="J716">
        <v>7</v>
      </c>
      <c r="K716">
        <v>0</v>
      </c>
      <c r="L716">
        <v>0</v>
      </c>
      <c r="M716">
        <v>0</v>
      </c>
      <c r="N716" t="s">
        <v>3915</v>
      </c>
      <c r="O716" t="s">
        <v>3915</v>
      </c>
      <c r="P716" t="s">
        <v>3915</v>
      </c>
      <c r="Q716">
        <v>0</v>
      </c>
      <c r="R716" t="s">
        <v>30</v>
      </c>
      <c r="S716">
        <v>0</v>
      </c>
      <c r="T716">
        <v>0</v>
      </c>
      <c r="U716" t="s">
        <v>3915</v>
      </c>
      <c r="V716" t="s">
        <v>31</v>
      </c>
      <c r="W716">
        <v>0</v>
      </c>
    </row>
    <row r="717" spans="1:23" x14ac:dyDescent="0.25">
      <c r="A717" t="s">
        <v>4585</v>
      </c>
      <c r="B717" t="s">
        <v>2586</v>
      </c>
      <c r="C717" t="s">
        <v>2585</v>
      </c>
      <c r="D717" t="s">
        <v>4479</v>
      </c>
      <c r="E717" t="s">
        <v>4198</v>
      </c>
      <c r="F717" t="s">
        <v>784</v>
      </c>
      <c r="G717" t="s">
        <v>1406</v>
      </c>
      <c r="H717" s="6">
        <v>46022</v>
      </c>
      <c r="I717" t="s">
        <v>29</v>
      </c>
      <c r="J717">
        <v>8</v>
      </c>
      <c r="K717">
        <v>0</v>
      </c>
      <c r="L717">
        <v>0</v>
      </c>
      <c r="M717">
        <v>0</v>
      </c>
      <c r="N717" t="s">
        <v>3915</v>
      </c>
      <c r="O717" t="s">
        <v>3915</v>
      </c>
      <c r="P717" t="s">
        <v>3915</v>
      </c>
      <c r="Q717">
        <v>0</v>
      </c>
      <c r="R717" t="s">
        <v>30</v>
      </c>
      <c r="S717">
        <v>0</v>
      </c>
      <c r="T717">
        <v>0</v>
      </c>
      <c r="U717" t="s">
        <v>3915</v>
      </c>
      <c r="V717" t="s">
        <v>31</v>
      </c>
      <c r="W717">
        <v>0</v>
      </c>
    </row>
    <row r="718" spans="1:23" x14ac:dyDescent="0.25">
      <c r="A718" t="s">
        <v>4590</v>
      </c>
      <c r="B718" t="s">
        <v>2588</v>
      </c>
      <c r="C718" t="s">
        <v>2587</v>
      </c>
      <c r="D718" t="s">
        <v>4479</v>
      </c>
      <c r="E718" t="s">
        <v>4198</v>
      </c>
      <c r="F718" t="s">
        <v>784</v>
      </c>
      <c r="G718" t="s">
        <v>1406</v>
      </c>
      <c r="H718" s="6">
        <v>46022</v>
      </c>
      <c r="I718" t="s">
        <v>29</v>
      </c>
      <c r="J718">
        <v>2</v>
      </c>
      <c r="K718">
        <v>0</v>
      </c>
      <c r="L718">
        <v>0</v>
      </c>
      <c r="M718">
        <v>0</v>
      </c>
      <c r="N718" t="s">
        <v>3915</v>
      </c>
      <c r="O718" t="s">
        <v>3915</v>
      </c>
      <c r="P718" t="s">
        <v>3915</v>
      </c>
      <c r="Q718">
        <v>0</v>
      </c>
      <c r="R718" t="s">
        <v>30</v>
      </c>
      <c r="S718">
        <v>0</v>
      </c>
      <c r="T718">
        <v>0</v>
      </c>
      <c r="U718" t="s">
        <v>3915</v>
      </c>
      <c r="V718" t="s">
        <v>31</v>
      </c>
      <c r="W718">
        <v>0</v>
      </c>
    </row>
    <row r="719" spans="1:23" x14ac:dyDescent="0.25">
      <c r="A719" t="s">
        <v>5397</v>
      </c>
      <c r="B719" t="s">
        <v>2590</v>
      </c>
      <c r="C719" t="s">
        <v>2589</v>
      </c>
      <c r="D719" t="s">
        <v>4479</v>
      </c>
      <c r="E719" t="s">
        <v>4198</v>
      </c>
      <c r="F719" t="s">
        <v>784</v>
      </c>
      <c r="G719" t="s">
        <v>1406</v>
      </c>
      <c r="H719" s="6">
        <v>46022</v>
      </c>
      <c r="I719" t="s">
        <v>29</v>
      </c>
      <c r="J719">
        <v>3</v>
      </c>
      <c r="K719">
        <v>0</v>
      </c>
      <c r="L719">
        <v>0</v>
      </c>
      <c r="M719">
        <v>0</v>
      </c>
      <c r="N719" t="s">
        <v>3915</v>
      </c>
      <c r="O719" t="s">
        <v>3915</v>
      </c>
      <c r="P719" t="s">
        <v>3915</v>
      </c>
      <c r="Q719">
        <v>0</v>
      </c>
      <c r="R719" t="s">
        <v>30</v>
      </c>
      <c r="S719">
        <v>0</v>
      </c>
      <c r="T719">
        <v>0</v>
      </c>
      <c r="U719" t="s">
        <v>3915</v>
      </c>
      <c r="V719" t="s">
        <v>31</v>
      </c>
      <c r="W719">
        <v>0</v>
      </c>
    </row>
    <row r="720" spans="1:23" x14ac:dyDescent="0.25">
      <c r="A720" t="s">
        <v>4593</v>
      </c>
      <c r="B720" t="s">
        <v>2592</v>
      </c>
      <c r="C720" t="s">
        <v>2591</v>
      </c>
      <c r="D720" t="s">
        <v>4479</v>
      </c>
      <c r="E720" t="s">
        <v>4198</v>
      </c>
      <c r="F720" t="s">
        <v>784</v>
      </c>
      <c r="G720" t="s">
        <v>1406</v>
      </c>
      <c r="H720" s="6">
        <v>46022</v>
      </c>
      <c r="I720" t="s">
        <v>29</v>
      </c>
      <c r="J720">
        <v>1</v>
      </c>
      <c r="K720">
        <v>0</v>
      </c>
      <c r="L720">
        <v>0</v>
      </c>
      <c r="M720">
        <v>0</v>
      </c>
      <c r="N720" t="s">
        <v>3915</v>
      </c>
      <c r="O720" t="s">
        <v>3915</v>
      </c>
      <c r="P720" t="s">
        <v>3915</v>
      </c>
      <c r="Q720">
        <v>0</v>
      </c>
      <c r="R720" t="s">
        <v>30</v>
      </c>
      <c r="S720">
        <v>0</v>
      </c>
      <c r="T720">
        <v>0</v>
      </c>
      <c r="U720" t="s">
        <v>3915</v>
      </c>
      <c r="V720" t="s">
        <v>31</v>
      </c>
      <c r="W720">
        <v>0</v>
      </c>
    </row>
    <row r="721" spans="1:23" x14ac:dyDescent="0.25">
      <c r="A721" t="s">
        <v>4594</v>
      </c>
      <c r="B721" t="s">
        <v>2594</v>
      </c>
      <c r="C721" t="s">
        <v>2593</v>
      </c>
      <c r="D721" t="s">
        <v>4479</v>
      </c>
      <c r="E721" t="s">
        <v>4198</v>
      </c>
      <c r="F721" t="s">
        <v>784</v>
      </c>
      <c r="G721" t="s">
        <v>1406</v>
      </c>
      <c r="H721" s="6">
        <v>46022</v>
      </c>
      <c r="I721" t="s">
        <v>29</v>
      </c>
      <c r="J721">
        <v>6</v>
      </c>
      <c r="K721">
        <v>0</v>
      </c>
      <c r="L721">
        <v>0</v>
      </c>
      <c r="M721">
        <v>0</v>
      </c>
      <c r="N721" t="s">
        <v>3915</v>
      </c>
      <c r="O721" t="s">
        <v>3915</v>
      </c>
      <c r="P721" t="s">
        <v>3915</v>
      </c>
      <c r="Q721">
        <v>0</v>
      </c>
      <c r="R721" t="s">
        <v>30</v>
      </c>
      <c r="S721">
        <v>0</v>
      </c>
      <c r="T721">
        <v>0</v>
      </c>
      <c r="U721" t="s">
        <v>3915</v>
      </c>
      <c r="V721" t="s">
        <v>31</v>
      </c>
      <c r="W721">
        <v>0</v>
      </c>
    </row>
    <row r="722" spans="1:23" x14ac:dyDescent="0.25">
      <c r="A722" t="s">
        <v>4597</v>
      </c>
      <c r="B722" t="s">
        <v>2596</v>
      </c>
      <c r="C722" t="s">
        <v>2595</v>
      </c>
      <c r="D722" t="s">
        <v>4479</v>
      </c>
      <c r="E722" t="s">
        <v>4198</v>
      </c>
      <c r="F722" t="s">
        <v>784</v>
      </c>
      <c r="G722" t="s">
        <v>1406</v>
      </c>
      <c r="H722" s="6">
        <v>46022</v>
      </c>
      <c r="I722" t="s">
        <v>29</v>
      </c>
      <c r="J722">
        <v>1</v>
      </c>
      <c r="K722">
        <v>0</v>
      </c>
      <c r="L722">
        <v>0</v>
      </c>
      <c r="M722">
        <v>0</v>
      </c>
      <c r="N722" t="s">
        <v>3915</v>
      </c>
      <c r="O722" t="s">
        <v>3915</v>
      </c>
      <c r="P722" t="s">
        <v>3915</v>
      </c>
      <c r="Q722">
        <v>0</v>
      </c>
      <c r="R722" t="s">
        <v>30</v>
      </c>
      <c r="S722">
        <v>0</v>
      </c>
      <c r="T722">
        <v>0</v>
      </c>
      <c r="U722" t="s">
        <v>3915</v>
      </c>
      <c r="V722" t="s">
        <v>31</v>
      </c>
      <c r="W722">
        <v>0</v>
      </c>
    </row>
    <row r="723" spans="1:23" x14ac:dyDescent="0.25">
      <c r="A723" t="s">
        <v>4607</v>
      </c>
      <c r="B723" t="s">
        <v>2598</v>
      </c>
      <c r="C723" t="s">
        <v>2597</v>
      </c>
      <c r="D723" t="s">
        <v>4479</v>
      </c>
      <c r="E723" t="s">
        <v>4198</v>
      </c>
      <c r="F723" t="s">
        <v>784</v>
      </c>
      <c r="G723" t="s">
        <v>1406</v>
      </c>
      <c r="H723" s="6">
        <v>46022</v>
      </c>
      <c r="I723" t="s">
        <v>29</v>
      </c>
      <c r="J723">
        <v>1</v>
      </c>
      <c r="K723">
        <v>0</v>
      </c>
      <c r="L723">
        <v>0</v>
      </c>
      <c r="M723">
        <v>0</v>
      </c>
      <c r="N723" t="s">
        <v>3915</v>
      </c>
      <c r="O723" t="s">
        <v>3915</v>
      </c>
      <c r="P723" t="s">
        <v>3915</v>
      </c>
      <c r="Q723">
        <v>0</v>
      </c>
      <c r="R723" t="s">
        <v>30</v>
      </c>
      <c r="S723">
        <v>0</v>
      </c>
      <c r="T723">
        <v>0</v>
      </c>
      <c r="U723" t="s">
        <v>3915</v>
      </c>
      <c r="V723" t="s">
        <v>31</v>
      </c>
      <c r="W723">
        <v>0</v>
      </c>
    </row>
    <row r="724" spans="1:23" x14ac:dyDescent="0.25">
      <c r="A724" t="s">
        <v>5398</v>
      </c>
      <c r="B724" t="s">
        <v>2600</v>
      </c>
      <c r="C724" t="s">
        <v>2599</v>
      </c>
      <c r="D724" t="s">
        <v>4479</v>
      </c>
      <c r="E724" t="s">
        <v>4198</v>
      </c>
      <c r="F724" t="s">
        <v>784</v>
      </c>
      <c r="G724" t="s">
        <v>1406</v>
      </c>
      <c r="H724" s="6">
        <v>46022</v>
      </c>
      <c r="I724" t="s">
        <v>29</v>
      </c>
      <c r="J724">
        <v>2</v>
      </c>
      <c r="K724">
        <v>0</v>
      </c>
      <c r="L724">
        <v>0</v>
      </c>
      <c r="M724">
        <v>0</v>
      </c>
      <c r="N724" t="s">
        <v>3915</v>
      </c>
      <c r="O724" t="s">
        <v>3915</v>
      </c>
      <c r="P724" t="s">
        <v>3915</v>
      </c>
      <c r="Q724">
        <v>0</v>
      </c>
      <c r="R724" t="s">
        <v>30</v>
      </c>
      <c r="S724">
        <v>0</v>
      </c>
      <c r="T724">
        <v>0</v>
      </c>
      <c r="U724" t="s">
        <v>3915</v>
      </c>
      <c r="V724" t="s">
        <v>31</v>
      </c>
      <c r="W724">
        <v>0</v>
      </c>
    </row>
    <row r="725" spans="1:23" x14ac:dyDescent="0.25">
      <c r="A725" t="s">
        <v>4612</v>
      </c>
      <c r="B725" t="s">
        <v>2602</v>
      </c>
      <c r="C725" t="s">
        <v>2601</v>
      </c>
      <c r="D725" t="s">
        <v>4479</v>
      </c>
      <c r="E725" t="s">
        <v>4198</v>
      </c>
      <c r="F725" t="s">
        <v>784</v>
      </c>
      <c r="G725" t="s">
        <v>1406</v>
      </c>
      <c r="H725" s="6">
        <v>46022</v>
      </c>
      <c r="I725" t="s">
        <v>29</v>
      </c>
      <c r="J725">
        <v>4</v>
      </c>
      <c r="K725">
        <v>0</v>
      </c>
      <c r="L725">
        <v>0</v>
      </c>
      <c r="M725">
        <v>0</v>
      </c>
      <c r="N725" t="s">
        <v>3915</v>
      </c>
      <c r="O725" t="s">
        <v>3915</v>
      </c>
      <c r="P725" t="s">
        <v>3915</v>
      </c>
      <c r="Q725">
        <v>0</v>
      </c>
      <c r="R725" t="s">
        <v>30</v>
      </c>
      <c r="S725">
        <v>0</v>
      </c>
      <c r="T725">
        <v>0</v>
      </c>
      <c r="U725" t="s">
        <v>3915</v>
      </c>
      <c r="V725" t="s">
        <v>31</v>
      </c>
      <c r="W725">
        <v>0</v>
      </c>
    </row>
    <row r="726" spans="1:23" x14ac:dyDescent="0.25">
      <c r="A726" t="s">
        <v>5399</v>
      </c>
      <c r="B726" t="s">
        <v>2604</v>
      </c>
      <c r="C726" t="s">
        <v>2603</v>
      </c>
      <c r="D726" t="s">
        <v>4479</v>
      </c>
      <c r="E726" t="s">
        <v>4198</v>
      </c>
      <c r="F726" t="s">
        <v>784</v>
      </c>
      <c r="G726" t="s">
        <v>1406</v>
      </c>
      <c r="H726" s="6">
        <v>46022</v>
      </c>
      <c r="I726" t="s">
        <v>29</v>
      </c>
      <c r="J726">
        <v>1</v>
      </c>
      <c r="K726">
        <v>0</v>
      </c>
      <c r="L726">
        <v>0</v>
      </c>
      <c r="M726">
        <v>0</v>
      </c>
      <c r="N726" t="s">
        <v>3915</v>
      </c>
      <c r="O726" t="s">
        <v>3915</v>
      </c>
      <c r="P726" t="s">
        <v>3915</v>
      </c>
      <c r="Q726">
        <v>0</v>
      </c>
      <c r="R726" t="s">
        <v>30</v>
      </c>
      <c r="S726">
        <v>0</v>
      </c>
      <c r="T726">
        <v>0</v>
      </c>
      <c r="U726" t="s">
        <v>3915</v>
      </c>
      <c r="V726" t="s">
        <v>31</v>
      </c>
      <c r="W726">
        <v>0</v>
      </c>
    </row>
    <row r="727" spans="1:23" x14ac:dyDescent="0.25">
      <c r="A727" t="s">
        <v>4614</v>
      </c>
      <c r="B727" t="s">
        <v>2606</v>
      </c>
      <c r="C727" t="s">
        <v>2605</v>
      </c>
      <c r="D727" t="s">
        <v>4479</v>
      </c>
      <c r="E727" t="s">
        <v>4198</v>
      </c>
      <c r="F727" t="s">
        <v>784</v>
      </c>
      <c r="G727" t="s">
        <v>1406</v>
      </c>
      <c r="H727" s="6">
        <v>46022</v>
      </c>
      <c r="I727" t="s">
        <v>29</v>
      </c>
      <c r="J727">
        <v>2</v>
      </c>
      <c r="K727">
        <v>0</v>
      </c>
      <c r="L727">
        <v>0</v>
      </c>
      <c r="M727">
        <v>0</v>
      </c>
      <c r="N727" t="s">
        <v>3915</v>
      </c>
      <c r="O727" t="s">
        <v>3915</v>
      </c>
      <c r="P727" t="s">
        <v>3915</v>
      </c>
      <c r="Q727">
        <v>0</v>
      </c>
      <c r="R727" t="s">
        <v>30</v>
      </c>
      <c r="S727">
        <v>0</v>
      </c>
      <c r="T727">
        <v>0</v>
      </c>
      <c r="U727" t="s">
        <v>3915</v>
      </c>
      <c r="V727" t="s">
        <v>31</v>
      </c>
      <c r="W727">
        <v>0</v>
      </c>
    </row>
    <row r="728" spans="1:23" x14ac:dyDescent="0.25">
      <c r="A728" t="s">
        <v>4641</v>
      </c>
      <c r="B728" t="s">
        <v>2608</v>
      </c>
      <c r="C728" t="s">
        <v>2607</v>
      </c>
      <c r="D728" t="s">
        <v>4479</v>
      </c>
      <c r="E728" t="s">
        <v>4198</v>
      </c>
      <c r="F728" t="s">
        <v>784</v>
      </c>
      <c r="G728" t="s">
        <v>1406</v>
      </c>
      <c r="H728" s="6">
        <v>46022</v>
      </c>
      <c r="I728" t="s">
        <v>29</v>
      </c>
      <c r="J728">
        <v>13</v>
      </c>
      <c r="K728">
        <v>0</v>
      </c>
      <c r="L728">
        <v>0</v>
      </c>
      <c r="M728">
        <v>0</v>
      </c>
      <c r="N728" t="s">
        <v>3915</v>
      </c>
      <c r="O728" t="s">
        <v>3915</v>
      </c>
      <c r="P728" t="s">
        <v>3915</v>
      </c>
      <c r="Q728">
        <v>0</v>
      </c>
      <c r="R728" t="s">
        <v>30</v>
      </c>
      <c r="S728">
        <v>0</v>
      </c>
      <c r="T728">
        <v>0</v>
      </c>
      <c r="U728" t="s">
        <v>3915</v>
      </c>
      <c r="V728" t="s">
        <v>31</v>
      </c>
      <c r="W728">
        <v>0</v>
      </c>
    </row>
    <row r="729" spans="1:23" x14ac:dyDescent="0.25">
      <c r="A729" t="s">
        <v>4643</v>
      </c>
      <c r="B729" t="s">
        <v>2610</v>
      </c>
      <c r="C729" t="s">
        <v>2609</v>
      </c>
      <c r="D729" t="s">
        <v>4479</v>
      </c>
      <c r="E729" t="s">
        <v>4198</v>
      </c>
      <c r="F729" t="s">
        <v>784</v>
      </c>
      <c r="G729" t="s">
        <v>1406</v>
      </c>
      <c r="H729" s="6">
        <v>46022</v>
      </c>
      <c r="I729" t="s">
        <v>29</v>
      </c>
      <c r="J729">
        <v>8</v>
      </c>
      <c r="K729">
        <v>0</v>
      </c>
      <c r="L729">
        <v>0</v>
      </c>
      <c r="M729">
        <v>0</v>
      </c>
      <c r="N729" t="s">
        <v>3915</v>
      </c>
      <c r="O729" t="s">
        <v>3915</v>
      </c>
      <c r="P729" t="s">
        <v>3915</v>
      </c>
      <c r="Q729">
        <v>0</v>
      </c>
      <c r="R729" t="s">
        <v>30</v>
      </c>
      <c r="S729">
        <v>0</v>
      </c>
      <c r="T729">
        <v>0</v>
      </c>
      <c r="U729" t="s">
        <v>3915</v>
      </c>
      <c r="V729" t="s">
        <v>31</v>
      </c>
      <c r="W729">
        <v>0</v>
      </c>
    </row>
    <row r="730" spans="1:23" x14ac:dyDescent="0.25">
      <c r="A730" t="s">
        <v>5400</v>
      </c>
      <c r="B730" t="s">
        <v>2612</v>
      </c>
      <c r="C730" t="s">
        <v>2611</v>
      </c>
      <c r="D730" t="s">
        <v>4479</v>
      </c>
      <c r="E730" t="s">
        <v>4198</v>
      </c>
      <c r="F730" t="s">
        <v>784</v>
      </c>
      <c r="G730" t="s">
        <v>1406</v>
      </c>
      <c r="H730" s="6">
        <v>46022</v>
      </c>
      <c r="I730" t="s">
        <v>29</v>
      </c>
      <c r="J730">
        <v>3</v>
      </c>
      <c r="K730">
        <v>0</v>
      </c>
      <c r="L730">
        <v>0</v>
      </c>
      <c r="M730">
        <v>0</v>
      </c>
      <c r="N730" t="s">
        <v>3915</v>
      </c>
      <c r="O730" t="s">
        <v>3915</v>
      </c>
      <c r="P730" t="s">
        <v>3915</v>
      </c>
      <c r="Q730">
        <v>0</v>
      </c>
      <c r="R730" t="s">
        <v>30</v>
      </c>
      <c r="S730">
        <v>0</v>
      </c>
      <c r="T730">
        <v>0</v>
      </c>
      <c r="U730" t="s">
        <v>3915</v>
      </c>
      <c r="V730" t="s">
        <v>31</v>
      </c>
      <c r="W730">
        <v>0</v>
      </c>
    </row>
    <row r="731" spans="1:23" x14ac:dyDescent="0.25">
      <c r="A731" t="s">
        <v>5401</v>
      </c>
      <c r="B731" t="s">
        <v>2614</v>
      </c>
      <c r="C731" t="s">
        <v>2613</v>
      </c>
      <c r="D731" t="s">
        <v>4479</v>
      </c>
      <c r="E731" t="s">
        <v>4198</v>
      </c>
      <c r="F731" t="s">
        <v>784</v>
      </c>
      <c r="G731" t="s">
        <v>1406</v>
      </c>
      <c r="H731" s="6">
        <v>46022</v>
      </c>
      <c r="I731" t="s">
        <v>29</v>
      </c>
      <c r="J731">
        <v>7</v>
      </c>
      <c r="K731">
        <v>0</v>
      </c>
      <c r="L731">
        <v>0</v>
      </c>
      <c r="M731">
        <v>0</v>
      </c>
      <c r="N731" t="s">
        <v>3915</v>
      </c>
      <c r="O731" t="s">
        <v>3915</v>
      </c>
      <c r="P731" t="s">
        <v>3915</v>
      </c>
      <c r="Q731">
        <v>0</v>
      </c>
      <c r="R731" t="s">
        <v>30</v>
      </c>
      <c r="S731">
        <v>0</v>
      </c>
      <c r="T731">
        <v>0</v>
      </c>
      <c r="U731" t="s">
        <v>3915</v>
      </c>
      <c r="V731" t="s">
        <v>31</v>
      </c>
      <c r="W731">
        <v>0</v>
      </c>
    </row>
    <row r="732" spans="1:23" x14ac:dyDescent="0.25">
      <c r="A732" t="s">
        <v>4646</v>
      </c>
      <c r="B732" t="s">
        <v>2616</v>
      </c>
      <c r="C732" t="s">
        <v>2615</v>
      </c>
      <c r="D732" t="s">
        <v>4479</v>
      </c>
      <c r="E732" t="s">
        <v>4198</v>
      </c>
      <c r="F732" t="s">
        <v>784</v>
      </c>
      <c r="G732" t="s">
        <v>1406</v>
      </c>
      <c r="H732" s="6">
        <v>46022</v>
      </c>
      <c r="I732" t="s">
        <v>29</v>
      </c>
      <c r="J732">
        <v>3</v>
      </c>
      <c r="K732">
        <v>0</v>
      </c>
      <c r="L732">
        <v>0</v>
      </c>
      <c r="M732">
        <v>0</v>
      </c>
      <c r="N732" t="s">
        <v>3915</v>
      </c>
      <c r="O732" t="s">
        <v>3915</v>
      </c>
      <c r="P732" t="s">
        <v>3915</v>
      </c>
      <c r="Q732">
        <v>0</v>
      </c>
      <c r="R732" t="s">
        <v>30</v>
      </c>
      <c r="S732">
        <v>0</v>
      </c>
      <c r="T732">
        <v>0</v>
      </c>
      <c r="U732" t="s">
        <v>3915</v>
      </c>
      <c r="V732" t="s">
        <v>31</v>
      </c>
      <c r="W732">
        <v>0</v>
      </c>
    </row>
    <row r="733" spans="1:23" x14ac:dyDescent="0.25">
      <c r="A733" t="s">
        <v>4648</v>
      </c>
      <c r="B733" t="s">
        <v>2618</v>
      </c>
      <c r="C733" t="s">
        <v>2617</v>
      </c>
      <c r="D733" t="s">
        <v>4479</v>
      </c>
      <c r="E733" t="s">
        <v>4198</v>
      </c>
      <c r="F733" t="s">
        <v>784</v>
      </c>
      <c r="G733" t="s">
        <v>1406</v>
      </c>
      <c r="H733" s="6">
        <v>46022</v>
      </c>
      <c r="I733" t="s">
        <v>29</v>
      </c>
      <c r="J733">
        <v>1</v>
      </c>
      <c r="K733">
        <v>0</v>
      </c>
      <c r="L733">
        <v>0</v>
      </c>
      <c r="M733">
        <v>0</v>
      </c>
      <c r="N733" t="s">
        <v>3915</v>
      </c>
      <c r="O733" t="s">
        <v>3915</v>
      </c>
      <c r="P733" t="s">
        <v>3915</v>
      </c>
      <c r="Q733">
        <v>0</v>
      </c>
      <c r="R733" t="s">
        <v>30</v>
      </c>
      <c r="S733">
        <v>0</v>
      </c>
      <c r="T733">
        <v>0</v>
      </c>
      <c r="U733" t="s">
        <v>3915</v>
      </c>
      <c r="V733" t="s">
        <v>31</v>
      </c>
      <c r="W733">
        <v>0</v>
      </c>
    </row>
    <row r="734" spans="1:23" x14ac:dyDescent="0.25">
      <c r="A734" t="s">
        <v>5402</v>
      </c>
      <c r="B734" t="s">
        <v>2620</v>
      </c>
      <c r="C734" t="s">
        <v>2619</v>
      </c>
      <c r="D734" t="s">
        <v>4479</v>
      </c>
      <c r="E734" t="s">
        <v>4198</v>
      </c>
      <c r="F734" t="s">
        <v>784</v>
      </c>
      <c r="G734" t="s">
        <v>1406</v>
      </c>
      <c r="H734" s="6">
        <v>46022</v>
      </c>
      <c r="I734" t="s">
        <v>29</v>
      </c>
      <c r="J734">
        <v>4</v>
      </c>
      <c r="K734">
        <v>0</v>
      </c>
      <c r="L734">
        <v>0</v>
      </c>
      <c r="M734">
        <v>0</v>
      </c>
      <c r="N734" t="s">
        <v>3915</v>
      </c>
      <c r="O734" t="s">
        <v>3915</v>
      </c>
      <c r="P734" t="s">
        <v>3915</v>
      </c>
      <c r="Q734">
        <v>0</v>
      </c>
      <c r="R734" t="s">
        <v>30</v>
      </c>
      <c r="S734">
        <v>0</v>
      </c>
      <c r="T734">
        <v>0</v>
      </c>
      <c r="U734" t="s">
        <v>3915</v>
      </c>
      <c r="V734" t="s">
        <v>31</v>
      </c>
      <c r="W734">
        <v>0</v>
      </c>
    </row>
    <row r="735" spans="1:23" x14ac:dyDescent="0.25">
      <c r="A735" t="s">
        <v>5403</v>
      </c>
      <c r="B735" t="s">
        <v>2622</v>
      </c>
      <c r="C735" t="s">
        <v>2621</v>
      </c>
      <c r="D735" t="s">
        <v>4479</v>
      </c>
      <c r="E735" t="s">
        <v>4198</v>
      </c>
      <c r="F735" t="s">
        <v>784</v>
      </c>
      <c r="G735" t="s">
        <v>1406</v>
      </c>
      <c r="H735" s="6">
        <v>46022</v>
      </c>
      <c r="I735" t="s">
        <v>29</v>
      </c>
      <c r="J735">
        <v>3</v>
      </c>
      <c r="K735">
        <v>0</v>
      </c>
      <c r="L735">
        <v>0</v>
      </c>
      <c r="M735">
        <v>0</v>
      </c>
      <c r="N735" t="s">
        <v>3915</v>
      </c>
      <c r="O735" t="s">
        <v>3915</v>
      </c>
      <c r="P735" t="s">
        <v>3915</v>
      </c>
      <c r="Q735">
        <v>0</v>
      </c>
      <c r="R735" t="s">
        <v>30</v>
      </c>
      <c r="S735">
        <v>0</v>
      </c>
      <c r="T735">
        <v>0</v>
      </c>
      <c r="U735" t="s">
        <v>3915</v>
      </c>
      <c r="V735" t="s">
        <v>31</v>
      </c>
      <c r="W735">
        <v>0</v>
      </c>
    </row>
    <row r="736" spans="1:23" x14ac:dyDescent="0.25">
      <c r="A736" t="s">
        <v>5404</v>
      </c>
      <c r="B736" t="s">
        <v>2624</v>
      </c>
      <c r="C736" t="s">
        <v>2623</v>
      </c>
      <c r="D736" t="s">
        <v>4479</v>
      </c>
      <c r="E736" t="s">
        <v>4198</v>
      </c>
      <c r="F736" t="s">
        <v>784</v>
      </c>
      <c r="G736" t="s">
        <v>1406</v>
      </c>
      <c r="H736" s="6">
        <v>46022</v>
      </c>
      <c r="I736" t="s">
        <v>29</v>
      </c>
      <c r="J736">
        <v>4</v>
      </c>
      <c r="K736">
        <v>0</v>
      </c>
      <c r="L736">
        <v>0</v>
      </c>
      <c r="M736">
        <v>0</v>
      </c>
      <c r="N736" t="s">
        <v>3915</v>
      </c>
      <c r="O736" t="s">
        <v>3915</v>
      </c>
      <c r="P736" t="s">
        <v>3915</v>
      </c>
      <c r="Q736">
        <v>0</v>
      </c>
      <c r="R736" t="s">
        <v>30</v>
      </c>
      <c r="S736">
        <v>0</v>
      </c>
      <c r="T736">
        <v>0</v>
      </c>
      <c r="U736" t="s">
        <v>3915</v>
      </c>
      <c r="V736" t="s">
        <v>31</v>
      </c>
      <c r="W736">
        <v>0</v>
      </c>
    </row>
    <row r="737" spans="1:23" x14ac:dyDescent="0.25">
      <c r="A737" t="s">
        <v>5405</v>
      </c>
      <c r="B737" t="s">
        <v>2626</v>
      </c>
      <c r="C737" t="s">
        <v>2625</v>
      </c>
      <c r="D737" t="s">
        <v>4479</v>
      </c>
      <c r="E737" t="s">
        <v>4198</v>
      </c>
      <c r="F737" t="s">
        <v>784</v>
      </c>
      <c r="G737" t="s">
        <v>1406</v>
      </c>
      <c r="H737" s="6">
        <v>46022</v>
      </c>
      <c r="I737" t="s">
        <v>29</v>
      </c>
      <c r="J737">
        <v>4</v>
      </c>
      <c r="K737">
        <v>0</v>
      </c>
      <c r="L737">
        <v>0</v>
      </c>
      <c r="M737">
        <v>0</v>
      </c>
      <c r="N737" t="s">
        <v>3915</v>
      </c>
      <c r="O737" t="s">
        <v>3915</v>
      </c>
      <c r="P737" t="s">
        <v>3915</v>
      </c>
      <c r="Q737">
        <v>0</v>
      </c>
      <c r="R737" t="s">
        <v>30</v>
      </c>
      <c r="S737">
        <v>0</v>
      </c>
      <c r="T737">
        <v>0</v>
      </c>
      <c r="U737" t="s">
        <v>3915</v>
      </c>
      <c r="V737" t="s">
        <v>31</v>
      </c>
      <c r="W737">
        <v>0</v>
      </c>
    </row>
    <row r="738" spans="1:23" x14ac:dyDescent="0.25">
      <c r="A738" t="s">
        <v>5406</v>
      </c>
      <c r="B738" t="s">
        <v>2628</v>
      </c>
      <c r="C738" t="s">
        <v>2627</v>
      </c>
      <c r="D738" t="s">
        <v>4479</v>
      </c>
      <c r="E738" t="s">
        <v>4198</v>
      </c>
      <c r="F738" t="s">
        <v>784</v>
      </c>
      <c r="G738" t="s">
        <v>1406</v>
      </c>
      <c r="H738" s="6">
        <v>46022</v>
      </c>
      <c r="I738" t="s">
        <v>29</v>
      </c>
      <c r="J738">
        <v>15</v>
      </c>
      <c r="K738">
        <v>0</v>
      </c>
      <c r="L738">
        <v>0</v>
      </c>
      <c r="M738">
        <v>0</v>
      </c>
      <c r="N738" t="s">
        <v>3915</v>
      </c>
      <c r="O738" t="s">
        <v>3915</v>
      </c>
      <c r="P738" t="s">
        <v>3915</v>
      </c>
      <c r="Q738">
        <v>0</v>
      </c>
      <c r="R738" t="s">
        <v>30</v>
      </c>
      <c r="S738">
        <v>0</v>
      </c>
      <c r="T738">
        <v>0</v>
      </c>
      <c r="U738" t="s">
        <v>3915</v>
      </c>
      <c r="V738" t="s">
        <v>31</v>
      </c>
      <c r="W738">
        <v>0</v>
      </c>
    </row>
    <row r="739" spans="1:23" x14ac:dyDescent="0.25">
      <c r="A739" t="s">
        <v>4640</v>
      </c>
      <c r="B739" t="s">
        <v>2634</v>
      </c>
      <c r="C739" t="s">
        <v>2633</v>
      </c>
      <c r="D739" t="s">
        <v>4479</v>
      </c>
      <c r="E739" t="s">
        <v>4198</v>
      </c>
      <c r="F739" t="s">
        <v>784</v>
      </c>
      <c r="G739" t="s">
        <v>1406</v>
      </c>
      <c r="H739" s="6">
        <v>46022</v>
      </c>
      <c r="I739" t="s">
        <v>29</v>
      </c>
      <c r="J739">
        <v>17</v>
      </c>
      <c r="K739">
        <v>0</v>
      </c>
      <c r="L739">
        <v>0</v>
      </c>
      <c r="M739">
        <v>0</v>
      </c>
      <c r="N739" t="s">
        <v>3915</v>
      </c>
      <c r="O739" t="s">
        <v>3915</v>
      </c>
      <c r="P739" t="s">
        <v>3915</v>
      </c>
      <c r="Q739">
        <v>0</v>
      </c>
      <c r="R739" t="s">
        <v>30</v>
      </c>
      <c r="S739">
        <v>0</v>
      </c>
      <c r="T739">
        <v>0</v>
      </c>
      <c r="U739" t="s">
        <v>3915</v>
      </c>
      <c r="V739" t="s">
        <v>31</v>
      </c>
      <c r="W739">
        <v>0</v>
      </c>
    </row>
    <row r="740" spans="1:23" x14ac:dyDescent="0.25">
      <c r="A740" t="s">
        <v>5407</v>
      </c>
      <c r="B740" t="s">
        <v>2636</v>
      </c>
      <c r="C740" t="s">
        <v>2635</v>
      </c>
      <c r="D740" t="s">
        <v>4479</v>
      </c>
      <c r="E740" t="s">
        <v>4198</v>
      </c>
      <c r="F740" t="s">
        <v>784</v>
      </c>
      <c r="G740" t="s">
        <v>1406</v>
      </c>
      <c r="H740" s="6">
        <v>46022</v>
      </c>
      <c r="I740" t="s">
        <v>29</v>
      </c>
      <c r="J740">
        <v>16</v>
      </c>
      <c r="K740">
        <v>0</v>
      </c>
      <c r="L740">
        <v>0</v>
      </c>
      <c r="M740">
        <v>0</v>
      </c>
      <c r="N740" t="s">
        <v>3915</v>
      </c>
      <c r="O740" t="s">
        <v>3915</v>
      </c>
      <c r="P740" t="s">
        <v>3915</v>
      </c>
      <c r="Q740">
        <v>0</v>
      </c>
      <c r="R740" t="s">
        <v>30</v>
      </c>
      <c r="S740">
        <v>0</v>
      </c>
      <c r="T740">
        <v>0</v>
      </c>
      <c r="U740" t="s">
        <v>3915</v>
      </c>
      <c r="V740" t="s">
        <v>31</v>
      </c>
      <c r="W740">
        <v>0</v>
      </c>
    </row>
    <row r="741" spans="1:23" x14ac:dyDescent="0.25">
      <c r="A741" t="s">
        <v>5408</v>
      </c>
      <c r="B741" t="s">
        <v>2638</v>
      </c>
      <c r="C741" t="s">
        <v>2637</v>
      </c>
      <c r="D741" t="s">
        <v>4479</v>
      </c>
      <c r="E741" t="s">
        <v>4198</v>
      </c>
      <c r="F741" t="s">
        <v>784</v>
      </c>
      <c r="G741" t="s">
        <v>1406</v>
      </c>
      <c r="H741" s="6">
        <v>46022</v>
      </c>
      <c r="I741" t="s">
        <v>29</v>
      </c>
      <c r="J741">
        <v>5</v>
      </c>
      <c r="K741">
        <v>0</v>
      </c>
      <c r="L741">
        <v>0</v>
      </c>
      <c r="M741">
        <v>0</v>
      </c>
      <c r="N741" t="s">
        <v>3915</v>
      </c>
      <c r="O741" t="s">
        <v>3915</v>
      </c>
      <c r="P741" t="s">
        <v>3915</v>
      </c>
      <c r="Q741">
        <v>0</v>
      </c>
      <c r="R741" t="s">
        <v>30</v>
      </c>
      <c r="S741">
        <v>0</v>
      </c>
      <c r="T741">
        <v>0</v>
      </c>
      <c r="U741" t="s">
        <v>3915</v>
      </c>
      <c r="V741" t="s">
        <v>31</v>
      </c>
      <c r="W741">
        <v>0</v>
      </c>
    </row>
    <row r="742" spans="1:23" x14ac:dyDescent="0.25">
      <c r="A742" t="s">
        <v>5409</v>
      </c>
      <c r="B742" t="s">
        <v>2640</v>
      </c>
      <c r="C742" t="s">
        <v>2639</v>
      </c>
      <c r="D742" t="s">
        <v>4479</v>
      </c>
      <c r="E742" t="s">
        <v>4198</v>
      </c>
      <c r="F742" t="s">
        <v>784</v>
      </c>
      <c r="G742" t="s">
        <v>1406</v>
      </c>
      <c r="H742" s="6">
        <v>46022</v>
      </c>
      <c r="I742" t="s">
        <v>29</v>
      </c>
      <c r="J742">
        <v>2</v>
      </c>
      <c r="K742">
        <v>0</v>
      </c>
      <c r="L742">
        <v>0</v>
      </c>
      <c r="M742">
        <v>0</v>
      </c>
      <c r="N742" t="s">
        <v>3915</v>
      </c>
      <c r="O742" t="s">
        <v>3915</v>
      </c>
      <c r="P742" t="s">
        <v>3915</v>
      </c>
      <c r="Q742">
        <v>0</v>
      </c>
      <c r="R742" t="s">
        <v>30</v>
      </c>
      <c r="S742">
        <v>0</v>
      </c>
      <c r="T742">
        <v>0</v>
      </c>
      <c r="U742" t="s">
        <v>3915</v>
      </c>
      <c r="V742" t="s">
        <v>31</v>
      </c>
      <c r="W742">
        <v>0</v>
      </c>
    </row>
    <row r="743" spans="1:23" x14ac:dyDescent="0.25">
      <c r="A743" t="s">
        <v>5410</v>
      </c>
      <c r="B743" t="s">
        <v>2642</v>
      </c>
      <c r="C743" t="s">
        <v>2641</v>
      </c>
      <c r="D743" t="s">
        <v>4479</v>
      </c>
      <c r="E743" t="s">
        <v>4198</v>
      </c>
      <c r="F743" t="s">
        <v>784</v>
      </c>
      <c r="G743" t="s">
        <v>1406</v>
      </c>
      <c r="H743" s="6">
        <v>46022</v>
      </c>
      <c r="I743" t="s">
        <v>29</v>
      </c>
      <c r="J743">
        <v>41</v>
      </c>
      <c r="K743">
        <v>0</v>
      </c>
      <c r="L743">
        <v>0</v>
      </c>
      <c r="M743">
        <v>0</v>
      </c>
      <c r="N743" t="s">
        <v>3915</v>
      </c>
      <c r="O743" t="s">
        <v>3915</v>
      </c>
      <c r="P743" t="s">
        <v>3915</v>
      </c>
      <c r="Q743">
        <v>0</v>
      </c>
      <c r="R743" t="s">
        <v>30</v>
      </c>
      <c r="S743">
        <v>0</v>
      </c>
      <c r="T743">
        <v>0</v>
      </c>
      <c r="U743" t="s">
        <v>3915</v>
      </c>
      <c r="V743" t="s">
        <v>31</v>
      </c>
      <c r="W743">
        <v>0</v>
      </c>
    </row>
    <row r="744" spans="1:23" x14ac:dyDescent="0.25">
      <c r="A744" t="s">
        <v>5411</v>
      </c>
      <c r="B744" t="s">
        <v>2644</v>
      </c>
      <c r="C744" t="s">
        <v>2643</v>
      </c>
      <c r="D744" t="s">
        <v>4479</v>
      </c>
      <c r="E744" t="s">
        <v>4198</v>
      </c>
      <c r="F744" t="s">
        <v>784</v>
      </c>
      <c r="G744" t="s">
        <v>1406</v>
      </c>
      <c r="H744" s="6">
        <v>46022</v>
      </c>
      <c r="I744" t="s">
        <v>29</v>
      </c>
      <c r="J744">
        <v>7</v>
      </c>
      <c r="K744">
        <v>0</v>
      </c>
      <c r="L744">
        <v>0</v>
      </c>
      <c r="M744">
        <v>0</v>
      </c>
      <c r="N744" t="s">
        <v>3915</v>
      </c>
      <c r="O744" t="s">
        <v>3915</v>
      </c>
      <c r="P744" t="s">
        <v>3915</v>
      </c>
      <c r="Q744">
        <v>0</v>
      </c>
      <c r="R744" t="s">
        <v>30</v>
      </c>
      <c r="S744">
        <v>0</v>
      </c>
      <c r="T744">
        <v>0</v>
      </c>
      <c r="U744" t="s">
        <v>3915</v>
      </c>
      <c r="V744" t="s">
        <v>31</v>
      </c>
      <c r="W744">
        <v>0</v>
      </c>
    </row>
    <row r="745" spans="1:23" x14ac:dyDescent="0.25">
      <c r="A745" t="s">
        <v>5412</v>
      </c>
      <c r="B745" t="s">
        <v>2646</v>
      </c>
      <c r="C745" t="s">
        <v>2645</v>
      </c>
      <c r="D745" t="s">
        <v>4479</v>
      </c>
      <c r="E745" t="s">
        <v>4198</v>
      </c>
      <c r="F745" t="s">
        <v>784</v>
      </c>
      <c r="G745" t="s">
        <v>1406</v>
      </c>
      <c r="H745" s="6">
        <v>46022</v>
      </c>
      <c r="I745" t="s">
        <v>29</v>
      </c>
      <c r="J745">
        <v>8</v>
      </c>
      <c r="K745">
        <v>0</v>
      </c>
      <c r="L745">
        <v>0</v>
      </c>
      <c r="M745">
        <v>0</v>
      </c>
      <c r="N745" t="s">
        <v>3915</v>
      </c>
      <c r="O745" t="s">
        <v>3915</v>
      </c>
      <c r="P745" t="s">
        <v>3915</v>
      </c>
      <c r="Q745">
        <v>0</v>
      </c>
      <c r="R745" t="s">
        <v>30</v>
      </c>
      <c r="S745">
        <v>0</v>
      </c>
      <c r="T745">
        <v>0</v>
      </c>
      <c r="U745" t="s">
        <v>3915</v>
      </c>
      <c r="V745" t="s">
        <v>31</v>
      </c>
      <c r="W745">
        <v>0</v>
      </c>
    </row>
    <row r="746" spans="1:23" x14ac:dyDescent="0.25">
      <c r="A746" t="s">
        <v>5413</v>
      </c>
      <c r="B746" t="s">
        <v>2648</v>
      </c>
      <c r="C746" t="s">
        <v>2647</v>
      </c>
      <c r="D746" t="s">
        <v>4479</v>
      </c>
      <c r="E746" t="s">
        <v>4198</v>
      </c>
      <c r="F746" t="s">
        <v>784</v>
      </c>
      <c r="G746" t="s">
        <v>1406</v>
      </c>
      <c r="H746" s="6">
        <v>46022</v>
      </c>
      <c r="I746" t="s">
        <v>29</v>
      </c>
      <c r="J746">
        <v>4</v>
      </c>
      <c r="K746">
        <v>0</v>
      </c>
      <c r="L746">
        <v>0</v>
      </c>
      <c r="M746">
        <v>0</v>
      </c>
      <c r="N746" t="s">
        <v>3915</v>
      </c>
      <c r="O746" t="s">
        <v>3915</v>
      </c>
      <c r="P746" t="s">
        <v>3915</v>
      </c>
      <c r="Q746">
        <v>0</v>
      </c>
      <c r="R746" t="s">
        <v>30</v>
      </c>
      <c r="S746">
        <v>0</v>
      </c>
      <c r="T746">
        <v>0</v>
      </c>
      <c r="U746" t="s">
        <v>3915</v>
      </c>
      <c r="V746" t="s">
        <v>31</v>
      </c>
      <c r="W746">
        <v>0</v>
      </c>
    </row>
    <row r="747" spans="1:23" x14ac:dyDescent="0.25">
      <c r="A747" t="s">
        <v>5414</v>
      </c>
      <c r="B747" t="s">
        <v>2650</v>
      </c>
      <c r="C747" t="s">
        <v>2649</v>
      </c>
      <c r="D747" t="s">
        <v>4479</v>
      </c>
      <c r="E747" t="s">
        <v>4198</v>
      </c>
      <c r="F747" t="s">
        <v>784</v>
      </c>
      <c r="G747" t="s">
        <v>1406</v>
      </c>
      <c r="H747" s="6">
        <v>46022</v>
      </c>
      <c r="I747" t="s">
        <v>29</v>
      </c>
      <c r="J747">
        <v>2</v>
      </c>
      <c r="K747">
        <v>0</v>
      </c>
      <c r="L747">
        <v>0</v>
      </c>
      <c r="M747">
        <v>0</v>
      </c>
      <c r="N747" t="s">
        <v>3915</v>
      </c>
      <c r="O747" t="s">
        <v>3915</v>
      </c>
      <c r="P747" t="s">
        <v>3915</v>
      </c>
      <c r="Q747">
        <v>0</v>
      </c>
      <c r="R747" t="s">
        <v>30</v>
      </c>
      <c r="S747">
        <v>0</v>
      </c>
      <c r="T747">
        <v>0</v>
      </c>
      <c r="U747" t="s">
        <v>3915</v>
      </c>
      <c r="V747" t="s">
        <v>31</v>
      </c>
      <c r="W747">
        <v>0</v>
      </c>
    </row>
    <row r="748" spans="1:23" x14ac:dyDescent="0.25">
      <c r="A748" t="s">
        <v>5415</v>
      </c>
      <c r="B748" t="s">
        <v>2652</v>
      </c>
      <c r="C748" t="s">
        <v>2651</v>
      </c>
      <c r="D748" t="s">
        <v>4479</v>
      </c>
      <c r="E748" t="s">
        <v>4198</v>
      </c>
      <c r="F748" t="s">
        <v>784</v>
      </c>
      <c r="G748" t="s">
        <v>1406</v>
      </c>
      <c r="H748" s="6">
        <v>46022</v>
      </c>
      <c r="I748" t="s">
        <v>29</v>
      </c>
      <c r="J748">
        <v>16</v>
      </c>
      <c r="K748">
        <v>0</v>
      </c>
      <c r="L748">
        <v>0</v>
      </c>
      <c r="M748">
        <v>0</v>
      </c>
      <c r="N748" t="s">
        <v>3915</v>
      </c>
      <c r="O748" t="s">
        <v>3915</v>
      </c>
      <c r="P748" t="s">
        <v>3915</v>
      </c>
      <c r="Q748">
        <v>0</v>
      </c>
      <c r="R748" t="s">
        <v>30</v>
      </c>
      <c r="S748">
        <v>0</v>
      </c>
      <c r="T748">
        <v>0</v>
      </c>
      <c r="U748" t="s">
        <v>3915</v>
      </c>
      <c r="V748" t="s">
        <v>31</v>
      </c>
      <c r="W748">
        <v>0</v>
      </c>
    </row>
    <row r="749" spans="1:23" x14ac:dyDescent="0.25">
      <c r="A749" t="s">
        <v>5416</v>
      </c>
      <c r="B749" t="s">
        <v>2654</v>
      </c>
      <c r="C749" t="s">
        <v>2653</v>
      </c>
      <c r="D749" t="s">
        <v>4479</v>
      </c>
      <c r="E749" t="s">
        <v>4198</v>
      </c>
      <c r="F749" t="s">
        <v>784</v>
      </c>
      <c r="G749" t="s">
        <v>1406</v>
      </c>
      <c r="H749" s="6">
        <v>46022</v>
      </c>
      <c r="I749" t="s">
        <v>29</v>
      </c>
      <c r="J749">
        <v>10</v>
      </c>
      <c r="K749">
        <v>0</v>
      </c>
      <c r="L749">
        <v>0</v>
      </c>
      <c r="M749">
        <v>0</v>
      </c>
      <c r="N749" t="s">
        <v>3915</v>
      </c>
      <c r="O749" t="s">
        <v>3915</v>
      </c>
      <c r="P749" t="s">
        <v>3915</v>
      </c>
      <c r="Q749">
        <v>0</v>
      </c>
      <c r="R749" t="s">
        <v>30</v>
      </c>
      <c r="S749">
        <v>0</v>
      </c>
      <c r="T749">
        <v>0</v>
      </c>
      <c r="U749" t="s">
        <v>3915</v>
      </c>
      <c r="V749" t="s">
        <v>31</v>
      </c>
      <c r="W749">
        <v>0</v>
      </c>
    </row>
    <row r="750" spans="1:23" x14ac:dyDescent="0.25">
      <c r="A750" t="s">
        <v>5417</v>
      </c>
      <c r="B750" t="s">
        <v>2656</v>
      </c>
      <c r="C750" t="s">
        <v>2655</v>
      </c>
      <c r="D750" t="s">
        <v>4479</v>
      </c>
      <c r="E750" t="s">
        <v>4198</v>
      </c>
      <c r="F750" t="s">
        <v>784</v>
      </c>
      <c r="G750" t="s">
        <v>1406</v>
      </c>
      <c r="H750" s="6">
        <v>46022</v>
      </c>
      <c r="I750" t="s">
        <v>29</v>
      </c>
      <c r="J750">
        <v>6</v>
      </c>
      <c r="K750">
        <v>0</v>
      </c>
      <c r="L750">
        <v>0</v>
      </c>
      <c r="M750">
        <v>0</v>
      </c>
      <c r="N750" t="s">
        <v>3915</v>
      </c>
      <c r="O750" t="s">
        <v>3915</v>
      </c>
      <c r="P750" t="s">
        <v>3915</v>
      </c>
      <c r="Q750">
        <v>0</v>
      </c>
      <c r="R750" t="s">
        <v>30</v>
      </c>
      <c r="S750">
        <v>0</v>
      </c>
      <c r="T750">
        <v>0</v>
      </c>
      <c r="U750" t="s">
        <v>3915</v>
      </c>
      <c r="V750" t="s">
        <v>31</v>
      </c>
      <c r="W750">
        <v>0</v>
      </c>
    </row>
    <row r="751" spans="1:23" x14ac:dyDescent="0.25">
      <c r="A751" t="s">
        <v>5418</v>
      </c>
      <c r="B751" t="s">
        <v>2658</v>
      </c>
      <c r="C751" t="s">
        <v>2657</v>
      </c>
      <c r="D751" t="s">
        <v>4479</v>
      </c>
      <c r="E751" t="s">
        <v>4198</v>
      </c>
      <c r="F751" t="s">
        <v>784</v>
      </c>
      <c r="G751" t="s">
        <v>1406</v>
      </c>
      <c r="H751" s="6">
        <v>46022</v>
      </c>
      <c r="I751" t="s">
        <v>29</v>
      </c>
      <c r="J751">
        <v>7</v>
      </c>
      <c r="K751">
        <v>0</v>
      </c>
      <c r="L751">
        <v>0</v>
      </c>
      <c r="M751">
        <v>0</v>
      </c>
      <c r="N751" t="s">
        <v>3915</v>
      </c>
      <c r="O751" t="s">
        <v>3915</v>
      </c>
      <c r="P751" t="s">
        <v>3915</v>
      </c>
      <c r="Q751">
        <v>0</v>
      </c>
      <c r="R751" t="s">
        <v>30</v>
      </c>
      <c r="S751">
        <v>0</v>
      </c>
      <c r="T751">
        <v>0</v>
      </c>
      <c r="U751" t="s">
        <v>3915</v>
      </c>
      <c r="V751" t="s">
        <v>31</v>
      </c>
      <c r="W751">
        <v>0</v>
      </c>
    </row>
    <row r="752" spans="1:23" x14ac:dyDescent="0.25">
      <c r="A752" t="s">
        <v>5419</v>
      </c>
      <c r="B752" t="s">
        <v>2660</v>
      </c>
      <c r="C752" t="s">
        <v>2659</v>
      </c>
      <c r="D752" t="s">
        <v>4479</v>
      </c>
      <c r="E752" t="s">
        <v>4198</v>
      </c>
      <c r="F752" t="s">
        <v>784</v>
      </c>
      <c r="G752" t="s">
        <v>1406</v>
      </c>
      <c r="H752" s="6">
        <v>46022</v>
      </c>
      <c r="I752" t="s">
        <v>29</v>
      </c>
      <c r="J752">
        <v>38</v>
      </c>
      <c r="K752">
        <v>0</v>
      </c>
      <c r="L752">
        <v>0</v>
      </c>
      <c r="M752">
        <v>0</v>
      </c>
      <c r="N752" t="s">
        <v>3915</v>
      </c>
      <c r="O752" t="s">
        <v>3915</v>
      </c>
      <c r="P752" t="s">
        <v>3915</v>
      </c>
      <c r="Q752">
        <v>0</v>
      </c>
      <c r="R752" t="s">
        <v>30</v>
      </c>
      <c r="S752">
        <v>0</v>
      </c>
      <c r="T752">
        <v>0</v>
      </c>
      <c r="U752" t="s">
        <v>3915</v>
      </c>
      <c r="V752" t="s">
        <v>31</v>
      </c>
      <c r="W752">
        <v>0</v>
      </c>
    </row>
    <row r="753" spans="1:23" x14ac:dyDescent="0.25">
      <c r="A753" t="s">
        <v>5420</v>
      </c>
      <c r="B753" t="s">
        <v>2662</v>
      </c>
      <c r="C753" t="s">
        <v>2661</v>
      </c>
      <c r="D753" t="s">
        <v>4479</v>
      </c>
      <c r="E753" t="s">
        <v>4198</v>
      </c>
      <c r="F753" t="s">
        <v>784</v>
      </c>
      <c r="G753" t="s">
        <v>1406</v>
      </c>
      <c r="H753" s="6">
        <v>46022</v>
      </c>
      <c r="I753" t="s">
        <v>29</v>
      </c>
      <c r="J753">
        <v>15</v>
      </c>
      <c r="K753">
        <v>0</v>
      </c>
      <c r="L753">
        <v>0</v>
      </c>
      <c r="M753">
        <v>0</v>
      </c>
      <c r="N753" t="s">
        <v>3915</v>
      </c>
      <c r="O753" t="s">
        <v>3915</v>
      </c>
      <c r="P753" t="s">
        <v>3915</v>
      </c>
      <c r="Q753">
        <v>0</v>
      </c>
      <c r="R753" t="s">
        <v>30</v>
      </c>
      <c r="S753">
        <v>0</v>
      </c>
      <c r="T753">
        <v>0</v>
      </c>
      <c r="U753" t="s">
        <v>3915</v>
      </c>
      <c r="V753" t="s">
        <v>31</v>
      </c>
      <c r="W753">
        <v>0</v>
      </c>
    </row>
    <row r="754" spans="1:23" x14ac:dyDescent="0.25">
      <c r="A754" t="s">
        <v>5421</v>
      </c>
      <c r="B754" t="s">
        <v>2664</v>
      </c>
      <c r="C754" t="s">
        <v>2663</v>
      </c>
      <c r="D754" t="s">
        <v>4479</v>
      </c>
      <c r="E754" t="s">
        <v>4198</v>
      </c>
      <c r="F754" t="s">
        <v>784</v>
      </c>
      <c r="G754" t="s">
        <v>1406</v>
      </c>
      <c r="H754" s="6">
        <v>46022</v>
      </c>
      <c r="I754" t="s">
        <v>29</v>
      </c>
      <c r="J754">
        <v>9</v>
      </c>
      <c r="K754">
        <v>0</v>
      </c>
      <c r="L754">
        <v>0</v>
      </c>
      <c r="M754">
        <v>0</v>
      </c>
      <c r="N754" t="s">
        <v>3915</v>
      </c>
      <c r="O754" t="s">
        <v>3915</v>
      </c>
      <c r="P754" t="s">
        <v>3915</v>
      </c>
      <c r="Q754">
        <v>0</v>
      </c>
      <c r="R754" t="s">
        <v>30</v>
      </c>
      <c r="S754">
        <v>0</v>
      </c>
      <c r="T754">
        <v>0</v>
      </c>
      <c r="U754" t="s">
        <v>3915</v>
      </c>
      <c r="V754" t="s">
        <v>31</v>
      </c>
      <c r="W754">
        <v>0</v>
      </c>
    </row>
    <row r="755" spans="1:23" x14ac:dyDescent="0.25">
      <c r="A755" t="s">
        <v>5422</v>
      </c>
      <c r="B755" t="s">
        <v>2666</v>
      </c>
      <c r="C755" t="s">
        <v>2665</v>
      </c>
      <c r="D755" t="s">
        <v>4479</v>
      </c>
      <c r="E755" t="s">
        <v>4198</v>
      </c>
      <c r="F755" t="s">
        <v>784</v>
      </c>
      <c r="G755" t="s">
        <v>1406</v>
      </c>
      <c r="H755" s="6">
        <v>46022</v>
      </c>
      <c r="I755" t="s">
        <v>29</v>
      </c>
      <c r="J755">
        <v>4</v>
      </c>
      <c r="K755">
        <v>0</v>
      </c>
      <c r="L755">
        <v>0</v>
      </c>
      <c r="M755">
        <v>0</v>
      </c>
      <c r="N755" t="s">
        <v>3915</v>
      </c>
      <c r="O755" t="s">
        <v>3915</v>
      </c>
      <c r="P755" t="s">
        <v>3915</v>
      </c>
      <c r="Q755">
        <v>0</v>
      </c>
      <c r="R755" t="s">
        <v>30</v>
      </c>
      <c r="S755">
        <v>0</v>
      </c>
      <c r="T755">
        <v>0</v>
      </c>
      <c r="U755" t="s">
        <v>3915</v>
      </c>
      <c r="V755" t="s">
        <v>31</v>
      </c>
      <c r="W755">
        <v>0</v>
      </c>
    </row>
    <row r="756" spans="1:23" x14ac:dyDescent="0.25">
      <c r="A756" t="s">
        <v>5423</v>
      </c>
      <c r="B756" t="s">
        <v>2668</v>
      </c>
      <c r="C756" t="s">
        <v>2667</v>
      </c>
      <c r="D756" t="s">
        <v>4479</v>
      </c>
      <c r="E756" t="s">
        <v>4198</v>
      </c>
      <c r="F756" t="s">
        <v>784</v>
      </c>
      <c r="G756" t="s">
        <v>1406</v>
      </c>
      <c r="H756" s="6">
        <v>46022</v>
      </c>
      <c r="I756" t="s">
        <v>29</v>
      </c>
      <c r="J756">
        <v>3</v>
      </c>
      <c r="K756">
        <v>0</v>
      </c>
      <c r="L756">
        <v>0</v>
      </c>
      <c r="M756">
        <v>0</v>
      </c>
      <c r="N756" t="s">
        <v>3915</v>
      </c>
      <c r="O756" t="s">
        <v>3915</v>
      </c>
      <c r="P756" t="s">
        <v>3915</v>
      </c>
      <c r="Q756">
        <v>0</v>
      </c>
      <c r="R756" t="s">
        <v>30</v>
      </c>
      <c r="S756">
        <v>0</v>
      </c>
      <c r="T756">
        <v>0</v>
      </c>
      <c r="U756" t="s">
        <v>3915</v>
      </c>
      <c r="V756" t="s">
        <v>31</v>
      </c>
      <c r="W756">
        <v>0</v>
      </c>
    </row>
    <row r="757" spans="1:23" x14ac:dyDescent="0.25">
      <c r="A757" t="s">
        <v>5424</v>
      </c>
      <c r="B757" t="s">
        <v>2670</v>
      </c>
      <c r="C757" t="s">
        <v>2669</v>
      </c>
      <c r="D757" t="s">
        <v>4479</v>
      </c>
      <c r="E757" t="s">
        <v>4198</v>
      </c>
      <c r="F757" t="s">
        <v>784</v>
      </c>
      <c r="G757" t="s">
        <v>1406</v>
      </c>
      <c r="H757" s="6">
        <v>46022</v>
      </c>
      <c r="I757" t="s">
        <v>29</v>
      </c>
      <c r="J757">
        <v>24</v>
      </c>
      <c r="K757">
        <v>0</v>
      </c>
      <c r="L757">
        <v>0</v>
      </c>
      <c r="M757">
        <v>0</v>
      </c>
      <c r="N757" t="s">
        <v>3915</v>
      </c>
      <c r="O757" t="s">
        <v>3915</v>
      </c>
      <c r="P757" t="s">
        <v>3915</v>
      </c>
      <c r="Q757">
        <v>0</v>
      </c>
      <c r="R757" t="s">
        <v>30</v>
      </c>
      <c r="S757">
        <v>0</v>
      </c>
      <c r="T757">
        <v>0</v>
      </c>
      <c r="U757" t="s">
        <v>3915</v>
      </c>
      <c r="V757" t="s">
        <v>31</v>
      </c>
      <c r="W757">
        <v>0</v>
      </c>
    </row>
    <row r="758" spans="1:23" x14ac:dyDescent="0.25">
      <c r="A758" t="s">
        <v>5425</v>
      </c>
      <c r="B758" t="s">
        <v>2672</v>
      </c>
      <c r="C758" t="s">
        <v>2671</v>
      </c>
      <c r="D758" t="s">
        <v>4479</v>
      </c>
      <c r="E758" t="s">
        <v>4198</v>
      </c>
      <c r="F758" t="s">
        <v>784</v>
      </c>
      <c r="G758" t="s">
        <v>1406</v>
      </c>
      <c r="H758" s="6">
        <v>46022</v>
      </c>
      <c r="I758" t="s">
        <v>29</v>
      </c>
      <c r="J758">
        <v>19</v>
      </c>
      <c r="K758">
        <v>0</v>
      </c>
      <c r="L758">
        <v>0</v>
      </c>
      <c r="M758">
        <v>0</v>
      </c>
      <c r="N758" t="s">
        <v>3915</v>
      </c>
      <c r="O758" t="s">
        <v>3915</v>
      </c>
      <c r="P758" t="s">
        <v>3915</v>
      </c>
      <c r="Q758">
        <v>0</v>
      </c>
      <c r="R758" t="s">
        <v>30</v>
      </c>
      <c r="S758">
        <v>0</v>
      </c>
      <c r="T758">
        <v>0</v>
      </c>
      <c r="U758" t="s">
        <v>3915</v>
      </c>
      <c r="V758" t="s">
        <v>31</v>
      </c>
      <c r="W758">
        <v>0</v>
      </c>
    </row>
    <row r="759" spans="1:23" x14ac:dyDescent="0.25">
      <c r="A759" t="s">
        <v>5426</v>
      </c>
      <c r="B759" t="s">
        <v>2674</v>
      </c>
      <c r="C759" t="s">
        <v>2673</v>
      </c>
      <c r="D759" t="s">
        <v>4479</v>
      </c>
      <c r="E759" t="s">
        <v>4198</v>
      </c>
      <c r="F759" t="s">
        <v>784</v>
      </c>
      <c r="G759" t="s">
        <v>1406</v>
      </c>
      <c r="H759" s="6">
        <v>46022</v>
      </c>
      <c r="I759" t="s">
        <v>29</v>
      </c>
      <c r="J759">
        <v>7</v>
      </c>
      <c r="K759">
        <v>0</v>
      </c>
      <c r="L759">
        <v>0</v>
      </c>
      <c r="M759">
        <v>0</v>
      </c>
      <c r="N759" t="s">
        <v>3915</v>
      </c>
      <c r="O759" t="s">
        <v>3915</v>
      </c>
      <c r="P759" t="s">
        <v>3915</v>
      </c>
      <c r="Q759">
        <v>0</v>
      </c>
      <c r="R759" t="s">
        <v>30</v>
      </c>
      <c r="S759">
        <v>0</v>
      </c>
      <c r="T759">
        <v>0</v>
      </c>
      <c r="U759" t="s">
        <v>3915</v>
      </c>
      <c r="V759" t="s">
        <v>31</v>
      </c>
      <c r="W759">
        <v>0</v>
      </c>
    </row>
    <row r="760" spans="1:23" x14ac:dyDescent="0.25">
      <c r="A760" t="s">
        <v>5427</v>
      </c>
      <c r="B760" t="s">
        <v>2676</v>
      </c>
      <c r="C760" t="s">
        <v>2675</v>
      </c>
      <c r="D760" t="s">
        <v>4479</v>
      </c>
      <c r="E760" t="s">
        <v>4198</v>
      </c>
      <c r="F760" t="s">
        <v>784</v>
      </c>
      <c r="G760" t="s">
        <v>1406</v>
      </c>
      <c r="H760" s="6">
        <v>46022</v>
      </c>
      <c r="I760" t="s">
        <v>29</v>
      </c>
      <c r="J760">
        <v>2</v>
      </c>
      <c r="K760">
        <v>0</v>
      </c>
      <c r="L760">
        <v>0</v>
      </c>
      <c r="M760">
        <v>0</v>
      </c>
      <c r="N760" t="s">
        <v>3915</v>
      </c>
      <c r="O760" t="s">
        <v>3915</v>
      </c>
      <c r="P760" t="s">
        <v>3915</v>
      </c>
      <c r="Q760">
        <v>0</v>
      </c>
      <c r="R760" t="s">
        <v>30</v>
      </c>
      <c r="S760">
        <v>0</v>
      </c>
      <c r="T760">
        <v>0</v>
      </c>
      <c r="U760" t="s">
        <v>3915</v>
      </c>
      <c r="V760" t="s">
        <v>31</v>
      </c>
      <c r="W760">
        <v>0</v>
      </c>
    </row>
    <row r="761" spans="1:23" x14ac:dyDescent="0.25">
      <c r="A761" t="s">
        <v>5428</v>
      </c>
      <c r="B761" t="s">
        <v>2678</v>
      </c>
      <c r="C761" t="s">
        <v>2677</v>
      </c>
      <c r="D761" t="s">
        <v>4479</v>
      </c>
      <c r="E761" t="s">
        <v>4198</v>
      </c>
      <c r="F761" t="s">
        <v>784</v>
      </c>
      <c r="G761" t="s">
        <v>1406</v>
      </c>
      <c r="H761" s="6">
        <v>46022</v>
      </c>
      <c r="I761" t="s">
        <v>29</v>
      </c>
      <c r="J761">
        <v>9</v>
      </c>
      <c r="K761">
        <v>0</v>
      </c>
      <c r="L761">
        <v>0</v>
      </c>
      <c r="M761">
        <v>0</v>
      </c>
      <c r="N761" t="s">
        <v>3915</v>
      </c>
      <c r="O761" t="s">
        <v>3915</v>
      </c>
      <c r="P761" t="s">
        <v>3915</v>
      </c>
      <c r="Q761">
        <v>0</v>
      </c>
      <c r="R761" t="s">
        <v>30</v>
      </c>
      <c r="S761">
        <v>0</v>
      </c>
      <c r="T761">
        <v>0</v>
      </c>
      <c r="U761" t="s">
        <v>3915</v>
      </c>
      <c r="V761" t="s">
        <v>31</v>
      </c>
      <c r="W761">
        <v>0</v>
      </c>
    </row>
    <row r="762" spans="1:23" x14ac:dyDescent="0.25">
      <c r="A762" t="s">
        <v>5429</v>
      </c>
      <c r="B762" t="s">
        <v>2680</v>
      </c>
      <c r="C762" t="s">
        <v>2679</v>
      </c>
      <c r="D762" t="s">
        <v>4479</v>
      </c>
      <c r="E762" t="s">
        <v>4198</v>
      </c>
      <c r="F762" t="s">
        <v>784</v>
      </c>
      <c r="G762" t="s">
        <v>1406</v>
      </c>
      <c r="H762" s="6">
        <v>46022</v>
      </c>
      <c r="I762" t="s">
        <v>29</v>
      </c>
      <c r="J762">
        <v>18</v>
      </c>
      <c r="K762">
        <v>0</v>
      </c>
      <c r="L762">
        <v>0</v>
      </c>
      <c r="M762">
        <v>0</v>
      </c>
      <c r="N762" t="s">
        <v>3915</v>
      </c>
      <c r="O762" t="s">
        <v>3915</v>
      </c>
      <c r="P762" t="s">
        <v>3915</v>
      </c>
      <c r="Q762">
        <v>0</v>
      </c>
      <c r="R762" t="s">
        <v>30</v>
      </c>
      <c r="S762">
        <v>0</v>
      </c>
      <c r="T762">
        <v>0</v>
      </c>
      <c r="U762" t="s">
        <v>3915</v>
      </c>
      <c r="V762" t="s">
        <v>31</v>
      </c>
      <c r="W762">
        <v>0</v>
      </c>
    </row>
    <row r="763" spans="1:23" x14ac:dyDescent="0.25">
      <c r="A763" t="s">
        <v>5430</v>
      </c>
      <c r="B763" t="s">
        <v>2682</v>
      </c>
      <c r="C763" t="s">
        <v>2681</v>
      </c>
      <c r="D763" t="s">
        <v>4479</v>
      </c>
      <c r="E763" t="s">
        <v>4198</v>
      </c>
      <c r="F763" t="s">
        <v>784</v>
      </c>
      <c r="G763" t="s">
        <v>1406</v>
      </c>
      <c r="H763" s="6">
        <v>46022</v>
      </c>
      <c r="I763" t="s">
        <v>29</v>
      </c>
      <c r="J763">
        <v>4</v>
      </c>
      <c r="K763">
        <v>0</v>
      </c>
      <c r="L763">
        <v>0</v>
      </c>
      <c r="M763">
        <v>0</v>
      </c>
      <c r="N763" t="s">
        <v>3915</v>
      </c>
      <c r="O763" t="s">
        <v>3915</v>
      </c>
      <c r="P763" t="s">
        <v>3915</v>
      </c>
      <c r="Q763">
        <v>0</v>
      </c>
      <c r="R763" t="s">
        <v>30</v>
      </c>
      <c r="S763">
        <v>0</v>
      </c>
      <c r="T763">
        <v>0</v>
      </c>
      <c r="U763" t="s">
        <v>3915</v>
      </c>
      <c r="V763" t="s">
        <v>31</v>
      </c>
      <c r="W763">
        <v>0</v>
      </c>
    </row>
    <row r="764" spans="1:23" x14ac:dyDescent="0.25">
      <c r="A764" t="s">
        <v>5431</v>
      </c>
      <c r="B764" t="s">
        <v>2684</v>
      </c>
      <c r="C764" t="s">
        <v>2683</v>
      </c>
      <c r="D764" t="s">
        <v>4479</v>
      </c>
      <c r="E764" t="s">
        <v>4198</v>
      </c>
      <c r="F764" t="s">
        <v>784</v>
      </c>
      <c r="G764" t="s">
        <v>1406</v>
      </c>
      <c r="H764" s="6">
        <v>46022</v>
      </c>
      <c r="I764" t="s">
        <v>29</v>
      </c>
      <c r="J764">
        <v>8</v>
      </c>
      <c r="K764">
        <v>0</v>
      </c>
      <c r="L764">
        <v>0</v>
      </c>
      <c r="M764">
        <v>0</v>
      </c>
      <c r="N764" t="s">
        <v>3915</v>
      </c>
      <c r="O764" t="s">
        <v>3915</v>
      </c>
      <c r="P764" t="s">
        <v>3915</v>
      </c>
      <c r="Q764">
        <v>0</v>
      </c>
      <c r="R764" t="s">
        <v>30</v>
      </c>
      <c r="S764">
        <v>0</v>
      </c>
      <c r="T764">
        <v>0</v>
      </c>
      <c r="U764" t="s">
        <v>3915</v>
      </c>
      <c r="V764" t="s">
        <v>31</v>
      </c>
      <c r="W764">
        <v>0</v>
      </c>
    </row>
    <row r="765" spans="1:23" x14ac:dyDescent="0.25">
      <c r="A765" t="s">
        <v>5432</v>
      </c>
      <c r="B765" t="s">
        <v>2686</v>
      </c>
      <c r="C765" t="s">
        <v>2685</v>
      </c>
      <c r="D765" t="s">
        <v>4479</v>
      </c>
      <c r="E765" t="s">
        <v>4198</v>
      </c>
      <c r="F765" t="s">
        <v>784</v>
      </c>
      <c r="G765" t="s">
        <v>1406</v>
      </c>
      <c r="H765" s="6">
        <v>46022</v>
      </c>
      <c r="I765" t="s">
        <v>29</v>
      </c>
      <c r="J765">
        <v>5</v>
      </c>
      <c r="K765">
        <v>0</v>
      </c>
      <c r="L765">
        <v>0</v>
      </c>
      <c r="M765">
        <v>0</v>
      </c>
      <c r="N765" t="s">
        <v>3915</v>
      </c>
      <c r="O765" t="s">
        <v>3915</v>
      </c>
      <c r="P765" t="s">
        <v>3915</v>
      </c>
      <c r="Q765">
        <v>0</v>
      </c>
      <c r="R765" t="s">
        <v>30</v>
      </c>
      <c r="S765">
        <v>0</v>
      </c>
      <c r="T765">
        <v>0</v>
      </c>
      <c r="U765" t="s">
        <v>3915</v>
      </c>
      <c r="V765" t="s">
        <v>31</v>
      </c>
      <c r="W765">
        <v>0</v>
      </c>
    </row>
    <row r="766" spans="1:23" x14ac:dyDescent="0.25">
      <c r="A766" t="s">
        <v>5433</v>
      </c>
      <c r="B766" t="s">
        <v>2688</v>
      </c>
      <c r="C766" t="s">
        <v>2687</v>
      </c>
      <c r="D766" t="s">
        <v>4479</v>
      </c>
      <c r="E766" t="s">
        <v>4198</v>
      </c>
      <c r="F766" t="s">
        <v>784</v>
      </c>
      <c r="G766" t="s">
        <v>1406</v>
      </c>
      <c r="H766" s="6">
        <v>46022</v>
      </c>
      <c r="I766" t="s">
        <v>29</v>
      </c>
      <c r="J766">
        <v>10</v>
      </c>
      <c r="K766">
        <v>0</v>
      </c>
      <c r="L766">
        <v>0</v>
      </c>
      <c r="M766">
        <v>0</v>
      </c>
      <c r="N766" t="s">
        <v>3915</v>
      </c>
      <c r="O766" t="s">
        <v>3915</v>
      </c>
      <c r="P766" t="s">
        <v>3915</v>
      </c>
      <c r="Q766">
        <v>0</v>
      </c>
      <c r="R766" t="s">
        <v>30</v>
      </c>
      <c r="S766">
        <v>0</v>
      </c>
      <c r="T766">
        <v>0</v>
      </c>
      <c r="U766" t="s">
        <v>3915</v>
      </c>
      <c r="V766" t="s">
        <v>31</v>
      </c>
      <c r="W766">
        <v>0</v>
      </c>
    </row>
    <row r="767" spans="1:23" x14ac:dyDescent="0.25">
      <c r="A767" t="s">
        <v>5434</v>
      </c>
      <c r="B767" t="s">
        <v>2690</v>
      </c>
      <c r="C767" t="s">
        <v>2689</v>
      </c>
      <c r="D767" t="s">
        <v>4479</v>
      </c>
      <c r="E767" t="s">
        <v>4198</v>
      </c>
      <c r="F767" t="s">
        <v>784</v>
      </c>
      <c r="G767" t="s">
        <v>1406</v>
      </c>
      <c r="H767" s="6">
        <v>46022</v>
      </c>
      <c r="I767" t="s">
        <v>29</v>
      </c>
      <c r="J767">
        <v>2</v>
      </c>
      <c r="K767">
        <v>0</v>
      </c>
      <c r="L767">
        <v>0</v>
      </c>
      <c r="M767">
        <v>0</v>
      </c>
      <c r="N767" t="s">
        <v>3915</v>
      </c>
      <c r="O767" t="s">
        <v>3915</v>
      </c>
      <c r="P767" t="s">
        <v>3915</v>
      </c>
      <c r="Q767">
        <v>0</v>
      </c>
      <c r="R767" t="s">
        <v>30</v>
      </c>
      <c r="S767">
        <v>0</v>
      </c>
      <c r="T767">
        <v>0</v>
      </c>
      <c r="U767" t="s">
        <v>3915</v>
      </c>
      <c r="V767" t="s">
        <v>31</v>
      </c>
      <c r="W767">
        <v>0</v>
      </c>
    </row>
    <row r="768" spans="1:23" x14ac:dyDescent="0.25">
      <c r="A768" t="s">
        <v>5435</v>
      </c>
      <c r="B768" t="s">
        <v>2692</v>
      </c>
      <c r="C768" t="s">
        <v>2691</v>
      </c>
      <c r="D768" t="s">
        <v>4479</v>
      </c>
      <c r="E768" t="s">
        <v>4198</v>
      </c>
      <c r="F768" t="s">
        <v>784</v>
      </c>
      <c r="G768" t="s">
        <v>1406</v>
      </c>
      <c r="H768" s="6">
        <v>46022</v>
      </c>
      <c r="I768" t="s">
        <v>29</v>
      </c>
      <c r="J768">
        <v>4</v>
      </c>
      <c r="K768">
        <v>0</v>
      </c>
      <c r="L768">
        <v>0</v>
      </c>
      <c r="M768">
        <v>0</v>
      </c>
      <c r="N768" t="s">
        <v>3915</v>
      </c>
      <c r="O768" t="s">
        <v>3915</v>
      </c>
      <c r="P768" t="s">
        <v>3915</v>
      </c>
      <c r="Q768">
        <v>0</v>
      </c>
      <c r="R768" t="s">
        <v>30</v>
      </c>
      <c r="S768">
        <v>0</v>
      </c>
      <c r="T768">
        <v>0</v>
      </c>
      <c r="U768" t="s">
        <v>3915</v>
      </c>
      <c r="V768" t="s">
        <v>31</v>
      </c>
      <c r="W768">
        <v>0</v>
      </c>
    </row>
    <row r="769" spans="1:23" x14ac:dyDescent="0.25">
      <c r="A769" t="s">
        <v>5436</v>
      </c>
      <c r="B769" t="s">
        <v>2694</v>
      </c>
      <c r="C769" t="s">
        <v>2693</v>
      </c>
      <c r="D769" t="s">
        <v>4479</v>
      </c>
      <c r="E769" t="s">
        <v>4198</v>
      </c>
      <c r="F769" t="s">
        <v>784</v>
      </c>
      <c r="G769" t="s">
        <v>1406</v>
      </c>
      <c r="H769" s="6">
        <v>46022</v>
      </c>
      <c r="I769" t="s">
        <v>29</v>
      </c>
      <c r="J769">
        <v>3</v>
      </c>
      <c r="K769">
        <v>0</v>
      </c>
      <c r="L769">
        <v>0</v>
      </c>
      <c r="M769">
        <v>0</v>
      </c>
      <c r="N769" t="s">
        <v>3915</v>
      </c>
      <c r="O769" t="s">
        <v>3915</v>
      </c>
      <c r="P769" t="s">
        <v>3915</v>
      </c>
      <c r="Q769">
        <v>0</v>
      </c>
      <c r="R769" t="s">
        <v>30</v>
      </c>
      <c r="S769">
        <v>0</v>
      </c>
      <c r="T769">
        <v>0</v>
      </c>
      <c r="U769" t="s">
        <v>3915</v>
      </c>
      <c r="V769" t="s">
        <v>31</v>
      </c>
      <c r="W769">
        <v>0</v>
      </c>
    </row>
    <row r="770" spans="1:23" x14ac:dyDescent="0.25">
      <c r="A770" t="s">
        <v>5437</v>
      </c>
      <c r="B770" t="s">
        <v>2696</v>
      </c>
      <c r="C770" t="s">
        <v>2695</v>
      </c>
      <c r="D770" t="s">
        <v>4479</v>
      </c>
      <c r="E770" t="s">
        <v>4198</v>
      </c>
      <c r="F770" t="s">
        <v>784</v>
      </c>
      <c r="G770" t="s">
        <v>1406</v>
      </c>
      <c r="H770" s="6">
        <v>46022</v>
      </c>
      <c r="I770" t="s">
        <v>29</v>
      </c>
      <c r="J770">
        <v>4</v>
      </c>
      <c r="K770">
        <v>0</v>
      </c>
      <c r="L770">
        <v>0</v>
      </c>
      <c r="M770">
        <v>0</v>
      </c>
      <c r="N770" t="s">
        <v>3915</v>
      </c>
      <c r="O770" t="s">
        <v>3915</v>
      </c>
      <c r="P770" t="s">
        <v>3915</v>
      </c>
      <c r="Q770">
        <v>0</v>
      </c>
      <c r="R770" t="s">
        <v>30</v>
      </c>
      <c r="S770">
        <v>0</v>
      </c>
      <c r="T770">
        <v>0</v>
      </c>
      <c r="U770" t="s">
        <v>3915</v>
      </c>
      <c r="V770" t="s">
        <v>31</v>
      </c>
      <c r="W770">
        <v>0</v>
      </c>
    </row>
    <row r="771" spans="1:23" x14ac:dyDescent="0.25">
      <c r="A771" t="s">
        <v>5438</v>
      </c>
      <c r="B771" t="s">
        <v>2698</v>
      </c>
      <c r="C771" t="s">
        <v>2697</v>
      </c>
      <c r="D771" t="s">
        <v>4479</v>
      </c>
      <c r="E771" t="s">
        <v>4198</v>
      </c>
      <c r="F771" t="s">
        <v>784</v>
      </c>
      <c r="G771" t="s">
        <v>1406</v>
      </c>
      <c r="H771" s="6">
        <v>46022</v>
      </c>
      <c r="I771" t="s">
        <v>29</v>
      </c>
      <c r="J771">
        <v>8</v>
      </c>
      <c r="K771">
        <v>0</v>
      </c>
      <c r="L771">
        <v>0</v>
      </c>
      <c r="M771">
        <v>0</v>
      </c>
      <c r="N771" t="s">
        <v>3915</v>
      </c>
      <c r="O771" t="s">
        <v>3915</v>
      </c>
      <c r="P771" t="s">
        <v>3915</v>
      </c>
      <c r="Q771">
        <v>0</v>
      </c>
      <c r="R771" t="s">
        <v>30</v>
      </c>
      <c r="S771">
        <v>0</v>
      </c>
      <c r="T771">
        <v>0</v>
      </c>
      <c r="U771" t="s">
        <v>3915</v>
      </c>
      <c r="V771" t="s">
        <v>31</v>
      </c>
      <c r="W771">
        <v>0</v>
      </c>
    </row>
    <row r="772" spans="1:23" x14ac:dyDescent="0.25">
      <c r="A772" t="s">
        <v>5439</v>
      </c>
      <c r="B772" t="s">
        <v>2700</v>
      </c>
      <c r="C772" t="s">
        <v>2699</v>
      </c>
      <c r="D772" t="s">
        <v>4479</v>
      </c>
      <c r="E772" t="s">
        <v>4198</v>
      </c>
      <c r="F772" t="s">
        <v>784</v>
      </c>
      <c r="G772" t="s">
        <v>1406</v>
      </c>
      <c r="H772" s="6">
        <v>46022</v>
      </c>
      <c r="I772" t="s">
        <v>29</v>
      </c>
      <c r="J772">
        <v>1</v>
      </c>
      <c r="K772">
        <v>0</v>
      </c>
      <c r="L772">
        <v>0</v>
      </c>
      <c r="M772">
        <v>0</v>
      </c>
      <c r="N772" t="s">
        <v>3915</v>
      </c>
      <c r="O772" t="s">
        <v>3915</v>
      </c>
      <c r="P772" t="s">
        <v>3915</v>
      </c>
      <c r="Q772">
        <v>0</v>
      </c>
      <c r="R772" t="s">
        <v>30</v>
      </c>
      <c r="S772">
        <v>0</v>
      </c>
      <c r="T772">
        <v>0</v>
      </c>
      <c r="U772" t="s">
        <v>3915</v>
      </c>
      <c r="V772" t="s">
        <v>31</v>
      </c>
      <c r="W772">
        <v>0</v>
      </c>
    </row>
    <row r="773" spans="1:23" x14ac:dyDescent="0.25">
      <c r="A773" t="s">
        <v>5440</v>
      </c>
      <c r="B773" t="s">
        <v>2702</v>
      </c>
      <c r="C773" t="s">
        <v>2701</v>
      </c>
      <c r="D773" t="s">
        <v>4479</v>
      </c>
      <c r="E773" t="s">
        <v>4198</v>
      </c>
      <c r="F773" t="s">
        <v>784</v>
      </c>
      <c r="G773" t="s">
        <v>1406</v>
      </c>
      <c r="H773" s="6">
        <v>46022</v>
      </c>
      <c r="I773" t="s">
        <v>29</v>
      </c>
      <c r="J773">
        <v>10</v>
      </c>
      <c r="K773">
        <v>0</v>
      </c>
      <c r="L773">
        <v>0</v>
      </c>
      <c r="M773">
        <v>0</v>
      </c>
      <c r="N773" t="s">
        <v>3915</v>
      </c>
      <c r="O773" t="s">
        <v>3915</v>
      </c>
      <c r="P773" t="s">
        <v>3915</v>
      </c>
      <c r="Q773">
        <v>0</v>
      </c>
      <c r="R773" t="s">
        <v>30</v>
      </c>
      <c r="S773">
        <v>0</v>
      </c>
      <c r="T773">
        <v>0</v>
      </c>
      <c r="U773" t="s">
        <v>3915</v>
      </c>
      <c r="V773" t="s">
        <v>31</v>
      </c>
      <c r="W773">
        <v>0</v>
      </c>
    </row>
    <row r="774" spans="1:23" x14ac:dyDescent="0.25">
      <c r="A774" t="s">
        <v>5441</v>
      </c>
      <c r="B774" t="s">
        <v>2704</v>
      </c>
      <c r="C774" t="s">
        <v>2703</v>
      </c>
      <c r="D774" t="s">
        <v>4479</v>
      </c>
      <c r="E774" t="s">
        <v>4198</v>
      </c>
      <c r="F774" t="s">
        <v>784</v>
      </c>
      <c r="G774" t="s">
        <v>1406</v>
      </c>
      <c r="H774" s="6">
        <v>46022</v>
      </c>
      <c r="I774" t="s">
        <v>29</v>
      </c>
      <c r="J774">
        <v>7</v>
      </c>
      <c r="K774">
        <v>0</v>
      </c>
      <c r="L774">
        <v>0</v>
      </c>
      <c r="M774">
        <v>0</v>
      </c>
      <c r="N774" t="s">
        <v>3915</v>
      </c>
      <c r="O774" t="s">
        <v>3915</v>
      </c>
      <c r="P774" t="s">
        <v>3915</v>
      </c>
      <c r="Q774">
        <v>0</v>
      </c>
      <c r="R774" t="s">
        <v>30</v>
      </c>
      <c r="S774">
        <v>0</v>
      </c>
      <c r="T774">
        <v>0</v>
      </c>
      <c r="U774" t="s">
        <v>3915</v>
      </c>
      <c r="V774" t="s">
        <v>31</v>
      </c>
      <c r="W774">
        <v>0</v>
      </c>
    </row>
    <row r="775" spans="1:23" x14ac:dyDescent="0.25">
      <c r="A775" t="s">
        <v>5442</v>
      </c>
      <c r="B775" t="s">
        <v>2706</v>
      </c>
      <c r="C775" t="s">
        <v>2705</v>
      </c>
      <c r="D775" t="s">
        <v>4479</v>
      </c>
      <c r="E775" t="s">
        <v>4198</v>
      </c>
      <c r="F775" t="s">
        <v>784</v>
      </c>
      <c r="G775" t="s">
        <v>1406</v>
      </c>
      <c r="H775" s="6">
        <v>46022</v>
      </c>
      <c r="I775" t="s">
        <v>29</v>
      </c>
      <c r="J775">
        <v>17</v>
      </c>
      <c r="K775">
        <v>0</v>
      </c>
      <c r="L775">
        <v>0</v>
      </c>
      <c r="M775">
        <v>0</v>
      </c>
      <c r="N775" t="s">
        <v>3915</v>
      </c>
      <c r="O775" t="s">
        <v>3915</v>
      </c>
      <c r="P775" t="s">
        <v>3915</v>
      </c>
      <c r="Q775">
        <v>0</v>
      </c>
      <c r="R775" t="s">
        <v>30</v>
      </c>
      <c r="S775">
        <v>0</v>
      </c>
      <c r="T775">
        <v>0</v>
      </c>
      <c r="U775" t="s">
        <v>3915</v>
      </c>
      <c r="V775" t="s">
        <v>31</v>
      </c>
      <c r="W775">
        <v>0</v>
      </c>
    </row>
    <row r="776" spans="1:23" x14ac:dyDescent="0.25">
      <c r="A776" t="s">
        <v>5443</v>
      </c>
      <c r="B776" t="s">
        <v>2708</v>
      </c>
      <c r="C776" t="s">
        <v>2707</v>
      </c>
      <c r="D776" t="s">
        <v>4479</v>
      </c>
      <c r="E776" t="s">
        <v>4198</v>
      </c>
      <c r="F776" t="s">
        <v>784</v>
      </c>
      <c r="G776" t="s">
        <v>1406</v>
      </c>
      <c r="H776" s="6">
        <v>46022</v>
      </c>
      <c r="I776" t="s">
        <v>29</v>
      </c>
      <c r="J776">
        <v>2</v>
      </c>
      <c r="K776">
        <v>0</v>
      </c>
      <c r="L776">
        <v>0</v>
      </c>
      <c r="M776">
        <v>0</v>
      </c>
      <c r="N776" t="s">
        <v>3915</v>
      </c>
      <c r="O776" t="s">
        <v>3915</v>
      </c>
      <c r="P776" t="s">
        <v>3915</v>
      </c>
      <c r="Q776">
        <v>0</v>
      </c>
      <c r="R776" t="s">
        <v>30</v>
      </c>
      <c r="S776">
        <v>0</v>
      </c>
      <c r="T776">
        <v>0</v>
      </c>
      <c r="U776" t="s">
        <v>3915</v>
      </c>
      <c r="V776" t="s">
        <v>31</v>
      </c>
      <c r="W776">
        <v>0</v>
      </c>
    </row>
    <row r="777" spans="1:23" x14ac:dyDescent="0.25">
      <c r="A777" t="s">
        <v>5444</v>
      </c>
      <c r="B777" t="s">
        <v>2710</v>
      </c>
      <c r="C777" t="s">
        <v>2709</v>
      </c>
      <c r="D777" t="s">
        <v>4479</v>
      </c>
      <c r="E777" t="s">
        <v>4198</v>
      </c>
      <c r="F777" t="s">
        <v>784</v>
      </c>
      <c r="G777" t="s">
        <v>1406</v>
      </c>
      <c r="H777" s="6">
        <v>46022</v>
      </c>
      <c r="I777" t="s">
        <v>29</v>
      </c>
      <c r="J777">
        <v>1</v>
      </c>
      <c r="K777">
        <v>0</v>
      </c>
      <c r="L777">
        <v>0</v>
      </c>
      <c r="M777">
        <v>0</v>
      </c>
      <c r="N777" t="s">
        <v>3915</v>
      </c>
      <c r="O777" t="s">
        <v>3915</v>
      </c>
      <c r="P777" t="s">
        <v>3915</v>
      </c>
      <c r="Q777">
        <v>0</v>
      </c>
      <c r="R777" t="s">
        <v>30</v>
      </c>
      <c r="S777">
        <v>0</v>
      </c>
      <c r="T777">
        <v>0</v>
      </c>
      <c r="U777" t="s">
        <v>3915</v>
      </c>
      <c r="V777" t="s">
        <v>31</v>
      </c>
      <c r="W777">
        <v>0</v>
      </c>
    </row>
    <row r="778" spans="1:23" x14ac:dyDescent="0.25">
      <c r="A778" t="s">
        <v>5445</v>
      </c>
      <c r="B778" t="s">
        <v>2712</v>
      </c>
      <c r="C778" t="s">
        <v>2711</v>
      </c>
      <c r="D778" t="s">
        <v>4479</v>
      </c>
      <c r="E778" t="s">
        <v>4198</v>
      </c>
      <c r="F778" t="s">
        <v>784</v>
      </c>
      <c r="G778" t="s">
        <v>1406</v>
      </c>
      <c r="H778" s="6">
        <v>46022</v>
      </c>
      <c r="I778" t="s">
        <v>29</v>
      </c>
      <c r="J778">
        <v>7</v>
      </c>
      <c r="K778">
        <v>0</v>
      </c>
      <c r="L778">
        <v>0</v>
      </c>
      <c r="M778">
        <v>0</v>
      </c>
      <c r="N778" t="s">
        <v>3915</v>
      </c>
      <c r="O778" t="s">
        <v>3915</v>
      </c>
      <c r="P778" t="s">
        <v>3915</v>
      </c>
      <c r="Q778">
        <v>0</v>
      </c>
      <c r="R778" t="s">
        <v>30</v>
      </c>
      <c r="S778">
        <v>0</v>
      </c>
      <c r="T778">
        <v>0</v>
      </c>
      <c r="U778" t="s">
        <v>3915</v>
      </c>
      <c r="V778" t="s">
        <v>31</v>
      </c>
      <c r="W778">
        <v>0</v>
      </c>
    </row>
    <row r="779" spans="1:23" x14ac:dyDescent="0.25">
      <c r="A779" t="s">
        <v>5446</v>
      </c>
      <c r="B779" t="s">
        <v>2714</v>
      </c>
      <c r="C779" t="s">
        <v>2713</v>
      </c>
      <c r="D779" t="s">
        <v>4479</v>
      </c>
      <c r="E779" t="s">
        <v>4198</v>
      </c>
      <c r="F779" t="s">
        <v>784</v>
      </c>
      <c r="G779" t="s">
        <v>1406</v>
      </c>
      <c r="H779" s="6">
        <v>46022</v>
      </c>
      <c r="I779" t="s">
        <v>29</v>
      </c>
      <c r="J779">
        <v>1</v>
      </c>
      <c r="K779">
        <v>0</v>
      </c>
      <c r="L779">
        <v>0</v>
      </c>
      <c r="M779">
        <v>0</v>
      </c>
      <c r="N779" t="s">
        <v>3915</v>
      </c>
      <c r="O779" t="s">
        <v>3915</v>
      </c>
      <c r="P779" t="s">
        <v>3915</v>
      </c>
      <c r="Q779">
        <v>0</v>
      </c>
      <c r="R779" t="s">
        <v>30</v>
      </c>
      <c r="S779">
        <v>0</v>
      </c>
      <c r="T779">
        <v>0</v>
      </c>
      <c r="U779" t="s">
        <v>3915</v>
      </c>
      <c r="V779" t="s">
        <v>31</v>
      </c>
      <c r="W779">
        <v>0</v>
      </c>
    </row>
    <row r="780" spans="1:23" x14ac:dyDescent="0.25">
      <c r="A780" t="s">
        <v>4683</v>
      </c>
      <c r="B780" t="s">
        <v>2716</v>
      </c>
      <c r="C780" t="s">
        <v>2715</v>
      </c>
      <c r="D780" t="s">
        <v>4479</v>
      </c>
      <c r="E780" t="s">
        <v>4198</v>
      </c>
      <c r="F780" t="s">
        <v>784</v>
      </c>
      <c r="G780" t="s">
        <v>1406</v>
      </c>
      <c r="H780" s="6">
        <v>46022</v>
      </c>
      <c r="I780" t="s">
        <v>29</v>
      </c>
      <c r="J780">
        <v>4</v>
      </c>
      <c r="K780">
        <v>0</v>
      </c>
      <c r="L780">
        <v>0</v>
      </c>
      <c r="M780">
        <v>0</v>
      </c>
      <c r="N780" t="s">
        <v>3915</v>
      </c>
      <c r="O780" t="s">
        <v>3915</v>
      </c>
      <c r="P780" t="s">
        <v>3915</v>
      </c>
      <c r="Q780">
        <v>0</v>
      </c>
      <c r="R780" t="s">
        <v>30</v>
      </c>
      <c r="S780">
        <v>0</v>
      </c>
      <c r="T780">
        <v>0</v>
      </c>
      <c r="U780" t="s">
        <v>3915</v>
      </c>
      <c r="V780" t="s">
        <v>31</v>
      </c>
      <c r="W780">
        <v>0</v>
      </c>
    </row>
    <row r="781" spans="1:23" x14ac:dyDescent="0.25">
      <c r="A781" t="s">
        <v>5447</v>
      </c>
      <c r="B781" t="s">
        <v>2720</v>
      </c>
      <c r="C781" t="s">
        <v>2719</v>
      </c>
      <c r="D781" t="s">
        <v>4479</v>
      </c>
      <c r="E781" t="s">
        <v>4198</v>
      </c>
      <c r="F781" t="s">
        <v>784</v>
      </c>
      <c r="G781" t="s">
        <v>1406</v>
      </c>
      <c r="H781" s="6">
        <v>46022</v>
      </c>
      <c r="I781" t="s">
        <v>29</v>
      </c>
      <c r="J781">
        <v>2</v>
      </c>
      <c r="K781">
        <v>0</v>
      </c>
      <c r="L781">
        <v>0</v>
      </c>
      <c r="M781">
        <v>0</v>
      </c>
      <c r="N781" t="s">
        <v>3915</v>
      </c>
      <c r="O781" t="s">
        <v>3915</v>
      </c>
      <c r="P781" t="s">
        <v>3915</v>
      </c>
      <c r="Q781">
        <v>0</v>
      </c>
      <c r="R781" t="s">
        <v>30</v>
      </c>
      <c r="S781">
        <v>0</v>
      </c>
      <c r="T781">
        <v>0</v>
      </c>
      <c r="U781" t="s">
        <v>3915</v>
      </c>
      <c r="V781" t="s">
        <v>31</v>
      </c>
      <c r="W781">
        <v>0</v>
      </c>
    </row>
    <row r="782" spans="1:23" x14ac:dyDescent="0.25">
      <c r="A782" t="s">
        <v>5448</v>
      </c>
      <c r="B782" t="s">
        <v>2722</v>
      </c>
      <c r="C782" t="s">
        <v>2721</v>
      </c>
      <c r="D782" t="s">
        <v>4479</v>
      </c>
      <c r="E782" t="s">
        <v>4198</v>
      </c>
      <c r="F782" t="s">
        <v>784</v>
      </c>
      <c r="G782" t="s">
        <v>1406</v>
      </c>
      <c r="H782" s="6">
        <v>46022</v>
      </c>
      <c r="I782" t="s">
        <v>29</v>
      </c>
      <c r="J782">
        <v>3</v>
      </c>
      <c r="K782">
        <v>0</v>
      </c>
      <c r="L782">
        <v>0</v>
      </c>
      <c r="M782">
        <v>0</v>
      </c>
      <c r="N782" t="s">
        <v>3915</v>
      </c>
      <c r="O782" t="s">
        <v>3915</v>
      </c>
      <c r="P782" t="s">
        <v>3915</v>
      </c>
      <c r="Q782">
        <v>0</v>
      </c>
      <c r="R782" t="s">
        <v>30</v>
      </c>
      <c r="S782">
        <v>0</v>
      </c>
      <c r="T782">
        <v>0</v>
      </c>
      <c r="U782" t="s">
        <v>3915</v>
      </c>
      <c r="V782" t="s">
        <v>31</v>
      </c>
      <c r="W782">
        <v>0</v>
      </c>
    </row>
    <row r="783" spans="1:23" x14ac:dyDescent="0.25">
      <c r="A783" t="s">
        <v>5449</v>
      </c>
      <c r="B783" t="s">
        <v>2724</v>
      </c>
      <c r="C783" t="s">
        <v>2723</v>
      </c>
      <c r="D783" t="s">
        <v>4479</v>
      </c>
      <c r="E783" t="s">
        <v>4198</v>
      </c>
      <c r="F783" t="s">
        <v>784</v>
      </c>
      <c r="G783" t="s">
        <v>1406</v>
      </c>
      <c r="H783" s="6">
        <v>46022</v>
      </c>
      <c r="I783" t="s">
        <v>29</v>
      </c>
      <c r="J783">
        <v>1</v>
      </c>
      <c r="K783">
        <v>0</v>
      </c>
      <c r="L783">
        <v>0</v>
      </c>
      <c r="M783">
        <v>0</v>
      </c>
      <c r="N783" t="s">
        <v>3915</v>
      </c>
      <c r="O783" t="s">
        <v>3915</v>
      </c>
      <c r="P783" t="s">
        <v>3915</v>
      </c>
      <c r="Q783">
        <v>0</v>
      </c>
      <c r="R783" t="s">
        <v>30</v>
      </c>
      <c r="S783">
        <v>0</v>
      </c>
      <c r="T783">
        <v>0</v>
      </c>
      <c r="U783" t="s">
        <v>3915</v>
      </c>
      <c r="V783" t="s">
        <v>31</v>
      </c>
      <c r="W783">
        <v>0</v>
      </c>
    </row>
    <row r="784" spans="1:23" x14ac:dyDescent="0.25">
      <c r="A784" t="s">
        <v>5450</v>
      </c>
      <c r="B784" t="s">
        <v>2726</v>
      </c>
      <c r="C784" t="s">
        <v>2725</v>
      </c>
      <c r="D784" t="s">
        <v>4479</v>
      </c>
      <c r="E784" t="s">
        <v>4198</v>
      </c>
      <c r="F784" t="s">
        <v>784</v>
      </c>
      <c r="G784" t="s">
        <v>1406</v>
      </c>
      <c r="H784" s="6">
        <v>46022</v>
      </c>
      <c r="I784" t="s">
        <v>29</v>
      </c>
      <c r="J784">
        <v>5</v>
      </c>
      <c r="K784">
        <v>0</v>
      </c>
      <c r="L784">
        <v>0</v>
      </c>
      <c r="M784">
        <v>0</v>
      </c>
      <c r="N784" t="s">
        <v>3915</v>
      </c>
      <c r="O784" t="s">
        <v>3915</v>
      </c>
      <c r="P784" t="s">
        <v>3915</v>
      </c>
      <c r="Q784">
        <v>0</v>
      </c>
      <c r="R784" t="s">
        <v>30</v>
      </c>
      <c r="S784">
        <v>0</v>
      </c>
      <c r="T784">
        <v>0</v>
      </c>
      <c r="U784" t="s">
        <v>3915</v>
      </c>
      <c r="V784" t="s">
        <v>31</v>
      </c>
      <c r="W784">
        <v>0</v>
      </c>
    </row>
    <row r="785" spans="1:23" x14ac:dyDescent="0.25">
      <c r="A785" t="s">
        <v>5451</v>
      </c>
      <c r="B785" t="s">
        <v>2730</v>
      </c>
      <c r="C785" t="s">
        <v>2729</v>
      </c>
      <c r="D785" t="s">
        <v>4479</v>
      </c>
      <c r="E785" t="s">
        <v>4198</v>
      </c>
      <c r="F785" t="s">
        <v>784</v>
      </c>
      <c r="G785" t="s">
        <v>1406</v>
      </c>
      <c r="H785" s="6">
        <v>46022</v>
      </c>
      <c r="I785" t="s">
        <v>29</v>
      </c>
      <c r="J785">
        <v>1</v>
      </c>
      <c r="K785">
        <v>0</v>
      </c>
      <c r="L785">
        <v>0</v>
      </c>
      <c r="M785">
        <v>0</v>
      </c>
      <c r="N785" t="s">
        <v>3915</v>
      </c>
      <c r="O785" t="s">
        <v>3915</v>
      </c>
      <c r="P785" t="s">
        <v>3915</v>
      </c>
      <c r="Q785">
        <v>0</v>
      </c>
      <c r="R785" t="s">
        <v>30</v>
      </c>
      <c r="S785">
        <v>0</v>
      </c>
      <c r="T785">
        <v>0</v>
      </c>
      <c r="U785" t="s">
        <v>3915</v>
      </c>
      <c r="V785" t="s">
        <v>31</v>
      </c>
      <c r="W785">
        <v>0</v>
      </c>
    </row>
    <row r="786" spans="1:23" x14ac:dyDescent="0.25">
      <c r="A786" t="s">
        <v>5452</v>
      </c>
      <c r="B786" t="s">
        <v>2732</v>
      </c>
      <c r="C786" t="s">
        <v>2731</v>
      </c>
      <c r="D786" t="s">
        <v>4479</v>
      </c>
      <c r="E786" t="s">
        <v>4198</v>
      </c>
      <c r="F786" t="s">
        <v>784</v>
      </c>
      <c r="G786" t="s">
        <v>1406</v>
      </c>
      <c r="H786" s="6">
        <v>46022</v>
      </c>
      <c r="I786" t="s">
        <v>29</v>
      </c>
      <c r="J786">
        <v>2</v>
      </c>
      <c r="K786">
        <v>0</v>
      </c>
      <c r="L786">
        <v>0</v>
      </c>
      <c r="M786">
        <v>0</v>
      </c>
      <c r="N786" t="s">
        <v>3915</v>
      </c>
      <c r="O786" t="s">
        <v>3915</v>
      </c>
      <c r="P786" t="s">
        <v>3915</v>
      </c>
      <c r="Q786">
        <v>0</v>
      </c>
      <c r="R786" t="s">
        <v>30</v>
      </c>
      <c r="S786">
        <v>0</v>
      </c>
      <c r="T786">
        <v>0</v>
      </c>
      <c r="U786" t="s">
        <v>3915</v>
      </c>
      <c r="V786" t="s">
        <v>31</v>
      </c>
      <c r="W786">
        <v>0</v>
      </c>
    </row>
    <row r="787" spans="1:23" x14ac:dyDescent="0.25">
      <c r="A787" t="s">
        <v>5453</v>
      </c>
      <c r="B787" t="s">
        <v>2734</v>
      </c>
      <c r="C787" t="s">
        <v>2733</v>
      </c>
      <c r="D787" t="s">
        <v>4479</v>
      </c>
      <c r="E787" t="s">
        <v>4198</v>
      </c>
      <c r="F787" t="s">
        <v>784</v>
      </c>
      <c r="G787" t="s">
        <v>1406</v>
      </c>
      <c r="H787" s="6">
        <v>46022</v>
      </c>
      <c r="I787" t="s">
        <v>29</v>
      </c>
      <c r="J787">
        <v>2</v>
      </c>
      <c r="K787">
        <v>0</v>
      </c>
      <c r="L787">
        <v>0</v>
      </c>
      <c r="M787">
        <v>0</v>
      </c>
      <c r="N787" t="s">
        <v>3915</v>
      </c>
      <c r="O787" t="s">
        <v>3915</v>
      </c>
      <c r="P787" t="s">
        <v>3915</v>
      </c>
      <c r="Q787">
        <v>0</v>
      </c>
      <c r="R787" t="s">
        <v>30</v>
      </c>
      <c r="S787">
        <v>0</v>
      </c>
      <c r="T787">
        <v>0</v>
      </c>
      <c r="U787" t="s">
        <v>3915</v>
      </c>
      <c r="V787" t="s">
        <v>31</v>
      </c>
      <c r="W787">
        <v>0</v>
      </c>
    </row>
    <row r="788" spans="1:23" x14ac:dyDescent="0.25">
      <c r="A788" t="s">
        <v>5454</v>
      </c>
      <c r="B788" t="s">
        <v>2736</v>
      </c>
      <c r="C788" t="s">
        <v>2735</v>
      </c>
      <c r="D788" t="s">
        <v>4479</v>
      </c>
      <c r="E788" t="s">
        <v>4198</v>
      </c>
      <c r="F788" t="s">
        <v>784</v>
      </c>
      <c r="G788" t="s">
        <v>1406</v>
      </c>
      <c r="H788" s="6">
        <v>46022</v>
      </c>
      <c r="I788" t="s">
        <v>29</v>
      </c>
      <c r="J788">
        <v>2</v>
      </c>
      <c r="K788">
        <v>0</v>
      </c>
      <c r="L788">
        <v>0</v>
      </c>
      <c r="M788">
        <v>0</v>
      </c>
      <c r="N788" t="s">
        <v>3915</v>
      </c>
      <c r="O788" t="s">
        <v>3915</v>
      </c>
      <c r="P788" t="s">
        <v>3915</v>
      </c>
      <c r="Q788">
        <v>0</v>
      </c>
      <c r="R788" t="s">
        <v>30</v>
      </c>
      <c r="S788">
        <v>0</v>
      </c>
      <c r="T788">
        <v>0</v>
      </c>
      <c r="U788" t="s">
        <v>3915</v>
      </c>
      <c r="V788" t="s">
        <v>31</v>
      </c>
      <c r="W788">
        <v>0</v>
      </c>
    </row>
    <row r="789" spans="1:23" x14ac:dyDescent="0.25">
      <c r="A789" t="s">
        <v>5455</v>
      </c>
      <c r="B789" t="s">
        <v>2738</v>
      </c>
      <c r="C789" t="s">
        <v>2737</v>
      </c>
      <c r="D789" t="s">
        <v>4479</v>
      </c>
      <c r="E789" t="s">
        <v>4198</v>
      </c>
      <c r="F789" t="s">
        <v>784</v>
      </c>
      <c r="G789" t="s">
        <v>1406</v>
      </c>
      <c r="H789" s="6">
        <v>46022</v>
      </c>
      <c r="I789" t="s">
        <v>29</v>
      </c>
      <c r="J789">
        <v>1</v>
      </c>
      <c r="K789">
        <v>0</v>
      </c>
      <c r="L789">
        <v>0</v>
      </c>
      <c r="M789">
        <v>0</v>
      </c>
      <c r="N789" t="s">
        <v>3915</v>
      </c>
      <c r="O789" t="s">
        <v>3915</v>
      </c>
      <c r="P789" t="s">
        <v>3915</v>
      </c>
      <c r="Q789">
        <v>0</v>
      </c>
      <c r="R789" t="s">
        <v>30</v>
      </c>
      <c r="S789">
        <v>0</v>
      </c>
      <c r="T789">
        <v>0</v>
      </c>
      <c r="U789" t="s">
        <v>3915</v>
      </c>
      <c r="V789" t="s">
        <v>31</v>
      </c>
      <c r="W789">
        <v>0</v>
      </c>
    </row>
    <row r="790" spans="1:23" x14ac:dyDescent="0.25">
      <c r="A790" t="s">
        <v>4200</v>
      </c>
      <c r="B790" t="s">
        <v>787</v>
      </c>
      <c r="C790" t="s">
        <v>788</v>
      </c>
      <c r="D790" t="s">
        <v>4479</v>
      </c>
      <c r="E790" t="s">
        <v>4198</v>
      </c>
      <c r="F790" t="s">
        <v>784</v>
      </c>
      <c r="G790" t="s">
        <v>1406</v>
      </c>
      <c r="H790" s="6">
        <v>46022</v>
      </c>
      <c r="I790" t="s">
        <v>29</v>
      </c>
      <c r="J790">
        <v>0</v>
      </c>
      <c r="K790">
        <v>0</v>
      </c>
      <c r="L790">
        <v>0</v>
      </c>
      <c r="M790">
        <v>0</v>
      </c>
      <c r="N790" t="s">
        <v>3915</v>
      </c>
      <c r="O790" t="s">
        <v>3915</v>
      </c>
      <c r="P790" t="s">
        <v>3915</v>
      </c>
      <c r="Q790">
        <v>0</v>
      </c>
      <c r="R790" t="s">
        <v>30</v>
      </c>
      <c r="S790">
        <v>0</v>
      </c>
      <c r="T790">
        <v>0</v>
      </c>
      <c r="U790" t="s">
        <v>3915</v>
      </c>
      <c r="V790" t="s">
        <v>31</v>
      </c>
      <c r="W790">
        <v>0</v>
      </c>
    </row>
    <row r="791" spans="1:23" x14ac:dyDescent="0.25">
      <c r="A791" t="s">
        <v>5456</v>
      </c>
      <c r="B791" t="s">
        <v>2740</v>
      </c>
      <c r="C791" t="s">
        <v>2739</v>
      </c>
      <c r="D791" t="s">
        <v>4479</v>
      </c>
      <c r="E791" t="s">
        <v>4198</v>
      </c>
      <c r="F791" t="s">
        <v>784</v>
      </c>
      <c r="G791" t="s">
        <v>1406</v>
      </c>
      <c r="H791" s="6">
        <v>46022</v>
      </c>
      <c r="I791" t="s">
        <v>29</v>
      </c>
      <c r="J791">
        <v>38</v>
      </c>
      <c r="K791">
        <v>0</v>
      </c>
      <c r="L791">
        <v>0</v>
      </c>
      <c r="M791">
        <v>0</v>
      </c>
      <c r="N791" t="s">
        <v>3915</v>
      </c>
      <c r="O791" t="s">
        <v>3915</v>
      </c>
      <c r="P791" t="s">
        <v>3915</v>
      </c>
      <c r="Q791">
        <v>0</v>
      </c>
      <c r="R791" t="s">
        <v>30</v>
      </c>
      <c r="S791">
        <v>0</v>
      </c>
      <c r="T791">
        <v>0</v>
      </c>
      <c r="U791" t="s">
        <v>3915</v>
      </c>
      <c r="V791" t="s">
        <v>31</v>
      </c>
      <c r="W791">
        <v>0</v>
      </c>
    </row>
    <row r="792" spans="1:23" x14ac:dyDescent="0.25">
      <c r="A792" t="s">
        <v>5457</v>
      </c>
      <c r="B792" t="s">
        <v>2742</v>
      </c>
      <c r="C792" t="s">
        <v>2741</v>
      </c>
      <c r="D792" t="s">
        <v>4479</v>
      </c>
      <c r="E792" t="s">
        <v>4198</v>
      </c>
      <c r="F792" t="s">
        <v>784</v>
      </c>
      <c r="G792" t="s">
        <v>1406</v>
      </c>
      <c r="H792" s="6">
        <v>46022</v>
      </c>
      <c r="I792" t="s">
        <v>29</v>
      </c>
      <c r="J792">
        <v>3</v>
      </c>
      <c r="K792">
        <v>0</v>
      </c>
      <c r="L792">
        <v>0</v>
      </c>
      <c r="M792">
        <v>0</v>
      </c>
      <c r="N792" t="s">
        <v>3915</v>
      </c>
      <c r="O792" t="s">
        <v>3915</v>
      </c>
      <c r="P792" t="s">
        <v>3915</v>
      </c>
      <c r="Q792">
        <v>0</v>
      </c>
      <c r="R792" t="s">
        <v>30</v>
      </c>
      <c r="S792">
        <v>0</v>
      </c>
      <c r="T792">
        <v>0</v>
      </c>
      <c r="U792" t="s">
        <v>3915</v>
      </c>
      <c r="V792" t="s">
        <v>31</v>
      </c>
      <c r="W792">
        <v>0</v>
      </c>
    </row>
    <row r="793" spans="1:23" x14ac:dyDescent="0.25">
      <c r="A793" t="s">
        <v>5458</v>
      </c>
      <c r="B793" t="s">
        <v>2744</v>
      </c>
      <c r="C793" t="s">
        <v>2743</v>
      </c>
      <c r="D793" t="s">
        <v>4479</v>
      </c>
      <c r="E793" t="s">
        <v>4198</v>
      </c>
      <c r="F793" t="s">
        <v>784</v>
      </c>
      <c r="G793" t="s">
        <v>1406</v>
      </c>
      <c r="H793" s="6">
        <v>46022</v>
      </c>
      <c r="I793" t="s">
        <v>29</v>
      </c>
      <c r="J793">
        <v>2</v>
      </c>
      <c r="K793">
        <v>0</v>
      </c>
      <c r="L793">
        <v>0</v>
      </c>
      <c r="M793">
        <v>0</v>
      </c>
      <c r="N793" t="s">
        <v>3915</v>
      </c>
      <c r="O793" t="s">
        <v>3915</v>
      </c>
      <c r="P793" t="s">
        <v>3915</v>
      </c>
      <c r="Q793">
        <v>0</v>
      </c>
      <c r="R793" t="s">
        <v>30</v>
      </c>
      <c r="S793">
        <v>0</v>
      </c>
      <c r="T793">
        <v>0</v>
      </c>
      <c r="U793" t="s">
        <v>3915</v>
      </c>
      <c r="V793" t="s">
        <v>31</v>
      </c>
      <c r="W793">
        <v>0</v>
      </c>
    </row>
    <row r="794" spans="1:23" x14ac:dyDescent="0.25">
      <c r="A794" t="s">
        <v>4929</v>
      </c>
      <c r="B794" t="s">
        <v>2746</v>
      </c>
      <c r="C794" t="s">
        <v>2745</v>
      </c>
      <c r="D794" t="s">
        <v>4479</v>
      </c>
      <c r="E794" t="s">
        <v>4198</v>
      </c>
      <c r="F794" t="s">
        <v>784</v>
      </c>
      <c r="G794" t="s">
        <v>1406</v>
      </c>
      <c r="H794" s="6">
        <v>46022</v>
      </c>
      <c r="I794" t="s">
        <v>29</v>
      </c>
      <c r="J794">
        <v>2</v>
      </c>
      <c r="K794">
        <v>0</v>
      </c>
      <c r="L794">
        <v>0</v>
      </c>
      <c r="M794">
        <v>0</v>
      </c>
      <c r="N794" t="s">
        <v>3915</v>
      </c>
      <c r="O794" t="s">
        <v>3915</v>
      </c>
      <c r="P794" t="s">
        <v>3915</v>
      </c>
      <c r="Q794">
        <v>0</v>
      </c>
      <c r="R794" t="s">
        <v>30</v>
      </c>
      <c r="S794">
        <v>0</v>
      </c>
      <c r="T794">
        <v>0</v>
      </c>
      <c r="U794" t="s">
        <v>3915</v>
      </c>
      <c r="V794" t="s">
        <v>31</v>
      </c>
      <c r="W794">
        <v>0</v>
      </c>
    </row>
    <row r="795" spans="1:23" x14ac:dyDescent="0.25">
      <c r="A795" t="s">
        <v>4765</v>
      </c>
      <c r="B795" t="s">
        <v>2748</v>
      </c>
      <c r="C795" t="s">
        <v>2747</v>
      </c>
      <c r="D795" t="s">
        <v>4479</v>
      </c>
      <c r="E795" t="s">
        <v>4198</v>
      </c>
      <c r="F795" t="s">
        <v>784</v>
      </c>
      <c r="G795" t="s">
        <v>1406</v>
      </c>
      <c r="H795" s="6">
        <v>46022</v>
      </c>
      <c r="I795" t="s">
        <v>29</v>
      </c>
      <c r="J795">
        <v>2</v>
      </c>
      <c r="K795">
        <v>0</v>
      </c>
      <c r="L795">
        <v>0</v>
      </c>
      <c r="M795">
        <v>0</v>
      </c>
      <c r="N795" t="s">
        <v>3915</v>
      </c>
      <c r="O795" t="s">
        <v>3915</v>
      </c>
      <c r="P795" t="s">
        <v>3915</v>
      </c>
      <c r="Q795">
        <v>0</v>
      </c>
      <c r="R795" t="s">
        <v>30</v>
      </c>
      <c r="S795">
        <v>0</v>
      </c>
      <c r="T795">
        <v>0</v>
      </c>
      <c r="U795" t="s">
        <v>3915</v>
      </c>
      <c r="V795" t="s">
        <v>31</v>
      </c>
      <c r="W795">
        <v>0</v>
      </c>
    </row>
    <row r="796" spans="1:23" x14ac:dyDescent="0.25">
      <c r="A796" t="s">
        <v>5459</v>
      </c>
      <c r="B796" t="s">
        <v>2750</v>
      </c>
      <c r="C796" t="s">
        <v>2749</v>
      </c>
      <c r="D796" t="s">
        <v>4479</v>
      </c>
      <c r="E796" t="s">
        <v>4198</v>
      </c>
      <c r="F796" t="s">
        <v>784</v>
      </c>
      <c r="G796" t="s">
        <v>1406</v>
      </c>
      <c r="H796" s="6">
        <v>46022</v>
      </c>
      <c r="I796" t="s">
        <v>29</v>
      </c>
      <c r="J796">
        <v>8</v>
      </c>
      <c r="K796">
        <v>0</v>
      </c>
      <c r="L796">
        <v>0</v>
      </c>
      <c r="M796">
        <v>0</v>
      </c>
      <c r="N796" t="s">
        <v>3915</v>
      </c>
      <c r="O796" t="s">
        <v>3915</v>
      </c>
      <c r="P796" t="s">
        <v>3915</v>
      </c>
      <c r="Q796">
        <v>0</v>
      </c>
      <c r="R796" t="s">
        <v>30</v>
      </c>
      <c r="S796">
        <v>0</v>
      </c>
      <c r="T796">
        <v>0</v>
      </c>
      <c r="U796" t="s">
        <v>3915</v>
      </c>
      <c r="V796" t="s">
        <v>31</v>
      </c>
      <c r="W796">
        <v>0</v>
      </c>
    </row>
    <row r="797" spans="1:23" x14ac:dyDescent="0.25">
      <c r="A797" t="s">
        <v>5460</v>
      </c>
      <c r="B797" t="s">
        <v>2752</v>
      </c>
      <c r="C797" t="s">
        <v>2751</v>
      </c>
      <c r="D797" t="s">
        <v>4479</v>
      </c>
      <c r="E797" t="s">
        <v>4198</v>
      </c>
      <c r="F797" t="s">
        <v>784</v>
      </c>
      <c r="G797" t="s">
        <v>1406</v>
      </c>
      <c r="H797" s="6">
        <v>46022</v>
      </c>
      <c r="I797" t="s">
        <v>29</v>
      </c>
      <c r="J797">
        <v>2</v>
      </c>
      <c r="K797">
        <v>0</v>
      </c>
      <c r="L797">
        <v>0</v>
      </c>
      <c r="M797">
        <v>0</v>
      </c>
      <c r="N797" t="s">
        <v>3915</v>
      </c>
      <c r="O797" t="s">
        <v>3915</v>
      </c>
      <c r="P797" t="s">
        <v>3915</v>
      </c>
      <c r="Q797">
        <v>0</v>
      </c>
      <c r="R797" t="s">
        <v>30</v>
      </c>
      <c r="S797">
        <v>0</v>
      </c>
      <c r="T797">
        <v>0</v>
      </c>
      <c r="U797" t="s">
        <v>3915</v>
      </c>
      <c r="V797" t="s">
        <v>31</v>
      </c>
      <c r="W797">
        <v>0</v>
      </c>
    </row>
    <row r="798" spans="1:23" x14ac:dyDescent="0.25">
      <c r="A798" t="s">
        <v>5461</v>
      </c>
      <c r="B798" t="s">
        <v>2754</v>
      </c>
      <c r="C798" t="s">
        <v>2753</v>
      </c>
      <c r="D798" t="s">
        <v>4479</v>
      </c>
      <c r="E798" t="s">
        <v>4198</v>
      </c>
      <c r="F798" t="s">
        <v>784</v>
      </c>
      <c r="G798" t="s">
        <v>1406</v>
      </c>
      <c r="H798" s="6">
        <v>46022</v>
      </c>
      <c r="I798" t="s">
        <v>29</v>
      </c>
      <c r="J798">
        <v>2</v>
      </c>
      <c r="K798">
        <v>0</v>
      </c>
      <c r="L798">
        <v>0</v>
      </c>
      <c r="M798">
        <v>0</v>
      </c>
      <c r="N798" t="s">
        <v>3915</v>
      </c>
      <c r="O798" t="s">
        <v>3915</v>
      </c>
      <c r="P798" t="s">
        <v>3915</v>
      </c>
      <c r="Q798">
        <v>0</v>
      </c>
      <c r="R798" t="s">
        <v>30</v>
      </c>
      <c r="S798">
        <v>0</v>
      </c>
      <c r="T798">
        <v>0</v>
      </c>
      <c r="U798" t="s">
        <v>3915</v>
      </c>
      <c r="V798" t="s">
        <v>31</v>
      </c>
      <c r="W798">
        <v>0</v>
      </c>
    </row>
    <row r="799" spans="1:23" x14ac:dyDescent="0.25">
      <c r="A799" t="s">
        <v>5462</v>
      </c>
      <c r="B799" t="s">
        <v>2756</v>
      </c>
      <c r="C799" t="s">
        <v>2755</v>
      </c>
      <c r="D799" t="s">
        <v>4479</v>
      </c>
      <c r="E799" t="s">
        <v>4198</v>
      </c>
      <c r="F799" t="s">
        <v>784</v>
      </c>
      <c r="G799" t="s">
        <v>1406</v>
      </c>
      <c r="H799" s="6">
        <v>46022</v>
      </c>
      <c r="I799" t="s">
        <v>29</v>
      </c>
      <c r="J799">
        <v>2</v>
      </c>
      <c r="K799">
        <v>0</v>
      </c>
      <c r="L799">
        <v>0</v>
      </c>
      <c r="M799">
        <v>0</v>
      </c>
      <c r="N799" t="s">
        <v>3915</v>
      </c>
      <c r="O799" t="s">
        <v>3915</v>
      </c>
      <c r="P799" t="s">
        <v>3915</v>
      </c>
      <c r="Q799">
        <v>0</v>
      </c>
      <c r="R799" t="s">
        <v>30</v>
      </c>
      <c r="S799">
        <v>0</v>
      </c>
      <c r="T799">
        <v>0</v>
      </c>
      <c r="U799" t="s">
        <v>3915</v>
      </c>
      <c r="V799" t="s">
        <v>31</v>
      </c>
      <c r="W799">
        <v>0</v>
      </c>
    </row>
    <row r="800" spans="1:23" x14ac:dyDescent="0.25">
      <c r="A800" t="s">
        <v>5463</v>
      </c>
      <c r="B800" t="s">
        <v>2758</v>
      </c>
      <c r="C800" t="s">
        <v>2757</v>
      </c>
      <c r="D800" t="s">
        <v>4479</v>
      </c>
      <c r="E800" t="s">
        <v>4198</v>
      </c>
      <c r="F800" t="s">
        <v>784</v>
      </c>
      <c r="G800" t="s">
        <v>1406</v>
      </c>
      <c r="H800" s="6">
        <v>46022</v>
      </c>
      <c r="I800" t="s">
        <v>29</v>
      </c>
      <c r="J800">
        <v>2</v>
      </c>
      <c r="K800">
        <v>0</v>
      </c>
      <c r="L800">
        <v>0</v>
      </c>
      <c r="M800">
        <v>0</v>
      </c>
      <c r="N800" t="s">
        <v>3915</v>
      </c>
      <c r="O800" t="s">
        <v>3915</v>
      </c>
      <c r="P800" t="s">
        <v>3915</v>
      </c>
      <c r="Q800">
        <v>0</v>
      </c>
      <c r="R800" t="s">
        <v>30</v>
      </c>
      <c r="S800">
        <v>0</v>
      </c>
      <c r="T800">
        <v>0</v>
      </c>
      <c r="U800" t="s">
        <v>3915</v>
      </c>
      <c r="V800" t="s">
        <v>31</v>
      </c>
      <c r="W800">
        <v>0</v>
      </c>
    </row>
    <row r="801" spans="1:23" x14ac:dyDescent="0.25">
      <c r="A801" t="s">
        <v>5464</v>
      </c>
      <c r="B801" t="s">
        <v>2760</v>
      </c>
      <c r="C801" t="s">
        <v>2759</v>
      </c>
      <c r="D801" t="s">
        <v>4479</v>
      </c>
      <c r="E801" t="s">
        <v>4198</v>
      </c>
      <c r="F801" t="s">
        <v>784</v>
      </c>
      <c r="G801" t="s">
        <v>1406</v>
      </c>
      <c r="H801" s="6">
        <v>46022</v>
      </c>
      <c r="I801" t="s">
        <v>29</v>
      </c>
      <c r="J801">
        <v>2</v>
      </c>
      <c r="K801">
        <v>0</v>
      </c>
      <c r="L801">
        <v>0</v>
      </c>
      <c r="M801">
        <v>0</v>
      </c>
      <c r="N801" t="s">
        <v>3915</v>
      </c>
      <c r="O801" t="s">
        <v>3915</v>
      </c>
      <c r="P801" t="s">
        <v>3915</v>
      </c>
      <c r="Q801">
        <v>0</v>
      </c>
      <c r="R801" t="s">
        <v>30</v>
      </c>
      <c r="S801">
        <v>0</v>
      </c>
      <c r="T801">
        <v>0</v>
      </c>
      <c r="U801" t="s">
        <v>3915</v>
      </c>
      <c r="V801" t="s">
        <v>31</v>
      </c>
      <c r="W801">
        <v>0</v>
      </c>
    </row>
    <row r="802" spans="1:23" x14ac:dyDescent="0.25">
      <c r="A802" t="s">
        <v>5465</v>
      </c>
      <c r="B802" t="s">
        <v>2762</v>
      </c>
      <c r="C802" t="s">
        <v>2761</v>
      </c>
      <c r="D802" t="s">
        <v>4479</v>
      </c>
      <c r="E802" t="s">
        <v>4198</v>
      </c>
      <c r="F802" t="s">
        <v>784</v>
      </c>
      <c r="G802" t="s">
        <v>1406</v>
      </c>
      <c r="H802" s="6">
        <v>46022</v>
      </c>
      <c r="I802" t="s">
        <v>29</v>
      </c>
      <c r="J802">
        <v>2</v>
      </c>
      <c r="K802">
        <v>0</v>
      </c>
      <c r="L802">
        <v>0</v>
      </c>
      <c r="M802">
        <v>0</v>
      </c>
      <c r="N802" t="s">
        <v>3915</v>
      </c>
      <c r="O802" t="s">
        <v>3915</v>
      </c>
      <c r="P802" t="s">
        <v>3915</v>
      </c>
      <c r="Q802">
        <v>0</v>
      </c>
      <c r="R802" t="s">
        <v>30</v>
      </c>
      <c r="S802">
        <v>0</v>
      </c>
      <c r="T802">
        <v>0</v>
      </c>
      <c r="U802" t="s">
        <v>3915</v>
      </c>
      <c r="V802" t="s">
        <v>31</v>
      </c>
      <c r="W802">
        <v>0</v>
      </c>
    </row>
    <row r="803" spans="1:23" x14ac:dyDescent="0.25">
      <c r="A803" t="s">
        <v>5466</v>
      </c>
      <c r="B803" t="s">
        <v>2764</v>
      </c>
      <c r="C803" t="s">
        <v>2763</v>
      </c>
      <c r="D803" t="s">
        <v>4479</v>
      </c>
      <c r="E803" t="s">
        <v>4198</v>
      </c>
      <c r="F803" t="s">
        <v>784</v>
      </c>
      <c r="G803" t="s">
        <v>1406</v>
      </c>
      <c r="H803" s="6">
        <v>46022</v>
      </c>
      <c r="I803" t="s">
        <v>29</v>
      </c>
      <c r="J803">
        <v>2</v>
      </c>
      <c r="K803">
        <v>0</v>
      </c>
      <c r="L803">
        <v>0</v>
      </c>
      <c r="M803">
        <v>0</v>
      </c>
      <c r="N803" t="s">
        <v>3915</v>
      </c>
      <c r="O803" t="s">
        <v>3915</v>
      </c>
      <c r="P803" t="s">
        <v>3915</v>
      </c>
      <c r="Q803">
        <v>0</v>
      </c>
      <c r="R803" t="s">
        <v>30</v>
      </c>
      <c r="S803">
        <v>0</v>
      </c>
      <c r="T803">
        <v>0</v>
      </c>
      <c r="U803" t="s">
        <v>3915</v>
      </c>
      <c r="V803" t="s">
        <v>31</v>
      </c>
      <c r="W803">
        <v>0</v>
      </c>
    </row>
    <row r="804" spans="1:23" x14ac:dyDescent="0.25">
      <c r="A804" t="s">
        <v>5467</v>
      </c>
      <c r="B804" t="s">
        <v>2766</v>
      </c>
      <c r="C804" t="s">
        <v>2765</v>
      </c>
      <c r="D804" t="s">
        <v>4479</v>
      </c>
      <c r="E804" t="s">
        <v>4198</v>
      </c>
      <c r="F804" t="s">
        <v>784</v>
      </c>
      <c r="G804" t="s">
        <v>1406</v>
      </c>
      <c r="H804" s="6">
        <v>46022</v>
      </c>
      <c r="I804" t="s">
        <v>29</v>
      </c>
      <c r="J804">
        <v>3</v>
      </c>
      <c r="K804">
        <v>0</v>
      </c>
      <c r="L804">
        <v>0</v>
      </c>
      <c r="M804">
        <v>0</v>
      </c>
      <c r="N804" t="s">
        <v>3915</v>
      </c>
      <c r="O804" t="s">
        <v>3915</v>
      </c>
      <c r="P804" t="s">
        <v>3915</v>
      </c>
      <c r="Q804">
        <v>0</v>
      </c>
      <c r="R804" t="s">
        <v>30</v>
      </c>
      <c r="S804">
        <v>0</v>
      </c>
      <c r="T804">
        <v>0</v>
      </c>
      <c r="U804" t="s">
        <v>3915</v>
      </c>
      <c r="V804" t="s">
        <v>31</v>
      </c>
      <c r="W804">
        <v>0</v>
      </c>
    </row>
    <row r="805" spans="1:23" x14ac:dyDescent="0.25">
      <c r="A805" t="s">
        <v>5468</v>
      </c>
      <c r="B805" t="s">
        <v>2768</v>
      </c>
      <c r="C805" t="s">
        <v>2767</v>
      </c>
      <c r="D805" t="s">
        <v>4479</v>
      </c>
      <c r="E805" t="s">
        <v>4198</v>
      </c>
      <c r="F805" t="s">
        <v>784</v>
      </c>
      <c r="G805" t="s">
        <v>1406</v>
      </c>
      <c r="H805" s="6">
        <v>46022</v>
      </c>
      <c r="I805" t="s">
        <v>29</v>
      </c>
      <c r="J805">
        <v>1</v>
      </c>
      <c r="K805">
        <v>0</v>
      </c>
      <c r="L805">
        <v>0</v>
      </c>
      <c r="M805">
        <v>0</v>
      </c>
      <c r="N805" t="s">
        <v>3915</v>
      </c>
      <c r="O805" t="s">
        <v>3915</v>
      </c>
      <c r="P805" t="s">
        <v>3915</v>
      </c>
      <c r="Q805">
        <v>0</v>
      </c>
      <c r="R805" t="s">
        <v>30</v>
      </c>
      <c r="S805">
        <v>0</v>
      </c>
      <c r="T805">
        <v>0</v>
      </c>
      <c r="U805" t="s">
        <v>3915</v>
      </c>
      <c r="V805" t="s">
        <v>31</v>
      </c>
      <c r="W805">
        <v>0</v>
      </c>
    </row>
    <row r="806" spans="1:23" x14ac:dyDescent="0.25">
      <c r="A806" t="s">
        <v>4719</v>
      </c>
      <c r="B806" t="s">
        <v>2770</v>
      </c>
      <c r="C806" t="s">
        <v>2769</v>
      </c>
      <c r="D806" t="s">
        <v>4479</v>
      </c>
      <c r="E806" t="s">
        <v>4198</v>
      </c>
      <c r="F806" t="s">
        <v>784</v>
      </c>
      <c r="G806" t="s">
        <v>1406</v>
      </c>
      <c r="H806" s="6">
        <v>46022</v>
      </c>
      <c r="I806" t="s">
        <v>29</v>
      </c>
      <c r="J806">
        <v>2</v>
      </c>
      <c r="K806">
        <v>0</v>
      </c>
      <c r="L806">
        <v>0</v>
      </c>
      <c r="M806">
        <v>0</v>
      </c>
      <c r="N806" t="s">
        <v>3915</v>
      </c>
      <c r="O806" t="s">
        <v>3915</v>
      </c>
      <c r="P806" t="s">
        <v>3915</v>
      </c>
      <c r="Q806">
        <v>0</v>
      </c>
      <c r="R806" t="s">
        <v>30</v>
      </c>
      <c r="S806">
        <v>0</v>
      </c>
      <c r="T806">
        <v>0</v>
      </c>
      <c r="U806" t="s">
        <v>3915</v>
      </c>
      <c r="V806" t="s">
        <v>31</v>
      </c>
      <c r="W806">
        <v>0</v>
      </c>
    </row>
    <row r="807" spans="1:23" x14ac:dyDescent="0.25">
      <c r="A807" t="s">
        <v>5469</v>
      </c>
      <c r="B807" t="s">
        <v>2772</v>
      </c>
      <c r="C807" t="s">
        <v>2771</v>
      </c>
      <c r="D807" t="s">
        <v>4479</v>
      </c>
      <c r="E807" t="s">
        <v>4198</v>
      </c>
      <c r="F807" t="s">
        <v>784</v>
      </c>
      <c r="G807" t="s">
        <v>1406</v>
      </c>
      <c r="H807" s="6">
        <v>46022</v>
      </c>
      <c r="I807" t="s">
        <v>29</v>
      </c>
      <c r="J807">
        <v>2</v>
      </c>
      <c r="K807">
        <v>0</v>
      </c>
      <c r="L807">
        <v>0</v>
      </c>
      <c r="M807">
        <v>0</v>
      </c>
      <c r="N807" t="s">
        <v>3915</v>
      </c>
      <c r="O807" t="s">
        <v>3915</v>
      </c>
      <c r="P807" t="s">
        <v>3915</v>
      </c>
      <c r="Q807">
        <v>0</v>
      </c>
      <c r="R807" t="s">
        <v>30</v>
      </c>
      <c r="S807">
        <v>0</v>
      </c>
      <c r="T807">
        <v>0</v>
      </c>
      <c r="U807" t="s">
        <v>3915</v>
      </c>
      <c r="V807" t="s">
        <v>31</v>
      </c>
      <c r="W807">
        <v>0</v>
      </c>
    </row>
    <row r="808" spans="1:23" x14ac:dyDescent="0.25">
      <c r="A808" t="s">
        <v>5470</v>
      </c>
      <c r="B808" t="s">
        <v>2774</v>
      </c>
      <c r="C808" t="s">
        <v>2773</v>
      </c>
      <c r="D808" t="s">
        <v>4479</v>
      </c>
      <c r="E808" t="s">
        <v>4201</v>
      </c>
      <c r="F808" t="s">
        <v>791</v>
      </c>
      <c r="G808" t="s">
        <v>1406</v>
      </c>
      <c r="H808" s="6">
        <v>46022</v>
      </c>
      <c r="I808" t="s">
        <v>29</v>
      </c>
      <c r="J808">
        <v>11</v>
      </c>
      <c r="K808">
        <v>0</v>
      </c>
      <c r="L808">
        <v>0</v>
      </c>
      <c r="M808">
        <v>0</v>
      </c>
      <c r="N808" t="s">
        <v>3915</v>
      </c>
      <c r="O808" t="s">
        <v>3915</v>
      </c>
      <c r="P808" t="s">
        <v>3915</v>
      </c>
      <c r="Q808">
        <v>0</v>
      </c>
      <c r="R808" t="s">
        <v>30</v>
      </c>
      <c r="S808">
        <v>0</v>
      </c>
      <c r="T808">
        <v>0</v>
      </c>
      <c r="U808" t="s">
        <v>3915</v>
      </c>
      <c r="V808" t="s">
        <v>31</v>
      </c>
      <c r="W808">
        <v>0</v>
      </c>
    </row>
    <row r="809" spans="1:23" x14ac:dyDescent="0.25">
      <c r="A809" t="s">
        <v>4202</v>
      </c>
      <c r="B809" t="s">
        <v>792</v>
      </c>
      <c r="C809" t="s">
        <v>793</v>
      </c>
      <c r="D809" t="s">
        <v>4479</v>
      </c>
      <c r="E809" t="s">
        <v>4201</v>
      </c>
      <c r="F809" t="s">
        <v>791</v>
      </c>
      <c r="G809" t="s">
        <v>1406</v>
      </c>
      <c r="H809" s="6">
        <v>46022</v>
      </c>
      <c r="I809" t="s">
        <v>29</v>
      </c>
      <c r="J809">
        <v>40</v>
      </c>
      <c r="K809">
        <v>0</v>
      </c>
      <c r="L809">
        <v>0</v>
      </c>
      <c r="M809">
        <v>0</v>
      </c>
      <c r="N809" t="s">
        <v>3915</v>
      </c>
      <c r="O809" t="s">
        <v>3915</v>
      </c>
      <c r="P809" t="s">
        <v>3915</v>
      </c>
      <c r="Q809">
        <v>0</v>
      </c>
      <c r="R809" t="s">
        <v>30</v>
      </c>
      <c r="S809">
        <v>0</v>
      </c>
      <c r="T809">
        <v>0</v>
      </c>
      <c r="U809" t="s">
        <v>3915</v>
      </c>
      <c r="V809" t="s">
        <v>31</v>
      </c>
      <c r="W809">
        <v>0</v>
      </c>
    </row>
    <row r="810" spans="1:23" x14ac:dyDescent="0.25">
      <c r="A810" t="s">
        <v>5471</v>
      </c>
      <c r="B810" t="s">
        <v>2776</v>
      </c>
      <c r="C810" t="s">
        <v>2775</v>
      </c>
      <c r="D810" t="s">
        <v>4479</v>
      </c>
      <c r="E810" t="s">
        <v>4201</v>
      </c>
      <c r="F810" t="s">
        <v>791</v>
      </c>
      <c r="G810" t="s">
        <v>1406</v>
      </c>
      <c r="H810" s="6">
        <v>46022</v>
      </c>
      <c r="I810" t="s">
        <v>29</v>
      </c>
      <c r="J810">
        <v>30</v>
      </c>
      <c r="K810">
        <v>0</v>
      </c>
      <c r="L810">
        <v>0</v>
      </c>
      <c r="M810">
        <v>0</v>
      </c>
      <c r="N810" t="s">
        <v>3915</v>
      </c>
      <c r="O810" t="s">
        <v>3915</v>
      </c>
      <c r="P810" t="s">
        <v>3915</v>
      </c>
      <c r="Q810">
        <v>0</v>
      </c>
      <c r="R810" t="s">
        <v>30</v>
      </c>
      <c r="S810">
        <v>0</v>
      </c>
      <c r="T810">
        <v>0</v>
      </c>
      <c r="U810" t="s">
        <v>3915</v>
      </c>
      <c r="V810" t="s">
        <v>31</v>
      </c>
      <c r="W810">
        <v>0</v>
      </c>
    </row>
    <row r="811" spans="1:23" x14ac:dyDescent="0.25">
      <c r="A811" t="s">
        <v>5472</v>
      </c>
      <c r="B811" t="s">
        <v>2778</v>
      </c>
      <c r="C811" t="s">
        <v>2777</v>
      </c>
      <c r="D811" t="s">
        <v>4479</v>
      </c>
      <c r="E811" t="s">
        <v>4201</v>
      </c>
      <c r="F811" t="s">
        <v>791</v>
      </c>
      <c r="G811" t="s">
        <v>1406</v>
      </c>
      <c r="H811" s="6">
        <v>46022</v>
      </c>
      <c r="I811" t="s">
        <v>29</v>
      </c>
      <c r="J811">
        <v>15</v>
      </c>
      <c r="K811">
        <v>0</v>
      </c>
      <c r="L811">
        <v>0</v>
      </c>
      <c r="M811">
        <v>0</v>
      </c>
      <c r="N811" t="s">
        <v>3915</v>
      </c>
      <c r="O811" t="s">
        <v>3915</v>
      </c>
      <c r="P811" t="s">
        <v>3915</v>
      </c>
      <c r="Q811">
        <v>0</v>
      </c>
      <c r="R811" t="s">
        <v>30</v>
      </c>
      <c r="S811">
        <v>0</v>
      </c>
      <c r="T811">
        <v>0</v>
      </c>
      <c r="U811" t="s">
        <v>3915</v>
      </c>
      <c r="V811" t="s">
        <v>31</v>
      </c>
      <c r="W811">
        <v>0</v>
      </c>
    </row>
    <row r="812" spans="1:23" x14ac:dyDescent="0.25">
      <c r="A812" t="s">
        <v>4203</v>
      </c>
      <c r="B812" t="s">
        <v>796</v>
      </c>
      <c r="C812" t="s">
        <v>797</v>
      </c>
      <c r="D812" t="s">
        <v>4479</v>
      </c>
      <c r="E812" t="s">
        <v>4201</v>
      </c>
      <c r="F812" t="s">
        <v>791</v>
      </c>
      <c r="G812" t="s">
        <v>1406</v>
      </c>
      <c r="H812" s="6">
        <v>46022</v>
      </c>
      <c r="I812" t="s">
        <v>29</v>
      </c>
      <c r="J812">
        <v>0</v>
      </c>
      <c r="K812">
        <v>0</v>
      </c>
      <c r="L812">
        <v>0</v>
      </c>
      <c r="M812">
        <v>0</v>
      </c>
      <c r="N812" t="s">
        <v>3915</v>
      </c>
      <c r="O812" t="s">
        <v>3915</v>
      </c>
      <c r="P812" t="s">
        <v>3915</v>
      </c>
      <c r="Q812">
        <v>0</v>
      </c>
      <c r="R812" t="s">
        <v>30</v>
      </c>
      <c r="S812">
        <v>0</v>
      </c>
      <c r="T812">
        <v>0</v>
      </c>
      <c r="U812" t="s">
        <v>3915</v>
      </c>
      <c r="V812" t="s">
        <v>31</v>
      </c>
      <c r="W812">
        <v>0</v>
      </c>
    </row>
    <row r="813" spans="1:23" x14ac:dyDescent="0.25">
      <c r="A813" t="s">
        <v>4204</v>
      </c>
      <c r="B813" t="s">
        <v>798</v>
      </c>
      <c r="C813" t="s">
        <v>799</v>
      </c>
      <c r="D813" t="s">
        <v>4479</v>
      </c>
      <c r="E813" t="s">
        <v>4201</v>
      </c>
      <c r="F813" t="s">
        <v>791</v>
      </c>
      <c r="G813" t="s">
        <v>1406</v>
      </c>
      <c r="H813" s="6">
        <v>46022</v>
      </c>
      <c r="I813" t="s">
        <v>29</v>
      </c>
      <c r="J813">
        <v>57</v>
      </c>
      <c r="K813">
        <v>0</v>
      </c>
      <c r="L813">
        <v>0</v>
      </c>
      <c r="M813">
        <v>0</v>
      </c>
      <c r="N813" t="s">
        <v>3915</v>
      </c>
      <c r="O813" t="s">
        <v>3915</v>
      </c>
      <c r="P813" t="s">
        <v>3915</v>
      </c>
      <c r="Q813">
        <v>0</v>
      </c>
      <c r="R813" t="s">
        <v>30</v>
      </c>
      <c r="S813">
        <v>0</v>
      </c>
      <c r="T813">
        <v>0</v>
      </c>
      <c r="U813" t="s">
        <v>3915</v>
      </c>
      <c r="V813" t="s">
        <v>31</v>
      </c>
      <c r="W813">
        <v>0</v>
      </c>
    </row>
    <row r="814" spans="1:23" x14ac:dyDescent="0.25">
      <c r="A814" t="s">
        <v>4205</v>
      </c>
      <c r="B814" t="s">
        <v>800</v>
      </c>
      <c r="C814" t="s">
        <v>801</v>
      </c>
      <c r="D814" t="s">
        <v>4479</v>
      </c>
      <c r="E814" t="s">
        <v>4201</v>
      </c>
      <c r="F814" t="s">
        <v>791</v>
      </c>
      <c r="G814" t="s">
        <v>1406</v>
      </c>
      <c r="H814" s="6">
        <v>46022</v>
      </c>
      <c r="I814" t="s">
        <v>29</v>
      </c>
      <c r="J814">
        <v>61</v>
      </c>
      <c r="K814">
        <v>0</v>
      </c>
      <c r="L814">
        <v>0</v>
      </c>
      <c r="M814">
        <v>0</v>
      </c>
      <c r="N814" t="s">
        <v>3915</v>
      </c>
      <c r="O814" t="s">
        <v>3915</v>
      </c>
      <c r="P814" t="s">
        <v>3915</v>
      </c>
      <c r="Q814">
        <v>0</v>
      </c>
      <c r="R814" t="s">
        <v>30</v>
      </c>
      <c r="S814">
        <v>0</v>
      </c>
      <c r="T814">
        <v>0</v>
      </c>
      <c r="U814" t="s">
        <v>3915</v>
      </c>
      <c r="V814" t="s">
        <v>31</v>
      </c>
      <c r="W814">
        <v>0</v>
      </c>
    </row>
    <row r="815" spans="1:23" x14ac:dyDescent="0.25">
      <c r="A815" t="s">
        <v>4206</v>
      </c>
      <c r="B815" t="s">
        <v>802</v>
      </c>
      <c r="C815" t="s">
        <v>803</v>
      </c>
      <c r="D815" t="s">
        <v>4479</v>
      </c>
      <c r="E815" t="s">
        <v>4201</v>
      </c>
      <c r="F815" t="s">
        <v>791</v>
      </c>
      <c r="G815" t="s">
        <v>1406</v>
      </c>
      <c r="H815" s="6">
        <v>46022</v>
      </c>
      <c r="I815" t="s">
        <v>29</v>
      </c>
      <c r="J815">
        <v>1</v>
      </c>
      <c r="K815">
        <v>0</v>
      </c>
      <c r="L815">
        <v>0</v>
      </c>
      <c r="M815">
        <v>0</v>
      </c>
      <c r="N815" t="s">
        <v>3915</v>
      </c>
      <c r="O815" t="s">
        <v>3915</v>
      </c>
      <c r="P815" t="s">
        <v>3915</v>
      </c>
      <c r="Q815">
        <v>0</v>
      </c>
      <c r="R815" t="s">
        <v>30</v>
      </c>
      <c r="S815">
        <v>0</v>
      </c>
      <c r="T815">
        <v>0</v>
      </c>
      <c r="U815" t="s">
        <v>3915</v>
      </c>
      <c r="V815" t="s">
        <v>31</v>
      </c>
      <c r="W815">
        <v>0</v>
      </c>
    </row>
    <row r="816" spans="1:23" x14ac:dyDescent="0.25">
      <c r="A816" t="s">
        <v>4207</v>
      </c>
      <c r="B816" t="s">
        <v>804</v>
      </c>
      <c r="C816" t="s">
        <v>805</v>
      </c>
      <c r="D816" t="s">
        <v>4479</v>
      </c>
      <c r="E816" t="s">
        <v>4201</v>
      </c>
      <c r="F816" t="s">
        <v>791</v>
      </c>
      <c r="G816" t="s">
        <v>1406</v>
      </c>
      <c r="H816" s="6">
        <v>46022</v>
      </c>
      <c r="I816" t="s">
        <v>29</v>
      </c>
      <c r="J816">
        <v>41</v>
      </c>
      <c r="K816">
        <v>0</v>
      </c>
      <c r="L816">
        <v>0</v>
      </c>
      <c r="M816">
        <v>0</v>
      </c>
      <c r="N816" t="s">
        <v>3915</v>
      </c>
      <c r="O816" t="s">
        <v>3915</v>
      </c>
      <c r="P816" t="s">
        <v>3915</v>
      </c>
      <c r="Q816">
        <v>0</v>
      </c>
      <c r="R816" t="s">
        <v>30</v>
      </c>
      <c r="S816">
        <v>0</v>
      </c>
      <c r="T816">
        <v>0</v>
      </c>
      <c r="U816" t="s">
        <v>3915</v>
      </c>
      <c r="V816" t="s">
        <v>31</v>
      </c>
      <c r="W816">
        <v>0</v>
      </c>
    </row>
    <row r="817" spans="1:23" x14ac:dyDescent="0.25">
      <c r="A817" t="s">
        <v>4208</v>
      </c>
      <c r="B817" t="s">
        <v>806</v>
      </c>
      <c r="C817" t="s">
        <v>807</v>
      </c>
      <c r="D817" t="s">
        <v>4479</v>
      </c>
      <c r="E817" t="s">
        <v>4201</v>
      </c>
      <c r="F817" t="s">
        <v>791</v>
      </c>
      <c r="G817" t="s">
        <v>1406</v>
      </c>
      <c r="H817" s="6">
        <v>46022</v>
      </c>
      <c r="I817" t="s">
        <v>29</v>
      </c>
      <c r="J817">
        <v>14</v>
      </c>
      <c r="K817">
        <v>0</v>
      </c>
      <c r="L817">
        <v>0</v>
      </c>
      <c r="M817">
        <v>0</v>
      </c>
      <c r="N817" t="s">
        <v>3915</v>
      </c>
      <c r="O817" t="s">
        <v>3915</v>
      </c>
      <c r="P817" t="s">
        <v>3915</v>
      </c>
      <c r="Q817">
        <v>0</v>
      </c>
      <c r="R817" t="s">
        <v>30</v>
      </c>
      <c r="S817">
        <v>0</v>
      </c>
      <c r="T817">
        <v>0</v>
      </c>
      <c r="U817" t="s">
        <v>3915</v>
      </c>
      <c r="V817" t="s">
        <v>31</v>
      </c>
      <c r="W817">
        <v>0</v>
      </c>
    </row>
    <row r="818" spans="1:23" x14ac:dyDescent="0.25">
      <c r="A818" t="s">
        <v>4209</v>
      </c>
      <c r="B818" t="s">
        <v>808</v>
      </c>
      <c r="C818" t="s">
        <v>809</v>
      </c>
      <c r="D818" t="s">
        <v>4479</v>
      </c>
      <c r="E818" t="s">
        <v>4201</v>
      </c>
      <c r="F818" t="s">
        <v>791</v>
      </c>
      <c r="G818" t="s">
        <v>1406</v>
      </c>
      <c r="H818" s="6">
        <v>46022</v>
      </c>
      <c r="I818" t="s">
        <v>29</v>
      </c>
      <c r="J818">
        <v>2</v>
      </c>
      <c r="K818">
        <v>0</v>
      </c>
      <c r="L818">
        <v>0</v>
      </c>
      <c r="M818">
        <v>0</v>
      </c>
      <c r="N818" t="s">
        <v>3915</v>
      </c>
      <c r="O818" t="s">
        <v>3915</v>
      </c>
      <c r="P818" t="s">
        <v>3915</v>
      </c>
      <c r="Q818">
        <v>0</v>
      </c>
      <c r="R818" t="s">
        <v>30</v>
      </c>
      <c r="S818">
        <v>0</v>
      </c>
      <c r="T818">
        <v>0</v>
      </c>
      <c r="U818" t="s">
        <v>3915</v>
      </c>
      <c r="V818" t="s">
        <v>31</v>
      </c>
      <c r="W818">
        <v>0</v>
      </c>
    </row>
    <row r="819" spans="1:23" x14ac:dyDescent="0.25">
      <c r="A819" t="s">
        <v>5473</v>
      </c>
      <c r="B819" t="s">
        <v>1544</v>
      </c>
      <c r="C819" t="s">
        <v>1543</v>
      </c>
      <c r="D819" t="s">
        <v>4479</v>
      </c>
      <c r="E819" t="s">
        <v>4201</v>
      </c>
      <c r="F819" t="s">
        <v>791</v>
      </c>
      <c r="G819" t="s">
        <v>1406</v>
      </c>
      <c r="H819" s="6">
        <v>46022</v>
      </c>
      <c r="I819" t="s">
        <v>29</v>
      </c>
      <c r="J819">
        <v>52</v>
      </c>
      <c r="K819">
        <v>0</v>
      </c>
      <c r="L819">
        <v>0</v>
      </c>
      <c r="M819">
        <v>0</v>
      </c>
      <c r="N819" t="s">
        <v>3915</v>
      </c>
      <c r="O819" t="s">
        <v>3915</v>
      </c>
      <c r="P819" t="s">
        <v>3915</v>
      </c>
      <c r="Q819">
        <v>0</v>
      </c>
      <c r="R819" t="s">
        <v>30</v>
      </c>
      <c r="S819">
        <v>0</v>
      </c>
      <c r="T819">
        <v>0</v>
      </c>
      <c r="U819" t="s">
        <v>3915</v>
      </c>
      <c r="V819" t="s">
        <v>31</v>
      </c>
      <c r="W819">
        <v>0</v>
      </c>
    </row>
    <row r="820" spans="1:23" x14ac:dyDescent="0.25">
      <c r="A820" t="s">
        <v>4210</v>
      </c>
      <c r="B820" t="s">
        <v>810</v>
      </c>
      <c r="C820" t="s">
        <v>811</v>
      </c>
      <c r="D820" t="s">
        <v>4479</v>
      </c>
      <c r="E820" t="s">
        <v>4201</v>
      </c>
      <c r="F820" t="s">
        <v>791</v>
      </c>
      <c r="G820" t="s">
        <v>1406</v>
      </c>
      <c r="H820" s="6">
        <v>46022</v>
      </c>
      <c r="I820" t="s">
        <v>29</v>
      </c>
      <c r="J820">
        <v>16</v>
      </c>
      <c r="K820">
        <v>0</v>
      </c>
      <c r="L820">
        <v>0</v>
      </c>
      <c r="M820">
        <v>0</v>
      </c>
      <c r="N820" t="s">
        <v>3915</v>
      </c>
      <c r="O820" t="s">
        <v>3915</v>
      </c>
      <c r="P820" t="s">
        <v>3915</v>
      </c>
      <c r="Q820">
        <v>0</v>
      </c>
      <c r="R820" t="s">
        <v>30</v>
      </c>
      <c r="S820">
        <v>0</v>
      </c>
      <c r="T820">
        <v>0</v>
      </c>
      <c r="U820" t="s">
        <v>3915</v>
      </c>
      <c r="V820" t="s">
        <v>31</v>
      </c>
      <c r="W820">
        <v>0</v>
      </c>
    </row>
    <row r="821" spans="1:23" x14ac:dyDescent="0.25">
      <c r="A821" t="s">
        <v>4930</v>
      </c>
      <c r="B821" t="s">
        <v>2780</v>
      </c>
      <c r="C821" t="s">
        <v>2779</v>
      </c>
      <c r="D821" t="s">
        <v>4479</v>
      </c>
      <c r="E821" t="s">
        <v>4201</v>
      </c>
      <c r="F821" t="s">
        <v>791</v>
      </c>
      <c r="G821" t="s">
        <v>1406</v>
      </c>
      <c r="H821" s="6">
        <v>46022</v>
      </c>
      <c r="I821" t="s">
        <v>29</v>
      </c>
      <c r="J821">
        <v>10</v>
      </c>
      <c r="K821">
        <v>0</v>
      </c>
      <c r="L821">
        <v>0</v>
      </c>
      <c r="M821">
        <v>0</v>
      </c>
      <c r="N821" t="s">
        <v>3915</v>
      </c>
      <c r="O821" t="s">
        <v>3915</v>
      </c>
      <c r="P821" t="s">
        <v>3915</v>
      </c>
      <c r="Q821">
        <v>0</v>
      </c>
      <c r="R821" t="s">
        <v>30</v>
      </c>
      <c r="S821">
        <v>0</v>
      </c>
      <c r="T821">
        <v>0</v>
      </c>
      <c r="U821" t="s">
        <v>3915</v>
      </c>
      <c r="V821" t="s">
        <v>31</v>
      </c>
      <c r="W821">
        <v>0</v>
      </c>
    </row>
    <row r="822" spans="1:23" x14ac:dyDescent="0.25">
      <c r="A822" t="s">
        <v>5474</v>
      </c>
      <c r="B822" t="s">
        <v>2782</v>
      </c>
      <c r="C822" t="s">
        <v>2781</v>
      </c>
      <c r="D822" t="s">
        <v>4479</v>
      </c>
      <c r="E822" t="s">
        <v>4201</v>
      </c>
      <c r="F822" t="s">
        <v>791</v>
      </c>
      <c r="G822" t="s">
        <v>1406</v>
      </c>
      <c r="H822" s="6">
        <v>46022</v>
      </c>
      <c r="I822" t="s">
        <v>29</v>
      </c>
      <c r="J822">
        <v>50</v>
      </c>
      <c r="K822">
        <v>0</v>
      </c>
      <c r="L822">
        <v>0</v>
      </c>
      <c r="M822">
        <v>0</v>
      </c>
      <c r="N822" t="s">
        <v>3915</v>
      </c>
      <c r="O822" t="s">
        <v>3915</v>
      </c>
      <c r="P822" t="s">
        <v>3915</v>
      </c>
      <c r="Q822">
        <v>0</v>
      </c>
      <c r="R822" t="s">
        <v>30</v>
      </c>
      <c r="S822">
        <v>0</v>
      </c>
      <c r="T822">
        <v>0</v>
      </c>
      <c r="U822" t="s">
        <v>3915</v>
      </c>
      <c r="V822" t="s">
        <v>31</v>
      </c>
      <c r="W822">
        <v>0</v>
      </c>
    </row>
    <row r="823" spans="1:23" x14ac:dyDescent="0.25">
      <c r="A823" t="s">
        <v>4211</v>
      </c>
      <c r="B823" t="s">
        <v>812</v>
      </c>
      <c r="C823" t="s">
        <v>813</v>
      </c>
      <c r="D823" t="s">
        <v>4479</v>
      </c>
      <c r="E823" t="s">
        <v>4201</v>
      </c>
      <c r="F823" t="s">
        <v>791</v>
      </c>
      <c r="G823" t="s">
        <v>1406</v>
      </c>
      <c r="H823" s="6">
        <v>46022</v>
      </c>
      <c r="I823" t="s">
        <v>29</v>
      </c>
      <c r="J823">
        <v>10</v>
      </c>
      <c r="K823">
        <v>0</v>
      </c>
      <c r="L823">
        <v>0</v>
      </c>
      <c r="M823">
        <v>0</v>
      </c>
      <c r="N823" t="s">
        <v>3915</v>
      </c>
      <c r="O823" t="s">
        <v>3915</v>
      </c>
      <c r="P823" t="s">
        <v>3915</v>
      </c>
      <c r="Q823">
        <v>0</v>
      </c>
      <c r="R823" t="s">
        <v>30</v>
      </c>
      <c r="S823">
        <v>0</v>
      </c>
      <c r="T823">
        <v>0</v>
      </c>
      <c r="U823" t="s">
        <v>3915</v>
      </c>
      <c r="V823" t="s">
        <v>31</v>
      </c>
      <c r="W823">
        <v>0</v>
      </c>
    </row>
    <row r="824" spans="1:23" x14ac:dyDescent="0.25">
      <c r="A824" t="s">
        <v>4212</v>
      </c>
      <c r="B824" t="s">
        <v>814</v>
      </c>
      <c r="C824" t="s">
        <v>815</v>
      </c>
      <c r="D824" t="s">
        <v>4479</v>
      </c>
      <c r="E824" t="s">
        <v>4201</v>
      </c>
      <c r="F824" t="s">
        <v>791</v>
      </c>
      <c r="G824" t="s">
        <v>1406</v>
      </c>
      <c r="H824" s="6">
        <v>46022</v>
      </c>
      <c r="I824" t="s">
        <v>29</v>
      </c>
      <c r="J824">
        <v>76</v>
      </c>
      <c r="K824">
        <v>0</v>
      </c>
      <c r="L824">
        <v>0</v>
      </c>
      <c r="M824">
        <v>0</v>
      </c>
      <c r="N824" t="s">
        <v>3915</v>
      </c>
      <c r="O824" t="s">
        <v>3915</v>
      </c>
      <c r="P824" t="s">
        <v>3915</v>
      </c>
      <c r="Q824">
        <v>0</v>
      </c>
      <c r="R824" t="s">
        <v>30</v>
      </c>
      <c r="S824">
        <v>0</v>
      </c>
      <c r="T824">
        <v>0</v>
      </c>
      <c r="U824" t="s">
        <v>3915</v>
      </c>
      <c r="V824" t="s">
        <v>31</v>
      </c>
      <c r="W824">
        <v>0</v>
      </c>
    </row>
    <row r="825" spans="1:23" x14ac:dyDescent="0.25">
      <c r="A825" t="s">
        <v>4213</v>
      </c>
      <c r="B825" t="s">
        <v>816</v>
      </c>
      <c r="C825" t="s">
        <v>817</v>
      </c>
      <c r="D825" t="s">
        <v>4479</v>
      </c>
      <c r="E825" t="s">
        <v>4201</v>
      </c>
      <c r="F825" t="s">
        <v>791</v>
      </c>
      <c r="G825" t="s">
        <v>1406</v>
      </c>
      <c r="H825" s="6">
        <v>46022</v>
      </c>
      <c r="I825" t="s">
        <v>29</v>
      </c>
      <c r="J825">
        <v>65</v>
      </c>
      <c r="K825">
        <v>0</v>
      </c>
      <c r="L825">
        <v>0</v>
      </c>
      <c r="M825">
        <v>0</v>
      </c>
      <c r="N825" t="s">
        <v>3915</v>
      </c>
      <c r="O825" t="s">
        <v>3915</v>
      </c>
      <c r="P825" t="s">
        <v>3915</v>
      </c>
      <c r="Q825">
        <v>0</v>
      </c>
      <c r="R825" t="s">
        <v>30</v>
      </c>
      <c r="S825">
        <v>0</v>
      </c>
      <c r="T825">
        <v>0</v>
      </c>
      <c r="U825" t="s">
        <v>3915</v>
      </c>
      <c r="V825" t="s">
        <v>31</v>
      </c>
      <c r="W825">
        <v>0</v>
      </c>
    </row>
    <row r="826" spans="1:23" x14ac:dyDescent="0.25">
      <c r="A826" t="s">
        <v>4214</v>
      </c>
      <c r="B826" t="s">
        <v>818</v>
      </c>
      <c r="C826" t="s">
        <v>819</v>
      </c>
      <c r="D826" t="s">
        <v>4479</v>
      </c>
      <c r="E826" t="s">
        <v>4201</v>
      </c>
      <c r="F826" t="s">
        <v>791</v>
      </c>
      <c r="G826" t="s">
        <v>1406</v>
      </c>
      <c r="H826" s="6">
        <v>46022</v>
      </c>
      <c r="I826" t="s">
        <v>29</v>
      </c>
      <c r="J826">
        <v>0</v>
      </c>
      <c r="K826">
        <v>0</v>
      </c>
      <c r="L826">
        <v>0</v>
      </c>
      <c r="M826">
        <v>0</v>
      </c>
      <c r="N826" t="s">
        <v>3915</v>
      </c>
      <c r="O826" t="s">
        <v>3915</v>
      </c>
      <c r="P826" t="s">
        <v>3915</v>
      </c>
      <c r="Q826">
        <v>0</v>
      </c>
      <c r="R826" t="s">
        <v>30</v>
      </c>
      <c r="S826">
        <v>0</v>
      </c>
      <c r="T826">
        <v>0</v>
      </c>
      <c r="U826" t="s">
        <v>3915</v>
      </c>
      <c r="V826" t="s">
        <v>31</v>
      </c>
      <c r="W826">
        <v>0</v>
      </c>
    </row>
    <row r="827" spans="1:23" x14ac:dyDescent="0.25">
      <c r="A827" t="s">
        <v>4215</v>
      </c>
      <c r="B827" t="s">
        <v>820</v>
      </c>
      <c r="C827" t="s">
        <v>821</v>
      </c>
      <c r="D827" t="s">
        <v>4479</v>
      </c>
      <c r="E827" t="s">
        <v>4201</v>
      </c>
      <c r="F827" t="s">
        <v>791</v>
      </c>
      <c r="G827" t="s">
        <v>1406</v>
      </c>
      <c r="H827" s="6">
        <v>46022</v>
      </c>
      <c r="I827" t="s">
        <v>29</v>
      </c>
      <c r="J827">
        <v>20</v>
      </c>
      <c r="K827">
        <v>0</v>
      </c>
      <c r="L827">
        <v>0</v>
      </c>
      <c r="M827">
        <v>0</v>
      </c>
      <c r="N827" t="s">
        <v>3915</v>
      </c>
      <c r="O827" t="s">
        <v>3915</v>
      </c>
      <c r="P827" t="s">
        <v>3915</v>
      </c>
      <c r="Q827">
        <v>0</v>
      </c>
      <c r="R827" t="s">
        <v>30</v>
      </c>
      <c r="S827">
        <v>0</v>
      </c>
      <c r="T827">
        <v>0</v>
      </c>
      <c r="U827" t="s">
        <v>3915</v>
      </c>
      <c r="V827" t="s">
        <v>31</v>
      </c>
      <c r="W827">
        <v>0</v>
      </c>
    </row>
    <row r="828" spans="1:23" x14ac:dyDescent="0.25">
      <c r="A828" t="s">
        <v>5475</v>
      </c>
      <c r="B828" t="s">
        <v>2784</v>
      </c>
      <c r="C828" t="s">
        <v>2783</v>
      </c>
      <c r="D828" t="s">
        <v>4479</v>
      </c>
      <c r="E828" t="s">
        <v>4201</v>
      </c>
      <c r="F828" t="s">
        <v>791</v>
      </c>
      <c r="G828" t="s">
        <v>1406</v>
      </c>
      <c r="H828" s="6">
        <v>46022</v>
      </c>
      <c r="I828" t="s">
        <v>29</v>
      </c>
      <c r="J828">
        <v>52</v>
      </c>
      <c r="K828">
        <v>0</v>
      </c>
      <c r="L828">
        <v>0</v>
      </c>
      <c r="M828">
        <v>0</v>
      </c>
      <c r="N828" t="s">
        <v>3915</v>
      </c>
      <c r="O828" t="s">
        <v>3915</v>
      </c>
      <c r="P828" t="s">
        <v>3915</v>
      </c>
      <c r="Q828">
        <v>0</v>
      </c>
      <c r="R828" t="s">
        <v>30</v>
      </c>
      <c r="S828">
        <v>0</v>
      </c>
      <c r="T828">
        <v>0</v>
      </c>
      <c r="U828" t="s">
        <v>3915</v>
      </c>
      <c r="V828" t="s">
        <v>31</v>
      </c>
      <c r="W828">
        <v>0</v>
      </c>
    </row>
    <row r="829" spans="1:23" x14ac:dyDescent="0.25">
      <c r="A829" t="s">
        <v>4973</v>
      </c>
      <c r="B829" t="s">
        <v>2786</v>
      </c>
      <c r="C829" t="s">
        <v>2785</v>
      </c>
      <c r="D829" t="s">
        <v>4479</v>
      </c>
      <c r="E829" t="s">
        <v>4201</v>
      </c>
      <c r="F829" t="s">
        <v>791</v>
      </c>
      <c r="G829" t="s">
        <v>1406</v>
      </c>
      <c r="H829" s="6">
        <v>46022</v>
      </c>
      <c r="I829" t="s">
        <v>29</v>
      </c>
      <c r="J829">
        <v>30</v>
      </c>
      <c r="K829">
        <v>0</v>
      </c>
      <c r="L829">
        <v>0</v>
      </c>
      <c r="M829">
        <v>0</v>
      </c>
      <c r="N829" t="s">
        <v>3915</v>
      </c>
      <c r="O829" t="s">
        <v>3915</v>
      </c>
      <c r="P829" t="s">
        <v>3915</v>
      </c>
      <c r="Q829">
        <v>0</v>
      </c>
      <c r="R829" t="s">
        <v>30</v>
      </c>
      <c r="S829">
        <v>0</v>
      </c>
      <c r="T829">
        <v>0</v>
      </c>
      <c r="U829" t="s">
        <v>3915</v>
      </c>
      <c r="V829" t="s">
        <v>31</v>
      </c>
      <c r="W829">
        <v>0</v>
      </c>
    </row>
    <row r="830" spans="1:23" x14ac:dyDescent="0.25">
      <c r="A830" t="s">
        <v>4216</v>
      </c>
      <c r="B830" t="s">
        <v>826</v>
      </c>
      <c r="C830" t="s">
        <v>827</v>
      </c>
      <c r="D830" t="s">
        <v>4479</v>
      </c>
      <c r="E830" t="s">
        <v>4201</v>
      </c>
      <c r="F830" t="s">
        <v>791</v>
      </c>
      <c r="G830" t="s">
        <v>1406</v>
      </c>
      <c r="H830" s="6">
        <v>46022</v>
      </c>
      <c r="I830" t="s">
        <v>29</v>
      </c>
      <c r="J830">
        <v>7</v>
      </c>
      <c r="K830">
        <v>0</v>
      </c>
      <c r="L830">
        <v>0</v>
      </c>
      <c r="M830">
        <v>0</v>
      </c>
      <c r="N830" t="s">
        <v>3915</v>
      </c>
      <c r="O830" t="s">
        <v>3915</v>
      </c>
      <c r="P830" t="s">
        <v>3915</v>
      </c>
      <c r="Q830">
        <v>0</v>
      </c>
      <c r="R830" t="s">
        <v>30</v>
      </c>
      <c r="S830">
        <v>0</v>
      </c>
      <c r="T830">
        <v>0</v>
      </c>
      <c r="U830" t="s">
        <v>3915</v>
      </c>
      <c r="V830" t="s">
        <v>31</v>
      </c>
      <c r="W830">
        <v>0</v>
      </c>
    </row>
    <row r="831" spans="1:23" x14ac:dyDescent="0.25">
      <c r="A831" t="s">
        <v>5476</v>
      </c>
      <c r="B831" t="s">
        <v>2788</v>
      </c>
      <c r="C831" t="s">
        <v>2787</v>
      </c>
      <c r="D831" t="s">
        <v>4479</v>
      </c>
      <c r="E831" t="s">
        <v>4201</v>
      </c>
      <c r="F831" t="s">
        <v>791</v>
      </c>
      <c r="G831" t="s">
        <v>1406</v>
      </c>
      <c r="H831" s="6">
        <v>46022</v>
      </c>
      <c r="I831" t="s">
        <v>29</v>
      </c>
      <c r="J831">
        <v>9</v>
      </c>
      <c r="K831">
        <v>0</v>
      </c>
      <c r="L831">
        <v>0</v>
      </c>
      <c r="M831">
        <v>0</v>
      </c>
      <c r="N831" t="s">
        <v>3915</v>
      </c>
      <c r="O831" t="s">
        <v>3915</v>
      </c>
      <c r="P831" t="s">
        <v>3915</v>
      </c>
      <c r="Q831">
        <v>0</v>
      </c>
      <c r="R831" t="s">
        <v>30</v>
      </c>
      <c r="S831">
        <v>0</v>
      </c>
      <c r="T831">
        <v>0</v>
      </c>
      <c r="U831" t="s">
        <v>3915</v>
      </c>
      <c r="V831" t="s">
        <v>31</v>
      </c>
      <c r="W831">
        <v>0</v>
      </c>
    </row>
    <row r="832" spans="1:23" x14ac:dyDescent="0.25">
      <c r="A832" t="s">
        <v>4217</v>
      </c>
      <c r="B832" t="s">
        <v>828</v>
      </c>
      <c r="C832" t="s">
        <v>829</v>
      </c>
      <c r="D832" t="s">
        <v>4479</v>
      </c>
      <c r="E832" t="s">
        <v>4201</v>
      </c>
      <c r="F832" t="s">
        <v>791</v>
      </c>
      <c r="G832" t="s">
        <v>1406</v>
      </c>
      <c r="H832" s="6">
        <v>46022</v>
      </c>
      <c r="I832" t="s">
        <v>29</v>
      </c>
      <c r="J832">
        <v>48</v>
      </c>
      <c r="K832">
        <v>0</v>
      </c>
      <c r="L832">
        <v>0</v>
      </c>
      <c r="M832">
        <v>0</v>
      </c>
      <c r="N832" t="s">
        <v>3915</v>
      </c>
      <c r="O832" t="s">
        <v>3915</v>
      </c>
      <c r="P832" t="s">
        <v>3915</v>
      </c>
      <c r="Q832">
        <v>0</v>
      </c>
      <c r="R832" t="s">
        <v>30</v>
      </c>
      <c r="S832">
        <v>0</v>
      </c>
      <c r="T832">
        <v>0</v>
      </c>
      <c r="U832" t="s">
        <v>3915</v>
      </c>
      <c r="V832" t="s">
        <v>31</v>
      </c>
      <c r="W832">
        <v>0</v>
      </c>
    </row>
    <row r="833" spans="1:23" x14ac:dyDescent="0.25">
      <c r="A833" t="s">
        <v>4218</v>
      </c>
      <c r="B833" t="s">
        <v>830</v>
      </c>
      <c r="C833" t="s">
        <v>831</v>
      </c>
      <c r="D833" t="s">
        <v>4479</v>
      </c>
      <c r="E833" t="s">
        <v>4201</v>
      </c>
      <c r="F833" t="s">
        <v>791</v>
      </c>
      <c r="G833" t="s">
        <v>1406</v>
      </c>
      <c r="H833" s="6">
        <v>46022</v>
      </c>
      <c r="I833" t="s">
        <v>29</v>
      </c>
      <c r="J833">
        <v>15</v>
      </c>
      <c r="K833">
        <v>0</v>
      </c>
      <c r="L833">
        <v>0</v>
      </c>
      <c r="M833">
        <v>0</v>
      </c>
      <c r="N833" t="s">
        <v>3915</v>
      </c>
      <c r="O833" t="s">
        <v>3915</v>
      </c>
      <c r="P833" t="s">
        <v>3915</v>
      </c>
      <c r="Q833">
        <v>0</v>
      </c>
      <c r="R833" t="s">
        <v>30</v>
      </c>
      <c r="S833">
        <v>0</v>
      </c>
      <c r="T833">
        <v>0</v>
      </c>
      <c r="U833" t="s">
        <v>3915</v>
      </c>
      <c r="V833" t="s">
        <v>31</v>
      </c>
      <c r="W833">
        <v>0</v>
      </c>
    </row>
    <row r="834" spans="1:23" x14ac:dyDescent="0.25">
      <c r="A834" t="s">
        <v>4219</v>
      </c>
      <c r="B834" t="s">
        <v>832</v>
      </c>
      <c r="C834" t="s">
        <v>833</v>
      </c>
      <c r="D834" t="s">
        <v>4479</v>
      </c>
      <c r="E834" t="s">
        <v>4201</v>
      </c>
      <c r="F834" t="s">
        <v>791</v>
      </c>
      <c r="G834" t="s">
        <v>1406</v>
      </c>
      <c r="H834" s="6">
        <v>46022</v>
      </c>
      <c r="I834" t="s">
        <v>29</v>
      </c>
      <c r="J834">
        <v>0</v>
      </c>
      <c r="K834">
        <v>0</v>
      </c>
      <c r="L834">
        <v>0</v>
      </c>
      <c r="M834">
        <v>0</v>
      </c>
      <c r="N834" t="s">
        <v>3915</v>
      </c>
      <c r="O834" t="s">
        <v>3915</v>
      </c>
      <c r="P834" t="s">
        <v>3915</v>
      </c>
      <c r="Q834">
        <v>0</v>
      </c>
      <c r="R834" t="s">
        <v>30</v>
      </c>
      <c r="S834">
        <v>0</v>
      </c>
      <c r="T834">
        <v>0</v>
      </c>
      <c r="U834" t="s">
        <v>3915</v>
      </c>
      <c r="V834" t="s">
        <v>31</v>
      </c>
      <c r="W834">
        <v>0</v>
      </c>
    </row>
    <row r="835" spans="1:23" x14ac:dyDescent="0.25">
      <c r="A835" t="s">
        <v>4536</v>
      </c>
      <c r="B835" t="s">
        <v>2790</v>
      </c>
      <c r="C835" t="s">
        <v>2789</v>
      </c>
      <c r="D835" t="s">
        <v>4479</v>
      </c>
      <c r="E835" t="s">
        <v>4201</v>
      </c>
      <c r="F835" t="s">
        <v>791</v>
      </c>
      <c r="G835" t="s">
        <v>1406</v>
      </c>
      <c r="H835" s="6">
        <v>46022</v>
      </c>
      <c r="I835" t="s">
        <v>29</v>
      </c>
      <c r="J835">
        <v>17</v>
      </c>
      <c r="K835">
        <v>0</v>
      </c>
      <c r="L835">
        <v>0</v>
      </c>
      <c r="M835">
        <v>0</v>
      </c>
      <c r="N835" t="s">
        <v>3915</v>
      </c>
      <c r="O835" t="s">
        <v>3915</v>
      </c>
      <c r="P835" t="s">
        <v>3915</v>
      </c>
      <c r="Q835">
        <v>0</v>
      </c>
      <c r="R835" t="s">
        <v>30</v>
      </c>
      <c r="S835">
        <v>0</v>
      </c>
      <c r="T835">
        <v>0</v>
      </c>
      <c r="U835" t="s">
        <v>3915</v>
      </c>
      <c r="V835" t="s">
        <v>31</v>
      </c>
      <c r="W835">
        <v>0</v>
      </c>
    </row>
    <row r="836" spans="1:23" x14ac:dyDescent="0.25">
      <c r="A836" t="s">
        <v>4220</v>
      </c>
      <c r="B836" t="s">
        <v>834</v>
      </c>
      <c r="C836" t="s">
        <v>835</v>
      </c>
      <c r="D836" t="s">
        <v>4479</v>
      </c>
      <c r="E836" t="s">
        <v>4201</v>
      </c>
      <c r="F836" t="s">
        <v>791</v>
      </c>
      <c r="G836" t="s">
        <v>1406</v>
      </c>
      <c r="H836" s="6">
        <v>46022</v>
      </c>
      <c r="I836" t="s">
        <v>29</v>
      </c>
      <c r="J836">
        <v>34</v>
      </c>
      <c r="K836">
        <v>0</v>
      </c>
      <c r="L836">
        <v>0</v>
      </c>
      <c r="M836">
        <v>0</v>
      </c>
      <c r="N836" t="s">
        <v>3915</v>
      </c>
      <c r="O836" t="s">
        <v>3915</v>
      </c>
      <c r="P836" t="s">
        <v>3915</v>
      </c>
      <c r="Q836">
        <v>0</v>
      </c>
      <c r="R836" t="s">
        <v>30</v>
      </c>
      <c r="S836">
        <v>0</v>
      </c>
      <c r="T836">
        <v>0</v>
      </c>
      <c r="U836" t="s">
        <v>3915</v>
      </c>
      <c r="V836" t="s">
        <v>31</v>
      </c>
      <c r="W836">
        <v>0</v>
      </c>
    </row>
    <row r="837" spans="1:23" x14ac:dyDescent="0.25">
      <c r="A837" t="s">
        <v>1390</v>
      </c>
      <c r="B837" t="s">
        <v>836</v>
      </c>
      <c r="C837" t="s">
        <v>837</v>
      </c>
      <c r="D837" t="s">
        <v>4479</v>
      </c>
      <c r="E837" t="s">
        <v>4201</v>
      </c>
      <c r="F837" t="s">
        <v>791</v>
      </c>
      <c r="G837" t="s">
        <v>1406</v>
      </c>
      <c r="H837" s="6">
        <v>46022</v>
      </c>
      <c r="I837" t="s">
        <v>29</v>
      </c>
      <c r="J837">
        <v>0</v>
      </c>
      <c r="K837">
        <v>0</v>
      </c>
      <c r="L837">
        <v>0</v>
      </c>
      <c r="M837">
        <v>0</v>
      </c>
      <c r="N837" t="s">
        <v>3915</v>
      </c>
      <c r="O837" t="s">
        <v>3915</v>
      </c>
      <c r="P837" t="s">
        <v>3915</v>
      </c>
      <c r="Q837">
        <v>0</v>
      </c>
      <c r="R837" t="s">
        <v>30</v>
      </c>
      <c r="S837">
        <v>0</v>
      </c>
      <c r="T837">
        <v>0</v>
      </c>
      <c r="U837" t="s">
        <v>3915</v>
      </c>
      <c r="V837" t="s">
        <v>31</v>
      </c>
      <c r="W837">
        <v>0</v>
      </c>
    </row>
    <row r="838" spans="1:23" x14ac:dyDescent="0.25">
      <c r="A838" t="s">
        <v>4221</v>
      </c>
      <c r="B838" t="s">
        <v>838</v>
      </c>
      <c r="C838" t="s">
        <v>839</v>
      </c>
      <c r="D838" t="s">
        <v>4479</v>
      </c>
      <c r="E838" t="s">
        <v>4201</v>
      </c>
      <c r="F838" t="s">
        <v>791</v>
      </c>
      <c r="G838" t="s">
        <v>1406</v>
      </c>
      <c r="H838" s="6">
        <v>46022</v>
      </c>
      <c r="I838" t="s">
        <v>29</v>
      </c>
      <c r="J838">
        <v>0</v>
      </c>
      <c r="K838">
        <v>0</v>
      </c>
      <c r="L838">
        <v>0</v>
      </c>
      <c r="M838">
        <v>0</v>
      </c>
      <c r="N838" t="s">
        <v>3915</v>
      </c>
      <c r="O838" t="s">
        <v>3915</v>
      </c>
      <c r="P838" t="s">
        <v>3915</v>
      </c>
      <c r="Q838">
        <v>0</v>
      </c>
      <c r="R838" t="s">
        <v>30</v>
      </c>
      <c r="S838">
        <v>0</v>
      </c>
      <c r="T838">
        <v>0</v>
      </c>
      <c r="U838" t="s">
        <v>3915</v>
      </c>
      <c r="V838" t="s">
        <v>31</v>
      </c>
      <c r="W838">
        <v>0</v>
      </c>
    </row>
    <row r="839" spans="1:23" x14ac:dyDescent="0.25">
      <c r="A839" t="s">
        <v>4976</v>
      </c>
      <c r="B839" t="s">
        <v>2792</v>
      </c>
      <c r="C839" t="s">
        <v>2791</v>
      </c>
      <c r="D839" t="s">
        <v>4479</v>
      </c>
      <c r="E839" t="s">
        <v>4201</v>
      </c>
      <c r="F839" t="s">
        <v>791</v>
      </c>
      <c r="G839" t="s">
        <v>1406</v>
      </c>
      <c r="H839" s="6">
        <v>46022</v>
      </c>
      <c r="I839" t="s">
        <v>29</v>
      </c>
      <c r="J839">
        <v>10</v>
      </c>
      <c r="K839">
        <v>0</v>
      </c>
      <c r="L839">
        <v>0</v>
      </c>
      <c r="M839">
        <v>0</v>
      </c>
      <c r="N839" t="s">
        <v>3915</v>
      </c>
      <c r="O839" t="s">
        <v>3915</v>
      </c>
      <c r="P839" t="s">
        <v>3915</v>
      </c>
      <c r="Q839">
        <v>0</v>
      </c>
      <c r="R839" t="s">
        <v>30</v>
      </c>
      <c r="S839">
        <v>0</v>
      </c>
      <c r="T839">
        <v>0</v>
      </c>
      <c r="U839" t="s">
        <v>3915</v>
      </c>
      <c r="V839" t="s">
        <v>31</v>
      </c>
      <c r="W839">
        <v>0</v>
      </c>
    </row>
    <row r="840" spans="1:23" x14ac:dyDescent="0.25">
      <c r="A840" t="s">
        <v>4222</v>
      </c>
      <c r="B840" t="s">
        <v>840</v>
      </c>
      <c r="C840" t="s">
        <v>841</v>
      </c>
      <c r="D840" t="s">
        <v>4479</v>
      </c>
      <c r="E840" t="s">
        <v>4201</v>
      </c>
      <c r="F840" t="s">
        <v>791</v>
      </c>
      <c r="G840" t="s">
        <v>1406</v>
      </c>
      <c r="H840" s="6">
        <v>46022</v>
      </c>
      <c r="I840" t="s">
        <v>29</v>
      </c>
      <c r="J840">
        <v>12</v>
      </c>
      <c r="K840">
        <v>0</v>
      </c>
      <c r="L840">
        <v>0</v>
      </c>
      <c r="M840">
        <v>0</v>
      </c>
      <c r="N840" t="s">
        <v>3915</v>
      </c>
      <c r="O840" t="s">
        <v>3915</v>
      </c>
      <c r="P840" t="s">
        <v>3915</v>
      </c>
      <c r="Q840">
        <v>0</v>
      </c>
      <c r="R840" t="s">
        <v>30</v>
      </c>
      <c r="S840">
        <v>0</v>
      </c>
      <c r="T840">
        <v>0</v>
      </c>
      <c r="U840" t="s">
        <v>3915</v>
      </c>
      <c r="V840" t="s">
        <v>31</v>
      </c>
      <c r="W840">
        <v>0</v>
      </c>
    </row>
    <row r="841" spans="1:23" x14ac:dyDescent="0.25">
      <c r="A841" t="s">
        <v>4223</v>
      </c>
      <c r="B841" t="s">
        <v>842</v>
      </c>
      <c r="C841" t="s">
        <v>843</v>
      </c>
      <c r="D841" t="s">
        <v>4479</v>
      </c>
      <c r="E841" t="s">
        <v>4201</v>
      </c>
      <c r="F841" t="s">
        <v>791</v>
      </c>
      <c r="G841" t="s">
        <v>1406</v>
      </c>
      <c r="H841" s="6">
        <v>46022</v>
      </c>
      <c r="I841" t="s">
        <v>29</v>
      </c>
      <c r="J841">
        <v>8</v>
      </c>
      <c r="K841">
        <v>0</v>
      </c>
      <c r="L841">
        <v>0</v>
      </c>
      <c r="M841">
        <v>0</v>
      </c>
      <c r="N841" t="s">
        <v>3915</v>
      </c>
      <c r="O841" t="s">
        <v>3915</v>
      </c>
      <c r="P841" t="s">
        <v>3915</v>
      </c>
      <c r="Q841">
        <v>0</v>
      </c>
      <c r="R841" t="s">
        <v>30</v>
      </c>
      <c r="S841">
        <v>0</v>
      </c>
      <c r="T841">
        <v>0</v>
      </c>
      <c r="U841" t="s">
        <v>3915</v>
      </c>
      <c r="V841" t="s">
        <v>31</v>
      </c>
      <c r="W841">
        <v>0</v>
      </c>
    </row>
    <row r="842" spans="1:23" x14ac:dyDescent="0.25">
      <c r="A842" t="s">
        <v>4985</v>
      </c>
      <c r="B842" t="s">
        <v>2794</v>
      </c>
      <c r="C842" t="s">
        <v>2793</v>
      </c>
      <c r="D842" t="s">
        <v>4479</v>
      </c>
      <c r="E842" t="s">
        <v>4201</v>
      </c>
      <c r="F842" t="s">
        <v>791</v>
      </c>
      <c r="G842" t="s">
        <v>1406</v>
      </c>
      <c r="H842" s="6">
        <v>46022</v>
      </c>
      <c r="I842" t="s">
        <v>29</v>
      </c>
      <c r="J842">
        <v>3</v>
      </c>
      <c r="K842">
        <v>0</v>
      </c>
      <c r="L842">
        <v>0</v>
      </c>
      <c r="M842">
        <v>0</v>
      </c>
      <c r="N842" t="s">
        <v>3915</v>
      </c>
      <c r="O842" t="s">
        <v>3915</v>
      </c>
      <c r="P842" t="s">
        <v>3915</v>
      </c>
      <c r="Q842">
        <v>0</v>
      </c>
      <c r="R842" t="s">
        <v>30</v>
      </c>
      <c r="S842">
        <v>0</v>
      </c>
      <c r="T842">
        <v>0</v>
      </c>
      <c r="U842" t="s">
        <v>3915</v>
      </c>
      <c r="V842" t="s">
        <v>31</v>
      </c>
      <c r="W842">
        <v>0</v>
      </c>
    </row>
    <row r="843" spans="1:23" x14ac:dyDescent="0.25">
      <c r="A843" t="s">
        <v>4224</v>
      </c>
      <c r="B843" t="s">
        <v>844</v>
      </c>
      <c r="C843" t="s">
        <v>845</v>
      </c>
      <c r="D843" t="s">
        <v>4479</v>
      </c>
      <c r="E843" t="s">
        <v>4201</v>
      </c>
      <c r="F843" t="s">
        <v>791</v>
      </c>
      <c r="G843" t="s">
        <v>1406</v>
      </c>
      <c r="H843" s="6">
        <v>46022</v>
      </c>
      <c r="I843" t="s">
        <v>29</v>
      </c>
      <c r="J843">
        <v>12</v>
      </c>
      <c r="K843">
        <v>0</v>
      </c>
      <c r="L843">
        <v>0</v>
      </c>
      <c r="M843">
        <v>0</v>
      </c>
      <c r="N843" t="s">
        <v>3915</v>
      </c>
      <c r="O843" t="s">
        <v>3915</v>
      </c>
      <c r="P843" t="s">
        <v>3915</v>
      </c>
      <c r="Q843">
        <v>0</v>
      </c>
      <c r="R843" t="s">
        <v>30</v>
      </c>
      <c r="S843">
        <v>0</v>
      </c>
      <c r="T843">
        <v>0</v>
      </c>
      <c r="U843" t="s">
        <v>3915</v>
      </c>
      <c r="V843" t="s">
        <v>31</v>
      </c>
      <c r="W843">
        <v>0</v>
      </c>
    </row>
    <row r="844" spans="1:23" x14ac:dyDescent="0.25">
      <c r="A844" t="s">
        <v>4225</v>
      </c>
      <c r="B844" t="s">
        <v>846</v>
      </c>
      <c r="C844" t="s">
        <v>847</v>
      </c>
      <c r="D844" t="s">
        <v>4479</v>
      </c>
      <c r="E844" t="s">
        <v>4201</v>
      </c>
      <c r="F844" t="s">
        <v>791</v>
      </c>
      <c r="G844" t="s">
        <v>1406</v>
      </c>
      <c r="H844" s="6">
        <v>46022</v>
      </c>
      <c r="I844" t="s">
        <v>29</v>
      </c>
      <c r="J844">
        <v>26</v>
      </c>
      <c r="K844">
        <v>0</v>
      </c>
      <c r="L844">
        <v>0</v>
      </c>
      <c r="M844">
        <v>0</v>
      </c>
      <c r="N844" t="s">
        <v>3915</v>
      </c>
      <c r="O844" t="s">
        <v>3915</v>
      </c>
      <c r="P844" t="s">
        <v>3915</v>
      </c>
      <c r="Q844">
        <v>0</v>
      </c>
      <c r="R844" t="s">
        <v>30</v>
      </c>
      <c r="S844">
        <v>0</v>
      </c>
      <c r="T844">
        <v>0</v>
      </c>
      <c r="U844" t="s">
        <v>3915</v>
      </c>
      <c r="V844" t="s">
        <v>31</v>
      </c>
      <c r="W844">
        <v>0</v>
      </c>
    </row>
    <row r="845" spans="1:23" x14ac:dyDescent="0.25">
      <c r="A845" t="s">
        <v>4226</v>
      </c>
      <c r="B845" t="s">
        <v>848</v>
      </c>
      <c r="C845" t="s">
        <v>849</v>
      </c>
      <c r="D845" t="s">
        <v>4479</v>
      </c>
      <c r="E845" t="s">
        <v>4201</v>
      </c>
      <c r="F845" t="s">
        <v>791</v>
      </c>
      <c r="G845" t="s">
        <v>1406</v>
      </c>
      <c r="H845" s="6">
        <v>46022</v>
      </c>
      <c r="I845" t="s">
        <v>29</v>
      </c>
      <c r="J845">
        <v>1</v>
      </c>
      <c r="K845">
        <v>0</v>
      </c>
      <c r="L845">
        <v>0</v>
      </c>
      <c r="M845">
        <v>0</v>
      </c>
      <c r="N845" t="s">
        <v>3915</v>
      </c>
      <c r="O845" t="s">
        <v>3915</v>
      </c>
      <c r="P845" t="s">
        <v>3915</v>
      </c>
      <c r="Q845">
        <v>0</v>
      </c>
      <c r="R845" t="s">
        <v>30</v>
      </c>
      <c r="S845">
        <v>0</v>
      </c>
      <c r="T845">
        <v>0</v>
      </c>
      <c r="U845" t="s">
        <v>3915</v>
      </c>
      <c r="V845" t="s">
        <v>31</v>
      </c>
      <c r="W845">
        <v>0</v>
      </c>
    </row>
    <row r="846" spans="1:23" x14ac:dyDescent="0.25">
      <c r="A846" t="s">
        <v>4227</v>
      </c>
      <c r="B846" t="s">
        <v>850</v>
      </c>
      <c r="C846" t="s">
        <v>851</v>
      </c>
      <c r="D846" t="s">
        <v>4479</v>
      </c>
      <c r="E846" t="s">
        <v>4201</v>
      </c>
      <c r="F846" t="s">
        <v>791</v>
      </c>
      <c r="G846" t="s">
        <v>1406</v>
      </c>
      <c r="H846" s="6">
        <v>46022</v>
      </c>
      <c r="I846" t="s">
        <v>29</v>
      </c>
      <c r="J846">
        <v>15</v>
      </c>
      <c r="K846">
        <v>0</v>
      </c>
      <c r="L846">
        <v>0</v>
      </c>
      <c r="M846">
        <v>0</v>
      </c>
      <c r="N846" t="s">
        <v>3915</v>
      </c>
      <c r="O846" t="s">
        <v>3915</v>
      </c>
      <c r="P846" t="s">
        <v>3915</v>
      </c>
      <c r="Q846">
        <v>0</v>
      </c>
      <c r="R846" t="s">
        <v>30</v>
      </c>
      <c r="S846">
        <v>0</v>
      </c>
      <c r="T846">
        <v>0</v>
      </c>
      <c r="U846" t="s">
        <v>3915</v>
      </c>
      <c r="V846" t="s">
        <v>31</v>
      </c>
      <c r="W846">
        <v>0</v>
      </c>
    </row>
    <row r="847" spans="1:23" x14ac:dyDescent="0.25">
      <c r="A847" t="s">
        <v>4228</v>
      </c>
      <c r="B847" t="s">
        <v>852</v>
      </c>
      <c r="C847" t="s">
        <v>853</v>
      </c>
      <c r="D847" t="s">
        <v>4479</v>
      </c>
      <c r="E847" t="s">
        <v>4201</v>
      </c>
      <c r="F847" t="s">
        <v>791</v>
      </c>
      <c r="G847" t="s">
        <v>1406</v>
      </c>
      <c r="H847" s="6">
        <v>46022</v>
      </c>
      <c r="I847" t="s">
        <v>29</v>
      </c>
      <c r="J847">
        <v>12</v>
      </c>
      <c r="K847">
        <v>0</v>
      </c>
      <c r="L847">
        <v>0</v>
      </c>
      <c r="M847">
        <v>0</v>
      </c>
      <c r="N847" t="s">
        <v>3915</v>
      </c>
      <c r="O847" t="s">
        <v>3915</v>
      </c>
      <c r="P847" t="s">
        <v>3915</v>
      </c>
      <c r="Q847">
        <v>0</v>
      </c>
      <c r="R847" t="s">
        <v>30</v>
      </c>
      <c r="S847">
        <v>0</v>
      </c>
      <c r="T847">
        <v>0</v>
      </c>
      <c r="U847" t="s">
        <v>3915</v>
      </c>
      <c r="V847" t="s">
        <v>31</v>
      </c>
      <c r="W847">
        <v>0</v>
      </c>
    </row>
    <row r="848" spans="1:23" x14ac:dyDescent="0.25">
      <c r="A848" t="s">
        <v>4229</v>
      </c>
      <c r="B848" t="s">
        <v>854</v>
      </c>
      <c r="C848" t="s">
        <v>855</v>
      </c>
      <c r="D848" t="s">
        <v>4479</v>
      </c>
      <c r="E848" t="s">
        <v>4201</v>
      </c>
      <c r="F848" t="s">
        <v>791</v>
      </c>
      <c r="G848" t="s">
        <v>1406</v>
      </c>
      <c r="H848" s="6">
        <v>46022</v>
      </c>
      <c r="I848" t="s">
        <v>29</v>
      </c>
      <c r="J848">
        <v>64</v>
      </c>
      <c r="K848">
        <v>0</v>
      </c>
      <c r="L848">
        <v>0</v>
      </c>
      <c r="M848">
        <v>0</v>
      </c>
      <c r="N848" t="s">
        <v>3915</v>
      </c>
      <c r="O848" t="s">
        <v>3915</v>
      </c>
      <c r="P848" t="s">
        <v>3915</v>
      </c>
      <c r="Q848">
        <v>0</v>
      </c>
      <c r="R848" t="s">
        <v>30</v>
      </c>
      <c r="S848">
        <v>0</v>
      </c>
      <c r="T848">
        <v>0</v>
      </c>
      <c r="U848" t="s">
        <v>3915</v>
      </c>
      <c r="V848" t="s">
        <v>31</v>
      </c>
      <c r="W848">
        <v>0</v>
      </c>
    </row>
    <row r="849" spans="1:23" x14ac:dyDescent="0.25">
      <c r="A849" t="s">
        <v>4230</v>
      </c>
      <c r="B849" t="s">
        <v>856</v>
      </c>
      <c r="C849" t="s">
        <v>857</v>
      </c>
      <c r="D849" t="s">
        <v>4479</v>
      </c>
      <c r="E849" t="s">
        <v>4201</v>
      </c>
      <c r="F849" t="s">
        <v>791</v>
      </c>
      <c r="G849" t="s">
        <v>1406</v>
      </c>
      <c r="H849" s="6">
        <v>46022</v>
      </c>
      <c r="I849" t="s">
        <v>29</v>
      </c>
      <c r="J849">
        <v>27</v>
      </c>
      <c r="K849">
        <v>0</v>
      </c>
      <c r="L849">
        <v>0</v>
      </c>
      <c r="M849">
        <v>0</v>
      </c>
      <c r="N849" t="s">
        <v>3915</v>
      </c>
      <c r="O849" t="s">
        <v>3915</v>
      </c>
      <c r="P849" t="s">
        <v>3915</v>
      </c>
      <c r="Q849">
        <v>0</v>
      </c>
      <c r="R849" t="s">
        <v>30</v>
      </c>
      <c r="S849">
        <v>0</v>
      </c>
      <c r="T849">
        <v>0</v>
      </c>
      <c r="U849" t="s">
        <v>3915</v>
      </c>
      <c r="V849" t="s">
        <v>31</v>
      </c>
      <c r="W849">
        <v>0</v>
      </c>
    </row>
    <row r="850" spans="1:23" x14ac:dyDescent="0.25">
      <c r="A850" t="s">
        <v>4231</v>
      </c>
      <c r="B850" t="s">
        <v>858</v>
      </c>
      <c r="C850" t="s">
        <v>859</v>
      </c>
      <c r="D850" t="s">
        <v>4479</v>
      </c>
      <c r="E850" t="s">
        <v>4201</v>
      </c>
      <c r="F850" t="s">
        <v>791</v>
      </c>
      <c r="G850" t="s">
        <v>1406</v>
      </c>
      <c r="H850" s="6">
        <v>46022</v>
      </c>
      <c r="I850" t="s">
        <v>29</v>
      </c>
      <c r="J850">
        <v>24</v>
      </c>
      <c r="K850">
        <v>0</v>
      </c>
      <c r="L850">
        <v>0</v>
      </c>
      <c r="M850">
        <v>0</v>
      </c>
      <c r="N850" t="s">
        <v>3915</v>
      </c>
      <c r="O850" t="s">
        <v>3915</v>
      </c>
      <c r="P850" t="s">
        <v>3915</v>
      </c>
      <c r="Q850">
        <v>0</v>
      </c>
      <c r="R850" t="s">
        <v>30</v>
      </c>
      <c r="S850">
        <v>0</v>
      </c>
      <c r="T850">
        <v>0</v>
      </c>
      <c r="U850" t="s">
        <v>3915</v>
      </c>
      <c r="V850" t="s">
        <v>31</v>
      </c>
      <c r="W850">
        <v>0</v>
      </c>
    </row>
    <row r="851" spans="1:23" x14ac:dyDescent="0.25">
      <c r="A851" t="s">
        <v>4232</v>
      </c>
      <c r="B851" t="s">
        <v>860</v>
      </c>
      <c r="C851" t="s">
        <v>861</v>
      </c>
      <c r="D851" t="s">
        <v>4479</v>
      </c>
      <c r="E851" t="s">
        <v>4201</v>
      </c>
      <c r="F851" t="s">
        <v>791</v>
      </c>
      <c r="G851" t="s">
        <v>1406</v>
      </c>
      <c r="H851" s="6">
        <v>46022</v>
      </c>
      <c r="I851" t="s">
        <v>29</v>
      </c>
      <c r="J851">
        <v>7</v>
      </c>
      <c r="K851">
        <v>0</v>
      </c>
      <c r="L851">
        <v>0</v>
      </c>
      <c r="M851">
        <v>0</v>
      </c>
      <c r="N851" t="s">
        <v>3915</v>
      </c>
      <c r="O851" t="s">
        <v>3915</v>
      </c>
      <c r="P851" t="s">
        <v>3915</v>
      </c>
      <c r="Q851">
        <v>0</v>
      </c>
      <c r="R851" t="s">
        <v>30</v>
      </c>
      <c r="S851">
        <v>0</v>
      </c>
      <c r="T851">
        <v>0</v>
      </c>
      <c r="U851" t="s">
        <v>3915</v>
      </c>
      <c r="V851" t="s">
        <v>31</v>
      </c>
      <c r="W851">
        <v>0</v>
      </c>
    </row>
    <row r="852" spans="1:23" x14ac:dyDescent="0.25">
      <c r="A852" t="s">
        <v>5477</v>
      </c>
      <c r="B852" t="s">
        <v>2796</v>
      </c>
      <c r="C852" t="s">
        <v>2795</v>
      </c>
      <c r="D852" t="s">
        <v>4479</v>
      </c>
      <c r="E852" t="s">
        <v>4201</v>
      </c>
      <c r="F852" t="s">
        <v>791</v>
      </c>
      <c r="G852" t="s">
        <v>1406</v>
      </c>
      <c r="H852" s="6">
        <v>46022</v>
      </c>
      <c r="I852" t="s">
        <v>29</v>
      </c>
      <c r="J852">
        <v>21</v>
      </c>
      <c r="K852">
        <v>0</v>
      </c>
      <c r="L852">
        <v>0</v>
      </c>
      <c r="M852">
        <v>0</v>
      </c>
      <c r="N852" t="s">
        <v>3915</v>
      </c>
      <c r="O852" t="s">
        <v>3915</v>
      </c>
      <c r="P852" t="s">
        <v>3915</v>
      </c>
      <c r="Q852">
        <v>0</v>
      </c>
      <c r="R852" t="s">
        <v>30</v>
      </c>
      <c r="S852">
        <v>0</v>
      </c>
      <c r="T852">
        <v>0</v>
      </c>
      <c r="U852" t="s">
        <v>3915</v>
      </c>
      <c r="V852" t="s">
        <v>31</v>
      </c>
      <c r="W852">
        <v>0</v>
      </c>
    </row>
    <row r="853" spans="1:23" x14ac:dyDescent="0.25">
      <c r="A853" t="s">
        <v>4747</v>
      </c>
      <c r="B853" t="s">
        <v>2800</v>
      </c>
      <c r="C853" t="s">
        <v>2799</v>
      </c>
      <c r="D853" t="s">
        <v>4479</v>
      </c>
      <c r="E853" t="s">
        <v>4201</v>
      </c>
      <c r="F853" t="s">
        <v>791</v>
      </c>
      <c r="G853" t="s">
        <v>1406</v>
      </c>
      <c r="H853" s="6">
        <v>46022</v>
      </c>
      <c r="I853" t="s">
        <v>29</v>
      </c>
      <c r="J853">
        <v>20</v>
      </c>
      <c r="K853">
        <v>0</v>
      </c>
      <c r="L853">
        <v>0</v>
      </c>
      <c r="M853">
        <v>0</v>
      </c>
      <c r="N853" t="s">
        <v>3915</v>
      </c>
      <c r="O853" t="s">
        <v>3915</v>
      </c>
      <c r="P853" t="s">
        <v>3915</v>
      </c>
      <c r="Q853">
        <v>0</v>
      </c>
      <c r="R853" t="s">
        <v>30</v>
      </c>
      <c r="S853">
        <v>0</v>
      </c>
      <c r="T853">
        <v>0</v>
      </c>
      <c r="U853" t="s">
        <v>3915</v>
      </c>
      <c r="V853" t="s">
        <v>31</v>
      </c>
      <c r="W853">
        <v>0</v>
      </c>
    </row>
    <row r="854" spans="1:23" x14ac:dyDescent="0.25">
      <c r="A854" t="s">
        <v>4832</v>
      </c>
      <c r="B854" t="s">
        <v>2802</v>
      </c>
      <c r="C854" t="s">
        <v>2801</v>
      </c>
      <c r="D854" t="s">
        <v>4479</v>
      </c>
      <c r="E854" t="s">
        <v>4201</v>
      </c>
      <c r="F854" t="s">
        <v>791</v>
      </c>
      <c r="G854" t="s">
        <v>1406</v>
      </c>
      <c r="H854" s="6">
        <v>46022</v>
      </c>
      <c r="I854" t="s">
        <v>29</v>
      </c>
      <c r="J854">
        <v>8</v>
      </c>
      <c r="K854">
        <v>0</v>
      </c>
      <c r="L854">
        <v>0</v>
      </c>
      <c r="M854">
        <v>0</v>
      </c>
      <c r="N854" t="s">
        <v>3915</v>
      </c>
      <c r="O854" t="s">
        <v>3915</v>
      </c>
      <c r="P854" t="s">
        <v>3915</v>
      </c>
      <c r="Q854">
        <v>0</v>
      </c>
      <c r="R854" t="s">
        <v>30</v>
      </c>
      <c r="S854">
        <v>0</v>
      </c>
      <c r="T854">
        <v>0</v>
      </c>
      <c r="U854" t="s">
        <v>3915</v>
      </c>
      <c r="V854" t="s">
        <v>31</v>
      </c>
      <c r="W854">
        <v>0</v>
      </c>
    </row>
    <row r="855" spans="1:23" x14ac:dyDescent="0.25">
      <c r="A855" t="s">
        <v>4542</v>
      </c>
      <c r="B855" t="s">
        <v>2804</v>
      </c>
      <c r="C855" t="s">
        <v>2803</v>
      </c>
      <c r="D855" t="s">
        <v>4479</v>
      </c>
      <c r="E855" t="s">
        <v>4201</v>
      </c>
      <c r="F855" t="s">
        <v>791</v>
      </c>
      <c r="G855" t="s">
        <v>1406</v>
      </c>
      <c r="H855" s="6">
        <v>46022</v>
      </c>
      <c r="I855" t="s">
        <v>29</v>
      </c>
      <c r="J855">
        <v>19</v>
      </c>
      <c r="K855">
        <v>0</v>
      </c>
      <c r="L855">
        <v>0</v>
      </c>
      <c r="M855">
        <v>0</v>
      </c>
      <c r="N855" t="s">
        <v>3915</v>
      </c>
      <c r="O855" t="s">
        <v>3915</v>
      </c>
      <c r="P855" t="s">
        <v>3915</v>
      </c>
      <c r="Q855">
        <v>0</v>
      </c>
      <c r="R855" t="s">
        <v>30</v>
      </c>
      <c r="S855">
        <v>0</v>
      </c>
      <c r="T855">
        <v>0</v>
      </c>
      <c r="U855" t="s">
        <v>3915</v>
      </c>
      <c r="V855" t="s">
        <v>31</v>
      </c>
      <c r="W855">
        <v>0</v>
      </c>
    </row>
    <row r="856" spans="1:23" x14ac:dyDescent="0.25">
      <c r="A856" t="s">
        <v>4884</v>
      </c>
      <c r="B856" t="s">
        <v>2806</v>
      </c>
      <c r="C856" t="s">
        <v>2805</v>
      </c>
      <c r="D856" t="s">
        <v>4479</v>
      </c>
      <c r="E856" t="s">
        <v>4201</v>
      </c>
      <c r="F856" t="s">
        <v>791</v>
      </c>
      <c r="G856" t="s">
        <v>1406</v>
      </c>
      <c r="H856" s="6">
        <v>46022</v>
      </c>
      <c r="I856" t="s">
        <v>29</v>
      </c>
      <c r="J856">
        <v>15</v>
      </c>
      <c r="K856">
        <v>0</v>
      </c>
      <c r="L856">
        <v>0</v>
      </c>
      <c r="M856">
        <v>0</v>
      </c>
      <c r="N856" t="s">
        <v>3915</v>
      </c>
      <c r="O856" t="s">
        <v>3915</v>
      </c>
      <c r="P856" t="s">
        <v>3915</v>
      </c>
      <c r="Q856">
        <v>0</v>
      </c>
      <c r="R856" t="s">
        <v>30</v>
      </c>
      <c r="S856">
        <v>0</v>
      </c>
      <c r="T856">
        <v>0</v>
      </c>
      <c r="U856" t="s">
        <v>3915</v>
      </c>
      <c r="V856" t="s">
        <v>31</v>
      </c>
      <c r="W856">
        <v>0</v>
      </c>
    </row>
    <row r="857" spans="1:23" x14ac:dyDescent="0.25">
      <c r="A857" t="s">
        <v>4234</v>
      </c>
      <c r="B857" t="s">
        <v>864</v>
      </c>
      <c r="C857" t="s">
        <v>865</v>
      </c>
      <c r="D857" t="s">
        <v>4479</v>
      </c>
      <c r="E857" t="s">
        <v>4201</v>
      </c>
      <c r="F857" t="s">
        <v>791</v>
      </c>
      <c r="G857" t="s">
        <v>1406</v>
      </c>
      <c r="H857" s="6">
        <v>46022</v>
      </c>
      <c r="I857" t="s">
        <v>29</v>
      </c>
      <c r="J857">
        <v>25</v>
      </c>
      <c r="K857">
        <v>0</v>
      </c>
      <c r="L857">
        <v>0</v>
      </c>
      <c r="M857">
        <v>0</v>
      </c>
      <c r="N857" t="s">
        <v>3915</v>
      </c>
      <c r="O857" t="s">
        <v>3915</v>
      </c>
      <c r="P857" t="s">
        <v>3915</v>
      </c>
      <c r="Q857">
        <v>0</v>
      </c>
      <c r="R857" t="s">
        <v>30</v>
      </c>
      <c r="S857">
        <v>0</v>
      </c>
      <c r="T857">
        <v>0</v>
      </c>
      <c r="U857" t="s">
        <v>3915</v>
      </c>
      <c r="V857" t="s">
        <v>31</v>
      </c>
      <c r="W857">
        <v>0</v>
      </c>
    </row>
    <row r="858" spans="1:23" x14ac:dyDescent="0.25">
      <c r="A858" t="s">
        <v>4235</v>
      </c>
      <c r="B858" t="s">
        <v>866</v>
      </c>
      <c r="C858" t="s">
        <v>867</v>
      </c>
      <c r="D858" t="s">
        <v>4479</v>
      </c>
      <c r="E858" t="s">
        <v>4201</v>
      </c>
      <c r="F858" t="s">
        <v>791</v>
      </c>
      <c r="G858" t="s">
        <v>1406</v>
      </c>
      <c r="H858" s="6">
        <v>46022</v>
      </c>
      <c r="I858" t="s">
        <v>29</v>
      </c>
      <c r="J858">
        <v>12</v>
      </c>
      <c r="K858">
        <v>0</v>
      </c>
      <c r="L858">
        <v>0</v>
      </c>
      <c r="M858">
        <v>0</v>
      </c>
      <c r="N858" t="s">
        <v>3915</v>
      </c>
      <c r="O858" t="s">
        <v>3915</v>
      </c>
      <c r="P858" t="s">
        <v>3915</v>
      </c>
      <c r="Q858">
        <v>0</v>
      </c>
      <c r="R858" t="s">
        <v>30</v>
      </c>
      <c r="S858">
        <v>0</v>
      </c>
      <c r="T858">
        <v>0</v>
      </c>
      <c r="U858" t="s">
        <v>3915</v>
      </c>
      <c r="V858" t="s">
        <v>31</v>
      </c>
      <c r="W858">
        <v>0</v>
      </c>
    </row>
    <row r="859" spans="1:23" x14ac:dyDescent="0.25">
      <c r="A859" t="s">
        <v>5478</v>
      </c>
      <c r="B859" t="s">
        <v>2808</v>
      </c>
      <c r="C859" t="s">
        <v>2807</v>
      </c>
      <c r="D859" t="s">
        <v>4479</v>
      </c>
      <c r="E859" t="s">
        <v>4201</v>
      </c>
      <c r="F859" t="s">
        <v>791</v>
      </c>
      <c r="G859" t="s">
        <v>1406</v>
      </c>
      <c r="H859" s="6">
        <v>46022</v>
      </c>
      <c r="I859" t="s">
        <v>29</v>
      </c>
      <c r="J859">
        <v>16</v>
      </c>
      <c r="K859">
        <v>0</v>
      </c>
      <c r="L859">
        <v>0</v>
      </c>
      <c r="M859">
        <v>0</v>
      </c>
      <c r="N859" t="s">
        <v>3915</v>
      </c>
      <c r="O859" t="s">
        <v>3915</v>
      </c>
      <c r="P859" t="s">
        <v>3915</v>
      </c>
      <c r="Q859">
        <v>0</v>
      </c>
      <c r="R859" t="s">
        <v>30</v>
      </c>
      <c r="S859">
        <v>0</v>
      </c>
      <c r="T859">
        <v>0</v>
      </c>
      <c r="U859" t="s">
        <v>3915</v>
      </c>
      <c r="V859" t="s">
        <v>31</v>
      </c>
      <c r="W859">
        <v>0</v>
      </c>
    </row>
    <row r="860" spans="1:23" x14ac:dyDescent="0.25">
      <c r="A860" t="s">
        <v>4236</v>
      </c>
      <c r="B860" t="s">
        <v>868</v>
      </c>
      <c r="C860" t="s">
        <v>869</v>
      </c>
      <c r="D860" t="s">
        <v>4479</v>
      </c>
      <c r="E860" t="s">
        <v>4201</v>
      </c>
      <c r="F860" t="s">
        <v>791</v>
      </c>
      <c r="G860" t="s">
        <v>1406</v>
      </c>
      <c r="H860" s="6">
        <v>46022</v>
      </c>
      <c r="I860" t="s">
        <v>29</v>
      </c>
      <c r="J860">
        <v>18</v>
      </c>
      <c r="K860">
        <v>0</v>
      </c>
      <c r="L860">
        <v>0</v>
      </c>
      <c r="M860">
        <v>0</v>
      </c>
      <c r="N860" t="s">
        <v>3915</v>
      </c>
      <c r="O860" t="s">
        <v>3915</v>
      </c>
      <c r="P860" t="s">
        <v>3915</v>
      </c>
      <c r="Q860">
        <v>0</v>
      </c>
      <c r="R860" t="s">
        <v>30</v>
      </c>
      <c r="S860">
        <v>0</v>
      </c>
      <c r="T860">
        <v>0</v>
      </c>
      <c r="U860" t="s">
        <v>3915</v>
      </c>
      <c r="V860" t="s">
        <v>31</v>
      </c>
      <c r="W860">
        <v>0</v>
      </c>
    </row>
    <row r="861" spans="1:23" x14ac:dyDescent="0.25">
      <c r="A861" t="s">
        <v>4237</v>
      </c>
      <c r="B861" t="s">
        <v>872</v>
      </c>
      <c r="C861" t="s">
        <v>873</v>
      </c>
      <c r="D861" t="s">
        <v>4479</v>
      </c>
      <c r="E861" t="s">
        <v>4201</v>
      </c>
      <c r="F861" t="s">
        <v>791</v>
      </c>
      <c r="G861" t="s">
        <v>1406</v>
      </c>
      <c r="H861" s="6">
        <v>46022</v>
      </c>
      <c r="I861" t="s">
        <v>29</v>
      </c>
      <c r="J861">
        <v>12</v>
      </c>
      <c r="K861">
        <v>0</v>
      </c>
      <c r="L861">
        <v>0</v>
      </c>
      <c r="M861">
        <v>0</v>
      </c>
      <c r="N861" t="s">
        <v>3915</v>
      </c>
      <c r="O861" t="s">
        <v>3915</v>
      </c>
      <c r="P861" t="s">
        <v>3915</v>
      </c>
      <c r="Q861">
        <v>0</v>
      </c>
      <c r="R861" t="s">
        <v>30</v>
      </c>
      <c r="S861">
        <v>0</v>
      </c>
      <c r="T861">
        <v>0</v>
      </c>
      <c r="U861" t="s">
        <v>3915</v>
      </c>
      <c r="V861" t="s">
        <v>31</v>
      </c>
      <c r="W861">
        <v>0</v>
      </c>
    </row>
    <row r="862" spans="1:23" x14ac:dyDescent="0.25">
      <c r="A862" t="s">
        <v>4238</v>
      </c>
      <c r="B862" t="s">
        <v>874</v>
      </c>
      <c r="C862" t="s">
        <v>875</v>
      </c>
      <c r="D862" t="s">
        <v>4479</v>
      </c>
      <c r="E862" t="s">
        <v>4201</v>
      </c>
      <c r="F862" t="s">
        <v>791</v>
      </c>
      <c r="G862" t="s">
        <v>1406</v>
      </c>
      <c r="H862" s="6">
        <v>46022</v>
      </c>
      <c r="I862" t="s">
        <v>29</v>
      </c>
      <c r="J862">
        <v>30</v>
      </c>
      <c r="K862">
        <v>0</v>
      </c>
      <c r="L862">
        <v>0</v>
      </c>
      <c r="M862">
        <v>0</v>
      </c>
      <c r="N862" t="s">
        <v>3915</v>
      </c>
      <c r="O862" t="s">
        <v>3915</v>
      </c>
      <c r="P862" t="s">
        <v>3915</v>
      </c>
      <c r="Q862">
        <v>0</v>
      </c>
      <c r="R862" t="s">
        <v>30</v>
      </c>
      <c r="S862">
        <v>0</v>
      </c>
      <c r="T862">
        <v>0</v>
      </c>
      <c r="U862" t="s">
        <v>3915</v>
      </c>
      <c r="V862" t="s">
        <v>31</v>
      </c>
      <c r="W862">
        <v>0</v>
      </c>
    </row>
    <row r="863" spans="1:23" x14ac:dyDescent="0.25">
      <c r="A863" t="s">
        <v>4239</v>
      </c>
      <c r="B863" t="s">
        <v>876</v>
      </c>
      <c r="C863" t="s">
        <v>877</v>
      </c>
      <c r="D863" t="s">
        <v>4479</v>
      </c>
      <c r="E863" t="s">
        <v>4201</v>
      </c>
      <c r="F863" t="s">
        <v>791</v>
      </c>
      <c r="G863" t="s">
        <v>1406</v>
      </c>
      <c r="H863" s="6">
        <v>46022</v>
      </c>
      <c r="I863" t="s">
        <v>29</v>
      </c>
      <c r="J863">
        <v>28</v>
      </c>
      <c r="K863">
        <v>0</v>
      </c>
      <c r="L863">
        <v>0</v>
      </c>
      <c r="M863">
        <v>0</v>
      </c>
      <c r="N863" t="s">
        <v>3915</v>
      </c>
      <c r="O863" t="s">
        <v>3915</v>
      </c>
      <c r="P863" t="s">
        <v>3915</v>
      </c>
      <c r="Q863">
        <v>0</v>
      </c>
      <c r="R863" t="s">
        <v>30</v>
      </c>
      <c r="S863">
        <v>0</v>
      </c>
      <c r="T863">
        <v>0</v>
      </c>
      <c r="U863" t="s">
        <v>3915</v>
      </c>
      <c r="V863" t="s">
        <v>31</v>
      </c>
      <c r="W863">
        <v>0</v>
      </c>
    </row>
    <row r="864" spans="1:23" x14ac:dyDescent="0.25">
      <c r="A864" t="s">
        <v>4240</v>
      </c>
      <c r="B864" t="s">
        <v>878</v>
      </c>
      <c r="C864" t="s">
        <v>879</v>
      </c>
      <c r="D864" t="s">
        <v>4479</v>
      </c>
      <c r="E864" t="s">
        <v>4201</v>
      </c>
      <c r="F864" t="s">
        <v>791</v>
      </c>
      <c r="G864" t="s">
        <v>1406</v>
      </c>
      <c r="H864" s="6">
        <v>46022</v>
      </c>
      <c r="I864" t="s">
        <v>29</v>
      </c>
      <c r="J864">
        <v>15</v>
      </c>
      <c r="K864">
        <v>0</v>
      </c>
      <c r="L864">
        <v>0</v>
      </c>
      <c r="M864">
        <v>0</v>
      </c>
      <c r="N864" t="s">
        <v>3915</v>
      </c>
      <c r="O864" t="s">
        <v>3915</v>
      </c>
      <c r="P864" t="s">
        <v>3915</v>
      </c>
      <c r="Q864">
        <v>0</v>
      </c>
      <c r="R864" t="s">
        <v>30</v>
      </c>
      <c r="S864">
        <v>0</v>
      </c>
      <c r="T864">
        <v>0</v>
      </c>
      <c r="U864" t="s">
        <v>3915</v>
      </c>
      <c r="V864" t="s">
        <v>31</v>
      </c>
      <c r="W864">
        <v>0</v>
      </c>
    </row>
    <row r="865" spans="1:23" x14ac:dyDescent="0.25">
      <c r="A865" t="s">
        <v>4545</v>
      </c>
      <c r="B865" t="s">
        <v>2810</v>
      </c>
      <c r="C865" t="s">
        <v>2809</v>
      </c>
      <c r="D865" t="s">
        <v>4479</v>
      </c>
      <c r="E865" t="s">
        <v>4201</v>
      </c>
      <c r="F865" t="s">
        <v>791</v>
      </c>
      <c r="G865" t="s">
        <v>1406</v>
      </c>
      <c r="H865" s="6">
        <v>46022</v>
      </c>
      <c r="I865" t="s">
        <v>29</v>
      </c>
      <c r="J865">
        <v>19</v>
      </c>
      <c r="K865">
        <v>0</v>
      </c>
      <c r="L865">
        <v>0</v>
      </c>
      <c r="M865">
        <v>0</v>
      </c>
      <c r="N865" t="s">
        <v>3915</v>
      </c>
      <c r="O865" t="s">
        <v>3915</v>
      </c>
      <c r="P865" t="s">
        <v>3915</v>
      </c>
      <c r="Q865">
        <v>0</v>
      </c>
      <c r="R865" t="s">
        <v>30</v>
      </c>
      <c r="S865">
        <v>0</v>
      </c>
      <c r="T865">
        <v>0</v>
      </c>
      <c r="U865" t="s">
        <v>3915</v>
      </c>
      <c r="V865" t="s">
        <v>31</v>
      </c>
      <c r="W865">
        <v>0</v>
      </c>
    </row>
    <row r="866" spans="1:23" x14ac:dyDescent="0.25">
      <c r="A866" t="s">
        <v>4241</v>
      </c>
      <c r="B866" t="s">
        <v>880</v>
      </c>
      <c r="C866" t="s">
        <v>881</v>
      </c>
      <c r="D866" t="s">
        <v>4479</v>
      </c>
      <c r="E866" t="s">
        <v>4201</v>
      </c>
      <c r="F866" t="s">
        <v>791</v>
      </c>
      <c r="G866" t="s">
        <v>1406</v>
      </c>
      <c r="H866" s="6">
        <v>46022</v>
      </c>
      <c r="I866" t="s">
        <v>29</v>
      </c>
      <c r="J866">
        <v>13</v>
      </c>
      <c r="K866">
        <v>0</v>
      </c>
      <c r="L866">
        <v>0</v>
      </c>
      <c r="M866">
        <v>0</v>
      </c>
      <c r="N866" t="s">
        <v>3915</v>
      </c>
      <c r="O866" t="s">
        <v>3915</v>
      </c>
      <c r="P866" t="s">
        <v>3915</v>
      </c>
      <c r="Q866">
        <v>0</v>
      </c>
      <c r="R866" t="s">
        <v>30</v>
      </c>
      <c r="S866">
        <v>0</v>
      </c>
      <c r="T866">
        <v>0</v>
      </c>
      <c r="U866" t="s">
        <v>3915</v>
      </c>
      <c r="V866" t="s">
        <v>31</v>
      </c>
      <c r="W866">
        <v>0</v>
      </c>
    </row>
    <row r="867" spans="1:23" x14ac:dyDescent="0.25">
      <c r="A867" t="s">
        <v>4242</v>
      </c>
      <c r="B867" t="s">
        <v>882</v>
      </c>
      <c r="C867" t="s">
        <v>883</v>
      </c>
      <c r="D867" t="s">
        <v>4479</v>
      </c>
      <c r="E867" t="s">
        <v>4201</v>
      </c>
      <c r="F867" t="s">
        <v>791</v>
      </c>
      <c r="G867" t="s">
        <v>1406</v>
      </c>
      <c r="H867" s="6">
        <v>46022</v>
      </c>
      <c r="I867" t="s">
        <v>29</v>
      </c>
      <c r="J867">
        <v>19</v>
      </c>
      <c r="K867">
        <v>0</v>
      </c>
      <c r="L867">
        <v>0</v>
      </c>
      <c r="M867">
        <v>0</v>
      </c>
      <c r="N867" t="s">
        <v>3915</v>
      </c>
      <c r="O867" t="s">
        <v>3915</v>
      </c>
      <c r="P867" t="s">
        <v>3915</v>
      </c>
      <c r="Q867">
        <v>0</v>
      </c>
      <c r="R867" t="s">
        <v>30</v>
      </c>
      <c r="S867">
        <v>0</v>
      </c>
      <c r="T867">
        <v>0</v>
      </c>
      <c r="U867" t="s">
        <v>3915</v>
      </c>
      <c r="V867" t="s">
        <v>31</v>
      </c>
      <c r="W867">
        <v>0</v>
      </c>
    </row>
    <row r="868" spans="1:23" x14ac:dyDescent="0.25">
      <c r="A868" t="s">
        <v>4243</v>
      </c>
      <c r="B868" t="s">
        <v>886</v>
      </c>
      <c r="C868" t="s">
        <v>887</v>
      </c>
      <c r="D868" t="s">
        <v>4479</v>
      </c>
      <c r="E868" t="s">
        <v>4201</v>
      </c>
      <c r="F868" t="s">
        <v>791</v>
      </c>
      <c r="G868" t="s">
        <v>1406</v>
      </c>
      <c r="H868" s="6">
        <v>46022</v>
      </c>
      <c r="I868" t="s">
        <v>29</v>
      </c>
      <c r="J868">
        <v>44</v>
      </c>
      <c r="K868">
        <v>0</v>
      </c>
      <c r="L868">
        <v>0</v>
      </c>
      <c r="M868">
        <v>0</v>
      </c>
      <c r="N868" t="s">
        <v>3915</v>
      </c>
      <c r="O868" t="s">
        <v>3915</v>
      </c>
      <c r="P868" t="s">
        <v>3915</v>
      </c>
      <c r="Q868">
        <v>0</v>
      </c>
      <c r="R868" t="s">
        <v>30</v>
      </c>
      <c r="S868">
        <v>0</v>
      </c>
      <c r="T868">
        <v>0</v>
      </c>
      <c r="U868" t="s">
        <v>3915</v>
      </c>
      <c r="V868" t="s">
        <v>31</v>
      </c>
      <c r="W868">
        <v>0</v>
      </c>
    </row>
    <row r="869" spans="1:23" x14ac:dyDescent="0.25">
      <c r="A869" t="s">
        <v>5479</v>
      </c>
      <c r="B869" t="s">
        <v>1546</v>
      </c>
      <c r="C869" t="s">
        <v>1545</v>
      </c>
      <c r="D869" t="s">
        <v>4479</v>
      </c>
      <c r="E869" t="s">
        <v>4201</v>
      </c>
      <c r="F869" t="s">
        <v>791</v>
      </c>
      <c r="G869" t="s">
        <v>1406</v>
      </c>
      <c r="H869" s="6">
        <v>46022</v>
      </c>
      <c r="I869" t="s">
        <v>29</v>
      </c>
      <c r="J869">
        <v>5</v>
      </c>
      <c r="K869">
        <v>0</v>
      </c>
      <c r="L869">
        <v>0</v>
      </c>
      <c r="M869">
        <v>0</v>
      </c>
      <c r="N869" t="s">
        <v>3915</v>
      </c>
      <c r="O869" t="s">
        <v>3915</v>
      </c>
      <c r="P869" t="s">
        <v>3915</v>
      </c>
      <c r="Q869">
        <v>0</v>
      </c>
      <c r="R869" t="s">
        <v>30</v>
      </c>
      <c r="S869">
        <v>0</v>
      </c>
      <c r="T869">
        <v>0</v>
      </c>
      <c r="U869" t="s">
        <v>3915</v>
      </c>
      <c r="V869" t="s">
        <v>31</v>
      </c>
      <c r="W869">
        <v>0</v>
      </c>
    </row>
    <row r="870" spans="1:23" x14ac:dyDescent="0.25">
      <c r="A870" t="s">
        <v>4244</v>
      </c>
      <c r="B870" t="s">
        <v>890</v>
      </c>
      <c r="C870" t="s">
        <v>891</v>
      </c>
      <c r="D870" t="s">
        <v>4479</v>
      </c>
      <c r="E870" t="s">
        <v>4201</v>
      </c>
      <c r="F870" t="s">
        <v>791</v>
      </c>
      <c r="G870" t="s">
        <v>1406</v>
      </c>
      <c r="H870" s="6">
        <v>46022</v>
      </c>
      <c r="I870" t="s">
        <v>29</v>
      </c>
      <c r="J870">
        <v>36</v>
      </c>
      <c r="K870">
        <v>0</v>
      </c>
      <c r="L870">
        <v>0</v>
      </c>
      <c r="M870">
        <v>0</v>
      </c>
      <c r="N870" t="s">
        <v>3915</v>
      </c>
      <c r="O870" t="s">
        <v>3915</v>
      </c>
      <c r="P870" t="s">
        <v>3915</v>
      </c>
      <c r="Q870">
        <v>0</v>
      </c>
      <c r="R870" t="s">
        <v>30</v>
      </c>
      <c r="S870">
        <v>0</v>
      </c>
      <c r="T870">
        <v>0</v>
      </c>
      <c r="U870" t="s">
        <v>3915</v>
      </c>
      <c r="V870" t="s">
        <v>31</v>
      </c>
      <c r="W870">
        <v>0</v>
      </c>
    </row>
    <row r="871" spans="1:23" x14ac:dyDescent="0.25">
      <c r="A871" t="s">
        <v>4245</v>
      </c>
      <c r="B871" t="s">
        <v>892</v>
      </c>
      <c r="C871" t="s">
        <v>893</v>
      </c>
      <c r="D871" t="s">
        <v>4479</v>
      </c>
      <c r="E871" t="s">
        <v>4201</v>
      </c>
      <c r="F871" t="s">
        <v>791</v>
      </c>
      <c r="G871" t="s">
        <v>1406</v>
      </c>
      <c r="H871" s="6">
        <v>46022</v>
      </c>
      <c r="I871" t="s">
        <v>29</v>
      </c>
      <c r="J871">
        <v>0</v>
      </c>
      <c r="K871">
        <v>0</v>
      </c>
      <c r="L871">
        <v>0</v>
      </c>
      <c r="M871">
        <v>0</v>
      </c>
      <c r="N871" t="s">
        <v>3915</v>
      </c>
      <c r="O871" t="s">
        <v>3915</v>
      </c>
      <c r="P871" t="s">
        <v>3915</v>
      </c>
      <c r="Q871">
        <v>0</v>
      </c>
      <c r="R871" t="s">
        <v>30</v>
      </c>
      <c r="S871">
        <v>0</v>
      </c>
      <c r="T871">
        <v>0</v>
      </c>
      <c r="U871" t="s">
        <v>3915</v>
      </c>
      <c r="V871" t="s">
        <v>31</v>
      </c>
      <c r="W871">
        <v>0</v>
      </c>
    </row>
    <row r="872" spans="1:23" x14ac:dyDescent="0.25">
      <c r="A872" t="s">
        <v>5480</v>
      </c>
      <c r="B872" t="s">
        <v>1548</v>
      </c>
      <c r="C872" t="s">
        <v>1547</v>
      </c>
      <c r="D872" t="s">
        <v>4479</v>
      </c>
      <c r="E872" t="s">
        <v>4201</v>
      </c>
      <c r="F872" t="s">
        <v>791</v>
      </c>
      <c r="G872" t="s">
        <v>1406</v>
      </c>
      <c r="H872" s="6">
        <v>46022</v>
      </c>
      <c r="I872" t="s">
        <v>29</v>
      </c>
      <c r="J872">
        <v>20</v>
      </c>
      <c r="K872">
        <v>0</v>
      </c>
      <c r="L872">
        <v>0</v>
      </c>
      <c r="M872">
        <v>0</v>
      </c>
      <c r="N872" t="s">
        <v>3915</v>
      </c>
      <c r="O872" t="s">
        <v>3915</v>
      </c>
      <c r="P872" t="s">
        <v>3915</v>
      </c>
      <c r="Q872">
        <v>0</v>
      </c>
      <c r="R872" t="s">
        <v>30</v>
      </c>
      <c r="S872">
        <v>0</v>
      </c>
      <c r="T872">
        <v>0</v>
      </c>
      <c r="U872" t="s">
        <v>3915</v>
      </c>
      <c r="V872" t="s">
        <v>31</v>
      </c>
      <c r="W872">
        <v>0</v>
      </c>
    </row>
    <row r="873" spans="1:23" x14ac:dyDescent="0.25">
      <c r="A873" t="s">
        <v>4246</v>
      </c>
      <c r="B873" t="s">
        <v>894</v>
      </c>
      <c r="C873" t="s">
        <v>895</v>
      </c>
      <c r="D873" t="s">
        <v>4479</v>
      </c>
      <c r="E873" t="s">
        <v>4201</v>
      </c>
      <c r="F873" t="s">
        <v>791</v>
      </c>
      <c r="G873" t="s">
        <v>1406</v>
      </c>
      <c r="H873" s="6">
        <v>46022</v>
      </c>
      <c r="I873" t="s">
        <v>29</v>
      </c>
      <c r="J873">
        <v>0</v>
      </c>
      <c r="K873">
        <v>0</v>
      </c>
      <c r="L873">
        <v>0</v>
      </c>
      <c r="M873">
        <v>0</v>
      </c>
      <c r="N873" t="s">
        <v>3915</v>
      </c>
      <c r="O873" t="s">
        <v>3915</v>
      </c>
      <c r="P873" t="s">
        <v>3915</v>
      </c>
      <c r="Q873">
        <v>0</v>
      </c>
      <c r="R873" t="s">
        <v>30</v>
      </c>
      <c r="S873">
        <v>0</v>
      </c>
      <c r="T873">
        <v>0</v>
      </c>
      <c r="U873" t="s">
        <v>3915</v>
      </c>
      <c r="V873" t="s">
        <v>31</v>
      </c>
      <c r="W873">
        <v>0</v>
      </c>
    </row>
    <row r="874" spans="1:23" x14ac:dyDescent="0.25">
      <c r="A874" t="s">
        <v>4622</v>
      </c>
      <c r="B874" t="s">
        <v>2816</v>
      </c>
      <c r="C874" t="s">
        <v>2815</v>
      </c>
      <c r="D874" t="s">
        <v>4479</v>
      </c>
      <c r="E874" t="s">
        <v>4201</v>
      </c>
      <c r="F874" t="s">
        <v>791</v>
      </c>
      <c r="G874" t="s">
        <v>1406</v>
      </c>
      <c r="H874" s="6">
        <v>46022</v>
      </c>
      <c r="I874" t="s">
        <v>29</v>
      </c>
      <c r="J874">
        <v>14</v>
      </c>
      <c r="K874">
        <v>0</v>
      </c>
      <c r="L874">
        <v>0</v>
      </c>
      <c r="M874">
        <v>0</v>
      </c>
      <c r="N874" t="s">
        <v>3915</v>
      </c>
      <c r="O874" t="s">
        <v>3915</v>
      </c>
      <c r="P874" t="s">
        <v>3915</v>
      </c>
      <c r="Q874">
        <v>0</v>
      </c>
      <c r="R874" t="s">
        <v>30</v>
      </c>
      <c r="S874">
        <v>0</v>
      </c>
      <c r="T874">
        <v>0</v>
      </c>
      <c r="U874" t="s">
        <v>3915</v>
      </c>
      <c r="V874" t="s">
        <v>31</v>
      </c>
      <c r="W874">
        <v>0</v>
      </c>
    </row>
    <row r="875" spans="1:23" x14ac:dyDescent="0.25">
      <c r="A875" t="s">
        <v>5023</v>
      </c>
      <c r="B875" t="s">
        <v>2818</v>
      </c>
      <c r="C875" t="s">
        <v>2817</v>
      </c>
      <c r="D875" t="s">
        <v>4479</v>
      </c>
      <c r="E875" t="s">
        <v>4201</v>
      </c>
      <c r="F875" t="s">
        <v>791</v>
      </c>
      <c r="G875" t="s">
        <v>1406</v>
      </c>
      <c r="H875" s="6">
        <v>46022</v>
      </c>
      <c r="I875" t="s">
        <v>29</v>
      </c>
      <c r="J875">
        <v>6</v>
      </c>
      <c r="K875">
        <v>0</v>
      </c>
      <c r="L875">
        <v>0</v>
      </c>
      <c r="M875">
        <v>0</v>
      </c>
      <c r="N875" t="s">
        <v>3915</v>
      </c>
      <c r="O875" t="s">
        <v>3915</v>
      </c>
      <c r="P875" t="s">
        <v>3915</v>
      </c>
      <c r="Q875">
        <v>0</v>
      </c>
      <c r="R875" t="s">
        <v>30</v>
      </c>
      <c r="S875">
        <v>0</v>
      </c>
      <c r="T875">
        <v>0</v>
      </c>
      <c r="U875" t="s">
        <v>3915</v>
      </c>
      <c r="V875" t="s">
        <v>31</v>
      </c>
      <c r="W875">
        <v>0</v>
      </c>
    </row>
    <row r="876" spans="1:23" x14ac:dyDescent="0.25">
      <c r="A876" t="s">
        <v>4517</v>
      </c>
      <c r="B876" t="s">
        <v>2820</v>
      </c>
      <c r="C876" t="s">
        <v>2819</v>
      </c>
      <c r="D876" t="s">
        <v>4479</v>
      </c>
      <c r="E876" t="s">
        <v>4201</v>
      </c>
      <c r="F876" t="s">
        <v>791</v>
      </c>
      <c r="G876" t="s">
        <v>1406</v>
      </c>
      <c r="H876" s="6">
        <v>46022</v>
      </c>
      <c r="I876" t="s">
        <v>29</v>
      </c>
      <c r="J876">
        <v>4</v>
      </c>
      <c r="K876">
        <v>0</v>
      </c>
      <c r="L876">
        <v>0</v>
      </c>
      <c r="M876">
        <v>0</v>
      </c>
      <c r="N876" t="s">
        <v>3915</v>
      </c>
      <c r="O876" t="s">
        <v>3915</v>
      </c>
      <c r="P876" t="s">
        <v>3915</v>
      </c>
      <c r="Q876">
        <v>0</v>
      </c>
      <c r="R876" t="s">
        <v>30</v>
      </c>
      <c r="S876">
        <v>0</v>
      </c>
      <c r="T876">
        <v>0</v>
      </c>
      <c r="U876" t="s">
        <v>3915</v>
      </c>
      <c r="V876" t="s">
        <v>31</v>
      </c>
      <c r="W876">
        <v>0</v>
      </c>
    </row>
    <row r="877" spans="1:23" x14ac:dyDescent="0.25">
      <c r="A877" t="s">
        <v>5481</v>
      </c>
      <c r="B877" t="s">
        <v>2822</v>
      </c>
      <c r="C877" t="s">
        <v>2821</v>
      </c>
      <c r="D877" t="s">
        <v>4479</v>
      </c>
      <c r="E877" t="s">
        <v>4201</v>
      </c>
      <c r="F877" t="s">
        <v>791</v>
      </c>
      <c r="G877" t="s">
        <v>1406</v>
      </c>
      <c r="H877" s="6">
        <v>46022</v>
      </c>
      <c r="I877" t="s">
        <v>29</v>
      </c>
      <c r="J877">
        <v>7</v>
      </c>
      <c r="K877">
        <v>0</v>
      </c>
      <c r="L877">
        <v>0</v>
      </c>
      <c r="M877">
        <v>0</v>
      </c>
      <c r="N877" t="s">
        <v>3915</v>
      </c>
      <c r="O877" t="s">
        <v>3915</v>
      </c>
      <c r="P877" t="s">
        <v>3915</v>
      </c>
      <c r="Q877">
        <v>0</v>
      </c>
      <c r="R877" t="s">
        <v>30</v>
      </c>
      <c r="S877">
        <v>0</v>
      </c>
      <c r="T877">
        <v>0</v>
      </c>
      <c r="U877" t="s">
        <v>3915</v>
      </c>
      <c r="V877" t="s">
        <v>31</v>
      </c>
      <c r="W877">
        <v>0</v>
      </c>
    </row>
    <row r="878" spans="1:23" x14ac:dyDescent="0.25">
      <c r="A878" t="s">
        <v>4247</v>
      </c>
      <c r="B878" t="s">
        <v>898</v>
      </c>
      <c r="C878" t="s">
        <v>899</v>
      </c>
      <c r="D878" t="s">
        <v>4479</v>
      </c>
      <c r="E878" t="s">
        <v>4201</v>
      </c>
      <c r="F878" t="s">
        <v>791</v>
      </c>
      <c r="G878" t="s">
        <v>1406</v>
      </c>
      <c r="H878" s="6">
        <v>46022</v>
      </c>
      <c r="I878" t="s">
        <v>29</v>
      </c>
      <c r="J878">
        <v>4</v>
      </c>
      <c r="K878">
        <v>0</v>
      </c>
      <c r="L878">
        <v>0</v>
      </c>
      <c r="M878">
        <v>0</v>
      </c>
      <c r="N878" t="s">
        <v>3915</v>
      </c>
      <c r="O878" t="s">
        <v>3915</v>
      </c>
      <c r="P878" t="s">
        <v>3915</v>
      </c>
      <c r="Q878">
        <v>0</v>
      </c>
      <c r="R878" t="s">
        <v>30</v>
      </c>
      <c r="S878">
        <v>0</v>
      </c>
      <c r="T878">
        <v>0</v>
      </c>
      <c r="U878" t="s">
        <v>3915</v>
      </c>
      <c r="V878" t="s">
        <v>31</v>
      </c>
      <c r="W878">
        <v>0</v>
      </c>
    </row>
    <row r="879" spans="1:23" x14ac:dyDescent="0.25">
      <c r="A879" t="s">
        <v>5482</v>
      </c>
      <c r="B879" t="s">
        <v>1550</v>
      </c>
      <c r="C879" t="s">
        <v>1549</v>
      </c>
      <c r="D879" t="s">
        <v>4479</v>
      </c>
      <c r="E879" t="s">
        <v>4201</v>
      </c>
      <c r="F879" t="s">
        <v>791</v>
      </c>
      <c r="G879" t="s">
        <v>1406</v>
      </c>
      <c r="H879" s="6">
        <v>46022</v>
      </c>
      <c r="I879" t="s">
        <v>29</v>
      </c>
      <c r="J879">
        <v>2</v>
      </c>
      <c r="K879">
        <v>0</v>
      </c>
      <c r="L879">
        <v>0</v>
      </c>
      <c r="M879">
        <v>0</v>
      </c>
      <c r="N879" t="s">
        <v>3915</v>
      </c>
      <c r="O879" t="s">
        <v>3915</v>
      </c>
      <c r="P879" t="s">
        <v>3915</v>
      </c>
      <c r="Q879">
        <v>0</v>
      </c>
      <c r="R879" t="s">
        <v>30</v>
      </c>
      <c r="S879">
        <v>0</v>
      </c>
      <c r="T879">
        <v>0</v>
      </c>
      <c r="U879" t="s">
        <v>3915</v>
      </c>
      <c r="V879" t="s">
        <v>31</v>
      </c>
      <c r="W879">
        <v>0</v>
      </c>
    </row>
    <row r="880" spans="1:23" x14ac:dyDescent="0.25">
      <c r="A880" t="s">
        <v>4248</v>
      </c>
      <c r="B880" t="s">
        <v>902</v>
      </c>
      <c r="C880" t="s">
        <v>903</v>
      </c>
      <c r="D880" t="s">
        <v>4479</v>
      </c>
      <c r="E880" t="s">
        <v>4201</v>
      </c>
      <c r="F880" t="s">
        <v>791</v>
      </c>
      <c r="G880" t="s">
        <v>1406</v>
      </c>
      <c r="H880" s="6">
        <v>46022</v>
      </c>
      <c r="I880" t="s">
        <v>29</v>
      </c>
      <c r="J880">
        <v>0</v>
      </c>
      <c r="K880">
        <v>0</v>
      </c>
      <c r="L880">
        <v>0</v>
      </c>
      <c r="M880">
        <v>0</v>
      </c>
      <c r="N880" t="s">
        <v>3915</v>
      </c>
      <c r="O880" t="s">
        <v>3915</v>
      </c>
      <c r="P880" t="s">
        <v>3915</v>
      </c>
      <c r="Q880">
        <v>0</v>
      </c>
      <c r="R880" t="s">
        <v>30</v>
      </c>
      <c r="S880">
        <v>0</v>
      </c>
      <c r="T880">
        <v>0</v>
      </c>
      <c r="U880" t="s">
        <v>3915</v>
      </c>
      <c r="V880" t="s">
        <v>31</v>
      </c>
      <c r="W880">
        <v>0</v>
      </c>
    </row>
    <row r="881" spans="1:23" x14ac:dyDescent="0.25">
      <c r="A881" t="s">
        <v>4992</v>
      </c>
      <c r="B881" t="s">
        <v>2824</v>
      </c>
      <c r="C881" t="s">
        <v>2823</v>
      </c>
      <c r="D881" t="s">
        <v>4479</v>
      </c>
      <c r="E881" t="s">
        <v>4201</v>
      </c>
      <c r="F881" t="s">
        <v>791</v>
      </c>
      <c r="G881" t="s">
        <v>1406</v>
      </c>
      <c r="H881" s="6">
        <v>46022</v>
      </c>
      <c r="I881" t="s">
        <v>29</v>
      </c>
      <c r="J881">
        <v>15</v>
      </c>
      <c r="K881">
        <v>0</v>
      </c>
      <c r="L881">
        <v>0</v>
      </c>
      <c r="M881">
        <v>0</v>
      </c>
      <c r="N881" t="s">
        <v>3915</v>
      </c>
      <c r="O881" t="s">
        <v>3915</v>
      </c>
      <c r="P881" t="s">
        <v>3915</v>
      </c>
      <c r="Q881">
        <v>0</v>
      </c>
      <c r="R881" t="s">
        <v>30</v>
      </c>
      <c r="S881">
        <v>0</v>
      </c>
      <c r="T881">
        <v>0</v>
      </c>
      <c r="U881" t="s">
        <v>3915</v>
      </c>
      <c r="V881" t="s">
        <v>31</v>
      </c>
      <c r="W881">
        <v>0</v>
      </c>
    </row>
    <row r="882" spans="1:23" x14ac:dyDescent="0.25">
      <c r="A882" t="s">
        <v>4250</v>
      </c>
      <c r="B882" t="s">
        <v>906</v>
      </c>
      <c r="C882" t="s">
        <v>907</v>
      </c>
      <c r="D882" t="s">
        <v>4479</v>
      </c>
      <c r="E882" t="s">
        <v>4201</v>
      </c>
      <c r="F882" t="s">
        <v>791</v>
      </c>
      <c r="G882" t="s">
        <v>1406</v>
      </c>
      <c r="H882" s="6">
        <v>46022</v>
      </c>
      <c r="I882" t="s">
        <v>29</v>
      </c>
      <c r="J882">
        <v>0</v>
      </c>
      <c r="K882">
        <v>0</v>
      </c>
      <c r="L882">
        <v>0</v>
      </c>
      <c r="M882">
        <v>0</v>
      </c>
      <c r="N882" t="s">
        <v>3915</v>
      </c>
      <c r="O882" t="s">
        <v>3915</v>
      </c>
      <c r="P882" t="s">
        <v>3915</v>
      </c>
      <c r="Q882">
        <v>0</v>
      </c>
      <c r="R882" t="s">
        <v>30</v>
      </c>
      <c r="S882">
        <v>0</v>
      </c>
      <c r="T882">
        <v>0</v>
      </c>
      <c r="U882" t="s">
        <v>3915</v>
      </c>
      <c r="V882" t="s">
        <v>31</v>
      </c>
      <c r="W882">
        <v>0</v>
      </c>
    </row>
    <row r="883" spans="1:23" x14ac:dyDescent="0.25">
      <c r="A883" t="s">
        <v>4251</v>
      </c>
      <c r="B883" t="s">
        <v>908</v>
      </c>
      <c r="C883" t="s">
        <v>909</v>
      </c>
      <c r="D883" t="s">
        <v>4479</v>
      </c>
      <c r="E883" t="s">
        <v>4201</v>
      </c>
      <c r="F883" t="s">
        <v>791</v>
      </c>
      <c r="G883" t="s">
        <v>1406</v>
      </c>
      <c r="H883" s="6">
        <v>46022</v>
      </c>
      <c r="I883" t="s">
        <v>29</v>
      </c>
      <c r="J883">
        <v>6</v>
      </c>
      <c r="K883">
        <v>0</v>
      </c>
      <c r="L883">
        <v>0</v>
      </c>
      <c r="M883">
        <v>0</v>
      </c>
      <c r="N883" t="s">
        <v>3915</v>
      </c>
      <c r="O883" t="s">
        <v>3915</v>
      </c>
      <c r="P883" t="s">
        <v>3915</v>
      </c>
      <c r="Q883">
        <v>0</v>
      </c>
      <c r="R883" t="s">
        <v>30</v>
      </c>
      <c r="S883">
        <v>0</v>
      </c>
      <c r="T883">
        <v>0</v>
      </c>
      <c r="U883" t="s">
        <v>3915</v>
      </c>
      <c r="V883" t="s">
        <v>31</v>
      </c>
      <c r="W883">
        <v>0</v>
      </c>
    </row>
    <row r="884" spans="1:23" x14ac:dyDescent="0.25">
      <c r="A884" t="s">
        <v>4252</v>
      </c>
      <c r="B884" t="s">
        <v>910</v>
      </c>
      <c r="C884" t="s">
        <v>911</v>
      </c>
      <c r="D884" t="s">
        <v>4479</v>
      </c>
      <c r="E884" t="s">
        <v>4201</v>
      </c>
      <c r="F884" t="s">
        <v>791</v>
      </c>
      <c r="G884" t="s">
        <v>1406</v>
      </c>
      <c r="H884" s="6">
        <v>46022</v>
      </c>
      <c r="I884" t="s">
        <v>29</v>
      </c>
      <c r="J884">
        <v>3</v>
      </c>
      <c r="K884">
        <v>0</v>
      </c>
      <c r="L884">
        <v>0</v>
      </c>
      <c r="M884">
        <v>0</v>
      </c>
      <c r="N884" t="s">
        <v>3915</v>
      </c>
      <c r="O884" t="s">
        <v>3915</v>
      </c>
      <c r="P884" t="s">
        <v>3915</v>
      </c>
      <c r="Q884">
        <v>0</v>
      </c>
      <c r="R884" t="s">
        <v>30</v>
      </c>
      <c r="S884">
        <v>0</v>
      </c>
      <c r="T884">
        <v>0</v>
      </c>
      <c r="U884" t="s">
        <v>3915</v>
      </c>
      <c r="V884" t="s">
        <v>31</v>
      </c>
      <c r="W884">
        <v>0</v>
      </c>
    </row>
    <row r="885" spans="1:23" x14ac:dyDescent="0.25">
      <c r="A885" t="s">
        <v>4253</v>
      </c>
      <c r="B885" t="s">
        <v>912</v>
      </c>
      <c r="C885" t="s">
        <v>913</v>
      </c>
      <c r="D885" t="s">
        <v>4479</v>
      </c>
      <c r="E885" t="s">
        <v>4201</v>
      </c>
      <c r="F885" t="s">
        <v>791</v>
      </c>
      <c r="G885" t="s">
        <v>1406</v>
      </c>
      <c r="H885" s="6">
        <v>46022</v>
      </c>
      <c r="I885" t="s">
        <v>29</v>
      </c>
      <c r="J885">
        <v>3</v>
      </c>
      <c r="K885">
        <v>0</v>
      </c>
      <c r="L885">
        <v>0</v>
      </c>
      <c r="M885">
        <v>0</v>
      </c>
      <c r="N885" t="s">
        <v>3915</v>
      </c>
      <c r="O885" t="s">
        <v>3915</v>
      </c>
      <c r="P885" t="s">
        <v>3915</v>
      </c>
      <c r="Q885">
        <v>0</v>
      </c>
      <c r="R885" t="s">
        <v>30</v>
      </c>
      <c r="S885">
        <v>0</v>
      </c>
      <c r="T885">
        <v>0</v>
      </c>
      <c r="U885" t="s">
        <v>3915</v>
      </c>
      <c r="V885" t="s">
        <v>31</v>
      </c>
      <c r="W885">
        <v>0</v>
      </c>
    </row>
    <row r="886" spans="1:23" x14ac:dyDescent="0.25">
      <c r="A886" t="s">
        <v>4254</v>
      </c>
      <c r="B886" t="s">
        <v>914</v>
      </c>
      <c r="C886" t="s">
        <v>915</v>
      </c>
      <c r="D886" t="s">
        <v>4479</v>
      </c>
      <c r="E886" t="s">
        <v>4201</v>
      </c>
      <c r="F886" t="s">
        <v>791</v>
      </c>
      <c r="G886" t="s">
        <v>1406</v>
      </c>
      <c r="H886" s="6">
        <v>46022</v>
      </c>
      <c r="I886" t="s">
        <v>29</v>
      </c>
      <c r="J886">
        <v>8</v>
      </c>
      <c r="K886">
        <v>0</v>
      </c>
      <c r="L886">
        <v>0</v>
      </c>
      <c r="M886">
        <v>0</v>
      </c>
      <c r="N886" t="s">
        <v>3915</v>
      </c>
      <c r="O886" t="s">
        <v>3915</v>
      </c>
      <c r="P886" t="s">
        <v>3915</v>
      </c>
      <c r="Q886">
        <v>0</v>
      </c>
      <c r="R886" t="s">
        <v>30</v>
      </c>
      <c r="S886">
        <v>0</v>
      </c>
      <c r="T886">
        <v>0</v>
      </c>
      <c r="U886" t="s">
        <v>3915</v>
      </c>
      <c r="V886" t="s">
        <v>31</v>
      </c>
      <c r="W886">
        <v>0</v>
      </c>
    </row>
    <row r="887" spans="1:23" x14ac:dyDescent="0.25">
      <c r="A887" t="s">
        <v>4255</v>
      </c>
      <c r="B887" t="s">
        <v>916</v>
      </c>
      <c r="C887" t="s">
        <v>917</v>
      </c>
      <c r="D887" t="s">
        <v>4479</v>
      </c>
      <c r="E887" t="s">
        <v>4201</v>
      </c>
      <c r="F887" t="s">
        <v>791</v>
      </c>
      <c r="G887" t="s">
        <v>1406</v>
      </c>
      <c r="H887" s="6">
        <v>46022</v>
      </c>
      <c r="I887" t="s">
        <v>29</v>
      </c>
      <c r="J887">
        <v>3</v>
      </c>
      <c r="K887">
        <v>0</v>
      </c>
      <c r="L887">
        <v>0</v>
      </c>
      <c r="M887">
        <v>0</v>
      </c>
      <c r="N887" t="s">
        <v>3915</v>
      </c>
      <c r="O887" t="s">
        <v>3915</v>
      </c>
      <c r="P887" t="s">
        <v>3915</v>
      </c>
      <c r="Q887">
        <v>0</v>
      </c>
      <c r="R887" t="s">
        <v>30</v>
      </c>
      <c r="S887">
        <v>0</v>
      </c>
      <c r="T887">
        <v>0</v>
      </c>
      <c r="U887" t="s">
        <v>3915</v>
      </c>
      <c r="V887" t="s">
        <v>31</v>
      </c>
      <c r="W887">
        <v>0</v>
      </c>
    </row>
    <row r="888" spans="1:23" x14ac:dyDescent="0.25">
      <c r="A888" t="s">
        <v>4256</v>
      </c>
      <c r="B888" t="s">
        <v>918</v>
      </c>
      <c r="C888" t="s">
        <v>919</v>
      </c>
      <c r="D888" t="s">
        <v>4479</v>
      </c>
      <c r="E888" t="s">
        <v>4201</v>
      </c>
      <c r="F888" t="s">
        <v>791</v>
      </c>
      <c r="G888" t="s">
        <v>1406</v>
      </c>
      <c r="H888" s="6">
        <v>46022</v>
      </c>
      <c r="I888" t="s">
        <v>29</v>
      </c>
      <c r="J888">
        <v>5</v>
      </c>
      <c r="K888">
        <v>0</v>
      </c>
      <c r="L888">
        <v>0</v>
      </c>
      <c r="M888">
        <v>0</v>
      </c>
      <c r="N888" t="s">
        <v>3915</v>
      </c>
      <c r="O888" t="s">
        <v>3915</v>
      </c>
      <c r="P888" t="s">
        <v>3915</v>
      </c>
      <c r="Q888">
        <v>0</v>
      </c>
      <c r="R888" t="s">
        <v>30</v>
      </c>
      <c r="S888">
        <v>0</v>
      </c>
      <c r="T888">
        <v>0</v>
      </c>
      <c r="U888" t="s">
        <v>3915</v>
      </c>
      <c r="V888" t="s">
        <v>31</v>
      </c>
      <c r="W888">
        <v>0</v>
      </c>
    </row>
    <row r="889" spans="1:23" x14ac:dyDescent="0.25">
      <c r="A889" t="s">
        <v>4257</v>
      </c>
      <c r="B889" t="s">
        <v>920</v>
      </c>
      <c r="C889" t="s">
        <v>921</v>
      </c>
      <c r="D889" t="s">
        <v>4479</v>
      </c>
      <c r="E889" t="s">
        <v>4201</v>
      </c>
      <c r="F889" t="s">
        <v>791</v>
      </c>
      <c r="G889" t="s">
        <v>1406</v>
      </c>
      <c r="H889" s="6">
        <v>46022</v>
      </c>
      <c r="I889" t="s">
        <v>29</v>
      </c>
      <c r="J889">
        <v>0</v>
      </c>
      <c r="K889">
        <v>0</v>
      </c>
      <c r="L889">
        <v>0</v>
      </c>
      <c r="M889">
        <v>0</v>
      </c>
      <c r="N889" t="s">
        <v>3915</v>
      </c>
      <c r="O889" t="s">
        <v>3915</v>
      </c>
      <c r="P889" t="s">
        <v>3915</v>
      </c>
      <c r="Q889">
        <v>0</v>
      </c>
      <c r="R889" t="s">
        <v>30</v>
      </c>
      <c r="S889">
        <v>0</v>
      </c>
      <c r="T889">
        <v>0</v>
      </c>
      <c r="U889" t="s">
        <v>3915</v>
      </c>
      <c r="V889" t="s">
        <v>31</v>
      </c>
      <c r="W889">
        <v>0</v>
      </c>
    </row>
    <row r="890" spans="1:23" x14ac:dyDescent="0.25">
      <c r="A890" t="s">
        <v>4258</v>
      </c>
      <c r="B890" t="s">
        <v>922</v>
      </c>
      <c r="C890" t="s">
        <v>923</v>
      </c>
      <c r="D890" t="s">
        <v>4479</v>
      </c>
      <c r="E890" t="s">
        <v>4201</v>
      </c>
      <c r="F890" t="s">
        <v>791</v>
      </c>
      <c r="G890" t="s">
        <v>1406</v>
      </c>
      <c r="H890" s="6">
        <v>46022</v>
      </c>
      <c r="I890" t="s">
        <v>29</v>
      </c>
      <c r="J890">
        <v>0</v>
      </c>
      <c r="K890">
        <v>0</v>
      </c>
      <c r="L890">
        <v>0</v>
      </c>
      <c r="M890">
        <v>0</v>
      </c>
      <c r="N890" t="s">
        <v>3915</v>
      </c>
      <c r="O890" t="s">
        <v>3915</v>
      </c>
      <c r="P890" t="s">
        <v>3915</v>
      </c>
      <c r="Q890">
        <v>0</v>
      </c>
      <c r="R890" t="s">
        <v>30</v>
      </c>
      <c r="S890">
        <v>0</v>
      </c>
      <c r="T890">
        <v>0</v>
      </c>
      <c r="U890" t="s">
        <v>3915</v>
      </c>
      <c r="V890" t="s">
        <v>31</v>
      </c>
      <c r="W890">
        <v>0</v>
      </c>
    </row>
    <row r="891" spans="1:23" x14ac:dyDescent="0.25">
      <c r="A891" t="s">
        <v>4259</v>
      </c>
      <c r="B891" t="s">
        <v>924</v>
      </c>
      <c r="C891" t="s">
        <v>925</v>
      </c>
      <c r="D891" t="s">
        <v>4479</v>
      </c>
      <c r="E891" t="s">
        <v>4201</v>
      </c>
      <c r="F891" t="s">
        <v>791</v>
      </c>
      <c r="G891" t="s">
        <v>1406</v>
      </c>
      <c r="H891" s="6">
        <v>46022</v>
      </c>
      <c r="I891" t="s">
        <v>29</v>
      </c>
      <c r="J891">
        <v>3</v>
      </c>
      <c r="K891">
        <v>0</v>
      </c>
      <c r="L891">
        <v>0</v>
      </c>
      <c r="M891">
        <v>0</v>
      </c>
      <c r="N891" t="s">
        <v>3915</v>
      </c>
      <c r="O891" t="s">
        <v>3915</v>
      </c>
      <c r="P891" t="s">
        <v>3915</v>
      </c>
      <c r="Q891">
        <v>0</v>
      </c>
      <c r="R891" t="s">
        <v>30</v>
      </c>
      <c r="S891">
        <v>0</v>
      </c>
      <c r="T891">
        <v>0</v>
      </c>
      <c r="U891" t="s">
        <v>3915</v>
      </c>
      <c r="V891" t="s">
        <v>31</v>
      </c>
      <c r="W891">
        <v>0</v>
      </c>
    </row>
    <row r="892" spans="1:23" x14ac:dyDescent="0.25">
      <c r="A892" t="s">
        <v>4260</v>
      </c>
      <c r="B892" t="s">
        <v>926</v>
      </c>
      <c r="C892" t="s">
        <v>927</v>
      </c>
      <c r="D892" t="s">
        <v>4479</v>
      </c>
      <c r="E892" t="s">
        <v>4201</v>
      </c>
      <c r="F892" t="s">
        <v>791</v>
      </c>
      <c r="G892" t="s">
        <v>1406</v>
      </c>
      <c r="H892" s="6">
        <v>46022</v>
      </c>
      <c r="I892" t="s">
        <v>29</v>
      </c>
      <c r="J892">
        <v>5</v>
      </c>
      <c r="K892">
        <v>0</v>
      </c>
      <c r="L892">
        <v>0</v>
      </c>
      <c r="M892">
        <v>0</v>
      </c>
      <c r="N892" t="s">
        <v>3915</v>
      </c>
      <c r="O892" t="s">
        <v>3915</v>
      </c>
      <c r="P892" t="s">
        <v>3915</v>
      </c>
      <c r="Q892">
        <v>0</v>
      </c>
      <c r="R892" t="s">
        <v>30</v>
      </c>
      <c r="S892">
        <v>0</v>
      </c>
      <c r="T892">
        <v>0</v>
      </c>
      <c r="U892" t="s">
        <v>3915</v>
      </c>
      <c r="V892" t="s">
        <v>31</v>
      </c>
      <c r="W892">
        <v>0</v>
      </c>
    </row>
    <row r="893" spans="1:23" x14ac:dyDescent="0.25">
      <c r="A893" t="s">
        <v>4261</v>
      </c>
      <c r="B893" t="s">
        <v>928</v>
      </c>
      <c r="C893" t="s">
        <v>929</v>
      </c>
      <c r="D893" t="s">
        <v>4479</v>
      </c>
      <c r="E893" t="s">
        <v>4201</v>
      </c>
      <c r="F893" t="s">
        <v>791</v>
      </c>
      <c r="G893" t="s">
        <v>1406</v>
      </c>
      <c r="H893" s="6">
        <v>46022</v>
      </c>
      <c r="I893" t="s">
        <v>29</v>
      </c>
      <c r="J893">
        <v>1</v>
      </c>
      <c r="K893">
        <v>0</v>
      </c>
      <c r="L893">
        <v>0</v>
      </c>
      <c r="M893">
        <v>0</v>
      </c>
      <c r="N893" t="s">
        <v>3915</v>
      </c>
      <c r="O893" t="s">
        <v>3915</v>
      </c>
      <c r="P893" t="s">
        <v>3915</v>
      </c>
      <c r="Q893">
        <v>0</v>
      </c>
      <c r="R893" t="s">
        <v>30</v>
      </c>
      <c r="S893">
        <v>0</v>
      </c>
      <c r="T893">
        <v>0</v>
      </c>
      <c r="U893" t="s">
        <v>3915</v>
      </c>
      <c r="V893" t="s">
        <v>31</v>
      </c>
      <c r="W893">
        <v>0</v>
      </c>
    </row>
    <row r="894" spans="1:23" x14ac:dyDescent="0.25">
      <c r="A894" t="s">
        <v>4262</v>
      </c>
      <c r="B894" t="s">
        <v>930</v>
      </c>
      <c r="C894" t="s">
        <v>931</v>
      </c>
      <c r="D894" t="s">
        <v>4479</v>
      </c>
      <c r="E894" t="s">
        <v>4201</v>
      </c>
      <c r="F894" t="s">
        <v>791</v>
      </c>
      <c r="G894" t="s">
        <v>1406</v>
      </c>
      <c r="H894" s="6">
        <v>46022</v>
      </c>
      <c r="I894" t="s">
        <v>29</v>
      </c>
      <c r="J894">
        <v>2</v>
      </c>
      <c r="K894">
        <v>0</v>
      </c>
      <c r="L894">
        <v>0</v>
      </c>
      <c r="M894">
        <v>0</v>
      </c>
      <c r="N894" t="s">
        <v>3915</v>
      </c>
      <c r="O894" t="s">
        <v>3915</v>
      </c>
      <c r="P894" t="s">
        <v>3915</v>
      </c>
      <c r="Q894">
        <v>0</v>
      </c>
      <c r="R894" t="s">
        <v>30</v>
      </c>
      <c r="S894">
        <v>0</v>
      </c>
      <c r="T894">
        <v>0</v>
      </c>
      <c r="U894" t="s">
        <v>3915</v>
      </c>
      <c r="V894" t="s">
        <v>31</v>
      </c>
      <c r="W894">
        <v>0</v>
      </c>
    </row>
    <row r="895" spans="1:23" x14ac:dyDescent="0.25">
      <c r="A895" t="s">
        <v>4263</v>
      </c>
      <c r="B895" t="s">
        <v>932</v>
      </c>
      <c r="C895" t="s">
        <v>933</v>
      </c>
      <c r="D895" t="s">
        <v>4479</v>
      </c>
      <c r="E895" t="s">
        <v>4201</v>
      </c>
      <c r="F895" t="s">
        <v>791</v>
      </c>
      <c r="G895" t="s">
        <v>1406</v>
      </c>
      <c r="H895" s="6">
        <v>46022</v>
      </c>
      <c r="I895" t="s">
        <v>29</v>
      </c>
      <c r="J895">
        <v>7</v>
      </c>
      <c r="K895">
        <v>0</v>
      </c>
      <c r="L895">
        <v>0</v>
      </c>
      <c r="M895">
        <v>0</v>
      </c>
      <c r="N895" t="s">
        <v>3915</v>
      </c>
      <c r="O895" t="s">
        <v>3915</v>
      </c>
      <c r="P895" t="s">
        <v>3915</v>
      </c>
      <c r="Q895">
        <v>0</v>
      </c>
      <c r="R895" t="s">
        <v>30</v>
      </c>
      <c r="S895">
        <v>0</v>
      </c>
      <c r="T895">
        <v>0</v>
      </c>
      <c r="U895" t="s">
        <v>3915</v>
      </c>
      <c r="V895" t="s">
        <v>31</v>
      </c>
      <c r="W895">
        <v>0</v>
      </c>
    </row>
    <row r="896" spans="1:23" x14ac:dyDescent="0.25">
      <c r="A896" t="s">
        <v>4264</v>
      </c>
      <c r="B896" t="s">
        <v>934</v>
      </c>
      <c r="C896" t="s">
        <v>935</v>
      </c>
      <c r="D896" t="s">
        <v>4479</v>
      </c>
      <c r="E896" t="s">
        <v>4201</v>
      </c>
      <c r="F896" t="s">
        <v>791</v>
      </c>
      <c r="G896" t="s">
        <v>1406</v>
      </c>
      <c r="H896" s="6">
        <v>46022</v>
      </c>
      <c r="I896" t="s">
        <v>29</v>
      </c>
      <c r="J896">
        <v>16</v>
      </c>
      <c r="K896">
        <v>0</v>
      </c>
      <c r="L896">
        <v>0</v>
      </c>
      <c r="M896">
        <v>0</v>
      </c>
      <c r="N896" t="s">
        <v>3915</v>
      </c>
      <c r="O896" t="s">
        <v>3915</v>
      </c>
      <c r="P896" t="s">
        <v>3915</v>
      </c>
      <c r="Q896">
        <v>0</v>
      </c>
      <c r="R896" t="s">
        <v>30</v>
      </c>
      <c r="S896">
        <v>0</v>
      </c>
      <c r="T896">
        <v>0</v>
      </c>
      <c r="U896" t="s">
        <v>3915</v>
      </c>
      <c r="V896" t="s">
        <v>31</v>
      </c>
      <c r="W896">
        <v>0</v>
      </c>
    </row>
    <row r="897" spans="1:23" x14ac:dyDescent="0.25">
      <c r="A897" t="s">
        <v>5483</v>
      </c>
      <c r="B897" t="s">
        <v>2826</v>
      </c>
      <c r="C897" t="s">
        <v>2825</v>
      </c>
      <c r="D897" t="s">
        <v>4479</v>
      </c>
      <c r="E897" t="s">
        <v>4201</v>
      </c>
      <c r="F897" t="s">
        <v>791</v>
      </c>
      <c r="G897" t="s">
        <v>1406</v>
      </c>
      <c r="H897" s="6">
        <v>46022</v>
      </c>
      <c r="I897" t="s">
        <v>29</v>
      </c>
      <c r="J897">
        <v>1</v>
      </c>
      <c r="K897">
        <v>0</v>
      </c>
      <c r="L897">
        <v>0</v>
      </c>
      <c r="M897">
        <v>0</v>
      </c>
      <c r="N897" t="s">
        <v>3915</v>
      </c>
      <c r="O897" t="s">
        <v>3915</v>
      </c>
      <c r="P897" t="s">
        <v>3915</v>
      </c>
      <c r="Q897">
        <v>0</v>
      </c>
      <c r="R897" t="s">
        <v>30</v>
      </c>
      <c r="S897">
        <v>0</v>
      </c>
      <c r="T897">
        <v>0</v>
      </c>
      <c r="U897" t="s">
        <v>3915</v>
      </c>
      <c r="V897" t="s">
        <v>31</v>
      </c>
      <c r="W897">
        <v>0</v>
      </c>
    </row>
    <row r="898" spans="1:23" x14ac:dyDescent="0.25">
      <c r="A898" t="s">
        <v>4265</v>
      </c>
      <c r="B898" t="s">
        <v>936</v>
      </c>
      <c r="C898" t="s">
        <v>937</v>
      </c>
      <c r="D898" t="s">
        <v>4479</v>
      </c>
      <c r="E898" t="s">
        <v>4201</v>
      </c>
      <c r="F898" t="s">
        <v>791</v>
      </c>
      <c r="G898" t="s">
        <v>1406</v>
      </c>
      <c r="H898" s="6">
        <v>46022</v>
      </c>
      <c r="I898" t="s">
        <v>29</v>
      </c>
      <c r="J898">
        <v>19</v>
      </c>
      <c r="K898">
        <v>0</v>
      </c>
      <c r="L898">
        <v>0</v>
      </c>
      <c r="M898">
        <v>0</v>
      </c>
      <c r="N898" t="s">
        <v>3915</v>
      </c>
      <c r="O898" t="s">
        <v>3915</v>
      </c>
      <c r="P898" t="s">
        <v>3915</v>
      </c>
      <c r="Q898">
        <v>0</v>
      </c>
      <c r="R898" t="s">
        <v>30</v>
      </c>
      <c r="S898">
        <v>0</v>
      </c>
      <c r="T898">
        <v>0</v>
      </c>
      <c r="U898" t="s">
        <v>3915</v>
      </c>
      <c r="V898" t="s">
        <v>31</v>
      </c>
      <c r="W898">
        <v>0</v>
      </c>
    </row>
    <row r="899" spans="1:23" x14ac:dyDescent="0.25">
      <c r="A899" t="s">
        <v>4266</v>
      </c>
      <c r="B899" t="s">
        <v>938</v>
      </c>
      <c r="C899" t="s">
        <v>939</v>
      </c>
      <c r="D899" t="s">
        <v>4479</v>
      </c>
      <c r="E899" t="s">
        <v>4201</v>
      </c>
      <c r="F899" t="s">
        <v>791</v>
      </c>
      <c r="G899" t="s">
        <v>1406</v>
      </c>
      <c r="H899" s="6">
        <v>46022</v>
      </c>
      <c r="I899" t="s">
        <v>29</v>
      </c>
      <c r="J899">
        <v>0</v>
      </c>
      <c r="K899">
        <v>0</v>
      </c>
      <c r="L899">
        <v>0</v>
      </c>
      <c r="M899">
        <v>0</v>
      </c>
      <c r="N899" t="s">
        <v>3915</v>
      </c>
      <c r="O899" t="s">
        <v>3915</v>
      </c>
      <c r="P899" t="s">
        <v>3915</v>
      </c>
      <c r="Q899">
        <v>0</v>
      </c>
      <c r="R899" t="s">
        <v>30</v>
      </c>
      <c r="S899">
        <v>0</v>
      </c>
      <c r="T899">
        <v>0</v>
      </c>
      <c r="U899" t="s">
        <v>3915</v>
      </c>
      <c r="V899" t="s">
        <v>31</v>
      </c>
      <c r="W899">
        <v>0</v>
      </c>
    </row>
    <row r="900" spans="1:23" x14ac:dyDescent="0.25">
      <c r="A900" t="s">
        <v>4267</v>
      </c>
      <c r="B900" t="s">
        <v>940</v>
      </c>
      <c r="C900" t="s">
        <v>941</v>
      </c>
      <c r="D900" t="s">
        <v>4479</v>
      </c>
      <c r="E900" t="s">
        <v>4201</v>
      </c>
      <c r="F900" t="s">
        <v>791</v>
      </c>
      <c r="G900" t="s">
        <v>1406</v>
      </c>
      <c r="H900" s="6">
        <v>46022</v>
      </c>
      <c r="I900" t="s">
        <v>29</v>
      </c>
      <c r="J900">
        <v>0</v>
      </c>
      <c r="K900">
        <v>0</v>
      </c>
      <c r="L900">
        <v>0</v>
      </c>
      <c r="M900">
        <v>0</v>
      </c>
      <c r="N900" t="s">
        <v>3915</v>
      </c>
      <c r="O900" t="s">
        <v>3915</v>
      </c>
      <c r="P900" t="s">
        <v>3915</v>
      </c>
      <c r="Q900">
        <v>0</v>
      </c>
      <c r="R900" t="s">
        <v>30</v>
      </c>
      <c r="S900">
        <v>0</v>
      </c>
      <c r="T900">
        <v>0</v>
      </c>
      <c r="U900" t="s">
        <v>3915</v>
      </c>
      <c r="V900" t="s">
        <v>31</v>
      </c>
      <c r="W900">
        <v>0</v>
      </c>
    </row>
    <row r="901" spans="1:23" x14ac:dyDescent="0.25">
      <c r="A901" t="s">
        <v>5484</v>
      </c>
      <c r="B901" t="s">
        <v>2830</v>
      </c>
      <c r="C901" t="s">
        <v>2829</v>
      </c>
      <c r="D901" t="s">
        <v>4479</v>
      </c>
      <c r="E901" t="s">
        <v>4201</v>
      </c>
      <c r="F901" t="s">
        <v>791</v>
      </c>
      <c r="G901" t="s">
        <v>1406</v>
      </c>
      <c r="H901" s="6">
        <v>46022</v>
      </c>
      <c r="I901" t="s">
        <v>29</v>
      </c>
      <c r="J901">
        <v>3</v>
      </c>
      <c r="K901">
        <v>0</v>
      </c>
      <c r="L901">
        <v>0</v>
      </c>
      <c r="M901">
        <v>0</v>
      </c>
      <c r="N901" t="s">
        <v>3915</v>
      </c>
      <c r="O901" t="s">
        <v>3915</v>
      </c>
      <c r="P901" t="s">
        <v>3915</v>
      </c>
      <c r="Q901">
        <v>0</v>
      </c>
      <c r="R901" t="s">
        <v>30</v>
      </c>
      <c r="S901">
        <v>0</v>
      </c>
      <c r="T901">
        <v>0</v>
      </c>
      <c r="U901" t="s">
        <v>3915</v>
      </c>
      <c r="V901" t="s">
        <v>31</v>
      </c>
      <c r="W901">
        <v>0</v>
      </c>
    </row>
    <row r="902" spans="1:23" x14ac:dyDescent="0.25">
      <c r="A902" t="s">
        <v>4268</v>
      </c>
      <c r="B902" t="s">
        <v>944</v>
      </c>
      <c r="C902" t="s">
        <v>945</v>
      </c>
      <c r="D902" t="s">
        <v>4479</v>
      </c>
      <c r="E902" t="s">
        <v>4201</v>
      </c>
      <c r="F902" t="s">
        <v>791</v>
      </c>
      <c r="G902" t="s">
        <v>1406</v>
      </c>
      <c r="H902" s="6">
        <v>46022</v>
      </c>
      <c r="I902" t="s">
        <v>29</v>
      </c>
      <c r="J902">
        <v>0</v>
      </c>
      <c r="K902">
        <v>0</v>
      </c>
      <c r="L902">
        <v>0</v>
      </c>
      <c r="M902">
        <v>0</v>
      </c>
      <c r="N902" t="s">
        <v>3915</v>
      </c>
      <c r="O902" t="s">
        <v>3915</v>
      </c>
      <c r="P902" t="s">
        <v>3915</v>
      </c>
      <c r="Q902">
        <v>0</v>
      </c>
      <c r="R902" t="s">
        <v>30</v>
      </c>
      <c r="S902">
        <v>0</v>
      </c>
      <c r="T902">
        <v>0</v>
      </c>
      <c r="U902" t="s">
        <v>3915</v>
      </c>
      <c r="V902" t="s">
        <v>31</v>
      </c>
      <c r="W902">
        <v>0</v>
      </c>
    </row>
    <row r="903" spans="1:23" x14ac:dyDescent="0.25">
      <c r="A903" t="s">
        <v>4269</v>
      </c>
      <c r="B903" t="s">
        <v>946</v>
      </c>
      <c r="C903" t="s">
        <v>947</v>
      </c>
      <c r="D903" t="s">
        <v>4479</v>
      </c>
      <c r="E903" t="s">
        <v>4201</v>
      </c>
      <c r="F903" t="s">
        <v>791</v>
      </c>
      <c r="G903" t="s">
        <v>1406</v>
      </c>
      <c r="H903" s="6">
        <v>46022</v>
      </c>
      <c r="I903" t="s">
        <v>29</v>
      </c>
      <c r="J903">
        <v>0</v>
      </c>
      <c r="K903">
        <v>0</v>
      </c>
      <c r="L903">
        <v>0</v>
      </c>
      <c r="M903">
        <v>0</v>
      </c>
      <c r="N903" t="s">
        <v>3915</v>
      </c>
      <c r="O903" t="s">
        <v>3915</v>
      </c>
      <c r="P903" t="s">
        <v>3915</v>
      </c>
      <c r="Q903">
        <v>0</v>
      </c>
      <c r="R903" t="s">
        <v>30</v>
      </c>
      <c r="S903">
        <v>0</v>
      </c>
      <c r="T903">
        <v>0</v>
      </c>
      <c r="U903" t="s">
        <v>3915</v>
      </c>
      <c r="V903" t="s">
        <v>31</v>
      </c>
      <c r="W903">
        <v>0</v>
      </c>
    </row>
    <row r="904" spans="1:23" x14ac:dyDescent="0.25">
      <c r="A904" t="s">
        <v>5485</v>
      </c>
      <c r="B904" t="s">
        <v>2834</v>
      </c>
      <c r="C904" t="s">
        <v>2833</v>
      </c>
      <c r="D904" t="s">
        <v>4479</v>
      </c>
      <c r="E904" t="s">
        <v>4201</v>
      </c>
      <c r="F904" t="s">
        <v>791</v>
      </c>
      <c r="G904" t="s">
        <v>1406</v>
      </c>
      <c r="H904" s="6">
        <v>46022</v>
      </c>
      <c r="I904" t="s">
        <v>29</v>
      </c>
      <c r="J904">
        <v>8</v>
      </c>
      <c r="K904">
        <v>0</v>
      </c>
      <c r="L904">
        <v>0</v>
      </c>
      <c r="M904">
        <v>0</v>
      </c>
      <c r="N904" t="s">
        <v>3915</v>
      </c>
      <c r="O904" t="s">
        <v>3915</v>
      </c>
      <c r="P904" t="s">
        <v>3915</v>
      </c>
      <c r="Q904">
        <v>0</v>
      </c>
      <c r="R904" t="s">
        <v>30</v>
      </c>
      <c r="S904">
        <v>0</v>
      </c>
      <c r="T904">
        <v>0</v>
      </c>
      <c r="U904" t="s">
        <v>3915</v>
      </c>
      <c r="V904" t="s">
        <v>31</v>
      </c>
      <c r="W904">
        <v>0</v>
      </c>
    </row>
    <row r="905" spans="1:23" x14ac:dyDescent="0.25">
      <c r="A905" t="s">
        <v>5486</v>
      </c>
      <c r="B905" t="s">
        <v>2836</v>
      </c>
      <c r="C905" t="s">
        <v>2835</v>
      </c>
      <c r="D905" t="s">
        <v>4479</v>
      </c>
      <c r="E905" t="s">
        <v>4201</v>
      </c>
      <c r="F905" t="s">
        <v>791</v>
      </c>
      <c r="G905" t="s">
        <v>1406</v>
      </c>
      <c r="H905" s="6">
        <v>46022</v>
      </c>
      <c r="I905" t="s">
        <v>29</v>
      </c>
      <c r="J905">
        <v>10</v>
      </c>
      <c r="K905">
        <v>0</v>
      </c>
      <c r="L905">
        <v>0</v>
      </c>
      <c r="M905">
        <v>0</v>
      </c>
      <c r="N905" t="s">
        <v>3915</v>
      </c>
      <c r="O905" t="s">
        <v>3915</v>
      </c>
      <c r="P905" t="s">
        <v>3915</v>
      </c>
      <c r="Q905">
        <v>0</v>
      </c>
      <c r="R905" t="s">
        <v>30</v>
      </c>
      <c r="S905">
        <v>0</v>
      </c>
      <c r="T905">
        <v>0</v>
      </c>
      <c r="U905" t="s">
        <v>3915</v>
      </c>
      <c r="V905" t="s">
        <v>31</v>
      </c>
      <c r="W905">
        <v>0</v>
      </c>
    </row>
    <row r="906" spans="1:23" x14ac:dyDescent="0.25">
      <c r="A906" t="s">
        <v>4270</v>
      </c>
      <c r="B906" t="s">
        <v>948</v>
      </c>
      <c r="C906" t="s">
        <v>949</v>
      </c>
      <c r="D906" t="s">
        <v>4479</v>
      </c>
      <c r="E906" t="s">
        <v>4201</v>
      </c>
      <c r="F906" t="s">
        <v>791</v>
      </c>
      <c r="G906" t="s">
        <v>1406</v>
      </c>
      <c r="H906" s="6">
        <v>46022</v>
      </c>
      <c r="I906" t="s">
        <v>29</v>
      </c>
      <c r="J906">
        <v>1</v>
      </c>
      <c r="K906">
        <v>0</v>
      </c>
      <c r="L906">
        <v>0</v>
      </c>
      <c r="M906">
        <v>0</v>
      </c>
      <c r="N906" t="s">
        <v>3915</v>
      </c>
      <c r="O906" t="s">
        <v>3915</v>
      </c>
      <c r="P906" t="s">
        <v>3915</v>
      </c>
      <c r="Q906">
        <v>0</v>
      </c>
      <c r="R906" t="s">
        <v>30</v>
      </c>
      <c r="S906">
        <v>0</v>
      </c>
      <c r="T906">
        <v>0</v>
      </c>
      <c r="U906" t="s">
        <v>3915</v>
      </c>
      <c r="V906" t="s">
        <v>31</v>
      </c>
      <c r="W906">
        <v>0</v>
      </c>
    </row>
    <row r="907" spans="1:23" x14ac:dyDescent="0.25">
      <c r="A907" t="s">
        <v>4271</v>
      </c>
      <c r="B907" t="s">
        <v>950</v>
      </c>
      <c r="C907" t="s">
        <v>951</v>
      </c>
      <c r="D907" t="s">
        <v>4479</v>
      </c>
      <c r="E907" t="s">
        <v>4201</v>
      </c>
      <c r="F907" t="s">
        <v>791</v>
      </c>
      <c r="G907" t="s">
        <v>1406</v>
      </c>
      <c r="H907" s="6">
        <v>46022</v>
      </c>
      <c r="I907" t="s">
        <v>29</v>
      </c>
      <c r="J907">
        <v>9</v>
      </c>
      <c r="K907">
        <v>0</v>
      </c>
      <c r="L907">
        <v>0</v>
      </c>
      <c r="M907">
        <v>0</v>
      </c>
      <c r="N907" t="s">
        <v>3915</v>
      </c>
      <c r="O907" t="s">
        <v>3915</v>
      </c>
      <c r="P907" t="s">
        <v>3915</v>
      </c>
      <c r="Q907">
        <v>0</v>
      </c>
      <c r="R907" t="s">
        <v>30</v>
      </c>
      <c r="S907">
        <v>0</v>
      </c>
      <c r="T907">
        <v>0</v>
      </c>
      <c r="U907" t="s">
        <v>3915</v>
      </c>
      <c r="V907" t="s">
        <v>31</v>
      </c>
      <c r="W907">
        <v>0</v>
      </c>
    </row>
    <row r="908" spans="1:23" x14ac:dyDescent="0.25">
      <c r="A908" t="s">
        <v>4272</v>
      </c>
      <c r="B908" t="s">
        <v>952</v>
      </c>
      <c r="C908" t="s">
        <v>953</v>
      </c>
      <c r="D908" t="s">
        <v>4479</v>
      </c>
      <c r="E908" t="s">
        <v>4201</v>
      </c>
      <c r="F908" t="s">
        <v>791</v>
      </c>
      <c r="G908" t="s">
        <v>1406</v>
      </c>
      <c r="H908" s="6">
        <v>46022</v>
      </c>
      <c r="I908" t="s">
        <v>29</v>
      </c>
      <c r="J908">
        <v>0</v>
      </c>
      <c r="K908">
        <v>0</v>
      </c>
      <c r="L908">
        <v>0</v>
      </c>
      <c r="M908">
        <v>0</v>
      </c>
      <c r="N908" t="s">
        <v>3915</v>
      </c>
      <c r="O908" t="s">
        <v>3915</v>
      </c>
      <c r="P908" t="s">
        <v>3915</v>
      </c>
      <c r="Q908">
        <v>0</v>
      </c>
      <c r="R908" t="s">
        <v>30</v>
      </c>
      <c r="S908">
        <v>0</v>
      </c>
      <c r="T908">
        <v>0</v>
      </c>
      <c r="U908" t="s">
        <v>3915</v>
      </c>
      <c r="V908" t="s">
        <v>31</v>
      </c>
      <c r="W908">
        <v>0</v>
      </c>
    </row>
    <row r="909" spans="1:23" x14ac:dyDescent="0.25">
      <c r="A909" t="s">
        <v>5487</v>
      </c>
      <c r="B909" t="s">
        <v>2838</v>
      </c>
      <c r="C909" t="s">
        <v>2837</v>
      </c>
      <c r="D909" t="s">
        <v>4479</v>
      </c>
      <c r="E909" t="s">
        <v>4201</v>
      </c>
      <c r="F909" t="s">
        <v>791</v>
      </c>
      <c r="G909" t="s">
        <v>1406</v>
      </c>
      <c r="H909" s="6">
        <v>46022</v>
      </c>
      <c r="I909" t="s">
        <v>29</v>
      </c>
      <c r="J909">
        <v>1</v>
      </c>
      <c r="K909">
        <v>0</v>
      </c>
      <c r="L909">
        <v>0</v>
      </c>
      <c r="M909">
        <v>0</v>
      </c>
      <c r="N909" t="s">
        <v>3915</v>
      </c>
      <c r="O909" t="s">
        <v>3915</v>
      </c>
      <c r="P909" t="s">
        <v>3915</v>
      </c>
      <c r="Q909">
        <v>0</v>
      </c>
      <c r="R909" t="s">
        <v>30</v>
      </c>
      <c r="S909">
        <v>0</v>
      </c>
      <c r="T909">
        <v>0</v>
      </c>
      <c r="U909" t="s">
        <v>3915</v>
      </c>
      <c r="V909" t="s">
        <v>31</v>
      </c>
      <c r="W909">
        <v>0</v>
      </c>
    </row>
    <row r="910" spans="1:23" x14ac:dyDescent="0.25">
      <c r="A910" t="s">
        <v>4273</v>
      </c>
      <c r="B910" t="s">
        <v>954</v>
      </c>
      <c r="C910" t="s">
        <v>955</v>
      </c>
      <c r="D910" t="s">
        <v>4479</v>
      </c>
      <c r="E910" t="s">
        <v>4201</v>
      </c>
      <c r="F910" t="s">
        <v>791</v>
      </c>
      <c r="G910" t="s">
        <v>1406</v>
      </c>
      <c r="H910" s="6">
        <v>46022</v>
      </c>
      <c r="I910" t="s">
        <v>29</v>
      </c>
      <c r="J910">
        <v>9</v>
      </c>
      <c r="K910">
        <v>0</v>
      </c>
      <c r="L910">
        <v>0</v>
      </c>
      <c r="M910">
        <v>0</v>
      </c>
      <c r="N910" t="s">
        <v>3915</v>
      </c>
      <c r="O910" t="s">
        <v>3915</v>
      </c>
      <c r="P910" t="s">
        <v>3915</v>
      </c>
      <c r="Q910">
        <v>0</v>
      </c>
      <c r="R910" t="s">
        <v>30</v>
      </c>
      <c r="S910">
        <v>0</v>
      </c>
      <c r="T910">
        <v>0</v>
      </c>
      <c r="U910" t="s">
        <v>3915</v>
      </c>
      <c r="V910" t="s">
        <v>31</v>
      </c>
      <c r="W910">
        <v>0</v>
      </c>
    </row>
    <row r="911" spans="1:23" x14ac:dyDescent="0.25">
      <c r="A911" t="s">
        <v>4274</v>
      </c>
      <c r="B911" t="s">
        <v>956</v>
      </c>
      <c r="C911" t="s">
        <v>957</v>
      </c>
      <c r="D911" t="s">
        <v>4479</v>
      </c>
      <c r="E911" t="s">
        <v>4201</v>
      </c>
      <c r="F911" t="s">
        <v>791</v>
      </c>
      <c r="G911" t="s">
        <v>1406</v>
      </c>
      <c r="H911" s="6">
        <v>46022</v>
      </c>
      <c r="I911" t="s">
        <v>29</v>
      </c>
      <c r="J911">
        <v>0</v>
      </c>
      <c r="K911">
        <v>0</v>
      </c>
      <c r="L911">
        <v>0</v>
      </c>
      <c r="M911">
        <v>0</v>
      </c>
      <c r="N911" t="s">
        <v>3915</v>
      </c>
      <c r="O911" t="s">
        <v>3915</v>
      </c>
      <c r="P911" t="s">
        <v>3915</v>
      </c>
      <c r="Q911">
        <v>0</v>
      </c>
      <c r="R911" t="s">
        <v>30</v>
      </c>
      <c r="S911">
        <v>0</v>
      </c>
      <c r="T911">
        <v>0</v>
      </c>
      <c r="U911" t="s">
        <v>3915</v>
      </c>
      <c r="V911" t="s">
        <v>31</v>
      </c>
      <c r="W911">
        <v>0</v>
      </c>
    </row>
    <row r="912" spans="1:23" x14ac:dyDescent="0.25">
      <c r="A912" t="s">
        <v>4275</v>
      </c>
      <c r="B912" t="s">
        <v>958</v>
      </c>
      <c r="C912" t="s">
        <v>959</v>
      </c>
      <c r="D912" t="s">
        <v>4479</v>
      </c>
      <c r="E912" t="s">
        <v>4201</v>
      </c>
      <c r="F912" t="s">
        <v>791</v>
      </c>
      <c r="G912" t="s">
        <v>1406</v>
      </c>
      <c r="H912" s="6">
        <v>46022</v>
      </c>
      <c r="I912" t="s">
        <v>29</v>
      </c>
      <c r="J912">
        <v>0</v>
      </c>
      <c r="K912">
        <v>0</v>
      </c>
      <c r="L912">
        <v>0</v>
      </c>
      <c r="M912">
        <v>0</v>
      </c>
      <c r="N912" t="s">
        <v>3915</v>
      </c>
      <c r="O912" t="s">
        <v>3915</v>
      </c>
      <c r="P912" t="s">
        <v>3915</v>
      </c>
      <c r="Q912">
        <v>0</v>
      </c>
      <c r="R912" t="s">
        <v>30</v>
      </c>
      <c r="S912">
        <v>0</v>
      </c>
      <c r="T912">
        <v>0</v>
      </c>
      <c r="U912" t="s">
        <v>3915</v>
      </c>
      <c r="V912" t="s">
        <v>31</v>
      </c>
      <c r="W912">
        <v>0</v>
      </c>
    </row>
    <row r="913" spans="1:23" x14ac:dyDescent="0.25">
      <c r="A913" t="s">
        <v>4277</v>
      </c>
      <c r="B913" t="s">
        <v>962</v>
      </c>
      <c r="C913" t="s">
        <v>963</v>
      </c>
      <c r="D913" t="s">
        <v>4479</v>
      </c>
      <c r="E913" t="s">
        <v>4201</v>
      </c>
      <c r="F913" t="s">
        <v>791</v>
      </c>
      <c r="G913" t="s">
        <v>1406</v>
      </c>
      <c r="H913" s="6">
        <v>46022</v>
      </c>
      <c r="I913" t="s">
        <v>29</v>
      </c>
      <c r="J913">
        <v>0</v>
      </c>
      <c r="K913">
        <v>0</v>
      </c>
      <c r="L913">
        <v>0</v>
      </c>
      <c r="M913">
        <v>0</v>
      </c>
      <c r="N913" t="s">
        <v>3915</v>
      </c>
      <c r="O913" t="s">
        <v>3915</v>
      </c>
      <c r="P913" t="s">
        <v>3915</v>
      </c>
      <c r="Q913">
        <v>0</v>
      </c>
      <c r="R913" t="s">
        <v>30</v>
      </c>
      <c r="S913">
        <v>0</v>
      </c>
      <c r="T913">
        <v>0</v>
      </c>
      <c r="U913" t="s">
        <v>3915</v>
      </c>
      <c r="V913" t="s">
        <v>31</v>
      </c>
      <c r="W913">
        <v>0</v>
      </c>
    </row>
    <row r="914" spans="1:23" x14ac:dyDescent="0.25">
      <c r="A914" t="s">
        <v>4572</v>
      </c>
      <c r="B914" t="s">
        <v>2840</v>
      </c>
      <c r="C914" t="s">
        <v>2839</v>
      </c>
      <c r="D914" t="s">
        <v>4479</v>
      </c>
      <c r="E914" t="s">
        <v>4201</v>
      </c>
      <c r="F914" t="s">
        <v>791</v>
      </c>
      <c r="G914" t="s">
        <v>1406</v>
      </c>
      <c r="H914" s="6">
        <v>46022</v>
      </c>
      <c r="I914" t="s">
        <v>29</v>
      </c>
      <c r="J914">
        <v>10</v>
      </c>
      <c r="K914">
        <v>0</v>
      </c>
      <c r="L914">
        <v>0</v>
      </c>
      <c r="M914">
        <v>0</v>
      </c>
      <c r="N914" t="s">
        <v>3915</v>
      </c>
      <c r="O914" t="s">
        <v>3915</v>
      </c>
      <c r="P914" t="s">
        <v>3915</v>
      </c>
      <c r="Q914">
        <v>0</v>
      </c>
      <c r="R914" t="s">
        <v>30</v>
      </c>
      <c r="S914">
        <v>0</v>
      </c>
      <c r="T914">
        <v>0</v>
      </c>
      <c r="U914" t="s">
        <v>3915</v>
      </c>
      <c r="V914" t="s">
        <v>31</v>
      </c>
      <c r="W914">
        <v>0</v>
      </c>
    </row>
    <row r="915" spans="1:23" x14ac:dyDescent="0.25">
      <c r="A915" t="s">
        <v>4278</v>
      </c>
      <c r="B915" t="s">
        <v>964</v>
      </c>
      <c r="C915" t="s">
        <v>965</v>
      </c>
      <c r="D915" t="s">
        <v>4479</v>
      </c>
      <c r="E915" t="s">
        <v>4201</v>
      </c>
      <c r="F915" t="s">
        <v>791</v>
      </c>
      <c r="G915" t="s">
        <v>1406</v>
      </c>
      <c r="H915" s="6">
        <v>46022</v>
      </c>
      <c r="I915" t="s">
        <v>29</v>
      </c>
      <c r="J915">
        <v>0</v>
      </c>
      <c r="K915">
        <v>0</v>
      </c>
      <c r="L915">
        <v>0</v>
      </c>
      <c r="M915">
        <v>0</v>
      </c>
      <c r="N915" t="s">
        <v>3915</v>
      </c>
      <c r="O915" t="s">
        <v>3915</v>
      </c>
      <c r="P915" t="s">
        <v>3915</v>
      </c>
      <c r="Q915">
        <v>0</v>
      </c>
      <c r="R915" t="s">
        <v>30</v>
      </c>
      <c r="S915">
        <v>0</v>
      </c>
      <c r="T915">
        <v>0</v>
      </c>
      <c r="U915" t="s">
        <v>3915</v>
      </c>
      <c r="V915" t="s">
        <v>31</v>
      </c>
      <c r="W915">
        <v>0</v>
      </c>
    </row>
    <row r="916" spans="1:23" x14ac:dyDescent="0.25">
      <c r="A916" t="s">
        <v>5488</v>
      </c>
      <c r="B916" t="s">
        <v>2842</v>
      </c>
      <c r="C916" t="s">
        <v>2841</v>
      </c>
      <c r="D916" t="s">
        <v>4479</v>
      </c>
      <c r="E916" t="s">
        <v>4201</v>
      </c>
      <c r="F916" t="s">
        <v>791</v>
      </c>
      <c r="G916" t="s">
        <v>1406</v>
      </c>
      <c r="H916" s="6">
        <v>46022</v>
      </c>
      <c r="I916" t="s">
        <v>29</v>
      </c>
      <c r="J916">
        <v>28</v>
      </c>
      <c r="K916">
        <v>0</v>
      </c>
      <c r="L916">
        <v>0</v>
      </c>
      <c r="M916">
        <v>0</v>
      </c>
      <c r="N916" t="s">
        <v>3915</v>
      </c>
      <c r="O916" t="s">
        <v>3915</v>
      </c>
      <c r="P916" t="s">
        <v>3915</v>
      </c>
      <c r="Q916">
        <v>0</v>
      </c>
      <c r="R916" t="s">
        <v>30</v>
      </c>
      <c r="S916">
        <v>0</v>
      </c>
      <c r="T916">
        <v>0</v>
      </c>
      <c r="U916" t="s">
        <v>3915</v>
      </c>
      <c r="V916" t="s">
        <v>31</v>
      </c>
      <c r="W916">
        <v>0</v>
      </c>
    </row>
    <row r="917" spans="1:23" x14ac:dyDescent="0.25">
      <c r="A917" t="s">
        <v>4279</v>
      </c>
      <c r="B917" t="s">
        <v>966</v>
      </c>
      <c r="C917" t="s">
        <v>967</v>
      </c>
      <c r="D917" t="s">
        <v>4479</v>
      </c>
      <c r="E917" t="s">
        <v>4201</v>
      </c>
      <c r="F917" t="s">
        <v>791</v>
      </c>
      <c r="G917" t="s">
        <v>1406</v>
      </c>
      <c r="H917" s="6">
        <v>46022</v>
      </c>
      <c r="I917" t="s">
        <v>29</v>
      </c>
      <c r="J917">
        <v>6</v>
      </c>
      <c r="K917">
        <v>0</v>
      </c>
      <c r="L917">
        <v>0</v>
      </c>
      <c r="M917">
        <v>0</v>
      </c>
      <c r="N917" t="s">
        <v>3915</v>
      </c>
      <c r="O917" t="s">
        <v>3915</v>
      </c>
      <c r="P917" t="s">
        <v>3915</v>
      </c>
      <c r="Q917">
        <v>0</v>
      </c>
      <c r="R917" t="s">
        <v>30</v>
      </c>
      <c r="S917">
        <v>0</v>
      </c>
      <c r="T917">
        <v>0</v>
      </c>
      <c r="U917" t="s">
        <v>3915</v>
      </c>
      <c r="V917" t="s">
        <v>31</v>
      </c>
      <c r="W917">
        <v>0</v>
      </c>
    </row>
    <row r="918" spans="1:23" x14ac:dyDescent="0.25">
      <c r="A918" t="s">
        <v>4280</v>
      </c>
      <c r="B918" t="s">
        <v>970</v>
      </c>
      <c r="C918" t="s">
        <v>971</v>
      </c>
      <c r="D918" t="s">
        <v>4479</v>
      </c>
      <c r="E918" t="s">
        <v>4201</v>
      </c>
      <c r="F918" t="s">
        <v>791</v>
      </c>
      <c r="G918" t="s">
        <v>1406</v>
      </c>
      <c r="H918" s="6">
        <v>46022</v>
      </c>
      <c r="I918" t="s">
        <v>29</v>
      </c>
      <c r="J918">
        <v>14</v>
      </c>
      <c r="K918">
        <v>0</v>
      </c>
      <c r="L918">
        <v>0</v>
      </c>
      <c r="M918">
        <v>0</v>
      </c>
      <c r="N918" t="s">
        <v>3915</v>
      </c>
      <c r="O918" t="s">
        <v>3915</v>
      </c>
      <c r="P918" t="s">
        <v>3915</v>
      </c>
      <c r="Q918">
        <v>0</v>
      </c>
      <c r="R918" t="s">
        <v>30</v>
      </c>
      <c r="S918">
        <v>0</v>
      </c>
      <c r="T918">
        <v>0</v>
      </c>
      <c r="U918" t="s">
        <v>3915</v>
      </c>
      <c r="V918" t="s">
        <v>31</v>
      </c>
      <c r="W918">
        <v>0</v>
      </c>
    </row>
    <row r="919" spans="1:23" x14ac:dyDescent="0.25">
      <c r="A919" t="s">
        <v>4281</v>
      </c>
      <c r="B919" t="s">
        <v>972</v>
      </c>
      <c r="C919" t="s">
        <v>973</v>
      </c>
      <c r="D919" t="s">
        <v>4479</v>
      </c>
      <c r="E919" t="s">
        <v>4201</v>
      </c>
      <c r="F919" t="s">
        <v>791</v>
      </c>
      <c r="G919" t="s">
        <v>1406</v>
      </c>
      <c r="H919" s="6">
        <v>46022</v>
      </c>
      <c r="I919" t="s">
        <v>29</v>
      </c>
      <c r="J919">
        <v>8</v>
      </c>
      <c r="K919">
        <v>0</v>
      </c>
      <c r="L919">
        <v>0</v>
      </c>
      <c r="M919">
        <v>0</v>
      </c>
      <c r="N919" t="s">
        <v>3915</v>
      </c>
      <c r="O919" t="s">
        <v>3915</v>
      </c>
      <c r="P919" t="s">
        <v>3915</v>
      </c>
      <c r="Q919">
        <v>0</v>
      </c>
      <c r="R919" t="s">
        <v>30</v>
      </c>
      <c r="S919">
        <v>0</v>
      </c>
      <c r="T919">
        <v>0</v>
      </c>
      <c r="U919" t="s">
        <v>3915</v>
      </c>
      <c r="V919" t="s">
        <v>31</v>
      </c>
      <c r="W919">
        <v>0</v>
      </c>
    </row>
    <row r="920" spans="1:23" x14ac:dyDescent="0.25">
      <c r="A920" t="s">
        <v>5489</v>
      </c>
      <c r="B920" t="s">
        <v>2844</v>
      </c>
      <c r="C920" t="s">
        <v>2843</v>
      </c>
      <c r="D920" t="s">
        <v>4479</v>
      </c>
      <c r="E920" t="s">
        <v>4201</v>
      </c>
      <c r="F920" t="s">
        <v>791</v>
      </c>
      <c r="G920" t="s">
        <v>1406</v>
      </c>
      <c r="H920" s="6">
        <v>46022</v>
      </c>
      <c r="I920" t="s">
        <v>29</v>
      </c>
      <c r="J920">
        <v>1</v>
      </c>
      <c r="K920">
        <v>0</v>
      </c>
      <c r="L920">
        <v>0</v>
      </c>
      <c r="M920">
        <v>0</v>
      </c>
      <c r="N920" t="s">
        <v>3915</v>
      </c>
      <c r="O920" t="s">
        <v>3915</v>
      </c>
      <c r="P920" t="s">
        <v>3915</v>
      </c>
      <c r="Q920">
        <v>0</v>
      </c>
      <c r="R920" t="s">
        <v>30</v>
      </c>
      <c r="S920">
        <v>0</v>
      </c>
      <c r="T920">
        <v>0</v>
      </c>
      <c r="U920" t="s">
        <v>3915</v>
      </c>
      <c r="V920" t="s">
        <v>31</v>
      </c>
      <c r="W920">
        <v>0</v>
      </c>
    </row>
    <row r="921" spans="1:23" x14ac:dyDescent="0.25">
      <c r="A921" t="s">
        <v>5490</v>
      </c>
      <c r="B921" t="s">
        <v>2846</v>
      </c>
      <c r="C921" t="s">
        <v>2845</v>
      </c>
      <c r="D921" t="s">
        <v>4479</v>
      </c>
      <c r="E921" t="s">
        <v>4201</v>
      </c>
      <c r="F921" t="s">
        <v>791</v>
      </c>
      <c r="G921" t="s">
        <v>1406</v>
      </c>
      <c r="H921" s="6">
        <v>46022</v>
      </c>
      <c r="I921" t="s">
        <v>29</v>
      </c>
      <c r="J921">
        <v>2</v>
      </c>
      <c r="K921">
        <v>0</v>
      </c>
      <c r="L921">
        <v>0</v>
      </c>
      <c r="M921">
        <v>0</v>
      </c>
      <c r="N921" t="s">
        <v>3915</v>
      </c>
      <c r="O921" t="s">
        <v>3915</v>
      </c>
      <c r="P921" t="s">
        <v>3915</v>
      </c>
      <c r="Q921">
        <v>0</v>
      </c>
      <c r="R921" t="s">
        <v>30</v>
      </c>
      <c r="S921">
        <v>0</v>
      </c>
      <c r="T921">
        <v>0</v>
      </c>
      <c r="U921" t="s">
        <v>3915</v>
      </c>
      <c r="V921" t="s">
        <v>31</v>
      </c>
      <c r="W921">
        <v>0</v>
      </c>
    </row>
    <row r="922" spans="1:23" x14ac:dyDescent="0.25">
      <c r="A922" t="s">
        <v>4282</v>
      </c>
      <c r="B922" t="s">
        <v>974</v>
      </c>
      <c r="C922" t="s">
        <v>975</v>
      </c>
      <c r="D922" t="s">
        <v>4479</v>
      </c>
      <c r="E922" t="s">
        <v>4201</v>
      </c>
      <c r="F922" t="s">
        <v>791</v>
      </c>
      <c r="G922" t="s">
        <v>1406</v>
      </c>
      <c r="H922" s="6">
        <v>46022</v>
      </c>
      <c r="I922" t="s">
        <v>29</v>
      </c>
      <c r="J922">
        <v>0</v>
      </c>
      <c r="K922">
        <v>0</v>
      </c>
      <c r="L922">
        <v>0</v>
      </c>
      <c r="M922">
        <v>0</v>
      </c>
      <c r="N922" t="s">
        <v>3915</v>
      </c>
      <c r="O922" t="s">
        <v>3915</v>
      </c>
      <c r="P922" t="s">
        <v>3915</v>
      </c>
      <c r="Q922">
        <v>0</v>
      </c>
      <c r="R922" t="s">
        <v>30</v>
      </c>
      <c r="S922">
        <v>0</v>
      </c>
      <c r="T922">
        <v>0</v>
      </c>
      <c r="U922" t="s">
        <v>3915</v>
      </c>
      <c r="V922" t="s">
        <v>31</v>
      </c>
      <c r="W922">
        <v>0</v>
      </c>
    </row>
    <row r="923" spans="1:23" x14ac:dyDescent="0.25">
      <c r="A923" t="s">
        <v>4283</v>
      </c>
      <c r="B923" t="s">
        <v>976</v>
      </c>
      <c r="C923" t="s">
        <v>977</v>
      </c>
      <c r="D923" t="s">
        <v>4479</v>
      </c>
      <c r="E923" t="s">
        <v>4201</v>
      </c>
      <c r="F923" t="s">
        <v>791</v>
      </c>
      <c r="G923" t="s">
        <v>1406</v>
      </c>
      <c r="H923" s="6">
        <v>46022</v>
      </c>
      <c r="I923" t="s">
        <v>29</v>
      </c>
      <c r="J923">
        <v>2</v>
      </c>
      <c r="K923">
        <v>0</v>
      </c>
      <c r="L923">
        <v>0</v>
      </c>
      <c r="M923">
        <v>0</v>
      </c>
      <c r="N923" t="s">
        <v>3915</v>
      </c>
      <c r="O923" t="s">
        <v>3915</v>
      </c>
      <c r="P923" t="s">
        <v>3915</v>
      </c>
      <c r="Q923">
        <v>0</v>
      </c>
      <c r="R923" t="s">
        <v>30</v>
      </c>
      <c r="S923">
        <v>0</v>
      </c>
      <c r="T923">
        <v>0</v>
      </c>
      <c r="U923" t="s">
        <v>3915</v>
      </c>
      <c r="V923" t="s">
        <v>31</v>
      </c>
      <c r="W923">
        <v>0</v>
      </c>
    </row>
    <row r="924" spans="1:23" x14ac:dyDescent="0.25">
      <c r="A924" t="s">
        <v>5491</v>
      </c>
      <c r="B924" t="s">
        <v>2848</v>
      </c>
      <c r="C924" t="s">
        <v>2847</v>
      </c>
      <c r="D924" t="s">
        <v>4479</v>
      </c>
      <c r="E924" t="s">
        <v>4201</v>
      </c>
      <c r="F924" t="s">
        <v>791</v>
      </c>
      <c r="G924" t="s">
        <v>1406</v>
      </c>
      <c r="H924" s="6">
        <v>46022</v>
      </c>
      <c r="I924" t="s">
        <v>29</v>
      </c>
      <c r="J924">
        <v>6</v>
      </c>
      <c r="K924">
        <v>0</v>
      </c>
      <c r="L924">
        <v>0</v>
      </c>
      <c r="M924">
        <v>0</v>
      </c>
      <c r="N924" t="s">
        <v>3915</v>
      </c>
      <c r="O924" t="s">
        <v>3915</v>
      </c>
      <c r="P924" t="s">
        <v>3915</v>
      </c>
      <c r="Q924">
        <v>0</v>
      </c>
      <c r="R924" t="s">
        <v>30</v>
      </c>
      <c r="S924">
        <v>0</v>
      </c>
      <c r="T924">
        <v>0</v>
      </c>
      <c r="U924" t="s">
        <v>3915</v>
      </c>
      <c r="V924" t="s">
        <v>31</v>
      </c>
      <c r="W924">
        <v>0</v>
      </c>
    </row>
    <row r="925" spans="1:23" x14ac:dyDescent="0.25">
      <c r="A925" t="s">
        <v>4284</v>
      </c>
      <c r="B925" t="s">
        <v>978</v>
      </c>
      <c r="C925" t="s">
        <v>979</v>
      </c>
      <c r="D925" t="s">
        <v>4479</v>
      </c>
      <c r="E925" t="s">
        <v>4201</v>
      </c>
      <c r="F925" t="s">
        <v>791</v>
      </c>
      <c r="G925" t="s">
        <v>1406</v>
      </c>
      <c r="H925" s="6">
        <v>46022</v>
      </c>
      <c r="I925" t="s">
        <v>29</v>
      </c>
      <c r="J925">
        <v>8</v>
      </c>
      <c r="K925">
        <v>0</v>
      </c>
      <c r="L925">
        <v>0</v>
      </c>
      <c r="M925">
        <v>0</v>
      </c>
      <c r="N925" t="s">
        <v>3915</v>
      </c>
      <c r="O925" t="s">
        <v>3915</v>
      </c>
      <c r="P925" t="s">
        <v>3915</v>
      </c>
      <c r="Q925">
        <v>0</v>
      </c>
      <c r="R925" t="s">
        <v>30</v>
      </c>
      <c r="S925">
        <v>0</v>
      </c>
      <c r="T925">
        <v>0</v>
      </c>
      <c r="U925" t="s">
        <v>3915</v>
      </c>
      <c r="V925" t="s">
        <v>31</v>
      </c>
      <c r="W925">
        <v>0</v>
      </c>
    </row>
    <row r="926" spans="1:23" x14ac:dyDescent="0.25">
      <c r="A926" t="s">
        <v>4285</v>
      </c>
      <c r="B926" t="s">
        <v>980</v>
      </c>
      <c r="C926" t="s">
        <v>981</v>
      </c>
      <c r="D926" t="s">
        <v>4479</v>
      </c>
      <c r="E926" t="s">
        <v>4201</v>
      </c>
      <c r="F926" t="s">
        <v>791</v>
      </c>
      <c r="G926" t="s">
        <v>1406</v>
      </c>
      <c r="H926" s="6">
        <v>46022</v>
      </c>
      <c r="I926" t="s">
        <v>29</v>
      </c>
      <c r="J926">
        <v>8</v>
      </c>
      <c r="K926">
        <v>0</v>
      </c>
      <c r="L926">
        <v>0</v>
      </c>
      <c r="M926">
        <v>0</v>
      </c>
      <c r="N926" t="s">
        <v>3915</v>
      </c>
      <c r="O926" t="s">
        <v>3915</v>
      </c>
      <c r="P926" t="s">
        <v>3915</v>
      </c>
      <c r="Q926">
        <v>0</v>
      </c>
      <c r="R926" t="s">
        <v>30</v>
      </c>
      <c r="S926">
        <v>0</v>
      </c>
      <c r="T926">
        <v>0</v>
      </c>
      <c r="U926" t="s">
        <v>3915</v>
      </c>
      <c r="V926" t="s">
        <v>31</v>
      </c>
      <c r="W926">
        <v>0</v>
      </c>
    </row>
    <row r="927" spans="1:23" x14ac:dyDescent="0.25">
      <c r="A927" t="s">
        <v>4286</v>
      </c>
      <c r="B927" t="s">
        <v>982</v>
      </c>
      <c r="C927" t="s">
        <v>983</v>
      </c>
      <c r="D927" t="s">
        <v>4479</v>
      </c>
      <c r="E927" t="s">
        <v>4201</v>
      </c>
      <c r="F927" t="s">
        <v>791</v>
      </c>
      <c r="G927" t="s">
        <v>1406</v>
      </c>
      <c r="H927" s="6">
        <v>46022</v>
      </c>
      <c r="I927" t="s">
        <v>29</v>
      </c>
      <c r="J927">
        <v>0</v>
      </c>
      <c r="K927">
        <v>0</v>
      </c>
      <c r="L927">
        <v>0</v>
      </c>
      <c r="M927">
        <v>0</v>
      </c>
      <c r="N927" t="s">
        <v>3915</v>
      </c>
      <c r="O927" t="s">
        <v>3915</v>
      </c>
      <c r="P927" t="s">
        <v>3915</v>
      </c>
      <c r="Q927">
        <v>0</v>
      </c>
      <c r="R927" t="s">
        <v>30</v>
      </c>
      <c r="S927">
        <v>0</v>
      </c>
      <c r="T927">
        <v>0</v>
      </c>
      <c r="U927" t="s">
        <v>3915</v>
      </c>
      <c r="V927" t="s">
        <v>31</v>
      </c>
      <c r="W927">
        <v>0</v>
      </c>
    </row>
    <row r="928" spans="1:23" x14ac:dyDescent="0.25">
      <c r="A928" t="s">
        <v>5492</v>
      </c>
      <c r="B928" t="s">
        <v>2850</v>
      </c>
      <c r="C928" t="s">
        <v>2849</v>
      </c>
      <c r="D928" t="s">
        <v>4479</v>
      </c>
      <c r="E928" t="s">
        <v>4201</v>
      </c>
      <c r="F928" t="s">
        <v>791</v>
      </c>
      <c r="G928" t="s">
        <v>1406</v>
      </c>
      <c r="H928" s="6">
        <v>46022</v>
      </c>
      <c r="I928" t="s">
        <v>29</v>
      </c>
      <c r="J928">
        <v>3</v>
      </c>
      <c r="K928">
        <v>0</v>
      </c>
      <c r="L928">
        <v>0</v>
      </c>
      <c r="M928">
        <v>0</v>
      </c>
      <c r="N928" t="s">
        <v>3915</v>
      </c>
      <c r="O928" t="s">
        <v>3915</v>
      </c>
      <c r="P928" t="s">
        <v>3915</v>
      </c>
      <c r="Q928">
        <v>0</v>
      </c>
      <c r="R928" t="s">
        <v>30</v>
      </c>
      <c r="S928">
        <v>0</v>
      </c>
      <c r="T928">
        <v>0</v>
      </c>
      <c r="U928" t="s">
        <v>3915</v>
      </c>
      <c r="V928" t="s">
        <v>31</v>
      </c>
      <c r="W928">
        <v>0</v>
      </c>
    </row>
    <row r="929" spans="1:23" x14ac:dyDescent="0.25">
      <c r="A929" t="s">
        <v>4287</v>
      </c>
      <c r="B929" t="s">
        <v>984</v>
      </c>
      <c r="C929" t="s">
        <v>985</v>
      </c>
      <c r="D929" t="s">
        <v>4479</v>
      </c>
      <c r="E929" t="s">
        <v>4201</v>
      </c>
      <c r="F929" t="s">
        <v>791</v>
      </c>
      <c r="G929" t="s">
        <v>1406</v>
      </c>
      <c r="H929" s="6">
        <v>46022</v>
      </c>
      <c r="I929" t="s">
        <v>29</v>
      </c>
      <c r="J929">
        <v>4</v>
      </c>
      <c r="K929">
        <v>0</v>
      </c>
      <c r="L929">
        <v>0</v>
      </c>
      <c r="M929">
        <v>0</v>
      </c>
      <c r="N929" t="s">
        <v>3915</v>
      </c>
      <c r="O929" t="s">
        <v>3915</v>
      </c>
      <c r="P929" t="s">
        <v>3915</v>
      </c>
      <c r="Q929">
        <v>0</v>
      </c>
      <c r="R929" t="s">
        <v>30</v>
      </c>
      <c r="S929">
        <v>0</v>
      </c>
      <c r="T929">
        <v>0</v>
      </c>
      <c r="U929" t="s">
        <v>3915</v>
      </c>
      <c r="V929" t="s">
        <v>31</v>
      </c>
      <c r="W929">
        <v>0</v>
      </c>
    </row>
    <row r="930" spans="1:23" x14ac:dyDescent="0.25">
      <c r="A930" t="s">
        <v>4288</v>
      </c>
      <c r="B930" t="s">
        <v>986</v>
      </c>
      <c r="C930" t="s">
        <v>987</v>
      </c>
      <c r="D930" t="s">
        <v>4479</v>
      </c>
      <c r="E930" t="s">
        <v>4201</v>
      </c>
      <c r="F930" t="s">
        <v>791</v>
      </c>
      <c r="G930" t="s">
        <v>1406</v>
      </c>
      <c r="H930" s="6">
        <v>46022</v>
      </c>
      <c r="I930" t="s">
        <v>29</v>
      </c>
      <c r="J930">
        <v>0</v>
      </c>
      <c r="K930">
        <v>0</v>
      </c>
      <c r="L930">
        <v>0</v>
      </c>
      <c r="M930">
        <v>0</v>
      </c>
      <c r="N930" t="s">
        <v>3915</v>
      </c>
      <c r="O930" t="s">
        <v>3915</v>
      </c>
      <c r="P930" t="s">
        <v>3915</v>
      </c>
      <c r="Q930">
        <v>0</v>
      </c>
      <c r="R930" t="s">
        <v>30</v>
      </c>
      <c r="S930">
        <v>0</v>
      </c>
      <c r="T930">
        <v>0</v>
      </c>
      <c r="U930" t="s">
        <v>3915</v>
      </c>
      <c r="V930" t="s">
        <v>31</v>
      </c>
      <c r="W930">
        <v>0</v>
      </c>
    </row>
    <row r="931" spans="1:23" x14ac:dyDescent="0.25">
      <c r="A931" t="s">
        <v>4289</v>
      </c>
      <c r="B931" t="s">
        <v>990</v>
      </c>
      <c r="C931" t="s">
        <v>991</v>
      </c>
      <c r="D931" t="s">
        <v>4479</v>
      </c>
      <c r="E931" t="s">
        <v>4201</v>
      </c>
      <c r="F931" t="s">
        <v>791</v>
      </c>
      <c r="G931" t="s">
        <v>1406</v>
      </c>
      <c r="H931" s="6">
        <v>46022</v>
      </c>
      <c r="I931" t="s">
        <v>29</v>
      </c>
      <c r="J931">
        <v>1</v>
      </c>
      <c r="K931">
        <v>0</v>
      </c>
      <c r="L931">
        <v>0</v>
      </c>
      <c r="M931">
        <v>0</v>
      </c>
      <c r="N931" t="s">
        <v>3915</v>
      </c>
      <c r="O931" t="s">
        <v>3915</v>
      </c>
      <c r="P931" t="s">
        <v>3915</v>
      </c>
      <c r="Q931">
        <v>0</v>
      </c>
      <c r="R931" t="s">
        <v>30</v>
      </c>
      <c r="S931">
        <v>0</v>
      </c>
      <c r="T931">
        <v>0</v>
      </c>
      <c r="U931" t="s">
        <v>3915</v>
      </c>
      <c r="V931" t="s">
        <v>31</v>
      </c>
      <c r="W931">
        <v>0</v>
      </c>
    </row>
    <row r="932" spans="1:23" x14ac:dyDescent="0.25">
      <c r="A932" t="s">
        <v>4290</v>
      </c>
      <c r="B932" t="s">
        <v>992</v>
      </c>
      <c r="C932" t="s">
        <v>993</v>
      </c>
      <c r="D932" t="s">
        <v>4479</v>
      </c>
      <c r="E932" t="s">
        <v>4201</v>
      </c>
      <c r="F932" t="s">
        <v>791</v>
      </c>
      <c r="G932" t="s">
        <v>1406</v>
      </c>
      <c r="H932" s="6">
        <v>46022</v>
      </c>
      <c r="I932" t="s">
        <v>29</v>
      </c>
      <c r="J932">
        <v>0</v>
      </c>
      <c r="K932">
        <v>0</v>
      </c>
      <c r="L932">
        <v>0</v>
      </c>
      <c r="M932">
        <v>0</v>
      </c>
      <c r="N932" t="s">
        <v>3915</v>
      </c>
      <c r="O932" t="s">
        <v>3915</v>
      </c>
      <c r="P932" t="s">
        <v>3915</v>
      </c>
      <c r="Q932">
        <v>0</v>
      </c>
      <c r="R932" t="s">
        <v>30</v>
      </c>
      <c r="S932">
        <v>0</v>
      </c>
      <c r="T932">
        <v>0</v>
      </c>
      <c r="U932" t="s">
        <v>3915</v>
      </c>
      <c r="V932" t="s">
        <v>31</v>
      </c>
      <c r="W932">
        <v>0</v>
      </c>
    </row>
    <row r="933" spans="1:23" x14ac:dyDescent="0.25">
      <c r="A933" t="s">
        <v>4291</v>
      </c>
      <c r="B933" t="s">
        <v>994</v>
      </c>
      <c r="C933" t="s">
        <v>995</v>
      </c>
      <c r="D933" t="s">
        <v>4479</v>
      </c>
      <c r="E933" t="s">
        <v>4201</v>
      </c>
      <c r="F933" t="s">
        <v>791</v>
      </c>
      <c r="G933" t="s">
        <v>1406</v>
      </c>
      <c r="H933" s="6">
        <v>46022</v>
      </c>
      <c r="I933" t="s">
        <v>29</v>
      </c>
      <c r="J933">
        <v>6</v>
      </c>
      <c r="K933">
        <v>0</v>
      </c>
      <c r="L933">
        <v>0</v>
      </c>
      <c r="M933">
        <v>0</v>
      </c>
      <c r="N933" t="s">
        <v>3915</v>
      </c>
      <c r="O933" t="s">
        <v>3915</v>
      </c>
      <c r="P933" t="s">
        <v>3915</v>
      </c>
      <c r="Q933">
        <v>0</v>
      </c>
      <c r="R933" t="s">
        <v>30</v>
      </c>
      <c r="S933">
        <v>0</v>
      </c>
      <c r="T933">
        <v>0</v>
      </c>
      <c r="U933" t="s">
        <v>3915</v>
      </c>
      <c r="V933" t="s">
        <v>31</v>
      </c>
      <c r="W933">
        <v>0</v>
      </c>
    </row>
    <row r="934" spans="1:23" x14ac:dyDescent="0.25">
      <c r="A934" t="s">
        <v>4292</v>
      </c>
      <c r="B934" t="s">
        <v>996</v>
      </c>
      <c r="C934" t="s">
        <v>997</v>
      </c>
      <c r="D934" t="s">
        <v>4479</v>
      </c>
      <c r="E934" t="s">
        <v>4201</v>
      </c>
      <c r="F934" t="s">
        <v>791</v>
      </c>
      <c r="G934" t="s">
        <v>1406</v>
      </c>
      <c r="H934" s="6">
        <v>46022</v>
      </c>
      <c r="I934" t="s">
        <v>29</v>
      </c>
      <c r="J934">
        <v>1</v>
      </c>
      <c r="K934">
        <v>0</v>
      </c>
      <c r="L934">
        <v>0</v>
      </c>
      <c r="M934">
        <v>0</v>
      </c>
      <c r="N934" t="s">
        <v>3915</v>
      </c>
      <c r="O934" t="s">
        <v>3915</v>
      </c>
      <c r="P934" t="s">
        <v>3915</v>
      </c>
      <c r="Q934">
        <v>0</v>
      </c>
      <c r="R934" t="s">
        <v>30</v>
      </c>
      <c r="S934">
        <v>0</v>
      </c>
      <c r="T934">
        <v>0</v>
      </c>
      <c r="U934" t="s">
        <v>3915</v>
      </c>
      <c r="V934" t="s">
        <v>31</v>
      </c>
      <c r="W934">
        <v>0</v>
      </c>
    </row>
    <row r="935" spans="1:23" x14ac:dyDescent="0.25">
      <c r="A935" t="s">
        <v>4293</v>
      </c>
      <c r="B935" t="s">
        <v>998</v>
      </c>
      <c r="C935" t="s">
        <v>999</v>
      </c>
      <c r="D935" t="s">
        <v>4479</v>
      </c>
      <c r="E935" t="s">
        <v>4201</v>
      </c>
      <c r="F935" t="s">
        <v>791</v>
      </c>
      <c r="G935" t="s">
        <v>1406</v>
      </c>
      <c r="H935" s="6">
        <v>46022</v>
      </c>
      <c r="I935" t="s">
        <v>29</v>
      </c>
      <c r="J935">
        <v>0</v>
      </c>
      <c r="K935">
        <v>0</v>
      </c>
      <c r="L935">
        <v>0</v>
      </c>
      <c r="M935">
        <v>0</v>
      </c>
      <c r="N935" t="s">
        <v>3915</v>
      </c>
      <c r="O935" t="s">
        <v>3915</v>
      </c>
      <c r="P935" t="s">
        <v>3915</v>
      </c>
      <c r="Q935">
        <v>0</v>
      </c>
      <c r="R935" t="s">
        <v>30</v>
      </c>
      <c r="S935">
        <v>0</v>
      </c>
      <c r="T935">
        <v>0</v>
      </c>
      <c r="U935" t="s">
        <v>3915</v>
      </c>
      <c r="V935" t="s">
        <v>31</v>
      </c>
      <c r="W935">
        <v>0</v>
      </c>
    </row>
    <row r="936" spans="1:23" x14ac:dyDescent="0.25">
      <c r="A936" t="s">
        <v>4294</v>
      </c>
      <c r="B936" t="s">
        <v>1000</v>
      </c>
      <c r="C936" t="s">
        <v>1001</v>
      </c>
      <c r="D936" t="s">
        <v>4479</v>
      </c>
      <c r="E936" t="s">
        <v>4201</v>
      </c>
      <c r="F936" t="s">
        <v>791</v>
      </c>
      <c r="G936" t="s">
        <v>1406</v>
      </c>
      <c r="H936" s="6">
        <v>46022</v>
      </c>
      <c r="I936" t="s">
        <v>29</v>
      </c>
      <c r="J936">
        <v>6</v>
      </c>
      <c r="K936">
        <v>0</v>
      </c>
      <c r="L936">
        <v>0</v>
      </c>
      <c r="M936">
        <v>0</v>
      </c>
      <c r="N936" t="s">
        <v>3915</v>
      </c>
      <c r="O936" t="s">
        <v>3915</v>
      </c>
      <c r="P936" t="s">
        <v>3915</v>
      </c>
      <c r="Q936">
        <v>0</v>
      </c>
      <c r="R936" t="s">
        <v>30</v>
      </c>
      <c r="S936">
        <v>0</v>
      </c>
      <c r="T936">
        <v>0</v>
      </c>
      <c r="U936" t="s">
        <v>3915</v>
      </c>
      <c r="V936" t="s">
        <v>31</v>
      </c>
      <c r="W936">
        <v>0</v>
      </c>
    </row>
    <row r="937" spans="1:23" x14ac:dyDescent="0.25">
      <c r="A937" t="s">
        <v>5493</v>
      </c>
      <c r="B937" t="s">
        <v>2852</v>
      </c>
      <c r="C937" t="s">
        <v>2851</v>
      </c>
      <c r="D937" t="s">
        <v>4479</v>
      </c>
      <c r="E937" t="s">
        <v>4201</v>
      </c>
      <c r="F937" t="s">
        <v>791</v>
      </c>
      <c r="G937" t="s">
        <v>1406</v>
      </c>
      <c r="H937" s="6">
        <v>46022</v>
      </c>
      <c r="I937" t="s">
        <v>29</v>
      </c>
      <c r="J937">
        <v>1</v>
      </c>
      <c r="K937">
        <v>0</v>
      </c>
      <c r="L937">
        <v>0</v>
      </c>
      <c r="M937">
        <v>0</v>
      </c>
      <c r="N937" t="s">
        <v>3915</v>
      </c>
      <c r="O937" t="s">
        <v>3915</v>
      </c>
      <c r="P937" t="s">
        <v>3915</v>
      </c>
      <c r="Q937">
        <v>0</v>
      </c>
      <c r="R937" t="s">
        <v>30</v>
      </c>
      <c r="S937">
        <v>0</v>
      </c>
      <c r="T937">
        <v>0</v>
      </c>
      <c r="U937" t="s">
        <v>3915</v>
      </c>
      <c r="V937" t="s">
        <v>31</v>
      </c>
      <c r="W937">
        <v>0</v>
      </c>
    </row>
    <row r="938" spans="1:23" x14ac:dyDescent="0.25">
      <c r="A938" t="s">
        <v>5494</v>
      </c>
      <c r="B938" t="s">
        <v>2854</v>
      </c>
      <c r="C938" t="s">
        <v>2853</v>
      </c>
      <c r="D938" t="s">
        <v>4479</v>
      </c>
      <c r="E938" t="s">
        <v>4201</v>
      </c>
      <c r="F938" t="s">
        <v>791</v>
      </c>
      <c r="G938" t="s">
        <v>1406</v>
      </c>
      <c r="H938" s="6">
        <v>46022</v>
      </c>
      <c r="I938" t="s">
        <v>29</v>
      </c>
      <c r="J938">
        <v>1</v>
      </c>
      <c r="K938">
        <v>0</v>
      </c>
      <c r="L938">
        <v>0</v>
      </c>
      <c r="M938">
        <v>0</v>
      </c>
      <c r="N938" t="s">
        <v>3915</v>
      </c>
      <c r="O938" t="s">
        <v>3915</v>
      </c>
      <c r="P938" t="s">
        <v>3915</v>
      </c>
      <c r="Q938">
        <v>0</v>
      </c>
      <c r="R938" t="s">
        <v>30</v>
      </c>
      <c r="S938">
        <v>0</v>
      </c>
      <c r="T938">
        <v>0</v>
      </c>
      <c r="U938" t="s">
        <v>3915</v>
      </c>
      <c r="V938" t="s">
        <v>31</v>
      </c>
      <c r="W938">
        <v>0</v>
      </c>
    </row>
    <row r="939" spans="1:23" x14ac:dyDescent="0.25">
      <c r="A939" t="s">
        <v>4295</v>
      </c>
      <c r="B939" t="s">
        <v>1004</v>
      </c>
      <c r="C939" t="s">
        <v>1005</v>
      </c>
      <c r="D939" t="s">
        <v>4479</v>
      </c>
      <c r="E939" t="s">
        <v>4201</v>
      </c>
      <c r="F939" t="s">
        <v>791</v>
      </c>
      <c r="G939" t="s">
        <v>1406</v>
      </c>
      <c r="H939" s="6">
        <v>46022</v>
      </c>
      <c r="I939" t="s">
        <v>29</v>
      </c>
      <c r="J939">
        <v>3</v>
      </c>
      <c r="K939">
        <v>0</v>
      </c>
      <c r="L939">
        <v>0</v>
      </c>
      <c r="M939">
        <v>0</v>
      </c>
      <c r="N939" t="s">
        <v>3915</v>
      </c>
      <c r="O939" t="s">
        <v>3915</v>
      </c>
      <c r="P939" t="s">
        <v>3915</v>
      </c>
      <c r="Q939">
        <v>0</v>
      </c>
      <c r="R939" t="s">
        <v>30</v>
      </c>
      <c r="S939">
        <v>0</v>
      </c>
      <c r="T939">
        <v>0</v>
      </c>
      <c r="U939" t="s">
        <v>3915</v>
      </c>
      <c r="V939" t="s">
        <v>31</v>
      </c>
      <c r="W939">
        <v>0</v>
      </c>
    </row>
    <row r="940" spans="1:23" x14ac:dyDescent="0.25">
      <c r="A940" t="s">
        <v>5495</v>
      </c>
      <c r="B940" t="s">
        <v>2856</v>
      </c>
      <c r="C940" t="s">
        <v>2855</v>
      </c>
      <c r="D940" t="s">
        <v>4479</v>
      </c>
      <c r="E940" t="s">
        <v>4201</v>
      </c>
      <c r="F940" t="s">
        <v>791</v>
      </c>
      <c r="G940" t="s">
        <v>1406</v>
      </c>
      <c r="H940" s="6">
        <v>46022</v>
      </c>
      <c r="I940" t="s">
        <v>29</v>
      </c>
      <c r="J940">
        <v>2</v>
      </c>
      <c r="K940">
        <v>0</v>
      </c>
      <c r="L940">
        <v>0</v>
      </c>
      <c r="M940">
        <v>0</v>
      </c>
      <c r="N940" t="s">
        <v>3915</v>
      </c>
      <c r="O940" t="s">
        <v>3915</v>
      </c>
      <c r="P940" t="s">
        <v>3915</v>
      </c>
      <c r="Q940">
        <v>0</v>
      </c>
      <c r="R940" t="s">
        <v>30</v>
      </c>
      <c r="S940">
        <v>0</v>
      </c>
      <c r="T940">
        <v>0</v>
      </c>
      <c r="U940" t="s">
        <v>3915</v>
      </c>
      <c r="V940" t="s">
        <v>31</v>
      </c>
      <c r="W940">
        <v>0</v>
      </c>
    </row>
    <row r="941" spans="1:23" x14ac:dyDescent="0.25">
      <c r="A941" t="s">
        <v>5496</v>
      </c>
      <c r="B941" t="s">
        <v>2858</v>
      </c>
      <c r="C941" t="s">
        <v>2857</v>
      </c>
      <c r="D941" t="s">
        <v>4479</v>
      </c>
      <c r="E941" t="s">
        <v>4201</v>
      </c>
      <c r="F941" t="s">
        <v>791</v>
      </c>
      <c r="G941" t="s">
        <v>1406</v>
      </c>
      <c r="H941" s="6">
        <v>46022</v>
      </c>
      <c r="I941" t="s">
        <v>29</v>
      </c>
      <c r="J941">
        <v>6</v>
      </c>
      <c r="K941">
        <v>0</v>
      </c>
      <c r="L941">
        <v>0</v>
      </c>
      <c r="M941">
        <v>0</v>
      </c>
      <c r="N941" t="s">
        <v>3915</v>
      </c>
      <c r="O941" t="s">
        <v>3915</v>
      </c>
      <c r="P941" t="s">
        <v>3915</v>
      </c>
      <c r="Q941">
        <v>0</v>
      </c>
      <c r="R941" t="s">
        <v>30</v>
      </c>
      <c r="S941">
        <v>0</v>
      </c>
      <c r="T941">
        <v>0</v>
      </c>
      <c r="U941" t="s">
        <v>3915</v>
      </c>
      <c r="V941" t="s">
        <v>31</v>
      </c>
      <c r="W941">
        <v>0</v>
      </c>
    </row>
    <row r="942" spans="1:23" x14ac:dyDescent="0.25">
      <c r="A942" t="s">
        <v>5497</v>
      </c>
      <c r="B942" t="s">
        <v>2860</v>
      </c>
      <c r="C942" t="s">
        <v>2859</v>
      </c>
      <c r="D942" t="s">
        <v>4479</v>
      </c>
      <c r="E942" t="s">
        <v>4201</v>
      </c>
      <c r="F942" t="s">
        <v>791</v>
      </c>
      <c r="G942" t="s">
        <v>1406</v>
      </c>
      <c r="H942" s="6">
        <v>46022</v>
      </c>
      <c r="I942" t="s">
        <v>29</v>
      </c>
      <c r="J942">
        <v>16</v>
      </c>
      <c r="K942">
        <v>0</v>
      </c>
      <c r="L942">
        <v>0</v>
      </c>
      <c r="M942">
        <v>0</v>
      </c>
      <c r="N942" t="s">
        <v>3915</v>
      </c>
      <c r="O942" t="s">
        <v>3915</v>
      </c>
      <c r="P942" t="s">
        <v>3915</v>
      </c>
      <c r="Q942">
        <v>0</v>
      </c>
      <c r="R942" t="s">
        <v>30</v>
      </c>
      <c r="S942">
        <v>0</v>
      </c>
      <c r="T942">
        <v>0</v>
      </c>
      <c r="U942" t="s">
        <v>3915</v>
      </c>
      <c r="V942" t="s">
        <v>31</v>
      </c>
      <c r="W942">
        <v>0</v>
      </c>
    </row>
    <row r="943" spans="1:23" x14ac:dyDescent="0.25">
      <c r="A943" t="s">
        <v>4296</v>
      </c>
      <c r="B943" t="s">
        <v>1006</v>
      </c>
      <c r="C943" t="s">
        <v>1007</v>
      </c>
      <c r="D943" t="s">
        <v>4479</v>
      </c>
      <c r="E943" t="s">
        <v>4201</v>
      </c>
      <c r="F943" t="s">
        <v>791</v>
      </c>
      <c r="G943" t="s">
        <v>1406</v>
      </c>
      <c r="H943" s="6">
        <v>46022</v>
      </c>
      <c r="I943" t="s">
        <v>29</v>
      </c>
      <c r="J943">
        <v>2</v>
      </c>
      <c r="K943">
        <v>0</v>
      </c>
      <c r="L943">
        <v>0</v>
      </c>
      <c r="M943">
        <v>0</v>
      </c>
      <c r="N943" t="s">
        <v>3915</v>
      </c>
      <c r="O943" t="s">
        <v>3915</v>
      </c>
      <c r="P943" t="s">
        <v>3915</v>
      </c>
      <c r="Q943">
        <v>0</v>
      </c>
      <c r="R943" t="s">
        <v>30</v>
      </c>
      <c r="S943">
        <v>0</v>
      </c>
      <c r="T943">
        <v>0</v>
      </c>
      <c r="U943" t="s">
        <v>3915</v>
      </c>
      <c r="V943" t="s">
        <v>31</v>
      </c>
      <c r="W943">
        <v>0</v>
      </c>
    </row>
    <row r="944" spans="1:23" x14ac:dyDescent="0.25">
      <c r="A944" t="s">
        <v>4297</v>
      </c>
      <c r="B944" t="s">
        <v>1008</v>
      </c>
      <c r="C944" t="s">
        <v>1009</v>
      </c>
      <c r="D944" t="s">
        <v>4479</v>
      </c>
      <c r="E944" t="s">
        <v>4201</v>
      </c>
      <c r="F944" t="s">
        <v>791</v>
      </c>
      <c r="G944" t="s">
        <v>1406</v>
      </c>
      <c r="H944" s="6">
        <v>46022</v>
      </c>
      <c r="I944" t="s">
        <v>29</v>
      </c>
      <c r="J944">
        <v>6</v>
      </c>
      <c r="K944">
        <v>0</v>
      </c>
      <c r="L944">
        <v>0</v>
      </c>
      <c r="M944">
        <v>0</v>
      </c>
      <c r="N944" t="s">
        <v>3915</v>
      </c>
      <c r="O944" t="s">
        <v>3915</v>
      </c>
      <c r="P944" t="s">
        <v>3915</v>
      </c>
      <c r="Q944">
        <v>0</v>
      </c>
      <c r="R944" t="s">
        <v>30</v>
      </c>
      <c r="S944">
        <v>0</v>
      </c>
      <c r="T944">
        <v>0</v>
      </c>
      <c r="U944" t="s">
        <v>3915</v>
      </c>
      <c r="V944" t="s">
        <v>31</v>
      </c>
      <c r="W944">
        <v>0</v>
      </c>
    </row>
    <row r="945" spans="1:23" x14ac:dyDescent="0.25">
      <c r="A945" t="s">
        <v>4298</v>
      </c>
      <c r="B945" t="s">
        <v>1010</v>
      </c>
      <c r="C945" t="s">
        <v>1011</v>
      </c>
      <c r="D945" t="s">
        <v>4479</v>
      </c>
      <c r="E945" t="s">
        <v>4201</v>
      </c>
      <c r="F945" t="s">
        <v>791</v>
      </c>
      <c r="G945" t="s">
        <v>1406</v>
      </c>
      <c r="H945" s="6">
        <v>46022</v>
      </c>
      <c r="I945" t="s">
        <v>29</v>
      </c>
      <c r="J945">
        <v>9</v>
      </c>
      <c r="K945">
        <v>0</v>
      </c>
      <c r="L945">
        <v>0</v>
      </c>
      <c r="M945">
        <v>0</v>
      </c>
      <c r="N945" t="s">
        <v>3915</v>
      </c>
      <c r="O945" t="s">
        <v>3915</v>
      </c>
      <c r="P945" t="s">
        <v>3915</v>
      </c>
      <c r="Q945">
        <v>0</v>
      </c>
      <c r="R945" t="s">
        <v>30</v>
      </c>
      <c r="S945">
        <v>0</v>
      </c>
      <c r="T945">
        <v>0</v>
      </c>
      <c r="U945" t="s">
        <v>3915</v>
      </c>
      <c r="V945" t="s">
        <v>31</v>
      </c>
      <c r="W945">
        <v>0</v>
      </c>
    </row>
    <row r="946" spans="1:23" x14ac:dyDescent="0.25">
      <c r="A946" t="s">
        <v>4299</v>
      </c>
      <c r="B946" t="s">
        <v>1012</v>
      </c>
      <c r="C946" t="s">
        <v>1013</v>
      </c>
      <c r="D946" t="s">
        <v>4479</v>
      </c>
      <c r="E946" t="s">
        <v>4201</v>
      </c>
      <c r="F946" t="s">
        <v>791</v>
      </c>
      <c r="G946" t="s">
        <v>1406</v>
      </c>
      <c r="H946" s="6">
        <v>46022</v>
      </c>
      <c r="I946" t="s">
        <v>29</v>
      </c>
      <c r="J946">
        <v>8</v>
      </c>
      <c r="K946">
        <v>0</v>
      </c>
      <c r="L946">
        <v>0</v>
      </c>
      <c r="M946">
        <v>0</v>
      </c>
      <c r="N946" t="s">
        <v>3915</v>
      </c>
      <c r="O946" t="s">
        <v>3915</v>
      </c>
      <c r="P946" t="s">
        <v>3915</v>
      </c>
      <c r="Q946">
        <v>0</v>
      </c>
      <c r="R946" t="s">
        <v>30</v>
      </c>
      <c r="S946">
        <v>0</v>
      </c>
      <c r="T946">
        <v>0</v>
      </c>
      <c r="U946" t="s">
        <v>3915</v>
      </c>
      <c r="V946" t="s">
        <v>31</v>
      </c>
      <c r="W946">
        <v>0</v>
      </c>
    </row>
    <row r="947" spans="1:23" x14ac:dyDescent="0.25">
      <c r="A947" t="s">
        <v>4300</v>
      </c>
      <c r="B947" t="s">
        <v>1014</v>
      </c>
      <c r="C947" t="s">
        <v>1015</v>
      </c>
      <c r="D947" t="s">
        <v>4479</v>
      </c>
      <c r="E947" t="s">
        <v>4201</v>
      </c>
      <c r="F947" t="s">
        <v>791</v>
      </c>
      <c r="G947" t="s">
        <v>1406</v>
      </c>
      <c r="H947" s="6">
        <v>46022</v>
      </c>
      <c r="I947" t="s">
        <v>29</v>
      </c>
      <c r="J947">
        <v>9</v>
      </c>
      <c r="K947">
        <v>0</v>
      </c>
      <c r="L947">
        <v>0</v>
      </c>
      <c r="M947">
        <v>0</v>
      </c>
      <c r="N947" t="s">
        <v>3915</v>
      </c>
      <c r="O947" t="s">
        <v>3915</v>
      </c>
      <c r="P947" t="s">
        <v>3915</v>
      </c>
      <c r="Q947">
        <v>0</v>
      </c>
      <c r="R947" t="s">
        <v>30</v>
      </c>
      <c r="S947">
        <v>0</v>
      </c>
      <c r="T947">
        <v>0</v>
      </c>
      <c r="U947" t="s">
        <v>3915</v>
      </c>
      <c r="V947" t="s">
        <v>31</v>
      </c>
      <c r="W947">
        <v>0</v>
      </c>
    </row>
    <row r="948" spans="1:23" x14ac:dyDescent="0.25">
      <c r="A948" t="s">
        <v>4301</v>
      </c>
      <c r="B948" t="s">
        <v>1016</v>
      </c>
      <c r="C948" t="s">
        <v>1017</v>
      </c>
      <c r="D948" t="s">
        <v>4479</v>
      </c>
      <c r="E948" t="s">
        <v>4201</v>
      </c>
      <c r="F948" t="s">
        <v>791</v>
      </c>
      <c r="G948" t="s">
        <v>1406</v>
      </c>
      <c r="H948" s="6">
        <v>46022</v>
      </c>
      <c r="I948" t="s">
        <v>29</v>
      </c>
      <c r="J948">
        <v>3</v>
      </c>
      <c r="K948">
        <v>0</v>
      </c>
      <c r="L948">
        <v>0</v>
      </c>
      <c r="M948">
        <v>0</v>
      </c>
      <c r="N948" t="s">
        <v>3915</v>
      </c>
      <c r="O948" t="s">
        <v>3915</v>
      </c>
      <c r="P948" t="s">
        <v>3915</v>
      </c>
      <c r="Q948">
        <v>0</v>
      </c>
      <c r="R948" t="s">
        <v>30</v>
      </c>
      <c r="S948">
        <v>0</v>
      </c>
      <c r="T948">
        <v>0</v>
      </c>
      <c r="U948" t="s">
        <v>3915</v>
      </c>
      <c r="V948" t="s">
        <v>31</v>
      </c>
      <c r="W948">
        <v>0</v>
      </c>
    </row>
    <row r="949" spans="1:23" x14ac:dyDescent="0.25">
      <c r="A949" t="s">
        <v>5498</v>
      </c>
      <c r="B949" t="s">
        <v>1552</v>
      </c>
      <c r="C949" t="s">
        <v>1551</v>
      </c>
      <c r="D949" t="s">
        <v>4479</v>
      </c>
      <c r="E949" t="s">
        <v>4201</v>
      </c>
      <c r="F949" t="s">
        <v>791</v>
      </c>
      <c r="G949" t="s">
        <v>1406</v>
      </c>
      <c r="H949" s="6">
        <v>46022</v>
      </c>
      <c r="I949" t="s">
        <v>29</v>
      </c>
      <c r="J949">
        <v>30</v>
      </c>
      <c r="K949">
        <v>0</v>
      </c>
      <c r="L949">
        <v>0</v>
      </c>
      <c r="M949">
        <v>0</v>
      </c>
      <c r="N949" t="s">
        <v>3915</v>
      </c>
      <c r="O949" t="s">
        <v>3915</v>
      </c>
      <c r="P949" t="s">
        <v>3915</v>
      </c>
      <c r="Q949">
        <v>0</v>
      </c>
      <c r="R949" t="s">
        <v>30</v>
      </c>
      <c r="S949">
        <v>0</v>
      </c>
      <c r="T949">
        <v>0</v>
      </c>
      <c r="U949" t="s">
        <v>3915</v>
      </c>
      <c r="V949" t="s">
        <v>31</v>
      </c>
      <c r="W949">
        <v>0</v>
      </c>
    </row>
    <row r="950" spans="1:23" x14ac:dyDescent="0.25">
      <c r="A950" t="s">
        <v>5499</v>
      </c>
      <c r="B950" t="s">
        <v>2862</v>
      </c>
      <c r="C950" t="s">
        <v>2861</v>
      </c>
      <c r="D950" t="s">
        <v>4479</v>
      </c>
      <c r="E950" t="s">
        <v>4201</v>
      </c>
      <c r="F950" t="s">
        <v>791</v>
      </c>
      <c r="G950" t="s">
        <v>1406</v>
      </c>
      <c r="H950" s="6">
        <v>46022</v>
      </c>
      <c r="I950" t="s">
        <v>29</v>
      </c>
      <c r="J950">
        <v>16</v>
      </c>
      <c r="K950">
        <v>0</v>
      </c>
      <c r="L950">
        <v>0</v>
      </c>
      <c r="M950">
        <v>0</v>
      </c>
      <c r="N950" t="s">
        <v>3915</v>
      </c>
      <c r="O950" t="s">
        <v>3915</v>
      </c>
      <c r="P950" t="s">
        <v>3915</v>
      </c>
      <c r="Q950">
        <v>0</v>
      </c>
      <c r="R950" t="s">
        <v>30</v>
      </c>
      <c r="S950">
        <v>0</v>
      </c>
      <c r="T950">
        <v>0</v>
      </c>
      <c r="U950" t="s">
        <v>3915</v>
      </c>
      <c r="V950" t="s">
        <v>31</v>
      </c>
      <c r="W950">
        <v>0</v>
      </c>
    </row>
    <row r="951" spans="1:23" x14ac:dyDescent="0.25">
      <c r="A951" t="s">
        <v>5500</v>
      </c>
      <c r="B951" t="s">
        <v>2864</v>
      </c>
      <c r="C951" t="s">
        <v>2863</v>
      </c>
      <c r="D951" t="s">
        <v>4479</v>
      </c>
      <c r="E951" t="s">
        <v>4201</v>
      </c>
      <c r="F951" t="s">
        <v>791</v>
      </c>
      <c r="G951" t="s">
        <v>1406</v>
      </c>
      <c r="H951" s="6">
        <v>46022</v>
      </c>
      <c r="I951" t="s">
        <v>29</v>
      </c>
      <c r="J951">
        <v>10</v>
      </c>
      <c r="K951">
        <v>0</v>
      </c>
      <c r="L951">
        <v>0</v>
      </c>
      <c r="M951">
        <v>0</v>
      </c>
      <c r="N951" t="s">
        <v>3915</v>
      </c>
      <c r="O951" t="s">
        <v>3915</v>
      </c>
      <c r="P951" t="s">
        <v>3915</v>
      </c>
      <c r="Q951">
        <v>0</v>
      </c>
      <c r="R951" t="s">
        <v>30</v>
      </c>
      <c r="S951">
        <v>0</v>
      </c>
      <c r="T951">
        <v>0</v>
      </c>
      <c r="U951" t="s">
        <v>3915</v>
      </c>
      <c r="V951" t="s">
        <v>31</v>
      </c>
      <c r="W951">
        <v>0</v>
      </c>
    </row>
    <row r="952" spans="1:23" x14ac:dyDescent="0.25">
      <c r="A952" t="s">
        <v>4302</v>
      </c>
      <c r="B952" t="s">
        <v>1018</v>
      </c>
      <c r="C952" t="s">
        <v>1019</v>
      </c>
      <c r="D952" t="s">
        <v>4479</v>
      </c>
      <c r="E952" t="s">
        <v>4201</v>
      </c>
      <c r="F952" t="s">
        <v>791</v>
      </c>
      <c r="G952" t="s">
        <v>1406</v>
      </c>
      <c r="H952" s="6">
        <v>46022</v>
      </c>
      <c r="I952" t="s">
        <v>29</v>
      </c>
      <c r="J952">
        <v>10</v>
      </c>
      <c r="K952">
        <v>0</v>
      </c>
      <c r="L952">
        <v>0</v>
      </c>
      <c r="M952">
        <v>0</v>
      </c>
      <c r="N952" t="s">
        <v>3915</v>
      </c>
      <c r="O952" t="s">
        <v>3915</v>
      </c>
      <c r="P952" t="s">
        <v>3915</v>
      </c>
      <c r="Q952">
        <v>0</v>
      </c>
      <c r="R952" t="s">
        <v>30</v>
      </c>
      <c r="S952">
        <v>0</v>
      </c>
      <c r="T952">
        <v>0</v>
      </c>
      <c r="U952" t="s">
        <v>3915</v>
      </c>
      <c r="V952" t="s">
        <v>31</v>
      </c>
      <c r="W952">
        <v>0</v>
      </c>
    </row>
    <row r="953" spans="1:23" x14ac:dyDescent="0.25">
      <c r="A953" t="s">
        <v>5501</v>
      </c>
      <c r="B953" t="s">
        <v>2866</v>
      </c>
      <c r="C953" t="s">
        <v>2865</v>
      </c>
      <c r="D953" t="s">
        <v>4479</v>
      </c>
      <c r="E953" t="s">
        <v>4201</v>
      </c>
      <c r="F953" t="s">
        <v>791</v>
      </c>
      <c r="G953" t="s">
        <v>1406</v>
      </c>
      <c r="H953" s="6">
        <v>46022</v>
      </c>
      <c r="I953" t="s">
        <v>29</v>
      </c>
      <c r="J953">
        <v>55</v>
      </c>
      <c r="K953">
        <v>0</v>
      </c>
      <c r="L953">
        <v>0</v>
      </c>
      <c r="M953">
        <v>0</v>
      </c>
      <c r="N953" t="s">
        <v>3915</v>
      </c>
      <c r="O953" t="s">
        <v>3915</v>
      </c>
      <c r="P953" t="s">
        <v>3915</v>
      </c>
      <c r="Q953">
        <v>0</v>
      </c>
      <c r="R953" t="s">
        <v>30</v>
      </c>
      <c r="S953">
        <v>0</v>
      </c>
      <c r="T953">
        <v>0</v>
      </c>
      <c r="U953" t="s">
        <v>3915</v>
      </c>
      <c r="V953" t="s">
        <v>31</v>
      </c>
      <c r="W953">
        <v>0</v>
      </c>
    </row>
    <row r="954" spans="1:23" x14ac:dyDescent="0.25">
      <c r="A954" t="s">
        <v>4303</v>
      </c>
      <c r="B954" t="s">
        <v>1020</v>
      </c>
      <c r="C954" t="s">
        <v>1021</v>
      </c>
      <c r="D954" t="s">
        <v>4479</v>
      </c>
      <c r="E954" t="s">
        <v>4201</v>
      </c>
      <c r="F954" t="s">
        <v>791</v>
      </c>
      <c r="G954" t="s">
        <v>1406</v>
      </c>
      <c r="H954" s="6">
        <v>46022</v>
      </c>
      <c r="I954" t="s">
        <v>29</v>
      </c>
      <c r="J954">
        <v>6</v>
      </c>
      <c r="K954">
        <v>0</v>
      </c>
      <c r="L954">
        <v>0</v>
      </c>
      <c r="M954">
        <v>0</v>
      </c>
      <c r="N954" t="s">
        <v>3915</v>
      </c>
      <c r="O954" t="s">
        <v>3915</v>
      </c>
      <c r="P954" t="s">
        <v>3915</v>
      </c>
      <c r="Q954">
        <v>0</v>
      </c>
      <c r="R954" t="s">
        <v>30</v>
      </c>
      <c r="S954">
        <v>0</v>
      </c>
      <c r="T954">
        <v>0</v>
      </c>
      <c r="U954" t="s">
        <v>3915</v>
      </c>
      <c r="V954" t="s">
        <v>31</v>
      </c>
      <c r="W954">
        <v>0</v>
      </c>
    </row>
    <row r="955" spans="1:23" x14ac:dyDescent="0.25">
      <c r="A955" t="s">
        <v>4699</v>
      </c>
      <c r="B955" t="s">
        <v>2868</v>
      </c>
      <c r="C955" t="s">
        <v>2867</v>
      </c>
      <c r="D955" t="s">
        <v>4479</v>
      </c>
      <c r="E955" t="s">
        <v>4201</v>
      </c>
      <c r="F955" t="s">
        <v>791</v>
      </c>
      <c r="G955" t="s">
        <v>1406</v>
      </c>
      <c r="H955" s="6">
        <v>46022</v>
      </c>
      <c r="I955" t="s">
        <v>29</v>
      </c>
      <c r="J955">
        <v>36</v>
      </c>
      <c r="K955">
        <v>0</v>
      </c>
      <c r="L955">
        <v>0</v>
      </c>
      <c r="M955">
        <v>0</v>
      </c>
      <c r="N955" t="s">
        <v>3915</v>
      </c>
      <c r="O955" t="s">
        <v>3915</v>
      </c>
      <c r="P955" t="s">
        <v>3915</v>
      </c>
      <c r="Q955">
        <v>0</v>
      </c>
      <c r="R955" t="s">
        <v>30</v>
      </c>
      <c r="S955">
        <v>0</v>
      </c>
      <c r="T955">
        <v>0</v>
      </c>
      <c r="U955" t="s">
        <v>3915</v>
      </c>
      <c r="V955" t="s">
        <v>31</v>
      </c>
      <c r="W955">
        <v>0</v>
      </c>
    </row>
    <row r="956" spans="1:23" x14ac:dyDescent="0.25">
      <c r="A956" t="s">
        <v>4823</v>
      </c>
      <c r="B956" t="s">
        <v>2870</v>
      </c>
      <c r="C956" t="s">
        <v>2869</v>
      </c>
      <c r="D956" t="s">
        <v>4479</v>
      </c>
      <c r="E956" t="s">
        <v>4201</v>
      </c>
      <c r="F956" t="s">
        <v>791</v>
      </c>
      <c r="G956" t="s">
        <v>1406</v>
      </c>
      <c r="H956" s="6">
        <v>46022</v>
      </c>
      <c r="I956" t="s">
        <v>29</v>
      </c>
      <c r="J956">
        <v>1</v>
      </c>
      <c r="K956">
        <v>0</v>
      </c>
      <c r="L956">
        <v>0</v>
      </c>
      <c r="M956">
        <v>0</v>
      </c>
      <c r="N956" t="s">
        <v>3915</v>
      </c>
      <c r="O956" t="s">
        <v>3915</v>
      </c>
      <c r="P956" t="s">
        <v>3915</v>
      </c>
      <c r="Q956">
        <v>0</v>
      </c>
      <c r="R956" t="s">
        <v>30</v>
      </c>
      <c r="S956">
        <v>0</v>
      </c>
      <c r="T956">
        <v>0</v>
      </c>
      <c r="U956" t="s">
        <v>3915</v>
      </c>
      <c r="V956" t="s">
        <v>31</v>
      </c>
      <c r="W956">
        <v>0</v>
      </c>
    </row>
    <row r="957" spans="1:23" x14ac:dyDescent="0.25">
      <c r="A957" t="s">
        <v>4726</v>
      </c>
      <c r="B957" t="s">
        <v>2872</v>
      </c>
      <c r="C957" t="s">
        <v>2871</v>
      </c>
      <c r="D957" t="s">
        <v>4479</v>
      </c>
      <c r="E957" t="s">
        <v>4201</v>
      </c>
      <c r="F957" t="s">
        <v>791</v>
      </c>
      <c r="G957" t="s">
        <v>1406</v>
      </c>
      <c r="H957" s="6">
        <v>46022</v>
      </c>
      <c r="I957" t="s">
        <v>29</v>
      </c>
      <c r="J957">
        <v>7</v>
      </c>
      <c r="K957">
        <v>0</v>
      </c>
      <c r="L957">
        <v>0</v>
      </c>
      <c r="M957">
        <v>0</v>
      </c>
      <c r="N957" t="s">
        <v>3915</v>
      </c>
      <c r="O957" t="s">
        <v>3915</v>
      </c>
      <c r="P957" t="s">
        <v>3915</v>
      </c>
      <c r="Q957">
        <v>0</v>
      </c>
      <c r="R957" t="s">
        <v>30</v>
      </c>
      <c r="S957">
        <v>0</v>
      </c>
      <c r="T957">
        <v>0</v>
      </c>
      <c r="U957" t="s">
        <v>3915</v>
      </c>
      <c r="V957" t="s">
        <v>31</v>
      </c>
      <c r="W957">
        <v>0</v>
      </c>
    </row>
    <row r="958" spans="1:23" x14ac:dyDescent="0.25">
      <c r="A958" t="s">
        <v>4723</v>
      </c>
      <c r="B958" t="s">
        <v>2874</v>
      </c>
      <c r="C958" t="s">
        <v>2873</v>
      </c>
      <c r="D958" t="s">
        <v>4479</v>
      </c>
      <c r="E958" t="s">
        <v>4201</v>
      </c>
      <c r="F958" t="s">
        <v>791</v>
      </c>
      <c r="G958" t="s">
        <v>1406</v>
      </c>
      <c r="H958" s="6">
        <v>46022</v>
      </c>
      <c r="I958" t="s">
        <v>29</v>
      </c>
      <c r="J958">
        <v>24</v>
      </c>
      <c r="K958">
        <v>0</v>
      </c>
      <c r="L958">
        <v>0</v>
      </c>
      <c r="M958">
        <v>0</v>
      </c>
      <c r="N958" t="s">
        <v>3915</v>
      </c>
      <c r="O958" t="s">
        <v>3915</v>
      </c>
      <c r="P958" t="s">
        <v>3915</v>
      </c>
      <c r="Q958">
        <v>0</v>
      </c>
      <c r="R958" t="s">
        <v>30</v>
      </c>
      <c r="S958">
        <v>0</v>
      </c>
      <c r="T958">
        <v>0</v>
      </c>
      <c r="U958" t="s">
        <v>3915</v>
      </c>
      <c r="V958" t="s">
        <v>31</v>
      </c>
      <c r="W958">
        <v>0</v>
      </c>
    </row>
    <row r="959" spans="1:23" x14ac:dyDescent="0.25">
      <c r="A959" t="s">
        <v>5502</v>
      </c>
      <c r="B959" t="s">
        <v>2876</v>
      </c>
      <c r="C959" t="s">
        <v>2875</v>
      </c>
      <c r="D959" t="s">
        <v>4479</v>
      </c>
      <c r="E959" t="s">
        <v>4201</v>
      </c>
      <c r="F959" t="s">
        <v>791</v>
      </c>
      <c r="G959" t="s">
        <v>1406</v>
      </c>
      <c r="H959" s="6">
        <v>46022</v>
      </c>
      <c r="I959" t="s">
        <v>29</v>
      </c>
      <c r="J959">
        <v>30</v>
      </c>
      <c r="K959">
        <v>0</v>
      </c>
      <c r="L959">
        <v>0</v>
      </c>
      <c r="M959">
        <v>0</v>
      </c>
      <c r="N959" t="s">
        <v>3915</v>
      </c>
      <c r="O959" t="s">
        <v>3915</v>
      </c>
      <c r="P959" t="s">
        <v>3915</v>
      </c>
      <c r="Q959">
        <v>0</v>
      </c>
      <c r="R959" t="s">
        <v>30</v>
      </c>
      <c r="S959">
        <v>0</v>
      </c>
      <c r="T959">
        <v>0</v>
      </c>
      <c r="U959" t="s">
        <v>3915</v>
      </c>
      <c r="V959" t="s">
        <v>31</v>
      </c>
      <c r="W959">
        <v>0</v>
      </c>
    </row>
    <row r="960" spans="1:23" x14ac:dyDescent="0.25">
      <c r="A960" t="s">
        <v>4707</v>
      </c>
      <c r="B960" t="s">
        <v>2878</v>
      </c>
      <c r="C960" t="s">
        <v>2877</v>
      </c>
      <c r="D960" t="s">
        <v>4479</v>
      </c>
      <c r="E960" t="s">
        <v>4201</v>
      </c>
      <c r="F960" t="s">
        <v>791</v>
      </c>
      <c r="G960" t="s">
        <v>1406</v>
      </c>
      <c r="H960" s="6">
        <v>46022</v>
      </c>
      <c r="I960" t="s">
        <v>29</v>
      </c>
      <c r="J960">
        <v>5</v>
      </c>
      <c r="K960">
        <v>0</v>
      </c>
      <c r="L960">
        <v>0</v>
      </c>
      <c r="M960">
        <v>0</v>
      </c>
      <c r="N960" t="s">
        <v>3915</v>
      </c>
      <c r="O960" t="s">
        <v>3915</v>
      </c>
      <c r="P960" t="s">
        <v>3915</v>
      </c>
      <c r="Q960">
        <v>0</v>
      </c>
      <c r="R960" t="s">
        <v>30</v>
      </c>
      <c r="S960">
        <v>0</v>
      </c>
      <c r="T960">
        <v>0</v>
      </c>
      <c r="U960" t="s">
        <v>3915</v>
      </c>
      <c r="V960" t="s">
        <v>31</v>
      </c>
      <c r="W960">
        <v>0</v>
      </c>
    </row>
    <row r="961" spans="1:23" x14ac:dyDescent="0.25">
      <c r="A961" t="s">
        <v>4306</v>
      </c>
      <c r="B961" t="s">
        <v>1032</v>
      </c>
      <c r="C961" t="s">
        <v>1033</v>
      </c>
      <c r="D961" t="s">
        <v>4479</v>
      </c>
      <c r="E961" t="s">
        <v>4305</v>
      </c>
      <c r="F961" t="s">
        <v>1030</v>
      </c>
      <c r="G961" t="s">
        <v>1406</v>
      </c>
      <c r="H961" s="6">
        <v>46022</v>
      </c>
      <c r="I961" t="s">
        <v>29</v>
      </c>
      <c r="J961">
        <v>2.2400000000000002</v>
      </c>
      <c r="K961">
        <v>0</v>
      </c>
      <c r="L961">
        <v>0</v>
      </c>
      <c r="M961">
        <v>0</v>
      </c>
      <c r="N961" t="s">
        <v>3915</v>
      </c>
      <c r="O961" t="s">
        <v>3915</v>
      </c>
      <c r="P961" t="s">
        <v>3915</v>
      </c>
      <c r="Q961">
        <v>0</v>
      </c>
      <c r="R961" t="s">
        <v>1031</v>
      </c>
      <c r="S961">
        <v>0</v>
      </c>
      <c r="T961">
        <v>0</v>
      </c>
      <c r="U961" t="s">
        <v>3915</v>
      </c>
      <c r="V961" t="s">
        <v>31</v>
      </c>
      <c r="W961">
        <v>0</v>
      </c>
    </row>
    <row r="962" spans="1:23" x14ac:dyDescent="0.25">
      <c r="A962" t="s">
        <v>4308</v>
      </c>
      <c r="B962" t="s">
        <v>1040</v>
      </c>
      <c r="C962" t="s">
        <v>1041</v>
      </c>
      <c r="D962" t="s">
        <v>4479</v>
      </c>
      <c r="E962" t="s">
        <v>4305</v>
      </c>
      <c r="F962" t="s">
        <v>1030</v>
      </c>
      <c r="G962" t="s">
        <v>1406</v>
      </c>
      <c r="H962" s="6">
        <v>46022</v>
      </c>
      <c r="I962" t="s">
        <v>29</v>
      </c>
      <c r="J962">
        <v>0</v>
      </c>
      <c r="K962">
        <v>0</v>
      </c>
      <c r="L962">
        <v>0</v>
      </c>
      <c r="M962">
        <v>0</v>
      </c>
      <c r="N962" t="s">
        <v>3915</v>
      </c>
      <c r="O962" t="s">
        <v>3915</v>
      </c>
      <c r="P962" t="s">
        <v>3915</v>
      </c>
      <c r="Q962">
        <v>0</v>
      </c>
      <c r="R962" t="s">
        <v>1031</v>
      </c>
      <c r="S962">
        <v>0</v>
      </c>
      <c r="T962">
        <v>0</v>
      </c>
      <c r="U962" t="s">
        <v>3915</v>
      </c>
      <c r="V962" t="s">
        <v>31</v>
      </c>
      <c r="W962">
        <v>0</v>
      </c>
    </row>
    <row r="963" spans="1:23" x14ac:dyDescent="0.25">
      <c r="A963" t="s">
        <v>4885</v>
      </c>
      <c r="B963" t="s">
        <v>2880</v>
      </c>
      <c r="C963" t="s">
        <v>2879</v>
      </c>
      <c r="D963" t="s">
        <v>4479</v>
      </c>
      <c r="E963" t="s">
        <v>4305</v>
      </c>
      <c r="F963" t="s">
        <v>1030</v>
      </c>
      <c r="G963" t="s">
        <v>1406</v>
      </c>
      <c r="H963" s="6">
        <v>46022</v>
      </c>
      <c r="I963" t="s">
        <v>29</v>
      </c>
      <c r="J963">
        <v>544.67999999999995</v>
      </c>
      <c r="K963">
        <v>0</v>
      </c>
      <c r="L963">
        <v>0</v>
      </c>
      <c r="M963">
        <v>0</v>
      </c>
      <c r="N963" t="s">
        <v>3915</v>
      </c>
      <c r="O963" t="s">
        <v>3915</v>
      </c>
      <c r="P963" t="s">
        <v>3915</v>
      </c>
      <c r="Q963">
        <v>0</v>
      </c>
      <c r="R963" t="s">
        <v>1031</v>
      </c>
      <c r="S963">
        <v>0</v>
      </c>
      <c r="T963">
        <v>0</v>
      </c>
      <c r="U963" t="s">
        <v>3915</v>
      </c>
      <c r="V963" t="s">
        <v>31</v>
      </c>
      <c r="W963">
        <v>0</v>
      </c>
    </row>
    <row r="964" spans="1:23" x14ac:dyDescent="0.25">
      <c r="A964" t="s">
        <v>4684</v>
      </c>
      <c r="B964" t="s">
        <v>1554</v>
      </c>
      <c r="C964" t="s">
        <v>1553</v>
      </c>
      <c r="D964" t="s">
        <v>4479</v>
      </c>
      <c r="E964" t="s">
        <v>4305</v>
      </c>
      <c r="F964" t="s">
        <v>1030</v>
      </c>
      <c r="G964" t="s">
        <v>1406</v>
      </c>
      <c r="H964" s="6">
        <v>46022</v>
      </c>
      <c r="I964" t="s">
        <v>29</v>
      </c>
      <c r="J964">
        <v>297.36</v>
      </c>
      <c r="K964">
        <v>0</v>
      </c>
      <c r="L964">
        <v>0</v>
      </c>
      <c r="M964">
        <v>0</v>
      </c>
      <c r="N964" t="s">
        <v>3915</v>
      </c>
      <c r="O964" t="s">
        <v>3915</v>
      </c>
      <c r="P964" t="s">
        <v>3915</v>
      </c>
      <c r="Q964">
        <v>0</v>
      </c>
      <c r="R964" t="s">
        <v>1031</v>
      </c>
      <c r="S964">
        <v>0</v>
      </c>
      <c r="T964">
        <v>0</v>
      </c>
      <c r="U964" t="s">
        <v>3915</v>
      </c>
      <c r="V964" t="s">
        <v>31</v>
      </c>
      <c r="W964">
        <v>0</v>
      </c>
    </row>
    <row r="965" spans="1:23" x14ac:dyDescent="0.25">
      <c r="A965" t="s">
        <v>5503</v>
      </c>
      <c r="B965" t="s">
        <v>2882</v>
      </c>
      <c r="C965" t="s">
        <v>2881</v>
      </c>
      <c r="D965" t="s">
        <v>4479</v>
      </c>
      <c r="E965" t="s">
        <v>4305</v>
      </c>
      <c r="F965" t="s">
        <v>1030</v>
      </c>
      <c r="G965" t="s">
        <v>1406</v>
      </c>
      <c r="H965" s="6">
        <v>46022</v>
      </c>
      <c r="I965" t="s">
        <v>29</v>
      </c>
      <c r="J965">
        <v>158.11000000000001</v>
      </c>
      <c r="K965">
        <v>0</v>
      </c>
      <c r="L965">
        <v>0</v>
      </c>
      <c r="M965">
        <v>0</v>
      </c>
      <c r="N965" t="s">
        <v>3915</v>
      </c>
      <c r="O965" t="s">
        <v>3915</v>
      </c>
      <c r="P965" t="s">
        <v>3915</v>
      </c>
      <c r="Q965">
        <v>0</v>
      </c>
      <c r="R965" t="s">
        <v>1031</v>
      </c>
      <c r="S965">
        <v>0</v>
      </c>
      <c r="T965">
        <v>0</v>
      </c>
      <c r="U965" t="s">
        <v>3915</v>
      </c>
      <c r="V965" t="s">
        <v>31</v>
      </c>
      <c r="W965">
        <v>0</v>
      </c>
    </row>
    <row r="966" spans="1:23" x14ac:dyDescent="0.25">
      <c r="A966" t="s">
        <v>4475</v>
      </c>
      <c r="B966" t="s">
        <v>2884</v>
      </c>
      <c r="C966" t="s">
        <v>2883</v>
      </c>
      <c r="D966" t="s">
        <v>4479</v>
      </c>
      <c r="E966" t="s">
        <v>4305</v>
      </c>
      <c r="F966" t="s">
        <v>1030</v>
      </c>
      <c r="G966" t="s">
        <v>1406</v>
      </c>
      <c r="H966" s="6">
        <v>46022</v>
      </c>
      <c r="I966" t="s">
        <v>29</v>
      </c>
      <c r="J966">
        <v>4.7300000000000004</v>
      </c>
      <c r="K966">
        <v>0</v>
      </c>
      <c r="L966">
        <v>0</v>
      </c>
      <c r="M966">
        <v>0</v>
      </c>
      <c r="N966" t="s">
        <v>3915</v>
      </c>
      <c r="O966" t="s">
        <v>3915</v>
      </c>
      <c r="P966" t="s">
        <v>3915</v>
      </c>
      <c r="Q966">
        <v>0</v>
      </c>
      <c r="R966" t="s">
        <v>1031</v>
      </c>
      <c r="S966">
        <v>0</v>
      </c>
      <c r="T966">
        <v>0</v>
      </c>
      <c r="U966" t="s">
        <v>3915</v>
      </c>
      <c r="V966" t="s">
        <v>31</v>
      </c>
      <c r="W966">
        <v>0</v>
      </c>
    </row>
    <row r="967" spans="1:23" x14ac:dyDescent="0.25">
      <c r="A967" t="s">
        <v>4476</v>
      </c>
      <c r="B967" t="s">
        <v>2886</v>
      </c>
      <c r="C967" t="s">
        <v>2885</v>
      </c>
      <c r="D967" t="s">
        <v>4479</v>
      </c>
      <c r="E967" t="s">
        <v>4305</v>
      </c>
      <c r="F967" t="s">
        <v>1030</v>
      </c>
      <c r="G967" t="s">
        <v>1406</v>
      </c>
      <c r="H967" s="6">
        <v>46022</v>
      </c>
      <c r="I967" t="s">
        <v>29</v>
      </c>
      <c r="J967">
        <v>18.95</v>
      </c>
      <c r="K967">
        <v>0</v>
      </c>
      <c r="L967">
        <v>0</v>
      </c>
      <c r="M967">
        <v>0</v>
      </c>
      <c r="N967" t="s">
        <v>3915</v>
      </c>
      <c r="O967" t="s">
        <v>3915</v>
      </c>
      <c r="P967" t="s">
        <v>3915</v>
      </c>
      <c r="Q967">
        <v>0</v>
      </c>
      <c r="R967" t="s">
        <v>1031</v>
      </c>
      <c r="S967">
        <v>0</v>
      </c>
      <c r="T967">
        <v>0</v>
      </c>
      <c r="U967" t="s">
        <v>3915</v>
      </c>
      <c r="V967" t="s">
        <v>31</v>
      </c>
      <c r="W967">
        <v>0</v>
      </c>
    </row>
    <row r="968" spans="1:23" x14ac:dyDescent="0.25">
      <c r="A968" t="s">
        <v>4477</v>
      </c>
      <c r="B968" t="s">
        <v>2888</v>
      </c>
      <c r="C968" t="s">
        <v>2887</v>
      </c>
      <c r="D968" t="s">
        <v>4479</v>
      </c>
      <c r="E968" t="s">
        <v>4305</v>
      </c>
      <c r="F968" t="s">
        <v>1030</v>
      </c>
      <c r="G968" t="s">
        <v>1406</v>
      </c>
      <c r="H968" s="6">
        <v>46022</v>
      </c>
      <c r="I968" t="s">
        <v>29</v>
      </c>
      <c r="J968">
        <v>64.27</v>
      </c>
      <c r="K968">
        <v>0</v>
      </c>
      <c r="L968">
        <v>0</v>
      </c>
      <c r="M968">
        <v>0</v>
      </c>
      <c r="N968" t="s">
        <v>3915</v>
      </c>
      <c r="O968" t="s">
        <v>3915</v>
      </c>
      <c r="P968" t="s">
        <v>3915</v>
      </c>
      <c r="Q968">
        <v>0</v>
      </c>
      <c r="R968" t="s">
        <v>1031</v>
      </c>
      <c r="S968">
        <v>0</v>
      </c>
      <c r="T968">
        <v>0</v>
      </c>
      <c r="U968" t="s">
        <v>3915</v>
      </c>
      <c r="V968" t="s">
        <v>31</v>
      </c>
      <c r="W968">
        <v>0</v>
      </c>
    </row>
    <row r="969" spans="1:23" x14ac:dyDescent="0.25">
      <c r="A969" t="s">
        <v>4309</v>
      </c>
      <c r="B969" t="s">
        <v>1042</v>
      </c>
      <c r="C969" t="s">
        <v>1043</v>
      </c>
      <c r="D969" t="s">
        <v>4479</v>
      </c>
      <c r="E969" t="s">
        <v>4305</v>
      </c>
      <c r="F969" t="s">
        <v>1030</v>
      </c>
      <c r="G969" t="s">
        <v>1406</v>
      </c>
      <c r="H969" s="6">
        <v>46022</v>
      </c>
      <c r="I969" t="s">
        <v>29</v>
      </c>
      <c r="J969">
        <v>0</v>
      </c>
      <c r="K969">
        <v>0</v>
      </c>
      <c r="L969">
        <v>0</v>
      </c>
      <c r="M969">
        <v>0</v>
      </c>
      <c r="N969" t="s">
        <v>3915</v>
      </c>
      <c r="O969" t="s">
        <v>3915</v>
      </c>
      <c r="P969" t="s">
        <v>3915</v>
      </c>
      <c r="Q969">
        <v>0</v>
      </c>
      <c r="R969" t="s">
        <v>1031</v>
      </c>
      <c r="S969">
        <v>0</v>
      </c>
      <c r="T969">
        <v>0</v>
      </c>
      <c r="U969" t="s">
        <v>3915</v>
      </c>
      <c r="V969" t="s">
        <v>31</v>
      </c>
      <c r="W969">
        <v>0</v>
      </c>
    </row>
    <row r="970" spans="1:23" x14ac:dyDescent="0.25">
      <c r="A970" t="s">
        <v>5504</v>
      </c>
      <c r="B970" t="s">
        <v>2894</v>
      </c>
      <c r="C970" t="s">
        <v>2893</v>
      </c>
      <c r="D970" t="s">
        <v>4479</v>
      </c>
      <c r="E970" t="s">
        <v>4305</v>
      </c>
      <c r="F970" t="s">
        <v>1030</v>
      </c>
      <c r="G970" t="s">
        <v>1406</v>
      </c>
      <c r="H970" s="6">
        <v>46022</v>
      </c>
      <c r="I970" t="s">
        <v>29</v>
      </c>
      <c r="J970">
        <v>14.03</v>
      </c>
      <c r="K970">
        <v>0</v>
      </c>
      <c r="L970">
        <v>0</v>
      </c>
      <c r="M970">
        <v>0</v>
      </c>
      <c r="N970" t="s">
        <v>3915</v>
      </c>
      <c r="O970" t="s">
        <v>3915</v>
      </c>
      <c r="P970" t="s">
        <v>3915</v>
      </c>
      <c r="Q970">
        <v>0</v>
      </c>
      <c r="R970" t="s">
        <v>1031</v>
      </c>
      <c r="S970">
        <v>0</v>
      </c>
      <c r="T970">
        <v>0</v>
      </c>
      <c r="U970" t="s">
        <v>3915</v>
      </c>
      <c r="V970" t="s">
        <v>31</v>
      </c>
      <c r="W970">
        <v>0</v>
      </c>
    </row>
    <row r="971" spans="1:23" x14ac:dyDescent="0.25">
      <c r="A971" t="s">
        <v>4742</v>
      </c>
      <c r="B971" t="s">
        <v>2896</v>
      </c>
      <c r="C971" t="s">
        <v>2895</v>
      </c>
      <c r="D971" t="s">
        <v>4479</v>
      </c>
      <c r="E971" t="s">
        <v>4305</v>
      </c>
      <c r="F971" t="s">
        <v>1030</v>
      </c>
      <c r="G971" t="s">
        <v>1406</v>
      </c>
      <c r="H971" s="6">
        <v>46022</v>
      </c>
      <c r="I971" t="s">
        <v>29</v>
      </c>
      <c r="J971">
        <v>2118.48</v>
      </c>
      <c r="K971">
        <v>0</v>
      </c>
      <c r="L971">
        <v>0</v>
      </c>
      <c r="M971">
        <v>0</v>
      </c>
      <c r="N971" t="s">
        <v>3915</v>
      </c>
      <c r="O971" t="s">
        <v>3915</v>
      </c>
      <c r="P971" t="s">
        <v>3915</v>
      </c>
      <c r="Q971">
        <v>0</v>
      </c>
      <c r="R971" t="s">
        <v>1031</v>
      </c>
      <c r="S971">
        <v>0</v>
      </c>
      <c r="T971">
        <v>0</v>
      </c>
      <c r="U971" t="s">
        <v>3915</v>
      </c>
      <c r="V971" t="s">
        <v>31</v>
      </c>
      <c r="W971">
        <v>0</v>
      </c>
    </row>
    <row r="972" spans="1:23" x14ac:dyDescent="0.25">
      <c r="A972" t="s">
        <v>4478</v>
      </c>
      <c r="B972" t="s">
        <v>2898</v>
      </c>
      <c r="C972" t="s">
        <v>2897</v>
      </c>
      <c r="D972" t="s">
        <v>4479</v>
      </c>
      <c r="E972" t="s">
        <v>4305</v>
      </c>
      <c r="F972" t="s">
        <v>1030</v>
      </c>
      <c r="G972" t="s">
        <v>1406</v>
      </c>
      <c r="H972" s="6">
        <v>46022</v>
      </c>
      <c r="I972" t="s">
        <v>29</v>
      </c>
      <c r="J972">
        <v>34.479999999999997</v>
      </c>
      <c r="K972">
        <v>0</v>
      </c>
      <c r="L972">
        <v>0</v>
      </c>
      <c r="M972">
        <v>0</v>
      </c>
      <c r="N972" t="s">
        <v>3915</v>
      </c>
      <c r="O972" t="s">
        <v>3915</v>
      </c>
      <c r="P972" t="s">
        <v>3915</v>
      </c>
      <c r="Q972">
        <v>0</v>
      </c>
      <c r="R972" t="s">
        <v>1031</v>
      </c>
      <c r="S972">
        <v>0</v>
      </c>
      <c r="T972">
        <v>0</v>
      </c>
      <c r="U972" t="s">
        <v>3915</v>
      </c>
      <c r="V972" t="s">
        <v>31</v>
      </c>
      <c r="W972">
        <v>0</v>
      </c>
    </row>
    <row r="973" spans="1:23" x14ac:dyDescent="0.25">
      <c r="A973" t="s">
        <v>5505</v>
      </c>
      <c r="B973" t="s">
        <v>2900</v>
      </c>
      <c r="C973" t="s">
        <v>2899</v>
      </c>
      <c r="D973" t="s">
        <v>4479</v>
      </c>
      <c r="E973" t="s">
        <v>4898</v>
      </c>
      <c r="F973" t="s">
        <v>2901</v>
      </c>
      <c r="G973" t="s">
        <v>1406</v>
      </c>
      <c r="H973" s="6">
        <v>46022</v>
      </c>
      <c r="I973" t="s">
        <v>29</v>
      </c>
      <c r="J973">
        <v>4</v>
      </c>
      <c r="K973">
        <v>0</v>
      </c>
      <c r="L973">
        <v>0</v>
      </c>
      <c r="M973">
        <v>0</v>
      </c>
      <c r="N973" t="s">
        <v>3915</v>
      </c>
      <c r="O973" t="s">
        <v>3915</v>
      </c>
      <c r="P973" t="s">
        <v>3915</v>
      </c>
      <c r="Q973">
        <v>0</v>
      </c>
      <c r="R973" t="s">
        <v>30</v>
      </c>
      <c r="S973">
        <v>0</v>
      </c>
      <c r="T973">
        <v>0</v>
      </c>
      <c r="U973" t="s">
        <v>3915</v>
      </c>
      <c r="V973" t="s">
        <v>31</v>
      </c>
      <c r="W973">
        <v>0</v>
      </c>
    </row>
    <row r="974" spans="1:23" x14ac:dyDescent="0.25">
      <c r="A974" t="s">
        <v>5506</v>
      </c>
      <c r="B974" t="s">
        <v>2903</v>
      </c>
      <c r="C974" t="s">
        <v>2902</v>
      </c>
      <c r="D974" t="s">
        <v>4479</v>
      </c>
      <c r="E974" t="s">
        <v>4898</v>
      </c>
      <c r="F974" t="s">
        <v>2901</v>
      </c>
      <c r="G974" t="s">
        <v>1406</v>
      </c>
      <c r="H974" s="6">
        <v>46022</v>
      </c>
      <c r="I974" t="s">
        <v>29</v>
      </c>
      <c r="J974">
        <v>1</v>
      </c>
      <c r="K974">
        <v>0</v>
      </c>
      <c r="L974">
        <v>0</v>
      </c>
      <c r="M974">
        <v>0</v>
      </c>
      <c r="N974" t="s">
        <v>3915</v>
      </c>
      <c r="O974" t="s">
        <v>3915</v>
      </c>
      <c r="P974" t="s">
        <v>3915</v>
      </c>
      <c r="Q974">
        <v>0</v>
      </c>
      <c r="R974" t="s">
        <v>30</v>
      </c>
      <c r="S974">
        <v>0</v>
      </c>
      <c r="T974">
        <v>0</v>
      </c>
      <c r="U974" t="s">
        <v>3915</v>
      </c>
      <c r="V974" t="s">
        <v>31</v>
      </c>
      <c r="W974">
        <v>0</v>
      </c>
    </row>
    <row r="975" spans="1:23" x14ac:dyDescent="0.25">
      <c r="A975" t="s">
        <v>23</v>
      </c>
      <c r="B975" t="s">
        <v>2905</v>
      </c>
      <c r="C975" t="s">
        <v>2904</v>
      </c>
      <c r="D975" t="s">
        <v>4479</v>
      </c>
      <c r="E975" t="s">
        <v>4898</v>
      </c>
      <c r="F975" t="s">
        <v>2901</v>
      </c>
      <c r="G975" t="s">
        <v>1406</v>
      </c>
      <c r="H975" s="6">
        <v>46022</v>
      </c>
      <c r="I975" t="s">
        <v>29</v>
      </c>
      <c r="J975">
        <v>1</v>
      </c>
      <c r="K975">
        <v>0</v>
      </c>
      <c r="L975">
        <v>0</v>
      </c>
      <c r="M975">
        <v>0</v>
      </c>
      <c r="N975" t="s">
        <v>3915</v>
      </c>
      <c r="O975" t="s">
        <v>3915</v>
      </c>
      <c r="P975" t="s">
        <v>3915</v>
      </c>
      <c r="Q975">
        <v>0</v>
      </c>
      <c r="R975" t="s">
        <v>30</v>
      </c>
      <c r="S975">
        <v>0</v>
      </c>
      <c r="T975">
        <v>0</v>
      </c>
      <c r="U975" t="s">
        <v>3915</v>
      </c>
      <c r="V975" t="s">
        <v>31</v>
      </c>
      <c r="W975">
        <v>0</v>
      </c>
    </row>
    <row r="976" spans="1:23" x14ac:dyDescent="0.25">
      <c r="A976" t="s">
        <v>5507</v>
      </c>
      <c r="B976" t="s">
        <v>2909</v>
      </c>
      <c r="C976" t="s">
        <v>2908</v>
      </c>
      <c r="D976" t="s">
        <v>4479</v>
      </c>
      <c r="E976" t="s">
        <v>4898</v>
      </c>
      <c r="F976" t="s">
        <v>2901</v>
      </c>
      <c r="G976" t="s">
        <v>1406</v>
      </c>
      <c r="H976" s="6">
        <v>46022</v>
      </c>
      <c r="I976" t="s">
        <v>29</v>
      </c>
      <c r="J976">
        <v>4</v>
      </c>
      <c r="K976">
        <v>0</v>
      </c>
      <c r="L976">
        <v>0</v>
      </c>
      <c r="M976">
        <v>0</v>
      </c>
      <c r="N976" t="s">
        <v>3915</v>
      </c>
      <c r="O976" t="s">
        <v>3915</v>
      </c>
      <c r="P976" t="s">
        <v>3915</v>
      </c>
      <c r="Q976">
        <v>0</v>
      </c>
      <c r="R976" t="s">
        <v>30</v>
      </c>
      <c r="S976">
        <v>0</v>
      </c>
      <c r="T976">
        <v>0</v>
      </c>
      <c r="U976" t="s">
        <v>3915</v>
      </c>
      <c r="V976" t="s">
        <v>31</v>
      </c>
      <c r="W976">
        <v>0</v>
      </c>
    </row>
    <row r="977" spans="1:23" x14ac:dyDescent="0.25">
      <c r="A977" t="s">
        <v>52</v>
      </c>
      <c r="B977" t="s">
        <v>2911</v>
      </c>
      <c r="C977" t="s">
        <v>2910</v>
      </c>
      <c r="D977" t="s">
        <v>4479</v>
      </c>
      <c r="E977" t="s">
        <v>4898</v>
      </c>
      <c r="F977" t="s">
        <v>2901</v>
      </c>
      <c r="G977" t="s">
        <v>1406</v>
      </c>
      <c r="H977" s="6">
        <v>46022</v>
      </c>
      <c r="I977" t="s">
        <v>29</v>
      </c>
      <c r="J977">
        <v>4</v>
      </c>
      <c r="K977">
        <v>0</v>
      </c>
      <c r="L977">
        <v>0</v>
      </c>
      <c r="M977">
        <v>0</v>
      </c>
      <c r="N977" t="s">
        <v>3915</v>
      </c>
      <c r="O977" t="s">
        <v>3915</v>
      </c>
      <c r="P977" t="s">
        <v>3915</v>
      </c>
      <c r="Q977">
        <v>0</v>
      </c>
      <c r="R977" t="s">
        <v>30</v>
      </c>
      <c r="S977">
        <v>0</v>
      </c>
      <c r="T977">
        <v>0</v>
      </c>
      <c r="U977" t="s">
        <v>3915</v>
      </c>
      <c r="V977" t="s">
        <v>31</v>
      </c>
      <c r="W977">
        <v>0</v>
      </c>
    </row>
    <row r="978" spans="1:23" x14ac:dyDescent="0.25">
      <c r="A978" t="s">
        <v>42</v>
      </c>
      <c r="B978" t="s">
        <v>2913</v>
      </c>
      <c r="C978" t="s">
        <v>2912</v>
      </c>
      <c r="D978" t="s">
        <v>4479</v>
      </c>
      <c r="E978" t="s">
        <v>4898</v>
      </c>
      <c r="F978" t="s">
        <v>2901</v>
      </c>
      <c r="G978" t="s">
        <v>1406</v>
      </c>
      <c r="H978" s="6">
        <v>46022</v>
      </c>
      <c r="I978" t="s">
        <v>29</v>
      </c>
      <c r="J978">
        <v>3</v>
      </c>
      <c r="K978">
        <v>0</v>
      </c>
      <c r="L978">
        <v>0</v>
      </c>
      <c r="M978">
        <v>0</v>
      </c>
      <c r="N978" t="s">
        <v>3915</v>
      </c>
      <c r="O978" t="s">
        <v>3915</v>
      </c>
      <c r="P978" t="s">
        <v>3915</v>
      </c>
      <c r="Q978">
        <v>0</v>
      </c>
      <c r="R978" t="s">
        <v>30</v>
      </c>
      <c r="S978">
        <v>0</v>
      </c>
      <c r="T978">
        <v>0</v>
      </c>
      <c r="U978" t="s">
        <v>3915</v>
      </c>
      <c r="V978" t="s">
        <v>31</v>
      </c>
      <c r="W978">
        <v>0</v>
      </c>
    </row>
    <row r="979" spans="1:23" x14ac:dyDescent="0.25">
      <c r="A979" t="s">
        <v>5508</v>
      </c>
      <c r="B979" t="s">
        <v>2915</v>
      </c>
      <c r="C979" t="s">
        <v>2914</v>
      </c>
      <c r="D979" t="s">
        <v>4479</v>
      </c>
      <c r="E979" t="s">
        <v>4898</v>
      </c>
      <c r="F979" t="s">
        <v>2901</v>
      </c>
      <c r="G979" t="s">
        <v>1406</v>
      </c>
      <c r="H979" s="6">
        <v>46022</v>
      </c>
      <c r="I979" t="s">
        <v>29</v>
      </c>
      <c r="J979">
        <v>1</v>
      </c>
      <c r="K979">
        <v>0</v>
      </c>
      <c r="L979">
        <v>0</v>
      </c>
      <c r="M979">
        <v>0</v>
      </c>
      <c r="N979" t="s">
        <v>3915</v>
      </c>
      <c r="O979" t="s">
        <v>3915</v>
      </c>
      <c r="P979" t="s">
        <v>3915</v>
      </c>
      <c r="Q979">
        <v>0</v>
      </c>
      <c r="R979" t="s">
        <v>30</v>
      </c>
      <c r="S979">
        <v>0</v>
      </c>
      <c r="T979">
        <v>0</v>
      </c>
      <c r="U979" t="s">
        <v>3915</v>
      </c>
      <c r="V979" t="s">
        <v>31</v>
      </c>
      <c r="W979">
        <v>0</v>
      </c>
    </row>
    <row r="980" spans="1:23" x14ac:dyDescent="0.25">
      <c r="A980" t="s">
        <v>5509</v>
      </c>
      <c r="B980" t="s">
        <v>2917</v>
      </c>
      <c r="C980" t="s">
        <v>2916</v>
      </c>
      <c r="D980" t="s">
        <v>4479</v>
      </c>
      <c r="E980" t="s">
        <v>4898</v>
      </c>
      <c r="F980" t="s">
        <v>2901</v>
      </c>
      <c r="G980" t="s">
        <v>1406</v>
      </c>
      <c r="H980" s="6">
        <v>46022</v>
      </c>
      <c r="I980" t="s">
        <v>29</v>
      </c>
      <c r="J980">
        <v>1</v>
      </c>
      <c r="K980">
        <v>0</v>
      </c>
      <c r="L980">
        <v>0</v>
      </c>
      <c r="M980">
        <v>0</v>
      </c>
      <c r="N980" t="s">
        <v>3915</v>
      </c>
      <c r="O980" t="s">
        <v>3915</v>
      </c>
      <c r="P980" t="s">
        <v>3915</v>
      </c>
      <c r="Q980">
        <v>0</v>
      </c>
      <c r="R980" t="s">
        <v>30</v>
      </c>
      <c r="S980">
        <v>0</v>
      </c>
      <c r="T980">
        <v>0</v>
      </c>
      <c r="U980" t="s">
        <v>3915</v>
      </c>
      <c r="V980" t="s">
        <v>31</v>
      </c>
      <c r="W980">
        <v>0</v>
      </c>
    </row>
    <row r="981" spans="1:23" x14ac:dyDescent="0.25">
      <c r="A981" t="s">
        <v>5510</v>
      </c>
      <c r="B981" t="s">
        <v>2919</v>
      </c>
      <c r="C981" t="s">
        <v>2918</v>
      </c>
      <c r="D981" t="s">
        <v>4479</v>
      </c>
      <c r="E981" t="s">
        <v>4898</v>
      </c>
      <c r="F981" t="s">
        <v>2901</v>
      </c>
      <c r="G981" t="s">
        <v>1406</v>
      </c>
      <c r="H981" s="6">
        <v>46022</v>
      </c>
      <c r="I981" t="s">
        <v>29</v>
      </c>
      <c r="J981">
        <v>4</v>
      </c>
      <c r="K981">
        <v>0</v>
      </c>
      <c r="L981">
        <v>0</v>
      </c>
      <c r="M981">
        <v>0</v>
      </c>
      <c r="N981" t="s">
        <v>3915</v>
      </c>
      <c r="O981" t="s">
        <v>3915</v>
      </c>
      <c r="P981" t="s">
        <v>3915</v>
      </c>
      <c r="Q981">
        <v>0</v>
      </c>
      <c r="R981" t="s">
        <v>30</v>
      </c>
      <c r="S981">
        <v>0</v>
      </c>
      <c r="T981">
        <v>0</v>
      </c>
      <c r="U981" t="s">
        <v>3915</v>
      </c>
      <c r="V981" t="s">
        <v>31</v>
      </c>
      <c r="W981">
        <v>0</v>
      </c>
    </row>
    <row r="982" spans="1:23" x14ac:dyDescent="0.25">
      <c r="A982" t="s">
        <v>5511</v>
      </c>
      <c r="B982" t="s">
        <v>2921</v>
      </c>
      <c r="C982" t="s">
        <v>2920</v>
      </c>
      <c r="D982" t="s">
        <v>4479</v>
      </c>
      <c r="E982" t="s">
        <v>5512</v>
      </c>
      <c r="F982" t="s">
        <v>2922</v>
      </c>
      <c r="G982" t="s">
        <v>1406</v>
      </c>
      <c r="H982" s="6">
        <v>46022</v>
      </c>
      <c r="I982" t="s">
        <v>29</v>
      </c>
      <c r="J982">
        <v>1</v>
      </c>
      <c r="K982">
        <v>0</v>
      </c>
      <c r="L982">
        <v>0</v>
      </c>
      <c r="M982">
        <v>0</v>
      </c>
      <c r="N982" t="s">
        <v>3915</v>
      </c>
      <c r="O982" t="s">
        <v>3915</v>
      </c>
      <c r="P982" t="s">
        <v>3915</v>
      </c>
      <c r="Q982">
        <v>0</v>
      </c>
      <c r="R982" t="s">
        <v>30</v>
      </c>
      <c r="S982">
        <v>0</v>
      </c>
      <c r="T982">
        <v>0</v>
      </c>
      <c r="U982" t="s">
        <v>3915</v>
      </c>
      <c r="V982" t="s">
        <v>31</v>
      </c>
      <c r="W982">
        <v>0</v>
      </c>
    </row>
    <row r="983" spans="1:23" x14ac:dyDescent="0.25">
      <c r="A983" t="s">
        <v>4824</v>
      </c>
      <c r="B983" t="s">
        <v>2924</v>
      </c>
      <c r="C983" t="s">
        <v>2923</v>
      </c>
      <c r="D983" t="s">
        <v>4479</v>
      </c>
      <c r="E983" t="s">
        <v>5512</v>
      </c>
      <c r="F983" t="s">
        <v>2922</v>
      </c>
      <c r="G983" t="s">
        <v>1406</v>
      </c>
      <c r="H983" s="6">
        <v>46022</v>
      </c>
      <c r="I983" t="s">
        <v>29</v>
      </c>
      <c r="J983">
        <v>1</v>
      </c>
      <c r="K983">
        <v>0</v>
      </c>
      <c r="L983">
        <v>0</v>
      </c>
      <c r="M983">
        <v>0</v>
      </c>
      <c r="N983" t="s">
        <v>3915</v>
      </c>
      <c r="O983" t="s">
        <v>3915</v>
      </c>
      <c r="P983" t="s">
        <v>3915</v>
      </c>
      <c r="Q983">
        <v>0</v>
      </c>
      <c r="R983" t="s">
        <v>30</v>
      </c>
      <c r="S983">
        <v>0</v>
      </c>
      <c r="T983">
        <v>0</v>
      </c>
      <c r="U983" t="s">
        <v>3915</v>
      </c>
      <c r="V983" t="s">
        <v>31</v>
      </c>
      <c r="W983">
        <v>0</v>
      </c>
    </row>
    <row r="984" spans="1:23" x14ac:dyDescent="0.25">
      <c r="A984" t="s">
        <v>5513</v>
      </c>
      <c r="B984" t="s">
        <v>2926</v>
      </c>
      <c r="C984" t="s">
        <v>2925</v>
      </c>
      <c r="D984" t="s">
        <v>4479</v>
      </c>
      <c r="E984" t="s">
        <v>5512</v>
      </c>
      <c r="F984" t="s">
        <v>2922</v>
      </c>
      <c r="G984" t="s">
        <v>1406</v>
      </c>
      <c r="H984" s="6">
        <v>46022</v>
      </c>
      <c r="I984" t="s">
        <v>29</v>
      </c>
      <c r="J984">
        <v>1</v>
      </c>
      <c r="K984">
        <v>0</v>
      </c>
      <c r="L984">
        <v>0</v>
      </c>
      <c r="M984">
        <v>0</v>
      </c>
      <c r="N984" t="s">
        <v>3915</v>
      </c>
      <c r="O984" t="s">
        <v>3915</v>
      </c>
      <c r="P984" t="s">
        <v>3915</v>
      </c>
      <c r="Q984">
        <v>0</v>
      </c>
      <c r="R984" t="s">
        <v>30</v>
      </c>
      <c r="S984">
        <v>0</v>
      </c>
      <c r="T984">
        <v>0</v>
      </c>
      <c r="U984" t="s">
        <v>3915</v>
      </c>
      <c r="V984" t="s">
        <v>31</v>
      </c>
      <c r="W984">
        <v>0</v>
      </c>
    </row>
    <row r="985" spans="1:23" x14ac:dyDescent="0.25">
      <c r="A985" t="s">
        <v>5514</v>
      </c>
      <c r="B985" t="s">
        <v>2928</v>
      </c>
      <c r="C985" t="s">
        <v>2927</v>
      </c>
      <c r="D985" t="s">
        <v>4479</v>
      </c>
      <c r="E985" t="s">
        <v>5512</v>
      </c>
      <c r="F985" t="s">
        <v>2922</v>
      </c>
      <c r="G985" t="s">
        <v>1406</v>
      </c>
      <c r="H985" s="6">
        <v>46022</v>
      </c>
      <c r="I985" t="s">
        <v>29</v>
      </c>
      <c r="J985">
        <v>1</v>
      </c>
      <c r="K985">
        <v>0</v>
      </c>
      <c r="L985">
        <v>0</v>
      </c>
      <c r="M985">
        <v>0</v>
      </c>
      <c r="N985" t="s">
        <v>3915</v>
      </c>
      <c r="O985" t="s">
        <v>3915</v>
      </c>
      <c r="P985" t="s">
        <v>3915</v>
      </c>
      <c r="Q985">
        <v>0</v>
      </c>
      <c r="R985" t="s">
        <v>30</v>
      </c>
      <c r="S985">
        <v>0</v>
      </c>
      <c r="T985">
        <v>0</v>
      </c>
      <c r="U985" t="s">
        <v>3915</v>
      </c>
      <c r="V985" t="s">
        <v>31</v>
      </c>
      <c r="W985">
        <v>0</v>
      </c>
    </row>
    <row r="986" spans="1:23" x14ac:dyDescent="0.25">
      <c r="A986" t="s">
        <v>5515</v>
      </c>
      <c r="B986" t="s">
        <v>2930</v>
      </c>
      <c r="C986" t="s">
        <v>2929</v>
      </c>
      <c r="D986" t="s">
        <v>4479</v>
      </c>
      <c r="E986" t="s">
        <v>5512</v>
      </c>
      <c r="F986" t="s">
        <v>2922</v>
      </c>
      <c r="G986" t="s">
        <v>1406</v>
      </c>
      <c r="H986" s="6">
        <v>46022</v>
      </c>
      <c r="I986" t="s">
        <v>29</v>
      </c>
      <c r="J986">
        <v>5</v>
      </c>
      <c r="K986">
        <v>0</v>
      </c>
      <c r="L986">
        <v>0</v>
      </c>
      <c r="M986">
        <v>0</v>
      </c>
      <c r="N986" t="s">
        <v>3915</v>
      </c>
      <c r="O986" t="s">
        <v>3915</v>
      </c>
      <c r="P986" t="s">
        <v>3915</v>
      </c>
      <c r="Q986">
        <v>0</v>
      </c>
      <c r="R986" t="s">
        <v>30</v>
      </c>
      <c r="S986">
        <v>0</v>
      </c>
      <c r="T986">
        <v>0</v>
      </c>
      <c r="U986" t="s">
        <v>3915</v>
      </c>
      <c r="V986" t="s">
        <v>31</v>
      </c>
      <c r="W986">
        <v>0</v>
      </c>
    </row>
    <row r="987" spans="1:23" x14ac:dyDescent="0.25">
      <c r="A987" t="s">
        <v>5516</v>
      </c>
      <c r="B987" t="s">
        <v>2932</v>
      </c>
      <c r="C987" t="s">
        <v>2931</v>
      </c>
      <c r="D987" t="s">
        <v>4479</v>
      </c>
      <c r="E987" t="s">
        <v>5512</v>
      </c>
      <c r="F987" t="s">
        <v>2922</v>
      </c>
      <c r="G987" t="s">
        <v>1406</v>
      </c>
      <c r="H987" s="6">
        <v>46022</v>
      </c>
      <c r="I987" t="s">
        <v>29</v>
      </c>
      <c r="J987">
        <v>3</v>
      </c>
      <c r="K987">
        <v>0</v>
      </c>
      <c r="L987">
        <v>0</v>
      </c>
      <c r="M987">
        <v>0</v>
      </c>
      <c r="N987" t="s">
        <v>3915</v>
      </c>
      <c r="O987" t="s">
        <v>3915</v>
      </c>
      <c r="P987" t="s">
        <v>3915</v>
      </c>
      <c r="Q987">
        <v>0</v>
      </c>
      <c r="R987" t="s">
        <v>30</v>
      </c>
      <c r="S987">
        <v>0</v>
      </c>
      <c r="T987">
        <v>0</v>
      </c>
      <c r="U987" t="s">
        <v>3915</v>
      </c>
      <c r="V987" t="s">
        <v>31</v>
      </c>
      <c r="W987">
        <v>0</v>
      </c>
    </row>
    <row r="988" spans="1:23" x14ac:dyDescent="0.25">
      <c r="A988" t="s">
        <v>5517</v>
      </c>
      <c r="B988" t="s">
        <v>2934</v>
      </c>
      <c r="C988" t="s">
        <v>2933</v>
      </c>
      <c r="D988" t="s">
        <v>4479</v>
      </c>
      <c r="E988" t="s">
        <v>5512</v>
      </c>
      <c r="F988" t="s">
        <v>2922</v>
      </c>
      <c r="G988" t="s">
        <v>1406</v>
      </c>
      <c r="H988" s="6">
        <v>46022</v>
      </c>
      <c r="I988" t="s">
        <v>29</v>
      </c>
      <c r="J988">
        <v>1</v>
      </c>
      <c r="K988">
        <v>0</v>
      </c>
      <c r="L988">
        <v>0</v>
      </c>
      <c r="M988">
        <v>0</v>
      </c>
      <c r="N988" t="s">
        <v>3915</v>
      </c>
      <c r="O988" t="s">
        <v>3915</v>
      </c>
      <c r="P988" t="s">
        <v>3915</v>
      </c>
      <c r="Q988">
        <v>0</v>
      </c>
      <c r="R988" t="s">
        <v>30</v>
      </c>
      <c r="S988">
        <v>0</v>
      </c>
      <c r="T988">
        <v>0</v>
      </c>
      <c r="U988" t="s">
        <v>3915</v>
      </c>
      <c r="V988" t="s">
        <v>31</v>
      </c>
      <c r="W988">
        <v>0</v>
      </c>
    </row>
    <row r="989" spans="1:23" x14ac:dyDescent="0.25">
      <c r="A989" t="s">
        <v>5518</v>
      </c>
      <c r="B989" t="s">
        <v>2936</v>
      </c>
      <c r="C989" t="s">
        <v>2935</v>
      </c>
      <c r="D989" t="s">
        <v>4479</v>
      </c>
      <c r="E989" t="s">
        <v>5512</v>
      </c>
      <c r="F989" t="s">
        <v>2922</v>
      </c>
      <c r="G989" t="s">
        <v>1406</v>
      </c>
      <c r="H989" s="6">
        <v>46022</v>
      </c>
      <c r="I989" t="s">
        <v>29</v>
      </c>
      <c r="J989">
        <v>1</v>
      </c>
      <c r="K989">
        <v>0</v>
      </c>
      <c r="L989">
        <v>0</v>
      </c>
      <c r="M989">
        <v>0</v>
      </c>
      <c r="N989" t="s">
        <v>3915</v>
      </c>
      <c r="O989" t="s">
        <v>3915</v>
      </c>
      <c r="P989" t="s">
        <v>3915</v>
      </c>
      <c r="Q989">
        <v>0</v>
      </c>
      <c r="R989" t="s">
        <v>30</v>
      </c>
      <c r="S989">
        <v>0</v>
      </c>
      <c r="T989">
        <v>0</v>
      </c>
      <c r="U989" t="s">
        <v>3915</v>
      </c>
      <c r="V989" t="s">
        <v>31</v>
      </c>
      <c r="W989">
        <v>0</v>
      </c>
    </row>
    <row r="990" spans="1:23" x14ac:dyDescent="0.25">
      <c r="A990" t="s">
        <v>5519</v>
      </c>
      <c r="B990" t="s">
        <v>1575</v>
      </c>
      <c r="C990" t="s">
        <v>1574</v>
      </c>
      <c r="D990" t="s">
        <v>4479</v>
      </c>
      <c r="E990" t="s">
        <v>5520</v>
      </c>
      <c r="F990" t="s">
        <v>1576</v>
      </c>
      <c r="G990" t="s">
        <v>1406</v>
      </c>
      <c r="H990" s="6">
        <v>46022</v>
      </c>
      <c r="I990" t="s">
        <v>29</v>
      </c>
      <c r="J990">
        <v>1</v>
      </c>
      <c r="K990">
        <v>0</v>
      </c>
      <c r="L990">
        <v>0</v>
      </c>
      <c r="M990">
        <v>0</v>
      </c>
      <c r="N990" t="s">
        <v>3915</v>
      </c>
      <c r="O990" t="s">
        <v>3915</v>
      </c>
      <c r="P990" t="s">
        <v>3915</v>
      </c>
      <c r="Q990">
        <v>0</v>
      </c>
      <c r="R990" t="s">
        <v>30</v>
      </c>
      <c r="S990">
        <v>0</v>
      </c>
      <c r="T990">
        <v>0</v>
      </c>
      <c r="U990" t="s">
        <v>3915</v>
      </c>
      <c r="V990" t="s">
        <v>31</v>
      </c>
      <c r="W990">
        <v>0</v>
      </c>
    </row>
    <row r="991" spans="1:23" x14ac:dyDescent="0.25">
      <c r="A991" t="s">
        <v>5001</v>
      </c>
      <c r="B991" t="s">
        <v>2233</v>
      </c>
      <c r="C991" t="s">
        <v>2232</v>
      </c>
      <c r="D991" t="s">
        <v>4479</v>
      </c>
      <c r="E991" t="s">
        <v>5521</v>
      </c>
      <c r="F991" t="s">
        <v>2234</v>
      </c>
      <c r="G991" t="s">
        <v>1406</v>
      </c>
      <c r="H991" s="6">
        <v>46022</v>
      </c>
      <c r="I991" t="s">
        <v>29</v>
      </c>
      <c r="J991">
        <v>1</v>
      </c>
      <c r="K991">
        <v>0</v>
      </c>
      <c r="L991">
        <v>0</v>
      </c>
      <c r="M991">
        <v>0</v>
      </c>
      <c r="N991" t="s">
        <v>3915</v>
      </c>
      <c r="O991" t="s">
        <v>3915</v>
      </c>
      <c r="P991" t="s">
        <v>3915</v>
      </c>
      <c r="Q991">
        <v>0</v>
      </c>
      <c r="R991" t="s">
        <v>30</v>
      </c>
      <c r="S991">
        <v>0</v>
      </c>
      <c r="T991">
        <v>0</v>
      </c>
      <c r="U991" t="s">
        <v>3915</v>
      </c>
      <c r="V991" t="s">
        <v>31</v>
      </c>
      <c r="W991">
        <v>0</v>
      </c>
    </row>
    <row r="992" spans="1:23" x14ac:dyDescent="0.25">
      <c r="A992" t="s">
        <v>5522</v>
      </c>
      <c r="B992" t="s">
        <v>2236</v>
      </c>
      <c r="C992" t="s">
        <v>2235</v>
      </c>
      <c r="D992" t="s">
        <v>4479</v>
      </c>
      <c r="E992" t="s">
        <v>5521</v>
      </c>
      <c r="F992" t="s">
        <v>2234</v>
      </c>
      <c r="G992" t="s">
        <v>1406</v>
      </c>
      <c r="H992" s="6">
        <v>46022</v>
      </c>
      <c r="I992" t="s">
        <v>29</v>
      </c>
      <c r="J992">
        <v>1</v>
      </c>
      <c r="K992">
        <v>0</v>
      </c>
      <c r="L992">
        <v>0</v>
      </c>
      <c r="M992">
        <v>0</v>
      </c>
      <c r="N992" t="s">
        <v>3915</v>
      </c>
      <c r="O992" t="s">
        <v>3915</v>
      </c>
      <c r="P992" t="s">
        <v>3915</v>
      </c>
      <c r="Q992">
        <v>0</v>
      </c>
      <c r="R992" t="s">
        <v>30</v>
      </c>
      <c r="S992">
        <v>0</v>
      </c>
      <c r="T992">
        <v>0</v>
      </c>
      <c r="U992" t="s">
        <v>3915</v>
      </c>
      <c r="V992" t="s">
        <v>31</v>
      </c>
      <c r="W992">
        <v>0</v>
      </c>
    </row>
    <row r="993" spans="1:23" x14ac:dyDescent="0.25">
      <c r="A993" t="s">
        <v>5523</v>
      </c>
      <c r="B993" t="s">
        <v>2238</v>
      </c>
      <c r="C993" t="s">
        <v>2237</v>
      </c>
      <c r="D993" t="s">
        <v>4479</v>
      </c>
      <c r="E993" t="s">
        <v>5521</v>
      </c>
      <c r="F993" t="s">
        <v>2234</v>
      </c>
      <c r="G993" t="s">
        <v>1406</v>
      </c>
      <c r="H993" s="6">
        <v>46022</v>
      </c>
      <c r="I993" t="s">
        <v>29</v>
      </c>
      <c r="J993">
        <v>1</v>
      </c>
      <c r="K993">
        <v>0</v>
      </c>
      <c r="L993">
        <v>0</v>
      </c>
      <c r="M993">
        <v>0</v>
      </c>
      <c r="N993" t="s">
        <v>3915</v>
      </c>
      <c r="O993" t="s">
        <v>3915</v>
      </c>
      <c r="P993" t="s">
        <v>3915</v>
      </c>
      <c r="Q993">
        <v>0</v>
      </c>
      <c r="R993" t="s">
        <v>30</v>
      </c>
      <c r="S993">
        <v>0</v>
      </c>
      <c r="T993">
        <v>0</v>
      </c>
      <c r="U993" t="s">
        <v>3915</v>
      </c>
      <c r="V993" t="s">
        <v>31</v>
      </c>
      <c r="W993">
        <v>0</v>
      </c>
    </row>
    <row r="994" spans="1:23" x14ac:dyDescent="0.25">
      <c r="A994" t="s">
        <v>5524</v>
      </c>
      <c r="B994" t="s">
        <v>1636</v>
      </c>
      <c r="C994" t="s">
        <v>1635</v>
      </c>
      <c r="D994" t="s">
        <v>4479</v>
      </c>
      <c r="E994" t="s">
        <v>4245</v>
      </c>
      <c r="F994" t="s">
        <v>1046</v>
      </c>
      <c r="G994" t="s">
        <v>1406</v>
      </c>
      <c r="H994" s="6">
        <v>46022</v>
      </c>
      <c r="I994" t="s">
        <v>29</v>
      </c>
      <c r="J994">
        <v>4</v>
      </c>
      <c r="K994">
        <v>0</v>
      </c>
      <c r="L994">
        <v>0</v>
      </c>
      <c r="M994">
        <v>0</v>
      </c>
      <c r="N994" t="s">
        <v>3915</v>
      </c>
      <c r="O994" t="s">
        <v>3915</v>
      </c>
      <c r="P994" t="s">
        <v>3915</v>
      </c>
      <c r="Q994">
        <v>0</v>
      </c>
      <c r="R994" t="s">
        <v>101</v>
      </c>
      <c r="S994">
        <v>0</v>
      </c>
      <c r="T994">
        <v>0</v>
      </c>
      <c r="U994" t="s">
        <v>3915</v>
      </c>
      <c r="V994" t="s">
        <v>31</v>
      </c>
      <c r="W994">
        <v>0</v>
      </c>
    </row>
    <row r="995" spans="1:23" x14ac:dyDescent="0.25">
      <c r="A995" t="s">
        <v>4310</v>
      </c>
      <c r="B995" t="s">
        <v>1044</v>
      </c>
      <c r="C995" t="s">
        <v>1045</v>
      </c>
      <c r="D995" t="s">
        <v>4479</v>
      </c>
      <c r="E995" t="s">
        <v>4245</v>
      </c>
      <c r="F995" t="s">
        <v>1046</v>
      </c>
      <c r="G995" t="s">
        <v>1406</v>
      </c>
      <c r="H995" s="6">
        <v>46022</v>
      </c>
      <c r="I995" t="s">
        <v>29</v>
      </c>
      <c r="J995">
        <v>0</v>
      </c>
      <c r="K995">
        <v>0</v>
      </c>
      <c r="L995">
        <v>0</v>
      </c>
      <c r="M995">
        <v>0</v>
      </c>
      <c r="N995" t="s">
        <v>3915</v>
      </c>
      <c r="O995" t="s">
        <v>3915</v>
      </c>
      <c r="P995" t="s">
        <v>3915</v>
      </c>
      <c r="Q995">
        <v>0</v>
      </c>
      <c r="R995" t="s">
        <v>101</v>
      </c>
      <c r="S995">
        <v>0</v>
      </c>
      <c r="T995">
        <v>0</v>
      </c>
      <c r="U995" t="s">
        <v>3915</v>
      </c>
      <c r="V995" t="s">
        <v>31</v>
      </c>
      <c r="W995">
        <v>0</v>
      </c>
    </row>
    <row r="996" spans="1:23" x14ac:dyDescent="0.25">
      <c r="A996" t="s">
        <v>4311</v>
      </c>
      <c r="B996" t="s">
        <v>1047</v>
      </c>
      <c r="C996" t="s">
        <v>1048</v>
      </c>
      <c r="D996" t="s">
        <v>4479</v>
      </c>
      <c r="E996" t="s">
        <v>4245</v>
      </c>
      <c r="F996" t="s">
        <v>1046</v>
      </c>
      <c r="G996" t="s">
        <v>1406</v>
      </c>
      <c r="H996" s="6">
        <v>46022</v>
      </c>
      <c r="I996" t="s">
        <v>29</v>
      </c>
      <c r="J996">
        <v>0</v>
      </c>
      <c r="K996">
        <v>0</v>
      </c>
      <c r="L996">
        <v>0</v>
      </c>
      <c r="M996">
        <v>0</v>
      </c>
      <c r="N996" t="s">
        <v>3915</v>
      </c>
      <c r="O996" t="s">
        <v>3915</v>
      </c>
      <c r="P996" t="s">
        <v>3915</v>
      </c>
      <c r="Q996">
        <v>0</v>
      </c>
      <c r="R996" t="s">
        <v>104</v>
      </c>
      <c r="S996">
        <v>0</v>
      </c>
      <c r="T996">
        <v>0</v>
      </c>
      <c r="U996" t="s">
        <v>3915</v>
      </c>
      <c r="V996" t="s">
        <v>31</v>
      </c>
      <c r="W996">
        <v>0</v>
      </c>
    </row>
    <row r="997" spans="1:23" x14ac:dyDescent="0.25">
      <c r="A997" t="s">
        <v>4312</v>
      </c>
      <c r="B997" t="s">
        <v>1049</v>
      </c>
      <c r="C997" t="s">
        <v>1050</v>
      </c>
      <c r="D997" t="s">
        <v>4479</v>
      </c>
      <c r="E997" t="s">
        <v>4245</v>
      </c>
      <c r="F997" t="s">
        <v>1046</v>
      </c>
      <c r="G997" t="s">
        <v>1406</v>
      </c>
      <c r="H997" s="6">
        <v>46022</v>
      </c>
      <c r="I997" t="s">
        <v>29</v>
      </c>
      <c r="J997">
        <v>6</v>
      </c>
      <c r="K997">
        <v>0</v>
      </c>
      <c r="L997">
        <v>0</v>
      </c>
      <c r="M997">
        <v>0</v>
      </c>
      <c r="N997" t="s">
        <v>3915</v>
      </c>
      <c r="O997" t="s">
        <v>3915</v>
      </c>
      <c r="P997" t="s">
        <v>3915</v>
      </c>
      <c r="Q997">
        <v>0</v>
      </c>
      <c r="R997" t="s">
        <v>104</v>
      </c>
      <c r="S997">
        <v>0</v>
      </c>
      <c r="T997">
        <v>0</v>
      </c>
      <c r="U997" t="s">
        <v>3915</v>
      </c>
      <c r="V997" t="s">
        <v>31</v>
      </c>
      <c r="W997">
        <v>0</v>
      </c>
    </row>
    <row r="998" spans="1:23" x14ac:dyDescent="0.25">
      <c r="A998" t="s">
        <v>4313</v>
      </c>
      <c r="B998" t="s">
        <v>1051</v>
      </c>
      <c r="C998" t="s">
        <v>1052</v>
      </c>
      <c r="D998" t="s">
        <v>4479</v>
      </c>
      <c r="E998" t="s">
        <v>4245</v>
      </c>
      <c r="F998" t="s">
        <v>1046</v>
      </c>
      <c r="G998" t="s">
        <v>1406</v>
      </c>
      <c r="H998" s="6">
        <v>46022</v>
      </c>
      <c r="I998" t="s">
        <v>29</v>
      </c>
      <c r="J998">
        <v>2</v>
      </c>
      <c r="K998">
        <v>0</v>
      </c>
      <c r="L998">
        <v>0</v>
      </c>
      <c r="M998">
        <v>0</v>
      </c>
      <c r="N998" t="s">
        <v>3915</v>
      </c>
      <c r="O998" t="s">
        <v>3915</v>
      </c>
      <c r="P998" t="s">
        <v>3915</v>
      </c>
      <c r="Q998">
        <v>0</v>
      </c>
      <c r="R998" t="s">
        <v>104</v>
      </c>
      <c r="S998">
        <v>0</v>
      </c>
      <c r="T998">
        <v>0</v>
      </c>
      <c r="U998" t="s">
        <v>3915</v>
      </c>
      <c r="V998" t="s">
        <v>31</v>
      </c>
      <c r="W998">
        <v>0</v>
      </c>
    </row>
    <row r="999" spans="1:23" x14ac:dyDescent="0.25">
      <c r="A999" t="s">
        <v>4314</v>
      </c>
      <c r="B999" t="s">
        <v>1053</v>
      </c>
      <c r="C999" t="s">
        <v>1054</v>
      </c>
      <c r="D999" t="s">
        <v>4479</v>
      </c>
      <c r="E999" t="s">
        <v>4245</v>
      </c>
      <c r="F999" t="s">
        <v>1046</v>
      </c>
      <c r="G999" t="s">
        <v>1406</v>
      </c>
      <c r="H999" s="6">
        <v>46022</v>
      </c>
      <c r="I999" t="s">
        <v>29</v>
      </c>
      <c r="J999">
        <v>0</v>
      </c>
      <c r="K999">
        <v>0</v>
      </c>
      <c r="L999">
        <v>0</v>
      </c>
      <c r="M999">
        <v>0</v>
      </c>
      <c r="N999" t="s">
        <v>3915</v>
      </c>
      <c r="O999" t="s">
        <v>3915</v>
      </c>
      <c r="P999" t="s">
        <v>3915</v>
      </c>
      <c r="Q999">
        <v>0</v>
      </c>
      <c r="R999" t="s">
        <v>104</v>
      </c>
      <c r="S999">
        <v>0</v>
      </c>
      <c r="T999">
        <v>0</v>
      </c>
      <c r="U999" t="s">
        <v>3915</v>
      </c>
      <c r="V999" t="s">
        <v>31</v>
      </c>
      <c r="W999">
        <v>0</v>
      </c>
    </row>
    <row r="1000" spans="1:23" x14ac:dyDescent="0.25">
      <c r="A1000" t="s">
        <v>4315</v>
      </c>
      <c r="B1000" t="s">
        <v>1055</v>
      </c>
      <c r="C1000" t="s">
        <v>1056</v>
      </c>
      <c r="D1000" t="s">
        <v>4479</v>
      </c>
      <c r="E1000" t="s">
        <v>4245</v>
      </c>
      <c r="F1000" t="s">
        <v>1046</v>
      </c>
      <c r="G1000" t="s">
        <v>1406</v>
      </c>
      <c r="H1000" s="6">
        <v>46022</v>
      </c>
      <c r="I1000" t="s">
        <v>29</v>
      </c>
      <c r="J1000">
        <v>0</v>
      </c>
      <c r="K1000">
        <v>0</v>
      </c>
      <c r="L1000">
        <v>0</v>
      </c>
      <c r="M1000">
        <v>0</v>
      </c>
      <c r="N1000" t="s">
        <v>3915</v>
      </c>
      <c r="O1000" t="s">
        <v>3915</v>
      </c>
      <c r="P1000" t="s">
        <v>3915</v>
      </c>
      <c r="Q1000">
        <v>0</v>
      </c>
      <c r="R1000" t="s">
        <v>104</v>
      </c>
      <c r="S1000">
        <v>0</v>
      </c>
      <c r="T1000">
        <v>0</v>
      </c>
      <c r="U1000" t="s">
        <v>3915</v>
      </c>
      <c r="V1000" t="s">
        <v>31</v>
      </c>
      <c r="W1000">
        <v>0</v>
      </c>
    </row>
    <row r="1001" spans="1:23" x14ac:dyDescent="0.25">
      <c r="A1001" t="s">
        <v>4316</v>
      </c>
      <c r="B1001" t="s">
        <v>1063</v>
      </c>
      <c r="C1001" t="s">
        <v>1064</v>
      </c>
      <c r="D1001" t="s">
        <v>4479</v>
      </c>
      <c r="E1001" t="s">
        <v>4245</v>
      </c>
      <c r="F1001" t="s">
        <v>1046</v>
      </c>
      <c r="G1001" t="s">
        <v>1406</v>
      </c>
      <c r="H1001" s="6">
        <v>46022</v>
      </c>
      <c r="I1001" t="s">
        <v>29</v>
      </c>
      <c r="J1001">
        <v>0</v>
      </c>
      <c r="K1001">
        <v>0</v>
      </c>
      <c r="L1001">
        <v>0</v>
      </c>
      <c r="M1001">
        <v>0</v>
      </c>
      <c r="N1001" t="s">
        <v>3915</v>
      </c>
      <c r="O1001" t="s">
        <v>3915</v>
      </c>
      <c r="P1001" t="s">
        <v>3915</v>
      </c>
      <c r="Q1001">
        <v>0</v>
      </c>
      <c r="R1001" t="s">
        <v>101</v>
      </c>
      <c r="S1001">
        <v>0</v>
      </c>
      <c r="T1001">
        <v>0</v>
      </c>
      <c r="U1001" t="s">
        <v>3915</v>
      </c>
      <c r="V1001" t="s">
        <v>31</v>
      </c>
      <c r="W1001">
        <v>0</v>
      </c>
    </row>
    <row r="1002" spans="1:23" x14ac:dyDescent="0.25">
      <c r="A1002" t="s">
        <v>4317</v>
      </c>
      <c r="B1002" t="s">
        <v>1065</v>
      </c>
      <c r="C1002" t="s">
        <v>1066</v>
      </c>
      <c r="D1002" t="s">
        <v>4479</v>
      </c>
      <c r="E1002" t="s">
        <v>4245</v>
      </c>
      <c r="F1002" t="s">
        <v>1046</v>
      </c>
      <c r="G1002" t="s">
        <v>1406</v>
      </c>
      <c r="H1002" s="6">
        <v>46022</v>
      </c>
      <c r="I1002" t="s">
        <v>29</v>
      </c>
      <c r="J1002">
        <v>4</v>
      </c>
      <c r="K1002">
        <v>0</v>
      </c>
      <c r="L1002">
        <v>0</v>
      </c>
      <c r="M1002">
        <v>0</v>
      </c>
      <c r="N1002" t="s">
        <v>3915</v>
      </c>
      <c r="O1002" t="s">
        <v>3915</v>
      </c>
      <c r="P1002" t="s">
        <v>3915</v>
      </c>
      <c r="Q1002">
        <v>0</v>
      </c>
      <c r="R1002" t="s">
        <v>101</v>
      </c>
      <c r="S1002">
        <v>0</v>
      </c>
      <c r="T1002">
        <v>0</v>
      </c>
      <c r="U1002" t="s">
        <v>3915</v>
      </c>
      <c r="V1002" t="s">
        <v>31</v>
      </c>
      <c r="W1002">
        <v>0</v>
      </c>
    </row>
    <row r="1003" spans="1:23" x14ac:dyDescent="0.25">
      <c r="A1003" t="s">
        <v>5525</v>
      </c>
      <c r="B1003" t="s">
        <v>1638</v>
      </c>
      <c r="C1003" t="s">
        <v>1637</v>
      </c>
      <c r="D1003" t="s">
        <v>4479</v>
      </c>
      <c r="E1003" t="s">
        <v>4245</v>
      </c>
      <c r="F1003" t="s">
        <v>1046</v>
      </c>
      <c r="G1003" t="s">
        <v>1406</v>
      </c>
      <c r="H1003" s="6">
        <v>46022</v>
      </c>
      <c r="I1003" t="s">
        <v>29</v>
      </c>
      <c r="J1003">
        <v>55</v>
      </c>
      <c r="K1003">
        <v>0</v>
      </c>
      <c r="L1003">
        <v>0</v>
      </c>
      <c r="M1003">
        <v>0</v>
      </c>
      <c r="N1003" t="s">
        <v>3915</v>
      </c>
      <c r="O1003" t="s">
        <v>3915</v>
      </c>
      <c r="P1003" t="s">
        <v>3915</v>
      </c>
      <c r="Q1003">
        <v>0</v>
      </c>
      <c r="R1003" t="s">
        <v>101</v>
      </c>
      <c r="S1003">
        <v>0</v>
      </c>
      <c r="T1003">
        <v>0</v>
      </c>
      <c r="U1003" t="s">
        <v>3915</v>
      </c>
      <c r="V1003" t="s">
        <v>31</v>
      </c>
      <c r="W1003">
        <v>0</v>
      </c>
    </row>
    <row r="1004" spans="1:23" x14ac:dyDescent="0.25">
      <c r="A1004" t="s">
        <v>5526</v>
      </c>
      <c r="B1004" t="s">
        <v>1640</v>
      </c>
      <c r="C1004" t="s">
        <v>1639</v>
      </c>
      <c r="D1004" t="s">
        <v>4479</v>
      </c>
      <c r="E1004" t="s">
        <v>4245</v>
      </c>
      <c r="F1004" t="s">
        <v>1046</v>
      </c>
      <c r="G1004" t="s">
        <v>1406</v>
      </c>
      <c r="H1004" s="6">
        <v>46022</v>
      </c>
      <c r="I1004" t="s">
        <v>29</v>
      </c>
      <c r="J1004">
        <v>35</v>
      </c>
      <c r="K1004">
        <v>0</v>
      </c>
      <c r="L1004">
        <v>0</v>
      </c>
      <c r="M1004">
        <v>0</v>
      </c>
      <c r="N1004" t="s">
        <v>3915</v>
      </c>
      <c r="O1004" t="s">
        <v>3915</v>
      </c>
      <c r="P1004" t="s">
        <v>3915</v>
      </c>
      <c r="Q1004">
        <v>0</v>
      </c>
      <c r="R1004" t="s">
        <v>30</v>
      </c>
      <c r="S1004">
        <v>0</v>
      </c>
      <c r="T1004">
        <v>0</v>
      </c>
      <c r="U1004" t="s">
        <v>3915</v>
      </c>
      <c r="V1004" t="s">
        <v>31</v>
      </c>
      <c r="W1004">
        <v>0</v>
      </c>
    </row>
    <row r="1005" spans="1:23" x14ac:dyDescent="0.25">
      <c r="A1005" t="s">
        <v>5527</v>
      </c>
      <c r="B1005" t="s">
        <v>1642</v>
      </c>
      <c r="C1005" t="s">
        <v>1641</v>
      </c>
      <c r="D1005" t="s">
        <v>4479</v>
      </c>
      <c r="E1005" t="s">
        <v>4245</v>
      </c>
      <c r="F1005" t="s">
        <v>1046</v>
      </c>
      <c r="G1005" t="s">
        <v>1406</v>
      </c>
      <c r="H1005" s="6">
        <v>46022</v>
      </c>
      <c r="I1005" t="s">
        <v>29</v>
      </c>
      <c r="J1005">
        <v>45</v>
      </c>
      <c r="K1005">
        <v>0</v>
      </c>
      <c r="L1005">
        <v>0</v>
      </c>
      <c r="M1005">
        <v>0</v>
      </c>
      <c r="N1005" t="s">
        <v>3915</v>
      </c>
      <c r="O1005" t="s">
        <v>3915</v>
      </c>
      <c r="P1005" t="s">
        <v>3915</v>
      </c>
      <c r="Q1005">
        <v>0</v>
      </c>
      <c r="R1005" t="s">
        <v>30</v>
      </c>
      <c r="S1005">
        <v>0</v>
      </c>
      <c r="T1005">
        <v>0</v>
      </c>
      <c r="U1005" t="s">
        <v>3915</v>
      </c>
      <c r="V1005" t="s">
        <v>31</v>
      </c>
      <c r="W1005">
        <v>0</v>
      </c>
    </row>
    <row r="1006" spans="1:23" x14ac:dyDescent="0.25">
      <c r="A1006" t="s">
        <v>5528</v>
      </c>
      <c r="B1006" t="s">
        <v>1644</v>
      </c>
      <c r="C1006" t="s">
        <v>1643</v>
      </c>
      <c r="D1006" t="s">
        <v>4479</v>
      </c>
      <c r="E1006" t="s">
        <v>4245</v>
      </c>
      <c r="F1006" t="s">
        <v>1046</v>
      </c>
      <c r="G1006" t="s">
        <v>1406</v>
      </c>
      <c r="H1006" s="6">
        <v>46022</v>
      </c>
      <c r="I1006" t="s">
        <v>29</v>
      </c>
      <c r="J1006">
        <v>460</v>
      </c>
      <c r="K1006">
        <v>0</v>
      </c>
      <c r="L1006">
        <v>0</v>
      </c>
      <c r="M1006">
        <v>0</v>
      </c>
      <c r="N1006" t="s">
        <v>3915</v>
      </c>
      <c r="O1006" t="s">
        <v>3915</v>
      </c>
      <c r="P1006" t="s">
        <v>3915</v>
      </c>
      <c r="Q1006">
        <v>0</v>
      </c>
      <c r="R1006" t="s">
        <v>30</v>
      </c>
      <c r="S1006">
        <v>0</v>
      </c>
      <c r="T1006">
        <v>0</v>
      </c>
      <c r="U1006" t="s">
        <v>3915</v>
      </c>
      <c r="V1006" t="s">
        <v>31</v>
      </c>
      <c r="W1006">
        <v>0</v>
      </c>
    </row>
    <row r="1007" spans="1:23" x14ac:dyDescent="0.25">
      <c r="A1007" t="s">
        <v>5529</v>
      </c>
      <c r="B1007" t="s">
        <v>1646</v>
      </c>
      <c r="C1007" t="s">
        <v>1645</v>
      </c>
      <c r="D1007" t="s">
        <v>4479</v>
      </c>
      <c r="E1007" t="s">
        <v>4245</v>
      </c>
      <c r="F1007" t="s">
        <v>1046</v>
      </c>
      <c r="G1007" t="s">
        <v>1406</v>
      </c>
      <c r="H1007" s="6">
        <v>46022</v>
      </c>
      <c r="I1007" t="s">
        <v>29</v>
      </c>
      <c r="J1007">
        <v>50</v>
      </c>
      <c r="K1007">
        <v>0</v>
      </c>
      <c r="L1007">
        <v>0</v>
      </c>
      <c r="M1007">
        <v>0</v>
      </c>
      <c r="N1007" t="s">
        <v>3915</v>
      </c>
      <c r="O1007" t="s">
        <v>3915</v>
      </c>
      <c r="P1007" t="s">
        <v>3915</v>
      </c>
      <c r="Q1007">
        <v>0</v>
      </c>
      <c r="R1007" t="s">
        <v>30</v>
      </c>
      <c r="S1007">
        <v>0</v>
      </c>
      <c r="T1007">
        <v>0</v>
      </c>
      <c r="U1007" t="s">
        <v>3915</v>
      </c>
      <c r="V1007" t="s">
        <v>31</v>
      </c>
      <c r="W1007">
        <v>0</v>
      </c>
    </row>
    <row r="1008" spans="1:23" x14ac:dyDescent="0.25">
      <c r="A1008" t="s">
        <v>4618</v>
      </c>
      <c r="B1008" t="s">
        <v>1648</v>
      </c>
      <c r="C1008" t="s">
        <v>1647</v>
      </c>
      <c r="D1008" t="s">
        <v>4479</v>
      </c>
      <c r="E1008" t="s">
        <v>4245</v>
      </c>
      <c r="F1008" t="s">
        <v>1046</v>
      </c>
      <c r="G1008" t="s">
        <v>1406</v>
      </c>
      <c r="H1008" s="6">
        <v>46022</v>
      </c>
      <c r="I1008" t="s">
        <v>29</v>
      </c>
      <c r="J1008">
        <v>513</v>
      </c>
      <c r="K1008">
        <v>0</v>
      </c>
      <c r="L1008">
        <v>0</v>
      </c>
      <c r="M1008">
        <v>0</v>
      </c>
      <c r="N1008" t="s">
        <v>3915</v>
      </c>
      <c r="O1008" t="s">
        <v>3915</v>
      </c>
      <c r="P1008" t="s">
        <v>3915</v>
      </c>
      <c r="Q1008">
        <v>0</v>
      </c>
      <c r="R1008" t="s">
        <v>30</v>
      </c>
      <c r="S1008">
        <v>0</v>
      </c>
      <c r="T1008">
        <v>0</v>
      </c>
      <c r="U1008" t="s">
        <v>3915</v>
      </c>
      <c r="V1008" t="s">
        <v>31</v>
      </c>
      <c r="W1008">
        <v>0</v>
      </c>
    </row>
    <row r="1009" spans="1:23" x14ac:dyDescent="0.25">
      <c r="A1009" t="s">
        <v>5530</v>
      </c>
      <c r="B1009" t="s">
        <v>2487</v>
      </c>
      <c r="C1009" t="s">
        <v>2486</v>
      </c>
      <c r="D1009" t="s">
        <v>4479</v>
      </c>
      <c r="E1009" t="s">
        <v>4346</v>
      </c>
      <c r="F1009" t="s">
        <v>2488</v>
      </c>
      <c r="G1009" t="s">
        <v>1406</v>
      </c>
      <c r="H1009" s="6">
        <v>46022</v>
      </c>
      <c r="I1009" t="s">
        <v>29</v>
      </c>
      <c r="J1009">
        <v>2</v>
      </c>
      <c r="K1009">
        <v>0</v>
      </c>
      <c r="L1009">
        <v>0</v>
      </c>
      <c r="M1009">
        <v>0</v>
      </c>
      <c r="N1009" t="s">
        <v>3915</v>
      </c>
      <c r="O1009" t="s">
        <v>3915</v>
      </c>
      <c r="P1009" t="s">
        <v>3915</v>
      </c>
      <c r="Q1009">
        <v>0</v>
      </c>
      <c r="R1009" t="s">
        <v>30</v>
      </c>
      <c r="S1009">
        <v>0</v>
      </c>
      <c r="T1009">
        <v>0</v>
      </c>
      <c r="U1009" t="s">
        <v>3915</v>
      </c>
      <c r="V1009" t="s">
        <v>31</v>
      </c>
      <c r="W1009">
        <v>0</v>
      </c>
    </row>
    <row r="1010" spans="1:23" x14ac:dyDescent="0.25">
      <c r="A1010" t="s">
        <v>5531</v>
      </c>
      <c r="B1010" t="s">
        <v>1560</v>
      </c>
      <c r="C1010" t="s">
        <v>1559</v>
      </c>
      <c r="D1010" t="s">
        <v>4479</v>
      </c>
      <c r="E1010" t="s">
        <v>4204</v>
      </c>
      <c r="F1010" t="s">
        <v>1557</v>
      </c>
      <c r="G1010" t="s">
        <v>1406</v>
      </c>
      <c r="H1010" s="6">
        <v>46022</v>
      </c>
      <c r="I1010" t="s">
        <v>29</v>
      </c>
      <c r="J1010">
        <v>2</v>
      </c>
      <c r="K1010">
        <v>0</v>
      </c>
      <c r="L1010">
        <v>0</v>
      </c>
      <c r="M1010">
        <v>0</v>
      </c>
      <c r="N1010" t="s">
        <v>3915</v>
      </c>
      <c r="O1010" t="s">
        <v>3915</v>
      </c>
      <c r="P1010" t="s">
        <v>3915</v>
      </c>
      <c r="Q1010">
        <v>0</v>
      </c>
      <c r="R1010" t="s">
        <v>30</v>
      </c>
      <c r="S1010">
        <v>0</v>
      </c>
      <c r="T1010">
        <v>0</v>
      </c>
      <c r="U1010" t="s">
        <v>3915</v>
      </c>
      <c r="V1010" t="s">
        <v>31</v>
      </c>
      <c r="W1010">
        <v>0</v>
      </c>
    </row>
    <row r="1011" spans="1:23" x14ac:dyDescent="0.25">
      <c r="A1011" t="s">
        <v>5532</v>
      </c>
      <c r="B1011" t="s">
        <v>2243</v>
      </c>
      <c r="C1011" t="s">
        <v>2242</v>
      </c>
      <c r="D1011" t="s">
        <v>4479</v>
      </c>
      <c r="E1011" t="s">
        <v>4319</v>
      </c>
      <c r="F1011" t="s">
        <v>1069</v>
      </c>
      <c r="G1011" t="s">
        <v>1406</v>
      </c>
      <c r="H1011" s="6">
        <v>46022</v>
      </c>
      <c r="I1011" t="s">
        <v>29</v>
      </c>
      <c r="J1011">
        <v>13950</v>
      </c>
      <c r="K1011">
        <v>0</v>
      </c>
      <c r="L1011">
        <v>0</v>
      </c>
      <c r="M1011">
        <v>0</v>
      </c>
      <c r="N1011" t="s">
        <v>3915</v>
      </c>
      <c r="O1011" t="s">
        <v>3915</v>
      </c>
      <c r="P1011" t="s">
        <v>3915</v>
      </c>
      <c r="Q1011">
        <v>0</v>
      </c>
      <c r="R1011" t="s">
        <v>30</v>
      </c>
      <c r="S1011">
        <v>0</v>
      </c>
      <c r="T1011">
        <v>0</v>
      </c>
      <c r="U1011" t="s">
        <v>3915</v>
      </c>
      <c r="V1011" t="s">
        <v>31</v>
      </c>
      <c r="W1011">
        <v>0</v>
      </c>
    </row>
    <row r="1012" spans="1:23" x14ac:dyDescent="0.25">
      <c r="A1012" t="s">
        <v>4318</v>
      </c>
      <c r="B1012" t="s">
        <v>1067</v>
      </c>
      <c r="C1012" t="s">
        <v>1068</v>
      </c>
      <c r="D1012" t="s">
        <v>4479</v>
      </c>
      <c r="E1012" t="s">
        <v>4319</v>
      </c>
      <c r="F1012" t="s">
        <v>1069</v>
      </c>
      <c r="G1012" t="s">
        <v>1406</v>
      </c>
      <c r="H1012" s="6">
        <v>46022</v>
      </c>
      <c r="I1012" t="s">
        <v>29</v>
      </c>
      <c r="J1012">
        <v>40</v>
      </c>
      <c r="K1012">
        <v>0</v>
      </c>
      <c r="L1012">
        <v>0</v>
      </c>
      <c r="M1012">
        <v>0</v>
      </c>
      <c r="N1012" t="s">
        <v>3915</v>
      </c>
      <c r="O1012" t="s">
        <v>3915</v>
      </c>
      <c r="P1012" t="s">
        <v>3915</v>
      </c>
      <c r="Q1012">
        <v>0</v>
      </c>
      <c r="R1012" t="s">
        <v>30</v>
      </c>
      <c r="S1012">
        <v>0</v>
      </c>
      <c r="T1012">
        <v>0</v>
      </c>
      <c r="U1012" t="s">
        <v>3915</v>
      </c>
      <c r="V1012" t="s">
        <v>31</v>
      </c>
      <c r="W1012">
        <v>0</v>
      </c>
    </row>
    <row r="1013" spans="1:23" x14ac:dyDescent="0.25">
      <c r="A1013" t="s">
        <v>4320</v>
      </c>
      <c r="B1013" t="s">
        <v>1070</v>
      </c>
      <c r="C1013" t="s">
        <v>1071</v>
      </c>
      <c r="D1013" t="s">
        <v>4479</v>
      </c>
      <c r="E1013" t="s">
        <v>4319</v>
      </c>
      <c r="F1013" t="s">
        <v>1069</v>
      </c>
      <c r="G1013" t="s">
        <v>1406</v>
      </c>
      <c r="H1013" s="6">
        <v>46022</v>
      </c>
      <c r="I1013" t="s">
        <v>29</v>
      </c>
      <c r="J1013">
        <v>13</v>
      </c>
      <c r="K1013">
        <v>0</v>
      </c>
      <c r="L1013">
        <v>0</v>
      </c>
      <c r="M1013">
        <v>0</v>
      </c>
      <c r="N1013" t="s">
        <v>3915</v>
      </c>
      <c r="O1013" t="s">
        <v>3915</v>
      </c>
      <c r="P1013" t="s">
        <v>3915</v>
      </c>
      <c r="Q1013">
        <v>0</v>
      </c>
      <c r="R1013" t="s">
        <v>30</v>
      </c>
      <c r="S1013">
        <v>0</v>
      </c>
      <c r="T1013">
        <v>0</v>
      </c>
      <c r="U1013" t="s">
        <v>3915</v>
      </c>
      <c r="V1013" t="s">
        <v>31</v>
      </c>
      <c r="W1013">
        <v>0</v>
      </c>
    </row>
    <row r="1014" spans="1:23" x14ac:dyDescent="0.25">
      <c r="A1014" t="s">
        <v>5533</v>
      </c>
      <c r="B1014" t="s">
        <v>2245</v>
      </c>
      <c r="C1014" t="s">
        <v>2244</v>
      </c>
      <c r="D1014" t="s">
        <v>4479</v>
      </c>
      <c r="E1014" t="s">
        <v>4319</v>
      </c>
      <c r="F1014" t="s">
        <v>1069</v>
      </c>
      <c r="G1014" t="s">
        <v>1406</v>
      </c>
      <c r="H1014" s="6">
        <v>46022</v>
      </c>
      <c r="I1014" t="s">
        <v>29</v>
      </c>
      <c r="J1014">
        <v>17</v>
      </c>
      <c r="K1014">
        <v>0</v>
      </c>
      <c r="L1014">
        <v>0</v>
      </c>
      <c r="M1014">
        <v>0</v>
      </c>
      <c r="N1014" t="s">
        <v>3915</v>
      </c>
      <c r="O1014" t="s">
        <v>3915</v>
      </c>
      <c r="P1014" t="s">
        <v>3915</v>
      </c>
      <c r="Q1014">
        <v>0</v>
      </c>
      <c r="R1014" t="s">
        <v>30</v>
      </c>
      <c r="S1014">
        <v>0</v>
      </c>
      <c r="T1014">
        <v>0</v>
      </c>
      <c r="U1014" t="s">
        <v>3915</v>
      </c>
      <c r="V1014" t="s">
        <v>31</v>
      </c>
      <c r="W1014">
        <v>0</v>
      </c>
    </row>
    <row r="1015" spans="1:23" x14ac:dyDescent="0.25">
      <c r="A1015" t="s">
        <v>4321</v>
      </c>
      <c r="B1015" t="s">
        <v>1072</v>
      </c>
      <c r="C1015" t="s">
        <v>1073</v>
      </c>
      <c r="D1015" t="s">
        <v>4479</v>
      </c>
      <c r="E1015" t="s">
        <v>4319</v>
      </c>
      <c r="F1015" t="s">
        <v>1069</v>
      </c>
      <c r="G1015" t="s">
        <v>1406</v>
      </c>
      <c r="H1015" s="6">
        <v>46022</v>
      </c>
      <c r="I1015" t="s">
        <v>29</v>
      </c>
      <c r="J1015">
        <v>211</v>
      </c>
      <c r="K1015">
        <v>0</v>
      </c>
      <c r="L1015">
        <v>0</v>
      </c>
      <c r="M1015">
        <v>0</v>
      </c>
      <c r="N1015" t="s">
        <v>3915</v>
      </c>
      <c r="O1015" t="s">
        <v>3915</v>
      </c>
      <c r="P1015" t="s">
        <v>3915</v>
      </c>
      <c r="Q1015">
        <v>0</v>
      </c>
      <c r="R1015" t="s">
        <v>30</v>
      </c>
      <c r="S1015">
        <v>0</v>
      </c>
      <c r="T1015">
        <v>0</v>
      </c>
      <c r="U1015" t="s">
        <v>3915</v>
      </c>
      <c r="V1015" t="s">
        <v>31</v>
      </c>
      <c r="W1015">
        <v>0</v>
      </c>
    </row>
    <row r="1016" spans="1:23" x14ac:dyDescent="0.25">
      <c r="A1016" t="s">
        <v>4322</v>
      </c>
      <c r="B1016" t="s">
        <v>1074</v>
      </c>
      <c r="C1016" t="s">
        <v>1075</v>
      </c>
      <c r="D1016" t="s">
        <v>4479</v>
      </c>
      <c r="E1016" t="s">
        <v>4319</v>
      </c>
      <c r="F1016" t="s">
        <v>1069</v>
      </c>
      <c r="G1016" t="s">
        <v>1406</v>
      </c>
      <c r="H1016" s="6">
        <v>46022</v>
      </c>
      <c r="I1016" t="s">
        <v>29</v>
      </c>
      <c r="J1016">
        <v>11</v>
      </c>
      <c r="K1016">
        <v>0</v>
      </c>
      <c r="L1016">
        <v>0</v>
      </c>
      <c r="M1016">
        <v>0</v>
      </c>
      <c r="N1016" t="s">
        <v>3915</v>
      </c>
      <c r="O1016" t="s">
        <v>3915</v>
      </c>
      <c r="P1016" t="s">
        <v>3915</v>
      </c>
      <c r="Q1016">
        <v>0</v>
      </c>
      <c r="R1016" t="s">
        <v>30</v>
      </c>
      <c r="S1016">
        <v>0</v>
      </c>
      <c r="T1016">
        <v>0</v>
      </c>
      <c r="U1016" t="s">
        <v>3915</v>
      </c>
      <c r="V1016" t="s">
        <v>31</v>
      </c>
      <c r="W1016">
        <v>0</v>
      </c>
    </row>
    <row r="1017" spans="1:23" x14ac:dyDescent="0.25">
      <c r="A1017" t="s">
        <v>4323</v>
      </c>
      <c r="B1017" t="s">
        <v>1076</v>
      </c>
      <c r="C1017" t="s">
        <v>1077</v>
      </c>
      <c r="D1017" t="s">
        <v>4479</v>
      </c>
      <c r="E1017" t="s">
        <v>4319</v>
      </c>
      <c r="F1017" t="s">
        <v>1069</v>
      </c>
      <c r="G1017" t="s">
        <v>1406</v>
      </c>
      <c r="H1017" s="6">
        <v>46022</v>
      </c>
      <c r="I1017" t="s">
        <v>29</v>
      </c>
      <c r="J1017">
        <v>12</v>
      </c>
      <c r="K1017">
        <v>0</v>
      </c>
      <c r="L1017">
        <v>0</v>
      </c>
      <c r="M1017">
        <v>0</v>
      </c>
      <c r="N1017" t="s">
        <v>3915</v>
      </c>
      <c r="O1017" t="s">
        <v>3915</v>
      </c>
      <c r="P1017" t="s">
        <v>3915</v>
      </c>
      <c r="Q1017">
        <v>0</v>
      </c>
      <c r="R1017" t="s">
        <v>30</v>
      </c>
      <c r="S1017">
        <v>0</v>
      </c>
      <c r="T1017">
        <v>0</v>
      </c>
      <c r="U1017" t="s">
        <v>3915</v>
      </c>
      <c r="V1017" t="s">
        <v>31</v>
      </c>
      <c r="W1017">
        <v>0</v>
      </c>
    </row>
    <row r="1018" spans="1:23" x14ac:dyDescent="0.25">
      <c r="A1018" t="s">
        <v>4324</v>
      </c>
      <c r="B1018" t="s">
        <v>1078</v>
      </c>
      <c r="C1018" t="s">
        <v>1079</v>
      </c>
      <c r="D1018" t="s">
        <v>4479</v>
      </c>
      <c r="E1018" t="s">
        <v>4319</v>
      </c>
      <c r="F1018" t="s">
        <v>1069</v>
      </c>
      <c r="G1018" t="s">
        <v>1406</v>
      </c>
      <c r="H1018" s="6">
        <v>46022</v>
      </c>
      <c r="I1018" t="s">
        <v>29</v>
      </c>
      <c r="J1018">
        <v>131</v>
      </c>
      <c r="K1018">
        <v>0</v>
      </c>
      <c r="L1018">
        <v>0</v>
      </c>
      <c r="M1018">
        <v>0</v>
      </c>
      <c r="N1018" t="s">
        <v>3915</v>
      </c>
      <c r="O1018" t="s">
        <v>3915</v>
      </c>
      <c r="P1018" t="s">
        <v>3915</v>
      </c>
      <c r="Q1018">
        <v>0</v>
      </c>
      <c r="R1018" t="s">
        <v>30</v>
      </c>
      <c r="S1018">
        <v>0</v>
      </c>
      <c r="T1018">
        <v>0</v>
      </c>
      <c r="U1018" t="s">
        <v>3915</v>
      </c>
      <c r="V1018" t="s">
        <v>31</v>
      </c>
      <c r="W1018">
        <v>0</v>
      </c>
    </row>
    <row r="1019" spans="1:23" x14ac:dyDescent="0.25">
      <c r="A1019" t="s">
        <v>4325</v>
      </c>
      <c r="B1019" t="s">
        <v>1080</v>
      </c>
      <c r="C1019" t="s">
        <v>1081</v>
      </c>
      <c r="D1019" t="s">
        <v>4479</v>
      </c>
      <c r="E1019" t="s">
        <v>4319</v>
      </c>
      <c r="F1019" t="s">
        <v>1069</v>
      </c>
      <c r="G1019" t="s">
        <v>1406</v>
      </c>
      <c r="H1019" s="6">
        <v>46022</v>
      </c>
      <c r="I1019" t="s">
        <v>29</v>
      </c>
      <c r="J1019">
        <v>310</v>
      </c>
      <c r="K1019">
        <v>0</v>
      </c>
      <c r="L1019">
        <v>0</v>
      </c>
      <c r="M1019">
        <v>0</v>
      </c>
      <c r="N1019" t="s">
        <v>3915</v>
      </c>
      <c r="O1019" t="s">
        <v>3915</v>
      </c>
      <c r="P1019" t="s">
        <v>3915</v>
      </c>
      <c r="Q1019">
        <v>0</v>
      </c>
      <c r="R1019" t="s">
        <v>30</v>
      </c>
      <c r="S1019">
        <v>0</v>
      </c>
      <c r="T1019">
        <v>0</v>
      </c>
      <c r="U1019" t="s">
        <v>3915</v>
      </c>
      <c r="V1019" t="s">
        <v>31</v>
      </c>
      <c r="W1019">
        <v>0</v>
      </c>
    </row>
    <row r="1020" spans="1:23" x14ac:dyDescent="0.25">
      <c r="A1020" t="s">
        <v>4326</v>
      </c>
      <c r="B1020" t="s">
        <v>1082</v>
      </c>
      <c r="C1020" t="s">
        <v>1083</v>
      </c>
      <c r="D1020" t="s">
        <v>4479</v>
      </c>
      <c r="E1020" t="s">
        <v>4319</v>
      </c>
      <c r="F1020" t="s">
        <v>1069</v>
      </c>
      <c r="G1020" t="s">
        <v>1406</v>
      </c>
      <c r="H1020" s="6">
        <v>46022</v>
      </c>
      <c r="I1020" t="s">
        <v>29</v>
      </c>
      <c r="J1020">
        <v>352</v>
      </c>
      <c r="K1020">
        <v>0</v>
      </c>
      <c r="L1020">
        <v>0</v>
      </c>
      <c r="M1020">
        <v>0</v>
      </c>
      <c r="N1020" t="s">
        <v>3915</v>
      </c>
      <c r="O1020" t="s">
        <v>3915</v>
      </c>
      <c r="P1020" t="s">
        <v>3915</v>
      </c>
      <c r="Q1020">
        <v>0</v>
      </c>
      <c r="R1020" t="s">
        <v>30</v>
      </c>
      <c r="S1020">
        <v>0</v>
      </c>
      <c r="T1020">
        <v>0</v>
      </c>
      <c r="U1020" t="s">
        <v>3915</v>
      </c>
      <c r="V1020" t="s">
        <v>31</v>
      </c>
      <c r="W1020">
        <v>0</v>
      </c>
    </row>
    <row r="1021" spans="1:23" x14ac:dyDescent="0.25">
      <c r="A1021" t="s">
        <v>5534</v>
      </c>
      <c r="B1021" t="s">
        <v>2247</v>
      </c>
      <c r="C1021" t="s">
        <v>2246</v>
      </c>
      <c r="D1021" t="s">
        <v>4479</v>
      </c>
      <c r="E1021" t="s">
        <v>4319</v>
      </c>
      <c r="F1021" t="s">
        <v>1069</v>
      </c>
      <c r="G1021" t="s">
        <v>1406</v>
      </c>
      <c r="H1021" s="6">
        <v>46022</v>
      </c>
      <c r="I1021" t="s">
        <v>29</v>
      </c>
      <c r="J1021">
        <v>315</v>
      </c>
      <c r="K1021">
        <v>0</v>
      </c>
      <c r="L1021">
        <v>0</v>
      </c>
      <c r="M1021">
        <v>0</v>
      </c>
      <c r="N1021" t="s">
        <v>3915</v>
      </c>
      <c r="O1021" t="s">
        <v>3915</v>
      </c>
      <c r="P1021" t="s">
        <v>3915</v>
      </c>
      <c r="Q1021">
        <v>0</v>
      </c>
      <c r="R1021" t="s">
        <v>30</v>
      </c>
      <c r="S1021">
        <v>0</v>
      </c>
      <c r="T1021">
        <v>0</v>
      </c>
      <c r="U1021" t="s">
        <v>3915</v>
      </c>
      <c r="V1021" t="s">
        <v>31</v>
      </c>
      <c r="W1021">
        <v>0</v>
      </c>
    </row>
    <row r="1022" spans="1:23" x14ac:dyDescent="0.25">
      <c r="A1022" t="s">
        <v>4327</v>
      </c>
      <c r="B1022" t="s">
        <v>1088</v>
      </c>
      <c r="C1022" t="s">
        <v>1089</v>
      </c>
      <c r="D1022" t="s">
        <v>4479</v>
      </c>
      <c r="E1022" t="s">
        <v>4319</v>
      </c>
      <c r="F1022" t="s">
        <v>1069</v>
      </c>
      <c r="G1022" t="s">
        <v>1406</v>
      </c>
      <c r="H1022" s="6">
        <v>46022</v>
      </c>
      <c r="I1022" t="s">
        <v>29</v>
      </c>
      <c r="J1022">
        <v>0</v>
      </c>
      <c r="K1022">
        <v>0</v>
      </c>
      <c r="L1022">
        <v>0</v>
      </c>
      <c r="M1022">
        <v>0</v>
      </c>
      <c r="N1022" t="s">
        <v>3915</v>
      </c>
      <c r="O1022" t="s">
        <v>3915</v>
      </c>
      <c r="P1022" t="s">
        <v>3915</v>
      </c>
      <c r="Q1022">
        <v>0</v>
      </c>
      <c r="R1022" t="s">
        <v>30</v>
      </c>
      <c r="S1022">
        <v>0</v>
      </c>
      <c r="T1022">
        <v>0</v>
      </c>
      <c r="U1022" t="s">
        <v>3915</v>
      </c>
      <c r="V1022" t="s">
        <v>31</v>
      </c>
      <c r="W1022">
        <v>0</v>
      </c>
    </row>
    <row r="1023" spans="1:23" x14ac:dyDescent="0.25">
      <c r="A1023" t="s">
        <v>4328</v>
      </c>
      <c r="B1023" t="s">
        <v>1090</v>
      </c>
      <c r="C1023" t="s">
        <v>1091</v>
      </c>
      <c r="D1023" t="s">
        <v>4479</v>
      </c>
      <c r="E1023" t="s">
        <v>4319</v>
      </c>
      <c r="F1023" t="s">
        <v>1069</v>
      </c>
      <c r="G1023" t="s">
        <v>1406</v>
      </c>
      <c r="H1023" s="6">
        <v>46022</v>
      </c>
      <c r="I1023" t="s">
        <v>29</v>
      </c>
      <c r="J1023">
        <v>141</v>
      </c>
      <c r="K1023">
        <v>0</v>
      </c>
      <c r="L1023">
        <v>0</v>
      </c>
      <c r="M1023">
        <v>0</v>
      </c>
      <c r="N1023" t="s">
        <v>3915</v>
      </c>
      <c r="O1023" t="s">
        <v>3915</v>
      </c>
      <c r="P1023" t="s">
        <v>3915</v>
      </c>
      <c r="Q1023">
        <v>0</v>
      </c>
      <c r="R1023" t="s">
        <v>30</v>
      </c>
      <c r="S1023">
        <v>0</v>
      </c>
      <c r="T1023">
        <v>0</v>
      </c>
      <c r="U1023" t="s">
        <v>3915</v>
      </c>
      <c r="V1023" t="s">
        <v>31</v>
      </c>
      <c r="W1023">
        <v>0</v>
      </c>
    </row>
    <row r="1024" spans="1:23" x14ac:dyDescent="0.25">
      <c r="A1024" t="s">
        <v>4330</v>
      </c>
      <c r="B1024" t="s">
        <v>1094</v>
      </c>
      <c r="C1024" t="s">
        <v>1095</v>
      </c>
      <c r="D1024" t="s">
        <v>4479</v>
      </c>
      <c r="E1024" t="s">
        <v>4319</v>
      </c>
      <c r="F1024" t="s">
        <v>1069</v>
      </c>
      <c r="G1024" t="s">
        <v>1406</v>
      </c>
      <c r="H1024" s="6">
        <v>46022</v>
      </c>
      <c r="I1024" t="s">
        <v>29</v>
      </c>
      <c r="J1024">
        <v>63</v>
      </c>
      <c r="K1024">
        <v>0</v>
      </c>
      <c r="L1024">
        <v>0</v>
      </c>
      <c r="M1024">
        <v>0</v>
      </c>
      <c r="N1024" t="s">
        <v>3915</v>
      </c>
      <c r="O1024" t="s">
        <v>3915</v>
      </c>
      <c r="P1024" t="s">
        <v>3915</v>
      </c>
      <c r="Q1024">
        <v>0</v>
      </c>
      <c r="R1024" t="s">
        <v>30</v>
      </c>
      <c r="S1024">
        <v>0</v>
      </c>
      <c r="T1024">
        <v>0</v>
      </c>
      <c r="U1024" t="s">
        <v>3915</v>
      </c>
      <c r="V1024" t="s">
        <v>31</v>
      </c>
      <c r="W1024">
        <v>0</v>
      </c>
    </row>
    <row r="1025" spans="1:23" x14ac:dyDescent="0.25">
      <c r="A1025" t="s">
        <v>4331</v>
      </c>
      <c r="B1025" t="s">
        <v>1096</v>
      </c>
      <c r="C1025" t="s">
        <v>1097</v>
      </c>
      <c r="D1025" t="s">
        <v>4479</v>
      </c>
      <c r="E1025" t="s">
        <v>4319</v>
      </c>
      <c r="F1025" t="s">
        <v>1069</v>
      </c>
      <c r="G1025" t="s">
        <v>1406</v>
      </c>
      <c r="H1025" s="6">
        <v>46022</v>
      </c>
      <c r="I1025" t="s">
        <v>29</v>
      </c>
      <c r="J1025">
        <v>68</v>
      </c>
      <c r="K1025">
        <v>0</v>
      </c>
      <c r="L1025">
        <v>0</v>
      </c>
      <c r="M1025">
        <v>0</v>
      </c>
      <c r="N1025" t="s">
        <v>3915</v>
      </c>
      <c r="O1025" t="s">
        <v>3915</v>
      </c>
      <c r="P1025" t="s">
        <v>3915</v>
      </c>
      <c r="Q1025">
        <v>0</v>
      </c>
      <c r="R1025" t="s">
        <v>30</v>
      </c>
      <c r="S1025">
        <v>0</v>
      </c>
      <c r="T1025">
        <v>0</v>
      </c>
      <c r="U1025" t="s">
        <v>3915</v>
      </c>
      <c r="V1025" t="s">
        <v>31</v>
      </c>
      <c r="W1025">
        <v>0</v>
      </c>
    </row>
    <row r="1026" spans="1:23" x14ac:dyDescent="0.25">
      <c r="A1026" t="s">
        <v>4332</v>
      </c>
      <c r="B1026" t="s">
        <v>1098</v>
      </c>
      <c r="C1026" t="s">
        <v>1099</v>
      </c>
      <c r="D1026" t="s">
        <v>4479</v>
      </c>
      <c r="E1026" t="s">
        <v>4319</v>
      </c>
      <c r="F1026" t="s">
        <v>1069</v>
      </c>
      <c r="G1026" t="s">
        <v>1406</v>
      </c>
      <c r="H1026" s="6">
        <v>46022</v>
      </c>
      <c r="I1026" t="s">
        <v>29</v>
      </c>
      <c r="J1026">
        <v>170</v>
      </c>
      <c r="K1026">
        <v>0</v>
      </c>
      <c r="L1026">
        <v>0</v>
      </c>
      <c r="M1026">
        <v>0</v>
      </c>
      <c r="N1026" t="s">
        <v>3915</v>
      </c>
      <c r="O1026" t="s">
        <v>3915</v>
      </c>
      <c r="P1026" t="s">
        <v>3915</v>
      </c>
      <c r="Q1026">
        <v>0</v>
      </c>
      <c r="R1026" t="s">
        <v>30</v>
      </c>
      <c r="S1026">
        <v>0</v>
      </c>
      <c r="T1026">
        <v>0</v>
      </c>
      <c r="U1026" t="s">
        <v>3915</v>
      </c>
      <c r="V1026" t="s">
        <v>31</v>
      </c>
      <c r="W1026">
        <v>0</v>
      </c>
    </row>
    <row r="1027" spans="1:23" x14ac:dyDescent="0.25">
      <c r="A1027" t="s">
        <v>4333</v>
      </c>
      <c r="B1027" t="s">
        <v>1100</v>
      </c>
      <c r="C1027" t="s">
        <v>1101</v>
      </c>
      <c r="D1027" t="s">
        <v>4479</v>
      </c>
      <c r="E1027" t="s">
        <v>4319</v>
      </c>
      <c r="F1027" t="s">
        <v>1069</v>
      </c>
      <c r="G1027" t="s">
        <v>1406</v>
      </c>
      <c r="H1027" s="6">
        <v>46022</v>
      </c>
      <c r="I1027" t="s">
        <v>29</v>
      </c>
      <c r="J1027">
        <v>71</v>
      </c>
      <c r="K1027">
        <v>0</v>
      </c>
      <c r="L1027">
        <v>0</v>
      </c>
      <c r="M1027">
        <v>0</v>
      </c>
      <c r="N1027" t="s">
        <v>3915</v>
      </c>
      <c r="O1027" t="s">
        <v>3915</v>
      </c>
      <c r="P1027" t="s">
        <v>3915</v>
      </c>
      <c r="Q1027">
        <v>0</v>
      </c>
      <c r="R1027" t="s">
        <v>30</v>
      </c>
      <c r="S1027">
        <v>0</v>
      </c>
      <c r="T1027">
        <v>0</v>
      </c>
      <c r="U1027" t="s">
        <v>3915</v>
      </c>
      <c r="V1027" t="s">
        <v>31</v>
      </c>
      <c r="W1027">
        <v>0</v>
      </c>
    </row>
    <row r="1028" spans="1:23" x14ac:dyDescent="0.25">
      <c r="A1028" t="s">
        <v>4334</v>
      </c>
      <c r="B1028" t="s">
        <v>1102</v>
      </c>
      <c r="C1028" t="s">
        <v>1103</v>
      </c>
      <c r="D1028" t="s">
        <v>4479</v>
      </c>
      <c r="E1028" t="s">
        <v>4319</v>
      </c>
      <c r="F1028" t="s">
        <v>1069</v>
      </c>
      <c r="G1028" t="s">
        <v>1406</v>
      </c>
      <c r="H1028" s="6">
        <v>46022</v>
      </c>
      <c r="I1028" t="s">
        <v>29</v>
      </c>
      <c r="J1028">
        <v>19</v>
      </c>
      <c r="K1028">
        <v>0</v>
      </c>
      <c r="L1028">
        <v>0</v>
      </c>
      <c r="M1028">
        <v>0</v>
      </c>
      <c r="N1028" t="s">
        <v>3915</v>
      </c>
      <c r="O1028" t="s">
        <v>3915</v>
      </c>
      <c r="P1028" t="s">
        <v>3915</v>
      </c>
      <c r="Q1028">
        <v>0</v>
      </c>
      <c r="R1028" t="s">
        <v>30</v>
      </c>
      <c r="S1028">
        <v>0</v>
      </c>
      <c r="T1028">
        <v>0</v>
      </c>
      <c r="U1028" t="s">
        <v>3915</v>
      </c>
      <c r="V1028" t="s">
        <v>31</v>
      </c>
      <c r="W1028">
        <v>0</v>
      </c>
    </row>
    <row r="1029" spans="1:23" x14ac:dyDescent="0.25">
      <c r="A1029" t="s">
        <v>4335</v>
      </c>
      <c r="B1029" t="s">
        <v>1104</v>
      </c>
      <c r="C1029" t="s">
        <v>1105</v>
      </c>
      <c r="D1029" t="s">
        <v>4479</v>
      </c>
      <c r="E1029" t="s">
        <v>4319</v>
      </c>
      <c r="F1029" t="s">
        <v>1069</v>
      </c>
      <c r="G1029" t="s">
        <v>1406</v>
      </c>
      <c r="H1029" s="6">
        <v>46022</v>
      </c>
      <c r="I1029" t="s">
        <v>29</v>
      </c>
      <c r="J1029">
        <v>1</v>
      </c>
      <c r="K1029">
        <v>0</v>
      </c>
      <c r="L1029">
        <v>0</v>
      </c>
      <c r="M1029">
        <v>0</v>
      </c>
      <c r="N1029" t="s">
        <v>3915</v>
      </c>
      <c r="O1029" t="s">
        <v>3915</v>
      </c>
      <c r="P1029" t="s">
        <v>3915</v>
      </c>
      <c r="Q1029">
        <v>0</v>
      </c>
      <c r="R1029" t="s">
        <v>30</v>
      </c>
      <c r="S1029">
        <v>0</v>
      </c>
      <c r="T1029">
        <v>0</v>
      </c>
      <c r="U1029" t="s">
        <v>3915</v>
      </c>
      <c r="V1029" t="s">
        <v>31</v>
      </c>
      <c r="W1029">
        <v>0</v>
      </c>
    </row>
    <row r="1030" spans="1:23" x14ac:dyDescent="0.25">
      <c r="A1030" t="s">
        <v>4336</v>
      </c>
      <c r="B1030" t="s">
        <v>1106</v>
      </c>
      <c r="C1030" t="s">
        <v>1107</v>
      </c>
      <c r="D1030" t="s">
        <v>4479</v>
      </c>
      <c r="E1030" t="s">
        <v>4319</v>
      </c>
      <c r="F1030" t="s">
        <v>1069</v>
      </c>
      <c r="G1030" t="s">
        <v>1406</v>
      </c>
      <c r="H1030" s="6">
        <v>46022</v>
      </c>
      <c r="I1030" t="s">
        <v>29</v>
      </c>
      <c r="J1030">
        <v>97</v>
      </c>
      <c r="K1030">
        <v>0</v>
      </c>
      <c r="L1030">
        <v>0</v>
      </c>
      <c r="M1030">
        <v>0</v>
      </c>
      <c r="N1030" t="s">
        <v>3915</v>
      </c>
      <c r="O1030" t="s">
        <v>3915</v>
      </c>
      <c r="P1030" t="s">
        <v>3915</v>
      </c>
      <c r="Q1030">
        <v>0</v>
      </c>
      <c r="R1030" t="s">
        <v>30</v>
      </c>
      <c r="S1030">
        <v>0</v>
      </c>
      <c r="T1030">
        <v>0</v>
      </c>
      <c r="U1030" t="s">
        <v>3915</v>
      </c>
      <c r="V1030" t="s">
        <v>31</v>
      </c>
      <c r="W1030">
        <v>0</v>
      </c>
    </row>
    <row r="1031" spans="1:23" x14ac:dyDescent="0.25">
      <c r="A1031" t="s">
        <v>4337</v>
      </c>
      <c r="B1031" t="s">
        <v>1108</v>
      </c>
      <c r="C1031" t="s">
        <v>1109</v>
      </c>
      <c r="D1031" t="s">
        <v>4479</v>
      </c>
      <c r="E1031" t="s">
        <v>4319</v>
      </c>
      <c r="F1031" t="s">
        <v>1069</v>
      </c>
      <c r="G1031" t="s">
        <v>1406</v>
      </c>
      <c r="H1031" s="6">
        <v>46022</v>
      </c>
      <c r="I1031" t="s">
        <v>29</v>
      </c>
      <c r="J1031">
        <v>24</v>
      </c>
      <c r="K1031">
        <v>0</v>
      </c>
      <c r="L1031">
        <v>0</v>
      </c>
      <c r="M1031">
        <v>0</v>
      </c>
      <c r="N1031" t="s">
        <v>3915</v>
      </c>
      <c r="O1031" t="s">
        <v>3915</v>
      </c>
      <c r="P1031" t="s">
        <v>3915</v>
      </c>
      <c r="Q1031">
        <v>0</v>
      </c>
      <c r="R1031" t="s">
        <v>30</v>
      </c>
      <c r="S1031">
        <v>0</v>
      </c>
      <c r="T1031">
        <v>0</v>
      </c>
      <c r="U1031" t="s">
        <v>3915</v>
      </c>
      <c r="V1031" t="s">
        <v>31</v>
      </c>
      <c r="W1031">
        <v>0</v>
      </c>
    </row>
    <row r="1032" spans="1:23" x14ac:dyDescent="0.25">
      <c r="A1032" t="s">
        <v>4338</v>
      </c>
      <c r="B1032" t="s">
        <v>1110</v>
      </c>
      <c r="C1032" t="s">
        <v>1111</v>
      </c>
      <c r="D1032" t="s">
        <v>4479</v>
      </c>
      <c r="E1032" t="s">
        <v>4319</v>
      </c>
      <c r="F1032" t="s">
        <v>1069</v>
      </c>
      <c r="G1032" t="s">
        <v>1406</v>
      </c>
      <c r="H1032" s="6">
        <v>46022</v>
      </c>
      <c r="I1032" t="s">
        <v>29</v>
      </c>
      <c r="J1032">
        <v>79</v>
      </c>
      <c r="K1032">
        <v>0</v>
      </c>
      <c r="L1032">
        <v>0</v>
      </c>
      <c r="M1032">
        <v>0</v>
      </c>
      <c r="N1032" t="s">
        <v>3915</v>
      </c>
      <c r="O1032" t="s">
        <v>3915</v>
      </c>
      <c r="P1032" t="s">
        <v>3915</v>
      </c>
      <c r="Q1032">
        <v>0</v>
      </c>
      <c r="R1032" t="s">
        <v>30</v>
      </c>
      <c r="S1032">
        <v>0</v>
      </c>
      <c r="T1032">
        <v>0</v>
      </c>
      <c r="U1032" t="s">
        <v>3915</v>
      </c>
      <c r="V1032" t="s">
        <v>31</v>
      </c>
      <c r="W1032">
        <v>0</v>
      </c>
    </row>
    <row r="1033" spans="1:23" x14ac:dyDescent="0.25">
      <c r="A1033" t="s">
        <v>4339</v>
      </c>
      <c r="B1033" t="s">
        <v>1112</v>
      </c>
      <c r="C1033" t="s">
        <v>1113</v>
      </c>
      <c r="D1033" t="s">
        <v>4479</v>
      </c>
      <c r="E1033" t="s">
        <v>4319</v>
      </c>
      <c r="F1033" t="s">
        <v>1069</v>
      </c>
      <c r="G1033" t="s">
        <v>1406</v>
      </c>
      <c r="H1033" s="6">
        <v>46022</v>
      </c>
      <c r="I1033" t="s">
        <v>29</v>
      </c>
      <c r="J1033">
        <v>181</v>
      </c>
      <c r="K1033">
        <v>0</v>
      </c>
      <c r="L1033">
        <v>0</v>
      </c>
      <c r="M1033">
        <v>0</v>
      </c>
      <c r="N1033" t="s">
        <v>3915</v>
      </c>
      <c r="O1033" t="s">
        <v>3915</v>
      </c>
      <c r="P1033" t="s">
        <v>3915</v>
      </c>
      <c r="Q1033">
        <v>0</v>
      </c>
      <c r="R1033" t="s">
        <v>30</v>
      </c>
      <c r="S1033">
        <v>0</v>
      </c>
      <c r="T1033">
        <v>0</v>
      </c>
      <c r="U1033" t="s">
        <v>3915</v>
      </c>
      <c r="V1033" t="s">
        <v>31</v>
      </c>
      <c r="W1033">
        <v>0</v>
      </c>
    </row>
    <row r="1034" spans="1:23" x14ac:dyDescent="0.25">
      <c r="A1034" t="s">
        <v>4340</v>
      </c>
      <c r="B1034" t="s">
        <v>1114</v>
      </c>
      <c r="C1034" t="s">
        <v>1115</v>
      </c>
      <c r="D1034" t="s">
        <v>4479</v>
      </c>
      <c r="E1034" t="s">
        <v>4319</v>
      </c>
      <c r="F1034" t="s">
        <v>1069</v>
      </c>
      <c r="G1034" t="s">
        <v>1406</v>
      </c>
      <c r="H1034" s="6">
        <v>46022</v>
      </c>
      <c r="I1034" t="s">
        <v>29</v>
      </c>
      <c r="J1034">
        <v>108</v>
      </c>
      <c r="K1034">
        <v>0</v>
      </c>
      <c r="L1034">
        <v>0</v>
      </c>
      <c r="M1034">
        <v>0</v>
      </c>
      <c r="N1034" t="s">
        <v>3915</v>
      </c>
      <c r="O1034" t="s">
        <v>3915</v>
      </c>
      <c r="P1034" t="s">
        <v>3915</v>
      </c>
      <c r="Q1034">
        <v>0</v>
      </c>
      <c r="R1034" t="s">
        <v>30</v>
      </c>
      <c r="S1034">
        <v>0</v>
      </c>
      <c r="T1034">
        <v>0</v>
      </c>
      <c r="U1034" t="s">
        <v>3915</v>
      </c>
      <c r="V1034" t="s">
        <v>31</v>
      </c>
      <c r="W1034">
        <v>0</v>
      </c>
    </row>
    <row r="1035" spans="1:23" x14ac:dyDescent="0.25">
      <c r="A1035" t="s">
        <v>5535</v>
      </c>
      <c r="B1035" t="s">
        <v>2249</v>
      </c>
      <c r="C1035" t="s">
        <v>2248</v>
      </c>
      <c r="D1035" t="s">
        <v>4479</v>
      </c>
      <c r="E1035" t="s">
        <v>4319</v>
      </c>
      <c r="F1035" t="s">
        <v>1069</v>
      </c>
      <c r="G1035" t="s">
        <v>1406</v>
      </c>
      <c r="H1035" s="6">
        <v>46022</v>
      </c>
      <c r="I1035" t="s">
        <v>29</v>
      </c>
      <c r="J1035">
        <v>43</v>
      </c>
      <c r="K1035">
        <v>0</v>
      </c>
      <c r="L1035">
        <v>0</v>
      </c>
      <c r="M1035">
        <v>0</v>
      </c>
      <c r="N1035" t="s">
        <v>3915</v>
      </c>
      <c r="O1035" t="s">
        <v>3915</v>
      </c>
      <c r="P1035" t="s">
        <v>3915</v>
      </c>
      <c r="Q1035">
        <v>0</v>
      </c>
      <c r="R1035" t="s">
        <v>30</v>
      </c>
      <c r="S1035">
        <v>0</v>
      </c>
      <c r="T1035">
        <v>0</v>
      </c>
      <c r="U1035" t="s">
        <v>3915</v>
      </c>
      <c r="V1035" t="s">
        <v>31</v>
      </c>
      <c r="W1035">
        <v>0</v>
      </c>
    </row>
    <row r="1036" spans="1:23" x14ac:dyDescent="0.25">
      <c r="A1036" t="s">
        <v>4341</v>
      </c>
      <c r="B1036" t="s">
        <v>1118</v>
      </c>
      <c r="C1036" t="s">
        <v>1119</v>
      </c>
      <c r="D1036" t="s">
        <v>4479</v>
      </c>
      <c r="E1036" t="s">
        <v>4319</v>
      </c>
      <c r="F1036" t="s">
        <v>1069</v>
      </c>
      <c r="G1036" t="s">
        <v>1406</v>
      </c>
      <c r="H1036" s="6">
        <v>46022</v>
      </c>
      <c r="I1036" t="s">
        <v>29</v>
      </c>
      <c r="J1036">
        <v>1808</v>
      </c>
      <c r="K1036">
        <v>0</v>
      </c>
      <c r="L1036">
        <v>0</v>
      </c>
      <c r="M1036">
        <v>0</v>
      </c>
      <c r="N1036" t="s">
        <v>3915</v>
      </c>
      <c r="O1036" t="s">
        <v>3915</v>
      </c>
      <c r="P1036" t="s">
        <v>3915</v>
      </c>
      <c r="Q1036">
        <v>0</v>
      </c>
      <c r="R1036" t="s">
        <v>30</v>
      </c>
      <c r="S1036">
        <v>0</v>
      </c>
      <c r="T1036">
        <v>0</v>
      </c>
      <c r="U1036" t="s">
        <v>3915</v>
      </c>
      <c r="V1036" t="s">
        <v>31</v>
      </c>
      <c r="W1036">
        <v>0</v>
      </c>
    </row>
    <row r="1037" spans="1:23" x14ac:dyDescent="0.25">
      <c r="A1037" t="s">
        <v>4342</v>
      </c>
      <c r="B1037" t="s">
        <v>1120</v>
      </c>
      <c r="C1037" t="s">
        <v>1121</v>
      </c>
      <c r="D1037" t="s">
        <v>4479</v>
      </c>
      <c r="E1037" t="s">
        <v>4319</v>
      </c>
      <c r="F1037" t="s">
        <v>1069</v>
      </c>
      <c r="G1037" t="s">
        <v>1406</v>
      </c>
      <c r="H1037" s="6">
        <v>46022</v>
      </c>
      <c r="I1037" t="s">
        <v>29</v>
      </c>
      <c r="J1037">
        <v>918</v>
      </c>
      <c r="K1037">
        <v>0</v>
      </c>
      <c r="L1037">
        <v>0</v>
      </c>
      <c r="M1037">
        <v>0</v>
      </c>
      <c r="N1037" t="s">
        <v>3915</v>
      </c>
      <c r="O1037" t="s">
        <v>3915</v>
      </c>
      <c r="P1037" t="s">
        <v>3915</v>
      </c>
      <c r="Q1037">
        <v>0</v>
      </c>
      <c r="R1037" t="s">
        <v>30</v>
      </c>
      <c r="S1037">
        <v>0</v>
      </c>
      <c r="T1037">
        <v>0</v>
      </c>
      <c r="U1037" t="s">
        <v>3915</v>
      </c>
      <c r="V1037" t="s">
        <v>31</v>
      </c>
      <c r="W1037">
        <v>0</v>
      </c>
    </row>
    <row r="1038" spans="1:23" x14ac:dyDescent="0.25">
      <c r="A1038" t="s">
        <v>10327</v>
      </c>
      <c r="B1038" t="s">
        <v>9770</v>
      </c>
      <c r="C1038" t="s">
        <v>9769</v>
      </c>
      <c r="D1038" t="s">
        <v>4479</v>
      </c>
      <c r="E1038" t="s">
        <v>4319</v>
      </c>
      <c r="F1038" t="s">
        <v>1069</v>
      </c>
      <c r="G1038" t="s">
        <v>1406</v>
      </c>
      <c r="H1038" s="6">
        <v>46022</v>
      </c>
      <c r="I1038" t="s">
        <v>29</v>
      </c>
      <c r="J1038">
        <v>46</v>
      </c>
      <c r="K1038">
        <v>0</v>
      </c>
      <c r="L1038">
        <v>0</v>
      </c>
      <c r="M1038">
        <v>0</v>
      </c>
      <c r="N1038" t="s">
        <v>3915</v>
      </c>
      <c r="O1038" t="s">
        <v>3915</v>
      </c>
      <c r="P1038" t="s">
        <v>3915</v>
      </c>
      <c r="Q1038">
        <v>0</v>
      </c>
      <c r="R1038" t="s">
        <v>30</v>
      </c>
      <c r="S1038">
        <v>0</v>
      </c>
      <c r="T1038">
        <v>0</v>
      </c>
      <c r="U1038" t="s">
        <v>3915</v>
      </c>
      <c r="V1038" t="s">
        <v>31</v>
      </c>
      <c r="W1038">
        <v>0</v>
      </c>
    </row>
    <row r="1039" spans="1:23" x14ac:dyDescent="0.25">
      <c r="A1039" t="s">
        <v>4343</v>
      </c>
      <c r="B1039" t="s">
        <v>1122</v>
      </c>
      <c r="C1039" t="s">
        <v>1123</v>
      </c>
      <c r="D1039" t="s">
        <v>4479</v>
      </c>
      <c r="E1039" t="s">
        <v>4319</v>
      </c>
      <c r="F1039" t="s">
        <v>1069</v>
      </c>
      <c r="G1039" t="s">
        <v>1406</v>
      </c>
      <c r="H1039" s="6">
        <v>46022</v>
      </c>
      <c r="I1039" t="s">
        <v>29</v>
      </c>
      <c r="J1039">
        <v>319</v>
      </c>
      <c r="K1039">
        <v>0</v>
      </c>
      <c r="L1039">
        <v>0</v>
      </c>
      <c r="M1039">
        <v>0</v>
      </c>
      <c r="N1039" t="s">
        <v>3915</v>
      </c>
      <c r="O1039" t="s">
        <v>3915</v>
      </c>
      <c r="P1039" t="s">
        <v>3915</v>
      </c>
      <c r="Q1039">
        <v>0</v>
      </c>
      <c r="R1039" t="s">
        <v>30</v>
      </c>
      <c r="S1039">
        <v>0</v>
      </c>
      <c r="T1039">
        <v>0</v>
      </c>
      <c r="U1039" t="s">
        <v>3915</v>
      </c>
      <c r="V1039" t="s">
        <v>31</v>
      </c>
      <c r="W1039">
        <v>0</v>
      </c>
    </row>
    <row r="1040" spans="1:23" x14ac:dyDescent="0.25">
      <c r="A1040" t="s">
        <v>4344</v>
      </c>
      <c r="B1040" t="s">
        <v>1124</v>
      </c>
      <c r="C1040" t="s">
        <v>1125</v>
      </c>
      <c r="D1040" t="s">
        <v>4479</v>
      </c>
      <c r="E1040" t="s">
        <v>4319</v>
      </c>
      <c r="F1040" t="s">
        <v>1069</v>
      </c>
      <c r="G1040" t="s">
        <v>1406</v>
      </c>
      <c r="H1040" s="6">
        <v>46022</v>
      </c>
      <c r="I1040" t="s">
        <v>29</v>
      </c>
      <c r="J1040">
        <v>208</v>
      </c>
      <c r="K1040">
        <v>0</v>
      </c>
      <c r="L1040">
        <v>0</v>
      </c>
      <c r="M1040">
        <v>0</v>
      </c>
      <c r="N1040" t="s">
        <v>3915</v>
      </c>
      <c r="O1040" t="s">
        <v>3915</v>
      </c>
      <c r="P1040" t="s">
        <v>3915</v>
      </c>
      <c r="Q1040">
        <v>0</v>
      </c>
      <c r="R1040" t="s">
        <v>30</v>
      </c>
      <c r="S1040">
        <v>0</v>
      </c>
      <c r="T1040">
        <v>0</v>
      </c>
      <c r="U1040" t="s">
        <v>3915</v>
      </c>
      <c r="V1040" t="s">
        <v>31</v>
      </c>
      <c r="W1040">
        <v>0</v>
      </c>
    </row>
    <row r="1041" spans="1:23" x14ac:dyDescent="0.25">
      <c r="A1041" t="s">
        <v>4345</v>
      </c>
      <c r="B1041" t="s">
        <v>1126</v>
      </c>
      <c r="C1041" t="s">
        <v>1127</v>
      </c>
      <c r="D1041" t="s">
        <v>4479</v>
      </c>
      <c r="E1041" t="s">
        <v>4319</v>
      </c>
      <c r="F1041" t="s">
        <v>1069</v>
      </c>
      <c r="G1041" t="s">
        <v>1406</v>
      </c>
      <c r="H1041" s="6">
        <v>46022</v>
      </c>
      <c r="I1041" t="s">
        <v>29</v>
      </c>
      <c r="J1041">
        <v>317</v>
      </c>
      <c r="K1041">
        <v>0</v>
      </c>
      <c r="L1041">
        <v>0</v>
      </c>
      <c r="M1041">
        <v>0</v>
      </c>
      <c r="N1041" t="s">
        <v>3915</v>
      </c>
      <c r="O1041" t="s">
        <v>3915</v>
      </c>
      <c r="P1041" t="s">
        <v>3915</v>
      </c>
      <c r="Q1041">
        <v>0</v>
      </c>
      <c r="R1041" t="s">
        <v>30</v>
      </c>
      <c r="S1041">
        <v>0</v>
      </c>
      <c r="T1041">
        <v>0</v>
      </c>
      <c r="U1041" t="s">
        <v>3915</v>
      </c>
      <c r="V1041" t="s">
        <v>31</v>
      </c>
      <c r="W1041">
        <v>0</v>
      </c>
    </row>
    <row r="1042" spans="1:23" x14ac:dyDescent="0.25">
      <c r="A1042" t="s">
        <v>4346</v>
      </c>
      <c r="B1042" t="s">
        <v>1128</v>
      </c>
      <c r="C1042" t="s">
        <v>1129</v>
      </c>
      <c r="D1042" t="s">
        <v>4479</v>
      </c>
      <c r="E1042" t="s">
        <v>4319</v>
      </c>
      <c r="F1042" t="s">
        <v>1069</v>
      </c>
      <c r="G1042" t="s">
        <v>1406</v>
      </c>
      <c r="H1042" s="6">
        <v>46022</v>
      </c>
      <c r="I1042" t="s">
        <v>29</v>
      </c>
      <c r="J1042">
        <v>805</v>
      </c>
      <c r="K1042">
        <v>0</v>
      </c>
      <c r="L1042">
        <v>0</v>
      </c>
      <c r="M1042">
        <v>0</v>
      </c>
      <c r="N1042" t="s">
        <v>3915</v>
      </c>
      <c r="O1042" t="s">
        <v>3915</v>
      </c>
      <c r="P1042" t="s">
        <v>3915</v>
      </c>
      <c r="Q1042">
        <v>0</v>
      </c>
      <c r="R1042" t="s">
        <v>30</v>
      </c>
      <c r="S1042">
        <v>0</v>
      </c>
      <c r="T1042">
        <v>0</v>
      </c>
      <c r="U1042" t="s">
        <v>3915</v>
      </c>
      <c r="V1042" t="s">
        <v>31</v>
      </c>
      <c r="W1042">
        <v>0</v>
      </c>
    </row>
    <row r="1043" spans="1:23" x14ac:dyDescent="0.25">
      <c r="A1043" t="s">
        <v>5536</v>
      </c>
      <c r="B1043" t="s">
        <v>2251</v>
      </c>
      <c r="C1043" t="s">
        <v>2250</v>
      </c>
      <c r="D1043" t="s">
        <v>4479</v>
      </c>
      <c r="E1043" t="s">
        <v>4319</v>
      </c>
      <c r="F1043" t="s">
        <v>1069</v>
      </c>
      <c r="G1043" t="s">
        <v>1406</v>
      </c>
      <c r="H1043" s="6">
        <v>46022</v>
      </c>
      <c r="I1043" t="s">
        <v>29</v>
      </c>
      <c r="J1043">
        <v>95</v>
      </c>
      <c r="K1043">
        <v>0</v>
      </c>
      <c r="L1043">
        <v>0</v>
      </c>
      <c r="M1043">
        <v>0</v>
      </c>
      <c r="N1043" t="s">
        <v>3915</v>
      </c>
      <c r="O1043" t="s">
        <v>3915</v>
      </c>
      <c r="P1043" t="s">
        <v>3915</v>
      </c>
      <c r="Q1043">
        <v>0</v>
      </c>
      <c r="R1043" t="s">
        <v>30</v>
      </c>
      <c r="S1043">
        <v>0</v>
      </c>
      <c r="T1043">
        <v>0</v>
      </c>
      <c r="U1043" t="s">
        <v>3915</v>
      </c>
      <c r="V1043" t="s">
        <v>31</v>
      </c>
      <c r="W1043">
        <v>0</v>
      </c>
    </row>
    <row r="1044" spans="1:23" x14ac:dyDescent="0.25">
      <c r="A1044" t="s">
        <v>4347</v>
      </c>
      <c r="B1044" t="s">
        <v>1130</v>
      </c>
      <c r="C1044" t="s">
        <v>1131</v>
      </c>
      <c r="D1044" t="s">
        <v>4479</v>
      </c>
      <c r="E1044" t="s">
        <v>4319</v>
      </c>
      <c r="F1044" t="s">
        <v>1069</v>
      </c>
      <c r="G1044" t="s">
        <v>1406</v>
      </c>
      <c r="H1044" s="6">
        <v>46022</v>
      </c>
      <c r="I1044" t="s">
        <v>29</v>
      </c>
      <c r="J1044">
        <v>1098</v>
      </c>
      <c r="K1044">
        <v>0</v>
      </c>
      <c r="L1044">
        <v>0</v>
      </c>
      <c r="M1044">
        <v>0</v>
      </c>
      <c r="N1044" t="s">
        <v>3915</v>
      </c>
      <c r="O1044" t="s">
        <v>3915</v>
      </c>
      <c r="P1044" t="s">
        <v>3915</v>
      </c>
      <c r="Q1044">
        <v>0</v>
      </c>
      <c r="R1044" t="s">
        <v>30</v>
      </c>
      <c r="S1044">
        <v>0</v>
      </c>
      <c r="T1044">
        <v>0</v>
      </c>
      <c r="U1044" t="s">
        <v>3915</v>
      </c>
      <c r="V1044" t="s">
        <v>31</v>
      </c>
      <c r="W1044">
        <v>0</v>
      </c>
    </row>
    <row r="1045" spans="1:23" x14ac:dyDescent="0.25">
      <c r="A1045" t="s">
        <v>5537</v>
      </c>
      <c r="B1045" t="s">
        <v>2253</v>
      </c>
      <c r="C1045" t="s">
        <v>2252</v>
      </c>
      <c r="D1045" t="s">
        <v>4479</v>
      </c>
      <c r="E1045" t="s">
        <v>4319</v>
      </c>
      <c r="F1045" t="s">
        <v>1069</v>
      </c>
      <c r="G1045" t="s">
        <v>1406</v>
      </c>
      <c r="H1045" s="6">
        <v>46022</v>
      </c>
      <c r="I1045" t="s">
        <v>29</v>
      </c>
      <c r="J1045">
        <v>2783</v>
      </c>
      <c r="K1045">
        <v>0</v>
      </c>
      <c r="L1045">
        <v>0</v>
      </c>
      <c r="M1045">
        <v>0</v>
      </c>
      <c r="N1045" t="s">
        <v>3915</v>
      </c>
      <c r="O1045" t="s">
        <v>3915</v>
      </c>
      <c r="P1045" t="s">
        <v>3915</v>
      </c>
      <c r="Q1045">
        <v>0</v>
      </c>
      <c r="R1045" t="s">
        <v>30</v>
      </c>
      <c r="S1045">
        <v>0</v>
      </c>
      <c r="T1045">
        <v>0</v>
      </c>
      <c r="U1045" t="s">
        <v>3915</v>
      </c>
      <c r="V1045" t="s">
        <v>31</v>
      </c>
      <c r="W1045">
        <v>0</v>
      </c>
    </row>
    <row r="1046" spans="1:23" x14ac:dyDescent="0.25">
      <c r="A1046" t="s">
        <v>5538</v>
      </c>
      <c r="B1046" t="s">
        <v>2255</v>
      </c>
      <c r="C1046" t="s">
        <v>2254</v>
      </c>
      <c r="D1046" t="s">
        <v>4479</v>
      </c>
      <c r="E1046" t="s">
        <v>4319</v>
      </c>
      <c r="F1046" t="s">
        <v>1069</v>
      </c>
      <c r="G1046" t="s">
        <v>1406</v>
      </c>
      <c r="H1046" s="6">
        <v>46022</v>
      </c>
      <c r="I1046" t="s">
        <v>29</v>
      </c>
      <c r="J1046">
        <v>1</v>
      </c>
      <c r="K1046">
        <v>0</v>
      </c>
      <c r="L1046">
        <v>0</v>
      </c>
      <c r="M1046">
        <v>0</v>
      </c>
      <c r="N1046" t="s">
        <v>3915</v>
      </c>
      <c r="O1046" t="s">
        <v>3915</v>
      </c>
      <c r="P1046" t="s">
        <v>3915</v>
      </c>
      <c r="Q1046">
        <v>0</v>
      </c>
      <c r="R1046" t="s">
        <v>30</v>
      </c>
      <c r="S1046">
        <v>0</v>
      </c>
      <c r="T1046">
        <v>0</v>
      </c>
      <c r="U1046" t="s">
        <v>3915</v>
      </c>
      <c r="V1046" t="s">
        <v>31</v>
      </c>
      <c r="W1046">
        <v>0</v>
      </c>
    </row>
    <row r="1047" spans="1:23" x14ac:dyDescent="0.25">
      <c r="A1047" t="s">
        <v>4348</v>
      </c>
      <c r="B1047" t="s">
        <v>1132</v>
      </c>
      <c r="C1047" t="s">
        <v>1133</v>
      </c>
      <c r="D1047" t="s">
        <v>4479</v>
      </c>
      <c r="E1047" t="s">
        <v>4319</v>
      </c>
      <c r="F1047" t="s">
        <v>1069</v>
      </c>
      <c r="G1047" t="s">
        <v>1406</v>
      </c>
      <c r="H1047" s="6">
        <v>46022</v>
      </c>
      <c r="I1047" t="s">
        <v>29</v>
      </c>
      <c r="J1047">
        <v>1023</v>
      </c>
      <c r="K1047">
        <v>0</v>
      </c>
      <c r="L1047">
        <v>0</v>
      </c>
      <c r="M1047">
        <v>0</v>
      </c>
      <c r="N1047" t="s">
        <v>3915</v>
      </c>
      <c r="O1047" t="s">
        <v>3915</v>
      </c>
      <c r="P1047" t="s">
        <v>3915</v>
      </c>
      <c r="Q1047">
        <v>0</v>
      </c>
      <c r="R1047" t="s">
        <v>30</v>
      </c>
      <c r="S1047">
        <v>0</v>
      </c>
      <c r="T1047">
        <v>0</v>
      </c>
      <c r="U1047" t="s">
        <v>3915</v>
      </c>
      <c r="V1047" t="s">
        <v>31</v>
      </c>
      <c r="W1047">
        <v>0</v>
      </c>
    </row>
    <row r="1048" spans="1:23" x14ac:dyDescent="0.25">
      <c r="A1048" t="s">
        <v>4319</v>
      </c>
      <c r="B1048" t="s">
        <v>2257</v>
      </c>
      <c r="C1048" t="s">
        <v>2256</v>
      </c>
      <c r="D1048" t="s">
        <v>4479</v>
      </c>
      <c r="E1048" t="s">
        <v>4319</v>
      </c>
      <c r="F1048" t="s">
        <v>1069</v>
      </c>
      <c r="G1048" t="s">
        <v>1406</v>
      </c>
      <c r="H1048" s="6">
        <v>46022</v>
      </c>
      <c r="I1048" t="s">
        <v>29</v>
      </c>
      <c r="J1048">
        <v>914</v>
      </c>
      <c r="K1048">
        <v>0</v>
      </c>
      <c r="L1048">
        <v>0</v>
      </c>
      <c r="M1048">
        <v>0</v>
      </c>
      <c r="N1048" t="s">
        <v>3915</v>
      </c>
      <c r="O1048" t="s">
        <v>3915</v>
      </c>
      <c r="P1048" t="s">
        <v>3915</v>
      </c>
      <c r="Q1048">
        <v>0</v>
      </c>
      <c r="R1048" t="s">
        <v>30</v>
      </c>
      <c r="S1048">
        <v>0</v>
      </c>
      <c r="T1048">
        <v>0</v>
      </c>
      <c r="U1048" t="s">
        <v>3915</v>
      </c>
      <c r="V1048" t="s">
        <v>31</v>
      </c>
      <c r="W1048">
        <v>0</v>
      </c>
    </row>
    <row r="1049" spans="1:23" x14ac:dyDescent="0.25">
      <c r="A1049" t="s">
        <v>5539</v>
      </c>
      <c r="B1049" t="s">
        <v>2259</v>
      </c>
      <c r="C1049" t="s">
        <v>2258</v>
      </c>
      <c r="D1049" t="s">
        <v>4479</v>
      </c>
      <c r="E1049" t="s">
        <v>4319</v>
      </c>
      <c r="F1049" t="s">
        <v>1069</v>
      </c>
      <c r="G1049" t="s">
        <v>1406</v>
      </c>
      <c r="H1049" s="6">
        <v>46022</v>
      </c>
      <c r="I1049" t="s">
        <v>29</v>
      </c>
      <c r="J1049">
        <v>1583</v>
      </c>
      <c r="K1049">
        <v>0</v>
      </c>
      <c r="L1049">
        <v>0</v>
      </c>
      <c r="M1049">
        <v>0</v>
      </c>
      <c r="N1049" t="s">
        <v>3915</v>
      </c>
      <c r="O1049" t="s">
        <v>3915</v>
      </c>
      <c r="P1049" t="s">
        <v>3915</v>
      </c>
      <c r="Q1049">
        <v>0</v>
      </c>
      <c r="R1049" t="s">
        <v>30</v>
      </c>
      <c r="S1049">
        <v>0</v>
      </c>
      <c r="T1049">
        <v>0</v>
      </c>
      <c r="U1049" t="s">
        <v>3915</v>
      </c>
      <c r="V1049" t="s">
        <v>31</v>
      </c>
      <c r="W1049">
        <v>0</v>
      </c>
    </row>
    <row r="1050" spans="1:23" x14ac:dyDescent="0.25">
      <c r="A1050" t="s">
        <v>4349</v>
      </c>
      <c r="B1050" t="s">
        <v>1134</v>
      </c>
      <c r="C1050" t="s">
        <v>1135</v>
      </c>
      <c r="D1050" t="s">
        <v>4479</v>
      </c>
      <c r="E1050" t="s">
        <v>4319</v>
      </c>
      <c r="F1050" t="s">
        <v>1069</v>
      </c>
      <c r="G1050" t="s">
        <v>1406</v>
      </c>
      <c r="H1050" s="6">
        <v>46022</v>
      </c>
      <c r="I1050" t="s">
        <v>29</v>
      </c>
      <c r="J1050">
        <v>430</v>
      </c>
      <c r="K1050">
        <v>0</v>
      </c>
      <c r="L1050">
        <v>0</v>
      </c>
      <c r="M1050">
        <v>0</v>
      </c>
      <c r="N1050" t="s">
        <v>3915</v>
      </c>
      <c r="O1050" t="s">
        <v>3915</v>
      </c>
      <c r="P1050" t="s">
        <v>3915</v>
      </c>
      <c r="Q1050">
        <v>0</v>
      </c>
      <c r="R1050" t="s">
        <v>30</v>
      </c>
      <c r="S1050">
        <v>0</v>
      </c>
      <c r="T1050">
        <v>0</v>
      </c>
      <c r="U1050" t="s">
        <v>3915</v>
      </c>
      <c r="V1050" t="s">
        <v>31</v>
      </c>
      <c r="W1050">
        <v>0</v>
      </c>
    </row>
    <row r="1051" spans="1:23" x14ac:dyDescent="0.25">
      <c r="A1051" t="s">
        <v>4704</v>
      </c>
      <c r="B1051" t="s">
        <v>2261</v>
      </c>
      <c r="C1051" t="s">
        <v>2260</v>
      </c>
      <c r="D1051" t="s">
        <v>4479</v>
      </c>
      <c r="E1051" t="s">
        <v>4319</v>
      </c>
      <c r="F1051" t="s">
        <v>1069</v>
      </c>
      <c r="G1051" t="s">
        <v>1406</v>
      </c>
      <c r="H1051" s="6">
        <v>46022</v>
      </c>
      <c r="I1051" t="s">
        <v>29</v>
      </c>
      <c r="J1051">
        <v>291</v>
      </c>
      <c r="K1051">
        <v>0</v>
      </c>
      <c r="L1051">
        <v>0</v>
      </c>
      <c r="M1051">
        <v>0</v>
      </c>
      <c r="N1051" t="s">
        <v>3915</v>
      </c>
      <c r="O1051" t="s">
        <v>3915</v>
      </c>
      <c r="P1051" t="s">
        <v>3915</v>
      </c>
      <c r="Q1051">
        <v>0</v>
      </c>
      <c r="R1051" t="s">
        <v>30</v>
      </c>
      <c r="S1051">
        <v>0</v>
      </c>
      <c r="T1051">
        <v>0</v>
      </c>
      <c r="U1051" t="s">
        <v>3915</v>
      </c>
      <c r="V1051" t="s">
        <v>31</v>
      </c>
      <c r="W1051">
        <v>0</v>
      </c>
    </row>
    <row r="1052" spans="1:23" x14ac:dyDescent="0.25">
      <c r="A1052" t="s">
        <v>4350</v>
      </c>
      <c r="B1052" t="s">
        <v>1136</v>
      </c>
      <c r="C1052" t="s">
        <v>1137</v>
      </c>
      <c r="D1052" t="s">
        <v>4479</v>
      </c>
      <c r="E1052" t="s">
        <v>4319</v>
      </c>
      <c r="F1052" t="s">
        <v>1069</v>
      </c>
      <c r="G1052" t="s">
        <v>1406</v>
      </c>
      <c r="H1052" s="6">
        <v>46022</v>
      </c>
      <c r="I1052" t="s">
        <v>29</v>
      </c>
      <c r="J1052">
        <v>590</v>
      </c>
      <c r="K1052">
        <v>0</v>
      </c>
      <c r="L1052">
        <v>0</v>
      </c>
      <c r="M1052">
        <v>0</v>
      </c>
      <c r="N1052" t="s">
        <v>3915</v>
      </c>
      <c r="O1052" t="s">
        <v>3915</v>
      </c>
      <c r="P1052" t="s">
        <v>3915</v>
      </c>
      <c r="Q1052">
        <v>0</v>
      </c>
      <c r="R1052" t="s">
        <v>30</v>
      </c>
      <c r="S1052">
        <v>0</v>
      </c>
      <c r="T1052">
        <v>0</v>
      </c>
      <c r="U1052" t="s">
        <v>3915</v>
      </c>
      <c r="V1052" t="s">
        <v>31</v>
      </c>
      <c r="W1052">
        <v>0</v>
      </c>
    </row>
    <row r="1053" spans="1:23" x14ac:dyDescent="0.25">
      <c r="A1053" t="s">
        <v>5540</v>
      </c>
      <c r="B1053" t="s">
        <v>2263</v>
      </c>
      <c r="C1053" t="s">
        <v>2262</v>
      </c>
      <c r="D1053" t="s">
        <v>4479</v>
      </c>
      <c r="E1053" t="s">
        <v>4319</v>
      </c>
      <c r="F1053" t="s">
        <v>1069</v>
      </c>
      <c r="G1053" t="s">
        <v>1406</v>
      </c>
      <c r="H1053" s="6">
        <v>46022</v>
      </c>
      <c r="I1053" t="s">
        <v>29</v>
      </c>
      <c r="J1053">
        <v>8546</v>
      </c>
      <c r="K1053">
        <v>0</v>
      </c>
      <c r="L1053">
        <v>0</v>
      </c>
      <c r="M1053">
        <v>0</v>
      </c>
      <c r="N1053" t="s">
        <v>3915</v>
      </c>
      <c r="O1053" t="s">
        <v>3915</v>
      </c>
      <c r="P1053" t="s">
        <v>3915</v>
      </c>
      <c r="Q1053">
        <v>0</v>
      </c>
      <c r="R1053" t="s">
        <v>30</v>
      </c>
      <c r="S1053">
        <v>0</v>
      </c>
      <c r="T1053">
        <v>0</v>
      </c>
      <c r="U1053" t="s">
        <v>3915</v>
      </c>
      <c r="V1053" t="s">
        <v>31</v>
      </c>
      <c r="W1053">
        <v>0</v>
      </c>
    </row>
    <row r="1054" spans="1:23" x14ac:dyDescent="0.25">
      <c r="A1054" t="s">
        <v>4351</v>
      </c>
      <c r="B1054" t="s">
        <v>1138</v>
      </c>
      <c r="C1054" t="s">
        <v>1139</v>
      </c>
      <c r="D1054" t="s">
        <v>4479</v>
      </c>
      <c r="E1054" t="s">
        <v>4319</v>
      </c>
      <c r="F1054" t="s">
        <v>1069</v>
      </c>
      <c r="G1054" t="s">
        <v>1406</v>
      </c>
      <c r="H1054" s="6">
        <v>46022</v>
      </c>
      <c r="I1054" t="s">
        <v>29</v>
      </c>
      <c r="J1054">
        <v>136</v>
      </c>
      <c r="K1054">
        <v>0</v>
      </c>
      <c r="L1054">
        <v>0</v>
      </c>
      <c r="M1054">
        <v>0</v>
      </c>
      <c r="N1054" t="s">
        <v>3915</v>
      </c>
      <c r="O1054" t="s">
        <v>3915</v>
      </c>
      <c r="P1054" t="s">
        <v>3915</v>
      </c>
      <c r="Q1054">
        <v>0</v>
      </c>
      <c r="R1054" t="s">
        <v>30</v>
      </c>
      <c r="S1054">
        <v>0</v>
      </c>
      <c r="T1054">
        <v>0</v>
      </c>
      <c r="U1054" t="s">
        <v>3915</v>
      </c>
      <c r="V1054" t="s">
        <v>31</v>
      </c>
      <c r="W1054">
        <v>0</v>
      </c>
    </row>
    <row r="1055" spans="1:23" x14ac:dyDescent="0.25">
      <c r="A1055" t="s">
        <v>5541</v>
      </c>
      <c r="B1055" t="s">
        <v>2265</v>
      </c>
      <c r="C1055" t="s">
        <v>2264</v>
      </c>
      <c r="D1055" t="s">
        <v>4479</v>
      </c>
      <c r="E1055" t="s">
        <v>4319</v>
      </c>
      <c r="F1055" t="s">
        <v>1069</v>
      </c>
      <c r="G1055" t="s">
        <v>1406</v>
      </c>
      <c r="H1055" s="6">
        <v>46022</v>
      </c>
      <c r="I1055" t="s">
        <v>29</v>
      </c>
      <c r="J1055">
        <v>572</v>
      </c>
      <c r="K1055">
        <v>0</v>
      </c>
      <c r="L1055">
        <v>0</v>
      </c>
      <c r="M1055">
        <v>0</v>
      </c>
      <c r="N1055" t="s">
        <v>3915</v>
      </c>
      <c r="O1055" t="s">
        <v>3915</v>
      </c>
      <c r="P1055" t="s">
        <v>3915</v>
      </c>
      <c r="Q1055">
        <v>0</v>
      </c>
      <c r="R1055" t="s">
        <v>30</v>
      </c>
      <c r="S1055">
        <v>0</v>
      </c>
      <c r="T1055">
        <v>0</v>
      </c>
      <c r="U1055" t="s">
        <v>3915</v>
      </c>
      <c r="V1055" t="s">
        <v>31</v>
      </c>
      <c r="W1055">
        <v>0</v>
      </c>
    </row>
    <row r="1056" spans="1:23" x14ac:dyDescent="0.25">
      <c r="A1056" t="s">
        <v>5542</v>
      </c>
      <c r="B1056" t="s">
        <v>2267</v>
      </c>
      <c r="C1056" t="s">
        <v>2266</v>
      </c>
      <c r="D1056" t="s">
        <v>4479</v>
      </c>
      <c r="E1056" t="s">
        <v>4319</v>
      </c>
      <c r="F1056" t="s">
        <v>1069</v>
      </c>
      <c r="G1056" t="s">
        <v>1406</v>
      </c>
      <c r="H1056" s="6">
        <v>46022</v>
      </c>
      <c r="I1056" t="s">
        <v>29</v>
      </c>
      <c r="J1056">
        <v>1250</v>
      </c>
      <c r="K1056">
        <v>0</v>
      </c>
      <c r="L1056">
        <v>0</v>
      </c>
      <c r="M1056">
        <v>0</v>
      </c>
      <c r="N1056" t="s">
        <v>3915</v>
      </c>
      <c r="O1056" t="s">
        <v>3915</v>
      </c>
      <c r="P1056" t="s">
        <v>3915</v>
      </c>
      <c r="Q1056">
        <v>0</v>
      </c>
      <c r="R1056" t="s">
        <v>30</v>
      </c>
      <c r="S1056">
        <v>0</v>
      </c>
      <c r="T1056">
        <v>0</v>
      </c>
      <c r="U1056" t="s">
        <v>3915</v>
      </c>
      <c r="V1056" t="s">
        <v>31</v>
      </c>
      <c r="W1056">
        <v>0</v>
      </c>
    </row>
    <row r="1057" spans="1:23" x14ac:dyDescent="0.25">
      <c r="A1057" t="s">
        <v>5543</v>
      </c>
      <c r="B1057" t="s">
        <v>2269</v>
      </c>
      <c r="C1057" t="s">
        <v>2268</v>
      </c>
      <c r="D1057" t="s">
        <v>4479</v>
      </c>
      <c r="E1057" t="s">
        <v>4319</v>
      </c>
      <c r="F1057" t="s">
        <v>1069</v>
      </c>
      <c r="G1057" t="s">
        <v>1406</v>
      </c>
      <c r="H1057" s="6">
        <v>46022</v>
      </c>
      <c r="I1057" t="s">
        <v>29</v>
      </c>
      <c r="J1057">
        <v>489</v>
      </c>
      <c r="K1057">
        <v>0</v>
      </c>
      <c r="L1057">
        <v>0</v>
      </c>
      <c r="M1057">
        <v>0</v>
      </c>
      <c r="N1057" t="s">
        <v>3915</v>
      </c>
      <c r="O1057" t="s">
        <v>3915</v>
      </c>
      <c r="P1057" t="s">
        <v>3915</v>
      </c>
      <c r="Q1057">
        <v>0</v>
      </c>
      <c r="R1057" t="s">
        <v>30</v>
      </c>
      <c r="S1057">
        <v>0</v>
      </c>
      <c r="T1057">
        <v>0</v>
      </c>
      <c r="U1057" t="s">
        <v>3915</v>
      </c>
      <c r="V1057" t="s">
        <v>31</v>
      </c>
      <c r="W1057">
        <v>0</v>
      </c>
    </row>
    <row r="1058" spans="1:23" x14ac:dyDescent="0.25">
      <c r="A1058" t="s">
        <v>5544</v>
      </c>
      <c r="B1058" t="s">
        <v>2271</v>
      </c>
      <c r="C1058" t="s">
        <v>2270</v>
      </c>
      <c r="D1058" t="s">
        <v>4479</v>
      </c>
      <c r="E1058" t="s">
        <v>4319</v>
      </c>
      <c r="F1058" t="s">
        <v>1069</v>
      </c>
      <c r="G1058" t="s">
        <v>1406</v>
      </c>
      <c r="H1058" s="6">
        <v>46022</v>
      </c>
      <c r="I1058" t="s">
        <v>29</v>
      </c>
      <c r="J1058">
        <v>11</v>
      </c>
      <c r="K1058">
        <v>0</v>
      </c>
      <c r="L1058">
        <v>0</v>
      </c>
      <c r="M1058">
        <v>0</v>
      </c>
      <c r="N1058" t="s">
        <v>3915</v>
      </c>
      <c r="O1058" t="s">
        <v>3915</v>
      </c>
      <c r="P1058" t="s">
        <v>3915</v>
      </c>
      <c r="Q1058">
        <v>0</v>
      </c>
      <c r="R1058" t="s">
        <v>30</v>
      </c>
      <c r="S1058">
        <v>0</v>
      </c>
      <c r="T1058">
        <v>0</v>
      </c>
      <c r="U1058" t="s">
        <v>3915</v>
      </c>
      <c r="V1058" t="s">
        <v>31</v>
      </c>
      <c r="W1058">
        <v>0</v>
      </c>
    </row>
    <row r="1059" spans="1:23" x14ac:dyDescent="0.25">
      <c r="A1059" t="s">
        <v>4352</v>
      </c>
      <c r="B1059" t="s">
        <v>1140</v>
      </c>
      <c r="C1059" t="s">
        <v>1141</v>
      </c>
      <c r="D1059" t="s">
        <v>4479</v>
      </c>
      <c r="E1059" t="s">
        <v>4319</v>
      </c>
      <c r="F1059" t="s">
        <v>1069</v>
      </c>
      <c r="G1059" t="s">
        <v>1406</v>
      </c>
      <c r="H1059" s="6">
        <v>46022</v>
      </c>
      <c r="I1059" t="s">
        <v>29</v>
      </c>
      <c r="J1059">
        <v>515</v>
      </c>
      <c r="K1059">
        <v>0</v>
      </c>
      <c r="L1059">
        <v>0</v>
      </c>
      <c r="M1059">
        <v>0</v>
      </c>
      <c r="N1059" t="s">
        <v>3915</v>
      </c>
      <c r="O1059" t="s">
        <v>3915</v>
      </c>
      <c r="P1059" t="s">
        <v>3915</v>
      </c>
      <c r="Q1059">
        <v>0</v>
      </c>
      <c r="R1059" t="s">
        <v>30</v>
      </c>
      <c r="S1059">
        <v>0</v>
      </c>
      <c r="T1059">
        <v>0</v>
      </c>
      <c r="U1059" t="s">
        <v>3915</v>
      </c>
      <c r="V1059" t="s">
        <v>31</v>
      </c>
      <c r="W1059">
        <v>0</v>
      </c>
    </row>
    <row r="1060" spans="1:23" x14ac:dyDescent="0.25">
      <c r="A1060" t="s">
        <v>5545</v>
      </c>
      <c r="B1060" t="s">
        <v>2273</v>
      </c>
      <c r="C1060" t="s">
        <v>2272</v>
      </c>
      <c r="D1060" t="s">
        <v>4479</v>
      </c>
      <c r="E1060" t="s">
        <v>4319</v>
      </c>
      <c r="F1060" t="s">
        <v>1069</v>
      </c>
      <c r="G1060" t="s">
        <v>1406</v>
      </c>
      <c r="H1060" s="6">
        <v>46022</v>
      </c>
      <c r="I1060" t="s">
        <v>29</v>
      </c>
      <c r="J1060">
        <v>133</v>
      </c>
      <c r="K1060">
        <v>0</v>
      </c>
      <c r="L1060">
        <v>0</v>
      </c>
      <c r="M1060">
        <v>0</v>
      </c>
      <c r="N1060" t="s">
        <v>3915</v>
      </c>
      <c r="O1060" t="s">
        <v>3915</v>
      </c>
      <c r="P1060" t="s">
        <v>3915</v>
      </c>
      <c r="Q1060">
        <v>0</v>
      </c>
      <c r="R1060" t="s">
        <v>30</v>
      </c>
      <c r="S1060">
        <v>0</v>
      </c>
      <c r="T1060">
        <v>0</v>
      </c>
      <c r="U1060" t="s">
        <v>3915</v>
      </c>
      <c r="V1060" t="s">
        <v>31</v>
      </c>
      <c r="W1060">
        <v>0</v>
      </c>
    </row>
    <row r="1061" spans="1:23" x14ac:dyDescent="0.25">
      <c r="A1061" t="s">
        <v>5025</v>
      </c>
      <c r="B1061" t="s">
        <v>2275</v>
      </c>
      <c r="C1061" t="s">
        <v>2274</v>
      </c>
      <c r="D1061" t="s">
        <v>4479</v>
      </c>
      <c r="E1061" t="s">
        <v>4319</v>
      </c>
      <c r="F1061" t="s">
        <v>1069</v>
      </c>
      <c r="G1061" t="s">
        <v>1406</v>
      </c>
      <c r="H1061" s="6">
        <v>46022</v>
      </c>
      <c r="I1061" t="s">
        <v>29</v>
      </c>
      <c r="J1061">
        <v>1652</v>
      </c>
      <c r="K1061">
        <v>0</v>
      </c>
      <c r="L1061">
        <v>0</v>
      </c>
      <c r="M1061">
        <v>0</v>
      </c>
      <c r="N1061" t="s">
        <v>3915</v>
      </c>
      <c r="O1061" t="s">
        <v>3915</v>
      </c>
      <c r="P1061" t="s">
        <v>3915</v>
      </c>
      <c r="Q1061">
        <v>0</v>
      </c>
      <c r="R1061" t="s">
        <v>30</v>
      </c>
      <c r="S1061">
        <v>0</v>
      </c>
      <c r="T1061">
        <v>0</v>
      </c>
      <c r="U1061" t="s">
        <v>3915</v>
      </c>
      <c r="V1061" t="s">
        <v>31</v>
      </c>
      <c r="W1061">
        <v>0</v>
      </c>
    </row>
    <row r="1062" spans="1:23" x14ac:dyDescent="0.25">
      <c r="A1062" t="s">
        <v>5546</v>
      </c>
      <c r="B1062" t="s">
        <v>2277</v>
      </c>
      <c r="C1062" t="s">
        <v>2276</v>
      </c>
      <c r="D1062" t="s">
        <v>4479</v>
      </c>
      <c r="E1062" t="s">
        <v>4319</v>
      </c>
      <c r="F1062" t="s">
        <v>1069</v>
      </c>
      <c r="G1062" t="s">
        <v>1406</v>
      </c>
      <c r="H1062" s="6">
        <v>46022</v>
      </c>
      <c r="I1062" t="s">
        <v>29</v>
      </c>
      <c r="J1062">
        <v>317</v>
      </c>
      <c r="K1062">
        <v>0</v>
      </c>
      <c r="L1062">
        <v>0</v>
      </c>
      <c r="M1062">
        <v>0</v>
      </c>
      <c r="N1062" t="s">
        <v>3915</v>
      </c>
      <c r="O1062" t="s">
        <v>3915</v>
      </c>
      <c r="P1062" t="s">
        <v>3915</v>
      </c>
      <c r="Q1062">
        <v>0</v>
      </c>
      <c r="R1062" t="s">
        <v>30</v>
      </c>
      <c r="S1062">
        <v>0</v>
      </c>
      <c r="T1062">
        <v>0</v>
      </c>
      <c r="U1062" t="s">
        <v>3915</v>
      </c>
      <c r="V1062" t="s">
        <v>31</v>
      </c>
      <c r="W1062">
        <v>0</v>
      </c>
    </row>
    <row r="1063" spans="1:23" x14ac:dyDescent="0.25">
      <c r="A1063" t="s">
        <v>5547</v>
      </c>
      <c r="B1063" t="s">
        <v>2279</v>
      </c>
      <c r="C1063" t="s">
        <v>2278</v>
      </c>
      <c r="D1063" t="s">
        <v>4479</v>
      </c>
      <c r="E1063" t="s">
        <v>4319</v>
      </c>
      <c r="F1063" t="s">
        <v>1069</v>
      </c>
      <c r="G1063" t="s">
        <v>1406</v>
      </c>
      <c r="H1063" s="6">
        <v>46022</v>
      </c>
      <c r="I1063" t="s">
        <v>29</v>
      </c>
      <c r="J1063">
        <v>464</v>
      </c>
      <c r="K1063">
        <v>0</v>
      </c>
      <c r="L1063">
        <v>0</v>
      </c>
      <c r="M1063">
        <v>0</v>
      </c>
      <c r="N1063" t="s">
        <v>3915</v>
      </c>
      <c r="O1063" t="s">
        <v>3915</v>
      </c>
      <c r="P1063" t="s">
        <v>3915</v>
      </c>
      <c r="Q1063">
        <v>0</v>
      </c>
      <c r="R1063" t="s">
        <v>30</v>
      </c>
      <c r="S1063">
        <v>0</v>
      </c>
      <c r="T1063">
        <v>0</v>
      </c>
      <c r="U1063" t="s">
        <v>3915</v>
      </c>
      <c r="V1063" t="s">
        <v>31</v>
      </c>
      <c r="W1063">
        <v>0</v>
      </c>
    </row>
    <row r="1064" spans="1:23" x14ac:dyDescent="0.25">
      <c r="A1064" t="s">
        <v>5548</v>
      </c>
      <c r="B1064" t="s">
        <v>2281</v>
      </c>
      <c r="C1064" t="s">
        <v>2280</v>
      </c>
      <c r="D1064" t="s">
        <v>4479</v>
      </c>
      <c r="E1064" t="s">
        <v>4319</v>
      </c>
      <c r="F1064" t="s">
        <v>1069</v>
      </c>
      <c r="G1064" t="s">
        <v>1406</v>
      </c>
      <c r="H1064" s="6">
        <v>46022</v>
      </c>
      <c r="I1064" t="s">
        <v>29</v>
      </c>
      <c r="J1064">
        <v>115</v>
      </c>
      <c r="K1064">
        <v>0</v>
      </c>
      <c r="L1064">
        <v>0</v>
      </c>
      <c r="M1064">
        <v>0</v>
      </c>
      <c r="N1064" t="s">
        <v>3915</v>
      </c>
      <c r="O1064" t="s">
        <v>3915</v>
      </c>
      <c r="P1064" t="s">
        <v>3915</v>
      </c>
      <c r="Q1064">
        <v>0</v>
      </c>
      <c r="R1064" t="s">
        <v>30</v>
      </c>
      <c r="S1064">
        <v>0</v>
      </c>
      <c r="T1064">
        <v>0</v>
      </c>
      <c r="U1064" t="s">
        <v>3915</v>
      </c>
      <c r="V1064" t="s">
        <v>31</v>
      </c>
      <c r="W1064">
        <v>0</v>
      </c>
    </row>
    <row r="1065" spans="1:23" x14ac:dyDescent="0.25">
      <c r="A1065" t="s">
        <v>5549</v>
      </c>
      <c r="B1065" t="s">
        <v>2283</v>
      </c>
      <c r="C1065" t="s">
        <v>2282</v>
      </c>
      <c r="D1065" t="s">
        <v>4479</v>
      </c>
      <c r="E1065" t="s">
        <v>4319</v>
      </c>
      <c r="F1065" t="s">
        <v>1069</v>
      </c>
      <c r="G1065" t="s">
        <v>1406</v>
      </c>
      <c r="H1065" s="6">
        <v>46022</v>
      </c>
      <c r="I1065" t="s">
        <v>29</v>
      </c>
      <c r="J1065">
        <v>14</v>
      </c>
      <c r="K1065">
        <v>0</v>
      </c>
      <c r="L1065">
        <v>0</v>
      </c>
      <c r="M1065">
        <v>0</v>
      </c>
      <c r="N1065" t="s">
        <v>3915</v>
      </c>
      <c r="O1065" t="s">
        <v>3915</v>
      </c>
      <c r="P1065" t="s">
        <v>3915</v>
      </c>
      <c r="Q1065">
        <v>0</v>
      </c>
      <c r="R1065" t="s">
        <v>30</v>
      </c>
      <c r="S1065">
        <v>0</v>
      </c>
      <c r="T1065">
        <v>0</v>
      </c>
      <c r="U1065" t="s">
        <v>3915</v>
      </c>
      <c r="V1065" t="s">
        <v>31</v>
      </c>
      <c r="W1065">
        <v>0</v>
      </c>
    </row>
    <row r="1066" spans="1:23" x14ac:dyDescent="0.25">
      <c r="A1066" t="s">
        <v>10316</v>
      </c>
      <c r="B1066" t="s">
        <v>8066</v>
      </c>
      <c r="C1066" t="s">
        <v>8065</v>
      </c>
      <c r="D1066" t="s">
        <v>4479</v>
      </c>
      <c r="E1066" t="s">
        <v>4319</v>
      </c>
      <c r="F1066" t="s">
        <v>1069</v>
      </c>
      <c r="G1066" t="s">
        <v>1406</v>
      </c>
      <c r="H1066" s="6">
        <v>46022</v>
      </c>
      <c r="I1066" t="s">
        <v>29</v>
      </c>
      <c r="J1066">
        <v>12</v>
      </c>
      <c r="K1066">
        <v>0</v>
      </c>
      <c r="L1066">
        <v>0</v>
      </c>
      <c r="M1066">
        <v>0</v>
      </c>
      <c r="N1066" t="s">
        <v>3915</v>
      </c>
      <c r="O1066" t="s">
        <v>3915</v>
      </c>
      <c r="P1066" t="s">
        <v>3915</v>
      </c>
      <c r="Q1066">
        <v>0</v>
      </c>
      <c r="R1066" t="s">
        <v>30</v>
      </c>
      <c r="S1066">
        <v>0</v>
      </c>
      <c r="T1066">
        <v>0</v>
      </c>
      <c r="U1066" t="s">
        <v>3915</v>
      </c>
      <c r="V1066" t="s">
        <v>31</v>
      </c>
      <c r="W1066">
        <v>0</v>
      </c>
    </row>
    <row r="1067" spans="1:23" x14ac:dyDescent="0.25">
      <c r="A1067" t="s">
        <v>5550</v>
      </c>
      <c r="B1067" t="s">
        <v>2285</v>
      </c>
      <c r="C1067" t="s">
        <v>2284</v>
      </c>
      <c r="D1067" t="s">
        <v>4479</v>
      </c>
      <c r="E1067" t="s">
        <v>4319</v>
      </c>
      <c r="F1067" t="s">
        <v>1069</v>
      </c>
      <c r="G1067" t="s">
        <v>1406</v>
      </c>
      <c r="H1067" s="6">
        <v>46022</v>
      </c>
      <c r="I1067" t="s">
        <v>29</v>
      </c>
      <c r="J1067">
        <v>616</v>
      </c>
      <c r="K1067">
        <v>0</v>
      </c>
      <c r="L1067">
        <v>0</v>
      </c>
      <c r="M1067">
        <v>0</v>
      </c>
      <c r="N1067" t="s">
        <v>3915</v>
      </c>
      <c r="O1067" t="s">
        <v>3915</v>
      </c>
      <c r="P1067" t="s">
        <v>3915</v>
      </c>
      <c r="Q1067">
        <v>0</v>
      </c>
      <c r="R1067" t="s">
        <v>30</v>
      </c>
      <c r="S1067">
        <v>0</v>
      </c>
      <c r="T1067">
        <v>0</v>
      </c>
      <c r="U1067" t="s">
        <v>3915</v>
      </c>
      <c r="V1067" t="s">
        <v>31</v>
      </c>
      <c r="W1067">
        <v>0</v>
      </c>
    </row>
    <row r="1068" spans="1:23" x14ac:dyDescent="0.25">
      <c r="A1068" t="s">
        <v>4535</v>
      </c>
      <c r="B1068" t="s">
        <v>2287</v>
      </c>
      <c r="C1068" t="s">
        <v>2286</v>
      </c>
      <c r="D1068" t="s">
        <v>4479</v>
      </c>
      <c r="E1068" t="s">
        <v>4319</v>
      </c>
      <c r="F1068" t="s">
        <v>1069</v>
      </c>
      <c r="G1068" t="s">
        <v>1406</v>
      </c>
      <c r="H1068" s="6">
        <v>46022</v>
      </c>
      <c r="I1068" t="s">
        <v>29</v>
      </c>
      <c r="J1068">
        <v>2</v>
      </c>
      <c r="K1068">
        <v>0</v>
      </c>
      <c r="L1068">
        <v>0</v>
      </c>
      <c r="M1068">
        <v>0</v>
      </c>
      <c r="N1068" t="s">
        <v>3915</v>
      </c>
      <c r="O1068" t="s">
        <v>3915</v>
      </c>
      <c r="P1068" t="s">
        <v>3915</v>
      </c>
      <c r="Q1068">
        <v>0</v>
      </c>
      <c r="R1068" t="s">
        <v>30</v>
      </c>
      <c r="S1068">
        <v>0</v>
      </c>
      <c r="T1068">
        <v>0</v>
      </c>
      <c r="U1068" t="s">
        <v>3915</v>
      </c>
      <c r="V1068" t="s">
        <v>31</v>
      </c>
      <c r="W1068">
        <v>0</v>
      </c>
    </row>
    <row r="1069" spans="1:23" x14ac:dyDescent="0.25">
      <c r="A1069" t="s">
        <v>4540</v>
      </c>
      <c r="B1069" t="s">
        <v>9808</v>
      </c>
      <c r="C1069" t="s">
        <v>9807</v>
      </c>
      <c r="D1069" t="s">
        <v>4479</v>
      </c>
      <c r="E1069" t="s">
        <v>4319</v>
      </c>
      <c r="F1069" t="s">
        <v>1069</v>
      </c>
      <c r="G1069" t="s">
        <v>1406</v>
      </c>
      <c r="H1069" s="6">
        <v>46022</v>
      </c>
      <c r="I1069" t="s">
        <v>29</v>
      </c>
      <c r="J1069">
        <v>93</v>
      </c>
      <c r="K1069">
        <v>0</v>
      </c>
      <c r="L1069">
        <v>0</v>
      </c>
      <c r="M1069">
        <v>0</v>
      </c>
      <c r="N1069" t="s">
        <v>3915</v>
      </c>
      <c r="O1069" t="s">
        <v>3915</v>
      </c>
      <c r="P1069" t="s">
        <v>3915</v>
      </c>
      <c r="Q1069">
        <v>0</v>
      </c>
      <c r="R1069" t="s">
        <v>30</v>
      </c>
      <c r="S1069">
        <v>0</v>
      </c>
      <c r="T1069">
        <v>0</v>
      </c>
      <c r="U1069" t="s">
        <v>3915</v>
      </c>
      <c r="V1069" t="s">
        <v>31</v>
      </c>
      <c r="W1069">
        <v>0</v>
      </c>
    </row>
    <row r="1070" spans="1:23" x14ac:dyDescent="0.25">
      <c r="A1070" t="s">
        <v>10328</v>
      </c>
      <c r="B1070" t="s">
        <v>9810</v>
      </c>
      <c r="C1070" t="s">
        <v>9809</v>
      </c>
      <c r="D1070" t="s">
        <v>4479</v>
      </c>
      <c r="E1070" t="s">
        <v>4319</v>
      </c>
      <c r="F1070" t="s">
        <v>1069</v>
      </c>
      <c r="G1070" t="s">
        <v>1406</v>
      </c>
      <c r="H1070" s="6">
        <v>46022</v>
      </c>
      <c r="I1070" t="s">
        <v>29</v>
      </c>
      <c r="J1070">
        <v>350</v>
      </c>
      <c r="K1070">
        <v>0</v>
      </c>
      <c r="L1070">
        <v>0</v>
      </c>
      <c r="M1070">
        <v>0</v>
      </c>
      <c r="N1070" t="s">
        <v>3915</v>
      </c>
      <c r="O1070" t="s">
        <v>3915</v>
      </c>
      <c r="P1070" t="s">
        <v>3915</v>
      </c>
      <c r="Q1070">
        <v>0</v>
      </c>
      <c r="R1070" t="s">
        <v>30</v>
      </c>
      <c r="S1070">
        <v>0</v>
      </c>
      <c r="T1070">
        <v>0</v>
      </c>
      <c r="U1070" t="s">
        <v>3915</v>
      </c>
      <c r="V1070" t="s">
        <v>31</v>
      </c>
      <c r="W1070">
        <v>0</v>
      </c>
    </row>
    <row r="1071" spans="1:23" x14ac:dyDescent="0.25">
      <c r="A1071" t="s">
        <v>4353</v>
      </c>
      <c r="B1071" t="s">
        <v>1142</v>
      </c>
      <c r="C1071" t="s">
        <v>1143</v>
      </c>
      <c r="D1071" t="s">
        <v>4479</v>
      </c>
      <c r="E1071" t="s">
        <v>4319</v>
      </c>
      <c r="F1071" t="s">
        <v>1069</v>
      </c>
      <c r="G1071" t="s">
        <v>1406</v>
      </c>
      <c r="H1071" s="6">
        <v>46022</v>
      </c>
      <c r="I1071" t="s">
        <v>29</v>
      </c>
      <c r="J1071">
        <v>262</v>
      </c>
      <c r="K1071">
        <v>0</v>
      </c>
      <c r="L1071">
        <v>0</v>
      </c>
      <c r="M1071">
        <v>0</v>
      </c>
      <c r="N1071" t="s">
        <v>3915</v>
      </c>
      <c r="O1071" t="s">
        <v>3915</v>
      </c>
      <c r="P1071" t="s">
        <v>3915</v>
      </c>
      <c r="Q1071">
        <v>0</v>
      </c>
      <c r="R1071" t="s">
        <v>30</v>
      </c>
      <c r="S1071">
        <v>0</v>
      </c>
      <c r="T1071">
        <v>0</v>
      </c>
      <c r="U1071" t="s">
        <v>3915</v>
      </c>
      <c r="V1071" t="s">
        <v>31</v>
      </c>
      <c r="W1071">
        <v>0</v>
      </c>
    </row>
    <row r="1072" spans="1:23" x14ac:dyDescent="0.25">
      <c r="A1072" t="s">
        <v>4354</v>
      </c>
      <c r="B1072" t="s">
        <v>1144</v>
      </c>
      <c r="C1072" t="s">
        <v>1145</v>
      </c>
      <c r="D1072" t="s">
        <v>4479</v>
      </c>
      <c r="E1072" t="s">
        <v>4319</v>
      </c>
      <c r="F1072" t="s">
        <v>1069</v>
      </c>
      <c r="G1072" t="s">
        <v>1406</v>
      </c>
      <c r="H1072" s="6">
        <v>46022</v>
      </c>
      <c r="I1072" t="s">
        <v>29</v>
      </c>
      <c r="J1072">
        <v>327</v>
      </c>
      <c r="K1072">
        <v>0</v>
      </c>
      <c r="L1072">
        <v>0</v>
      </c>
      <c r="M1072">
        <v>0</v>
      </c>
      <c r="N1072" t="s">
        <v>3915</v>
      </c>
      <c r="O1072" t="s">
        <v>3915</v>
      </c>
      <c r="P1072" t="s">
        <v>3915</v>
      </c>
      <c r="Q1072">
        <v>0</v>
      </c>
      <c r="R1072" t="s">
        <v>30</v>
      </c>
      <c r="S1072">
        <v>0</v>
      </c>
      <c r="T1072">
        <v>0</v>
      </c>
      <c r="U1072" t="s">
        <v>3915</v>
      </c>
      <c r="V1072" t="s">
        <v>31</v>
      </c>
      <c r="W1072">
        <v>0</v>
      </c>
    </row>
    <row r="1073" spans="1:23" x14ac:dyDescent="0.25">
      <c r="A1073" t="s">
        <v>4355</v>
      </c>
      <c r="B1073" t="s">
        <v>1146</v>
      </c>
      <c r="C1073" t="s">
        <v>1147</v>
      </c>
      <c r="D1073" t="s">
        <v>4479</v>
      </c>
      <c r="E1073" t="s">
        <v>4319</v>
      </c>
      <c r="F1073" t="s">
        <v>1069</v>
      </c>
      <c r="G1073" t="s">
        <v>1406</v>
      </c>
      <c r="H1073" s="6">
        <v>46022</v>
      </c>
      <c r="I1073" t="s">
        <v>29</v>
      </c>
      <c r="J1073">
        <v>568</v>
      </c>
      <c r="K1073">
        <v>0</v>
      </c>
      <c r="L1073">
        <v>0</v>
      </c>
      <c r="M1073">
        <v>0</v>
      </c>
      <c r="N1073" t="s">
        <v>3915</v>
      </c>
      <c r="O1073" t="s">
        <v>3915</v>
      </c>
      <c r="P1073" t="s">
        <v>3915</v>
      </c>
      <c r="Q1073">
        <v>0</v>
      </c>
      <c r="R1073" t="s">
        <v>30</v>
      </c>
      <c r="S1073">
        <v>0</v>
      </c>
      <c r="T1073">
        <v>0</v>
      </c>
      <c r="U1073" t="s">
        <v>3915</v>
      </c>
      <c r="V1073" t="s">
        <v>31</v>
      </c>
      <c r="W1073">
        <v>0</v>
      </c>
    </row>
    <row r="1074" spans="1:23" x14ac:dyDescent="0.25">
      <c r="A1074" t="s">
        <v>4356</v>
      </c>
      <c r="B1074" t="s">
        <v>1148</v>
      </c>
      <c r="C1074" t="s">
        <v>1149</v>
      </c>
      <c r="D1074" t="s">
        <v>4479</v>
      </c>
      <c r="E1074" t="s">
        <v>4319</v>
      </c>
      <c r="F1074" t="s">
        <v>1069</v>
      </c>
      <c r="G1074" t="s">
        <v>1406</v>
      </c>
      <c r="H1074" s="6">
        <v>46022</v>
      </c>
      <c r="I1074" t="s">
        <v>29</v>
      </c>
      <c r="J1074">
        <v>246</v>
      </c>
      <c r="K1074">
        <v>0</v>
      </c>
      <c r="L1074">
        <v>0</v>
      </c>
      <c r="M1074">
        <v>0</v>
      </c>
      <c r="N1074" t="s">
        <v>3915</v>
      </c>
      <c r="O1074" t="s">
        <v>3915</v>
      </c>
      <c r="P1074" t="s">
        <v>3915</v>
      </c>
      <c r="Q1074">
        <v>0</v>
      </c>
      <c r="R1074" t="s">
        <v>30</v>
      </c>
      <c r="S1074">
        <v>0</v>
      </c>
      <c r="T1074">
        <v>0</v>
      </c>
      <c r="U1074" t="s">
        <v>3915</v>
      </c>
      <c r="V1074" t="s">
        <v>31</v>
      </c>
      <c r="W1074">
        <v>0</v>
      </c>
    </row>
    <row r="1075" spans="1:23" x14ac:dyDescent="0.25">
      <c r="A1075" t="s">
        <v>4841</v>
      </c>
      <c r="B1075" t="s">
        <v>2289</v>
      </c>
      <c r="C1075" t="s">
        <v>2288</v>
      </c>
      <c r="D1075" t="s">
        <v>4479</v>
      </c>
      <c r="E1075" t="s">
        <v>4319</v>
      </c>
      <c r="F1075" t="s">
        <v>1069</v>
      </c>
      <c r="G1075" t="s">
        <v>1406</v>
      </c>
      <c r="H1075" s="6">
        <v>46022</v>
      </c>
      <c r="I1075" t="s">
        <v>29</v>
      </c>
      <c r="J1075">
        <v>569</v>
      </c>
      <c r="K1075">
        <v>0</v>
      </c>
      <c r="L1075">
        <v>0</v>
      </c>
      <c r="M1075">
        <v>0</v>
      </c>
      <c r="N1075" t="s">
        <v>3915</v>
      </c>
      <c r="O1075" t="s">
        <v>3915</v>
      </c>
      <c r="P1075" t="s">
        <v>3915</v>
      </c>
      <c r="Q1075">
        <v>0</v>
      </c>
      <c r="R1075" t="s">
        <v>30</v>
      </c>
      <c r="S1075">
        <v>0</v>
      </c>
      <c r="T1075">
        <v>0</v>
      </c>
      <c r="U1075" t="s">
        <v>3915</v>
      </c>
      <c r="V1075" t="s">
        <v>31</v>
      </c>
      <c r="W1075">
        <v>0</v>
      </c>
    </row>
    <row r="1076" spans="1:23" x14ac:dyDescent="0.25">
      <c r="A1076" t="s">
        <v>4357</v>
      </c>
      <c r="B1076" t="s">
        <v>1150</v>
      </c>
      <c r="C1076" t="s">
        <v>1151</v>
      </c>
      <c r="D1076" t="s">
        <v>4479</v>
      </c>
      <c r="E1076" t="s">
        <v>4319</v>
      </c>
      <c r="F1076" t="s">
        <v>1069</v>
      </c>
      <c r="G1076" t="s">
        <v>1406</v>
      </c>
      <c r="H1076" s="6">
        <v>46022</v>
      </c>
      <c r="I1076" t="s">
        <v>29</v>
      </c>
      <c r="J1076">
        <v>1337</v>
      </c>
      <c r="K1076">
        <v>0</v>
      </c>
      <c r="L1076">
        <v>0</v>
      </c>
      <c r="M1076">
        <v>0</v>
      </c>
      <c r="N1076" t="s">
        <v>3915</v>
      </c>
      <c r="O1076" t="s">
        <v>3915</v>
      </c>
      <c r="P1076" t="s">
        <v>3915</v>
      </c>
      <c r="Q1076">
        <v>0</v>
      </c>
      <c r="R1076" t="s">
        <v>30</v>
      </c>
      <c r="S1076">
        <v>0</v>
      </c>
      <c r="T1076">
        <v>0</v>
      </c>
      <c r="U1076" t="s">
        <v>3915</v>
      </c>
      <c r="V1076" t="s">
        <v>31</v>
      </c>
      <c r="W1076">
        <v>0</v>
      </c>
    </row>
    <row r="1077" spans="1:23" x14ac:dyDescent="0.25">
      <c r="A1077" t="s">
        <v>4358</v>
      </c>
      <c r="B1077" t="s">
        <v>1152</v>
      </c>
      <c r="C1077" t="s">
        <v>1153</v>
      </c>
      <c r="D1077" t="s">
        <v>4479</v>
      </c>
      <c r="E1077" t="s">
        <v>4319</v>
      </c>
      <c r="F1077" t="s">
        <v>1069</v>
      </c>
      <c r="G1077" t="s">
        <v>1406</v>
      </c>
      <c r="H1077" s="6">
        <v>46022</v>
      </c>
      <c r="I1077" t="s">
        <v>29</v>
      </c>
      <c r="J1077">
        <v>62</v>
      </c>
      <c r="K1077">
        <v>0</v>
      </c>
      <c r="L1077">
        <v>0</v>
      </c>
      <c r="M1077">
        <v>0</v>
      </c>
      <c r="N1077" t="s">
        <v>3915</v>
      </c>
      <c r="O1077" t="s">
        <v>3915</v>
      </c>
      <c r="P1077" t="s">
        <v>3915</v>
      </c>
      <c r="Q1077">
        <v>0</v>
      </c>
      <c r="R1077" t="s">
        <v>30</v>
      </c>
      <c r="S1077">
        <v>0</v>
      </c>
      <c r="T1077">
        <v>0</v>
      </c>
      <c r="U1077" t="s">
        <v>3915</v>
      </c>
      <c r="V1077" t="s">
        <v>31</v>
      </c>
      <c r="W1077">
        <v>0</v>
      </c>
    </row>
    <row r="1078" spans="1:23" x14ac:dyDescent="0.25">
      <c r="A1078" t="s">
        <v>4359</v>
      </c>
      <c r="B1078" t="s">
        <v>1154</v>
      </c>
      <c r="C1078" t="s">
        <v>1155</v>
      </c>
      <c r="D1078" t="s">
        <v>4479</v>
      </c>
      <c r="E1078" t="s">
        <v>4319</v>
      </c>
      <c r="F1078" t="s">
        <v>1069</v>
      </c>
      <c r="G1078" t="s">
        <v>1406</v>
      </c>
      <c r="H1078" s="6">
        <v>46022</v>
      </c>
      <c r="I1078" t="s">
        <v>29</v>
      </c>
      <c r="J1078">
        <v>161</v>
      </c>
      <c r="K1078">
        <v>0</v>
      </c>
      <c r="L1078">
        <v>0</v>
      </c>
      <c r="M1078">
        <v>0</v>
      </c>
      <c r="N1078" t="s">
        <v>3915</v>
      </c>
      <c r="O1078" t="s">
        <v>3915</v>
      </c>
      <c r="P1078" t="s">
        <v>3915</v>
      </c>
      <c r="Q1078">
        <v>0</v>
      </c>
      <c r="R1078" t="s">
        <v>30</v>
      </c>
      <c r="S1078">
        <v>0</v>
      </c>
      <c r="T1078">
        <v>0</v>
      </c>
      <c r="U1078" t="s">
        <v>3915</v>
      </c>
      <c r="V1078" t="s">
        <v>31</v>
      </c>
      <c r="W1078">
        <v>0</v>
      </c>
    </row>
    <row r="1079" spans="1:23" x14ac:dyDescent="0.25">
      <c r="A1079" t="s">
        <v>4360</v>
      </c>
      <c r="B1079" t="s">
        <v>1156</v>
      </c>
      <c r="C1079" t="s">
        <v>1157</v>
      </c>
      <c r="D1079" t="s">
        <v>4479</v>
      </c>
      <c r="E1079" t="s">
        <v>4319</v>
      </c>
      <c r="F1079" t="s">
        <v>1069</v>
      </c>
      <c r="G1079" t="s">
        <v>1406</v>
      </c>
      <c r="H1079" s="6">
        <v>46022</v>
      </c>
      <c r="I1079" t="s">
        <v>29</v>
      </c>
      <c r="J1079">
        <v>156</v>
      </c>
      <c r="K1079">
        <v>0</v>
      </c>
      <c r="L1079">
        <v>0</v>
      </c>
      <c r="M1079">
        <v>0</v>
      </c>
      <c r="N1079" t="s">
        <v>3915</v>
      </c>
      <c r="O1079" t="s">
        <v>3915</v>
      </c>
      <c r="P1079" t="s">
        <v>3915</v>
      </c>
      <c r="Q1079">
        <v>0</v>
      </c>
      <c r="R1079" t="s">
        <v>30</v>
      </c>
      <c r="S1079">
        <v>0</v>
      </c>
      <c r="T1079">
        <v>0</v>
      </c>
      <c r="U1079" t="s">
        <v>3915</v>
      </c>
      <c r="V1079" t="s">
        <v>31</v>
      </c>
      <c r="W1079">
        <v>0</v>
      </c>
    </row>
    <row r="1080" spans="1:23" x14ac:dyDescent="0.25">
      <c r="A1080" t="s">
        <v>4361</v>
      </c>
      <c r="B1080" t="s">
        <v>1158</v>
      </c>
      <c r="C1080" t="s">
        <v>1159</v>
      </c>
      <c r="D1080" t="s">
        <v>4479</v>
      </c>
      <c r="E1080" t="s">
        <v>4319</v>
      </c>
      <c r="F1080" t="s">
        <v>1069</v>
      </c>
      <c r="G1080" t="s">
        <v>1406</v>
      </c>
      <c r="H1080" s="6">
        <v>46022</v>
      </c>
      <c r="I1080" t="s">
        <v>29</v>
      </c>
      <c r="J1080">
        <v>896</v>
      </c>
      <c r="K1080">
        <v>0</v>
      </c>
      <c r="L1080">
        <v>0</v>
      </c>
      <c r="M1080">
        <v>0</v>
      </c>
      <c r="N1080" t="s">
        <v>3915</v>
      </c>
      <c r="O1080" t="s">
        <v>3915</v>
      </c>
      <c r="P1080" t="s">
        <v>3915</v>
      </c>
      <c r="Q1080">
        <v>0</v>
      </c>
      <c r="R1080" t="s">
        <v>30</v>
      </c>
      <c r="S1080">
        <v>0</v>
      </c>
      <c r="T1080">
        <v>0</v>
      </c>
      <c r="U1080" t="s">
        <v>3915</v>
      </c>
      <c r="V1080" t="s">
        <v>31</v>
      </c>
      <c r="W1080">
        <v>0</v>
      </c>
    </row>
    <row r="1081" spans="1:23" x14ac:dyDescent="0.25">
      <c r="A1081" t="s">
        <v>4362</v>
      </c>
      <c r="B1081" t="s">
        <v>1160</v>
      </c>
      <c r="C1081" t="s">
        <v>1161</v>
      </c>
      <c r="D1081" t="s">
        <v>4479</v>
      </c>
      <c r="E1081" t="s">
        <v>4319</v>
      </c>
      <c r="F1081" t="s">
        <v>1069</v>
      </c>
      <c r="G1081" t="s">
        <v>1406</v>
      </c>
      <c r="H1081" s="6">
        <v>46022</v>
      </c>
      <c r="I1081" t="s">
        <v>29</v>
      </c>
      <c r="J1081">
        <v>131</v>
      </c>
      <c r="K1081">
        <v>0</v>
      </c>
      <c r="L1081">
        <v>0</v>
      </c>
      <c r="M1081">
        <v>0</v>
      </c>
      <c r="N1081" t="s">
        <v>3915</v>
      </c>
      <c r="O1081" t="s">
        <v>3915</v>
      </c>
      <c r="P1081" t="s">
        <v>3915</v>
      </c>
      <c r="Q1081">
        <v>0</v>
      </c>
      <c r="R1081" t="s">
        <v>30</v>
      </c>
      <c r="S1081">
        <v>0</v>
      </c>
      <c r="T1081">
        <v>0</v>
      </c>
      <c r="U1081" t="s">
        <v>3915</v>
      </c>
      <c r="V1081" t="s">
        <v>31</v>
      </c>
      <c r="W1081">
        <v>0</v>
      </c>
    </row>
    <row r="1082" spans="1:23" x14ac:dyDescent="0.25">
      <c r="A1082" t="s">
        <v>5551</v>
      </c>
      <c r="B1082" t="s">
        <v>2291</v>
      </c>
      <c r="C1082" t="s">
        <v>2290</v>
      </c>
      <c r="D1082" t="s">
        <v>4479</v>
      </c>
      <c r="E1082" t="s">
        <v>4319</v>
      </c>
      <c r="F1082" t="s">
        <v>1069</v>
      </c>
      <c r="G1082" t="s">
        <v>1406</v>
      </c>
      <c r="H1082" s="6">
        <v>46022</v>
      </c>
      <c r="I1082" t="s">
        <v>29</v>
      </c>
      <c r="J1082">
        <v>175</v>
      </c>
      <c r="K1082">
        <v>0</v>
      </c>
      <c r="L1082">
        <v>0</v>
      </c>
      <c r="M1082">
        <v>0</v>
      </c>
      <c r="N1082" t="s">
        <v>3915</v>
      </c>
      <c r="O1082" t="s">
        <v>3915</v>
      </c>
      <c r="P1082" t="s">
        <v>3915</v>
      </c>
      <c r="Q1082">
        <v>0</v>
      </c>
      <c r="R1082" t="s">
        <v>30</v>
      </c>
      <c r="S1082">
        <v>0</v>
      </c>
      <c r="T1082">
        <v>0</v>
      </c>
      <c r="U1082" t="s">
        <v>3915</v>
      </c>
      <c r="V1082" t="s">
        <v>31</v>
      </c>
      <c r="W1082">
        <v>0</v>
      </c>
    </row>
    <row r="1083" spans="1:23" x14ac:dyDescent="0.25">
      <c r="A1083" t="s">
        <v>5552</v>
      </c>
      <c r="B1083" t="s">
        <v>2293</v>
      </c>
      <c r="C1083" t="s">
        <v>2292</v>
      </c>
      <c r="D1083" t="s">
        <v>4479</v>
      </c>
      <c r="E1083" t="s">
        <v>4319</v>
      </c>
      <c r="F1083" t="s">
        <v>1069</v>
      </c>
      <c r="G1083" t="s">
        <v>1406</v>
      </c>
      <c r="H1083" s="6">
        <v>46022</v>
      </c>
      <c r="I1083" t="s">
        <v>29</v>
      </c>
      <c r="J1083">
        <v>268</v>
      </c>
      <c r="K1083">
        <v>0</v>
      </c>
      <c r="L1083">
        <v>0</v>
      </c>
      <c r="M1083">
        <v>0</v>
      </c>
      <c r="N1083" t="s">
        <v>3915</v>
      </c>
      <c r="O1083" t="s">
        <v>3915</v>
      </c>
      <c r="P1083" t="s">
        <v>3915</v>
      </c>
      <c r="Q1083">
        <v>0</v>
      </c>
      <c r="R1083" t="s">
        <v>30</v>
      </c>
      <c r="S1083">
        <v>0</v>
      </c>
      <c r="T1083">
        <v>0</v>
      </c>
      <c r="U1083" t="s">
        <v>3915</v>
      </c>
      <c r="V1083" t="s">
        <v>31</v>
      </c>
      <c r="W1083">
        <v>0</v>
      </c>
    </row>
    <row r="1084" spans="1:23" x14ac:dyDescent="0.25">
      <c r="A1084" t="s">
        <v>4544</v>
      </c>
      <c r="B1084" t="s">
        <v>2295</v>
      </c>
      <c r="C1084" t="s">
        <v>2294</v>
      </c>
      <c r="D1084" t="s">
        <v>4479</v>
      </c>
      <c r="E1084" t="s">
        <v>4319</v>
      </c>
      <c r="F1084" t="s">
        <v>1069</v>
      </c>
      <c r="G1084" t="s">
        <v>1406</v>
      </c>
      <c r="H1084" s="6">
        <v>46022</v>
      </c>
      <c r="I1084" t="s">
        <v>29</v>
      </c>
      <c r="J1084">
        <v>3344</v>
      </c>
      <c r="K1084">
        <v>0</v>
      </c>
      <c r="L1084">
        <v>0</v>
      </c>
      <c r="M1084">
        <v>0</v>
      </c>
      <c r="N1084" t="s">
        <v>3915</v>
      </c>
      <c r="O1084" t="s">
        <v>3915</v>
      </c>
      <c r="P1084" t="s">
        <v>3915</v>
      </c>
      <c r="Q1084">
        <v>0</v>
      </c>
      <c r="R1084" t="s">
        <v>30</v>
      </c>
      <c r="S1084">
        <v>0</v>
      </c>
      <c r="T1084">
        <v>0</v>
      </c>
      <c r="U1084" t="s">
        <v>3915</v>
      </c>
      <c r="V1084" t="s">
        <v>31</v>
      </c>
      <c r="W1084">
        <v>0</v>
      </c>
    </row>
    <row r="1085" spans="1:23" x14ac:dyDescent="0.25">
      <c r="A1085" t="s">
        <v>5553</v>
      </c>
      <c r="B1085" t="s">
        <v>2297</v>
      </c>
      <c r="C1085" t="s">
        <v>2296</v>
      </c>
      <c r="D1085" t="s">
        <v>4479</v>
      </c>
      <c r="E1085" t="s">
        <v>4319</v>
      </c>
      <c r="F1085" t="s">
        <v>1069</v>
      </c>
      <c r="G1085" t="s">
        <v>1406</v>
      </c>
      <c r="H1085" s="6">
        <v>46022</v>
      </c>
      <c r="I1085" t="s">
        <v>29</v>
      </c>
      <c r="J1085">
        <v>2854</v>
      </c>
      <c r="K1085">
        <v>0</v>
      </c>
      <c r="L1085">
        <v>0</v>
      </c>
      <c r="M1085">
        <v>0</v>
      </c>
      <c r="N1085" t="s">
        <v>3915</v>
      </c>
      <c r="O1085" t="s">
        <v>3915</v>
      </c>
      <c r="P1085" t="s">
        <v>3915</v>
      </c>
      <c r="Q1085">
        <v>0</v>
      </c>
      <c r="R1085" t="s">
        <v>30</v>
      </c>
      <c r="S1085">
        <v>0</v>
      </c>
      <c r="T1085">
        <v>0</v>
      </c>
      <c r="U1085" t="s">
        <v>3915</v>
      </c>
      <c r="V1085" t="s">
        <v>31</v>
      </c>
      <c r="W1085">
        <v>0</v>
      </c>
    </row>
    <row r="1086" spans="1:23" x14ac:dyDescent="0.25">
      <c r="A1086" t="s">
        <v>5554</v>
      </c>
      <c r="B1086" t="s">
        <v>2299</v>
      </c>
      <c r="C1086" t="s">
        <v>2298</v>
      </c>
      <c r="D1086" t="s">
        <v>4479</v>
      </c>
      <c r="E1086" t="s">
        <v>4319</v>
      </c>
      <c r="F1086" t="s">
        <v>1069</v>
      </c>
      <c r="G1086" t="s">
        <v>1406</v>
      </c>
      <c r="H1086" s="6">
        <v>46022</v>
      </c>
      <c r="I1086" t="s">
        <v>29</v>
      </c>
      <c r="J1086">
        <v>124</v>
      </c>
      <c r="K1086">
        <v>0</v>
      </c>
      <c r="L1086">
        <v>0</v>
      </c>
      <c r="M1086">
        <v>0</v>
      </c>
      <c r="N1086" t="s">
        <v>3915</v>
      </c>
      <c r="O1086" t="s">
        <v>3915</v>
      </c>
      <c r="P1086" t="s">
        <v>3915</v>
      </c>
      <c r="Q1086">
        <v>0</v>
      </c>
      <c r="R1086" t="s">
        <v>30</v>
      </c>
      <c r="S1086">
        <v>0</v>
      </c>
      <c r="T1086">
        <v>0</v>
      </c>
      <c r="U1086" t="s">
        <v>3915</v>
      </c>
      <c r="V1086" t="s">
        <v>31</v>
      </c>
      <c r="W1086">
        <v>0</v>
      </c>
    </row>
    <row r="1087" spans="1:23" x14ac:dyDescent="0.25">
      <c r="A1087" t="s">
        <v>4974</v>
      </c>
      <c r="B1087" t="s">
        <v>2301</v>
      </c>
      <c r="C1087" t="s">
        <v>2300</v>
      </c>
      <c r="D1087" t="s">
        <v>4479</v>
      </c>
      <c r="E1087" t="s">
        <v>4319</v>
      </c>
      <c r="F1087" t="s">
        <v>1069</v>
      </c>
      <c r="G1087" t="s">
        <v>1406</v>
      </c>
      <c r="H1087" s="6">
        <v>46022</v>
      </c>
      <c r="I1087" t="s">
        <v>29</v>
      </c>
      <c r="J1087">
        <v>1600</v>
      </c>
      <c r="K1087">
        <v>0</v>
      </c>
      <c r="L1087">
        <v>0</v>
      </c>
      <c r="M1087">
        <v>0</v>
      </c>
      <c r="N1087" t="s">
        <v>3915</v>
      </c>
      <c r="O1087" t="s">
        <v>3915</v>
      </c>
      <c r="P1087" t="s">
        <v>3915</v>
      </c>
      <c r="Q1087">
        <v>0</v>
      </c>
      <c r="R1087" t="s">
        <v>30</v>
      </c>
      <c r="S1087">
        <v>0</v>
      </c>
      <c r="T1087">
        <v>0</v>
      </c>
      <c r="U1087" t="s">
        <v>3915</v>
      </c>
      <c r="V1087" t="s">
        <v>31</v>
      </c>
      <c r="W1087">
        <v>0</v>
      </c>
    </row>
    <row r="1088" spans="1:23" x14ac:dyDescent="0.25">
      <c r="A1088" t="s">
        <v>4363</v>
      </c>
      <c r="B1088" t="s">
        <v>1162</v>
      </c>
      <c r="C1088" t="s">
        <v>1163</v>
      </c>
      <c r="D1088" t="s">
        <v>4479</v>
      </c>
      <c r="E1088" t="s">
        <v>4319</v>
      </c>
      <c r="F1088" t="s">
        <v>1069</v>
      </c>
      <c r="G1088" t="s">
        <v>1406</v>
      </c>
      <c r="H1088" s="6">
        <v>46022</v>
      </c>
      <c r="I1088" t="s">
        <v>29</v>
      </c>
      <c r="J1088">
        <v>4326</v>
      </c>
      <c r="K1088">
        <v>0</v>
      </c>
      <c r="L1088">
        <v>0</v>
      </c>
      <c r="M1088">
        <v>0</v>
      </c>
      <c r="N1088" t="s">
        <v>3915</v>
      </c>
      <c r="O1088" t="s">
        <v>3915</v>
      </c>
      <c r="P1088" t="s">
        <v>3915</v>
      </c>
      <c r="Q1088">
        <v>0</v>
      </c>
      <c r="R1088" t="s">
        <v>30</v>
      </c>
      <c r="S1088">
        <v>0</v>
      </c>
      <c r="T1088">
        <v>0</v>
      </c>
      <c r="U1088" t="s">
        <v>3915</v>
      </c>
      <c r="V1088" t="s">
        <v>31</v>
      </c>
      <c r="W1088">
        <v>0</v>
      </c>
    </row>
    <row r="1089" spans="1:23" x14ac:dyDescent="0.25">
      <c r="A1089" t="s">
        <v>4364</v>
      </c>
      <c r="B1089" t="s">
        <v>1164</v>
      </c>
      <c r="C1089" t="s">
        <v>1165</v>
      </c>
      <c r="D1089" t="s">
        <v>4479</v>
      </c>
      <c r="E1089" t="s">
        <v>4319</v>
      </c>
      <c r="F1089" t="s">
        <v>1069</v>
      </c>
      <c r="G1089" t="s">
        <v>1406</v>
      </c>
      <c r="H1089" s="6">
        <v>46022</v>
      </c>
      <c r="I1089" t="s">
        <v>29</v>
      </c>
      <c r="J1089">
        <v>644</v>
      </c>
      <c r="K1089">
        <v>0</v>
      </c>
      <c r="L1089">
        <v>0</v>
      </c>
      <c r="M1089">
        <v>0</v>
      </c>
      <c r="N1089" t="s">
        <v>3915</v>
      </c>
      <c r="O1089" t="s">
        <v>3915</v>
      </c>
      <c r="P1089" t="s">
        <v>3915</v>
      </c>
      <c r="Q1089">
        <v>0</v>
      </c>
      <c r="R1089" t="s">
        <v>30</v>
      </c>
      <c r="S1089">
        <v>0</v>
      </c>
      <c r="T1089">
        <v>0</v>
      </c>
      <c r="U1089" t="s">
        <v>3915</v>
      </c>
      <c r="V1089" t="s">
        <v>31</v>
      </c>
      <c r="W1089">
        <v>0</v>
      </c>
    </row>
    <row r="1090" spans="1:23" x14ac:dyDescent="0.25">
      <c r="A1090" t="s">
        <v>4365</v>
      </c>
      <c r="B1090" t="s">
        <v>1166</v>
      </c>
      <c r="C1090" t="s">
        <v>1167</v>
      </c>
      <c r="D1090" t="s">
        <v>4479</v>
      </c>
      <c r="E1090" t="s">
        <v>4319</v>
      </c>
      <c r="F1090" t="s">
        <v>1069</v>
      </c>
      <c r="G1090" t="s">
        <v>1406</v>
      </c>
      <c r="H1090" s="6">
        <v>46022</v>
      </c>
      <c r="I1090" t="s">
        <v>29</v>
      </c>
      <c r="J1090">
        <v>182</v>
      </c>
      <c r="K1090">
        <v>0</v>
      </c>
      <c r="L1090">
        <v>0</v>
      </c>
      <c r="M1090">
        <v>0</v>
      </c>
      <c r="N1090" t="s">
        <v>3915</v>
      </c>
      <c r="O1090" t="s">
        <v>3915</v>
      </c>
      <c r="P1090" t="s">
        <v>3915</v>
      </c>
      <c r="Q1090">
        <v>0</v>
      </c>
      <c r="R1090" t="s">
        <v>30</v>
      </c>
      <c r="S1090">
        <v>0</v>
      </c>
      <c r="T1090">
        <v>0</v>
      </c>
      <c r="U1090" t="s">
        <v>3915</v>
      </c>
      <c r="V1090" t="s">
        <v>31</v>
      </c>
      <c r="W1090">
        <v>0</v>
      </c>
    </row>
    <row r="1091" spans="1:23" x14ac:dyDescent="0.25">
      <c r="A1091" t="s">
        <v>4366</v>
      </c>
      <c r="B1091" t="s">
        <v>1168</v>
      </c>
      <c r="C1091" t="s">
        <v>1169</v>
      </c>
      <c r="D1091" t="s">
        <v>4479</v>
      </c>
      <c r="E1091" t="s">
        <v>4319</v>
      </c>
      <c r="F1091" t="s">
        <v>1069</v>
      </c>
      <c r="G1091" t="s">
        <v>1406</v>
      </c>
      <c r="H1091" s="6">
        <v>46022</v>
      </c>
      <c r="I1091" t="s">
        <v>29</v>
      </c>
      <c r="J1091">
        <v>135</v>
      </c>
      <c r="K1091">
        <v>0</v>
      </c>
      <c r="L1091">
        <v>0</v>
      </c>
      <c r="M1091">
        <v>0</v>
      </c>
      <c r="N1091" t="s">
        <v>3915</v>
      </c>
      <c r="O1091" t="s">
        <v>3915</v>
      </c>
      <c r="P1091" t="s">
        <v>3915</v>
      </c>
      <c r="Q1091">
        <v>0</v>
      </c>
      <c r="R1091" t="s">
        <v>30</v>
      </c>
      <c r="S1091">
        <v>0</v>
      </c>
      <c r="T1091">
        <v>0</v>
      </c>
      <c r="U1091" t="s">
        <v>3915</v>
      </c>
      <c r="V1091" t="s">
        <v>31</v>
      </c>
      <c r="W1091">
        <v>0</v>
      </c>
    </row>
    <row r="1092" spans="1:23" x14ac:dyDescent="0.25">
      <c r="A1092" t="s">
        <v>4367</v>
      </c>
      <c r="B1092" t="s">
        <v>1170</v>
      </c>
      <c r="C1092" t="s">
        <v>1171</v>
      </c>
      <c r="D1092" t="s">
        <v>4479</v>
      </c>
      <c r="E1092" t="s">
        <v>4319</v>
      </c>
      <c r="F1092" t="s">
        <v>1069</v>
      </c>
      <c r="G1092" t="s">
        <v>1406</v>
      </c>
      <c r="H1092" s="6">
        <v>46022</v>
      </c>
      <c r="I1092" t="s">
        <v>29</v>
      </c>
      <c r="J1092">
        <v>2786</v>
      </c>
      <c r="K1092">
        <v>0</v>
      </c>
      <c r="L1092">
        <v>0</v>
      </c>
      <c r="M1092">
        <v>0</v>
      </c>
      <c r="N1092" t="s">
        <v>3915</v>
      </c>
      <c r="O1092" t="s">
        <v>3915</v>
      </c>
      <c r="P1092" t="s">
        <v>3915</v>
      </c>
      <c r="Q1092">
        <v>0</v>
      </c>
      <c r="R1092" t="s">
        <v>30</v>
      </c>
      <c r="S1092">
        <v>0</v>
      </c>
      <c r="T1092">
        <v>0</v>
      </c>
      <c r="U1092" t="s">
        <v>3915</v>
      </c>
      <c r="V1092" t="s">
        <v>31</v>
      </c>
      <c r="W1092">
        <v>0</v>
      </c>
    </row>
    <row r="1093" spans="1:23" x14ac:dyDescent="0.25">
      <c r="A1093" t="s">
        <v>4368</v>
      </c>
      <c r="B1093" t="s">
        <v>1172</v>
      </c>
      <c r="C1093" t="s">
        <v>1173</v>
      </c>
      <c r="D1093" t="s">
        <v>4479</v>
      </c>
      <c r="E1093" t="s">
        <v>4319</v>
      </c>
      <c r="F1093" t="s">
        <v>1069</v>
      </c>
      <c r="G1093" t="s">
        <v>1406</v>
      </c>
      <c r="H1093" s="6">
        <v>46022</v>
      </c>
      <c r="I1093" t="s">
        <v>29</v>
      </c>
      <c r="J1093">
        <v>706</v>
      </c>
      <c r="K1093">
        <v>0</v>
      </c>
      <c r="L1093">
        <v>0</v>
      </c>
      <c r="M1093">
        <v>0</v>
      </c>
      <c r="N1093" t="s">
        <v>3915</v>
      </c>
      <c r="O1093" t="s">
        <v>3915</v>
      </c>
      <c r="P1093" t="s">
        <v>3915</v>
      </c>
      <c r="Q1093">
        <v>0</v>
      </c>
      <c r="R1093" t="s">
        <v>30</v>
      </c>
      <c r="S1093">
        <v>0</v>
      </c>
      <c r="T1093">
        <v>0</v>
      </c>
      <c r="U1093" t="s">
        <v>3915</v>
      </c>
      <c r="V1093" t="s">
        <v>31</v>
      </c>
      <c r="W1093">
        <v>0</v>
      </c>
    </row>
    <row r="1094" spans="1:23" x14ac:dyDescent="0.25">
      <c r="A1094" t="s">
        <v>5555</v>
      </c>
      <c r="B1094" t="s">
        <v>2303</v>
      </c>
      <c r="C1094" t="s">
        <v>2302</v>
      </c>
      <c r="D1094" t="s">
        <v>4479</v>
      </c>
      <c r="E1094" t="s">
        <v>4319</v>
      </c>
      <c r="F1094" t="s">
        <v>1069</v>
      </c>
      <c r="G1094" t="s">
        <v>1406</v>
      </c>
      <c r="H1094" s="6">
        <v>46022</v>
      </c>
      <c r="I1094" t="s">
        <v>29</v>
      </c>
      <c r="J1094">
        <v>4116</v>
      </c>
      <c r="K1094">
        <v>0</v>
      </c>
      <c r="L1094">
        <v>0</v>
      </c>
      <c r="M1094">
        <v>0</v>
      </c>
      <c r="N1094" t="s">
        <v>3915</v>
      </c>
      <c r="O1094" t="s">
        <v>3915</v>
      </c>
      <c r="P1094" t="s">
        <v>3915</v>
      </c>
      <c r="Q1094">
        <v>0</v>
      </c>
      <c r="R1094" t="s">
        <v>30</v>
      </c>
      <c r="S1094">
        <v>0</v>
      </c>
      <c r="T1094">
        <v>0</v>
      </c>
      <c r="U1094" t="s">
        <v>3915</v>
      </c>
      <c r="V1094" t="s">
        <v>31</v>
      </c>
      <c r="W1094">
        <v>0</v>
      </c>
    </row>
    <row r="1095" spans="1:23" x14ac:dyDescent="0.25">
      <c r="A1095" t="s">
        <v>4369</v>
      </c>
      <c r="B1095" t="s">
        <v>1174</v>
      </c>
      <c r="C1095" t="s">
        <v>1175</v>
      </c>
      <c r="D1095" t="s">
        <v>4479</v>
      </c>
      <c r="E1095" t="s">
        <v>4319</v>
      </c>
      <c r="F1095" t="s">
        <v>1069</v>
      </c>
      <c r="G1095" t="s">
        <v>1406</v>
      </c>
      <c r="H1095" s="6">
        <v>46022</v>
      </c>
      <c r="I1095" t="s">
        <v>29</v>
      </c>
      <c r="J1095">
        <v>1143</v>
      </c>
      <c r="K1095">
        <v>0</v>
      </c>
      <c r="L1095">
        <v>0</v>
      </c>
      <c r="M1095">
        <v>0</v>
      </c>
      <c r="N1095" t="s">
        <v>3915</v>
      </c>
      <c r="O1095" t="s">
        <v>3915</v>
      </c>
      <c r="P1095" t="s">
        <v>3915</v>
      </c>
      <c r="Q1095">
        <v>0</v>
      </c>
      <c r="R1095" t="s">
        <v>30</v>
      </c>
      <c r="S1095">
        <v>0</v>
      </c>
      <c r="T1095">
        <v>0</v>
      </c>
      <c r="U1095" t="s">
        <v>3915</v>
      </c>
      <c r="V1095" t="s">
        <v>31</v>
      </c>
      <c r="W1095">
        <v>0</v>
      </c>
    </row>
    <row r="1096" spans="1:23" x14ac:dyDescent="0.25">
      <c r="A1096" t="s">
        <v>4738</v>
      </c>
      <c r="B1096" t="s">
        <v>2305</v>
      </c>
      <c r="C1096" t="s">
        <v>2304</v>
      </c>
      <c r="D1096" t="s">
        <v>4479</v>
      </c>
      <c r="E1096" t="s">
        <v>4319</v>
      </c>
      <c r="F1096" t="s">
        <v>1069</v>
      </c>
      <c r="G1096" t="s">
        <v>1406</v>
      </c>
      <c r="H1096" s="6">
        <v>46022</v>
      </c>
      <c r="I1096" t="s">
        <v>29</v>
      </c>
      <c r="J1096">
        <v>574</v>
      </c>
      <c r="K1096">
        <v>0</v>
      </c>
      <c r="L1096">
        <v>0</v>
      </c>
      <c r="M1096">
        <v>0</v>
      </c>
      <c r="N1096" t="s">
        <v>3915</v>
      </c>
      <c r="O1096" t="s">
        <v>3915</v>
      </c>
      <c r="P1096" t="s">
        <v>3915</v>
      </c>
      <c r="Q1096">
        <v>0</v>
      </c>
      <c r="R1096" t="s">
        <v>30</v>
      </c>
      <c r="S1096">
        <v>0</v>
      </c>
      <c r="T1096">
        <v>0</v>
      </c>
      <c r="U1096" t="s">
        <v>3915</v>
      </c>
      <c r="V1096" t="s">
        <v>31</v>
      </c>
      <c r="W1096">
        <v>0</v>
      </c>
    </row>
    <row r="1097" spans="1:23" x14ac:dyDescent="0.25">
      <c r="A1097" t="s">
        <v>4370</v>
      </c>
      <c r="B1097" t="s">
        <v>1176</v>
      </c>
      <c r="C1097" t="s">
        <v>1177</v>
      </c>
      <c r="D1097" t="s">
        <v>4479</v>
      </c>
      <c r="E1097" t="s">
        <v>4319</v>
      </c>
      <c r="F1097" t="s">
        <v>1069</v>
      </c>
      <c r="G1097" t="s">
        <v>1406</v>
      </c>
      <c r="H1097" s="6">
        <v>46022</v>
      </c>
      <c r="I1097" t="s">
        <v>29</v>
      </c>
      <c r="J1097">
        <v>112</v>
      </c>
      <c r="K1097">
        <v>0</v>
      </c>
      <c r="L1097">
        <v>0</v>
      </c>
      <c r="M1097">
        <v>0</v>
      </c>
      <c r="N1097" t="s">
        <v>3915</v>
      </c>
      <c r="O1097" t="s">
        <v>3915</v>
      </c>
      <c r="P1097" t="s">
        <v>3915</v>
      </c>
      <c r="Q1097">
        <v>0</v>
      </c>
      <c r="R1097" t="s">
        <v>30</v>
      </c>
      <c r="S1097">
        <v>0</v>
      </c>
      <c r="T1097">
        <v>0</v>
      </c>
      <c r="U1097" t="s">
        <v>3915</v>
      </c>
      <c r="V1097" t="s">
        <v>31</v>
      </c>
      <c r="W1097">
        <v>0</v>
      </c>
    </row>
    <row r="1098" spans="1:23" x14ac:dyDescent="0.25">
      <c r="A1098" t="s">
        <v>4371</v>
      </c>
      <c r="B1098" t="s">
        <v>1178</v>
      </c>
      <c r="C1098" t="s">
        <v>1179</v>
      </c>
      <c r="D1098" t="s">
        <v>4479</v>
      </c>
      <c r="E1098" t="s">
        <v>4319</v>
      </c>
      <c r="F1098" t="s">
        <v>1069</v>
      </c>
      <c r="G1098" t="s">
        <v>1406</v>
      </c>
      <c r="H1098" s="6">
        <v>46022</v>
      </c>
      <c r="I1098" t="s">
        <v>29</v>
      </c>
      <c r="J1098">
        <v>25</v>
      </c>
      <c r="K1098">
        <v>0</v>
      </c>
      <c r="L1098">
        <v>0</v>
      </c>
      <c r="M1098">
        <v>0</v>
      </c>
      <c r="N1098" t="s">
        <v>3915</v>
      </c>
      <c r="O1098" t="s">
        <v>3915</v>
      </c>
      <c r="P1098" t="s">
        <v>3915</v>
      </c>
      <c r="Q1098">
        <v>0</v>
      </c>
      <c r="R1098" t="s">
        <v>30</v>
      </c>
      <c r="S1098">
        <v>0</v>
      </c>
      <c r="T1098">
        <v>0</v>
      </c>
      <c r="U1098" t="s">
        <v>3915</v>
      </c>
      <c r="V1098" t="s">
        <v>31</v>
      </c>
      <c r="W1098">
        <v>0</v>
      </c>
    </row>
    <row r="1099" spans="1:23" x14ac:dyDescent="0.25">
      <c r="A1099" t="s">
        <v>4372</v>
      </c>
      <c r="B1099" t="s">
        <v>1180</v>
      </c>
      <c r="C1099" t="s">
        <v>1181</v>
      </c>
      <c r="D1099" t="s">
        <v>4479</v>
      </c>
      <c r="E1099" t="s">
        <v>4319</v>
      </c>
      <c r="F1099" t="s">
        <v>1069</v>
      </c>
      <c r="G1099" t="s">
        <v>1406</v>
      </c>
      <c r="H1099" s="6">
        <v>46022</v>
      </c>
      <c r="I1099" t="s">
        <v>29</v>
      </c>
      <c r="J1099">
        <v>4</v>
      </c>
      <c r="K1099">
        <v>0</v>
      </c>
      <c r="L1099">
        <v>0</v>
      </c>
      <c r="M1099">
        <v>0</v>
      </c>
      <c r="N1099" t="s">
        <v>3915</v>
      </c>
      <c r="O1099" t="s">
        <v>3915</v>
      </c>
      <c r="P1099" t="s">
        <v>3915</v>
      </c>
      <c r="Q1099">
        <v>0</v>
      </c>
      <c r="R1099" t="s">
        <v>30</v>
      </c>
      <c r="S1099">
        <v>0</v>
      </c>
      <c r="T1099">
        <v>0</v>
      </c>
      <c r="U1099" t="s">
        <v>3915</v>
      </c>
      <c r="V1099" t="s">
        <v>31</v>
      </c>
      <c r="W1099">
        <v>0</v>
      </c>
    </row>
    <row r="1100" spans="1:23" x14ac:dyDescent="0.25">
      <c r="A1100" t="s">
        <v>4373</v>
      </c>
      <c r="B1100" t="s">
        <v>1182</v>
      </c>
      <c r="C1100" t="s">
        <v>1183</v>
      </c>
      <c r="D1100" t="s">
        <v>4479</v>
      </c>
      <c r="E1100" t="s">
        <v>4319</v>
      </c>
      <c r="F1100" t="s">
        <v>1069</v>
      </c>
      <c r="G1100" t="s">
        <v>1406</v>
      </c>
      <c r="H1100" s="6">
        <v>46022</v>
      </c>
      <c r="I1100" t="s">
        <v>29</v>
      </c>
      <c r="J1100">
        <v>572</v>
      </c>
      <c r="K1100">
        <v>0</v>
      </c>
      <c r="L1100">
        <v>0</v>
      </c>
      <c r="M1100">
        <v>0</v>
      </c>
      <c r="N1100" t="s">
        <v>3915</v>
      </c>
      <c r="O1100" t="s">
        <v>3915</v>
      </c>
      <c r="P1100" t="s">
        <v>3915</v>
      </c>
      <c r="Q1100">
        <v>0</v>
      </c>
      <c r="R1100" t="s">
        <v>30</v>
      </c>
      <c r="S1100">
        <v>0</v>
      </c>
      <c r="T1100">
        <v>0</v>
      </c>
      <c r="U1100" t="s">
        <v>3915</v>
      </c>
      <c r="V1100" t="s">
        <v>31</v>
      </c>
      <c r="W1100">
        <v>0</v>
      </c>
    </row>
    <row r="1101" spans="1:23" x14ac:dyDescent="0.25">
      <c r="A1101" t="s">
        <v>4374</v>
      </c>
      <c r="B1101" t="s">
        <v>1184</v>
      </c>
      <c r="C1101" t="s">
        <v>1185</v>
      </c>
      <c r="D1101" t="s">
        <v>4479</v>
      </c>
      <c r="E1101" t="s">
        <v>4319</v>
      </c>
      <c r="F1101" t="s">
        <v>1069</v>
      </c>
      <c r="G1101" t="s">
        <v>1406</v>
      </c>
      <c r="H1101" s="6">
        <v>46022</v>
      </c>
      <c r="I1101" t="s">
        <v>29</v>
      </c>
      <c r="J1101">
        <v>286</v>
      </c>
      <c r="K1101">
        <v>0</v>
      </c>
      <c r="L1101">
        <v>0</v>
      </c>
      <c r="M1101">
        <v>0</v>
      </c>
      <c r="N1101" t="s">
        <v>3915</v>
      </c>
      <c r="O1101" t="s">
        <v>3915</v>
      </c>
      <c r="P1101" t="s">
        <v>3915</v>
      </c>
      <c r="Q1101">
        <v>0</v>
      </c>
      <c r="R1101" t="s">
        <v>30</v>
      </c>
      <c r="S1101">
        <v>0</v>
      </c>
      <c r="T1101">
        <v>0</v>
      </c>
      <c r="U1101" t="s">
        <v>3915</v>
      </c>
      <c r="V1101" t="s">
        <v>31</v>
      </c>
      <c r="W1101">
        <v>0</v>
      </c>
    </row>
    <row r="1102" spans="1:23" x14ac:dyDescent="0.25">
      <c r="A1102" t="s">
        <v>4375</v>
      </c>
      <c r="B1102" t="s">
        <v>1186</v>
      </c>
      <c r="C1102" t="s">
        <v>1187</v>
      </c>
      <c r="D1102" t="s">
        <v>4479</v>
      </c>
      <c r="E1102" t="s">
        <v>4319</v>
      </c>
      <c r="F1102" t="s">
        <v>1069</v>
      </c>
      <c r="G1102" t="s">
        <v>1406</v>
      </c>
      <c r="H1102" s="6">
        <v>46022</v>
      </c>
      <c r="I1102" t="s">
        <v>29</v>
      </c>
      <c r="J1102">
        <v>1006</v>
      </c>
      <c r="K1102">
        <v>0</v>
      </c>
      <c r="L1102">
        <v>0</v>
      </c>
      <c r="M1102">
        <v>0</v>
      </c>
      <c r="N1102" t="s">
        <v>3915</v>
      </c>
      <c r="O1102" t="s">
        <v>3915</v>
      </c>
      <c r="P1102" t="s">
        <v>3915</v>
      </c>
      <c r="Q1102">
        <v>0</v>
      </c>
      <c r="R1102" t="s">
        <v>30</v>
      </c>
      <c r="S1102">
        <v>0</v>
      </c>
      <c r="T1102">
        <v>0</v>
      </c>
      <c r="U1102" t="s">
        <v>3915</v>
      </c>
      <c r="V1102" t="s">
        <v>31</v>
      </c>
      <c r="W1102">
        <v>0</v>
      </c>
    </row>
    <row r="1103" spans="1:23" x14ac:dyDescent="0.25">
      <c r="A1103" t="s">
        <v>4376</v>
      </c>
      <c r="B1103" t="s">
        <v>1188</v>
      </c>
      <c r="C1103" t="s">
        <v>1189</v>
      </c>
      <c r="D1103" t="s">
        <v>4479</v>
      </c>
      <c r="E1103" t="s">
        <v>4319</v>
      </c>
      <c r="F1103" t="s">
        <v>1069</v>
      </c>
      <c r="G1103" t="s">
        <v>1406</v>
      </c>
      <c r="H1103" s="6">
        <v>46022</v>
      </c>
      <c r="I1103" t="s">
        <v>29</v>
      </c>
      <c r="J1103">
        <v>594</v>
      </c>
      <c r="K1103">
        <v>0</v>
      </c>
      <c r="L1103">
        <v>0</v>
      </c>
      <c r="M1103">
        <v>0</v>
      </c>
      <c r="N1103" t="s">
        <v>3915</v>
      </c>
      <c r="O1103" t="s">
        <v>3915</v>
      </c>
      <c r="P1103" t="s">
        <v>3915</v>
      </c>
      <c r="Q1103">
        <v>0</v>
      </c>
      <c r="R1103" t="s">
        <v>30</v>
      </c>
      <c r="S1103">
        <v>0</v>
      </c>
      <c r="T1103">
        <v>0</v>
      </c>
      <c r="U1103" t="s">
        <v>3915</v>
      </c>
      <c r="V1103" t="s">
        <v>31</v>
      </c>
      <c r="W1103">
        <v>0</v>
      </c>
    </row>
    <row r="1104" spans="1:23" x14ac:dyDescent="0.25">
      <c r="A1104" t="s">
        <v>4377</v>
      </c>
      <c r="B1104" t="s">
        <v>1190</v>
      </c>
      <c r="C1104" t="s">
        <v>1191</v>
      </c>
      <c r="D1104" t="s">
        <v>4479</v>
      </c>
      <c r="E1104" t="s">
        <v>4319</v>
      </c>
      <c r="F1104" t="s">
        <v>1069</v>
      </c>
      <c r="G1104" t="s">
        <v>1406</v>
      </c>
      <c r="H1104" s="6">
        <v>46022</v>
      </c>
      <c r="I1104" t="s">
        <v>29</v>
      </c>
      <c r="J1104">
        <v>2446</v>
      </c>
      <c r="K1104">
        <v>0</v>
      </c>
      <c r="L1104">
        <v>0</v>
      </c>
      <c r="M1104">
        <v>0</v>
      </c>
      <c r="N1104" t="s">
        <v>3915</v>
      </c>
      <c r="O1104" t="s">
        <v>3915</v>
      </c>
      <c r="P1104" t="s">
        <v>3915</v>
      </c>
      <c r="Q1104">
        <v>0</v>
      </c>
      <c r="R1104" t="s">
        <v>30</v>
      </c>
      <c r="S1104">
        <v>0</v>
      </c>
      <c r="T1104">
        <v>0</v>
      </c>
      <c r="U1104" t="s">
        <v>3915</v>
      </c>
      <c r="V1104" t="s">
        <v>31</v>
      </c>
      <c r="W1104">
        <v>0</v>
      </c>
    </row>
    <row r="1105" spans="1:23" x14ac:dyDescent="0.25">
      <c r="A1105" t="s">
        <v>5556</v>
      </c>
      <c r="B1105" t="s">
        <v>2307</v>
      </c>
      <c r="C1105" t="s">
        <v>2306</v>
      </c>
      <c r="D1105" t="s">
        <v>4479</v>
      </c>
      <c r="E1105" t="s">
        <v>4319</v>
      </c>
      <c r="F1105" t="s">
        <v>1069</v>
      </c>
      <c r="G1105" t="s">
        <v>1406</v>
      </c>
      <c r="H1105" s="6">
        <v>46022</v>
      </c>
      <c r="I1105" t="s">
        <v>29</v>
      </c>
      <c r="J1105">
        <v>2242.1799999999998</v>
      </c>
      <c r="K1105">
        <v>0</v>
      </c>
      <c r="L1105">
        <v>0</v>
      </c>
      <c r="M1105">
        <v>0</v>
      </c>
      <c r="N1105" t="s">
        <v>3915</v>
      </c>
      <c r="O1105" t="s">
        <v>3915</v>
      </c>
      <c r="P1105" t="s">
        <v>3915</v>
      </c>
      <c r="Q1105">
        <v>0</v>
      </c>
      <c r="R1105" t="s">
        <v>30</v>
      </c>
      <c r="S1105">
        <v>0</v>
      </c>
      <c r="T1105">
        <v>0</v>
      </c>
      <c r="U1105" t="s">
        <v>3915</v>
      </c>
      <c r="V1105" t="s">
        <v>31</v>
      </c>
      <c r="W1105">
        <v>0</v>
      </c>
    </row>
    <row r="1106" spans="1:23" x14ac:dyDescent="0.25">
      <c r="A1106" t="s">
        <v>5557</v>
      </c>
      <c r="B1106" t="s">
        <v>2309</v>
      </c>
      <c r="C1106" t="s">
        <v>2308</v>
      </c>
      <c r="D1106" t="s">
        <v>4479</v>
      </c>
      <c r="E1106" t="s">
        <v>4319</v>
      </c>
      <c r="F1106" t="s">
        <v>1069</v>
      </c>
      <c r="G1106" t="s">
        <v>1406</v>
      </c>
      <c r="H1106" s="6">
        <v>46022</v>
      </c>
      <c r="I1106" t="s">
        <v>29</v>
      </c>
      <c r="J1106">
        <v>2854</v>
      </c>
      <c r="K1106">
        <v>0</v>
      </c>
      <c r="L1106">
        <v>0</v>
      </c>
      <c r="M1106">
        <v>0</v>
      </c>
      <c r="N1106" t="s">
        <v>3915</v>
      </c>
      <c r="O1106" t="s">
        <v>3915</v>
      </c>
      <c r="P1106" t="s">
        <v>3915</v>
      </c>
      <c r="Q1106">
        <v>0</v>
      </c>
      <c r="R1106" t="s">
        <v>30</v>
      </c>
      <c r="S1106">
        <v>0</v>
      </c>
      <c r="T1106">
        <v>0</v>
      </c>
      <c r="U1106" t="s">
        <v>3915</v>
      </c>
      <c r="V1106" t="s">
        <v>31</v>
      </c>
      <c r="W1106">
        <v>0</v>
      </c>
    </row>
    <row r="1107" spans="1:23" x14ac:dyDescent="0.25">
      <c r="A1107" t="s">
        <v>4378</v>
      </c>
      <c r="B1107" t="s">
        <v>1192</v>
      </c>
      <c r="C1107" t="s">
        <v>1193</v>
      </c>
      <c r="D1107" t="s">
        <v>4479</v>
      </c>
      <c r="E1107" t="s">
        <v>4319</v>
      </c>
      <c r="F1107" t="s">
        <v>1069</v>
      </c>
      <c r="G1107" t="s">
        <v>1406</v>
      </c>
      <c r="H1107" s="6">
        <v>46022</v>
      </c>
      <c r="I1107" t="s">
        <v>29</v>
      </c>
      <c r="J1107">
        <v>2900</v>
      </c>
      <c r="K1107">
        <v>0</v>
      </c>
      <c r="L1107">
        <v>0</v>
      </c>
      <c r="M1107">
        <v>0</v>
      </c>
      <c r="N1107" t="s">
        <v>3915</v>
      </c>
      <c r="O1107" t="s">
        <v>3915</v>
      </c>
      <c r="P1107" t="s">
        <v>3915</v>
      </c>
      <c r="Q1107">
        <v>0</v>
      </c>
      <c r="R1107" t="s">
        <v>30</v>
      </c>
      <c r="S1107">
        <v>0</v>
      </c>
      <c r="T1107">
        <v>0</v>
      </c>
      <c r="U1107" t="s">
        <v>3915</v>
      </c>
      <c r="V1107" t="s">
        <v>31</v>
      </c>
      <c r="W1107">
        <v>0</v>
      </c>
    </row>
    <row r="1108" spans="1:23" x14ac:dyDescent="0.25">
      <c r="A1108" t="s">
        <v>4379</v>
      </c>
      <c r="B1108" t="s">
        <v>1194</v>
      </c>
      <c r="C1108" t="s">
        <v>1195</v>
      </c>
      <c r="D1108" t="s">
        <v>4479</v>
      </c>
      <c r="E1108" t="s">
        <v>4319</v>
      </c>
      <c r="F1108" t="s">
        <v>1069</v>
      </c>
      <c r="G1108" t="s">
        <v>1406</v>
      </c>
      <c r="H1108" s="6">
        <v>46022</v>
      </c>
      <c r="I1108" t="s">
        <v>29</v>
      </c>
      <c r="J1108">
        <v>2025</v>
      </c>
      <c r="K1108">
        <v>0</v>
      </c>
      <c r="L1108">
        <v>0</v>
      </c>
      <c r="M1108">
        <v>0</v>
      </c>
      <c r="N1108" t="s">
        <v>3915</v>
      </c>
      <c r="O1108" t="s">
        <v>3915</v>
      </c>
      <c r="P1108" t="s">
        <v>3915</v>
      </c>
      <c r="Q1108">
        <v>0</v>
      </c>
      <c r="R1108" t="s">
        <v>30</v>
      </c>
      <c r="S1108">
        <v>0</v>
      </c>
      <c r="T1108">
        <v>0</v>
      </c>
      <c r="U1108" t="s">
        <v>3915</v>
      </c>
      <c r="V1108" t="s">
        <v>31</v>
      </c>
      <c r="W1108">
        <v>0</v>
      </c>
    </row>
    <row r="1109" spans="1:23" x14ac:dyDescent="0.25">
      <c r="A1109" t="s">
        <v>4380</v>
      </c>
      <c r="B1109" t="s">
        <v>1196</v>
      </c>
      <c r="C1109" t="s">
        <v>1197</v>
      </c>
      <c r="D1109" t="s">
        <v>4479</v>
      </c>
      <c r="E1109" t="s">
        <v>4319</v>
      </c>
      <c r="F1109" t="s">
        <v>1069</v>
      </c>
      <c r="G1109" t="s">
        <v>1406</v>
      </c>
      <c r="H1109" s="6">
        <v>46022</v>
      </c>
      <c r="I1109" t="s">
        <v>29</v>
      </c>
      <c r="J1109">
        <v>461</v>
      </c>
      <c r="K1109">
        <v>0</v>
      </c>
      <c r="L1109">
        <v>0</v>
      </c>
      <c r="M1109">
        <v>0</v>
      </c>
      <c r="N1109" t="s">
        <v>3915</v>
      </c>
      <c r="O1109" t="s">
        <v>3915</v>
      </c>
      <c r="P1109" t="s">
        <v>3915</v>
      </c>
      <c r="Q1109">
        <v>0</v>
      </c>
      <c r="R1109" t="s">
        <v>30</v>
      </c>
      <c r="S1109">
        <v>0</v>
      </c>
      <c r="T1109">
        <v>0</v>
      </c>
      <c r="U1109" t="s">
        <v>3915</v>
      </c>
      <c r="V1109" t="s">
        <v>31</v>
      </c>
      <c r="W1109">
        <v>0</v>
      </c>
    </row>
    <row r="1110" spans="1:23" x14ac:dyDescent="0.25">
      <c r="A1110" t="s">
        <v>4381</v>
      </c>
      <c r="B1110" t="s">
        <v>1198</v>
      </c>
      <c r="C1110" t="s">
        <v>1199</v>
      </c>
      <c r="D1110" t="s">
        <v>4479</v>
      </c>
      <c r="E1110" t="s">
        <v>4319</v>
      </c>
      <c r="F1110" t="s">
        <v>1069</v>
      </c>
      <c r="G1110" t="s">
        <v>1406</v>
      </c>
      <c r="H1110" s="6">
        <v>46022</v>
      </c>
      <c r="I1110" t="s">
        <v>29</v>
      </c>
      <c r="J1110">
        <v>1225</v>
      </c>
      <c r="K1110">
        <v>0</v>
      </c>
      <c r="L1110">
        <v>0</v>
      </c>
      <c r="M1110">
        <v>0</v>
      </c>
      <c r="N1110" t="s">
        <v>3915</v>
      </c>
      <c r="O1110" t="s">
        <v>3915</v>
      </c>
      <c r="P1110" t="s">
        <v>3915</v>
      </c>
      <c r="Q1110">
        <v>0</v>
      </c>
      <c r="R1110" t="s">
        <v>30</v>
      </c>
      <c r="S1110">
        <v>0</v>
      </c>
      <c r="T1110">
        <v>0</v>
      </c>
      <c r="U1110" t="s">
        <v>3915</v>
      </c>
      <c r="V1110" t="s">
        <v>31</v>
      </c>
      <c r="W1110">
        <v>0</v>
      </c>
    </row>
    <row r="1111" spans="1:23" x14ac:dyDescent="0.25">
      <c r="A1111" t="s">
        <v>4382</v>
      </c>
      <c r="B1111" t="s">
        <v>1200</v>
      </c>
      <c r="C1111" t="s">
        <v>1201</v>
      </c>
      <c r="D1111" t="s">
        <v>4479</v>
      </c>
      <c r="E1111" t="s">
        <v>4319</v>
      </c>
      <c r="F1111" t="s">
        <v>1069</v>
      </c>
      <c r="G1111" t="s">
        <v>1406</v>
      </c>
      <c r="H1111" s="6">
        <v>46022</v>
      </c>
      <c r="I1111" t="s">
        <v>29</v>
      </c>
      <c r="J1111">
        <v>5033</v>
      </c>
      <c r="K1111">
        <v>0</v>
      </c>
      <c r="L1111">
        <v>0</v>
      </c>
      <c r="M1111">
        <v>0</v>
      </c>
      <c r="N1111" t="s">
        <v>3915</v>
      </c>
      <c r="O1111" t="s">
        <v>3915</v>
      </c>
      <c r="P1111" t="s">
        <v>3915</v>
      </c>
      <c r="Q1111">
        <v>0</v>
      </c>
      <c r="R1111" t="s">
        <v>30</v>
      </c>
      <c r="S1111">
        <v>0</v>
      </c>
      <c r="T1111">
        <v>0</v>
      </c>
      <c r="U1111" t="s">
        <v>3915</v>
      </c>
      <c r="V1111" t="s">
        <v>31</v>
      </c>
      <c r="W1111">
        <v>0</v>
      </c>
    </row>
    <row r="1112" spans="1:23" x14ac:dyDescent="0.25">
      <c r="A1112" t="s">
        <v>5558</v>
      </c>
      <c r="B1112" t="s">
        <v>2311</v>
      </c>
      <c r="C1112" t="s">
        <v>2310</v>
      </c>
      <c r="D1112" t="s">
        <v>4479</v>
      </c>
      <c r="E1112" t="s">
        <v>4319</v>
      </c>
      <c r="F1112" t="s">
        <v>1069</v>
      </c>
      <c r="G1112" t="s">
        <v>1406</v>
      </c>
      <c r="H1112" s="6">
        <v>46022</v>
      </c>
      <c r="I1112" t="s">
        <v>29</v>
      </c>
      <c r="J1112">
        <v>132</v>
      </c>
      <c r="K1112">
        <v>0</v>
      </c>
      <c r="L1112">
        <v>0</v>
      </c>
      <c r="M1112">
        <v>0</v>
      </c>
      <c r="N1112" t="s">
        <v>3915</v>
      </c>
      <c r="O1112" t="s">
        <v>3915</v>
      </c>
      <c r="P1112" t="s">
        <v>3915</v>
      </c>
      <c r="Q1112">
        <v>0</v>
      </c>
      <c r="R1112" t="s">
        <v>30</v>
      </c>
      <c r="S1112">
        <v>0</v>
      </c>
      <c r="T1112">
        <v>0</v>
      </c>
      <c r="U1112" t="s">
        <v>3915</v>
      </c>
      <c r="V1112" t="s">
        <v>31</v>
      </c>
      <c r="W1112">
        <v>0</v>
      </c>
    </row>
    <row r="1113" spans="1:23" x14ac:dyDescent="0.25">
      <c r="A1113" t="s">
        <v>4383</v>
      </c>
      <c r="B1113" t="s">
        <v>1202</v>
      </c>
      <c r="C1113" t="s">
        <v>1203</v>
      </c>
      <c r="D1113" t="s">
        <v>4479</v>
      </c>
      <c r="E1113" t="s">
        <v>4319</v>
      </c>
      <c r="F1113" t="s">
        <v>1069</v>
      </c>
      <c r="G1113" t="s">
        <v>1406</v>
      </c>
      <c r="H1113" s="6">
        <v>46022</v>
      </c>
      <c r="I1113" t="s">
        <v>29</v>
      </c>
      <c r="J1113">
        <v>46</v>
      </c>
      <c r="K1113">
        <v>0</v>
      </c>
      <c r="L1113">
        <v>0</v>
      </c>
      <c r="M1113">
        <v>0</v>
      </c>
      <c r="N1113" t="s">
        <v>3915</v>
      </c>
      <c r="O1113" t="s">
        <v>3915</v>
      </c>
      <c r="P1113" t="s">
        <v>3915</v>
      </c>
      <c r="Q1113">
        <v>0</v>
      </c>
      <c r="R1113" t="s">
        <v>30</v>
      </c>
      <c r="S1113">
        <v>0</v>
      </c>
      <c r="T1113">
        <v>0</v>
      </c>
      <c r="U1113" t="s">
        <v>3915</v>
      </c>
      <c r="V1113" t="s">
        <v>31</v>
      </c>
      <c r="W1113">
        <v>0</v>
      </c>
    </row>
    <row r="1114" spans="1:23" x14ac:dyDescent="0.25">
      <c r="A1114" t="s">
        <v>5559</v>
      </c>
      <c r="B1114" t="s">
        <v>2313</v>
      </c>
      <c r="C1114" t="s">
        <v>2312</v>
      </c>
      <c r="D1114" t="s">
        <v>4479</v>
      </c>
      <c r="E1114" t="s">
        <v>4319</v>
      </c>
      <c r="F1114" t="s">
        <v>1069</v>
      </c>
      <c r="G1114" t="s">
        <v>1406</v>
      </c>
      <c r="H1114" s="6">
        <v>46022</v>
      </c>
      <c r="I1114" t="s">
        <v>29</v>
      </c>
      <c r="J1114">
        <v>2500</v>
      </c>
      <c r="K1114">
        <v>0</v>
      </c>
      <c r="L1114">
        <v>0</v>
      </c>
      <c r="M1114">
        <v>0</v>
      </c>
      <c r="N1114" t="s">
        <v>3915</v>
      </c>
      <c r="O1114" t="s">
        <v>3915</v>
      </c>
      <c r="P1114" t="s">
        <v>3915</v>
      </c>
      <c r="Q1114">
        <v>0</v>
      </c>
      <c r="R1114" t="s">
        <v>30</v>
      </c>
      <c r="S1114">
        <v>0</v>
      </c>
      <c r="T1114">
        <v>0</v>
      </c>
      <c r="U1114" t="s">
        <v>3915</v>
      </c>
      <c r="V1114" t="s">
        <v>31</v>
      </c>
      <c r="W1114">
        <v>0</v>
      </c>
    </row>
    <row r="1115" spans="1:23" x14ac:dyDescent="0.25">
      <c r="A1115" t="s">
        <v>4384</v>
      </c>
      <c r="B1115" t="s">
        <v>1204</v>
      </c>
      <c r="C1115" t="s">
        <v>1205</v>
      </c>
      <c r="D1115" t="s">
        <v>4479</v>
      </c>
      <c r="E1115" t="s">
        <v>4319</v>
      </c>
      <c r="F1115" t="s">
        <v>1069</v>
      </c>
      <c r="G1115" t="s">
        <v>1406</v>
      </c>
      <c r="H1115" s="6">
        <v>46022</v>
      </c>
      <c r="I1115" t="s">
        <v>29</v>
      </c>
      <c r="J1115">
        <v>1858</v>
      </c>
      <c r="K1115">
        <v>0</v>
      </c>
      <c r="L1115">
        <v>0</v>
      </c>
      <c r="M1115">
        <v>0</v>
      </c>
      <c r="N1115" t="s">
        <v>3915</v>
      </c>
      <c r="O1115" t="s">
        <v>3915</v>
      </c>
      <c r="P1115" t="s">
        <v>3915</v>
      </c>
      <c r="Q1115">
        <v>0</v>
      </c>
      <c r="R1115" t="s">
        <v>30</v>
      </c>
      <c r="S1115">
        <v>0</v>
      </c>
      <c r="T1115">
        <v>0</v>
      </c>
      <c r="U1115" t="s">
        <v>3915</v>
      </c>
      <c r="V1115" t="s">
        <v>31</v>
      </c>
      <c r="W1115">
        <v>0</v>
      </c>
    </row>
    <row r="1116" spans="1:23" x14ac:dyDescent="0.25">
      <c r="A1116" t="s">
        <v>4385</v>
      </c>
      <c r="B1116" t="s">
        <v>1206</v>
      </c>
      <c r="C1116" t="s">
        <v>1207</v>
      </c>
      <c r="D1116" t="s">
        <v>4479</v>
      </c>
      <c r="E1116" t="s">
        <v>4319</v>
      </c>
      <c r="F1116" t="s">
        <v>1069</v>
      </c>
      <c r="G1116" t="s">
        <v>1406</v>
      </c>
      <c r="H1116" s="6">
        <v>46022</v>
      </c>
      <c r="I1116" t="s">
        <v>29</v>
      </c>
      <c r="J1116">
        <v>82</v>
      </c>
      <c r="K1116">
        <v>0</v>
      </c>
      <c r="L1116">
        <v>0</v>
      </c>
      <c r="M1116">
        <v>0</v>
      </c>
      <c r="N1116" t="s">
        <v>3915</v>
      </c>
      <c r="O1116" t="s">
        <v>3915</v>
      </c>
      <c r="P1116" t="s">
        <v>3915</v>
      </c>
      <c r="Q1116">
        <v>0</v>
      </c>
      <c r="R1116" t="s">
        <v>30</v>
      </c>
      <c r="S1116">
        <v>0</v>
      </c>
      <c r="T1116">
        <v>0</v>
      </c>
      <c r="U1116" t="s">
        <v>3915</v>
      </c>
      <c r="V1116" t="s">
        <v>31</v>
      </c>
      <c r="W1116">
        <v>0</v>
      </c>
    </row>
    <row r="1117" spans="1:23" x14ac:dyDescent="0.25">
      <c r="A1117" t="s">
        <v>5560</v>
      </c>
      <c r="B1117" t="s">
        <v>2315</v>
      </c>
      <c r="C1117" t="s">
        <v>2314</v>
      </c>
      <c r="D1117" t="s">
        <v>4479</v>
      </c>
      <c r="E1117" t="s">
        <v>4319</v>
      </c>
      <c r="F1117" t="s">
        <v>1069</v>
      </c>
      <c r="G1117" t="s">
        <v>1406</v>
      </c>
      <c r="H1117" s="6">
        <v>46022</v>
      </c>
      <c r="I1117" t="s">
        <v>29</v>
      </c>
      <c r="J1117">
        <v>422</v>
      </c>
      <c r="K1117">
        <v>0</v>
      </c>
      <c r="L1117">
        <v>0</v>
      </c>
      <c r="M1117">
        <v>0</v>
      </c>
      <c r="N1117" t="s">
        <v>3915</v>
      </c>
      <c r="O1117" t="s">
        <v>3915</v>
      </c>
      <c r="P1117" t="s">
        <v>3915</v>
      </c>
      <c r="Q1117">
        <v>0</v>
      </c>
      <c r="R1117" t="s">
        <v>30</v>
      </c>
      <c r="S1117">
        <v>0</v>
      </c>
      <c r="T1117">
        <v>0</v>
      </c>
      <c r="U1117" t="s">
        <v>3915</v>
      </c>
      <c r="V1117" t="s">
        <v>31</v>
      </c>
      <c r="W1117">
        <v>0</v>
      </c>
    </row>
    <row r="1118" spans="1:23" x14ac:dyDescent="0.25">
      <c r="A1118" t="s">
        <v>4757</v>
      </c>
      <c r="B1118" t="s">
        <v>2317</v>
      </c>
      <c r="C1118" t="s">
        <v>2316</v>
      </c>
      <c r="D1118" t="s">
        <v>4479</v>
      </c>
      <c r="E1118" t="s">
        <v>4319</v>
      </c>
      <c r="F1118" t="s">
        <v>1069</v>
      </c>
      <c r="G1118" t="s">
        <v>1406</v>
      </c>
      <c r="H1118" s="6">
        <v>46022</v>
      </c>
      <c r="I1118" t="s">
        <v>29</v>
      </c>
      <c r="J1118">
        <v>800</v>
      </c>
      <c r="K1118">
        <v>0</v>
      </c>
      <c r="L1118">
        <v>0</v>
      </c>
      <c r="M1118">
        <v>0</v>
      </c>
      <c r="N1118" t="s">
        <v>3915</v>
      </c>
      <c r="O1118" t="s">
        <v>3915</v>
      </c>
      <c r="P1118" t="s">
        <v>3915</v>
      </c>
      <c r="Q1118">
        <v>0</v>
      </c>
      <c r="R1118" t="s">
        <v>30</v>
      </c>
      <c r="S1118">
        <v>0</v>
      </c>
      <c r="T1118">
        <v>0</v>
      </c>
      <c r="U1118" t="s">
        <v>3915</v>
      </c>
      <c r="V1118" t="s">
        <v>31</v>
      </c>
      <c r="W1118">
        <v>0</v>
      </c>
    </row>
    <row r="1119" spans="1:23" x14ac:dyDescent="0.25">
      <c r="A1119" t="s">
        <v>4386</v>
      </c>
      <c r="B1119" t="s">
        <v>1208</v>
      </c>
      <c r="C1119" t="s">
        <v>1209</v>
      </c>
      <c r="D1119" t="s">
        <v>4479</v>
      </c>
      <c r="E1119" t="s">
        <v>4319</v>
      </c>
      <c r="F1119" t="s">
        <v>1069</v>
      </c>
      <c r="G1119" t="s">
        <v>1406</v>
      </c>
      <c r="H1119" s="6">
        <v>46022</v>
      </c>
      <c r="I1119" t="s">
        <v>29</v>
      </c>
      <c r="J1119">
        <v>1756</v>
      </c>
      <c r="K1119">
        <v>0</v>
      </c>
      <c r="L1119">
        <v>0</v>
      </c>
      <c r="M1119">
        <v>0</v>
      </c>
      <c r="N1119" t="s">
        <v>3915</v>
      </c>
      <c r="O1119" t="s">
        <v>3915</v>
      </c>
      <c r="P1119" t="s">
        <v>3915</v>
      </c>
      <c r="Q1119">
        <v>0</v>
      </c>
      <c r="R1119" t="s">
        <v>30</v>
      </c>
      <c r="S1119">
        <v>0</v>
      </c>
      <c r="T1119">
        <v>0</v>
      </c>
      <c r="U1119" t="s">
        <v>3915</v>
      </c>
      <c r="V1119" t="s">
        <v>31</v>
      </c>
      <c r="W1119">
        <v>0</v>
      </c>
    </row>
    <row r="1120" spans="1:23" x14ac:dyDescent="0.25">
      <c r="A1120" t="s">
        <v>4387</v>
      </c>
      <c r="B1120" t="s">
        <v>1210</v>
      </c>
      <c r="C1120" t="s">
        <v>1211</v>
      </c>
      <c r="D1120" t="s">
        <v>4479</v>
      </c>
      <c r="E1120" t="s">
        <v>4319</v>
      </c>
      <c r="F1120" t="s">
        <v>1069</v>
      </c>
      <c r="G1120" t="s">
        <v>1406</v>
      </c>
      <c r="H1120" s="6">
        <v>46022</v>
      </c>
      <c r="I1120" t="s">
        <v>29</v>
      </c>
      <c r="J1120">
        <v>1766</v>
      </c>
      <c r="K1120">
        <v>0</v>
      </c>
      <c r="L1120">
        <v>0</v>
      </c>
      <c r="M1120">
        <v>0</v>
      </c>
      <c r="N1120" t="s">
        <v>3915</v>
      </c>
      <c r="O1120" t="s">
        <v>3915</v>
      </c>
      <c r="P1120" t="s">
        <v>3915</v>
      </c>
      <c r="Q1120">
        <v>0</v>
      </c>
      <c r="R1120" t="s">
        <v>30</v>
      </c>
      <c r="S1120">
        <v>0</v>
      </c>
      <c r="T1120">
        <v>0</v>
      </c>
      <c r="U1120" t="s">
        <v>3915</v>
      </c>
      <c r="V1120" t="s">
        <v>31</v>
      </c>
      <c r="W1120">
        <v>0</v>
      </c>
    </row>
    <row r="1121" spans="1:23" x14ac:dyDescent="0.25">
      <c r="A1121" t="s">
        <v>4388</v>
      </c>
      <c r="B1121" t="s">
        <v>1212</v>
      </c>
      <c r="C1121" t="s">
        <v>1213</v>
      </c>
      <c r="D1121" t="s">
        <v>4479</v>
      </c>
      <c r="E1121" t="s">
        <v>4319</v>
      </c>
      <c r="F1121" t="s">
        <v>1069</v>
      </c>
      <c r="G1121" t="s">
        <v>1406</v>
      </c>
      <c r="H1121" s="6">
        <v>46022</v>
      </c>
      <c r="I1121" t="s">
        <v>29</v>
      </c>
      <c r="J1121">
        <v>727</v>
      </c>
      <c r="K1121">
        <v>0</v>
      </c>
      <c r="L1121">
        <v>0</v>
      </c>
      <c r="M1121">
        <v>0</v>
      </c>
      <c r="N1121" t="s">
        <v>3915</v>
      </c>
      <c r="O1121" t="s">
        <v>3915</v>
      </c>
      <c r="P1121" t="s">
        <v>3915</v>
      </c>
      <c r="Q1121">
        <v>0</v>
      </c>
      <c r="R1121" t="s">
        <v>30</v>
      </c>
      <c r="S1121">
        <v>0</v>
      </c>
      <c r="T1121">
        <v>0</v>
      </c>
      <c r="U1121" t="s">
        <v>3915</v>
      </c>
      <c r="V1121" t="s">
        <v>31</v>
      </c>
      <c r="W1121">
        <v>0</v>
      </c>
    </row>
    <row r="1122" spans="1:23" x14ac:dyDescent="0.25">
      <c r="A1122" t="s">
        <v>4389</v>
      </c>
      <c r="B1122" t="s">
        <v>1214</v>
      </c>
      <c r="C1122" t="s">
        <v>1215</v>
      </c>
      <c r="D1122" t="s">
        <v>4479</v>
      </c>
      <c r="E1122" t="s">
        <v>4319</v>
      </c>
      <c r="F1122" t="s">
        <v>1069</v>
      </c>
      <c r="G1122" t="s">
        <v>1406</v>
      </c>
      <c r="H1122" s="6">
        <v>46022</v>
      </c>
      <c r="I1122" t="s">
        <v>29</v>
      </c>
      <c r="J1122">
        <v>16</v>
      </c>
      <c r="K1122">
        <v>0</v>
      </c>
      <c r="L1122">
        <v>0</v>
      </c>
      <c r="M1122">
        <v>0</v>
      </c>
      <c r="N1122" t="s">
        <v>3915</v>
      </c>
      <c r="O1122" t="s">
        <v>3915</v>
      </c>
      <c r="P1122" t="s">
        <v>3915</v>
      </c>
      <c r="Q1122">
        <v>0</v>
      </c>
      <c r="R1122" t="s">
        <v>30</v>
      </c>
      <c r="S1122">
        <v>0</v>
      </c>
      <c r="T1122">
        <v>0</v>
      </c>
      <c r="U1122" t="s">
        <v>3915</v>
      </c>
      <c r="V1122" t="s">
        <v>31</v>
      </c>
      <c r="W1122">
        <v>0</v>
      </c>
    </row>
    <row r="1123" spans="1:23" x14ac:dyDescent="0.25">
      <c r="A1123" t="s">
        <v>4390</v>
      </c>
      <c r="B1123" t="s">
        <v>1216</v>
      </c>
      <c r="C1123" t="s">
        <v>1217</v>
      </c>
      <c r="D1123" t="s">
        <v>4479</v>
      </c>
      <c r="E1123" t="s">
        <v>4319</v>
      </c>
      <c r="F1123" t="s">
        <v>1069</v>
      </c>
      <c r="G1123" t="s">
        <v>1406</v>
      </c>
      <c r="H1123" s="6">
        <v>46022</v>
      </c>
      <c r="I1123" t="s">
        <v>29</v>
      </c>
      <c r="J1123">
        <v>3528</v>
      </c>
      <c r="K1123">
        <v>0</v>
      </c>
      <c r="L1123">
        <v>0</v>
      </c>
      <c r="M1123">
        <v>0</v>
      </c>
      <c r="N1123" t="s">
        <v>3915</v>
      </c>
      <c r="O1123" t="s">
        <v>3915</v>
      </c>
      <c r="P1123" t="s">
        <v>3915</v>
      </c>
      <c r="Q1123">
        <v>0</v>
      </c>
      <c r="R1123" t="s">
        <v>30</v>
      </c>
      <c r="S1123">
        <v>0</v>
      </c>
      <c r="T1123">
        <v>0</v>
      </c>
      <c r="U1123" t="s">
        <v>3915</v>
      </c>
      <c r="V1123" t="s">
        <v>31</v>
      </c>
      <c r="W1123">
        <v>0</v>
      </c>
    </row>
    <row r="1124" spans="1:23" x14ac:dyDescent="0.25">
      <c r="A1124" t="s">
        <v>5561</v>
      </c>
      <c r="B1124" t="s">
        <v>2319</v>
      </c>
      <c r="C1124" t="s">
        <v>2318</v>
      </c>
      <c r="D1124" t="s">
        <v>4479</v>
      </c>
      <c r="E1124" t="s">
        <v>4319</v>
      </c>
      <c r="F1124" t="s">
        <v>1069</v>
      </c>
      <c r="G1124" t="s">
        <v>1406</v>
      </c>
      <c r="H1124" s="6">
        <v>46022</v>
      </c>
      <c r="I1124" t="s">
        <v>29</v>
      </c>
      <c r="J1124">
        <v>3376</v>
      </c>
      <c r="K1124">
        <v>0</v>
      </c>
      <c r="L1124">
        <v>0</v>
      </c>
      <c r="M1124">
        <v>0</v>
      </c>
      <c r="N1124" t="s">
        <v>3915</v>
      </c>
      <c r="O1124" t="s">
        <v>3915</v>
      </c>
      <c r="P1124" t="s">
        <v>3915</v>
      </c>
      <c r="Q1124">
        <v>0</v>
      </c>
      <c r="R1124" t="s">
        <v>30</v>
      </c>
      <c r="S1124">
        <v>0</v>
      </c>
      <c r="T1124">
        <v>0</v>
      </c>
      <c r="U1124" t="s">
        <v>3915</v>
      </c>
      <c r="V1124" t="s">
        <v>31</v>
      </c>
      <c r="W1124">
        <v>0</v>
      </c>
    </row>
    <row r="1125" spans="1:23" x14ac:dyDescent="0.25">
      <c r="A1125" t="s">
        <v>4391</v>
      </c>
      <c r="B1125" t="s">
        <v>1218</v>
      </c>
      <c r="C1125" t="s">
        <v>1219</v>
      </c>
      <c r="D1125" t="s">
        <v>4479</v>
      </c>
      <c r="E1125" t="s">
        <v>4319</v>
      </c>
      <c r="F1125" t="s">
        <v>1069</v>
      </c>
      <c r="G1125" t="s">
        <v>1406</v>
      </c>
      <c r="H1125" s="6">
        <v>46022</v>
      </c>
      <c r="I1125" t="s">
        <v>29</v>
      </c>
      <c r="J1125">
        <v>576</v>
      </c>
      <c r="K1125">
        <v>0</v>
      </c>
      <c r="L1125">
        <v>0</v>
      </c>
      <c r="M1125">
        <v>0</v>
      </c>
      <c r="N1125" t="s">
        <v>3915</v>
      </c>
      <c r="O1125" t="s">
        <v>3915</v>
      </c>
      <c r="P1125" t="s">
        <v>3915</v>
      </c>
      <c r="Q1125">
        <v>0</v>
      </c>
      <c r="R1125" t="s">
        <v>30</v>
      </c>
      <c r="S1125">
        <v>0</v>
      </c>
      <c r="T1125">
        <v>0</v>
      </c>
      <c r="U1125" t="s">
        <v>3915</v>
      </c>
      <c r="V1125" t="s">
        <v>31</v>
      </c>
      <c r="W1125">
        <v>0</v>
      </c>
    </row>
    <row r="1126" spans="1:23" x14ac:dyDescent="0.25">
      <c r="A1126" t="s">
        <v>4392</v>
      </c>
      <c r="B1126" t="s">
        <v>1220</v>
      </c>
      <c r="C1126" t="s">
        <v>1221</v>
      </c>
      <c r="D1126" t="s">
        <v>4479</v>
      </c>
      <c r="E1126" t="s">
        <v>4319</v>
      </c>
      <c r="F1126" t="s">
        <v>1069</v>
      </c>
      <c r="G1126" t="s">
        <v>1406</v>
      </c>
      <c r="H1126" s="6">
        <v>46022</v>
      </c>
      <c r="I1126" t="s">
        <v>29</v>
      </c>
      <c r="J1126">
        <v>138</v>
      </c>
      <c r="K1126">
        <v>0</v>
      </c>
      <c r="L1126">
        <v>0</v>
      </c>
      <c r="M1126">
        <v>0</v>
      </c>
      <c r="N1126" t="s">
        <v>3915</v>
      </c>
      <c r="O1126" t="s">
        <v>3915</v>
      </c>
      <c r="P1126" t="s">
        <v>3915</v>
      </c>
      <c r="Q1126">
        <v>0</v>
      </c>
      <c r="R1126" t="s">
        <v>30</v>
      </c>
      <c r="S1126">
        <v>0</v>
      </c>
      <c r="T1126">
        <v>0</v>
      </c>
      <c r="U1126" t="s">
        <v>3915</v>
      </c>
      <c r="V1126" t="s">
        <v>31</v>
      </c>
      <c r="W1126">
        <v>0</v>
      </c>
    </row>
    <row r="1127" spans="1:23" x14ac:dyDescent="0.25">
      <c r="A1127" t="s">
        <v>4393</v>
      </c>
      <c r="B1127" t="s">
        <v>1222</v>
      </c>
      <c r="C1127" t="s">
        <v>1223</v>
      </c>
      <c r="D1127" t="s">
        <v>4479</v>
      </c>
      <c r="E1127" t="s">
        <v>4319</v>
      </c>
      <c r="F1127" t="s">
        <v>1069</v>
      </c>
      <c r="G1127" t="s">
        <v>1406</v>
      </c>
      <c r="H1127" s="6">
        <v>46022</v>
      </c>
      <c r="I1127" t="s">
        <v>29</v>
      </c>
      <c r="J1127">
        <v>960</v>
      </c>
      <c r="K1127">
        <v>0</v>
      </c>
      <c r="L1127">
        <v>0</v>
      </c>
      <c r="M1127">
        <v>0</v>
      </c>
      <c r="N1127" t="s">
        <v>3915</v>
      </c>
      <c r="O1127" t="s">
        <v>3915</v>
      </c>
      <c r="P1127" t="s">
        <v>3915</v>
      </c>
      <c r="Q1127">
        <v>0</v>
      </c>
      <c r="R1127" t="s">
        <v>30</v>
      </c>
      <c r="S1127">
        <v>0</v>
      </c>
      <c r="T1127">
        <v>0</v>
      </c>
      <c r="U1127" t="s">
        <v>3915</v>
      </c>
      <c r="V1127" t="s">
        <v>31</v>
      </c>
      <c r="W1127">
        <v>0</v>
      </c>
    </row>
    <row r="1128" spans="1:23" x14ac:dyDescent="0.25">
      <c r="A1128" t="s">
        <v>5026</v>
      </c>
      <c r="B1128" t="s">
        <v>2321</v>
      </c>
      <c r="C1128" t="s">
        <v>2320</v>
      </c>
      <c r="D1128" t="s">
        <v>4479</v>
      </c>
      <c r="E1128" t="s">
        <v>4319</v>
      </c>
      <c r="F1128" t="s">
        <v>1069</v>
      </c>
      <c r="G1128" t="s">
        <v>1406</v>
      </c>
      <c r="H1128" s="6">
        <v>46022</v>
      </c>
      <c r="I1128" t="s">
        <v>29</v>
      </c>
      <c r="J1128">
        <v>166</v>
      </c>
      <c r="K1128">
        <v>0</v>
      </c>
      <c r="L1128">
        <v>0</v>
      </c>
      <c r="M1128">
        <v>0</v>
      </c>
      <c r="N1128" t="s">
        <v>3915</v>
      </c>
      <c r="O1128" t="s">
        <v>3915</v>
      </c>
      <c r="P1128" t="s">
        <v>3915</v>
      </c>
      <c r="Q1128">
        <v>0</v>
      </c>
      <c r="R1128" t="s">
        <v>30</v>
      </c>
      <c r="S1128">
        <v>0</v>
      </c>
      <c r="T1128">
        <v>0</v>
      </c>
      <c r="U1128" t="s">
        <v>3915</v>
      </c>
      <c r="V1128" t="s">
        <v>31</v>
      </c>
      <c r="W1128">
        <v>0</v>
      </c>
    </row>
    <row r="1129" spans="1:23" x14ac:dyDescent="0.25">
      <c r="A1129" t="s">
        <v>4394</v>
      </c>
      <c r="B1129" t="s">
        <v>1224</v>
      </c>
      <c r="C1129" t="s">
        <v>1225</v>
      </c>
      <c r="D1129" t="s">
        <v>4479</v>
      </c>
      <c r="E1129" t="s">
        <v>4319</v>
      </c>
      <c r="F1129" t="s">
        <v>1069</v>
      </c>
      <c r="G1129" t="s">
        <v>1406</v>
      </c>
      <c r="H1129" s="6">
        <v>46022</v>
      </c>
      <c r="I1129" t="s">
        <v>29</v>
      </c>
      <c r="J1129">
        <v>1129</v>
      </c>
      <c r="K1129">
        <v>0</v>
      </c>
      <c r="L1129">
        <v>0</v>
      </c>
      <c r="M1129">
        <v>0</v>
      </c>
      <c r="N1129" t="s">
        <v>3915</v>
      </c>
      <c r="O1129" t="s">
        <v>3915</v>
      </c>
      <c r="P1129" t="s">
        <v>3915</v>
      </c>
      <c r="Q1129">
        <v>0</v>
      </c>
      <c r="R1129" t="s">
        <v>30</v>
      </c>
      <c r="S1129">
        <v>0</v>
      </c>
      <c r="T1129">
        <v>0</v>
      </c>
      <c r="U1129" t="s">
        <v>3915</v>
      </c>
      <c r="V1129" t="s">
        <v>31</v>
      </c>
      <c r="W1129">
        <v>0</v>
      </c>
    </row>
    <row r="1130" spans="1:23" x14ac:dyDescent="0.25">
      <c r="A1130" t="s">
        <v>4395</v>
      </c>
      <c r="B1130" t="s">
        <v>1226</v>
      </c>
      <c r="C1130" t="s">
        <v>1227</v>
      </c>
      <c r="D1130" t="s">
        <v>4479</v>
      </c>
      <c r="E1130" t="s">
        <v>4319</v>
      </c>
      <c r="F1130" t="s">
        <v>1069</v>
      </c>
      <c r="G1130" t="s">
        <v>1406</v>
      </c>
      <c r="H1130" s="6">
        <v>46022</v>
      </c>
      <c r="I1130" t="s">
        <v>29</v>
      </c>
      <c r="J1130">
        <v>187</v>
      </c>
      <c r="K1130">
        <v>0</v>
      </c>
      <c r="L1130">
        <v>0</v>
      </c>
      <c r="M1130">
        <v>0</v>
      </c>
      <c r="N1130" t="s">
        <v>3915</v>
      </c>
      <c r="O1130" t="s">
        <v>3915</v>
      </c>
      <c r="P1130" t="s">
        <v>3915</v>
      </c>
      <c r="Q1130">
        <v>0</v>
      </c>
      <c r="R1130" t="s">
        <v>30</v>
      </c>
      <c r="S1130">
        <v>0</v>
      </c>
      <c r="T1130">
        <v>0</v>
      </c>
      <c r="U1130" t="s">
        <v>3915</v>
      </c>
      <c r="V1130" t="s">
        <v>31</v>
      </c>
      <c r="W1130">
        <v>0</v>
      </c>
    </row>
    <row r="1131" spans="1:23" x14ac:dyDescent="0.25">
      <c r="A1131" t="s">
        <v>4396</v>
      </c>
      <c r="B1131" t="s">
        <v>1228</v>
      </c>
      <c r="C1131" t="s">
        <v>1229</v>
      </c>
      <c r="D1131" t="s">
        <v>4479</v>
      </c>
      <c r="E1131" t="s">
        <v>4319</v>
      </c>
      <c r="F1131" t="s">
        <v>1069</v>
      </c>
      <c r="G1131" t="s">
        <v>1406</v>
      </c>
      <c r="H1131" s="6">
        <v>46022</v>
      </c>
      <c r="I1131" t="s">
        <v>29</v>
      </c>
      <c r="J1131">
        <v>91</v>
      </c>
      <c r="K1131">
        <v>0</v>
      </c>
      <c r="L1131">
        <v>0</v>
      </c>
      <c r="M1131">
        <v>0</v>
      </c>
      <c r="N1131" t="s">
        <v>3915</v>
      </c>
      <c r="O1131" t="s">
        <v>3915</v>
      </c>
      <c r="P1131" t="s">
        <v>3915</v>
      </c>
      <c r="Q1131">
        <v>0</v>
      </c>
      <c r="R1131" t="s">
        <v>30</v>
      </c>
      <c r="S1131">
        <v>0</v>
      </c>
      <c r="T1131">
        <v>0</v>
      </c>
      <c r="U1131" t="s">
        <v>3915</v>
      </c>
      <c r="V1131" t="s">
        <v>31</v>
      </c>
      <c r="W1131">
        <v>0</v>
      </c>
    </row>
    <row r="1132" spans="1:23" x14ac:dyDescent="0.25">
      <c r="A1132" t="s">
        <v>4397</v>
      </c>
      <c r="B1132" t="s">
        <v>1230</v>
      </c>
      <c r="C1132" t="s">
        <v>1231</v>
      </c>
      <c r="D1132" t="s">
        <v>4479</v>
      </c>
      <c r="E1132" t="s">
        <v>4319</v>
      </c>
      <c r="F1132" t="s">
        <v>1069</v>
      </c>
      <c r="G1132" t="s">
        <v>1406</v>
      </c>
      <c r="H1132" s="6">
        <v>46022</v>
      </c>
      <c r="I1132" t="s">
        <v>29</v>
      </c>
      <c r="J1132">
        <v>83</v>
      </c>
      <c r="K1132">
        <v>0</v>
      </c>
      <c r="L1132">
        <v>0</v>
      </c>
      <c r="M1132">
        <v>0</v>
      </c>
      <c r="N1132" t="s">
        <v>3915</v>
      </c>
      <c r="O1132" t="s">
        <v>3915</v>
      </c>
      <c r="P1132" t="s">
        <v>3915</v>
      </c>
      <c r="Q1132">
        <v>0</v>
      </c>
      <c r="R1132" t="s">
        <v>30</v>
      </c>
      <c r="S1132">
        <v>0</v>
      </c>
      <c r="T1132">
        <v>0</v>
      </c>
      <c r="U1132" t="s">
        <v>3915</v>
      </c>
      <c r="V1132" t="s">
        <v>31</v>
      </c>
      <c r="W1132">
        <v>0</v>
      </c>
    </row>
    <row r="1133" spans="1:23" x14ac:dyDescent="0.25">
      <c r="A1133" t="s">
        <v>4398</v>
      </c>
      <c r="B1133" t="s">
        <v>1232</v>
      </c>
      <c r="C1133" t="s">
        <v>1233</v>
      </c>
      <c r="D1133" t="s">
        <v>4479</v>
      </c>
      <c r="E1133" t="s">
        <v>4319</v>
      </c>
      <c r="F1133" t="s">
        <v>1069</v>
      </c>
      <c r="G1133" t="s">
        <v>1406</v>
      </c>
      <c r="H1133" s="6">
        <v>46022</v>
      </c>
      <c r="I1133" t="s">
        <v>29</v>
      </c>
      <c r="J1133">
        <v>0</v>
      </c>
      <c r="K1133">
        <v>0</v>
      </c>
      <c r="L1133">
        <v>0</v>
      </c>
      <c r="M1133">
        <v>0</v>
      </c>
      <c r="N1133" t="s">
        <v>3915</v>
      </c>
      <c r="O1133" t="s">
        <v>3915</v>
      </c>
      <c r="P1133" t="s">
        <v>3915</v>
      </c>
      <c r="Q1133">
        <v>0</v>
      </c>
      <c r="R1133" t="s">
        <v>30</v>
      </c>
      <c r="S1133">
        <v>0</v>
      </c>
      <c r="T1133">
        <v>0</v>
      </c>
      <c r="U1133" t="s">
        <v>3915</v>
      </c>
      <c r="V1133" t="s">
        <v>31</v>
      </c>
      <c r="W1133">
        <v>0</v>
      </c>
    </row>
    <row r="1134" spans="1:23" x14ac:dyDescent="0.25">
      <c r="A1134" t="s">
        <v>4399</v>
      </c>
      <c r="B1134" t="s">
        <v>1234</v>
      </c>
      <c r="C1134" t="s">
        <v>1235</v>
      </c>
      <c r="D1134" t="s">
        <v>4479</v>
      </c>
      <c r="E1134" t="s">
        <v>4319</v>
      </c>
      <c r="F1134" t="s">
        <v>1069</v>
      </c>
      <c r="G1134" t="s">
        <v>1406</v>
      </c>
      <c r="H1134" s="6">
        <v>46022</v>
      </c>
      <c r="I1134" t="s">
        <v>29</v>
      </c>
      <c r="J1134">
        <v>3839</v>
      </c>
      <c r="K1134">
        <v>0</v>
      </c>
      <c r="L1134">
        <v>0</v>
      </c>
      <c r="M1134">
        <v>0</v>
      </c>
      <c r="N1134" t="s">
        <v>3915</v>
      </c>
      <c r="O1134" t="s">
        <v>3915</v>
      </c>
      <c r="P1134" t="s">
        <v>3915</v>
      </c>
      <c r="Q1134">
        <v>0</v>
      </c>
      <c r="R1134" t="s">
        <v>30</v>
      </c>
      <c r="S1134">
        <v>0</v>
      </c>
      <c r="T1134">
        <v>0</v>
      </c>
      <c r="U1134" t="s">
        <v>3915</v>
      </c>
      <c r="V1134" t="s">
        <v>31</v>
      </c>
      <c r="W1134">
        <v>0</v>
      </c>
    </row>
    <row r="1135" spans="1:23" x14ac:dyDescent="0.25">
      <c r="A1135" t="s">
        <v>4400</v>
      </c>
      <c r="B1135" t="s">
        <v>1236</v>
      </c>
      <c r="C1135" t="s">
        <v>1237</v>
      </c>
      <c r="D1135" t="s">
        <v>4479</v>
      </c>
      <c r="E1135" t="s">
        <v>4319</v>
      </c>
      <c r="F1135" t="s">
        <v>1069</v>
      </c>
      <c r="G1135" t="s">
        <v>1406</v>
      </c>
      <c r="H1135" s="6">
        <v>46022</v>
      </c>
      <c r="I1135" t="s">
        <v>29</v>
      </c>
      <c r="J1135">
        <v>1829</v>
      </c>
      <c r="K1135">
        <v>0</v>
      </c>
      <c r="L1135">
        <v>0</v>
      </c>
      <c r="M1135">
        <v>0</v>
      </c>
      <c r="N1135" t="s">
        <v>3915</v>
      </c>
      <c r="O1135" t="s">
        <v>3915</v>
      </c>
      <c r="P1135" t="s">
        <v>3915</v>
      </c>
      <c r="Q1135">
        <v>0</v>
      </c>
      <c r="R1135" t="s">
        <v>30</v>
      </c>
      <c r="S1135">
        <v>0</v>
      </c>
      <c r="T1135">
        <v>0</v>
      </c>
      <c r="U1135" t="s">
        <v>3915</v>
      </c>
      <c r="V1135" t="s">
        <v>31</v>
      </c>
      <c r="W1135">
        <v>0</v>
      </c>
    </row>
    <row r="1136" spans="1:23" x14ac:dyDescent="0.25">
      <c r="A1136" t="s">
        <v>4401</v>
      </c>
      <c r="B1136" t="s">
        <v>1238</v>
      </c>
      <c r="C1136" t="s">
        <v>1239</v>
      </c>
      <c r="D1136" t="s">
        <v>4479</v>
      </c>
      <c r="E1136" t="s">
        <v>4319</v>
      </c>
      <c r="F1136" t="s">
        <v>1069</v>
      </c>
      <c r="G1136" t="s">
        <v>1406</v>
      </c>
      <c r="H1136" s="6">
        <v>46022</v>
      </c>
      <c r="I1136" t="s">
        <v>29</v>
      </c>
      <c r="J1136">
        <v>896</v>
      </c>
      <c r="K1136">
        <v>0</v>
      </c>
      <c r="L1136">
        <v>0</v>
      </c>
      <c r="M1136">
        <v>0</v>
      </c>
      <c r="N1136" t="s">
        <v>3915</v>
      </c>
      <c r="O1136" t="s">
        <v>3915</v>
      </c>
      <c r="P1136" t="s">
        <v>3915</v>
      </c>
      <c r="Q1136">
        <v>0</v>
      </c>
      <c r="R1136" t="s">
        <v>30</v>
      </c>
      <c r="S1136">
        <v>0</v>
      </c>
      <c r="T1136">
        <v>0</v>
      </c>
      <c r="U1136" t="s">
        <v>3915</v>
      </c>
      <c r="V1136" t="s">
        <v>31</v>
      </c>
      <c r="W1136">
        <v>0</v>
      </c>
    </row>
    <row r="1137" spans="1:23" x14ac:dyDescent="0.25">
      <c r="A1137" t="s">
        <v>4402</v>
      </c>
      <c r="B1137" t="s">
        <v>1240</v>
      </c>
      <c r="C1137" t="s">
        <v>1241</v>
      </c>
      <c r="D1137" t="s">
        <v>4479</v>
      </c>
      <c r="E1137" t="s">
        <v>4319</v>
      </c>
      <c r="F1137" t="s">
        <v>1069</v>
      </c>
      <c r="G1137" t="s">
        <v>1406</v>
      </c>
      <c r="H1137" s="6">
        <v>46022</v>
      </c>
      <c r="I1137" t="s">
        <v>29</v>
      </c>
      <c r="J1137">
        <v>1812</v>
      </c>
      <c r="K1137">
        <v>0</v>
      </c>
      <c r="L1137">
        <v>0</v>
      </c>
      <c r="M1137">
        <v>0</v>
      </c>
      <c r="N1137" t="s">
        <v>3915</v>
      </c>
      <c r="O1137" t="s">
        <v>3915</v>
      </c>
      <c r="P1137" t="s">
        <v>3915</v>
      </c>
      <c r="Q1137">
        <v>0</v>
      </c>
      <c r="R1137" t="s">
        <v>30</v>
      </c>
      <c r="S1137">
        <v>0</v>
      </c>
      <c r="T1137">
        <v>0</v>
      </c>
      <c r="U1137" t="s">
        <v>3915</v>
      </c>
      <c r="V1137" t="s">
        <v>31</v>
      </c>
      <c r="W1137">
        <v>0</v>
      </c>
    </row>
    <row r="1138" spans="1:23" x14ac:dyDescent="0.25">
      <c r="A1138" t="s">
        <v>4403</v>
      </c>
      <c r="B1138" t="s">
        <v>1242</v>
      </c>
      <c r="C1138" t="s">
        <v>1243</v>
      </c>
      <c r="D1138" t="s">
        <v>4479</v>
      </c>
      <c r="E1138" t="s">
        <v>4319</v>
      </c>
      <c r="F1138" t="s">
        <v>1069</v>
      </c>
      <c r="G1138" t="s">
        <v>1406</v>
      </c>
      <c r="H1138" s="6">
        <v>46022</v>
      </c>
      <c r="I1138" t="s">
        <v>29</v>
      </c>
      <c r="J1138">
        <v>2333</v>
      </c>
      <c r="K1138">
        <v>0</v>
      </c>
      <c r="L1138">
        <v>0</v>
      </c>
      <c r="M1138">
        <v>0</v>
      </c>
      <c r="N1138" t="s">
        <v>3915</v>
      </c>
      <c r="O1138" t="s">
        <v>3915</v>
      </c>
      <c r="P1138" t="s">
        <v>3915</v>
      </c>
      <c r="Q1138">
        <v>0</v>
      </c>
      <c r="R1138" t="s">
        <v>30</v>
      </c>
      <c r="S1138">
        <v>0</v>
      </c>
      <c r="T1138">
        <v>0</v>
      </c>
      <c r="U1138" t="s">
        <v>3915</v>
      </c>
      <c r="V1138" t="s">
        <v>31</v>
      </c>
      <c r="W1138">
        <v>0</v>
      </c>
    </row>
    <row r="1139" spans="1:23" x14ac:dyDescent="0.25">
      <c r="A1139" t="s">
        <v>4404</v>
      </c>
      <c r="B1139" t="s">
        <v>1244</v>
      </c>
      <c r="C1139" t="s">
        <v>1245</v>
      </c>
      <c r="D1139" t="s">
        <v>4479</v>
      </c>
      <c r="E1139" t="s">
        <v>4319</v>
      </c>
      <c r="F1139" t="s">
        <v>1069</v>
      </c>
      <c r="G1139" t="s">
        <v>1406</v>
      </c>
      <c r="H1139" s="6">
        <v>46022</v>
      </c>
      <c r="I1139" t="s">
        <v>29</v>
      </c>
      <c r="J1139">
        <v>795</v>
      </c>
      <c r="K1139">
        <v>0</v>
      </c>
      <c r="L1139">
        <v>0</v>
      </c>
      <c r="M1139">
        <v>0</v>
      </c>
      <c r="N1139" t="s">
        <v>3915</v>
      </c>
      <c r="O1139" t="s">
        <v>3915</v>
      </c>
      <c r="P1139" t="s">
        <v>3915</v>
      </c>
      <c r="Q1139">
        <v>0</v>
      </c>
      <c r="R1139" t="s">
        <v>30</v>
      </c>
      <c r="S1139">
        <v>0</v>
      </c>
      <c r="T1139">
        <v>0</v>
      </c>
      <c r="U1139" t="s">
        <v>3915</v>
      </c>
      <c r="V1139" t="s">
        <v>31</v>
      </c>
      <c r="W1139">
        <v>0</v>
      </c>
    </row>
    <row r="1140" spans="1:23" x14ac:dyDescent="0.25">
      <c r="A1140" t="s">
        <v>4405</v>
      </c>
      <c r="B1140" t="s">
        <v>1246</v>
      </c>
      <c r="C1140" t="s">
        <v>1247</v>
      </c>
      <c r="D1140" t="s">
        <v>4479</v>
      </c>
      <c r="E1140" t="s">
        <v>4319</v>
      </c>
      <c r="F1140" t="s">
        <v>1069</v>
      </c>
      <c r="G1140" t="s">
        <v>1406</v>
      </c>
      <c r="H1140" s="6">
        <v>46022</v>
      </c>
      <c r="I1140" t="s">
        <v>29</v>
      </c>
      <c r="J1140">
        <v>315</v>
      </c>
      <c r="K1140">
        <v>0</v>
      </c>
      <c r="L1140">
        <v>0</v>
      </c>
      <c r="M1140">
        <v>0</v>
      </c>
      <c r="N1140" t="s">
        <v>3915</v>
      </c>
      <c r="O1140" t="s">
        <v>3915</v>
      </c>
      <c r="P1140" t="s">
        <v>3915</v>
      </c>
      <c r="Q1140">
        <v>0</v>
      </c>
      <c r="R1140" t="s">
        <v>30</v>
      </c>
      <c r="S1140">
        <v>0</v>
      </c>
      <c r="T1140">
        <v>0</v>
      </c>
      <c r="U1140" t="s">
        <v>3915</v>
      </c>
      <c r="V1140" t="s">
        <v>31</v>
      </c>
      <c r="W1140">
        <v>0</v>
      </c>
    </row>
    <row r="1141" spans="1:23" x14ac:dyDescent="0.25">
      <c r="A1141" t="s">
        <v>4406</v>
      </c>
      <c r="B1141" t="s">
        <v>1248</v>
      </c>
      <c r="C1141" t="s">
        <v>1249</v>
      </c>
      <c r="D1141" t="s">
        <v>4479</v>
      </c>
      <c r="E1141" t="s">
        <v>4319</v>
      </c>
      <c r="F1141" t="s">
        <v>1069</v>
      </c>
      <c r="G1141" t="s">
        <v>1406</v>
      </c>
      <c r="H1141" s="6">
        <v>46022</v>
      </c>
      <c r="I1141" t="s">
        <v>29</v>
      </c>
      <c r="J1141">
        <v>544</v>
      </c>
      <c r="K1141">
        <v>0</v>
      </c>
      <c r="L1141">
        <v>0</v>
      </c>
      <c r="M1141">
        <v>0</v>
      </c>
      <c r="N1141" t="s">
        <v>3915</v>
      </c>
      <c r="O1141" t="s">
        <v>3915</v>
      </c>
      <c r="P1141" t="s">
        <v>3915</v>
      </c>
      <c r="Q1141">
        <v>0</v>
      </c>
      <c r="R1141" t="s">
        <v>30</v>
      </c>
      <c r="S1141">
        <v>0</v>
      </c>
      <c r="T1141">
        <v>0</v>
      </c>
      <c r="U1141" t="s">
        <v>3915</v>
      </c>
      <c r="V1141" t="s">
        <v>31</v>
      </c>
      <c r="W1141">
        <v>0</v>
      </c>
    </row>
    <row r="1142" spans="1:23" x14ac:dyDescent="0.25">
      <c r="A1142" t="s">
        <v>5562</v>
      </c>
      <c r="B1142" t="s">
        <v>2323</v>
      </c>
      <c r="C1142" t="s">
        <v>2322</v>
      </c>
      <c r="D1142" t="s">
        <v>4479</v>
      </c>
      <c r="E1142" t="s">
        <v>4319</v>
      </c>
      <c r="F1142" t="s">
        <v>1069</v>
      </c>
      <c r="G1142" t="s">
        <v>1406</v>
      </c>
      <c r="H1142" s="6">
        <v>46022</v>
      </c>
      <c r="I1142" t="s">
        <v>29</v>
      </c>
      <c r="J1142">
        <v>2415</v>
      </c>
      <c r="K1142">
        <v>0</v>
      </c>
      <c r="L1142">
        <v>0</v>
      </c>
      <c r="M1142">
        <v>0</v>
      </c>
      <c r="N1142" t="s">
        <v>3915</v>
      </c>
      <c r="O1142" t="s">
        <v>3915</v>
      </c>
      <c r="P1142" t="s">
        <v>3915</v>
      </c>
      <c r="Q1142">
        <v>0</v>
      </c>
      <c r="R1142" t="s">
        <v>30</v>
      </c>
      <c r="S1142">
        <v>0</v>
      </c>
      <c r="T1142">
        <v>0</v>
      </c>
      <c r="U1142" t="s">
        <v>3915</v>
      </c>
      <c r="V1142" t="s">
        <v>31</v>
      </c>
      <c r="W1142">
        <v>0</v>
      </c>
    </row>
    <row r="1143" spans="1:23" x14ac:dyDescent="0.25">
      <c r="A1143" t="s">
        <v>4407</v>
      </c>
      <c r="B1143" t="s">
        <v>1250</v>
      </c>
      <c r="C1143" t="s">
        <v>1251</v>
      </c>
      <c r="D1143" t="s">
        <v>4479</v>
      </c>
      <c r="E1143" t="s">
        <v>4319</v>
      </c>
      <c r="F1143" t="s">
        <v>1069</v>
      </c>
      <c r="G1143" t="s">
        <v>1406</v>
      </c>
      <c r="H1143" s="6">
        <v>46022</v>
      </c>
      <c r="I1143" t="s">
        <v>29</v>
      </c>
      <c r="J1143">
        <v>36</v>
      </c>
      <c r="K1143">
        <v>0</v>
      </c>
      <c r="L1143">
        <v>0</v>
      </c>
      <c r="M1143">
        <v>0</v>
      </c>
      <c r="N1143" t="s">
        <v>3915</v>
      </c>
      <c r="O1143" t="s">
        <v>3915</v>
      </c>
      <c r="P1143" t="s">
        <v>3915</v>
      </c>
      <c r="Q1143">
        <v>0</v>
      </c>
      <c r="R1143" t="s">
        <v>30</v>
      </c>
      <c r="S1143">
        <v>0</v>
      </c>
      <c r="T1143">
        <v>0</v>
      </c>
      <c r="U1143" t="s">
        <v>3915</v>
      </c>
      <c r="V1143" t="s">
        <v>31</v>
      </c>
      <c r="W1143">
        <v>0</v>
      </c>
    </row>
    <row r="1144" spans="1:23" x14ac:dyDescent="0.25">
      <c r="A1144" t="s">
        <v>4408</v>
      </c>
      <c r="B1144" t="s">
        <v>1252</v>
      </c>
      <c r="C1144" t="s">
        <v>1253</v>
      </c>
      <c r="D1144" t="s">
        <v>4479</v>
      </c>
      <c r="E1144" t="s">
        <v>4319</v>
      </c>
      <c r="F1144" t="s">
        <v>1069</v>
      </c>
      <c r="G1144" t="s">
        <v>1406</v>
      </c>
      <c r="H1144" s="6">
        <v>46022</v>
      </c>
      <c r="I1144" t="s">
        <v>29</v>
      </c>
      <c r="J1144">
        <v>496</v>
      </c>
      <c r="K1144">
        <v>0</v>
      </c>
      <c r="L1144">
        <v>0</v>
      </c>
      <c r="M1144">
        <v>0</v>
      </c>
      <c r="N1144" t="s">
        <v>3915</v>
      </c>
      <c r="O1144" t="s">
        <v>3915</v>
      </c>
      <c r="P1144" t="s">
        <v>3915</v>
      </c>
      <c r="Q1144">
        <v>0</v>
      </c>
      <c r="R1144" t="s">
        <v>30</v>
      </c>
      <c r="S1144">
        <v>0</v>
      </c>
      <c r="T1144">
        <v>0</v>
      </c>
      <c r="U1144" t="s">
        <v>3915</v>
      </c>
      <c r="V1144" t="s">
        <v>31</v>
      </c>
      <c r="W1144">
        <v>0</v>
      </c>
    </row>
    <row r="1145" spans="1:23" x14ac:dyDescent="0.25">
      <c r="A1145" t="s">
        <v>4409</v>
      </c>
      <c r="B1145" t="s">
        <v>1254</v>
      </c>
      <c r="C1145" t="s">
        <v>1255</v>
      </c>
      <c r="D1145" t="s">
        <v>4479</v>
      </c>
      <c r="E1145" t="s">
        <v>4319</v>
      </c>
      <c r="F1145" t="s">
        <v>1069</v>
      </c>
      <c r="G1145" t="s">
        <v>1406</v>
      </c>
      <c r="H1145" s="6">
        <v>46022</v>
      </c>
      <c r="I1145" t="s">
        <v>29</v>
      </c>
      <c r="J1145">
        <v>783</v>
      </c>
      <c r="K1145">
        <v>0</v>
      </c>
      <c r="L1145">
        <v>0</v>
      </c>
      <c r="M1145">
        <v>0</v>
      </c>
      <c r="N1145" t="s">
        <v>3915</v>
      </c>
      <c r="O1145" t="s">
        <v>3915</v>
      </c>
      <c r="P1145" t="s">
        <v>3915</v>
      </c>
      <c r="Q1145">
        <v>0</v>
      </c>
      <c r="R1145" t="s">
        <v>30</v>
      </c>
      <c r="S1145">
        <v>0</v>
      </c>
      <c r="T1145">
        <v>0</v>
      </c>
      <c r="U1145" t="s">
        <v>3915</v>
      </c>
      <c r="V1145" t="s">
        <v>31</v>
      </c>
      <c r="W1145">
        <v>0</v>
      </c>
    </row>
    <row r="1146" spans="1:23" x14ac:dyDescent="0.25">
      <c r="A1146" t="s">
        <v>4410</v>
      </c>
      <c r="B1146" t="s">
        <v>1256</v>
      </c>
      <c r="C1146" t="s">
        <v>1257</v>
      </c>
      <c r="D1146" t="s">
        <v>4479</v>
      </c>
      <c r="E1146" t="s">
        <v>4319</v>
      </c>
      <c r="F1146" t="s">
        <v>1069</v>
      </c>
      <c r="G1146" t="s">
        <v>1406</v>
      </c>
      <c r="H1146" s="6">
        <v>46022</v>
      </c>
      <c r="I1146" t="s">
        <v>29</v>
      </c>
      <c r="J1146">
        <v>2173</v>
      </c>
      <c r="K1146">
        <v>0</v>
      </c>
      <c r="L1146">
        <v>0</v>
      </c>
      <c r="M1146">
        <v>0</v>
      </c>
      <c r="N1146" t="s">
        <v>3915</v>
      </c>
      <c r="O1146" t="s">
        <v>3915</v>
      </c>
      <c r="P1146" t="s">
        <v>3915</v>
      </c>
      <c r="Q1146">
        <v>0</v>
      </c>
      <c r="R1146" t="s">
        <v>30</v>
      </c>
      <c r="S1146">
        <v>0</v>
      </c>
      <c r="T1146">
        <v>0</v>
      </c>
      <c r="U1146" t="s">
        <v>3915</v>
      </c>
      <c r="V1146" t="s">
        <v>31</v>
      </c>
      <c r="W1146">
        <v>0</v>
      </c>
    </row>
    <row r="1147" spans="1:23" x14ac:dyDescent="0.25">
      <c r="A1147" t="s">
        <v>4411</v>
      </c>
      <c r="B1147" t="s">
        <v>1258</v>
      </c>
      <c r="C1147" t="s">
        <v>1259</v>
      </c>
      <c r="D1147" t="s">
        <v>4479</v>
      </c>
      <c r="E1147" t="s">
        <v>4319</v>
      </c>
      <c r="F1147" t="s">
        <v>1069</v>
      </c>
      <c r="G1147" t="s">
        <v>1406</v>
      </c>
      <c r="H1147" s="6">
        <v>46022</v>
      </c>
      <c r="I1147" t="s">
        <v>29</v>
      </c>
      <c r="J1147">
        <v>129</v>
      </c>
      <c r="K1147">
        <v>0</v>
      </c>
      <c r="L1147">
        <v>0</v>
      </c>
      <c r="M1147">
        <v>0</v>
      </c>
      <c r="N1147" t="s">
        <v>3915</v>
      </c>
      <c r="O1147" t="s">
        <v>3915</v>
      </c>
      <c r="P1147" t="s">
        <v>3915</v>
      </c>
      <c r="Q1147">
        <v>0</v>
      </c>
      <c r="R1147" t="s">
        <v>30</v>
      </c>
      <c r="S1147">
        <v>0</v>
      </c>
      <c r="T1147">
        <v>0</v>
      </c>
      <c r="U1147" t="s">
        <v>3915</v>
      </c>
      <c r="V1147" t="s">
        <v>31</v>
      </c>
      <c r="W1147">
        <v>0</v>
      </c>
    </row>
    <row r="1148" spans="1:23" x14ac:dyDescent="0.25">
      <c r="A1148" t="s">
        <v>4412</v>
      </c>
      <c r="B1148" t="s">
        <v>1260</v>
      </c>
      <c r="C1148" t="s">
        <v>1261</v>
      </c>
      <c r="D1148" t="s">
        <v>4479</v>
      </c>
      <c r="E1148" t="s">
        <v>4319</v>
      </c>
      <c r="F1148" t="s">
        <v>1069</v>
      </c>
      <c r="G1148" t="s">
        <v>1406</v>
      </c>
      <c r="H1148" s="6">
        <v>46022</v>
      </c>
      <c r="I1148" t="s">
        <v>29</v>
      </c>
      <c r="J1148">
        <v>1504</v>
      </c>
      <c r="K1148">
        <v>0</v>
      </c>
      <c r="L1148">
        <v>0</v>
      </c>
      <c r="M1148">
        <v>0</v>
      </c>
      <c r="N1148" t="s">
        <v>3915</v>
      </c>
      <c r="O1148" t="s">
        <v>3915</v>
      </c>
      <c r="P1148" t="s">
        <v>3915</v>
      </c>
      <c r="Q1148">
        <v>0</v>
      </c>
      <c r="R1148" t="s">
        <v>30</v>
      </c>
      <c r="S1148">
        <v>0</v>
      </c>
      <c r="T1148">
        <v>0</v>
      </c>
      <c r="U1148" t="s">
        <v>3915</v>
      </c>
      <c r="V1148" t="s">
        <v>31</v>
      </c>
      <c r="W1148">
        <v>0</v>
      </c>
    </row>
    <row r="1149" spans="1:23" x14ac:dyDescent="0.25">
      <c r="A1149" t="s">
        <v>4413</v>
      </c>
      <c r="B1149" t="s">
        <v>1262</v>
      </c>
      <c r="C1149" t="s">
        <v>1263</v>
      </c>
      <c r="D1149" t="s">
        <v>4479</v>
      </c>
      <c r="E1149" t="s">
        <v>4319</v>
      </c>
      <c r="F1149" t="s">
        <v>1069</v>
      </c>
      <c r="G1149" t="s">
        <v>1406</v>
      </c>
      <c r="H1149" s="6">
        <v>46022</v>
      </c>
      <c r="I1149" t="s">
        <v>29</v>
      </c>
      <c r="J1149">
        <v>152</v>
      </c>
      <c r="K1149">
        <v>0</v>
      </c>
      <c r="L1149">
        <v>0</v>
      </c>
      <c r="M1149">
        <v>0</v>
      </c>
      <c r="N1149" t="s">
        <v>3915</v>
      </c>
      <c r="O1149" t="s">
        <v>3915</v>
      </c>
      <c r="P1149" t="s">
        <v>3915</v>
      </c>
      <c r="Q1149">
        <v>0</v>
      </c>
      <c r="R1149" t="s">
        <v>30</v>
      </c>
      <c r="S1149">
        <v>0</v>
      </c>
      <c r="T1149">
        <v>0</v>
      </c>
      <c r="U1149" t="s">
        <v>3915</v>
      </c>
      <c r="V1149" t="s">
        <v>31</v>
      </c>
      <c r="W1149">
        <v>0</v>
      </c>
    </row>
    <row r="1150" spans="1:23" x14ac:dyDescent="0.25">
      <c r="A1150" t="s">
        <v>4414</v>
      </c>
      <c r="B1150" t="s">
        <v>1264</v>
      </c>
      <c r="C1150" t="s">
        <v>1265</v>
      </c>
      <c r="D1150" t="s">
        <v>4479</v>
      </c>
      <c r="E1150" t="s">
        <v>4319</v>
      </c>
      <c r="F1150" t="s">
        <v>1069</v>
      </c>
      <c r="G1150" t="s">
        <v>1406</v>
      </c>
      <c r="H1150" s="6">
        <v>46022</v>
      </c>
      <c r="I1150" t="s">
        <v>29</v>
      </c>
      <c r="J1150">
        <v>567</v>
      </c>
      <c r="K1150">
        <v>0</v>
      </c>
      <c r="L1150">
        <v>0</v>
      </c>
      <c r="M1150">
        <v>0</v>
      </c>
      <c r="N1150" t="s">
        <v>3915</v>
      </c>
      <c r="O1150" t="s">
        <v>3915</v>
      </c>
      <c r="P1150" t="s">
        <v>3915</v>
      </c>
      <c r="Q1150">
        <v>0</v>
      </c>
      <c r="R1150" t="s">
        <v>30</v>
      </c>
      <c r="S1150">
        <v>0</v>
      </c>
      <c r="T1150">
        <v>0</v>
      </c>
      <c r="U1150" t="s">
        <v>3915</v>
      </c>
      <c r="V1150" t="s">
        <v>31</v>
      </c>
      <c r="W1150">
        <v>0</v>
      </c>
    </row>
    <row r="1151" spans="1:23" x14ac:dyDescent="0.25">
      <c r="A1151" t="s">
        <v>4415</v>
      </c>
      <c r="B1151" t="s">
        <v>1266</v>
      </c>
      <c r="C1151" t="s">
        <v>1267</v>
      </c>
      <c r="D1151" t="s">
        <v>4479</v>
      </c>
      <c r="E1151" t="s">
        <v>4319</v>
      </c>
      <c r="F1151" t="s">
        <v>1069</v>
      </c>
      <c r="G1151" t="s">
        <v>1406</v>
      </c>
      <c r="H1151" s="6">
        <v>46022</v>
      </c>
      <c r="I1151" t="s">
        <v>29</v>
      </c>
      <c r="J1151">
        <v>0</v>
      </c>
      <c r="K1151">
        <v>0</v>
      </c>
      <c r="L1151">
        <v>0</v>
      </c>
      <c r="M1151">
        <v>0</v>
      </c>
      <c r="N1151" t="s">
        <v>3915</v>
      </c>
      <c r="O1151" t="s">
        <v>3915</v>
      </c>
      <c r="P1151" t="s">
        <v>3915</v>
      </c>
      <c r="Q1151">
        <v>0</v>
      </c>
      <c r="R1151" t="s">
        <v>30</v>
      </c>
      <c r="S1151">
        <v>0</v>
      </c>
      <c r="T1151">
        <v>0</v>
      </c>
      <c r="U1151" t="s">
        <v>3915</v>
      </c>
      <c r="V1151" t="s">
        <v>31</v>
      </c>
      <c r="W1151">
        <v>0</v>
      </c>
    </row>
    <row r="1152" spans="1:23" x14ac:dyDescent="0.25">
      <c r="A1152" t="s">
        <v>4416</v>
      </c>
      <c r="B1152" t="s">
        <v>1268</v>
      </c>
      <c r="C1152" t="s">
        <v>1269</v>
      </c>
      <c r="D1152" t="s">
        <v>4479</v>
      </c>
      <c r="E1152" t="s">
        <v>4319</v>
      </c>
      <c r="F1152" t="s">
        <v>1069</v>
      </c>
      <c r="G1152" t="s">
        <v>1406</v>
      </c>
      <c r="H1152" s="6">
        <v>46022</v>
      </c>
      <c r="I1152" t="s">
        <v>29</v>
      </c>
      <c r="J1152">
        <v>320</v>
      </c>
      <c r="K1152">
        <v>0</v>
      </c>
      <c r="L1152">
        <v>0</v>
      </c>
      <c r="M1152">
        <v>0</v>
      </c>
      <c r="N1152" t="s">
        <v>3915</v>
      </c>
      <c r="O1152" t="s">
        <v>3915</v>
      </c>
      <c r="P1152" t="s">
        <v>3915</v>
      </c>
      <c r="Q1152">
        <v>0</v>
      </c>
      <c r="R1152" t="s">
        <v>30</v>
      </c>
      <c r="S1152">
        <v>0</v>
      </c>
      <c r="T1152">
        <v>0</v>
      </c>
      <c r="U1152" t="s">
        <v>3915</v>
      </c>
      <c r="V1152" t="s">
        <v>31</v>
      </c>
      <c r="W1152">
        <v>0</v>
      </c>
    </row>
    <row r="1153" spans="1:23" x14ac:dyDescent="0.25">
      <c r="A1153" t="s">
        <v>4417</v>
      </c>
      <c r="B1153" t="s">
        <v>1270</v>
      </c>
      <c r="C1153" t="s">
        <v>1271</v>
      </c>
      <c r="D1153" t="s">
        <v>4479</v>
      </c>
      <c r="E1153" t="s">
        <v>4319</v>
      </c>
      <c r="F1153" t="s">
        <v>1069</v>
      </c>
      <c r="G1153" t="s">
        <v>1406</v>
      </c>
      <c r="H1153" s="6">
        <v>46022</v>
      </c>
      <c r="I1153" t="s">
        <v>29</v>
      </c>
      <c r="J1153">
        <v>648</v>
      </c>
      <c r="K1153">
        <v>0</v>
      </c>
      <c r="L1153">
        <v>0</v>
      </c>
      <c r="M1153">
        <v>0</v>
      </c>
      <c r="N1153" t="s">
        <v>3915</v>
      </c>
      <c r="O1153" t="s">
        <v>3915</v>
      </c>
      <c r="P1153" t="s">
        <v>3915</v>
      </c>
      <c r="Q1153">
        <v>0</v>
      </c>
      <c r="R1153" t="s">
        <v>30</v>
      </c>
      <c r="S1153">
        <v>0</v>
      </c>
      <c r="T1153">
        <v>0</v>
      </c>
      <c r="U1153" t="s">
        <v>3915</v>
      </c>
      <c r="V1153" t="s">
        <v>31</v>
      </c>
      <c r="W1153">
        <v>0</v>
      </c>
    </row>
    <row r="1154" spans="1:23" x14ac:dyDescent="0.25">
      <c r="A1154" t="s">
        <v>4418</v>
      </c>
      <c r="B1154" t="s">
        <v>1272</v>
      </c>
      <c r="C1154" t="s">
        <v>1273</v>
      </c>
      <c r="D1154" t="s">
        <v>4479</v>
      </c>
      <c r="E1154" t="s">
        <v>4319</v>
      </c>
      <c r="F1154" t="s">
        <v>1069</v>
      </c>
      <c r="G1154" t="s">
        <v>1406</v>
      </c>
      <c r="H1154" s="6">
        <v>46022</v>
      </c>
      <c r="I1154" t="s">
        <v>29</v>
      </c>
      <c r="J1154">
        <v>594</v>
      </c>
      <c r="K1154">
        <v>0</v>
      </c>
      <c r="L1154">
        <v>0</v>
      </c>
      <c r="M1154">
        <v>0</v>
      </c>
      <c r="N1154" t="s">
        <v>3915</v>
      </c>
      <c r="O1154" t="s">
        <v>3915</v>
      </c>
      <c r="P1154" t="s">
        <v>3915</v>
      </c>
      <c r="Q1154">
        <v>0</v>
      </c>
      <c r="R1154" t="s">
        <v>30</v>
      </c>
      <c r="S1154">
        <v>0</v>
      </c>
      <c r="T1154">
        <v>0</v>
      </c>
      <c r="U1154" t="s">
        <v>3915</v>
      </c>
      <c r="V1154" t="s">
        <v>31</v>
      </c>
      <c r="W1154">
        <v>0</v>
      </c>
    </row>
    <row r="1155" spans="1:23" x14ac:dyDescent="0.25">
      <c r="A1155" t="s">
        <v>4419</v>
      </c>
      <c r="B1155" t="s">
        <v>1274</v>
      </c>
      <c r="C1155" t="s">
        <v>1275</v>
      </c>
      <c r="D1155" t="s">
        <v>4479</v>
      </c>
      <c r="E1155" t="s">
        <v>4319</v>
      </c>
      <c r="F1155" t="s">
        <v>1069</v>
      </c>
      <c r="G1155" t="s">
        <v>1406</v>
      </c>
      <c r="H1155" s="6">
        <v>46022</v>
      </c>
      <c r="I1155" t="s">
        <v>29</v>
      </c>
      <c r="J1155">
        <v>264</v>
      </c>
      <c r="K1155">
        <v>0</v>
      </c>
      <c r="L1155">
        <v>0</v>
      </c>
      <c r="M1155">
        <v>0</v>
      </c>
      <c r="N1155" t="s">
        <v>3915</v>
      </c>
      <c r="O1155" t="s">
        <v>3915</v>
      </c>
      <c r="P1155" t="s">
        <v>3915</v>
      </c>
      <c r="Q1155">
        <v>0</v>
      </c>
      <c r="R1155" t="s">
        <v>30</v>
      </c>
      <c r="S1155">
        <v>0</v>
      </c>
      <c r="T1155">
        <v>0</v>
      </c>
      <c r="U1155" t="s">
        <v>3915</v>
      </c>
      <c r="V1155" t="s">
        <v>31</v>
      </c>
      <c r="W1155">
        <v>0</v>
      </c>
    </row>
    <row r="1156" spans="1:23" x14ac:dyDescent="0.25">
      <c r="A1156" t="s">
        <v>4420</v>
      </c>
      <c r="B1156" t="s">
        <v>1276</v>
      </c>
      <c r="C1156" t="s">
        <v>1277</v>
      </c>
      <c r="D1156" t="s">
        <v>4479</v>
      </c>
      <c r="E1156" t="s">
        <v>4319</v>
      </c>
      <c r="F1156" t="s">
        <v>1069</v>
      </c>
      <c r="G1156" t="s">
        <v>1406</v>
      </c>
      <c r="H1156" s="6">
        <v>46022</v>
      </c>
      <c r="I1156" t="s">
        <v>29</v>
      </c>
      <c r="J1156">
        <v>66</v>
      </c>
      <c r="K1156">
        <v>0</v>
      </c>
      <c r="L1156">
        <v>0</v>
      </c>
      <c r="M1156">
        <v>0</v>
      </c>
      <c r="N1156" t="s">
        <v>3915</v>
      </c>
      <c r="O1156" t="s">
        <v>3915</v>
      </c>
      <c r="P1156" t="s">
        <v>3915</v>
      </c>
      <c r="Q1156">
        <v>0</v>
      </c>
      <c r="R1156" t="s">
        <v>30</v>
      </c>
      <c r="S1156">
        <v>0</v>
      </c>
      <c r="T1156">
        <v>0</v>
      </c>
      <c r="U1156" t="s">
        <v>3915</v>
      </c>
      <c r="V1156" t="s">
        <v>31</v>
      </c>
      <c r="W1156">
        <v>0</v>
      </c>
    </row>
    <row r="1157" spans="1:23" x14ac:dyDescent="0.25">
      <c r="A1157" t="s">
        <v>4421</v>
      </c>
      <c r="B1157" t="s">
        <v>1278</v>
      </c>
      <c r="C1157" t="s">
        <v>1279</v>
      </c>
      <c r="D1157" t="s">
        <v>4479</v>
      </c>
      <c r="E1157" t="s">
        <v>4319</v>
      </c>
      <c r="F1157" t="s">
        <v>1069</v>
      </c>
      <c r="G1157" t="s">
        <v>1406</v>
      </c>
      <c r="H1157" s="6">
        <v>46022</v>
      </c>
      <c r="I1157" t="s">
        <v>29</v>
      </c>
      <c r="J1157">
        <v>58</v>
      </c>
      <c r="K1157">
        <v>0</v>
      </c>
      <c r="L1157">
        <v>0</v>
      </c>
      <c r="M1157">
        <v>0</v>
      </c>
      <c r="N1157" t="s">
        <v>3915</v>
      </c>
      <c r="O1157" t="s">
        <v>3915</v>
      </c>
      <c r="P1157" t="s">
        <v>3915</v>
      </c>
      <c r="Q1157">
        <v>0</v>
      </c>
      <c r="R1157" t="s">
        <v>30</v>
      </c>
      <c r="S1157">
        <v>0</v>
      </c>
      <c r="T1157">
        <v>0</v>
      </c>
      <c r="U1157" t="s">
        <v>3915</v>
      </c>
      <c r="V1157" t="s">
        <v>31</v>
      </c>
      <c r="W1157">
        <v>0</v>
      </c>
    </row>
    <row r="1158" spans="1:23" x14ac:dyDescent="0.25">
      <c r="A1158" t="s">
        <v>4422</v>
      </c>
      <c r="B1158" t="s">
        <v>1280</v>
      </c>
      <c r="C1158" t="s">
        <v>1281</v>
      </c>
      <c r="D1158" t="s">
        <v>4479</v>
      </c>
      <c r="E1158" t="s">
        <v>4319</v>
      </c>
      <c r="F1158" t="s">
        <v>1069</v>
      </c>
      <c r="G1158" t="s">
        <v>1406</v>
      </c>
      <c r="H1158" s="6">
        <v>46022</v>
      </c>
      <c r="I1158" t="s">
        <v>29</v>
      </c>
      <c r="J1158">
        <v>213</v>
      </c>
      <c r="K1158">
        <v>0</v>
      </c>
      <c r="L1158">
        <v>0</v>
      </c>
      <c r="M1158">
        <v>0</v>
      </c>
      <c r="N1158" t="s">
        <v>3915</v>
      </c>
      <c r="O1158" t="s">
        <v>3915</v>
      </c>
      <c r="P1158" t="s">
        <v>3915</v>
      </c>
      <c r="Q1158">
        <v>0</v>
      </c>
      <c r="R1158" t="s">
        <v>30</v>
      </c>
      <c r="S1158">
        <v>0</v>
      </c>
      <c r="T1158">
        <v>0</v>
      </c>
      <c r="U1158" t="s">
        <v>3915</v>
      </c>
      <c r="V1158" t="s">
        <v>31</v>
      </c>
      <c r="W1158">
        <v>0</v>
      </c>
    </row>
    <row r="1159" spans="1:23" x14ac:dyDescent="0.25">
      <c r="A1159" t="s">
        <v>4423</v>
      </c>
      <c r="B1159" t="s">
        <v>1282</v>
      </c>
      <c r="C1159" t="s">
        <v>1283</v>
      </c>
      <c r="D1159" t="s">
        <v>4479</v>
      </c>
      <c r="E1159" t="s">
        <v>4319</v>
      </c>
      <c r="F1159" t="s">
        <v>1069</v>
      </c>
      <c r="G1159" t="s">
        <v>1406</v>
      </c>
      <c r="H1159" s="6">
        <v>46022</v>
      </c>
      <c r="I1159" t="s">
        <v>29</v>
      </c>
      <c r="J1159">
        <v>117</v>
      </c>
      <c r="K1159">
        <v>0</v>
      </c>
      <c r="L1159">
        <v>0</v>
      </c>
      <c r="M1159">
        <v>0</v>
      </c>
      <c r="N1159" t="s">
        <v>3915</v>
      </c>
      <c r="O1159" t="s">
        <v>3915</v>
      </c>
      <c r="P1159" t="s">
        <v>3915</v>
      </c>
      <c r="Q1159">
        <v>0</v>
      </c>
      <c r="R1159" t="s">
        <v>30</v>
      </c>
      <c r="S1159">
        <v>0</v>
      </c>
      <c r="T1159">
        <v>0</v>
      </c>
      <c r="U1159" t="s">
        <v>3915</v>
      </c>
      <c r="V1159" t="s">
        <v>31</v>
      </c>
      <c r="W1159">
        <v>0</v>
      </c>
    </row>
    <row r="1160" spans="1:23" x14ac:dyDescent="0.25">
      <c r="A1160" t="s">
        <v>4424</v>
      </c>
      <c r="B1160" t="s">
        <v>1284</v>
      </c>
      <c r="C1160" t="s">
        <v>1285</v>
      </c>
      <c r="D1160" t="s">
        <v>4479</v>
      </c>
      <c r="E1160" t="s">
        <v>4319</v>
      </c>
      <c r="F1160" t="s">
        <v>1069</v>
      </c>
      <c r="G1160" t="s">
        <v>1406</v>
      </c>
      <c r="H1160" s="6">
        <v>46022</v>
      </c>
      <c r="I1160" t="s">
        <v>29</v>
      </c>
      <c r="J1160">
        <v>514</v>
      </c>
      <c r="K1160">
        <v>0</v>
      </c>
      <c r="L1160">
        <v>0</v>
      </c>
      <c r="M1160">
        <v>0</v>
      </c>
      <c r="N1160" t="s">
        <v>3915</v>
      </c>
      <c r="O1160" t="s">
        <v>3915</v>
      </c>
      <c r="P1160" t="s">
        <v>3915</v>
      </c>
      <c r="Q1160">
        <v>0</v>
      </c>
      <c r="R1160" t="s">
        <v>30</v>
      </c>
      <c r="S1160">
        <v>0</v>
      </c>
      <c r="T1160">
        <v>0</v>
      </c>
      <c r="U1160" t="s">
        <v>3915</v>
      </c>
      <c r="V1160" t="s">
        <v>31</v>
      </c>
      <c r="W1160">
        <v>0</v>
      </c>
    </row>
    <row r="1161" spans="1:23" x14ac:dyDescent="0.25">
      <c r="A1161" t="s">
        <v>4425</v>
      </c>
      <c r="B1161" t="s">
        <v>1286</v>
      </c>
      <c r="C1161" t="s">
        <v>1287</v>
      </c>
      <c r="D1161" t="s">
        <v>4479</v>
      </c>
      <c r="E1161" t="s">
        <v>4319</v>
      </c>
      <c r="F1161" t="s">
        <v>1069</v>
      </c>
      <c r="G1161" t="s">
        <v>1406</v>
      </c>
      <c r="H1161" s="6">
        <v>46022</v>
      </c>
      <c r="I1161" t="s">
        <v>29</v>
      </c>
      <c r="J1161">
        <v>188</v>
      </c>
      <c r="K1161">
        <v>0</v>
      </c>
      <c r="L1161">
        <v>0</v>
      </c>
      <c r="M1161">
        <v>0</v>
      </c>
      <c r="N1161" t="s">
        <v>3915</v>
      </c>
      <c r="O1161" t="s">
        <v>3915</v>
      </c>
      <c r="P1161" t="s">
        <v>3915</v>
      </c>
      <c r="Q1161">
        <v>0</v>
      </c>
      <c r="R1161" t="s">
        <v>30</v>
      </c>
      <c r="S1161">
        <v>0</v>
      </c>
      <c r="T1161">
        <v>0</v>
      </c>
      <c r="U1161" t="s">
        <v>3915</v>
      </c>
      <c r="V1161" t="s">
        <v>31</v>
      </c>
      <c r="W1161">
        <v>0</v>
      </c>
    </row>
    <row r="1162" spans="1:23" x14ac:dyDescent="0.25">
      <c r="A1162" t="s">
        <v>4426</v>
      </c>
      <c r="B1162" t="s">
        <v>1288</v>
      </c>
      <c r="C1162" t="s">
        <v>1289</v>
      </c>
      <c r="D1162" t="s">
        <v>4479</v>
      </c>
      <c r="E1162" t="s">
        <v>4319</v>
      </c>
      <c r="F1162" t="s">
        <v>1069</v>
      </c>
      <c r="G1162" t="s">
        <v>1406</v>
      </c>
      <c r="H1162" s="6">
        <v>46022</v>
      </c>
      <c r="I1162" t="s">
        <v>29</v>
      </c>
      <c r="J1162">
        <v>31</v>
      </c>
      <c r="K1162">
        <v>0</v>
      </c>
      <c r="L1162">
        <v>0</v>
      </c>
      <c r="M1162">
        <v>0</v>
      </c>
      <c r="N1162" t="s">
        <v>3915</v>
      </c>
      <c r="O1162" t="s">
        <v>3915</v>
      </c>
      <c r="P1162" t="s">
        <v>3915</v>
      </c>
      <c r="Q1162">
        <v>0</v>
      </c>
      <c r="R1162" t="s">
        <v>30</v>
      </c>
      <c r="S1162">
        <v>0</v>
      </c>
      <c r="T1162">
        <v>0</v>
      </c>
      <c r="U1162" t="s">
        <v>3915</v>
      </c>
      <c r="V1162" t="s">
        <v>31</v>
      </c>
      <c r="W1162">
        <v>0</v>
      </c>
    </row>
    <row r="1163" spans="1:23" x14ac:dyDescent="0.25">
      <c r="A1163" t="s">
        <v>4427</v>
      </c>
      <c r="B1163" t="s">
        <v>1290</v>
      </c>
      <c r="C1163" t="s">
        <v>1291</v>
      </c>
      <c r="D1163" t="s">
        <v>4479</v>
      </c>
      <c r="E1163" t="s">
        <v>4319</v>
      </c>
      <c r="F1163" t="s">
        <v>1069</v>
      </c>
      <c r="G1163" t="s">
        <v>1406</v>
      </c>
      <c r="H1163" s="6">
        <v>46022</v>
      </c>
      <c r="I1163" t="s">
        <v>29</v>
      </c>
      <c r="J1163">
        <v>1053</v>
      </c>
      <c r="K1163">
        <v>0</v>
      </c>
      <c r="L1163">
        <v>0</v>
      </c>
      <c r="M1163">
        <v>0</v>
      </c>
      <c r="N1163" t="s">
        <v>3915</v>
      </c>
      <c r="O1163" t="s">
        <v>3915</v>
      </c>
      <c r="P1163" t="s">
        <v>3915</v>
      </c>
      <c r="Q1163">
        <v>0</v>
      </c>
      <c r="R1163" t="s">
        <v>30</v>
      </c>
      <c r="S1163">
        <v>0</v>
      </c>
      <c r="T1163">
        <v>0</v>
      </c>
      <c r="U1163" t="s">
        <v>3915</v>
      </c>
      <c r="V1163" t="s">
        <v>31</v>
      </c>
      <c r="W1163">
        <v>0</v>
      </c>
    </row>
    <row r="1164" spans="1:23" x14ac:dyDescent="0.25">
      <c r="A1164" t="s">
        <v>1388</v>
      </c>
      <c r="B1164" t="s">
        <v>1292</v>
      </c>
      <c r="C1164" t="s">
        <v>1293</v>
      </c>
      <c r="D1164" t="s">
        <v>4479</v>
      </c>
      <c r="E1164" t="s">
        <v>4319</v>
      </c>
      <c r="F1164" t="s">
        <v>1069</v>
      </c>
      <c r="G1164" t="s">
        <v>1406</v>
      </c>
      <c r="H1164" s="6">
        <v>46022</v>
      </c>
      <c r="I1164" t="s">
        <v>29</v>
      </c>
      <c r="J1164">
        <v>1331</v>
      </c>
      <c r="K1164">
        <v>0</v>
      </c>
      <c r="L1164">
        <v>0</v>
      </c>
      <c r="M1164">
        <v>0</v>
      </c>
      <c r="N1164" t="s">
        <v>3915</v>
      </c>
      <c r="O1164" t="s">
        <v>3915</v>
      </c>
      <c r="P1164" t="s">
        <v>3915</v>
      </c>
      <c r="Q1164">
        <v>0</v>
      </c>
      <c r="R1164" t="s">
        <v>30</v>
      </c>
      <c r="S1164">
        <v>0</v>
      </c>
      <c r="T1164">
        <v>0</v>
      </c>
      <c r="U1164" t="s">
        <v>3915</v>
      </c>
      <c r="V1164" t="s">
        <v>31</v>
      </c>
      <c r="W1164">
        <v>0</v>
      </c>
    </row>
    <row r="1165" spans="1:23" x14ac:dyDescent="0.25">
      <c r="A1165" t="s">
        <v>5563</v>
      </c>
      <c r="B1165" t="s">
        <v>2325</v>
      </c>
      <c r="C1165" t="s">
        <v>2324</v>
      </c>
      <c r="D1165" t="s">
        <v>4479</v>
      </c>
      <c r="E1165" t="s">
        <v>4319</v>
      </c>
      <c r="F1165" t="s">
        <v>1069</v>
      </c>
      <c r="G1165" t="s">
        <v>1406</v>
      </c>
      <c r="H1165" s="6">
        <v>46022</v>
      </c>
      <c r="I1165" t="s">
        <v>29</v>
      </c>
      <c r="J1165">
        <v>10</v>
      </c>
      <c r="K1165">
        <v>0</v>
      </c>
      <c r="L1165">
        <v>0</v>
      </c>
      <c r="M1165">
        <v>0</v>
      </c>
      <c r="N1165" t="s">
        <v>3915</v>
      </c>
      <c r="O1165" t="s">
        <v>3915</v>
      </c>
      <c r="P1165" t="s">
        <v>3915</v>
      </c>
      <c r="Q1165">
        <v>0</v>
      </c>
      <c r="R1165" t="s">
        <v>30</v>
      </c>
      <c r="S1165">
        <v>0</v>
      </c>
      <c r="T1165">
        <v>0</v>
      </c>
      <c r="U1165" t="s">
        <v>3915</v>
      </c>
      <c r="V1165" t="s">
        <v>31</v>
      </c>
      <c r="W1165">
        <v>0</v>
      </c>
    </row>
    <row r="1166" spans="1:23" x14ac:dyDescent="0.25">
      <c r="A1166" t="s">
        <v>5564</v>
      </c>
      <c r="B1166" t="s">
        <v>2327</v>
      </c>
      <c r="C1166" t="s">
        <v>2326</v>
      </c>
      <c r="D1166" t="s">
        <v>4479</v>
      </c>
      <c r="E1166" t="s">
        <v>4319</v>
      </c>
      <c r="F1166" t="s">
        <v>1069</v>
      </c>
      <c r="G1166" t="s">
        <v>1406</v>
      </c>
      <c r="H1166" s="6">
        <v>46022</v>
      </c>
      <c r="I1166" t="s">
        <v>29</v>
      </c>
      <c r="J1166">
        <v>95</v>
      </c>
      <c r="K1166">
        <v>0</v>
      </c>
      <c r="L1166">
        <v>0</v>
      </c>
      <c r="M1166">
        <v>0</v>
      </c>
      <c r="N1166" t="s">
        <v>3915</v>
      </c>
      <c r="O1166" t="s">
        <v>3915</v>
      </c>
      <c r="P1166" t="s">
        <v>3915</v>
      </c>
      <c r="Q1166">
        <v>0</v>
      </c>
      <c r="R1166" t="s">
        <v>30</v>
      </c>
      <c r="S1166">
        <v>0</v>
      </c>
      <c r="T1166">
        <v>0</v>
      </c>
      <c r="U1166" t="s">
        <v>3915</v>
      </c>
      <c r="V1166" t="s">
        <v>31</v>
      </c>
      <c r="W1166">
        <v>0</v>
      </c>
    </row>
    <row r="1167" spans="1:23" x14ac:dyDescent="0.25">
      <c r="A1167" t="s">
        <v>4617</v>
      </c>
      <c r="B1167" t="s">
        <v>2329</v>
      </c>
      <c r="C1167" t="s">
        <v>2328</v>
      </c>
      <c r="D1167" t="s">
        <v>4479</v>
      </c>
      <c r="E1167" t="s">
        <v>4319</v>
      </c>
      <c r="F1167" t="s">
        <v>1069</v>
      </c>
      <c r="G1167" t="s">
        <v>1406</v>
      </c>
      <c r="H1167" s="6">
        <v>46022</v>
      </c>
      <c r="I1167" t="s">
        <v>29</v>
      </c>
      <c r="J1167">
        <v>176</v>
      </c>
      <c r="K1167">
        <v>0</v>
      </c>
      <c r="L1167">
        <v>0</v>
      </c>
      <c r="M1167">
        <v>0</v>
      </c>
      <c r="N1167" t="s">
        <v>3915</v>
      </c>
      <c r="O1167" t="s">
        <v>3915</v>
      </c>
      <c r="P1167" t="s">
        <v>3915</v>
      </c>
      <c r="Q1167">
        <v>0</v>
      </c>
      <c r="R1167" t="s">
        <v>30</v>
      </c>
      <c r="S1167">
        <v>0</v>
      </c>
      <c r="T1167">
        <v>0</v>
      </c>
      <c r="U1167" t="s">
        <v>3915</v>
      </c>
      <c r="V1167" t="s">
        <v>31</v>
      </c>
      <c r="W1167">
        <v>0</v>
      </c>
    </row>
    <row r="1168" spans="1:23" x14ac:dyDescent="0.25">
      <c r="A1168" t="s">
        <v>5565</v>
      </c>
      <c r="B1168" t="s">
        <v>2331</v>
      </c>
      <c r="C1168" t="s">
        <v>2330</v>
      </c>
      <c r="D1168" t="s">
        <v>4479</v>
      </c>
      <c r="E1168" t="s">
        <v>4319</v>
      </c>
      <c r="F1168" t="s">
        <v>1069</v>
      </c>
      <c r="G1168" t="s">
        <v>1406</v>
      </c>
      <c r="H1168" s="6">
        <v>46022</v>
      </c>
      <c r="I1168" t="s">
        <v>29</v>
      </c>
      <c r="J1168">
        <v>205</v>
      </c>
      <c r="K1168">
        <v>0</v>
      </c>
      <c r="L1168">
        <v>0</v>
      </c>
      <c r="M1168">
        <v>0</v>
      </c>
      <c r="N1168" t="s">
        <v>3915</v>
      </c>
      <c r="O1168" t="s">
        <v>3915</v>
      </c>
      <c r="P1168" t="s">
        <v>3915</v>
      </c>
      <c r="Q1168">
        <v>0</v>
      </c>
      <c r="R1168" t="s">
        <v>30</v>
      </c>
      <c r="S1168">
        <v>0</v>
      </c>
      <c r="T1168">
        <v>0</v>
      </c>
      <c r="U1168" t="s">
        <v>3915</v>
      </c>
      <c r="V1168" t="s">
        <v>31</v>
      </c>
      <c r="W1168">
        <v>0</v>
      </c>
    </row>
    <row r="1169" spans="1:23" x14ac:dyDescent="0.25">
      <c r="A1169" t="s">
        <v>4428</v>
      </c>
      <c r="B1169" t="s">
        <v>1294</v>
      </c>
      <c r="C1169" t="s">
        <v>1295</v>
      </c>
      <c r="D1169" t="s">
        <v>4479</v>
      </c>
      <c r="E1169" t="s">
        <v>4319</v>
      </c>
      <c r="F1169" t="s">
        <v>1069</v>
      </c>
      <c r="G1169" t="s">
        <v>1406</v>
      </c>
      <c r="H1169" s="6">
        <v>46022</v>
      </c>
      <c r="I1169" t="s">
        <v>29</v>
      </c>
      <c r="J1169">
        <v>148</v>
      </c>
      <c r="K1169">
        <v>0</v>
      </c>
      <c r="L1169">
        <v>0</v>
      </c>
      <c r="M1169">
        <v>0</v>
      </c>
      <c r="N1169" t="s">
        <v>3915</v>
      </c>
      <c r="O1169" t="s">
        <v>3915</v>
      </c>
      <c r="P1169" t="s">
        <v>3915</v>
      </c>
      <c r="Q1169">
        <v>0</v>
      </c>
      <c r="R1169" t="s">
        <v>30</v>
      </c>
      <c r="S1169">
        <v>0</v>
      </c>
      <c r="T1169">
        <v>0</v>
      </c>
      <c r="U1169" t="s">
        <v>3915</v>
      </c>
      <c r="V1169" t="s">
        <v>31</v>
      </c>
      <c r="W1169">
        <v>0</v>
      </c>
    </row>
    <row r="1170" spans="1:23" x14ac:dyDescent="0.25">
      <c r="A1170" t="s">
        <v>4429</v>
      </c>
      <c r="B1170" t="s">
        <v>1296</v>
      </c>
      <c r="C1170" t="s">
        <v>1297</v>
      </c>
      <c r="D1170" t="s">
        <v>4479</v>
      </c>
      <c r="E1170" t="s">
        <v>4319</v>
      </c>
      <c r="F1170" t="s">
        <v>1069</v>
      </c>
      <c r="G1170" t="s">
        <v>1406</v>
      </c>
      <c r="H1170" s="6">
        <v>46022</v>
      </c>
      <c r="I1170" t="s">
        <v>29</v>
      </c>
      <c r="J1170">
        <v>54</v>
      </c>
      <c r="K1170">
        <v>0</v>
      </c>
      <c r="L1170">
        <v>0</v>
      </c>
      <c r="M1170">
        <v>0</v>
      </c>
      <c r="N1170" t="s">
        <v>3915</v>
      </c>
      <c r="O1170" t="s">
        <v>3915</v>
      </c>
      <c r="P1170" t="s">
        <v>3915</v>
      </c>
      <c r="Q1170">
        <v>0</v>
      </c>
      <c r="R1170" t="s">
        <v>30</v>
      </c>
      <c r="S1170">
        <v>0</v>
      </c>
      <c r="T1170">
        <v>0</v>
      </c>
      <c r="U1170" t="s">
        <v>3915</v>
      </c>
      <c r="V1170" t="s">
        <v>31</v>
      </c>
      <c r="W1170">
        <v>0</v>
      </c>
    </row>
    <row r="1171" spans="1:23" x14ac:dyDescent="0.25">
      <c r="A1171" t="s">
        <v>4430</v>
      </c>
      <c r="B1171" t="s">
        <v>1298</v>
      </c>
      <c r="C1171" t="s">
        <v>1299</v>
      </c>
      <c r="D1171" t="s">
        <v>4479</v>
      </c>
      <c r="E1171" t="s">
        <v>4319</v>
      </c>
      <c r="F1171" t="s">
        <v>1069</v>
      </c>
      <c r="G1171" t="s">
        <v>1406</v>
      </c>
      <c r="H1171" s="6">
        <v>46022</v>
      </c>
      <c r="I1171" t="s">
        <v>29</v>
      </c>
      <c r="J1171">
        <v>798</v>
      </c>
      <c r="K1171">
        <v>0</v>
      </c>
      <c r="L1171">
        <v>0</v>
      </c>
      <c r="M1171">
        <v>0</v>
      </c>
      <c r="N1171" t="s">
        <v>3915</v>
      </c>
      <c r="O1171" t="s">
        <v>3915</v>
      </c>
      <c r="P1171" t="s">
        <v>3915</v>
      </c>
      <c r="Q1171">
        <v>0</v>
      </c>
      <c r="R1171" t="s">
        <v>30</v>
      </c>
      <c r="S1171">
        <v>0</v>
      </c>
      <c r="T1171">
        <v>0</v>
      </c>
      <c r="U1171" t="s">
        <v>3915</v>
      </c>
      <c r="V1171" t="s">
        <v>31</v>
      </c>
      <c r="W1171">
        <v>0</v>
      </c>
    </row>
    <row r="1172" spans="1:23" x14ac:dyDescent="0.25">
      <c r="A1172" t="s">
        <v>4431</v>
      </c>
      <c r="B1172" t="s">
        <v>1300</v>
      </c>
      <c r="C1172" t="s">
        <v>1301</v>
      </c>
      <c r="D1172" t="s">
        <v>4479</v>
      </c>
      <c r="E1172" t="s">
        <v>4319</v>
      </c>
      <c r="F1172" t="s">
        <v>1069</v>
      </c>
      <c r="G1172" t="s">
        <v>1406</v>
      </c>
      <c r="H1172" s="6">
        <v>46022</v>
      </c>
      <c r="I1172" t="s">
        <v>29</v>
      </c>
      <c r="J1172">
        <v>219</v>
      </c>
      <c r="K1172">
        <v>0</v>
      </c>
      <c r="L1172">
        <v>0</v>
      </c>
      <c r="M1172">
        <v>0</v>
      </c>
      <c r="N1172" t="s">
        <v>3915</v>
      </c>
      <c r="O1172" t="s">
        <v>3915</v>
      </c>
      <c r="P1172" t="s">
        <v>3915</v>
      </c>
      <c r="Q1172">
        <v>0</v>
      </c>
      <c r="R1172" t="s">
        <v>30</v>
      </c>
      <c r="S1172">
        <v>0</v>
      </c>
      <c r="T1172">
        <v>0</v>
      </c>
      <c r="U1172" t="s">
        <v>3915</v>
      </c>
      <c r="V1172" t="s">
        <v>31</v>
      </c>
      <c r="W1172">
        <v>0</v>
      </c>
    </row>
    <row r="1173" spans="1:23" x14ac:dyDescent="0.25">
      <c r="A1173" t="s">
        <v>4432</v>
      </c>
      <c r="B1173" t="s">
        <v>1302</v>
      </c>
      <c r="C1173" t="s">
        <v>1303</v>
      </c>
      <c r="D1173" t="s">
        <v>4479</v>
      </c>
      <c r="E1173" t="s">
        <v>4319</v>
      </c>
      <c r="F1173" t="s">
        <v>1069</v>
      </c>
      <c r="G1173" t="s">
        <v>1406</v>
      </c>
      <c r="H1173" s="6">
        <v>46022</v>
      </c>
      <c r="I1173" t="s">
        <v>29</v>
      </c>
      <c r="J1173">
        <v>675</v>
      </c>
      <c r="K1173">
        <v>0</v>
      </c>
      <c r="L1173">
        <v>0</v>
      </c>
      <c r="M1173">
        <v>0</v>
      </c>
      <c r="N1173" t="s">
        <v>3915</v>
      </c>
      <c r="O1173" t="s">
        <v>3915</v>
      </c>
      <c r="P1173" t="s">
        <v>3915</v>
      </c>
      <c r="Q1173">
        <v>0</v>
      </c>
      <c r="R1173" t="s">
        <v>30</v>
      </c>
      <c r="S1173">
        <v>0</v>
      </c>
      <c r="T1173">
        <v>0</v>
      </c>
      <c r="U1173" t="s">
        <v>3915</v>
      </c>
      <c r="V1173" t="s">
        <v>31</v>
      </c>
      <c r="W1173">
        <v>0</v>
      </c>
    </row>
    <row r="1174" spans="1:23" x14ac:dyDescent="0.25">
      <c r="A1174" t="s">
        <v>4433</v>
      </c>
      <c r="B1174" t="s">
        <v>1304</v>
      </c>
      <c r="C1174" t="s">
        <v>1305</v>
      </c>
      <c r="D1174" t="s">
        <v>4479</v>
      </c>
      <c r="E1174" t="s">
        <v>4319</v>
      </c>
      <c r="F1174" t="s">
        <v>1069</v>
      </c>
      <c r="G1174" t="s">
        <v>1406</v>
      </c>
      <c r="H1174" s="6">
        <v>46022</v>
      </c>
      <c r="I1174" t="s">
        <v>29</v>
      </c>
      <c r="J1174">
        <v>666</v>
      </c>
      <c r="K1174">
        <v>0</v>
      </c>
      <c r="L1174">
        <v>0</v>
      </c>
      <c r="M1174">
        <v>0</v>
      </c>
      <c r="N1174" t="s">
        <v>3915</v>
      </c>
      <c r="O1174" t="s">
        <v>3915</v>
      </c>
      <c r="P1174" t="s">
        <v>3915</v>
      </c>
      <c r="Q1174">
        <v>0</v>
      </c>
      <c r="R1174" t="s">
        <v>30</v>
      </c>
      <c r="S1174">
        <v>0</v>
      </c>
      <c r="T1174">
        <v>0</v>
      </c>
      <c r="U1174" t="s">
        <v>3915</v>
      </c>
      <c r="V1174" t="s">
        <v>31</v>
      </c>
      <c r="W1174">
        <v>0</v>
      </c>
    </row>
    <row r="1175" spans="1:23" x14ac:dyDescent="0.25">
      <c r="A1175" t="s">
        <v>5566</v>
      </c>
      <c r="B1175" t="s">
        <v>2333</v>
      </c>
      <c r="C1175" t="s">
        <v>2332</v>
      </c>
      <c r="D1175" t="s">
        <v>4479</v>
      </c>
      <c r="E1175" t="s">
        <v>4319</v>
      </c>
      <c r="F1175" t="s">
        <v>1069</v>
      </c>
      <c r="G1175" t="s">
        <v>1406</v>
      </c>
      <c r="H1175" s="6">
        <v>46022</v>
      </c>
      <c r="I1175" t="s">
        <v>29</v>
      </c>
      <c r="J1175">
        <v>5</v>
      </c>
      <c r="K1175">
        <v>0</v>
      </c>
      <c r="L1175">
        <v>0</v>
      </c>
      <c r="M1175">
        <v>0</v>
      </c>
      <c r="N1175" t="s">
        <v>3915</v>
      </c>
      <c r="O1175" t="s">
        <v>3915</v>
      </c>
      <c r="P1175" t="s">
        <v>3915</v>
      </c>
      <c r="Q1175">
        <v>0</v>
      </c>
      <c r="R1175" t="s">
        <v>30</v>
      </c>
      <c r="S1175">
        <v>0</v>
      </c>
      <c r="T1175">
        <v>0</v>
      </c>
      <c r="U1175" t="s">
        <v>3915</v>
      </c>
      <c r="V1175" t="s">
        <v>31</v>
      </c>
      <c r="W1175">
        <v>0</v>
      </c>
    </row>
    <row r="1176" spans="1:23" x14ac:dyDescent="0.25">
      <c r="A1176" t="s">
        <v>5567</v>
      </c>
      <c r="B1176" t="s">
        <v>2335</v>
      </c>
      <c r="C1176" t="s">
        <v>2334</v>
      </c>
      <c r="D1176" t="s">
        <v>4479</v>
      </c>
      <c r="E1176" t="s">
        <v>4319</v>
      </c>
      <c r="F1176" t="s">
        <v>1069</v>
      </c>
      <c r="G1176" t="s">
        <v>1406</v>
      </c>
      <c r="H1176" s="6">
        <v>46022</v>
      </c>
      <c r="I1176" t="s">
        <v>29</v>
      </c>
      <c r="J1176">
        <v>185</v>
      </c>
      <c r="K1176">
        <v>0</v>
      </c>
      <c r="L1176">
        <v>0</v>
      </c>
      <c r="M1176">
        <v>0</v>
      </c>
      <c r="N1176" t="s">
        <v>3915</v>
      </c>
      <c r="O1176" t="s">
        <v>3915</v>
      </c>
      <c r="P1176" t="s">
        <v>3915</v>
      </c>
      <c r="Q1176">
        <v>0</v>
      </c>
      <c r="R1176" t="s">
        <v>30</v>
      </c>
      <c r="S1176">
        <v>0</v>
      </c>
      <c r="T1176">
        <v>0</v>
      </c>
      <c r="U1176" t="s">
        <v>3915</v>
      </c>
      <c r="V1176" t="s">
        <v>31</v>
      </c>
      <c r="W1176">
        <v>0</v>
      </c>
    </row>
    <row r="1177" spans="1:23" x14ac:dyDescent="0.25">
      <c r="A1177" t="s">
        <v>5568</v>
      </c>
      <c r="B1177" t="s">
        <v>2337</v>
      </c>
      <c r="C1177" t="s">
        <v>2336</v>
      </c>
      <c r="D1177" t="s">
        <v>4479</v>
      </c>
      <c r="E1177" t="s">
        <v>4319</v>
      </c>
      <c r="F1177" t="s">
        <v>1069</v>
      </c>
      <c r="G1177" t="s">
        <v>1406</v>
      </c>
      <c r="H1177" s="6">
        <v>46022</v>
      </c>
      <c r="I1177" t="s">
        <v>29</v>
      </c>
      <c r="J1177">
        <v>174</v>
      </c>
      <c r="K1177">
        <v>0</v>
      </c>
      <c r="L1177">
        <v>0</v>
      </c>
      <c r="M1177">
        <v>0</v>
      </c>
      <c r="N1177" t="s">
        <v>3915</v>
      </c>
      <c r="O1177" t="s">
        <v>3915</v>
      </c>
      <c r="P1177" t="s">
        <v>3915</v>
      </c>
      <c r="Q1177">
        <v>0</v>
      </c>
      <c r="R1177" t="s">
        <v>30</v>
      </c>
      <c r="S1177">
        <v>0</v>
      </c>
      <c r="T1177">
        <v>0</v>
      </c>
      <c r="U1177" t="s">
        <v>3915</v>
      </c>
      <c r="V1177" t="s">
        <v>31</v>
      </c>
      <c r="W1177">
        <v>0</v>
      </c>
    </row>
    <row r="1178" spans="1:23" x14ac:dyDescent="0.25">
      <c r="A1178" t="s">
        <v>4629</v>
      </c>
      <c r="B1178" t="s">
        <v>2339</v>
      </c>
      <c r="C1178" t="s">
        <v>2338</v>
      </c>
      <c r="D1178" t="s">
        <v>4479</v>
      </c>
      <c r="E1178" t="s">
        <v>4319</v>
      </c>
      <c r="F1178" t="s">
        <v>1069</v>
      </c>
      <c r="G1178" t="s">
        <v>1406</v>
      </c>
      <c r="H1178" s="6">
        <v>46022</v>
      </c>
      <c r="I1178" t="s">
        <v>29</v>
      </c>
      <c r="J1178">
        <v>205</v>
      </c>
      <c r="K1178">
        <v>0</v>
      </c>
      <c r="L1178">
        <v>0</v>
      </c>
      <c r="M1178">
        <v>0</v>
      </c>
      <c r="N1178" t="s">
        <v>3915</v>
      </c>
      <c r="O1178" t="s">
        <v>3915</v>
      </c>
      <c r="P1178" t="s">
        <v>3915</v>
      </c>
      <c r="Q1178">
        <v>0</v>
      </c>
      <c r="R1178" t="s">
        <v>30</v>
      </c>
      <c r="S1178">
        <v>0</v>
      </c>
      <c r="T1178">
        <v>0</v>
      </c>
      <c r="U1178" t="s">
        <v>3915</v>
      </c>
      <c r="V1178" t="s">
        <v>31</v>
      </c>
      <c r="W1178">
        <v>0</v>
      </c>
    </row>
    <row r="1179" spans="1:23" x14ac:dyDescent="0.25">
      <c r="A1179" t="s">
        <v>4434</v>
      </c>
      <c r="B1179" t="s">
        <v>1306</v>
      </c>
      <c r="C1179" t="s">
        <v>1307</v>
      </c>
      <c r="D1179" t="s">
        <v>4479</v>
      </c>
      <c r="E1179" t="s">
        <v>4319</v>
      </c>
      <c r="F1179" t="s">
        <v>1069</v>
      </c>
      <c r="G1179" t="s">
        <v>1406</v>
      </c>
      <c r="H1179" s="6">
        <v>46022</v>
      </c>
      <c r="I1179" t="s">
        <v>29</v>
      </c>
      <c r="J1179">
        <v>1965</v>
      </c>
      <c r="K1179">
        <v>0</v>
      </c>
      <c r="L1179">
        <v>0</v>
      </c>
      <c r="M1179">
        <v>0</v>
      </c>
      <c r="N1179" t="s">
        <v>3915</v>
      </c>
      <c r="O1179" t="s">
        <v>3915</v>
      </c>
      <c r="P1179" t="s">
        <v>3915</v>
      </c>
      <c r="Q1179">
        <v>0</v>
      </c>
      <c r="R1179" t="s">
        <v>30</v>
      </c>
      <c r="S1179">
        <v>0</v>
      </c>
      <c r="T1179">
        <v>0</v>
      </c>
      <c r="U1179" t="s">
        <v>3915</v>
      </c>
      <c r="V1179" t="s">
        <v>31</v>
      </c>
      <c r="W1179">
        <v>0</v>
      </c>
    </row>
    <row r="1180" spans="1:23" x14ac:dyDescent="0.25">
      <c r="A1180" t="s">
        <v>4435</v>
      </c>
      <c r="B1180" t="s">
        <v>1308</v>
      </c>
      <c r="C1180" t="s">
        <v>1309</v>
      </c>
      <c r="D1180" t="s">
        <v>4479</v>
      </c>
      <c r="E1180" t="s">
        <v>4319</v>
      </c>
      <c r="F1180" t="s">
        <v>1069</v>
      </c>
      <c r="G1180" t="s">
        <v>1406</v>
      </c>
      <c r="H1180" s="6">
        <v>46022</v>
      </c>
      <c r="I1180" t="s">
        <v>29</v>
      </c>
      <c r="J1180">
        <v>1049</v>
      </c>
      <c r="K1180">
        <v>0</v>
      </c>
      <c r="L1180">
        <v>0</v>
      </c>
      <c r="M1180">
        <v>0</v>
      </c>
      <c r="N1180" t="s">
        <v>3915</v>
      </c>
      <c r="O1180" t="s">
        <v>3915</v>
      </c>
      <c r="P1180" t="s">
        <v>3915</v>
      </c>
      <c r="Q1180">
        <v>0</v>
      </c>
      <c r="R1180" t="s">
        <v>30</v>
      </c>
      <c r="S1180">
        <v>0</v>
      </c>
      <c r="T1180">
        <v>0</v>
      </c>
      <c r="U1180" t="s">
        <v>3915</v>
      </c>
      <c r="V1180" t="s">
        <v>31</v>
      </c>
      <c r="W1180">
        <v>0</v>
      </c>
    </row>
    <row r="1181" spans="1:23" x14ac:dyDescent="0.25">
      <c r="A1181" t="s">
        <v>5569</v>
      </c>
      <c r="B1181" t="s">
        <v>2341</v>
      </c>
      <c r="C1181" t="s">
        <v>2340</v>
      </c>
      <c r="D1181" t="s">
        <v>4479</v>
      </c>
      <c r="E1181" t="s">
        <v>4319</v>
      </c>
      <c r="F1181" t="s">
        <v>1069</v>
      </c>
      <c r="G1181" t="s">
        <v>1406</v>
      </c>
      <c r="H1181" s="6">
        <v>46022</v>
      </c>
      <c r="I1181" t="s">
        <v>29</v>
      </c>
      <c r="J1181">
        <v>1415</v>
      </c>
      <c r="K1181">
        <v>0</v>
      </c>
      <c r="L1181">
        <v>0</v>
      </c>
      <c r="M1181">
        <v>0</v>
      </c>
      <c r="N1181" t="s">
        <v>3915</v>
      </c>
      <c r="O1181" t="s">
        <v>3915</v>
      </c>
      <c r="P1181" t="s">
        <v>3915</v>
      </c>
      <c r="Q1181">
        <v>0</v>
      </c>
      <c r="R1181" t="s">
        <v>30</v>
      </c>
      <c r="S1181">
        <v>0</v>
      </c>
      <c r="T1181">
        <v>0</v>
      </c>
      <c r="U1181" t="s">
        <v>3915</v>
      </c>
      <c r="V1181" t="s">
        <v>31</v>
      </c>
      <c r="W1181">
        <v>0</v>
      </c>
    </row>
    <row r="1182" spans="1:23" x14ac:dyDescent="0.25">
      <c r="A1182" t="s">
        <v>4436</v>
      </c>
      <c r="B1182" t="s">
        <v>1310</v>
      </c>
      <c r="C1182" t="s">
        <v>1311</v>
      </c>
      <c r="D1182" t="s">
        <v>4479</v>
      </c>
      <c r="E1182" t="s">
        <v>4319</v>
      </c>
      <c r="F1182" t="s">
        <v>1069</v>
      </c>
      <c r="G1182" t="s">
        <v>1406</v>
      </c>
      <c r="H1182" s="6">
        <v>46022</v>
      </c>
      <c r="I1182" t="s">
        <v>29</v>
      </c>
      <c r="J1182">
        <v>2192</v>
      </c>
      <c r="K1182">
        <v>0</v>
      </c>
      <c r="L1182">
        <v>0</v>
      </c>
      <c r="M1182">
        <v>0</v>
      </c>
      <c r="N1182" t="s">
        <v>3915</v>
      </c>
      <c r="O1182" t="s">
        <v>3915</v>
      </c>
      <c r="P1182" t="s">
        <v>3915</v>
      </c>
      <c r="Q1182">
        <v>0</v>
      </c>
      <c r="R1182" t="s">
        <v>30</v>
      </c>
      <c r="S1182">
        <v>0</v>
      </c>
      <c r="T1182">
        <v>0</v>
      </c>
      <c r="U1182" t="s">
        <v>3915</v>
      </c>
      <c r="V1182" t="s">
        <v>31</v>
      </c>
      <c r="W1182">
        <v>0</v>
      </c>
    </row>
    <row r="1183" spans="1:23" x14ac:dyDescent="0.25">
      <c r="A1183" t="s">
        <v>4437</v>
      </c>
      <c r="B1183" t="s">
        <v>1312</v>
      </c>
      <c r="C1183" t="s">
        <v>1313</v>
      </c>
      <c r="D1183" t="s">
        <v>4479</v>
      </c>
      <c r="E1183" t="s">
        <v>4319</v>
      </c>
      <c r="F1183" t="s">
        <v>1069</v>
      </c>
      <c r="G1183" t="s">
        <v>1406</v>
      </c>
      <c r="H1183" s="6">
        <v>46022</v>
      </c>
      <c r="I1183" t="s">
        <v>29</v>
      </c>
      <c r="J1183">
        <v>822</v>
      </c>
      <c r="K1183">
        <v>0</v>
      </c>
      <c r="L1183">
        <v>0</v>
      </c>
      <c r="M1183">
        <v>0</v>
      </c>
      <c r="N1183" t="s">
        <v>3915</v>
      </c>
      <c r="O1183" t="s">
        <v>3915</v>
      </c>
      <c r="P1183" t="s">
        <v>3915</v>
      </c>
      <c r="Q1183">
        <v>0</v>
      </c>
      <c r="R1183" t="s">
        <v>30</v>
      </c>
      <c r="S1183">
        <v>0</v>
      </c>
      <c r="T1183">
        <v>0</v>
      </c>
      <c r="U1183" t="s">
        <v>3915</v>
      </c>
      <c r="V1183" t="s">
        <v>31</v>
      </c>
      <c r="W1183">
        <v>0</v>
      </c>
    </row>
    <row r="1184" spans="1:23" x14ac:dyDescent="0.25">
      <c r="A1184" t="s">
        <v>5570</v>
      </c>
      <c r="B1184" t="s">
        <v>2343</v>
      </c>
      <c r="C1184" t="s">
        <v>2342</v>
      </c>
      <c r="D1184" t="s">
        <v>4479</v>
      </c>
      <c r="E1184" t="s">
        <v>4319</v>
      </c>
      <c r="F1184" t="s">
        <v>1069</v>
      </c>
      <c r="G1184" t="s">
        <v>1406</v>
      </c>
      <c r="H1184" s="6">
        <v>46022</v>
      </c>
      <c r="I1184" t="s">
        <v>29</v>
      </c>
      <c r="J1184">
        <v>1434</v>
      </c>
      <c r="K1184">
        <v>0</v>
      </c>
      <c r="L1184">
        <v>0</v>
      </c>
      <c r="M1184">
        <v>0</v>
      </c>
      <c r="N1184" t="s">
        <v>3915</v>
      </c>
      <c r="O1184" t="s">
        <v>3915</v>
      </c>
      <c r="P1184" t="s">
        <v>3915</v>
      </c>
      <c r="Q1184">
        <v>0</v>
      </c>
      <c r="R1184" t="s">
        <v>30</v>
      </c>
      <c r="S1184">
        <v>0</v>
      </c>
      <c r="T1184">
        <v>0</v>
      </c>
      <c r="U1184" t="s">
        <v>3915</v>
      </c>
      <c r="V1184" t="s">
        <v>31</v>
      </c>
      <c r="W1184">
        <v>0</v>
      </c>
    </row>
    <row r="1185" spans="1:23" x14ac:dyDescent="0.25">
      <c r="A1185" t="s">
        <v>4438</v>
      </c>
      <c r="B1185" t="s">
        <v>1314</v>
      </c>
      <c r="C1185" t="s">
        <v>1315</v>
      </c>
      <c r="D1185" t="s">
        <v>4479</v>
      </c>
      <c r="E1185" t="s">
        <v>4319</v>
      </c>
      <c r="F1185" t="s">
        <v>1069</v>
      </c>
      <c r="G1185" t="s">
        <v>1406</v>
      </c>
      <c r="H1185" s="6">
        <v>46022</v>
      </c>
      <c r="I1185" t="s">
        <v>29</v>
      </c>
      <c r="J1185">
        <v>375</v>
      </c>
      <c r="K1185">
        <v>0</v>
      </c>
      <c r="L1185">
        <v>0</v>
      </c>
      <c r="M1185">
        <v>0</v>
      </c>
      <c r="N1185" t="s">
        <v>3915</v>
      </c>
      <c r="O1185" t="s">
        <v>3915</v>
      </c>
      <c r="P1185" t="s">
        <v>3915</v>
      </c>
      <c r="Q1185">
        <v>0</v>
      </c>
      <c r="R1185" t="s">
        <v>30</v>
      </c>
      <c r="S1185">
        <v>0</v>
      </c>
      <c r="T1185">
        <v>0</v>
      </c>
      <c r="U1185" t="s">
        <v>3915</v>
      </c>
      <c r="V1185" t="s">
        <v>31</v>
      </c>
      <c r="W1185">
        <v>0</v>
      </c>
    </row>
    <row r="1186" spans="1:23" x14ac:dyDescent="0.25">
      <c r="A1186" t="s">
        <v>5571</v>
      </c>
      <c r="B1186" t="s">
        <v>2345</v>
      </c>
      <c r="C1186" t="s">
        <v>2344</v>
      </c>
      <c r="D1186" t="s">
        <v>4479</v>
      </c>
      <c r="E1186" t="s">
        <v>4319</v>
      </c>
      <c r="F1186" t="s">
        <v>1069</v>
      </c>
      <c r="G1186" t="s">
        <v>1406</v>
      </c>
      <c r="H1186" s="6">
        <v>46022</v>
      </c>
      <c r="I1186" t="s">
        <v>29</v>
      </c>
      <c r="J1186">
        <v>170</v>
      </c>
      <c r="K1186">
        <v>0</v>
      </c>
      <c r="L1186">
        <v>0</v>
      </c>
      <c r="M1186">
        <v>0</v>
      </c>
      <c r="N1186" t="s">
        <v>3915</v>
      </c>
      <c r="O1186" t="s">
        <v>3915</v>
      </c>
      <c r="P1186" t="s">
        <v>3915</v>
      </c>
      <c r="Q1186">
        <v>0</v>
      </c>
      <c r="R1186" t="s">
        <v>30</v>
      </c>
      <c r="S1186">
        <v>0</v>
      </c>
      <c r="T1186">
        <v>0</v>
      </c>
      <c r="U1186" t="s">
        <v>3915</v>
      </c>
      <c r="V1186" t="s">
        <v>31</v>
      </c>
      <c r="W1186">
        <v>0</v>
      </c>
    </row>
    <row r="1187" spans="1:23" x14ac:dyDescent="0.25">
      <c r="A1187" t="s">
        <v>4439</v>
      </c>
      <c r="B1187" t="s">
        <v>1316</v>
      </c>
      <c r="C1187" t="s">
        <v>1317</v>
      </c>
      <c r="D1187" t="s">
        <v>4479</v>
      </c>
      <c r="E1187" t="s">
        <v>4319</v>
      </c>
      <c r="F1187" t="s">
        <v>1069</v>
      </c>
      <c r="G1187" t="s">
        <v>1406</v>
      </c>
      <c r="H1187" s="6">
        <v>46022</v>
      </c>
      <c r="I1187" t="s">
        <v>29</v>
      </c>
      <c r="J1187">
        <v>204</v>
      </c>
      <c r="K1187">
        <v>0</v>
      </c>
      <c r="L1187">
        <v>0</v>
      </c>
      <c r="M1187">
        <v>0</v>
      </c>
      <c r="N1187" t="s">
        <v>3915</v>
      </c>
      <c r="O1187" t="s">
        <v>3915</v>
      </c>
      <c r="P1187" t="s">
        <v>3915</v>
      </c>
      <c r="Q1187">
        <v>0</v>
      </c>
      <c r="R1187" t="s">
        <v>30</v>
      </c>
      <c r="S1187">
        <v>0</v>
      </c>
      <c r="T1187">
        <v>0</v>
      </c>
      <c r="U1187" t="s">
        <v>3915</v>
      </c>
      <c r="V1187" t="s">
        <v>31</v>
      </c>
      <c r="W1187">
        <v>0</v>
      </c>
    </row>
    <row r="1188" spans="1:23" x14ac:dyDescent="0.25">
      <c r="A1188" t="s">
        <v>5572</v>
      </c>
      <c r="B1188" t="s">
        <v>2347</v>
      </c>
      <c r="C1188" t="s">
        <v>2346</v>
      </c>
      <c r="D1188" t="s">
        <v>4479</v>
      </c>
      <c r="E1188" t="s">
        <v>4319</v>
      </c>
      <c r="F1188" t="s">
        <v>1069</v>
      </c>
      <c r="G1188" t="s">
        <v>1406</v>
      </c>
      <c r="H1188" s="6">
        <v>46022</v>
      </c>
      <c r="I1188" t="s">
        <v>29</v>
      </c>
      <c r="J1188">
        <v>176</v>
      </c>
      <c r="K1188">
        <v>0</v>
      </c>
      <c r="L1188">
        <v>0</v>
      </c>
      <c r="M1188">
        <v>0</v>
      </c>
      <c r="N1188" t="s">
        <v>3915</v>
      </c>
      <c r="O1188" t="s">
        <v>3915</v>
      </c>
      <c r="P1188" t="s">
        <v>3915</v>
      </c>
      <c r="Q1188">
        <v>0</v>
      </c>
      <c r="R1188" t="s">
        <v>30</v>
      </c>
      <c r="S1188">
        <v>0</v>
      </c>
      <c r="T1188">
        <v>0</v>
      </c>
      <c r="U1188" t="s">
        <v>3915</v>
      </c>
      <c r="V1188" t="s">
        <v>31</v>
      </c>
      <c r="W1188">
        <v>0</v>
      </c>
    </row>
    <row r="1189" spans="1:23" x14ac:dyDescent="0.25">
      <c r="A1189" t="s">
        <v>4440</v>
      </c>
      <c r="B1189" t="s">
        <v>1318</v>
      </c>
      <c r="C1189" t="s">
        <v>1319</v>
      </c>
      <c r="D1189" t="s">
        <v>4479</v>
      </c>
      <c r="E1189" t="s">
        <v>4319</v>
      </c>
      <c r="F1189" t="s">
        <v>1069</v>
      </c>
      <c r="G1189" t="s">
        <v>1406</v>
      </c>
      <c r="H1189" s="6">
        <v>46022</v>
      </c>
      <c r="I1189" t="s">
        <v>29</v>
      </c>
      <c r="J1189">
        <v>1044</v>
      </c>
      <c r="K1189">
        <v>0</v>
      </c>
      <c r="L1189">
        <v>0</v>
      </c>
      <c r="M1189">
        <v>0</v>
      </c>
      <c r="N1189" t="s">
        <v>3915</v>
      </c>
      <c r="O1189" t="s">
        <v>3915</v>
      </c>
      <c r="P1189" t="s">
        <v>3915</v>
      </c>
      <c r="Q1189">
        <v>0</v>
      </c>
      <c r="R1189" t="s">
        <v>30</v>
      </c>
      <c r="S1189">
        <v>0</v>
      </c>
      <c r="T1189">
        <v>0</v>
      </c>
      <c r="U1189" t="s">
        <v>3915</v>
      </c>
      <c r="V1189" t="s">
        <v>31</v>
      </c>
      <c r="W1189">
        <v>0</v>
      </c>
    </row>
    <row r="1190" spans="1:23" x14ac:dyDescent="0.25">
      <c r="A1190" t="s">
        <v>4441</v>
      </c>
      <c r="B1190" t="s">
        <v>1320</v>
      </c>
      <c r="C1190" t="s">
        <v>1321</v>
      </c>
      <c r="D1190" t="s">
        <v>4479</v>
      </c>
      <c r="E1190" t="s">
        <v>4319</v>
      </c>
      <c r="F1190" t="s">
        <v>1069</v>
      </c>
      <c r="G1190" t="s">
        <v>1406</v>
      </c>
      <c r="H1190" s="6">
        <v>46022</v>
      </c>
      <c r="I1190" t="s">
        <v>29</v>
      </c>
      <c r="J1190">
        <v>404</v>
      </c>
      <c r="K1190">
        <v>0</v>
      </c>
      <c r="L1190">
        <v>0</v>
      </c>
      <c r="M1190">
        <v>0</v>
      </c>
      <c r="N1190" t="s">
        <v>3915</v>
      </c>
      <c r="O1190" t="s">
        <v>3915</v>
      </c>
      <c r="P1190" t="s">
        <v>3915</v>
      </c>
      <c r="Q1190">
        <v>0</v>
      </c>
      <c r="R1190" t="s">
        <v>30</v>
      </c>
      <c r="S1190">
        <v>0</v>
      </c>
      <c r="T1190">
        <v>0</v>
      </c>
      <c r="U1190" t="s">
        <v>3915</v>
      </c>
      <c r="V1190" t="s">
        <v>31</v>
      </c>
      <c r="W1190">
        <v>0</v>
      </c>
    </row>
    <row r="1191" spans="1:23" x14ac:dyDescent="0.25">
      <c r="A1191" t="s">
        <v>4442</v>
      </c>
      <c r="B1191" t="s">
        <v>1322</v>
      </c>
      <c r="C1191" t="s">
        <v>1323</v>
      </c>
      <c r="D1191" t="s">
        <v>4479</v>
      </c>
      <c r="E1191" t="s">
        <v>4319</v>
      </c>
      <c r="F1191" t="s">
        <v>1069</v>
      </c>
      <c r="G1191" t="s">
        <v>1406</v>
      </c>
      <c r="H1191" s="6">
        <v>46022</v>
      </c>
      <c r="I1191" t="s">
        <v>29</v>
      </c>
      <c r="J1191">
        <v>220</v>
      </c>
      <c r="K1191">
        <v>0</v>
      </c>
      <c r="L1191">
        <v>0</v>
      </c>
      <c r="M1191">
        <v>0</v>
      </c>
      <c r="N1191" t="s">
        <v>3915</v>
      </c>
      <c r="O1191" t="s">
        <v>3915</v>
      </c>
      <c r="P1191" t="s">
        <v>3915</v>
      </c>
      <c r="Q1191">
        <v>0</v>
      </c>
      <c r="R1191" t="s">
        <v>30</v>
      </c>
      <c r="S1191">
        <v>0</v>
      </c>
      <c r="T1191">
        <v>0</v>
      </c>
      <c r="U1191" t="s">
        <v>3915</v>
      </c>
      <c r="V1191" t="s">
        <v>31</v>
      </c>
      <c r="W1191">
        <v>0</v>
      </c>
    </row>
    <row r="1192" spans="1:23" x14ac:dyDescent="0.25">
      <c r="A1192" t="s">
        <v>4443</v>
      </c>
      <c r="B1192" t="s">
        <v>1324</v>
      </c>
      <c r="C1192" t="s">
        <v>1325</v>
      </c>
      <c r="D1192" t="s">
        <v>4479</v>
      </c>
      <c r="E1192" t="s">
        <v>4319</v>
      </c>
      <c r="F1192" t="s">
        <v>1069</v>
      </c>
      <c r="G1192" t="s">
        <v>1406</v>
      </c>
      <c r="H1192" s="6">
        <v>46022</v>
      </c>
      <c r="I1192" t="s">
        <v>29</v>
      </c>
      <c r="J1192">
        <v>337</v>
      </c>
      <c r="K1192">
        <v>0</v>
      </c>
      <c r="L1192">
        <v>0</v>
      </c>
      <c r="M1192">
        <v>0</v>
      </c>
      <c r="N1192" t="s">
        <v>3915</v>
      </c>
      <c r="O1192" t="s">
        <v>3915</v>
      </c>
      <c r="P1192" t="s">
        <v>3915</v>
      </c>
      <c r="Q1192">
        <v>0</v>
      </c>
      <c r="R1192" t="s">
        <v>30</v>
      </c>
      <c r="S1192">
        <v>0</v>
      </c>
      <c r="T1192">
        <v>0</v>
      </c>
      <c r="U1192" t="s">
        <v>3915</v>
      </c>
      <c r="V1192" t="s">
        <v>31</v>
      </c>
      <c r="W1192">
        <v>0</v>
      </c>
    </row>
    <row r="1193" spans="1:23" x14ac:dyDescent="0.25">
      <c r="A1193" t="s">
        <v>4444</v>
      </c>
      <c r="B1193" t="s">
        <v>1326</v>
      </c>
      <c r="C1193" t="s">
        <v>1327</v>
      </c>
      <c r="D1193" t="s">
        <v>4479</v>
      </c>
      <c r="E1193" t="s">
        <v>4319</v>
      </c>
      <c r="F1193" t="s">
        <v>1069</v>
      </c>
      <c r="G1193" t="s">
        <v>1406</v>
      </c>
      <c r="H1193" s="6">
        <v>46022</v>
      </c>
      <c r="I1193" t="s">
        <v>29</v>
      </c>
      <c r="J1193">
        <v>341</v>
      </c>
      <c r="K1193">
        <v>0</v>
      </c>
      <c r="L1193">
        <v>0</v>
      </c>
      <c r="M1193">
        <v>0</v>
      </c>
      <c r="N1193" t="s">
        <v>3915</v>
      </c>
      <c r="O1193" t="s">
        <v>3915</v>
      </c>
      <c r="P1193" t="s">
        <v>3915</v>
      </c>
      <c r="Q1193">
        <v>0</v>
      </c>
      <c r="R1193" t="s">
        <v>30</v>
      </c>
      <c r="S1193">
        <v>0</v>
      </c>
      <c r="T1193">
        <v>0</v>
      </c>
      <c r="U1193" t="s">
        <v>3915</v>
      </c>
      <c r="V1193" t="s">
        <v>31</v>
      </c>
      <c r="W1193">
        <v>0</v>
      </c>
    </row>
    <row r="1194" spans="1:23" x14ac:dyDescent="0.25">
      <c r="A1194" t="s">
        <v>4445</v>
      </c>
      <c r="B1194" t="s">
        <v>1328</v>
      </c>
      <c r="C1194" t="s">
        <v>1329</v>
      </c>
      <c r="D1194" t="s">
        <v>4479</v>
      </c>
      <c r="E1194" t="s">
        <v>4319</v>
      </c>
      <c r="F1194" t="s">
        <v>1069</v>
      </c>
      <c r="G1194" t="s">
        <v>1406</v>
      </c>
      <c r="H1194" s="6">
        <v>46022</v>
      </c>
      <c r="I1194" t="s">
        <v>29</v>
      </c>
      <c r="J1194">
        <v>387</v>
      </c>
      <c r="K1194">
        <v>0</v>
      </c>
      <c r="L1194">
        <v>0</v>
      </c>
      <c r="M1194">
        <v>0</v>
      </c>
      <c r="N1194" t="s">
        <v>3915</v>
      </c>
      <c r="O1194" t="s">
        <v>3915</v>
      </c>
      <c r="P1194" t="s">
        <v>3915</v>
      </c>
      <c r="Q1194">
        <v>0</v>
      </c>
      <c r="R1194" t="s">
        <v>30</v>
      </c>
      <c r="S1194">
        <v>0</v>
      </c>
      <c r="T1194">
        <v>0</v>
      </c>
      <c r="U1194" t="s">
        <v>3915</v>
      </c>
      <c r="V1194" t="s">
        <v>31</v>
      </c>
      <c r="W1194">
        <v>0</v>
      </c>
    </row>
    <row r="1195" spans="1:23" x14ac:dyDescent="0.25">
      <c r="A1195" t="s">
        <v>5573</v>
      </c>
      <c r="B1195" t="s">
        <v>2349</v>
      </c>
      <c r="C1195" t="s">
        <v>2348</v>
      </c>
      <c r="D1195" t="s">
        <v>4479</v>
      </c>
      <c r="E1195" t="s">
        <v>4319</v>
      </c>
      <c r="F1195" t="s">
        <v>1069</v>
      </c>
      <c r="G1195" t="s">
        <v>1406</v>
      </c>
      <c r="H1195" s="6">
        <v>46022</v>
      </c>
      <c r="I1195" t="s">
        <v>29</v>
      </c>
      <c r="J1195">
        <v>169</v>
      </c>
      <c r="K1195">
        <v>0</v>
      </c>
      <c r="L1195">
        <v>0</v>
      </c>
      <c r="M1195">
        <v>0</v>
      </c>
      <c r="N1195" t="s">
        <v>3915</v>
      </c>
      <c r="O1195" t="s">
        <v>3915</v>
      </c>
      <c r="P1195" t="s">
        <v>3915</v>
      </c>
      <c r="Q1195">
        <v>0</v>
      </c>
      <c r="R1195" t="s">
        <v>30</v>
      </c>
      <c r="S1195">
        <v>0</v>
      </c>
      <c r="T1195">
        <v>0</v>
      </c>
      <c r="U1195" t="s">
        <v>3915</v>
      </c>
      <c r="V1195" t="s">
        <v>31</v>
      </c>
      <c r="W1195">
        <v>0</v>
      </c>
    </row>
    <row r="1196" spans="1:23" x14ac:dyDescent="0.25">
      <c r="A1196" t="s">
        <v>4446</v>
      </c>
      <c r="B1196" t="s">
        <v>1330</v>
      </c>
      <c r="C1196" t="s">
        <v>1331</v>
      </c>
      <c r="D1196" t="s">
        <v>4479</v>
      </c>
      <c r="E1196" t="s">
        <v>4319</v>
      </c>
      <c r="F1196" t="s">
        <v>1069</v>
      </c>
      <c r="G1196" t="s">
        <v>1406</v>
      </c>
      <c r="H1196" s="6">
        <v>46022</v>
      </c>
      <c r="I1196" t="s">
        <v>29</v>
      </c>
      <c r="J1196">
        <v>73</v>
      </c>
      <c r="K1196">
        <v>0</v>
      </c>
      <c r="L1196">
        <v>0</v>
      </c>
      <c r="M1196">
        <v>0</v>
      </c>
      <c r="N1196" t="s">
        <v>3915</v>
      </c>
      <c r="O1196" t="s">
        <v>3915</v>
      </c>
      <c r="P1196" t="s">
        <v>3915</v>
      </c>
      <c r="Q1196">
        <v>0</v>
      </c>
      <c r="R1196" t="s">
        <v>30</v>
      </c>
      <c r="S1196">
        <v>0</v>
      </c>
      <c r="T1196">
        <v>0</v>
      </c>
      <c r="U1196" t="s">
        <v>3915</v>
      </c>
      <c r="V1196" t="s">
        <v>31</v>
      </c>
      <c r="W1196">
        <v>0</v>
      </c>
    </row>
    <row r="1197" spans="1:23" x14ac:dyDescent="0.25">
      <c r="A1197" t="s">
        <v>5574</v>
      </c>
      <c r="B1197" t="s">
        <v>2351</v>
      </c>
      <c r="C1197" t="s">
        <v>2350</v>
      </c>
      <c r="D1197" t="s">
        <v>4479</v>
      </c>
      <c r="E1197" t="s">
        <v>4319</v>
      </c>
      <c r="F1197" t="s">
        <v>1069</v>
      </c>
      <c r="G1197" t="s">
        <v>1406</v>
      </c>
      <c r="H1197" s="6">
        <v>46022</v>
      </c>
      <c r="I1197" t="s">
        <v>29</v>
      </c>
      <c r="J1197">
        <v>153</v>
      </c>
      <c r="K1197">
        <v>0</v>
      </c>
      <c r="L1197">
        <v>0</v>
      </c>
      <c r="M1197">
        <v>0</v>
      </c>
      <c r="N1197" t="s">
        <v>3915</v>
      </c>
      <c r="O1197" t="s">
        <v>3915</v>
      </c>
      <c r="P1197" t="s">
        <v>3915</v>
      </c>
      <c r="Q1197">
        <v>0</v>
      </c>
      <c r="R1197" t="s">
        <v>30</v>
      </c>
      <c r="S1197">
        <v>0</v>
      </c>
      <c r="T1197">
        <v>0</v>
      </c>
      <c r="U1197" t="s">
        <v>3915</v>
      </c>
      <c r="V1197" t="s">
        <v>31</v>
      </c>
      <c r="W1197">
        <v>0</v>
      </c>
    </row>
    <row r="1198" spans="1:23" x14ac:dyDescent="0.25">
      <c r="A1198" t="s">
        <v>4447</v>
      </c>
      <c r="B1198" t="s">
        <v>1332</v>
      </c>
      <c r="C1198" t="s">
        <v>1333</v>
      </c>
      <c r="D1198" t="s">
        <v>4479</v>
      </c>
      <c r="E1198" t="s">
        <v>4319</v>
      </c>
      <c r="F1198" t="s">
        <v>1069</v>
      </c>
      <c r="G1198" t="s">
        <v>1406</v>
      </c>
      <c r="H1198" s="6">
        <v>46022</v>
      </c>
      <c r="I1198" t="s">
        <v>29</v>
      </c>
      <c r="J1198">
        <v>1180</v>
      </c>
      <c r="K1198">
        <v>0</v>
      </c>
      <c r="L1198">
        <v>0</v>
      </c>
      <c r="M1198">
        <v>0</v>
      </c>
      <c r="N1198" t="s">
        <v>3915</v>
      </c>
      <c r="O1198" t="s">
        <v>3915</v>
      </c>
      <c r="P1198" t="s">
        <v>3915</v>
      </c>
      <c r="Q1198">
        <v>0</v>
      </c>
      <c r="R1198" t="s">
        <v>30</v>
      </c>
      <c r="S1198">
        <v>0</v>
      </c>
      <c r="T1198">
        <v>0</v>
      </c>
      <c r="U1198" t="s">
        <v>3915</v>
      </c>
      <c r="V1198" t="s">
        <v>31</v>
      </c>
      <c r="W1198">
        <v>0</v>
      </c>
    </row>
    <row r="1199" spans="1:23" x14ac:dyDescent="0.25">
      <c r="A1199" t="s">
        <v>4448</v>
      </c>
      <c r="B1199" t="s">
        <v>1334</v>
      </c>
      <c r="C1199" t="s">
        <v>1335</v>
      </c>
      <c r="D1199" t="s">
        <v>4479</v>
      </c>
      <c r="E1199" t="s">
        <v>4319</v>
      </c>
      <c r="F1199" t="s">
        <v>1069</v>
      </c>
      <c r="G1199" t="s">
        <v>1406</v>
      </c>
      <c r="H1199" s="6">
        <v>46022</v>
      </c>
      <c r="I1199" t="s">
        <v>29</v>
      </c>
      <c r="J1199">
        <v>462</v>
      </c>
      <c r="K1199">
        <v>0</v>
      </c>
      <c r="L1199">
        <v>0</v>
      </c>
      <c r="M1199">
        <v>0</v>
      </c>
      <c r="N1199" t="s">
        <v>3915</v>
      </c>
      <c r="O1199" t="s">
        <v>3915</v>
      </c>
      <c r="P1199" t="s">
        <v>3915</v>
      </c>
      <c r="Q1199">
        <v>0</v>
      </c>
      <c r="R1199" t="s">
        <v>30</v>
      </c>
      <c r="S1199">
        <v>0</v>
      </c>
      <c r="T1199">
        <v>0</v>
      </c>
      <c r="U1199" t="s">
        <v>3915</v>
      </c>
      <c r="V1199" t="s">
        <v>31</v>
      </c>
      <c r="W1199">
        <v>0</v>
      </c>
    </row>
    <row r="1200" spans="1:23" x14ac:dyDescent="0.25">
      <c r="A1200" t="s">
        <v>4449</v>
      </c>
      <c r="B1200" t="s">
        <v>1336</v>
      </c>
      <c r="C1200" t="s">
        <v>1337</v>
      </c>
      <c r="D1200" t="s">
        <v>4479</v>
      </c>
      <c r="E1200" t="s">
        <v>4319</v>
      </c>
      <c r="F1200" t="s">
        <v>1069</v>
      </c>
      <c r="G1200" t="s">
        <v>1406</v>
      </c>
      <c r="H1200" s="6">
        <v>46022</v>
      </c>
      <c r="I1200" t="s">
        <v>29</v>
      </c>
      <c r="J1200">
        <v>604</v>
      </c>
      <c r="K1200">
        <v>0</v>
      </c>
      <c r="L1200">
        <v>0</v>
      </c>
      <c r="M1200">
        <v>0</v>
      </c>
      <c r="N1200" t="s">
        <v>3915</v>
      </c>
      <c r="O1200" t="s">
        <v>3915</v>
      </c>
      <c r="P1200" t="s">
        <v>3915</v>
      </c>
      <c r="Q1200">
        <v>0</v>
      </c>
      <c r="R1200" t="s">
        <v>30</v>
      </c>
      <c r="S1200">
        <v>0</v>
      </c>
      <c r="T1200">
        <v>0</v>
      </c>
      <c r="U1200" t="s">
        <v>3915</v>
      </c>
      <c r="V1200" t="s">
        <v>31</v>
      </c>
      <c r="W1200">
        <v>0</v>
      </c>
    </row>
    <row r="1201" spans="1:23" x14ac:dyDescent="0.25">
      <c r="A1201" t="s">
        <v>4450</v>
      </c>
      <c r="B1201" t="s">
        <v>1338</v>
      </c>
      <c r="C1201" t="s">
        <v>1339</v>
      </c>
      <c r="D1201" t="s">
        <v>4479</v>
      </c>
      <c r="E1201" t="s">
        <v>4319</v>
      </c>
      <c r="F1201" t="s">
        <v>1069</v>
      </c>
      <c r="G1201" t="s">
        <v>1406</v>
      </c>
      <c r="H1201" s="6">
        <v>46022</v>
      </c>
      <c r="I1201" t="s">
        <v>29</v>
      </c>
      <c r="J1201">
        <v>368</v>
      </c>
      <c r="K1201">
        <v>0</v>
      </c>
      <c r="L1201">
        <v>0</v>
      </c>
      <c r="M1201">
        <v>0</v>
      </c>
      <c r="N1201" t="s">
        <v>3915</v>
      </c>
      <c r="O1201" t="s">
        <v>3915</v>
      </c>
      <c r="P1201" t="s">
        <v>3915</v>
      </c>
      <c r="Q1201">
        <v>0</v>
      </c>
      <c r="R1201" t="s">
        <v>30</v>
      </c>
      <c r="S1201">
        <v>0</v>
      </c>
      <c r="T1201">
        <v>0</v>
      </c>
      <c r="U1201" t="s">
        <v>3915</v>
      </c>
      <c r="V1201" t="s">
        <v>31</v>
      </c>
      <c r="W1201">
        <v>0</v>
      </c>
    </row>
    <row r="1202" spans="1:23" x14ac:dyDescent="0.25">
      <c r="A1202" t="s">
        <v>4451</v>
      </c>
      <c r="B1202" t="s">
        <v>1340</v>
      </c>
      <c r="C1202" t="s">
        <v>1341</v>
      </c>
      <c r="D1202" t="s">
        <v>4479</v>
      </c>
      <c r="E1202" t="s">
        <v>4319</v>
      </c>
      <c r="F1202" t="s">
        <v>1069</v>
      </c>
      <c r="G1202" t="s">
        <v>1406</v>
      </c>
      <c r="H1202" s="6">
        <v>46022</v>
      </c>
      <c r="I1202" t="s">
        <v>29</v>
      </c>
      <c r="J1202">
        <v>343</v>
      </c>
      <c r="K1202">
        <v>0</v>
      </c>
      <c r="L1202">
        <v>0</v>
      </c>
      <c r="M1202">
        <v>0</v>
      </c>
      <c r="N1202" t="s">
        <v>3915</v>
      </c>
      <c r="O1202" t="s">
        <v>3915</v>
      </c>
      <c r="P1202" t="s">
        <v>3915</v>
      </c>
      <c r="Q1202">
        <v>0</v>
      </c>
      <c r="R1202" t="s">
        <v>30</v>
      </c>
      <c r="S1202">
        <v>0</v>
      </c>
      <c r="T1202">
        <v>0</v>
      </c>
      <c r="U1202" t="s">
        <v>3915</v>
      </c>
      <c r="V1202" t="s">
        <v>31</v>
      </c>
      <c r="W1202">
        <v>0</v>
      </c>
    </row>
    <row r="1203" spans="1:23" x14ac:dyDescent="0.25">
      <c r="A1203" t="s">
        <v>5003</v>
      </c>
      <c r="B1203" t="s">
        <v>2353</v>
      </c>
      <c r="C1203" t="s">
        <v>2352</v>
      </c>
      <c r="D1203" t="s">
        <v>4479</v>
      </c>
      <c r="E1203" t="s">
        <v>4319</v>
      </c>
      <c r="F1203" t="s">
        <v>1069</v>
      </c>
      <c r="G1203" t="s">
        <v>1406</v>
      </c>
      <c r="H1203" s="6">
        <v>46022</v>
      </c>
      <c r="I1203" t="s">
        <v>29</v>
      </c>
      <c r="J1203">
        <v>1435</v>
      </c>
      <c r="K1203">
        <v>0</v>
      </c>
      <c r="L1203">
        <v>0</v>
      </c>
      <c r="M1203">
        <v>0</v>
      </c>
      <c r="N1203" t="s">
        <v>3915</v>
      </c>
      <c r="O1203" t="s">
        <v>3915</v>
      </c>
      <c r="P1203" t="s">
        <v>3915</v>
      </c>
      <c r="Q1203">
        <v>0</v>
      </c>
      <c r="R1203" t="s">
        <v>30</v>
      </c>
      <c r="S1203">
        <v>0</v>
      </c>
      <c r="T1203">
        <v>0</v>
      </c>
      <c r="U1203" t="s">
        <v>3915</v>
      </c>
      <c r="V1203" t="s">
        <v>31</v>
      </c>
      <c r="W1203">
        <v>0</v>
      </c>
    </row>
    <row r="1204" spans="1:23" x14ac:dyDescent="0.25">
      <c r="A1204" t="s">
        <v>5006</v>
      </c>
      <c r="B1204" t="s">
        <v>2355</v>
      </c>
      <c r="C1204" t="s">
        <v>2354</v>
      </c>
      <c r="D1204" t="s">
        <v>4479</v>
      </c>
      <c r="E1204" t="s">
        <v>4319</v>
      </c>
      <c r="F1204" t="s">
        <v>1069</v>
      </c>
      <c r="G1204" t="s">
        <v>1406</v>
      </c>
      <c r="H1204" s="6">
        <v>46022</v>
      </c>
      <c r="I1204" t="s">
        <v>29</v>
      </c>
      <c r="J1204">
        <v>4242</v>
      </c>
      <c r="K1204">
        <v>0</v>
      </c>
      <c r="L1204">
        <v>0</v>
      </c>
      <c r="M1204">
        <v>0</v>
      </c>
      <c r="N1204" t="s">
        <v>3915</v>
      </c>
      <c r="O1204" t="s">
        <v>3915</v>
      </c>
      <c r="P1204" t="s">
        <v>3915</v>
      </c>
      <c r="Q1204">
        <v>0</v>
      </c>
      <c r="R1204" t="s">
        <v>30</v>
      </c>
      <c r="S1204">
        <v>0</v>
      </c>
      <c r="T1204">
        <v>0</v>
      </c>
      <c r="U1204" t="s">
        <v>3915</v>
      </c>
      <c r="V1204" t="s">
        <v>31</v>
      </c>
      <c r="W1204">
        <v>0</v>
      </c>
    </row>
    <row r="1205" spans="1:23" x14ac:dyDescent="0.25">
      <c r="A1205" t="s">
        <v>5007</v>
      </c>
      <c r="B1205" t="s">
        <v>2357</v>
      </c>
      <c r="C1205" t="s">
        <v>2356</v>
      </c>
      <c r="D1205" t="s">
        <v>4479</v>
      </c>
      <c r="E1205" t="s">
        <v>4319</v>
      </c>
      <c r="F1205" t="s">
        <v>1069</v>
      </c>
      <c r="G1205" t="s">
        <v>1406</v>
      </c>
      <c r="H1205" s="6">
        <v>46022</v>
      </c>
      <c r="I1205" t="s">
        <v>29</v>
      </c>
      <c r="J1205">
        <v>358</v>
      </c>
      <c r="K1205">
        <v>0</v>
      </c>
      <c r="L1205">
        <v>0</v>
      </c>
      <c r="M1205">
        <v>0</v>
      </c>
      <c r="N1205" t="s">
        <v>3915</v>
      </c>
      <c r="O1205" t="s">
        <v>3915</v>
      </c>
      <c r="P1205" t="s">
        <v>3915</v>
      </c>
      <c r="Q1205">
        <v>0</v>
      </c>
      <c r="R1205" t="s">
        <v>30</v>
      </c>
      <c r="S1205">
        <v>0</v>
      </c>
      <c r="T1205">
        <v>0</v>
      </c>
      <c r="U1205" t="s">
        <v>3915</v>
      </c>
      <c r="V1205" t="s">
        <v>31</v>
      </c>
      <c r="W1205">
        <v>0</v>
      </c>
    </row>
    <row r="1206" spans="1:23" x14ac:dyDescent="0.25">
      <c r="A1206" t="s">
        <v>4452</v>
      </c>
      <c r="B1206" t="s">
        <v>1342</v>
      </c>
      <c r="C1206" t="s">
        <v>1343</v>
      </c>
      <c r="D1206" t="s">
        <v>4479</v>
      </c>
      <c r="E1206" t="s">
        <v>4319</v>
      </c>
      <c r="F1206" t="s">
        <v>1069</v>
      </c>
      <c r="G1206" t="s">
        <v>1406</v>
      </c>
      <c r="H1206" s="6">
        <v>46022</v>
      </c>
      <c r="I1206" t="s">
        <v>29</v>
      </c>
      <c r="J1206">
        <v>1010</v>
      </c>
      <c r="K1206">
        <v>0</v>
      </c>
      <c r="L1206">
        <v>0</v>
      </c>
      <c r="M1206">
        <v>0</v>
      </c>
      <c r="N1206" t="s">
        <v>3915</v>
      </c>
      <c r="O1206" t="s">
        <v>3915</v>
      </c>
      <c r="P1206" t="s">
        <v>3915</v>
      </c>
      <c r="Q1206">
        <v>0</v>
      </c>
      <c r="R1206" t="s">
        <v>82</v>
      </c>
      <c r="S1206">
        <v>0</v>
      </c>
      <c r="T1206">
        <v>0</v>
      </c>
      <c r="U1206" t="s">
        <v>3915</v>
      </c>
      <c r="V1206" t="s">
        <v>31</v>
      </c>
      <c r="W1206">
        <v>0</v>
      </c>
    </row>
    <row r="1207" spans="1:23" x14ac:dyDescent="0.25">
      <c r="A1207" t="s">
        <v>5575</v>
      </c>
      <c r="B1207" t="s">
        <v>2359</v>
      </c>
      <c r="C1207" t="s">
        <v>2358</v>
      </c>
      <c r="D1207" t="s">
        <v>4479</v>
      </c>
      <c r="E1207" t="s">
        <v>4319</v>
      </c>
      <c r="F1207" t="s">
        <v>1069</v>
      </c>
      <c r="G1207" t="s">
        <v>1406</v>
      </c>
      <c r="H1207" s="6">
        <v>46022</v>
      </c>
      <c r="I1207" t="s">
        <v>29</v>
      </c>
      <c r="J1207">
        <v>42</v>
      </c>
      <c r="K1207">
        <v>0</v>
      </c>
      <c r="L1207">
        <v>0</v>
      </c>
      <c r="M1207">
        <v>0</v>
      </c>
      <c r="N1207" t="s">
        <v>3915</v>
      </c>
      <c r="O1207" t="s">
        <v>3915</v>
      </c>
      <c r="P1207" t="s">
        <v>3915</v>
      </c>
      <c r="Q1207">
        <v>0</v>
      </c>
      <c r="R1207" t="s">
        <v>30</v>
      </c>
      <c r="S1207">
        <v>0</v>
      </c>
      <c r="T1207">
        <v>0</v>
      </c>
      <c r="U1207" t="s">
        <v>3915</v>
      </c>
      <c r="V1207" t="s">
        <v>31</v>
      </c>
      <c r="W1207">
        <v>0</v>
      </c>
    </row>
    <row r="1208" spans="1:23" x14ac:dyDescent="0.25">
      <c r="A1208" t="s">
        <v>4453</v>
      </c>
      <c r="B1208" t="s">
        <v>1344</v>
      </c>
      <c r="C1208" t="s">
        <v>1345</v>
      </c>
      <c r="D1208" t="s">
        <v>4479</v>
      </c>
      <c r="E1208" t="s">
        <v>4319</v>
      </c>
      <c r="F1208" t="s">
        <v>1069</v>
      </c>
      <c r="G1208" t="s">
        <v>1406</v>
      </c>
      <c r="H1208" s="6">
        <v>46022</v>
      </c>
      <c r="I1208" t="s">
        <v>29</v>
      </c>
      <c r="J1208">
        <v>1133.5999999999999</v>
      </c>
      <c r="K1208">
        <v>0</v>
      </c>
      <c r="L1208">
        <v>0</v>
      </c>
      <c r="M1208">
        <v>0</v>
      </c>
      <c r="N1208" t="s">
        <v>3915</v>
      </c>
      <c r="O1208" t="s">
        <v>3915</v>
      </c>
      <c r="P1208" t="s">
        <v>3915</v>
      </c>
      <c r="Q1208">
        <v>0</v>
      </c>
      <c r="R1208" t="s">
        <v>82</v>
      </c>
      <c r="S1208">
        <v>0</v>
      </c>
      <c r="T1208">
        <v>0</v>
      </c>
      <c r="U1208" t="s">
        <v>3915</v>
      </c>
      <c r="V1208" t="s">
        <v>31</v>
      </c>
      <c r="W1208">
        <v>0</v>
      </c>
    </row>
    <row r="1209" spans="1:23" x14ac:dyDescent="0.25">
      <c r="A1209" t="s">
        <v>5576</v>
      </c>
      <c r="B1209" t="s">
        <v>2361</v>
      </c>
      <c r="C1209" t="s">
        <v>2360</v>
      </c>
      <c r="D1209" t="s">
        <v>4479</v>
      </c>
      <c r="E1209" t="s">
        <v>4319</v>
      </c>
      <c r="F1209" t="s">
        <v>1069</v>
      </c>
      <c r="G1209" t="s">
        <v>1406</v>
      </c>
      <c r="H1209" s="6">
        <v>46022</v>
      </c>
      <c r="I1209" t="s">
        <v>29</v>
      </c>
      <c r="J1209">
        <v>20</v>
      </c>
      <c r="K1209">
        <v>0</v>
      </c>
      <c r="L1209">
        <v>0</v>
      </c>
      <c r="M1209">
        <v>0</v>
      </c>
      <c r="N1209" t="s">
        <v>3915</v>
      </c>
      <c r="O1209" t="s">
        <v>3915</v>
      </c>
      <c r="P1209" t="s">
        <v>3915</v>
      </c>
      <c r="Q1209">
        <v>0</v>
      </c>
      <c r="R1209" t="s">
        <v>30</v>
      </c>
      <c r="S1209">
        <v>0</v>
      </c>
      <c r="T1209">
        <v>0</v>
      </c>
      <c r="U1209" t="s">
        <v>3915</v>
      </c>
      <c r="V1209" t="s">
        <v>31</v>
      </c>
      <c r="W1209">
        <v>0</v>
      </c>
    </row>
    <row r="1210" spans="1:23" x14ac:dyDescent="0.25">
      <c r="A1210" t="s">
        <v>4454</v>
      </c>
      <c r="B1210" t="s">
        <v>1346</v>
      </c>
      <c r="C1210" t="s">
        <v>1347</v>
      </c>
      <c r="D1210" t="s">
        <v>4479</v>
      </c>
      <c r="E1210" t="s">
        <v>4319</v>
      </c>
      <c r="F1210" t="s">
        <v>1069</v>
      </c>
      <c r="G1210" t="s">
        <v>1406</v>
      </c>
      <c r="H1210" s="6">
        <v>46022</v>
      </c>
      <c r="I1210" t="s">
        <v>29</v>
      </c>
      <c r="J1210">
        <v>1652.5</v>
      </c>
      <c r="K1210">
        <v>0</v>
      </c>
      <c r="L1210">
        <v>0</v>
      </c>
      <c r="M1210">
        <v>0</v>
      </c>
      <c r="N1210" t="s">
        <v>3915</v>
      </c>
      <c r="O1210" t="s">
        <v>3915</v>
      </c>
      <c r="P1210" t="s">
        <v>3915</v>
      </c>
      <c r="Q1210">
        <v>0</v>
      </c>
      <c r="R1210" t="s">
        <v>489</v>
      </c>
      <c r="S1210">
        <v>0</v>
      </c>
      <c r="T1210">
        <v>0</v>
      </c>
      <c r="U1210" t="s">
        <v>3915</v>
      </c>
      <c r="V1210" t="s">
        <v>31</v>
      </c>
      <c r="W1210">
        <v>0</v>
      </c>
    </row>
    <row r="1211" spans="1:23" x14ac:dyDescent="0.25">
      <c r="A1211" t="s">
        <v>5578</v>
      </c>
      <c r="B1211" t="s">
        <v>2365</v>
      </c>
      <c r="C1211" t="s">
        <v>2364</v>
      </c>
      <c r="D1211" t="s">
        <v>4479</v>
      </c>
      <c r="E1211" t="s">
        <v>4319</v>
      </c>
      <c r="F1211" t="s">
        <v>1069</v>
      </c>
      <c r="G1211" t="s">
        <v>1406</v>
      </c>
      <c r="H1211" s="6">
        <v>46022</v>
      </c>
      <c r="I1211" t="s">
        <v>29</v>
      </c>
      <c r="J1211">
        <v>95</v>
      </c>
      <c r="K1211">
        <v>0</v>
      </c>
      <c r="L1211">
        <v>0</v>
      </c>
      <c r="M1211">
        <v>0</v>
      </c>
      <c r="N1211" t="s">
        <v>3915</v>
      </c>
      <c r="O1211" t="s">
        <v>3915</v>
      </c>
      <c r="P1211" t="s">
        <v>3915</v>
      </c>
      <c r="Q1211">
        <v>0</v>
      </c>
      <c r="R1211" t="s">
        <v>30</v>
      </c>
      <c r="S1211">
        <v>0</v>
      </c>
      <c r="T1211">
        <v>0</v>
      </c>
      <c r="U1211" t="s">
        <v>3915</v>
      </c>
      <c r="V1211" t="s">
        <v>31</v>
      </c>
      <c r="W1211">
        <v>0</v>
      </c>
    </row>
    <row r="1212" spans="1:23" x14ac:dyDescent="0.25">
      <c r="A1212" t="s">
        <v>5579</v>
      </c>
      <c r="B1212" t="s">
        <v>2367</v>
      </c>
      <c r="C1212" t="s">
        <v>2366</v>
      </c>
      <c r="D1212" t="s">
        <v>4479</v>
      </c>
      <c r="E1212" t="s">
        <v>4319</v>
      </c>
      <c r="F1212" t="s">
        <v>1069</v>
      </c>
      <c r="G1212" t="s">
        <v>1406</v>
      </c>
      <c r="H1212" s="6">
        <v>46022</v>
      </c>
      <c r="I1212" t="s">
        <v>29</v>
      </c>
      <c r="J1212">
        <v>5</v>
      </c>
      <c r="K1212">
        <v>0</v>
      </c>
      <c r="L1212">
        <v>0</v>
      </c>
      <c r="M1212">
        <v>0</v>
      </c>
      <c r="N1212" t="s">
        <v>3915</v>
      </c>
      <c r="O1212" t="s">
        <v>3915</v>
      </c>
      <c r="P1212" t="s">
        <v>3915</v>
      </c>
      <c r="Q1212">
        <v>0</v>
      </c>
      <c r="R1212" t="s">
        <v>30</v>
      </c>
      <c r="S1212">
        <v>0</v>
      </c>
      <c r="T1212">
        <v>0</v>
      </c>
      <c r="U1212" t="s">
        <v>3915</v>
      </c>
      <c r="V1212" t="s">
        <v>31</v>
      </c>
      <c r="W1212">
        <v>0</v>
      </c>
    </row>
    <row r="1213" spans="1:23" x14ac:dyDescent="0.25">
      <c r="A1213" t="s">
        <v>4455</v>
      </c>
      <c r="B1213" t="s">
        <v>1348</v>
      </c>
      <c r="C1213" t="s">
        <v>1349</v>
      </c>
      <c r="D1213" t="s">
        <v>4479</v>
      </c>
      <c r="E1213" t="s">
        <v>4319</v>
      </c>
      <c r="F1213" t="s">
        <v>1069</v>
      </c>
      <c r="G1213" t="s">
        <v>1406</v>
      </c>
      <c r="H1213" s="6">
        <v>46022</v>
      </c>
      <c r="I1213" t="s">
        <v>29</v>
      </c>
      <c r="J1213">
        <v>95</v>
      </c>
      <c r="K1213">
        <v>0</v>
      </c>
      <c r="L1213">
        <v>0</v>
      </c>
      <c r="M1213">
        <v>0</v>
      </c>
      <c r="N1213" t="s">
        <v>3915</v>
      </c>
      <c r="O1213" t="s">
        <v>3915</v>
      </c>
      <c r="P1213" t="s">
        <v>3915</v>
      </c>
      <c r="Q1213">
        <v>0</v>
      </c>
      <c r="R1213" t="s">
        <v>82</v>
      </c>
      <c r="S1213">
        <v>0</v>
      </c>
      <c r="T1213">
        <v>0</v>
      </c>
      <c r="U1213" t="s">
        <v>3915</v>
      </c>
      <c r="V1213" t="s">
        <v>31</v>
      </c>
      <c r="W1213">
        <v>0</v>
      </c>
    </row>
    <row r="1214" spans="1:23" x14ac:dyDescent="0.25">
      <c r="A1214" t="s">
        <v>5580</v>
      </c>
      <c r="B1214" t="s">
        <v>2369</v>
      </c>
      <c r="C1214" t="s">
        <v>2368</v>
      </c>
      <c r="D1214" t="s">
        <v>4479</v>
      </c>
      <c r="E1214" t="s">
        <v>4319</v>
      </c>
      <c r="F1214" t="s">
        <v>1069</v>
      </c>
      <c r="G1214" t="s">
        <v>1406</v>
      </c>
      <c r="H1214" s="6">
        <v>46022</v>
      </c>
      <c r="I1214" t="s">
        <v>29</v>
      </c>
      <c r="J1214">
        <v>13</v>
      </c>
      <c r="K1214">
        <v>0</v>
      </c>
      <c r="L1214">
        <v>0</v>
      </c>
      <c r="M1214">
        <v>0</v>
      </c>
      <c r="N1214" t="s">
        <v>3915</v>
      </c>
      <c r="O1214" t="s">
        <v>3915</v>
      </c>
      <c r="P1214" t="s">
        <v>3915</v>
      </c>
      <c r="Q1214">
        <v>0</v>
      </c>
      <c r="R1214" t="s">
        <v>30</v>
      </c>
      <c r="S1214">
        <v>0</v>
      </c>
      <c r="T1214">
        <v>0</v>
      </c>
      <c r="U1214" t="s">
        <v>3915</v>
      </c>
      <c r="V1214" t="s">
        <v>31</v>
      </c>
      <c r="W1214">
        <v>0</v>
      </c>
    </row>
    <row r="1215" spans="1:23" x14ac:dyDescent="0.25">
      <c r="A1215" t="s">
        <v>5581</v>
      </c>
      <c r="B1215" t="s">
        <v>2371</v>
      </c>
      <c r="C1215" t="s">
        <v>2370</v>
      </c>
      <c r="D1215" t="s">
        <v>4479</v>
      </c>
      <c r="E1215" t="s">
        <v>4319</v>
      </c>
      <c r="F1215" t="s">
        <v>1069</v>
      </c>
      <c r="G1215" t="s">
        <v>1406</v>
      </c>
      <c r="H1215" s="6">
        <v>46022</v>
      </c>
      <c r="I1215" t="s">
        <v>29</v>
      </c>
      <c r="J1215">
        <v>549</v>
      </c>
      <c r="K1215">
        <v>0</v>
      </c>
      <c r="L1215">
        <v>0</v>
      </c>
      <c r="M1215">
        <v>0</v>
      </c>
      <c r="N1215" t="s">
        <v>3915</v>
      </c>
      <c r="O1215" t="s">
        <v>3915</v>
      </c>
      <c r="P1215" t="s">
        <v>3915</v>
      </c>
      <c r="Q1215">
        <v>0</v>
      </c>
      <c r="R1215" t="s">
        <v>82</v>
      </c>
      <c r="S1215">
        <v>0</v>
      </c>
      <c r="T1215">
        <v>0</v>
      </c>
      <c r="U1215" t="s">
        <v>3915</v>
      </c>
      <c r="V1215" t="s">
        <v>31</v>
      </c>
      <c r="W1215">
        <v>0</v>
      </c>
    </row>
    <row r="1216" spans="1:23" x14ac:dyDescent="0.25">
      <c r="A1216" t="s">
        <v>4456</v>
      </c>
      <c r="B1216" t="s">
        <v>1350</v>
      </c>
      <c r="C1216" t="s">
        <v>1351</v>
      </c>
      <c r="D1216" t="s">
        <v>4479</v>
      </c>
      <c r="E1216" t="s">
        <v>4319</v>
      </c>
      <c r="F1216" t="s">
        <v>1069</v>
      </c>
      <c r="G1216" t="s">
        <v>1406</v>
      </c>
      <c r="H1216" s="6">
        <v>46022</v>
      </c>
      <c r="I1216" t="s">
        <v>29</v>
      </c>
      <c r="J1216">
        <v>3940</v>
      </c>
      <c r="K1216">
        <v>0</v>
      </c>
      <c r="L1216">
        <v>0</v>
      </c>
      <c r="M1216">
        <v>0</v>
      </c>
      <c r="N1216" t="s">
        <v>3915</v>
      </c>
      <c r="O1216" t="s">
        <v>3915</v>
      </c>
      <c r="P1216" t="s">
        <v>3915</v>
      </c>
      <c r="Q1216">
        <v>0</v>
      </c>
      <c r="R1216" t="s">
        <v>82</v>
      </c>
      <c r="S1216">
        <v>0</v>
      </c>
      <c r="T1216">
        <v>0</v>
      </c>
      <c r="U1216" t="s">
        <v>3915</v>
      </c>
      <c r="V1216" t="s">
        <v>31</v>
      </c>
      <c r="W1216">
        <v>0</v>
      </c>
    </row>
    <row r="1217" spans="1:23" x14ac:dyDescent="0.25">
      <c r="A1217" t="s">
        <v>5582</v>
      </c>
      <c r="B1217" t="s">
        <v>2373</v>
      </c>
      <c r="C1217" t="s">
        <v>2372</v>
      </c>
      <c r="D1217" t="s">
        <v>4479</v>
      </c>
      <c r="E1217" t="s">
        <v>4319</v>
      </c>
      <c r="F1217" t="s">
        <v>1069</v>
      </c>
      <c r="G1217" t="s">
        <v>1406</v>
      </c>
      <c r="H1217" s="6">
        <v>46022</v>
      </c>
      <c r="I1217" t="s">
        <v>29</v>
      </c>
      <c r="J1217">
        <v>198</v>
      </c>
      <c r="K1217">
        <v>0</v>
      </c>
      <c r="L1217">
        <v>0</v>
      </c>
      <c r="M1217">
        <v>0</v>
      </c>
      <c r="N1217" t="s">
        <v>3915</v>
      </c>
      <c r="O1217" t="s">
        <v>3915</v>
      </c>
      <c r="P1217" t="s">
        <v>3915</v>
      </c>
      <c r="Q1217">
        <v>0</v>
      </c>
      <c r="R1217" t="s">
        <v>30</v>
      </c>
      <c r="S1217">
        <v>0</v>
      </c>
      <c r="T1217">
        <v>0</v>
      </c>
      <c r="U1217" t="s">
        <v>3915</v>
      </c>
      <c r="V1217" t="s">
        <v>31</v>
      </c>
      <c r="W1217">
        <v>0</v>
      </c>
    </row>
    <row r="1218" spans="1:23" x14ac:dyDescent="0.25">
      <c r="A1218" t="s">
        <v>4457</v>
      </c>
      <c r="B1218" t="s">
        <v>1352</v>
      </c>
      <c r="C1218" t="s">
        <v>1353</v>
      </c>
      <c r="D1218" t="s">
        <v>4479</v>
      </c>
      <c r="E1218" t="s">
        <v>4319</v>
      </c>
      <c r="F1218" t="s">
        <v>1069</v>
      </c>
      <c r="G1218" t="s">
        <v>1406</v>
      </c>
      <c r="H1218" s="6">
        <v>46022</v>
      </c>
      <c r="I1218" t="s">
        <v>29</v>
      </c>
      <c r="J1218">
        <v>1997.5</v>
      </c>
      <c r="K1218">
        <v>0</v>
      </c>
      <c r="L1218">
        <v>0</v>
      </c>
      <c r="M1218">
        <v>0</v>
      </c>
      <c r="N1218" t="s">
        <v>3915</v>
      </c>
      <c r="O1218" t="s">
        <v>3915</v>
      </c>
      <c r="P1218" t="s">
        <v>3915</v>
      </c>
      <c r="Q1218">
        <v>0</v>
      </c>
      <c r="R1218" t="s">
        <v>489</v>
      </c>
      <c r="S1218">
        <v>0</v>
      </c>
      <c r="T1218">
        <v>0</v>
      </c>
      <c r="U1218" t="s">
        <v>3915</v>
      </c>
      <c r="V1218" t="s">
        <v>31</v>
      </c>
      <c r="W1218">
        <v>0</v>
      </c>
    </row>
    <row r="1219" spans="1:23" x14ac:dyDescent="0.25">
      <c r="A1219" t="s">
        <v>4458</v>
      </c>
      <c r="B1219" t="s">
        <v>1354</v>
      </c>
      <c r="C1219" t="s">
        <v>1355</v>
      </c>
      <c r="D1219" t="s">
        <v>4479</v>
      </c>
      <c r="E1219" t="s">
        <v>4319</v>
      </c>
      <c r="F1219" t="s">
        <v>1069</v>
      </c>
      <c r="G1219" t="s">
        <v>1406</v>
      </c>
      <c r="H1219" s="6">
        <v>46022</v>
      </c>
      <c r="I1219" t="s">
        <v>29</v>
      </c>
      <c r="J1219">
        <v>1260</v>
      </c>
      <c r="K1219">
        <v>0</v>
      </c>
      <c r="L1219">
        <v>0</v>
      </c>
      <c r="M1219">
        <v>0</v>
      </c>
      <c r="N1219" t="s">
        <v>3915</v>
      </c>
      <c r="O1219" t="s">
        <v>3915</v>
      </c>
      <c r="P1219" t="s">
        <v>3915</v>
      </c>
      <c r="Q1219">
        <v>0</v>
      </c>
      <c r="R1219" t="s">
        <v>82</v>
      </c>
      <c r="S1219">
        <v>0</v>
      </c>
      <c r="T1219">
        <v>0</v>
      </c>
      <c r="U1219" t="s">
        <v>3915</v>
      </c>
      <c r="V1219" t="s">
        <v>31</v>
      </c>
      <c r="W1219">
        <v>0</v>
      </c>
    </row>
    <row r="1220" spans="1:23" x14ac:dyDescent="0.25">
      <c r="A1220" t="s">
        <v>4459</v>
      </c>
      <c r="B1220" t="s">
        <v>1356</v>
      </c>
      <c r="C1220" t="s">
        <v>1357</v>
      </c>
      <c r="D1220" t="s">
        <v>4479</v>
      </c>
      <c r="E1220" t="s">
        <v>4319</v>
      </c>
      <c r="F1220" t="s">
        <v>1069</v>
      </c>
      <c r="G1220" t="s">
        <v>1406</v>
      </c>
      <c r="H1220" s="6">
        <v>46022</v>
      </c>
      <c r="I1220" t="s">
        <v>29</v>
      </c>
      <c r="J1220">
        <v>236</v>
      </c>
      <c r="K1220">
        <v>0</v>
      </c>
      <c r="L1220">
        <v>0</v>
      </c>
      <c r="M1220">
        <v>0</v>
      </c>
      <c r="N1220" t="s">
        <v>3915</v>
      </c>
      <c r="O1220" t="s">
        <v>3915</v>
      </c>
      <c r="P1220" t="s">
        <v>3915</v>
      </c>
      <c r="Q1220">
        <v>0</v>
      </c>
      <c r="R1220" t="s">
        <v>82</v>
      </c>
      <c r="S1220">
        <v>0</v>
      </c>
      <c r="T1220">
        <v>0</v>
      </c>
      <c r="U1220" t="s">
        <v>3915</v>
      </c>
      <c r="V1220" t="s">
        <v>31</v>
      </c>
      <c r="W1220">
        <v>0</v>
      </c>
    </row>
    <row r="1221" spans="1:23" x14ac:dyDescent="0.25">
      <c r="A1221" t="s">
        <v>76</v>
      </c>
      <c r="B1221" t="s">
        <v>2377</v>
      </c>
      <c r="C1221" t="s">
        <v>2376</v>
      </c>
      <c r="D1221" t="s">
        <v>4479</v>
      </c>
      <c r="E1221" t="s">
        <v>4319</v>
      </c>
      <c r="F1221" t="s">
        <v>1069</v>
      </c>
      <c r="G1221" t="s">
        <v>1406</v>
      </c>
      <c r="H1221" s="6">
        <v>46022</v>
      </c>
      <c r="I1221" t="s">
        <v>29</v>
      </c>
      <c r="J1221">
        <v>126</v>
      </c>
      <c r="K1221">
        <v>0</v>
      </c>
      <c r="L1221">
        <v>0</v>
      </c>
      <c r="M1221">
        <v>0</v>
      </c>
      <c r="N1221" t="s">
        <v>3915</v>
      </c>
      <c r="O1221" t="s">
        <v>3915</v>
      </c>
      <c r="P1221" t="s">
        <v>3915</v>
      </c>
      <c r="Q1221">
        <v>0</v>
      </c>
      <c r="R1221" t="s">
        <v>30</v>
      </c>
      <c r="S1221">
        <v>0</v>
      </c>
      <c r="T1221">
        <v>0</v>
      </c>
      <c r="U1221" t="s">
        <v>3915</v>
      </c>
      <c r="V1221" t="s">
        <v>31</v>
      </c>
      <c r="W1221">
        <v>0</v>
      </c>
    </row>
    <row r="1222" spans="1:23" x14ac:dyDescent="0.25">
      <c r="A1222" t="s">
        <v>4460</v>
      </c>
      <c r="B1222" t="s">
        <v>1358</v>
      </c>
      <c r="C1222" t="s">
        <v>1359</v>
      </c>
      <c r="D1222" t="s">
        <v>4479</v>
      </c>
      <c r="E1222" t="s">
        <v>4319</v>
      </c>
      <c r="F1222" t="s">
        <v>1069</v>
      </c>
      <c r="G1222" t="s">
        <v>1406</v>
      </c>
      <c r="H1222" s="6">
        <v>46022</v>
      </c>
      <c r="I1222" t="s">
        <v>29</v>
      </c>
      <c r="J1222">
        <v>877</v>
      </c>
      <c r="K1222">
        <v>0</v>
      </c>
      <c r="L1222">
        <v>0</v>
      </c>
      <c r="M1222">
        <v>0</v>
      </c>
      <c r="N1222" t="s">
        <v>3915</v>
      </c>
      <c r="O1222" t="s">
        <v>3915</v>
      </c>
      <c r="P1222" t="s">
        <v>3915</v>
      </c>
      <c r="Q1222">
        <v>0</v>
      </c>
      <c r="R1222" t="s">
        <v>82</v>
      </c>
      <c r="S1222">
        <v>0</v>
      </c>
      <c r="T1222">
        <v>0</v>
      </c>
      <c r="U1222" t="s">
        <v>3915</v>
      </c>
      <c r="V1222" t="s">
        <v>31</v>
      </c>
      <c r="W1222">
        <v>0</v>
      </c>
    </row>
    <row r="1223" spans="1:23" x14ac:dyDescent="0.25">
      <c r="A1223" t="s">
        <v>4561</v>
      </c>
      <c r="B1223" t="s">
        <v>2381</v>
      </c>
      <c r="C1223" t="s">
        <v>2380</v>
      </c>
      <c r="D1223" t="s">
        <v>4479</v>
      </c>
      <c r="E1223" t="s">
        <v>4319</v>
      </c>
      <c r="F1223" t="s">
        <v>1069</v>
      </c>
      <c r="G1223" t="s">
        <v>1406</v>
      </c>
      <c r="H1223" s="6">
        <v>46022</v>
      </c>
      <c r="I1223" t="s">
        <v>29</v>
      </c>
      <c r="J1223">
        <v>98</v>
      </c>
      <c r="K1223">
        <v>0</v>
      </c>
      <c r="L1223">
        <v>0</v>
      </c>
      <c r="M1223">
        <v>0</v>
      </c>
      <c r="N1223" t="s">
        <v>3915</v>
      </c>
      <c r="O1223" t="s">
        <v>3915</v>
      </c>
      <c r="P1223" t="s">
        <v>3915</v>
      </c>
      <c r="Q1223">
        <v>0</v>
      </c>
      <c r="R1223" t="s">
        <v>30</v>
      </c>
      <c r="S1223">
        <v>0</v>
      </c>
      <c r="T1223">
        <v>0</v>
      </c>
      <c r="U1223" t="s">
        <v>3915</v>
      </c>
      <c r="V1223" t="s">
        <v>31</v>
      </c>
      <c r="W1223">
        <v>0</v>
      </c>
    </row>
    <row r="1224" spans="1:23" x14ac:dyDescent="0.25">
      <c r="A1224" t="s">
        <v>5584</v>
      </c>
      <c r="B1224" t="s">
        <v>2383</v>
      </c>
      <c r="C1224" t="s">
        <v>2382</v>
      </c>
      <c r="D1224" t="s">
        <v>4479</v>
      </c>
      <c r="E1224" t="s">
        <v>4319</v>
      </c>
      <c r="F1224" t="s">
        <v>1069</v>
      </c>
      <c r="G1224" t="s">
        <v>1406</v>
      </c>
      <c r="H1224" s="6">
        <v>46022</v>
      </c>
      <c r="I1224" t="s">
        <v>29</v>
      </c>
      <c r="J1224">
        <v>1</v>
      </c>
      <c r="K1224">
        <v>0</v>
      </c>
      <c r="L1224">
        <v>0</v>
      </c>
      <c r="M1224">
        <v>0</v>
      </c>
      <c r="N1224" t="s">
        <v>3915</v>
      </c>
      <c r="O1224" t="s">
        <v>3915</v>
      </c>
      <c r="P1224" t="s">
        <v>3915</v>
      </c>
      <c r="Q1224">
        <v>0</v>
      </c>
      <c r="R1224" t="s">
        <v>30</v>
      </c>
      <c r="S1224">
        <v>0</v>
      </c>
      <c r="T1224">
        <v>0</v>
      </c>
      <c r="U1224" t="s">
        <v>3915</v>
      </c>
      <c r="V1224" t="s">
        <v>31</v>
      </c>
      <c r="W1224">
        <v>0</v>
      </c>
    </row>
    <row r="1225" spans="1:23" x14ac:dyDescent="0.25">
      <c r="A1225" t="s">
        <v>4461</v>
      </c>
      <c r="B1225" t="s">
        <v>1360</v>
      </c>
      <c r="C1225" t="s">
        <v>1361</v>
      </c>
      <c r="D1225" t="s">
        <v>4479</v>
      </c>
      <c r="E1225" t="s">
        <v>4319</v>
      </c>
      <c r="F1225" t="s">
        <v>1069</v>
      </c>
      <c r="G1225" t="s">
        <v>1406</v>
      </c>
      <c r="H1225" s="6">
        <v>46022</v>
      </c>
      <c r="I1225" t="s">
        <v>29</v>
      </c>
      <c r="J1225">
        <v>500</v>
      </c>
      <c r="K1225">
        <v>0</v>
      </c>
      <c r="L1225">
        <v>0</v>
      </c>
      <c r="M1225">
        <v>0</v>
      </c>
      <c r="N1225" t="s">
        <v>3915</v>
      </c>
      <c r="O1225" t="s">
        <v>3915</v>
      </c>
      <c r="P1225" t="s">
        <v>3915</v>
      </c>
      <c r="Q1225">
        <v>0</v>
      </c>
      <c r="R1225" t="s">
        <v>82</v>
      </c>
      <c r="S1225">
        <v>0</v>
      </c>
      <c r="T1225">
        <v>0</v>
      </c>
      <c r="U1225" t="s">
        <v>3915</v>
      </c>
      <c r="V1225" t="s">
        <v>31</v>
      </c>
      <c r="W1225">
        <v>0</v>
      </c>
    </row>
    <row r="1226" spans="1:23" x14ac:dyDescent="0.25">
      <c r="A1226" t="s">
        <v>4462</v>
      </c>
      <c r="B1226" t="s">
        <v>1362</v>
      </c>
      <c r="C1226" t="s">
        <v>1363</v>
      </c>
      <c r="D1226" t="s">
        <v>4479</v>
      </c>
      <c r="E1226" t="s">
        <v>4319</v>
      </c>
      <c r="F1226" t="s">
        <v>1069</v>
      </c>
      <c r="G1226" t="s">
        <v>1406</v>
      </c>
      <c r="H1226" s="6">
        <v>46022</v>
      </c>
      <c r="I1226" t="s">
        <v>29</v>
      </c>
      <c r="J1226">
        <v>1404.9</v>
      </c>
      <c r="K1226">
        <v>0</v>
      </c>
      <c r="L1226">
        <v>0</v>
      </c>
      <c r="M1226">
        <v>0</v>
      </c>
      <c r="N1226" t="s">
        <v>3915</v>
      </c>
      <c r="O1226" t="s">
        <v>3915</v>
      </c>
      <c r="P1226" t="s">
        <v>3915</v>
      </c>
      <c r="Q1226">
        <v>0</v>
      </c>
      <c r="R1226" t="s">
        <v>82</v>
      </c>
      <c r="S1226">
        <v>0</v>
      </c>
      <c r="T1226">
        <v>0</v>
      </c>
      <c r="U1226" t="s">
        <v>3915</v>
      </c>
      <c r="V1226" t="s">
        <v>31</v>
      </c>
      <c r="W1226">
        <v>0</v>
      </c>
    </row>
    <row r="1227" spans="1:23" x14ac:dyDescent="0.25">
      <c r="A1227" t="s">
        <v>4463</v>
      </c>
      <c r="B1227" t="s">
        <v>1364</v>
      </c>
      <c r="C1227" t="s">
        <v>1365</v>
      </c>
      <c r="D1227" t="s">
        <v>4479</v>
      </c>
      <c r="E1227" t="s">
        <v>4319</v>
      </c>
      <c r="F1227" t="s">
        <v>1069</v>
      </c>
      <c r="G1227" t="s">
        <v>1406</v>
      </c>
      <c r="H1227" s="6">
        <v>46022</v>
      </c>
      <c r="I1227" t="s">
        <v>29</v>
      </c>
      <c r="J1227">
        <v>1462.5</v>
      </c>
      <c r="K1227">
        <v>0</v>
      </c>
      <c r="L1227">
        <v>0</v>
      </c>
      <c r="M1227">
        <v>0</v>
      </c>
      <c r="N1227" t="s">
        <v>3915</v>
      </c>
      <c r="O1227" t="s">
        <v>3915</v>
      </c>
      <c r="P1227" t="s">
        <v>3915</v>
      </c>
      <c r="Q1227">
        <v>0</v>
      </c>
      <c r="R1227" t="s">
        <v>82</v>
      </c>
      <c r="S1227">
        <v>0</v>
      </c>
      <c r="T1227">
        <v>0</v>
      </c>
      <c r="U1227" t="s">
        <v>3915</v>
      </c>
      <c r="V1227" t="s">
        <v>31</v>
      </c>
      <c r="W1227">
        <v>0</v>
      </c>
    </row>
    <row r="1228" spans="1:23" x14ac:dyDescent="0.25">
      <c r="A1228" t="s">
        <v>5585</v>
      </c>
      <c r="B1228" t="s">
        <v>2393</v>
      </c>
      <c r="C1228" t="s">
        <v>2392</v>
      </c>
      <c r="D1228" t="s">
        <v>4479</v>
      </c>
      <c r="E1228" t="s">
        <v>4319</v>
      </c>
      <c r="F1228" t="s">
        <v>1069</v>
      </c>
      <c r="G1228" t="s">
        <v>1406</v>
      </c>
      <c r="H1228" s="6">
        <v>46022</v>
      </c>
      <c r="I1228" t="s">
        <v>29</v>
      </c>
      <c r="J1228">
        <v>125</v>
      </c>
      <c r="K1228">
        <v>0</v>
      </c>
      <c r="L1228">
        <v>0</v>
      </c>
      <c r="M1228">
        <v>0</v>
      </c>
      <c r="N1228" t="s">
        <v>3915</v>
      </c>
      <c r="O1228" t="s">
        <v>3915</v>
      </c>
      <c r="P1228" t="s">
        <v>3915</v>
      </c>
      <c r="Q1228">
        <v>0</v>
      </c>
      <c r="R1228" t="s">
        <v>30</v>
      </c>
      <c r="S1228">
        <v>0</v>
      </c>
      <c r="T1228">
        <v>0</v>
      </c>
      <c r="U1228" t="s">
        <v>3915</v>
      </c>
      <c r="V1228" t="s">
        <v>31</v>
      </c>
      <c r="W1228">
        <v>0</v>
      </c>
    </row>
    <row r="1229" spans="1:23" x14ac:dyDescent="0.25">
      <c r="A1229" t="s">
        <v>4464</v>
      </c>
      <c r="B1229" t="s">
        <v>1366</v>
      </c>
      <c r="C1229" t="s">
        <v>1367</v>
      </c>
      <c r="D1229" t="s">
        <v>4479</v>
      </c>
      <c r="E1229" t="s">
        <v>4319</v>
      </c>
      <c r="F1229" t="s">
        <v>1069</v>
      </c>
      <c r="G1229" t="s">
        <v>1406</v>
      </c>
      <c r="H1229" s="6">
        <v>46022</v>
      </c>
      <c r="I1229" t="s">
        <v>29</v>
      </c>
      <c r="J1229">
        <v>0</v>
      </c>
      <c r="K1229">
        <v>0</v>
      </c>
      <c r="L1229">
        <v>0</v>
      </c>
      <c r="M1229">
        <v>0</v>
      </c>
      <c r="N1229" t="s">
        <v>3915</v>
      </c>
      <c r="O1229" t="s">
        <v>3915</v>
      </c>
      <c r="P1229" t="s">
        <v>3915</v>
      </c>
      <c r="Q1229">
        <v>0</v>
      </c>
      <c r="R1229" t="s">
        <v>30</v>
      </c>
      <c r="S1229">
        <v>0</v>
      </c>
      <c r="T1229">
        <v>0</v>
      </c>
      <c r="U1229" t="s">
        <v>3915</v>
      </c>
      <c r="V1229" t="s">
        <v>31</v>
      </c>
      <c r="W1229">
        <v>0</v>
      </c>
    </row>
    <row r="1230" spans="1:23" x14ac:dyDescent="0.25">
      <c r="A1230" t="s">
        <v>4465</v>
      </c>
      <c r="B1230" t="s">
        <v>1368</v>
      </c>
      <c r="C1230" t="s">
        <v>1369</v>
      </c>
      <c r="D1230" t="s">
        <v>4479</v>
      </c>
      <c r="E1230" t="s">
        <v>4319</v>
      </c>
      <c r="F1230" t="s">
        <v>1069</v>
      </c>
      <c r="G1230" t="s">
        <v>1406</v>
      </c>
      <c r="H1230" s="6">
        <v>46022</v>
      </c>
      <c r="I1230" t="s">
        <v>29</v>
      </c>
      <c r="J1230">
        <v>12488</v>
      </c>
      <c r="K1230">
        <v>0</v>
      </c>
      <c r="L1230">
        <v>0</v>
      </c>
      <c r="M1230">
        <v>0</v>
      </c>
      <c r="N1230" t="s">
        <v>3915</v>
      </c>
      <c r="O1230" t="s">
        <v>3915</v>
      </c>
      <c r="P1230" t="s">
        <v>3915</v>
      </c>
      <c r="Q1230">
        <v>0</v>
      </c>
      <c r="R1230" t="s">
        <v>30</v>
      </c>
      <c r="S1230">
        <v>0</v>
      </c>
      <c r="T1230">
        <v>0</v>
      </c>
      <c r="U1230" t="s">
        <v>3915</v>
      </c>
      <c r="V1230" t="s">
        <v>31</v>
      </c>
      <c r="W1230">
        <v>0</v>
      </c>
    </row>
    <row r="1231" spans="1:23" x14ac:dyDescent="0.25">
      <c r="A1231" t="s">
        <v>4466</v>
      </c>
      <c r="B1231" t="s">
        <v>1370</v>
      </c>
      <c r="C1231" t="s">
        <v>1371</v>
      </c>
      <c r="D1231" t="s">
        <v>4479</v>
      </c>
      <c r="E1231" t="s">
        <v>4319</v>
      </c>
      <c r="F1231" t="s">
        <v>1069</v>
      </c>
      <c r="G1231" t="s">
        <v>1406</v>
      </c>
      <c r="H1231" s="6">
        <v>46022</v>
      </c>
      <c r="I1231" t="s">
        <v>29</v>
      </c>
      <c r="J1231">
        <v>3549</v>
      </c>
      <c r="K1231">
        <v>0</v>
      </c>
      <c r="L1231">
        <v>0</v>
      </c>
      <c r="M1231">
        <v>0</v>
      </c>
      <c r="N1231" t="s">
        <v>3915</v>
      </c>
      <c r="O1231" t="s">
        <v>3915</v>
      </c>
      <c r="P1231" t="s">
        <v>3915</v>
      </c>
      <c r="Q1231">
        <v>0</v>
      </c>
      <c r="R1231" t="s">
        <v>30</v>
      </c>
      <c r="S1231">
        <v>0</v>
      </c>
      <c r="T1231">
        <v>0</v>
      </c>
      <c r="U1231" t="s">
        <v>3915</v>
      </c>
      <c r="V1231" t="s">
        <v>31</v>
      </c>
      <c r="W1231">
        <v>0</v>
      </c>
    </row>
    <row r="1232" spans="1:23" x14ac:dyDescent="0.25">
      <c r="A1232" t="s">
        <v>5588</v>
      </c>
      <c r="B1232" t="s">
        <v>2399</v>
      </c>
      <c r="C1232" t="s">
        <v>2398</v>
      </c>
      <c r="D1232" t="s">
        <v>4479</v>
      </c>
      <c r="E1232" t="s">
        <v>4319</v>
      </c>
      <c r="F1232" t="s">
        <v>1069</v>
      </c>
      <c r="G1232" t="s">
        <v>1406</v>
      </c>
      <c r="H1232" s="6">
        <v>46022</v>
      </c>
      <c r="I1232" t="s">
        <v>29</v>
      </c>
      <c r="J1232">
        <v>438</v>
      </c>
      <c r="K1232">
        <v>0</v>
      </c>
      <c r="L1232">
        <v>0</v>
      </c>
      <c r="M1232">
        <v>0</v>
      </c>
      <c r="N1232" t="s">
        <v>3915</v>
      </c>
      <c r="O1232" t="s">
        <v>3915</v>
      </c>
      <c r="P1232" t="s">
        <v>3915</v>
      </c>
      <c r="Q1232">
        <v>0</v>
      </c>
      <c r="R1232" t="s">
        <v>30</v>
      </c>
      <c r="S1232">
        <v>0</v>
      </c>
      <c r="T1232">
        <v>0</v>
      </c>
      <c r="U1232" t="s">
        <v>3915</v>
      </c>
      <c r="V1232" t="s">
        <v>31</v>
      </c>
      <c r="W1232">
        <v>0</v>
      </c>
    </row>
    <row r="1233" spans="1:23" x14ac:dyDescent="0.25">
      <c r="A1233" t="s">
        <v>4467</v>
      </c>
      <c r="B1233" t="s">
        <v>1372</v>
      </c>
      <c r="C1233" t="s">
        <v>1373</v>
      </c>
      <c r="D1233" t="s">
        <v>4479</v>
      </c>
      <c r="E1233" t="s">
        <v>4319</v>
      </c>
      <c r="F1233" t="s">
        <v>1069</v>
      </c>
      <c r="G1233" t="s">
        <v>1406</v>
      </c>
      <c r="H1233" s="6">
        <v>46022</v>
      </c>
      <c r="I1233" t="s">
        <v>29</v>
      </c>
      <c r="J1233">
        <v>0</v>
      </c>
      <c r="K1233">
        <v>0</v>
      </c>
      <c r="L1233">
        <v>0</v>
      </c>
      <c r="M1233">
        <v>0</v>
      </c>
      <c r="N1233" t="s">
        <v>3915</v>
      </c>
      <c r="O1233" t="s">
        <v>3915</v>
      </c>
      <c r="P1233" t="s">
        <v>3915</v>
      </c>
      <c r="Q1233">
        <v>0</v>
      </c>
      <c r="R1233" t="s">
        <v>30</v>
      </c>
      <c r="S1233">
        <v>0</v>
      </c>
      <c r="T1233">
        <v>0</v>
      </c>
      <c r="U1233" t="s">
        <v>3915</v>
      </c>
      <c r="V1233" t="s">
        <v>31</v>
      </c>
      <c r="W1233">
        <v>0</v>
      </c>
    </row>
    <row r="1234" spans="1:23" x14ac:dyDescent="0.25">
      <c r="A1234" t="s">
        <v>4468</v>
      </c>
      <c r="B1234" t="s">
        <v>1374</v>
      </c>
      <c r="C1234" t="s">
        <v>1375</v>
      </c>
      <c r="D1234" t="s">
        <v>4479</v>
      </c>
      <c r="E1234" t="s">
        <v>4319</v>
      </c>
      <c r="F1234" t="s">
        <v>1069</v>
      </c>
      <c r="G1234" t="s">
        <v>1406</v>
      </c>
      <c r="H1234" s="6">
        <v>46022</v>
      </c>
      <c r="I1234" t="s">
        <v>29</v>
      </c>
      <c r="J1234">
        <v>9410</v>
      </c>
      <c r="K1234">
        <v>0</v>
      </c>
      <c r="L1234">
        <v>0</v>
      </c>
      <c r="M1234">
        <v>0</v>
      </c>
      <c r="N1234" t="s">
        <v>3915</v>
      </c>
      <c r="O1234" t="s">
        <v>3915</v>
      </c>
      <c r="P1234" t="s">
        <v>3915</v>
      </c>
      <c r="Q1234">
        <v>0</v>
      </c>
      <c r="R1234" t="s">
        <v>30</v>
      </c>
      <c r="S1234">
        <v>0</v>
      </c>
      <c r="T1234">
        <v>0</v>
      </c>
      <c r="U1234" t="s">
        <v>3915</v>
      </c>
      <c r="V1234" t="s">
        <v>31</v>
      </c>
      <c r="W1234">
        <v>0</v>
      </c>
    </row>
    <row r="1235" spans="1:23" x14ac:dyDescent="0.25">
      <c r="A1235" t="s">
        <v>4469</v>
      </c>
      <c r="B1235" t="s">
        <v>1376</v>
      </c>
      <c r="C1235" t="s">
        <v>1377</v>
      </c>
      <c r="D1235" t="s">
        <v>4479</v>
      </c>
      <c r="E1235" t="s">
        <v>4319</v>
      </c>
      <c r="F1235" t="s">
        <v>1069</v>
      </c>
      <c r="G1235" t="s">
        <v>1406</v>
      </c>
      <c r="H1235" s="6">
        <v>46022</v>
      </c>
      <c r="I1235" t="s">
        <v>29</v>
      </c>
      <c r="J1235">
        <v>14427</v>
      </c>
      <c r="K1235">
        <v>0</v>
      </c>
      <c r="L1235">
        <v>0</v>
      </c>
      <c r="M1235">
        <v>0</v>
      </c>
      <c r="N1235" t="s">
        <v>3915</v>
      </c>
      <c r="O1235" t="s">
        <v>3915</v>
      </c>
      <c r="P1235" t="s">
        <v>3915</v>
      </c>
      <c r="Q1235">
        <v>0</v>
      </c>
      <c r="R1235" t="s">
        <v>30</v>
      </c>
      <c r="S1235">
        <v>0</v>
      </c>
      <c r="T1235">
        <v>0</v>
      </c>
      <c r="U1235" t="s">
        <v>3915</v>
      </c>
      <c r="V1235" t="s">
        <v>31</v>
      </c>
      <c r="W1235">
        <v>0</v>
      </c>
    </row>
    <row r="1236" spans="1:23" x14ac:dyDescent="0.25">
      <c r="A1236" t="s">
        <v>4470</v>
      </c>
      <c r="B1236" t="s">
        <v>1378</v>
      </c>
      <c r="C1236" t="s">
        <v>1379</v>
      </c>
      <c r="D1236" t="s">
        <v>4479</v>
      </c>
      <c r="E1236" t="s">
        <v>4319</v>
      </c>
      <c r="F1236" t="s">
        <v>1069</v>
      </c>
      <c r="G1236" t="s">
        <v>1406</v>
      </c>
      <c r="H1236" s="6">
        <v>46022</v>
      </c>
      <c r="I1236" t="s">
        <v>29</v>
      </c>
      <c r="J1236">
        <v>15244</v>
      </c>
      <c r="K1236">
        <v>0</v>
      </c>
      <c r="L1236">
        <v>0</v>
      </c>
      <c r="M1236">
        <v>0</v>
      </c>
      <c r="N1236" t="s">
        <v>3915</v>
      </c>
      <c r="O1236" t="s">
        <v>3915</v>
      </c>
      <c r="P1236" t="s">
        <v>3915</v>
      </c>
      <c r="Q1236">
        <v>0</v>
      </c>
      <c r="R1236" t="s">
        <v>30</v>
      </c>
      <c r="S1236">
        <v>0</v>
      </c>
      <c r="T1236">
        <v>0</v>
      </c>
      <c r="U1236" t="s">
        <v>3915</v>
      </c>
      <c r="V1236" t="s">
        <v>31</v>
      </c>
      <c r="W1236">
        <v>0</v>
      </c>
    </row>
    <row r="1237" spans="1:23" x14ac:dyDescent="0.25">
      <c r="A1237" t="s">
        <v>4471</v>
      </c>
      <c r="B1237" t="s">
        <v>1380</v>
      </c>
      <c r="C1237" t="s">
        <v>1381</v>
      </c>
      <c r="D1237" t="s">
        <v>4479</v>
      </c>
      <c r="E1237" t="s">
        <v>4319</v>
      </c>
      <c r="F1237" t="s">
        <v>1069</v>
      </c>
      <c r="G1237" t="s">
        <v>1406</v>
      </c>
      <c r="H1237" s="6">
        <v>46022</v>
      </c>
      <c r="I1237" t="s">
        <v>29</v>
      </c>
      <c r="J1237">
        <v>6489</v>
      </c>
      <c r="K1237">
        <v>0</v>
      </c>
      <c r="L1237">
        <v>0</v>
      </c>
      <c r="M1237">
        <v>0</v>
      </c>
      <c r="N1237" t="s">
        <v>3915</v>
      </c>
      <c r="O1237" t="s">
        <v>3915</v>
      </c>
      <c r="P1237" t="s">
        <v>3915</v>
      </c>
      <c r="Q1237">
        <v>0</v>
      </c>
      <c r="R1237" t="s">
        <v>30</v>
      </c>
      <c r="S1237">
        <v>0</v>
      </c>
      <c r="T1237">
        <v>0</v>
      </c>
      <c r="U1237" t="s">
        <v>3915</v>
      </c>
      <c r="V1237" t="s">
        <v>31</v>
      </c>
      <c r="W1237">
        <v>0</v>
      </c>
    </row>
    <row r="1238" spans="1:23" x14ac:dyDescent="0.25">
      <c r="A1238" t="s">
        <v>4472</v>
      </c>
      <c r="B1238" t="s">
        <v>1382</v>
      </c>
      <c r="C1238" t="s">
        <v>1383</v>
      </c>
      <c r="D1238" t="s">
        <v>4479</v>
      </c>
      <c r="E1238" t="s">
        <v>4319</v>
      </c>
      <c r="F1238" t="s">
        <v>1069</v>
      </c>
      <c r="G1238" t="s">
        <v>1406</v>
      </c>
      <c r="H1238" s="6">
        <v>46022</v>
      </c>
      <c r="I1238" t="s">
        <v>29</v>
      </c>
      <c r="J1238">
        <v>636</v>
      </c>
      <c r="K1238">
        <v>0</v>
      </c>
      <c r="L1238">
        <v>0</v>
      </c>
      <c r="M1238">
        <v>0</v>
      </c>
      <c r="N1238" t="s">
        <v>3915</v>
      </c>
      <c r="O1238" t="s">
        <v>3915</v>
      </c>
      <c r="P1238" t="s">
        <v>3915</v>
      </c>
      <c r="Q1238">
        <v>0</v>
      </c>
      <c r="R1238" t="s">
        <v>30</v>
      </c>
      <c r="S1238">
        <v>0</v>
      </c>
      <c r="T1238">
        <v>0</v>
      </c>
      <c r="U1238" t="s">
        <v>3915</v>
      </c>
      <c r="V1238" t="s">
        <v>31</v>
      </c>
      <c r="W1238">
        <v>0</v>
      </c>
    </row>
    <row r="1239" spans="1:23" x14ac:dyDescent="0.25">
      <c r="A1239" t="s">
        <v>1391</v>
      </c>
      <c r="B1239" t="s">
        <v>1384</v>
      </c>
      <c r="C1239" t="s">
        <v>1385</v>
      </c>
      <c r="D1239" t="s">
        <v>4479</v>
      </c>
      <c r="E1239" t="s">
        <v>4319</v>
      </c>
      <c r="F1239" t="s">
        <v>1069</v>
      </c>
      <c r="G1239" t="s">
        <v>1406</v>
      </c>
      <c r="H1239" s="6">
        <v>46022</v>
      </c>
      <c r="I1239" t="s">
        <v>29</v>
      </c>
      <c r="J1239">
        <v>9572</v>
      </c>
      <c r="K1239">
        <v>0</v>
      </c>
      <c r="L1239">
        <v>0</v>
      </c>
      <c r="M1239">
        <v>0</v>
      </c>
      <c r="N1239" t="s">
        <v>3915</v>
      </c>
      <c r="O1239" t="s">
        <v>3915</v>
      </c>
      <c r="P1239" t="s">
        <v>3915</v>
      </c>
      <c r="Q1239">
        <v>0</v>
      </c>
      <c r="R1239" t="s">
        <v>30</v>
      </c>
      <c r="S1239">
        <v>0</v>
      </c>
      <c r="T1239">
        <v>0</v>
      </c>
      <c r="U1239" t="s">
        <v>3915</v>
      </c>
      <c r="V1239" t="s">
        <v>31</v>
      </c>
      <c r="W1239">
        <v>0</v>
      </c>
    </row>
    <row r="1240" spans="1:23" x14ac:dyDescent="0.25">
      <c r="A1240" t="s">
        <v>4473</v>
      </c>
      <c r="B1240" t="s">
        <v>1386</v>
      </c>
      <c r="C1240" t="s">
        <v>1387</v>
      </c>
      <c r="D1240" t="s">
        <v>4479</v>
      </c>
      <c r="E1240" t="s">
        <v>4319</v>
      </c>
      <c r="F1240" t="s">
        <v>1069</v>
      </c>
      <c r="G1240" t="s">
        <v>1406</v>
      </c>
      <c r="H1240" s="6">
        <v>46022</v>
      </c>
      <c r="I1240" t="s">
        <v>29</v>
      </c>
      <c r="J1240">
        <v>9602</v>
      </c>
      <c r="K1240">
        <v>0</v>
      </c>
      <c r="L1240">
        <v>0</v>
      </c>
      <c r="M1240">
        <v>0</v>
      </c>
      <c r="N1240" t="s">
        <v>3915</v>
      </c>
      <c r="O1240" t="s">
        <v>3915</v>
      </c>
      <c r="P1240" t="s">
        <v>3915</v>
      </c>
      <c r="Q1240">
        <v>0</v>
      </c>
      <c r="R1240" t="s">
        <v>30</v>
      </c>
      <c r="S1240">
        <v>0</v>
      </c>
      <c r="T1240">
        <v>0</v>
      </c>
      <c r="U1240" t="s">
        <v>3915</v>
      </c>
      <c r="V1240" t="s">
        <v>31</v>
      </c>
      <c r="W1240">
        <v>0</v>
      </c>
    </row>
    <row r="1241" spans="1:23" x14ac:dyDescent="0.25">
      <c r="A1241" t="s">
        <v>4635</v>
      </c>
      <c r="B1241" t="s">
        <v>2401</v>
      </c>
      <c r="C1241" t="s">
        <v>2400</v>
      </c>
      <c r="D1241" t="s">
        <v>4479</v>
      </c>
      <c r="E1241" t="s">
        <v>4319</v>
      </c>
      <c r="F1241" t="s">
        <v>1069</v>
      </c>
      <c r="G1241" t="s">
        <v>1406</v>
      </c>
      <c r="H1241" s="6">
        <v>46022</v>
      </c>
      <c r="I1241" t="s">
        <v>29</v>
      </c>
      <c r="J1241">
        <v>8130</v>
      </c>
      <c r="K1241">
        <v>0</v>
      </c>
      <c r="L1241">
        <v>0</v>
      </c>
      <c r="M1241">
        <v>0</v>
      </c>
      <c r="N1241" t="s">
        <v>3915</v>
      </c>
      <c r="O1241" t="s">
        <v>3915</v>
      </c>
      <c r="P1241" t="s">
        <v>3915</v>
      </c>
      <c r="Q1241">
        <v>0</v>
      </c>
      <c r="R1241" t="s">
        <v>30</v>
      </c>
      <c r="S1241">
        <v>0</v>
      </c>
      <c r="T1241">
        <v>0</v>
      </c>
      <c r="U1241" t="s">
        <v>3915</v>
      </c>
      <c r="V1241" t="s">
        <v>31</v>
      </c>
      <c r="W1241">
        <v>0</v>
      </c>
    </row>
    <row r="1242" spans="1:23" x14ac:dyDescent="0.25">
      <c r="A1242" t="s">
        <v>4411</v>
      </c>
      <c r="B1242" t="s">
        <v>1258</v>
      </c>
      <c r="C1242" t="s">
        <v>1259</v>
      </c>
      <c r="D1242" t="s">
        <v>4479</v>
      </c>
      <c r="E1242" t="s">
        <v>4319</v>
      </c>
      <c r="F1242" t="s">
        <v>1069</v>
      </c>
      <c r="G1242" t="s">
        <v>1406</v>
      </c>
      <c r="H1242" s="6">
        <v>46018</v>
      </c>
      <c r="I1242" t="s">
        <v>29</v>
      </c>
      <c r="J1242">
        <v>485</v>
      </c>
      <c r="K1242">
        <v>0</v>
      </c>
      <c r="L1242">
        <v>0</v>
      </c>
      <c r="M1242">
        <v>0</v>
      </c>
      <c r="N1242" t="s">
        <v>3915</v>
      </c>
      <c r="O1242" t="s">
        <v>3915</v>
      </c>
      <c r="P1242" t="s">
        <v>3915</v>
      </c>
      <c r="Q1242">
        <v>0</v>
      </c>
      <c r="R1242" t="s">
        <v>30</v>
      </c>
      <c r="S1242">
        <v>0</v>
      </c>
      <c r="T1242">
        <v>0</v>
      </c>
      <c r="U1242" t="s">
        <v>3915</v>
      </c>
      <c r="V1242" t="s">
        <v>31</v>
      </c>
      <c r="W1242">
        <v>0</v>
      </c>
    </row>
    <row r="1243" spans="1:23" x14ac:dyDescent="0.25">
      <c r="A1243" t="s">
        <v>4412</v>
      </c>
      <c r="B1243" t="s">
        <v>1260</v>
      </c>
      <c r="C1243" t="s">
        <v>1261</v>
      </c>
      <c r="D1243" t="s">
        <v>4479</v>
      </c>
      <c r="E1243" t="s">
        <v>4319</v>
      </c>
      <c r="F1243" t="s">
        <v>1069</v>
      </c>
      <c r="G1243" t="s">
        <v>1406</v>
      </c>
      <c r="H1243" s="6">
        <v>46018</v>
      </c>
      <c r="I1243" t="s">
        <v>29</v>
      </c>
      <c r="J1243">
        <v>1860</v>
      </c>
      <c r="K1243">
        <v>0</v>
      </c>
      <c r="L1243">
        <v>0</v>
      </c>
      <c r="M1243">
        <v>0</v>
      </c>
      <c r="N1243" t="s">
        <v>3915</v>
      </c>
      <c r="O1243" t="s">
        <v>3915</v>
      </c>
      <c r="P1243" t="s">
        <v>3915</v>
      </c>
      <c r="Q1243">
        <v>0</v>
      </c>
      <c r="R1243" t="s">
        <v>30</v>
      </c>
      <c r="S1243">
        <v>0</v>
      </c>
      <c r="T1243">
        <v>0</v>
      </c>
      <c r="U1243" t="s">
        <v>3915</v>
      </c>
      <c r="V1243" t="s">
        <v>31</v>
      </c>
      <c r="W1243">
        <v>0</v>
      </c>
    </row>
    <row r="1244" spans="1:23" x14ac:dyDescent="0.25">
      <c r="A1244" t="s">
        <v>4833</v>
      </c>
      <c r="B1244" t="s">
        <v>10335</v>
      </c>
      <c r="C1244" t="s">
        <v>10336</v>
      </c>
      <c r="D1244" t="s">
        <v>4479</v>
      </c>
      <c r="E1244" t="s">
        <v>4319</v>
      </c>
      <c r="F1244" t="s">
        <v>1069</v>
      </c>
      <c r="G1244" t="s">
        <v>1406</v>
      </c>
      <c r="H1244" s="6">
        <v>46018</v>
      </c>
      <c r="I1244" t="s">
        <v>29</v>
      </c>
      <c r="J1244">
        <v>0</v>
      </c>
      <c r="K1244">
        <v>0</v>
      </c>
      <c r="L1244">
        <v>0</v>
      </c>
      <c r="M1244">
        <v>0</v>
      </c>
      <c r="N1244" t="s">
        <v>3915</v>
      </c>
      <c r="O1244" t="s">
        <v>3915</v>
      </c>
      <c r="P1244" t="s">
        <v>3915</v>
      </c>
      <c r="Q1244">
        <v>0</v>
      </c>
      <c r="R1244" t="s">
        <v>30</v>
      </c>
      <c r="S1244">
        <v>0</v>
      </c>
      <c r="T1244">
        <v>0</v>
      </c>
      <c r="U1244" t="s">
        <v>3915</v>
      </c>
      <c r="V1244" t="s">
        <v>31</v>
      </c>
      <c r="W1244">
        <v>0</v>
      </c>
    </row>
    <row r="1245" spans="1:23" x14ac:dyDescent="0.25">
      <c r="A1245" t="s">
        <v>4413</v>
      </c>
      <c r="B1245" t="s">
        <v>1262</v>
      </c>
      <c r="C1245" t="s">
        <v>1263</v>
      </c>
      <c r="D1245" t="s">
        <v>4479</v>
      </c>
      <c r="E1245" t="s">
        <v>4319</v>
      </c>
      <c r="F1245" t="s">
        <v>1069</v>
      </c>
      <c r="G1245" t="s">
        <v>1406</v>
      </c>
      <c r="H1245" s="6">
        <v>46018</v>
      </c>
      <c r="I1245" t="s">
        <v>29</v>
      </c>
      <c r="J1245">
        <v>262</v>
      </c>
      <c r="K1245">
        <v>0</v>
      </c>
      <c r="L1245">
        <v>0</v>
      </c>
      <c r="M1245">
        <v>0</v>
      </c>
      <c r="N1245" t="s">
        <v>3915</v>
      </c>
      <c r="O1245" t="s">
        <v>3915</v>
      </c>
      <c r="P1245" t="s">
        <v>3915</v>
      </c>
      <c r="Q1245">
        <v>0</v>
      </c>
      <c r="R1245" t="s">
        <v>30</v>
      </c>
      <c r="S1245">
        <v>0</v>
      </c>
      <c r="T1245">
        <v>0</v>
      </c>
      <c r="U1245" t="s">
        <v>3915</v>
      </c>
      <c r="V1245" t="s">
        <v>31</v>
      </c>
      <c r="W1245">
        <v>0</v>
      </c>
    </row>
    <row r="1246" spans="1:23" x14ac:dyDescent="0.25">
      <c r="A1246" t="s">
        <v>4414</v>
      </c>
      <c r="B1246" t="s">
        <v>1264</v>
      </c>
      <c r="C1246" t="s">
        <v>1265</v>
      </c>
      <c r="D1246" t="s">
        <v>4479</v>
      </c>
      <c r="E1246" t="s">
        <v>4319</v>
      </c>
      <c r="F1246" t="s">
        <v>1069</v>
      </c>
      <c r="G1246" t="s">
        <v>1406</v>
      </c>
      <c r="H1246" s="6">
        <v>46018</v>
      </c>
      <c r="I1246" t="s">
        <v>29</v>
      </c>
      <c r="J1246">
        <v>567</v>
      </c>
      <c r="K1246">
        <v>0</v>
      </c>
      <c r="L1246">
        <v>0</v>
      </c>
      <c r="M1246">
        <v>0</v>
      </c>
      <c r="N1246" t="s">
        <v>3915</v>
      </c>
      <c r="O1246" t="s">
        <v>3915</v>
      </c>
      <c r="P1246" t="s">
        <v>3915</v>
      </c>
      <c r="Q1246">
        <v>0</v>
      </c>
      <c r="R1246" t="s">
        <v>30</v>
      </c>
      <c r="S1246">
        <v>0</v>
      </c>
      <c r="T1246">
        <v>0</v>
      </c>
      <c r="U1246" t="s">
        <v>3915</v>
      </c>
      <c r="V1246" t="s">
        <v>31</v>
      </c>
      <c r="W1246">
        <v>0</v>
      </c>
    </row>
    <row r="1247" spans="1:23" x14ac:dyDescent="0.25">
      <c r="A1247" t="s">
        <v>4415</v>
      </c>
      <c r="B1247" t="s">
        <v>1266</v>
      </c>
      <c r="C1247" t="s">
        <v>1267</v>
      </c>
      <c r="D1247" t="s">
        <v>4479</v>
      </c>
      <c r="E1247" t="s">
        <v>4319</v>
      </c>
      <c r="F1247" t="s">
        <v>1069</v>
      </c>
      <c r="G1247" t="s">
        <v>1406</v>
      </c>
      <c r="H1247" s="6">
        <v>46018</v>
      </c>
      <c r="I1247" t="s">
        <v>29</v>
      </c>
      <c r="J1247">
        <v>0</v>
      </c>
      <c r="K1247">
        <v>0</v>
      </c>
      <c r="L1247">
        <v>0</v>
      </c>
      <c r="M1247">
        <v>0</v>
      </c>
      <c r="N1247" t="s">
        <v>3915</v>
      </c>
      <c r="O1247" t="s">
        <v>3915</v>
      </c>
      <c r="P1247" t="s">
        <v>3915</v>
      </c>
      <c r="Q1247">
        <v>0</v>
      </c>
      <c r="R1247" t="s">
        <v>30</v>
      </c>
      <c r="S1247">
        <v>0</v>
      </c>
      <c r="T1247">
        <v>0</v>
      </c>
      <c r="U1247" t="s">
        <v>3915</v>
      </c>
      <c r="V1247" t="s">
        <v>31</v>
      </c>
      <c r="W1247">
        <v>0</v>
      </c>
    </row>
    <row r="1248" spans="1:23" x14ac:dyDescent="0.25">
      <c r="A1248" t="s">
        <v>4416</v>
      </c>
      <c r="B1248" t="s">
        <v>1268</v>
      </c>
      <c r="C1248" t="s">
        <v>1269</v>
      </c>
      <c r="D1248" t="s">
        <v>4479</v>
      </c>
      <c r="E1248" t="s">
        <v>4319</v>
      </c>
      <c r="F1248" t="s">
        <v>1069</v>
      </c>
      <c r="G1248" t="s">
        <v>1406</v>
      </c>
      <c r="H1248" s="6">
        <v>46018</v>
      </c>
      <c r="I1248" t="s">
        <v>29</v>
      </c>
      <c r="J1248">
        <v>320</v>
      </c>
      <c r="K1248">
        <v>0</v>
      </c>
      <c r="L1248">
        <v>0</v>
      </c>
      <c r="M1248">
        <v>0</v>
      </c>
      <c r="N1248" t="s">
        <v>3915</v>
      </c>
      <c r="O1248" t="s">
        <v>3915</v>
      </c>
      <c r="P1248" t="s">
        <v>3915</v>
      </c>
      <c r="Q1248">
        <v>0</v>
      </c>
      <c r="R1248" t="s">
        <v>30</v>
      </c>
      <c r="S1248">
        <v>0</v>
      </c>
      <c r="T1248">
        <v>0</v>
      </c>
      <c r="U1248" t="s">
        <v>3915</v>
      </c>
      <c r="V1248" t="s">
        <v>31</v>
      </c>
      <c r="W1248">
        <v>0</v>
      </c>
    </row>
    <row r="1249" spans="1:23" x14ac:dyDescent="0.25">
      <c r="A1249" t="s">
        <v>4417</v>
      </c>
      <c r="B1249" t="s">
        <v>1270</v>
      </c>
      <c r="C1249" t="s">
        <v>1271</v>
      </c>
      <c r="D1249" t="s">
        <v>4479</v>
      </c>
      <c r="E1249" t="s">
        <v>4319</v>
      </c>
      <c r="F1249" t="s">
        <v>1069</v>
      </c>
      <c r="G1249" t="s">
        <v>1406</v>
      </c>
      <c r="H1249" s="6">
        <v>46018</v>
      </c>
      <c r="I1249" t="s">
        <v>29</v>
      </c>
      <c r="J1249">
        <v>648</v>
      </c>
      <c r="K1249">
        <v>0</v>
      </c>
      <c r="L1249">
        <v>0</v>
      </c>
      <c r="M1249">
        <v>0</v>
      </c>
      <c r="N1249" t="s">
        <v>3915</v>
      </c>
      <c r="O1249" t="s">
        <v>3915</v>
      </c>
      <c r="P1249" t="s">
        <v>3915</v>
      </c>
      <c r="Q1249">
        <v>0</v>
      </c>
      <c r="R1249" t="s">
        <v>30</v>
      </c>
      <c r="S1249">
        <v>0</v>
      </c>
      <c r="T1249">
        <v>0</v>
      </c>
      <c r="U1249" t="s">
        <v>3915</v>
      </c>
      <c r="V1249" t="s">
        <v>31</v>
      </c>
      <c r="W1249">
        <v>0</v>
      </c>
    </row>
    <row r="1250" spans="1:23" x14ac:dyDescent="0.25">
      <c r="A1250" t="s">
        <v>4418</v>
      </c>
      <c r="B1250" t="s">
        <v>1272</v>
      </c>
      <c r="C1250" t="s">
        <v>1273</v>
      </c>
      <c r="D1250" t="s">
        <v>4479</v>
      </c>
      <c r="E1250" t="s">
        <v>4319</v>
      </c>
      <c r="F1250" t="s">
        <v>1069</v>
      </c>
      <c r="G1250" t="s">
        <v>1406</v>
      </c>
      <c r="H1250" s="6">
        <v>46018</v>
      </c>
      <c r="I1250" t="s">
        <v>29</v>
      </c>
      <c r="J1250">
        <v>594</v>
      </c>
      <c r="K1250">
        <v>0</v>
      </c>
      <c r="L1250">
        <v>0</v>
      </c>
      <c r="M1250">
        <v>0</v>
      </c>
      <c r="N1250" t="s">
        <v>3915</v>
      </c>
      <c r="O1250" t="s">
        <v>3915</v>
      </c>
      <c r="P1250" t="s">
        <v>3915</v>
      </c>
      <c r="Q1250">
        <v>0</v>
      </c>
      <c r="R1250" t="s">
        <v>30</v>
      </c>
      <c r="S1250">
        <v>0</v>
      </c>
      <c r="T1250">
        <v>0</v>
      </c>
      <c r="U1250" t="s">
        <v>3915</v>
      </c>
      <c r="V1250" t="s">
        <v>31</v>
      </c>
      <c r="W1250">
        <v>0</v>
      </c>
    </row>
    <row r="1251" spans="1:23" x14ac:dyDescent="0.25">
      <c r="A1251" t="s">
        <v>4419</v>
      </c>
      <c r="B1251" t="s">
        <v>1274</v>
      </c>
      <c r="C1251" t="s">
        <v>1275</v>
      </c>
      <c r="D1251" t="s">
        <v>4479</v>
      </c>
      <c r="E1251" t="s">
        <v>4319</v>
      </c>
      <c r="F1251" t="s">
        <v>1069</v>
      </c>
      <c r="G1251" t="s">
        <v>1406</v>
      </c>
      <c r="H1251" s="6">
        <v>46018</v>
      </c>
      <c r="I1251" t="s">
        <v>29</v>
      </c>
      <c r="J1251">
        <v>264</v>
      </c>
      <c r="K1251">
        <v>0</v>
      </c>
      <c r="L1251">
        <v>0</v>
      </c>
      <c r="M1251">
        <v>0</v>
      </c>
      <c r="N1251" t="s">
        <v>3915</v>
      </c>
      <c r="O1251" t="s">
        <v>3915</v>
      </c>
      <c r="P1251" t="s">
        <v>3915</v>
      </c>
      <c r="Q1251">
        <v>0</v>
      </c>
      <c r="R1251" t="s">
        <v>30</v>
      </c>
      <c r="S1251">
        <v>0</v>
      </c>
      <c r="T1251">
        <v>0</v>
      </c>
      <c r="U1251" t="s">
        <v>3915</v>
      </c>
      <c r="V1251" t="s">
        <v>31</v>
      </c>
      <c r="W1251">
        <v>0</v>
      </c>
    </row>
    <row r="1252" spans="1:23" x14ac:dyDescent="0.25">
      <c r="A1252" t="s">
        <v>4420</v>
      </c>
      <c r="B1252" t="s">
        <v>1276</v>
      </c>
      <c r="C1252" t="s">
        <v>1277</v>
      </c>
      <c r="D1252" t="s">
        <v>4479</v>
      </c>
      <c r="E1252" t="s">
        <v>4319</v>
      </c>
      <c r="F1252" t="s">
        <v>1069</v>
      </c>
      <c r="G1252" t="s">
        <v>1406</v>
      </c>
      <c r="H1252" s="6">
        <v>46018</v>
      </c>
      <c r="I1252" t="s">
        <v>29</v>
      </c>
      <c r="J1252">
        <v>66</v>
      </c>
      <c r="K1252">
        <v>0</v>
      </c>
      <c r="L1252">
        <v>0</v>
      </c>
      <c r="M1252">
        <v>0</v>
      </c>
      <c r="N1252" t="s">
        <v>3915</v>
      </c>
      <c r="O1252" t="s">
        <v>3915</v>
      </c>
      <c r="P1252" t="s">
        <v>3915</v>
      </c>
      <c r="Q1252">
        <v>0</v>
      </c>
      <c r="R1252" t="s">
        <v>30</v>
      </c>
      <c r="S1252">
        <v>0</v>
      </c>
      <c r="T1252">
        <v>0</v>
      </c>
      <c r="U1252" t="s">
        <v>3915</v>
      </c>
      <c r="V1252" t="s">
        <v>31</v>
      </c>
      <c r="W1252">
        <v>0</v>
      </c>
    </row>
    <row r="1253" spans="1:23" x14ac:dyDescent="0.25">
      <c r="A1253" t="s">
        <v>4421</v>
      </c>
      <c r="B1253" t="s">
        <v>1278</v>
      </c>
      <c r="C1253" t="s">
        <v>1279</v>
      </c>
      <c r="D1253" t="s">
        <v>4479</v>
      </c>
      <c r="E1253" t="s">
        <v>4319</v>
      </c>
      <c r="F1253" t="s">
        <v>1069</v>
      </c>
      <c r="G1253" t="s">
        <v>1406</v>
      </c>
      <c r="H1253" s="6">
        <v>46018</v>
      </c>
      <c r="I1253" t="s">
        <v>29</v>
      </c>
      <c r="J1253">
        <v>58</v>
      </c>
      <c r="K1253">
        <v>0</v>
      </c>
      <c r="L1253">
        <v>0</v>
      </c>
      <c r="M1253">
        <v>0</v>
      </c>
      <c r="N1253" t="s">
        <v>3915</v>
      </c>
      <c r="O1253" t="s">
        <v>3915</v>
      </c>
      <c r="P1253" t="s">
        <v>3915</v>
      </c>
      <c r="Q1253">
        <v>0</v>
      </c>
      <c r="R1253" t="s">
        <v>30</v>
      </c>
      <c r="S1253">
        <v>0</v>
      </c>
      <c r="T1253">
        <v>0</v>
      </c>
      <c r="U1253" t="s">
        <v>3915</v>
      </c>
      <c r="V1253" t="s">
        <v>31</v>
      </c>
      <c r="W1253">
        <v>0</v>
      </c>
    </row>
    <row r="1254" spans="1:23" x14ac:dyDescent="0.25">
      <c r="A1254" t="s">
        <v>4422</v>
      </c>
      <c r="B1254" t="s">
        <v>1280</v>
      </c>
      <c r="C1254" t="s">
        <v>1281</v>
      </c>
      <c r="D1254" t="s">
        <v>4479</v>
      </c>
      <c r="E1254" t="s">
        <v>4319</v>
      </c>
      <c r="F1254" t="s">
        <v>1069</v>
      </c>
      <c r="G1254" t="s">
        <v>1406</v>
      </c>
      <c r="H1254" s="6">
        <v>46018</v>
      </c>
      <c r="I1254" t="s">
        <v>29</v>
      </c>
      <c r="J1254">
        <v>213</v>
      </c>
      <c r="K1254">
        <v>0</v>
      </c>
      <c r="L1254">
        <v>0</v>
      </c>
      <c r="M1254">
        <v>0</v>
      </c>
      <c r="N1254" t="s">
        <v>3915</v>
      </c>
      <c r="O1254" t="s">
        <v>3915</v>
      </c>
      <c r="P1254" t="s">
        <v>3915</v>
      </c>
      <c r="Q1254">
        <v>0</v>
      </c>
      <c r="R1254" t="s">
        <v>30</v>
      </c>
      <c r="S1254">
        <v>0</v>
      </c>
      <c r="T1254">
        <v>0</v>
      </c>
      <c r="U1254" t="s">
        <v>3915</v>
      </c>
      <c r="V1254" t="s">
        <v>31</v>
      </c>
      <c r="W1254">
        <v>0</v>
      </c>
    </row>
    <row r="1255" spans="1:23" x14ac:dyDescent="0.25">
      <c r="A1255" t="s">
        <v>4423</v>
      </c>
      <c r="B1255" t="s">
        <v>1282</v>
      </c>
      <c r="C1255" t="s">
        <v>1283</v>
      </c>
      <c r="D1255" t="s">
        <v>4479</v>
      </c>
      <c r="E1255" t="s">
        <v>4319</v>
      </c>
      <c r="F1255" t="s">
        <v>1069</v>
      </c>
      <c r="G1255" t="s">
        <v>1406</v>
      </c>
      <c r="H1255" s="6">
        <v>46018</v>
      </c>
      <c r="I1255" t="s">
        <v>29</v>
      </c>
      <c r="J1255">
        <v>117</v>
      </c>
      <c r="K1255">
        <v>0</v>
      </c>
      <c r="L1255">
        <v>0</v>
      </c>
      <c r="M1255">
        <v>0</v>
      </c>
      <c r="N1255" t="s">
        <v>3915</v>
      </c>
      <c r="O1255" t="s">
        <v>3915</v>
      </c>
      <c r="P1255" t="s">
        <v>3915</v>
      </c>
      <c r="Q1255">
        <v>0</v>
      </c>
      <c r="R1255" t="s">
        <v>30</v>
      </c>
      <c r="S1255">
        <v>0</v>
      </c>
      <c r="T1255">
        <v>0</v>
      </c>
      <c r="U1255" t="s">
        <v>3915</v>
      </c>
      <c r="V1255" t="s">
        <v>31</v>
      </c>
      <c r="W1255">
        <v>0</v>
      </c>
    </row>
    <row r="1256" spans="1:23" x14ac:dyDescent="0.25">
      <c r="A1256" t="s">
        <v>4424</v>
      </c>
      <c r="B1256" t="s">
        <v>1284</v>
      </c>
      <c r="C1256" t="s">
        <v>1285</v>
      </c>
      <c r="D1256" t="s">
        <v>4479</v>
      </c>
      <c r="E1256" t="s">
        <v>4319</v>
      </c>
      <c r="F1256" t="s">
        <v>1069</v>
      </c>
      <c r="G1256" t="s">
        <v>1406</v>
      </c>
      <c r="H1256" s="6">
        <v>46018</v>
      </c>
      <c r="I1256" t="s">
        <v>29</v>
      </c>
      <c r="J1256">
        <v>514</v>
      </c>
      <c r="K1256">
        <v>0</v>
      </c>
      <c r="L1256">
        <v>0</v>
      </c>
      <c r="M1256">
        <v>0</v>
      </c>
      <c r="N1256" t="s">
        <v>3915</v>
      </c>
      <c r="O1256" t="s">
        <v>3915</v>
      </c>
      <c r="P1256" t="s">
        <v>3915</v>
      </c>
      <c r="Q1256">
        <v>0</v>
      </c>
      <c r="R1256" t="s">
        <v>30</v>
      </c>
      <c r="S1256">
        <v>0</v>
      </c>
      <c r="T1256">
        <v>0</v>
      </c>
      <c r="U1256" t="s">
        <v>3915</v>
      </c>
      <c r="V1256" t="s">
        <v>31</v>
      </c>
      <c r="W1256">
        <v>0</v>
      </c>
    </row>
    <row r="1257" spans="1:23" x14ac:dyDescent="0.25">
      <c r="A1257" t="s">
        <v>4425</v>
      </c>
      <c r="B1257" t="s">
        <v>1286</v>
      </c>
      <c r="C1257" t="s">
        <v>1287</v>
      </c>
      <c r="D1257" t="s">
        <v>4479</v>
      </c>
      <c r="E1257" t="s">
        <v>4319</v>
      </c>
      <c r="F1257" t="s">
        <v>1069</v>
      </c>
      <c r="G1257" t="s">
        <v>1406</v>
      </c>
      <c r="H1257" s="6">
        <v>46018</v>
      </c>
      <c r="I1257" t="s">
        <v>29</v>
      </c>
      <c r="J1257">
        <v>188</v>
      </c>
      <c r="K1257">
        <v>0</v>
      </c>
      <c r="L1257">
        <v>0</v>
      </c>
      <c r="M1257">
        <v>0</v>
      </c>
      <c r="N1257" t="s">
        <v>3915</v>
      </c>
      <c r="O1257" t="s">
        <v>3915</v>
      </c>
      <c r="P1257" t="s">
        <v>3915</v>
      </c>
      <c r="Q1257">
        <v>0</v>
      </c>
      <c r="R1257" t="s">
        <v>30</v>
      </c>
      <c r="S1257">
        <v>0</v>
      </c>
      <c r="T1257">
        <v>0</v>
      </c>
      <c r="U1257" t="s">
        <v>3915</v>
      </c>
      <c r="V1257" t="s">
        <v>31</v>
      </c>
      <c r="W1257">
        <v>0</v>
      </c>
    </row>
    <row r="1258" spans="1:23" x14ac:dyDescent="0.25">
      <c r="A1258" t="s">
        <v>4426</v>
      </c>
      <c r="B1258" t="s">
        <v>1288</v>
      </c>
      <c r="C1258" t="s">
        <v>1289</v>
      </c>
      <c r="D1258" t="s">
        <v>4479</v>
      </c>
      <c r="E1258" t="s">
        <v>4319</v>
      </c>
      <c r="F1258" t="s">
        <v>1069</v>
      </c>
      <c r="G1258" t="s">
        <v>1406</v>
      </c>
      <c r="H1258" s="6">
        <v>46018</v>
      </c>
      <c r="I1258" t="s">
        <v>29</v>
      </c>
      <c r="J1258">
        <v>31</v>
      </c>
      <c r="K1258">
        <v>0</v>
      </c>
      <c r="L1258">
        <v>0</v>
      </c>
      <c r="M1258">
        <v>0</v>
      </c>
      <c r="N1258" t="s">
        <v>3915</v>
      </c>
      <c r="O1258" t="s">
        <v>3915</v>
      </c>
      <c r="P1258" t="s">
        <v>3915</v>
      </c>
      <c r="Q1258">
        <v>0</v>
      </c>
      <c r="R1258" t="s">
        <v>30</v>
      </c>
      <c r="S1258">
        <v>0</v>
      </c>
      <c r="T1258">
        <v>0</v>
      </c>
      <c r="U1258" t="s">
        <v>3915</v>
      </c>
      <c r="V1258" t="s">
        <v>31</v>
      </c>
      <c r="W1258">
        <v>0</v>
      </c>
    </row>
    <row r="1259" spans="1:23" x14ac:dyDescent="0.25">
      <c r="A1259" t="s">
        <v>4427</v>
      </c>
      <c r="B1259" t="s">
        <v>1290</v>
      </c>
      <c r="C1259" t="s">
        <v>1291</v>
      </c>
      <c r="D1259" t="s">
        <v>4479</v>
      </c>
      <c r="E1259" t="s">
        <v>4319</v>
      </c>
      <c r="F1259" t="s">
        <v>1069</v>
      </c>
      <c r="G1259" t="s">
        <v>1406</v>
      </c>
      <c r="H1259" s="6">
        <v>46018</v>
      </c>
      <c r="I1259" t="s">
        <v>29</v>
      </c>
      <c r="J1259">
        <v>1053</v>
      </c>
      <c r="K1259">
        <v>0</v>
      </c>
      <c r="L1259">
        <v>0</v>
      </c>
      <c r="M1259">
        <v>0</v>
      </c>
      <c r="N1259" t="s">
        <v>3915</v>
      </c>
      <c r="O1259" t="s">
        <v>3915</v>
      </c>
      <c r="P1259" t="s">
        <v>3915</v>
      </c>
      <c r="Q1259">
        <v>0</v>
      </c>
      <c r="R1259" t="s">
        <v>30</v>
      </c>
      <c r="S1259">
        <v>0</v>
      </c>
      <c r="T1259">
        <v>0</v>
      </c>
      <c r="U1259" t="s">
        <v>3915</v>
      </c>
      <c r="V1259" t="s">
        <v>31</v>
      </c>
      <c r="W1259">
        <v>0</v>
      </c>
    </row>
    <row r="1260" spans="1:23" x14ac:dyDescent="0.25">
      <c r="A1260" t="s">
        <v>1388</v>
      </c>
      <c r="B1260" t="s">
        <v>1292</v>
      </c>
      <c r="C1260" t="s">
        <v>1293</v>
      </c>
      <c r="D1260" t="s">
        <v>4479</v>
      </c>
      <c r="E1260" t="s">
        <v>4319</v>
      </c>
      <c r="F1260" t="s">
        <v>1069</v>
      </c>
      <c r="G1260" t="s">
        <v>1406</v>
      </c>
      <c r="H1260" s="6">
        <v>46018</v>
      </c>
      <c r="I1260" t="s">
        <v>29</v>
      </c>
      <c r="J1260">
        <v>1331</v>
      </c>
      <c r="K1260">
        <v>0</v>
      </c>
      <c r="L1260">
        <v>0</v>
      </c>
      <c r="M1260">
        <v>0</v>
      </c>
      <c r="N1260" t="s">
        <v>3915</v>
      </c>
      <c r="O1260" t="s">
        <v>3915</v>
      </c>
      <c r="P1260" t="s">
        <v>3915</v>
      </c>
      <c r="Q1260">
        <v>0</v>
      </c>
      <c r="R1260" t="s">
        <v>30</v>
      </c>
      <c r="S1260">
        <v>0</v>
      </c>
      <c r="T1260">
        <v>0</v>
      </c>
      <c r="U1260" t="s">
        <v>3915</v>
      </c>
      <c r="V1260" t="s">
        <v>31</v>
      </c>
      <c r="W1260">
        <v>0</v>
      </c>
    </row>
    <row r="1261" spans="1:23" x14ac:dyDescent="0.25">
      <c r="A1261" t="s">
        <v>5563</v>
      </c>
      <c r="B1261" t="s">
        <v>2325</v>
      </c>
      <c r="C1261" t="s">
        <v>2324</v>
      </c>
      <c r="D1261" t="s">
        <v>4479</v>
      </c>
      <c r="E1261" t="s">
        <v>4319</v>
      </c>
      <c r="F1261" t="s">
        <v>1069</v>
      </c>
      <c r="G1261" t="s">
        <v>1406</v>
      </c>
      <c r="H1261" s="6">
        <v>46018</v>
      </c>
      <c r="I1261" t="s">
        <v>29</v>
      </c>
      <c r="J1261">
        <v>10</v>
      </c>
      <c r="K1261">
        <v>0</v>
      </c>
      <c r="L1261">
        <v>0</v>
      </c>
      <c r="M1261">
        <v>0</v>
      </c>
      <c r="N1261" t="s">
        <v>3915</v>
      </c>
      <c r="O1261" t="s">
        <v>3915</v>
      </c>
      <c r="P1261" t="s">
        <v>3915</v>
      </c>
      <c r="Q1261">
        <v>0</v>
      </c>
      <c r="R1261" t="s">
        <v>30</v>
      </c>
      <c r="S1261">
        <v>0</v>
      </c>
      <c r="T1261">
        <v>0</v>
      </c>
      <c r="U1261" t="s">
        <v>3915</v>
      </c>
      <c r="V1261" t="s">
        <v>31</v>
      </c>
      <c r="W1261">
        <v>0</v>
      </c>
    </row>
    <row r="1262" spans="1:23" x14ac:dyDescent="0.25">
      <c r="A1262" t="s">
        <v>5564</v>
      </c>
      <c r="B1262" t="s">
        <v>2327</v>
      </c>
      <c r="C1262" t="s">
        <v>2326</v>
      </c>
      <c r="D1262" t="s">
        <v>4479</v>
      </c>
      <c r="E1262" t="s">
        <v>4319</v>
      </c>
      <c r="F1262" t="s">
        <v>1069</v>
      </c>
      <c r="G1262" t="s">
        <v>1406</v>
      </c>
      <c r="H1262" s="6">
        <v>46018</v>
      </c>
      <c r="I1262" t="s">
        <v>29</v>
      </c>
      <c r="J1262">
        <v>95</v>
      </c>
      <c r="K1262">
        <v>0</v>
      </c>
      <c r="L1262">
        <v>0</v>
      </c>
      <c r="M1262">
        <v>0</v>
      </c>
      <c r="N1262" t="s">
        <v>3915</v>
      </c>
      <c r="O1262" t="s">
        <v>3915</v>
      </c>
      <c r="P1262" t="s">
        <v>3915</v>
      </c>
      <c r="Q1262">
        <v>0</v>
      </c>
      <c r="R1262" t="s">
        <v>30</v>
      </c>
      <c r="S1262">
        <v>0</v>
      </c>
      <c r="T1262">
        <v>0</v>
      </c>
      <c r="U1262" t="s">
        <v>3915</v>
      </c>
      <c r="V1262" t="s">
        <v>31</v>
      </c>
      <c r="W1262">
        <v>0</v>
      </c>
    </row>
    <row r="1263" spans="1:23" x14ac:dyDescent="0.25">
      <c r="A1263" t="s">
        <v>4617</v>
      </c>
      <c r="B1263" t="s">
        <v>2329</v>
      </c>
      <c r="C1263" t="s">
        <v>2328</v>
      </c>
      <c r="D1263" t="s">
        <v>4479</v>
      </c>
      <c r="E1263" t="s">
        <v>4319</v>
      </c>
      <c r="F1263" t="s">
        <v>1069</v>
      </c>
      <c r="G1263" t="s">
        <v>1406</v>
      </c>
      <c r="H1263" s="6">
        <v>46018</v>
      </c>
      <c r="I1263" t="s">
        <v>29</v>
      </c>
      <c r="J1263">
        <v>176</v>
      </c>
      <c r="K1263">
        <v>0</v>
      </c>
      <c r="L1263">
        <v>0</v>
      </c>
      <c r="M1263">
        <v>0</v>
      </c>
      <c r="N1263" t="s">
        <v>3915</v>
      </c>
      <c r="O1263" t="s">
        <v>3915</v>
      </c>
      <c r="P1263" t="s">
        <v>3915</v>
      </c>
      <c r="Q1263">
        <v>0</v>
      </c>
      <c r="R1263" t="s">
        <v>30</v>
      </c>
      <c r="S1263">
        <v>0</v>
      </c>
      <c r="T1263">
        <v>0</v>
      </c>
      <c r="U1263" t="s">
        <v>3915</v>
      </c>
      <c r="V1263" t="s">
        <v>31</v>
      </c>
      <c r="W1263">
        <v>0</v>
      </c>
    </row>
    <row r="1264" spans="1:23" x14ac:dyDescent="0.25">
      <c r="A1264" t="s">
        <v>5565</v>
      </c>
      <c r="B1264" t="s">
        <v>2331</v>
      </c>
      <c r="C1264" t="s">
        <v>2330</v>
      </c>
      <c r="D1264" t="s">
        <v>4479</v>
      </c>
      <c r="E1264" t="s">
        <v>4319</v>
      </c>
      <c r="F1264" t="s">
        <v>1069</v>
      </c>
      <c r="G1264" t="s">
        <v>1406</v>
      </c>
      <c r="H1264" s="6">
        <v>46018</v>
      </c>
      <c r="I1264" t="s">
        <v>29</v>
      </c>
      <c r="J1264">
        <v>205</v>
      </c>
      <c r="K1264">
        <v>0</v>
      </c>
      <c r="L1264">
        <v>0</v>
      </c>
      <c r="M1264">
        <v>0</v>
      </c>
      <c r="N1264" t="s">
        <v>3915</v>
      </c>
      <c r="O1264" t="s">
        <v>3915</v>
      </c>
      <c r="P1264" t="s">
        <v>3915</v>
      </c>
      <c r="Q1264">
        <v>0</v>
      </c>
      <c r="R1264" t="s">
        <v>30</v>
      </c>
      <c r="S1264">
        <v>0</v>
      </c>
      <c r="T1264">
        <v>0</v>
      </c>
      <c r="U1264" t="s">
        <v>3915</v>
      </c>
      <c r="V1264" t="s">
        <v>31</v>
      </c>
      <c r="W1264">
        <v>0</v>
      </c>
    </row>
    <row r="1265" spans="1:23" x14ac:dyDescent="0.25">
      <c r="A1265" t="s">
        <v>4428</v>
      </c>
      <c r="B1265" t="s">
        <v>1294</v>
      </c>
      <c r="C1265" t="s">
        <v>1295</v>
      </c>
      <c r="D1265" t="s">
        <v>4479</v>
      </c>
      <c r="E1265" t="s">
        <v>4319</v>
      </c>
      <c r="F1265" t="s">
        <v>1069</v>
      </c>
      <c r="G1265" t="s">
        <v>1406</v>
      </c>
      <c r="H1265" s="6">
        <v>46018</v>
      </c>
      <c r="I1265" t="s">
        <v>29</v>
      </c>
      <c r="J1265">
        <v>148</v>
      </c>
      <c r="K1265">
        <v>0</v>
      </c>
      <c r="L1265">
        <v>0</v>
      </c>
      <c r="M1265">
        <v>0</v>
      </c>
      <c r="N1265" t="s">
        <v>3915</v>
      </c>
      <c r="O1265" t="s">
        <v>3915</v>
      </c>
      <c r="P1265" t="s">
        <v>3915</v>
      </c>
      <c r="Q1265">
        <v>0</v>
      </c>
      <c r="R1265" t="s">
        <v>30</v>
      </c>
      <c r="S1265">
        <v>0</v>
      </c>
      <c r="T1265">
        <v>0</v>
      </c>
      <c r="U1265" t="s">
        <v>3915</v>
      </c>
      <c r="V1265" t="s">
        <v>31</v>
      </c>
      <c r="W1265">
        <v>0</v>
      </c>
    </row>
    <row r="1266" spans="1:23" x14ac:dyDescent="0.25">
      <c r="A1266" t="s">
        <v>4429</v>
      </c>
      <c r="B1266" t="s">
        <v>1296</v>
      </c>
      <c r="C1266" t="s">
        <v>1297</v>
      </c>
      <c r="D1266" t="s">
        <v>4479</v>
      </c>
      <c r="E1266" t="s">
        <v>4319</v>
      </c>
      <c r="F1266" t="s">
        <v>1069</v>
      </c>
      <c r="G1266" t="s">
        <v>1406</v>
      </c>
      <c r="H1266" s="6">
        <v>46018</v>
      </c>
      <c r="I1266" t="s">
        <v>29</v>
      </c>
      <c r="J1266">
        <v>54</v>
      </c>
      <c r="K1266">
        <v>0</v>
      </c>
      <c r="L1266">
        <v>0</v>
      </c>
      <c r="M1266">
        <v>0</v>
      </c>
      <c r="N1266" t="s">
        <v>3915</v>
      </c>
      <c r="O1266" t="s">
        <v>3915</v>
      </c>
      <c r="P1266" t="s">
        <v>3915</v>
      </c>
      <c r="Q1266">
        <v>0</v>
      </c>
      <c r="R1266" t="s">
        <v>30</v>
      </c>
      <c r="S1266">
        <v>0</v>
      </c>
      <c r="T1266">
        <v>0</v>
      </c>
      <c r="U1266" t="s">
        <v>3915</v>
      </c>
      <c r="V1266" t="s">
        <v>31</v>
      </c>
      <c r="W1266">
        <v>0</v>
      </c>
    </row>
    <row r="1267" spans="1:23" x14ac:dyDescent="0.25">
      <c r="A1267" t="s">
        <v>4430</v>
      </c>
      <c r="B1267" t="s">
        <v>1298</v>
      </c>
      <c r="C1267" t="s">
        <v>1299</v>
      </c>
      <c r="D1267" t="s">
        <v>4479</v>
      </c>
      <c r="E1267" t="s">
        <v>4319</v>
      </c>
      <c r="F1267" t="s">
        <v>1069</v>
      </c>
      <c r="G1267" t="s">
        <v>1406</v>
      </c>
      <c r="H1267" s="6">
        <v>46018</v>
      </c>
      <c r="I1267" t="s">
        <v>29</v>
      </c>
      <c r="J1267">
        <v>798</v>
      </c>
      <c r="K1267">
        <v>0</v>
      </c>
      <c r="L1267">
        <v>0</v>
      </c>
      <c r="M1267">
        <v>0</v>
      </c>
      <c r="N1267" t="s">
        <v>3915</v>
      </c>
      <c r="O1267" t="s">
        <v>3915</v>
      </c>
      <c r="P1267" t="s">
        <v>3915</v>
      </c>
      <c r="Q1267">
        <v>0</v>
      </c>
      <c r="R1267" t="s">
        <v>30</v>
      </c>
      <c r="S1267">
        <v>0</v>
      </c>
      <c r="T1267">
        <v>0</v>
      </c>
      <c r="U1267" t="s">
        <v>3915</v>
      </c>
      <c r="V1267" t="s">
        <v>31</v>
      </c>
      <c r="W1267">
        <v>0</v>
      </c>
    </row>
    <row r="1268" spans="1:23" x14ac:dyDescent="0.25">
      <c r="A1268" t="s">
        <v>4431</v>
      </c>
      <c r="B1268" t="s">
        <v>1300</v>
      </c>
      <c r="C1268" t="s">
        <v>1301</v>
      </c>
      <c r="D1268" t="s">
        <v>4479</v>
      </c>
      <c r="E1268" t="s">
        <v>4319</v>
      </c>
      <c r="F1268" t="s">
        <v>1069</v>
      </c>
      <c r="G1268" t="s">
        <v>1406</v>
      </c>
      <c r="H1268" s="6">
        <v>46018</v>
      </c>
      <c r="I1268" t="s">
        <v>29</v>
      </c>
      <c r="J1268">
        <v>219</v>
      </c>
      <c r="K1268">
        <v>0</v>
      </c>
      <c r="L1268">
        <v>0</v>
      </c>
      <c r="M1268">
        <v>0</v>
      </c>
      <c r="N1268" t="s">
        <v>3915</v>
      </c>
      <c r="O1268" t="s">
        <v>3915</v>
      </c>
      <c r="P1268" t="s">
        <v>3915</v>
      </c>
      <c r="Q1268">
        <v>0</v>
      </c>
      <c r="R1268" t="s">
        <v>30</v>
      </c>
      <c r="S1268">
        <v>0</v>
      </c>
      <c r="T1268">
        <v>0</v>
      </c>
      <c r="U1268" t="s">
        <v>3915</v>
      </c>
      <c r="V1268" t="s">
        <v>31</v>
      </c>
      <c r="W1268">
        <v>0</v>
      </c>
    </row>
    <row r="1269" spans="1:23" x14ac:dyDescent="0.25">
      <c r="A1269" t="s">
        <v>4432</v>
      </c>
      <c r="B1269" t="s">
        <v>1302</v>
      </c>
      <c r="C1269" t="s">
        <v>1303</v>
      </c>
      <c r="D1269" t="s">
        <v>4479</v>
      </c>
      <c r="E1269" t="s">
        <v>4319</v>
      </c>
      <c r="F1269" t="s">
        <v>1069</v>
      </c>
      <c r="G1269" t="s">
        <v>1406</v>
      </c>
      <c r="H1269" s="6">
        <v>46018</v>
      </c>
      <c r="I1269" t="s">
        <v>29</v>
      </c>
      <c r="J1269">
        <v>675</v>
      </c>
      <c r="K1269">
        <v>0</v>
      </c>
      <c r="L1269">
        <v>0</v>
      </c>
      <c r="M1269">
        <v>0</v>
      </c>
      <c r="N1269" t="s">
        <v>3915</v>
      </c>
      <c r="O1269" t="s">
        <v>3915</v>
      </c>
      <c r="P1269" t="s">
        <v>3915</v>
      </c>
      <c r="Q1269">
        <v>0</v>
      </c>
      <c r="R1269" t="s">
        <v>30</v>
      </c>
      <c r="S1269">
        <v>0</v>
      </c>
      <c r="T1269">
        <v>0</v>
      </c>
      <c r="U1269" t="s">
        <v>3915</v>
      </c>
      <c r="V1269" t="s">
        <v>31</v>
      </c>
      <c r="W1269">
        <v>0</v>
      </c>
    </row>
    <row r="1270" spans="1:23" x14ac:dyDescent="0.25">
      <c r="A1270" t="s">
        <v>4433</v>
      </c>
      <c r="B1270" t="s">
        <v>1304</v>
      </c>
      <c r="C1270" t="s">
        <v>1305</v>
      </c>
      <c r="D1270" t="s">
        <v>4479</v>
      </c>
      <c r="E1270" t="s">
        <v>4319</v>
      </c>
      <c r="F1270" t="s">
        <v>1069</v>
      </c>
      <c r="G1270" t="s">
        <v>1406</v>
      </c>
      <c r="H1270" s="6">
        <v>46018</v>
      </c>
      <c r="I1270" t="s">
        <v>29</v>
      </c>
      <c r="J1270">
        <v>666</v>
      </c>
      <c r="K1270">
        <v>0</v>
      </c>
      <c r="L1270">
        <v>0</v>
      </c>
      <c r="M1270">
        <v>0</v>
      </c>
      <c r="N1270" t="s">
        <v>3915</v>
      </c>
      <c r="O1270" t="s">
        <v>3915</v>
      </c>
      <c r="P1270" t="s">
        <v>3915</v>
      </c>
      <c r="Q1270">
        <v>0</v>
      </c>
      <c r="R1270" t="s">
        <v>30</v>
      </c>
      <c r="S1270">
        <v>0</v>
      </c>
      <c r="T1270">
        <v>0</v>
      </c>
      <c r="U1270" t="s">
        <v>3915</v>
      </c>
      <c r="V1270" t="s">
        <v>31</v>
      </c>
      <c r="W1270">
        <v>0</v>
      </c>
    </row>
    <row r="1271" spans="1:23" x14ac:dyDescent="0.25">
      <c r="A1271" t="s">
        <v>5566</v>
      </c>
      <c r="B1271" t="s">
        <v>2333</v>
      </c>
      <c r="C1271" t="s">
        <v>2332</v>
      </c>
      <c r="D1271" t="s">
        <v>4479</v>
      </c>
      <c r="E1271" t="s">
        <v>4319</v>
      </c>
      <c r="F1271" t="s">
        <v>1069</v>
      </c>
      <c r="G1271" t="s">
        <v>1406</v>
      </c>
      <c r="H1271" s="6">
        <v>46018</v>
      </c>
      <c r="I1271" t="s">
        <v>29</v>
      </c>
      <c r="J1271">
        <v>5</v>
      </c>
      <c r="K1271">
        <v>0</v>
      </c>
      <c r="L1271">
        <v>0</v>
      </c>
      <c r="M1271">
        <v>0</v>
      </c>
      <c r="N1271" t="s">
        <v>3915</v>
      </c>
      <c r="O1271" t="s">
        <v>3915</v>
      </c>
      <c r="P1271" t="s">
        <v>3915</v>
      </c>
      <c r="Q1271">
        <v>0</v>
      </c>
      <c r="R1271" t="s">
        <v>30</v>
      </c>
      <c r="S1271">
        <v>0</v>
      </c>
      <c r="T1271">
        <v>0</v>
      </c>
      <c r="U1271" t="s">
        <v>3915</v>
      </c>
      <c r="V1271" t="s">
        <v>31</v>
      </c>
      <c r="W1271">
        <v>0</v>
      </c>
    </row>
    <row r="1272" spans="1:23" x14ac:dyDescent="0.25">
      <c r="A1272" t="s">
        <v>5567</v>
      </c>
      <c r="B1272" t="s">
        <v>2335</v>
      </c>
      <c r="C1272" t="s">
        <v>2334</v>
      </c>
      <c r="D1272" t="s">
        <v>4479</v>
      </c>
      <c r="E1272" t="s">
        <v>4319</v>
      </c>
      <c r="F1272" t="s">
        <v>1069</v>
      </c>
      <c r="G1272" t="s">
        <v>1406</v>
      </c>
      <c r="H1272" s="6">
        <v>46018</v>
      </c>
      <c r="I1272" t="s">
        <v>29</v>
      </c>
      <c r="J1272">
        <v>185</v>
      </c>
      <c r="K1272">
        <v>0</v>
      </c>
      <c r="L1272">
        <v>0</v>
      </c>
      <c r="M1272">
        <v>0</v>
      </c>
      <c r="N1272" t="s">
        <v>3915</v>
      </c>
      <c r="O1272" t="s">
        <v>3915</v>
      </c>
      <c r="P1272" t="s">
        <v>3915</v>
      </c>
      <c r="Q1272">
        <v>0</v>
      </c>
      <c r="R1272" t="s">
        <v>30</v>
      </c>
      <c r="S1272">
        <v>0</v>
      </c>
      <c r="T1272">
        <v>0</v>
      </c>
      <c r="U1272" t="s">
        <v>3915</v>
      </c>
      <c r="V1272" t="s">
        <v>31</v>
      </c>
      <c r="W1272">
        <v>0</v>
      </c>
    </row>
    <row r="1273" spans="1:23" x14ac:dyDescent="0.25">
      <c r="A1273" t="s">
        <v>5568</v>
      </c>
      <c r="B1273" t="s">
        <v>2337</v>
      </c>
      <c r="C1273" t="s">
        <v>2336</v>
      </c>
      <c r="D1273" t="s">
        <v>4479</v>
      </c>
      <c r="E1273" t="s">
        <v>4319</v>
      </c>
      <c r="F1273" t="s">
        <v>1069</v>
      </c>
      <c r="G1273" t="s">
        <v>1406</v>
      </c>
      <c r="H1273" s="6">
        <v>46018</v>
      </c>
      <c r="I1273" t="s">
        <v>29</v>
      </c>
      <c r="J1273">
        <v>174</v>
      </c>
      <c r="K1273">
        <v>0</v>
      </c>
      <c r="L1273">
        <v>0</v>
      </c>
      <c r="M1273">
        <v>0</v>
      </c>
      <c r="N1273" t="s">
        <v>3915</v>
      </c>
      <c r="O1273" t="s">
        <v>3915</v>
      </c>
      <c r="P1273" t="s">
        <v>3915</v>
      </c>
      <c r="Q1273">
        <v>0</v>
      </c>
      <c r="R1273" t="s">
        <v>30</v>
      </c>
      <c r="S1273">
        <v>0</v>
      </c>
      <c r="T1273">
        <v>0</v>
      </c>
      <c r="U1273" t="s">
        <v>3915</v>
      </c>
      <c r="V1273" t="s">
        <v>31</v>
      </c>
      <c r="W1273">
        <v>0</v>
      </c>
    </row>
    <row r="1274" spans="1:23" x14ac:dyDescent="0.25">
      <c r="A1274" t="s">
        <v>4629</v>
      </c>
      <c r="B1274" t="s">
        <v>2339</v>
      </c>
      <c r="C1274" t="s">
        <v>2338</v>
      </c>
      <c r="D1274" t="s">
        <v>4479</v>
      </c>
      <c r="E1274" t="s">
        <v>4319</v>
      </c>
      <c r="F1274" t="s">
        <v>1069</v>
      </c>
      <c r="G1274" t="s">
        <v>1406</v>
      </c>
      <c r="H1274" s="6">
        <v>46018</v>
      </c>
      <c r="I1274" t="s">
        <v>29</v>
      </c>
      <c r="J1274">
        <v>205</v>
      </c>
      <c r="K1274">
        <v>0</v>
      </c>
      <c r="L1274">
        <v>0</v>
      </c>
      <c r="M1274">
        <v>0</v>
      </c>
      <c r="N1274" t="s">
        <v>3915</v>
      </c>
      <c r="O1274" t="s">
        <v>3915</v>
      </c>
      <c r="P1274" t="s">
        <v>3915</v>
      </c>
      <c r="Q1274">
        <v>0</v>
      </c>
      <c r="R1274" t="s">
        <v>30</v>
      </c>
      <c r="S1274">
        <v>0</v>
      </c>
      <c r="T1274">
        <v>0</v>
      </c>
      <c r="U1274" t="s">
        <v>3915</v>
      </c>
      <c r="V1274" t="s">
        <v>31</v>
      </c>
      <c r="W1274">
        <v>0</v>
      </c>
    </row>
    <row r="1275" spans="1:23" x14ac:dyDescent="0.25">
      <c r="A1275" t="s">
        <v>4434</v>
      </c>
      <c r="B1275" t="s">
        <v>1306</v>
      </c>
      <c r="C1275" t="s">
        <v>1307</v>
      </c>
      <c r="D1275" t="s">
        <v>4479</v>
      </c>
      <c r="E1275" t="s">
        <v>4319</v>
      </c>
      <c r="F1275" t="s">
        <v>1069</v>
      </c>
      <c r="G1275" t="s">
        <v>1406</v>
      </c>
      <c r="H1275" s="6">
        <v>46018</v>
      </c>
      <c r="I1275" t="s">
        <v>29</v>
      </c>
      <c r="J1275">
        <v>1965</v>
      </c>
      <c r="K1275">
        <v>0</v>
      </c>
      <c r="L1275">
        <v>0</v>
      </c>
      <c r="M1275">
        <v>0</v>
      </c>
      <c r="N1275" t="s">
        <v>3915</v>
      </c>
      <c r="O1275" t="s">
        <v>3915</v>
      </c>
      <c r="P1275" t="s">
        <v>3915</v>
      </c>
      <c r="Q1275">
        <v>0</v>
      </c>
      <c r="R1275" t="s">
        <v>30</v>
      </c>
      <c r="S1275">
        <v>0</v>
      </c>
      <c r="T1275">
        <v>0</v>
      </c>
      <c r="U1275" t="s">
        <v>3915</v>
      </c>
      <c r="V1275" t="s">
        <v>31</v>
      </c>
      <c r="W1275">
        <v>0</v>
      </c>
    </row>
    <row r="1276" spans="1:23" x14ac:dyDescent="0.25">
      <c r="A1276" t="s">
        <v>4435</v>
      </c>
      <c r="B1276" t="s">
        <v>1308</v>
      </c>
      <c r="C1276" t="s">
        <v>1309</v>
      </c>
      <c r="D1276" t="s">
        <v>4479</v>
      </c>
      <c r="E1276" t="s">
        <v>4319</v>
      </c>
      <c r="F1276" t="s">
        <v>1069</v>
      </c>
      <c r="G1276" t="s">
        <v>1406</v>
      </c>
      <c r="H1276" s="6">
        <v>46018</v>
      </c>
      <c r="I1276" t="s">
        <v>29</v>
      </c>
      <c r="J1276">
        <v>1049</v>
      </c>
      <c r="K1276">
        <v>0</v>
      </c>
      <c r="L1276">
        <v>0</v>
      </c>
      <c r="M1276">
        <v>0</v>
      </c>
      <c r="N1276" t="s">
        <v>3915</v>
      </c>
      <c r="O1276" t="s">
        <v>3915</v>
      </c>
      <c r="P1276" t="s">
        <v>3915</v>
      </c>
      <c r="Q1276">
        <v>0</v>
      </c>
      <c r="R1276" t="s">
        <v>30</v>
      </c>
      <c r="S1276">
        <v>0</v>
      </c>
      <c r="T1276">
        <v>0</v>
      </c>
      <c r="U1276" t="s">
        <v>3915</v>
      </c>
      <c r="V1276" t="s">
        <v>31</v>
      </c>
      <c r="W1276">
        <v>0</v>
      </c>
    </row>
    <row r="1277" spans="1:23" x14ac:dyDescent="0.25">
      <c r="A1277" t="s">
        <v>5569</v>
      </c>
      <c r="B1277" t="s">
        <v>2341</v>
      </c>
      <c r="C1277" t="s">
        <v>2340</v>
      </c>
      <c r="D1277" t="s">
        <v>4479</v>
      </c>
      <c r="E1277" t="s">
        <v>4319</v>
      </c>
      <c r="F1277" t="s">
        <v>1069</v>
      </c>
      <c r="G1277" t="s">
        <v>1406</v>
      </c>
      <c r="H1277" s="6">
        <v>46018</v>
      </c>
      <c r="I1277" t="s">
        <v>29</v>
      </c>
      <c r="J1277">
        <v>1415</v>
      </c>
      <c r="K1277">
        <v>0</v>
      </c>
      <c r="L1277">
        <v>0</v>
      </c>
      <c r="M1277">
        <v>0</v>
      </c>
      <c r="N1277" t="s">
        <v>3915</v>
      </c>
      <c r="O1277" t="s">
        <v>3915</v>
      </c>
      <c r="P1277" t="s">
        <v>3915</v>
      </c>
      <c r="Q1277">
        <v>0</v>
      </c>
      <c r="R1277" t="s">
        <v>30</v>
      </c>
      <c r="S1277">
        <v>0</v>
      </c>
      <c r="T1277">
        <v>0</v>
      </c>
      <c r="U1277" t="s">
        <v>3915</v>
      </c>
      <c r="V1277" t="s">
        <v>31</v>
      </c>
      <c r="W1277">
        <v>0</v>
      </c>
    </row>
    <row r="1278" spans="1:23" x14ac:dyDescent="0.25">
      <c r="A1278" t="s">
        <v>4436</v>
      </c>
      <c r="B1278" t="s">
        <v>1310</v>
      </c>
      <c r="C1278" t="s">
        <v>1311</v>
      </c>
      <c r="D1278" t="s">
        <v>4479</v>
      </c>
      <c r="E1278" t="s">
        <v>4319</v>
      </c>
      <c r="F1278" t="s">
        <v>1069</v>
      </c>
      <c r="G1278" t="s">
        <v>1406</v>
      </c>
      <c r="H1278" s="6">
        <v>46018</v>
      </c>
      <c r="I1278" t="s">
        <v>29</v>
      </c>
      <c r="J1278">
        <v>2192</v>
      </c>
      <c r="K1278">
        <v>0</v>
      </c>
      <c r="L1278">
        <v>0</v>
      </c>
      <c r="M1278">
        <v>0</v>
      </c>
      <c r="N1278" t="s">
        <v>3915</v>
      </c>
      <c r="O1278" t="s">
        <v>3915</v>
      </c>
      <c r="P1278" t="s">
        <v>3915</v>
      </c>
      <c r="Q1278">
        <v>0</v>
      </c>
      <c r="R1278" t="s">
        <v>30</v>
      </c>
      <c r="S1278">
        <v>0</v>
      </c>
      <c r="T1278">
        <v>0</v>
      </c>
      <c r="U1278" t="s">
        <v>3915</v>
      </c>
      <c r="V1278" t="s">
        <v>31</v>
      </c>
      <c r="W1278">
        <v>0</v>
      </c>
    </row>
    <row r="1279" spans="1:23" x14ac:dyDescent="0.25">
      <c r="A1279" t="s">
        <v>4437</v>
      </c>
      <c r="B1279" t="s">
        <v>1312</v>
      </c>
      <c r="C1279" t="s">
        <v>1313</v>
      </c>
      <c r="D1279" t="s">
        <v>4479</v>
      </c>
      <c r="E1279" t="s">
        <v>4319</v>
      </c>
      <c r="F1279" t="s">
        <v>1069</v>
      </c>
      <c r="G1279" t="s">
        <v>1406</v>
      </c>
      <c r="H1279" s="6">
        <v>46018</v>
      </c>
      <c r="I1279" t="s">
        <v>29</v>
      </c>
      <c r="J1279">
        <v>822</v>
      </c>
      <c r="K1279">
        <v>0</v>
      </c>
      <c r="L1279">
        <v>0</v>
      </c>
      <c r="M1279">
        <v>0</v>
      </c>
      <c r="N1279" t="s">
        <v>3915</v>
      </c>
      <c r="O1279" t="s">
        <v>3915</v>
      </c>
      <c r="P1279" t="s">
        <v>3915</v>
      </c>
      <c r="Q1279">
        <v>0</v>
      </c>
      <c r="R1279" t="s">
        <v>30</v>
      </c>
      <c r="S1279">
        <v>0</v>
      </c>
      <c r="T1279">
        <v>0</v>
      </c>
      <c r="U1279" t="s">
        <v>3915</v>
      </c>
      <c r="V1279" t="s">
        <v>31</v>
      </c>
      <c r="W1279">
        <v>0</v>
      </c>
    </row>
    <row r="1280" spans="1:23" x14ac:dyDescent="0.25">
      <c r="A1280" t="s">
        <v>5570</v>
      </c>
      <c r="B1280" t="s">
        <v>2343</v>
      </c>
      <c r="C1280" t="s">
        <v>2342</v>
      </c>
      <c r="D1280" t="s">
        <v>4479</v>
      </c>
      <c r="E1280" t="s">
        <v>4319</v>
      </c>
      <c r="F1280" t="s">
        <v>1069</v>
      </c>
      <c r="G1280" t="s">
        <v>1406</v>
      </c>
      <c r="H1280" s="6">
        <v>46018</v>
      </c>
      <c r="I1280" t="s">
        <v>29</v>
      </c>
      <c r="J1280">
        <v>1434</v>
      </c>
      <c r="K1280">
        <v>0</v>
      </c>
      <c r="L1280">
        <v>0</v>
      </c>
      <c r="M1280">
        <v>0</v>
      </c>
      <c r="N1280" t="s">
        <v>3915</v>
      </c>
      <c r="O1280" t="s">
        <v>3915</v>
      </c>
      <c r="P1280" t="s">
        <v>3915</v>
      </c>
      <c r="Q1280">
        <v>0</v>
      </c>
      <c r="R1280" t="s">
        <v>30</v>
      </c>
      <c r="S1280">
        <v>0</v>
      </c>
      <c r="T1280">
        <v>0</v>
      </c>
      <c r="U1280" t="s">
        <v>3915</v>
      </c>
      <c r="V1280" t="s">
        <v>31</v>
      </c>
      <c r="W1280">
        <v>0</v>
      </c>
    </row>
    <row r="1281" spans="1:23" x14ac:dyDescent="0.25">
      <c r="A1281" t="s">
        <v>4438</v>
      </c>
      <c r="B1281" t="s">
        <v>1314</v>
      </c>
      <c r="C1281" t="s">
        <v>1315</v>
      </c>
      <c r="D1281" t="s">
        <v>4479</v>
      </c>
      <c r="E1281" t="s">
        <v>4319</v>
      </c>
      <c r="F1281" t="s">
        <v>1069</v>
      </c>
      <c r="G1281" t="s">
        <v>1406</v>
      </c>
      <c r="H1281" s="6">
        <v>46018</v>
      </c>
      <c r="I1281" t="s">
        <v>29</v>
      </c>
      <c r="J1281">
        <v>375</v>
      </c>
      <c r="K1281">
        <v>0</v>
      </c>
      <c r="L1281">
        <v>0</v>
      </c>
      <c r="M1281">
        <v>0</v>
      </c>
      <c r="N1281" t="s">
        <v>3915</v>
      </c>
      <c r="O1281" t="s">
        <v>3915</v>
      </c>
      <c r="P1281" t="s">
        <v>3915</v>
      </c>
      <c r="Q1281">
        <v>0</v>
      </c>
      <c r="R1281" t="s">
        <v>30</v>
      </c>
      <c r="S1281">
        <v>0</v>
      </c>
      <c r="T1281">
        <v>0</v>
      </c>
      <c r="U1281" t="s">
        <v>3915</v>
      </c>
      <c r="V1281" t="s">
        <v>31</v>
      </c>
      <c r="W1281">
        <v>0</v>
      </c>
    </row>
    <row r="1282" spans="1:23" x14ac:dyDescent="0.25">
      <c r="A1282" t="s">
        <v>5571</v>
      </c>
      <c r="B1282" t="s">
        <v>2345</v>
      </c>
      <c r="C1282" t="s">
        <v>2344</v>
      </c>
      <c r="D1282" t="s">
        <v>4479</v>
      </c>
      <c r="E1282" t="s">
        <v>4319</v>
      </c>
      <c r="F1282" t="s">
        <v>1069</v>
      </c>
      <c r="G1282" t="s">
        <v>1406</v>
      </c>
      <c r="H1282" s="6">
        <v>46018</v>
      </c>
      <c r="I1282" t="s">
        <v>29</v>
      </c>
      <c r="J1282">
        <v>170</v>
      </c>
      <c r="K1282">
        <v>0</v>
      </c>
      <c r="L1282">
        <v>0</v>
      </c>
      <c r="M1282">
        <v>0</v>
      </c>
      <c r="N1282" t="s">
        <v>3915</v>
      </c>
      <c r="O1282" t="s">
        <v>3915</v>
      </c>
      <c r="P1282" t="s">
        <v>3915</v>
      </c>
      <c r="Q1282">
        <v>0</v>
      </c>
      <c r="R1282" t="s">
        <v>30</v>
      </c>
      <c r="S1282">
        <v>0</v>
      </c>
      <c r="T1282">
        <v>0</v>
      </c>
      <c r="U1282" t="s">
        <v>3915</v>
      </c>
      <c r="V1282" t="s">
        <v>31</v>
      </c>
      <c r="W1282">
        <v>0</v>
      </c>
    </row>
    <row r="1283" spans="1:23" x14ac:dyDescent="0.25">
      <c r="A1283" t="s">
        <v>4439</v>
      </c>
      <c r="B1283" t="s">
        <v>1316</v>
      </c>
      <c r="C1283" t="s">
        <v>1317</v>
      </c>
      <c r="D1283" t="s">
        <v>4479</v>
      </c>
      <c r="E1283" t="s">
        <v>4319</v>
      </c>
      <c r="F1283" t="s">
        <v>1069</v>
      </c>
      <c r="G1283" t="s">
        <v>1406</v>
      </c>
      <c r="H1283" s="6">
        <v>46018</v>
      </c>
      <c r="I1283" t="s">
        <v>29</v>
      </c>
      <c r="J1283">
        <v>204</v>
      </c>
      <c r="K1283">
        <v>0</v>
      </c>
      <c r="L1283">
        <v>0</v>
      </c>
      <c r="M1283">
        <v>0</v>
      </c>
      <c r="N1283" t="s">
        <v>3915</v>
      </c>
      <c r="O1283" t="s">
        <v>3915</v>
      </c>
      <c r="P1283" t="s">
        <v>3915</v>
      </c>
      <c r="Q1283">
        <v>0</v>
      </c>
      <c r="R1283" t="s">
        <v>30</v>
      </c>
      <c r="S1283">
        <v>0</v>
      </c>
      <c r="T1283">
        <v>0</v>
      </c>
      <c r="U1283" t="s">
        <v>3915</v>
      </c>
      <c r="V1283" t="s">
        <v>31</v>
      </c>
      <c r="W1283">
        <v>0</v>
      </c>
    </row>
    <row r="1284" spans="1:23" x14ac:dyDescent="0.25">
      <c r="A1284" t="s">
        <v>5572</v>
      </c>
      <c r="B1284" t="s">
        <v>2347</v>
      </c>
      <c r="C1284" t="s">
        <v>2346</v>
      </c>
      <c r="D1284" t="s">
        <v>4479</v>
      </c>
      <c r="E1284" t="s">
        <v>4319</v>
      </c>
      <c r="F1284" t="s">
        <v>1069</v>
      </c>
      <c r="G1284" t="s">
        <v>1406</v>
      </c>
      <c r="H1284" s="6">
        <v>46018</v>
      </c>
      <c r="I1284" t="s">
        <v>29</v>
      </c>
      <c r="J1284">
        <v>176</v>
      </c>
      <c r="K1284">
        <v>0</v>
      </c>
      <c r="L1284">
        <v>0</v>
      </c>
      <c r="M1284">
        <v>0</v>
      </c>
      <c r="N1284" t="s">
        <v>3915</v>
      </c>
      <c r="O1284" t="s">
        <v>3915</v>
      </c>
      <c r="P1284" t="s">
        <v>3915</v>
      </c>
      <c r="Q1284">
        <v>0</v>
      </c>
      <c r="R1284" t="s">
        <v>30</v>
      </c>
      <c r="S1284">
        <v>0</v>
      </c>
      <c r="T1284">
        <v>0</v>
      </c>
      <c r="U1284" t="s">
        <v>3915</v>
      </c>
      <c r="V1284" t="s">
        <v>31</v>
      </c>
      <c r="W1284">
        <v>0</v>
      </c>
    </row>
    <row r="1285" spans="1:23" x14ac:dyDescent="0.25">
      <c r="A1285" t="s">
        <v>4440</v>
      </c>
      <c r="B1285" t="s">
        <v>1318</v>
      </c>
      <c r="C1285" t="s">
        <v>1319</v>
      </c>
      <c r="D1285" t="s">
        <v>4479</v>
      </c>
      <c r="E1285" t="s">
        <v>4319</v>
      </c>
      <c r="F1285" t="s">
        <v>1069</v>
      </c>
      <c r="G1285" t="s">
        <v>1406</v>
      </c>
      <c r="H1285" s="6">
        <v>46018</v>
      </c>
      <c r="I1285" t="s">
        <v>29</v>
      </c>
      <c r="J1285">
        <v>1044</v>
      </c>
      <c r="K1285">
        <v>0</v>
      </c>
      <c r="L1285">
        <v>0</v>
      </c>
      <c r="M1285">
        <v>0</v>
      </c>
      <c r="N1285" t="s">
        <v>3915</v>
      </c>
      <c r="O1285" t="s">
        <v>3915</v>
      </c>
      <c r="P1285" t="s">
        <v>3915</v>
      </c>
      <c r="Q1285">
        <v>0</v>
      </c>
      <c r="R1285" t="s">
        <v>30</v>
      </c>
      <c r="S1285">
        <v>0</v>
      </c>
      <c r="T1285">
        <v>0</v>
      </c>
      <c r="U1285" t="s">
        <v>3915</v>
      </c>
      <c r="V1285" t="s">
        <v>31</v>
      </c>
      <c r="W1285">
        <v>0</v>
      </c>
    </row>
    <row r="1286" spans="1:23" x14ac:dyDescent="0.25">
      <c r="A1286" t="s">
        <v>4441</v>
      </c>
      <c r="B1286" t="s">
        <v>1320</v>
      </c>
      <c r="C1286" t="s">
        <v>1321</v>
      </c>
      <c r="D1286" t="s">
        <v>4479</v>
      </c>
      <c r="E1286" t="s">
        <v>4319</v>
      </c>
      <c r="F1286" t="s">
        <v>1069</v>
      </c>
      <c r="G1286" t="s">
        <v>1406</v>
      </c>
      <c r="H1286" s="6">
        <v>46018</v>
      </c>
      <c r="I1286" t="s">
        <v>29</v>
      </c>
      <c r="J1286">
        <v>404</v>
      </c>
      <c r="K1286">
        <v>0</v>
      </c>
      <c r="L1286">
        <v>0</v>
      </c>
      <c r="M1286">
        <v>0</v>
      </c>
      <c r="N1286" t="s">
        <v>3915</v>
      </c>
      <c r="O1286" t="s">
        <v>3915</v>
      </c>
      <c r="P1286" t="s">
        <v>3915</v>
      </c>
      <c r="Q1286">
        <v>0</v>
      </c>
      <c r="R1286" t="s">
        <v>30</v>
      </c>
      <c r="S1286">
        <v>0</v>
      </c>
      <c r="T1286">
        <v>0</v>
      </c>
      <c r="U1286" t="s">
        <v>3915</v>
      </c>
      <c r="V1286" t="s">
        <v>31</v>
      </c>
      <c r="W1286">
        <v>0</v>
      </c>
    </row>
    <row r="1287" spans="1:23" x14ac:dyDescent="0.25">
      <c r="A1287" t="s">
        <v>4442</v>
      </c>
      <c r="B1287" t="s">
        <v>1322</v>
      </c>
      <c r="C1287" t="s">
        <v>1323</v>
      </c>
      <c r="D1287" t="s">
        <v>4479</v>
      </c>
      <c r="E1287" t="s">
        <v>4319</v>
      </c>
      <c r="F1287" t="s">
        <v>1069</v>
      </c>
      <c r="G1287" t="s">
        <v>1406</v>
      </c>
      <c r="H1287" s="6">
        <v>46018</v>
      </c>
      <c r="I1287" t="s">
        <v>29</v>
      </c>
      <c r="J1287">
        <v>220</v>
      </c>
      <c r="K1287">
        <v>0</v>
      </c>
      <c r="L1287">
        <v>0</v>
      </c>
      <c r="M1287">
        <v>0</v>
      </c>
      <c r="N1287" t="s">
        <v>3915</v>
      </c>
      <c r="O1287" t="s">
        <v>3915</v>
      </c>
      <c r="P1287" t="s">
        <v>3915</v>
      </c>
      <c r="Q1287">
        <v>0</v>
      </c>
      <c r="R1287" t="s">
        <v>30</v>
      </c>
      <c r="S1287">
        <v>0</v>
      </c>
      <c r="T1287">
        <v>0</v>
      </c>
      <c r="U1287" t="s">
        <v>3915</v>
      </c>
      <c r="V1287" t="s">
        <v>31</v>
      </c>
      <c r="W1287">
        <v>0</v>
      </c>
    </row>
    <row r="1288" spans="1:23" x14ac:dyDescent="0.25">
      <c r="A1288" t="s">
        <v>4443</v>
      </c>
      <c r="B1288" t="s">
        <v>1324</v>
      </c>
      <c r="C1288" t="s">
        <v>1325</v>
      </c>
      <c r="D1288" t="s">
        <v>4479</v>
      </c>
      <c r="E1288" t="s">
        <v>4319</v>
      </c>
      <c r="F1288" t="s">
        <v>1069</v>
      </c>
      <c r="G1288" t="s">
        <v>1406</v>
      </c>
      <c r="H1288" s="6">
        <v>46018</v>
      </c>
      <c r="I1288" t="s">
        <v>29</v>
      </c>
      <c r="J1288">
        <v>337</v>
      </c>
      <c r="K1288">
        <v>0</v>
      </c>
      <c r="L1288">
        <v>0</v>
      </c>
      <c r="M1288">
        <v>0</v>
      </c>
      <c r="N1288" t="s">
        <v>3915</v>
      </c>
      <c r="O1288" t="s">
        <v>3915</v>
      </c>
      <c r="P1288" t="s">
        <v>3915</v>
      </c>
      <c r="Q1288">
        <v>0</v>
      </c>
      <c r="R1288" t="s">
        <v>30</v>
      </c>
      <c r="S1288">
        <v>0</v>
      </c>
      <c r="T1288">
        <v>0</v>
      </c>
      <c r="U1288" t="s">
        <v>3915</v>
      </c>
      <c r="V1288" t="s">
        <v>31</v>
      </c>
      <c r="W1288">
        <v>0</v>
      </c>
    </row>
    <row r="1289" spans="1:23" x14ac:dyDescent="0.25">
      <c r="A1289" t="s">
        <v>4444</v>
      </c>
      <c r="B1289" t="s">
        <v>1326</v>
      </c>
      <c r="C1289" t="s">
        <v>1327</v>
      </c>
      <c r="D1289" t="s">
        <v>4479</v>
      </c>
      <c r="E1289" t="s">
        <v>4319</v>
      </c>
      <c r="F1289" t="s">
        <v>1069</v>
      </c>
      <c r="G1289" t="s">
        <v>1406</v>
      </c>
      <c r="H1289" s="6">
        <v>46018</v>
      </c>
      <c r="I1289" t="s">
        <v>29</v>
      </c>
      <c r="J1289">
        <v>341</v>
      </c>
      <c r="K1289">
        <v>0</v>
      </c>
      <c r="L1289">
        <v>0</v>
      </c>
      <c r="M1289">
        <v>0</v>
      </c>
      <c r="N1289" t="s">
        <v>3915</v>
      </c>
      <c r="O1289" t="s">
        <v>3915</v>
      </c>
      <c r="P1289" t="s">
        <v>3915</v>
      </c>
      <c r="Q1289">
        <v>0</v>
      </c>
      <c r="R1289" t="s">
        <v>30</v>
      </c>
      <c r="S1289">
        <v>0</v>
      </c>
      <c r="T1289">
        <v>0</v>
      </c>
      <c r="U1289" t="s">
        <v>3915</v>
      </c>
      <c r="V1289" t="s">
        <v>31</v>
      </c>
      <c r="W1289">
        <v>0</v>
      </c>
    </row>
    <row r="1290" spans="1:23" x14ac:dyDescent="0.25">
      <c r="A1290" t="s">
        <v>4445</v>
      </c>
      <c r="B1290" t="s">
        <v>1328</v>
      </c>
      <c r="C1290" t="s">
        <v>1329</v>
      </c>
      <c r="D1290" t="s">
        <v>4479</v>
      </c>
      <c r="E1290" t="s">
        <v>4319</v>
      </c>
      <c r="F1290" t="s">
        <v>1069</v>
      </c>
      <c r="G1290" t="s">
        <v>1406</v>
      </c>
      <c r="H1290" s="6">
        <v>46018</v>
      </c>
      <c r="I1290" t="s">
        <v>29</v>
      </c>
      <c r="J1290">
        <v>387</v>
      </c>
      <c r="K1290">
        <v>0</v>
      </c>
      <c r="L1290">
        <v>0</v>
      </c>
      <c r="M1290">
        <v>0</v>
      </c>
      <c r="N1290" t="s">
        <v>3915</v>
      </c>
      <c r="O1290" t="s">
        <v>3915</v>
      </c>
      <c r="P1290" t="s">
        <v>3915</v>
      </c>
      <c r="Q1290">
        <v>0</v>
      </c>
      <c r="R1290" t="s">
        <v>30</v>
      </c>
      <c r="S1290">
        <v>0</v>
      </c>
      <c r="T1290">
        <v>0</v>
      </c>
      <c r="U1290" t="s">
        <v>3915</v>
      </c>
      <c r="V1290" t="s">
        <v>31</v>
      </c>
      <c r="W1290">
        <v>0</v>
      </c>
    </row>
    <row r="1291" spans="1:23" x14ac:dyDescent="0.25">
      <c r="A1291" t="s">
        <v>5573</v>
      </c>
      <c r="B1291" t="s">
        <v>2349</v>
      </c>
      <c r="C1291" t="s">
        <v>2348</v>
      </c>
      <c r="D1291" t="s">
        <v>4479</v>
      </c>
      <c r="E1291" t="s">
        <v>4319</v>
      </c>
      <c r="F1291" t="s">
        <v>1069</v>
      </c>
      <c r="G1291" t="s">
        <v>1406</v>
      </c>
      <c r="H1291" s="6">
        <v>46018</v>
      </c>
      <c r="I1291" t="s">
        <v>29</v>
      </c>
      <c r="J1291">
        <v>169</v>
      </c>
      <c r="K1291">
        <v>0</v>
      </c>
      <c r="L1291">
        <v>0</v>
      </c>
      <c r="M1291">
        <v>0</v>
      </c>
      <c r="N1291" t="s">
        <v>3915</v>
      </c>
      <c r="O1291" t="s">
        <v>3915</v>
      </c>
      <c r="P1291" t="s">
        <v>3915</v>
      </c>
      <c r="Q1291">
        <v>0</v>
      </c>
      <c r="R1291" t="s">
        <v>30</v>
      </c>
      <c r="S1291">
        <v>0</v>
      </c>
      <c r="T1291">
        <v>0</v>
      </c>
      <c r="U1291" t="s">
        <v>3915</v>
      </c>
      <c r="V1291" t="s">
        <v>31</v>
      </c>
      <c r="W1291">
        <v>0</v>
      </c>
    </row>
    <row r="1292" spans="1:23" x14ac:dyDescent="0.25">
      <c r="A1292" t="s">
        <v>4446</v>
      </c>
      <c r="B1292" t="s">
        <v>1330</v>
      </c>
      <c r="C1292" t="s">
        <v>1331</v>
      </c>
      <c r="D1292" t="s">
        <v>4479</v>
      </c>
      <c r="E1292" t="s">
        <v>4319</v>
      </c>
      <c r="F1292" t="s">
        <v>1069</v>
      </c>
      <c r="G1292" t="s">
        <v>1406</v>
      </c>
      <c r="H1292" s="6">
        <v>46018</v>
      </c>
      <c r="I1292" t="s">
        <v>29</v>
      </c>
      <c r="J1292">
        <v>73</v>
      </c>
      <c r="K1292">
        <v>0</v>
      </c>
      <c r="L1292">
        <v>0</v>
      </c>
      <c r="M1292">
        <v>0</v>
      </c>
      <c r="N1292" t="s">
        <v>3915</v>
      </c>
      <c r="O1292" t="s">
        <v>3915</v>
      </c>
      <c r="P1292" t="s">
        <v>3915</v>
      </c>
      <c r="Q1292">
        <v>0</v>
      </c>
      <c r="R1292" t="s">
        <v>30</v>
      </c>
      <c r="S1292">
        <v>0</v>
      </c>
      <c r="T1292">
        <v>0</v>
      </c>
      <c r="U1292" t="s">
        <v>3915</v>
      </c>
      <c r="V1292" t="s">
        <v>31</v>
      </c>
      <c r="W1292">
        <v>0</v>
      </c>
    </row>
    <row r="1293" spans="1:23" x14ac:dyDescent="0.25">
      <c r="A1293" t="s">
        <v>5574</v>
      </c>
      <c r="B1293" t="s">
        <v>2351</v>
      </c>
      <c r="C1293" t="s">
        <v>2350</v>
      </c>
      <c r="D1293" t="s">
        <v>4479</v>
      </c>
      <c r="E1293" t="s">
        <v>4319</v>
      </c>
      <c r="F1293" t="s">
        <v>1069</v>
      </c>
      <c r="G1293" t="s">
        <v>1406</v>
      </c>
      <c r="H1293" s="6">
        <v>46018</v>
      </c>
      <c r="I1293" t="s">
        <v>29</v>
      </c>
      <c r="J1293">
        <v>153</v>
      </c>
      <c r="K1293">
        <v>0</v>
      </c>
      <c r="L1293">
        <v>0</v>
      </c>
      <c r="M1293">
        <v>0</v>
      </c>
      <c r="N1293" t="s">
        <v>3915</v>
      </c>
      <c r="O1293" t="s">
        <v>3915</v>
      </c>
      <c r="P1293" t="s">
        <v>3915</v>
      </c>
      <c r="Q1293">
        <v>0</v>
      </c>
      <c r="R1293" t="s">
        <v>30</v>
      </c>
      <c r="S1293">
        <v>0</v>
      </c>
      <c r="T1293">
        <v>0</v>
      </c>
      <c r="U1293" t="s">
        <v>3915</v>
      </c>
      <c r="V1293" t="s">
        <v>31</v>
      </c>
      <c r="W1293">
        <v>0</v>
      </c>
    </row>
    <row r="1294" spans="1:23" x14ac:dyDescent="0.25">
      <c r="A1294" t="s">
        <v>4447</v>
      </c>
      <c r="B1294" t="s">
        <v>1332</v>
      </c>
      <c r="C1294" t="s">
        <v>1333</v>
      </c>
      <c r="D1294" t="s">
        <v>4479</v>
      </c>
      <c r="E1294" t="s">
        <v>4319</v>
      </c>
      <c r="F1294" t="s">
        <v>1069</v>
      </c>
      <c r="G1294" t="s">
        <v>1406</v>
      </c>
      <c r="H1294" s="6">
        <v>46018</v>
      </c>
      <c r="I1294" t="s">
        <v>29</v>
      </c>
      <c r="J1294">
        <v>1180</v>
      </c>
      <c r="K1294">
        <v>0</v>
      </c>
      <c r="L1294">
        <v>0</v>
      </c>
      <c r="M1294">
        <v>0</v>
      </c>
      <c r="N1294" t="s">
        <v>3915</v>
      </c>
      <c r="O1294" t="s">
        <v>3915</v>
      </c>
      <c r="P1294" t="s">
        <v>3915</v>
      </c>
      <c r="Q1294">
        <v>0</v>
      </c>
      <c r="R1294" t="s">
        <v>30</v>
      </c>
      <c r="S1294">
        <v>0</v>
      </c>
      <c r="T1294">
        <v>0</v>
      </c>
      <c r="U1294" t="s">
        <v>3915</v>
      </c>
      <c r="V1294" t="s">
        <v>31</v>
      </c>
      <c r="W1294">
        <v>0</v>
      </c>
    </row>
    <row r="1295" spans="1:23" x14ac:dyDescent="0.25">
      <c r="A1295" t="s">
        <v>4448</v>
      </c>
      <c r="B1295" t="s">
        <v>1334</v>
      </c>
      <c r="C1295" t="s">
        <v>1335</v>
      </c>
      <c r="D1295" t="s">
        <v>4479</v>
      </c>
      <c r="E1295" t="s">
        <v>4319</v>
      </c>
      <c r="F1295" t="s">
        <v>1069</v>
      </c>
      <c r="G1295" t="s">
        <v>1406</v>
      </c>
      <c r="H1295" s="6">
        <v>46018</v>
      </c>
      <c r="I1295" t="s">
        <v>29</v>
      </c>
      <c r="J1295">
        <v>462</v>
      </c>
      <c r="K1295">
        <v>0</v>
      </c>
      <c r="L1295">
        <v>0</v>
      </c>
      <c r="M1295">
        <v>0</v>
      </c>
      <c r="N1295" t="s">
        <v>3915</v>
      </c>
      <c r="O1295" t="s">
        <v>3915</v>
      </c>
      <c r="P1295" t="s">
        <v>3915</v>
      </c>
      <c r="Q1295">
        <v>0</v>
      </c>
      <c r="R1295" t="s">
        <v>30</v>
      </c>
      <c r="S1295">
        <v>0</v>
      </c>
      <c r="T1295">
        <v>0</v>
      </c>
      <c r="U1295" t="s">
        <v>3915</v>
      </c>
      <c r="V1295" t="s">
        <v>31</v>
      </c>
      <c r="W1295">
        <v>0</v>
      </c>
    </row>
    <row r="1296" spans="1:23" x14ac:dyDescent="0.25">
      <c r="A1296" t="s">
        <v>4449</v>
      </c>
      <c r="B1296" t="s">
        <v>1336</v>
      </c>
      <c r="C1296" t="s">
        <v>1337</v>
      </c>
      <c r="D1296" t="s">
        <v>4479</v>
      </c>
      <c r="E1296" t="s">
        <v>4319</v>
      </c>
      <c r="F1296" t="s">
        <v>1069</v>
      </c>
      <c r="G1296" t="s">
        <v>1406</v>
      </c>
      <c r="H1296" s="6">
        <v>46018</v>
      </c>
      <c r="I1296" t="s">
        <v>29</v>
      </c>
      <c r="J1296">
        <v>604</v>
      </c>
      <c r="K1296">
        <v>0</v>
      </c>
      <c r="L1296">
        <v>0</v>
      </c>
      <c r="M1296">
        <v>0</v>
      </c>
      <c r="N1296" t="s">
        <v>3915</v>
      </c>
      <c r="O1296" t="s">
        <v>3915</v>
      </c>
      <c r="P1296" t="s">
        <v>3915</v>
      </c>
      <c r="Q1296">
        <v>0</v>
      </c>
      <c r="R1296" t="s">
        <v>30</v>
      </c>
      <c r="S1296">
        <v>0</v>
      </c>
      <c r="T1296">
        <v>0</v>
      </c>
      <c r="U1296" t="s">
        <v>3915</v>
      </c>
      <c r="V1296" t="s">
        <v>31</v>
      </c>
      <c r="W1296">
        <v>0</v>
      </c>
    </row>
    <row r="1297" spans="1:23" x14ac:dyDescent="0.25">
      <c r="A1297" t="s">
        <v>4450</v>
      </c>
      <c r="B1297" t="s">
        <v>1338</v>
      </c>
      <c r="C1297" t="s">
        <v>1339</v>
      </c>
      <c r="D1297" t="s">
        <v>4479</v>
      </c>
      <c r="E1297" t="s">
        <v>4319</v>
      </c>
      <c r="F1297" t="s">
        <v>1069</v>
      </c>
      <c r="G1297" t="s">
        <v>1406</v>
      </c>
      <c r="H1297" s="6">
        <v>46018</v>
      </c>
      <c r="I1297" t="s">
        <v>29</v>
      </c>
      <c r="J1297">
        <v>368</v>
      </c>
      <c r="K1297">
        <v>0</v>
      </c>
      <c r="L1297">
        <v>0</v>
      </c>
      <c r="M1297">
        <v>0</v>
      </c>
      <c r="N1297" t="s">
        <v>3915</v>
      </c>
      <c r="O1297" t="s">
        <v>3915</v>
      </c>
      <c r="P1297" t="s">
        <v>3915</v>
      </c>
      <c r="Q1297">
        <v>0</v>
      </c>
      <c r="R1297" t="s">
        <v>30</v>
      </c>
      <c r="S1297">
        <v>0</v>
      </c>
      <c r="T1297">
        <v>0</v>
      </c>
      <c r="U1297" t="s">
        <v>3915</v>
      </c>
      <c r="V1297" t="s">
        <v>31</v>
      </c>
      <c r="W1297">
        <v>0</v>
      </c>
    </row>
    <row r="1298" spans="1:23" x14ac:dyDescent="0.25">
      <c r="A1298" t="s">
        <v>4451</v>
      </c>
      <c r="B1298" t="s">
        <v>1340</v>
      </c>
      <c r="C1298" t="s">
        <v>1341</v>
      </c>
      <c r="D1298" t="s">
        <v>4479</v>
      </c>
      <c r="E1298" t="s">
        <v>4319</v>
      </c>
      <c r="F1298" t="s">
        <v>1069</v>
      </c>
      <c r="G1298" t="s">
        <v>1406</v>
      </c>
      <c r="H1298" s="6">
        <v>46018</v>
      </c>
      <c r="I1298" t="s">
        <v>29</v>
      </c>
      <c r="J1298">
        <v>343</v>
      </c>
      <c r="K1298">
        <v>0</v>
      </c>
      <c r="L1298">
        <v>0</v>
      </c>
      <c r="M1298">
        <v>0</v>
      </c>
      <c r="N1298" t="s">
        <v>3915</v>
      </c>
      <c r="O1298" t="s">
        <v>3915</v>
      </c>
      <c r="P1298" t="s">
        <v>3915</v>
      </c>
      <c r="Q1298">
        <v>0</v>
      </c>
      <c r="R1298" t="s">
        <v>30</v>
      </c>
      <c r="S1298">
        <v>0</v>
      </c>
      <c r="T1298">
        <v>0</v>
      </c>
      <c r="U1298" t="s">
        <v>3915</v>
      </c>
      <c r="V1298" t="s">
        <v>31</v>
      </c>
      <c r="W1298">
        <v>0</v>
      </c>
    </row>
    <row r="1299" spans="1:23" x14ac:dyDescent="0.25">
      <c r="A1299" t="s">
        <v>5003</v>
      </c>
      <c r="B1299" t="s">
        <v>2353</v>
      </c>
      <c r="C1299" t="s">
        <v>2352</v>
      </c>
      <c r="D1299" t="s">
        <v>4479</v>
      </c>
      <c r="E1299" t="s">
        <v>4319</v>
      </c>
      <c r="F1299" t="s">
        <v>1069</v>
      </c>
      <c r="G1299" t="s">
        <v>1406</v>
      </c>
      <c r="H1299" s="6">
        <v>46018</v>
      </c>
      <c r="I1299" t="s">
        <v>29</v>
      </c>
      <c r="J1299">
        <v>1435</v>
      </c>
      <c r="K1299">
        <v>0</v>
      </c>
      <c r="L1299">
        <v>0</v>
      </c>
      <c r="M1299">
        <v>0</v>
      </c>
      <c r="N1299" t="s">
        <v>3915</v>
      </c>
      <c r="O1299" t="s">
        <v>3915</v>
      </c>
      <c r="P1299" t="s">
        <v>3915</v>
      </c>
      <c r="Q1299">
        <v>0</v>
      </c>
      <c r="R1299" t="s">
        <v>30</v>
      </c>
      <c r="S1299">
        <v>0</v>
      </c>
      <c r="T1299">
        <v>0</v>
      </c>
      <c r="U1299" t="s">
        <v>3915</v>
      </c>
      <c r="V1299" t="s">
        <v>31</v>
      </c>
      <c r="W1299">
        <v>0</v>
      </c>
    </row>
    <row r="1300" spans="1:23" x14ac:dyDescent="0.25">
      <c r="A1300" t="s">
        <v>5006</v>
      </c>
      <c r="B1300" t="s">
        <v>2355</v>
      </c>
      <c r="C1300" t="s">
        <v>2354</v>
      </c>
      <c r="D1300" t="s">
        <v>4479</v>
      </c>
      <c r="E1300" t="s">
        <v>4319</v>
      </c>
      <c r="F1300" t="s">
        <v>1069</v>
      </c>
      <c r="G1300" t="s">
        <v>1406</v>
      </c>
      <c r="H1300" s="6">
        <v>46018</v>
      </c>
      <c r="I1300" t="s">
        <v>29</v>
      </c>
      <c r="J1300">
        <v>4242</v>
      </c>
      <c r="K1300">
        <v>0</v>
      </c>
      <c r="L1300">
        <v>0</v>
      </c>
      <c r="M1300">
        <v>0</v>
      </c>
      <c r="N1300" t="s">
        <v>3915</v>
      </c>
      <c r="O1300" t="s">
        <v>3915</v>
      </c>
      <c r="P1300" t="s">
        <v>3915</v>
      </c>
      <c r="Q1300">
        <v>0</v>
      </c>
      <c r="R1300" t="s">
        <v>30</v>
      </c>
      <c r="S1300">
        <v>0</v>
      </c>
      <c r="T1300">
        <v>0</v>
      </c>
      <c r="U1300" t="s">
        <v>3915</v>
      </c>
      <c r="V1300" t="s">
        <v>31</v>
      </c>
      <c r="W1300">
        <v>0</v>
      </c>
    </row>
    <row r="1301" spans="1:23" x14ac:dyDescent="0.25">
      <c r="A1301" t="s">
        <v>5007</v>
      </c>
      <c r="B1301" t="s">
        <v>2357</v>
      </c>
      <c r="C1301" t="s">
        <v>2356</v>
      </c>
      <c r="D1301" t="s">
        <v>4479</v>
      </c>
      <c r="E1301" t="s">
        <v>4319</v>
      </c>
      <c r="F1301" t="s">
        <v>1069</v>
      </c>
      <c r="G1301" t="s">
        <v>1406</v>
      </c>
      <c r="H1301" s="6">
        <v>46018</v>
      </c>
      <c r="I1301" t="s">
        <v>29</v>
      </c>
      <c r="J1301">
        <v>358</v>
      </c>
      <c r="K1301">
        <v>0</v>
      </c>
      <c r="L1301">
        <v>0</v>
      </c>
      <c r="M1301">
        <v>0</v>
      </c>
      <c r="N1301" t="s">
        <v>3915</v>
      </c>
      <c r="O1301" t="s">
        <v>3915</v>
      </c>
      <c r="P1301" t="s">
        <v>3915</v>
      </c>
      <c r="Q1301">
        <v>0</v>
      </c>
      <c r="R1301" t="s">
        <v>30</v>
      </c>
      <c r="S1301">
        <v>0</v>
      </c>
      <c r="T1301">
        <v>0</v>
      </c>
      <c r="U1301" t="s">
        <v>3915</v>
      </c>
      <c r="V1301" t="s">
        <v>31</v>
      </c>
      <c r="W1301">
        <v>0</v>
      </c>
    </row>
    <row r="1302" spans="1:23" x14ac:dyDescent="0.25">
      <c r="A1302" t="s">
        <v>4452</v>
      </c>
      <c r="B1302" t="s">
        <v>1342</v>
      </c>
      <c r="C1302" t="s">
        <v>1343</v>
      </c>
      <c r="D1302" t="s">
        <v>4479</v>
      </c>
      <c r="E1302" t="s">
        <v>4319</v>
      </c>
      <c r="F1302" t="s">
        <v>1069</v>
      </c>
      <c r="G1302" t="s">
        <v>1406</v>
      </c>
      <c r="H1302" s="6">
        <v>46018</v>
      </c>
      <c r="I1302" t="s">
        <v>29</v>
      </c>
      <c r="J1302">
        <v>1010</v>
      </c>
      <c r="K1302">
        <v>0</v>
      </c>
      <c r="L1302">
        <v>0</v>
      </c>
      <c r="M1302">
        <v>0</v>
      </c>
      <c r="N1302" t="s">
        <v>3915</v>
      </c>
      <c r="O1302" t="s">
        <v>3915</v>
      </c>
      <c r="P1302" t="s">
        <v>3915</v>
      </c>
      <c r="Q1302">
        <v>0</v>
      </c>
      <c r="R1302" t="s">
        <v>82</v>
      </c>
      <c r="S1302">
        <v>0</v>
      </c>
      <c r="T1302">
        <v>0</v>
      </c>
      <c r="U1302" t="s">
        <v>3915</v>
      </c>
      <c r="V1302" t="s">
        <v>31</v>
      </c>
      <c r="W1302">
        <v>0</v>
      </c>
    </row>
    <row r="1303" spans="1:23" x14ac:dyDescent="0.25">
      <c r="A1303" t="s">
        <v>5575</v>
      </c>
      <c r="B1303" t="s">
        <v>2359</v>
      </c>
      <c r="C1303" t="s">
        <v>2358</v>
      </c>
      <c r="D1303" t="s">
        <v>4479</v>
      </c>
      <c r="E1303" t="s">
        <v>4319</v>
      </c>
      <c r="F1303" t="s">
        <v>1069</v>
      </c>
      <c r="G1303" t="s">
        <v>1406</v>
      </c>
      <c r="H1303" s="6">
        <v>46018</v>
      </c>
      <c r="I1303" t="s">
        <v>29</v>
      </c>
      <c r="J1303">
        <v>42</v>
      </c>
      <c r="K1303">
        <v>0</v>
      </c>
      <c r="L1303">
        <v>0</v>
      </c>
      <c r="M1303">
        <v>0</v>
      </c>
      <c r="N1303" t="s">
        <v>3915</v>
      </c>
      <c r="O1303" t="s">
        <v>3915</v>
      </c>
      <c r="P1303" t="s">
        <v>3915</v>
      </c>
      <c r="Q1303">
        <v>0</v>
      </c>
      <c r="R1303" t="s">
        <v>30</v>
      </c>
      <c r="S1303">
        <v>0</v>
      </c>
      <c r="T1303">
        <v>0</v>
      </c>
      <c r="U1303" t="s">
        <v>3915</v>
      </c>
      <c r="V1303" t="s">
        <v>31</v>
      </c>
      <c r="W1303">
        <v>0</v>
      </c>
    </row>
    <row r="1304" spans="1:23" x14ac:dyDescent="0.25">
      <c r="A1304" t="s">
        <v>4453</v>
      </c>
      <c r="B1304" t="s">
        <v>1344</v>
      </c>
      <c r="C1304" t="s">
        <v>1345</v>
      </c>
      <c r="D1304" t="s">
        <v>4479</v>
      </c>
      <c r="E1304" t="s">
        <v>4319</v>
      </c>
      <c r="F1304" t="s">
        <v>1069</v>
      </c>
      <c r="G1304" t="s">
        <v>1406</v>
      </c>
      <c r="H1304" s="6">
        <v>46018</v>
      </c>
      <c r="I1304" t="s">
        <v>29</v>
      </c>
      <c r="J1304">
        <v>1186.0999999999999</v>
      </c>
      <c r="K1304">
        <v>0</v>
      </c>
      <c r="L1304">
        <v>0</v>
      </c>
      <c r="M1304">
        <v>0</v>
      </c>
      <c r="N1304" t="s">
        <v>3915</v>
      </c>
      <c r="O1304" t="s">
        <v>3915</v>
      </c>
      <c r="P1304" t="s">
        <v>3915</v>
      </c>
      <c r="Q1304">
        <v>0</v>
      </c>
      <c r="R1304" t="s">
        <v>82</v>
      </c>
      <c r="S1304">
        <v>0</v>
      </c>
      <c r="T1304">
        <v>0</v>
      </c>
      <c r="U1304" t="s">
        <v>3915</v>
      </c>
      <c r="V1304" t="s">
        <v>31</v>
      </c>
      <c r="W1304">
        <v>0</v>
      </c>
    </row>
    <row r="1305" spans="1:23" x14ac:dyDescent="0.25">
      <c r="A1305" t="s">
        <v>5576</v>
      </c>
      <c r="B1305" t="s">
        <v>2361</v>
      </c>
      <c r="C1305" t="s">
        <v>2360</v>
      </c>
      <c r="D1305" t="s">
        <v>4479</v>
      </c>
      <c r="E1305" t="s">
        <v>4319</v>
      </c>
      <c r="F1305" t="s">
        <v>1069</v>
      </c>
      <c r="G1305" t="s">
        <v>1406</v>
      </c>
      <c r="H1305" s="6">
        <v>46018</v>
      </c>
      <c r="I1305" t="s">
        <v>29</v>
      </c>
      <c r="J1305">
        <v>20</v>
      </c>
      <c r="K1305">
        <v>0</v>
      </c>
      <c r="L1305">
        <v>0</v>
      </c>
      <c r="M1305">
        <v>0</v>
      </c>
      <c r="N1305" t="s">
        <v>3915</v>
      </c>
      <c r="O1305" t="s">
        <v>3915</v>
      </c>
      <c r="P1305" t="s">
        <v>3915</v>
      </c>
      <c r="Q1305">
        <v>0</v>
      </c>
      <c r="R1305" t="s">
        <v>30</v>
      </c>
      <c r="S1305">
        <v>0</v>
      </c>
      <c r="T1305">
        <v>0</v>
      </c>
      <c r="U1305" t="s">
        <v>3915</v>
      </c>
      <c r="V1305" t="s">
        <v>31</v>
      </c>
      <c r="W1305">
        <v>0</v>
      </c>
    </row>
    <row r="1306" spans="1:23" x14ac:dyDescent="0.25">
      <c r="A1306" t="s">
        <v>5577</v>
      </c>
      <c r="B1306" t="s">
        <v>2363</v>
      </c>
      <c r="C1306" t="s">
        <v>2362</v>
      </c>
      <c r="D1306" t="s">
        <v>4479</v>
      </c>
      <c r="E1306" t="s">
        <v>4319</v>
      </c>
      <c r="F1306" t="s">
        <v>1069</v>
      </c>
      <c r="G1306" t="s">
        <v>1406</v>
      </c>
      <c r="H1306" s="6">
        <v>46018</v>
      </c>
      <c r="I1306" t="s">
        <v>29</v>
      </c>
      <c r="J1306">
        <v>41</v>
      </c>
      <c r="K1306">
        <v>0</v>
      </c>
      <c r="L1306">
        <v>0</v>
      </c>
      <c r="M1306">
        <v>0</v>
      </c>
      <c r="N1306" t="s">
        <v>3915</v>
      </c>
      <c r="O1306" t="s">
        <v>3915</v>
      </c>
      <c r="P1306" t="s">
        <v>3915</v>
      </c>
      <c r="Q1306">
        <v>0</v>
      </c>
      <c r="R1306" t="s">
        <v>30</v>
      </c>
      <c r="S1306">
        <v>0</v>
      </c>
      <c r="T1306">
        <v>0</v>
      </c>
      <c r="U1306" t="s">
        <v>3915</v>
      </c>
      <c r="V1306" t="s">
        <v>31</v>
      </c>
      <c r="W1306">
        <v>0</v>
      </c>
    </row>
    <row r="1307" spans="1:23" x14ac:dyDescent="0.25">
      <c r="A1307" t="s">
        <v>4454</v>
      </c>
      <c r="B1307" t="s">
        <v>1346</v>
      </c>
      <c r="C1307" t="s">
        <v>1347</v>
      </c>
      <c r="D1307" t="s">
        <v>4479</v>
      </c>
      <c r="E1307" t="s">
        <v>4319</v>
      </c>
      <c r="F1307" t="s">
        <v>1069</v>
      </c>
      <c r="G1307" t="s">
        <v>1406</v>
      </c>
      <c r="H1307" s="6">
        <v>46018</v>
      </c>
      <c r="I1307" t="s">
        <v>29</v>
      </c>
      <c r="J1307">
        <v>1652.5</v>
      </c>
      <c r="K1307">
        <v>0</v>
      </c>
      <c r="L1307">
        <v>0</v>
      </c>
      <c r="M1307">
        <v>0</v>
      </c>
      <c r="N1307" t="s">
        <v>3915</v>
      </c>
      <c r="O1307" t="s">
        <v>3915</v>
      </c>
      <c r="P1307" t="s">
        <v>3915</v>
      </c>
      <c r="Q1307">
        <v>0</v>
      </c>
      <c r="R1307" t="s">
        <v>489</v>
      </c>
      <c r="S1307">
        <v>0</v>
      </c>
      <c r="T1307">
        <v>0</v>
      </c>
      <c r="U1307" t="s">
        <v>3915</v>
      </c>
      <c r="V1307" t="s">
        <v>31</v>
      </c>
      <c r="W1307">
        <v>0</v>
      </c>
    </row>
    <row r="1308" spans="1:23" x14ac:dyDescent="0.25">
      <c r="A1308" t="s">
        <v>5578</v>
      </c>
      <c r="B1308" t="s">
        <v>2365</v>
      </c>
      <c r="C1308" t="s">
        <v>2364</v>
      </c>
      <c r="D1308" t="s">
        <v>4479</v>
      </c>
      <c r="E1308" t="s">
        <v>4319</v>
      </c>
      <c r="F1308" t="s">
        <v>1069</v>
      </c>
      <c r="G1308" t="s">
        <v>1406</v>
      </c>
      <c r="H1308" s="6">
        <v>46018</v>
      </c>
      <c r="I1308" t="s">
        <v>29</v>
      </c>
      <c r="J1308">
        <v>95</v>
      </c>
      <c r="K1308">
        <v>0</v>
      </c>
      <c r="L1308">
        <v>0</v>
      </c>
      <c r="M1308">
        <v>0</v>
      </c>
      <c r="N1308" t="s">
        <v>3915</v>
      </c>
      <c r="O1308" t="s">
        <v>3915</v>
      </c>
      <c r="P1308" t="s">
        <v>3915</v>
      </c>
      <c r="Q1308">
        <v>0</v>
      </c>
      <c r="R1308" t="s">
        <v>30</v>
      </c>
      <c r="S1308">
        <v>0</v>
      </c>
      <c r="T1308">
        <v>0</v>
      </c>
      <c r="U1308" t="s">
        <v>3915</v>
      </c>
      <c r="V1308" t="s">
        <v>31</v>
      </c>
      <c r="W1308">
        <v>0</v>
      </c>
    </row>
    <row r="1309" spans="1:23" x14ac:dyDescent="0.25">
      <c r="A1309" t="s">
        <v>5579</v>
      </c>
      <c r="B1309" t="s">
        <v>2367</v>
      </c>
      <c r="C1309" t="s">
        <v>2366</v>
      </c>
      <c r="D1309" t="s">
        <v>4479</v>
      </c>
      <c r="E1309" t="s">
        <v>4319</v>
      </c>
      <c r="F1309" t="s">
        <v>1069</v>
      </c>
      <c r="G1309" t="s">
        <v>1406</v>
      </c>
      <c r="H1309" s="6">
        <v>46018</v>
      </c>
      <c r="I1309" t="s">
        <v>29</v>
      </c>
      <c r="J1309">
        <v>5</v>
      </c>
      <c r="K1309">
        <v>0</v>
      </c>
      <c r="L1309">
        <v>0</v>
      </c>
      <c r="M1309">
        <v>0</v>
      </c>
      <c r="N1309" t="s">
        <v>3915</v>
      </c>
      <c r="O1309" t="s">
        <v>3915</v>
      </c>
      <c r="P1309" t="s">
        <v>3915</v>
      </c>
      <c r="Q1309">
        <v>0</v>
      </c>
      <c r="R1309" t="s">
        <v>30</v>
      </c>
      <c r="S1309">
        <v>0</v>
      </c>
      <c r="T1309">
        <v>0</v>
      </c>
      <c r="U1309" t="s">
        <v>3915</v>
      </c>
      <c r="V1309" t="s">
        <v>31</v>
      </c>
      <c r="W1309">
        <v>0</v>
      </c>
    </row>
    <row r="1310" spans="1:23" x14ac:dyDescent="0.25">
      <c r="A1310" t="s">
        <v>4455</v>
      </c>
      <c r="B1310" t="s">
        <v>1348</v>
      </c>
      <c r="C1310" t="s">
        <v>1349</v>
      </c>
      <c r="D1310" t="s">
        <v>4479</v>
      </c>
      <c r="E1310" t="s">
        <v>4319</v>
      </c>
      <c r="F1310" t="s">
        <v>1069</v>
      </c>
      <c r="G1310" t="s">
        <v>1406</v>
      </c>
      <c r="H1310" s="6">
        <v>46018</v>
      </c>
      <c r="I1310" t="s">
        <v>29</v>
      </c>
      <c r="J1310">
        <v>95</v>
      </c>
      <c r="K1310">
        <v>0</v>
      </c>
      <c r="L1310">
        <v>0</v>
      </c>
      <c r="M1310">
        <v>0</v>
      </c>
      <c r="N1310" t="s">
        <v>3915</v>
      </c>
      <c r="O1310" t="s">
        <v>3915</v>
      </c>
      <c r="P1310" t="s">
        <v>3915</v>
      </c>
      <c r="Q1310">
        <v>0</v>
      </c>
      <c r="R1310" t="s">
        <v>82</v>
      </c>
      <c r="S1310">
        <v>0</v>
      </c>
      <c r="T1310">
        <v>0</v>
      </c>
      <c r="U1310" t="s">
        <v>3915</v>
      </c>
      <c r="V1310" t="s">
        <v>31</v>
      </c>
      <c r="W1310">
        <v>0</v>
      </c>
    </row>
    <row r="1311" spans="1:23" x14ac:dyDescent="0.25">
      <c r="A1311" t="s">
        <v>5580</v>
      </c>
      <c r="B1311" t="s">
        <v>2369</v>
      </c>
      <c r="C1311" t="s">
        <v>2368</v>
      </c>
      <c r="D1311" t="s">
        <v>4479</v>
      </c>
      <c r="E1311" t="s">
        <v>4319</v>
      </c>
      <c r="F1311" t="s">
        <v>1069</v>
      </c>
      <c r="G1311" t="s">
        <v>1406</v>
      </c>
      <c r="H1311" s="6">
        <v>46018</v>
      </c>
      <c r="I1311" t="s">
        <v>29</v>
      </c>
      <c r="J1311">
        <v>13</v>
      </c>
      <c r="K1311">
        <v>0</v>
      </c>
      <c r="L1311">
        <v>0</v>
      </c>
      <c r="M1311">
        <v>0</v>
      </c>
      <c r="N1311" t="s">
        <v>3915</v>
      </c>
      <c r="O1311" t="s">
        <v>3915</v>
      </c>
      <c r="P1311" t="s">
        <v>3915</v>
      </c>
      <c r="Q1311">
        <v>0</v>
      </c>
      <c r="R1311" t="s">
        <v>30</v>
      </c>
      <c r="S1311">
        <v>0</v>
      </c>
      <c r="T1311">
        <v>0</v>
      </c>
      <c r="U1311" t="s">
        <v>3915</v>
      </c>
      <c r="V1311" t="s">
        <v>31</v>
      </c>
      <c r="W1311">
        <v>0</v>
      </c>
    </row>
    <row r="1312" spans="1:23" x14ac:dyDescent="0.25">
      <c r="A1312" t="s">
        <v>5581</v>
      </c>
      <c r="B1312" t="s">
        <v>2371</v>
      </c>
      <c r="C1312" t="s">
        <v>2370</v>
      </c>
      <c r="D1312" t="s">
        <v>4479</v>
      </c>
      <c r="E1312" t="s">
        <v>4319</v>
      </c>
      <c r="F1312" t="s">
        <v>1069</v>
      </c>
      <c r="G1312" t="s">
        <v>1406</v>
      </c>
      <c r="H1312" s="6">
        <v>46018</v>
      </c>
      <c r="I1312" t="s">
        <v>29</v>
      </c>
      <c r="J1312">
        <v>549</v>
      </c>
      <c r="K1312">
        <v>0</v>
      </c>
      <c r="L1312">
        <v>0</v>
      </c>
      <c r="M1312">
        <v>0</v>
      </c>
      <c r="N1312" t="s">
        <v>3915</v>
      </c>
      <c r="O1312" t="s">
        <v>3915</v>
      </c>
      <c r="P1312" t="s">
        <v>3915</v>
      </c>
      <c r="Q1312">
        <v>0</v>
      </c>
      <c r="R1312" t="s">
        <v>82</v>
      </c>
      <c r="S1312">
        <v>0</v>
      </c>
      <c r="T1312">
        <v>0</v>
      </c>
      <c r="U1312" t="s">
        <v>3915</v>
      </c>
      <c r="V1312" t="s">
        <v>31</v>
      </c>
      <c r="W1312">
        <v>0</v>
      </c>
    </row>
    <row r="1313" spans="1:23" x14ac:dyDescent="0.25">
      <c r="A1313" t="s">
        <v>4456</v>
      </c>
      <c r="B1313" t="s">
        <v>1350</v>
      </c>
      <c r="C1313" t="s">
        <v>1351</v>
      </c>
      <c r="D1313" t="s">
        <v>4479</v>
      </c>
      <c r="E1313" t="s">
        <v>4319</v>
      </c>
      <c r="F1313" t="s">
        <v>1069</v>
      </c>
      <c r="G1313" t="s">
        <v>1406</v>
      </c>
      <c r="H1313" s="6">
        <v>46018</v>
      </c>
      <c r="I1313" t="s">
        <v>29</v>
      </c>
      <c r="J1313">
        <v>3940</v>
      </c>
      <c r="K1313">
        <v>0</v>
      </c>
      <c r="L1313">
        <v>0</v>
      </c>
      <c r="M1313">
        <v>0</v>
      </c>
      <c r="N1313" t="s">
        <v>3915</v>
      </c>
      <c r="O1313" t="s">
        <v>3915</v>
      </c>
      <c r="P1313" t="s">
        <v>3915</v>
      </c>
      <c r="Q1313">
        <v>0</v>
      </c>
      <c r="R1313" t="s">
        <v>82</v>
      </c>
      <c r="S1313">
        <v>0</v>
      </c>
      <c r="T1313">
        <v>0</v>
      </c>
      <c r="U1313" t="s">
        <v>3915</v>
      </c>
      <c r="V1313" t="s">
        <v>31</v>
      </c>
      <c r="W1313">
        <v>0</v>
      </c>
    </row>
    <row r="1314" spans="1:23" x14ac:dyDescent="0.25">
      <c r="A1314" t="s">
        <v>5582</v>
      </c>
      <c r="B1314" t="s">
        <v>2373</v>
      </c>
      <c r="C1314" t="s">
        <v>2372</v>
      </c>
      <c r="D1314" t="s">
        <v>4479</v>
      </c>
      <c r="E1314" t="s">
        <v>4319</v>
      </c>
      <c r="F1314" t="s">
        <v>1069</v>
      </c>
      <c r="G1314" t="s">
        <v>1406</v>
      </c>
      <c r="H1314" s="6">
        <v>46018</v>
      </c>
      <c r="I1314" t="s">
        <v>29</v>
      </c>
      <c r="J1314">
        <v>198</v>
      </c>
      <c r="K1314">
        <v>0</v>
      </c>
      <c r="L1314">
        <v>0</v>
      </c>
      <c r="M1314">
        <v>0</v>
      </c>
      <c r="N1314" t="s">
        <v>3915</v>
      </c>
      <c r="O1314" t="s">
        <v>3915</v>
      </c>
      <c r="P1314" t="s">
        <v>3915</v>
      </c>
      <c r="Q1314">
        <v>0</v>
      </c>
      <c r="R1314" t="s">
        <v>30</v>
      </c>
      <c r="S1314">
        <v>0</v>
      </c>
      <c r="T1314">
        <v>0</v>
      </c>
      <c r="U1314" t="s">
        <v>3915</v>
      </c>
      <c r="V1314" t="s">
        <v>31</v>
      </c>
      <c r="W1314">
        <v>0</v>
      </c>
    </row>
    <row r="1315" spans="1:23" x14ac:dyDescent="0.25">
      <c r="A1315" t="s">
        <v>4457</v>
      </c>
      <c r="B1315" t="s">
        <v>1352</v>
      </c>
      <c r="C1315" t="s">
        <v>1353</v>
      </c>
      <c r="D1315" t="s">
        <v>4479</v>
      </c>
      <c r="E1315" t="s">
        <v>4319</v>
      </c>
      <c r="F1315" t="s">
        <v>1069</v>
      </c>
      <c r="G1315" t="s">
        <v>1406</v>
      </c>
      <c r="H1315" s="6">
        <v>46018</v>
      </c>
      <c r="I1315" t="s">
        <v>29</v>
      </c>
      <c r="J1315">
        <v>1997.5</v>
      </c>
      <c r="K1315">
        <v>0</v>
      </c>
      <c r="L1315">
        <v>0</v>
      </c>
      <c r="M1315">
        <v>0</v>
      </c>
      <c r="N1315" t="s">
        <v>3915</v>
      </c>
      <c r="O1315" t="s">
        <v>3915</v>
      </c>
      <c r="P1315" t="s">
        <v>3915</v>
      </c>
      <c r="Q1315">
        <v>0</v>
      </c>
      <c r="R1315" t="s">
        <v>489</v>
      </c>
      <c r="S1315">
        <v>0</v>
      </c>
      <c r="T1315">
        <v>0</v>
      </c>
      <c r="U1315" t="s">
        <v>3915</v>
      </c>
      <c r="V1315" t="s">
        <v>31</v>
      </c>
      <c r="W1315">
        <v>0</v>
      </c>
    </row>
    <row r="1316" spans="1:23" x14ac:dyDescent="0.25">
      <c r="A1316" t="s">
        <v>4458</v>
      </c>
      <c r="B1316" t="s">
        <v>1354</v>
      </c>
      <c r="C1316" t="s">
        <v>1355</v>
      </c>
      <c r="D1316" t="s">
        <v>4479</v>
      </c>
      <c r="E1316" t="s">
        <v>4319</v>
      </c>
      <c r="F1316" t="s">
        <v>1069</v>
      </c>
      <c r="G1316" t="s">
        <v>1406</v>
      </c>
      <c r="H1316" s="6">
        <v>46018</v>
      </c>
      <c r="I1316" t="s">
        <v>29</v>
      </c>
      <c r="J1316">
        <v>1260</v>
      </c>
      <c r="K1316">
        <v>0</v>
      </c>
      <c r="L1316">
        <v>0</v>
      </c>
      <c r="M1316">
        <v>0</v>
      </c>
      <c r="N1316" t="s">
        <v>3915</v>
      </c>
      <c r="O1316" t="s">
        <v>3915</v>
      </c>
      <c r="P1316" t="s">
        <v>3915</v>
      </c>
      <c r="Q1316">
        <v>0</v>
      </c>
      <c r="R1316" t="s">
        <v>82</v>
      </c>
      <c r="S1316">
        <v>0</v>
      </c>
      <c r="T1316">
        <v>0</v>
      </c>
      <c r="U1316" t="s">
        <v>3915</v>
      </c>
      <c r="V1316" t="s">
        <v>31</v>
      </c>
      <c r="W1316">
        <v>0</v>
      </c>
    </row>
    <row r="1317" spans="1:23" x14ac:dyDescent="0.25">
      <c r="A1317" t="s">
        <v>10302</v>
      </c>
      <c r="B1317" t="s">
        <v>10303</v>
      </c>
      <c r="C1317" t="s">
        <v>10304</v>
      </c>
      <c r="D1317" t="s">
        <v>4479</v>
      </c>
      <c r="E1317" t="s">
        <v>4319</v>
      </c>
      <c r="F1317" t="s">
        <v>1069</v>
      </c>
      <c r="G1317" t="s">
        <v>1406</v>
      </c>
      <c r="H1317" s="6">
        <v>46018</v>
      </c>
      <c r="I1317" t="s">
        <v>29</v>
      </c>
      <c r="J1317">
        <v>0</v>
      </c>
      <c r="K1317">
        <v>0</v>
      </c>
      <c r="L1317">
        <v>0</v>
      </c>
      <c r="M1317">
        <v>0</v>
      </c>
      <c r="N1317" t="s">
        <v>3915</v>
      </c>
      <c r="O1317" t="s">
        <v>3915</v>
      </c>
      <c r="P1317" t="s">
        <v>3915</v>
      </c>
      <c r="Q1317">
        <v>0</v>
      </c>
      <c r="R1317" t="s">
        <v>30</v>
      </c>
      <c r="S1317">
        <v>0</v>
      </c>
      <c r="T1317">
        <v>0</v>
      </c>
      <c r="U1317" t="s">
        <v>3915</v>
      </c>
      <c r="V1317" t="s">
        <v>31</v>
      </c>
      <c r="W1317">
        <v>0</v>
      </c>
    </row>
    <row r="1318" spans="1:23" x14ac:dyDescent="0.25">
      <c r="A1318" t="s">
        <v>4459</v>
      </c>
      <c r="B1318" t="s">
        <v>1356</v>
      </c>
      <c r="C1318" t="s">
        <v>1357</v>
      </c>
      <c r="D1318" t="s">
        <v>4479</v>
      </c>
      <c r="E1318" t="s">
        <v>4319</v>
      </c>
      <c r="F1318" t="s">
        <v>1069</v>
      </c>
      <c r="G1318" t="s">
        <v>1406</v>
      </c>
      <c r="H1318" s="6">
        <v>46018</v>
      </c>
      <c r="I1318" t="s">
        <v>29</v>
      </c>
      <c r="J1318">
        <v>236</v>
      </c>
      <c r="K1318">
        <v>0</v>
      </c>
      <c r="L1318">
        <v>0</v>
      </c>
      <c r="M1318">
        <v>0</v>
      </c>
      <c r="N1318" t="s">
        <v>3915</v>
      </c>
      <c r="O1318" t="s">
        <v>3915</v>
      </c>
      <c r="P1318" t="s">
        <v>3915</v>
      </c>
      <c r="Q1318">
        <v>0</v>
      </c>
      <c r="R1318" t="s">
        <v>82</v>
      </c>
      <c r="S1318">
        <v>0</v>
      </c>
      <c r="T1318">
        <v>0</v>
      </c>
      <c r="U1318" t="s">
        <v>3915</v>
      </c>
      <c r="V1318" t="s">
        <v>31</v>
      </c>
      <c r="W1318">
        <v>0</v>
      </c>
    </row>
    <row r="1319" spans="1:23" x14ac:dyDescent="0.25">
      <c r="A1319" t="s">
        <v>76</v>
      </c>
      <c r="B1319" t="s">
        <v>2377</v>
      </c>
      <c r="C1319" t="s">
        <v>2376</v>
      </c>
      <c r="D1319" t="s">
        <v>4479</v>
      </c>
      <c r="E1319" t="s">
        <v>4319</v>
      </c>
      <c r="F1319" t="s">
        <v>1069</v>
      </c>
      <c r="G1319" t="s">
        <v>1406</v>
      </c>
      <c r="H1319" s="6">
        <v>46018</v>
      </c>
      <c r="I1319" t="s">
        <v>29</v>
      </c>
      <c r="J1319">
        <v>126</v>
      </c>
      <c r="K1319">
        <v>0</v>
      </c>
      <c r="L1319">
        <v>0</v>
      </c>
      <c r="M1319">
        <v>0</v>
      </c>
      <c r="N1319" t="s">
        <v>3915</v>
      </c>
      <c r="O1319" t="s">
        <v>3915</v>
      </c>
      <c r="P1319" t="s">
        <v>3915</v>
      </c>
      <c r="Q1319">
        <v>0</v>
      </c>
      <c r="R1319" t="s">
        <v>30</v>
      </c>
      <c r="S1319">
        <v>0</v>
      </c>
      <c r="T1319">
        <v>0</v>
      </c>
      <c r="U1319" t="s">
        <v>3915</v>
      </c>
      <c r="V1319" t="s">
        <v>31</v>
      </c>
      <c r="W1319">
        <v>0</v>
      </c>
    </row>
    <row r="1320" spans="1:23" x14ac:dyDescent="0.25">
      <c r="A1320" t="s">
        <v>5583</v>
      </c>
      <c r="B1320" t="s">
        <v>2379</v>
      </c>
      <c r="C1320" t="s">
        <v>2378</v>
      </c>
      <c r="D1320" t="s">
        <v>4479</v>
      </c>
      <c r="E1320" t="s">
        <v>4319</v>
      </c>
      <c r="F1320" t="s">
        <v>1069</v>
      </c>
      <c r="G1320" t="s">
        <v>1406</v>
      </c>
      <c r="H1320" s="6">
        <v>46018</v>
      </c>
      <c r="I1320" t="s">
        <v>29</v>
      </c>
      <c r="J1320">
        <v>0</v>
      </c>
      <c r="K1320">
        <v>0</v>
      </c>
      <c r="L1320">
        <v>0</v>
      </c>
      <c r="M1320">
        <v>0</v>
      </c>
      <c r="N1320" t="s">
        <v>3915</v>
      </c>
      <c r="O1320" t="s">
        <v>3915</v>
      </c>
      <c r="P1320" t="s">
        <v>3915</v>
      </c>
      <c r="Q1320">
        <v>0</v>
      </c>
      <c r="R1320" t="s">
        <v>30</v>
      </c>
      <c r="S1320">
        <v>0</v>
      </c>
      <c r="T1320">
        <v>0</v>
      </c>
      <c r="U1320" t="s">
        <v>3915</v>
      </c>
      <c r="V1320" t="s">
        <v>31</v>
      </c>
      <c r="W1320">
        <v>0</v>
      </c>
    </row>
    <row r="1321" spans="1:23" x14ac:dyDescent="0.25">
      <c r="A1321" t="s">
        <v>4460</v>
      </c>
      <c r="B1321" t="s">
        <v>1358</v>
      </c>
      <c r="C1321" t="s">
        <v>1359</v>
      </c>
      <c r="D1321" t="s">
        <v>4479</v>
      </c>
      <c r="E1321" t="s">
        <v>4319</v>
      </c>
      <c r="F1321" t="s">
        <v>1069</v>
      </c>
      <c r="G1321" t="s">
        <v>1406</v>
      </c>
      <c r="H1321" s="6">
        <v>46018</v>
      </c>
      <c r="I1321" t="s">
        <v>29</v>
      </c>
      <c r="J1321">
        <v>877</v>
      </c>
      <c r="K1321">
        <v>0</v>
      </c>
      <c r="L1321">
        <v>0</v>
      </c>
      <c r="M1321">
        <v>0</v>
      </c>
      <c r="N1321" t="s">
        <v>3915</v>
      </c>
      <c r="O1321" t="s">
        <v>3915</v>
      </c>
      <c r="P1321" t="s">
        <v>3915</v>
      </c>
      <c r="Q1321">
        <v>0</v>
      </c>
      <c r="R1321" t="s">
        <v>82</v>
      </c>
      <c r="S1321">
        <v>0</v>
      </c>
      <c r="T1321">
        <v>0</v>
      </c>
      <c r="U1321" t="s">
        <v>3915</v>
      </c>
      <c r="V1321" t="s">
        <v>31</v>
      </c>
      <c r="W1321">
        <v>0</v>
      </c>
    </row>
    <row r="1322" spans="1:23" x14ac:dyDescent="0.25">
      <c r="A1322" t="s">
        <v>4561</v>
      </c>
      <c r="B1322" t="s">
        <v>2381</v>
      </c>
      <c r="C1322" t="s">
        <v>2380</v>
      </c>
      <c r="D1322" t="s">
        <v>4479</v>
      </c>
      <c r="E1322" t="s">
        <v>4319</v>
      </c>
      <c r="F1322" t="s">
        <v>1069</v>
      </c>
      <c r="G1322" t="s">
        <v>1406</v>
      </c>
      <c r="H1322" s="6">
        <v>46018</v>
      </c>
      <c r="I1322" t="s">
        <v>29</v>
      </c>
      <c r="J1322">
        <v>98</v>
      </c>
      <c r="K1322">
        <v>0</v>
      </c>
      <c r="L1322">
        <v>0</v>
      </c>
      <c r="M1322">
        <v>0</v>
      </c>
      <c r="N1322" t="s">
        <v>3915</v>
      </c>
      <c r="O1322" t="s">
        <v>3915</v>
      </c>
      <c r="P1322" t="s">
        <v>3915</v>
      </c>
      <c r="Q1322">
        <v>0</v>
      </c>
      <c r="R1322" t="s">
        <v>30</v>
      </c>
      <c r="S1322">
        <v>0</v>
      </c>
      <c r="T1322">
        <v>0</v>
      </c>
      <c r="U1322" t="s">
        <v>3915</v>
      </c>
      <c r="V1322" t="s">
        <v>31</v>
      </c>
      <c r="W1322">
        <v>0</v>
      </c>
    </row>
    <row r="1323" spans="1:23" x14ac:dyDescent="0.25">
      <c r="A1323" t="s">
        <v>5584</v>
      </c>
      <c r="B1323" t="s">
        <v>2383</v>
      </c>
      <c r="C1323" t="s">
        <v>2382</v>
      </c>
      <c r="D1323" t="s">
        <v>4479</v>
      </c>
      <c r="E1323" t="s">
        <v>4319</v>
      </c>
      <c r="F1323" t="s">
        <v>1069</v>
      </c>
      <c r="G1323" t="s">
        <v>1406</v>
      </c>
      <c r="H1323" s="6">
        <v>46018</v>
      </c>
      <c r="I1323" t="s">
        <v>29</v>
      </c>
      <c r="J1323">
        <v>1</v>
      </c>
      <c r="K1323">
        <v>0</v>
      </c>
      <c r="L1323">
        <v>0</v>
      </c>
      <c r="M1323">
        <v>0</v>
      </c>
      <c r="N1323" t="s">
        <v>3915</v>
      </c>
      <c r="O1323" t="s">
        <v>3915</v>
      </c>
      <c r="P1323" t="s">
        <v>3915</v>
      </c>
      <c r="Q1323">
        <v>0</v>
      </c>
      <c r="R1323" t="s">
        <v>30</v>
      </c>
      <c r="S1323">
        <v>0</v>
      </c>
      <c r="T1323">
        <v>0</v>
      </c>
      <c r="U1323" t="s">
        <v>3915</v>
      </c>
      <c r="V1323" t="s">
        <v>31</v>
      </c>
      <c r="W1323">
        <v>0</v>
      </c>
    </row>
    <row r="1324" spans="1:23" x14ac:dyDescent="0.25">
      <c r="A1324" t="s">
        <v>4461</v>
      </c>
      <c r="B1324" t="s">
        <v>1360</v>
      </c>
      <c r="C1324" t="s">
        <v>1361</v>
      </c>
      <c r="D1324" t="s">
        <v>4479</v>
      </c>
      <c r="E1324" t="s">
        <v>4319</v>
      </c>
      <c r="F1324" t="s">
        <v>1069</v>
      </c>
      <c r="G1324" t="s">
        <v>1406</v>
      </c>
      <c r="H1324" s="6">
        <v>46018</v>
      </c>
      <c r="I1324" t="s">
        <v>29</v>
      </c>
      <c r="J1324">
        <v>500</v>
      </c>
      <c r="K1324">
        <v>0</v>
      </c>
      <c r="L1324">
        <v>0</v>
      </c>
      <c r="M1324">
        <v>0</v>
      </c>
      <c r="N1324" t="s">
        <v>3915</v>
      </c>
      <c r="O1324" t="s">
        <v>3915</v>
      </c>
      <c r="P1324" t="s">
        <v>3915</v>
      </c>
      <c r="Q1324">
        <v>0</v>
      </c>
      <c r="R1324" t="s">
        <v>82</v>
      </c>
      <c r="S1324">
        <v>0</v>
      </c>
      <c r="T1324">
        <v>0</v>
      </c>
      <c r="U1324" t="s">
        <v>3915</v>
      </c>
      <c r="V1324" t="s">
        <v>31</v>
      </c>
      <c r="W1324">
        <v>0</v>
      </c>
    </row>
    <row r="1325" spans="1:23" x14ac:dyDescent="0.25">
      <c r="A1325" t="s">
        <v>4462</v>
      </c>
      <c r="B1325" t="s">
        <v>1362</v>
      </c>
      <c r="C1325" t="s">
        <v>1363</v>
      </c>
      <c r="D1325" t="s">
        <v>4479</v>
      </c>
      <c r="E1325" t="s">
        <v>4319</v>
      </c>
      <c r="F1325" t="s">
        <v>1069</v>
      </c>
      <c r="G1325" t="s">
        <v>1406</v>
      </c>
      <c r="H1325" s="6">
        <v>46018</v>
      </c>
      <c r="I1325" t="s">
        <v>29</v>
      </c>
      <c r="J1325">
        <v>1499.9</v>
      </c>
      <c r="K1325">
        <v>0</v>
      </c>
      <c r="L1325">
        <v>0</v>
      </c>
      <c r="M1325">
        <v>0</v>
      </c>
      <c r="N1325" t="s">
        <v>3915</v>
      </c>
      <c r="O1325" t="s">
        <v>3915</v>
      </c>
      <c r="P1325" t="s">
        <v>3915</v>
      </c>
      <c r="Q1325">
        <v>0</v>
      </c>
      <c r="R1325" t="s">
        <v>82</v>
      </c>
      <c r="S1325">
        <v>0</v>
      </c>
      <c r="T1325">
        <v>0</v>
      </c>
      <c r="U1325" t="s">
        <v>3915</v>
      </c>
      <c r="V1325" t="s">
        <v>31</v>
      </c>
      <c r="W1325">
        <v>0</v>
      </c>
    </row>
    <row r="1326" spans="1:23" x14ac:dyDescent="0.25">
      <c r="A1326" t="s">
        <v>10305</v>
      </c>
      <c r="B1326" t="s">
        <v>2387</v>
      </c>
      <c r="C1326" t="s">
        <v>2386</v>
      </c>
      <c r="D1326" t="s">
        <v>4479</v>
      </c>
      <c r="E1326" t="s">
        <v>4319</v>
      </c>
      <c r="F1326" t="s">
        <v>1069</v>
      </c>
      <c r="G1326" t="s">
        <v>1406</v>
      </c>
      <c r="H1326" s="6">
        <v>46018</v>
      </c>
      <c r="I1326" t="s">
        <v>29</v>
      </c>
      <c r="J1326">
        <v>0</v>
      </c>
      <c r="K1326">
        <v>0</v>
      </c>
      <c r="L1326">
        <v>0</v>
      </c>
      <c r="M1326">
        <v>0</v>
      </c>
      <c r="N1326" t="s">
        <v>3915</v>
      </c>
      <c r="O1326" t="s">
        <v>3915</v>
      </c>
      <c r="P1326" t="s">
        <v>3915</v>
      </c>
      <c r="Q1326">
        <v>0</v>
      </c>
      <c r="R1326" t="s">
        <v>30</v>
      </c>
      <c r="S1326">
        <v>0</v>
      </c>
      <c r="T1326">
        <v>0</v>
      </c>
      <c r="U1326" t="s">
        <v>3915</v>
      </c>
      <c r="V1326" t="s">
        <v>31</v>
      </c>
      <c r="W1326">
        <v>0</v>
      </c>
    </row>
    <row r="1327" spans="1:23" x14ac:dyDescent="0.25">
      <c r="A1327" t="s">
        <v>10306</v>
      </c>
      <c r="B1327" t="s">
        <v>2389</v>
      </c>
      <c r="C1327" t="s">
        <v>2388</v>
      </c>
      <c r="D1327" t="s">
        <v>4479</v>
      </c>
      <c r="E1327" t="s">
        <v>4319</v>
      </c>
      <c r="F1327" t="s">
        <v>1069</v>
      </c>
      <c r="G1327" t="s">
        <v>1406</v>
      </c>
      <c r="H1327" s="6">
        <v>46018</v>
      </c>
      <c r="I1327" t="s">
        <v>29</v>
      </c>
      <c r="J1327">
        <v>0</v>
      </c>
      <c r="K1327">
        <v>0</v>
      </c>
      <c r="L1327">
        <v>0</v>
      </c>
      <c r="M1327">
        <v>0</v>
      </c>
      <c r="N1327" t="s">
        <v>3915</v>
      </c>
      <c r="O1327" t="s">
        <v>3915</v>
      </c>
      <c r="P1327" t="s">
        <v>3915</v>
      </c>
      <c r="Q1327">
        <v>0</v>
      </c>
      <c r="R1327" t="s">
        <v>30</v>
      </c>
      <c r="S1327">
        <v>0</v>
      </c>
      <c r="T1327">
        <v>0</v>
      </c>
      <c r="U1327" t="s">
        <v>3915</v>
      </c>
      <c r="V1327" t="s">
        <v>31</v>
      </c>
      <c r="W1327">
        <v>0</v>
      </c>
    </row>
    <row r="1328" spans="1:23" x14ac:dyDescent="0.25">
      <c r="A1328" t="s">
        <v>4463</v>
      </c>
      <c r="B1328" t="s">
        <v>1364</v>
      </c>
      <c r="C1328" t="s">
        <v>1365</v>
      </c>
      <c r="D1328" t="s">
        <v>4479</v>
      </c>
      <c r="E1328" t="s">
        <v>4319</v>
      </c>
      <c r="F1328" t="s">
        <v>1069</v>
      </c>
      <c r="G1328" t="s">
        <v>1406</v>
      </c>
      <c r="H1328" s="6">
        <v>46018</v>
      </c>
      <c r="I1328" t="s">
        <v>29</v>
      </c>
      <c r="J1328">
        <v>1462.5</v>
      </c>
      <c r="K1328">
        <v>0</v>
      </c>
      <c r="L1328">
        <v>0</v>
      </c>
      <c r="M1328">
        <v>0</v>
      </c>
      <c r="N1328" t="s">
        <v>3915</v>
      </c>
      <c r="O1328" t="s">
        <v>3915</v>
      </c>
      <c r="P1328" t="s">
        <v>3915</v>
      </c>
      <c r="Q1328">
        <v>0</v>
      </c>
      <c r="R1328" t="s">
        <v>82</v>
      </c>
      <c r="S1328">
        <v>0</v>
      </c>
      <c r="T1328">
        <v>0</v>
      </c>
      <c r="U1328" t="s">
        <v>3915</v>
      </c>
      <c r="V1328" t="s">
        <v>31</v>
      </c>
      <c r="W1328">
        <v>0</v>
      </c>
    </row>
    <row r="1329" spans="1:23" x14ac:dyDescent="0.25">
      <c r="A1329" t="s">
        <v>4939</v>
      </c>
      <c r="B1329" t="s">
        <v>2391</v>
      </c>
      <c r="C1329" t="s">
        <v>2390</v>
      </c>
      <c r="D1329" t="s">
        <v>4479</v>
      </c>
      <c r="E1329" t="s">
        <v>4319</v>
      </c>
      <c r="F1329" t="s">
        <v>1069</v>
      </c>
      <c r="G1329" t="s">
        <v>1406</v>
      </c>
      <c r="H1329" s="6">
        <v>46018</v>
      </c>
      <c r="I1329" t="s">
        <v>29</v>
      </c>
      <c r="J1329">
        <v>0</v>
      </c>
      <c r="K1329">
        <v>0</v>
      </c>
      <c r="L1329">
        <v>0</v>
      </c>
      <c r="M1329">
        <v>0</v>
      </c>
      <c r="N1329" t="s">
        <v>3915</v>
      </c>
      <c r="O1329" t="s">
        <v>3915</v>
      </c>
      <c r="P1329" t="s">
        <v>3915</v>
      </c>
      <c r="Q1329">
        <v>0</v>
      </c>
      <c r="R1329" t="s">
        <v>30</v>
      </c>
      <c r="S1329">
        <v>0</v>
      </c>
      <c r="T1329">
        <v>0</v>
      </c>
      <c r="U1329" t="s">
        <v>3915</v>
      </c>
      <c r="V1329" t="s">
        <v>31</v>
      </c>
      <c r="W1329">
        <v>0</v>
      </c>
    </row>
    <row r="1330" spans="1:23" x14ac:dyDescent="0.25">
      <c r="A1330" t="s">
        <v>5585</v>
      </c>
      <c r="B1330" t="s">
        <v>2393</v>
      </c>
      <c r="C1330" t="s">
        <v>2392</v>
      </c>
      <c r="D1330" t="s">
        <v>4479</v>
      </c>
      <c r="E1330" t="s">
        <v>4319</v>
      </c>
      <c r="F1330" t="s">
        <v>1069</v>
      </c>
      <c r="G1330" t="s">
        <v>1406</v>
      </c>
      <c r="H1330" s="6">
        <v>46018</v>
      </c>
      <c r="I1330" t="s">
        <v>29</v>
      </c>
      <c r="J1330">
        <v>125</v>
      </c>
      <c r="K1330">
        <v>0</v>
      </c>
      <c r="L1330">
        <v>0</v>
      </c>
      <c r="M1330">
        <v>0</v>
      </c>
      <c r="N1330" t="s">
        <v>3915</v>
      </c>
      <c r="O1330" t="s">
        <v>3915</v>
      </c>
      <c r="P1330" t="s">
        <v>3915</v>
      </c>
      <c r="Q1330">
        <v>0</v>
      </c>
      <c r="R1330" t="s">
        <v>30</v>
      </c>
      <c r="S1330">
        <v>0</v>
      </c>
      <c r="T1330">
        <v>0</v>
      </c>
      <c r="U1330" t="s">
        <v>3915</v>
      </c>
      <c r="V1330" t="s">
        <v>31</v>
      </c>
      <c r="W1330">
        <v>0</v>
      </c>
    </row>
    <row r="1331" spans="1:23" x14ac:dyDescent="0.25">
      <c r="A1331" t="s">
        <v>5586</v>
      </c>
      <c r="B1331" t="s">
        <v>2395</v>
      </c>
      <c r="C1331" t="s">
        <v>2394</v>
      </c>
      <c r="D1331" t="s">
        <v>4479</v>
      </c>
      <c r="E1331" t="s">
        <v>4319</v>
      </c>
      <c r="F1331" t="s">
        <v>1069</v>
      </c>
      <c r="G1331" t="s">
        <v>1406</v>
      </c>
      <c r="H1331" s="6">
        <v>46018</v>
      </c>
      <c r="I1331" t="s">
        <v>29</v>
      </c>
      <c r="J1331">
        <v>0</v>
      </c>
      <c r="K1331">
        <v>0</v>
      </c>
      <c r="L1331">
        <v>0</v>
      </c>
      <c r="M1331">
        <v>0</v>
      </c>
      <c r="N1331" t="s">
        <v>3915</v>
      </c>
      <c r="O1331" t="s">
        <v>3915</v>
      </c>
      <c r="P1331" t="s">
        <v>3915</v>
      </c>
      <c r="Q1331">
        <v>0</v>
      </c>
      <c r="R1331" t="s">
        <v>30</v>
      </c>
      <c r="S1331">
        <v>0</v>
      </c>
      <c r="T1331">
        <v>0</v>
      </c>
      <c r="U1331" t="s">
        <v>3915</v>
      </c>
      <c r="V1331" t="s">
        <v>31</v>
      </c>
      <c r="W1331">
        <v>0</v>
      </c>
    </row>
    <row r="1332" spans="1:23" x14ac:dyDescent="0.25">
      <c r="A1332" t="s">
        <v>5587</v>
      </c>
      <c r="B1332" t="s">
        <v>2397</v>
      </c>
      <c r="C1332" t="s">
        <v>2396</v>
      </c>
      <c r="D1332" t="s">
        <v>4479</v>
      </c>
      <c r="E1332" t="s">
        <v>4319</v>
      </c>
      <c r="F1332" t="s">
        <v>1069</v>
      </c>
      <c r="G1332" t="s">
        <v>1406</v>
      </c>
      <c r="H1332" s="6">
        <v>46018</v>
      </c>
      <c r="I1332" t="s">
        <v>29</v>
      </c>
      <c r="J1332">
        <v>0</v>
      </c>
      <c r="K1332">
        <v>0</v>
      </c>
      <c r="L1332">
        <v>0</v>
      </c>
      <c r="M1332">
        <v>0</v>
      </c>
      <c r="N1332" t="s">
        <v>3915</v>
      </c>
      <c r="O1332" t="s">
        <v>3915</v>
      </c>
      <c r="P1332" t="s">
        <v>3915</v>
      </c>
      <c r="Q1332">
        <v>0</v>
      </c>
      <c r="R1332" t="s">
        <v>30</v>
      </c>
      <c r="S1332">
        <v>0</v>
      </c>
      <c r="T1332">
        <v>0</v>
      </c>
      <c r="U1332" t="s">
        <v>3915</v>
      </c>
      <c r="V1332" t="s">
        <v>31</v>
      </c>
      <c r="W1332">
        <v>0</v>
      </c>
    </row>
    <row r="1333" spans="1:23" x14ac:dyDescent="0.25">
      <c r="A1333" t="s">
        <v>4464</v>
      </c>
      <c r="B1333" t="s">
        <v>1366</v>
      </c>
      <c r="C1333" t="s">
        <v>1367</v>
      </c>
      <c r="D1333" t="s">
        <v>4479</v>
      </c>
      <c r="E1333" t="s">
        <v>4319</v>
      </c>
      <c r="F1333" t="s">
        <v>1069</v>
      </c>
      <c r="G1333" t="s">
        <v>1406</v>
      </c>
      <c r="H1333" s="6">
        <v>46018</v>
      </c>
      <c r="I1333" t="s">
        <v>29</v>
      </c>
      <c r="J1333">
        <v>0</v>
      </c>
      <c r="K1333">
        <v>0</v>
      </c>
      <c r="L1333">
        <v>0</v>
      </c>
      <c r="M1333">
        <v>0</v>
      </c>
      <c r="N1333" t="s">
        <v>3915</v>
      </c>
      <c r="O1333" t="s">
        <v>3915</v>
      </c>
      <c r="P1333" t="s">
        <v>3915</v>
      </c>
      <c r="Q1333">
        <v>0</v>
      </c>
      <c r="R1333" t="s">
        <v>30</v>
      </c>
      <c r="S1333">
        <v>0</v>
      </c>
      <c r="T1333">
        <v>0</v>
      </c>
      <c r="U1333" t="s">
        <v>3915</v>
      </c>
      <c r="V1333" t="s">
        <v>31</v>
      </c>
      <c r="W1333">
        <v>0</v>
      </c>
    </row>
    <row r="1334" spans="1:23" x14ac:dyDescent="0.25">
      <c r="A1334" t="s">
        <v>4465</v>
      </c>
      <c r="B1334" t="s">
        <v>1368</v>
      </c>
      <c r="C1334" t="s">
        <v>1369</v>
      </c>
      <c r="D1334" t="s">
        <v>4479</v>
      </c>
      <c r="E1334" t="s">
        <v>4319</v>
      </c>
      <c r="F1334" t="s">
        <v>1069</v>
      </c>
      <c r="G1334" t="s">
        <v>1406</v>
      </c>
      <c r="H1334" s="6">
        <v>46018</v>
      </c>
      <c r="I1334" t="s">
        <v>29</v>
      </c>
      <c r="J1334">
        <v>12488</v>
      </c>
      <c r="K1334">
        <v>0</v>
      </c>
      <c r="L1334">
        <v>0</v>
      </c>
      <c r="M1334">
        <v>0</v>
      </c>
      <c r="N1334" t="s">
        <v>3915</v>
      </c>
      <c r="O1334" t="s">
        <v>3915</v>
      </c>
      <c r="P1334" t="s">
        <v>3915</v>
      </c>
      <c r="Q1334">
        <v>0</v>
      </c>
      <c r="R1334" t="s">
        <v>30</v>
      </c>
      <c r="S1334">
        <v>0</v>
      </c>
      <c r="T1334">
        <v>0</v>
      </c>
      <c r="U1334" t="s">
        <v>3915</v>
      </c>
      <c r="V1334" t="s">
        <v>31</v>
      </c>
      <c r="W1334">
        <v>0</v>
      </c>
    </row>
    <row r="1335" spans="1:23" x14ac:dyDescent="0.25">
      <c r="A1335" t="s">
        <v>4466</v>
      </c>
      <c r="B1335" t="s">
        <v>1370</v>
      </c>
      <c r="C1335" t="s">
        <v>1371</v>
      </c>
      <c r="D1335" t="s">
        <v>4479</v>
      </c>
      <c r="E1335" t="s">
        <v>4319</v>
      </c>
      <c r="F1335" t="s">
        <v>1069</v>
      </c>
      <c r="G1335" t="s">
        <v>1406</v>
      </c>
      <c r="H1335" s="6">
        <v>46018</v>
      </c>
      <c r="I1335" t="s">
        <v>29</v>
      </c>
      <c r="J1335">
        <v>3549</v>
      </c>
      <c r="K1335">
        <v>0</v>
      </c>
      <c r="L1335">
        <v>0</v>
      </c>
      <c r="M1335">
        <v>0</v>
      </c>
      <c r="N1335" t="s">
        <v>3915</v>
      </c>
      <c r="O1335" t="s">
        <v>3915</v>
      </c>
      <c r="P1335" t="s">
        <v>3915</v>
      </c>
      <c r="Q1335">
        <v>0</v>
      </c>
      <c r="R1335" t="s">
        <v>30</v>
      </c>
      <c r="S1335">
        <v>0</v>
      </c>
      <c r="T1335">
        <v>0</v>
      </c>
      <c r="U1335" t="s">
        <v>3915</v>
      </c>
      <c r="V1335" t="s">
        <v>31</v>
      </c>
      <c r="W1335">
        <v>0</v>
      </c>
    </row>
    <row r="1336" spans="1:23" x14ac:dyDescent="0.25">
      <c r="A1336" t="s">
        <v>5588</v>
      </c>
      <c r="B1336" t="s">
        <v>2399</v>
      </c>
      <c r="C1336" t="s">
        <v>2398</v>
      </c>
      <c r="D1336" t="s">
        <v>4479</v>
      </c>
      <c r="E1336" t="s">
        <v>4319</v>
      </c>
      <c r="F1336" t="s">
        <v>1069</v>
      </c>
      <c r="G1336" t="s">
        <v>1406</v>
      </c>
      <c r="H1336" s="6">
        <v>46018</v>
      </c>
      <c r="I1336" t="s">
        <v>29</v>
      </c>
      <c r="J1336">
        <v>438</v>
      </c>
      <c r="K1336">
        <v>0</v>
      </c>
      <c r="L1336">
        <v>0</v>
      </c>
      <c r="M1336">
        <v>0</v>
      </c>
      <c r="N1336" t="s">
        <v>3915</v>
      </c>
      <c r="O1336" t="s">
        <v>3915</v>
      </c>
      <c r="P1336" t="s">
        <v>3915</v>
      </c>
      <c r="Q1336">
        <v>0</v>
      </c>
      <c r="R1336" t="s">
        <v>30</v>
      </c>
      <c r="S1336">
        <v>0</v>
      </c>
      <c r="T1336">
        <v>0</v>
      </c>
      <c r="U1336" t="s">
        <v>3915</v>
      </c>
      <c r="V1336" t="s">
        <v>31</v>
      </c>
      <c r="W1336">
        <v>0</v>
      </c>
    </row>
    <row r="1337" spans="1:23" x14ac:dyDescent="0.25">
      <c r="A1337" t="s">
        <v>4467</v>
      </c>
      <c r="B1337" t="s">
        <v>1372</v>
      </c>
      <c r="C1337" t="s">
        <v>1373</v>
      </c>
      <c r="D1337" t="s">
        <v>4479</v>
      </c>
      <c r="E1337" t="s">
        <v>4319</v>
      </c>
      <c r="F1337" t="s">
        <v>1069</v>
      </c>
      <c r="G1337" t="s">
        <v>1406</v>
      </c>
      <c r="H1337" s="6">
        <v>46018</v>
      </c>
      <c r="I1337" t="s">
        <v>29</v>
      </c>
      <c r="J1337">
        <v>0</v>
      </c>
      <c r="K1337">
        <v>0</v>
      </c>
      <c r="L1337">
        <v>0</v>
      </c>
      <c r="M1337">
        <v>0</v>
      </c>
      <c r="N1337" t="s">
        <v>3915</v>
      </c>
      <c r="O1337" t="s">
        <v>3915</v>
      </c>
      <c r="P1337" t="s">
        <v>3915</v>
      </c>
      <c r="Q1337">
        <v>0</v>
      </c>
      <c r="R1337" t="s">
        <v>30</v>
      </c>
      <c r="S1337">
        <v>0</v>
      </c>
      <c r="T1337">
        <v>0</v>
      </c>
      <c r="U1337" t="s">
        <v>3915</v>
      </c>
      <c r="V1337" t="s">
        <v>31</v>
      </c>
      <c r="W1337">
        <v>0</v>
      </c>
    </row>
    <row r="1338" spans="1:23" x14ac:dyDescent="0.25">
      <c r="A1338" t="s">
        <v>4468</v>
      </c>
      <c r="B1338" t="s">
        <v>1374</v>
      </c>
      <c r="C1338" t="s">
        <v>1375</v>
      </c>
      <c r="D1338" t="s">
        <v>4479</v>
      </c>
      <c r="E1338" t="s">
        <v>4319</v>
      </c>
      <c r="F1338" t="s">
        <v>1069</v>
      </c>
      <c r="G1338" t="s">
        <v>1406</v>
      </c>
      <c r="H1338" s="6">
        <v>46018</v>
      </c>
      <c r="I1338" t="s">
        <v>29</v>
      </c>
      <c r="J1338">
        <v>9410</v>
      </c>
      <c r="K1338">
        <v>0</v>
      </c>
      <c r="L1338">
        <v>0</v>
      </c>
      <c r="M1338">
        <v>0</v>
      </c>
      <c r="N1338" t="s">
        <v>3915</v>
      </c>
      <c r="O1338" t="s">
        <v>3915</v>
      </c>
      <c r="P1338" t="s">
        <v>3915</v>
      </c>
      <c r="Q1338">
        <v>0</v>
      </c>
      <c r="R1338" t="s">
        <v>30</v>
      </c>
      <c r="S1338">
        <v>0</v>
      </c>
      <c r="T1338">
        <v>0</v>
      </c>
      <c r="U1338" t="s">
        <v>3915</v>
      </c>
      <c r="V1338" t="s">
        <v>31</v>
      </c>
      <c r="W1338">
        <v>0</v>
      </c>
    </row>
    <row r="1339" spans="1:23" x14ac:dyDescent="0.25">
      <c r="A1339" t="s">
        <v>4469</v>
      </c>
      <c r="B1339" t="s">
        <v>1376</v>
      </c>
      <c r="C1339" t="s">
        <v>1377</v>
      </c>
      <c r="D1339" t="s">
        <v>4479</v>
      </c>
      <c r="E1339" t="s">
        <v>4319</v>
      </c>
      <c r="F1339" t="s">
        <v>1069</v>
      </c>
      <c r="G1339" t="s">
        <v>1406</v>
      </c>
      <c r="H1339" s="6">
        <v>46018</v>
      </c>
      <c r="I1339" t="s">
        <v>29</v>
      </c>
      <c r="J1339">
        <v>14427</v>
      </c>
      <c r="K1339">
        <v>0</v>
      </c>
      <c r="L1339">
        <v>0</v>
      </c>
      <c r="M1339">
        <v>0</v>
      </c>
      <c r="N1339" t="s">
        <v>3915</v>
      </c>
      <c r="O1339" t="s">
        <v>3915</v>
      </c>
      <c r="P1339" t="s">
        <v>3915</v>
      </c>
      <c r="Q1339">
        <v>0</v>
      </c>
      <c r="R1339" t="s">
        <v>30</v>
      </c>
      <c r="S1339">
        <v>0</v>
      </c>
      <c r="T1339">
        <v>0</v>
      </c>
      <c r="U1339" t="s">
        <v>3915</v>
      </c>
      <c r="V1339" t="s">
        <v>31</v>
      </c>
      <c r="W1339">
        <v>0</v>
      </c>
    </row>
    <row r="1340" spans="1:23" x14ac:dyDescent="0.25">
      <c r="A1340" t="s">
        <v>4470</v>
      </c>
      <c r="B1340" t="s">
        <v>1378</v>
      </c>
      <c r="C1340" t="s">
        <v>1379</v>
      </c>
      <c r="D1340" t="s">
        <v>4479</v>
      </c>
      <c r="E1340" t="s">
        <v>4319</v>
      </c>
      <c r="F1340" t="s">
        <v>1069</v>
      </c>
      <c r="G1340" t="s">
        <v>1406</v>
      </c>
      <c r="H1340" s="6">
        <v>46018</v>
      </c>
      <c r="I1340" t="s">
        <v>29</v>
      </c>
      <c r="J1340">
        <v>15244</v>
      </c>
      <c r="K1340">
        <v>0</v>
      </c>
      <c r="L1340">
        <v>0</v>
      </c>
      <c r="M1340">
        <v>0</v>
      </c>
      <c r="N1340" t="s">
        <v>3915</v>
      </c>
      <c r="O1340" t="s">
        <v>3915</v>
      </c>
      <c r="P1340" t="s">
        <v>3915</v>
      </c>
      <c r="Q1340">
        <v>0</v>
      </c>
      <c r="R1340" t="s">
        <v>30</v>
      </c>
      <c r="S1340">
        <v>0</v>
      </c>
      <c r="T1340">
        <v>0</v>
      </c>
      <c r="U1340" t="s">
        <v>3915</v>
      </c>
      <c r="V1340" t="s">
        <v>31</v>
      </c>
      <c r="W1340">
        <v>0</v>
      </c>
    </row>
    <row r="1341" spans="1:23" x14ac:dyDescent="0.25">
      <c r="A1341" t="s">
        <v>4471</v>
      </c>
      <c r="B1341" t="s">
        <v>1380</v>
      </c>
      <c r="C1341" t="s">
        <v>1381</v>
      </c>
      <c r="D1341" t="s">
        <v>4479</v>
      </c>
      <c r="E1341" t="s">
        <v>4319</v>
      </c>
      <c r="F1341" t="s">
        <v>1069</v>
      </c>
      <c r="G1341" t="s">
        <v>1406</v>
      </c>
      <c r="H1341" s="6">
        <v>46018</v>
      </c>
      <c r="I1341" t="s">
        <v>29</v>
      </c>
      <c r="J1341">
        <v>6489</v>
      </c>
      <c r="K1341">
        <v>0</v>
      </c>
      <c r="L1341">
        <v>0</v>
      </c>
      <c r="M1341">
        <v>0</v>
      </c>
      <c r="N1341" t="s">
        <v>3915</v>
      </c>
      <c r="O1341" t="s">
        <v>3915</v>
      </c>
      <c r="P1341" t="s">
        <v>3915</v>
      </c>
      <c r="Q1341">
        <v>0</v>
      </c>
      <c r="R1341" t="s">
        <v>30</v>
      </c>
      <c r="S1341">
        <v>0</v>
      </c>
      <c r="T1341">
        <v>0</v>
      </c>
      <c r="U1341" t="s">
        <v>3915</v>
      </c>
      <c r="V1341" t="s">
        <v>31</v>
      </c>
      <c r="W1341">
        <v>0</v>
      </c>
    </row>
    <row r="1342" spans="1:23" x14ac:dyDescent="0.25">
      <c r="A1342" t="s">
        <v>4472</v>
      </c>
      <c r="B1342" t="s">
        <v>1382</v>
      </c>
      <c r="C1342" t="s">
        <v>1383</v>
      </c>
      <c r="D1342" t="s">
        <v>4479</v>
      </c>
      <c r="E1342" t="s">
        <v>4319</v>
      </c>
      <c r="F1342" t="s">
        <v>1069</v>
      </c>
      <c r="G1342" t="s">
        <v>1406</v>
      </c>
      <c r="H1342" s="6">
        <v>46018</v>
      </c>
      <c r="I1342" t="s">
        <v>29</v>
      </c>
      <c r="J1342">
        <v>1640</v>
      </c>
      <c r="K1342">
        <v>0</v>
      </c>
      <c r="L1342">
        <v>0</v>
      </c>
      <c r="M1342">
        <v>0</v>
      </c>
      <c r="N1342" t="s">
        <v>3915</v>
      </c>
      <c r="O1342" t="s">
        <v>3915</v>
      </c>
      <c r="P1342" t="s">
        <v>3915</v>
      </c>
      <c r="Q1342">
        <v>0</v>
      </c>
      <c r="R1342" t="s">
        <v>30</v>
      </c>
      <c r="S1342">
        <v>0</v>
      </c>
      <c r="T1342">
        <v>0</v>
      </c>
      <c r="U1342" t="s">
        <v>3915</v>
      </c>
      <c r="V1342" t="s">
        <v>31</v>
      </c>
      <c r="W1342">
        <v>0</v>
      </c>
    </row>
    <row r="1343" spans="1:23" x14ac:dyDescent="0.25">
      <c r="A1343" t="s">
        <v>1391</v>
      </c>
      <c r="B1343" t="s">
        <v>1384</v>
      </c>
      <c r="C1343" t="s">
        <v>1385</v>
      </c>
      <c r="D1343" t="s">
        <v>4479</v>
      </c>
      <c r="E1343" t="s">
        <v>4319</v>
      </c>
      <c r="F1343" t="s">
        <v>1069</v>
      </c>
      <c r="G1343" t="s">
        <v>1406</v>
      </c>
      <c r="H1343" s="6">
        <v>46018</v>
      </c>
      <c r="I1343" t="s">
        <v>29</v>
      </c>
      <c r="J1343">
        <v>9572</v>
      </c>
      <c r="K1343">
        <v>0</v>
      </c>
      <c r="L1343">
        <v>0</v>
      </c>
      <c r="M1343">
        <v>0</v>
      </c>
      <c r="N1343" t="s">
        <v>3915</v>
      </c>
      <c r="O1343" t="s">
        <v>3915</v>
      </c>
      <c r="P1343" t="s">
        <v>3915</v>
      </c>
      <c r="Q1343">
        <v>0</v>
      </c>
      <c r="R1343" t="s">
        <v>30</v>
      </c>
      <c r="S1343">
        <v>0</v>
      </c>
      <c r="T1343">
        <v>0</v>
      </c>
      <c r="U1343" t="s">
        <v>3915</v>
      </c>
      <c r="V1343" t="s">
        <v>31</v>
      </c>
      <c r="W1343">
        <v>0</v>
      </c>
    </row>
    <row r="1344" spans="1:23" x14ac:dyDescent="0.25">
      <c r="A1344" t="s">
        <v>4473</v>
      </c>
      <c r="B1344" t="s">
        <v>1386</v>
      </c>
      <c r="C1344" t="s">
        <v>1387</v>
      </c>
      <c r="D1344" t="s">
        <v>4479</v>
      </c>
      <c r="E1344" t="s">
        <v>4319</v>
      </c>
      <c r="F1344" t="s">
        <v>1069</v>
      </c>
      <c r="G1344" t="s">
        <v>1406</v>
      </c>
      <c r="H1344" s="6">
        <v>46018</v>
      </c>
      <c r="I1344" t="s">
        <v>29</v>
      </c>
      <c r="J1344">
        <v>9636</v>
      </c>
      <c r="K1344">
        <v>0</v>
      </c>
      <c r="L1344">
        <v>0</v>
      </c>
      <c r="M1344">
        <v>0</v>
      </c>
      <c r="N1344" t="s">
        <v>3915</v>
      </c>
      <c r="O1344" t="s">
        <v>3915</v>
      </c>
      <c r="P1344" t="s">
        <v>3915</v>
      </c>
      <c r="Q1344">
        <v>0</v>
      </c>
      <c r="R1344" t="s">
        <v>30</v>
      </c>
      <c r="S1344">
        <v>0</v>
      </c>
      <c r="T1344">
        <v>0</v>
      </c>
      <c r="U1344" t="s">
        <v>3915</v>
      </c>
      <c r="V1344" t="s">
        <v>31</v>
      </c>
      <c r="W1344">
        <v>0</v>
      </c>
    </row>
    <row r="1345" spans="1:23" x14ac:dyDescent="0.25">
      <c r="A1345" t="s">
        <v>4635</v>
      </c>
      <c r="B1345" t="s">
        <v>2401</v>
      </c>
      <c r="C1345" t="s">
        <v>2400</v>
      </c>
      <c r="D1345" t="s">
        <v>4479</v>
      </c>
      <c r="E1345" t="s">
        <v>4319</v>
      </c>
      <c r="F1345" t="s">
        <v>1069</v>
      </c>
      <c r="G1345" t="s">
        <v>1406</v>
      </c>
      <c r="H1345" s="6">
        <v>46018</v>
      </c>
      <c r="I1345" t="s">
        <v>29</v>
      </c>
      <c r="J1345">
        <v>8130</v>
      </c>
      <c r="K1345">
        <v>0</v>
      </c>
      <c r="L1345">
        <v>0</v>
      </c>
      <c r="M1345">
        <v>0</v>
      </c>
      <c r="N1345" t="s">
        <v>3915</v>
      </c>
      <c r="O1345" t="s">
        <v>3915</v>
      </c>
      <c r="P1345" t="s">
        <v>3915</v>
      </c>
      <c r="Q1345">
        <v>0</v>
      </c>
      <c r="R1345" t="s">
        <v>30</v>
      </c>
      <c r="S1345">
        <v>0</v>
      </c>
      <c r="T1345">
        <v>0</v>
      </c>
      <c r="U1345" t="s">
        <v>3915</v>
      </c>
      <c r="V1345" t="s">
        <v>31</v>
      </c>
      <c r="W1345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W181"/>
  <sheetViews>
    <sheetView workbookViewId="0">
      <selection activeCell="B18" sqref="B18"/>
    </sheetView>
  </sheetViews>
  <sheetFormatPr baseColWidth="10" defaultRowHeight="15" x14ac:dyDescent="0.25"/>
  <cols>
    <col min="1" max="1" width="6" bestFit="1" customWidth="1"/>
    <col min="2" max="2" width="56.42578125" bestFit="1" customWidth="1"/>
    <col min="3" max="3" width="17.28515625" bestFit="1" customWidth="1"/>
    <col min="4" max="4" width="7" bestFit="1" customWidth="1"/>
    <col min="5" max="5" width="6" bestFit="1" customWidth="1"/>
    <col min="6" max="6" width="35.42578125" bestFit="1" customWidth="1"/>
    <col min="7" max="7" width="10.140625" bestFit="1" customWidth="1"/>
    <col min="8" max="8" width="10.42578125" bestFit="1" customWidth="1"/>
    <col min="9" max="9" width="13.42578125" bestFit="1" customWidth="1"/>
    <col min="10" max="10" width="9" bestFit="1" customWidth="1"/>
    <col min="11" max="11" width="12" bestFit="1" customWidth="1"/>
    <col min="12" max="12" width="11" bestFit="1" customWidth="1"/>
    <col min="13" max="13" width="12" bestFit="1" customWidth="1"/>
    <col min="14" max="14" width="22" bestFit="1" customWidth="1"/>
    <col min="15" max="15" width="4" bestFit="1" customWidth="1"/>
    <col min="16" max="16" width="6.140625" bestFit="1" customWidth="1"/>
    <col min="17" max="17" width="7" bestFit="1" customWidth="1"/>
    <col min="18" max="18" width="6.42578125" bestFit="1" customWidth="1"/>
    <col min="19" max="19" width="6.28515625" bestFit="1" customWidth="1"/>
    <col min="20" max="20" width="9.28515625" bestFit="1" customWidth="1"/>
    <col min="21" max="21" width="7.140625" bestFit="1" customWidth="1"/>
    <col min="22" max="22" width="6.7109375" bestFit="1" customWidth="1"/>
    <col min="23" max="23" width="10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4646</v>
      </c>
      <c r="B2" t="s">
        <v>1440</v>
      </c>
      <c r="C2" t="s">
        <v>1439</v>
      </c>
      <c r="D2" t="s">
        <v>4479</v>
      </c>
      <c r="E2" t="s">
        <v>26</v>
      </c>
      <c r="F2" t="s">
        <v>1389</v>
      </c>
      <c r="G2" t="s">
        <v>1406</v>
      </c>
      <c r="H2" s="6">
        <v>46022</v>
      </c>
      <c r="I2" t="s">
        <v>29</v>
      </c>
      <c r="J2">
        <v>18</v>
      </c>
      <c r="K2">
        <v>0</v>
      </c>
      <c r="L2">
        <v>0</v>
      </c>
      <c r="M2">
        <v>0</v>
      </c>
      <c r="N2" t="s">
        <v>3915</v>
      </c>
      <c r="O2" t="s">
        <v>3915</v>
      </c>
      <c r="P2" t="s">
        <v>3915</v>
      </c>
      <c r="Q2">
        <v>0</v>
      </c>
      <c r="R2" t="s">
        <v>30</v>
      </c>
      <c r="S2">
        <v>0</v>
      </c>
      <c r="T2">
        <v>0</v>
      </c>
      <c r="U2" t="s">
        <v>3915</v>
      </c>
      <c r="V2" t="s">
        <v>31</v>
      </c>
      <c r="W2">
        <v>0</v>
      </c>
    </row>
    <row r="3" spans="1:23" x14ac:dyDescent="0.25">
      <c r="A3" t="s">
        <v>5190</v>
      </c>
      <c r="B3" t="s">
        <v>1442</v>
      </c>
      <c r="C3" t="s">
        <v>1441</v>
      </c>
      <c r="D3" t="s">
        <v>4479</v>
      </c>
      <c r="E3" t="s">
        <v>26</v>
      </c>
      <c r="F3" t="s">
        <v>1389</v>
      </c>
      <c r="G3" t="s">
        <v>1406</v>
      </c>
      <c r="H3" s="6">
        <v>46022</v>
      </c>
      <c r="I3" t="s">
        <v>29</v>
      </c>
      <c r="J3">
        <v>2</v>
      </c>
      <c r="K3">
        <v>0</v>
      </c>
      <c r="L3">
        <v>0</v>
      </c>
      <c r="M3">
        <v>0</v>
      </c>
      <c r="N3" t="s">
        <v>3915</v>
      </c>
      <c r="O3" t="s">
        <v>3915</v>
      </c>
      <c r="P3" t="s">
        <v>3915</v>
      </c>
      <c r="Q3">
        <v>0</v>
      </c>
      <c r="R3" t="s">
        <v>30</v>
      </c>
      <c r="S3">
        <v>0</v>
      </c>
      <c r="T3">
        <v>0</v>
      </c>
      <c r="U3" t="s">
        <v>3915</v>
      </c>
      <c r="V3" t="s">
        <v>31</v>
      </c>
      <c r="W3">
        <v>0</v>
      </c>
    </row>
    <row r="4" spans="1:23" x14ac:dyDescent="0.25">
      <c r="A4" t="s">
        <v>4469</v>
      </c>
      <c r="B4" t="s">
        <v>1444</v>
      </c>
      <c r="C4" t="s">
        <v>1443</v>
      </c>
      <c r="D4" t="s">
        <v>4479</v>
      </c>
      <c r="E4" t="s">
        <v>26</v>
      </c>
      <c r="F4" t="s">
        <v>1389</v>
      </c>
      <c r="G4" t="s">
        <v>1406</v>
      </c>
      <c r="H4" s="6">
        <v>46022</v>
      </c>
      <c r="I4" t="s">
        <v>29</v>
      </c>
      <c r="J4">
        <v>13</v>
      </c>
      <c r="K4">
        <v>0</v>
      </c>
      <c r="L4">
        <v>0</v>
      </c>
      <c r="M4">
        <v>0</v>
      </c>
      <c r="N4" t="s">
        <v>3915</v>
      </c>
      <c r="O4" t="s">
        <v>3915</v>
      </c>
      <c r="P4" t="s">
        <v>3915</v>
      </c>
      <c r="Q4">
        <v>0</v>
      </c>
      <c r="R4" t="s">
        <v>30</v>
      </c>
      <c r="S4">
        <v>0</v>
      </c>
      <c r="T4">
        <v>0</v>
      </c>
      <c r="U4" t="s">
        <v>3915</v>
      </c>
      <c r="V4" t="s">
        <v>31</v>
      </c>
      <c r="W4">
        <v>0</v>
      </c>
    </row>
    <row r="5" spans="1:23" x14ac:dyDescent="0.25">
      <c r="A5" t="s">
        <v>4585</v>
      </c>
      <c r="B5" t="s">
        <v>239</v>
      </c>
      <c r="C5" t="s">
        <v>240</v>
      </c>
      <c r="D5" t="s">
        <v>4479</v>
      </c>
      <c r="E5" t="s">
        <v>26</v>
      </c>
      <c r="F5" t="s">
        <v>1389</v>
      </c>
      <c r="G5" t="s">
        <v>1406</v>
      </c>
      <c r="H5" s="6">
        <v>46022</v>
      </c>
      <c r="I5" t="s">
        <v>29</v>
      </c>
      <c r="J5">
        <v>0</v>
      </c>
      <c r="K5">
        <v>0</v>
      </c>
      <c r="L5">
        <v>0</v>
      </c>
      <c r="M5">
        <v>0</v>
      </c>
      <c r="N5" t="s">
        <v>3915</v>
      </c>
      <c r="O5" t="s">
        <v>3915</v>
      </c>
      <c r="P5" t="s">
        <v>3915</v>
      </c>
      <c r="Q5">
        <v>0</v>
      </c>
      <c r="R5" t="s">
        <v>30</v>
      </c>
      <c r="S5">
        <v>0</v>
      </c>
      <c r="T5">
        <v>0</v>
      </c>
      <c r="U5" t="s">
        <v>3915</v>
      </c>
      <c r="V5" t="s">
        <v>31</v>
      </c>
      <c r="W5">
        <v>0</v>
      </c>
    </row>
    <row r="6" spans="1:23" x14ac:dyDescent="0.25">
      <c r="A6" t="s">
        <v>5521</v>
      </c>
      <c r="B6" t="s">
        <v>241</v>
      </c>
      <c r="C6" t="s">
        <v>242</v>
      </c>
      <c r="D6" t="s">
        <v>4479</v>
      </c>
      <c r="E6" t="s">
        <v>26</v>
      </c>
      <c r="F6" t="s">
        <v>1389</v>
      </c>
      <c r="G6" t="s">
        <v>1406</v>
      </c>
      <c r="H6" s="6">
        <v>46022</v>
      </c>
      <c r="I6" t="s">
        <v>29</v>
      </c>
      <c r="J6">
        <v>0</v>
      </c>
      <c r="K6">
        <v>0</v>
      </c>
      <c r="L6">
        <v>0</v>
      </c>
      <c r="M6">
        <v>0</v>
      </c>
      <c r="N6" t="s">
        <v>3915</v>
      </c>
      <c r="O6" t="s">
        <v>3915</v>
      </c>
      <c r="P6" t="s">
        <v>3915</v>
      </c>
      <c r="Q6">
        <v>0</v>
      </c>
      <c r="R6" t="s">
        <v>30</v>
      </c>
      <c r="S6">
        <v>0</v>
      </c>
      <c r="T6">
        <v>0</v>
      </c>
      <c r="U6" t="s">
        <v>3915</v>
      </c>
      <c r="V6" t="s">
        <v>31</v>
      </c>
      <c r="W6">
        <v>0</v>
      </c>
    </row>
    <row r="7" spans="1:23" x14ac:dyDescent="0.25">
      <c r="A7" t="s">
        <v>4213</v>
      </c>
      <c r="B7" t="s">
        <v>279</v>
      </c>
      <c r="C7" t="s">
        <v>280</v>
      </c>
      <c r="D7" t="s">
        <v>4479</v>
      </c>
      <c r="E7" t="s">
        <v>26</v>
      </c>
      <c r="F7" t="s">
        <v>1389</v>
      </c>
      <c r="G7" t="s">
        <v>1406</v>
      </c>
      <c r="H7" s="6">
        <v>46022</v>
      </c>
      <c r="I7" t="s">
        <v>29</v>
      </c>
      <c r="J7">
        <v>0</v>
      </c>
      <c r="K7">
        <v>0</v>
      </c>
      <c r="L7">
        <v>0</v>
      </c>
      <c r="M7">
        <v>0</v>
      </c>
      <c r="N7" t="s">
        <v>3915</v>
      </c>
      <c r="O7" t="s">
        <v>3915</v>
      </c>
      <c r="P7" t="s">
        <v>3915</v>
      </c>
      <c r="Q7">
        <v>0</v>
      </c>
      <c r="R7" t="s">
        <v>30</v>
      </c>
      <c r="S7">
        <v>0</v>
      </c>
      <c r="T7">
        <v>0</v>
      </c>
      <c r="U7" t="s">
        <v>3915</v>
      </c>
      <c r="V7" t="s">
        <v>31</v>
      </c>
      <c r="W7">
        <v>0</v>
      </c>
    </row>
    <row r="8" spans="1:23" x14ac:dyDescent="0.25">
      <c r="A8" t="s">
        <v>4214</v>
      </c>
      <c r="B8" t="s">
        <v>297</v>
      </c>
      <c r="C8" t="s">
        <v>298</v>
      </c>
      <c r="D8" t="s">
        <v>4479</v>
      </c>
      <c r="E8" t="s">
        <v>26</v>
      </c>
      <c r="F8" t="s">
        <v>1389</v>
      </c>
      <c r="G8" t="s">
        <v>1406</v>
      </c>
      <c r="H8" s="6">
        <v>46022</v>
      </c>
      <c r="I8" t="s">
        <v>29</v>
      </c>
      <c r="J8">
        <v>0</v>
      </c>
      <c r="K8">
        <v>0</v>
      </c>
      <c r="L8">
        <v>0</v>
      </c>
      <c r="M8">
        <v>0</v>
      </c>
      <c r="N8" t="s">
        <v>3915</v>
      </c>
      <c r="O8" t="s">
        <v>3915</v>
      </c>
      <c r="P8" t="s">
        <v>3915</v>
      </c>
      <c r="Q8">
        <v>0</v>
      </c>
      <c r="R8" t="s">
        <v>30</v>
      </c>
      <c r="S8">
        <v>0</v>
      </c>
      <c r="T8">
        <v>0</v>
      </c>
      <c r="U8" t="s">
        <v>3915</v>
      </c>
      <c r="V8" t="s">
        <v>31</v>
      </c>
      <c r="W8">
        <v>0</v>
      </c>
    </row>
    <row r="9" spans="1:23" x14ac:dyDescent="0.25">
      <c r="A9" t="s">
        <v>4770</v>
      </c>
      <c r="B9" t="s">
        <v>5690</v>
      </c>
      <c r="C9" t="s">
        <v>5689</v>
      </c>
      <c r="D9" t="s">
        <v>4479</v>
      </c>
      <c r="E9" t="s">
        <v>26</v>
      </c>
      <c r="F9" t="s">
        <v>1389</v>
      </c>
      <c r="G9" t="s">
        <v>1406</v>
      </c>
      <c r="H9" s="6">
        <v>46022</v>
      </c>
      <c r="I9" t="s">
        <v>29</v>
      </c>
      <c r="J9">
        <v>0</v>
      </c>
      <c r="K9">
        <v>0</v>
      </c>
      <c r="L9">
        <v>0</v>
      </c>
      <c r="M9">
        <v>0</v>
      </c>
      <c r="N9" t="s">
        <v>3915</v>
      </c>
      <c r="O9" t="s">
        <v>3915</v>
      </c>
      <c r="P9" t="s">
        <v>3915</v>
      </c>
      <c r="Q9">
        <v>0</v>
      </c>
      <c r="R9" t="s">
        <v>30</v>
      </c>
      <c r="S9">
        <v>0</v>
      </c>
      <c r="T9">
        <v>0</v>
      </c>
      <c r="U9" t="s">
        <v>3915</v>
      </c>
      <c r="V9" t="s">
        <v>31</v>
      </c>
      <c r="W9">
        <v>0</v>
      </c>
    </row>
    <row r="10" spans="1:23" x14ac:dyDescent="0.25">
      <c r="A10" t="s">
        <v>10329</v>
      </c>
      <c r="B10" t="s">
        <v>353</v>
      </c>
      <c r="C10" t="s">
        <v>354</v>
      </c>
      <c r="D10" t="s">
        <v>4479</v>
      </c>
      <c r="E10" t="s">
        <v>26</v>
      </c>
      <c r="F10" t="s">
        <v>1389</v>
      </c>
      <c r="G10" t="s">
        <v>1406</v>
      </c>
      <c r="H10" s="6">
        <v>46022</v>
      </c>
      <c r="I10" t="s">
        <v>29</v>
      </c>
      <c r="J10">
        <v>0</v>
      </c>
      <c r="K10">
        <v>0</v>
      </c>
      <c r="L10">
        <v>0</v>
      </c>
      <c r="M10">
        <v>0</v>
      </c>
      <c r="N10" t="s">
        <v>3915</v>
      </c>
      <c r="O10" t="s">
        <v>3915</v>
      </c>
      <c r="P10" t="s">
        <v>3915</v>
      </c>
      <c r="Q10">
        <v>0</v>
      </c>
      <c r="R10" t="s">
        <v>30</v>
      </c>
      <c r="S10">
        <v>0</v>
      </c>
      <c r="T10">
        <v>0</v>
      </c>
      <c r="U10" t="s">
        <v>3915</v>
      </c>
      <c r="V10" t="s">
        <v>31</v>
      </c>
      <c r="W10">
        <v>0</v>
      </c>
    </row>
    <row r="11" spans="1:23" x14ac:dyDescent="0.25">
      <c r="A11" t="s">
        <v>5589</v>
      </c>
      <c r="B11" t="s">
        <v>355</v>
      </c>
      <c r="C11" t="s">
        <v>356</v>
      </c>
      <c r="D11" t="s">
        <v>4479</v>
      </c>
      <c r="E11" t="s">
        <v>26</v>
      </c>
      <c r="F11" t="s">
        <v>1389</v>
      </c>
      <c r="G11" t="s">
        <v>1406</v>
      </c>
      <c r="H11" s="6">
        <v>46022</v>
      </c>
      <c r="I11" t="s">
        <v>29</v>
      </c>
      <c r="J11">
        <v>8</v>
      </c>
      <c r="K11">
        <v>0</v>
      </c>
      <c r="L11">
        <v>0</v>
      </c>
      <c r="M11">
        <v>0</v>
      </c>
      <c r="N11" t="s">
        <v>3915</v>
      </c>
      <c r="O11" t="s">
        <v>3915</v>
      </c>
      <c r="P11" t="s">
        <v>3915</v>
      </c>
      <c r="Q11">
        <v>0</v>
      </c>
      <c r="R11" t="s">
        <v>30</v>
      </c>
      <c r="S11">
        <v>0</v>
      </c>
      <c r="T11">
        <v>0</v>
      </c>
      <c r="U11" t="s">
        <v>3915</v>
      </c>
      <c r="V11" t="s">
        <v>31</v>
      </c>
      <c r="W11">
        <v>0</v>
      </c>
    </row>
    <row r="12" spans="1:23" x14ac:dyDescent="0.25">
      <c r="A12" t="s">
        <v>4211</v>
      </c>
      <c r="B12" t="s">
        <v>357</v>
      </c>
      <c r="C12" t="s">
        <v>358</v>
      </c>
      <c r="D12" t="s">
        <v>4479</v>
      </c>
      <c r="E12" t="s">
        <v>26</v>
      </c>
      <c r="F12" t="s">
        <v>1389</v>
      </c>
      <c r="G12" t="s">
        <v>1406</v>
      </c>
      <c r="H12" s="6">
        <v>46022</v>
      </c>
      <c r="I12" t="s">
        <v>29</v>
      </c>
      <c r="J12">
        <v>0</v>
      </c>
      <c r="K12">
        <v>0</v>
      </c>
      <c r="L12">
        <v>0</v>
      </c>
      <c r="M12">
        <v>0</v>
      </c>
      <c r="N12" t="s">
        <v>3915</v>
      </c>
      <c r="O12" t="s">
        <v>3915</v>
      </c>
      <c r="P12" t="s">
        <v>3915</v>
      </c>
      <c r="Q12">
        <v>0</v>
      </c>
      <c r="R12" t="s">
        <v>30</v>
      </c>
      <c r="S12">
        <v>0</v>
      </c>
      <c r="T12">
        <v>0</v>
      </c>
      <c r="U12" t="s">
        <v>3915</v>
      </c>
      <c r="V12" t="s">
        <v>31</v>
      </c>
      <c r="W12">
        <v>0</v>
      </c>
    </row>
    <row r="13" spans="1:23" x14ac:dyDescent="0.25">
      <c r="A13" t="s">
        <v>1388</v>
      </c>
      <c r="B13" t="s">
        <v>359</v>
      </c>
      <c r="C13" t="s">
        <v>360</v>
      </c>
      <c r="D13" t="s">
        <v>4479</v>
      </c>
      <c r="E13" t="s">
        <v>26</v>
      </c>
      <c r="F13" t="s">
        <v>1389</v>
      </c>
      <c r="G13" t="s">
        <v>1406</v>
      </c>
      <c r="H13" s="6">
        <v>46022</v>
      </c>
      <c r="I13" t="s">
        <v>29</v>
      </c>
      <c r="J13">
        <v>0</v>
      </c>
      <c r="K13">
        <v>0</v>
      </c>
      <c r="L13">
        <v>0</v>
      </c>
      <c r="M13">
        <v>0</v>
      </c>
      <c r="N13" t="s">
        <v>3915</v>
      </c>
      <c r="O13" t="s">
        <v>3915</v>
      </c>
      <c r="P13" t="s">
        <v>3915</v>
      </c>
      <c r="Q13">
        <v>0</v>
      </c>
      <c r="R13" t="s">
        <v>30</v>
      </c>
      <c r="S13">
        <v>0</v>
      </c>
      <c r="T13">
        <v>0</v>
      </c>
      <c r="U13" t="s">
        <v>3915</v>
      </c>
      <c r="V13" t="s">
        <v>31</v>
      </c>
      <c r="W13">
        <v>0</v>
      </c>
    </row>
    <row r="14" spans="1:23" x14ac:dyDescent="0.25">
      <c r="A14" t="s">
        <v>5001</v>
      </c>
      <c r="B14" t="s">
        <v>361</v>
      </c>
      <c r="C14" t="s">
        <v>362</v>
      </c>
      <c r="D14" t="s">
        <v>4479</v>
      </c>
      <c r="E14" t="s">
        <v>26</v>
      </c>
      <c r="F14" t="s">
        <v>1389</v>
      </c>
      <c r="G14" t="s">
        <v>1406</v>
      </c>
      <c r="H14" s="6">
        <v>46022</v>
      </c>
      <c r="I14" t="s">
        <v>29</v>
      </c>
      <c r="J14">
        <v>0</v>
      </c>
      <c r="K14">
        <v>0</v>
      </c>
      <c r="L14">
        <v>0</v>
      </c>
      <c r="M14">
        <v>0</v>
      </c>
      <c r="N14" t="s">
        <v>3915</v>
      </c>
      <c r="O14" t="s">
        <v>3915</v>
      </c>
      <c r="P14" t="s">
        <v>3915</v>
      </c>
      <c r="Q14">
        <v>0</v>
      </c>
      <c r="R14" t="s">
        <v>30</v>
      </c>
      <c r="S14">
        <v>0</v>
      </c>
      <c r="T14">
        <v>0</v>
      </c>
      <c r="U14" t="s">
        <v>3915</v>
      </c>
      <c r="V14" t="s">
        <v>31</v>
      </c>
      <c r="W14">
        <v>0</v>
      </c>
    </row>
    <row r="15" spans="1:23" x14ac:dyDescent="0.25">
      <c r="A15" t="s">
        <v>4224</v>
      </c>
      <c r="B15" t="s">
        <v>363</v>
      </c>
      <c r="C15" t="s">
        <v>364</v>
      </c>
      <c r="D15" t="s">
        <v>4479</v>
      </c>
      <c r="E15" t="s">
        <v>26</v>
      </c>
      <c r="F15" t="s">
        <v>1389</v>
      </c>
      <c r="G15" t="s">
        <v>1406</v>
      </c>
      <c r="H15" s="6">
        <v>46022</v>
      </c>
      <c r="I15" t="s">
        <v>29</v>
      </c>
      <c r="J15">
        <v>0</v>
      </c>
      <c r="K15">
        <v>0</v>
      </c>
      <c r="L15">
        <v>0</v>
      </c>
      <c r="M15">
        <v>0</v>
      </c>
      <c r="N15" t="s">
        <v>3915</v>
      </c>
      <c r="O15" t="s">
        <v>3915</v>
      </c>
      <c r="P15" t="s">
        <v>3915</v>
      </c>
      <c r="Q15">
        <v>0</v>
      </c>
      <c r="R15" t="s">
        <v>30</v>
      </c>
      <c r="S15">
        <v>0</v>
      </c>
      <c r="T15">
        <v>0</v>
      </c>
      <c r="U15" t="s">
        <v>3915</v>
      </c>
      <c r="V15" t="s">
        <v>31</v>
      </c>
      <c r="W15">
        <v>0</v>
      </c>
    </row>
    <row r="16" spans="1:23" x14ac:dyDescent="0.25">
      <c r="A16" t="s">
        <v>4477</v>
      </c>
      <c r="B16" t="s">
        <v>365</v>
      </c>
      <c r="C16" t="s">
        <v>366</v>
      </c>
      <c r="D16" t="s">
        <v>4479</v>
      </c>
      <c r="E16" t="s">
        <v>26</v>
      </c>
      <c r="F16" t="s">
        <v>1389</v>
      </c>
      <c r="G16" t="s">
        <v>1406</v>
      </c>
      <c r="H16" s="6">
        <v>46022</v>
      </c>
      <c r="I16" t="s">
        <v>29</v>
      </c>
      <c r="J16">
        <v>0</v>
      </c>
      <c r="K16">
        <v>0</v>
      </c>
      <c r="L16">
        <v>0</v>
      </c>
      <c r="M16">
        <v>0</v>
      </c>
      <c r="N16" t="s">
        <v>3915</v>
      </c>
      <c r="O16" t="s">
        <v>3915</v>
      </c>
      <c r="P16" t="s">
        <v>3915</v>
      </c>
      <c r="Q16">
        <v>0</v>
      </c>
      <c r="R16" t="s">
        <v>30</v>
      </c>
      <c r="S16">
        <v>0</v>
      </c>
      <c r="T16">
        <v>0</v>
      </c>
      <c r="U16" t="s">
        <v>3915</v>
      </c>
      <c r="V16" t="s">
        <v>31</v>
      </c>
      <c r="W16">
        <v>0</v>
      </c>
    </row>
    <row r="17" spans="1:23" x14ac:dyDescent="0.25">
      <c r="A17" t="s">
        <v>4540</v>
      </c>
      <c r="B17" t="s">
        <v>367</v>
      </c>
      <c r="C17" t="s">
        <v>368</v>
      </c>
      <c r="D17" t="s">
        <v>4479</v>
      </c>
      <c r="E17" t="s">
        <v>26</v>
      </c>
      <c r="F17" t="s">
        <v>1389</v>
      </c>
      <c r="G17" t="s">
        <v>1406</v>
      </c>
      <c r="H17" s="6">
        <v>46022</v>
      </c>
      <c r="I17" t="s">
        <v>29</v>
      </c>
      <c r="J17">
        <v>0</v>
      </c>
      <c r="K17">
        <v>0</v>
      </c>
      <c r="L17">
        <v>0</v>
      </c>
      <c r="M17">
        <v>0</v>
      </c>
      <c r="N17" t="s">
        <v>3915</v>
      </c>
      <c r="O17" t="s">
        <v>3915</v>
      </c>
      <c r="P17" t="s">
        <v>3915</v>
      </c>
      <c r="Q17">
        <v>0</v>
      </c>
      <c r="R17" t="s">
        <v>30</v>
      </c>
      <c r="S17">
        <v>0</v>
      </c>
      <c r="T17">
        <v>0</v>
      </c>
      <c r="U17" t="s">
        <v>3915</v>
      </c>
      <c r="V17" t="s">
        <v>31</v>
      </c>
      <c r="W17">
        <v>0</v>
      </c>
    </row>
    <row r="18" spans="1:23" x14ac:dyDescent="0.25">
      <c r="A18" t="s">
        <v>4415</v>
      </c>
      <c r="B18" t="s">
        <v>369</v>
      </c>
      <c r="C18" t="s">
        <v>370</v>
      </c>
      <c r="D18" t="s">
        <v>4479</v>
      </c>
      <c r="E18" t="s">
        <v>26</v>
      </c>
      <c r="F18" t="s">
        <v>1389</v>
      </c>
      <c r="G18" t="s">
        <v>1406</v>
      </c>
      <c r="H18" s="6">
        <v>46022</v>
      </c>
      <c r="I18" t="s">
        <v>29</v>
      </c>
      <c r="J18">
        <v>0</v>
      </c>
      <c r="K18">
        <v>0</v>
      </c>
      <c r="L18">
        <v>0</v>
      </c>
      <c r="M18">
        <v>0</v>
      </c>
      <c r="N18" t="s">
        <v>3915</v>
      </c>
      <c r="O18" t="s">
        <v>3915</v>
      </c>
      <c r="P18" t="s">
        <v>3915</v>
      </c>
      <c r="Q18">
        <v>0</v>
      </c>
      <c r="R18" t="s">
        <v>30</v>
      </c>
      <c r="S18">
        <v>0</v>
      </c>
      <c r="T18">
        <v>0</v>
      </c>
      <c r="U18" t="s">
        <v>3915</v>
      </c>
      <c r="V18" t="s">
        <v>31</v>
      </c>
      <c r="W18">
        <v>0</v>
      </c>
    </row>
    <row r="19" spans="1:23" x14ac:dyDescent="0.25">
      <c r="A19" t="s">
        <v>3917</v>
      </c>
      <c r="B19" t="s">
        <v>371</v>
      </c>
      <c r="C19" t="s">
        <v>372</v>
      </c>
      <c r="D19" t="s">
        <v>4479</v>
      </c>
      <c r="E19" t="s">
        <v>26</v>
      </c>
      <c r="F19" t="s">
        <v>1389</v>
      </c>
      <c r="G19" t="s">
        <v>1406</v>
      </c>
      <c r="H19" s="6">
        <v>46022</v>
      </c>
      <c r="I19" t="s">
        <v>29</v>
      </c>
      <c r="J19">
        <v>0</v>
      </c>
      <c r="K19">
        <v>0</v>
      </c>
      <c r="L19">
        <v>0</v>
      </c>
      <c r="M19">
        <v>0</v>
      </c>
      <c r="N19" t="s">
        <v>3915</v>
      </c>
      <c r="O19" t="s">
        <v>3915</v>
      </c>
      <c r="P19" t="s">
        <v>3915</v>
      </c>
      <c r="Q19">
        <v>0</v>
      </c>
      <c r="R19" t="s">
        <v>30</v>
      </c>
      <c r="S19">
        <v>0</v>
      </c>
      <c r="T19">
        <v>0</v>
      </c>
      <c r="U19" t="s">
        <v>3915</v>
      </c>
      <c r="V19" t="s">
        <v>31</v>
      </c>
      <c r="W19">
        <v>0</v>
      </c>
    </row>
    <row r="20" spans="1:23" x14ac:dyDescent="0.25">
      <c r="A20" t="s">
        <v>4594</v>
      </c>
      <c r="B20" t="s">
        <v>375</v>
      </c>
      <c r="C20" t="s">
        <v>376</v>
      </c>
      <c r="D20" t="s">
        <v>4479</v>
      </c>
      <c r="E20" t="s">
        <v>26</v>
      </c>
      <c r="F20" t="s">
        <v>1389</v>
      </c>
      <c r="G20" t="s">
        <v>1406</v>
      </c>
      <c r="H20" s="6">
        <v>46022</v>
      </c>
      <c r="I20" t="s">
        <v>29</v>
      </c>
      <c r="J20">
        <v>0</v>
      </c>
      <c r="K20">
        <v>0</v>
      </c>
      <c r="L20">
        <v>0</v>
      </c>
      <c r="M20">
        <v>0</v>
      </c>
      <c r="N20" t="s">
        <v>3915</v>
      </c>
      <c r="O20" t="s">
        <v>3915</v>
      </c>
      <c r="P20" t="s">
        <v>3915</v>
      </c>
      <c r="Q20">
        <v>0</v>
      </c>
      <c r="R20" t="s">
        <v>30</v>
      </c>
      <c r="S20">
        <v>0</v>
      </c>
      <c r="T20">
        <v>0</v>
      </c>
      <c r="U20" t="s">
        <v>3915</v>
      </c>
      <c r="V20" t="s">
        <v>31</v>
      </c>
      <c r="W20">
        <v>0</v>
      </c>
    </row>
    <row r="21" spans="1:23" x14ac:dyDescent="0.25">
      <c r="A21" t="s">
        <v>4542</v>
      </c>
      <c r="B21" t="s">
        <v>377</v>
      </c>
      <c r="C21" t="s">
        <v>378</v>
      </c>
      <c r="D21" t="s">
        <v>4479</v>
      </c>
      <c r="E21" t="s">
        <v>26</v>
      </c>
      <c r="F21" t="s">
        <v>1389</v>
      </c>
      <c r="G21" t="s">
        <v>1406</v>
      </c>
      <c r="H21" s="6">
        <v>46022</v>
      </c>
      <c r="I21" t="s">
        <v>29</v>
      </c>
      <c r="J21">
        <v>0</v>
      </c>
      <c r="K21">
        <v>0</v>
      </c>
      <c r="L21">
        <v>0</v>
      </c>
      <c r="M21">
        <v>0</v>
      </c>
      <c r="N21" t="s">
        <v>3915</v>
      </c>
      <c r="O21" t="s">
        <v>3915</v>
      </c>
      <c r="P21" t="s">
        <v>3915</v>
      </c>
      <c r="Q21">
        <v>0</v>
      </c>
      <c r="R21" t="s">
        <v>30</v>
      </c>
      <c r="S21">
        <v>0</v>
      </c>
      <c r="T21">
        <v>0</v>
      </c>
      <c r="U21" t="s">
        <v>3915</v>
      </c>
      <c r="V21" t="s">
        <v>31</v>
      </c>
      <c r="W21">
        <v>0</v>
      </c>
    </row>
    <row r="22" spans="1:23" x14ac:dyDescent="0.25">
      <c r="A22" t="s">
        <v>1390</v>
      </c>
      <c r="B22" t="s">
        <v>379</v>
      </c>
      <c r="C22" t="s">
        <v>380</v>
      </c>
      <c r="D22" t="s">
        <v>4479</v>
      </c>
      <c r="E22" t="s">
        <v>26</v>
      </c>
      <c r="F22" t="s">
        <v>1389</v>
      </c>
      <c r="G22" t="s">
        <v>1406</v>
      </c>
      <c r="H22" s="6">
        <v>46022</v>
      </c>
      <c r="I22" t="s">
        <v>29</v>
      </c>
      <c r="J22">
        <v>0</v>
      </c>
      <c r="K22">
        <v>0</v>
      </c>
      <c r="L22">
        <v>0</v>
      </c>
      <c r="M22">
        <v>0</v>
      </c>
      <c r="N22" t="s">
        <v>3915</v>
      </c>
      <c r="O22" t="s">
        <v>3915</v>
      </c>
      <c r="P22" t="s">
        <v>3915</v>
      </c>
      <c r="Q22">
        <v>0</v>
      </c>
      <c r="R22" t="s">
        <v>30</v>
      </c>
      <c r="S22">
        <v>0</v>
      </c>
      <c r="T22">
        <v>0</v>
      </c>
      <c r="U22" t="s">
        <v>3915</v>
      </c>
      <c r="V22" t="s">
        <v>31</v>
      </c>
      <c r="W22">
        <v>0</v>
      </c>
    </row>
    <row r="23" spans="1:23" x14ac:dyDescent="0.25">
      <c r="A23" t="s">
        <v>4194</v>
      </c>
      <c r="B23" t="s">
        <v>385</v>
      </c>
      <c r="C23" t="s">
        <v>386</v>
      </c>
      <c r="D23" t="s">
        <v>4479</v>
      </c>
      <c r="E23" t="s">
        <v>26</v>
      </c>
      <c r="F23" t="s">
        <v>1389</v>
      </c>
      <c r="G23" t="s">
        <v>1406</v>
      </c>
      <c r="H23" s="6">
        <v>46022</v>
      </c>
      <c r="I23" t="s">
        <v>29</v>
      </c>
      <c r="J23">
        <v>0</v>
      </c>
      <c r="K23">
        <v>0</v>
      </c>
      <c r="L23">
        <v>0</v>
      </c>
      <c r="M23">
        <v>0</v>
      </c>
      <c r="N23" t="s">
        <v>3915</v>
      </c>
      <c r="O23" t="s">
        <v>3915</v>
      </c>
      <c r="P23" t="s">
        <v>3915</v>
      </c>
      <c r="Q23">
        <v>0</v>
      </c>
      <c r="R23" t="s">
        <v>30</v>
      </c>
      <c r="S23">
        <v>0</v>
      </c>
      <c r="T23">
        <v>0</v>
      </c>
      <c r="U23" t="s">
        <v>3915</v>
      </c>
      <c r="V23" t="s">
        <v>31</v>
      </c>
      <c r="W23">
        <v>0</v>
      </c>
    </row>
    <row r="24" spans="1:23" x14ac:dyDescent="0.25">
      <c r="A24" t="s">
        <v>4650</v>
      </c>
      <c r="B24" t="s">
        <v>1446</v>
      </c>
      <c r="C24" t="s">
        <v>1445</v>
      </c>
      <c r="D24" t="s">
        <v>4479</v>
      </c>
      <c r="E24" t="s">
        <v>26</v>
      </c>
      <c r="F24" t="s">
        <v>1389</v>
      </c>
      <c r="G24" t="s">
        <v>1406</v>
      </c>
      <c r="H24" s="6">
        <v>46022</v>
      </c>
      <c r="I24" t="s">
        <v>29</v>
      </c>
      <c r="J24">
        <v>10</v>
      </c>
      <c r="K24">
        <v>0</v>
      </c>
      <c r="L24">
        <v>0</v>
      </c>
      <c r="M24">
        <v>0</v>
      </c>
      <c r="N24" t="s">
        <v>3915</v>
      </c>
      <c r="O24" t="s">
        <v>3915</v>
      </c>
      <c r="P24" t="s">
        <v>3915</v>
      </c>
      <c r="Q24">
        <v>0</v>
      </c>
      <c r="R24" t="s">
        <v>30</v>
      </c>
      <c r="S24">
        <v>0</v>
      </c>
      <c r="T24">
        <v>0</v>
      </c>
      <c r="U24" t="s">
        <v>3915</v>
      </c>
      <c r="V24" t="s">
        <v>31</v>
      </c>
      <c r="W24">
        <v>0</v>
      </c>
    </row>
    <row r="25" spans="1:23" x14ac:dyDescent="0.25">
      <c r="A25" t="s">
        <v>4767</v>
      </c>
      <c r="B25" t="s">
        <v>1448</v>
      </c>
      <c r="C25" t="s">
        <v>1447</v>
      </c>
      <c r="D25" t="s">
        <v>4479</v>
      </c>
      <c r="E25" t="s">
        <v>26</v>
      </c>
      <c r="F25" t="s">
        <v>1389</v>
      </c>
      <c r="G25" t="s">
        <v>1406</v>
      </c>
      <c r="H25" s="6">
        <v>46022</v>
      </c>
      <c r="I25" t="s">
        <v>29</v>
      </c>
      <c r="J25">
        <v>6</v>
      </c>
      <c r="K25">
        <v>0</v>
      </c>
      <c r="L25">
        <v>0</v>
      </c>
      <c r="M25">
        <v>0</v>
      </c>
      <c r="N25" t="s">
        <v>3915</v>
      </c>
      <c r="O25" t="s">
        <v>3915</v>
      </c>
      <c r="P25" t="s">
        <v>3915</v>
      </c>
      <c r="Q25">
        <v>0</v>
      </c>
      <c r="R25" t="s">
        <v>30</v>
      </c>
      <c r="S25">
        <v>0</v>
      </c>
      <c r="T25">
        <v>0</v>
      </c>
      <c r="U25" t="s">
        <v>3915</v>
      </c>
      <c r="V25" t="s">
        <v>31</v>
      </c>
      <c r="W25">
        <v>0</v>
      </c>
    </row>
    <row r="26" spans="1:23" x14ac:dyDescent="0.25">
      <c r="A26" t="s">
        <v>5212</v>
      </c>
      <c r="B26" t="s">
        <v>1450</v>
      </c>
      <c r="C26" t="s">
        <v>1449</v>
      </c>
      <c r="D26" t="s">
        <v>4479</v>
      </c>
      <c r="E26" t="s">
        <v>26</v>
      </c>
      <c r="F26" t="s">
        <v>1389</v>
      </c>
      <c r="G26" t="s">
        <v>1406</v>
      </c>
      <c r="H26" s="6">
        <v>46022</v>
      </c>
      <c r="I26" t="s">
        <v>29</v>
      </c>
      <c r="J26">
        <v>4</v>
      </c>
      <c r="K26">
        <v>0</v>
      </c>
      <c r="L26">
        <v>0</v>
      </c>
      <c r="M26">
        <v>0</v>
      </c>
      <c r="N26" t="s">
        <v>3915</v>
      </c>
      <c r="O26" t="s">
        <v>3915</v>
      </c>
      <c r="P26" t="s">
        <v>3915</v>
      </c>
      <c r="Q26">
        <v>0</v>
      </c>
      <c r="R26" t="s">
        <v>30</v>
      </c>
      <c r="S26">
        <v>0</v>
      </c>
      <c r="T26">
        <v>0</v>
      </c>
      <c r="U26" t="s">
        <v>3915</v>
      </c>
      <c r="V26" t="s">
        <v>31</v>
      </c>
      <c r="W26">
        <v>0</v>
      </c>
    </row>
    <row r="27" spans="1:23" x14ac:dyDescent="0.25">
      <c r="A27" t="s">
        <v>4256</v>
      </c>
      <c r="B27" t="s">
        <v>1452</v>
      </c>
      <c r="C27" t="s">
        <v>1451</v>
      </c>
      <c r="D27" t="s">
        <v>4479</v>
      </c>
      <c r="E27" t="s">
        <v>26</v>
      </c>
      <c r="F27" t="s">
        <v>1389</v>
      </c>
      <c r="G27" t="s">
        <v>1406</v>
      </c>
      <c r="H27" s="6">
        <v>46022</v>
      </c>
      <c r="I27" t="s">
        <v>29</v>
      </c>
      <c r="J27">
        <v>30</v>
      </c>
      <c r="K27">
        <v>0</v>
      </c>
      <c r="L27">
        <v>0</v>
      </c>
      <c r="M27">
        <v>0</v>
      </c>
      <c r="N27" t="s">
        <v>3915</v>
      </c>
      <c r="O27" t="s">
        <v>3915</v>
      </c>
      <c r="P27" t="s">
        <v>3915</v>
      </c>
      <c r="Q27">
        <v>0</v>
      </c>
      <c r="R27" t="s">
        <v>30</v>
      </c>
      <c r="S27">
        <v>0</v>
      </c>
      <c r="T27">
        <v>0</v>
      </c>
      <c r="U27" t="s">
        <v>3915</v>
      </c>
      <c r="V27" t="s">
        <v>31</v>
      </c>
      <c r="W27">
        <v>0</v>
      </c>
    </row>
    <row r="28" spans="1:23" x14ac:dyDescent="0.25">
      <c r="A28" t="s">
        <v>5590</v>
      </c>
      <c r="B28" t="s">
        <v>397</v>
      </c>
      <c r="C28" t="s">
        <v>398</v>
      </c>
      <c r="D28" t="s">
        <v>4479</v>
      </c>
      <c r="E28" t="s">
        <v>26</v>
      </c>
      <c r="F28" t="s">
        <v>1389</v>
      </c>
      <c r="G28" t="s">
        <v>1406</v>
      </c>
      <c r="H28" s="6">
        <v>46022</v>
      </c>
      <c r="I28" t="s">
        <v>29</v>
      </c>
      <c r="J28">
        <v>32</v>
      </c>
      <c r="K28">
        <v>0</v>
      </c>
      <c r="L28">
        <v>0</v>
      </c>
      <c r="M28">
        <v>0</v>
      </c>
      <c r="N28" t="s">
        <v>3915</v>
      </c>
      <c r="O28" t="s">
        <v>3915</v>
      </c>
      <c r="P28" t="s">
        <v>3915</v>
      </c>
      <c r="Q28">
        <v>0</v>
      </c>
      <c r="R28" t="s">
        <v>30</v>
      </c>
      <c r="S28">
        <v>0</v>
      </c>
      <c r="T28">
        <v>0</v>
      </c>
      <c r="U28" t="s">
        <v>3915</v>
      </c>
      <c r="V28" t="s">
        <v>31</v>
      </c>
      <c r="W28">
        <v>0</v>
      </c>
    </row>
    <row r="29" spans="1:23" x14ac:dyDescent="0.25">
      <c r="A29" t="s">
        <v>4245</v>
      </c>
      <c r="B29" t="s">
        <v>399</v>
      </c>
      <c r="C29" t="s">
        <v>400</v>
      </c>
      <c r="D29" t="s">
        <v>4479</v>
      </c>
      <c r="E29" t="s">
        <v>26</v>
      </c>
      <c r="F29" t="s">
        <v>1389</v>
      </c>
      <c r="G29" t="s">
        <v>1406</v>
      </c>
      <c r="H29" s="6">
        <v>46022</v>
      </c>
      <c r="I29" t="s">
        <v>29</v>
      </c>
      <c r="J29">
        <v>12</v>
      </c>
      <c r="K29">
        <v>0</v>
      </c>
      <c r="L29">
        <v>0</v>
      </c>
      <c r="M29">
        <v>0</v>
      </c>
      <c r="N29" t="s">
        <v>3915</v>
      </c>
      <c r="O29" t="s">
        <v>3915</v>
      </c>
      <c r="P29" t="s">
        <v>3915</v>
      </c>
      <c r="Q29">
        <v>0</v>
      </c>
      <c r="R29" t="s">
        <v>30</v>
      </c>
      <c r="S29">
        <v>0</v>
      </c>
      <c r="T29">
        <v>0</v>
      </c>
      <c r="U29" t="s">
        <v>3915</v>
      </c>
      <c r="V29" t="s">
        <v>31</v>
      </c>
      <c r="W29">
        <v>0</v>
      </c>
    </row>
    <row r="30" spans="1:23" x14ac:dyDescent="0.25">
      <c r="A30" t="s">
        <v>5000</v>
      </c>
      <c r="B30" t="s">
        <v>1454</v>
      </c>
      <c r="C30" t="s">
        <v>1453</v>
      </c>
      <c r="D30" t="s">
        <v>4479</v>
      </c>
      <c r="E30" t="s">
        <v>26</v>
      </c>
      <c r="F30" t="s">
        <v>1389</v>
      </c>
      <c r="G30" t="s">
        <v>1406</v>
      </c>
      <c r="H30" s="6">
        <v>46022</v>
      </c>
      <c r="I30" t="s">
        <v>29</v>
      </c>
      <c r="J30">
        <v>17</v>
      </c>
      <c r="K30">
        <v>0</v>
      </c>
      <c r="L30">
        <v>0</v>
      </c>
      <c r="M30">
        <v>0</v>
      </c>
      <c r="N30" t="s">
        <v>3915</v>
      </c>
      <c r="O30" t="s">
        <v>3915</v>
      </c>
      <c r="P30" t="s">
        <v>3915</v>
      </c>
      <c r="Q30">
        <v>0</v>
      </c>
      <c r="R30" t="s">
        <v>30</v>
      </c>
      <c r="S30">
        <v>0</v>
      </c>
      <c r="T30">
        <v>0</v>
      </c>
      <c r="U30" t="s">
        <v>3915</v>
      </c>
      <c r="V30" t="s">
        <v>31</v>
      </c>
      <c r="W30">
        <v>0</v>
      </c>
    </row>
    <row r="31" spans="1:23" x14ac:dyDescent="0.25">
      <c r="A31" t="s">
        <v>3985</v>
      </c>
      <c r="B31" t="s">
        <v>403</v>
      </c>
      <c r="C31" t="s">
        <v>404</v>
      </c>
      <c r="D31" t="s">
        <v>4479</v>
      </c>
      <c r="E31" t="s">
        <v>26</v>
      </c>
      <c r="F31" t="s">
        <v>1389</v>
      </c>
      <c r="G31" t="s">
        <v>1406</v>
      </c>
      <c r="H31" s="6">
        <v>46022</v>
      </c>
      <c r="I31" t="s">
        <v>29</v>
      </c>
      <c r="J31">
        <v>1</v>
      </c>
      <c r="K31">
        <v>0</v>
      </c>
      <c r="L31">
        <v>0</v>
      </c>
      <c r="M31">
        <v>0</v>
      </c>
      <c r="N31" t="s">
        <v>3915</v>
      </c>
      <c r="O31" t="s">
        <v>3915</v>
      </c>
      <c r="P31" t="s">
        <v>3915</v>
      </c>
      <c r="Q31">
        <v>0</v>
      </c>
      <c r="R31" t="s">
        <v>30</v>
      </c>
      <c r="S31">
        <v>0</v>
      </c>
      <c r="T31">
        <v>0</v>
      </c>
      <c r="U31" t="s">
        <v>3915</v>
      </c>
      <c r="V31" t="s">
        <v>31</v>
      </c>
      <c r="W31">
        <v>0</v>
      </c>
    </row>
    <row r="32" spans="1:23" x14ac:dyDescent="0.25">
      <c r="A32" t="s">
        <v>4390</v>
      </c>
      <c r="B32" t="s">
        <v>405</v>
      </c>
      <c r="C32" t="s">
        <v>406</v>
      </c>
      <c r="D32" t="s">
        <v>4479</v>
      </c>
      <c r="E32" t="s">
        <v>26</v>
      </c>
      <c r="F32" t="s">
        <v>1389</v>
      </c>
      <c r="G32" t="s">
        <v>1406</v>
      </c>
      <c r="H32" s="6">
        <v>46022</v>
      </c>
      <c r="I32" t="s">
        <v>29</v>
      </c>
      <c r="J32">
        <v>41</v>
      </c>
      <c r="K32">
        <v>0</v>
      </c>
      <c r="L32">
        <v>0</v>
      </c>
      <c r="M32">
        <v>0</v>
      </c>
      <c r="N32" t="s">
        <v>3915</v>
      </c>
      <c r="O32" t="s">
        <v>3915</v>
      </c>
      <c r="P32" t="s">
        <v>3915</v>
      </c>
      <c r="Q32">
        <v>0</v>
      </c>
      <c r="R32" t="s">
        <v>30</v>
      </c>
      <c r="S32">
        <v>0</v>
      </c>
      <c r="T32">
        <v>0</v>
      </c>
      <c r="U32" t="s">
        <v>3915</v>
      </c>
      <c r="V32" t="s">
        <v>31</v>
      </c>
      <c r="W32">
        <v>0</v>
      </c>
    </row>
    <row r="33" spans="1:23" x14ac:dyDescent="0.25">
      <c r="A33" t="s">
        <v>5591</v>
      </c>
      <c r="B33" t="s">
        <v>407</v>
      </c>
      <c r="C33" t="s">
        <v>408</v>
      </c>
      <c r="D33" t="s">
        <v>4479</v>
      </c>
      <c r="E33" t="s">
        <v>26</v>
      </c>
      <c r="F33" t="s">
        <v>1389</v>
      </c>
      <c r="G33" t="s">
        <v>1406</v>
      </c>
      <c r="H33" s="6">
        <v>46022</v>
      </c>
      <c r="I33" t="s">
        <v>29</v>
      </c>
      <c r="J33">
        <v>14</v>
      </c>
      <c r="K33">
        <v>0</v>
      </c>
      <c r="L33">
        <v>0</v>
      </c>
      <c r="M33">
        <v>0</v>
      </c>
      <c r="N33" t="s">
        <v>3915</v>
      </c>
      <c r="O33" t="s">
        <v>3915</v>
      </c>
      <c r="P33" t="s">
        <v>3915</v>
      </c>
      <c r="Q33">
        <v>0</v>
      </c>
      <c r="R33" t="s">
        <v>30</v>
      </c>
      <c r="S33">
        <v>0</v>
      </c>
      <c r="T33">
        <v>0</v>
      </c>
      <c r="U33" t="s">
        <v>3915</v>
      </c>
      <c r="V33" t="s">
        <v>31</v>
      </c>
      <c r="W33">
        <v>0</v>
      </c>
    </row>
    <row r="34" spans="1:23" x14ac:dyDescent="0.25">
      <c r="A34" t="s">
        <v>5324</v>
      </c>
      <c r="B34" t="s">
        <v>1456</v>
      </c>
      <c r="C34" t="s">
        <v>1455</v>
      </c>
      <c r="D34" t="s">
        <v>4479</v>
      </c>
      <c r="E34" t="s">
        <v>26</v>
      </c>
      <c r="F34" t="s">
        <v>1389</v>
      </c>
      <c r="G34" t="s">
        <v>1406</v>
      </c>
      <c r="H34" s="6">
        <v>46022</v>
      </c>
      <c r="I34" t="s">
        <v>29</v>
      </c>
      <c r="J34">
        <v>14</v>
      </c>
      <c r="K34">
        <v>0</v>
      </c>
      <c r="L34">
        <v>0</v>
      </c>
      <c r="M34">
        <v>0</v>
      </c>
      <c r="N34" t="s">
        <v>3915</v>
      </c>
      <c r="O34" t="s">
        <v>3915</v>
      </c>
      <c r="P34" t="s">
        <v>3915</v>
      </c>
      <c r="Q34">
        <v>0</v>
      </c>
      <c r="R34" t="s">
        <v>30</v>
      </c>
      <c r="S34">
        <v>0</v>
      </c>
      <c r="T34">
        <v>0</v>
      </c>
      <c r="U34" t="s">
        <v>3915</v>
      </c>
      <c r="V34" t="s">
        <v>31</v>
      </c>
      <c r="W34">
        <v>0</v>
      </c>
    </row>
    <row r="35" spans="1:23" x14ac:dyDescent="0.25">
      <c r="A35" t="s">
        <v>4533</v>
      </c>
      <c r="B35" t="s">
        <v>421</v>
      </c>
      <c r="C35" t="s">
        <v>422</v>
      </c>
      <c r="D35" t="s">
        <v>4479</v>
      </c>
      <c r="E35" t="s">
        <v>26</v>
      </c>
      <c r="F35" t="s">
        <v>1389</v>
      </c>
      <c r="G35" t="s">
        <v>1406</v>
      </c>
      <c r="H35" s="6">
        <v>46022</v>
      </c>
      <c r="I35" t="s">
        <v>29</v>
      </c>
      <c r="J35">
        <v>0</v>
      </c>
      <c r="K35">
        <v>0</v>
      </c>
      <c r="L35">
        <v>0</v>
      </c>
      <c r="M35">
        <v>0</v>
      </c>
      <c r="N35" t="s">
        <v>3915</v>
      </c>
      <c r="O35" t="s">
        <v>3915</v>
      </c>
      <c r="P35" t="s">
        <v>3915</v>
      </c>
      <c r="Q35">
        <v>0</v>
      </c>
      <c r="R35" t="s">
        <v>30</v>
      </c>
      <c r="S35">
        <v>0</v>
      </c>
      <c r="T35">
        <v>0</v>
      </c>
      <c r="U35" t="s">
        <v>3915</v>
      </c>
      <c r="V35" t="s">
        <v>31</v>
      </c>
      <c r="W35">
        <v>0</v>
      </c>
    </row>
    <row r="36" spans="1:23" x14ac:dyDescent="0.25">
      <c r="A36" t="s">
        <v>4644</v>
      </c>
      <c r="B36" t="s">
        <v>423</v>
      </c>
      <c r="C36" t="s">
        <v>424</v>
      </c>
      <c r="D36" t="s">
        <v>4479</v>
      </c>
      <c r="E36" t="s">
        <v>26</v>
      </c>
      <c r="F36" t="s">
        <v>1389</v>
      </c>
      <c r="G36" t="s">
        <v>1406</v>
      </c>
      <c r="H36" s="6">
        <v>46022</v>
      </c>
      <c r="I36" t="s">
        <v>29</v>
      </c>
      <c r="J36">
        <v>52</v>
      </c>
      <c r="K36">
        <v>0</v>
      </c>
      <c r="L36">
        <v>0</v>
      </c>
      <c r="M36">
        <v>0</v>
      </c>
      <c r="N36" t="s">
        <v>3915</v>
      </c>
      <c r="O36" t="s">
        <v>3915</v>
      </c>
      <c r="P36" t="s">
        <v>3915</v>
      </c>
      <c r="Q36">
        <v>0</v>
      </c>
      <c r="R36" t="s">
        <v>30</v>
      </c>
      <c r="S36">
        <v>0</v>
      </c>
      <c r="T36">
        <v>0</v>
      </c>
      <c r="U36" t="s">
        <v>3915</v>
      </c>
      <c r="V36" t="s">
        <v>31</v>
      </c>
      <c r="W36">
        <v>0</v>
      </c>
    </row>
    <row r="37" spans="1:23" x14ac:dyDescent="0.25">
      <c r="A37" t="s">
        <v>4215</v>
      </c>
      <c r="B37" t="s">
        <v>425</v>
      </c>
      <c r="C37" t="s">
        <v>426</v>
      </c>
      <c r="D37" t="s">
        <v>4479</v>
      </c>
      <c r="E37" t="s">
        <v>26</v>
      </c>
      <c r="F37" t="s">
        <v>1389</v>
      </c>
      <c r="G37" t="s">
        <v>1406</v>
      </c>
      <c r="H37" s="6">
        <v>46022</v>
      </c>
      <c r="I37" t="s">
        <v>29</v>
      </c>
      <c r="J37">
        <v>37</v>
      </c>
      <c r="K37">
        <v>0</v>
      </c>
      <c r="L37">
        <v>0</v>
      </c>
      <c r="M37">
        <v>0</v>
      </c>
      <c r="N37" t="s">
        <v>3915</v>
      </c>
      <c r="O37" t="s">
        <v>3915</v>
      </c>
      <c r="P37" t="s">
        <v>3915</v>
      </c>
      <c r="Q37">
        <v>0</v>
      </c>
      <c r="R37" t="s">
        <v>30</v>
      </c>
      <c r="S37">
        <v>0</v>
      </c>
      <c r="T37">
        <v>0</v>
      </c>
      <c r="U37" t="s">
        <v>3915</v>
      </c>
      <c r="V37" t="s">
        <v>31</v>
      </c>
      <c r="W37">
        <v>0</v>
      </c>
    </row>
    <row r="38" spans="1:23" x14ac:dyDescent="0.25">
      <c r="A38" t="s">
        <v>5592</v>
      </c>
      <c r="B38" t="s">
        <v>1458</v>
      </c>
      <c r="C38" t="s">
        <v>1457</v>
      </c>
      <c r="D38" t="s">
        <v>4479</v>
      </c>
      <c r="E38" t="s">
        <v>26</v>
      </c>
      <c r="F38" t="s">
        <v>1389</v>
      </c>
      <c r="G38" t="s">
        <v>1406</v>
      </c>
      <c r="H38" s="6">
        <v>46022</v>
      </c>
      <c r="I38" t="s">
        <v>29</v>
      </c>
      <c r="J38">
        <v>40</v>
      </c>
      <c r="K38">
        <v>0</v>
      </c>
      <c r="L38">
        <v>0</v>
      </c>
      <c r="M38">
        <v>0</v>
      </c>
      <c r="N38" t="s">
        <v>3915</v>
      </c>
      <c r="O38" t="s">
        <v>3915</v>
      </c>
      <c r="P38" t="s">
        <v>3915</v>
      </c>
      <c r="Q38">
        <v>0</v>
      </c>
      <c r="R38" t="s">
        <v>30</v>
      </c>
      <c r="S38">
        <v>0</v>
      </c>
      <c r="T38">
        <v>0</v>
      </c>
      <c r="U38" t="s">
        <v>3915</v>
      </c>
      <c r="V38" t="s">
        <v>31</v>
      </c>
      <c r="W38">
        <v>0</v>
      </c>
    </row>
    <row r="39" spans="1:23" x14ac:dyDescent="0.25">
      <c r="A39" t="s">
        <v>4471</v>
      </c>
      <c r="B39" t="s">
        <v>1460</v>
      </c>
      <c r="C39" t="s">
        <v>1459</v>
      </c>
      <c r="D39" t="s">
        <v>4479</v>
      </c>
      <c r="E39" t="s">
        <v>26</v>
      </c>
      <c r="F39" t="s">
        <v>1389</v>
      </c>
      <c r="G39" t="s">
        <v>1406</v>
      </c>
      <c r="H39" s="6">
        <v>46022</v>
      </c>
      <c r="I39" t="s">
        <v>29</v>
      </c>
      <c r="J39">
        <v>30</v>
      </c>
      <c r="K39">
        <v>0</v>
      </c>
      <c r="L39">
        <v>0</v>
      </c>
      <c r="M39">
        <v>0</v>
      </c>
      <c r="N39" t="s">
        <v>3915</v>
      </c>
      <c r="O39" t="s">
        <v>3915</v>
      </c>
      <c r="P39" t="s">
        <v>3915</v>
      </c>
      <c r="Q39">
        <v>0</v>
      </c>
      <c r="R39" t="s">
        <v>30</v>
      </c>
      <c r="S39">
        <v>0</v>
      </c>
      <c r="T39">
        <v>0</v>
      </c>
      <c r="U39" t="s">
        <v>3915</v>
      </c>
      <c r="V39" t="s">
        <v>31</v>
      </c>
      <c r="W39">
        <v>0</v>
      </c>
    </row>
    <row r="40" spans="1:23" x14ac:dyDescent="0.25">
      <c r="A40" t="s">
        <v>4588</v>
      </c>
      <c r="B40" t="s">
        <v>429</v>
      </c>
      <c r="C40" t="s">
        <v>430</v>
      </c>
      <c r="D40" t="s">
        <v>4479</v>
      </c>
      <c r="E40" t="s">
        <v>26</v>
      </c>
      <c r="F40" t="s">
        <v>1389</v>
      </c>
      <c r="G40" t="s">
        <v>1406</v>
      </c>
      <c r="H40" s="6">
        <v>46022</v>
      </c>
      <c r="I40" t="s">
        <v>29</v>
      </c>
      <c r="J40">
        <v>19</v>
      </c>
      <c r="K40">
        <v>0</v>
      </c>
      <c r="L40">
        <v>0</v>
      </c>
      <c r="M40">
        <v>0</v>
      </c>
      <c r="N40" t="s">
        <v>3915</v>
      </c>
      <c r="O40" t="s">
        <v>3915</v>
      </c>
      <c r="P40" t="s">
        <v>3915</v>
      </c>
      <c r="Q40">
        <v>0</v>
      </c>
      <c r="R40" t="s">
        <v>30</v>
      </c>
      <c r="S40">
        <v>0</v>
      </c>
      <c r="T40">
        <v>0</v>
      </c>
      <c r="U40" t="s">
        <v>3915</v>
      </c>
      <c r="V40" t="s">
        <v>31</v>
      </c>
      <c r="W40">
        <v>0</v>
      </c>
    </row>
    <row r="41" spans="1:23" x14ac:dyDescent="0.25">
      <c r="A41" t="s">
        <v>4993</v>
      </c>
      <c r="B41" t="s">
        <v>431</v>
      </c>
      <c r="C41" t="s">
        <v>432</v>
      </c>
      <c r="D41" t="s">
        <v>4479</v>
      </c>
      <c r="E41" t="s">
        <v>26</v>
      </c>
      <c r="F41" t="s">
        <v>1389</v>
      </c>
      <c r="G41" t="s">
        <v>1406</v>
      </c>
      <c r="H41" s="6">
        <v>46022</v>
      </c>
      <c r="I41" t="s">
        <v>29</v>
      </c>
      <c r="J41">
        <v>0</v>
      </c>
      <c r="K41">
        <v>0</v>
      </c>
      <c r="L41">
        <v>0</v>
      </c>
      <c r="M41">
        <v>0</v>
      </c>
      <c r="N41" t="s">
        <v>3915</v>
      </c>
      <c r="O41" t="s">
        <v>3915</v>
      </c>
      <c r="P41" t="s">
        <v>3915</v>
      </c>
      <c r="Q41">
        <v>0</v>
      </c>
      <c r="R41" t="s">
        <v>30</v>
      </c>
      <c r="S41">
        <v>0</v>
      </c>
      <c r="T41">
        <v>0</v>
      </c>
      <c r="U41" t="s">
        <v>3915</v>
      </c>
      <c r="V41" t="s">
        <v>31</v>
      </c>
      <c r="W41">
        <v>0</v>
      </c>
    </row>
    <row r="42" spans="1:23" x14ac:dyDescent="0.25">
      <c r="A42" t="s">
        <v>4995</v>
      </c>
      <c r="B42" t="s">
        <v>439</v>
      </c>
      <c r="C42" t="s">
        <v>440</v>
      </c>
      <c r="D42" t="s">
        <v>4479</v>
      </c>
      <c r="E42" t="s">
        <v>26</v>
      </c>
      <c r="F42" t="s">
        <v>1389</v>
      </c>
      <c r="G42" t="s">
        <v>1406</v>
      </c>
      <c r="H42" s="6">
        <v>46022</v>
      </c>
      <c r="I42" t="s">
        <v>29</v>
      </c>
      <c r="J42">
        <v>56</v>
      </c>
      <c r="K42">
        <v>0</v>
      </c>
      <c r="L42">
        <v>0</v>
      </c>
      <c r="M42">
        <v>0</v>
      </c>
      <c r="N42" t="s">
        <v>3915</v>
      </c>
      <c r="O42" t="s">
        <v>3915</v>
      </c>
      <c r="P42" t="s">
        <v>3915</v>
      </c>
      <c r="Q42">
        <v>0</v>
      </c>
      <c r="R42" t="s">
        <v>30</v>
      </c>
      <c r="S42">
        <v>0</v>
      </c>
      <c r="T42">
        <v>0</v>
      </c>
      <c r="U42" t="s">
        <v>3915</v>
      </c>
      <c r="V42" t="s">
        <v>31</v>
      </c>
      <c r="W42">
        <v>0</v>
      </c>
    </row>
    <row r="43" spans="1:23" x14ac:dyDescent="0.25">
      <c r="A43" t="s">
        <v>4419</v>
      </c>
      <c r="B43" t="s">
        <v>1514</v>
      </c>
      <c r="C43" t="s">
        <v>1513</v>
      </c>
      <c r="D43" t="s">
        <v>4479</v>
      </c>
      <c r="E43" t="s">
        <v>1394</v>
      </c>
      <c r="F43" t="s">
        <v>759</v>
      </c>
      <c r="G43" t="s">
        <v>1406</v>
      </c>
      <c r="H43" s="6">
        <v>46022</v>
      </c>
      <c r="I43" t="s">
        <v>29</v>
      </c>
      <c r="J43">
        <v>75</v>
      </c>
      <c r="K43">
        <v>0</v>
      </c>
      <c r="L43">
        <v>0</v>
      </c>
      <c r="M43">
        <v>0</v>
      </c>
      <c r="N43" t="s">
        <v>3915</v>
      </c>
      <c r="O43" t="s">
        <v>3915</v>
      </c>
      <c r="P43" t="s">
        <v>3915</v>
      </c>
      <c r="Q43">
        <v>0</v>
      </c>
      <c r="R43" t="s">
        <v>82</v>
      </c>
      <c r="S43">
        <v>0</v>
      </c>
      <c r="T43">
        <v>0</v>
      </c>
      <c r="U43" t="s">
        <v>3915</v>
      </c>
      <c r="V43" t="s">
        <v>31</v>
      </c>
      <c r="W43">
        <v>0</v>
      </c>
    </row>
    <row r="44" spans="1:23" x14ac:dyDescent="0.25">
      <c r="A44" t="s">
        <v>4553</v>
      </c>
      <c r="B44" t="s">
        <v>1516</v>
      </c>
      <c r="C44" t="s">
        <v>1515</v>
      </c>
      <c r="D44" t="s">
        <v>4479</v>
      </c>
      <c r="E44" t="s">
        <v>1394</v>
      </c>
      <c r="F44" t="s">
        <v>759</v>
      </c>
      <c r="G44" t="s">
        <v>1406</v>
      </c>
      <c r="H44" s="6">
        <v>46022</v>
      </c>
      <c r="I44" t="s">
        <v>29</v>
      </c>
      <c r="J44">
        <v>111</v>
      </c>
      <c r="K44">
        <v>0</v>
      </c>
      <c r="L44">
        <v>0</v>
      </c>
      <c r="M44">
        <v>0</v>
      </c>
      <c r="N44" t="s">
        <v>3915</v>
      </c>
      <c r="O44" t="s">
        <v>3915</v>
      </c>
      <c r="P44" t="s">
        <v>3915</v>
      </c>
      <c r="Q44">
        <v>0</v>
      </c>
      <c r="R44" t="s">
        <v>82</v>
      </c>
      <c r="S44">
        <v>0</v>
      </c>
      <c r="T44">
        <v>0</v>
      </c>
      <c r="U44" t="s">
        <v>3915</v>
      </c>
      <c r="V44" t="s">
        <v>31</v>
      </c>
      <c r="W44">
        <v>0</v>
      </c>
    </row>
    <row r="45" spans="1:23" x14ac:dyDescent="0.25">
      <c r="A45" t="s">
        <v>4548</v>
      </c>
      <c r="B45" t="s">
        <v>1518</v>
      </c>
      <c r="C45" t="s">
        <v>1517</v>
      </c>
      <c r="D45" t="s">
        <v>4479</v>
      </c>
      <c r="E45" t="s">
        <v>1394</v>
      </c>
      <c r="F45" t="s">
        <v>759</v>
      </c>
      <c r="G45" t="s">
        <v>1406</v>
      </c>
      <c r="H45" s="6">
        <v>46022</v>
      </c>
      <c r="I45" t="s">
        <v>29</v>
      </c>
      <c r="J45">
        <v>41</v>
      </c>
      <c r="K45">
        <v>0</v>
      </c>
      <c r="L45">
        <v>0</v>
      </c>
      <c r="M45">
        <v>0</v>
      </c>
      <c r="N45" t="s">
        <v>3915</v>
      </c>
      <c r="O45" t="s">
        <v>3915</v>
      </c>
      <c r="P45" t="s">
        <v>3915</v>
      </c>
      <c r="Q45">
        <v>0</v>
      </c>
      <c r="R45" t="s">
        <v>82</v>
      </c>
      <c r="S45">
        <v>0</v>
      </c>
      <c r="T45">
        <v>0</v>
      </c>
      <c r="U45" t="s">
        <v>3915</v>
      </c>
      <c r="V45" t="s">
        <v>31</v>
      </c>
      <c r="W45">
        <v>0</v>
      </c>
    </row>
    <row r="46" spans="1:23" x14ac:dyDescent="0.25">
      <c r="A46" t="s">
        <v>4545</v>
      </c>
      <c r="B46" t="s">
        <v>1520</v>
      </c>
      <c r="C46" t="s">
        <v>1519</v>
      </c>
      <c r="D46" t="s">
        <v>4479</v>
      </c>
      <c r="E46" t="s">
        <v>1394</v>
      </c>
      <c r="F46" t="s">
        <v>759</v>
      </c>
      <c r="G46" t="s">
        <v>1406</v>
      </c>
      <c r="H46" s="6">
        <v>46022</v>
      </c>
      <c r="I46" t="s">
        <v>29</v>
      </c>
      <c r="J46">
        <v>72</v>
      </c>
      <c r="K46">
        <v>0</v>
      </c>
      <c r="L46">
        <v>0</v>
      </c>
      <c r="M46">
        <v>0</v>
      </c>
      <c r="N46" t="s">
        <v>3915</v>
      </c>
      <c r="O46" t="s">
        <v>3915</v>
      </c>
      <c r="P46" t="s">
        <v>3915</v>
      </c>
      <c r="Q46">
        <v>0</v>
      </c>
      <c r="R46" t="s">
        <v>82</v>
      </c>
      <c r="S46">
        <v>0</v>
      </c>
      <c r="T46">
        <v>0</v>
      </c>
      <c r="U46" t="s">
        <v>3915</v>
      </c>
      <c r="V46" t="s">
        <v>31</v>
      </c>
      <c r="W46">
        <v>0</v>
      </c>
    </row>
    <row r="47" spans="1:23" x14ac:dyDescent="0.25">
      <c r="A47" t="s">
        <v>5593</v>
      </c>
      <c r="B47" t="s">
        <v>1522</v>
      </c>
      <c r="C47" t="s">
        <v>1521</v>
      </c>
      <c r="D47" t="s">
        <v>4479</v>
      </c>
      <c r="E47" t="s">
        <v>1394</v>
      </c>
      <c r="F47" t="s">
        <v>759</v>
      </c>
      <c r="G47" t="s">
        <v>1406</v>
      </c>
      <c r="H47" s="6">
        <v>46022</v>
      </c>
      <c r="I47" t="s">
        <v>29</v>
      </c>
      <c r="J47">
        <v>0</v>
      </c>
      <c r="K47">
        <v>0</v>
      </c>
      <c r="L47">
        <v>0</v>
      </c>
      <c r="M47">
        <v>0</v>
      </c>
      <c r="N47" t="s">
        <v>3915</v>
      </c>
      <c r="O47" t="s">
        <v>3915</v>
      </c>
      <c r="P47" t="s">
        <v>3915</v>
      </c>
      <c r="Q47">
        <v>0</v>
      </c>
      <c r="R47" t="s">
        <v>82</v>
      </c>
      <c r="S47">
        <v>0</v>
      </c>
      <c r="T47">
        <v>0</v>
      </c>
      <c r="U47" t="s">
        <v>3915</v>
      </c>
      <c r="V47" t="s">
        <v>31</v>
      </c>
      <c r="W47">
        <v>0</v>
      </c>
    </row>
    <row r="48" spans="1:23" x14ac:dyDescent="0.25">
      <c r="A48" t="s">
        <v>4240</v>
      </c>
      <c r="B48" t="s">
        <v>1524</v>
      </c>
      <c r="C48" t="s">
        <v>1523</v>
      </c>
      <c r="D48" t="s">
        <v>4479</v>
      </c>
      <c r="E48" t="s">
        <v>1394</v>
      </c>
      <c r="F48" t="s">
        <v>759</v>
      </c>
      <c r="G48" t="s">
        <v>1406</v>
      </c>
      <c r="H48" s="6">
        <v>46022</v>
      </c>
      <c r="I48" t="s">
        <v>29</v>
      </c>
      <c r="J48">
        <v>276</v>
      </c>
      <c r="K48">
        <v>0</v>
      </c>
      <c r="L48">
        <v>0</v>
      </c>
      <c r="M48">
        <v>0</v>
      </c>
      <c r="N48" t="s">
        <v>3915</v>
      </c>
      <c r="O48" t="s">
        <v>3915</v>
      </c>
      <c r="P48" t="s">
        <v>3915</v>
      </c>
      <c r="Q48">
        <v>0</v>
      </c>
      <c r="R48" t="s">
        <v>82</v>
      </c>
      <c r="S48">
        <v>0</v>
      </c>
      <c r="T48">
        <v>0</v>
      </c>
      <c r="U48" t="s">
        <v>3915</v>
      </c>
      <c r="V48" t="s">
        <v>31</v>
      </c>
      <c r="W48">
        <v>0</v>
      </c>
    </row>
    <row r="49" spans="1:23" x14ac:dyDescent="0.25">
      <c r="A49" t="s">
        <v>4535</v>
      </c>
      <c r="B49" t="s">
        <v>1526</v>
      </c>
      <c r="C49" t="s">
        <v>1525</v>
      </c>
      <c r="D49" t="s">
        <v>4479</v>
      </c>
      <c r="E49" t="s">
        <v>1394</v>
      </c>
      <c r="F49" t="s">
        <v>759</v>
      </c>
      <c r="G49" t="s">
        <v>1406</v>
      </c>
      <c r="H49" s="6">
        <v>46022</v>
      </c>
      <c r="I49" t="s">
        <v>29</v>
      </c>
      <c r="J49">
        <v>99</v>
      </c>
      <c r="K49">
        <v>0</v>
      </c>
      <c r="L49">
        <v>0</v>
      </c>
      <c r="M49">
        <v>0</v>
      </c>
      <c r="N49" t="s">
        <v>3915</v>
      </c>
      <c r="O49" t="s">
        <v>3915</v>
      </c>
      <c r="P49" t="s">
        <v>3915</v>
      </c>
      <c r="Q49">
        <v>0</v>
      </c>
      <c r="R49" t="s">
        <v>82</v>
      </c>
      <c r="S49">
        <v>0</v>
      </c>
      <c r="T49">
        <v>0</v>
      </c>
      <c r="U49" t="s">
        <v>3915</v>
      </c>
      <c r="V49" t="s">
        <v>31</v>
      </c>
      <c r="W49">
        <v>0</v>
      </c>
    </row>
    <row r="50" spans="1:23" x14ac:dyDescent="0.25">
      <c r="A50" t="s">
        <v>4323</v>
      </c>
      <c r="B50" t="s">
        <v>1528</v>
      </c>
      <c r="C50" t="s">
        <v>1527</v>
      </c>
      <c r="D50" t="s">
        <v>4479</v>
      </c>
      <c r="E50" t="s">
        <v>1394</v>
      </c>
      <c r="F50" t="s">
        <v>759</v>
      </c>
      <c r="G50" t="s">
        <v>1406</v>
      </c>
      <c r="H50" s="6">
        <v>46022</v>
      </c>
      <c r="I50" t="s">
        <v>29</v>
      </c>
      <c r="J50">
        <v>38</v>
      </c>
      <c r="K50">
        <v>0</v>
      </c>
      <c r="L50">
        <v>0</v>
      </c>
      <c r="M50">
        <v>0</v>
      </c>
      <c r="N50" t="s">
        <v>3915</v>
      </c>
      <c r="O50" t="s">
        <v>3915</v>
      </c>
      <c r="P50" t="s">
        <v>3915</v>
      </c>
      <c r="Q50">
        <v>0</v>
      </c>
      <c r="R50" t="s">
        <v>82</v>
      </c>
      <c r="S50">
        <v>0</v>
      </c>
      <c r="T50">
        <v>0</v>
      </c>
      <c r="U50" t="s">
        <v>3915</v>
      </c>
      <c r="V50" t="s">
        <v>31</v>
      </c>
      <c r="W50">
        <v>0</v>
      </c>
    </row>
    <row r="51" spans="1:23" x14ac:dyDescent="0.25">
      <c r="A51" t="s">
        <v>4418</v>
      </c>
      <c r="B51" t="s">
        <v>1530</v>
      </c>
      <c r="C51" t="s">
        <v>1529</v>
      </c>
      <c r="D51" t="s">
        <v>4479</v>
      </c>
      <c r="E51" t="s">
        <v>1394</v>
      </c>
      <c r="F51" t="s">
        <v>759</v>
      </c>
      <c r="G51" t="s">
        <v>1406</v>
      </c>
      <c r="H51" s="6">
        <v>46022</v>
      </c>
      <c r="I51" t="s">
        <v>29</v>
      </c>
      <c r="J51">
        <v>153</v>
      </c>
      <c r="K51">
        <v>0</v>
      </c>
      <c r="L51">
        <v>0</v>
      </c>
      <c r="M51">
        <v>0</v>
      </c>
      <c r="N51" t="s">
        <v>3915</v>
      </c>
      <c r="O51" t="s">
        <v>3915</v>
      </c>
      <c r="P51" t="s">
        <v>3915</v>
      </c>
      <c r="Q51">
        <v>0</v>
      </c>
      <c r="R51" t="s">
        <v>82</v>
      </c>
      <c r="S51">
        <v>0</v>
      </c>
      <c r="T51">
        <v>0</v>
      </c>
      <c r="U51" t="s">
        <v>3915</v>
      </c>
      <c r="V51" t="s">
        <v>31</v>
      </c>
      <c r="W51">
        <v>0</v>
      </c>
    </row>
    <row r="52" spans="1:23" x14ac:dyDescent="0.25">
      <c r="A52" t="s">
        <v>4333</v>
      </c>
      <c r="B52" t="s">
        <v>766</v>
      </c>
      <c r="C52" t="s">
        <v>767</v>
      </c>
      <c r="D52" t="s">
        <v>4479</v>
      </c>
      <c r="E52" t="s">
        <v>1394</v>
      </c>
      <c r="F52" t="s">
        <v>759</v>
      </c>
      <c r="G52" t="s">
        <v>1406</v>
      </c>
      <c r="H52" s="6">
        <v>46022</v>
      </c>
      <c r="I52" t="s">
        <v>29</v>
      </c>
      <c r="J52">
        <v>30</v>
      </c>
      <c r="K52">
        <v>0</v>
      </c>
      <c r="L52">
        <v>0</v>
      </c>
      <c r="M52">
        <v>0</v>
      </c>
      <c r="N52" t="s">
        <v>3915</v>
      </c>
      <c r="O52" t="s">
        <v>3915</v>
      </c>
      <c r="P52" t="s">
        <v>3915</v>
      </c>
      <c r="Q52">
        <v>0</v>
      </c>
      <c r="R52" t="s">
        <v>82</v>
      </c>
      <c r="S52">
        <v>0</v>
      </c>
      <c r="T52">
        <v>0</v>
      </c>
      <c r="U52" t="s">
        <v>3915</v>
      </c>
      <c r="V52" t="s">
        <v>31</v>
      </c>
      <c r="W52">
        <v>0</v>
      </c>
    </row>
    <row r="53" spans="1:23" x14ac:dyDescent="0.25">
      <c r="A53" t="s">
        <v>4241</v>
      </c>
      <c r="B53" t="s">
        <v>768</v>
      </c>
      <c r="C53" t="s">
        <v>769</v>
      </c>
      <c r="D53" t="s">
        <v>4479</v>
      </c>
      <c r="E53" t="s">
        <v>1394</v>
      </c>
      <c r="F53" t="s">
        <v>759</v>
      </c>
      <c r="G53" t="s">
        <v>1406</v>
      </c>
      <c r="H53" s="6">
        <v>46022</v>
      </c>
      <c r="I53" t="s">
        <v>29</v>
      </c>
      <c r="J53">
        <v>7</v>
      </c>
      <c r="K53">
        <v>0</v>
      </c>
      <c r="L53">
        <v>0</v>
      </c>
      <c r="M53">
        <v>0</v>
      </c>
      <c r="N53" t="s">
        <v>3915</v>
      </c>
      <c r="O53" t="s">
        <v>3915</v>
      </c>
      <c r="P53" t="s">
        <v>3915</v>
      </c>
      <c r="Q53">
        <v>0</v>
      </c>
      <c r="R53" t="s">
        <v>82</v>
      </c>
      <c r="S53">
        <v>0</v>
      </c>
      <c r="T53">
        <v>0</v>
      </c>
      <c r="U53" t="s">
        <v>3915</v>
      </c>
      <c r="V53" t="s">
        <v>31</v>
      </c>
      <c r="W53">
        <v>0</v>
      </c>
    </row>
    <row r="54" spans="1:23" x14ac:dyDescent="0.25">
      <c r="A54" t="s">
        <v>1391</v>
      </c>
      <c r="B54" t="s">
        <v>1392</v>
      </c>
      <c r="C54" t="s">
        <v>1393</v>
      </c>
      <c r="D54" t="s">
        <v>4479</v>
      </c>
      <c r="E54" t="s">
        <v>1394</v>
      </c>
      <c r="F54" t="s">
        <v>759</v>
      </c>
      <c r="G54" t="s">
        <v>1406</v>
      </c>
      <c r="H54" s="6">
        <v>46022</v>
      </c>
      <c r="I54" t="s">
        <v>29</v>
      </c>
      <c r="J54">
        <v>-54</v>
      </c>
      <c r="K54">
        <v>0</v>
      </c>
      <c r="L54">
        <v>0</v>
      </c>
      <c r="M54">
        <v>0</v>
      </c>
      <c r="N54" t="s">
        <v>3915</v>
      </c>
      <c r="O54" t="s">
        <v>3915</v>
      </c>
      <c r="P54" t="s">
        <v>3915</v>
      </c>
      <c r="Q54">
        <v>0</v>
      </c>
      <c r="R54" t="s">
        <v>82</v>
      </c>
      <c r="S54">
        <v>0</v>
      </c>
      <c r="T54">
        <v>0</v>
      </c>
      <c r="U54" t="s">
        <v>3915</v>
      </c>
      <c r="V54" t="s">
        <v>31</v>
      </c>
      <c r="W54">
        <v>0</v>
      </c>
    </row>
    <row r="55" spans="1:23" x14ac:dyDescent="0.25">
      <c r="A55" t="s">
        <v>4330</v>
      </c>
      <c r="B55" t="s">
        <v>770</v>
      </c>
      <c r="C55" t="s">
        <v>771</v>
      </c>
      <c r="D55" t="s">
        <v>4479</v>
      </c>
      <c r="E55" t="s">
        <v>1394</v>
      </c>
      <c r="F55" t="s">
        <v>759</v>
      </c>
      <c r="G55" t="s">
        <v>1406</v>
      </c>
      <c r="H55" s="6">
        <v>46022</v>
      </c>
      <c r="I55" t="s">
        <v>29</v>
      </c>
      <c r="J55">
        <v>34</v>
      </c>
      <c r="K55">
        <v>0</v>
      </c>
      <c r="L55">
        <v>0</v>
      </c>
      <c r="M55">
        <v>0</v>
      </c>
      <c r="N55" t="s">
        <v>3915</v>
      </c>
      <c r="O55" t="s">
        <v>3915</v>
      </c>
      <c r="P55" t="s">
        <v>3915</v>
      </c>
      <c r="Q55">
        <v>0</v>
      </c>
      <c r="R55" t="s">
        <v>82</v>
      </c>
      <c r="S55">
        <v>0</v>
      </c>
      <c r="T55">
        <v>0</v>
      </c>
      <c r="U55" t="s">
        <v>3915</v>
      </c>
      <c r="V55" t="s">
        <v>31</v>
      </c>
      <c r="W55">
        <v>0</v>
      </c>
    </row>
    <row r="56" spans="1:23" x14ac:dyDescent="0.25">
      <c r="A56" t="s">
        <v>4331</v>
      </c>
      <c r="B56" t="s">
        <v>1532</v>
      </c>
      <c r="C56" t="s">
        <v>1531</v>
      </c>
      <c r="D56" t="s">
        <v>4479</v>
      </c>
      <c r="E56" t="s">
        <v>1394</v>
      </c>
      <c r="F56" t="s">
        <v>759</v>
      </c>
      <c r="G56" t="s">
        <v>1406</v>
      </c>
      <c r="H56" s="6">
        <v>46022</v>
      </c>
      <c r="I56" t="s">
        <v>29</v>
      </c>
      <c r="J56">
        <v>38</v>
      </c>
      <c r="K56">
        <v>0</v>
      </c>
      <c r="L56">
        <v>0</v>
      </c>
      <c r="M56">
        <v>0</v>
      </c>
      <c r="N56" t="s">
        <v>3915</v>
      </c>
      <c r="O56" t="s">
        <v>3915</v>
      </c>
      <c r="P56" t="s">
        <v>3915</v>
      </c>
      <c r="Q56">
        <v>0</v>
      </c>
      <c r="R56" t="s">
        <v>82</v>
      </c>
      <c r="S56">
        <v>0</v>
      </c>
      <c r="T56">
        <v>0</v>
      </c>
      <c r="U56" t="s">
        <v>3915</v>
      </c>
      <c r="V56" t="s">
        <v>31</v>
      </c>
      <c r="W56">
        <v>0</v>
      </c>
    </row>
    <row r="57" spans="1:23" x14ac:dyDescent="0.25">
      <c r="A57" t="s">
        <v>5535</v>
      </c>
      <c r="B57" t="s">
        <v>1534</v>
      </c>
      <c r="C57" t="s">
        <v>1533</v>
      </c>
      <c r="D57" t="s">
        <v>4479</v>
      </c>
      <c r="E57" t="s">
        <v>1394</v>
      </c>
      <c r="F57" t="s">
        <v>759</v>
      </c>
      <c r="G57" t="s">
        <v>1406</v>
      </c>
      <c r="H57" s="6">
        <v>46022</v>
      </c>
      <c r="I57" t="s">
        <v>29</v>
      </c>
      <c r="J57">
        <v>91</v>
      </c>
      <c r="K57">
        <v>0</v>
      </c>
      <c r="L57">
        <v>0</v>
      </c>
      <c r="M57">
        <v>0</v>
      </c>
      <c r="N57" t="s">
        <v>3915</v>
      </c>
      <c r="O57" t="s">
        <v>3915</v>
      </c>
      <c r="P57" t="s">
        <v>3915</v>
      </c>
      <c r="Q57">
        <v>0</v>
      </c>
      <c r="R57" t="s">
        <v>489</v>
      </c>
      <c r="S57">
        <v>0</v>
      </c>
      <c r="T57">
        <v>0</v>
      </c>
      <c r="U57" t="s">
        <v>3915</v>
      </c>
      <c r="V57" t="s">
        <v>31</v>
      </c>
      <c r="W57">
        <v>0</v>
      </c>
    </row>
    <row r="58" spans="1:23" x14ac:dyDescent="0.25">
      <c r="A58" t="s">
        <v>4375</v>
      </c>
      <c r="B58" t="s">
        <v>776</v>
      </c>
      <c r="C58" t="s">
        <v>777</v>
      </c>
      <c r="D58" t="s">
        <v>4479</v>
      </c>
      <c r="E58" t="s">
        <v>1394</v>
      </c>
      <c r="F58" t="s">
        <v>759</v>
      </c>
      <c r="G58" t="s">
        <v>1406</v>
      </c>
      <c r="H58" s="6">
        <v>46022</v>
      </c>
      <c r="I58" t="s">
        <v>29</v>
      </c>
      <c r="J58">
        <v>586</v>
      </c>
      <c r="K58">
        <v>0</v>
      </c>
      <c r="L58">
        <v>0</v>
      </c>
      <c r="M58">
        <v>0</v>
      </c>
      <c r="N58" t="s">
        <v>3915</v>
      </c>
      <c r="O58" t="s">
        <v>3915</v>
      </c>
      <c r="P58" t="s">
        <v>3915</v>
      </c>
      <c r="Q58">
        <v>0</v>
      </c>
      <c r="R58" t="s">
        <v>82</v>
      </c>
      <c r="S58">
        <v>0</v>
      </c>
      <c r="T58">
        <v>0</v>
      </c>
      <c r="U58" t="s">
        <v>3915</v>
      </c>
      <c r="V58" t="s">
        <v>31</v>
      </c>
      <c r="W58">
        <v>0</v>
      </c>
    </row>
    <row r="59" spans="1:23" x14ac:dyDescent="0.25">
      <c r="A59" t="s">
        <v>5594</v>
      </c>
      <c r="B59" t="s">
        <v>1536</v>
      </c>
      <c r="C59" t="s">
        <v>1535</v>
      </c>
      <c r="D59" t="s">
        <v>4479</v>
      </c>
      <c r="E59" t="s">
        <v>1394</v>
      </c>
      <c r="F59" t="s">
        <v>759</v>
      </c>
      <c r="G59" t="s">
        <v>1406</v>
      </c>
      <c r="H59" s="6">
        <v>46022</v>
      </c>
      <c r="I59" t="s">
        <v>29</v>
      </c>
      <c r="J59">
        <v>101</v>
      </c>
      <c r="K59">
        <v>0</v>
      </c>
      <c r="L59">
        <v>0</v>
      </c>
      <c r="M59">
        <v>0</v>
      </c>
      <c r="N59" t="s">
        <v>3915</v>
      </c>
      <c r="O59" t="s">
        <v>3915</v>
      </c>
      <c r="P59" t="s">
        <v>3915</v>
      </c>
      <c r="Q59">
        <v>0</v>
      </c>
      <c r="R59" t="s">
        <v>489</v>
      </c>
      <c r="S59">
        <v>0</v>
      </c>
      <c r="T59">
        <v>0</v>
      </c>
      <c r="U59" t="s">
        <v>3915</v>
      </c>
      <c r="V59" t="s">
        <v>31</v>
      </c>
      <c r="W59">
        <v>0</v>
      </c>
    </row>
    <row r="60" spans="1:23" x14ac:dyDescent="0.25">
      <c r="A60" t="s">
        <v>5496</v>
      </c>
      <c r="B60" t="s">
        <v>1538</v>
      </c>
      <c r="C60" t="s">
        <v>1537</v>
      </c>
      <c r="D60" t="s">
        <v>4479</v>
      </c>
      <c r="E60" t="s">
        <v>1394</v>
      </c>
      <c r="F60" t="s">
        <v>759</v>
      </c>
      <c r="G60" t="s">
        <v>1406</v>
      </c>
      <c r="H60" s="6">
        <v>46022</v>
      </c>
      <c r="I60" t="s">
        <v>29</v>
      </c>
      <c r="J60">
        <v>80</v>
      </c>
      <c r="K60">
        <v>0</v>
      </c>
      <c r="L60">
        <v>0</v>
      </c>
      <c r="M60">
        <v>0</v>
      </c>
      <c r="N60" t="s">
        <v>3915</v>
      </c>
      <c r="O60" t="s">
        <v>3915</v>
      </c>
      <c r="P60" t="s">
        <v>3915</v>
      </c>
      <c r="Q60">
        <v>0</v>
      </c>
      <c r="R60" t="s">
        <v>489</v>
      </c>
      <c r="S60">
        <v>0</v>
      </c>
      <c r="T60">
        <v>0</v>
      </c>
      <c r="U60" t="s">
        <v>3915</v>
      </c>
      <c r="V60" t="s">
        <v>31</v>
      </c>
      <c r="W60">
        <v>0</v>
      </c>
    </row>
    <row r="61" spans="1:23" x14ac:dyDescent="0.25">
      <c r="A61" t="s">
        <v>4467</v>
      </c>
      <c r="B61" t="s">
        <v>1540</v>
      </c>
      <c r="C61" t="s">
        <v>1539</v>
      </c>
      <c r="D61" t="s">
        <v>4479</v>
      </c>
      <c r="E61" t="s">
        <v>1394</v>
      </c>
      <c r="F61" t="s">
        <v>759</v>
      </c>
      <c r="G61" t="s">
        <v>1406</v>
      </c>
      <c r="H61" s="6">
        <v>46022</v>
      </c>
      <c r="I61" t="s">
        <v>29</v>
      </c>
      <c r="J61">
        <v>122</v>
      </c>
      <c r="K61">
        <v>0</v>
      </c>
      <c r="L61">
        <v>0</v>
      </c>
      <c r="M61">
        <v>0</v>
      </c>
      <c r="N61" t="s">
        <v>3915</v>
      </c>
      <c r="O61" t="s">
        <v>3915</v>
      </c>
      <c r="P61" t="s">
        <v>3915</v>
      </c>
      <c r="Q61">
        <v>0</v>
      </c>
      <c r="R61" t="s">
        <v>82</v>
      </c>
      <c r="S61">
        <v>0</v>
      </c>
      <c r="T61">
        <v>0</v>
      </c>
      <c r="U61" t="s">
        <v>3915</v>
      </c>
      <c r="V61" t="s">
        <v>31</v>
      </c>
      <c r="W61">
        <v>0</v>
      </c>
    </row>
    <row r="62" spans="1:23" x14ac:dyDescent="0.25">
      <c r="A62" t="s">
        <v>4456</v>
      </c>
      <c r="B62" t="s">
        <v>1542</v>
      </c>
      <c r="C62" t="s">
        <v>1541</v>
      </c>
      <c r="D62" t="s">
        <v>4479</v>
      </c>
      <c r="E62" t="s">
        <v>1394</v>
      </c>
      <c r="F62" t="s">
        <v>759</v>
      </c>
      <c r="G62" t="s">
        <v>1406</v>
      </c>
      <c r="H62" s="6">
        <v>46022</v>
      </c>
      <c r="I62" t="s">
        <v>29</v>
      </c>
      <c r="J62">
        <v>176</v>
      </c>
      <c r="K62">
        <v>0</v>
      </c>
      <c r="L62">
        <v>0</v>
      </c>
      <c r="M62">
        <v>0</v>
      </c>
      <c r="N62" t="s">
        <v>3915</v>
      </c>
      <c r="O62" t="s">
        <v>3915</v>
      </c>
      <c r="P62" t="s">
        <v>3915</v>
      </c>
      <c r="Q62">
        <v>0</v>
      </c>
      <c r="R62" t="s">
        <v>82</v>
      </c>
      <c r="S62">
        <v>0</v>
      </c>
      <c r="T62">
        <v>0</v>
      </c>
      <c r="U62" t="s">
        <v>3915</v>
      </c>
      <c r="V62" t="s">
        <v>31</v>
      </c>
      <c r="W62">
        <v>0</v>
      </c>
    </row>
    <row r="63" spans="1:23" x14ac:dyDescent="0.25">
      <c r="A63" t="s">
        <v>10330</v>
      </c>
      <c r="B63" t="s">
        <v>780</v>
      </c>
      <c r="C63" t="s">
        <v>781</v>
      </c>
      <c r="D63" t="s">
        <v>4479</v>
      </c>
      <c r="E63" t="s">
        <v>1394</v>
      </c>
      <c r="F63" t="s">
        <v>759</v>
      </c>
      <c r="G63" t="s">
        <v>1406</v>
      </c>
      <c r="H63" s="6">
        <v>46022</v>
      </c>
      <c r="I63" t="s">
        <v>29</v>
      </c>
      <c r="J63">
        <v>0</v>
      </c>
      <c r="K63">
        <v>0</v>
      </c>
      <c r="L63">
        <v>0</v>
      </c>
      <c r="M63">
        <v>0</v>
      </c>
      <c r="N63" t="s">
        <v>3915</v>
      </c>
      <c r="O63" t="s">
        <v>3915</v>
      </c>
      <c r="P63" t="s">
        <v>3915</v>
      </c>
      <c r="Q63">
        <v>0</v>
      </c>
      <c r="R63" t="s">
        <v>489</v>
      </c>
      <c r="S63">
        <v>0</v>
      </c>
      <c r="T63">
        <v>0</v>
      </c>
      <c r="U63" t="s">
        <v>3915</v>
      </c>
      <c r="V63" t="s">
        <v>31</v>
      </c>
      <c r="W63">
        <v>0</v>
      </c>
    </row>
    <row r="64" spans="1:23" x14ac:dyDescent="0.25">
      <c r="A64" t="s">
        <v>4476</v>
      </c>
      <c r="B64" t="s">
        <v>1462</v>
      </c>
      <c r="C64" t="s">
        <v>1461</v>
      </c>
      <c r="D64" t="s">
        <v>4479</v>
      </c>
      <c r="E64" t="s">
        <v>3930</v>
      </c>
      <c r="F64" t="s">
        <v>669</v>
      </c>
      <c r="G64" t="s">
        <v>1406</v>
      </c>
      <c r="H64" s="6">
        <v>46022</v>
      </c>
      <c r="I64" t="s">
        <v>29</v>
      </c>
      <c r="J64">
        <v>34</v>
      </c>
      <c r="K64">
        <v>0</v>
      </c>
      <c r="L64">
        <v>0</v>
      </c>
      <c r="M64">
        <v>0</v>
      </c>
      <c r="N64" t="s">
        <v>3915</v>
      </c>
      <c r="O64" t="s">
        <v>3915</v>
      </c>
      <c r="P64" t="s">
        <v>3915</v>
      </c>
      <c r="Q64">
        <v>0</v>
      </c>
      <c r="R64" t="s">
        <v>30</v>
      </c>
      <c r="S64">
        <v>0</v>
      </c>
      <c r="T64">
        <v>0</v>
      </c>
      <c r="U64" t="s">
        <v>3915</v>
      </c>
      <c r="V64" t="s">
        <v>31</v>
      </c>
      <c r="W64">
        <v>0</v>
      </c>
    </row>
    <row r="65" spans="1:23" x14ac:dyDescent="0.25">
      <c r="A65" t="s">
        <v>4823</v>
      </c>
      <c r="B65" t="s">
        <v>1464</v>
      </c>
      <c r="C65" t="s">
        <v>1463</v>
      </c>
      <c r="D65" t="s">
        <v>4479</v>
      </c>
      <c r="E65" t="s">
        <v>3930</v>
      </c>
      <c r="F65" t="s">
        <v>669</v>
      </c>
      <c r="G65" t="s">
        <v>1406</v>
      </c>
      <c r="H65" s="6">
        <v>46022</v>
      </c>
      <c r="I65" t="s">
        <v>29</v>
      </c>
      <c r="J65">
        <v>8</v>
      </c>
      <c r="K65">
        <v>0</v>
      </c>
      <c r="L65">
        <v>0</v>
      </c>
      <c r="M65">
        <v>0</v>
      </c>
      <c r="N65" t="s">
        <v>3915</v>
      </c>
      <c r="O65" t="s">
        <v>3915</v>
      </c>
      <c r="P65" t="s">
        <v>3915</v>
      </c>
      <c r="Q65">
        <v>0</v>
      </c>
      <c r="R65" t="s">
        <v>30</v>
      </c>
      <c r="S65">
        <v>0</v>
      </c>
      <c r="T65">
        <v>0</v>
      </c>
      <c r="U65" t="s">
        <v>3915</v>
      </c>
      <c r="V65" t="s">
        <v>31</v>
      </c>
      <c r="W65">
        <v>0</v>
      </c>
    </row>
    <row r="66" spans="1:23" x14ac:dyDescent="0.25">
      <c r="A66" t="s">
        <v>5595</v>
      </c>
      <c r="B66" t="s">
        <v>689</v>
      </c>
      <c r="C66" t="s">
        <v>690</v>
      </c>
      <c r="D66" t="s">
        <v>4479</v>
      </c>
      <c r="E66" t="s">
        <v>3930</v>
      </c>
      <c r="F66" t="s">
        <v>669</v>
      </c>
      <c r="G66" t="s">
        <v>1406</v>
      </c>
      <c r="H66" s="6">
        <v>46022</v>
      </c>
      <c r="I66" t="s">
        <v>29</v>
      </c>
      <c r="J66">
        <v>13</v>
      </c>
      <c r="K66">
        <v>0</v>
      </c>
      <c r="L66">
        <v>0</v>
      </c>
      <c r="M66">
        <v>0</v>
      </c>
      <c r="N66" t="s">
        <v>3915</v>
      </c>
      <c r="O66" t="s">
        <v>3915</v>
      </c>
      <c r="P66" t="s">
        <v>3915</v>
      </c>
      <c r="Q66">
        <v>0</v>
      </c>
      <c r="R66" t="s">
        <v>30</v>
      </c>
      <c r="S66">
        <v>0</v>
      </c>
      <c r="T66">
        <v>0</v>
      </c>
      <c r="U66" t="s">
        <v>3915</v>
      </c>
      <c r="V66" t="s">
        <v>31</v>
      </c>
      <c r="W66">
        <v>0</v>
      </c>
    </row>
    <row r="67" spans="1:23" x14ac:dyDescent="0.25">
      <c r="A67" t="s">
        <v>4534</v>
      </c>
      <c r="B67" t="s">
        <v>693</v>
      </c>
      <c r="C67" t="s">
        <v>694</v>
      </c>
      <c r="D67" t="s">
        <v>4479</v>
      </c>
      <c r="E67" t="s">
        <v>3930</v>
      </c>
      <c r="F67" t="s">
        <v>669</v>
      </c>
      <c r="G67" t="s">
        <v>1406</v>
      </c>
      <c r="H67" s="6">
        <v>46022</v>
      </c>
      <c r="I67" t="s">
        <v>29</v>
      </c>
      <c r="J67">
        <v>2</v>
      </c>
      <c r="K67">
        <v>0</v>
      </c>
      <c r="L67">
        <v>0</v>
      </c>
      <c r="M67">
        <v>0</v>
      </c>
      <c r="N67" t="s">
        <v>3915</v>
      </c>
      <c r="O67" t="s">
        <v>3915</v>
      </c>
      <c r="P67" t="s">
        <v>3915</v>
      </c>
      <c r="Q67">
        <v>0</v>
      </c>
      <c r="R67" t="s">
        <v>30</v>
      </c>
      <c r="S67">
        <v>0</v>
      </c>
      <c r="T67">
        <v>0</v>
      </c>
      <c r="U67" t="s">
        <v>3915</v>
      </c>
      <c r="V67" t="s">
        <v>31</v>
      </c>
      <c r="W67">
        <v>0</v>
      </c>
    </row>
    <row r="68" spans="1:23" x14ac:dyDescent="0.25">
      <c r="A68" t="s">
        <v>4438</v>
      </c>
      <c r="B68" t="s">
        <v>695</v>
      </c>
      <c r="C68" t="s">
        <v>696</v>
      </c>
      <c r="D68" t="s">
        <v>4479</v>
      </c>
      <c r="E68" t="s">
        <v>3930</v>
      </c>
      <c r="F68" t="s">
        <v>669</v>
      </c>
      <c r="G68" t="s">
        <v>1406</v>
      </c>
      <c r="H68" s="6">
        <v>46022</v>
      </c>
      <c r="I68" t="s">
        <v>29</v>
      </c>
      <c r="J68">
        <v>11</v>
      </c>
      <c r="K68">
        <v>0</v>
      </c>
      <c r="L68">
        <v>0</v>
      </c>
      <c r="M68">
        <v>0</v>
      </c>
      <c r="N68" t="s">
        <v>3915</v>
      </c>
      <c r="O68" t="s">
        <v>3915</v>
      </c>
      <c r="P68" t="s">
        <v>3915</v>
      </c>
      <c r="Q68">
        <v>0</v>
      </c>
      <c r="R68" t="s">
        <v>30</v>
      </c>
      <c r="S68">
        <v>0</v>
      </c>
      <c r="T68">
        <v>0</v>
      </c>
      <c r="U68" t="s">
        <v>3915</v>
      </c>
      <c r="V68" t="s">
        <v>31</v>
      </c>
      <c r="W68">
        <v>0</v>
      </c>
    </row>
    <row r="69" spans="1:23" x14ac:dyDescent="0.25">
      <c r="A69" t="s">
        <v>4446</v>
      </c>
      <c r="B69" t="s">
        <v>697</v>
      </c>
      <c r="C69" t="s">
        <v>698</v>
      </c>
      <c r="D69" t="s">
        <v>4479</v>
      </c>
      <c r="E69" t="s">
        <v>3930</v>
      </c>
      <c r="F69" t="s">
        <v>669</v>
      </c>
      <c r="G69" t="s">
        <v>1406</v>
      </c>
      <c r="H69" s="6">
        <v>46022</v>
      </c>
      <c r="I69" t="s">
        <v>29</v>
      </c>
      <c r="J69">
        <v>11</v>
      </c>
      <c r="K69">
        <v>0</v>
      </c>
      <c r="L69">
        <v>0</v>
      </c>
      <c r="M69">
        <v>0</v>
      </c>
      <c r="N69" t="s">
        <v>3915</v>
      </c>
      <c r="O69" t="s">
        <v>3915</v>
      </c>
      <c r="P69" t="s">
        <v>3915</v>
      </c>
      <c r="Q69">
        <v>0</v>
      </c>
      <c r="R69" t="s">
        <v>30</v>
      </c>
      <c r="S69">
        <v>0</v>
      </c>
      <c r="T69">
        <v>0</v>
      </c>
      <c r="U69" t="s">
        <v>3915</v>
      </c>
      <c r="V69" t="s">
        <v>31</v>
      </c>
      <c r="W69">
        <v>0</v>
      </c>
    </row>
    <row r="70" spans="1:23" x14ac:dyDescent="0.25">
      <c r="A70" t="s">
        <v>5596</v>
      </c>
      <c r="B70" t="s">
        <v>1466</v>
      </c>
      <c r="C70" t="s">
        <v>1465</v>
      </c>
      <c r="D70" t="s">
        <v>4479</v>
      </c>
      <c r="E70" t="s">
        <v>3930</v>
      </c>
      <c r="F70" t="s">
        <v>669</v>
      </c>
      <c r="G70" t="s">
        <v>1406</v>
      </c>
      <c r="H70" s="6">
        <v>46022</v>
      </c>
      <c r="I70" t="s">
        <v>29</v>
      </c>
      <c r="J70">
        <v>21</v>
      </c>
      <c r="K70">
        <v>0</v>
      </c>
      <c r="L70">
        <v>0</v>
      </c>
      <c r="M70">
        <v>0</v>
      </c>
      <c r="N70" t="s">
        <v>3915</v>
      </c>
      <c r="O70" t="s">
        <v>3915</v>
      </c>
      <c r="P70" t="s">
        <v>3915</v>
      </c>
      <c r="Q70">
        <v>0</v>
      </c>
      <c r="R70" t="s">
        <v>30</v>
      </c>
      <c r="S70">
        <v>0</v>
      </c>
      <c r="T70">
        <v>0</v>
      </c>
      <c r="U70" t="s">
        <v>3915</v>
      </c>
      <c r="V70" t="s">
        <v>31</v>
      </c>
      <c r="W70">
        <v>0</v>
      </c>
    </row>
    <row r="71" spans="1:23" x14ac:dyDescent="0.25">
      <c r="A71" t="s">
        <v>4772</v>
      </c>
      <c r="B71" t="s">
        <v>10331</v>
      </c>
      <c r="C71" t="s">
        <v>2114</v>
      </c>
      <c r="D71" t="s">
        <v>4479</v>
      </c>
      <c r="E71" t="s">
        <v>3930</v>
      </c>
      <c r="F71" t="s">
        <v>669</v>
      </c>
      <c r="G71" t="s">
        <v>1406</v>
      </c>
      <c r="H71" s="6">
        <v>46022</v>
      </c>
      <c r="I71" t="s">
        <v>29</v>
      </c>
      <c r="J71">
        <v>0</v>
      </c>
      <c r="K71">
        <v>0</v>
      </c>
      <c r="L71">
        <v>0</v>
      </c>
      <c r="M71">
        <v>0</v>
      </c>
      <c r="N71" t="s">
        <v>3915</v>
      </c>
      <c r="O71" t="s">
        <v>3915</v>
      </c>
      <c r="P71" t="s">
        <v>3915</v>
      </c>
      <c r="Q71">
        <v>0</v>
      </c>
      <c r="R71" t="s">
        <v>30</v>
      </c>
      <c r="S71">
        <v>0</v>
      </c>
      <c r="T71">
        <v>0</v>
      </c>
      <c r="U71" t="s">
        <v>3915</v>
      </c>
      <c r="V71" t="s">
        <v>31</v>
      </c>
      <c r="W71">
        <v>0</v>
      </c>
    </row>
    <row r="72" spans="1:23" x14ac:dyDescent="0.25">
      <c r="A72" t="s">
        <v>4808</v>
      </c>
      <c r="B72" t="s">
        <v>1468</v>
      </c>
      <c r="C72" t="s">
        <v>1467</v>
      </c>
      <c r="D72" t="s">
        <v>4479</v>
      </c>
      <c r="E72" t="s">
        <v>3930</v>
      </c>
      <c r="F72" t="s">
        <v>669</v>
      </c>
      <c r="G72" t="s">
        <v>1406</v>
      </c>
      <c r="H72" s="6">
        <v>46022</v>
      </c>
      <c r="I72" t="s">
        <v>29</v>
      </c>
      <c r="J72">
        <v>20</v>
      </c>
      <c r="K72">
        <v>0</v>
      </c>
      <c r="L72">
        <v>0</v>
      </c>
      <c r="M72">
        <v>0</v>
      </c>
      <c r="N72" t="s">
        <v>3915</v>
      </c>
      <c r="O72" t="s">
        <v>3915</v>
      </c>
      <c r="P72" t="s">
        <v>3915</v>
      </c>
      <c r="Q72">
        <v>0</v>
      </c>
      <c r="R72" t="s">
        <v>30</v>
      </c>
      <c r="S72">
        <v>0</v>
      </c>
      <c r="T72">
        <v>0</v>
      </c>
      <c r="U72" t="s">
        <v>3915</v>
      </c>
      <c r="V72" t="s">
        <v>31</v>
      </c>
      <c r="W72">
        <v>0</v>
      </c>
    </row>
    <row r="73" spans="1:23" x14ac:dyDescent="0.25">
      <c r="A73" t="s">
        <v>4147</v>
      </c>
      <c r="B73" t="s">
        <v>1470</v>
      </c>
      <c r="C73" t="s">
        <v>1469</v>
      </c>
      <c r="D73" t="s">
        <v>4479</v>
      </c>
      <c r="E73" t="s">
        <v>3930</v>
      </c>
      <c r="F73" t="s">
        <v>669</v>
      </c>
      <c r="G73" t="s">
        <v>1406</v>
      </c>
      <c r="H73" s="6">
        <v>46022</v>
      </c>
      <c r="I73" t="s">
        <v>29</v>
      </c>
      <c r="J73">
        <v>33</v>
      </c>
      <c r="K73">
        <v>0</v>
      </c>
      <c r="L73">
        <v>0</v>
      </c>
      <c r="M73">
        <v>0</v>
      </c>
      <c r="N73" t="s">
        <v>3915</v>
      </c>
      <c r="O73" t="s">
        <v>3915</v>
      </c>
      <c r="P73" t="s">
        <v>3915</v>
      </c>
      <c r="Q73">
        <v>0</v>
      </c>
      <c r="R73" t="s">
        <v>30</v>
      </c>
      <c r="S73">
        <v>0</v>
      </c>
      <c r="T73">
        <v>0</v>
      </c>
      <c r="U73" t="s">
        <v>3915</v>
      </c>
      <c r="V73" t="s">
        <v>31</v>
      </c>
      <c r="W73">
        <v>0</v>
      </c>
    </row>
    <row r="74" spans="1:23" x14ac:dyDescent="0.25">
      <c r="A74" t="s">
        <v>4813</v>
      </c>
      <c r="B74" t="s">
        <v>1472</v>
      </c>
      <c r="C74" t="s">
        <v>1471</v>
      </c>
      <c r="D74" t="s">
        <v>4479</v>
      </c>
      <c r="E74" t="s">
        <v>3930</v>
      </c>
      <c r="F74" t="s">
        <v>669</v>
      </c>
      <c r="G74" t="s">
        <v>1406</v>
      </c>
      <c r="H74" s="6">
        <v>46022</v>
      </c>
      <c r="I74" t="s">
        <v>29</v>
      </c>
      <c r="J74">
        <v>20</v>
      </c>
      <c r="K74">
        <v>0</v>
      </c>
      <c r="L74">
        <v>0</v>
      </c>
      <c r="M74">
        <v>0</v>
      </c>
      <c r="N74" t="s">
        <v>3915</v>
      </c>
      <c r="O74" t="s">
        <v>3915</v>
      </c>
      <c r="P74" t="s">
        <v>3915</v>
      </c>
      <c r="Q74">
        <v>0</v>
      </c>
      <c r="R74" t="s">
        <v>30</v>
      </c>
      <c r="S74">
        <v>0</v>
      </c>
      <c r="T74">
        <v>0</v>
      </c>
      <c r="U74" t="s">
        <v>3915</v>
      </c>
      <c r="V74" t="s">
        <v>31</v>
      </c>
      <c r="W74">
        <v>0</v>
      </c>
    </row>
    <row r="75" spans="1:23" x14ac:dyDescent="0.25">
      <c r="A75" t="s">
        <v>3962</v>
      </c>
      <c r="B75" t="s">
        <v>1474</v>
      </c>
      <c r="C75" t="s">
        <v>1473</v>
      </c>
      <c r="D75" t="s">
        <v>4479</v>
      </c>
      <c r="E75" t="s">
        <v>3930</v>
      </c>
      <c r="F75" t="s">
        <v>669</v>
      </c>
      <c r="G75" t="s">
        <v>1406</v>
      </c>
      <c r="H75" s="6">
        <v>46022</v>
      </c>
      <c r="I75" t="s">
        <v>29</v>
      </c>
      <c r="J75">
        <v>18</v>
      </c>
      <c r="K75">
        <v>0</v>
      </c>
      <c r="L75">
        <v>0</v>
      </c>
      <c r="M75">
        <v>0</v>
      </c>
      <c r="N75" t="s">
        <v>3915</v>
      </c>
      <c r="O75" t="s">
        <v>3915</v>
      </c>
      <c r="P75" t="s">
        <v>3915</v>
      </c>
      <c r="Q75">
        <v>0</v>
      </c>
      <c r="R75" t="s">
        <v>30</v>
      </c>
      <c r="S75">
        <v>0</v>
      </c>
      <c r="T75">
        <v>0</v>
      </c>
      <c r="U75" t="s">
        <v>3915</v>
      </c>
      <c r="V75" t="s">
        <v>31</v>
      </c>
      <c r="W75">
        <v>0</v>
      </c>
    </row>
    <row r="76" spans="1:23" x14ac:dyDescent="0.25">
      <c r="A76" t="s">
        <v>4181</v>
      </c>
      <c r="B76" t="s">
        <v>1476</v>
      </c>
      <c r="C76" t="s">
        <v>1475</v>
      </c>
      <c r="D76" t="s">
        <v>4479</v>
      </c>
      <c r="E76" t="s">
        <v>3930</v>
      </c>
      <c r="F76" t="s">
        <v>669</v>
      </c>
      <c r="G76" t="s">
        <v>1406</v>
      </c>
      <c r="H76" s="6">
        <v>46022</v>
      </c>
      <c r="I76" t="s">
        <v>29</v>
      </c>
      <c r="J76">
        <v>0</v>
      </c>
      <c r="K76">
        <v>0</v>
      </c>
      <c r="L76">
        <v>0</v>
      </c>
      <c r="M76">
        <v>0</v>
      </c>
      <c r="N76" t="s">
        <v>3915</v>
      </c>
      <c r="O76" t="s">
        <v>3915</v>
      </c>
      <c r="P76" t="s">
        <v>3915</v>
      </c>
      <c r="Q76">
        <v>0</v>
      </c>
      <c r="R76" t="s">
        <v>30</v>
      </c>
      <c r="S76">
        <v>0</v>
      </c>
      <c r="T76">
        <v>0</v>
      </c>
      <c r="U76" t="s">
        <v>3915</v>
      </c>
      <c r="V76" t="s">
        <v>31</v>
      </c>
      <c r="W76">
        <v>0</v>
      </c>
    </row>
    <row r="77" spans="1:23" x14ac:dyDescent="0.25">
      <c r="A77" t="s">
        <v>5047</v>
      </c>
      <c r="B77" t="s">
        <v>1478</v>
      </c>
      <c r="C77" t="s">
        <v>1477</v>
      </c>
      <c r="D77" t="s">
        <v>4479</v>
      </c>
      <c r="E77" t="s">
        <v>3930</v>
      </c>
      <c r="F77" t="s">
        <v>669</v>
      </c>
      <c r="G77" t="s">
        <v>1406</v>
      </c>
      <c r="H77" s="6">
        <v>46022</v>
      </c>
      <c r="I77" t="s">
        <v>29</v>
      </c>
      <c r="J77">
        <v>2</v>
      </c>
      <c r="K77">
        <v>0</v>
      </c>
      <c r="L77">
        <v>0</v>
      </c>
      <c r="M77">
        <v>0</v>
      </c>
      <c r="N77" t="s">
        <v>3915</v>
      </c>
      <c r="O77" t="s">
        <v>3915</v>
      </c>
      <c r="P77" t="s">
        <v>3915</v>
      </c>
      <c r="Q77">
        <v>0</v>
      </c>
      <c r="R77" t="s">
        <v>30</v>
      </c>
      <c r="S77">
        <v>0</v>
      </c>
      <c r="T77">
        <v>0</v>
      </c>
      <c r="U77" t="s">
        <v>3915</v>
      </c>
      <c r="V77" t="s">
        <v>31</v>
      </c>
      <c r="W77">
        <v>0</v>
      </c>
    </row>
    <row r="78" spans="1:23" x14ac:dyDescent="0.25">
      <c r="A78" t="s">
        <v>5006</v>
      </c>
      <c r="B78" t="s">
        <v>1480</v>
      </c>
      <c r="C78" t="s">
        <v>1479</v>
      </c>
      <c r="D78" t="s">
        <v>4479</v>
      </c>
      <c r="E78" t="s">
        <v>3930</v>
      </c>
      <c r="F78" t="s">
        <v>669</v>
      </c>
      <c r="G78" t="s">
        <v>1406</v>
      </c>
      <c r="H78" s="6">
        <v>46022</v>
      </c>
      <c r="I78" t="s">
        <v>29</v>
      </c>
      <c r="J78">
        <v>2</v>
      </c>
      <c r="K78">
        <v>0</v>
      </c>
      <c r="L78">
        <v>0</v>
      </c>
      <c r="M78">
        <v>0</v>
      </c>
      <c r="N78" t="s">
        <v>3915</v>
      </c>
      <c r="O78" t="s">
        <v>3915</v>
      </c>
      <c r="P78" t="s">
        <v>3915</v>
      </c>
      <c r="Q78">
        <v>0</v>
      </c>
      <c r="R78" t="s">
        <v>30</v>
      </c>
      <c r="S78">
        <v>0</v>
      </c>
      <c r="T78">
        <v>0</v>
      </c>
      <c r="U78" t="s">
        <v>3915</v>
      </c>
      <c r="V78" t="s">
        <v>31</v>
      </c>
      <c r="W78">
        <v>0</v>
      </c>
    </row>
    <row r="79" spans="1:23" x14ac:dyDescent="0.25">
      <c r="A79" t="s">
        <v>5040</v>
      </c>
      <c r="B79" t="s">
        <v>1482</v>
      </c>
      <c r="C79" t="s">
        <v>1481</v>
      </c>
      <c r="D79" t="s">
        <v>4479</v>
      </c>
      <c r="E79" t="s">
        <v>3930</v>
      </c>
      <c r="F79" t="s">
        <v>669</v>
      </c>
      <c r="G79" t="s">
        <v>1406</v>
      </c>
      <c r="H79" s="6">
        <v>46022</v>
      </c>
      <c r="I79" t="s">
        <v>29</v>
      </c>
      <c r="J79">
        <v>30</v>
      </c>
      <c r="K79">
        <v>0</v>
      </c>
      <c r="L79">
        <v>0</v>
      </c>
      <c r="M79">
        <v>0</v>
      </c>
      <c r="N79" t="s">
        <v>3915</v>
      </c>
      <c r="O79" t="s">
        <v>3915</v>
      </c>
      <c r="P79" t="s">
        <v>3915</v>
      </c>
      <c r="Q79">
        <v>0</v>
      </c>
      <c r="R79" t="s">
        <v>30</v>
      </c>
      <c r="S79">
        <v>0</v>
      </c>
      <c r="T79">
        <v>0</v>
      </c>
      <c r="U79" t="s">
        <v>3915</v>
      </c>
      <c r="V79" t="s">
        <v>31</v>
      </c>
      <c r="W79">
        <v>0</v>
      </c>
    </row>
    <row r="80" spans="1:23" x14ac:dyDescent="0.25">
      <c r="A80" t="s">
        <v>3976</v>
      </c>
      <c r="B80" t="s">
        <v>1484</v>
      </c>
      <c r="C80" t="s">
        <v>1483</v>
      </c>
      <c r="D80" t="s">
        <v>4479</v>
      </c>
      <c r="E80" t="s">
        <v>3930</v>
      </c>
      <c r="F80" t="s">
        <v>669</v>
      </c>
      <c r="G80" t="s">
        <v>1406</v>
      </c>
      <c r="H80" s="6">
        <v>46022</v>
      </c>
      <c r="I80" t="s">
        <v>29</v>
      </c>
      <c r="J80">
        <v>30</v>
      </c>
      <c r="K80">
        <v>0</v>
      </c>
      <c r="L80">
        <v>0</v>
      </c>
      <c r="M80">
        <v>0</v>
      </c>
      <c r="N80" t="s">
        <v>3915</v>
      </c>
      <c r="O80" t="s">
        <v>3915</v>
      </c>
      <c r="P80" t="s">
        <v>3915</v>
      </c>
      <c r="Q80">
        <v>0</v>
      </c>
      <c r="R80" t="s">
        <v>30</v>
      </c>
      <c r="S80">
        <v>0</v>
      </c>
      <c r="T80">
        <v>0</v>
      </c>
      <c r="U80" t="s">
        <v>3915</v>
      </c>
      <c r="V80" t="s">
        <v>31</v>
      </c>
      <c r="W80">
        <v>0</v>
      </c>
    </row>
    <row r="81" spans="1:23" x14ac:dyDescent="0.25">
      <c r="A81" t="s">
        <v>4788</v>
      </c>
      <c r="B81" t="s">
        <v>1486</v>
      </c>
      <c r="C81" t="s">
        <v>1485</v>
      </c>
      <c r="D81" t="s">
        <v>4479</v>
      </c>
      <c r="E81" t="s">
        <v>3930</v>
      </c>
      <c r="F81" t="s">
        <v>669</v>
      </c>
      <c r="G81" t="s">
        <v>1406</v>
      </c>
      <c r="H81" s="6">
        <v>46022</v>
      </c>
      <c r="I81" t="s">
        <v>29</v>
      </c>
      <c r="J81">
        <v>1</v>
      </c>
      <c r="K81">
        <v>0</v>
      </c>
      <c r="L81">
        <v>0</v>
      </c>
      <c r="M81">
        <v>0</v>
      </c>
      <c r="N81" t="s">
        <v>3915</v>
      </c>
      <c r="O81" t="s">
        <v>3915</v>
      </c>
      <c r="P81" t="s">
        <v>3915</v>
      </c>
      <c r="Q81">
        <v>0</v>
      </c>
      <c r="R81" t="s">
        <v>30</v>
      </c>
      <c r="S81">
        <v>0</v>
      </c>
      <c r="T81">
        <v>0</v>
      </c>
      <c r="U81" t="s">
        <v>3915</v>
      </c>
      <c r="V81" t="s">
        <v>31</v>
      </c>
      <c r="W81">
        <v>0</v>
      </c>
    </row>
    <row r="82" spans="1:23" x14ac:dyDescent="0.25">
      <c r="A82" t="s">
        <v>4538</v>
      </c>
      <c r="B82" t="s">
        <v>699</v>
      </c>
      <c r="C82" t="s">
        <v>700</v>
      </c>
      <c r="D82" t="s">
        <v>4479</v>
      </c>
      <c r="E82" t="s">
        <v>3930</v>
      </c>
      <c r="F82" t="s">
        <v>669</v>
      </c>
      <c r="G82" t="s">
        <v>1406</v>
      </c>
      <c r="H82" s="6">
        <v>46022</v>
      </c>
      <c r="I82" t="s">
        <v>29</v>
      </c>
      <c r="J82">
        <v>0</v>
      </c>
      <c r="K82">
        <v>0</v>
      </c>
      <c r="L82">
        <v>0</v>
      </c>
      <c r="M82">
        <v>0</v>
      </c>
      <c r="N82" t="s">
        <v>3915</v>
      </c>
      <c r="O82" t="s">
        <v>3915</v>
      </c>
      <c r="P82" t="s">
        <v>3915</v>
      </c>
      <c r="Q82">
        <v>0</v>
      </c>
      <c r="R82" t="s">
        <v>30</v>
      </c>
      <c r="S82">
        <v>0</v>
      </c>
      <c r="T82">
        <v>0</v>
      </c>
      <c r="U82" t="s">
        <v>3915</v>
      </c>
      <c r="V82" t="s">
        <v>31</v>
      </c>
      <c r="W82">
        <v>0</v>
      </c>
    </row>
    <row r="83" spans="1:23" x14ac:dyDescent="0.25">
      <c r="A83" t="s">
        <v>5597</v>
      </c>
      <c r="B83" t="s">
        <v>1488</v>
      </c>
      <c r="C83" t="s">
        <v>1487</v>
      </c>
      <c r="D83" t="s">
        <v>4479</v>
      </c>
      <c r="E83" t="s">
        <v>3930</v>
      </c>
      <c r="F83" t="s">
        <v>669</v>
      </c>
      <c r="G83" t="s">
        <v>1406</v>
      </c>
      <c r="H83" s="6">
        <v>46022</v>
      </c>
      <c r="I83" t="s">
        <v>29</v>
      </c>
      <c r="J83">
        <v>4</v>
      </c>
      <c r="K83">
        <v>0</v>
      </c>
      <c r="L83">
        <v>0</v>
      </c>
      <c r="M83">
        <v>0</v>
      </c>
      <c r="N83" t="s">
        <v>3915</v>
      </c>
      <c r="O83" t="s">
        <v>3915</v>
      </c>
      <c r="P83" t="s">
        <v>3915</v>
      </c>
      <c r="Q83">
        <v>0</v>
      </c>
      <c r="R83" t="s">
        <v>30</v>
      </c>
      <c r="S83">
        <v>0</v>
      </c>
      <c r="T83">
        <v>0</v>
      </c>
      <c r="U83" t="s">
        <v>3915</v>
      </c>
      <c r="V83" t="s">
        <v>31</v>
      </c>
      <c r="W83">
        <v>0</v>
      </c>
    </row>
    <row r="84" spans="1:23" x14ac:dyDescent="0.25">
      <c r="A84" t="s">
        <v>5087</v>
      </c>
      <c r="B84" t="s">
        <v>1490</v>
      </c>
      <c r="C84" t="s">
        <v>1489</v>
      </c>
      <c r="D84" t="s">
        <v>4479</v>
      </c>
      <c r="E84" t="s">
        <v>3930</v>
      </c>
      <c r="F84" t="s">
        <v>669</v>
      </c>
      <c r="G84" t="s">
        <v>1406</v>
      </c>
      <c r="H84" s="6">
        <v>46022</v>
      </c>
      <c r="I84" t="s">
        <v>29</v>
      </c>
      <c r="J84">
        <v>14</v>
      </c>
      <c r="K84">
        <v>0</v>
      </c>
      <c r="L84">
        <v>0</v>
      </c>
      <c r="M84">
        <v>0</v>
      </c>
      <c r="N84" t="s">
        <v>3915</v>
      </c>
      <c r="O84" t="s">
        <v>3915</v>
      </c>
      <c r="P84" t="s">
        <v>3915</v>
      </c>
      <c r="Q84">
        <v>0</v>
      </c>
      <c r="R84" t="s">
        <v>30</v>
      </c>
      <c r="S84">
        <v>0</v>
      </c>
      <c r="T84">
        <v>0</v>
      </c>
      <c r="U84" t="s">
        <v>3915</v>
      </c>
      <c r="V84" t="s">
        <v>31</v>
      </c>
      <c r="W84">
        <v>0</v>
      </c>
    </row>
    <row r="85" spans="1:23" x14ac:dyDescent="0.25">
      <c r="A85" t="s">
        <v>4382</v>
      </c>
      <c r="B85" t="s">
        <v>1492</v>
      </c>
      <c r="C85" t="s">
        <v>1491</v>
      </c>
      <c r="D85" t="s">
        <v>4479</v>
      </c>
      <c r="E85" t="s">
        <v>3930</v>
      </c>
      <c r="F85" t="s">
        <v>669</v>
      </c>
      <c r="G85" t="s">
        <v>1406</v>
      </c>
      <c r="H85" s="6">
        <v>46022</v>
      </c>
      <c r="I85" t="s">
        <v>29</v>
      </c>
      <c r="J85">
        <v>6</v>
      </c>
      <c r="K85">
        <v>0</v>
      </c>
      <c r="L85">
        <v>0</v>
      </c>
      <c r="M85">
        <v>0</v>
      </c>
      <c r="N85" t="s">
        <v>3915</v>
      </c>
      <c r="O85" t="s">
        <v>3915</v>
      </c>
      <c r="P85" t="s">
        <v>3915</v>
      </c>
      <c r="Q85">
        <v>0</v>
      </c>
      <c r="R85" t="s">
        <v>30</v>
      </c>
      <c r="S85">
        <v>0</v>
      </c>
      <c r="T85">
        <v>0</v>
      </c>
      <c r="U85" t="s">
        <v>3915</v>
      </c>
      <c r="V85" t="s">
        <v>31</v>
      </c>
      <c r="W85">
        <v>0</v>
      </c>
    </row>
    <row r="86" spans="1:23" x14ac:dyDescent="0.25">
      <c r="A86" t="s">
        <v>5401</v>
      </c>
      <c r="B86" t="s">
        <v>709</v>
      </c>
      <c r="C86" t="s">
        <v>710</v>
      </c>
      <c r="D86" t="s">
        <v>4479</v>
      </c>
      <c r="E86" t="s">
        <v>3930</v>
      </c>
      <c r="F86" t="s">
        <v>669</v>
      </c>
      <c r="G86" t="s">
        <v>1406</v>
      </c>
      <c r="H86" s="6">
        <v>46022</v>
      </c>
      <c r="I86" t="s">
        <v>29</v>
      </c>
      <c r="J86">
        <v>8</v>
      </c>
      <c r="K86">
        <v>0</v>
      </c>
      <c r="L86">
        <v>0</v>
      </c>
      <c r="M86">
        <v>0</v>
      </c>
      <c r="N86" t="s">
        <v>3915</v>
      </c>
      <c r="O86" t="s">
        <v>3915</v>
      </c>
      <c r="P86" t="s">
        <v>3915</v>
      </c>
      <c r="Q86">
        <v>0</v>
      </c>
      <c r="R86" t="s">
        <v>30</v>
      </c>
      <c r="S86">
        <v>0</v>
      </c>
      <c r="T86">
        <v>0</v>
      </c>
      <c r="U86" t="s">
        <v>3915</v>
      </c>
      <c r="V86" t="s">
        <v>31</v>
      </c>
      <c r="W86">
        <v>0</v>
      </c>
    </row>
    <row r="87" spans="1:23" x14ac:dyDescent="0.25">
      <c r="A87" t="s">
        <v>5383</v>
      </c>
      <c r="B87" t="s">
        <v>711</v>
      </c>
      <c r="C87" t="s">
        <v>712</v>
      </c>
      <c r="D87" t="s">
        <v>4479</v>
      </c>
      <c r="E87" t="s">
        <v>3930</v>
      </c>
      <c r="F87" t="s">
        <v>669</v>
      </c>
      <c r="G87" t="s">
        <v>1406</v>
      </c>
      <c r="H87" s="6">
        <v>46022</v>
      </c>
      <c r="I87" t="s">
        <v>29</v>
      </c>
      <c r="J87">
        <v>28</v>
      </c>
      <c r="K87">
        <v>0</v>
      </c>
      <c r="L87">
        <v>0</v>
      </c>
      <c r="M87">
        <v>0</v>
      </c>
      <c r="N87" t="s">
        <v>3915</v>
      </c>
      <c r="O87" t="s">
        <v>3915</v>
      </c>
      <c r="P87" t="s">
        <v>3915</v>
      </c>
      <c r="Q87">
        <v>0</v>
      </c>
      <c r="R87" t="s">
        <v>30</v>
      </c>
      <c r="S87">
        <v>0</v>
      </c>
      <c r="T87">
        <v>0</v>
      </c>
      <c r="U87" t="s">
        <v>3915</v>
      </c>
      <c r="V87" t="s">
        <v>31</v>
      </c>
      <c r="W87">
        <v>0</v>
      </c>
    </row>
    <row r="88" spans="1:23" x14ac:dyDescent="0.25">
      <c r="A88" t="s">
        <v>5026</v>
      </c>
      <c r="B88" t="s">
        <v>717</v>
      </c>
      <c r="C88" t="s">
        <v>718</v>
      </c>
      <c r="D88" t="s">
        <v>4479</v>
      </c>
      <c r="E88" t="s">
        <v>3930</v>
      </c>
      <c r="F88" t="s">
        <v>669</v>
      </c>
      <c r="G88" t="s">
        <v>1406</v>
      </c>
      <c r="H88" s="6">
        <v>46022</v>
      </c>
      <c r="I88" t="s">
        <v>29</v>
      </c>
      <c r="J88">
        <v>20</v>
      </c>
      <c r="K88">
        <v>0</v>
      </c>
      <c r="L88">
        <v>0</v>
      </c>
      <c r="M88">
        <v>0</v>
      </c>
      <c r="N88" t="s">
        <v>3915</v>
      </c>
      <c r="O88" t="s">
        <v>3915</v>
      </c>
      <c r="P88" t="s">
        <v>3915</v>
      </c>
      <c r="Q88">
        <v>0</v>
      </c>
      <c r="R88" t="s">
        <v>30</v>
      </c>
      <c r="S88">
        <v>0</v>
      </c>
      <c r="T88">
        <v>0</v>
      </c>
      <c r="U88" t="s">
        <v>3915</v>
      </c>
      <c r="V88" t="s">
        <v>31</v>
      </c>
      <c r="W88">
        <v>0</v>
      </c>
    </row>
    <row r="89" spans="1:23" x14ac:dyDescent="0.25">
      <c r="A89" t="s">
        <v>4155</v>
      </c>
      <c r="B89" t="s">
        <v>2163</v>
      </c>
      <c r="C89" t="s">
        <v>2162</v>
      </c>
      <c r="D89" t="s">
        <v>4479</v>
      </c>
      <c r="E89" t="s">
        <v>3930</v>
      </c>
      <c r="F89" t="s">
        <v>669</v>
      </c>
      <c r="G89" t="s">
        <v>1406</v>
      </c>
      <c r="H89" s="6">
        <v>46022</v>
      </c>
      <c r="I89" t="s">
        <v>29</v>
      </c>
      <c r="J89">
        <v>0</v>
      </c>
      <c r="K89">
        <v>0</v>
      </c>
      <c r="L89">
        <v>0</v>
      </c>
      <c r="M89">
        <v>0</v>
      </c>
      <c r="N89" t="s">
        <v>3915</v>
      </c>
      <c r="O89" t="s">
        <v>3915</v>
      </c>
      <c r="P89" t="s">
        <v>3915</v>
      </c>
      <c r="Q89">
        <v>0</v>
      </c>
      <c r="R89" t="s">
        <v>30</v>
      </c>
      <c r="S89">
        <v>0</v>
      </c>
      <c r="T89">
        <v>0</v>
      </c>
      <c r="U89" t="s">
        <v>3915</v>
      </c>
      <c r="V89" t="s">
        <v>31</v>
      </c>
      <c r="W89">
        <v>0</v>
      </c>
    </row>
    <row r="90" spans="1:23" x14ac:dyDescent="0.25">
      <c r="A90" t="s">
        <v>4660</v>
      </c>
      <c r="B90" t="s">
        <v>719</v>
      </c>
      <c r="C90" t="s">
        <v>720</v>
      </c>
      <c r="D90" t="s">
        <v>4479</v>
      </c>
      <c r="E90" t="s">
        <v>3930</v>
      </c>
      <c r="F90" t="s">
        <v>669</v>
      </c>
      <c r="G90" t="s">
        <v>1406</v>
      </c>
      <c r="H90" s="6">
        <v>46022</v>
      </c>
      <c r="I90" t="s">
        <v>29</v>
      </c>
      <c r="J90">
        <v>0</v>
      </c>
      <c r="K90">
        <v>0</v>
      </c>
      <c r="L90">
        <v>0</v>
      </c>
      <c r="M90">
        <v>0</v>
      </c>
      <c r="N90" t="s">
        <v>3915</v>
      </c>
      <c r="O90" t="s">
        <v>3915</v>
      </c>
      <c r="P90" t="s">
        <v>3915</v>
      </c>
      <c r="Q90">
        <v>0</v>
      </c>
      <c r="R90" t="s">
        <v>30</v>
      </c>
      <c r="S90">
        <v>0</v>
      </c>
      <c r="T90">
        <v>0</v>
      </c>
      <c r="U90" t="s">
        <v>3915</v>
      </c>
      <c r="V90" t="s">
        <v>31</v>
      </c>
      <c r="W90">
        <v>0</v>
      </c>
    </row>
    <row r="91" spans="1:23" x14ac:dyDescent="0.25">
      <c r="A91" t="s">
        <v>3945</v>
      </c>
      <c r="B91" t="s">
        <v>1494</v>
      </c>
      <c r="C91" t="s">
        <v>1493</v>
      </c>
      <c r="D91" t="s">
        <v>4479</v>
      </c>
      <c r="E91" t="s">
        <v>3930</v>
      </c>
      <c r="F91" t="s">
        <v>669</v>
      </c>
      <c r="G91" t="s">
        <v>1406</v>
      </c>
      <c r="H91" s="6">
        <v>46022</v>
      </c>
      <c r="I91" t="s">
        <v>29</v>
      </c>
      <c r="J91">
        <v>8</v>
      </c>
      <c r="K91">
        <v>0</v>
      </c>
      <c r="L91">
        <v>0</v>
      </c>
      <c r="M91">
        <v>0</v>
      </c>
      <c r="N91" t="s">
        <v>3915</v>
      </c>
      <c r="O91" t="s">
        <v>3915</v>
      </c>
      <c r="P91" t="s">
        <v>3915</v>
      </c>
      <c r="Q91">
        <v>0</v>
      </c>
      <c r="R91" t="s">
        <v>30</v>
      </c>
      <c r="S91">
        <v>0</v>
      </c>
      <c r="T91">
        <v>0</v>
      </c>
      <c r="U91" t="s">
        <v>3915</v>
      </c>
      <c r="V91" t="s">
        <v>31</v>
      </c>
      <c r="W91">
        <v>0</v>
      </c>
    </row>
    <row r="92" spans="1:23" x14ac:dyDescent="0.25">
      <c r="A92" t="s">
        <v>4250</v>
      </c>
      <c r="B92" t="s">
        <v>2185</v>
      </c>
      <c r="C92" t="s">
        <v>2184</v>
      </c>
      <c r="D92" t="s">
        <v>4479</v>
      </c>
      <c r="E92" t="s">
        <v>3930</v>
      </c>
      <c r="F92" t="s">
        <v>669</v>
      </c>
      <c r="G92" t="s">
        <v>1406</v>
      </c>
      <c r="H92" s="6">
        <v>46022</v>
      </c>
      <c r="I92" t="s">
        <v>29</v>
      </c>
      <c r="J92">
        <v>0</v>
      </c>
      <c r="K92">
        <v>0</v>
      </c>
      <c r="L92">
        <v>0</v>
      </c>
      <c r="M92">
        <v>0</v>
      </c>
      <c r="N92" t="s">
        <v>3915</v>
      </c>
      <c r="O92" t="s">
        <v>3915</v>
      </c>
      <c r="P92" t="s">
        <v>3915</v>
      </c>
      <c r="Q92">
        <v>0</v>
      </c>
      <c r="R92" t="s">
        <v>30</v>
      </c>
      <c r="S92">
        <v>0</v>
      </c>
      <c r="T92">
        <v>0</v>
      </c>
      <c r="U92" t="s">
        <v>3915</v>
      </c>
      <c r="V92" t="s">
        <v>31</v>
      </c>
      <c r="W92">
        <v>0</v>
      </c>
    </row>
    <row r="93" spans="1:23" x14ac:dyDescent="0.25">
      <c r="A93" t="s">
        <v>5351</v>
      </c>
      <c r="B93" t="s">
        <v>1496</v>
      </c>
      <c r="C93" t="s">
        <v>1495</v>
      </c>
      <c r="D93" t="s">
        <v>4479</v>
      </c>
      <c r="E93" t="s">
        <v>3930</v>
      </c>
      <c r="F93" t="s">
        <v>669</v>
      </c>
      <c r="G93" t="s">
        <v>1406</v>
      </c>
      <c r="H93" s="6">
        <v>46022</v>
      </c>
      <c r="I93" t="s">
        <v>29</v>
      </c>
      <c r="J93">
        <v>68</v>
      </c>
      <c r="K93">
        <v>0</v>
      </c>
      <c r="L93">
        <v>0</v>
      </c>
      <c r="M93">
        <v>0</v>
      </c>
      <c r="N93" t="s">
        <v>3915</v>
      </c>
      <c r="O93" t="s">
        <v>3915</v>
      </c>
      <c r="P93" t="s">
        <v>3915</v>
      </c>
      <c r="Q93">
        <v>0</v>
      </c>
      <c r="R93" t="s">
        <v>30</v>
      </c>
      <c r="S93">
        <v>0</v>
      </c>
      <c r="T93">
        <v>0</v>
      </c>
      <c r="U93" t="s">
        <v>3915</v>
      </c>
      <c r="V93" t="s">
        <v>31</v>
      </c>
      <c r="W93">
        <v>0</v>
      </c>
    </row>
    <row r="94" spans="1:23" x14ac:dyDescent="0.25">
      <c r="A94" t="s">
        <v>4740</v>
      </c>
      <c r="B94" t="s">
        <v>1498</v>
      </c>
      <c r="C94" t="s">
        <v>1497</v>
      </c>
      <c r="D94" t="s">
        <v>4479</v>
      </c>
      <c r="E94" t="s">
        <v>3930</v>
      </c>
      <c r="F94" t="s">
        <v>669</v>
      </c>
      <c r="G94" t="s">
        <v>1406</v>
      </c>
      <c r="H94" s="6">
        <v>46022</v>
      </c>
      <c r="I94" t="s">
        <v>29</v>
      </c>
      <c r="J94">
        <v>45</v>
      </c>
      <c r="K94">
        <v>0</v>
      </c>
      <c r="L94">
        <v>0</v>
      </c>
      <c r="M94">
        <v>0</v>
      </c>
      <c r="N94" t="s">
        <v>3915</v>
      </c>
      <c r="O94" t="s">
        <v>3915</v>
      </c>
      <c r="P94" t="s">
        <v>3915</v>
      </c>
      <c r="Q94">
        <v>0</v>
      </c>
      <c r="R94" t="s">
        <v>30</v>
      </c>
      <c r="S94">
        <v>0</v>
      </c>
      <c r="T94">
        <v>0</v>
      </c>
      <c r="U94" t="s">
        <v>3915</v>
      </c>
      <c r="V94" t="s">
        <v>31</v>
      </c>
      <c r="W94">
        <v>0</v>
      </c>
    </row>
    <row r="95" spans="1:23" x14ac:dyDescent="0.25">
      <c r="A95" t="s">
        <v>4229</v>
      </c>
      <c r="B95" t="s">
        <v>731</v>
      </c>
      <c r="C95" t="s">
        <v>732</v>
      </c>
      <c r="D95" t="s">
        <v>4479</v>
      </c>
      <c r="E95" t="s">
        <v>3930</v>
      </c>
      <c r="F95" t="s">
        <v>669</v>
      </c>
      <c r="G95" t="s">
        <v>1406</v>
      </c>
      <c r="H95" s="6">
        <v>46022</v>
      </c>
      <c r="I95" t="s">
        <v>29</v>
      </c>
      <c r="J95">
        <v>31</v>
      </c>
      <c r="K95">
        <v>0</v>
      </c>
      <c r="L95">
        <v>0</v>
      </c>
      <c r="M95">
        <v>0</v>
      </c>
      <c r="N95" t="s">
        <v>3915</v>
      </c>
      <c r="O95" t="s">
        <v>3915</v>
      </c>
      <c r="P95" t="s">
        <v>3915</v>
      </c>
      <c r="Q95">
        <v>0</v>
      </c>
      <c r="R95" t="s">
        <v>30</v>
      </c>
      <c r="S95">
        <v>0</v>
      </c>
      <c r="T95">
        <v>0</v>
      </c>
      <c r="U95" t="s">
        <v>3915</v>
      </c>
      <c r="V95" t="s">
        <v>31</v>
      </c>
      <c r="W95">
        <v>0</v>
      </c>
    </row>
    <row r="96" spans="1:23" x14ac:dyDescent="0.25">
      <c r="A96" t="s">
        <v>3961</v>
      </c>
      <c r="B96" t="s">
        <v>739</v>
      </c>
      <c r="C96" t="s">
        <v>740</v>
      </c>
      <c r="D96" t="s">
        <v>4479</v>
      </c>
      <c r="E96" t="s">
        <v>3930</v>
      </c>
      <c r="F96" t="s">
        <v>669</v>
      </c>
      <c r="G96" t="s">
        <v>1406</v>
      </c>
      <c r="H96" s="6">
        <v>46022</v>
      </c>
      <c r="I96" t="s">
        <v>29</v>
      </c>
      <c r="J96">
        <v>0</v>
      </c>
      <c r="K96">
        <v>0</v>
      </c>
      <c r="L96">
        <v>0</v>
      </c>
      <c r="M96">
        <v>0</v>
      </c>
      <c r="N96" t="s">
        <v>3915</v>
      </c>
      <c r="O96" t="s">
        <v>3915</v>
      </c>
      <c r="P96" t="s">
        <v>3915</v>
      </c>
      <c r="Q96">
        <v>0</v>
      </c>
      <c r="R96" t="s">
        <v>30</v>
      </c>
      <c r="S96">
        <v>0</v>
      </c>
      <c r="T96">
        <v>0</v>
      </c>
      <c r="U96" t="s">
        <v>3915</v>
      </c>
      <c r="V96" t="s">
        <v>31</v>
      </c>
      <c r="W96">
        <v>0</v>
      </c>
    </row>
    <row r="97" spans="1:23" x14ac:dyDescent="0.25">
      <c r="A97" t="s">
        <v>4051</v>
      </c>
      <c r="B97" t="s">
        <v>1500</v>
      </c>
      <c r="C97" t="s">
        <v>1499</v>
      </c>
      <c r="D97" t="s">
        <v>4479</v>
      </c>
      <c r="E97" t="s">
        <v>3930</v>
      </c>
      <c r="F97" t="s">
        <v>669</v>
      </c>
      <c r="G97" t="s">
        <v>1406</v>
      </c>
      <c r="H97" s="6">
        <v>46022</v>
      </c>
      <c r="I97" t="s">
        <v>29</v>
      </c>
      <c r="J97">
        <v>1</v>
      </c>
      <c r="K97">
        <v>0</v>
      </c>
      <c r="L97">
        <v>0</v>
      </c>
      <c r="M97">
        <v>0</v>
      </c>
      <c r="N97" t="s">
        <v>3915</v>
      </c>
      <c r="O97" t="s">
        <v>3915</v>
      </c>
      <c r="P97" t="s">
        <v>3915</v>
      </c>
      <c r="Q97">
        <v>0</v>
      </c>
      <c r="R97" t="s">
        <v>30</v>
      </c>
      <c r="S97">
        <v>0</v>
      </c>
      <c r="T97">
        <v>0</v>
      </c>
      <c r="U97" t="s">
        <v>3915</v>
      </c>
      <c r="V97" t="s">
        <v>31</v>
      </c>
      <c r="W97">
        <v>0</v>
      </c>
    </row>
    <row r="98" spans="1:23" x14ac:dyDescent="0.25">
      <c r="A98" t="s">
        <v>5007</v>
      </c>
      <c r="B98" t="s">
        <v>1502</v>
      </c>
      <c r="C98" t="s">
        <v>1501</v>
      </c>
      <c r="D98" t="s">
        <v>4479</v>
      </c>
      <c r="E98" t="s">
        <v>3930</v>
      </c>
      <c r="F98" t="s">
        <v>669</v>
      </c>
      <c r="G98" t="s">
        <v>1406</v>
      </c>
      <c r="H98" s="6">
        <v>46022</v>
      </c>
      <c r="I98" t="s">
        <v>29</v>
      </c>
      <c r="J98">
        <v>8</v>
      </c>
      <c r="K98">
        <v>0</v>
      </c>
      <c r="L98">
        <v>0</v>
      </c>
      <c r="M98">
        <v>0</v>
      </c>
      <c r="N98" t="s">
        <v>3915</v>
      </c>
      <c r="O98" t="s">
        <v>3915</v>
      </c>
      <c r="P98" t="s">
        <v>3915</v>
      </c>
      <c r="Q98">
        <v>0</v>
      </c>
      <c r="R98" t="s">
        <v>30</v>
      </c>
      <c r="S98">
        <v>0</v>
      </c>
      <c r="T98">
        <v>0</v>
      </c>
      <c r="U98" t="s">
        <v>3915</v>
      </c>
      <c r="V98" t="s">
        <v>31</v>
      </c>
      <c r="W98">
        <v>0</v>
      </c>
    </row>
    <row r="99" spans="1:23" x14ac:dyDescent="0.25">
      <c r="A99" t="s">
        <v>5008</v>
      </c>
      <c r="B99" t="s">
        <v>1504</v>
      </c>
      <c r="C99" t="s">
        <v>1503</v>
      </c>
      <c r="D99" t="s">
        <v>4479</v>
      </c>
      <c r="E99" t="s">
        <v>3930</v>
      </c>
      <c r="F99" t="s">
        <v>669</v>
      </c>
      <c r="G99" t="s">
        <v>1406</v>
      </c>
      <c r="H99" s="6">
        <v>46022</v>
      </c>
      <c r="I99" t="s">
        <v>29</v>
      </c>
      <c r="J99">
        <v>10</v>
      </c>
      <c r="K99">
        <v>0</v>
      </c>
      <c r="L99">
        <v>0</v>
      </c>
      <c r="M99">
        <v>0</v>
      </c>
      <c r="N99" t="s">
        <v>3915</v>
      </c>
      <c r="O99" t="s">
        <v>3915</v>
      </c>
      <c r="P99" t="s">
        <v>3915</v>
      </c>
      <c r="Q99">
        <v>0</v>
      </c>
      <c r="R99" t="s">
        <v>30</v>
      </c>
      <c r="S99">
        <v>0</v>
      </c>
      <c r="T99">
        <v>0</v>
      </c>
      <c r="U99" t="s">
        <v>3915</v>
      </c>
      <c r="V99" t="s">
        <v>31</v>
      </c>
      <c r="W99">
        <v>0</v>
      </c>
    </row>
    <row r="100" spans="1:23" x14ac:dyDescent="0.25">
      <c r="A100" t="s">
        <v>5522</v>
      </c>
      <c r="B100" t="s">
        <v>5734</v>
      </c>
      <c r="C100" t="s">
        <v>5733</v>
      </c>
      <c r="D100" t="s">
        <v>4479</v>
      </c>
      <c r="E100" t="s">
        <v>3930</v>
      </c>
      <c r="F100" t="s">
        <v>669</v>
      </c>
      <c r="G100" t="s">
        <v>1406</v>
      </c>
      <c r="H100" s="6">
        <v>46022</v>
      </c>
      <c r="I100" t="s">
        <v>29</v>
      </c>
      <c r="J100">
        <v>0</v>
      </c>
      <c r="K100">
        <v>0</v>
      </c>
      <c r="L100">
        <v>0</v>
      </c>
      <c r="M100">
        <v>0</v>
      </c>
      <c r="N100" t="s">
        <v>3915</v>
      </c>
      <c r="O100" t="s">
        <v>3915</v>
      </c>
      <c r="P100" t="s">
        <v>3915</v>
      </c>
      <c r="Q100">
        <v>0</v>
      </c>
      <c r="R100" t="s">
        <v>30</v>
      </c>
      <c r="S100">
        <v>0</v>
      </c>
      <c r="T100">
        <v>0</v>
      </c>
      <c r="U100" t="s">
        <v>3915</v>
      </c>
      <c r="V100" t="s">
        <v>31</v>
      </c>
      <c r="W100">
        <v>0</v>
      </c>
    </row>
    <row r="101" spans="1:23" x14ac:dyDescent="0.25">
      <c r="A101" t="s">
        <v>3940</v>
      </c>
      <c r="B101" t="s">
        <v>1506</v>
      </c>
      <c r="C101" t="s">
        <v>1505</v>
      </c>
      <c r="D101" t="s">
        <v>4479</v>
      </c>
      <c r="E101" t="s">
        <v>3930</v>
      </c>
      <c r="F101" t="s">
        <v>669</v>
      </c>
      <c r="G101" t="s">
        <v>1406</v>
      </c>
      <c r="H101" s="6">
        <v>46022</v>
      </c>
      <c r="I101" t="s">
        <v>29</v>
      </c>
      <c r="J101">
        <v>5</v>
      </c>
      <c r="K101">
        <v>0</v>
      </c>
      <c r="L101">
        <v>0</v>
      </c>
      <c r="M101">
        <v>0</v>
      </c>
      <c r="N101" t="s">
        <v>3915</v>
      </c>
      <c r="O101" t="s">
        <v>3915</v>
      </c>
      <c r="P101" t="s">
        <v>3915</v>
      </c>
      <c r="Q101">
        <v>0</v>
      </c>
      <c r="R101" t="s">
        <v>30</v>
      </c>
      <c r="S101">
        <v>0</v>
      </c>
      <c r="T101">
        <v>0</v>
      </c>
      <c r="U101" t="s">
        <v>3915</v>
      </c>
      <c r="V101" t="s">
        <v>31</v>
      </c>
      <c r="W101">
        <v>0</v>
      </c>
    </row>
    <row r="102" spans="1:23" x14ac:dyDescent="0.25">
      <c r="A102" t="s">
        <v>4717</v>
      </c>
      <c r="B102" t="s">
        <v>1508</v>
      </c>
      <c r="C102" t="s">
        <v>1507</v>
      </c>
      <c r="D102" t="s">
        <v>4479</v>
      </c>
      <c r="E102" t="s">
        <v>3930</v>
      </c>
      <c r="F102" t="s">
        <v>669</v>
      </c>
      <c r="G102" t="s">
        <v>1406</v>
      </c>
      <c r="H102" s="6">
        <v>46022</v>
      </c>
      <c r="I102" t="s">
        <v>29</v>
      </c>
      <c r="J102">
        <v>53</v>
      </c>
      <c r="K102">
        <v>0</v>
      </c>
      <c r="L102">
        <v>0</v>
      </c>
      <c r="M102">
        <v>0</v>
      </c>
      <c r="N102" t="s">
        <v>3915</v>
      </c>
      <c r="O102" t="s">
        <v>3915</v>
      </c>
      <c r="P102" t="s">
        <v>3915</v>
      </c>
      <c r="Q102">
        <v>0</v>
      </c>
      <c r="R102" t="s">
        <v>30</v>
      </c>
      <c r="S102">
        <v>0</v>
      </c>
      <c r="T102">
        <v>0</v>
      </c>
      <c r="U102" t="s">
        <v>3915</v>
      </c>
      <c r="V102" t="s">
        <v>31</v>
      </c>
      <c r="W102">
        <v>0</v>
      </c>
    </row>
    <row r="103" spans="1:23" x14ac:dyDescent="0.25">
      <c r="A103" t="s">
        <v>4262</v>
      </c>
      <c r="B103" t="s">
        <v>1510</v>
      </c>
      <c r="C103" t="s">
        <v>1509</v>
      </c>
      <c r="D103" t="s">
        <v>4479</v>
      </c>
      <c r="E103" t="s">
        <v>3930</v>
      </c>
      <c r="F103" t="s">
        <v>669</v>
      </c>
      <c r="G103" t="s">
        <v>1406</v>
      </c>
      <c r="H103" s="6">
        <v>46022</v>
      </c>
      <c r="I103" t="s">
        <v>29</v>
      </c>
      <c r="J103">
        <v>44</v>
      </c>
      <c r="K103">
        <v>0</v>
      </c>
      <c r="L103">
        <v>0</v>
      </c>
      <c r="M103">
        <v>0</v>
      </c>
      <c r="N103" t="s">
        <v>3915</v>
      </c>
      <c r="O103" t="s">
        <v>3915</v>
      </c>
      <c r="P103" t="s">
        <v>3915</v>
      </c>
      <c r="Q103">
        <v>0</v>
      </c>
      <c r="R103" t="s">
        <v>30</v>
      </c>
      <c r="S103">
        <v>0</v>
      </c>
      <c r="T103">
        <v>0</v>
      </c>
      <c r="U103" t="s">
        <v>3915</v>
      </c>
      <c r="V103" t="s">
        <v>31</v>
      </c>
      <c r="W103">
        <v>0</v>
      </c>
    </row>
    <row r="104" spans="1:23" x14ac:dyDescent="0.25">
      <c r="A104" t="s">
        <v>5598</v>
      </c>
      <c r="B104" t="s">
        <v>755</v>
      </c>
      <c r="C104" t="s">
        <v>756</v>
      </c>
      <c r="D104" t="s">
        <v>4479</v>
      </c>
      <c r="E104" t="s">
        <v>3930</v>
      </c>
      <c r="F104" t="s">
        <v>669</v>
      </c>
      <c r="G104" t="s">
        <v>1406</v>
      </c>
      <c r="H104" s="6">
        <v>46022</v>
      </c>
      <c r="I104" t="s">
        <v>29</v>
      </c>
      <c r="J104">
        <v>2</v>
      </c>
      <c r="K104">
        <v>0</v>
      </c>
      <c r="L104">
        <v>0</v>
      </c>
      <c r="M104">
        <v>0</v>
      </c>
      <c r="N104" t="s">
        <v>3915</v>
      </c>
      <c r="O104" t="s">
        <v>3915</v>
      </c>
      <c r="P104" t="s">
        <v>3915</v>
      </c>
      <c r="Q104">
        <v>0</v>
      </c>
      <c r="R104" t="s">
        <v>30</v>
      </c>
      <c r="S104">
        <v>0</v>
      </c>
      <c r="T104">
        <v>0</v>
      </c>
      <c r="U104" t="s">
        <v>3915</v>
      </c>
      <c r="V104" t="s">
        <v>31</v>
      </c>
      <c r="W104">
        <v>0</v>
      </c>
    </row>
    <row r="105" spans="1:23" x14ac:dyDescent="0.25">
      <c r="A105" t="s">
        <v>4355</v>
      </c>
      <c r="B105" t="s">
        <v>181</v>
      </c>
      <c r="C105" t="s">
        <v>182</v>
      </c>
      <c r="D105" t="s">
        <v>4479</v>
      </c>
      <c r="E105" t="s">
        <v>4094</v>
      </c>
      <c r="F105" t="s">
        <v>168</v>
      </c>
      <c r="G105" t="s">
        <v>1406</v>
      </c>
      <c r="H105" s="6">
        <v>46022</v>
      </c>
      <c r="I105" t="s">
        <v>29</v>
      </c>
      <c r="J105">
        <v>1</v>
      </c>
      <c r="K105">
        <v>0</v>
      </c>
      <c r="L105">
        <v>0</v>
      </c>
      <c r="M105">
        <v>0</v>
      </c>
      <c r="N105" t="s">
        <v>3915</v>
      </c>
      <c r="O105" t="s">
        <v>3915</v>
      </c>
      <c r="P105" t="s">
        <v>3915</v>
      </c>
      <c r="Q105">
        <v>0</v>
      </c>
      <c r="R105" t="s">
        <v>101</v>
      </c>
      <c r="S105">
        <v>0</v>
      </c>
      <c r="T105">
        <v>0</v>
      </c>
      <c r="U105" t="s">
        <v>3915</v>
      </c>
      <c r="V105" t="s">
        <v>31</v>
      </c>
      <c r="W105">
        <v>0</v>
      </c>
    </row>
    <row r="106" spans="1:23" x14ac:dyDescent="0.25">
      <c r="A106" t="s">
        <v>4222</v>
      </c>
      <c r="B106" t="s">
        <v>187</v>
      </c>
      <c r="C106" t="s">
        <v>188</v>
      </c>
      <c r="D106" t="s">
        <v>4479</v>
      </c>
      <c r="E106" t="s">
        <v>4094</v>
      </c>
      <c r="F106" t="s">
        <v>168</v>
      </c>
      <c r="G106" t="s">
        <v>1406</v>
      </c>
      <c r="H106" s="6">
        <v>46022</v>
      </c>
      <c r="I106" t="s">
        <v>29</v>
      </c>
      <c r="J106">
        <v>0</v>
      </c>
      <c r="K106">
        <v>0</v>
      </c>
      <c r="L106">
        <v>0</v>
      </c>
      <c r="M106">
        <v>0</v>
      </c>
      <c r="N106" t="s">
        <v>3915</v>
      </c>
      <c r="O106" t="s">
        <v>3915</v>
      </c>
      <c r="P106" t="s">
        <v>3915</v>
      </c>
      <c r="Q106">
        <v>0</v>
      </c>
      <c r="R106" t="s">
        <v>101</v>
      </c>
      <c r="S106">
        <v>0</v>
      </c>
      <c r="T106">
        <v>0</v>
      </c>
      <c r="U106" t="s">
        <v>3915</v>
      </c>
      <c r="V106" t="s">
        <v>31</v>
      </c>
      <c r="W106">
        <v>0</v>
      </c>
    </row>
    <row r="107" spans="1:23" x14ac:dyDescent="0.25">
      <c r="A107" t="s">
        <v>4460</v>
      </c>
      <c r="B107" t="s">
        <v>189</v>
      </c>
      <c r="C107" t="s">
        <v>190</v>
      </c>
      <c r="D107" t="s">
        <v>4479</v>
      </c>
      <c r="E107" t="s">
        <v>4094</v>
      </c>
      <c r="F107" t="s">
        <v>168</v>
      </c>
      <c r="G107" t="s">
        <v>1406</v>
      </c>
      <c r="H107" s="6">
        <v>46022</v>
      </c>
      <c r="I107" t="s">
        <v>29</v>
      </c>
      <c r="J107">
        <v>2</v>
      </c>
      <c r="K107">
        <v>0</v>
      </c>
      <c r="L107">
        <v>0</v>
      </c>
      <c r="M107">
        <v>0</v>
      </c>
      <c r="N107" t="s">
        <v>3915</v>
      </c>
      <c r="O107" t="s">
        <v>3915</v>
      </c>
      <c r="P107" t="s">
        <v>3915</v>
      </c>
      <c r="Q107">
        <v>0</v>
      </c>
      <c r="R107" t="s">
        <v>101</v>
      </c>
      <c r="S107">
        <v>0</v>
      </c>
      <c r="T107">
        <v>0</v>
      </c>
      <c r="U107" t="s">
        <v>3915</v>
      </c>
      <c r="V107" t="s">
        <v>31</v>
      </c>
      <c r="W107">
        <v>0</v>
      </c>
    </row>
    <row r="108" spans="1:23" x14ac:dyDescent="0.25">
      <c r="A108" t="s">
        <v>4463</v>
      </c>
      <c r="B108" t="s">
        <v>191</v>
      </c>
      <c r="C108" t="s">
        <v>192</v>
      </c>
      <c r="D108" t="s">
        <v>4479</v>
      </c>
      <c r="E108" t="s">
        <v>4094</v>
      </c>
      <c r="F108" t="s">
        <v>168</v>
      </c>
      <c r="G108" t="s">
        <v>1406</v>
      </c>
      <c r="H108" s="6">
        <v>46022</v>
      </c>
      <c r="I108" t="s">
        <v>29</v>
      </c>
      <c r="J108">
        <v>0</v>
      </c>
      <c r="K108">
        <v>0</v>
      </c>
      <c r="L108">
        <v>0</v>
      </c>
      <c r="M108">
        <v>0</v>
      </c>
      <c r="N108" t="s">
        <v>3915</v>
      </c>
      <c r="O108" t="s">
        <v>3915</v>
      </c>
      <c r="P108" t="s">
        <v>3915</v>
      </c>
      <c r="Q108">
        <v>0</v>
      </c>
      <c r="R108" t="s">
        <v>101</v>
      </c>
      <c r="S108">
        <v>0</v>
      </c>
      <c r="T108">
        <v>0</v>
      </c>
      <c r="U108" t="s">
        <v>3915</v>
      </c>
      <c r="V108" t="s">
        <v>31</v>
      </c>
      <c r="W108">
        <v>0</v>
      </c>
    </row>
    <row r="109" spans="1:23" x14ac:dyDescent="0.25">
      <c r="A109" t="s">
        <v>4755</v>
      </c>
      <c r="B109" t="s">
        <v>210</v>
      </c>
      <c r="C109" t="s">
        <v>211</v>
      </c>
      <c r="D109" t="s">
        <v>4479</v>
      </c>
      <c r="E109" t="s">
        <v>4094</v>
      </c>
      <c r="F109" t="s">
        <v>168</v>
      </c>
      <c r="G109" t="s">
        <v>1406</v>
      </c>
      <c r="H109" s="6">
        <v>46022</v>
      </c>
      <c r="I109" t="s">
        <v>29</v>
      </c>
      <c r="J109">
        <v>4</v>
      </c>
      <c r="K109">
        <v>0</v>
      </c>
      <c r="L109">
        <v>0</v>
      </c>
      <c r="M109">
        <v>0</v>
      </c>
      <c r="N109" t="s">
        <v>3915</v>
      </c>
      <c r="O109" t="s">
        <v>3915</v>
      </c>
      <c r="P109" t="s">
        <v>3915</v>
      </c>
      <c r="Q109">
        <v>0</v>
      </c>
      <c r="R109" t="s">
        <v>101</v>
      </c>
      <c r="S109">
        <v>0</v>
      </c>
      <c r="T109">
        <v>0</v>
      </c>
      <c r="U109" t="s">
        <v>3915</v>
      </c>
      <c r="V109" t="s">
        <v>31</v>
      </c>
      <c r="W109">
        <v>0</v>
      </c>
    </row>
    <row r="110" spans="1:23" x14ac:dyDescent="0.25">
      <c r="A110" t="s">
        <v>4225</v>
      </c>
      <c r="B110" t="s">
        <v>215</v>
      </c>
      <c r="C110" t="s">
        <v>216</v>
      </c>
      <c r="D110" t="s">
        <v>4479</v>
      </c>
      <c r="E110" t="s">
        <v>4094</v>
      </c>
      <c r="F110" t="s">
        <v>168</v>
      </c>
      <c r="G110" t="s">
        <v>1406</v>
      </c>
      <c r="H110" s="6">
        <v>46022</v>
      </c>
      <c r="I110" t="s">
        <v>29</v>
      </c>
      <c r="J110">
        <v>0</v>
      </c>
      <c r="K110">
        <v>0</v>
      </c>
      <c r="L110">
        <v>0</v>
      </c>
      <c r="M110">
        <v>0</v>
      </c>
      <c r="N110" t="s">
        <v>3915</v>
      </c>
      <c r="O110" t="s">
        <v>3915</v>
      </c>
      <c r="P110" t="s">
        <v>3915</v>
      </c>
      <c r="Q110">
        <v>0</v>
      </c>
      <c r="R110" t="s">
        <v>101</v>
      </c>
      <c r="S110">
        <v>0</v>
      </c>
      <c r="T110">
        <v>0</v>
      </c>
      <c r="U110" t="s">
        <v>3915</v>
      </c>
      <c r="V110" t="s">
        <v>31</v>
      </c>
      <c r="W110">
        <v>0</v>
      </c>
    </row>
    <row r="111" spans="1:23" x14ac:dyDescent="0.25">
      <c r="A111" t="s">
        <v>4543</v>
      </c>
      <c r="B111" t="s">
        <v>217</v>
      </c>
      <c r="C111" t="s">
        <v>218</v>
      </c>
      <c r="D111" t="s">
        <v>4479</v>
      </c>
      <c r="E111" t="s">
        <v>4094</v>
      </c>
      <c r="F111" t="s">
        <v>168</v>
      </c>
      <c r="G111" t="s">
        <v>1406</v>
      </c>
      <c r="H111" s="6">
        <v>46022</v>
      </c>
      <c r="I111" t="s">
        <v>29</v>
      </c>
      <c r="J111">
        <v>7</v>
      </c>
      <c r="K111">
        <v>0</v>
      </c>
      <c r="L111">
        <v>0</v>
      </c>
      <c r="M111">
        <v>0</v>
      </c>
      <c r="N111" t="s">
        <v>3915</v>
      </c>
      <c r="O111" t="s">
        <v>3915</v>
      </c>
      <c r="P111" t="s">
        <v>3915</v>
      </c>
      <c r="Q111">
        <v>0</v>
      </c>
      <c r="R111" t="s">
        <v>30</v>
      </c>
      <c r="S111">
        <v>0</v>
      </c>
      <c r="T111">
        <v>0</v>
      </c>
      <c r="U111" t="s">
        <v>3915</v>
      </c>
      <c r="V111" t="s">
        <v>31</v>
      </c>
      <c r="W111">
        <v>0</v>
      </c>
    </row>
    <row r="112" spans="1:23" x14ac:dyDescent="0.25">
      <c r="A112" t="s">
        <v>5539</v>
      </c>
      <c r="B112" t="s">
        <v>796</v>
      </c>
      <c r="C112" t="s">
        <v>797</v>
      </c>
      <c r="D112" t="s">
        <v>4479</v>
      </c>
      <c r="E112" t="s">
        <v>4581</v>
      </c>
      <c r="F112" t="s">
        <v>791</v>
      </c>
      <c r="G112" t="s">
        <v>1406</v>
      </c>
      <c r="H112" s="6">
        <v>46022</v>
      </c>
      <c r="I112" t="s">
        <v>29</v>
      </c>
      <c r="J112">
        <v>30</v>
      </c>
      <c r="K112">
        <v>0</v>
      </c>
      <c r="L112">
        <v>0</v>
      </c>
      <c r="M112">
        <v>0</v>
      </c>
      <c r="N112" t="s">
        <v>3915</v>
      </c>
      <c r="O112" t="s">
        <v>3915</v>
      </c>
      <c r="P112" t="s">
        <v>3915</v>
      </c>
      <c r="Q112">
        <v>0</v>
      </c>
      <c r="R112" t="s">
        <v>30</v>
      </c>
      <c r="S112">
        <v>0</v>
      </c>
      <c r="T112">
        <v>0</v>
      </c>
      <c r="U112" t="s">
        <v>3915</v>
      </c>
      <c r="V112" t="s">
        <v>31</v>
      </c>
      <c r="W112">
        <v>0</v>
      </c>
    </row>
    <row r="113" spans="1:23" x14ac:dyDescent="0.25">
      <c r="A113" t="s">
        <v>4432</v>
      </c>
      <c r="B113" t="s">
        <v>798</v>
      </c>
      <c r="C113" t="s">
        <v>799</v>
      </c>
      <c r="D113" t="s">
        <v>4479</v>
      </c>
      <c r="E113" t="s">
        <v>4581</v>
      </c>
      <c r="F113" t="s">
        <v>791</v>
      </c>
      <c r="G113" t="s">
        <v>1406</v>
      </c>
      <c r="H113" s="6">
        <v>46022</v>
      </c>
      <c r="I113" t="s">
        <v>29</v>
      </c>
      <c r="J113">
        <v>3</v>
      </c>
      <c r="K113">
        <v>0</v>
      </c>
      <c r="L113">
        <v>0</v>
      </c>
      <c r="M113">
        <v>0</v>
      </c>
      <c r="N113" t="s">
        <v>3915</v>
      </c>
      <c r="O113" t="s">
        <v>3915</v>
      </c>
      <c r="P113" t="s">
        <v>3915</v>
      </c>
      <c r="Q113">
        <v>0</v>
      </c>
      <c r="R113" t="s">
        <v>30</v>
      </c>
      <c r="S113">
        <v>0</v>
      </c>
      <c r="T113">
        <v>0</v>
      </c>
      <c r="U113" t="s">
        <v>3915</v>
      </c>
      <c r="V113" t="s">
        <v>31</v>
      </c>
      <c r="W113">
        <v>0</v>
      </c>
    </row>
    <row r="114" spans="1:23" x14ac:dyDescent="0.25">
      <c r="A114" t="s">
        <v>4338</v>
      </c>
      <c r="B114" t="s">
        <v>802</v>
      </c>
      <c r="C114" t="s">
        <v>803</v>
      </c>
      <c r="D114" t="s">
        <v>4479</v>
      </c>
      <c r="E114" t="s">
        <v>4581</v>
      </c>
      <c r="F114" t="s">
        <v>791</v>
      </c>
      <c r="G114" t="s">
        <v>1406</v>
      </c>
      <c r="H114" s="6">
        <v>46022</v>
      </c>
      <c r="I114" t="s">
        <v>29</v>
      </c>
      <c r="J114">
        <v>12</v>
      </c>
      <c r="K114">
        <v>0</v>
      </c>
      <c r="L114">
        <v>0</v>
      </c>
      <c r="M114">
        <v>0</v>
      </c>
      <c r="N114" t="s">
        <v>3915</v>
      </c>
      <c r="O114" t="s">
        <v>3915</v>
      </c>
      <c r="P114" t="s">
        <v>3915</v>
      </c>
      <c r="Q114">
        <v>0</v>
      </c>
      <c r="R114" t="s">
        <v>30</v>
      </c>
      <c r="S114">
        <v>0</v>
      </c>
      <c r="T114">
        <v>0</v>
      </c>
      <c r="U114" t="s">
        <v>3915</v>
      </c>
      <c r="V114" t="s">
        <v>31</v>
      </c>
      <c r="W114">
        <v>0</v>
      </c>
    </row>
    <row r="115" spans="1:23" x14ac:dyDescent="0.25">
      <c r="A115" t="s">
        <v>3977</v>
      </c>
      <c r="B115" t="s">
        <v>1544</v>
      </c>
      <c r="C115" t="s">
        <v>1543</v>
      </c>
      <c r="D115" t="s">
        <v>4479</v>
      </c>
      <c r="E115" t="s">
        <v>4581</v>
      </c>
      <c r="F115" t="s">
        <v>791</v>
      </c>
      <c r="G115" t="s">
        <v>1406</v>
      </c>
      <c r="H115" s="6">
        <v>46022</v>
      </c>
      <c r="I115" t="s">
        <v>29</v>
      </c>
      <c r="J115">
        <v>35</v>
      </c>
      <c r="K115">
        <v>0</v>
      </c>
      <c r="L115">
        <v>0</v>
      </c>
      <c r="M115">
        <v>0</v>
      </c>
      <c r="N115" t="s">
        <v>3915</v>
      </c>
      <c r="O115" t="s">
        <v>3915</v>
      </c>
      <c r="P115" t="s">
        <v>3915</v>
      </c>
      <c r="Q115">
        <v>0</v>
      </c>
      <c r="R115" t="s">
        <v>30</v>
      </c>
      <c r="S115">
        <v>0</v>
      </c>
      <c r="T115">
        <v>0</v>
      </c>
      <c r="U115" t="s">
        <v>3915</v>
      </c>
      <c r="V115" t="s">
        <v>31</v>
      </c>
      <c r="W115">
        <v>0</v>
      </c>
    </row>
    <row r="116" spans="1:23" x14ac:dyDescent="0.25">
      <c r="A116" t="s">
        <v>4607</v>
      </c>
      <c r="B116" t="s">
        <v>814</v>
      </c>
      <c r="C116" t="s">
        <v>815</v>
      </c>
      <c r="D116" t="s">
        <v>4479</v>
      </c>
      <c r="E116" t="s">
        <v>4581</v>
      </c>
      <c r="F116" t="s">
        <v>791</v>
      </c>
      <c r="G116" t="s">
        <v>1406</v>
      </c>
      <c r="H116" s="6">
        <v>46022</v>
      </c>
      <c r="I116" t="s">
        <v>29</v>
      </c>
      <c r="J116">
        <v>25</v>
      </c>
      <c r="K116">
        <v>0</v>
      </c>
      <c r="L116">
        <v>0</v>
      </c>
      <c r="M116">
        <v>0</v>
      </c>
      <c r="N116" t="s">
        <v>3915</v>
      </c>
      <c r="O116" t="s">
        <v>3915</v>
      </c>
      <c r="P116" t="s">
        <v>3915</v>
      </c>
      <c r="Q116">
        <v>0</v>
      </c>
      <c r="R116" t="s">
        <v>30</v>
      </c>
      <c r="S116">
        <v>0</v>
      </c>
      <c r="T116">
        <v>0</v>
      </c>
      <c r="U116" t="s">
        <v>3915</v>
      </c>
      <c r="V116" t="s">
        <v>31</v>
      </c>
      <c r="W116">
        <v>0</v>
      </c>
    </row>
    <row r="117" spans="1:23" x14ac:dyDescent="0.25">
      <c r="A117" t="s">
        <v>4673</v>
      </c>
      <c r="B117" t="s">
        <v>818</v>
      </c>
      <c r="C117" t="s">
        <v>819</v>
      </c>
      <c r="D117" t="s">
        <v>4479</v>
      </c>
      <c r="E117" t="s">
        <v>4581</v>
      </c>
      <c r="F117" t="s">
        <v>791</v>
      </c>
      <c r="G117" t="s">
        <v>1406</v>
      </c>
      <c r="H117" s="6">
        <v>46022</v>
      </c>
      <c r="I117" t="s">
        <v>29</v>
      </c>
      <c r="J117">
        <v>20</v>
      </c>
      <c r="K117">
        <v>0</v>
      </c>
      <c r="L117">
        <v>0</v>
      </c>
      <c r="M117">
        <v>0</v>
      </c>
      <c r="N117" t="s">
        <v>3915</v>
      </c>
      <c r="O117" t="s">
        <v>3915</v>
      </c>
      <c r="P117" t="s">
        <v>3915</v>
      </c>
      <c r="Q117">
        <v>0</v>
      </c>
      <c r="R117" t="s">
        <v>30</v>
      </c>
      <c r="S117">
        <v>0</v>
      </c>
      <c r="T117">
        <v>0</v>
      </c>
      <c r="U117" t="s">
        <v>3915</v>
      </c>
      <c r="V117" t="s">
        <v>31</v>
      </c>
      <c r="W117">
        <v>0</v>
      </c>
    </row>
    <row r="118" spans="1:23" x14ac:dyDescent="0.25">
      <c r="A118" t="s">
        <v>5599</v>
      </c>
      <c r="B118" t="s">
        <v>830</v>
      </c>
      <c r="C118" t="s">
        <v>831</v>
      </c>
      <c r="D118" t="s">
        <v>4479</v>
      </c>
      <c r="E118" t="s">
        <v>4581</v>
      </c>
      <c r="F118" t="s">
        <v>791</v>
      </c>
      <c r="G118" t="s">
        <v>1406</v>
      </c>
      <c r="H118" s="6">
        <v>46022</v>
      </c>
      <c r="I118" t="s">
        <v>29</v>
      </c>
      <c r="J118">
        <v>27</v>
      </c>
      <c r="K118">
        <v>0</v>
      </c>
      <c r="L118">
        <v>0</v>
      </c>
      <c r="M118">
        <v>0</v>
      </c>
      <c r="N118" t="s">
        <v>3915</v>
      </c>
      <c r="O118" t="s">
        <v>3915</v>
      </c>
      <c r="P118" t="s">
        <v>3915</v>
      </c>
      <c r="Q118">
        <v>0</v>
      </c>
      <c r="R118" t="s">
        <v>30</v>
      </c>
      <c r="S118">
        <v>0</v>
      </c>
      <c r="T118">
        <v>0</v>
      </c>
      <c r="U118" t="s">
        <v>3915</v>
      </c>
      <c r="V118" t="s">
        <v>31</v>
      </c>
      <c r="W118">
        <v>0</v>
      </c>
    </row>
    <row r="119" spans="1:23" x14ac:dyDescent="0.25">
      <c r="A119" t="s">
        <v>4779</v>
      </c>
      <c r="B119" t="s">
        <v>832</v>
      </c>
      <c r="C119" t="s">
        <v>833</v>
      </c>
      <c r="D119" t="s">
        <v>4479</v>
      </c>
      <c r="E119" t="s">
        <v>4581</v>
      </c>
      <c r="F119" t="s">
        <v>791</v>
      </c>
      <c r="G119" t="s">
        <v>1406</v>
      </c>
      <c r="H119" s="6">
        <v>46022</v>
      </c>
      <c r="I119" t="s">
        <v>29</v>
      </c>
      <c r="J119">
        <v>3</v>
      </c>
      <c r="K119">
        <v>0</v>
      </c>
      <c r="L119">
        <v>0</v>
      </c>
      <c r="M119">
        <v>0</v>
      </c>
      <c r="N119" t="s">
        <v>3915</v>
      </c>
      <c r="O119" t="s">
        <v>3915</v>
      </c>
      <c r="P119" t="s">
        <v>3915</v>
      </c>
      <c r="Q119">
        <v>0</v>
      </c>
      <c r="R119" t="s">
        <v>30</v>
      </c>
      <c r="S119">
        <v>0</v>
      </c>
      <c r="T119">
        <v>0</v>
      </c>
      <c r="U119" t="s">
        <v>3915</v>
      </c>
      <c r="V119" t="s">
        <v>31</v>
      </c>
      <c r="W119">
        <v>0</v>
      </c>
    </row>
    <row r="120" spans="1:23" x14ac:dyDescent="0.25">
      <c r="A120" t="s">
        <v>4185</v>
      </c>
      <c r="B120" t="s">
        <v>840</v>
      </c>
      <c r="C120" t="s">
        <v>841</v>
      </c>
      <c r="D120" t="s">
        <v>4479</v>
      </c>
      <c r="E120" t="s">
        <v>4581</v>
      </c>
      <c r="F120" t="s">
        <v>791</v>
      </c>
      <c r="G120" t="s">
        <v>1406</v>
      </c>
      <c r="H120" s="6">
        <v>46022</v>
      </c>
      <c r="I120" t="s">
        <v>29</v>
      </c>
      <c r="J120">
        <v>16</v>
      </c>
      <c r="K120">
        <v>0</v>
      </c>
      <c r="L120">
        <v>0</v>
      </c>
      <c r="M120">
        <v>0</v>
      </c>
      <c r="N120" t="s">
        <v>3915</v>
      </c>
      <c r="O120" t="s">
        <v>3915</v>
      </c>
      <c r="P120" t="s">
        <v>3915</v>
      </c>
      <c r="Q120">
        <v>0</v>
      </c>
      <c r="R120" t="s">
        <v>30</v>
      </c>
      <c r="S120">
        <v>0</v>
      </c>
      <c r="T120">
        <v>0</v>
      </c>
      <c r="U120" t="s">
        <v>3915</v>
      </c>
      <c r="V120" t="s">
        <v>31</v>
      </c>
      <c r="W120">
        <v>0</v>
      </c>
    </row>
    <row r="121" spans="1:23" x14ac:dyDescent="0.25">
      <c r="A121" t="s">
        <v>5487</v>
      </c>
      <c r="B121" t="s">
        <v>846</v>
      </c>
      <c r="C121" t="s">
        <v>847</v>
      </c>
      <c r="D121" t="s">
        <v>4479</v>
      </c>
      <c r="E121" t="s">
        <v>4581</v>
      </c>
      <c r="F121" t="s">
        <v>791</v>
      </c>
      <c r="G121" t="s">
        <v>1406</v>
      </c>
      <c r="H121" s="6">
        <v>46022</v>
      </c>
      <c r="I121" t="s">
        <v>29</v>
      </c>
      <c r="J121">
        <v>20</v>
      </c>
      <c r="K121">
        <v>0</v>
      </c>
      <c r="L121">
        <v>0</v>
      </c>
      <c r="M121">
        <v>0</v>
      </c>
      <c r="N121" t="s">
        <v>3915</v>
      </c>
      <c r="O121" t="s">
        <v>3915</v>
      </c>
      <c r="P121" t="s">
        <v>3915</v>
      </c>
      <c r="Q121">
        <v>0</v>
      </c>
      <c r="R121" t="s">
        <v>30</v>
      </c>
      <c r="S121">
        <v>0</v>
      </c>
      <c r="T121">
        <v>0</v>
      </c>
      <c r="U121" t="s">
        <v>3915</v>
      </c>
      <c r="V121" t="s">
        <v>31</v>
      </c>
      <c r="W121">
        <v>0</v>
      </c>
    </row>
    <row r="122" spans="1:23" x14ac:dyDescent="0.25">
      <c r="A122" t="s">
        <v>5352</v>
      </c>
      <c r="B122" t="s">
        <v>852</v>
      </c>
      <c r="C122" t="s">
        <v>853</v>
      </c>
      <c r="D122" t="s">
        <v>4479</v>
      </c>
      <c r="E122" t="s">
        <v>4581</v>
      </c>
      <c r="F122" t="s">
        <v>791</v>
      </c>
      <c r="G122" t="s">
        <v>1406</v>
      </c>
      <c r="H122" s="6">
        <v>46022</v>
      </c>
      <c r="I122" t="s">
        <v>29</v>
      </c>
      <c r="J122">
        <v>9</v>
      </c>
      <c r="K122">
        <v>0</v>
      </c>
      <c r="L122">
        <v>0</v>
      </c>
      <c r="M122">
        <v>0</v>
      </c>
      <c r="N122" t="s">
        <v>3915</v>
      </c>
      <c r="O122" t="s">
        <v>3915</v>
      </c>
      <c r="P122" t="s">
        <v>3915</v>
      </c>
      <c r="Q122">
        <v>0</v>
      </c>
      <c r="R122" t="s">
        <v>30</v>
      </c>
      <c r="S122">
        <v>0</v>
      </c>
      <c r="T122">
        <v>0</v>
      </c>
      <c r="U122" t="s">
        <v>3915</v>
      </c>
      <c r="V122" t="s">
        <v>31</v>
      </c>
      <c r="W122">
        <v>0</v>
      </c>
    </row>
    <row r="123" spans="1:23" x14ac:dyDescent="0.25">
      <c r="A123" t="s">
        <v>4541</v>
      </c>
      <c r="B123" t="s">
        <v>854</v>
      </c>
      <c r="C123" t="s">
        <v>855</v>
      </c>
      <c r="D123" t="s">
        <v>4479</v>
      </c>
      <c r="E123" t="s">
        <v>4581</v>
      </c>
      <c r="F123" t="s">
        <v>791</v>
      </c>
      <c r="G123" t="s">
        <v>1406</v>
      </c>
      <c r="H123" s="6">
        <v>46022</v>
      </c>
      <c r="I123" t="s">
        <v>29</v>
      </c>
      <c r="J123">
        <v>0</v>
      </c>
      <c r="K123">
        <v>0</v>
      </c>
      <c r="L123">
        <v>0</v>
      </c>
      <c r="M123">
        <v>0</v>
      </c>
      <c r="N123" t="s">
        <v>3915</v>
      </c>
      <c r="O123" t="s">
        <v>3915</v>
      </c>
      <c r="P123" t="s">
        <v>3915</v>
      </c>
      <c r="Q123">
        <v>0</v>
      </c>
      <c r="R123" t="s">
        <v>30</v>
      </c>
      <c r="S123">
        <v>0</v>
      </c>
      <c r="T123">
        <v>0</v>
      </c>
      <c r="U123" t="s">
        <v>3915</v>
      </c>
      <c r="V123" t="s">
        <v>31</v>
      </c>
      <c r="W123">
        <v>0</v>
      </c>
    </row>
    <row r="124" spans="1:23" x14ac:dyDescent="0.25">
      <c r="A124" t="s">
        <v>5600</v>
      </c>
      <c r="B124" t="s">
        <v>856</v>
      </c>
      <c r="C124" t="s">
        <v>857</v>
      </c>
      <c r="D124" t="s">
        <v>4479</v>
      </c>
      <c r="E124" t="s">
        <v>4581</v>
      </c>
      <c r="F124" t="s">
        <v>791</v>
      </c>
      <c r="G124" t="s">
        <v>1406</v>
      </c>
      <c r="H124" s="6">
        <v>46022</v>
      </c>
      <c r="I124" t="s">
        <v>29</v>
      </c>
      <c r="J124">
        <v>1</v>
      </c>
      <c r="K124">
        <v>0</v>
      </c>
      <c r="L124">
        <v>0</v>
      </c>
      <c r="M124">
        <v>0</v>
      </c>
      <c r="N124" t="s">
        <v>3915</v>
      </c>
      <c r="O124" t="s">
        <v>3915</v>
      </c>
      <c r="P124" t="s">
        <v>3915</v>
      </c>
      <c r="Q124">
        <v>0</v>
      </c>
      <c r="R124" t="s">
        <v>30</v>
      </c>
      <c r="S124">
        <v>0</v>
      </c>
      <c r="T124">
        <v>0</v>
      </c>
      <c r="U124" t="s">
        <v>3915</v>
      </c>
      <c r="V124" t="s">
        <v>31</v>
      </c>
      <c r="W124">
        <v>0</v>
      </c>
    </row>
    <row r="125" spans="1:23" x14ac:dyDescent="0.25">
      <c r="A125" t="s">
        <v>4386</v>
      </c>
      <c r="B125" t="s">
        <v>858</v>
      </c>
      <c r="C125" t="s">
        <v>859</v>
      </c>
      <c r="D125" t="s">
        <v>4479</v>
      </c>
      <c r="E125" t="s">
        <v>4581</v>
      </c>
      <c r="F125" t="s">
        <v>791</v>
      </c>
      <c r="G125" t="s">
        <v>1406</v>
      </c>
      <c r="H125" s="6">
        <v>46022</v>
      </c>
      <c r="I125" t="s">
        <v>29</v>
      </c>
      <c r="J125">
        <v>0</v>
      </c>
      <c r="K125">
        <v>0</v>
      </c>
      <c r="L125">
        <v>0</v>
      </c>
      <c r="M125">
        <v>0</v>
      </c>
      <c r="N125" t="s">
        <v>3915</v>
      </c>
      <c r="O125" t="s">
        <v>3915</v>
      </c>
      <c r="P125" t="s">
        <v>3915</v>
      </c>
      <c r="Q125">
        <v>0</v>
      </c>
      <c r="R125" t="s">
        <v>30</v>
      </c>
      <c r="S125">
        <v>0</v>
      </c>
      <c r="T125">
        <v>0</v>
      </c>
      <c r="U125" t="s">
        <v>3915</v>
      </c>
      <c r="V125" t="s">
        <v>31</v>
      </c>
      <c r="W125">
        <v>0</v>
      </c>
    </row>
    <row r="126" spans="1:23" x14ac:dyDescent="0.25">
      <c r="A126" t="s">
        <v>4427</v>
      </c>
      <c r="B126" t="s">
        <v>874</v>
      </c>
      <c r="C126" t="s">
        <v>875</v>
      </c>
      <c r="D126" t="s">
        <v>4479</v>
      </c>
      <c r="E126" t="s">
        <v>4581</v>
      </c>
      <c r="F126" t="s">
        <v>791</v>
      </c>
      <c r="G126" t="s">
        <v>1406</v>
      </c>
      <c r="H126" s="6">
        <v>46022</v>
      </c>
      <c r="I126" t="s">
        <v>29</v>
      </c>
      <c r="J126">
        <v>6</v>
      </c>
      <c r="K126">
        <v>0</v>
      </c>
      <c r="L126">
        <v>0</v>
      </c>
      <c r="M126">
        <v>0</v>
      </c>
      <c r="N126" t="s">
        <v>3915</v>
      </c>
      <c r="O126" t="s">
        <v>3915</v>
      </c>
      <c r="P126" t="s">
        <v>3915</v>
      </c>
      <c r="Q126">
        <v>0</v>
      </c>
      <c r="R126" t="s">
        <v>30</v>
      </c>
      <c r="S126">
        <v>0</v>
      </c>
      <c r="T126">
        <v>0</v>
      </c>
      <c r="U126" t="s">
        <v>3915</v>
      </c>
      <c r="V126" t="s">
        <v>31</v>
      </c>
      <c r="W126">
        <v>0</v>
      </c>
    </row>
    <row r="127" spans="1:23" x14ac:dyDescent="0.25">
      <c r="A127" t="s">
        <v>3955</v>
      </c>
      <c r="B127" t="s">
        <v>876</v>
      </c>
      <c r="C127" t="s">
        <v>877</v>
      </c>
      <c r="D127" t="s">
        <v>4479</v>
      </c>
      <c r="E127" t="s">
        <v>4581</v>
      </c>
      <c r="F127" t="s">
        <v>791</v>
      </c>
      <c r="G127" t="s">
        <v>1406</v>
      </c>
      <c r="H127" s="6">
        <v>46022</v>
      </c>
      <c r="I127" t="s">
        <v>29</v>
      </c>
      <c r="J127">
        <v>0</v>
      </c>
      <c r="K127">
        <v>0</v>
      </c>
      <c r="L127">
        <v>0</v>
      </c>
      <c r="M127">
        <v>0</v>
      </c>
      <c r="N127" t="s">
        <v>3915</v>
      </c>
      <c r="O127" t="s">
        <v>3915</v>
      </c>
      <c r="P127" t="s">
        <v>3915</v>
      </c>
      <c r="Q127">
        <v>0</v>
      </c>
      <c r="R127" t="s">
        <v>30</v>
      </c>
      <c r="S127">
        <v>0</v>
      </c>
      <c r="T127">
        <v>0</v>
      </c>
      <c r="U127" t="s">
        <v>3915</v>
      </c>
      <c r="V127" t="s">
        <v>31</v>
      </c>
      <c r="W127">
        <v>0</v>
      </c>
    </row>
    <row r="128" spans="1:23" x14ac:dyDescent="0.25">
      <c r="A128" t="s">
        <v>4433</v>
      </c>
      <c r="B128" t="s">
        <v>878</v>
      </c>
      <c r="C128" t="s">
        <v>879</v>
      </c>
      <c r="D128" t="s">
        <v>4479</v>
      </c>
      <c r="E128" t="s">
        <v>4581</v>
      </c>
      <c r="F128" t="s">
        <v>791</v>
      </c>
      <c r="G128" t="s">
        <v>1406</v>
      </c>
      <c r="H128" s="6">
        <v>46022</v>
      </c>
      <c r="I128" t="s">
        <v>29</v>
      </c>
      <c r="J128">
        <v>0</v>
      </c>
      <c r="K128">
        <v>0</v>
      </c>
      <c r="L128">
        <v>0</v>
      </c>
      <c r="M128">
        <v>0</v>
      </c>
      <c r="N128" t="s">
        <v>3915</v>
      </c>
      <c r="O128" t="s">
        <v>3915</v>
      </c>
      <c r="P128" t="s">
        <v>3915</v>
      </c>
      <c r="Q128">
        <v>0</v>
      </c>
      <c r="R128" t="s">
        <v>30</v>
      </c>
      <c r="S128">
        <v>0</v>
      </c>
      <c r="T128">
        <v>0</v>
      </c>
      <c r="U128" t="s">
        <v>3915</v>
      </c>
      <c r="V128" t="s">
        <v>31</v>
      </c>
      <c r="W128">
        <v>0</v>
      </c>
    </row>
    <row r="129" spans="1:23" x14ac:dyDescent="0.25">
      <c r="A129" t="s">
        <v>3944</v>
      </c>
      <c r="B129" t="s">
        <v>886</v>
      </c>
      <c r="C129" t="s">
        <v>887</v>
      </c>
      <c r="D129" t="s">
        <v>4479</v>
      </c>
      <c r="E129" t="s">
        <v>4581</v>
      </c>
      <c r="F129" t="s">
        <v>791</v>
      </c>
      <c r="G129" t="s">
        <v>1406</v>
      </c>
      <c r="H129" s="6">
        <v>46022</v>
      </c>
      <c r="I129" t="s">
        <v>29</v>
      </c>
      <c r="J129">
        <v>0</v>
      </c>
      <c r="K129">
        <v>0</v>
      </c>
      <c r="L129">
        <v>0</v>
      </c>
      <c r="M129">
        <v>0</v>
      </c>
      <c r="N129" t="s">
        <v>3915</v>
      </c>
      <c r="O129" t="s">
        <v>3915</v>
      </c>
      <c r="P129" t="s">
        <v>3915</v>
      </c>
      <c r="Q129">
        <v>0</v>
      </c>
      <c r="R129" t="s">
        <v>30</v>
      </c>
      <c r="S129">
        <v>0</v>
      </c>
      <c r="T129">
        <v>0</v>
      </c>
      <c r="U129" t="s">
        <v>3915</v>
      </c>
      <c r="V129" t="s">
        <v>31</v>
      </c>
      <c r="W129">
        <v>0</v>
      </c>
    </row>
    <row r="130" spans="1:23" x14ac:dyDescent="0.25">
      <c r="A130" t="s">
        <v>4818</v>
      </c>
      <c r="B130" t="s">
        <v>1546</v>
      </c>
      <c r="C130" t="s">
        <v>1545</v>
      </c>
      <c r="D130" t="s">
        <v>4479</v>
      </c>
      <c r="E130" t="s">
        <v>4581</v>
      </c>
      <c r="F130" t="s">
        <v>791</v>
      </c>
      <c r="G130" t="s">
        <v>1406</v>
      </c>
      <c r="H130" s="6">
        <v>46022</v>
      </c>
      <c r="I130" t="s">
        <v>29</v>
      </c>
      <c r="J130">
        <v>30</v>
      </c>
      <c r="K130">
        <v>0</v>
      </c>
      <c r="L130">
        <v>0</v>
      </c>
      <c r="M130">
        <v>0</v>
      </c>
      <c r="N130" t="s">
        <v>3915</v>
      </c>
      <c r="O130" t="s">
        <v>3915</v>
      </c>
      <c r="P130" t="s">
        <v>3915</v>
      </c>
      <c r="Q130">
        <v>0</v>
      </c>
      <c r="R130" t="s">
        <v>30</v>
      </c>
      <c r="S130">
        <v>0</v>
      </c>
      <c r="T130">
        <v>0</v>
      </c>
      <c r="U130" t="s">
        <v>3915</v>
      </c>
      <c r="V130" t="s">
        <v>31</v>
      </c>
      <c r="W130">
        <v>0</v>
      </c>
    </row>
    <row r="131" spans="1:23" x14ac:dyDescent="0.25">
      <c r="A131" t="s">
        <v>4403</v>
      </c>
      <c r="B131" t="s">
        <v>890</v>
      </c>
      <c r="C131" t="s">
        <v>891</v>
      </c>
      <c r="D131" t="s">
        <v>4479</v>
      </c>
      <c r="E131" t="s">
        <v>4581</v>
      </c>
      <c r="F131" t="s">
        <v>791</v>
      </c>
      <c r="G131" t="s">
        <v>1406</v>
      </c>
      <c r="H131" s="6">
        <v>46022</v>
      </c>
      <c r="I131" t="s">
        <v>29</v>
      </c>
      <c r="J131">
        <v>0</v>
      </c>
      <c r="K131">
        <v>0</v>
      </c>
      <c r="L131">
        <v>0</v>
      </c>
      <c r="M131">
        <v>0</v>
      </c>
      <c r="N131" t="s">
        <v>3915</v>
      </c>
      <c r="O131" t="s">
        <v>3915</v>
      </c>
      <c r="P131" t="s">
        <v>3915</v>
      </c>
      <c r="Q131">
        <v>0</v>
      </c>
      <c r="R131" t="s">
        <v>30</v>
      </c>
      <c r="S131">
        <v>0</v>
      </c>
      <c r="T131">
        <v>0</v>
      </c>
      <c r="U131" t="s">
        <v>3915</v>
      </c>
      <c r="V131" t="s">
        <v>31</v>
      </c>
      <c r="W131">
        <v>0</v>
      </c>
    </row>
    <row r="132" spans="1:23" x14ac:dyDescent="0.25">
      <c r="A132" t="s">
        <v>3957</v>
      </c>
      <c r="B132" t="s">
        <v>1548</v>
      </c>
      <c r="C132" t="s">
        <v>1547</v>
      </c>
      <c r="D132" t="s">
        <v>4479</v>
      </c>
      <c r="E132" t="s">
        <v>4581</v>
      </c>
      <c r="F132" t="s">
        <v>791</v>
      </c>
      <c r="G132" t="s">
        <v>1406</v>
      </c>
      <c r="H132" s="6">
        <v>46022</v>
      </c>
      <c r="I132" t="s">
        <v>29</v>
      </c>
      <c r="J132">
        <v>12</v>
      </c>
      <c r="K132">
        <v>0</v>
      </c>
      <c r="L132">
        <v>0</v>
      </c>
      <c r="M132">
        <v>0</v>
      </c>
      <c r="N132" t="s">
        <v>3915</v>
      </c>
      <c r="O132" t="s">
        <v>3915</v>
      </c>
      <c r="P132" t="s">
        <v>3915</v>
      </c>
      <c r="Q132">
        <v>0</v>
      </c>
      <c r="R132" t="s">
        <v>30</v>
      </c>
      <c r="S132">
        <v>0</v>
      </c>
      <c r="T132">
        <v>0</v>
      </c>
      <c r="U132" t="s">
        <v>3915</v>
      </c>
      <c r="V132" t="s">
        <v>31</v>
      </c>
      <c r="W132">
        <v>0</v>
      </c>
    </row>
    <row r="133" spans="1:23" x14ac:dyDescent="0.25">
      <c r="A133" t="s">
        <v>4411</v>
      </c>
      <c r="B133" t="s">
        <v>1550</v>
      </c>
      <c r="C133" t="s">
        <v>1549</v>
      </c>
      <c r="D133" t="s">
        <v>4479</v>
      </c>
      <c r="E133" t="s">
        <v>4581</v>
      </c>
      <c r="F133" t="s">
        <v>791</v>
      </c>
      <c r="G133" t="s">
        <v>1406</v>
      </c>
      <c r="H133" s="6">
        <v>46022</v>
      </c>
      <c r="I133" t="s">
        <v>29</v>
      </c>
      <c r="J133">
        <v>0</v>
      </c>
      <c r="K133">
        <v>0</v>
      </c>
      <c r="L133">
        <v>0</v>
      </c>
      <c r="M133">
        <v>0</v>
      </c>
      <c r="N133" t="s">
        <v>3915</v>
      </c>
      <c r="O133" t="s">
        <v>3915</v>
      </c>
      <c r="P133" t="s">
        <v>3915</v>
      </c>
      <c r="Q133">
        <v>0</v>
      </c>
      <c r="R133" t="s">
        <v>30</v>
      </c>
      <c r="S133">
        <v>0</v>
      </c>
      <c r="T133">
        <v>0</v>
      </c>
      <c r="U133" t="s">
        <v>3915</v>
      </c>
      <c r="V133" t="s">
        <v>31</v>
      </c>
      <c r="W133">
        <v>0</v>
      </c>
    </row>
    <row r="134" spans="1:23" x14ac:dyDescent="0.25">
      <c r="A134" t="s">
        <v>4045</v>
      </c>
      <c r="B134" t="s">
        <v>904</v>
      </c>
      <c r="C134" t="s">
        <v>905</v>
      </c>
      <c r="D134" t="s">
        <v>4479</v>
      </c>
      <c r="E134" t="s">
        <v>4581</v>
      </c>
      <c r="F134" t="s">
        <v>791</v>
      </c>
      <c r="G134" t="s">
        <v>1406</v>
      </c>
      <c r="H134" s="6">
        <v>46022</v>
      </c>
      <c r="I134" t="s">
        <v>29</v>
      </c>
      <c r="J134">
        <v>0</v>
      </c>
      <c r="K134">
        <v>0</v>
      </c>
      <c r="L134">
        <v>0</v>
      </c>
      <c r="M134">
        <v>0</v>
      </c>
      <c r="N134" t="s">
        <v>3915</v>
      </c>
      <c r="O134" t="s">
        <v>3915</v>
      </c>
      <c r="P134" t="s">
        <v>3915</v>
      </c>
      <c r="Q134">
        <v>0</v>
      </c>
      <c r="R134" t="s">
        <v>30</v>
      </c>
      <c r="S134">
        <v>0</v>
      </c>
      <c r="T134">
        <v>0</v>
      </c>
      <c r="U134" t="s">
        <v>3915</v>
      </c>
      <c r="V134" t="s">
        <v>31</v>
      </c>
      <c r="W134">
        <v>0</v>
      </c>
    </row>
    <row r="135" spans="1:23" x14ac:dyDescent="0.25">
      <c r="A135" t="s">
        <v>4238</v>
      </c>
      <c r="B135" t="s">
        <v>908</v>
      </c>
      <c r="C135" t="s">
        <v>909</v>
      </c>
      <c r="D135" t="s">
        <v>4479</v>
      </c>
      <c r="E135" t="s">
        <v>4581</v>
      </c>
      <c r="F135" t="s">
        <v>791</v>
      </c>
      <c r="G135" t="s">
        <v>1406</v>
      </c>
      <c r="H135" s="6">
        <v>46022</v>
      </c>
      <c r="I135" t="s">
        <v>29</v>
      </c>
      <c r="J135">
        <v>0</v>
      </c>
      <c r="K135">
        <v>0</v>
      </c>
      <c r="L135">
        <v>0</v>
      </c>
      <c r="M135">
        <v>0</v>
      </c>
      <c r="N135" t="s">
        <v>3915</v>
      </c>
      <c r="O135" t="s">
        <v>3915</v>
      </c>
      <c r="P135" t="s">
        <v>3915</v>
      </c>
      <c r="Q135">
        <v>0</v>
      </c>
      <c r="R135" t="s">
        <v>30</v>
      </c>
      <c r="S135">
        <v>0</v>
      </c>
      <c r="T135">
        <v>0</v>
      </c>
      <c r="U135" t="s">
        <v>3915</v>
      </c>
      <c r="V135" t="s">
        <v>31</v>
      </c>
      <c r="W135">
        <v>0</v>
      </c>
    </row>
    <row r="136" spans="1:23" x14ac:dyDescent="0.25">
      <c r="A136" t="s">
        <v>4153</v>
      </c>
      <c r="B136" t="s">
        <v>916</v>
      </c>
      <c r="C136" t="s">
        <v>917</v>
      </c>
      <c r="D136" t="s">
        <v>4479</v>
      </c>
      <c r="E136" t="s">
        <v>4581</v>
      </c>
      <c r="F136" t="s">
        <v>791</v>
      </c>
      <c r="G136" t="s">
        <v>1406</v>
      </c>
      <c r="H136" s="6">
        <v>46022</v>
      </c>
      <c r="I136" t="s">
        <v>29</v>
      </c>
      <c r="J136">
        <v>4</v>
      </c>
      <c r="K136">
        <v>0</v>
      </c>
      <c r="L136">
        <v>0</v>
      </c>
      <c r="M136">
        <v>0</v>
      </c>
      <c r="N136" t="s">
        <v>3915</v>
      </c>
      <c r="O136" t="s">
        <v>3915</v>
      </c>
      <c r="P136" t="s">
        <v>3915</v>
      </c>
      <c r="Q136">
        <v>0</v>
      </c>
      <c r="R136" t="s">
        <v>30</v>
      </c>
      <c r="S136">
        <v>0</v>
      </c>
      <c r="T136">
        <v>0</v>
      </c>
      <c r="U136" t="s">
        <v>3915</v>
      </c>
      <c r="V136" t="s">
        <v>31</v>
      </c>
      <c r="W136">
        <v>0</v>
      </c>
    </row>
    <row r="137" spans="1:23" x14ac:dyDescent="0.25">
      <c r="A137" t="s">
        <v>4628</v>
      </c>
      <c r="B137" t="s">
        <v>922</v>
      </c>
      <c r="C137" t="s">
        <v>923</v>
      </c>
      <c r="D137" t="s">
        <v>4479</v>
      </c>
      <c r="E137" t="s">
        <v>4581</v>
      </c>
      <c r="F137" t="s">
        <v>791</v>
      </c>
      <c r="G137" t="s">
        <v>1406</v>
      </c>
      <c r="H137" s="6">
        <v>46022</v>
      </c>
      <c r="I137" t="s">
        <v>29</v>
      </c>
      <c r="J137">
        <v>7</v>
      </c>
      <c r="K137">
        <v>0</v>
      </c>
      <c r="L137">
        <v>0</v>
      </c>
      <c r="M137">
        <v>0</v>
      </c>
      <c r="N137" t="s">
        <v>3915</v>
      </c>
      <c r="O137" t="s">
        <v>3915</v>
      </c>
      <c r="P137" t="s">
        <v>3915</v>
      </c>
      <c r="Q137">
        <v>0</v>
      </c>
      <c r="R137" t="s">
        <v>30</v>
      </c>
      <c r="S137">
        <v>0</v>
      </c>
      <c r="T137">
        <v>0</v>
      </c>
      <c r="U137" t="s">
        <v>3915</v>
      </c>
      <c r="V137" t="s">
        <v>31</v>
      </c>
      <c r="W137">
        <v>0</v>
      </c>
    </row>
    <row r="138" spans="1:23" x14ac:dyDescent="0.25">
      <c r="A138" t="s">
        <v>5391</v>
      </c>
      <c r="B138" t="s">
        <v>926</v>
      </c>
      <c r="C138" t="s">
        <v>927</v>
      </c>
      <c r="D138" t="s">
        <v>4479</v>
      </c>
      <c r="E138" t="s">
        <v>4581</v>
      </c>
      <c r="F138" t="s">
        <v>791</v>
      </c>
      <c r="G138" t="s">
        <v>1406</v>
      </c>
      <c r="H138" s="6">
        <v>46022</v>
      </c>
      <c r="I138" t="s">
        <v>29</v>
      </c>
      <c r="J138">
        <v>3</v>
      </c>
      <c r="K138">
        <v>0</v>
      </c>
      <c r="L138">
        <v>0</v>
      </c>
      <c r="M138">
        <v>0</v>
      </c>
      <c r="N138" t="s">
        <v>3915</v>
      </c>
      <c r="O138" t="s">
        <v>3915</v>
      </c>
      <c r="P138" t="s">
        <v>3915</v>
      </c>
      <c r="Q138">
        <v>0</v>
      </c>
      <c r="R138" t="s">
        <v>30</v>
      </c>
      <c r="S138">
        <v>0</v>
      </c>
      <c r="T138">
        <v>0</v>
      </c>
      <c r="U138" t="s">
        <v>3915</v>
      </c>
      <c r="V138" t="s">
        <v>31</v>
      </c>
      <c r="W138">
        <v>0</v>
      </c>
    </row>
    <row r="139" spans="1:23" x14ac:dyDescent="0.25">
      <c r="A139" t="s">
        <v>4645</v>
      </c>
      <c r="B139" t="s">
        <v>928</v>
      </c>
      <c r="C139" t="s">
        <v>929</v>
      </c>
      <c r="D139" t="s">
        <v>4479</v>
      </c>
      <c r="E139" t="s">
        <v>4581</v>
      </c>
      <c r="F139" t="s">
        <v>791</v>
      </c>
      <c r="G139" t="s">
        <v>1406</v>
      </c>
      <c r="H139" s="6">
        <v>46022</v>
      </c>
      <c r="I139" t="s">
        <v>29</v>
      </c>
      <c r="J139">
        <v>2</v>
      </c>
      <c r="K139">
        <v>0</v>
      </c>
      <c r="L139">
        <v>0</v>
      </c>
      <c r="M139">
        <v>0</v>
      </c>
      <c r="N139" t="s">
        <v>3915</v>
      </c>
      <c r="O139" t="s">
        <v>3915</v>
      </c>
      <c r="P139" t="s">
        <v>3915</v>
      </c>
      <c r="Q139">
        <v>0</v>
      </c>
      <c r="R139" t="s">
        <v>30</v>
      </c>
      <c r="S139">
        <v>0</v>
      </c>
      <c r="T139">
        <v>0</v>
      </c>
      <c r="U139" t="s">
        <v>3915</v>
      </c>
      <c r="V139" t="s">
        <v>31</v>
      </c>
      <c r="W139">
        <v>0</v>
      </c>
    </row>
    <row r="140" spans="1:23" x14ac:dyDescent="0.25">
      <c r="A140" t="s">
        <v>5601</v>
      </c>
      <c r="B140" t="s">
        <v>932</v>
      </c>
      <c r="C140" t="s">
        <v>933</v>
      </c>
      <c r="D140" t="s">
        <v>4479</v>
      </c>
      <c r="E140" t="s">
        <v>4581</v>
      </c>
      <c r="F140" t="s">
        <v>791</v>
      </c>
      <c r="G140" t="s">
        <v>1406</v>
      </c>
      <c r="H140" s="6">
        <v>46022</v>
      </c>
      <c r="I140" t="s">
        <v>29</v>
      </c>
      <c r="J140">
        <v>13</v>
      </c>
      <c r="K140">
        <v>0</v>
      </c>
      <c r="L140">
        <v>0</v>
      </c>
      <c r="M140">
        <v>0</v>
      </c>
      <c r="N140" t="s">
        <v>3915</v>
      </c>
      <c r="O140" t="s">
        <v>3915</v>
      </c>
      <c r="P140" t="s">
        <v>3915</v>
      </c>
      <c r="Q140">
        <v>0</v>
      </c>
      <c r="R140" t="s">
        <v>30</v>
      </c>
      <c r="S140">
        <v>0</v>
      </c>
      <c r="T140">
        <v>0</v>
      </c>
      <c r="U140" t="s">
        <v>3915</v>
      </c>
      <c r="V140" t="s">
        <v>31</v>
      </c>
      <c r="W140">
        <v>0</v>
      </c>
    </row>
    <row r="141" spans="1:23" x14ac:dyDescent="0.25">
      <c r="A141" t="s">
        <v>4647</v>
      </c>
      <c r="B141" t="s">
        <v>934</v>
      </c>
      <c r="C141" t="s">
        <v>935</v>
      </c>
      <c r="D141" t="s">
        <v>4479</v>
      </c>
      <c r="E141" t="s">
        <v>4581</v>
      </c>
      <c r="F141" t="s">
        <v>791</v>
      </c>
      <c r="G141" t="s">
        <v>1406</v>
      </c>
      <c r="H141" s="6">
        <v>46022</v>
      </c>
      <c r="I141" t="s">
        <v>29</v>
      </c>
      <c r="J141">
        <v>1</v>
      </c>
      <c r="K141">
        <v>0</v>
      </c>
      <c r="L141">
        <v>0</v>
      </c>
      <c r="M141">
        <v>0</v>
      </c>
      <c r="N141" t="s">
        <v>3915</v>
      </c>
      <c r="O141" t="s">
        <v>3915</v>
      </c>
      <c r="P141" t="s">
        <v>3915</v>
      </c>
      <c r="Q141">
        <v>0</v>
      </c>
      <c r="R141" t="s">
        <v>30</v>
      </c>
      <c r="S141">
        <v>0</v>
      </c>
      <c r="T141">
        <v>0</v>
      </c>
      <c r="U141" t="s">
        <v>3915</v>
      </c>
      <c r="V141" t="s">
        <v>31</v>
      </c>
      <c r="W141">
        <v>0</v>
      </c>
    </row>
    <row r="142" spans="1:23" x14ac:dyDescent="0.25">
      <c r="A142" t="s">
        <v>4695</v>
      </c>
      <c r="B142" t="s">
        <v>940</v>
      </c>
      <c r="C142" t="s">
        <v>941</v>
      </c>
      <c r="D142" t="s">
        <v>4479</v>
      </c>
      <c r="E142" t="s">
        <v>4581</v>
      </c>
      <c r="F142" t="s">
        <v>791</v>
      </c>
      <c r="G142" t="s">
        <v>1406</v>
      </c>
      <c r="H142" s="6">
        <v>46022</v>
      </c>
      <c r="I142" t="s">
        <v>29</v>
      </c>
      <c r="J142">
        <v>4</v>
      </c>
      <c r="K142">
        <v>0</v>
      </c>
      <c r="L142">
        <v>0</v>
      </c>
      <c r="M142">
        <v>0</v>
      </c>
      <c r="N142" t="s">
        <v>3915</v>
      </c>
      <c r="O142" t="s">
        <v>3915</v>
      </c>
      <c r="P142" t="s">
        <v>3915</v>
      </c>
      <c r="Q142">
        <v>0</v>
      </c>
      <c r="R142" t="s">
        <v>30</v>
      </c>
      <c r="S142">
        <v>0</v>
      </c>
      <c r="T142">
        <v>0</v>
      </c>
      <c r="U142" t="s">
        <v>3915</v>
      </c>
      <c r="V142" t="s">
        <v>31</v>
      </c>
      <c r="W142">
        <v>0</v>
      </c>
    </row>
    <row r="143" spans="1:23" x14ac:dyDescent="0.25">
      <c r="A143" t="s">
        <v>5198</v>
      </c>
      <c r="B143" t="s">
        <v>948</v>
      </c>
      <c r="C143" t="s">
        <v>949</v>
      </c>
      <c r="D143" t="s">
        <v>4479</v>
      </c>
      <c r="E143" t="s">
        <v>4581</v>
      </c>
      <c r="F143" t="s">
        <v>791</v>
      </c>
      <c r="G143" t="s">
        <v>1406</v>
      </c>
      <c r="H143" s="6">
        <v>46022</v>
      </c>
      <c r="I143" t="s">
        <v>29</v>
      </c>
      <c r="J143">
        <v>7</v>
      </c>
      <c r="K143">
        <v>0</v>
      </c>
      <c r="L143">
        <v>0</v>
      </c>
      <c r="M143">
        <v>0</v>
      </c>
      <c r="N143" t="s">
        <v>3915</v>
      </c>
      <c r="O143" t="s">
        <v>3915</v>
      </c>
      <c r="P143" t="s">
        <v>3915</v>
      </c>
      <c r="Q143">
        <v>0</v>
      </c>
      <c r="R143" t="s">
        <v>30</v>
      </c>
      <c r="S143">
        <v>0</v>
      </c>
      <c r="T143">
        <v>0</v>
      </c>
      <c r="U143" t="s">
        <v>3915</v>
      </c>
      <c r="V143" t="s">
        <v>31</v>
      </c>
      <c r="W143">
        <v>0</v>
      </c>
    </row>
    <row r="144" spans="1:23" x14ac:dyDescent="0.25">
      <c r="A144" t="s">
        <v>10332</v>
      </c>
      <c r="B144" t="s">
        <v>1008</v>
      </c>
      <c r="C144" t="s">
        <v>1009</v>
      </c>
      <c r="D144" t="s">
        <v>4479</v>
      </c>
      <c r="E144" t="s">
        <v>4581</v>
      </c>
      <c r="F144" t="s">
        <v>791</v>
      </c>
      <c r="G144" t="s">
        <v>1406</v>
      </c>
      <c r="H144" s="6">
        <v>46022</v>
      </c>
      <c r="I144" t="s">
        <v>29</v>
      </c>
      <c r="J144">
        <v>0</v>
      </c>
      <c r="K144">
        <v>0</v>
      </c>
      <c r="L144">
        <v>0</v>
      </c>
      <c r="M144">
        <v>0</v>
      </c>
      <c r="N144" t="s">
        <v>3915</v>
      </c>
      <c r="O144" t="s">
        <v>3915</v>
      </c>
      <c r="P144" t="s">
        <v>3915</v>
      </c>
      <c r="Q144">
        <v>0</v>
      </c>
      <c r="R144" t="s">
        <v>30</v>
      </c>
      <c r="S144">
        <v>0</v>
      </c>
      <c r="T144">
        <v>0</v>
      </c>
      <c r="U144" t="s">
        <v>3915</v>
      </c>
      <c r="V144" t="s">
        <v>31</v>
      </c>
      <c r="W144">
        <v>0</v>
      </c>
    </row>
    <row r="145" spans="1:23" x14ac:dyDescent="0.25">
      <c r="A145" t="s">
        <v>5392</v>
      </c>
      <c r="B145" t="s">
        <v>1010</v>
      </c>
      <c r="C145" t="s">
        <v>1011</v>
      </c>
      <c r="D145" t="s">
        <v>4479</v>
      </c>
      <c r="E145" t="s">
        <v>4581</v>
      </c>
      <c r="F145" t="s">
        <v>791</v>
      </c>
      <c r="G145" t="s">
        <v>1406</v>
      </c>
      <c r="H145" s="6">
        <v>46022</v>
      </c>
      <c r="I145" t="s">
        <v>29</v>
      </c>
      <c r="J145">
        <v>6</v>
      </c>
      <c r="K145">
        <v>0</v>
      </c>
      <c r="L145">
        <v>0</v>
      </c>
      <c r="M145">
        <v>0</v>
      </c>
      <c r="N145" t="s">
        <v>3915</v>
      </c>
      <c r="O145" t="s">
        <v>3915</v>
      </c>
      <c r="P145" t="s">
        <v>3915</v>
      </c>
      <c r="Q145">
        <v>0</v>
      </c>
      <c r="R145" t="s">
        <v>30</v>
      </c>
      <c r="S145">
        <v>0</v>
      </c>
      <c r="T145">
        <v>0</v>
      </c>
      <c r="U145" t="s">
        <v>3915</v>
      </c>
      <c r="V145" t="s">
        <v>31</v>
      </c>
      <c r="W145">
        <v>0</v>
      </c>
    </row>
    <row r="146" spans="1:23" x14ac:dyDescent="0.25">
      <c r="A146" t="s">
        <v>3941</v>
      </c>
      <c r="B146" t="s">
        <v>1552</v>
      </c>
      <c r="C146" t="s">
        <v>1551</v>
      </c>
      <c r="D146" t="s">
        <v>4479</v>
      </c>
      <c r="E146" t="s">
        <v>4581</v>
      </c>
      <c r="F146" t="s">
        <v>791</v>
      </c>
      <c r="G146" t="s">
        <v>1406</v>
      </c>
      <c r="H146" s="6">
        <v>46022</v>
      </c>
      <c r="I146" t="s">
        <v>29</v>
      </c>
      <c r="J146">
        <v>3</v>
      </c>
      <c r="K146">
        <v>0</v>
      </c>
      <c r="L146">
        <v>0</v>
      </c>
      <c r="M146">
        <v>0</v>
      </c>
      <c r="N146" t="s">
        <v>3915</v>
      </c>
      <c r="O146" t="s">
        <v>3915</v>
      </c>
      <c r="P146" t="s">
        <v>3915</v>
      </c>
      <c r="Q146">
        <v>0</v>
      </c>
      <c r="R146" t="s">
        <v>30</v>
      </c>
      <c r="S146">
        <v>0</v>
      </c>
      <c r="T146">
        <v>0</v>
      </c>
      <c r="U146" t="s">
        <v>3915</v>
      </c>
      <c r="V146" t="s">
        <v>31</v>
      </c>
      <c r="W146">
        <v>0</v>
      </c>
    </row>
    <row r="147" spans="1:23" x14ac:dyDescent="0.25">
      <c r="A147" t="s">
        <v>4244</v>
      </c>
      <c r="B147" t="s">
        <v>1408</v>
      </c>
      <c r="C147" t="s">
        <v>1407</v>
      </c>
      <c r="D147" t="s">
        <v>4479</v>
      </c>
      <c r="E147" t="s">
        <v>4680</v>
      </c>
      <c r="F147" t="s">
        <v>81</v>
      </c>
      <c r="G147" t="s">
        <v>1406</v>
      </c>
      <c r="H147" s="6">
        <v>46022</v>
      </c>
      <c r="I147" t="s">
        <v>29</v>
      </c>
      <c r="J147">
        <v>1.06</v>
      </c>
      <c r="K147">
        <v>0</v>
      </c>
      <c r="L147">
        <v>0</v>
      </c>
      <c r="M147">
        <v>0</v>
      </c>
      <c r="N147" t="s">
        <v>3915</v>
      </c>
      <c r="O147" t="s">
        <v>3915</v>
      </c>
      <c r="P147" t="s">
        <v>3915</v>
      </c>
      <c r="Q147">
        <v>0</v>
      </c>
      <c r="R147" t="s">
        <v>82</v>
      </c>
      <c r="S147">
        <v>0</v>
      </c>
      <c r="T147">
        <v>0</v>
      </c>
      <c r="U147" t="s">
        <v>3915</v>
      </c>
      <c r="V147" t="s">
        <v>31</v>
      </c>
      <c r="W147">
        <v>0</v>
      </c>
    </row>
    <row r="148" spans="1:23" x14ac:dyDescent="0.25">
      <c r="A148" t="s">
        <v>4633</v>
      </c>
      <c r="B148" t="s">
        <v>1410</v>
      </c>
      <c r="C148" t="s">
        <v>1409</v>
      </c>
      <c r="D148" t="s">
        <v>4479</v>
      </c>
      <c r="E148" t="s">
        <v>4680</v>
      </c>
      <c r="F148" t="s">
        <v>81</v>
      </c>
      <c r="G148" t="s">
        <v>1406</v>
      </c>
      <c r="H148" s="6">
        <v>46022</v>
      </c>
      <c r="I148" t="s">
        <v>29</v>
      </c>
      <c r="J148">
        <v>0</v>
      </c>
      <c r="K148">
        <v>0</v>
      </c>
      <c r="L148">
        <v>0</v>
      </c>
      <c r="M148">
        <v>0</v>
      </c>
      <c r="N148" t="s">
        <v>3915</v>
      </c>
      <c r="O148" t="s">
        <v>3915</v>
      </c>
      <c r="P148" t="s">
        <v>3915</v>
      </c>
      <c r="Q148">
        <v>0</v>
      </c>
      <c r="R148" t="s">
        <v>489</v>
      </c>
      <c r="S148">
        <v>0</v>
      </c>
      <c r="T148">
        <v>0</v>
      </c>
      <c r="U148" t="s">
        <v>3915</v>
      </c>
      <c r="V148" t="s">
        <v>31</v>
      </c>
      <c r="W148">
        <v>0</v>
      </c>
    </row>
    <row r="149" spans="1:23" x14ac:dyDescent="0.25">
      <c r="A149" t="s">
        <v>10333</v>
      </c>
      <c r="B149" t="s">
        <v>1860</v>
      </c>
      <c r="C149" t="s">
        <v>1859</v>
      </c>
      <c r="D149" t="s">
        <v>4479</v>
      </c>
      <c r="E149" t="s">
        <v>4101</v>
      </c>
      <c r="F149" t="s">
        <v>121</v>
      </c>
      <c r="G149" t="s">
        <v>1406</v>
      </c>
      <c r="H149" s="6">
        <v>46022</v>
      </c>
      <c r="I149" t="s">
        <v>29</v>
      </c>
      <c r="J149">
        <v>0</v>
      </c>
      <c r="K149">
        <v>0</v>
      </c>
      <c r="L149">
        <v>0</v>
      </c>
      <c r="M149">
        <v>0</v>
      </c>
      <c r="N149" t="s">
        <v>3915</v>
      </c>
      <c r="O149" t="s">
        <v>3915</v>
      </c>
      <c r="P149" t="s">
        <v>3915</v>
      </c>
      <c r="Q149">
        <v>0</v>
      </c>
      <c r="R149" t="s">
        <v>30</v>
      </c>
      <c r="S149">
        <v>0</v>
      </c>
      <c r="T149">
        <v>0</v>
      </c>
      <c r="U149" t="s">
        <v>3915</v>
      </c>
      <c r="V149" t="s">
        <v>31</v>
      </c>
      <c r="W149">
        <v>0</v>
      </c>
    </row>
    <row r="150" spans="1:23" x14ac:dyDescent="0.25">
      <c r="A150" t="s">
        <v>4249</v>
      </c>
      <c r="B150" t="s">
        <v>130</v>
      </c>
      <c r="C150" t="s">
        <v>131</v>
      </c>
      <c r="D150" t="s">
        <v>4479</v>
      </c>
      <c r="E150" t="s">
        <v>4101</v>
      </c>
      <c r="F150" t="s">
        <v>121</v>
      </c>
      <c r="G150" t="s">
        <v>1406</v>
      </c>
      <c r="H150" s="6">
        <v>46022</v>
      </c>
      <c r="I150" t="s">
        <v>29</v>
      </c>
      <c r="J150">
        <v>0</v>
      </c>
      <c r="K150">
        <v>0</v>
      </c>
      <c r="L150">
        <v>0</v>
      </c>
      <c r="M150">
        <v>0</v>
      </c>
      <c r="N150" t="s">
        <v>3915</v>
      </c>
      <c r="O150" t="s">
        <v>3915</v>
      </c>
      <c r="P150" t="s">
        <v>3915</v>
      </c>
      <c r="Q150">
        <v>0</v>
      </c>
      <c r="R150" t="s">
        <v>104</v>
      </c>
      <c r="S150">
        <v>0</v>
      </c>
      <c r="T150">
        <v>0</v>
      </c>
      <c r="U150" t="s">
        <v>3915</v>
      </c>
      <c r="V150" t="s">
        <v>31</v>
      </c>
      <c r="W150">
        <v>0</v>
      </c>
    </row>
    <row r="151" spans="1:23" x14ac:dyDescent="0.25">
      <c r="A151" t="s">
        <v>5602</v>
      </c>
      <c r="B151" t="s">
        <v>134</v>
      </c>
      <c r="C151" t="s">
        <v>135</v>
      </c>
      <c r="D151" t="s">
        <v>4479</v>
      </c>
      <c r="E151" t="s">
        <v>4101</v>
      </c>
      <c r="F151" t="s">
        <v>121</v>
      </c>
      <c r="G151" t="s">
        <v>1406</v>
      </c>
      <c r="H151" s="6">
        <v>46022</v>
      </c>
      <c r="I151" t="s">
        <v>29</v>
      </c>
      <c r="J151">
        <v>3</v>
      </c>
      <c r="K151">
        <v>0</v>
      </c>
      <c r="L151">
        <v>0</v>
      </c>
      <c r="M151">
        <v>0</v>
      </c>
      <c r="N151" t="s">
        <v>3915</v>
      </c>
      <c r="O151" t="s">
        <v>3915</v>
      </c>
      <c r="P151" t="s">
        <v>3915</v>
      </c>
      <c r="Q151">
        <v>0</v>
      </c>
      <c r="R151" t="s">
        <v>104</v>
      </c>
      <c r="S151">
        <v>0</v>
      </c>
      <c r="T151">
        <v>0</v>
      </c>
      <c r="U151" t="s">
        <v>3915</v>
      </c>
      <c r="V151" t="s">
        <v>31</v>
      </c>
      <c r="W151">
        <v>0</v>
      </c>
    </row>
    <row r="152" spans="1:23" x14ac:dyDescent="0.25">
      <c r="A152" t="s">
        <v>4251</v>
      </c>
      <c r="B152" t="s">
        <v>1412</v>
      </c>
      <c r="C152" t="s">
        <v>1411</v>
      </c>
      <c r="D152" t="s">
        <v>4479</v>
      </c>
      <c r="E152" t="s">
        <v>27</v>
      </c>
      <c r="F152" t="s">
        <v>95</v>
      </c>
      <c r="G152" t="s">
        <v>1406</v>
      </c>
      <c r="H152" s="6">
        <v>46022</v>
      </c>
      <c r="I152" t="s">
        <v>29</v>
      </c>
      <c r="J152">
        <v>32</v>
      </c>
      <c r="K152">
        <v>0</v>
      </c>
      <c r="L152">
        <v>0</v>
      </c>
      <c r="M152">
        <v>0</v>
      </c>
      <c r="N152" t="s">
        <v>3915</v>
      </c>
      <c r="O152" t="s">
        <v>3915</v>
      </c>
      <c r="P152" t="s">
        <v>3915</v>
      </c>
      <c r="Q152">
        <v>0</v>
      </c>
      <c r="R152" t="s">
        <v>30</v>
      </c>
      <c r="S152">
        <v>0</v>
      </c>
      <c r="T152">
        <v>0</v>
      </c>
      <c r="U152" t="s">
        <v>3915</v>
      </c>
      <c r="V152" t="s">
        <v>31</v>
      </c>
      <c r="W152">
        <v>0</v>
      </c>
    </row>
    <row r="153" spans="1:23" x14ac:dyDescent="0.25">
      <c r="A153" t="s">
        <v>4774</v>
      </c>
      <c r="B153" t="s">
        <v>1414</v>
      </c>
      <c r="C153" t="s">
        <v>1413</v>
      </c>
      <c r="D153" t="s">
        <v>4479</v>
      </c>
      <c r="E153" t="s">
        <v>27</v>
      </c>
      <c r="F153" t="s">
        <v>95</v>
      </c>
      <c r="G153" t="s">
        <v>1406</v>
      </c>
      <c r="H153" s="6">
        <v>46022</v>
      </c>
      <c r="I153" t="s">
        <v>29</v>
      </c>
      <c r="J153">
        <v>50</v>
      </c>
      <c r="K153">
        <v>0</v>
      </c>
      <c r="L153">
        <v>0</v>
      </c>
      <c r="M153">
        <v>0</v>
      </c>
      <c r="N153" t="s">
        <v>3915</v>
      </c>
      <c r="O153" t="s">
        <v>3915</v>
      </c>
      <c r="P153" t="s">
        <v>3915</v>
      </c>
      <c r="Q153">
        <v>0</v>
      </c>
      <c r="R153" t="s">
        <v>30</v>
      </c>
      <c r="S153">
        <v>0</v>
      </c>
      <c r="T153">
        <v>0</v>
      </c>
      <c r="U153" t="s">
        <v>3915</v>
      </c>
      <c r="V153" t="s">
        <v>31</v>
      </c>
      <c r="W153">
        <v>0</v>
      </c>
    </row>
    <row r="154" spans="1:23" x14ac:dyDescent="0.25">
      <c r="A154" t="s">
        <v>4726</v>
      </c>
      <c r="B154" t="s">
        <v>1416</v>
      </c>
      <c r="C154" t="s">
        <v>1415</v>
      </c>
      <c r="D154" t="s">
        <v>4479</v>
      </c>
      <c r="E154" t="s">
        <v>27</v>
      </c>
      <c r="F154" t="s">
        <v>95</v>
      </c>
      <c r="G154" t="s">
        <v>1406</v>
      </c>
      <c r="H154" s="6">
        <v>46022</v>
      </c>
      <c r="I154" t="s">
        <v>29</v>
      </c>
      <c r="J154">
        <v>0</v>
      </c>
      <c r="K154">
        <v>0</v>
      </c>
      <c r="L154">
        <v>0</v>
      </c>
      <c r="M154">
        <v>0</v>
      </c>
      <c r="N154" t="s">
        <v>3915</v>
      </c>
      <c r="O154" t="s">
        <v>3915</v>
      </c>
      <c r="P154" t="s">
        <v>3915</v>
      </c>
      <c r="Q154">
        <v>0</v>
      </c>
      <c r="R154" t="s">
        <v>30</v>
      </c>
      <c r="S154">
        <v>0</v>
      </c>
      <c r="T154">
        <v>0</v>
      </c>
      <c r="U154" t="s">
        <v>3915</v>
      </c>
      <c r="V154" t="s">
        <v>31</v>
      </c>
      <c r="W154">
        <v>0</v>
      </c>
    </row>
    <row r="155" spans="1:23" x14ac:dyDescent="0.25">
      <c r="A155" t="s">
        <v>4254</v>
      </c>
      <c r="B155" t="s">
        <v>1702</v>
      </c>
      <c r="C155" t="s">
        <v>1701</v>
      </c>
      <c r="D155" t="s">
        <v>4479</v>
      </c>
      <c r="E155" t="s">
        <v>27</v>
      </c>
      <c r="F155" t="s">
        <v>95</v>
      </c>
      <c r="G155" t="s">
        <v>1406</v>
      </c>
      <c r="H155" s="6">
        <v>46022</v>
      </c>
      <c r="I155" t="s">
        <v>29</v>
      </c>
      <c r="J155">
        <v>0</v>
      </c>
      <c r="K155">
        <v>0</v>
      </c>
      <c r="L155">
        <v>0</v>
      </c>
      <c r="M155">
        <v>0</v>
      </c>
      <c r="N155" t="s">
        <v>3915</v>
      </c>
      <c r="O155" t="s">
        <v>3915</v>
      </c>
      <c r="P155" t="s">
        <v>3915</v>
      </c>
      <c r="Q155">
        <v>0</v>
      </c>
      <c r="R155" t="s">
        <v>30</v>
      </c>
      <c r="S155">
        <v>0</v>
      </c>
      <c r="T155">
        <v>0</v>
      </c>
      <c r="U155" t="s">
        <v>3915</v>
      </c>
      <c r="V155" t="s">
        <v>31</v>
      </c>
      <c r="W155">
        <v>0</v>
      </c>
    </row>
    <row r="156" spans="1:23" x14ac:dyDescent="0.25">
      <c r="A156" t="s">
        <v>4820</v>
      </c>
      <c r="B156" t="s">
        <v>93</v>
      </c>
      <c r="C156" t="s">
        <v>94</v>
      </c>
      <c r="D156" t="s">
        <v>4479</v>
      </c>
      <c r="E156" t="s">
        <v>27</v>
      </c>
      <c r="F156" t="s">
        <v>95</v>
      </c>
      <c r="G156" t="s">
        <v>1406</v>
      </c>
      <c r="H156" s="6">
        <v>46022</v>
      </c>
      <c r="I156" t="s">
        <v>29</v>
      </c>
      <c r="J156">
        <v>58</v>
      </c>
      <c r="K156">
        <v>0</v>
      </c>
      <c r="L156">
        <v>0</v>
      </c>
      <c r="M156">
        <v>0</v>
      </c>
      <c r="N156" t="s">
        <v>3915</v>
      </c>
      <c r="O156" t="s">
        <v>3915</v>
      </c>
      <c r="P156" t="s">
        <v>3915</v>
      </c>
      <c r="Q156">
        <v>0</v>
      </c>
      <c r="R156" t="s">
        <v>30</v>
      </c>
      <c r="S156">
        <v>0</v>
      </c>
      <c r="T156">
        <v>0</v>
      </c>
      <c r="U156" t="s">
        <v>3915</v>
      </c>
      <c r="V156" t="s">
        <v>31</v>
      </c>
      <c r="W156">
        <v>0</v>
      </c>
    </row>
    <row r="157" spans="1:23" x14ac:dyDescent="0.25">
      <c r="A157" t="s">
        <v>4777</v>
      </c>
      <c r="B157" t="s">
        <v>1418</v>
      </c>
      <c r="C157" t="s">
        <v>1417</v>
      </c>
      <c r="D157" t="s">
        <v>4479</v>
      </c>
      <c r="E157" t="s">
        <v>27</v>
      </c>
      <c r="F157" t="s">
        <v>95</v>
      </c>
      <c r="G157" t="s">
        <v>1406</v>
      </c>
      <c r="H157" s="6">
        <v>46022</v>
      </c>
      <c r="I157" t="s">
        <v>29</v>
      </c>
      <c r="J157">
        <v>8</v>
      </c>
      <c r="K157">
        <v>0</v>
      </c>
      <c r="L157">
        <v>0</v>
      </c>
      <c r="M157">
        <v>0</v>
      </c>
      <c r="N157" t="s">
        <v>3915</v>
      </c>
      <c r="O157" t="s">
        <v>3915</v>
      </c>
      <c r="P157" t="s">
        <v>3915</v>
      </c>
      <c r="Q157">
        <v>0</v>
      </c>
      <c r="R157" t="s">
        <v>30</v>
      </c>
      <c r="S157">
        <v>0</v>
      </c>
      <c r="T157">
        <v>0</v>
      </c>
      <c r="U157" t="s">
        <v>3915</v>
      </c>
      <c r="V157" t="s">
        <v>31</v>
      </c>
      <c r="W157">
        <v>0</v>
      </c>
    </row>
    <row r="158" spans="1:23" x14ac:dyDescent="0.25">
      <c r="A158" t="s">
        <v>3943</v>
      </c>
      <c r="B158" t="s">
        <v>1420</v>
      </c>
      <c r="C158" t="s">
        <v>1419</v>
      </c>
      <c r="D158" t="s">
        <v>4479</v>
      </c>
      <c r="E158" t="s">
        <v>27</v>
      </c>
      <c r="F158" t="s">
        <v>95</v>
      </c>
      <c r="G158" t="s">
        <v>1406</v>
      </c>
      <c r="H158" s="6">
        <v>46022</v>
      </c>
      <c r="I158" t="s">
        <v>29</v>
      </c>
      <c r="J158">
        <v>30</v>
      </c>
      <c r="K158">
        <v>0</v>
      </c>
      <c r="L158">
        <v>0</v>
      </c>
      <c r="M158">
        <v>0</v>
      </c>
      <c r="N158" t="s">
        <v>3915</v>
      </c>
      <c r="O158" t="s">
        <v>3915</v>
      </c>
      <c r="P158" t="s">
        <v>3915</v>
      </c>
      <c r="Q158">
        <v>0</v>
      </c>
      <c r="R158" t="s">
        <v>30</v>
      </c>
      <c r="S158">
        <v>0</v>
      </c>
      <c r="T158">
        <v>0</v>
      </c>
      <c r="U158" t="s">
        <v>3915</v>
      </c>
      <c r="V158" t="s">
        <v>31</v>
      </c>
      <c r="W158">
        <v>0</v>
      </c>
    </row>
    <row r="159" spans="1:23" x14ac:dyDescent="0.25">
      <c r="A159" t="s">
        <v>10301</v>
      </c>
      <c r="B159" t="s">
        <v>1704</v>
      </c>
      <c r="C159" t="s">
        <v>1703</v>
      </c>
      <c r="D159" t="s">
        <v>4479</v>
      </c>
      <c r="E159" t="s">
        <v>27</v>
      </c>
      <c r="F159" t="s">
        <v>95</v>
      </c>
      <c r="G159" t="s">
        <v>1406</v>
      </c>
      <c r="H159" s="6">
        <v>46022</v>
      </c>
      <c r="I159" t="s">
        <v>29</v>
      </c>
      <c r="J159">
        <v>0</v>
      </c>
      <c r="K159">
        <v>0</v>
      </c>
      <c r="L159">
        <v>0</v>
      </c>
      <c r="M159">
        <v>0</v>
      </c>
      <c r="N159" t="s">
        <v>3915</v>
      </c>
      <c r="O159" t="s">
        <v>3915</v>
      </c>
      <c r="P159" t="s">
        <v>3915</v>
      </c>
      <c r="Q159">
        <v>0</v>
      </c>
      <c r="R159" t="s">
        <v>30</v>
      </c>
      <c r="S159">
        <v>0</v>
      </c>
      <c r="T159">
        <v>0</v>
      </c>
      <c r="U159" t="s">
        <v>3915</v>
      </c>
      <c r="V159" t="s">
        <v>31</v>
      </c>
      <c r="W159">
        <v>0</v>
      </c>
    </row>
    <row r="160" spans="1:23" x14ac:dyDescent="0.25">
      <c r="A160" t="s">
        <v>4707</v>
      </c>
      <c r="B160" t="s">
        <v>5676</v>
      </c>
      <c r="C160" t="s">
        <v>5675</v>
      </c>
      <c r="D160" t="s">
        <v>4479</v>
      </c>
      <c r="E160" t="s">
        <v>27</v>
      </c>
      <c r="F160" t="s">
        <v>95</v>
      </c>
      <c r="G160" t="s">
        <v>1406</v>
      </c>
      <c r="H160" s="6">
        <v>46022</v>
      </c>
      <c r="I160" t="s">
        <v>29</v>
      </c>
      <c r="J160">
        <v>0</v>
      </c>
      <c r="K160">
        <v>0</v>
      </c>
      <c r="L160">
        <v>0</v>
      </c>
      <c r="M160">
        <v>0</v>
      </c>
      <c r="N160" t="s">
        <v>3915</v>
      </c>
      <c r="O160" t="s">
        <v>3915</v>
      </c>
      <c r="P160" t="s">
        <v>3915</v>
      </c>
      <c r="Q160">
        <v>0</v>
      </c>
      <c r="R160" t="s">
        <v>101</v>
      </c>
      <c r="S160">
        <v>0</v>
      </c>
      <c r="T160">
        <v>0</v>
      </c>
      <c r="U160" t="s">
        <v>3915</v>
      </c>
      <c r="V160" t="s">
        <v>31</v>
      </c>
      <c r="W160">
        <v>0</v>
      </c>
    </row>
    <row r="161" spans="1:23" x14ac:dyDescent="0.25">
      <c r="A161" t="s">
        <v>4768</v>
      </c>
      <c r="B161" t="s">
        <v>1422</v>
      </c>
      <c r="C161" t="s">
        <v>1421</v>
      </c>
      <c r="D161" t="s">
        <v>4479</v>
      </c>
      <c r="E161" t="s">
        <v>27</v>
      </c>
      <c r="F161" t="s">
        <v>95</v>
      </c>
      <c r="G161" t="s">
        <v>1406</v>
      </c>
      <c r="H161" s="6">
        <v>46022</v>
      </c>
      <c r="I161" t="s">
        <v>29</v>
      </c>
      <c r="J161">
        <v>26</v>
      </c>
      <c r="K161">
        <v>0</v>
      </c>
      <c r="L161">
        <v>0</v>
      </c>
      <c r="M161">
        <v>0</v>
      </c>
      <c r="N161" t="s">
        <v>3915</v>
      </c>
      <c r="O161" t="s">
        <v>3915</v>
      </c>
      <c r="P161" t="s">
        <v>3915</v>
      </c>
      <c r="Q161">
        <v>0</v>
      </c>
      <c r="R161" t="s">
        <v>101</v>
      </c>
      <c r="S161">
        <v>0</v>
      </c>
      <c r="T161">
        <v>0</v>
      </c>
      <c r="U161" t="s">
        <v>3915</v>
      </c>
      <c r="V161" t="s">
        <v>31</v>
      </c>
      <c r="W161">
        <v>0</v>
      </c>
    </row>
    <row r="162" spans="1:23" x14ac:dyDescent="0.25">
      <c r="A162" t="s">
        <v>4248</v>
      </c>
      <c r="B162" t="s">
        <v>98</v>
      </c>
      <c r="C162" t="s">
        <v>99</v>
      </c>
      <c r="D162" t="s">
        <v>4479</v>
      </c>
      <c r="E162" t="s">
        <v>27</v>
      </c>
      <c r="F162" t="s">
        <v>95</v>
      </c>
      <c r="G162" t="s">
        <v>1406</v>
      </c>
      <c r="H162" s="6">
        <v>46022</v>
      </c>
      <c r="I162" t="s">
        <v>29</v>
      </c>
      <c r="J162">
        <v>4</v>
      </c>
      <c r="K162">
        <v>0</v>
      </c>
      <c r="L162">
        <v>0</v>
      </c>
      <c r="M162">
        <v>0</v>
      </c>
      <c r="N162" t="s">
        <v>3915</v>
      </c>
      <c r="O162" t="s">
        <v>3915</v>
      </c>
      <c r="P162" t="s">
        <v>3915</v>
      </c>
      <c r="Q162">
        <v>0</v>
      </c>
      <c r="R162" t="s">
        <v>101</v>
      </c>
      <c r="S162">
        <v>0</v>
      </c>
      <c r="T162">
        <v>0</v>
      </c>
      <c r="U162" t="s">
        <v>3915</v>
      </c>
      <c r="V162" t="s">
        <v>31</v>
      </c>
      <c r="W162">
        <v>0</v>
      </c>
    </row>
    <row r="163" spans="1:23" x14ac:dyDescent="0.25">
      <c r="A163" t="s">
        <v>5482</v>
      </c>
      <c r="B163" t="s">
        <v>1424</v>
      </c>
      <c r="C163" t="s">
        <v>1423</v>
      </c>
      <c r="D163" t="s">
        <v>4479</v>
      </c>
      <c r="E163" t="s">
        <v>27</v>
      </c>
      <c r="F163" t="s">
        <v>95</v>
      </c>
      <c r="G163" t="s">
        <v>1406</v>
      </c>
      <c r="H163" s="6">
        <v>46022</v>
      </c>
      <c r="I163" t="s">
        <v>29</v>
      </c>
      <c r="J163">
        <v>32</v>
      </c>
      <c r="K163">
        <v>0</v>
      </c>
      <c r="L163">
        <v>0</v>
      </c>
      <c r="M163">
        <v>0</v>
      </c>
      <c r="N163" t="s">
        <v>3915</v>
      </c>
      <c r="O163" t="s">
        <v>3915</v>
      </c>
      <c r="P163" t="s">
        <v>3915</v>
      </c>
      <c r="Q163">
        <v>0</v>
      </c>
      <c r="R163" t="s">
        <v>101</v>
      </c>
      <c r="S163">
        <v>0</v>
      </c>
      <c r="T163">
        <v>0</v>
      </c>
      <c r="U163" t="s">
        <v>3915</v>
      </c>
      <c r="V163" t="s">
        <v>31</v>
      </c>
      <c r="W163">
        <v>0</v>
      </c>
    </row>
    <row r="164" spans="1:23" x14ac:dyDescent="0.25">
      <c r="A164" t="s">
        <v>5515</v>
      </c>
      <c r="B164" t="s">
        <v>1426</v>
      </c>
      <c r="C164" t="s">
        <v>1425</v>
      </c>
      <c r="D164" t="s">
        <v>4479</v>
      </c>
      <c r="E164" t="s">
        <v>27</v>
      </c>
      <c r="F164" t="s">
        <v>95</v>
      </c>
      <c r="G164" t="s">
        <v>1406</v>
      </c>
      <c r="H164" s="6">
        <v>46022</v>
      </c>
      <c r="I164" t="s">
        <v>29</v>
      </c>
      <c r="J164">
        <v>6</v>
      </c>
      <c r="K164">
        <v>0</v>
      </c>
      <c r="L164">
        <v>0</v>
      </c>
      <c r="M164">
        <v>0</v>
      </c>
      <c r="N164" t="s">
        <v>3915</v>
      </c>
      <c r="O164" t="s">
        <v>3915</v>
      </c>
      <c r="P164" t="s">
        <v>3915</v>
      </c>
      <c r="Q164">
        <v>0</v>
      </c>
      <c r="R164" t="s">
        <v>101</v>
      </c>
      <c r="S164">
        <v>0</v>
      </c>
      <c r="T164">
        <v>0</v>
      </c>
      <c r="U164" t="s">
        <v>3915</v>
      </c>
      <c r="V164" t="s">
        <v>31</v>
      </c>
      <c r="W164">
        <v>0</v>
      </c>
    </row>
    <row r="165" spans="1:23" x14ac:dyDescent="0.25">
      <c r="A165" t="s">
        <v>5516</v>
      </c>
      <c r="B165" t="s">
        <v>1764</v>
      </c>
      <c r="C165" t="s">
        <v>1763</v>
      </c>
      <c r="D165" t="s">
        <v>4479</v>
      </c>
      <c r="E165" t="s">
        <v>27</v>
      </c>
      <c r="F165" t="s">
        <v>95</v>
      </c>
      <c r="G165" t="s">
        <v>1406</v>
      </c>
      <c r="H165" s="6">
        <v>46022</v>
      </c>
      <c r="I165" t="s">
        <v>29</v>
      </c>
      <c r="J165">
        <v>0</v>
      </c>
      <c r="K165">
        <v>0</v>
      </c>
      <c r="L165">
        <v>0</v>
      </c>
      <c r="M165">
        <v>0</v>
      </c>
      <c r="N165" t="s">
        <v>3915</v>
      </c>
      <c r="O165" t="s">
        <v>3915</v>
      </c>
      <c r="P165" t="s">
        <v>3915</v>
      </c>
      <c r="Q165">
        <v>0</v>
      </c>
      <c r="R165" t="s">
        <v>101</v>
      </c>
      <c r="S165">
        <v>0</v>
      </c>
      <c r="T165">
        <v>0</v>
      </c>
      <c r="U165" t="s">
        <v>3915</v>
      </c>
      <c r="V165" t="s">
        <v>31</v>
      </c>
      <c r="W165">
        <v>0</v>
      </c>
    </row>
    <row r="166" spans="1:23" x14ac:dyDescent="0.25">
      <c r="A166" t="s">
        <v>3931</v>
      </c>
      <c r="B166" t="s">
        <v>1428</v>
      </c>
      <c r="C166" t="s">
        <v>1427</v>
      </c>
      <c r="D166" t="s">
        <v>4479</v>
      </c>
      <c r="E166" t="s">
        <v>27</v>
      </c>
      <c r="F166" t="s">
        <v>95</v>
      </c>
      <c r="G166" t="s">
        <v>1406</v>
      </c>
      <c r="H166" s="6">
        <v>46022</v>
      </c>
      <c r="I166" t="s">
        <v>29</v>
      </c>
      <c r="J166">
        <v>14</v>
      </c>
      <c r="K166">
        <v>0</v>
      </c>
      <c r="L166">
        <v>0</v>
      </c>
      <c r="M166">
        <v>0</v>
      </c>
      <c r="N166" t="s">
        <v>3915</v>
      </c>
      <c r="O166" t="s">
        <v>3915</v>
      </c>
      <c r="P166" t="s">
        <v>3915</v>
      </c>
      <c r="Q166">
        <v>0</v>
      </c>
      <c r="R166" t="s">
        <v>101</v>
      </c>
      <c r="S166">
        <v>0</v>
      </c>
      <c r="T166">
        <v>0</v>
      </c>
      <c r="U166" t="s">
        <v>3915</v>
      </c>
      <c r="V166" t="s">
        <v>31</v>
      </c>
      <c r="W166">
        <v>0</v>
      </c>
    </row>
    <row r="167" spans="1:23" x14ac:dyDescent="0.25">
      <c r="A167" t="s">
        <v>4257</v>
      </c>
      <c r="B167" t="s">
        <v>1430</v>
      </c>
      <c r="C167" t="s">
        <v>1429</v>
      </c>
      <c r="D167" t="s">
        <v>4479</v>
      </c>
      <c r="E167" t="s">
        <v>27</v>
      </c>
      <c r="F167" t="s">
        <v>95</v>
      </c>
      <c r="G167" t="s">
        <v>1406</v>
      </c>
      <c r="H167" s="6">
        <v>46022</v>
      </c>
      <c r="I167" t="s">
        <v>29</v>
      </c>
      <c r="J167">
        <v>31</v>
      </c>
      <c r="K167">
        <v>0</v>
      </c>
      <c r="L167">
        <v>0</v>
      </c>
      <c r="M167">
        <v>0</v>
      </c>
      <c r="N167" t="s">
        <v>3915</v>
      </c>
      <c r="O167" t="s">
        <v>3915</v>
      </c>
      <c r="P167" t="s">
        <v>3915</v>
      </c>
      <c r="Q167">
        <v>0</v>
      </c>
      <c r="R167" t="s">
        <v>30</v>
      </c>
      <c r="S167">
        <v>0</v>
      </c>
      <c r="T167">
        <v>0</v>
      </c>
      <c r="U167" t="s">
        <v>3915</v>
      </c>
      <c r="V167" t="s">
        <v>31</v>
      </c>
      <c r="W167">
        <v>0</v>
      </c>
    </row>
    <row r="168" spans="1:23" x14ac:dyDescent="0.25">
      <c r="A168" t="s">
        <v>4780</v>
      </c>
      <c r="B168" t="s">
        <v>1432</v>
      </c>
      <c r="C168" t="s">
        <v>1431</v>
      </c>
      <c r="D168" t="s">
        <v>4479</v>
      </c>
      <c r="E168" t="s">
        <v>27</v>
      </c>
      <c r="F168" t="s">
        <v>95</v>
      </c>
      <c r="G168" t="s">
        <v>1406</v>
      </c>
      <c r="H168" s="6">
        <v>46022</v>
      </c>
      <c r="I168" t="s">
        <v>29</v>
      </c>
      <c r="J168">
        <v>45</v>
      </c>
      <c r="K168">
        <v>0</v>
      </c>
      <c r="L168">
        <v>0</v>
      </c>
      <c r="M168">
        <v>0</v>
      </c>
      <c r="N168" t="s">
        <v>3915</v>
      </c>
      <c r="O168" t="s">
        <v>3915</v>
      </c>
      <c r="P168" t="s">
        <v>3915</v>
      </c>
      <c r="Q168">
        <v>0</v>
      </c>
      <c r="R168" t="s">
        <v>30</v>
      </c>
      <c r="S168">
        <v>0</v>
      </c>
      <c r="T168">
        <v>0</v>
      </c>
      <c r="U168" t="s">
        <v>3915</v>
      </c>
      <c r="V168" t="s">
        <v>31</v>
      </c>
      <c r="W168">
        <v>0</v>
      </c>
    </row>
    <row r="169" spans="1:23" x14ac:dyDescent="0.25">
      <c r="A169" t="s">
        <v>4723</v>
      </c>
      <c r="B169" t="s">
        <v>1818</v>
      </c>
      <c r="C169" t="s">
        <v>1817</v>
      </c>
      <c r="D169" t="s">
        <v>4479</v>
      </c>
      <c r="E169" t="s">
        <v>27</v>
      </c>
      <c r="F169" t="s">
        <v>95</v>
      </c>
      <c r="G169" t="s">
        <v>1406</v>
      </c>
      <c r="H169" s="6">
        <v>46022</v>
      </c>
      <c r="I169" t="s">
        <v>29</v>
      </c>
      <c r="J169">
        <v>0</v>
      </c>
      <c r="K169">
        <v>0</v>
      </c>
      <c r="L169">
        <v>0</v>
      </c>
      <c r="M169">
        <v>0</v>
      </c>
      <c r="N169" t="s">
        <v>3915</v>
      </c>
      <c r="O169" t="s">
        <v>3915</v>
      </c>
      <c r="P169" t="s">
        <v>3915</v>
      </c>
      <c r="Q169">
        <v>0</v>
      </c>
      <c r="R169" t="s">
        <v>30</v>
      </c>
      <c r="S169">
        <v>0</v>
      </c>
      <c r="T169">
        <v>0</v>
      </c>
      <c r="U169" t="s">
        <v>3915</v>
      </c>
      <c r="V169" t="s">
        <v>31</v>
      </c>
      <c r="W169">
        <v>0</v>
      </c>
    </row>
    <row r="170" spans="1:23" x14ac:dyDescent="0.25">
      <c r="A170" t="s">
        <v>4261</v>
      </c>
      <c r="B170" t="s">
        <v>1822</v>
      </c>
      <c r="C170" t="s">
        <v>1821</v>
      </c>
      <c r="D170" t="s">
        <v>4479</v>
      </c>
      <c r="E170" t="s">
        <v>27</v>
      </c>
      <c r="F170" t="s">
        <v>95</v>
      </c>
      <c r="G170" t="s">
        <v>1406</v>
      </c>
      <c r="H170" s="6">
        <v>46022</v>
      </c>
      <c r="I170" t="s">
        <v>29</v>
      </c>
      <c r="J170">
        <v>0</v>
      </c>
      <c r="K170">
        <v>0</v>
      </c>
      <c r="L170">
        <v>0</v>
      </c>
      <c r="M170">
        <v>0</v>
      </c>
      <c r="N170" t="s">
        <v>3915</v>
      </c>
      <c r="O170" t="s">
        <v>3915</v>
      </c>
      <c r="P170" t="s">
        <v>3915</v>
      </c>
      <c r="Q170">
        <v>0</v>
      </c>
      <c r="R170" t="s">
        <v>30</v>
      </c>
      <c r="S170">
        <v>0</v>
      </c>
      <c r="T170">
        <v>0</v>
      </c>
      <c r="U170" t="s">
        <v>3915</v>
      </c>
      <c r="V170" t="s">
        <v>31</v>
      </c>
      <c r="W170">
        <v>0</v>
      </c>
    </row>
    <row r="171" spans="1:23" x14ac:dyDescent="0.25">
      <c r="A171" t="s">
        <v>5603</v>
      </c>
      <c r="B171" t="s">
        <v>1434</v>
      </c>
      <c r="C171" t="s">
        <v>1433</v>
      </c>
      <c r="D171" t="s">
        <v>4479</v>
      </c>
      <c r="E171" t="s">
        <v>27</v>
      </c>
      <c r="F171" t="s">
        <v>95</v>
      </c>
      <c r="G171" t="s">
        <v>1406</v>
      </c>
      <c r="H171" s="6">
        <v>46022</v>
      </c>
      <c r="I171" t="s">
        <v>29</v>
      </c>
      <c r="J171">
        <v>19</v>
      </c>
      <c r="K171">
        <v>0</v>
      </c>
      <c r="L171">
        <v>0</v>
      </c>
      <c r="M171">
        <v>0</v>
      </c>
      <c r="N171" t="s">
        <v>3915</v>
      </c>
      <c r="O171" t="s">
        <v>3915</v>
      </c>
      <c r="P171" t="s">
        <v>3915</v>
      </c>
      <c r="Q171">
        <v>0</v>
      </c>
      <c r="R171" t="s">
        <v>30</v>
      </c>
      <c r="S171">
        <v>0</v>
      </c>
      <c r="T171">
        <v>0</v>
      </c>
      <c r="U171" t="s">
        <v>3915</v>
      </c>
      <c r="V171" t="s">
        <v>31</v>
      </c>
      <c r="W171">
        <v>0</v>
      </c>
    </row>
    <row r="172" spans="1:23" x14ac:dyDescent="0.25">
      <c r="A172" t="s">
        <v>5604</v>
      </c>
      <c r="B172" t="s">
        <v>1436</v>
      </c>
      <c r="C172" t="s">
        <v>1435</v>
      </c>
      <c r="D172" t="s">
        <v>4479</v>
      </c>
      <c r="E172" t="s">
        <v>27</v>
      </c>
      <c r="F172" t="s">
        <v>95</v>
      </c>
      <c r="G172" t="s">
        <v>1406</v>
      </c>
      <c r="H172" s="6">
        <v>46022</v>
      </c>
      <c r="I172" t="s">
        <v>29</v>
      </c>
      <c r="J172">
        <v>33</v>
      </c>
      <c r="K172">
        <v>0</v>
      </c>
      <c r="L172">
        <v>0</v>
      </c>
      <c r="M172">
        <v>0</v>
      </c>
      <c r="N172" t="s">
        <v>3915</v>
      </c>
      <c r="O172" t="s">
        <v>3915</v>
      </c>
      <c r="P172" t="s">
        <v>3915</v>
      </c>
      <c r="Q172">
        <v>0</v>
      </c>
      <c r="R172" t="s">
        <v>30</v>
      </c>
      <c r="S172">
        <v>0</v>
      </c>
      <c r="T172">
        <v>0</v>
      </c>
      <c r="U172" t="s">
        <v>3915</v>
      </c>
      <c r="V172" t="s">
        <v>31</v>
      </c>
      <c r="W172">
        <v>0</v>
      </c>
    </row>
    <row r="173" spans="1:23" x14ac:dyDescent="0.25">
      <c r="A173" t="s">
        <v>5605</v>
      </c>
      <c r="B173" t="s">
        <v>1438</v>
      </c>
      <c r="C173" t="s">
        <v>1437</v>
      </c>
      <c r="D173" t="s">
        <v>4479</v>
      </c>
      <c r="E173" t="s">
        <v>27</v>
      </c>
      <c r="F173" t="s">
        <v>95</v>
      </c>
      <c r="G173" t="s">
        <v>1406</v>
      </c>
      <c r="H173" s="6">
        <v>46022</v>
      </c>
      <c r="I173" t="s">
        <v>29</v>
      </c>
      <c r="J173">
        <v>0</v>
      </c>
      <c r="K173">
        <v>0</v>
      </c>
      <c r="L173">
        <v>0</v>
      </c>
      <c r="M173">
        <v>0</v>
      </c>
      <c r="N173" t="s">
        <v>3915</v>
      </c>
      <c r="O173" t="s">
        <v>3915</v>
      </c>
      <c r="P173" t="s">
        <v>3915</v>
      </c>
      <c r="Q173">
        <v>0</v>
      </c>
      <c r="R173" t="s">
        <v>30</v>
      </c>
      <c r="S173">
        <v>0</v>
      </c>
      <c r="T173">
        <v>0</v>
      </c>
      <c r="U173" t="s">
        <v>3915</v>
      </c>
      <c r="V173" t="s">
        <v>31</v>
      </c>
      <c r="W173">
        <v>0</v>
      </c>
    </row>
    <row r="174" spans="1:23" x14ac:dyDescent="0.25">
      <c r="A174" t="s">
        <v>1395</v>
      </c>
      <c r="B174" t="s">
        <v>1396</v>
      </c>
      <c r="C174" t="s">
        <v>1397</v>
      </c>
      <c r="D174" t="s">
        <v>4479</v>
      </c>
      <c r="E174" t="s">
        <v>1398</v>
      </c>
      <c r="F174" t="s">
        <v>1030</v>
      </c>
      <c r="G174" t="s">
        <v>1406</v>
      </c>
      <c r="H174" s="6">
        <v>46022</v>
      </c>
      <c r="I174" t="s">
        <v>29</v>
      </c>
      <c r="J174">
        <v>15.73</v>
      </c>
      <c r="K174">
        <v>0</v>
      </c>
      <c r="L174">
        <v>0</v>
      </c>
      <c r="M174">
        <v>0</v>
      </c>
      <c r="N174" t="s">
        <v>3915</v>
      </c>
      <c r="O174" t="s">
        <v>3915</v>
      </c>
      <c r="P174" t="s">
        <v>3915</v>
      </c>
      <c r="Q174">
        <v>0</v>
      </c>
      <c r="R174" t="s">
        <v>1031</v>
      </c>
      <c r="S174">
        <v>0</v>
      </c>
      <c r="T174">
        <v>0</v>
      </c>
      <c r="U174" t="s">
        <v>3915</v>
      </c>
      <c r="V174" t="s">
        <v>31</v>
      </c>
      <c r="W174">
        <v>0</v>
      </c>
    </row>
    <row r="175" spans="1:23" x14ac:dyDescent="0.25">
      <c r="A175" t="s">
        <v>5398</v>
      </c>
      <c r="B175" t="s">
        <v>1554</v>
      </c>
      <c r="C175" t="s">
        <v>1553</v>
      </c>
      <c r="D175" t="s">
        <v>4479</v>
      </c>
      <c r="E175" t="s">
        <v>1398</v>
      </c>
      <c r="F175" t="s">
        <v>1030</v>
      </c>
      <c r="G175" t="s">
        <v>1406</v>
      </c>
      <c r="H175" s="6">
        <v>46022</v>
      </c>
      <c r="I175" t="s">
        <v>29</v>
      </c>
      <c r="J175">
        <v>2E-3</v>
      </c>
      <c r="K175">
        <v>0</v>
      </c>
      <c r="L175">
        <v>0</v>
      </c>
      <c r="M175">
        <v>0</v>
      </c>
      <c r="N175" t="s">
        <v>3915</v>
      </c>
      <c r="O175" t="s">
        <v>3915</v>
      </c>
      <c r="P175" t="s">
        <v>3915</v>
      </c>
      <c r="Q175">
        <v>0</v>
      </c>
      <c r="R175" t="s">
        <v>1031</v>
      </c>
      <c r="S175">
        <v>0</v>
      </c>
      <c r="T175">
        <v>0</v>
      </c>
      <c r="U175" t="s">
        <v>3915</v>
      </c>
      <c r="V175" t="s">
        <v>31</v>
      </c>
      <c r="W175">
        <v>0</v>
      </c>
    </row>
    <row r="176" spans="1:23" x14ac:dyDescent="0.25">
      <c r="A176" t="s">
        <v>4620</v>
      </c>
      <c r="B176" t="s">
        <v>1404</v>
      </c>
      <c r="C176" t="s">
        <v>1403</v>
      </c>
      <c r="D176" t="s">
        <v>4479</v>
      </c>
      <c r="E176" t="s">
        <v>4201</v>
      </c>
      <c r="F176" t="s">
        <v>1405</v>
      </c>
      <c r="G176" t="s">
        <v>1406</v>
      </c>
      <c r="H176" s="6">
        <v>46022</v>
      </c>
      <c r="I176" t="s">
        <v>29</v>
      </c>
      <c r="J176">
        <v>2</v>
      </c>
      <c r="K176">
        <v>0</v>
      </c>
      <c r="L176">
        <v>0</v>
      </c>
      <c r="M176">
        <v>0</v>
      </c>
      <c r="N176" t="s">
        <v>3915</v>
      </c>
      <c r="O176" t="s">
        <v>3915</v>
      </c>
      <c r="P176" t="s">
        <v>3915</v>
      </c>
      <c r="Q176">
        <v>0</v>
      </c>
      <c r="R176" t="s">
        <v>30</v>
      </c>
      <c r="S176">
        <v>0</v>
      </c>
      <c r="T176">
        <v>0</v>
      </c>
      <c r="U176" t="s">
        <v>3915</v>
      </c>
      <c r="V176" t="s">
        <v>31</v>
      </c>
      <c r="W176">
        <v>0</v>
      </c>
    </row>
    <row r="177" spans="1:23" x14ac:dyDescent="0.25">
      <c r="A177" t="s">
        <v>4690</v>
      </c>
      <c r="B177" t="s">
        <v>478</v>
      </c>
      <c r="C177" t="s">
        <v>479</v>
      </c>
      <c r="D177" t="s">
        <v>4479</v>
      </c>
      <c r="E177" t="s">
        <v>4305</v>
      </c>
      <c r="F177" t="s">
        <v>480</v>
      </c>
      <c r="G177" t="s">
        <v>1406</v>
      </c>
      <c r="H177" s="6">
        <v>46022</v>
      </c>
      <c r="I177" t="s">
        <v>29</v>
      </c>
      <c r="J177">
        <v>4</v>
      </c>
      <c r="K177">
        <v>0</v>
      </c>
      <c r="L177">
        <v>0</v>
      </c>
      <c r="M177">
        <v>0</v>
      </c>
      <c r="N177" t="s">
        <v>3915</v>
      </c>
      <c r="O177" t="s">
        <v>3915</v>
      </c>
      <c r="P177" t="s">
        <v>3915</v>
      </c>
      <c r="Q177">
        <v>0</v>
      </c>
      <c r="R177" t="s">
        <v>489</v>
      </c>
      <c r="S177">
        <v>0</v>
      </c>
      <c r="T177">
        <v>0</v>
      </c>
      <c r="U177" t="s">
        <v>3915</v>
      </c>
      <c r="V177" t="s">
        <v>31</v>
      </c>
      <c r="W177">
        <v>0</v>
      </c>
    </row>
    <row r="178" spans="1:23" x14ac:dyDescent="0.25">
      <c r="A178" t="s">
        <v>4662</v>
      </c>
      <c r="B178" t="s">
        <v>483</v>
      </c>
      <c r="C178" t="s">
        <v>484</v>
      </c>
      <c r="D178" t="s">
        <v>4479</v>
      </c>
      <c r="E178" t="s">
        <v>4305</v>
      </c>
      <c r="F178" t="s">
        <v>480</v>
      </c>
      <c r="G178" t="s">
        <v>1406</v>
      </c>
      <c r="H178" s="6">
        <v>46022</v>
      </c>
      <c r="I178" t="s">
        <v>29</v>
      </c>
      <c r="J178">
        <v>0</v>
      </c>
      <c r="K178">
        <v>0</v>
      </c>
      <c r="L178">
        <v>0</v>
      </c>
      <c r="M178">
        <v>0</v>
      </c>
      <c r="N178" t="s">
        <v>3915</v>
      </c>
      <c r="O178" t="s">
        <v>3915</v>
      </c>
      <c r="P178" t="s">
        <v>3915</v>
      </c>
      <c r="Q178">
        <v>0</v>
      </c>
      <c r="R178" t="s">
        <v>489</v>
      </c>
      <c r="S178">
        <v>0</v>
      </c>
      <c r="T178">
        <v>0</v>
      </c>
      <c r="U178" t="s">
        <v>3915</v>
      </c>
      <c r="V178" t="s">
        <v>31</v>
      </c>
      <c r="W178">
        <v>0</v>
      </c>
    </row>
    <row r="179" spans="1:23" x14ac:dyDescent="0.25">
      <c r="A179" t="s">
        <v>4663</v>
      </c>
      <c r="B179" t="s">
        <v>485</v>
      </c>
      <c r="C179" t="s">
        <v>486</v>
      </c>
      <c r="D179" t="s">
        <v>4479</v>
      </c>
      <c r="E179" t="s">
        <v>4305</v>
      </c>
      <c r="F179" t="s">
        <v>480</v>
      </c>
      <c r="G179" t="s">
        <v>1406</v>
      </c>
      <c r="H179" s="6">
        <v>46022</v>
      </c>
      <c r="I179" t="s">
        <v>29</v>
      </c>
      <c r="J179">
        <v>5</v>
      </c>
      <c r="K179">
        <v>0</v>
      </c>
      <c r="L179">
        <v>0</v>
      </c>
      <c r="M179">
        <v>0</v>
      </c>
      <c r="N179" t="s">
        <v>3915</v>
      </c>
      <c r="O179" t="s">
        <v>3915</v>
      </c>
      <c r="P179" t="s">
        <v>3915</v>
      </c>
      <c r="Q179">
        <v>0</v>
      </c>
      <c r="R179" t="s">
        <v>489</v>
      </c>
      <c r="S179">
        <v>0</v>
      </c>
      <c r="T179">
        <v>0</v>
      </c>
      <c r="U179" t="s">
        <v>3915</v>
      </c>
      <c r="V179" t="s">
        <v>31</v>
      </c>
      <c r="W179">
        <v>0</v>
      </c>
    </row>
    <row r="180" spans="1:23" x14ac:dyDescent="0.25">
      <c r="A180" t="s">
        <v>5354</v>
      </c>
      <c r="B180" t="s">
        <v>490</v>
      </c>
      <c r="C180" t="s">
        <v>491</v>
      </c>
      <c r="D180" t="s">
        <v>4479</v>
      </c>
      <c r="E180" t="s">
        <v>4305</v>
      </c>
      <c r="F180" t="s">
        <v>480</v>
      </c>
      <c r="G180" t="s">
        <v>1406</v>
      </c>
      <c r="H180" s="6">
        <v>46022</v>
      </c>
      <c r="I180" t="s">
        <v>29</v>
      </c>
      <c r="J180">
        <v>0</v>
      </c>
      <c r="K180">
        <v>0</v>
      </c>
      <c r="L180">
        <v>0</v>
      </c>
      <c r="M180">
        <v>0</v>
      </c>
      <c r="N180" t="s">
        <v>3915</v>
      </c>
      <c r="O180" t="s">
        <v>3915</v>
      </c>
      <c r="P180" t="s">
        <v>3915</v>
      </c>
      <c r="Q180">
        <v>0</v>
      </c>
      <c r="R180" t="s">
        <v>489</v>
      </c>
      <c r="S180">
        <v>0</v>
      </c>
      <c r="T180">
        <v>0</v>
      </c>
      <c r="U180" t="s">
        <v>3915</v>
      </c>
      <c r="V180" t="s">
        <v>31</v>
      </c>
      <c r="W180">
        <v>0</v>
      </c>
    </row>
    <row r="181" spans="1:23" x14ac:dyDescent="0.25">
      <c r="A181" t="s">
        <v>5606</v>
      </c>
      <c r="B181" t="s">
        <v>1512</v>
      </c>
      <c r="C181" t="s">
        <v>1511</v>
      </c>
      <c r="D181" t="s">
        <v>4479</v>
      </c>
      <c r="E181" t="s">
        <v>4305</v>
      </c>
      <c r="F181" t="s">
        <v>480</v>
      </c>
      <c r="G181" t="s">
        <v>1406</v>
      </c>
      <c r="H181" s="6">
        <v>46022</v>
      </c>
      <c r="I181" t="s">
        <v>29</v>
      </c>
      <c r="J181">
        <v>8.9</v>
      </c>
      <c r="K181">
        <v>0</v>
      </c>
      <c r="L181">
        <v>0</v>
      </c>
      <c r="M181">
        <v>0</v>
      </c>
      <c r="N181" t="s">
        <v>3915</v>
      </c>
      <c r="O181" t="s">
        <v>3915</v>
      </c>
      <c r="P181" t="s">
        <v>3915</v>
      </c>
      <c r="Q181">
        <v>0</v>
      </c>
      <c r="R181" t="s">
        <v>489</v>
      </c>
      <c r="S181">
        <v>0</v>
      </c>
      <c r="T181">
        <v>0</v>
      </c>
      <c r="U181" t="s">
        <v>3915</v>
      </c>
      <c r="V181" t="s">
        <v>31</v>
      </c>
      <c r="W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J4303"/>
  <sheetViews>
    <sheetView workbookViewId="0">
      <pane ySplit="2" topLeftCell="A3" activePane="bottomLeft" state="frozen"/>
      <selection pane="bottomLeft" activeCell="B36" sqref="B36"/>
    </sheetView>
  </sheetViews>
  <sheetFormatPr baseColWidth="10" defaultRowHeight="15" x14ac:dyDescent="0.25"/>
  <cols>
    <col min="1" max="1" width="20.28515625" bestFit="1" customWidth="1"/>
    <col min="2" max="2" width="59.85546875" customWidth="1"/>
    <col min="3" max="3" width="18.28515625" customWidth="1"/>
    <col min="4" max="4" width="10.5703125" bestFit="1" customWidth="1"/>
    <col min="5" max="5" width="7.28515625" bestFit="1" customWidth="1"/>
    <col min="6" max="6" width="8.5703125" style="10" bestFit="1" customWidth="1"/>
    <col min="7" max="9" width="8.5703125" bestFit="1" customWidth="1"/>
  </cols>
  <sheetData>
    <row r="1" spans="1:10" x14ac:dyDescent="0.25">
      <c r="A1" s="12" t="s">
        <v>10360</v>
      </c>
      <c r="B1" s="12"/>
      <c r="C1" s="12"/>
      <c r="D1" s="12"/>
      <c r="E1" s="12"/>
    </row>
    <row r="2" spans="1:10" x14ac:dyDescent="0.25">
      <c r="A2" s="7" t="s">
        <v>2</v>
      </c>
      <c r="B2" s="7" t="s">
        <v>1</v>
      </c>
      <c r="C2" s="7" t="s">
        <v>5</v>
      </c>
      <c r="D2" s="7" t="s">
        <v>6</v>
      </c>
      <c r="E2" s="7" t="s">
        <v>17</v>
      </c>
      <c r="F2" s="8" t="s">
        <v>1399</v>
      </c>
      <c r="G2" s="7" t="s">
        <v>1400</v>
      </c>
      <c r="H2" s="7" t="s">
        <v>1401</v>
      </c>
      <c r="I2" s="7" t="s">
        <v>1402</v>
      </c>
      <c r="J2" s="7"/>
    </row>
    <row r="3" spans="1:10" x14ac:dyDescent="0.25">
      <c r="A3" s="1" t="s">
        <v>1403</v>
      </c>
      <c r="B3" s="1" t="s">
        <v>1404</v>
      </c>
      <c r="C3" s="1" t="s">
        <v>1405</v>
      </c>
      <c r="D3" s="1" t="s">
        <v>1406</v>
      </c>
      <c r="E3" s="1" t="s">
        <v>30</v>
      </c>
      <c r="F3" s="9">
        <f t="shared" ref="F3:F66" si="0">IFERROR(VLOOKUP(A3,condi,8,0),0)</f>
        <v>1</v>
      </c>
      <c r="G3" s="9">
        <f t="shared" ref="G3:G66" si="1">IFERROR(VLOOKUP(A3,maqui,8,0),0)</f>
        <v>0</v>
      </c>
      <c r="H3" s="9">
        <f t="shared" ref="H3:H66" si="2">IFERROR(VLOOKUP(A3,ascint,8,0),0)</f>
        <v>2</v>
      </c>
      <c r="I3" s="10">
        <f t="shared" ref="I3:I8" si="3">+F3+G3+H3</f>
        <v>3</v>
      </c>
    </row>
    <row r="4" spans="1:10" x14ac:dyDescent="0.25">
      <c r="A4" s="1" t="s">
        <v>1407</v>
      </c>
      <c r="B4" s="1" t="s">
        <v>1408</v>
      </c>
      <c r="C4" s="1" t="s">
        <v>81</v>
      </c>
      <c r="D4" s="1" t="s">
        <v>1406</v>
      </c>
      <c r="E4" s="1" t="s">
        <v>82</v>
      </c>
      <c r="F4" s="9">
        <f t="shared" si="0"/>
        <v>0</v>
      </c>
      <c r="G4" s="9">
        <f t="shared" si="1"/>
        <v>0</v>
      </c>
      <c r="H4" s="9">
        <f t="shared" si="2"/>
        <v>1.06</v>
      </c>
      <c r="I4" s="10">
        <f t="shared" si="3"/>
        <v>1.06</v>
      </c>
    </row>
    <row r="5" spans="1:10" x14ac:dyDescent="0.25">
      <c r="A5" s="1" t="s">
        <v>1409</v>
      </c>
      <c r="B5" s="1" t="s">
        <v>1410</v>
      </c>
      <c r="C5" s="1" t="s">
        <v>81</v>
      </c>
      <c r="D5" s="1" t="s">
        <v>1406</v>
      </c>
      <c r="E5" s="1" t="s">
        <v>489</v>
      </c>
      <c r="F5" s="9">
        <f t="shared" si="0"/>
        <v>0</v>
      </c>
      <c r="G5" s="9">
        <f t="shared" si="1"/>
        <v>0</v>
      </c>
      <c r="H5" s="9">
        <f t="shared" si="2"/>
        <v>0</v>
      </c>
      <c r="I5" s="10">
        <f t="shared" si="3"/>
        <v>0</v>
      </c>
    </row>
    <row r="6" spans="1:10" x14ac:dyDescent="0.25">
      <c r="A6" s="1" t="s">
        <v>1411</v>
      </c>
      <c r="B6" s="1" t="s">
        <v>1412</v>
      </c>
      <c r="C6" s="1" t="s">
        <v>95</v>
      </c>
      <c r="D6" s="1" t="s">
        <v>1406</v>
      </c>
      <c r="E6" s="1" t="s">
        <v>30</v>
      </c>
      <c r="F6" s="9">
        <f t="shared" si="0"/>
        <v>0</v>
      </c>
      <c r="G6" s="9">
        <f t="shared" si="1"/>
        <v>466</v>
      </c>
      <c r="H6" s="9">
        <f t="shared" si="2"/>
        <v>32</v>
      </c>
      <c r="I6" s="10">
        <f t="shared" si="3"/>
        <v>498</v>
      </c>
    </row>
    <row r="7" spans="1:10" x14ac:dyDescent="0.25">
      <c r="A7" s="1" t="s">
        <v>1413</v>
      </c>
      <c r="B7" s="1" t="s">
        <v>1414</v>
      </c>
      <c r="C7" s="1" t="s">
        <v>95</v>
      </c>
      <c r="D7" s="1" t="s">
        <v>1406</v>
      </c>
      <c r="E7" s="1" t="s">
        <v>30</v>
      </c>
      <c r="F7" s="9">
        <f t="shared" si="0"/>
        <v>0</v>
      </c>
      <c r="G7" s="9">
        <f t="shared" si="1"/>
        <v>443</v>
      </c>
      <c r="H7" s="9">
        <f t="shared" si="2"/>
        <v>50</v>
      </c>
      <c r="I7" s="10">
        <f t="shared" si="3"/>
        <v>493</v>
      </c>
    </row>
    <row r="8" spans="1:10" x14ac:dyDescent="0.25">
      <c r="A8" s="1" t="s">
        <v>1415</v>
      </c>
      <c r="B8" s="1" t="s">
        <v>1416</v>
      </c>
      <c r="C8" s="1" t="s">
        <v>95</v>
      </c>
      <c r="D8" s="1" t="s">
        <v>1406</v>
      </c>
      <c r="E8" s="1" t="s">
        <v>30</v>
      </c>
      <c r="F8" s="9">
        <f t="shared" si="0"/>
        <v>0</v>
      </c>
      <c r="G8" s="9">
        <f t="shared" si="1"/>
        <v>258</v>
      </c>
      <c r="H8" s="9">
        <f t="shared" si="2"/>
        <v>0</v>
      </c>
      <c r="I8" s="10">
        <f t="shared" si="3"/>
        <v>258</v>
      </c>
    </row>
    <row r="9" spans="1:10" x14ac:dyDescent="0.25">
      <c r="A9" s="1" t="s">
        <v>94</v>
      </c>
      <c r="B9" s="1" t="s">
        <v>93</v>
      </c>
      <c r="C9" s="1" t="s">
        <v>95</v>
      </c>
      <c r="D9" s="1" t="s">
        <v>1406</v>
      </c>
      <c r="E9" s="1" t="s">
        <v>30</v>
      </c>
      <c r="F9" s="9">
        <f t="shared" si="0"/>
        <v>0</v>
      </c>
      <c r="G9" s="9">
        <f t="shared" si="1"/>
        <v>199</v>
      </c>
      <c r="H9" s="9">
        <f t="shared" si="2"/>
        <v>58</v>
      </c>
      <c r="I9" s="10">
        <f t="shared" ref="I9:I72" si="4">+F9+G9+H9</f>
        <v>257</v>
      </c>
    </row>
    <row r="10" spans="1:10" x14ac:dyDescent="0.25">
      <c r="A10" s="1" t="s">
        <v>1417</v>
      </c>
      <c r="B10" s="1" t="s">
        <v>1418</v>
      </c>
      <c r="C10" s="1" t="s">
        <v>95</v>
      </c>
      <c r="D10" s="1" t="s">
        <v>1406</v>
      </c>
      <c r="E10" s="1" t="s">
        <v>30</v>
      </c>
      <c r="F10" s="9">
        <f t="shared" si="0"/>
        <v>0</v>
      </c>
      <c r="G10" s="9">
        <f t="shared" si="1"/>
        <v>118</v>
      </c>
      <c r="H10" s="9">
        <f t="shared" si="2"/>
        <v>8</v>
      </c>
      <c r="I10" s="10">
        <f t="shared" si="4"/>
        <v>126</v>
      </c>
    </row>
    <row r="11" spans="1:10" x14ac:dyDescent="0.25">
      <c r="A11" s="1" t="s">
        <v>1419</v>
      </c>
      <c r="B11" s="1" t="s">
        <v>1420</v>
      </c>
      <c r="C11" s="1" t="s">
        <v>95</v>
      </c>
      <c r="D11" s="1" t="s">
        <v>1406</v>
      </c>
      <c r="E11" s="1" t="s">
        <v>30</v>
      </c>
      <c r="F11" s="9">
        <f t="shared" si="0"/>
        <v>0</v>
      </c>
      <c r="G11" s="9">
        <f t="shared" si="1"/>
        <v>60</v>
      </c>
      <c r="H11" s="9">
        <f t="shared" si="2"/>
        <v>30</v>
      </c>
      <c r="I11" s="10">
        <f t="shared" si="4"/>
        <v>90</v>
      </c>
    </row>
    <row r="12" spans="1:10" x14ac:dyDescent="0.25">
      <c r="A12" s="1" t="s">
        <v>1421</v>
      </c>
      <c r="B12" s="1" t="s">
        <v>1422</v>
      </c>
      <c r="C12" s="1" t="s">
        <v>95</v>
      </c>
      <c r="D12" s="1" t="s">
        <v>1406</v>
      </c>
      <c r="E12" s="1" t="s">
        <v>101</v>
      </c>
      <c r="F12" s="9">
        <f t="shared" si="0"/>
        <v>0</v>
      </c>
      <c r="G12" s="9">
        <f t="shared" si="1"/>
        <v>116</v>
      </c>
      <c r="H12" s="9">
        <f t="shared" si="2"/>
        <v>26</v>
      </c>
      <c r="I12" s="10">
        <f t="shared" si="4"/>
        <v>142</v>
      </c>
    </row>
    <row r="13" spans="1:10" x14ac:dyDescent="0.25">
      <c r="A13" s="1" t="s">
        <v>99</v>
      </c>
      <c r="B13" s="1" t="s">
        <v>98</v>
      </c>
      <c r="C13" s="1" t="s">
        <v>95</v>
      </c>
      <c r="D13" s="1" t="s">
        <v>1406</v>
      </c>
      <c r="E13" s="1" t="s">
        <v>101</v>
      </c>
      <c r="F13" s="9">
        <f t="shared" si="0"/>
        <v>0</v>
      </c>
      <c r="G13" s="9">
        <f t="shared" si="1"/>
        <v>6</v>
      </c>
      <c r="H13" s="9">
        <f t="shared" si="2"/>
        <v>4</v>
      </c>
      <c r="I13" s="10">
        <f t="shared" si="4"/>
        <v>10</v>
      </c>
    </row>
    <row r="14" spans="1:10" x14ac:dyDescent="0.25">
      <c r="A14" s="1" t="s">
        <v>1423</v>
      </c>
      <c r="B14" s="1" t="s">
        <v>1424</v>
      </c>
      <c r="C14" s="1" t="s">
        <v>95</v>
      </c>
      <c r="D14" s="1" t="s">
        <v>1406</v>
      </c>
      <c r="E14" s="1" t="s">
        <v>101</v>
      </c>
      <c r="F14" s="9">
        <f t="shared" si="0"/>
        <v>0</v>
      </c>
      <c r="G14" s="9">
        <f t="shared" si="1"/>
        <v>69</v>
      </c>
      <c r="H14" s="9">
        <f t="shared" si="2"/>
        <v>32</v>
      </c>
      <c r="I14" s="10">
        <f t="shared" si="4"/>
        <v>101</v>
      </c>
    </row>
    <row r="15" spans="1:10" x14ac:dyDescent="0.25">
      <c r="A15" s="1" t="s">
        <v>1425</v>
      </c>
      <c r="B15" s="1" t="s">
        <v>1426</v>
      </c>
      <c r="C15" s="1" t="s">
        <v>95</v>
      </c>
      <c r="D15" s="1" t="s">
        <v>1406</v>
      </c>
      <c r="E15" s="1" t="s">
        <v>101</v>
      </c>
      <c r="F15" s="9">
        <f t="shared" si="0"/>
        <v>0</v>
      </c>
      <c r="G15" s="9">
        <f t="shared" si="1"/>
        <v>9</v>
      </c>
      <c r="H15" s="9">
        <f t="shared" si="2"/>
        <v>6</v>
      </c>
      <c r="I15" s="10">
        <f t="shared" si="4"/>
        <v>15</v>
      </c>
    </row>
    <row r="16" spans="1:10" x14ac:dyDescent="0.25">
      <c r="A16" s="1" t="s">
        <v>1427</v>
      </c>
      <c r="B16" s="1" t="s">
        <v>1428</v>
      </c>
      <c r="C16" s="1" t="s">
        <v>95</v>
      </c>
      <c r="D16" s="1" t="s">
        <v>1406</v>
      </c>
      <c r="E16" s="1" t="s">
        <v>101</v>
      </c>
      <c r="F16" s="9">
        <f t="shared" si="0"/>
        <v>0</v>
      </c>
      <c r="G16" s="9">
        <f t="shared" si="1"/>
        <v>18</v>
      </c>
      <c r="H16" s="9">
        <f t="shared" si="2"/>
        <v>14</v>
      </c>
      <c r="I16" s="10">
        <f t="shared" si="4"/>
        <v>32</v>
      </c>
    </row>
    <row r="17" spans="1:9" x14ac:dyDescent="0.25">
      <c r="A17" s="1" t="s">
        <v>1429</v>
      </c>
      <c r="B17" s="1" t="s">
        <v>1430</v>
      </c>
      <c r="C17" s="1" t="s">
        <v>95</v>
      </c>
      <c r="D17" s="1" t="s">
        <v>1406</v>
      </c>
      <c r="E17" s="1" t="s">
        <v>30</v>
      </c>
      <c r="F17" s="9">
        <f t="shared" si="0"/>
        <v>0</v>
      </c>
      <c r="G17" s="9">
        <f t="shared" si="1"/>
        <v>445</v>
      </c>
      <c r="H17" s="9">
        <f t="shared" si="2"/>
        <v>31</v>
      </c>
      <c r="I17" s="10">
        <f t="shared" si="4"/>
        <v>476</v>
      </c>
    </row>
    <row r="18" spans="1:9" x14ac:dyDescent="0.25">
      <c r="A18" s="1" t="s">
        <v>1431</v>
      </c>
      <c r="B18" s="1" t="s">
        <v>1432</v>
      </c>
      <c r="C18" s="1" t="s">
        <v>95</v>
      </c>
      <c r="D18" s="1" t="s">
        <v>1406</v>
      </c>
      <c r="E18" s="1" t="s">
        <v>30</v>
      </c>
      <c r="F18" s="9">
        <f t="shared" si="0"/>
        <v>0</v>
      </c>
      <c r="G18" s="9">
        <f t="shared" si="1"/>
        <v>551</v>
      </c>
      <c r="H18" s="9">
        <f t="shared" si="2"/>
        <v>45</v>
      </c>
      <c r="I18" s="10">
        <f t="shared" si="4"/>
        <v>596</v>
      </c>
    </row>
    <row r="19" spans="1:9" x14ac:dyDescent="0.25">
      <c r="A19" s="1" t="s">
        <v>1433</v>
      </c>
      <c r="B19" s="1" t="s">
        <v>1434</v>
      </c>
      <c r="C19" s="1" t="s">
        <v>95</v>
      </c>
      <c r="D19" s="1" t="s">
        <v>1406</v>
      </c>
      <c r="E19" s="1" t="s">
        <v>30</v>
      </c>
      <c r="F19" s="9">
        <f t="shared" si="0"/>
        <v>0</v>
      </c>
      <c r="G19" s="9">
        <f t="shared" si="1"/>
        <v>252</v>
      </c>
      <c r="H19" s="9">
        <f t="shared" si="2"/>
        <v>19</v>
      </c>
      <c r="I19" s="10">
        <f t="shared" si="4"/>
        <v>271</v>
      </c>
    </row>
    <row r="20" spans="1:9" x14ac:dyDescent="0.25">
      <c r="A20" s="1" t="s">
        <v>1435</v>
      </c>
      <c r="B20" s="1" t="s">
        <v>1436</v>
      </c>
      <c r="C20" s="1" t="s">
        <v>95</v>
      </c>
      <c r="D20" s="1" t="s">
        <v>1406</v>
      </c>
      <c r="E20" s="1" t="s">
        <v>30</v>
      </c>
      <c r="F20" s="9">
        <f t="shared" si="0"/>
        <v>0</v>
      </c>
      <c r="G20" s="9">
        <f t="shared" si="1"/>
        <v>17</v>
      </c>
      <c r="H20" s="9">
        <f t="shared" si="2"/>
        <v>33</v>
      </c>
      <c r="I20" s="10">
        <f t="shared" si="4"/>
        <v>50</v>
      </c>
    </row>
    <row r="21" spans="1:9" x14ac:dyDescent="0.25">
      <c r="A21" s="1" t="s">
        <v>1437</v>
      </c>
      <c r="B21" s="1" t="s">
        <v>1438</v>
      </c>
      <c r="C21" s="1" t="s">
        <v>95</v>
      </c>
      <c r="D21" s="1" t="s">
        <v>1406</v>
      </c>
      <c r="E21" s="1" t="s">
        <v>30</v>
      </c>
      <c r="F21" s="9">
        <f t="shared" si="0"/>
        <v>0</v>
      </c>
      <c r="G21" s="9">
        <f t="shared" si="1"/>
        <v>70</v>
      </c>
      <c r="H21" s="9">
        <f t="shared" si="2"/>
        <v>0</v>
      </c>
      <c r="I21" s="10">
        <f t="shared" si="4"/>
        <v>70</v>
      </c>
    </row>
    <row r="22" spans="1:9" x14ac:dyDescent="0.25">
      <c r="A22" s="1" t="s">
        <v>182</v>
      </c>
      <c r="B22" s="1" t="s">
        <v>181</v>
      </c>
      <c r="C22" s="1" t="s">
        <v>168</v>
      </c>
      <c r="D22" s="1" t="s">
        <v>1406</v>
      </c>
      <c r="E22" s="1" t="s">
        <v>101</v>
      </c>
      <c r="F22" s="9">
        <f t="shared" si="0"/>
        <v>1.0000000000000001E-5</v>
      </c>
      <c r="G22" s="9">
        <f t="shared" si="1"/>
        <v>9</v>
      </c>
      <c r="H22" s="9">
        <f t="shared" si="2"/>
        <v>1</v>
      </c>
      <c r="I22" s="10">
        <f t="shared" si="4"/>
        <v>10.00001</v>
      </c>
    </row>
    <row r="23" spans="1:9" x14ac:dyDescent="0.25">
      <c r="A23" s="1" t="s">
        <v>188</v>
      </c>
      <c r="B23" s="1" t="s">
        <v>187</v>
      </c>
      <c r="C23" s="1" t="s">
        <v>168</v>
      </c>
      <c r="D23" s="1" t="s">
        <v>1406</v>
      </c>
      <c r="E23" s="1" t="s">
        <v>101</v>
      </c>
      <c r="F23" s="9">
        <f t="shared" si="0"/>
        <v>0</v>
      </c>
      <c r="G23" s="9">
        <f t="shared" si="1"/>
        <v>5</v>
      </c>
      <c r="H23" s="9">
        <f t="shared" si="2"/>
        <v>0</v>
      </c>
      <c r="I23" s="10">
        <f t="shared" si="4"/>
        <v>5</v>
      </c>
    </row>
    <row r="24" spans="1:9" x14ac:dyDescent="0.25">
      <c r="A24" s="1" t="s">
        <v>190</v>
      </c>
      <c r="B24" s="1" t="s">
        <v>189</v>
      </c>
      <c r="C24" s="1" t="s">
        <v>168</v>
      </c>
      <c r="D24" s="1" t="s">
        <v>1406</v>
      </c>
      <c r="E24" s="1" t="s">
        <v>101</v>
      </c>
      <c r="F24" s="9">
        <f t="shared" si="0"/>
        <v>0</v>
      </c>
      <c r="G24" s="9">
        <f t="shared" si="1"/>
        <v>3</v>
      </c>
      <c r="H24" s="9">
        <f t="shared" si="2"/>
        <v>2</v>
      </c>
      <c r="I24" s="10">
        <f t="shared" si="4"/>
        <v>5</v>
      </c>
    </row>
    <row r="25" spans="1:9" x14ac:dyDescent="0.25">
      <c r="A25" s="1" t="s">
        <v>211</v>
      </c>
      <c r="B25" s="1" t="s">
        <v>210</v>
      </c>
      <c r="C25" s="1" t="s">
        <v>168</v>
      </c>
      <c r="D25" s="1" t="s">
        <v>1406</v>
      </c>
      <c r="E25" s="1" t="s">
        <v>101</v>
      </c>
      <c r="F25" s="9">
        <f t="shared" si="0"/>
        <v>3</v>
      </c>
      <c r="G25" s="9">
        <f t="shared" si="1"/>
        <v>2</v>
      </c>
      <c r="H25" s="9">
        <f t="shared" si="2"/>
        <v>4</v>
      </c>
      <c r="I25" s="10">
        <f t="shared" si="4"/>
        <v>9</v>
      </c>
    </row>
    <row r="26" spans="1:9" x14ac:dyDescent="0.25">
      <c r="A26" s="1" t="s">
        <v>216</v>
      </c>
      <c r="B26" s="1" t="s">
        <v>215</v>
      </c>
      <c r="C26" s="1" t="s">
        <v>168</v>
      </c>
      <c r="D26" s="1" t="s">
        <v>1406</v>
      </c>
      <c r="E26" s="1" t="s">
        <v>101</v>
      </c>
      <c r="F26" s="9">
        <f t="shared" si="0"/>
        <v>0</v>
      </c>
      <c r="G26" s="9">
        <f t="shared" si="1"/>
        <v>49</v>
      </c>
      <c r="H26" s="9">
        <f t="shared" si="2"/>
        <v>0</v>
      </c>
      <c r="I26" s="10">
        <f t="shared" si="4"/>
        <v>49</v>
      </c>
    </row>
    <row r="27" spans="1:9" x14ac:dyDescent="0.25">
      <c r="A27" s="1" t="s">
        <v>218</v>
      </c>
      <c r="B27" s="1" t="s">
        <v>217</v>
      </c>
      <c r="C27" s="1" t="s">
        <v>168</v>
      </c>
      <c r="D27" s="1" t="s">
        <v>1406</v>
      </c>
      <c r="E27" s="1" t="s">
        <v>30</v>
      </c>
      <c r="F27" s="9">
        <f t="shared" si="0"/>
        <v>0</v>
      </c>
      <c r="G27" s="9">
        <f t="shared" si="1"/>
        <v>5</v>
      </c>
      <c r="H27" s="9">
        <f t="shared" si="2"/>
        <v>7</v>
      </c>
      <c r="I27" s="10">
        <f t="shared" si="4"/>
        <v>12</v>
      </c>
    </row>
    <row r="28" spans="1:9" x14ac:dyDescent="0.25">
      <c r="A28" s="1" t="s">
        <v>131</v>
      </c>
      <c r="B28" s="1" t="s">
        <v>130</v>
      </c>
      <c r="C28" s="1" t="s">
        <v>121</v>
      </c>
      <c r="D28" s="1" t="s">
        <v>1406</v>
      </c>
      <c r="E28" s="1" t="s">
        <v>104</v>
      </c>
      <c r="F28" s="9">
        <f t="shared" si="0"/>
        <v>0</v>
      </c>
      <c r="G28" s="9">
        <f t="shared" si="1"/>
        <v>0</v>
      </c>
      <c r="H28" s="9">
        <f t="shared" si="2"/>
        <v>0</v>
      </c>
      <c r="I28" s="10">
        <f t="shared" si="4"/>
        <v>0</v>
      </c>
    </row>
    <row r="29" spans="1:9" x14ac:dyDescent="0.25">
      <c r="A29" s="1" t="s">
        <v>135</v>
      </c>
      <c r="B29" s="1" t="s">
        <v>134</v>
      </c>
      <c r="C29" s="1" t="s">
        <v>121</v>
      </c>
      <c r="D29" s="1" t="s">
        <v>1406</v>
      </c>
      <c r="E29" s="1" t="s">
        <v>104</v>
      </c>
      <c r="F29" s="9">
        <f t="shared" si="0"/>
        <v>0</v>
      </c>
      <c r="G29" s="9">
        <f t="shared" si="1"/>
        <v>10</v>
      </c>
      <c r="H29" s="9">
        <f t="shared" si="2"/>
        <v>3</v>
      </c>
      <c r="I29" s="10">
        <f t="shared" si="4"/>
        <v>13</v>
      </c>
    </row>
    <row r="30" spans="1:9" x14ac:dyDescent="0.25">
      <c r="A30" s="1" t="s">
        <v>1439</v>
      </c>
      <c r="B30" s="1" t="s">
        <v>1440</v>
      </c>
      <c r="C30" s="1" t="s">
        <v>1389</v>
      </c>
      <c r="D30" s="1" t="s">
        <v>1406</v>
      </c>
      <c r="E30" s="1" t="s">
        <v>30</v>
      </c>
      <c r="F30" s="9">
        <f t="shared" si="0"/>
        <v>0</v>
      </c>
      <c r="G30" s="9">
        <f t="shared" si="1"/>
        <v>1</v>
      </c>
      <c r="H30" s="9">
        <f t="shared" si="2"/>
        <v>18</v>
      </c>
      <c r="I30" s="10">
        <f t="shared" si="4"/>
        <v>19</v>
      </c>
    </row>
    <row r="31" spans="1:9" x14ac:dyDescent="0.25">
      <c r="A31" s="1" t="s">
        <v>1441</v>
      </c>
      <c r="B31" s="1" t="s">
        <v>1442</v>
      </c>
      <c r="C31" s="1" t="s">
        <v>1389</v>
      </c>
      <c r="D31" s="1" t="s">
        <v>1406</v>
      </c>
      <c r="E31" s="1" t="s">
        <v>30</v>
      </c>
      <c r="F31" s="9">
        <f t="shared" si="0"/>
        <v>6</v>
      </c>
      <c r="G31" s="9">
        <f t="shared" si="1"/>
        <v>0</v>
      </c>
      <c r="H31" s="9">
        <f t="shared" si="2"/>
        <v>2</v>
      </c>
      <c r="I31" s="10">
        <f t="shared" si="4"/>
        <v>8</v>
      </c>
    </row>
    <row r="32" spans="1:9" x14ac:dyDescent="0.25">
      <c r="A32" s="1" t="s">
        <v>1443</v>
      </c>
      <c r="B32" s="1" t="s">
        <v>1444</v>
      </c>
      <c r="C32" s="1" t="s">
        <v>1389</v>
      </c>
      <c r="D32" s="1" t="s">
        <v>1406</v>
      </c>
      <c r="E32" s="1" t="s">
        <v>30</v>
      </c>
      <c r="F32" s="9">
        <f t="shared" si="0"/>
        <v>0</v>
      </c>
      <c r="G32" s="9">
        <f t="shared" si="1"/>
        <v>0</v>
      </c>
      <c r="H32" s="9">
        <f t="shared" si="2"/>
        <v>13</v>
      </c>
      <c r="I32" s="10">
        <f t="shared" si="4"/>
        <v>13</v>
      </c>
    </row>
    <row r="33" spans="1:9" x14ac:dyDescent="0.25">
      <c r="A33" s="1" t="s">
        <v>242</v>
      </c>
      <c r="B33" s="1" t="s">
        <v>241</v>
      </c>
      <c r="C33" s="1" t="s">
        <v>1389</v>
      </c>
      <c r="D33" s="1" t="s">
        <v>1406</v>
      </c>
      <c r="E33" s="1" t="s">
        <v>30</v>
      </c>
      <c r="F33" s="9">
        <f t="shared" si="0"/>
        <v>0</v>
      </c>
      <c r="G33" s="9">
        <f t="shared" si="1"/>
        <v>17</v>
      </c>
      <c r="H33" s="9">
        <f t="shared" si="2"/>
        <v>0</v>
      </c>
      <c r="I33" s="10">
        <f t="shared" si="4"/>
        <v>17</v>
      </c>
    </row>
    <row r="34" spans="1:9" x14ac:dyDescent="0.25">
      <c r="A34" s="1" t="s">
        <v>356</v>
      </c>
      <c r="B34" s="1" t="s">
        <v>355</v>
      </c>
      <c r="C34" s="1" t="s">
        <v>1389</v>
      </c>
      <c r="D34" s="1" t="s">
        <v>1406</v>
      </c>
      <c r="E34" s="1" t="s">
        <v>30</v>
      </c>
      <c r="F34" s="9">
        <f t="shared" si="0"/>
        <v>0</v>
      </c>
      <c r="G34" s="9">
        <f t="shared" si="1"/>
        <v>172</v>
      </c>
      <c r="H34" s="9">
        <f t="shared" si="2"/>
        <v>8</v>
      </c>
      <c r="I34" s="10">
        <f t="shared" si="4"/>
        <v>180</v>
      </c>
    </row>
    <row r="35" spans="1:9" x14ac:dyDescent="0.25">
      <c r="A35" s="1" t="s">
        <v>358</v>
      </c>
      <c r="B35" s="1" t="s">
        <v>357</v>
      </c>
      <c r="C35" s="1" t="s">
        <v>1389</v>
      </c>
      <c r="D35" s="1" t="s">
        <v>1406</v>
      </c>
      <c r="E35" s="1" t="s">
        <v>30</v>
      </c>
      <c r="F35" s="9">
        <f t="shared" si="0"/>
        <v>0</v>
      </c>
      <c r="G35" s="9">
        <f t="shared" si="1"/>
        <v>151</v>
      </c>
      <c r="H35" s="9">
        <f t="shared" si="2"/>
        <v>0</v>
      </c>
      <c r="I35" s="10">
        <f t="shared" si="4"/>
        <v>151</v>
      </c>
    </row>
    <row r="36" spans="1:9" x14ac:dyDescent="0.25">
      <c r="A36" s="1" t="s">
        <v>360</v>
      </c>
      <c r="B36" s="1" t="s">
        <v>359</v>
      </c>
      <c r="C36" s="1" t="s">
        <v>1389</v>
      </c>
      <c r="D36" s="1" t="s">
        <v>1406</v>
      </c>
      <c r="E36" s="1" t="s">
        <v>30</v>
      </c>
      <c r="F36" s="9">
        <f t="shared" si="0"/>
        <v>0</v>
      </c>
      <c r="G36" s="9">
        <f t="shared" si="1"/>
        <v>57</v>
      </c>
      <c r="H36" s="9">
        <f t="shared" si="2"/>
        <v>0</v>
      </c>
      <c r="I36" s="10">
        <f t="shared" si="4"/>
        <v>57</v>
      </c>
    </row>
    <row r="37" spans="1:9" x14ac:dyDescent="0.25">
      <c r="A37" s="1" t="s">
        <v>368</v>
      </c>
      <c r="B37" s="1" t="s">
        <v>367</v>
      </c>
      <c r="C37" s="1" t="s">
        <v>1389</v>
      </c>
      <c r="D37" s="1" t="s">
        <v>1406</v>
      </c>
      <c r="E37" s="1" t="s">
        <v>30</v>
      </c>
      <c r="F37" s="9">
        <f t="shared" si="0"/>
        <v>0</v>
      </c>
      <c r="G37" s="9">
        <f t="shared" si="1"/>
        <v>232</v>
      </c>
      <c r="H37" s="9">
        <f t="shared" si="2"/>
        <v>0</v>
      </c>
      <c r="I37" s="10">
        <f t="shared" si="4"/>
        <v>232</v>
      </c>
    </row>
    <row r="38" spans="1:9" x14ac:dyDescent="0.25">
      <c r="A38" s="1" t="s">
        <v>372</v>
      </c>
      <c r="B38" s="1" t="s">
        <v>371</v>
      </c>
      <c r="C38" s="1" t="s">
        <v>1389</v>
      </c>
      <c r="D38" s="1" t="s">
        <v>1406</v>
      </c>
      <c r="E38" s="1" t="s">
        <v>30</v>
      </c>
      <c r="F38" s="9">
        <f t="shared" si="0"/>
        <v>0</v>
      </c>
      <c r="G38" s="9">
        <f t="shared" si="1"/>
        <v>62</v>
      </c>
      <c r="H38" s="9">
        <f t="shared" si="2"/>
        <v>0</v>
      </c>
      <c r="I38" s="10">
        <f t="shared" si="4"/>
        <v>62</v>
      </c>
    </row>
    <row r="39" spans="1:9" x14ac:dyDescent="0.25">
      <c r="A39" s="1" t="s">
        <v>378</v>
      </c>
      <c r="B39" s="1" t="s">
        <v>377</v>
      </c>
      <c r="C39" s="1" t="s">
        <v>1389</v>
      </c>
      <c r="D39" s="1" t="s">
        <v>1406</v>
      </c>
      <c r="E39" s="1" t="s">
        <v>30</v>
      </c>
      <c r="F39" s="9">
        <f t="shared" si="0"/>
        <v>10</v>
      </c>
      <c r="G39" s="9">
        <f t="shared" si="1"/>
        <v>15</v>
      </c>
      <c r="H39" s="9">
        <f t="shared" si="2"/>
        <v>0</v>
      </c>
      <c r="I39" s="10">
        <f t="shared" si="4"/>
        <v>25</v>
      </c>
    </row>
    <row r="40" spans="1:9" x14ac:dyDescent="0.25">
      <c r="A40" s="1" t="s">
        <v>380</v>
      </c>
      <c r="B40" s="1" t="s">
        <v>379</v>
      </c>
      <c r="C40" s="1" t="s">
        <v>1389</v>
      </c>
      <c r="D40" s="1" t="s">
        <v>1406</v>
      </c>
      <c r="E40" s="1" t="s">
        <v>30</v>
      </c>
      <c r="F40" s="9">
        <f t="shared" si="0"/>
        <v>0</v>
      </c>
      <c r="G40" s="9">
        <f t="shared" si="1"/>
        <v>41</v>
      </c>
      <c r="H40" s="9">
        <f t="shared" si="2"/>
        <v>0</v>
      </c>
      <c r="I40" s="10">
        <f t="shared" si="4"/>
        <v>41</v>
      </c>
    </row>
    <row r="41" spans="1:9" x14ac:dyDescent="0.25">
      <c r="A41" s="1" t="s">
        <v>1445</v>
      </c>
      <c r="B41" s="1" t="s">
        <v>1446</v>
      </c>
      <c r="C41" s="1" t="s">
        <v>1389</v>
      </c>
      <c r="D41" s="1" t="s">
        <v>1406</v>
      </c>
      <c r="E41" s="1" t="s">
        <v>30</v>
      </c>
      <c r="F41" s="9">
        <f t="shared" si="0"/>
        <v>0</v>
      </c>
      <c r="G41" s="9">
        <f t="shared" si="1"/>
        <v>9</v>
      </c>
      <c r="H41" s="9">
        <f t="shared" si="2"/>
        <v>10</v>
      </c>
      <c r="I41" s="10">
        <f t="shared" si="4"/>
        <v>19</v>
      </c>
    </row>
    <row r="42" spans="1:9" x14ac:dyDescent="0.25">
      <c r="A42" s="1" t="s">
        <v>1447</v>
      </c>
      <c r="B42" s="1" t="s">
        <v>1448</v>
      </c>
      <c r="C42" s="1" t="s">
        <v>1389</v>
      </c>
      <c r="D42" s="1" t="s">
        <v>1406</v>
      </c>
      <c r="E42" s="1" t="s">
        <v>30</v>
      </c>
      <c r="F42" s="9">
        <f t="shared" si="0"/>
        <v>0</v>
      </c>
      <c r="G42" s="9">
        <f t="shared" si="1"/>
        <v>2</v>
      </c>
      <c r="H42" s="9">
        <f t="shared" si="2"/>
        <v>6</v>
      </c>
      <c r="I42" s="10">
        <f t="shared" si="4"/>
        <v>8</v>
      </c>
    </row>
    <row r="43" spans="1:9" x14ac:dyDescent="0.25">
      <c r="A43" s="1" t="s">
        <v>1449</v>
      </c>
      <c r="B43" s="1" t="s">
        <v>1450</v>
      </c>
      <c r="C43" s="1" t="s">
        <v>1389</v>
      </c>
      <c r="D43" s="1" t="s">
        <v>1406</v>
      </c>
      <c r="E43" s="1" t="s">
        <v>30</v>
      </c>
      <c r="F43" s="9">
        <f t="shared" si="0"/>
        <v>3</v>
      </c>
      <c r="G43" s="9">
        <f t="shared" si="1"/>
        <v>59</v>
      </c>
      <c r="H43" s="9">
        <f t="shared" si="2"/>
        <v>4</v>
      </c>
      <c r="I43" s="10">
        <f t="shared" si="4"/>
        <v>66</v>
      </c>
    </row>
    <row r="44" spans="1:9" x14ac:dyDescent="0.25">
      <c r="A44" s="1" t="s">
        <v>1451</v>
      </c>
      <c r="B44" s="1" t="s">
        <v>1452</v>
      </c>
      <c r="C44" s="1" t="s">
        <v>1389</v>
      </c>
      <c r="D44" s="1" t="s">
        <v>1406</v>
      </c>
      <c r="E44" s="1" t="s">
        <v>30</v>
      </c>
      <c r="F44" s="9">
        <f t="shared" si="0"/>
        <v>0</v>
      </c>
      <c r="G44" s="9">
        <f t="shared" si="1"/>
        <v>14</v>
      </c>
      <c r="H44" s="9">
        <f t="shared" si="2"/>
        <v>30</v>
      </c>
      <c r="I44" s="10">
        <f t="shared" si="4"/>
        <v>44</v>
      </c>
    </row>
    <row r="45" spans="1:9" x14ac:dyDescent="0.25">
      <c r="A45" s="1" t="s">
        <v>398</v>
      </c>
      <c r="B45" s="1" t="s">
        <v>397</v>
      </c>
      <c r="C45" s="1" t="s">
        <v>1389</v>
      </c>
      <c r="D45" s="1" t="s">
        <v>1406</v>
      </c>
      <c r="E45" s="1" t="s">
        <v>30</v>
      </c>
      <c r="F45" s="9">
        <f t="shared" si="0"/>
        <v>0</v>
      </c>
      <c r="G45" s="9">
        <f t="shared" si="1"/>
        <v>26</v>
      </c>
      <c r="H45" s="9">
        <f t="shared" si="2"/>
        <v>32</v>
      </c>
      <c r="I45" s="10">
        <f t="shared" si="4"/>
        <v>58</v>
      </c>
    </row>
    <row r="46" spans="1:9" x14ac:dyDescent="0.25">
      <c r="A46" s="1" t="s">
        <v>400</v>
      </c>
      <c r="B46" s="1" t="s">
        <v>399</v>
      </c>
      <c r="C46" s="1" t="s">
        <v>1389</v>
      </c>
      <c r="D46" s="1" t="s">
        <v>1406</v>
      </c>
      <c r="E46" s="1" t="s">
        <v>30</v>
      </c>
      <c r="F46" s="9">
        <f t="shared" si="0"/>
        <v>0</v>
      </c>
      <c r="G46" s="9">
        <f t="shared" si="1"/>
        <v>229</v>
      </c>
      <c r="H46" s="9">
        <f t="shared" si="2"/>
        <v>12</v>
      </c>
      <c r="I46" s="10">
        <f t="shared" si="4"/>
        <v>241</v>
      </c>
    </row>
    <row r="47" spans="1:9" x14ac:dyDescent="0.25">
      <c r="A47" s="1" t="s">
        <v>1453</v>
      </c>
      <c r="B47" s="1" t="s">
        <v>1454</v>
      </c>
      <c r="C47" s="1" t="s">
        <v>1389</v>
      </c>
      <c r="D47" s="1" t="s">
        <v>1406</v>
      </c>
      <c r="E47" s="1" t="s">
        <v>30</v>
      </c>
      <c r="F47" s="9">
        <f t="shared" si="0"/>
        <v>0</v>
      </c>
      <c r="G47" s="9">
        <f t="shared" si="1"/>
        <v>1</v>
      </c>
      <c r="H47" s="9">
        <f t="shared" si="2"/>
        <v>17</v>
      </c>
      <c r="I47" s="10">
        <f t="shared" si="4"/>
        <v>18</v>
      </c>
    </row>
    <row r="48" spans="1:9" x14ac:dyDescent="0.25">
      <c r="A48" s="1" t="s">
        <v>404</v>
      </c>
      <c r="B48" s="1" t="s">
        <v>403</v>
      </c>
      <c r="C48" s="1" t="s">
        <v>1389</v>
      </c>
      <c r="D48" s="1" t="s">
        <v>1406</v>
      </c>
      <c r="E48" s="1" t="s">
        <v>30</v>
      </c>
      <c r="F48" s="9">
        <f t="shared" si="0"/>
        <v>11</v>
      </c>
      <c r="G48" s="9">
        <f t="shared" si="1"/>
        <v>7</v>
      </c>
      <c r="H48" s="9">
        <f t="shared" si="2"/>
        <v>1</v>
      </c>
      <c r="I48" s="10">
        <f t="shared" si="4"/>
        <v>19</v>
      </c>
    </row>
    <row r="49" spans="1:9" x14ac:dyDescent="0.25">
      <c r="A49" s="1" t="s">
        <v>406</v>
      </c>
      <c r="B49" s="1" t="s">
        <v>405</v>
      </c>
      <c r="C49" s="1" t="s">
        <v>1389</v>
      </c>
      <c r="D49" s="1" t="s">
        <v>1406</v>
      </c>
      <c r="E49" s="1" t="s">
        <v>30</v>
      </c>
      <c r="F49" s="9">
        <f t="shared" si="0"/>
        <v>0</v>
      </c>
      <c r="G49" s="9">
        <f t="shared" si="1"/>
        <v>11</v>
      </c>
      <c r="H49" s="9">
        <f t="shared" si="2"/>
        <v>41</v>
      </c>
      <c r="I49" s="10">
        <f t="shared" si="4"/>
        <v>52</v>
      </c>
    </row>
    <row r="50" spans="1:9" x14ac:dyDescent="0.25">
      <c r="A50" s="1" t="s">
        <v>408</v>
      </c>
      <c r="B50" s="1" t="s">
        <v>407</v>
      </c>
      <c r="C50" s="1" t="s">
        <v>1389</v>
      </c>
      <c r="D50" s="1" t="s">
        <v>1406</v>
      </c>
      <c r="E50" s="1" t="s">
        <v>30</v>
      </c>
      <c r="F50" s="9">
        <f t="shared" si="0"/>
        <v>0</v>
      </c>
      <c r="G50" s="9">
        <f t="shared" si="1"/>
        <v>131</v>
      </c>
      <c r="H50" s="9">
        <f t="shared" si="2"/>
        <v>14</v>
      </c>
      <c r="I50" s="10">
        <f t="shared" si="4"/>
        <v>145</v>
      </c>
    </row>
    <row r="51" spans="1:9" x14ac:dyDescent="0.25">
      <c r="A51" s="1" t="s">
        <v>1455</v>
      </c>
      <c r="B51" s="1" t="s">
        <v>1456</v>
      </c>
      <c r="C51" s="1" t="s">
        <v>1389</v>
      </c>
      <c r="D51" s="1" t="s">
        <v>1406</v>
      </c>
      <c r="E51" s="1" t="s">
        <v>30</v>
      </c>
      <c r="F51" s="9">
        <f t="shared" si="0"/>
        <v>0</v>
      </c>
      <c r="G51" s="9">
        <f t="shared" si="1"/>
        <v>20</v>
      </c>
      <c r="H51" s="9">
        <f t="shared" si="2"/>
        <v>14</v>
      </c>
      <c r="I51" s="10">
        <f t="shared" si="4"/>
        <v>34</v>
      </c>
    </row>
    <row r="52" spans="1:9" x14ac:dyDescent="0.25">
      <c r="A52" s="1" t="s">
        <v>424</v>
      </c>
      <c r="B52" s="1" t="s">
        <v>423</v>
      </c>
      <c r="C52" s="1" t="s">
        <v>1389</v>
      </c>
      <c r="D52" s="1" t="s">
        <v>1406</v>
      </c>
      <c r="E52" s="1" t="s">
        <v>30</v>
      </c>
      <c r="F52" s="9">
        <f t="shared" si="0"/>
        <v>0</v>
      </c>
      <c r="G52" s="9">
        <f t="shared" si="1"/>
        <v>115</v>
      </c>
      <c r="H52" s="9">
        <f t="shared" si="2"/>
        <v>52</v>
      </c>
      <c r="I52" s="10">
        <f t="shared" si="4"/>
        <v>167</v>
      </c>
    </row>
    <row r="53" spans="1:9" x14ac:dyDescent="0.25">
      <c r="A53" s="1" t="s">
        <v>426</v>
      </c>
      <c r="B53" s="1" t="s">
        <v>425</v>
      </c>
      <c r="C53" s="1" t="s">
        <v>1389</v>
      </c>
      <c r="D53" s="1" t="s">
        <v>1406</v>
      </c>
      <c r="E53" s="1" t="s">
        <v>30</v>
      </c>
      <c r="F53" s="9">
        <f t="shared" si="0"/>
        <v>0</v>
      </c>
      <c r="G53" s="9">
        <f t="shared" si="1"/>
        <v>53</v>
      </c>
      <c r="H53" s="9">
        <f t="shared" si="2"/>
        <v>37</v>
      </c>
      <c r="I53" s="10">
        <f t="shared" si="4"/>
        <v>90</v>
      </c>
    </row>
    <row r="54" spans="1:9" x14ac:dyDescent="0.25">
      <c r="A54" s="1" t="s">
        <v>1457</v>
      </c>
      <c r="B54" s="1" t="s">
        <v>1458</v>
      </c>
      <c r="C54" s="1" t="s">
        <v>1389</v>
      </c>
      <c r="D54" s="1" t="s">
        <v>1406</v>
      </c>
      <c r="E54" s="1" t="s">
        <v>30</v>
      </c>
      <c r="F54" s="9">
        <f t="shared" si="0"/>
        <v>0</v>
      </c>
      <c r="G54" s="9">
        <f t="shared" si="1"/>
        <v>0</v>
      </c>
      <c r="H54" s="9">
        <f t="shared" si="2"/>
        <v>40</v>
      </c>
      <c r="I54" s="10">
        <f t="shared" si="4"/>
        <v>40</v>
      </c>
    </row>
    <row r="55" spans="1:9" x14ac:dyDescent="0.25">
      <c r="A55" s="1" t="s">
        <v>1459</v>
      </c>
      <c r="B55" s="1" t="s">
        <v>1460</v>
      </c>
      <c r="C55" s="1" t="s">
        <v>1389</v>
      </c>
      <c r="D55" s="1" t="s">
        <v>1406</v>
      </c>
      <c r="E55" s="1" t="s">
        <v>30</v>
      </c>
      <c r="F55" s="9">
        <f t="shared" si="0"/>
        <v>0</v>
      </c>
      <c r="G55" s="9">
        <f t="shared" si="1"/>
        <v>17</v>
      </c>
      <c r="H55" s="9">
        <f t="shared" si="2"/>
        <v>30</v>
      </c>
      <c r="I55" s="10">
        <f t="shared" si="4"/>
        <v>47</v>
      </c>
    </row>
    <row r="56" spans="1:9" x14ac:dyDescent="0.25">
      <c r="A56" s="1" t="s">
        <v>430</v>
      </c>
      <c r="B56" s="1" t="s">
        <v>429</v>
      </c>
      <c r="C56" s="1" t="s">
        <v>1389</v>
      </c>
      <c r="D56" s="1" t="s">
        <v>1406</v>
      </c>
      <c r="E56" s="1" t="s">
        <v>30</v>
      </c>
      <c r="F56" s="9">
        <f t="shared" si="0"/>
        <v>0</v>
      </c>
      <c r="G56" s="9">
        <f t="shared" si="1"/>
        <v>31</v>
      </c>
      <c r="H56" s="9">
        <f t="shared" si="2"/>
        <v>19</v>
      </c>
      <c r="I56" s="10">
        <f t="shared" si="4"/>
        <v>50</v>
      </c>
    </row>
    <row r="57" spans="1:9" x14ac:dyDescent="0.25">
      <c r="A57" s="1" t="s">
        <v>440</v>
      </c>
      <c r="B57" s="1" t="s">
        <v>439</v>
      </c>
      <c r="C57" s="1" t="s">
        <v>1389</v>
      </c>
      <c r="D57" s="1" t="s">
        <v>1406</v>
      </c>
      <c r="E57" s="1" t="s">
        <v>30</v>
      </c>
      <c r="F57" s="9">
        <f t="shared" si="0"/>
        <v>0</v>
      </c>
      <c r="G57" s="9">
        <f t="shared" si="1"/>
        <v>26</v>
      </c>
      <c r="H57" s="9">
        <f t="shared" si="2"/>
        <v>56</v>
      </c>
      <c r="I57" s="10">
        <f t="shared" si="4"/>
        <v>82</v>
      </c>
    </row>
    <row r="58" spans="1:9" x14ac:dyDescent="0.25">
      <c r="A58" s="1" t="s">
        <v>1461</v>
      </c>
      <c r="B58" s="1" t="s">
        <v>1462</v>
      </c>
      <c r="C58" s="1" t="s">
        <v>669</v>
      </c>
      <c r="D58" s="1" t="s">
        <v>1406</v>
      </c>
      <c r="E58" s="1" t="s">
        <v>30</v>
      </c>
      <c r="F58" s="9">
        <f t="shared" si="0"/>
        <v>0</v>
      </c>
      <c r="G58" s="9">
        <f t="shared" si="1"/>
        <v>45</v>
      </c>
      <c r="H58" s="9">
        <f t="shared" si="2"/>
        <v>34</v>
      </c>
      <c r="I58" s="10">
        <f t="shared" si="4"/>
        <v>79</v>
      </c>
    </row>
    <row r="59" spans="1:9" x14ac:dyDescent="0.25">
      <c r="A59" s="1" t="s">
        <v>1463</v>
      </c>
      <c r="B59" s="1" t="s">
        <v>1464</v>
      </c>
      <c r="C59" s="1" t="s">
        <v>669</v>
      </c>
      <c r="D59" s="1" t="s">
        <v>1406</v>
      </c>
      <c r="E59" s="1" t="s">
        <v>30</v>
      </c>
      <c r="F59" s="9">
        <f t="shared" si="0"/>
        <v>0</v>
      </c>
      <c r="G59" s="9">
        <f t="shared" si="1"/>
        <v>29</v>
      </c>
      <c r="H59" s="9">
        <f t="shared" si="2"/>
        <v>8</v>
      </c>
      <c r="I59" s="10">
        <f t="shared" si="4"/>
        <v>37</v>
      </c>
    </row>
    <row r="60" spans="1:9" x14ac:dyDescent="0.25">
      <c r="A60" s="1" t="s">
        <v>690</v>
      </c>
      <c r="B60" s="1" t="s">
        <v>689</v>
      </c>
      <c r="C60" s="1" t="s">
        <v>669</v>
      </c>
      <c r="D60" s="1" t="s">
        <v>1406</v>
      </c>
      <c r="E60" s="1" t="s">
        <v>30</v>
      </c>
      <c r="F60" s="9">
        <f t="shared" si="0"/>
        <v>0</v>
      </c>
      <c r="G60" s="9">
        <f t="shared" si="1"/>
        <v>201</v>
      </c>
      <c r="H60" s="9">
        <f t="shared" si="2"/>
        <v>13</v>
      </c>
      <c r="I60" s="10">
        <f t="shared" si="4"/>
        <v>214</v>
      </c>
    </row>
    <row r="61" spans="1:9" x14ac:dyDescent="0.25">
      <c r="A61" s="1" t="s">
        <v>694</v>
      </c>
      <c r="B61" s="1" t="s">
        <v>693</v>
      </c>
      <c r="C61" s="1" t="s">
        <v>669</v>
      </c>
      <c r="D61" s="1" t="s">
        <v>1406</v>
      </c>
      <c r="E61" s="1" t="s">
        <v>30</v>
      </c>
      <c r="F61" s="9">
        <f t="shared" si="0"/>
        <v>0</v>
      </c>
      <c r="G61" s="9">
        <f t="shared" si="1"/>
        <v>5</v>
      </c>
      <c r="H61" s="9">
        <f t="shared" si="2"/>
        <v>2</v>
      </c>
      <c r="I61" s="10">
        <f t="shared" si="4"/>
        <v>7</v>
      </c>
    </row>
    <row r="62" spans="1:9" x14ac:dyDescent="0.25">
      <c r="A62" s="1" t="s">
        <v>696</v>
      </c>
      <c r="B62" s="1" t="s">
        <v>695</v>
      </c>
      <c r="C62" s="1" t="s">
        <v>669</v>
      </c>
      <c r="D62" s="1" t="s">
        <v>1406</v>
      </c>
      <c r="E62" s="1" t="s">
        <v>30</v>
      </c>
      <c r="F62" s="9">
        <f t="shared" si="0"/>
        <v>0</v>
      </c>
      <c r="G62" s="9">
        <f t="shared" si="1"/>
        <v>147</v>
      </c>
      <c r="H62" s="9">
        <f t="shared" si="2"/>
        <v>11</v>
      </c>
      <c r="I62" s="10">
        <f t="shared" si="4"/>
        <v>158</v>
      </c>
    </row>
    <row r="63" spans="1:9" x14ac:dyDescent="0.25">
      <c r="A63" s="1" t="s">
        <v>698</v>
      </c>
      <c r="B63" s="1" t="s">
        <v>697</v>
      </c>
      <c r="C63" s="1" t="s">
        <v>669</v>
      </c>
      <c r="D63" s="1" t="s">
        <v>1406</v>
      </c>
      <c r="E63" s="1" t="s">
        <v>30</v>
      </c>
      <c r="F63" s="9">
        <f t="shared" si="0"/>
        <v>0</v>
      </c>
      <c r="G63" s="9">
        <f t="shared" si="1"/>
        <v>70</v>
      </c>
      <c r="H63" s="9">
        <f t="shared" si="2"/>
        <v>11</v>
      </c>
      <c r="I63" s="10">
        <f t="shared" si="4"/>
        <v>81</v>
      </c>
    </row>
    <row r="64" spans="1:9" x14ac:dyDescent="0.25">
      <c r="A64" s="1" t="s">
        <v>1465</v>
      </c>
      <c r="B64" s="1" t="s">
        <v>1466</v>
      </c>
      <c r="C64" s="1" t="s">
        <v>669</v>
      </c>
      <c r="D64" s="1" t="s">
        <v>1406</v>
      </c>
      <c r="E64" s="1" t="s">
        <v>30</v>
      </c>
      <c r="F64" s="9">
        <f t="shared" si="0"/>
        <v>0</v>
      </c>
      <c r="G64" s="9">
        <f t="shared" si="1"/>
        <v>83</v>
      </c>
      <c r="H64" s="9">
        <f t="shared" si="2"/>
        <v>21</v>
      </c>
      <c r="I64" s="10">
        <f t="shared" si="4"/>
        <v>104</v>
      </c>
    </row>
    <row r="65" spans="1:9" x14ac:dyDescent="0.25">
      <c r="A65" s="1" t="s">
        <v>1467</v>
      </c>
      <c r="B65" s="1" t="s">
        <v>1468</v>
      </c>
      <c r="C65" s="1" t="s">
        <v>669</v>
      </c>
      <c r="D65" s="1" t="s">
        <v>1406</v>
      </c>
      <c r="E65" s="1" t="s">
        <v>30</v>
      </c>
      <c r="F65" s="9">
        <f t="shared" si="0"/>
        <v>0</v>
      </c>
      <c r="G65" s="9">
        <f t="shared" si="1"/>
        <v>404</v>
      </c>
      <c r="H65" s="9">
        <f t="shared" si="2"/>
        <v>20</v>
      </c>
      <c r="I65" s="10">
        <f t="shared" si="4"/>
        <v>424</v>
      </c>
    </row>
    <row r="66" spans="1:9" x14ac:dyDescent="0.25">
      <c r="A66" s="1" t="s">
        <v>1469</v>
      </c>
      <c r="B66" s="1" t="s">
        <v>1470</v>
      </c>
      <c r="C66" s="1" t="s">
        <v>669</v>
      </c>
      <c r="D66" s="1" t="s">
        <v>1406</v>
      </c>
      <c r="E66" s="1" t="s">
        <v>30</v>
      </c>
      <c r="F66" s="9">
        <f t="shared" si="0"/>
        <v>0</v>
      </c>
      <c r="G66" s="9">
        <f t="shared" si="1"/>
        <v>570</v>
      </c>
      <c r="H66" s="9">
        <f t="shared" si="2"/>
        <v>33</v>
      </c>
      <c r="I66" s="10">
        <f t="shared" si="4"/>
        <v>603</v>
      </c>
    </row>
    <row r="67" spans="1:9" x14ac:dyDescent="0.25">
      <c r="A67" s="1" t="s">
        <v>1471</v>
      </c>
      <c r="B67" s="1" t="s">
        <v>1472</v>
      </c>
      <c r="C67" s="1" t="s">
        <v>669</v>
      </c>
      <c r="D67" s="1" t="s">
        <v>1406</v>
      </c>
      <c r="E67" s="1" t="s">
        <v>30</v>
      </c>
      <c r="F67" s="9">
        <f t="shared" ref="F67:F130" si="5">IFERROR(VLOOKUP(A67,condi,8,0),0)</f>
        <v>0</v>
      </c>
      <c r="G67" s="9">
        <f t="shared" ref="G67:G130" si="6">IFERROR(VLOOKUP(A67,maqui,8,0),0)</f>
        <v>12</v>
      </c>
      <c r="H67" s="9">
        <f t="shared" ref="H67:H130" si="7">IFERROR(VLOOKUP(A67,ascint,8,0),0)</f>
        <v>20</v>
      </c>
      <c r="I67" s="10">
        <f t="shared" si="4"/>
        <v>32</v>
      </c>
    </row>
    <row r="68" spans="1:9" x14ac:dyDescent="0.25">
      <c r="A68" s="1" t="s">
        <v>1473</v>
      </c>
      <c r="B68" s="1" t="s">
        <v>1474</v>
      </c>
      <c r="C68" s="1" t="s">
        <v>669</v>
      </c>
      <c r="D68" s="1" t="s">
        <v>1406</v>
      </c>
      <c r="E68" s="1" t="s">
        <v>30</v>
      </c>
      <c r="F68" s="9">
        <f t="shared" si="5"/>
        <v>0</v>
      </c>
      <c r="G68" s="9">
        <f t="shared" si="6"/>
        <v>0</v>
      </c>
      <c r="H68" s="9">
        <f t="shared" si="7"/>
        <v>18</v>
      </c>
      <c r="I68" s="10">
        <f t="shared" si="4"/>
        <v>18</v>
      </c>
    </row>
    <row r="69" spans="1:9" x14ac:dyDescent="0.25">
      <c r="A69" s="1" t="s">
        <v>1475</v>
      </c>
      <c r="B69" s="1" t="s">
        <v>1476</v>
      </c>
      <c r="C69" s="1" t="s">
        <v>669</v>
      </c>
      <c r="D69" s="1" t="s">
        <v>1406</v>
      </c>
      <c r="E69" s="1" t="s">
        <v>30</v>
      </c>
      <c r="F69" s="9">
        <f t="shared" si="5"/>
        <v>0</v>
      </c>
      <c r="G69" s="9">
        <f t="shared" si="6"/>
        <v>177</v>
      </c>
      <c r="H69" s="9">
        <f t="shared" si="7"/>
        <v>0</v>
      </c>
      <c r="I69" s="10">
        <f t="shared" si="4"/>
        <v>177</v>
      </c>
    </row>
    <row r="70" spans="1:9" x14ac:dyDescent="0.25">
      <c r="A70" s="1" t="s">
        <v>1477</v>
      </c>
      <c r="B70" s="1" t="s">
        <v>1478</v>
      </c>
      <c r="C70" s="1" t="s">
        <v>669</v>
      </c>
      <c r="D70" s="1" t="s">
        <v>1406</v>
      </c>
      <c r="E70" s="1" t="s">
        <v>30</v>
      </c>
      <c r="F70" s="9">
        <f t="shared" si="5"/>
        <v>0</v>
      </c>
      <c r="G70" s="9">
        <f t="shared" si="6"/>
        <v>30</v>
      </c>
      <c r="H70" s="9">
        <f t="shared" si="7"/>
        <v>2</v>
      </c>
      <c r="I70" s="10">
        <f t="shared" si="4"/>
        <v>32</v>
      </c>
    </row>
    <row r="71" spans="1:9" x14ac:dyDescent="0.25">
      <c r="A71" s="1" t="s">
        <v>1479</v>
      </c>
      <c r="B71" s="1" t="s">
        <v>1480</v>
      </c>
      <c r="C71" s="1" t="s">
        <v>669</v>
      </c>
      <c r="D71" s="1" t="s">
        <v>1406</v>
      </c>
      <c r="E71" s="1" t="s">
        <v>30</v>
      </c>
      <c r="F71" s="9">
        <f t="shared" si="5"/>
        <v>0</v>
      </c>
      <c r="G71" s="9">
        <f t="shared" si="6"/>
        <v>50</v>
      </c>
      <c r="H71" s="9">
        <f t="shared" si="7"/>
        <v>2</v>
      </c>
      <c r="I71" s="10">
        <f t="shared" si="4"/>
        <v>52</v>
      </c>
    </row>
    <row r="72" spans="1:9" x14ac:dyDescent="0.25">
      <c r="A72" s="1" t="s">
        <v>1481</v>
      </c>
      <c r="B72" s="1" t="s">
        <v>1482</v>
      </c>
      <c r="C72" s="1" t="s">
        <v>669</v>
      </c>
      <c r="D72" s="1" t="s">
        <v>1406</v>
      </c>
      <c r="E72" s="1" t="s">
        <v>30</v>
      </c>
      <c r="F72" s="9">
        <f t="shared" si="5"/>
        <v>0</v>
      </c>
      <c r="G72" s="9">
        <f t="shared" si="6"/>
        <v>18</v>
      </c>
      <c r="H72" s="9">
        <f t="shared" si="7"/>
        <v>30</v>
      </c>
      <c r="I72" s="10">
        <f t="shared" si="4"/>
        <v>48</v>
      </c>
    </row>
    <row r="73" spans="1:9" x14ac:dyDescent="0.25">
      <c r="A73" s="1" t="s">
        <v>1483</v>
      </c>
      <c r="B73" s="1" t="s">
        <v>1484</v>
      </c>
      <c r="C73" s="1" t="s">
        <v>669</v>
      </c>
      <c r="D73" s="1" t="s">
        <v>1406</v>
      </c>
      <c r="E73" s="1" t="s">
        <v>30</v>
      </c>
      <c r="F73" s="9">
        <f t="shared" si="5"/>
        <v>0</v>
      </c>
      <c r="G73" s="9">
        <f t="shared" si="6"/>
        <v>66</v>
      </c>
      <c r="H73" s="9">
        <f t="shared" si="7"/>
        <v>30</v>
      </c>
      <c r="I73" s="10">
        <f t="shared" ref="I73:I136" si="8">+F73+G73+H73</f>
        <v>96</v>
      </c>
    </row>
    <row r="74" spans="1:9" x14ac:dyDescent="0.25">
      <c r="A74" s="1" t="s">
        <v>1485</v>
      </c>
      <c r="B74" s="1" t="s">
        <v>1486</v>
      </c>
      <c r="C74" s="1" t="s">
        <v>669</v>
      </c>
      <c r="D74" s="1" t="s">
        <v>1406</v>
      </c>
      <c r="E74" s="1" t="s">
        <v>30</v>
      </c>
      <c r="F74" s="9">
        <f t="shared" si="5"/>
        <v>0</v>
      </c>
      <c r="G74" s="9">
        <f t="shared" si="6"/>
        <v>0</v>
      </c>
      <c r="H74" s="9">
        <f t="shared" si="7"/>
        <v>1</v>
      </c>
      <c r="I74" s="10">
        <f t="shared" si="8"/>
        <v>1</v>
      </c>
    </row>
    <row r="75" spans="1:9" x14ac:dyDescent="0.25">
      <c r="A75" s="1" t="s">
        <v>700</v>
      </c>
      <c r="B75" s="1" t="s">
        <v>699</v>
      </c>
      <c r="C75" s="1" t="s">
        <v>669</v>
      </c>
      <c r="D75" s="1" t="s">
        <v>1406</v>
      </c>
      <c r="E75" s="1" t="s">
        <v>30</v>
      </c>
      <c r="F75" s="9">
        <f t="shared" si="5"/>
        <v>0</v>
      </c>
      <c r="G75" s="9">
        <f t="shared" si="6"/>
        <v>182</v>
      </c>
      <c r="H75" s="9">
        <f t="shared" si="7"/>
        <v>0</v>
      </c>
      <c r="I75" s="10">
        <f t="shared" si="8"/>
        <v>182</v>
      </c>
    </row>
    <row r="76" spans="1:9" x14ac:dyDescent="0.25">
      <c r="A76" s="1" t="s">
        <v>1487</v>
      </c>
      <c r="B76" s="1" t="s">
        <v>1488</v>
      </c>
      <c r="C76" s="1" t="s">
        <v>669</v>
      </c>
      <c r="D76" s="1" t="s">
        <v>1406</v>
      </c>
      <c r="E76" s="1" t="s">
        <v>30</v>
      </c>
      <c r="F76" s="9">
        <f t="shared" si="5"/>
        <v>0</v>
      </c>
      <c r="G76" s="9">
        <f t="shared" si="6"/>
        <v>148</v>
      </c>
      <c r="H76" s="9">
        <f t="shared" si="7"/>
        <v>4</v>
      </c>
      <c r="I76" s="10">
        <f t="shared" si="8"/>
        <v>152</v>
      </c>
    </row>
    <row r="77" spans="1:9" x14ac:dyDescent="0.25">
      <c r="A77" s="1" t="s">
        <v>1489</v>
      </c>
      <c r="B77" s="1" t="s">
        <v>1490</v>
      </c>
      <c r="C77" s="1" t="s">
        <v>669</v>
      </c>
      <c r="D77" s="1" t="s">
        <v>1406</v>
      </c>
      <c r="E77" s="1" t="s">
        <v>30</v>
      </c>
      <c r="F77" s="9">
        <f t="shared" si="5"/>
        <v>0</v>
      </c>
      <c r="G77" s="9">
        <f t="shared" si="6"/>
        <v>278</v>
      </c>
      <c r="H77" s="9">
        <f t="shared" si="7"/>
        <v>14</v>
      </c>
      <c r="I77" s="10">
        <f t="shared" si="8"/>
        <v>292</v>
      </c>
    </row>
    <row r="78" spans="1:9" x14ac:dyDescent="0.25">
      <c r="A78" s="1" t="s">
        <v>1491</v>
      </c>
      <c r="B78" s="1" t="s">
        <v>1492</v>
      </c>
      <c r="C78" s="1" t="s">
        <v>669</v>
      </c>
      <c r="D78" s="1" t="s">
        <v>1406</v>
      </c>
      <c r="E78" s="1" t="s">
        <v>30</v>
      </c>
      <c r="F78" s="9">
        <f t="shared" si="5"/>
        <v>0</v>
      </c>
      <c r="G78" s="9">
        <f t="shared" si="6"/>
        <v>54</v>
      </c>
      <c r="H78" s="9">
        <f t="shared" si="7"/>
        <v>6</v>
      </c>
      <c r="I78" s="10">
        <f t="shared" si="8"/>
        <v>60</v>
      </c>
    </row>
    <row r="79" spans="1:9" x14ac:dyDescent="0.25">
      <c r="A79" s="1" t="s">
        <v>710</v>
      </c>
      <c r="B79" s="1" t="s">
        <v>709</v>
      </c>
      <c r="C79" s="1" t="s">
        <v>669</v>
      </c>
      <c r="D79" s="1" t="s">
        <v>1406</v>
      </c>
      <c r="E79" s="1" t="s">
        <v>30</v>
      </c>
      <c r="F79" s="9">
        <f t="shared" si="5"/>
        <v>19</v>
      </c>
      <c r="G79" s="9">
        <f t="shared" si="6"/>
        <v>103</v>
      </c>
      <c r="H79" s="9">
        <f t="shared" si="7"/>
        <v>8</v>
      </c>
      <c r="I79" s="10">
        <f t="shared" si="8"/>
        <v>130</v>
      </c>
    </row>
    <row r="80" spans="1:9" x14ac:dyDescent="0.25">
      <c r="A80" s="1" t="s">
        <v>712</v>
      </c>
      <c r="B80" s="1" t="s">
        <v>711</v>
      </c>
      <c r="C80" s="1" t="s">
        <v>669</v>
      </c>
      <c r="D80" s="1" t="s">
        <v>1406</v>
      </c>
      <c r="E80" s="1" t="s">
        <v>30</v>
      </c>
      <c r="F80" s="9">
        <f t="shared" si="5"/>
        <v>0</v>
      </c>
      <c r="G80" s="9">
        <f t="shared" si="6"/>
        <v>80</v>
      </c>
      <c r="H80" s="9">
        <f t="shared" si="7"/>
        <v>28</v>
      </c>
      <c r="I80" s="10">
        <f t="shared" si="8"/>
        <v>108</v>
      </c>
    </row>
    <row r="81" spans="1:9" x14ac:dyDescent="0.25">
      <c r="A81" s="1" t="s">
        <v>718</v>
      </c>
      <c r="B81" s="1" t="s">
        <v>717</v>
      </c>
      <c r="C81" s="1" t="s">
        <v>669</v>
      </c>
      <c r="D81" s="1" t="s">
        <v>1406</v>
      </c>
      <c r="E81" s="1" t="s">
        <v>30</v>
      </c>
      <c r="F81" s="9">
        <f t="shared" si="5"/>
        <v>0</v>
      </c>
      <c r="G81" s="9">
        <f t="shared" si="6"/>
        <v>64</v>
      </c>
      <c r="H81" s="9">
        <f t="shared" si="7"/>
        <v>20</v>
      </c>
      <c r="I81" s="10">
        <f t="shared" si="8"/>
        <v>84</v>
      </c>
    </row>
    <row r="82" spans="1:9" x14ac:dyDescent="0.25">
      <c r="A82" s="1" t="s">
        <v>1493</v>
      </c>
      <c r="B82" s="1" t="s">
        <v>1494</v>
      </c>
      <c r="C82" s="1" t="s">
        <v>669</v>
      </c>
      <c r="D82" s="1" t="s">
        <v>1406</v>
      </c>
      <c r="E82" s="1" t="s">
        <v>30</v>
      </c>
      <c r="F82" s="9">
        <f t="shared" si="5"/>
        <v>0</v>
      </c>
      <c r="G82" s="9">
        <f t="shared" si="6"/>
        <v>313</v>
      </c>
      <c r="H82" s="9">
        <f t="shared" si="7"/>
        <v>8</v>
      </c>
      <c r="I82" s="10">
        <f t="shared" si="8"/>
        <v>321</v>
      </c>
    </row>
    <row r="83" spans="1:9" x14ac:dyDescent="0.25">
      <c r="A83" s="1" t="s">
        <v>1495</v>
      </c>
      <c r="B83" s="1" t="s">
        <v>1496</v>
      </c>
      <c r="C83" s="1" t="s">
        <v>669</v>
      </c>
      <c r="D83" s="1" t="s">
        <v>1406</v>
      </c>
      <c r="E83" s="1" t="s">
        <v>30</v>
      </c>
      <c r="F83" s="9">
        <f t="shared" si="5"/>
        <v>0</v>
      </c>
      <c r="G83" s="9">
        <f t="shared" si="6"/>
        <v>489</v>
      </c>
      <c r="H83" s="9">
        <f t="shared" si="7"/>
        <v>68</v>
      </c>
      <c r="I83" s="10">
        <f t="shared" si="8"/>
        <v>557</v>
      </c>
    </row>
    <row r="84" spans="1:9" x14ac:dyDescent="0.25">
      <c r="A84" s="1" t="s">
        <v>1497</v>
      </c>
      <c r="B84" s="1" t="s">
        <v>1498</v>
      </c>
      <c r="C84" s="1" t="s">
        <v>669</v>
      </c>
      <c r="D84" s="1" t="s">
        <v>1406</v>
      </c>
      <c r="E84" s="1" t="s">
        <v>30</v>
      </c>
      <c r="F84" s="9">
        <f t="shared" si="5"/>
        <v>0</v>
      </c>
      <c r="G84" s="9">
        <f t="shared" si="6"/>
        <v>205</v>
      </c>
      <c r="H84" s="9">
        <f t="shared" si="7"/>
        <v>45</v>
      </c>
      <c r="I84" s="10">
        <f t="shared" si="8"/>
        <v>250</v>
      </c>
    </row>
    <row r="85" spans="1:9" x14ac:dyDescent="0.25">
      <c r="A85" s="1" t="s">
        <v>732</v>
      </c>
      <c r="B85" s="1" t="s">
        <v>731</v>
      </c>
      <c r="C85" s="1" t="s">
        <v>669</v>
      </c>
      <c r="D85" s="1" t="s">
        <v>1406</v>
      </c>
      <c r="E85" s="1" t="s">
        <v>30</v>
      </c>
      <c r="F85" s="9">
        <f t="shared" si="5"/>
        <v>0</v>
      </c>
      <c r="G85" s="9">
        <f t="shared" si="6"/>
        <v>68</v>
      </c>
      <c r="H85" s="9">
        <f t="shared" si="7"/>
        <v>31</v>
      </c>
      <c r="I85" s="10">
        <f t="shared" si="8"/>
        <v>99</v>
      </c>
    </row>
    <row r="86" spans="1:9" x14ac:dyDescent="0.25">
      <c r="A86" s="1" t="s">
        <v>1499</v>
      </c>
      <c r="B86" s="1" t="s">
        <v>1500</v>
      </c>
      <c r="C86" s="1" t="s">
        <v>669</v>
      </c>
      <c r="D86" s="1" t="s">
        <v>1406</v>
      </c>
      <c r="E86" s="1" t="s">
        <v>30</v>
      </c>
      <c r="F86" s="9">
        <f t="shared" si="5"/>
        <v>0</v>
      </c>
      <c r="G86" s="9">
        <f t="shared" si="6"/>
        <v>0</v>
      </c>
      <c r="H86" s="9">
        <f t="shared" si="7"/>
        <v>1</v>
      </c>
      <c r="I86" s="10">
        <f t="shared" si="8"/>
        <v>1</v>
      </c>
    </row>
    <row r="87" spans="1:9" x14ac:dyDescent="0.25">
      <c r="A87" s="1" t="s">
        <v>1501</v>
      </c>
      <c r="B87" s="1" t="s">
        <v>1502</v>
      </c>
      <c r="C87" s="1" t="s">
        <v>669</v>
      </c>
      <c r="D87" s="1" t="s">
        <v>1406</v>
      </c>
      <c r="E87" s="1" t="s">
        <v>30</v>
      </c>
      <c r="F87" s="9">
        <f t="shared" si="5"/>
        <v>0</v>
      </c>
      <c r="G87" s="9">
        <f t="shared" si="6"/>
        <v>39</v>
      </c>
      <c r="H87" s="9">
        <f t="shared" si="7"/>
        <v>8</v>
      </c>
      <c r="I87" s="10">
        <f t="shared" si="8"/>
        <v>47</v>
      </c>
    </row>
    <row r="88" spans="1:9" x14ac:dyDescent="0.25">
      <c r="A88" s="1" t="s">
        <v>1503</v>
      </c>
      <c r="B88" s="1" t="s">
        <v>1504</v>
      </c>
      <c r="C88" s="1" t="s">
        <v>669</v>
      </c>
      <c r="D88" s="1" t="s">
        <v>1406</v>
      </c>
      <c r="E88" s="1" t="s">
        <v>30</v>
      </c>
      <c r="F88" s="9">
        <f t="shared" si="5"/>
        <v>0</v>
      </c>
      <c r="G88" s="9">
        <f t="shared" si="6"/>
        <v>5</v>
      </c>
      <c r="H88" s="9">
        <f t="shared" si="7"/>
        <v>10</v>
      </c>
      <c r="I88" s="10">
        <f t="shared" si="8"/>
        <v>15</v>
      </c>
    </row>
    <row r="89" spans="1:9" x14ac:dyDescent="0.25">
      <c r="A89" s="1" t="s">
        <v>1505</v>
      </c>
      <c r="B89" s="1" t="s">
        <v>1506</v>
      </c>
      <c r="C89" s="1" t="s">
        <v>669</v>
      </c>
      <c r="D89" s="1" t="s">
        <v>1406</v>
      </c>
      <c r="E89" s="1" t="s">
        <v>30</v>
      </c>
      <c r="F89" s="9">
        <f t="shared" si="5"/>
        <v>0</v>
      </c>
      <c r="G89" s="9">
        <f t="shared" si="6"/>
        <v>15</v>
      </c>
      <c r="H89" s="9">
        <f t="shared" si="7"/>
        <v>5</v>
      </c>
      <c r="I89" s="10">
        <f t="shared" si="8"/>
        <v>20</v>
      </c>
    </row>
    <row r="90" spans="1:9" x14ac:dyDescent="0.25">
      <c r="A90" s="1" t="s">
        <v>1507</v>
      </c>
      <c r="B90" s="1" t="s">
        <v>1508</v>
      </c>
      <c r="C90" s="1" t="s">
        <v>669</v>
      </c>
      <c r="D90" s="1" t="s">
        <v>1406</v>
      </c>
      <c r="E90" s="1" t="s">
        <v>30</v>
      </c>
      <c r="F90" s="9">
        <f t="shared" si="5"/>
        <v>0</v>
      </c>
      <c r="G90" s="9">
        <f t="shared" si="6"/>
        <v>227</v>
      </c>
      <c r="H90" s="9">
        <f t="shared" si="7"/>
        <v>53</v>
      </c>
      <c r="I90" s="10">
        <f t="shared" si="8"/>
        <v>280</v>
      </c>
    </row>
    <row r="91" spans="1:9" x14ac:dyDescent="0.25">
      <c r="A91" s="1" t="s">
        <v>1509</v>
      </c>
      <c r="B91" s="1" t="s">
        <v>1510</v>
      </c>
      <c r="C91" s="1" t="s">
        <v>669</v>
      </c>
      <c r="D91" s="1" t="s">
        <v>1406</v>
      </c>
      <c r="E91" s="1" t="s">
        <v>30</v>
      </c>
      <c r="F91" s="9">
        <f t="shared" si="5"/>
        <v>0</v>
      </c>
      <c r="G91" s="9">
        <f t="shared" si="6"/>
        <v>139</v>
      </c>
      <c r="H91" s="9">
        <f t="shared" si="7"/>
        <v>44</v>
      </c>
      <c r="I91" s="10">
        <f t="shared" si="8"/>
        <v>183</v>
      </c>
    </row>
    <row r="92" spans="1:9" x14ac:dyDescent="0.25">
      <c r="A92" s="1" t="s">
        <v>756</v>
      </c>
      <c r="B92" s="1" t="s">
        <v>755</v>
      </c>
      <c r="C92" s="1" t="s">
        <v>669</v>
      </c>
      <c r="D92" s="1" t="s">
        <v>1406</v>
      </c>
      <c r="E92" s="1" t="s">
        <v>30</v>
      </c>
      <c r="F92" s="9">
        <f t="shared" si="5"/>
        <v>0</v>
      </c>
      <c r="G92" s="9">
        <f t="shared" si="6"/>
        <v>0</v>
      </c>
      <c r="H92" s="9">
        <f t="shared" si="7"/>
        <v>2</v>
      </c>
      <c r="I92" s="10">
        <f t="shared" si="8"/>
        <v>2</v>
      </c>
    </row>
    <row r="93" spans="1:9" x14ac:dyDescent="0.25">
      <c r="A93" s="1" t="s">
        <v>479</v>
      </c>
      <c r="B93" s="1" t="s">
        <v>478</v>
      </c>
      <c r="C93" s="1" t="s">
        <v>480</v>
      </c>
      <c r="D93" s="1" t="s">
        <v>1406</v>
      </c>
      <c r="E93" s="1" t="s">
        <v>489</v>
      </c>
      <c r="F93" s="9">
        <f t="shared" si="5"/>
        <v>0</v>
      </c>
      <c r="G93" s="9">
        <f t="shared" si="6"/>
        <v>8.01</v>
      </c>
      <c r="H93" s="9">
        <f t="shared" si="7"/>
        <v>4</v>
      </c>
      <c r="I93" s="10">
        <f t="shared" si="8"/>
        <v>12.01</v>
      </c>
    </row>
    <row r="94" spans="1:9" x14ac:dyDescent="0.25">
      <c r="A94" s="1" t="s">
        <v>484</v>
      </c>
      <c r="B94" s="1" t="s">
        <v>483</v>
      </c>
      <c r="C94" s="1" t="s">
        <v>480</v>
      </c>
      <c r="D94" s="1" t="s">
        <v>1406</v>
      </c>
      <c r="E94" s="1" t="s">
        <v>489</v>
      </c>
      <c r="F94" s="9">
        <f t="shared" si="5"/>
        <v>0</v>
      </c>
      <c r="G94" s="9">
        <f t="shared" si="6"/>
        <v>112.4</v>
      </c>
      <c r="H94" s="9">
        <f t="shared" si="7"/>
        <v>0</v>
      </c>
      <c r="I94" s="10">
        <f t="shared" si="8"/>
        <v>112.4</v>
      </c>
    </row>
    <row r="95" spans="1:9" x14ac:dyDescent="0.25">
      <c r="A95" s="1" t="s">
        <v>486</v>
      </c>
      <c r="B95" s="1" t="s">
        <v>485</v>
      </c>
      <c r="C95" s="1" t="s">
        <v>480</v>
      </c>
      <c r="D95" s="1" t="s">
        <v>1406</v>
      </c>
      <c r="E95" s="1" t="s">
        <v>489</v>
      </c>
      <c r="F95" s="9">
        <f t="shared" si="5"/>
        <v>0</v>
      </c>
      <c r="G95" s="9">
        <f t="shared" si="6"/>
        <v>25.02</v>
      </c>
      <c r="H95" s="9">
        <f t="shared" si="7"/>
        <v>5</v>
      </c>
      <c r="I95" s="10">
        <f t="shared" si="8"/>
        <v>30.02</v>
      </c>
    </row>
    <row r="96" spans="1:9" x14ac:dyDescent="0.25">
      <c r="A96" s="1" t="s">
        <v>1511</v>
      </c>
      <c r="B96" s="1" t="s">
        <v>1512</v>
      </c>
      <c r="C96" s="1" t="s">
        <v>480</v>
      </c>
      <c r="D96" s="1" t="s">
        <v>1406</v>
      </c>
      <c r="E96" s="1" t="s">
        <v>489</v>
      </c>
      <c r="F96" s="9">
        <f t="shared" si="5"/>
        <v>0</v>
      </c>
      <c r="G96" s="9">
        <f t="shared" si="6"/>
        <v>498.5</v>
      </c>
      <c r="H96" s="9">
        <f t="shared" si="7"/>
        <v>8.9</v>
      </c>
      <c r="I96" s="10">
        <f t="shared" si="8"/>
        <v>507.4</v>
      </c>
    </row>
    <row r="97" spans="1:9" x14ac:dyDescent="0.25">
      <c r="A97" s="1" t="s">
        <v>1513</v>
      </c>
      <c r="B97" s="1" t="s">
        <v>1514</v>
      </c>
      <c r="C97" s="1" t="s">
        <v>759</v>
      </c>
      <c r="D97" s="1" t="s">
        <v>1406</v>
      </c>
      <c r="E97" s="1" t="s">
        <v>82</v>
      </c>
      <c r="F97" s="9">
        <f t="shared" si="5"/>
        <v>0</v>
      </c>
      <c r="G97" s="9">
        <f t="shared" si="6"/>
        <v>33</v>
      </c>
      <c r="H97" s="9">
        <f t="shared" si="7"/>
        <v>75</v>
      </c>
      <c r="I97" s="10">
        <f t="shared" si="8"/>
        <v>108</v>
      </c>
    </row>
    <row r="98" spans="1:9" x14ac:dyDescent="0.25">
      <c r="A98" s="1" t="s">
        <v>1515</v>
      </c>
      <c r="B98" s="1" t="s">
        <v>1516</v>
      </c>
      <c r="C98" s="1" t="s">
        <v>759</v>
      </c>
      <c r="D98" s="1" t="s">
        <v>1406</v>
      </c>
      <c r="E98" s="1" t="s">
        <v>82</v>
      </c>
      <c r="F98" s="9">
        <f t="shared" si="5"/>
        <v>0</v>
      </c>
      <c r="G98" s="9">
        <f t="shared" si="6"/>
        <v>294</v>
      </c>
      <c r="H98" s="9">
        <f t="shared" si="7"/>
        <v>111</v>
      </c>
      <c r="I98" s="10">
        <f t="shared" si="8"/>
        <v>405</v>
      </c>
    </row>
    <row r="99" spans="1:9" x14ac:dyDescent="0.25">
      <c r="A99" s="1" t="s">
        <v>1517</v>
      </c>
      <c r="B99" s="1" t="s">
        <v>1518</v>
      </c>
      <c r="C99" s="1" t="s">
        <v>759</v>
      </c>
      <c r="D99" s="1" t="s">
        <v>1406</v>
      </c>
      <c r="E99" s="1" t="s">
        <v>82</v>
      </c>
      <c r="F99" s="9">
        <f t="shared" si="5"/>
        <v>0</v>
      </c>
      <c r="G99" s="9">
        <f t="shared" si="6"/>
        <v>487</v>
      </c>
      <c r="H99" s="9">
        <f t="shared" si="7"/>
        <v>41</v>
      </c>
      <c r="I99" s="10">
        <f t="shared" si="8"/>
        <v>528</v>
      </c>
    </row>
    <row r="100" spans="1:9" x14ac:dyDescent="0.25">
      <c r="A100" s="1" t="s">
        <v>1519</v>
      </c>
      <c r="B100" s="1" t="s">
        <v>1520</v>
      </c>
      <c r="C100" s="1" t="s">
        <v>759</v>
      </c>
      <c r="D100" s="1" t="s">
        <v>1406</v>
      </c>
      <c r="E100" s="1" t="s">
        <v>82</v>
      </c>
      <c r="F100" s="9">
        <f t="shared" si="5"/>
        <v>0</v>
      </c>
      <c r="G100" s="9">
        <f t="shared" si="6"/>
        <v>132</v>
      </c>
      <c r="H100" s="9">
        <f t="shared" si="7"/>
        <v>72</v>
      </c>
      <c r="I100" s="10">
        <f t="shared" si="8"/>
        <v>204</v>
      </c>
    </row>
    <row r="101" spans="1:9" x14ac:dyDescent="0.25">
      <c r="A101" s="1" t="s">
        <v>1521</v>
      </c>
      <c r="B101" s="1" t="s">
        <v>1522</v>
      </c>
      <c r="C101" s="1" t="s">
        <v>759</v>
      </c>
      <c r="D101" s="1" t="s">
        <v>1406</v>
      </c>
      <c r="E101" s="1" t="s">
        <v>82</v>
      </c>
      <c r="F101" s="9">
        <f t="shared" si="5"/>
        <v>0</v>
      </c>
      <c r="G101" s="9">
        <f t="shared" si="6"/>
        <v>765</v>
      </c>
      <c r="H101" s="9">
        <f t="shared" si="7"/>
        <v>0</v>
      </c>
      <c r="I101" s="10">
        <f t="shared" si="8"/>
        <v>765</v>
      </c>
    </row>
    <row r="102" spans="1:9" x14ac:dyDescent="0.25">
      <c r="A102" s="1" t="s">
        <v>1523</v>
      </c>
      <c r="B102" s="1" t="s">
        <v>1524</v>
      </c>
      <c r="C102" s="1" t="s">
        <v>759</v>
      </c>
      <c r="D102" s="1" t="s">
        <v>1406</v>
      </c>
      <c r="E102" s="1" t="s">
        <v>82</v>
      </c>
      <c r="F102" s="9">
        <f t="shared" si="5"/>
        <v>0</v>
      </c>
      <c r="G102" s="9">
        <f t="shared" si="6"/>
        <v>1116</v>
      </c>
      <c r="H102" s="9">
        <f t="shared" si="7"/>
        <v>276</v>
      </c>
      <c r="I102" s="10">
        <f t="shared" si="8"/>
        <v>1392</v>
      </c>
    </row>
    <row r="103" spans="1:9" x14ac:dyDescent="0.25">
      <c r="A103" s="1" t="s">
        <v>1525</v>
      </c>
      <c r="B103" s="1" t="s">
        <v>1526</v>
      </c>
      <c r="C103" s="1" t="s">
        <v>759</v>
      </c>
      <c r="D103" s="1" t="s">
        <v>1406</v>
      </c>
      <c r="E103" s="1" t="s">
        <v>82</v>
      </c>
      <c r="F103" s="9">
        <f t="shared" si="5"/>
        <v>0</v>
      </c>
      <c r="G103" s="9">
        <f t="shared" si="6"/>
        <v>165</v>
      </c>
      <c r="H103" s="9">
        <f t="shared" si="7"/>
        <v>99</v>
      </c>
      <c r="I103" s="10">
        <f t="shared" si="8"/>
        <v>264</v>
      </c>
    </row>
    <row r="104" spans="1:9" x14ac:dyDescent="0.25">
      <c r="A104" s="1" t="s">
        <v>1527</v>
      </c>
      <c r="B104" s="1" t="s">
        <v>1528</v>
      </c>
      <c r="C104" s="1" t="s">
        <v>759</v>
      </c>
      <c r="D104" s="1" t="s">
        <v>1406</v>
      </c>
      <c r="E104" s="1" t="s">
        <v>82</v>
      </c>
      <c r="F104" s="9">
        <f t="shared" si="5"/>
        <v>0</v>
      </c>
      <c r="G104" s="9">
        <f t="shared" si="6"/>
        <v>392</v>
      </c>
      <c r="H104" s="9">
        <f t="shared" si="7"/>
        <v>38</v>
      </c>
      <c r="I104" s="10">
        <f t="shared" si="8"/>
        <v>430</v>
      </c>
    </row>
    <row r="105" spans="1:9" x14ac:dyDescent="0.25">
      <c r="A105" s="1" t="s">
        <v>1529</v>
      </c>
      <c r="B105" s="1" t="s">
        <v>1530</v>
      </c>
      <c r="C105" s="1" t="s">
        <v>759</v>
      </c>
      <c r="D105" s="1" t="s">
        <v>1406</v>
      </c>
      <c r="E105" s="1" t="s">
        <v>82</v>
      </c>
      <c r="F105" s="9">
        <f t="shared" si="5"/>
        <v>0</v>
      </c>
      <c r="G105" s="9">
        <f t="shared" si="6"/>
        <v>1358.25</v>
      </c>
      <c r="H105" s="9">
        <f t="shared" si="7"/>
        <v>153</v>
      </c>
      <c r="I105" s="10">
        <f t="shared" si="8"/>
        <v>1511.25</v>
      </c>
    </row>
    <row r="106" spans="1:9" x14ac:dyDescent="0.25">
      <c r="A106" s="1" t="s">
        <v>767</v>
      </c>
      <c r="B106" s="1" t="s">
        <v>766</v>
      </c>
      <c r="C106" s="1" t="s">
        <v>759</v>
      </c>
      <c r="D106" s="1" t="s">
        <v>1406</v>
      </c>
      <c r="E106" s="1" t="s">
        <v>82</v>
      </c>
      <c r="F106" s="9">
        <f t="shared" si="5"/>
        <v>0</v>
      </c>
      <c r="G106" s="9">
        <f t="shared" si="6"/>
        <v>3</v>
      </c>
      <c r="H106" s="9">
        <f t="shared" si="7"/>
        <v>30</v>
      </c>
      <c r="I106" s="10">
        <f t="shared" si="8"/>
        <v>33</v>
      </c>
    </row>
    <row r="107" spans="1:9" x14ac:dyDescent="0.25">
      <c r="A107" s="1" t="s">
        <v>769</v>
      </c>
      <c r="B107" s="1" t="s">
        <v>768</v>
      </c>
      <c r="C107" s="1" t="s">
        <v>759</v>
      </c>
      <c r="D107" s="1" t="s">
        <v>1406</v>
      </c>
      <c r="E107" s="1" t="s">
        <v>82</v>
      </c>
      <c r="F107" s="9">
        <f t="shared" si="5"/>
        <v>0</v>
      </c>
      <c r="G107" s="9">
        <f t="shared" si="6"/>
        <v>0</v>
      </c>
      <c r="H107" s="9">
        <f t="shared" si="7"/>
        <v>7</v>
      </c>
      <c r="I107" s="10">
        <f t="shared" si="8"/>
        <v>7</v>
      </c>
    </row>
    <row r="108" spans="1:9" x14ac:dyDescent="0.25">
      <c r="A108" s="1" t="s">
        <v>1393</v>
      </c>
      <c r="B108" s="1" t="s">
        <v>1392</v>
      </c>
      <c r="C108" s="1" t="s">
        <v>759</v>
      </c>
      <c r="D108" s="1" t="s">
        <v>1406</v>
      </c>
      <c r="E108" s="1" t="s">
        <v>82</v>
      </c>
      <c r="F108" s="9">
        <f t="shared" si="5"/>
        <v>0</v>
      </c>
      <c r="G108" s="9">
        <f t="shared" si="6"/>
        <v>0</v>
      </c>
      <c r="H108" s="9">
        <f t="shared" si="7"/>
        <v>-54</v>
      </c>
      <c r="I108" s="10">
        <f t="shared" si="8"/>
        <v>-54</v>
      </c>
    </row>
    <row r="109" spans="1:9" x14ac:dyDescent="0.25">
      <c r="A109" s="1" t="s">
        <v>771</v>
      </c>
      <c r="B109" s="1" t="s">
        <v>770</v>
      </c>
      <c r="C109" s="1" t="s">
        <v>759</v>
      </c>
      <c r="D109" s="1" t="s">
        <v>1406</v>
      </c>
      <c r="E109" s="1" t="s">
        <v>82</v>
      </c>
      <c r="F109" s="9">
        <f t="shared" si="5"/>
        <v>0</v>
      </c>
      <c r="G109" s="9">
        <f t="shared" si="6"/>
        <v>63.4</v>
      </c>
      <c r="H109" s="9">
        <f t="shared" si="7"/>
        <v>34</v>
      </c>
      <c r="I109" s="10">
        <f t="shared" si="8"/>
        <v>97.4</v>
      </c>
    </row>
    <row r="110" spans="1:9" x14ac:dyDescent="0.25">
      <c r="A110" s="1" t="s">
        <v>1531</v>
      </c>
      <c r="B110" s="1" t="s">
        <v>1532</v>
      </c>
      <c r="C110" s="1" t="s">
        <v>759</v>
      </c>
      <c r="D110" s="1" t="s">
        <v>1406</v>
      </c>
      <c r="E110" s="1" t="s">
        <v>82</v>
      </c>
      <c r="F110" s="9">
        <f t="shared" si="5"/>
        <v>0</v>
      </c>
      <c r="G110" s="9">
        <f t="shared" si="6"/>
        <v>13.6</v>
      </c>
      <c r="H110" s="9">
        <f t="shared" si="7"/>
        <v>38</v>
      </c>
      <c r="I110" s="10">
        <f t="shared" si="8"/>
        <v>51.6</v>
      </c>
    </row>
    <row r="111" spans="1:9" x14ac:dyDescent="0.25">
      <c r="A111" s="1" t="s">
        <v>1533</v>
      </c>
      <c r="B111" s="1" t="s">
        <v>1534</v>
      </c>
      <c r="C111" s="1" t="s">
        <v>759</v>
      </c>
      <c r="D111" s="1" t="s">
        <v>1406</v>
      </c>
      <c r="E111" s="1" t="s">
        <v>489</v>
      </c>
      <c r="F111" s="9">
        <f t="shared" si="5"/>
        <v>0</v>
      </c>
      <c r="G111" s="9">
        <f t="shared" si="6"/>
        <v>138.80000000000001</v>
      </c>
      <c r="H111" s="9">
        <f t="shared" si="7"/>
        <v>91</v>
      </c>
      <c r="I111" s="10">
        <f t="shared" si="8"/>
        <v>229.8</v>
      </c>
    </row>
    <row r="112" spans="1:9" x14ac:dyDescent="0.25">
      <c r="A112" s="1" t="s">
        <v>777</v>
      </c>
      <c r="B112" s="1" t="s">
        <v>776</v>
      </c>
      <c r="C112" s="1" t="s">
        <v>759</v>
      </c>
      <c r="D112" s="1" t="s">
        <v>1406</v>
      </c>
      <c r="E112" s="1" t="s">
        <v>82</v>
      </c>
      <c r="F112" s="9">
        <f t="shared" si="5"/>
        <v>0</v>
      </c>
      <c r="G112" s="9">
        <f t="shared" si="6"/>
        <v>298.10000000000002</v>
      </c>
      <c r="H112" s="9">
        <f t="shared" si="7"/>
        <v>586</v>
      </c>
      <c r="I112" s="10">
        <f t="shared" si="8"/>
        <v>884.1</v>
      </c>
    </row>
    <row r="113" spans="1:9" x14ac:dyDescent="0.25">
      <c r="A113" s="1" t="s">
        <v>1535</v>
      </c>
      <c r="B113" s="1" t="s">
        <v>1536</v>
      </c>
      <c r="C113" s="1" t="s">
        <v>759</v>
      </c>
      <c r="D113" s="1" t="s">
        <v>1406</v>
      </c>
      <c r="E113" s="1" t="s">
        <v>489</v>
      </c>
      <c r="F113" s="9">
        <f t="shared" si="5"/>
        <v>0</v>
      </c>
      <c r="G113" s="9">
        <f t="shared" si="6"/>
        <v>1140</v>
      </c>
      <c r="H113" s="9">
        <f t="shared" si="7"/>
        <v>101</v>
      </c>
      <c r="I113" s="10">
        <f t="shared" si="8"/>
        <v>1241</v>
      </c>
    </row>
    <row r="114" spans="1:9" x14ac:dyDescent="0.25">
      <c r="A114" s="1" t="s">
        <v>1537</v>
      </c>
      <c r="B114" s="1" t="s">
        <v>1538</v>
      </c>
      <c r="C114" s="1" t="s">
        <v>759</v>
      </c>
      <c r="D114" s="1" t="s">
        <v>1406</v>
      </c>
      <c r="E114" s="1" t="s">
        <v>489</v>
      </c>
      <c r="F114" s="9">
        <f t="shared" si="5"/>
        <v>0</v>
      </c>
      <c r="G114" s="9">
        <f t="shared" si="6"/>
        <v>123</v>
      </c>
      <c r="H114" s="9">
        <f t="shared" si="7"/>
        <v>80</v>
      </c>
      <c r="I114" s="10">
        <f t="shared" si="8"/>
        <v>203</v>
      </c>
    </row>
    <row r="115" spans="1:9" x14ac:dyDescent="0.25">
      <c r="A115" s="1" t="s">
        <v>1539</v>
      </c>
      <c r="B115" s="1" t="s">
        <v>1540</v>
      </c>
      <c r="C115" s="1" t="s">
        <v>759</v>
      </c>
      <c r="D115" s="1" t="s">
        <v>1406</v>
      </c>
      <c r="E115" s="1" t="s">
        <v>82</v>
      </c>
      <c r="F115" s="9">
        <f t="shared" si="5"/>
        <v>0</v>
      </c>
      <c r="G115" s="9">
        <f t="shared" si="6"/>
        <v>310.55</v>
      </c>
      <c r="H115" s="9">
        <f t="shared" si="7"/>
        <v>122</v>
      </c>
      <c r="I115" s="10">
        <f t="shared" si="8"/>
        <v>432.55</v>
      </c>
    </row>
    <row r="116" spans="1:9" x14ac:dyDescent="0.25">
      <c r="A116" s="1" t="s">
        <v>1541</v>
      </c>
      <c r="B116" s="1" t="s">
        <v>1542</v>
      </c>
      <c r="C116" s="1" t="s">
        <v>759</v>
      </c>
      <c r="D116" s="1" t="s">
        <v>1406</v>
      </c>
      <c r="E116" s="1" t="s">
        <v>82</v>
      </c>
      <c r="F116" s="9">
        <f t="shared" si="5"/>
        <v>0</v>
      </c>
      <c r="G116" s="9">
        <f t="shared" si="6"/>
        <v>241</v>
      </c>
      <c r="H116" s="9">
        <f t="shared" si="7"/>
        <v>176</v>
      </c>
      <c r="I116" s="10">
        <f t="shared" si="8"/>
        <v>417</v>
      </c>
    </row>
    <row r="117" spans="1:9" x14ac:dyDescent="0.25">
      <c r="A117" s="1" t="s">
        <v>799</v>
      </c>
      <c r="B117" s="1" t="s">
        <v>798</v>
      </c>
      <c r="C117" s="1" t="s">
        <v>791</v>
      </c>
      <c r="D117" s="1" t="s">
        <v>1406</v>
      </c>
      <c r="E117" s="1" t="s">
        <v>30</v>
      </c>
      <c r="F117" s="9">
        <f t="shared" si="5"/>
        <v>0</v>
      </c>
      <c r="G117" s="9">
        <f t="shared" si="6"/>
        <v>57</v>
      </c>
      <c r="H117" s="9">
        <f t="shared" si="7"/>
        <v>3</v>
      </c>
      <c r="I117" s="10">
        <f t="shared" si="8"/>
        <v>60</v>
      </c>
    </row>
    <row r="118" spans="1:9" x14ac:dyDescent="0.25">
      <c r="A118" s="1" t="s">
        <v>803</v>
      </c>
      <c r="B118" s="1" t="s">
        <v>802</v>
      </c>
      <c r="C118" s="1" t="s">
        <v>791</v>
      </c>
      <c r="D118" s="1" t="s">
        <v>1406</v>
      </c>
      <c r="E118" s="1" t="s">
        <v>30</v>
      </c>
      <c r="F118" s="9">
        <f t="shared" si="5"/>
        <v>0</v>
      </c>
      <c r="G118" s="9">
        <f t="shared" si="6"/>
        <v>1</v>
      </c>
      <c r="H118" s="9">
        <f t="shared" si="7"/>
        <v>12</v>
      </c>
      <c r="I118" s="10">
        <f t="shared" si="8"/>
        <v>13</v>
      </c>
    </row>
    <row r="119" spans="1:9" x14ac:dyDescent="0.25">
      <c r="A119" s="1" t="s">
        <v>1543</v>
      </c>
      <c r="B119" s="1" t="s">
        <v>1544</v>
      </c>
      <c r="C119" s="1" t="s">
        <v>791</v>
      </c>
      <c r="D119" s="1" t="s">
        <v>1406</v>
      </c>
      <c r="E119" s="1" t="s">
        <v>30</v>
      </c>
      <c r="F119" s="9">
        <f t="shared" si="5"/>
        <v>0</v>
      </c>
      <c r="G119" s="9">
        <f t="shared" si="6"/>
        <v>52</v>
      </c>
      <c r="H119" s="9">
        <f t="shared" si="7"/>
        <v>35</v>
      </c>
      <c r="I119" s="10">
        <f t="shared" si="8"/>
        <v>87</v>
      </c>
    </row>
    <row r="120" spans="1:9" x14ac:dyDescent="0.25">
      <c r="A120" s="1" t="s">
        <v>815</v>
      </c>
      <c r="B120" s="1" t="s">
        <v>814</v>
      </c>
      <c r="C120" s="1" t="s">
        <v>791</v>
      </c>
      <c r="D120" s="1" t="s">
        <v>1406</v>
      </c>
      <c r="E120" s="1" t="s">
        <v>30</v>
      </c>
      <c r="F120" s="9">
        <f t="shared" si="5"/>
        <v>0</v>
      </c>
      <c r="G120" s="9">
        <f t="shared" si="6"/>
        <v>76</v>
      </c>
      <c r="H120" s="9">
        <f t="shared" si="7"/>
        <v>25</v>
      </c>
      <c r="I120" s="10">
        <f t="shared" si="8"/>
        <v>101</v>
      </c>
    </row>
    <row r="121" spans="1:9" x14ac:dyDescent="0.25">
      <c r="A121" s="1" t="s">
        <v>819</v>
      </c>
      <c r="B121" s="1" t="s">
        <v>818</v>
      </c>
      <c r="C121" s="1" t="s">
        <v>791</v>
      </c>
      <c r="D121" s="1" t="s">
        <v>1406</v>
      </c>
      <c r="E121" s="1" t="s">
        <v>30</v>
      </c>
      <c r="F121" s="9">
        <f t="shared" si="5"/>
        <v>0</v>
      </c>
      <c r="G121" s="9">
        <f t="shared" si="6"/>
        <v>0</v>
      </c>
      <c r="H121" s="9">
        <f t="shared" si="7"/>
        <v>20</v>
      </c>
      <c r="I121" s="10">
        <f t="shared" si="8"/>
        <v>20</v>
      </c>
    </row>
    <row r="122" spans="1:9" x14ac:dyDescent="0.25">
      <c r="A122" s="1" t="s">
        <v>831</v>
      </c>
      <c r="B122" s="1" t="s">
        <v>830</v>
      </c>
      <c r="C122" s="1" t="s">
        <v>791</v>
      </c>
      <c r="D122" s="1" t="s">
        <v>1406</v>
      </c>
      <c r="E122" s="1" t="s">
        <v>30</v>
      </c>
      <c r="F122" s="9">
        <f t="shared" si="5"/>
        <v>0</v>
      </c>
      <c r="G122" s="9">
        <f t="shared" si="6"/>
        <v>15</v>
      </c>
      <c r="H122" s="9">
        <f t="shared" si="7"/>
        <v>27</v>
      </c>
      <c r="I122" s="10">
        <f t="shared" si="8"/>
        <v>42</v>
      </c>
    </row>
    <row r="123" spans="1:9" x14ac:dyDescent="0.25">
      <c r="A123" s="1" t="s">
        <v>833</v>
      </c>
      <c r="B123" s="1" t="s">
        <v>832</v>
      </c>
      <c r="C123" s="1" t="s">
        <v>791</v>
      </c>
      <c r="D123" s="1" t="s">
        <v>1406</v>
      </c>
      <c r="E123" s="1" t="s">
        <v>30</v>
      </c>
      <c r="F123" s="9">
        <f t="shared" si="5"/>
        <v>0</v>
      </c>
      <c r="G123" s="9">
        <f t="shared" si="6"/>
        <v>0</v>
      </c>
      <c r="H123" s="9">
        <f t="shared" si="7"/>
        <v>3</v>
      </c>
      <c r="I123" s="10">
        <f t="shared" si="8"/>
        <v>3</v>
      </c>
    </row>
    <row r="124" spans="1:9" x14ac:dyDescent="0.25">
      <c r="A124" s="1" t="s">
        <v>841</v>
      </c>
      <c r="B124" s="1" t="s">
        <v>840</v>
      </c>
      <c r="C124" s="1" t="s">
        <v>791</v>
      </c>
      <c r="D124" s="1" t="s">
        <v>1406</v>
      </c>
      <c r="E124" s="1" t="s">
        <v>30</v>
      </c>
      <c r="F124" s="9">
        <f t="shared" si="5"/>
        <v>0</v>
      </c>
      <c r="G124" s="9">
        <f t="shared" si="6"/>
        <v>12</v>
      </c>
      <c r="H124" s="9">
        <f t="shared" si="7"/>
        <v>16</v>
      </c>
      <c r="I124" s="10">
        <f t="shared" si="8"/>
        <v>28</v>
      </c>
    </row>
    <row r="125" spans="1:9" x14ac:dyDescent="0.25">
      <c r="A125" s="1" t="s">
        <v>853</v>
      </c>
      <c r="B125" s="1" t="s">
        <v>852</v>
      </c>
      <c r="C125" s="1" t="s">
        <v>791</v>
      </c>
      <c r="D125" s="1" t="s">
        <v>1406</v>
      </c>
      <c r="E125" s="1" t="s">
        <v>30</v>
      </c>
      <c r="F125" s="9">
        <f t="shared" si="5"/>
        <v>0</v>
      </c>
      <c r="G125" s="9">
        <f t="shared" si="6"/>
        <v>12</v>
      </c>
      <c r="H125" s="9">
        <f t="shared" si="7"/>
        <v>9</v>
      </c>
      <c r="I125" s="10">
        <f t="shared" si="8"/>
        <v>21</v>
      </c>
    </row>
    <row r="126" spans="1:9" x14ac:dyDescent="0.25">
      <c r="A126" s="1" t="s">
        <v>855</v>
      </c>
      <c r="B126" s="1" t="s">
        <v>854</v>
      </c>
      <c r="C126" s="1" t="s">
        <v>791</v>
      </c>
      <c r="D126" s="1" t="s">
        <v>1406</v>
      </c>
      <c r="E126" s="1" t="s">
        <v>30</v>
      </c>
      <c r="F126" s="9">
        <f t="shared" si="5"/>
        <v>0</v>
      </c>
      <c r="G126" s="9">
        <f t="shared" si="6"/>
        <v>64</v>
      </c>
      <c r="H126" s="9">
        <f t="shared" si="7"/>
        <v>0</v>
      </c>
      <c r="I126" s="10">
        <f t="shared" si="8"/>
        <v>64</v>
      </c>
    </row>
    <row r="127" spans="1:9" x14ac:dyDescent="0.25">
      <c r="A127" s="1" t="s">
        <v>857</v>
      </c>
      <c r="B127" s="1" t="s">
        <v>856</v>
      </c>
      <c r="C127" s="1" t="s">
        <v>791</v>
      </c>
      <c r="D127" s="1" t="s">
        <v>1406</v>
      </c>
      <c r="E127" s="1" t="s">
        <v>30</v>
      </c>
      <c r="F127" s="9">
        <f t="shared" si="5"/>
        <v>0</v>
      </c>
      <c r="G127" s="9">
        <f t="shared" si="6"/>
        <v>27</v>
      </c>
      <c r="H127" s="9">
        <f t="shared" si="7"/>
        <v>1</v>
      </c>
      <c r="I127" s="10">
        <f t="shared" si="8"/>
        <v>28</v>
      </c>
    </row>
    <row r="128" spans="1:9" x14ac:dyDescent="0.25">
      <c r="A128" s="1" t="s">
        <v>875</v>
      </c>
      <c r="B128" s="1" t="s">
        <v>874</v>
      </c>
      <c r="C128" s="1" t="s">
        <v>791</v>
      </c>
      <c r="D128" s="1" t="s">
        <v>1406</v>
      </c>
      <c r="E128" s="1" t="s">
        <v>30</v>
      </c>
      <c r="F128" s="9">
        <f t="shared" si="5"/>
        <v>0</v>
      </c>
      <c r="G128" s="9">
        <f t="shared" si="6"/>
        <v>30</v>
      </c>
      <c r="H128" s="9">
        <f t="shared" si="7"/>
        <v>6</v>
      </c>
      <c r="I128" s="10">
        <f t="shared" si="8"/>
        <v>36</v>
      </c>
    </row>
    <row r="129" spans="1:9" x14ac:dyDescent="0.25">
      <c r="A129" s="1" t="s">
        <v>877</v>
      </c>
      <c r="B129" s="1" t="s">
        <v>876</v>
      </c>
      <c r="C129" s="1" t="s">
        <v>791</v>
      </c>
      <c r="D129" s="1" t="s">
        <v>1406</v>
      </c>
      <c r="E129" s="1" t="s">
        <v>30</v>
      </c>
      <c r="F129" s="9">
        <f t="shared" si="5"/>
        <v>0</v>
      </c>
      <c r="G129" s="9">
        <f t="shared" si="6"/>
        <v>28</v>
      </c>
      <c r="H129" s="9">
        <f t="shared" si="7"/>
        <v>0</v>
      </c>
      <c r="I129" s="10">
        <f t="shared" si="8"/>
        <v>28</v>
      </c>
    </row>
    <row r="130" spans="1:9" x14ac:dyDescent="0.25">
      <c r="A130" s="1" t="s">
        <v>887</v>
      </c>
      <c r="B130" s="1" t="s">
        <v>886</v>
      </c>
      <c r="C130" s="1" t="s">
        <v>791</v>
      </c>
      <c r="D130" s="1" t="s">
        <v>1406</v>
      </c>
      <c r="E130" s="1" t="s">
        <v>30</v>
      </c>
      <c r="F130" s="9">
        <f t="shared" si="5"/>
        <v>0</v>
      </c>
      <c r="G130" s="9">
        <f t="shared" si="6"/>
        <v>44</v>
      </c>
      <c r="H130" s="9">
        <f t="shared" si="7"/>
        <v>0</v>
      </c>
      <c r="I130" s="10">
        <f t="shared" si="8"/>
        <v>44</v>
      </c>
    </row>
    <row r="131" spans="1:9" x14ac:dyDescent="0.25">
      <c r="A131" s="1" t="s">
        <v>1545</v>
      </c>
      <c r="B131" s="1" t="s">
        <v>1546</v>
      </c>
      <c r="C131" s="1" t="s">
        <v>791</v>
      </c>
      <c r="D131" s="1" t="s">
        <v>1406</v>
      </c>
      <c r="E131" s="1" t="s">
        <v>30</v>
      </c>
      <c r="F131" s="9">
        <f t="shared" ref="F131:F193" si="9">IFERROR(VLOOKUP(A131,condi,8,0),0)</f>
        <v>0</v>
      </c>
      <c r="G131" s="9">
        <f t="shared" ref="G131:G193" si="10">IFERROR(VLOOKUP(A131,maqui,8,0),0)</f>
        <v>5</v>
      </c>
      <c r="H131" s="9">
        <f t="shared" ref="H131:H193" si="11">IFERROR(VLOOKUP(A131,ascint,8,0),0)</f>
        <v>30</v>
      </c>
      <c r="I131" s="10">
        <f t="shared" si="8"/>
        <v>35</v>
      </c>
    </row>
    <row r="132" spans="1:9" x14ac:dyDescent="0.25">
      <c r="A132" s="1" t="s">
        <v>891</v>
      </c>
      <c r="B132" s="1" t="s">
        <v>890</v>
      </c>
      <c r="C132" s="1" t="s">
        <v>791</v>
      </c>
      <c r="D132" s="1" t="s">
        <v>1406</v>
      </c>
      <c r="E132" s="1" t="s">
        <v>30</v>
      </c>
      <c r="F132" s="9">
        <f t="shared" si="9"/>
        <v>0</v>
      </c>
      <c r="G132" s="9">
        <f t="shared" si="10"/>
        <v>36</v>
      </c>
      <c r="H132" s="9">
        <f t="shared" si="11"/>
        <v>0</v>
      </c>
      <c r="I132" s="10">
        <f t="shared" si="8"/>
        <v>36</v>
      </c>
    </row>
    <row r="133" spans="1:9" x14ac:dyDescent="0.25">
      <c r="A133" s="1" t="s">
        <v>1547</v>
      </c>
      <c r="B133" s="1" t="s">
        <v>1548</v>
      </c>
      <c r="C133" s="1" t="s">
        <v>791</v>
      </c>
      <c r="D133" s="1" t="s">
        <v>1406</v>
      </c>
      <c r="E133" s="1" t="s">
        <v>30</v>
      </c>
      <c r="F133" s="9">
        <f t="shared" si="9"/>
        <v>0</v>
      </c>
      <c r="G133" s="9">
        <f t="shared" si="10"/>
        <v>20</v>
      </c>
      <c r="H133" s="9">
        <f t="shared" si="11"/>
        <v>12</v>
      </c>
      <c r="I133" s="10">
        <f t="shared" si="8"/>
        <v>32</v>
      </c>
    </row>
    <row r="134" spans="1:9" x14ac:dyDescent="0.25">
      <c r="A134" s="1" t="s">
        <v>1549</v>
      </c>
      <c r="B134" s="1" t="s">
        <v>1550</v>
      </c>
      <c r="C134" s="1" t="s">
        <v>791</v>
      </c>
      <c r="D134" s="1" t="s">
        <v>1406</v>
      </c>
      <c r="E134" s="1" t="s">
        <v>30</v>
      </c>
      <c r="F134" s="9">
        <f t="shared" si="9"/>
        <v>0</v>
      </c>
      <c r="G134" s="9">
        <f t="shared" si="10"/>
        <v>2</v>
      </c>
      <c r="H134" s="9">
        <f t="shared" si="11"/>
        <v>0</v>
      </c>
      <c r="I134" s="10">
        <f t="shared" si="8"/>
        <v>2</v>
      </c>
    </row>
    <row r="135" spans="1:9" x14ac:dyDescent="0.25">
      <c r="A135" s="1" t="s">
        <v>905</v>
      </c>
      <c r="B135" s="1" t="s">
        <v>904</v>
      </c>
      <c r="C135" s="1" t="s">
        <v>791</v>
      </c>
      <c r="D135" s="1" t="s">
        <v>1406</v>
      </c>
      <c r="E135" s="1" t="s">
        <v>30</v>
      </c>
      <c r="F135" s="9">
        <f t="shared" si="9"/>
        <v>0</v>
      </c>
      <c r="G135" s="9">
        <f t="shared" si="10"/>
        <v>0</v>
      </c>
      <c r="H135" s="9">
        <f t="shared" si="11"/>
        <v>0</v>
      </c>
      <c r="I135" s="10">
        <f t="shared" si="8"/>
        <v>0</v>
      </c>
    </row>
    <row r="136" spans="1:9" x14ac:dyDescent="0.25">
      <c r="A136" s="1" t="s">
        <v>909</v>
      </c>
      <c r="B136" s="1" t="s">
        <v>908</v>
      </c>
      <c r="C136" s="1" t="s">
        <v>791</v>
      </c>
      <c r="D136" s="1" t="s">
        <v>1406</v>
      </c>
      <c r="E136" s="1" t="s">
        <v>30</v>
      </c>
      <c r="F136" s="9">
        <f t="shared" si="9"/>
        <v>0</v>
      </c>
      <c r="G136" s="9">
        <f t="shared" si="10"/>
        <v>6</v>
      </c>
      <c r="H136" s="9">
        <f t="shared" si="11"/>
        <v>0</v>
      </c>
      <c r="I136" s="10">
        <f t="shared" si="8"/>
        <v>6</v>
      </c>
    </row>
    <row r="137" spans="1:9" x14ac:dyDescent="0.25">
      <c r="A137" s="1" t="s">
        <v>917</v>
      </c>
      <c r="B137" s="1" t="s">
        <v>916</v>
      </c>
      <c r="C137" s="1" t="s">
        <v>791</v>
      </c>
      <c r="D137" s="1" t="s">
        <v>1406</v>
      </c>
      <c r="E137" s="1" t="s">
        <v>30</v>
      </c>
      <c r="F137" s="9">
        <f t="shared" si="9"/>
        <v>0</v>
      </c>
      <c r="G137" s="9">
        <f t="shared" si="10"/>
        <v>3</v>
      </c>
      <c r="H137" s="9">
        <f t="shared" si="11"/>
        <v>4</v>
      </c>
      <c r="I137" s="10">
        <f t="shared" ref="I137:I199" si="12">+F137+G137+H137</f>
        <v>7</v>
      </c>
    </row>
    <row r="138" spans="1:9" x14ac:dyDescent="0.25">
      <c r="A138" s="1" t="s">
        <v>923</v>
      </c>
      <c r="B138" s="1" t="s">
        <v>922</v>
      </c>
      <c r="C138" s="1" t="s">
        <v>791</v>
      </c>
      <c r="D138" s="1" t="s">
        <v>1406</v>
      </c>
      <c r="E138" s="1" t="s">
        <v>30</v>
      </c>
      <c r="F138" s="9">
        <f t="shared" si="9"/>
        <v>0</v>
      </c>
      <c r="G138" s="9">
        <f t="shared" si="10"/>
        <v>0</v>
      </c>
      <c r="H138" s="9">
        <f t="shared" si="11"/>
        <v>7</v>
      </c>
      <c r="I138" s="10">
        <f t="shared" si="12"/>
        <v>7</v>
      </c>
    </row>
    <row r="139" spans="1:9" x14ac:dyDescent="0.25">
      <c r="A139" s="1" t="s">
        <v>927</v>
      </c>
      <c r="B139" s="1" t="s">
        <v>926</v>
      </c>
      <c r="C139" s="1" t="s">
        <v>791</v>
      </c>
      <c r="D139" s="1" t="s">
        <v>1406</v>
      </c>
      <c r="E139" s="1" t="s">
        <v>30</v>
      </c>
      <c r="F139" s="9">
        <f t="shared" si="9"/>
        <v>0</v>
      </c>
      <c r="G139" s="9">
        <f t="shared" si="10"/>
        <v>5</v>
      </c>
      <c r="H139" s="9">
        <f t="shared" si="11"/>
        <v>3</v>
      </c>
      <c r="I139" s="10">
        <f t="shared" si="12"/>
        <v>8</v>
      </c>
    </row>
    <row r="140" spans="1:9" x14ac:dyDescent="0.25">
      <c r="A140" s="1" t="s">
        <v>929</v>
      </c>
      <c r="B140" s="1" t="s">
        <v>928</v>
      </c>
      <c r="C140" s="1" t="s">
        <v>791</v>
      </c>
      <c r="D140" s="1" t="s">
        <v>1406</v>
      </c>
      <c r="E140" s="1" t="s">
        <v>30</v>
      </c>
      <c r="F140" s="9">
        <f t="shared" si="9"/>
        <v>0</v>
      </c>
      <c r="G140" s="9">
        <f t="shared" si="10"/>
        <v>1</v>
      </c>
      <c r="H140" s="9">
        <f t="shared" si="11"/>
        <v>2</v>
      </c>
      <c r="I140" s="10">
        <f t="shared" si="12"/>
        <v>3</v>
      </c>
    </row>
    <row r="141" spans="1:9" x14ac:dyDescent="0.25">
      <c r="A141" s="1" t="s">
        <v>933</v>
      </c>
      <c r="B141" s="1" t="s">
        <v>932</v>
      </c>
      <c r="C141" s="1" t="s">
        <v>791</v>
      </c>
      <c r="D141" s="1" t="s">
        <v>1406</v>
      </c>
      <c r="E141" s="1" t="s">
        <v>30</v>
      </c>
      <c r="F141" s="9">
        <f t="shared" si="9"/>
        <v>0</v>
      </c>
      <c r="G141" s="9">
        <f t="shared" si="10"/>
        <v>7</v>
      </c>
      <c r="H141" s="9">
        <f t="shared" si="11"/>
        <v>13</v>
      </c>
      <c r="I141" s="10">
        <f t="shared" si="12"/>
        <v>20</v>
      </c>
    </row>
    <row r="142" spans="1:9" x14ac:dyDescent="0.25">
      <c r="A142" s="1" t="s">
        <v>935</v>
      </c>
      <c r="B142" s="1" t="s">
        <v>934</v>
      </c>
      <c r="C142" s="1" t="s">
        <v>791</v>
      </c>
      <c r="D142" s="1" t="s">
        <v>1406</v>
      </c>
      <c r="E142" s="1" t="s">
        <v>30</v>
      </c>
      <c r="F142" s="9">
        <f t="shared" si="9"/>
        <v>0</v>
      </c>
      <c r="G142" s="9">
        <f t="shared" si="10"/>
        <v>16</v>
      </c>
      <c r="H142" s="9">
        <f t="shared" si="11"/>
        <v>1</v>
      </c>
      <c r="I142" s="10">
        <f t="shared" si="12"/>
        <v>17</v>
      </c>
    </row>
    <row r="143" spans="1:9" x14ac:dyDescent="0.25">
      <c r="A143" s="1" t="s">
        <v>941</v>
      </c>
      <c r="B143" s="1" t="s">
        <v>940</v>
      </c>
      <c r="C143" s="1" t="s">
        <v>791</v>
      </c>
      <c r="D143" s="1" t="s">
        <v>1406</v>
      </c>
      <c r="E143" s="1" t="s">
        <v>30</v>
      </c>
      <c r="F143" s="9">
        <f t="shared" si="9"/>
        <v>0</v>
      </c>
      <c r="G143" s="9">
        <f t="shared" si="10"/>
        <v>0</v>
      </c>
      <c r="H143" s="9">
        <f t="shared" si="11"/>
        <v>4</v>
      </c>
      <c r="I143" s="10">
        <f t="shared" si="12"/>
        <v>4</v>
      </c>
    </row>
    <row r="144" spans="1:9" x14ac:dyDescent="0.25">
      <c r="A144" s="1" t="s">
        <v>949</v>
      </c>
      <c r="B144" s="1" t="s">
        <v>948</v>
      </c>
      <c r="C144" s="1" t="s">
        <v>791</v>
      </c>
      <c r="D144" s="1" t="s">
        <v>1406</v>
      </c>
      <c r="E144" s="1" t="s">
        <v>30</v>
      </c>
      <c r="F144" s="9">
        <f t="shared" si="9"/>
        <v>0</v>
      </c>
      <c r="G144" s="9">
        <f t="shared" si="10"/>
        <v>1</v>
      </c>
      <c r="H144" s="9">
        <f t="shared" si="11"/>
        <v>7</v>
      </c>
      <c r="I144" s="10">
        <f t="shared" si="12"/>
        <v>8</v>
      </c>
    </row>
    <row r="145" spans="1:9" x14ac:dyDescent="0.25">
      <c r="A145" s="1" t="s">
        <v>1011</v>
      </c>
      <c r="B145" s="1" t="s">
        <v>1010</v>
      </c>
      <c r="C145" s="1" t="s">
        <v>791</v>
      </c>
      <c r="D145" s="1" t="s">
        <v>1406</v>
      </c>
      <c r="E145" s="1" t="s">
        <v>30</v>
      </c>
      <c r="F145" s="9">
        <f t="shared" si="9"/>
        <v>0</v>
      </c>
      <c r="G145" s="9">
        <f t="shared" si="10"/>
        <v>9</v>
      </c>
      <c r="H145" s="9">
        <f t="shared" si="11"/>
        <v>6</v>
      </c>
      <c r="I145" s="10">
        <f t="shared" si="12"/>
        <v>15</v>
      </c>
    </row>
    <row r="146" spans="1:9" x14ac:dyDescent="0.25">
      <c r="A146" s="1" t="s">
        <v>1551</v>
      </c>
      <c r="B146" s="1" t="s">
        <v>1552</v>
      </c>
      <c r="C146" s="1" t="s">
        <v>791</v>
      </c>
      <c r="D146" s="1" t="s">
        <v>1406</v>
      </c>
      <c r="E146" s="1" t="s">
        <v>30</v>
      </c>
      <c r="F146" s="9">
        <f t="shared" si="9"/>
        <v>4</v>
      </c>
      <c r="G146" s="9">
        <f t="shared" si="10"/>
        <v>30</v>
      </c>
      <c r="H146" s="9">
        <f t="shared" si="11"/>
        <v>3</v>
      </c>
      <c r="I146" s="10">
        <f t="shared" si="12"/>
        <v>37</v>
      </c>
    </row>
    <row r="147" spans="1:9" x14ac:dyDescent="0.25">
      <c r="A147" s="1" t="s">
        <v>1397</v>
      </c>
      <c r="B147" s="1" t="s">
        <v>1396</v>
      </c>
      <c r="C147" s="1" t="s">
        <v>1030</v>
      </c>
      <c r="D147" s="1" t="s">
        <v>1406</v>
      </c>
      <c r="E147" s="1" t="s">
        <v>1031</v>
      </c>
      <c r="F147" s="9">
        <f t="shared" si="9"/>
        <v>608.55899999999997</v>
      </c>
      <c r="G147" s="9">
        <f t="shared" si="10"/>
        <v>0</v>
      </c>
      <c r="H147" s="9">
        <f t="shared" si="11"/>
        <v>15.73</v>
      </c>
      <c r="I147" s="10">
        <f t="shared" si="12"/>
        <v>624.28899999999999</v>
      </c>
    </row>
    <row r="148" spans="1:9" x14ac:dyDescent="0.25">
      <c r="A148" s="1" t="s">
        <v>1553</v>
      </c>
      <c r="B148" s="1" t="s">
        <v>1554</v>
      </c>
      <c r="C148" s="1" t="s">
        <v>1030</v>
      </c>
      <c r="D148" s="1" t="s">
        <v>1406</v>
      </c>
      <c r="E148" s="1" t="s">
        <v>1031</v>
      </c>
      <c r="F148" s="9">
        <f t="shared" si="9"/>
        <v>1.0000000000000001E-5</v>
      </c>
      <c r="G148" s="9">
        <f t="shared" si="10"/>
        <v>297.36</v>
      </c>
      <c r="H148" s="9">
        <f t="shared" si="11"/>
        <v>2E-3</v>
      </c>
      <c r="I148" s="10">
        <f t="shared" si="12"/>
        <v>297.36201</v>
      </c>
    </row>
    <row r="149" spans="1:9" x14ac:dyDescent="0.25">
      <c r="A149" s="1" t="s">
        <v>1555</v>
      </c>
      <c r="B149" s="1" t="s">
        <v>1556</v>
      </c>
      <c r="C149" s="1" t="s">
        <v>1557</v>
      </c>
      <c r="D149" s="1" t="s">
        <v>1406</v>
      </c>
      <c r="E149" s="1" t="s">
        <v>1558</v>
      </c>
      <c r="F149" s="9">
        <f t="shared" si="9"/>
        <v>4806</v>
      </c>
      <c r="G149" s="9">
        <f t="shared" si="10"/>
        <v>0</v>
      </c>
      <c r="H149" s="9">
        <f t="shared" si="11"/>
        <v>0</v>
      </c>
      <c r="I149" s="10">
        <f t="shared" si="12"/>
        <v>4806</v>
      </c>
    </row>
    <row r="150" spans="1:9" x14ac:dyDescent="0.25">
      <c r="A150" s="1" t="s">
        <v>1559</v>
      </c>
      <c r="B150" s="1" t="s">
        <v>1560</v>
      </c>
      <c r="C150" s="1" t="s">
        <v>1557</v>
      </c>
      <c r="D150" s="1" t="s">
        <v>1406</v>
      </c>
      <c r="E150" s="1" t="s">
        <v>30</v>
      </c>
      <c r="F150" s="9">
        <f t="shared" si="9"/>
        <v>394</v>
      </c>
      <c r="G150" s="9">
        <f t="shared" si="10"/>
        <v>2</v>
      </c>
      <c r="H150" s="9">
        <f t="shared" si="11"/>
        <v>0</v>
      </c>
      <c r="I150" s="10">
        <f t="shared" si="12"/>
        <v>396</v>
      </c>
    </row>
    <row r="151" spans="1:9" x14ac:dyDescent="0.25">
      <c r="A151" s="1" t="s">
        <v>1561</v>
      </c>
      <c r="B151" s="1" t="s">
        <v>1562</v>
      </c>
      <c r="C151" s="1" t="s">
        <v>1557</v>
      </c>
      <c r="D151" s="1" t="s">
        <v>1406</v>
      </c>
      <c r="E151" s="1" t="s">
        <v>1558</v>
      </c>
      <c r="F151" s="9">
        <f t="shared" si="9"/>
        <v>0</v>
      </c>
      <c r="G151" s="9">
        <f t="shared" si="10"/>
        <v>0</v>
      </c>
      <c r="H151" s="9">
        <f t="shared" si="11"/>
        <v>0</v>
      </c>
      <c r="I151" s="10">
        <f t="shared" si="12"/>
        <v>0</v>
      </c>
    </row>
    <row r="152" spans="1:9" x14ac:dyDescent="0.25">
      <c r="A152" s="1" t="s">
        <v>1563</v>
      </c>
      <c r="B152" s="1" t="s">
        <v>1564</v>
      </c>
      <c r="C152" s="1" t="s">
        <v>1565</v>
      </c>
      <c r="D152" s="1" t="s">
        <v>1406</v>
      </c>
      <c r="E152" s="1" t="s">
        <v>30</v>
      </c>
      <c r="F152" s="9">
        <f t="shared" si="9"/>
        <v>0</v>
      </c>
      <c r="G152" s="9">
        <f t="shared" si="10"/>
        <v>1</v>
      </c>
      <c r="H152" s="9">
        <f t="shared" si="11"/>
        <v>0</v>
      </c>
      <c r="I152" s="10">
        <f t="shared" si="12"/>
        <v>1</v>
      </c>
    </row>
    <row r="153" spans="1:9" x14ac:dyDescent="0.25">
      <c r="A153" s="1" t="s">
        <v>1566</v>
      </c>
      <c r="B153" s="1" t="s">
        <v>1567</v>
      </c>
      <c r="C153" s="1" t="s">
        <v>1565</v>
      </c>
      <c r="D153" s="1" t="s">
        <v>1406</v>
      </c>
      <c r="E153" s="1" t="s">
        <v>30</v>
      </c>
      <c r="F153" s="9">
        <f t="shared" si="9"/>
        <v>0</v>
      </c>
      <c r="G153" s="9">
        <f t="shared" si="10"/>
        <v>1</v>
      </c>
      <c r="H153" s="9">
        <f t="shared" si="11"/>
        <v>0</v>
      </c>
      <c r="I153" s="10">
        <f t="shared" si="12"/>
        <v>1</v>
      </c>
    </row>
    <row r="154" spans="1:9" x14ac:dyDescent="0.25">
      <c r="A154" s="1" t="s">
        <v>1568</v>
      </c>
      <c r="B154" s="1" t="s">
        <v>1569</v>
      </c>
      <c r="C154" s="1" t="s">
        <v>1565</v>
      </c>
      <c r="D154" s="1" t="s">
        <v>1406</v>
      </c>
      <c r="E154" s="1" t="s">
        <v>30</v>
      </c>
      <c r="F154" s="9">
        <f t="shared" si="9"/>
        <v>1</v>
      </c>
      <c r="G154" s="9">
        <f t="shared" si="10"/>
        <v>1</v>
      </c>
      <c r="H154" s="9">
        <f t="shared" si="11"/>
        <v>0</v>
      </c>
      <c r="I154" s="10">
        <f t="shared" si="12"/>
        <v>2</v>
      </c>
    </row>
    <row r="155" spans="1:9" x14ac:dyDescent="0.25">
      <c r="A155" s="1" t="s">
        <v>1570</v>
      </c>
      <c r="B155" s="1" t="s">
        <v>1571</v>
      </c>
      <c r="C155" s="1" t="s">
        <v>1565</v>
      </c>
      <c r="D155" s="1" t="s">
        <v>1406</v>
      </c>
      <c r="E155" s="1" t="s">
        <v>30</v>
      </c>
      <c r="F155" s="9">
        <f t="shared" si="9"/>
        <v>0</v>
      </c>
      <c r="G155" s="9">
        <f t="shared" si="10"/>
        <v>1</v>
      </c>
      <c r="H155" s="9">
        <f t="shared" si="11"/>
        <v>0</v>
      </c>
      <c r="I155" s="10">
        <f t="shared" si="12"/>
        <v>1</v>
      </c>
    </row>
    <row r="156" spans="1:9" x14ac:dyDescent="0.25">
      <c r="A156" s="1" t="s">
        <v>1572</v>
      </c>
      <c r="B156" s="1" t="s">
        <v>1573</v>
      </c>
      <c r="C156" s="1" t="s">
        <v>1565</v>
      </c>
      <c r="D156" s="1" t="s">
        <v>1406</v>
      </c>
      <c r="E156" s="1" t="s">
        <v>30</v>
      </c>
      <c r="F156" s="9">
        <f t="shared" si="9"/>
        <v>0</v>
      </c>
      <c r="G156" s="9">
        <f t="shared" si="10"/>
        <v>1</v>
      </c>
      <c r="H156" s="9">
        <f t="shared" si="11"/>
        <v>0</v>
      </c>
      <c r="I156" s="10">
        <f t="shared" si="12"/>
        <v>1</v>
      </c>
    </row>
    <row r="157" spans="1:9" x14ac:dyDescent="0.25">
      <c r="A157" s="1" t="s">
        <v>80</v>
      </c>
      <c r="B157" s="1" t="s">
        <v>79</v>
      </c>
      <c r="C157" s="1" t="s">
        <v>81</v>
      </c>
      <c r="D157" s="1" t="s">
        <v>1406</v>
      </c>
      <c r="E157" s="1" t="s">
        <v>82</v>
      </c>
      <c r="F157" s="9">
        <f t="shared" si="9"/>
        <v>0</v>
      </c>
      <c r="G157" s="9">
        <f t="shared" si="10"/>
        <v>3</v>
      </c>
      <c r="H157" s="9">
        <f t="shared" si="11"/>
        <v>0</v>
      </c>
      <c r="I157" s="10">
        <f t="shared" si="12"/>
        <v>3</v>
      </c>
    </row>
    <row r="158" spans="1:9" x14ac:dyDescent="0.25">
      <c r="A158" s="1" t="s">
        <v>1577</v>
      </c>
      <c r="B158" s="1" t="s">
        <v>1578</v>
      </c>
      <c r="C158" s="1" t="s">
        <v>81</v>
      </c>
      <c r="D158" s="1" t="s">
        <v>1406</v>
      </c>
      <c r="E158" s="1" t="s">
        <v>489</v>
      </c>
      <c r="F158" s="9">
        <f t="shared" si="9"/>
        <v>0</v>
      </c>
      <c r="G158" s="9">
        <f t="shared" si="10"/>
        <v>0.1</v>
      </c>
      <c r="H158" s="9">
        <f t="shared" si="11"/>
        <v>0</v>
      </c>
      <c r="I158" s="10">
        <f t="shared" si="12"/>
        <v>0.1</v>
      </c>
    </row>
    <row r="159" spans="1:9" x14ac:dyDescent="0.25">
      <c r="A159" s="1" t="s">
        <v>1579</v>
      </c>
      <c r="B159" s="1" t="s">
        <v>1580</v>
      </c>
      <c r="C159" s="1" t="s">
        <v>81</v>
      </c>
      <c r="D159" s="1" t="s">
        <v>1406</v>
      </c>
      <c r="E159" s="1" t="s">
        <v>489</v>
      </c>
      <c r="F159" s="9">
        <f t="shared" si="9"/>
        <v>0</v>
      </c>
      <c r="G159" s="9">
        <f t="shared" si="10"/>
        <v>0</v>
      </c>
      <c r="H159" s="9">
        <f t="shared" si="11"/>
        <v>0</v>
      </c>
      <c r="I159" s="10">
        <f t="shared" si="12"/>
        <v>0</v>
      </c>
    </row>
    <row r="160" spans="1:9" x14ac:dyDescent="0.25">
      <c r="A160" s="1" t="s">
        <v>1581</v>
      </c>
      <c r="B160" s="1" t="s">
        <v>1582</v>
      </c>
      <c r="C160" s="1" t="s">
        <v>81</v>
      </c>
      <c r="D160" s="1" t="s">
        <v>1406</v>
      </c>
      <c r="E160" s="1" t="s">
        <v>489</v>
      </c>
      <c r="F160" s="9">
        <f t="shared" si="9"/>
        <v>0</v>
      </c>
      <c r="G160" s="9">
        <f t="shared" si="10"/>
        <v>1.8</v>
      </c>
      <c r="H160" s="9">
        <f t="shared" si="11"/>
        <v>0</v>
      </c>
      <c r="I160" s="10">
        <f t="shared" si="12"/>
        <v>1.8</v>
      </c>
    </row>
    <row r="161" spans="1:9" x14ac:dyDescent="0.25">
      <c r="A161" s="1" t="s">
        <v>1583</v>
      </c>
      <c r="B161" s="1" t="s">
        <v>1584</v>
      </c>
      <c r="C161" s="1" t="s">
        <v>81</v>
      </c>
      <c r="D161" s="1" t="s">
        <v>1406</v>
      </c>
      <c r="E161" s="1" t="s">
        <v>489</v>
      </c>
      <c r="F161" s="9">
        <f t="shared" si="9"/>
        <v>0</v>
      </c>
      <c r="G161" s="9">
        <f t="shared" si="10"/>
        <v>0</v>
      </c>
      <c r="H161" s="9">
        <f t="shared" si="11"/>
        <v>0</v>
      </c>
      <c r="I161" s="10">
        <f t="shared" si="12"/>
        <v>0</v>
      </c>
    </row>
    <row r="162" spans="1:9" x14ac:dyDescent="0.25">
      <c r="A162" s="1" t="s">
        <v>1585</v>
      </c>
      <c r="B162" s="1" t="s">
        <v>1586</v>
      </c>
      <c r="C162" s="1" t="s">
        <v>81</v>
      </c>
      <c r="D162" s="1" t="s">
        <v>1406</v>
      </c>
      <c r="E162" s="1" t="s">
        <v>82</v>
      </c>
      <c r="F162" s="9">
        <f t="shared" si="9"/>
        <v>0</v>
      </c>
      <c r="G162" s="9">
        <f t="shared" si="10"/>
        <v>7</v>
      </c>
      <c r="H162" s="9">
        <f t="shared" si="11"/>
        <v>0</v>
      </c>
      <c r="I162" s="10">
        <f t="shared" si="12"/>
        <v>7</v>
      </c>
    </row>
    <row r="163" spans="1:9" x14ac:dyDescent="0.25">
      <c r="A163" s="1" t="s">
        <v>1587</v>
      </c>
      <c r="B163" s="1" t="s">
        <v>1588</v>
      </c>
      <c r="C163" s="1" t="s">
        <v>81</v>
      </c>
      <c r="D163" s="1" t="s">
        <v>1406</v>
      </c>
      <c r="E163" s="1" t="s">
        <v>82</v>
      </c>
      <c r="F163" s="9">
        <f t="shared" si="9"/>
        <v>0</v>
      </c>
      <c r="G163" s="9">
        <f t="shared" si="10"/>
        <v>0</v>
      </c>
      <c r="H163" s="9">
        <f t="shared" si="11"/>
        <v>0</v>
      </c>
      <c r="I163" s="10">
        <f t="shared" si="12"/>
        <v>0</v>
      </c>
    </row>
    <row r="164" spans="1:9" x14ac:dyDescent="0.25">
      <c r="A164" s="1" t="s">
        <v>1589</v>
      </c>
      <c r="B164" s="1" t="s">
        <v>1590</v>
      </c>
      <c r="C164" s="1" t="s">
        <v>81</v>
      </c>
      <c r="D164" s="1" t="s">
        <v>1406</v>
      </c>
      <c r="E164" s="1" t="s">
        <v>82</v>
      </c>
      <c r="F164" s="9">
        <f t="shared" si="9"/>
        <v>0</v>
      </c>
      <c r="G164" s="9">
        <f t="shared" si="10"/>
        <v>4.1100000000000003</v>
      </c>
      <c r="H164" s="9">
        <f t="shared" si="11"/>
        <v>0</v>
      </c>
      <c r="I164" s="10">
        <f t="shared" si="12"/>
        <v>4.1100000000000003</v>
      </c>
    </row>
    <row r="165" spans="1:9" x14ac:dyDescent="0.25">
      <c r="A165" s="1" t="s">
        <v>1591</v>
      </c>
      <c r="B165" s="1" t="s">
        <v>1592</v>
      </c>
      <c r="C165" s="1" t="s">
        <v>81</v>
      </c>
      <c r="D165" s="1" t="s">
        <v>1406</v>
      </c>
      <c r="E165" s="1" t="s">
        <v>489</v>
      </c>
      <c r="F165" s="9">
        <f t="shared" si="9"/>
        <v>0</v>
      </c>
      <c r="G165" s="9">
        <f t="shared" si="10"/>
        <v>4</v>
      </c>
      <c r="H165" s="9">
        <f t="shared" si="11"/>
        <v>0</v>
      </c>
      <c r="I165" s="10">
        <f t="shared" si="12"/>
        <v>4</v>
      </c>
    </row>
    <row r="166" spans="1:9" x14ac:dyDescent="0.25">
      <c r="A166" s="1" t="s">
        <v>1593</v>
      </c>
      <c r="B166" s="1" t="s">
        <v>1594</v>
      </c>
      <c r="C166" s="1" t="s">
        <v>81</v>
      </c>
      <c r="D166" s="1" t="s">
        <v>1406</v>
      </c>
      <c r="E166" s="1" t="s">
        <v>82</v>
      </c>
      <c r="F166" s="9">
        <f t="shared" si="9"/>
        <v>0</v>
      </c>
      <c r="G166" s="9">
        <f t="shared" si="10"/>
        <v>0</v>
      </c>
      <c r="H166" s="9">
        <f t="shared" si="11"/>
        <v>0</v>
      </c>
      <c r="I166" s="10">
        <f t="shared" si="12"/>
        <v>0</v>
      </c>
    </row>
    <row r="167" spans="1:9" x14ac:dyDescent="0.25">
      <c r="A167" s="1" t="s">
        <v>1595</v>
      </c>
      <c r="B167" s="1" t="s">
        <v>1596</v>
      </c>
      <c r="C167" s="1" t="s">
        <v>81</v>
      </c>
      <c r="D167" s="1" t="s">
        <v>1406</v>
      </c>
      <c r="E167" s="1" t="s">
        <v>82</v>
      </c>
      <c r="F167" s="9">
        <f t="shared" si="9"/>
        <v>0</v>
      </c>
      <c r="G167" s="9">
        <f t="shared" si="10"/>
        <v>0</v>
      </c>
      <c r="H167" s="9">
        <f t="shared" si="11"/>
        <v>0</v>
      </c>
      <c r="I167" s="10">
        <f t="shared" si="12"/>
        <v>0</v>
      </c>
    </row>
    <row r="168" spans="1:9" x14ac:dyDescent="0.25">
      <c r="A168" s="1" t="s">
        <v>1597</v>
      </c>
      <c r="B168" s="1" t="s">
        <v>1598</v>
      </c>
      <c r="C168" s="1" t="s">
        <v>81</v>
      </c>
      <c r="D168" s="1" t="s">
        <v>1406</v>
      </c>
      <c r="E168" s="1" t="s">
        <v>82</v>
      </c>
      <c r="F168" s="9">
        <f t="shared" si="9"/>
        <v>0</v>
      </c>
      <c r="G168" s="9">
        <f t="shared" si="10"/>
        <v>0</v>
      </c>
      <c r="H168" s="9">
        <f t="shared" si="11"/>
        <v>0</v>
      </c>
      <c r="I168" s="10">
        <f t="shared" si="12"/>
        <v>0</v>
      </c>
    </row>
    <row r="169" spans="1:9" x14ac:dyDescent="0.25">
      <c r="A169" s="1" t="s">
        <v>1599</v>
      </c>
      <c r="B169" s="1" t="s">
        <v>1600</v>
      </c>
      <c r="C169" s="1" t="s">
        <v>81</v>
      </c>
      <c r="D169" s="1" t="s">
        <v>1406</v>
      </c>
      <c r="E169" s="1" t="s">
        <v>82</v>
      </c>
      <c r="F169" s="9">
        <f t="shared" si="9"/>
        <v>0</v>
      </c>
      <c r="G169" s="9">
        <f t="shared" si="10"/>
        <v>0</v>
      </c>
      <c r="H169" s="9">
        <f t="shared" si="11"/>
        <v>0</v>
      </c>
      <c r="I169" s="10">
        <f t="shared" si="12"/>
        <v>0</v>
      </c>
    </row>
    <row r="170" spans="1:9" x14ac:dyDescent="0.25">
      <c r="A170" s="1" t="s">
        <v>1601</v>
      </c>
      <c r="B170" s="1" t="s">
        <v>1602</v>
      </c>
      <c r="C170" s="1" t="s">
        <v>81</v>
      </c>
      <c r="D170" s="1" t="s">
        <v>1406</v>
      </c>
      <c r="E170" s="1" t="s">
        <v>82</v>
      </c>
      <c r="F170" s="9">
        <f t="shared" si="9"/>
        <v>0</v>
      </c>
      <c r="G170" s="9">
        <f t="shared" si="10"/>
        <v>0</v>
      </c>
      <c r="H170" s="9">
        <f t="shared" si="11"/>
        <v>0</v>
      </c>
      <c r="I170" s="10">
        <f t="shared" si="12"/>
        <v>0</v>
      </c>
    </row>
    <row r="171" spans="1:9" x14ac:dyDescent="0.25">
      <c r="A171" s="1" t="s">
        <v>1603</v>
      </c>
      <c r="B171" s="1" t="s">
        <v>1604</v>
      </c>
      <c r="C171" s="1" t="s">
        <v>81</v>
      </c>
      <c r="D171" s="1" t="s">
        <v>1406</v>
      </c>
      <c r="E171" s="1" t="s">
        <v>82</v>
      </c>
      <c r="F171" s="9">
        <f t="shared" si="9"/>
        <v>0</v>
      </c>
      <c r="G171" s="9">
        <f t="shared" si="10"/>
        <v>93.43</v>
      </c>
      <c r="H171" s="9">
        <f t="shared" si="11"/>
        <v>0</v>
      </c>
      <c r="I171" s="10">
        <f t="shared" si="12"/>
        <v>93.43</v>
      </c>
    </row>
    <row r="172" spans="1:9" x14ac:dyDescent="0.25">
      <c r="A172" s="1" t="s">
        <v>1605</v>
      </c>
      <c r="B172" s="1" t="s">
        <v>1606</v>
      </c>
      <c r="C172" s="1" t="s">
        <v>81</v>
      </c>
      <c r="D172" s="1" t="s">
        <v>1406</v>
      </c>
      <c r="E172" s="1" t="s">
        <v>82</v>
      </c>
      <c r="F172" s="9">
        <f t="shared" si="9"/>
        <v>0</v>
      </c>
      <c r="G172" s="9">
        <f t="shared" si="10"/>
        <v>8</v>
      </c>
      <c r="H172" s="9">
        <f t="shared" si="11"/>
        <v>0</v>
      </c>
      <c r="I172" s="10">
        <f t="shared" si="12"/>
        <v>8</v>
      </c>
    </row>
    <row r="173" spans="1:9" x14ac:dyDescent="0.25">
      <c r="A173" s="1" t="s">
        <v>1607</v>
      </c>
      <c r="B173" s="1" t="s">
        <v>1608</v>
      </c>
      <c r="C173" s="1" t="s">
        <v>81</v>
      </c>
      <c r="D173" s="1" t="s">
        <v>1406</v>
      </c>
      <c r="E173" s="1" t="s">
        <v>82</v>
      </c>
      <c r="F173" s="9">
        <f t="shared" si="9"/>
        <v>0</v>
      </c>
      <c r="G173" s="9">
        <f t="shared" si="10"/>
        <v>0</v>
      </c>
      <c r="H173" s="9">
        <f t="shared" si="11"/>
        <v>0</v>
      </c>
      <c r="I173" s="10">
        <f t="shared" si="12"/>
        <v>0</v>
      </c>
    </row>
    <row r="174" spans="1:9" x14ac:dyDescent="0.25">
      <c r="A174" s="1" t="s">
        <v>1609</v>
      </c>
      <c r="B174" s="1" t="s">
        <v>1610</v>
      </c>
      <c r="C174" s="1" t="s">
        <v>81</v>
      </c>
      <c r="D174" s="1" t="s">
        <v>1406</v>
      </c>
      <c r="E174" s="1" t="s">
        <v>82</v>
      </c>
      <c r="F174" s="9">
        <f t="shared" si="9"/>
        <v>0</v>
      </c>
      <c r="G174" s="9">
        <f t="shared" si="10"/>
        <v>0</v>
      </c>
      <c r="H174" s="9">
        <f t="shared" si="11"/>
        <v>0</v>
      </c>
      <c r="I174" s="10">
        <f t="shared" si="12"/>
        <v>0</v>
      </c>
    </row>
    <row r="175" spans="1:9" x14ac:dyDescent="0.25">
      <c r="A175" s="1" t="s">
        <v>1611</v>
      </c>
      <c r="B175" s="1" t="s">
        <v>1612</v>
      </c>
      <c r="C175" s="1" t="s">
        <v>81</v>
      </c>
      <c r="D175" s="1" t="s">
        <v>1406</v>
      </c>
      <c r="E175" s="1" t="s">
        <v>82</v>
      </c>
      <c r="F175" s="9">
        <f t="shared" si="9"/>
        <v>0</v>
      </c>
      <c r="G175" s="9">
        <f t="shared" si="10"/>
        <v>3</v>
      </c>
      <c r="H175" s="9">
        <f t="shared" si="11"/>
        <v>0</v>
      </c>
      <c r="I175" s="10">
        <f t="shared" si="12"/>
        <v>3</v>
      </c>
    </row>
    <row r="176" spans="1:9" x14ac:dyDescent="0.25">
      <c r="A176" s="1" t="s">
        <v>1613</v>
      </c>
      <c r="B176" s="1" t="s">
        <v>1614</v>
      </c>
      <c r="C176" s="1" t="s">
        <v>81</v>
      </c>
      <c r="D176" s="1" t="s">
        <v>1406</v>
      </c>
      <c r="E176" s="1" t="s">
        <v>489</v>
      </c>
      <c r="F176" s="9">
        <f t="shared" si="9"/>
        <v>0</v>
      </c>
      <c r="G176" s="9">
        <f t="shared" si="10"/>
        <v>0</v>
      </c>
      <c r="H176" s="9">
        <f t="shared" si="11"/>
        <v>0</v>
      </c>
      <c r="I176" s="10">
        <f t="shared" si="12"/>
        <v>0</v>
      </c>
    </row>
    <row r="177" spans="1:9" x14ac:dyDescent="0.25">
      <c r="A177" s="1" t="s">
        <v>1615</v>
      </c>
      <c r="B177" s="1" t="s">
        <v>1616</v>
      </c>
      <c r="C177" s="1" t="s">
        <v>81</v>
      </c>
      <c r="D177" s="1" t="s">
        <v>1406</v>
      </c>
      <c r="E177" s="1" t="s">
        <v>489</v>
      </c>
      <c r="F177" s="9">
        <f t="shared" si="9"/>
        <v>0</v>
      </c>
      <c r="G177" s="9">
        <f t="shared" si="10"/>
        <v>2</v>
      </c>
      <c r="H177" s="9">
        <f t="shared" si="11"/>
        <v>0</v>
      </c>
      <c r="I177" s="10">
        <f t="shared" si="12"/>
        <v>2</v>
      </c>
    </row>
    <row r="178" spans="1:9" x14ac:dyDescent="0.25">
      <c r="A178" s="1" t="s">
        <v>1617</v>
      </c>
      <c r="B178" s="1" t="s">
        <v>1618</v>
      </c>
      <c r="C178" s="1" t="s">
        <v>81</v>
      </c>
      <c r="D178" s="1" t="s">
        <v>1406</v>
      </c>
      <c r="E178" s="1" t="s">
        <v>489</v>
      </c>
      <c r="F178" s="9">
        <f t="shared" si="9"/>
        <v>0</v>
      </c>
      <c r="G178" s="9">
        <f t="shared" si="10"/>
        <v>1</v>
      </c>
      <c r="H178" s="9">
        <f t="shared" si="11"/>
        <v>0</v>
      </c>
      <c r="I178" s="10">
        <f t="shared" si="12"/>
        <v>1</v>
      </c>
    </row>
    <row r="179" spans="1:9" x14ac:dyDescent="0.25">
      <c r="A179" s="1" t="s">
        <v>1619</v>
      </c>
      <c r="B179" s="1" t="s">
        <v>1620</v>
      </c>
      <c r="C179" s="1" t="s">
        <v>81</v>
      </c>
      <c r="D179" s="1" t="s">
        <v>1406</v>
      </c>
      <c r="E179" s="1" t="s">
        <v>489</v>
      </c>
      <c r="F179" s="9">
        <f t="shared" si="9"/>
        <v>0</v>
      </c>
      <c r="G179" s="9">
        <f t="shared" si="10"/>
        <v>0</v>
      </c>
      <c r="H179" s="9">
        <f t="shared" si="11"/>
        <v>0</v>
      </c>
      <c r="I179" s="10">
        <f t="shared" si="12"/>
        <v>0</v>
      </c>
    </row>
    <row r="180" spans="1:9" x14ac:dyDescent="0.25">
      <c r="A180" s="1" t="s">
        <v>1621</v>
      </c>
      <c r="B180" s="1" t="s">
        <v>1622</v>
      </c>
      <c r="C180" s="1" t="s">
        <v>81</v>
      </c>
      <c r="D180" s="1" t="s">
        <v>1406</v>
      </c>
      <c r="E180" s="1" t="s">
        <v>489</v>
      </c>
      <c r="F180" s="9">
        <f t="shared" si="9"/>
        <v>0</v>
      </c>
      <c r="G180" s="9">
        <f t="shared" si="10"/>
        <v>0</v>
      </c>
      <c r="H180" s="9">
        <f t="shared" si="11"/>
        <v>0</v>
      </c>
      <c r="I180" s="10">
        <f t="shared" si="12"/>
        <v>0</v>
      </c>
    </row>
    <row r="181" spans="1:9" x14ac:dyDescent="0.25">
      <c r="A181" s="1" t="s">
        <v>1623</v>
      </c>
      <c r="B181" s="1" t="s">
        <v>1624</v>
      </c>
      <c r="C181" s="1" t="s">
        <v>81</v>
      </c>
      <c r="D181" s="1" t="s">
        <v>1406</v>
      </c>
      <c r="E181" s="1" t="s">
        <v>30</v>
      </c>
      <c r="F181" s="9">
        <f t="shared" si="9"/>
        <v>0</v>
      </c>
      <c r="G181" s="9">
        <f t="shared" si="10"/>
        <v>120</v>
      </c>
      <c r="H181" s="9">
        <f t="shared" si="11"/>
        <v>0</v>
      </c>
      <c r="I181" s="10">
        <f t="shared" si="12"/>
        <v>120</v>
      </c>
    </row>
    <row r="182" spans="1:9" x14ac:dyDescent="0.25">
      <c r="A182" s="1" t="s">
        <v>1625</v>
      </c>
      <c r="B182" s="1" t="s">
        <v>1626</v>
      </c>
      <c r="C182" s="1" t="s">
        <v>81</v>
      </c>
      <c r="D182" s="1" t="s">
        <v>1406</v>
      </c>
      <c r="E182" s="1" t="s">
        <v>30</v>
      </c>
      <c r="F182" s="9">
        <f t="shared" si="9"/>
        <v>0</v>
      </c>
      <c r="G182" s="9">
        <f t="shared" si="10"/>
        <v>9990</v>
      </c>
      <c r="H182" s="9">
        <f t="shared" si="11"/>
        <v>0</v>
      </c>
      <c r="I182" s="10">
        <f t="shared" si="12"/>
        <v>9990</v>
      </c>
    </row>
    <row r="183" spans="1:9" x14ac:dyDescent="0.25">
      <c r="A183" s="1" t="s">
        <v>84</v>
      </c>
      <c r="B183" s="1" t="s">
        <v>83</v>
      </c>
      <c r="C183" s="1" t="s">
        <v>81</v>
      </c>
      <c r="D183" s="1" t="s">
        <v>1406</v>
      </c>
      <c r="E183" s="1" t="s">
        <v>30</v>
      </c>
      <c r="F183" s="9">
        <f t="shared" si="9"/>
        <v>0</v>
      </c>
      <c r="G183" s="9">
        <f t="shared" si="10"/>
        <v>6455</v>
      </c>
      <c r="H183" s="9">
        <f t="shared" si="11"/>
        <v>0</v>
      </c>
      <c r="I183" s="10">
        <f t="shared" si="12"/>
        <v>6455</v>
      </c>
    </row>
    <row r="184" spans="1:9" x14ac:dyDescent="0.25">
      <c r="A184" s="1" t="s">
        <v>86</v>
      </c>
      <c r="B184" s="1" t="s">
        <v>85</v>
      </c>
      <c r="C184" s="1" t="s">
        <v>81</v>
      </c>
      <c r="D184" s="1" t="s">
        <v>1406</v>
      </c>
      <c r="E184" s="1" t="s">
        <v>30</v>
      </c>
      <c r="F184" s="9">
        <f t="shared" si="9"/>
        <v>0</v>
      </c>
      <c r="G184" s="9">
        <f t="shared" si="10"/>
        <v>4964</v>
      </c>
      <c r="H184" s="9">
        <f t="shared" si="11"/>
        <v>0</v>
      </c>
      <c r="I184" s="10">
        <f t="shared" si="12"/>
        <v>4964</v>
      </c>
    </row>
    <row r="185" spans="1:9" x14ac:dyDescent="0.25">
      <c r="A185" s="1" t="s">
        <v>88</v>
      </c>
      <c r="B185" s="1" t="s">
        <v>87</v>
      </c>
      <c r="C185" s="1" t="s">
        <v>81</v>
      </c>
      <c r="D185" s="1" t="s">
        <v>1406</v>
      </c>
      <c r="E185" s="1" t="s">
        <v>30</v>
      </c>
      <c r="F185" s="9">
        <f t="shared" si="9"/>
        <v>0</v>
      </c>
      <c r="G185" s="9">
        <f t="shared" si="10"/>
        <v>2105</v>
      </c>
      <c r="H185" s="9">
        <f t="shared" si="11"/>
        <v>0</v>
      </c>
      <c r="I185" s="10">
        <f t="shared" si="12"/>
        <v>2105</v>
      </c>
    </row>
    <row r="186" spans="1:9" x14ac:dyDescent="0.25">
      <c r="A186" s="1" t="s">
        <v>1627</v>
      </c>
      <c r="B186" s="1" t="s">
        <v>1628</v>
      </c>
      <c r="C186" s="1" t="s">
        <v>81</v>
      </c>
      <c r="D186" s="1" t="s">
        <v>1406</v>
      </c>
      <c r="E186" s="1" t="s">
        <v>30</v>
      </c>
      <c r="F186" s="9">
        <f t="shared" si="9"/>
        <v>0</v>
      </c>
      <c r="G186" s="9">
        <f t="shared" si="10"/>
        <v>150</v>
      </c>
      <c r="H186" s="9">
        <f t="shared" si="11"/>
        <v>0</v>
      </c>
      <c r="I186" s="10">
        <f t="shared" si="12"/>
        <v>150</v>
      </c>
    </row>
    <row r="187" spans="1:9" x14ac:dyDescent="0.25">
      <c r="A187" s="1" t="s">
        <v>90</v>
      </c>
      <c r="B187" s="1" t="s">
        <v>89</v>
      </c>
      <c r="C187" s="1" t="s">
        <v>81</v>
      </c>
      <c r="D187" s="1" t="s">
        <v>1406</v>
      </c>
      <c r="E187" s="1" t="s">
        <v>30</v>
      </c>
      <c r="F187" s="9">
        <f t="shared" si="9"/>
        <v>0</v>
      </c>
      <c r="G187" s="9">
        <f t="shared" si="10"/>
        <v>77</v>
      </c>
      <c r="H187" s="9">
        <f t="shared" si="11"/>
        <v>0</v>
      </c>
      <c r="I187" s="10">
        <f t="shared" si="12"/>
        <v>77</v>
      </c>
    </row>
    <row r="188" spans="1:9" x14ac:dyDescent="0.25">
      <c r="A188" s="1" t="s">
        <v>92</v>
      </c>
      <c r="B188" s="1" t="s">
        <v>91</v>
      </c>
      <c r="C188" s="1" t="s">
        <v>81</v>
      </c>
      <c r="D188" s="1" t="s">
        <v>1406</v>
      </c>
      <c r="E188" s="1" t="s">
        <v>30</v>
      </c>
      <c r="F188" s="9">
        <f t="shared" si="9"/>
        <v>0</v>
      </c>
      <c r="G188" s="9">
        <f t="shared" si="10"/>
        <v>191</v>
      </c>
      <c r="H188" s="9">
        <f t="shared" si="11"/>
        <v>0</v>
      </c>
      <c r="I188" s="10">
        <f t="shared" si="12"/>
        <v>191</v>
      </c>
    </row>
    <row r="189" spans="1:9" x14ac:dyDescent="0.25">
      <c r="A189" s="1" t="s">
        <v>1629</v>
      </c>
      <c r="B189" s="1" t="s">
        <v>1630</v>
      </c>
      <c r="C189" s="1" t="s">
        <v>81</v>
      </c>
      <c r="D189" s="1" t="s">
        <v>1406</v>
      </c>
      <c r="E189" s="1" t="s">
        <v>30</v>
      </c>
      <c r="F189" s="9">
        <f t="shared" si="9"/>
        <v>0</v>
      </c>
      <c r="G189" s="9">
        <f t="shared" si="10"/>
        <v>58</v>
      </c>
      <c r="H189" s="9">
        <f t="shared" si="11"/>
        <v>0</v>
      </c>
      <c r="I189" s="10">
        <f t="shared" si="12"/>
        <v>58</v>
      </c>
    </row>
    <row r="190" spans="1:9" x14ac:dyDescent="0.25">
      <c r="A190" s="1" t="s">
        <v>1631</v>
      </c>
      <c r="B190" s="1" t="s">
        <v>1632</v>
      </c>
      <c r="C190" s="1" t="s">
        <v>81</v>
      </c>
      <c r="D190" s="1" t="s">
        <v>1406</v>
      </c>
      <c r="E190" s="1" t="s">
        <v>30</v>
      </c>
      <c r="F190" s="9">
        <f t="shared" si="9"/>
        <v>0</v>
      </c>
      <c r="G190" s="9">
        <f t="shared" si="10"/>
        <v>58</v>
      </c>
      <c r="H190" s="9">
        <f t="shared" si="11"/>
        <v>0</v>
      </c>
      <c r="I190" s="10">
        <f t="shared" si="12"/>
        <v>58</v>
      </c>
    </row>
    <row r="191" spans="1:9" x14ac:dyDescent="0.25">
      <c r="A191" s="1" t="s">
        <v>1633</v>
      </c>
      <c r="B191" s="1" t="s">
        <v>1634</v>
      </c>
      <c r="C191" s="1" t="s">
        <v>81</v>
      </c>
      <c r="D191" s="1" t="s">
        <v>1406</v>
      </c>
      <c r="E191" s="1" t="s">
        <v>30</v>
      </c>
      <c r="F191" s="9">
        <f t="shared" si="9"/>
        <v>0</v>
      </c>
      <c r="G191" s="9">
        <f t="shared" si="10"/>
        <v>40</v>
      </c>
      <c r="H191" s="9">
        <f t="shared" si="11"/>
        <v>0</v>
      </c>
      <c r="I191" s="10">
        <f t="shared" si="12"/>
        <v>40</v>
      </c>
    </row>
    <row r="192" spans="1:9" x14ac:dyDescent="0.25">
      <c r="A192" s="1" t="s">
        <v>1635</v>
      </c>
      <c r="B192" s="1" t="s">
        <v>1636</v>
      </c>
      <c r="C192" s="1" t="s">
        <v>1046</v>
      </c>
      <c r="D192" s="1" t="s">
        <v>1406</v>
      </c>
      <c r="E192" s="1" t="s">
        <v>101</v>
      </c>
      <c r="F192" s="9">
        <f t="shared" si="9"/>
        <v>0</v>
      </c>
      <c r="G192" s="9">
        <f t="shared" si="10"/>
        <v>4</v>
      </c>
      <c r="H192" s="9">
        <f t="shared" si="11"/>
        <v>0</v>
      </c>
      <c r="I192" s="10">
        <f t="shared" si="12"/>
        <v>4</v>
      </c>
    </row>
    <row r="193" spans="1:9" x14ac:dyDescent="0.25">
      <c r="A193" s="1" t="s">
        <v>1045</v>
      </c>
      <c r="B193" s="1" t="s">
        <v>1044</v>
      </c>
      <c r="C193" s="1" t="s">
        <v>1046</v>
      </c>
      <c r="D193" s="1" t="s">
        <v>1406</v>
      </c>
      <c r="E193" s="1" t="s">
        <v>101</v>
      </c>
      <c r="F193" s="9">
        <f t="shared" si="9"/>
        <v>0</v>
      </c>
      <c r="G193" s="9">
        <f t="shared" si="10"/>
        <v>0</v>
      </c>
      <c r="H193" s="9">
        <f t="shared" si="11"/>
        <v>0</v>
      </c>
      <c r="I193" s="10">
        <f t="shared" si="12"/>
        <v>0</v>
      </c>
    </row>
    <row r="194" spans="1:9" x14ac:dyDescent="0.25">
      <c r="A194" s="1" t="s">
        <v>1048</v>
      </c>
      <c r="B194" s="1" t="s">
        <v>1047</v>
      </c>
      <c r="C194" s="1" t="s">
        <v>1046</v>
      </c>
      <c r="D194" s="1" t="s">
        <v>1406</v>
      </c>
      <c r="E194" s="1" t="s">
        <v>104</v>
      </c>
      <c r="F194" s="9">
        <f t="shared" ref="F194:F257" si="13">IFERROR(VLOOKUP(A194,condi,8,0),0)</f>
        <v>0</v>
      </c>
      <c r="G194" s="9">
        <f t="shared" ref="G194:G257" si="14">IFERROR(VLOOKUP(A194,maqui,8,0),0)</f>
        <v>0</v>
      </c>
      <c r="H194" s="9">
        <f t="shared" ref="H194:H257" si="15">IFERROR(VLOOKUP(A194,ascint,8,0),0)</f>
        <v>0</v>
      </c>
      <c r="I194" s="10">
        <f t="shared" si="12"/>
        <v>0</v>
      </c>
    </row>
    <row r="195" spans="1:9" x14ac:dyDescent="0.25">
      <c r="A195" s="1" t="s">
        <v>1050</v>
      </c>
      <c r="B195" s="1" t="s">
        <v>1049</v>
      </c>
      <c r="C195" s="1" t="s">
        <v>1046</v>
      </c>
      <c r="D195" s="1" t="s">
        <v>1406</v>
      </c>
      <c r="E195" s="1" t="s">
        <v>104</v>
      </c>
      <c r="F195" s="9">
        <f t="shared" si="13"/>
        <v>0</v>
      </c>
      <c r="G195" s="9">
        <f t="shared" si="14"/>
        <v>6</v>
      </c>
      <c r="H195" s="9">
        <f t="shared" si="15"/>
        <v>0</v>
      </c>
      <c r="I195" s="10">
        <f t="shared" si="12"/>
        <v>6</v>
      </c>
    </row>
    <row r="196" spans="1:9" x14ac:dyDescent="0.25">
      <c r="A196" s="1" t="s">
        <v>1052</v>
      </c>
      <c r="B196" s="1" t="s">
        <v>1051</v>
      </c>
      <c r="C196" s="1" t="s">
        <v>1046</v>
      </c>
      <c r="D196" s="1" t="s">
        <v>1406</v>
      </c>
      <c r="E196" s="1" t="s">
        <v>104</v>
      </c>
      <c r="F196" s="9">
        <f t="shared" si="13"/>
        <v>0</v>
      </c>
      <c r="G196" s="9">
        <f t="shared" si="14"/>
        <v>2</v>
      </c>
      <c r="H196" s="9">
        <f t="shared" si="15"/>
        <v>0</v>
      </c>
      <c r="I196" s="10">
        <f t="shared" si="12"/>
        <v>2</v>
      </c>
    </row>
    <row r="197" spans="1:9" x14ac:dyDescent="0.25">
      <c r="A197" s="1" t="s">
        <v>1054</v>
      </c>
      <c r="B197" s="1" t="s">
        <v>1053</v>
      </c>
      <c r="C197" s="1" t="s">
        <v>1046</v>
      </c>
      <c r="D197" s="1" t="s">
        <v>1406</v>
      </c>
      <c r="E197" s="1" t="s">
        <v>104</v>
      </c>
      <c r="F197" s="9">
        <f t="shared" si="13"/>
        <v>0</v>
      </c>
      <c r="G197" s="9">
        <f t="shared" si="14"/>
        <v>0</v>
      </c>
      <c r="H197" s="9">
        <f t="shared" si="15"/>
        <v>0</v>
      </c>
      <c r="I197" s="10">
        <f t="shared" si="12"/>
        <v>0</v>
      </c>
    </row>
    <row r="198" spans="1:9" x14ac:dyDescent="0.25">
      <c r="A198" s="1" t="s">
        <v>1056</v>
      </c>
      <c r="B198" s="1" t="s">
        <v>1055</v>
      </c>
      <c r="C198" s="1" t="s">
        <v>1046</v>
      </c>
      <c r="D198" s="1" t="s">
        <v>1406</v>
      </c>
      <c r="E198" s="1" t="s">
        <v>104</v>
      </c>
      <c r="F198" s="9">
        <f t="shared" si="13"/>
        <v>0</v>
      </c>
      <c r="G198" s="9">
        <f t="shared" si="14"/>
        <v>0</v>
      </c>
      <c r="H198" s="9">
        <f t="shared" si="15"/>
        <v>0</v>
      </c>
      <c r="I198" s="10">
        <f t="shared" si="12"/>
        <v>0</v>
      </c>
    </row>
    <row r="199" spans="1:9" x14ac:dyDescent="0.25">
      <c r="A199" s="1" t="s">
        <v>1058</v>
      </c>
      <c r="B199" s="1" t="s">
        <v>1057</v>
      </c>
      <c r="C199" s="1" t="s">
        <v>1046</v>
      </c>
      <c r="D199" s="1" t="s">
        <v>1406</v>
      </c>
      <c r="E199" s="1" t="s">
        <v>101</v>
      </c>
      <c r="F199" s="9">
        <f t="shared" si="13"/>
        <v>0</v>
      </c>
      <c r="G199" s="9">
        <f t="shared" si="14"/>
        <v>0</v>
      </c>
      <c r="H199" s="9">
        <f t="shared" si="15"/>
        <v>0</v>
      </c>
      <c r="I199" s="10">
        <f t="shared" si="12"/>
        <v>0</v>
      </c>
    </row>
    <row r="200" spans="1:9" x14ac:dyDescent="0.25">
      <c r="A200" s="1" t="s">
        <v>1060</v>
      </c>
      <c r="B200" s="1" t="s">
        <v>1059</v>
      </c>
      <c r="C200" s="1" t="s">
        <v>1046</v>
      </c>
      <c r="D200" s="1" t="s">
        <v>1406</v>
      </c>
      <c r="E200" s="1" t="s">
        <v>101</v>
      </c>
      <c r="F200" s="9">
        <f t="shared" si="13"/>
        <v>0</v>
      </c>
      <c r="G200" s="9">
        <f t="shared" si="14"/>
        <v>0</v>
      </c>
      <c r="H200" s="9">
        <f t="shared" si="15"/>
        <v>0</v>
      </c>
      <c r="I200" s="10">
        <f t="shared" ref="I200:I263" si="16">+F200+G200+H200</f>
        <v>0</v>
      </c>
    </row>
    <row r="201" spans="1:9" x14ac:dyDescent="0.25">
      <c r="A201" s="1" t="s">
        <v>1062</v>
      </c>
      <c r="B201" s="1" t="s">
        <v>1061</v>
      </c>
      <c r="C201" s="1" t="s">
        <v>1046</v>
      </c>
      <c r="D201" s="1" t="s">
        <v>1406</v>
      </c>
      <c r="E201" s="1" t="s">
        <v>101</v>
      </c>
      <c r="F201" s="9">
        <f t="shared" si="13"/>
        <v>0</v>
      </c>
      <c r="G201" s="9">
        <f t="shared" si="14"/>
        <v>0</v>
      </c>
      <c r="H201" s="9">
        <f t="shared" si="15"/>
        <v>0</v>
      </c>
      <c r="I201" s="10">
        <f t="shared" si="16"/>
        <v>0</v>
      </c>
    </row>
    <row r="202" spans="1:9" x14ac:dyDescent="0.25">
      <c r="A202" s="1" t="s">
        <v>1066</v>
      </c>
      <c r="B202" s="1" t="s">
        <v>1065</v>
      </c>
      <c r="C202" s="1" t="s">
        <v>1046</v>
      </c>
      <c r="D202" s="1" t="s">
        <v>1406</v>
      </c>
      <c r="E202" s="1" t="s">
        <v>101</v>
      </c>
      <c r="F202" s="9">
        <f t="shared" si="13"/>
        <v>0</v>
      </c>
      <c r="G202" s="9">
        <f t="shared" si="14"/>
        <v>4</v>
      </c>
      <c r="H202" s="9">
        <f t="shared" si="15"/>
        <v>0</v>
      </c>
      <c r="I202" s="10">
        <f t="shared" si="16"/>
        <v>4</v>
      </c>
    </row>
    <row r="203" spans="1:9" x14ac:dyDescent="0.25">
      <c r="A203" s="1" t="s">
        <v>1637</v>
      </c>
      <c r="B203" s="1" t="s">
        <v>1638</v>
      </c>
      <c r="C203" s="1" t="s">
        <v>1046</v>
      </c>
      <c r="D203" s="1" t="s">
        <v>1406</v>
      </c>
      <c r="E203" s="1" t="s">
        <v>101</v>
      </c>
      <c r="F203" s="9">
        <f t="shared" si="13"/>
        <v>0</v>
      </c>
      <c r="G203" s="9">
        <f t="shared" si="14"/>
        <v>55</v>
      </c>
      <c r="H203" s="9">
        <f t="shared" si="15"/>
        <v>0</v>
      </c>
      <c r="I203" s="10">
        <f t="shared" si="16"/>
        <v>55</v>
      </c>
    </row>
    <row r="204" spans="1:9" x14ac:dyDescent="0.25">
      <c r="A204" s="1" t="s">
        <v>1639</v>
      </c>
      <c r="B204" s="1" t="s">
        <v>1640</v>
      </c>
      <c r="C204" s="1" t="s">
        <v>1046</v>
      </c>
      <c r="D204" s="1" t="s">
        <v>1406</v>
      </c>
      <c r="E204" s="1" t="s">
        <v>30</v>
      </c>
      <c r="F204" s="9">
        <f t="shared" si="13"/>
        <v>0</v>
      </c>
      <c r="G204" s="9">
        <f t="shared" si="14"/>
        <v>35</v>
      </c>
      <c r="H204" s="9">
        <f t="shared" si="15"/>
        <v>0</v>
      </c>
      <c r="I204" s="10">
        <f t="shared" si="16"/>
        <v>35</v>
      </c>
    </row>
    <row r="205" spans="1:9" x14ac:dyDescent="0.25">
      <c r="A205" s="1" t="s">
        <v>1641</v>
      </c>
      <c r="B205" s="1" t="s">
        <v>1642</v>
      </c>
      <c r="C205" s="1" t="s">
        <v>1046</v>
      </c>
      <c r="D205" s="1" t="s">
        <v>1406</v>
      </c>
      <c r="E205" s="1" t="s">
        <v>30</v>
      </c>
      <c r="F205" s="9">
        <f t="shared" si="13"/>
        <v>0</v>
      </c>
      <c r="G205" s="9">
        <f t="shared" si="14"/>
        <v>45</v>
      </c>
      <c r="H205" s="9">
        <f t="shared" si="15"/>
        <v>0</v>
      </c>
      <c r="I205" s="10">
        <f t="shared" si="16"/>
        <v>45</v>
      </c>
    </row>
    <row r="206" spans="1:9" x14ac:dyDescent="0.25">
      <c r="A206" s="1" t="s">
        <v>1643</v>
      </c>
      <c r="B206" s="1" t="s">
        <v>1644</v>
      </c>
      <c r="C206" s="1" t="s">
        <v>1046</v>
      </c>
      <c r="D206" s="1" t="s">
        <v>1406</v>
      </c>
      <c r="E206" s="1" t="s">
        <v>30</v>
      </c>
      <c r="F206" s="9">
        <f t="shared" si="13"/>
        <v>0</v>
      </c>
      <c r="G206" s="9">
        <f t="shared" si="14"/>
        <v>460</v>
      </c>
      <c r="H206" s="9">
        <f t="shared" si="15"/>
        <v>0</v>
      </c>
      <c r="I206" s="10">
        <f t="shared" si="16"/>
        <v>460</v>
      </c>
    </row>
    <row r="207" spans="1:9" x14ac:dyDescent="0.25">
      <c r="A207" s="1" t="s">
        <v>1645</v>
      </c>
      <c r="B207" s="1" t="s">
        <v>1646</v>
      </c>
      <c r="C207" s="1" t="s">
        <v>1046</v>
      </c>
      <c r="D207" s="1" t="s">
        <v>1406</v>
      </c>
      <c r="E207" s="1" t="s">
        <v>30</v>
      </c>
      <c r="F207" s="9">
        <f t="shared" si="13"/>
        <v>0</v>
      </c>
      <c r="G207" s="9">
        <f t="shared" si="14"/>
        <v>50</v>
      </c>
      <c r="H207" s="9">
        <f t="shared" si="15"/>
        <v>0</v>
      </c>
      <c r="I207" s="10">
        <f t="shared" si="16"/>
        <v>50</v>
      </c>
    </row>
    <row r="208" spans="1:9" x14ac:dyDescent="0.25">
      <c r="A208" s="1" t="s">
        <v>1647</v>
      </c>
      <c r="B208" s="1" t="s">
        <v>1648</v>
      </c>
      <c r="C208" s="1" t="s">
        <v>1046</v>
      </c>
      <c r="D208" s="1" t="s">
        <v>1406</v>
      </c>
      <c r="E208" s="1" t="s">
        <v>30</v>
      </c>
      <c r="F208" s="9">
        <f t="shared" si="13"/>
        <v>0</v>
      </c>
      <c r="G208" s="9">
        <f t="shared" si="14"/>
        <v>513</v>
      </c>
      <c r="H208" s="9">
        <f t="shared" si="15"/>
        <v>0</v>
      </c>
      <c r="I208" s="10">
        <f t="shared" si="16"/>
        <v>513</v>
      </c>
    </row>
    <row r="209" spans="1:9" x14ac:dyDescent="0.25">
      <c r="A209" s="1" t="s">
        <v>1649</v>
      </c>
      <c r="B209" s="1" t="s">
        <v>1650</v>
      </c>
      <c r="C209" s="1" t="s">
        <v>95</v>
      </c>
      <c r="D209" s="1" t="s">
        <v>1406</v>
      </c>
      <c r="E209" s="1" t="s">
        <v>30</v>
      </c>
      <c r="F209" s="9">
        <f t="shared" si="13"/>
        <v>0</v>
      </c>
      <c r="G209" s="9">
        <f t="shared" si="14"/>
        <v>20</v>
      </c>
      <c r="H209" s="9">
        <f t="shared" si="15"/>
        <v>0</v>
      </c>
      <c r="I209" s="10">
        <f t="shared" si="16"/>
        <v>20</v>
      </c>
    </row>
    <row r="210" spans="1:9" x14ac:dyDescent="0.25">
      <c r="A210" s="1" t="s">
        <v>1651</v>
      </c>
      <c r="B210" s="1" t="s">
        <v>1652</v>
      </c>
      <c r="C210" s="1" t="s">
        <v>95</v>
      </c>
      <c r="D210" s="1" t="s">
        <v>1406</v>
      </c>
      <c r="E210" s="1" t="s">
        <v>30</v>
      </c>
      <c r="F210" s="9">
        <f t="shared" si="13"/>
        <v>0</v>
      </c>
      <c r="G210" s="9">
        <f t="shared" si="14"/>
        <v>10</v>
      </c>
      <c r="H210" s="9">
        <f t="shared" si="15"/>
        <v>0</v>
      </c>
      <c r="I210" s="10">
        <f t="shared" si="16"/>
        <v>10</v>
      </c>
    </row>
    <row r="211" spans="1:9" x14ac:dyDescent="0.25">
      <c r="A211" s="1" t="s">
        <v>1653</v>
      </c>
      <c r="B211" s="1" t="s">
        <v>1654</v>
      </c>
      <c r="C211" s="1" t="s">
        <v>95</v>
      </c>
      <c r="D211" s="1" t="s">
        <v>1406</v>
      </c>
      <c r="E211" s="1" t="s">
        <v>30</v>
      </c>
      <c r="F211" s="9">
        <f t="shared" si="13"/>
        <v>0</v>
      </c>
      <c r="G211" s="9">
        <f t="shared" si="14"/>
        <v>8</v>
      </c>
      <c r="H211" s="9">
        <f t="shared" si="15"/>
        <v>0</v>
      </c>
      <c r="I211" s="10">
        <f t="shared" si="16"/>
        <v>8</v>
      </c>
    </row>
    <row r="212" spans="1:9" x14ac:dyDescent="0.25">
      <c r="A212" s="1" t="s">
        <v>1655</v>
      </c>
      <c r="B212" s="1" t="s">
        <v>1656</v>
      </c>
      <c r="C212" s="1" t="s">
        <v>95</v>
      </c>
      <c r="D212" s="1" t="s">
        <v>1406</v>
      </c>
      <c r="E212" s="1" t="s">
        <v>30</v>
      </c>
      <c r="F212" s="9">
        <f t="shared" si="13"/>
        <v>0</v>
      </c>
      <c r="G212" s="9">
        <f t="shared" si="14"/>
        <v>2</v>
      </c>
      <c r="H212" s="9">
        <f t="shared" si="15"/>
        <v>0</v>
      </c>
      <c r="I212" s="10">
        <f t="shared" si="16"/>
        <v>2</v>
      </c>
    </row>
    <row r="213" spans="1:9" x14ac:dyDescent="0.25">
      <c r="A213" s="1" t="s">
        <v>1657</v>
      </c>
      <c r="B213" s="1" t="s">
        <v>1658</v>
      </c>
      <c r="C213" s="1" t="s">
        <v>95</v>
      </c>
      <c r="D213" s="1" t="s">
        <v>1406</v>
      </c>
      <c r="E213" s="1" t="s">
        <v>30</v>
      </c>
      <c r="F213" s="9">
        <f t="shared" si="13"/>
        <v>0</v>
      </c>
      <c r="G213" s="9">
        <f t="shared" si="14"/>
        <v>24</v>
      </c>
      <c r="H213" s="9">
        <f t="shared" si="15"/>
        <v>0</v>
      </c>
      <c r="I213" s="10">
        <f t="shared" si="16"/>
        <v>24</v>
      </c>
    </row>
    <row r="214" spans="1:9" x14ac:dyDescent="0.25">
      <c r="A214" s="1" t="s">
        <v>1659</v>
      </c>
      <c r="B214" s="1" t="s">
        <v>1660</v>
      </c>
      <c r="C214" s="1" t="s">
        <v>95</v>
      </c>
      <c r="D214" s="1" t="s">
        <v>1406</v>
      </c>
      <c r="E214" s="1" t="s">
        <v>30</v>
      </c>
      <c r="F214" s="9">
        <f t="shared" si="13"/>
        <v>0</v>
      </c>
      <c r="G214" s="9">
        <f t="shared" si="14"/>
        <v>24</v>
      </c>
      <c r="H214" s="9">
        <f t="shared" si="15"/>
        <v>0</v>
      </c>
      <c r="I214" s="10">
        <f t="shared" si="16"/>
        <v>24</v>
      </c>
    </row>
    <row r="215" spans="1:9" x14ac:dyDescent="0.25">
      <c r="A215" s="1" t="s">
        <v>1661</v>
      </c>
      <c r="B215" s="1" t="s">
        <v>1662</v>
      </c>
      <c r="C215" s="1" t="s">
        <v>95</v>
      </c>
      <c r="D215" s="1" t="s">
        <v>1406</v>
      </c>
      <c r="E215" s="1" t="s">
        <v>30</v>
      </c>
      <c r="F215" s="9">
        <f t="shared" si="13"/>
        <v>0</v>
      </c>
      <c r="G215" s="9">
        <f t="shared" si="14"/>
        <v>58</v>
      </c>
      <c r="H215" s="9">
        <f t="shared" si="15"/>
        <v>0</v>
      </c>
      <c r="I215" s="10">
        <f t="shared" si="16"/>
        <v>58</v>
      </c>
    </row>
    <row r="216" spans="1:9" x14ac:dyDescent="0.25">
      <c r="A216" s="1" t="s">
        <v>1663</v>
      </c>
      <c r="B216" s="1" t="s">
        <v>1664</v>
      </c>
      <c r="C216" s="1" t="s">
        <v>95</v>
      </c>
      <c r="D216" s="1" t="s">
        <v>1406</v>
      </c>
      <c r="E216" s="1" t="s">
        <v>30</v>
      </c>
      <c r="F216" s="9">
        <f t="shared" si="13"/>
        <v>0</v>
      </c>
      <c r="G216" s="9">
        <f t="shared" si="14"/>
        <v>50</v>
      </c>
      <c r="H216" s="9">
        <f t="shared" si="15"/>
        <v>0</v>
      </c>
      <c r="I216" s="10">
        <f t="shared" si="16"/>
        <v>50</v>
      </c>
    </row>
    <row r="217" spans="1:9" x14ac:dyDescent="0.25">
      <c r="A217" s="1" t="s">
        <v>1665</v>
      </c>
      <c r="B217" s="1" t="s">
        <v>1666</v>
      </c>
      <c r="C217" s="1" t="s">
        <v>95</v>
      </c>
      <c r="D217" s="1" t="s">
        <v>1406</v>
      </c>
      <c r="E217" s="1" t="s">
        <v>30</v>
      </c>
      <c r="F217" s="9">
        <f t="shared" si="13"/>
        <v>0</v>
      </c>
      <c r="G217" s="9">
        <f t="shared" si="14"/>
        <v>44</v>
      </c>
      <c r="H217" s="9">
        <f t="shared" si="15"/>
        <v>0</v>
      </c>
      <c r="I217" s="10">
        <f t="shared" si="16"/>
        <v>44</v>
      </c>
    </row>
    <row r="218" spans="1:9" x14ac:dyDescent="0.25">
      <c r="A218" s="1" t="s">
        <v>1667</v>
      </c>
      <c r="B218" s="1" t="s">
        <v>1668</v>
      </c>
      <c r="C218" s="1" t="s">
        <v>95</v>
      </c>
      <c r="D218" s="1" t="s">
        <v>1406</v>
      </c>
      <c r="E218" s="1" t="s">
        <v>30</v>
      </c>
      <c r="F218" s="9">
        <f t="shared" si="13"/>
        <v>0</v>
      </c>
      <c r="G218" s="9">
        <f t="shared" si="14"/>
        <v>8</v>
      </c>
      <c r="H218" s="9">
        <f t="shared" si="15"/>
        <v>0</v>
      </c>
      <c r="I218" s="10">
        <f t="shared" si="16"/>
        <v>8</v>
      </c>
    </row>
    <row r="219" spans="1:9" x14ac:dyDescent="0.25">
      <c r="A219" s="1" t="s">
        <v>1669</v>
      </c>
      <c r="B219" s="1" t="s">
        <v>1670</v>
      </c>
      <c r="C219" s="1" t="s">
        <v>95</v>
      </c>
      <c r="D219" s="1" t="s">
        <v>1406</v>
      </c>
      <c r="E219" s="1" t="s">
        <v>30</v>
      </c>
      <c r="F219" s="9">
        <f t="shared" si="13"/>
        <v>0</v>
      </c>
      <c r="G219" s="9">
        <f t="shared" si="14"/>
        <v>5</v>
      </c>
      <c r="H219" s="9">
        <f t="shared" si="15"/>
        <v>0</v>
      </c>
      <c r="I219" s="10">
        <f t="shared" si="16"/>
        <v>5</v>
      </c>
    </row>
    <row r="220" spans="1:9" x14ac:dyDescent="0.25">
      <c r="A220" s="1" t="s">
        <v>1671</v>
      </c>
      <c r="B220" s="1" t="s">
        <v>1672</v>
      </c>
      <c r="C220" s="1" t="s">
        <v>95</v>
      </c>
      <c r="D220" s="1" t="s">
        <v>1406</v>
      </c>
      <c r="E220" s="1" t="s">
        <v>30</v>
      </c>
      <c r="F220" s="9">
        <f t="shared" si="13"/>
        <v>0</v>
      </c>
      <c r="G220" s="9">
        <f t="shared" si="14"/>
        <v>14</v>
      </c>
      <c r="H220" s="9">
        <f t="shared" si="15"/>
        <v>0</v>
      </c>
      <c r="I220" s="10">
        <f t="shared" si="16"/>
        <v>14</v>
      </c>
    </row>
    <row r="221" spans="1:9" x14ac:dyDescent="0.25">
      <c r="A221" s="1" t="s">
        <v>1673</v>
      </c>
      <c r="B221" s="1" t="s">
        <v>1674</v>
      </c>
      <c r="C221" s="1" t="s">
        <v>95</v>
      </c>
      <c r="D221" s="1" t="s">
        <v>1406</v>
      </c>
      <c r="E221" s="1" t="s">
        <v>30</v>
      </c>
      <c r="F221" s="9">
        <f t="shared" si="13"/>
        <v>0</v>
      </c>
      <c r="G221" s="9">
        <f t="shared" si="14"/>
        <v>20</v>
      </c>
      <c r="H221" s="9">
        <f t="shared" si="15"/>
        <v>0</v>
      </c>
      <c r="I221" s="10">
        <f t="shared" si="16"/>
        <v>20</v>
      </c>
    </row>
    <row r="222" spans="1:9" x14ac:dyDescent="0.25">
      <c r="A222" s="1" t="s">
        <v>1675</v>
      </c>
      <c r="B222" s="1" t="s">
        <v>1676</v>
      </c>
      <c r="C222" s="1" t="s">
        <v>95</v>
      </c>
      <c r="D222" s="1" t="s">
        <v>1406</v>
      </c>
      <c r="E222" s="1" t="s">
        <v>30</v>
      </c>
      <c r="F222" s="9">
        <f t="shared" si="13"/>
        <v>0</v>
      </c>
      <c r="G222" s="9">
        <f t="shared" si="14"/>
        <v>50</v>
      </c>
      <c r="H222" s="9">
        <f t="shared" si="15"/>
        <v>0</v>
      </c>
      <c r="I222" s="10">
        <f t="shared" si="16"/>
        <v>50</v>
      </c>
    </row>
    <row r="223" spans="1:9" x14ac:dyDescent="0.25">
      <c r="A223" s="1" t="s">
        <v>1677</v>
      </c>
      <c r="B223" s="1" t="s">
        <v>1678</v>
      </c>
      <c r="C223" s="1" t="s">
        <v>95</v>
      </c>
      <c r="D223" s="1" t="s">
        <v>1406</v>
      </c>
      <c r="E223" s="1" t="s">
        <v>30</v>
      </c>
      <c r="F223" s="9">
        <f t="shared" si="13"/>
        <v>0</v>
      </c>
      <c r="G223" s="9">
        <f t="shared" si="14"/>
        <v>11</v>
      </c>
      <c r="H223" s="9">
        <f t="shared" si="15"/>
        <v>0</v>
      </c>
      <c r="I223" s="10">
        <f t="shared" si="16"/>
        <v>11</v>
      </c>
    </row>
    <row r="224" spans="1:9" x14ac:dyDescent="0.25">
      <c r="A224" s="1" t="s">
        <v>1679</v>
      </c>
      <c r="B224" s="1" t="s">
        <v>1680</v>
      </c>
      <c r="C224" s="1" t="s">
        <v>95</v>
      </c>
      <c r="D224" s="1" t="s">
        <v>1406</v>
      </c>
      <c r="E224" s="1" t="s">
        <v>30</v>
      </c>
      <c r="F224" s="9">
        <f t="shared" si="13"/>
        <v>0</v>
      </c>
      <c r="G224" s="9">
        <f t="shared" si="14"/>
        <v>20</v>
      </c>
      <c r="H224" s="9">
        <f t="shared" si="15"/>
        <v>0</v>
      </c>
      <c r="I224" s="10">
        <f t="shared" si="16"/>
        <v>20</v>
      </c>
    </row>
    <row r="225" spans="1:9" x14ac:dyDescent="0.25">
      <c r="A225" s="1" t="s">
        <v>1681</v>
      </c>
      <c r="B225" s="1" t="s">
        <v>1682</v>
      </c>
      <c r="C225" s="1" t="s">
        <v>95</v>
      </c>
      <c r="D225" s="1" t="s">
        <v>1406</v>
      </c>
      <c r="E225" s="1" t="s">
        <v>30</v>
      </c>
      <c r="F225" s="9">
        <f t="shared" si="13"/>
        <v>0</v>
      </c>
      <c r="G225" s="9">
        <f t="shared" si="14"/>
        <v>20</v>
      </c>
      <c r="H225" s="9">
        <f t="shared" si="15"/>
        <v>0</v>
      </c>
      <c r="I225" s="10">
        <f t="shared" si="16"/>
        <v>20</v>
      </c>
    </row>
    <row r="226" spans="1:9" x14ac:dyDescent="0.25">
      <c r="A226" s="1" t="s">
        <v>1683</v>
      </c>
      <c r="B226" s="1" t="s">
        <v>1684</v>
      </c>
      <c r="C226" s="1" t="s">
        <v>95</v>
      </c>
      <c r="D226" s="1" t="s">
        <v>1406</v>
      </c>
      <c r="E226" s="1" t="s">
        <v>30</v>
      </c>
      <c r="F226" s="9">
        <f t="shared" si="13"/>
        <v>0</v>
      </c>
      <c r="G226" s="9">
        <f t="shared" si="14"/>
        <v>10</v>
      </c>
      <c r="H226" s="9">
        <f t="shared" si="15"/>
        <v>0</v>
      </c>
      <c r="I226" s="10">
        <f t="shared" si="16"/>
        <v>10</v>
      </c>
    </row>
    <row r="227" spans="1:9" x14ac:dyDescent="0.25">
      <c r="A227" s="1" t="s">
        <v>1685</v>
      </c>
      <c r="B227" s="1" t="s">
        <v>1686</v>
      </c>
      <c r="C227" s="1" t="s">
        <v>95</v>
      </c>
      <c r="D227" s="1" t="s">
        <v>1406</v>
      </c>
      <c r="E227" s="1" t="s">
        <v>30</v>
      </c>
      <c r="F227" s="9">
        <f t="shared" si="13"/>
        <v>0</v>
      </c>
      <c r="G227" s="9">
        <f t="shared" si="14"/>
        <v>237</v>
      </c>
      <c r="H227" s="9">
        <f t="shared" si="15"/>
        <v>0</v>
      </c>
      <c r="I227" s="10">
        <f t="shared" si="16"/>
        <v>237</v>
      </c>
    </row>
    <row r="228" spans="1:9" x14ac:dyDescent="0.25">
      <c r="A228" s="1" t="s">
        <v>1687</v>
      </c>
      <c r="B228" s="1" t="s">
        <v>1688</v>
      </c>
      <c r="C228" s="1" t="s">
        <v>95</v>
      </c>
      <c r="D228" s="1" t="s">
        <v>1406</v>
      </c>
      <c r="E228" s="1" t="s">
        <v>30</v>
      </c>
      <c r="F228" s="9">
        <f t="shared" si="13"/>
        <v>0</v>
      </c>
      <c r="G228" s="9">
        <f t="shared" si="14"/>
        <v>64</v>
      </c>
      <c r="H228" s="9">
        <f t="shared" si="15"/>
        <v>0</v>
      </c>
      <c r="I228" s="10">
        <f t="shared" si="16"/>
        <v>64</v>
      </c>
    </row>
    <row r="229" spans="1:9" x14ac:dyDescent="0.25">
      <c r="A229" s="1" t="s">
        <v>1689</v>
      </c>
      <c r="B229" s="1" t="s">
        <v>1690</v>
      </c>
      <c r="C229" s="1" t="s">
        <v>95</v>
      </c>
      <c r="D229" s="1" t="s">
        <v>1406</v>
      </c>
      <c r="E229" s="1" t="s">
        <v>30</v>
      </c>
      <c r="F229" s="9">
        <f t="shared" si="13"/>
        <v>0</v>
      </c>
      <c r="G229" s="9">
        <f t="shared" si="14"/>
        <v>22</v>
      </c>
      <c r="H229" s="9">
        <f t="shared" si="15"/>
        <v>0</v>
      </c>
      <c r="I229" s="10">
        <f t="shared" si="16"/>
        <v>22</v>
      </c>
    </row>
    <row r="230" spans="1:9" x14ac:dyDescent="0.25">
      <c r="A230" s="1" t="s">
        <v>1691</v>
      </c>
      <c r="B230" s="1" t="s">
        <v>1692</v>
      </c>
      <c r="C230" s="1" t="s">
        <v>95</v>
      </c>
      <c r="D230" s="1" t="s">
        <v>1406</v>
      </c>
      <c r="E230" s="1" t="s">
        <v>30</v>
      </c>
      <c r="F230" s="9">
        <f t="shared" si="13"/>
        <v>0</v>
      </c>
      <c r="G230" s="9">
        <f t="shared" si="14"/>
        <v>20</v>
      </c>
      <c r="H230" s="9">
        <f t="shared" si="15"/>
        <v>0</v>
      </c>
      <c r="I230" s="10">
        <f t="shared" si="16"/>
        <v>20</v>
      </c>
    </row>
    <row r="231" spans="1:9" x14ac:dyDescent="0.25">
      <c r="A231" s="1" t="s">
        <v>1693</v>
      </c>
      <c r="B231" s="1" t="s">
        <v>1694</v>
      </c>
      <c r="C231" s="1" t="s">
        <v>95</v>
      </c>
      <c r="D231" s="1" t="s">
        <v>1406</v>
      </c>
      <c r="E231" s="1" t="s">
        <v>30</v>
      </c>
      <c r="F231" s="9">
        <f t="shared" si="13"/>
        <v>0</v>
      </c>
      <c r="G231" s="9">
        <f t="shared" si="14"/>
        <v>22</v>
      </c>
      <c r="H231" s="9">
        <f t="shared" si="15"/>
        <v>0</v>
      </c>
      <c r="I231" s="10">
        <f t="shared" si="16"/>
        <v>22</v>
      </c>
    </row>
    <row r="232" spans="1:9" x14ac:dyDescent="0.25">
      <c r="A232" s="1" t="s">
        <v>1695</v>
      </c>
      <c r="B232" s="1" t="s">
        <v>1696</v>
      </c>
      <c r="C232" s="1" t="s">
        <v>95</v>
      </c>
      <c r="D232" s="1" t="s">
        <v>1406</v>
      </c>
      <c r="E232" s="1" t="s">
        <v>30</v>
      </c>
      <c r="F232" s="9">
        <f t="shared" si="13"/>
        <v>0</v>
      </c>
      <c r="G232" s="9">
        <f t="shared" si="14"/>
        <v>20</v>
      </c>
      <c r="H232" s="9">
        <f t="shared" si="15"/>
        <v>0</v>
      </c>
      <c r="I232" s="10">
        <f t="shared" si="16"/>
        <v>20</v>
      </c>
    </row>
    <row r="233" spans="1:9" x14ac:dyDescent="0.25">
      <c r="A233" s="1" t="s">
        <v>1697</v>
      </c>
      <c r="B233" s="1" t="s">
        <v>1698</v>
      </c>
      <c r="C233" s="1" t="s">
        <v>95</v>
      </c>
      <c r="D233" s="1" t="s">
        <v>1406</v>
      </c>
      <c r="E233" s="1" t="s">
        <v>30</v>
      </c>
      <c r="F233" s="9">
        <f t="shared" si="13"/>
        <v>0</v>
      </c>
      <c r="G233" s="9">
        <f t="shared" si="14"/>
        <v>1</v>
      </c>
      <c r="H233" s="9">
        <f t="shared" si="15"/>
        <v>0</v>
      </c>
      <c r="I233" s="10">
        <f t="shared" si="16"/>
        <v>1</v>
      </c>
    </row>
    <row r="234" spans="1:9" x14ac:dyDescent="0.25">
      <c r="A234" s="1" t="s">
        <v>1699</v>
      </c>
      <c r="B234" s="1" t="s">
        <v>1700</v>
      </c>
      <c r="C234" s="1" t="s">
        <v>95</v>
      </c>
      <c r="D234" s="1" t="s">
        <v>1406</v>
      </c>
      <c r="E234" s="1" t="s">
        <v>30</v>
      </c>
      <c r="F234" s="9">
        <f t="shared" si="13"/>
        <v>0</v>
      </c>
      <c r="G234" s="9">
        <f t="shared" si="14"/>
        <v>28</v>
      </c>
      <c r="H234" s="9">
        <f t="shared" si="15"/>
        <v>0</v>
      </c>
      <c r="I234" s="10">
        <f t="shared" si="16"/>
        <v>28</v>
      </c>
    </row>
    <row r="235" spans="1:9" x14ac:dyDescent="0.25">
      <c r="A235" s="1" t="s">
        <v>1701</v>
      </c>
      <c r="B235" s="1" t="s">
        <v>1702</v>
      </c>
      <c r="C235" s="1" t="s">
        <v>95</v>
      </c>
      <c r="D235" s="1" t="s">
        <v>1406</v>
      </c>
      <c r="E235" s="1" t="s">
        <v>30</v>
      </c>
      <c r="F235" s="9">
        <f t="shared" si="13"/>
        <v>0</v>
      </c>
      <c r="G235" s="9">
        <f t="shared" si="14"/>
        <v>265</v>
      </c>
      <c r="H235" s="9">
        <f t="shared" si="15"/>
        <v>0</v>
      </c>
      <c r="I235" s="10">
        <f t="shared" si="16"/>
        <v>265</v>
      </c>
    </row>
    <row r="236" spans="1:9" x14ac:dyDescent="0.25">
      <c r="A236" s="1" t="s">
        <v>1703</v>
      </c>
      <c r="B236" s="1" t="s">
        <v>1704</v>
      </c>
      <c r="C236" s="1" t="s">
        <v>95</v>
      </c>
      <c r="D236" s="1" t="s">
        <v>1406</v>
      </c>
      <c r="E236" s="1" t="s">
        <v>30</v>
      </c>
      <c r="F236" s="9">
        <f t="shared" si="13"/>
        <v>0</v>
      </c>
      <c r="G236" s="9">
        <f t="shared" si="14"/>
        <v>115</v>
      </c>
      <c r="H236" s="9">
        <f t="shared" si="15"/>
        <v>0</v>
      </c>
      <c r="I236" s="10">
        <f t="shared" si="16"/>
        <v>115</v>
      </c>
    </row>
    <row r="237" spans="1:9" x14ac:dyDescent="0.25">
      <c r="A237" s="1" t="s">
        <v>1705</v>
      </c>
      <c r="B237" s="1" t="s">
        <v>1706</v>
      </c>
      <c r="C237" s="1" t="s">
        <v>95</v>
      </c>
      <c r="D237" s="1" t="s">
        <v>1406</v>
      </c>
      <c r="E237" s="1" t="s">
        <v>30</v>
      </c>
      <c r="F237" s="9">
        <f t="shared" si="13"/>
        <v>0</v>
      </c>
      <c r="G237" s="9">
        <f t="shared" si="14"/>
        <v>5</v>
      </c>
      <c r="H237" s="9">
        <f t="shared" si="15"/>
        <v>0</v>
      </c>
      <c r="I237" s="10">
        <f t="shared" si="16"/>
        <v>5</v>
      </c>
    </row>
    <row r="238" spans="1:9" x14ac:dyDescent="0.25">
      <c r="A238" s="1" t="s">
        <v>1707</v>
      </c>
      <c r="B238" s="1" t="s">
        <v>1708</v>
      </c>
      <c r="C238" s="1" t="s">
        <v>95</v>
      </c>
      <c r="D238" s="1" t="s">
        <v>1406</v>
      </c>
      <c r="E238" s="1" t="s">
        <v>30</v>
      </c>
      <c r="F238" s="9">
        <f t="shared" si="13"/>
        <v>0</v>
      </c>
      <c r="G238" s="9">
        <f t="shared" si="14"/>
        <v>3</v>
      </c>
      <c r="H238" s="9">
        <f t="shared" si="15"/>
        <v>0</v>
      </c>
      <c r="I238" s="10">
        <f t="shared" si="16"/>
        <v>3</v>
      </c>
    </row>
    <row r="239" spans="1:9" x14ac:dyDescent="0.25">
      <c r="A239" s="1" t="s">
        <v>1709</v>
      </c>
      <c r="B239" s="1" t="s">
        <v>1710</v>
      </c>
      <c r="C239" s="1" t="s">
        <v>95</v>
      </c>
      <c r="D239" s="1" t="s">
        <v>1406</v>
      </c>
      <c r="E239" s="1" t="s">
        <v>30</v>
      </c>
      <c r="F239" s="9">
        <f t="shared" si="13"/>
        <v>0</v>
      </c>
      <c r="G239" s="9">
        <f t="shared" si="14"/>
        <v>5</v>
      </c>
      <c r="H239" s="9">
        <f t="shared" si="15"/>
        <v>0</v>
      </c>
      <c r="I239" s="10">
        <f t="shared" si="16"/>
        <v>5</v>
      </c>
    </row>
    <row r="240" spans="1:9" x14ac:dyDescent="0.25">
      <c r="A240" s="1" t="s">
        <v>1711</v>
      </c>
      <c r="B240" s="1" t="s">
        <v>1712</v>
      </c>
      <c r="C240" s="1" t="s">
        <v>95</v>
      </c>
      <c r="D240" s="1" t="s">
        <v>1406</v>
      </c>
      <c r="E240" s="1" t="s">
        <v>30</v>
      </c>
      <c r="F240" s="9">
        <f t="shared" si="13"/>
        <v>3</v>
      </c>
      <c r="G240" s="9">
        <f t="shared" si="14"/>
        <v>5</v>
      </c>
      <c r="H240" s="9">
        <f t="shared" si="15"/>
        <v>0</v>
      </c>
      <c r="I240" s="10">
        <f t="shared" si="16"/>
        <v>8</v>
      </c>
    </row>
    <row r="241" spans="1:9" x14ac:dyDescent="0.25">
      <c r="A241" s="1" t="s">
        <v>97</v>
      </c>
      <c r="B241" s="1" t="s">
        <v>96</v>
      </c>
      <c r="C241" s="1" t="s">
        <v>95</v>
      </c>
      <c r="D241" s="1" t="s">
        <v>1406</v>
      </c>
      <c r="E241" s="1" t="s">
        <v>30</v>
      </c>
      <c r="F241" s="9">
        <f t="shared" si="13"/>
        <v>0</v>
      </c>
      <c r="G241" s="9">
        <f t="shared" si="14"/>
        <v>10</v>
      </c>
      <c r="H241" s="9">
        <f t="shared" si="15"/>
        <v>0</v>
      </c>
      <c r="I241" s="10">
        <f t="shared" si="16"/>
        <v>10</v>
      </c>
    </row>
    <row r="242" spans="1:9" x14ac:dyDescent="0.25">
      <c r="A242" s="1" t="s">
        <v>1713</v>
      </c>
      <c r="B242" s="1" t="s">
        <v>1714</v>
      </c>
      <c r="C242" s="1" t="s">
        <v>95</v>
      </c>
      <c r="D242" s="1" t="s">
        <v>1406</v>
      </c>
      <c r="E242" s="1" t="s">
        <v>101</v>
      </c>
      <c r="F242" s="9">
        <f t="shared" si="13"/>
        <v>0</v>
      </c>
      <c r="G242" s="9">
        <f t="shared" si="14"/>
        <v>45</v>
      </c>
      <c r="H242" s="9">
        <f t="shared" si="15"/>
        <v>0</v>
      </c>
      <c r="I242" s="10">
        <f t="shared" si="16"/>
        <v>45</v>
      </c>
    </row>
    <row r="243" spans="1:9" x14ac:dyDescent="0.25">
      <c r="A243" s="1" t="s">
        <v>1715</v>
      </c>
      <c r="B243" s="1" t="s">
        <v>1716</v>
      </c>
      <c r="C243" s="1" t="s">
        <v>95</v>
      </c>
      <c r="D243" s="1" t="s">
        <v>1406</v>
      </c>
      <c r="E243" s="1" t="s">
        <v>101</v>
      </c>
      <c r="F243" s="9">
        <f t="shared" si="13"/>
        <v>0</v>
      </c>
      <c r="G243" s="9">
        <f t="shared" si="14"/>
        <v>3</v>
      </c>
      <c r="H243" s="9">
        <f t="shared" si="15"/>
        <v>0</v>
      </c>
      <c r="I243" s="10">
        <f t="shared" si="16"/>
        <v>3</v>
      </c>
    </row>
    <row r="244" spans="1:9" x14ac:dyDescent="0.25">
      <c r="A244" s="1" t="s">
        <v>1717</v>
      </c>
      <c r="B244" s="1" t="s">
        <v>1718</v>
      </c>
      <c r="C244" s="1" t="s">
        <v>95</v>
      </c>
      <c r="D244" s="1" t="s">
        <v>1406</v>
      </c>
      <c r="E244" s="1" t="s">
        <v>101</v>
      </c>
      <c r="F244" s="9">
        <f t="shared" si="13"/>
        <v>0</v>
      </c>
      <c r="G244" s="9">
        <f t="shared" si="14"/>
        <v>1</v>
      </c>
      <c r="H244" s="9">
        <f t="shared" si="15"/>
        <v>0</v>
      </c>
      <c r="I244" s="10">
        <f t="shared" si="16"/>
        <v>1</v>
      </c>
    </row>
    <row r="245" spans="1:9" x14ac:dyDescent="0.25">
      <c r="A245" s="1" t="s">
        <v>1719</v>
      </c>
      <c r="B245" s="1" t="s">
        <v>1720</v>
      </c>
      <c r="C245" s="1" t="s">
        <v>95</v>
      </c>
      <c r="D245" s="1" t="s">
        <v>1406</v>
      </c>
      <c r="E245" s="1" t="s">
        <v>101</v>
      </c>
      <c r="F245" s="9">
        <f t="shared" si="13"/>
        <v>0</v>
      </c>
      <c r="G245" s="9">
        <f t="shared" si="14"/>
        <v>1</v>
      </c>
      <c r="H245" s="9">
        <f t="shared" si="15"/>
        <v>0</v>
      </c>
      <c r="I245" s="10">
        <f t="shared" si="16"/>
        <v>1</v>
      </c>
    </row>
    <row r="246" spans="1:9" x14ac:dyDescent="0.25">
      <c r="A246" s="1" t="s">
        <v>103</v>
      </c>
      <c r="B246" s="1" t="s">
        <v>102</v>
      </c>
      <c r="C246" s="1" t="s">
        <v>95</v>
      </c>
      <c r="D246" s="1" t="s">
        <v>1406</v>
      </c>
      <c r="E246" s="1" t="s">
        <v>104</v>
      </c>
      <c r="F246" s="9">
        <f t="shared" si="13"/>
        <v>0</v>
      </c>
      <c r="G246" s="9">
        <f t="shared" si="14"/>
        <v>0</v>
      </c>
      <c r="H246" s="9">
        <f t="shared" si="15"/>
        <v>0</v>
      </c>
      <c r="I246" s="10">
        <f t="shared" si="16"/>
        <v>0</v>
      </c>
    </row>
    <row r="247" spans="1:9" x14ac:dyDescent="0.25">
      <c r="A247" s="1" t="s">
        <v>1721</v>
      </c>
      <c r="B247" s="1" t="s">
        <v>1722</v>
      </c>
      <c r="C247" s="1" t="s">
        <v>95</v>
      </c>
      <c r="D247" s="1" t="s">
        <v>1406</v>
      </c>
      <c r="E247" s="1" t="s">
        <v>104</v>
      </c>
      <c r="F247" s="9">
        <f t="shared" si="13"/>
        <v>0</v>
      </c>
      <c r="G247" s="9">
        <f t="shared" si="14"/>
        <v>1</v>
      </c>
      <c r="H247" s="9">
        <f t="shared" si="15"/>
        <v>0</v>
      </c>
      <c r="I247" s="10">
        <f t="shared" si="16"/>
        <v>1</v>
      </c>
    </row>
    <row r="248" spans="1:9" x14ac:dyDescent="0.25">
      <c r="A248" s="1" t="s">
        <v>106</v>
      </c>
      <c r="B248" s="1" t="s">
        <v>105</v>
      </c>
      <c r="C248" s="1" t="s">
        <v>95</v>
      </c>
      <c r="D248" s="1" t="s">
        <v>1406</v>
      </c>
      <c r="E248" s="1" t="s">
        <v>101</v>
      </c>
      <c r="F248" s="9">
        <f t="shared" si="13"/>
        <v>0</v>
      </c>
      <c r="G248" s="9">
        <f t="shared" si="14"/>
        <v>0</v>
      </c>
      <c r="H248" s="9">
        <f t="shared" si="15"/>
        <v>0</v>
      </c>
      <c r="I248" s="10">
        <f t="shared" si="16"/>
        <v>0</v>
      </c>
    </row>
    <row r="249" spans="1:9" x14ac:dyDescent="0.25">
      <c r="A249" s="1" t="s">
        <v>108</v>
      </c>
      <c r="B249" s="1" t="s">
        <v>107</v>
      </c>
      <c r="C249" s="1" t="s">
        <v>95</v>
      </c>
      <c r="D249" s="1" t="s">
        <v>1406</v>
      </c>
      <c r="E249" s="1" t="s">
        <v>101</v>
      </c>
      <c r="F249" s="9">
        <f t="shared" si="13"/>
        <v>0</v>
      </c>
      <c r="G249" s="9">
        <f t="shared" si="14"/>
        <v>14</v>
      </c>
      <c r="H249" s="9">
        <f t="shared" si="15"/>
        <v>0</v>
      </c>
      <c r="I249" s="10">
        <f t="shared" si="16"/>
        <v>14</v>
      </c>
    </row>
    <row r="250" spans="1:9" x14ac:dyDescent="0.25">
      <c r="A250" s="1" t="s">
        <v>1723</v>
      </c>
      <c r="B250" s="1" t="s">
        <v>1724</v>
      </c>
      <c r="C250" s="1" t="s">
        <v>95</v>
      </c>
      <c r="D250" s="1" t="s">
        <v>1406</v>
      </c>
      <c r="E250" s="1" t="s">
        <v>101</v>
      </c>
      <c r="F250" s="9">
        <f t="shared" si="13"/>
        <v>0</v>
      </c>
      <c r="G250" s="9">
        <f t="shared" si="14"/>
        <v>5</v>
      </c>
      <c r="H250" s="9">
        <f t="shared" si="15"/>
        <v>0</v>
      </c>
      <c r="I250" s="10">
        <f t="shared" si="16"/>
        <v>5</v>
      </c>
    </row>
    <row r="251" spans="1:9" x14ac:dyDescent="0.25">
      <c r="A251" s="1" t="s">
        <v>1725</v>
      </c>
      <c r="B251" s="1" t="s">
        <v>1726</v>
      </c>
      <c r="C251" s="1" t="s">
        <v>95</v>
      </c>
      <c r="D251" s="1" t="s">
        <v>1406</v>
      </c>
      <c r="E251" s="1" t="s">
        <v>101</v>
      </c>
      <c r="F251" s="9">
        <f t="shared" si="13"/>
        <v>0</v>
      </c>
      <c r="G251" s="9">
        <f t="shared" si="14"/>
        <v>2</v>
      </c>
      <c r="H251" s="9">
        <f t="shared" si="15"/>
        <v>0</v>
      </c>
      <c r="I251" s="10">
        <f t="shared" si="16"/>
        <v>2</v>
      </c>
    </row>
    <row r="252" spans="1:9" x14ac:dyDescent="0.25">
      <c r="A252" s="1" t="s">
        <v>1727</v>
      </c>
      <c r="B252" s="1" t="s">
        <v>1728</v>
      </c>
      <c r="C252" s="1" t="s">
        <v>95</v>
      </c>
      <c r="D252" s="1" t="s">
        <v>1406</v>
      </c>
      <c r="E252" s="1" t="s">
        <v>101</v>
      </c>
      <c r="F252" s="9">
        <f t="shared" si="13"/>
        <v>2</v>
      </c>
      <c r="G252" s="9">
        <f t="shared" si="14"/>
        <v>1</v>
      </c>
      <c r="H252" s="9">
        <f t="shared" si="15"/>
        <v>0</v>
      </c>
      <c r="I252" s="10">
        <f t="shared" si="16"/>
        <v>3</v>
      </c>
    </row>
    <row r="253" spans="1:9" x14ac:dyDescent="0.25">
      <c r="A253" s="1" t="s">
        <v>1729</v>
      </c>
      <c r="B253" s="1" t="s">
        <v>1730</v>
      </c>
      <c r="C253" s="1" t="s">
        <v>95</v>
      </c>
      <c r="D253" s="1" t="s">
        <v>1406</v>
      </c>
      <c r="E253" s="1" t="s">
        <v>101</v>
      </c>
      <c r="F253" s="9">
        <f t="shared" si="13"/>
        <v>0</v>
      </c>
      <c r="G253" s="9">
        <f t="shared" si="14"/>
        <v>0</v>
      </c>
      <c r="H253" s="9">
        <f t="shared" si="15"/>
        <v>0</v>
      </c>
      <c r="I253" s="10">
        <f t="shared" si="16"/>
        <v>0</v>
      </c>
    </row>
    <row r="254" spans="1:9" x14ac:dyDescent="0.25">
      <c r="A254" s="1" t="s">
        <v>1731</v>
      </c>
      <c r="B254" s="1" t="s">
        <v>1732</v>
      </c>
      <c r="C254" s="1" t="s">
        <v>95</v>
      </c>
      <c r="D254" s="1" t="s">
        <v>1406</v>
      </c>
      <c r="E254" s="1" t="s">
        <v>101</v>
      </c>
      <c r="F254" s="9">
        <f t="shared" si="13"/>
        <v>0</v>
      </c>
      <c r="G254" s="9">
        <f t="shared" si="14"/>
        <v>8</v>
      </c>
      <c r="H254" s="9">
        <f t="shared" si="15"/>
        <v>0</v>
      </c>
      <c r="I254" s="10">
        <f t="shared" si="16"/>
        <v>8</v>
      </c>
    </row>
    <row r="255" spans="1:9" x14ac:dyDescent="0.25">
      <c r="A255" s="1" t="s">
        <v>1733</v>
      </c>
      <c r="B255" s="1" t="s">
        <v>1734</v>
      </c>
      <c r="C255" s="1" t="s">
        <v>95</v>
      </c>
      <c r="D255" s="1" t="s">
        <v>1406</v>
      </c>
      <c r="E255" s="1" t="s">
        <v>101</v>
      </c>
      <c r="F255" s="9">
        <f t="shared" si="13"/>
        <v>0</v>
      </c>
      <c r="G255" s="9">
        <f t="shared" si="14"/>
        <v>3</v>
      </c>
      <c r="H255" s="9">
        <f t="shared" si="15"/>
        <v>0</v>
      </c>
      <c r="I255" s="10">
        <f t="shared" si="16"/>
        <v>3</v>
      </c>
    </row>
    <row r="256" spans="1:9" x14ac:dyDescent="0.25">
      <c r="A256" s="1" t="s">
        <v>1735</v>
      </c>
      <c r="B256" s="1" t="s">
        <v>1736</v>
      </c>
      <c r="C256" s="1" t="s">
        <v>95</v>
      </c>
      <c r="D256" s="1" t="s">
        <v>1406</v>
      </c>
      <c r="E256" s="1" t="s">
        <v>101</v>
      </c>
      <c r="F256" s="9">
        <f t="shared" si="13"/>
        <v>0</v>
      </c>
      <c r="G256" s="9">
        <f t="shared" si="14"/>
        <v>11</v>
      </c>
      <c r="H256" s="9">
        <f t="shared" si="15"/>
        <v>0</v>
      </c>
      <c r="I256" s="10">
        <f t="shared" si="16"/>
        <v>11</v>
      </c>
    </row>
    <row r="257" spans="1:9" x14ac:dyDescent="0.25">
      <c r="A257" s="1" t="s">
        <v>1737</v>
      </c>
      <c r="B257" s="1" t="s">
        <v>1738</v>
      </c>
      <c r="C257" s="1" t="s">
        <v>95</v>
      </c>
      <c r="D257" s="1" t="s">
        <v>1406</v>
      </c>
      <c r="E257" s="1" t="s">
        <v>101</v>
      </c>
      <c r="F257" s="9">
        <f t="shared" si="13"/>
        <v>0</v>
      </c>
      <c r="G257" s="9">
        <f t="shared" si="14"/>
        <v>10</v>
      </c>
      <c r="H257" s="9">
        <f t="shared" si="15"/>
        <v>0</v>
      </c>
      <c r="I257" s="10">
        <f t="shared" si="16"/>
        <v>10</v>
      </c>
    </row>
    <row r="258" spans="1:9" x14ac:dyDescent="0.25">
      <c r="A258" s="1" t="s">
        <v>1739</v>
      </c>
      <c r="B258" s="1" t="s">
        <v>1740</v>
      </c>
      <c r="C258" s="1" t="s">
        <v>95</v>
      </c>
      <c r="D258" s="1" t="s">
        <v>1406</v>
      </c>
      <c r="E258" s="1" t="s">
        <v>101</v>
      </c>
      <c r="F258" s="9">
        <f t="shared" ref="F258:F321" si="17">IFERROR(VLOOKUP(A258,condi,8,0),0)</f>
        <v>0</v>
      </c>
      <c r="G258" s="9">
        <f t="shared" ref="G258:G321" si="18">IFERROR(VLOOKUP(A258,maqui,8,0),0)</f>
        <v>20</v>
      </c>
      <c r="H258" s="9">
        <f t="shared" ref="H258:H321" si="19">IFERROR(VLOOKUP(A258,ascint,8,0),0)</f>
        <v>0</v>
      </c>
      <c r="I258" s="10">
        <f t="shared" si="16"/>
        <v>20</v>
      </c>
    </row>
    <row r="259" spans="1:9" x14ac:dyDescent="0.25">
      <c r="A259" s="1" t="s">
        <v>1741</v>
      </c>
      <c r="B259" s="1" t="s">
        <v>1742</v>
      </c>
      <c r="C259" s="1" t="s">
        <v>95</v>
      </c>
      <c r="D259" s="1" t="s">
        <v>1406</v>
      </c>
      <c r="E259" s="1" t="s">
        <v>101</v>
      </c>
      <c r="F259" s="9">
        <f t="shared" si="17"/>
        <v>0</v>
      </c>
      <c r="G259" s="9">
        <f t="shared" si="18"/>
        <v>3</v>
      </c>
      <c r="H259" s="9">
        <f t="shared" si="19"/>
        <v>0</v>
      </c>
      <c r="I259" s="10">
        <f t="shared" si="16"/>
        <v>3</v>
      </c>
    </row>
    <row r="260" spans="1:9" x14ac:dyDescent="0.25">
      <c r="A260" s="1" t="s">
        <v>1743</v>
      </c>
      <c r="B260" s="1" t="s">
        <v>1744</v>
      </c>
      <c r="C260" s="1" t="s">
        <v>95</v>
      </c>
      <c r="D260" s="1" t="s">
        <v>1406</v>
      </c>
      <c r="E260" s="1" t="s">
        <v>101</v>
      </c>
      <c r="F260" s="9">
        <f t="shared" si="17"/>
        <v>0</v>
      </c>
      <c r="G260" s="9">
        <f t="shared" si="18"/>
        <v>67</v>
      </c>
      <c r="H260" s="9">
        <f t="shared" si="19"/>
        <v>0</v>
      </c>
      <c r="I260" s="10">
        <f t="shared" si="16"/>
        <v>67</v>
      </c>
    </row>
    <row r="261" spans="1:9" x14ac:dyDescent="0.25">
      <c r="A261" s="1" t="s">
        <v>1745</v>
      </c>
      <c r="B261" s="1" t="s">
        <v>1746</v>
      </c>
      <c r="C261" s="1" t="s">
        <v>95</v>
      </c>
      <c r="D261" s="1" t="s">
        <v>1406</v>
      </c>
      <c r="E261" s="1" t="s">
        <v>101</v>
      </c>
      <c r="F261" s="9">
        <f t="shared" si="17"/>
        <v>0</v>
      </c>
      <c r="G261" s="9">
        <f t="shared" si="18"/>
        <v>64</v>
      </c>
      <c r="H261" s="9">
        <f t="shared" si="19"/>
        <v>0</v>
      </c>
      <c r="I261" s="10">
        <f t="shared" si="16"/>
        <v>64</v>
      </c>
    </row>
    <row r="262" spans="1:9" x14ac:dyDescent="0.25">
      <c r="A262" s="1" t="s">
        <v>1747</v>
      </c>
      <c r="B262" s="1" t="s">
        <v>1748</v>
      </c>
      <c r="C262" s="1" t="s">
        <v>95</v>
      </c>
      <c r="D262" s="1" t="s">
        <v>1406</v>
      </c>
      <c r="E262" s="1" t="s">
        <v>101</v>
      </c>
      <c r="F262" s="9">
        <f t="shared" si="17"/>
        <v>0</v>
      </c>
      <c r="G262" s="9">
        <f t="shared" si="18"/>
        <v>11</v>
      </c>
      <c r="H262" s="9">
        <f t="shared" si="19"/>
        <v>0</v>
      </c>
      <c r="I262" s="10">
        <f t="shared" si="16"/>
        <v>11</v>
      </c>
    </row>
    <row r="263" spans="1:9" x14ac:dyDescent="0.25">
      <c r="A263" s="1" t="s">
        <v>1749</v>
      </c>
      <c r="B263" s="1" t="s">
        <v>1750</v>
      </c>
      <c r="C263" s="1" t="s">
        <v>95</v>
      </c>
      <c r="D263" s="1" t="s">
        <v>1406</v>
      </c>
      <c r="E263" s="1" t="s">
        <v>101</v>
      </c>
      <c r="F263" s="9">
        <f t="shared" si="17"/>
        <v>0</v>
      </c>
      <c r="G263" s="9">
        <f t="shared" si="18"/>
        <v>5</v>
      </c>
      <c r="H263" s="9">
        <f t="shared" si="19"/>
        <v>0</v>
      </c>
      <c r="I263" s="10">
        <f t="shared" si="16"/>
        <v>5</v>
      </c>
    </row>
    <row r="264" spans="1:9" x14ac:dyDescent="0.25">
      <c r="A264" s="1" t="s">
        <v>1751</v>
      </c>
      <c r="B264" s="1" t="s">
        <v>1752</v>
      </c>
      <c r="C264" s="1" t="s">
        <v>95</v>
      </c>
      <c r="D264" s="1" t="s">
        <v>1406</v>
      </c>
      <c r="E264" s="1" t="s">
        <v>101</v>
      </c>
      <c r="F264" s="9">
        <f t="shared" si="17"/>
        <v>0</v>
      </c>
      <c r="G264" s="9">
        <f t="shared" si="18"/>
        <v>4</v>
      </c>
      <c r="H264" s="9">
        <f t="shared" si="19"/>
        <v>0</v>
      </c>
      <c r="I264" s="10">
        <f t="shared" ref="I264:I327" si="20">+F264+G264+H264</f>
        <v>4</v>
      </c>
    </row>
    <row r="265" spans="1:9" x14ac:dyDescent="0.25">
      <c r="A265" s="1" t="s">
        <v>1753</v>
      </c>
      <c r="B265" s="1" t="s">
        <v>1754</v>
      </c>
      <c r="C265" s="1" t="s">
        <v>95</v>
      </c>
      <c r="D265" s="1" t="s">
        <v>1406</v>
      </c>
      <c r="E265" s="1" t="s">
        <v>101</v>
      </c>
      <c r="F265" s="9">
        <f t="shared" si="17"/>
        <v>0</v>
      </c>
      <c r="G265" s="9">
        <f t="shared" si="18"/>
        <v>9</v>
      </c>
      <c r="H265" s="9">
        <f t="shared" si="19"/>
        <v>0</v>
      </c>
      <c r="I265" s="10">
        <f t="shared" si="20"/>
        <v>9</v>
      </c>
    </row>
    <row r="266" spans="1:9" x14ac:dyDescent="0.25">
      <c r="A266" s="1" t="s">
        <v>1755</v>
      </c>
      <c r="B266" s="1" t="s">
        <v>1756</v>
      </c>
      <c r="C266" s="1" t="s">
        <v>95</v>
      </c>
      <c r="D266" s="1" t="s">
        <v>1406</v>
      </c>
      <c r="E266" s="1" t="s">
        <v>101</v>
      </c>
      <c r="F266" s="9">
        <f t="shared" si="17"/>
        <v>0</v>
      </c>
      <c r="G266" s="9">
        <f t="shared" si="18"/>
        <v>7</v>
      </c>
      <c r="H266" s="9">
        <f t="shared" si="19"/>
        <v>0</v>
      </c>
      <c r="I266" s="10">
        <f t="shared" si="20"/>
        <v>7</v>
      </c>
    </row>
    <row r="267" spans="1:9" x14ac:dyDescent="0.25">
      <c r="A267" s="1" t="s">
        <v>1757</v>
      </c>
      <c r="B267" s="1" t="s">
        <v>1758</v>
      </c>
      <c r="C267" s="1" t="s">
        <v>95</v>
      </c>
      <c r="D267" s="1" t="s">
        <v>1406</v>
      </c>
      <c r="E267" s="1" t="s">
        <v>101</v>
      </c>
      <c r="F267" s="9">
        <f t="shared" si="17"/>
        <v>0</v>
      </c>
      <c r="G267" s="9">
        <f t="shared" si="18"/>
        <v>4</v>
      </c>
      <c r="H267" s="9">
        <f t="shared" si="19"/>
        <v>0</v>
      </c>
      <c r="I267" s="10">
        <f t="shared" si="20"/>
        <v>4</v>
      </c>
    </row>
    <row r="268" spans="1:9" x14ac:dyDescent="0.25">
      <c r="A268" s="1" t="s">
        <v>1759</v>
      </c>
      <c r="B268" s="1" t="s">
        <v>1760</v>
      </c>
      <c r="C268" s="1" t="s">
        <v>95</v>
      </c>
      <c r="D268" s="1" t="s">
        <v>1406</v>
      </c>
      <c r="E268" s="1" t="s">
        <v>101</v>
      </c>
      <c r="F268" s="9">
        <f t="shared" si="17"/>
        <v>0</v>
      </c>
      <c r="G268" s="9">
        <f t="shared" si="18"/>
        <v>10</v>
      </c>
      <c r="H268" s="9">
        <f t="shared" si="19"/>
        <v>0</v>
      </c>
      <c r="I268" s="10">
        <f t="shared" si="20"/>
        <v>10</v>
      </c>
    </row>
    <row r="269" spans="1:9" x14ac:dyDescent="0.25">
      <c r="A269" s="1" t="s">
        <v>1761</v>
      </c>
      <c r="B269" s="1" t="s">
        <v>1762</v>
      </c>
      <c r="C269" s="1" t="s">
        <v>95</v>
      </c>
      <c r="D269" s="1" t="s">
        <v>1406</v>
      </c>
      <c r="E269" s="1" t="s">
        <v>101</v>
      </c>
      <c r="F269" s="9">
        <f t="shared" si="17"/>
        <v>0</v>
      </c>
      <c r="G269" s="9">
        <f t="shared" si="18"/>
        <v>4</v>
      </c>
      <c r="H269" s="9">
        <f t="shared" si="19"/>
        <v>0</v>
      </c>
      <c r="I269" s="10">
        <f t="shared" si="20"/>
        <v>4</v>
      </c>
    </row>
    <row r="270" spans="1:9" x14ac:dyDescent="0.25">
      <c r="A270" s="1" t="s">
        <v>1763</v>
      </c>
      <c r="B270" s="1" t="s">
        <v>1764</v>
      </c>
      <c r="C270" s="1" t="s">
        <v>95</v>
      </c>
      <c r="D270" s="1" t="s">
        <v>1406</v>
      </c>
      <c r="E270" s="1" t="s">
        <v>101</v>
      </c>
      <c r="F270" s="9">
        <f t="shared" si="17"/>
        <v>0</v>
      </c>
      <c r="G270" s="9">
        <f t="shared" si="18"/>
        <v>0</v>
      </c>
      <c r="H270" s="9">
        <f t="shared" si="19"/>
        <v>0</v>
      </c>
      <c r="I270" s="10">
        <f t="shared" si="20"/>
        <v>0</v>
      </c>
    </row>
    <row r="271" spans="1:9" x14ac:dyDescent="0.25">
      <c r="A271" s="1" t="s">
        <v>1765</v>
      </c>
      <c r="B271" s="1" t="s">
        <v>1766</v>
      </c>
      <c r="C271" s="1" t="s">
        <v>95</v>
      </c>
      <c r="D271" s="1" t="s">
        <v>1406</v>
      </c>
      <c r="E271" s="1" t="s">
        <v>101</v>
      </c>
      <c r="F271" s="9">
        <f t="shared" si="17"/>
        <v>0</v>
      </c>
      <c r="G271" s="9">
        <f t="shared" si="18"/>
        <v>8</v>
      </c>
      <c r="H271" s="9">
        <f t="shared" si="19"/>
        <v>0</v>
      </c>
      <c r="I271" s="10">
        <f t="shared" si="20"/>
        <v>8</v>
      </c>
    </row>
    <row r="272" spans="1:9" x14ac:dyDescent="0.25">
      <c r="A272" s="1" t="s">
        <v>1767</v>
      </c>
      <c r="B272" s="1" t="s">
        <v>1768</v>
      </c>
      <c r="C272" s="1" t="s">
        <v>95</v>
      </c>
      <c r="D272" s="1" t="s">
        <v>1406</v>
      </c>
      <c r="E272" s="1" t="s">
        <v>101</v>
      </c>
      <c r="F272" s="9">
        <f t="shared" si="17"/>
        <v>0</v>
      </c>
      <c r="G272" s="9">
        <f t="shared" si="18"/>
        <v>2</v>
      </c>
      <c r="H272" s="9">
        <f t="shared" si="19"/>
        <v>0</v>
      </c>
      <c r="I272" s="10">
        <f t="shared" si="20"/>
        <v>2</v>
      </c>
    </row>
    <row r="273" spans="1:9" x14ac:dyDescent="0.25">
      <c r="A273" s="1" t="s">
        <v>1769</v>
      </c>
      <c r="B273" s="1" t="s">
        <v>1770</v>
      </c>
      <c r="C273" s="1" t="s">
        <v>95</v>
      </c>
      <c r="D273" s="1" t="s">
        <v>1406</v>
      </c>
      <c r="E273" s="1" t="s">
        <v>101</v>
      </c>
      <c r="F273" s="9">
        <f t="shared" si="17"/>
        <v>0</v>
      </c>
      <c r="G273" s="9">
        <f t="shared" si="18"/>
        <v>2</v>
      </c>
      <c r="H273" s="9">
        <f t="shared" si="19"/>
        <v>0</v>
      </c>
      <c r="I273" s="10">
        <f t="shared" si="20"/>
        <v>2</v>
      </c>
    </row>
    <row r="274" spans="1:9" x14ac:dyDescent="0.25">
      <c r="A274" s="1" t="s">
        <v>1771</v>
      </c>
      <c r="B274" s="1" t="s">
        <v>1772</v>
      </c>
      <c r="C274" s="1" t="s">
        <v>95</v>
      </c>
      <c r="D274" s="1" t="s">
        <v>1406</v>
      </c>
      <c r="E274" s="1" t="s">
        <v>30</v>
      </c>
      <c r="F274" s="9">
        <f t="shared" si="17"/>
        <v>0</v>
      </c>
      <c r="G274" s="9">
        <f t="shared" si="18"/>
        <v>3</v>
      </c>
      <c r="H274" s="9">
        <f t="shared" si="19"/>
        <v>0</v>
      </c>
      <c r="I274" s="10">
        <f t="shared" si="20"/>
        <v>3</v>
      </c>
    </row>
    <row r="275" spans="1:9" x14ac:dyDescent="0.25">
      <c r="A275" s="1" t="s">
        <v>1773</v>
      </c>
      <c r="B275" s="1" t="s">
        <v>1774</v>
      </c>
      <c r="C275" s="1" t="s">
        <v>95</v>
      </c>
      <c r="D275" s="1" t="s">
        <v>1406</v>
      </c>
      <c r="E275" s="1" t="s">
        <v>30</v>
      </c>
      <c r="F275" s="9">
        <f t="shared" si="17"/>
        <v>0</v>
      </c>
      <c r="G275" s="9">
        <f t="shared" si="18"/>
        <v>2</v>
      </c>
      <c r="H275" s="9">
        <f t="shared" si="19"/>
        <v>0</v>
      </c>
      <c r="I275" s="10">
        <f t="shared" si="20"/>
        <v>2</v>
      </c>
    </row>
    <row r="276" spans="1:9" x14ac:dyDescent="0.25">
      <c r="A276" s="1" t="s">
        <v>1775</v>
      </c>
      <c r="B276" s="1" t="s">
        <v>1776</v>
      </c>
      <c r="C276" s="1" t="s">
        <v>95</v>
      </c>
      <c r="D276" s="1" t="s">
        <v>1406</v>
      </c>
      <c r="E276" s="1" t="s">
        <v>30</v>
      </c>
      <c r="F276" s="9">
        <f t="shared" si="17"/>
        <v>0</v>
      </c>
      <c r="G276" s="9">
        <f t="shared" si="18"/>
        <v>6</v>
      </c>
      <c r="H276" s="9">
        <f t="shared" si="19"/>
        <v>0</v>
      </c>
      <c r="I276" s="10">
        <f t="shared" si="20"/>
        <v>6</v>
      </c>
    </row>
    <row r="277" spans="1:9" x14ac:dyDescent="0.25">
      <c r="A277" s="1" t="s">
        <v>1777</v>
      </c>
      <c r="B277" s="1" t="s">
        <v>1778</v>
      </c>
      <c r="C277" s="1" t="s">
        <v>95</v>
      </c>
      <c r="D277" s="1" t="s">
        <v>1406</v>
      </c>
      <c r="E277" s="1" t="s">
        <v>30</v>
      </c>
      <c r="F277" s="9">
        <f t="shared" si="17"/>
        <v>0</v>
      </c>
      <c r="G277" s="9">
        <f t="shared" si="18"/>
        <v>9</v>
      </c>
      <c r="H277" s="9">
        <f t="shared" si="19"/>
        <v>0</v>
      </c>
      <c r="I277" s="10">
        <f t="shared" si="20"/>
        <v>9</v>
      </c>
    </row>
    <row r="278" spans="1:9" x14ac:dyDescent="0.25">
      <c r="A278" s="1" t="s">
        <v>1779</v>
      </c>
      <c r="B278" s="1" t="s">
        <v>1780</v>
      </c>
      <c r="C278" s="1" t="s">
        <v>95</v>
      </c>
      <c r="D278" s="1" t="s">
        <v>1406</v>
      </c>
      <c r="E278" s="1" t="s">
        <v>30</v>
      </c>
      <c r="F278" s="9">
        <f t="shared" si="17"/>
        <v>10</v>
      </c>
      <c r="G278" s="9">
        <f t="shared" si="18"/>
        <v>5</v>
      </c>
      <c r="H278" s="9">
        <f t="shared" si="19"/>
        <v>0</v>
      </c>
      <c r="I278" s="10">
        <f t="shared" si="20"/>
        <v>15</v>
      </c>
    </row>
    <row r="279" spans="1:9" x14ac:dyDescent="0.25">
      <c r="A279" s="1" t="s">
        <v>1781</v>
      </c>
      <c r="B279" s="1" t="s">
        <v>1782</v>
      </c>
      <c r="C279" s="1" t="s">
        <v>95</v>
      </c>
      <c r="D279" s="1" t="s">
        <v>1406</v>
      </c>
      <c r="E279" s="1" t="s">
        <v>30</v>
      </c>
      <c r="F279" s="9">
        <f t="shared" si="17"/>
        <v>0</v>
      </c>
      <c r="G279" s="9">
        <f t="shared" si="18"/>
        <v>44</v>
      </c>
      <c r="H279" s="9">
        <f t="shared" si="19"/>
        <v>0</v>
      </c>
      <c r="I279" s="10">
        <f t="shared" si="20"/>
        <v>44</v>
      </c>
    </row>
    <row r="280" spans="1:9" x14ac:dyDescent="0.25">
      <c r="A280" s="1" t="s">
        <v>1783</v>
      </c>
      <c r="B280" s="1" t="s">
        <v>1784</v>
      </c>
      <c r="C280" s="1" t="s">
        <v>95</v>
      </c>
      <c r="D280" s="1" t="s">
        <v>1406</v>
      </c>
      <c r="E280" s="1" t="s">
        <v>30</v>
      </c>
      <c r="F280" s="9">
        <f t="shared" si="17"/>
        <v>0</v>
      </c>
      <c r="G280" s="9">
        <f t="shared" si="18"/>
        <v>4</v>
      </c>
      <c r="H280" s="9">
        <f t="shared" si="19"/>
        <v>0</v>
      </c>
      <c r="I280" s="10">
        <f t="shared" si="20"/>
        <v>4</v>
      </c>
    </row>
    <row r="281" spans="1:9" x14ac:dyDescent="0.25">
      <c r="A281" s="1" t="s">
        <v>1785</v>
      </c>
      <c r="B281" s="1" t="s">
        <v>1786</v>
      </c>
      <c r="C281" s="1" t="s">
        <v>95</v>
      </c>
      <c r="D281" s="1" t="s">
        <v>1406</v>
      </c>
      <c r="E281" s="1" t="s">
        <v>30</v>
      </c>
      <c r="F281" s="9">
        <f t="shared" si="17"/>
        <v>0</v>
      </c>
      <c r="G281" s="9">
        <f t="shared" si="18"/>
        <v>20</v>
      </c>
      <c r="H281" s="9">
        <f t="shared" si="19"/>
        <v>0</v>
      </c>
      <c r="I281" s="10">
        <f t="shared" si="20"/>
        <v>20</v>
      </c>
    </row>
    <row r="282" spans="1:9" x14ac:dyDescent="0.25">
      <c r="A282" s="1" t="s">
        <v>1787</v>
      </c>
      <c r="B282" s="1" t="s">
        <v>1788</v>
      </c>
      <c r="C282" s="1" t="s">
        <v>95</v>
      </c>
      <c r="D282" s="1" t="s">
        <v>1406</v>
      </c>
      <c r="E282" s="1" t="s">
        <v>30</v>
      </c>
      <c r="F282" s="9">
        <f t="shared" si="17"/>
        <v>0</v>
      </c>
      <c r="G282" s="9">
        <f t="shared" si="18"/>
        <v>20</v>
      </c>
      <c r="H282" s="9">
        <f t="shared" si="19"/>
        <v>0</v>
      </c>
      <c r="I282" s="10">
        <f t="shared" si="20"/>
        <v>20</v>
      </c>
    </row>
    <row r="283" spans="1:9" x14ac:dyDescent="0.25">
      <c r="A283" s="1" t="s">
        <v>1789</v>
      </c>
      <c r="B283" s="1" t="s">
        <v>1790</v>
      </c>
      <c r="C283" s="1" t="s">
        <v>95</v>
      </c>
      <c r="D283" s="1" t="s">
        <v>1406</v>
      </c>
      <c r="E283" s="1" t="s">
        <v>30</v>
      </c>
      <c r="F283" s="9">
        <f t="shared" si="17"/>
        <v>0</v>
      </c>
      <c r="G283" s="9">
        <f t="shared" si="18"/>
        <v>24</v>
      </c>
      <c r="H283" s="9">
        <f t="shared" si="19"/>
        <v>0</v>
      </c>
      <c r="I283" s="10">
        <f t="shared" si="20"/>
        <v>24</v>
      </c>
    </row>
    <row r="284" spans="1:9" x14ac:dyDescent="0.25">
      <c r="A284" s="1" t="s">
        <v>1791</v>
      </c>
      <c r="B284" s="1" t="s">
        <v>1792</v>
      </c>
      <c r="C284" s="1" t="s">
        <v>95</v>
      </c>
      <c r="D284" s="1" t="s">
        <v>1406</v>
      </c>
      <c r="E284" s="1" t="s">
        <v>30</v>
      </c>
      <c r="F284" s="9">
        <f t="shared" si="17"/>
        <v>0</v>
      </c>
      <c r="G284" s="9">
        <f t="shared" si="18"/>
        <v>20</v>
      </c>
      <c r="H284" s="9">
        <f t="shared" si="19"/>
        <v>0</v>
      </c>
      <c r="I284" s="10">
        <f t="shared" si="20"/>
        <v>20</v>
      </c>
    </row>
    <row r="285" spans="1:9" x14ac:dyDescent="0.25">
      <c r="A285" s="1" t="s">
        <v>1793</v>
      </c>
      <c r="B285" s="1" t="s">
        <v>1794</v>
      </c>
      <c r="C285" s="1" t="s">
        <v>95</v>
      </c>
      <c r="D285" s="1" t="s">
        <v>1406</v>
      </c>
      <c r="E285" s="1" t="s">
        <v>30</v>
      </c>
      <c r="F285" s="9">
        <f t="shared" si="17"/>
        <v>0</v>
      </c>
      <c r="G285" s="9">
        <f t="shared" si="18"/>
        <v>25</v>
      </c>
      <c r="H285" s="9">
        <f t="shared" si="19"/>
        <v>0</v>
      </c>
      <c r="I285" s="10">
        <f t="shared" si="20"/>
        <v>25</v>
      </c>
    </row>
    <row r="286" spans="1:9" x14ac:dyDescent="0.25">
      <c r="A286" s="1" t="s">
        <v>1795</v>
      </c>
      <c r="B286" s="1" t="s">
        <v>1796</v>
      </c>
      <c r="C286" s="1" t="s">
        <v>95</v>
      </c>
      <c r="D286" s="1" t="s">
        <v>1406</v>
      </c>
      <c r="E286" s="1" t="s">
        <v>30</v>
      </c>
      <c r="F286" s="9">
        <f t="shared" si="17"/>
        <v>0</v>
      </c>
      <c r="G286" s="9">
        <f t="shared" si="18"/>
        <v>12</v>
      </c>
      <c r="H286" s="9">
        <f t="shared" si="19"/>
        <v>0</v>
      </c>
      <c r="I286" s="10">
        <f t="shared" si="20"/>
        <v>12</v>
      </c>
    </row>
    <row r="287" spans="1:9" x14ac:dyDescent="0.25">
      <c r="A287" s="1" t="s">
        <v>1797</v>
      </c>
      <c r="B287" s="1" t="s">
        <v>1798</v>
      </c>
      <c r="C287" s="1" t="s">
        <v>95</v>
      </c>
      <c r="D287" s="1" t="s">
        <v>1406</v>
      </c>
      <c r="E287" s="1" t="s">
        <v>30</v>
      </c>
      <c r="F287" s="9">
        <f t="shared" si="17"/>
        <v>0</v>
      </c>
      <c r="G287" s="9">
        <f t="shared" si="18"/>
        <v>8</v>
      </c>
      <c r="H287" s="9">
        <f t="shared" si="19"/>
        <v>0</v>
      </c>
      <c r="I287" s="10">
        <f t="shared" si="20"/>
        <v>8</v>
      </c>
    </row>
    <row r="288" spans="1:9" x14ac:dyDescent="0.25">
      <c r="A288" s="1" t="s">
        <v>1799</v>
      </c>
      <c r="B288" s="1" t="s">
        <v>1800</v>
      </c>
      <c r="C288" s="1" t="s">
        <v>95</v>
      </c>
      <c r="D288" s="1" t="s">
        <v>1406</v>
      </c>
      <c r="E288" s="1" t="s">
        <v>30</v>
      </c>
      <c r="F288" s="9">
        <f t="shared" si="17"/>
        <v>0</v>
      </c>
      <c r="G288" s="9">
        <f t="shared" si="18"/>
        <v>6</v>
      </c>
      <c r="H288" s="9">
        <f t="shared" si="19"/>
        <v>0</v>
      </c>
      <c r="I288" s="10">
        <f t="shared" si="20"/>
        <v>6</v>
      </c>
    </row>
    <row r="289" spans="1:9" x14ac:dyDescent="0.25">
      <c r="A289" s="1" t="s">
        <v>1801</v>
      </c>
      <c r="B289" s="1" t="s">
        <v>1802</v>
      </c>
      <c r="C289" s="1" t="s">
        <v>95</v>
      </c>
      <c r="D289" s="1" t="s">
        <v>1406</v>
      </c>
      <c r="E289" s="1" t="s">
        <v>30</v>
      </c>
      <c r="F289" s="9">
        <f t="shared" si="17"/>
        <v>0</v>
      </c>
      <c r="G289" s="9">
        <f t="shared" si="18"/>
        <v>382</v>
      </c>
      <c r="H289" s="9">
        <f t="shared" si="19"/>
        <v>0</v>
      </c>
      <c r="I289" s="10">
        <f t="shared" si="20"/>
        <v>382</v>
      </c>
    </row>
    <row r="290" spans="1:9" x14ac:dyDescent="0.25">
      <c r="A290" s="1" t="s">
        <v>1803</v>
      </c>
      <c r="B290" s="1" t="s">
        <v>1804</v>
      </c>
      <c r="C290" s="1" t="s">
        <v>95</v>
      </c>
      <c r="D290" s="1" t="s">
        <v>1406</v>
      </c>
      <c r="E290" s="1" t="s">
        <v>30</v>
      </c>
      <c r="F290" s="9">
        <f t="shared" si="17"/>
        <v>0</v>
      </c>
      <c r="G290" s="9">
        <f t="shared" si="18"/>
        <v>87</v>
      </c>
      <c r="H290" s="9">
        <f t="shared" si="19"/>
        <v>0</v>
      </c>
      <c r="I290" s="10">
        <f t="shared" si="20"/>
        <v>87</v>
      </c>
    </row>
    <row r="291" spans="1:9" x14ac:dyDescent="0.25">
      <c r="A291" s="1" t="s">
        <v>1805</v>
      </c>
      <c r="B291" s="1" t="s">
        <v>1806</v>
      </c>
      <c r="C291" s="1" t="s">
        <v>95</v>
      </c>
      <c r="D291" s="1" t="s">
        <v>1406</v>
      </c>
      <c r="E291" s="1" t="s">
        <v>30</v>
      </c>
      <c r="F291" s="9">
        <f t="shared" si="17"/>
        <v>0</v>
      </c>
      <c r="G291" s="9">
        <f t="shared" si="18"/>
        <v>5</v>
      </c>
      <c r="H291" s="9">
        <f t="shared" si="19"/>
        <v>0</v>
      </c>
      <c r="I291" s="10">
        <f t="shared" si="20"/>
        <v>5</v>
      </c>
    </row>
    <row r="292" spans="1:9" x14ac:dyDescent="0.25">
      <c r="A292" s="1" t="s">
        <v>1807</v>
      </c>
      <c r="B292" s="1" t="s">
        <v>1808</v>
      </c>
      <c r="C292" s="1" t="s">
        <v>95</v>
      </c>
      <c r="D292" s="1" t="s">
        <v>1406</v>
      </c>
      <c r="E292" s="1" t="s">
        <v>30</v>
      </c>
      <c r="F292" s="9">
        <f t="shared" si="17"/>
        <v>0</v>
      </c>
      <c r="G292" s="9">
        <f t="shared" si="18"/>
        <v>1</v>
      </c>
      <c r="H292" s="9">
        <f t="shared" si="19"/>
        <v>0</v>
      </c>
      <c r="I292" s="10">
        <f t="shared" si="20"/>
        <v>1</v>
      </c>
    </row>
    <row r="293" spans="1:9" x14ac:dyDescent="0.25">
      <c r="A293" s="1" t="s">
        <v>1809</v>
      </c>
      <c r="B293" s="1" t="s">
        <v>1810</v>
      </c>
      <c r="C293" s="1" t="s">
        <v>95</v>
      </c>
      <c r="D293" s="1" t="s">
        <v>1406</v>
      </c>
      <c r="E293" s="1" t="s">
        <v>30</v>
      </c>
      <c r="F293" s="9">
        <f t="shared" si="17"/>
        <v>0</v>
      </c>
      <c r="G293" s="9">
        <f t="shared" si="18"/>
        <v>10</v>
      </c>
      <c r="H293" s="9">
        <f t="shared" si="19"/>
        <v>0</v>
      </c>
      <c r="I293" s="10">
        <f t="shared" si="20"/>
        <v>10</v>
      </c>
    </row>
    <row r="294" spans="1:9" x14ac:dyDescent="0.25">
      <c r="A294" s="1" t="s">
        <v>1811</v>
      </c>
      <c r="B294" s="1" t="s">
        <v>1812</v>
      </c>
      <c r="C294" s="1" t="s">
        <v>95</v>
      </c>
      <c r="D294" s="1" t="s">
        <v>1406</v>
      </c>
      <c r="E294" s="1" t="s">
        <v>30</v>
      </c>
      <c r="F294" s="9">
        <f t="shared" si="17"/>
        <v>0</v>
      </c>
      <c r="G294" s="9">
        <f t="shared" si="18"/>
        <v>20</v>
      </c>
      <c r="H294" s="9">
        <f t="shared" si="19"/>
        <v>0</v>
      </c>
      <c r="I294" s="10">
        <f t="shared" si="20"/>
        <v>20</v>
      </c>
    </row>
    <row r="295" spans="1:9" x14ac:dyDescent="0.25">
      <c r="A295" s="1" t="s">
        <v>1813</v>
      </c>
      <c r="B295" s="1" t="s">
        <v>1814</v>
      </c>
      <c r="C295" s="1" t="s">
        <v>95</v>
      </c>
      <c r="D295" s="1" t="s">
        <v>1406</v>
      </c>
      <c r="E295" s="1" t="s">
        <v>30</v>
      </c>
      <c r="F295" s="9">
        <f t="shared" si="17"/>
        <v>0</v>
      </c>
      <c r="G295" s="9">
        <f t="shared" si="18"/>
        <v>57</v>
      </c>
      <c r="H295" s="9">
        <f t="shared" si="19"/>
        <v>0</v>
      </c>
      <c r="I295" s="10">
        <f t="shared" si="20"/>
        <v>57</v>
      </c>
    </row>
    <row r="296" spans="1:9" x14ac:dyDescent="0.25">
      <c r="A296" s="1" t="s">
        <v>1815</v>
      </c>
      <c r="B296" s="1" t="s">
        <v>1816</v>
      </c>
      <c r="C296" s="1" t="s">
        <v>95</v>
      </c>
      <c r="D296" s="1" t="s">
        <v>1406</v>
      </c>
      <c r="E296" s="1" t="s">
        <v>30</v>
      </c>
      <c r="F296" s="9">
        <f t="shared" si="17"/>
        <v>0</v>
      </c>
      <c r="G296" s="9">
        <f t="shared" si="18"/>
        <v>23</v>
      </c>
      <c r="H296" s="9">
        <f t="shared" si="19"/>
        <v>0</v>
      </c>
      <c r="I296" s="10">
        <f t="shared" si="20"/>
        <v>23</v>
      </c>
    </row>
    <row r="297" spans="1:9" x14ac:dyDescent="0.25">
      <c r="A297" s="1" t="s">
        <v>1817</v>
      </c>
      <c r="B297" s="1" t="s">
        <v>1818</v>
      </c>
      <c r="C297" s="1" t="s">
        <v>95</v>
      </c>
      <c r="D297" s="1" t="s">
        <v>1406</v>
      </c>
      <c r="E297" s="1" t="s">
        <v>30</v>
      </c>
      <c r="F297" s="9">
        <f t="shared" si="17"/>
        <v>0</v>
      </c>
      <c r="G297" s="9">
        <f t="shared" si="18"/>
        <v>999</v>
      </c>
      <c r="H297" s="9">
        <f t="shared" si="19"/>
        <v>0</v>
      </c>
      <c r="I297" s="10">
        <f t="shared" si="20"/>
        <v>999</v>
      </c>
    </row>
    <row r="298" spans="1:9" x14ac:dyDescent="0.25">
      <c r="A298" s="1" t="s">
        <v>1819</v>
      </c>
      <c r="B298" s="1" t="s">
        <v>1820</v>
      </c>
      <c r="C298" s="1" t="s">
        <v>95</v>
      </c>
      <c r="D298" s="1" t="s">
        <v>1406</v>
      </c>
      <c r="E298" s="1" t="s">
        <v>30</v>
      </c>
      <c r="F298" s="9">
        <f t="shared" si="17"/>
        <v>0</v>
      </c>
      <c r="G298" s="9">
        <f t="shared" si="18"/>
        <v>80</v>
      </c>
      <c r="H298" s="9">
        <f t="shared" si="19"/>
        <v>0</v>
      </c>
      <c r="I298" s="10">
        <f t="shared" si="20"/>
        <v>80</v>
      </c>
    </row>
    <row r="299" spans="1:9" x14ac:dyDescent="0.25">
      <c r="A299" s="1" t="s">
        <v>1821</v>
      </c>
      <c r="B299" s="1" t="s">
        <v>1822</v>
      </c>
      <c r="C299" s="1" t="s">
        <v>95</v>
      </c>
      <c r="D299" s="1" t="s">
        <v>1406</v>
      </c>
      <c r="E299" s="1" t="s">
        <v>30</v>
      </c>
      <c r="F299" s="9">
        <f t="shared" si="17"/>
        <v>0</v>
      </c>
      <c r="G299" s="9">
        <f t="shared" si="18"/>
        <v>947</v>
      </c>
      <c r="H299" s="9">
        <f t="shared" si="19"/>
        <v>0</v>
      </c>
      <c r="I299" s="10">
        <f t="shared" si="20"/>
        <v>947</v>
      </c>
    </row>
    <row r="300" spans="1:9" x14ac:dyDescent="0.25">
      <c r="A300" s="1" t="s">
        <v>1823</v>
      </c>
      <c r="B300" s="1" t="s">
        <v>1824</v>
      </c>
      <c r="C300" s="1" t="s">
        <v>95</v>
      </c>
      <c r="D300" s="1" t="s">
        <v>1406</v>
      </c>
      <c r="E300" s="1" t="s">
        <v>30</v>
      </c>
      <c r="F300" s="9">
        <f t="shared" si="17"/>
        <v>0</v>
      </c>
      <c r="G300" s="9">
        <f t="shared" si="18"/>
        <v>27</v>
      </c>
      <c r="H300" s="9">
        <f t="shared" si="19"/>
        <v>0</v>
      </c>
      <c r="I300" s="10">
        <f t="shared" si="20"/>
        <v>27</v>
      </c>
    </row>
    <row r="301" spans="1:9" x14ac:dyDescent="0.25">
      <c r="A301" s="1" t="s">
        <v>1825</v>
      </c>
      <c r="B301" s="1" t="s">
        <v>1826</v>
      </c>
      <c r="C301" s="1" t="s">
        <v>95</v>
      </c>
      <c r="D301" s="1" t="s">
        <v>1406</v>
      </c>
      <c r="E301" s="1" t="s">
        <v>30</v>
      </c>
      <c r="F301" s="9">
        <f t="shared" si="17"/>
        <v>0</v>
      </c>
      <c r="G301" s="9">
        <f t="shared" si="18"/>
        <v>17</v>
      </c>
      <c r="H301" s="9">
        <f t="shared" si="19"/>
        <v>0</v>
      </c>
      <c r="I301" s="10">
        <f t="shared" si="20"/>
        <v>17</v>
      </c>
    </row>
    <row r="302" spans="1:9" x14ac:dyDescent="0.25">
      <c r="A302" s="1" t="s">
        <v>1827</v>
      </c>
      <c r="B302" s="1" t="s">
        <v>1828</v>
      </c>
      <c r="C302" s="1" t="s">
        <v>95</v>
      </c>
      <c r="D302" s="1" t="s">
        <v>1406</v>
      </c>
      <c r="E302" s="1" t="s">
        <v>30</v>
      </c>
      <c r="F302" s="9">
        <f t="shared" si="17"/>
        <v>0</v>
      </c>
      <c r="G302" s="9">
        <f t="shared" si="18"/>
        <v>10</v>
      </c>
      <c r="H302" s="9">
        <f t="shared" si="19"/>
        <v>0</v>
      </c>
      <c r="I302" s="10">
        <f t="shared" si="20"/>
        <v>10</v>
      </c>
    </row>
    <row r="303" spans="1:9" x14ac:dyDescent="0.25">
      <c r="A303" s="1" t="s">
        <v>1829</v>
      </c>
      <c r="B303" s="1" t="s">
        <v>1830</v>
      </c>
      <c r="C303" s="1" t="s">
        <v>95</v>
      </c>
      <c r="D303" s="1" t="s">
        <v>1406</v>
      </c>
      <c r="E303" s="1" t="s">
        <v>30</v>
      </c>
      <c r="F303" s="9">
        <f t="shared" si="17"/>
        <v>0</v>
      </c>
      <c r="G303" s="9">
        <f t="shared" si="18"/>
        <v>15</v>
      </c>
      <c r="H303" s="9">
        <f t="shared" si="19"/>
        <v>0</v>
      </c>
      <c r="I303" s="10">
        <f t="shared" si="20"/>
        <v>15</v>
      </c>
    </row>
    <row r="304" spans="1:9" x14ac:dyDescent="0.25">
      <c r="A304" s="1" t="s">
        <v>112</v>
      </c>
      <c r="B304" s="1" t="s">
        <v>111</v>
      </c>
      <c r="C304" s="1" t="s">
        <v>95</v>
      </c>
      <c r="D304" s="1" t="s">
        <v>1406</v>
      </c>
      <c r="E304" s="1" t="s">
        <v>30</v>
      </c>
      <c r="F304" s="9">
        <f t="shared" si="17"/>
        <v>0</v>
      </c>
      <c r="G304" s="9">
        <f t="shared" si="18"/>
        <v>0</v>
      </c>
      <c r="H304" s="9">
        <f t="shared" si="19"/>
        <v>0</v>
      </c>
      <c r="I304" s="10">
        <f t="shared" si="20"/>
        <v>0</v>
      </c>
    </row>
    <row r="305" spans="1:9" x14ac:dyDescent="0.25">
      <c r="A305" s="1" t="s">
        <v>1831</v>
      </c>
      <c r="B305" s="1" t="s">
        <v>1832</v>
      </c>
      <c r="C305" s="1" t="s">
        <v>95</v>
      </c>
      <c r="D305" s="1" t="s">
        <v>1406</v>
      </c>
      <c r="E305" s="1" t="s">
        <v>30</v>
      </c>
      <c r="F305" s="9">
        <f t="shared" si="17"/>
        <v>0</v>
      </c>
      <c r="G305" s="9">
        <f t="shared" si="18"/>
        <v>30</v>
      </c>
      <c r="H305" s="9">
        <f t="shared" si="19"/>
        <v>0</v>
      </c>
      <c r="I305" s="10">
        <f t="shared" si="20"/>
        <v>30</v>
      </c>
    </row>
    <row r="306" spans="1:9" x14ac:dyDescent="0.25">
      <c r="A306" s="1" t="s">
        <v>1833</v>
      </c>
      <c r="B306" s="1" t="s">
        <v>1834</v>
      </c>
      <c r="C306" s="1" t="s">
        <v>95</v>
      </c>
      <c r="D306" s="1" t="s">
        <v>1406</v>
      </c>
      <c r="E306" s="1" t="s">
        <v>30</v>
      </c>
      <c r="F306" s="9">
        <f t="shared" si="17"/>
        <v>0</v>
      </c>
      <c r="G306" s="9">
        <f t="shared" si="18"/>
        <v>20</v>
      </c>
      <c r="H306" s="9">
        <f t="shared" si="19"/>
        <v>0</v>
      </c>
      <c r="I306" s="10">
        <f t="shared" si="20"/>
        <v>20</v>
      </c>
    </row>
    <row r="307" spans="1:9" x14ac:dyDescent="0.25">
      <c r="A307" s="1" t="s">
        <v>1835</v>
      </c>
      <c r="B307" s="1" t="s">
        <v>1836</v>
      </c>
      <c r="C307" s="1" t="s">
        <v>95</v>
      </c>
      <c r="D307" s="1" t="s">
        <v>1406</v>
      </c>
      <c r="E307" s="1" t="s">
        <v>30</v>
      </c>
      <c r="F307" s="9">
        <f t="shared" si="17"/>
        <v>0</v>
      </c>
      <c r="G307" s="9">
        <f t="shared" si="18"/>
        <v>6</v>
      </c>
      <c r="H307" s="9">
        <f t="shared" si="19"/>
        <v>0</v>
      </c>
      <c r="I307" s="10">
        <f t="shared" si="20"/>
        <v>6</v>
      </c>
    </row>
    <row r="308" spans="1:9" x14ac:dyDescent="0.25">
      <c r="A308" s="1" t="s">
        <v>1837</v>
      </c>
      <c r="B308" s="1" t="s">
        <v>1838</v>
      </c>
      <c r="C308" s="1" t="s">
        <v>95</v>
      </c>
      <c r="D308" s="1" t="s">
        <v>1406</v>
      </c>
      <c r="E308" s="1" t="s">
        <v>30</v>
      </c>
      <c r="F308" s="9">
        <f t="shared" si="17"/>
        <v>0</v>
      </c>
      <c r="G308" s="9">
        <f t="shared" si="18"/>
        <v>22</v>
      </c>
      <c r="H308" s="9">
        <f t="shared" si="19"/>
        <v>0</v>
      </c>
      <c r="I308" s="10">
        <f t="shared" si="20"/>
        <v>22</v>
      </c>
    </row>
    <row r="309" spans="1:9" x14ac:dyDescent="0.25">
      <c r="A309" s="1" t="s">
        <v>1839</v>
      </c>
      <c r="B309" s="1" t="s">
        <v>1840</v>
      </c>
      <c r="C309" s="1" t="s">
        <v>95</v>
      </c>
      <c r="D309" s="1" t="s">
        <v>1406</v>
      </c>
      <c r="E309" s="1" t="s">
        <v>30</v>
      </c>
      <c r="F309" s="9">
        <f t="shared" si="17"/>
        <v>0</v>
      </c>
      <c r="G309" s="9">
        <f t="shared" si="18"/>
        <v>1</v>
      </c>
      <c r="H309" s="9">
        <f t="shared" si="19"/>
        <v>0</v>
      </c>
      <c r="I309" s="10">
        <f t="shared" si="20"/>
        <v>1</v>
      </c>
    </row>
    <row r="310" spans="1:9" x14ac:dyDescent="0.25">
      <c r="A310" s="1" t="s">
        <v>1841</v>
      </c>
      <c r="B310" s="1" t="s">
        <v>1842</v>
      </c>
      <c r="C310" s="1" t="s">
        <v>95</v>
      </c>
      <c r="D310" s="1" t="s">
        <v>1406</v>
      </c>
      <c r="E310" s="1" t="s">
        <v>30</v>
      </c>
      <c r="F310" s="9">
        <f t="shared" si="17"/>
        <v>0</v>
      </c>
      <c r="G310" s="9">
        <f t="shared" si="18"/>
        <v>24</v>
      </c>
      <c r="H310" s="9">
        <f t="shared" si="19"/>
        <v>0</v>
      </c>
      <c r="I310" s="10">
        <f t="shared" si="20"/>
        <v>24</v>
      </c>
    </row>
    <row r="311" spans="1:9" x14ac:dyDescent="0.25">
      <c r="A311" s="1" t="s">
        <v>116</v>
      </c>
      <c r="B311" s="1" t="s">
        <v>115</v>
      </c>
      <c r="C311" s="1" t="s">
        <v>95</v>
      </c>
      <c r="D311" s="1" t="s">
        <v>1406</v>
      </c>
      <c r="E311" s="1" t="s">
        <v>30</v>
      </c>
      <c r="F311" s="9">
        <f t="shared" si="17"/>
        <v>0</v>
      </c>
      <c r="G311" s="9">
        <f t="shared" si="18"/>
        <v>0</v>
      </c>
      <c r="H311" s="9">
        <f t="shared" si="19"/>
        <v>0</v>
      </c>
      <c r="I311" s="10">
        <f t="shared" si="20"/>
        <v>0</v>
      </c>
    </row>
    <row r="312" spans="1:9" x14ac:dyDescent="0.25">
      <c r="A312" s="1" t="s">
        <v>118</v>
      </c>
      <c r="B312" s="1" t="s">
        <v>117</v>
      </c>
      <c r="C312" s="1" t="s">
        <v>95</v>
      </c>
      <c r="D312" s="1" t="s">
        <v>1406</v>
      </c>
      <c r="E312" s="1" t="s">
        <v>30</v>
      </c>
      <c r="F312" s="9">
        <f t="shared" si="17"/>
        <v>0</v>
      </c>
      <c r="G312" s="9">
        <f t="shared" si="18"/>
        <v>17</v>
      </c>
      <c r="H312" s="9">
        <f t="shared" si="19"/>
        <v>0</v>
      </c>
      <c r="I312" s="10">
        <f t="shared" si="20"/>
        <v>17</v>
      </c>
    </row>
    <row r="313" spans="1:9" x14ac:dyDescent="0.25">
      <c r="A313" s="1" t="s">
        <v>1843</v>
      </c>
      <c r="B313" s="1" t="s">
        <v>1844</v>
      </c>
      <c r="C313" s="1" t="s">
        <v>95</v>
      </c>
      <c r="D313" s="1" t="s">
        <v>1406</v>
      </c>
      <c r="E313" s="1" t="s">
        <v>30</v>
      </c>
      <c r="F313" s="9">
        <f t="shared" si="17"/>
        <v>5</v>
      </c>
      <c r="G313" s="9">
        <f t="shared" si="18"/>
        <v>10</v>
      </c>
      <c r="H313" s="9">
        <f t="shared" si="19"/>
        <v>0</v>
      </c>
      <c r="I313" s="10">
        <f t="shared" si="20"/>
        <v>15</v>
      </c>
    </row>
    <row r="314" spans="1:9" x14ac:dyDescent="0.25">
      <c r="A314" s="1" t="s">
        <v>1845</v>
      </c>
      <c r="B314" s="1" t="s">
        <v>1846</v>
      </c>
      <c r="C314" s="1" t="s">
        <v>95</v>
      </c>
      <c r="D314" s="1" t="s">
        <v>1406</v>
      </c>
      <c r="E314" s="1" t="s">
        <v>30</v>
      </c>
      <c r="F314" s="9">
        <f t="shared" si="17"/>
        <v>0</v>
      </c>
      <c r="G314" s="9">
        <f t="shared" si="18"/>
        <v>6</v>
      </c>
      <c r="H314" s="9">
        <f t="shared" si="19"/>
        <v>0</v>
      </c>
      <c r="I314" s="10">
        <f t="shared" si="20"/>
        <v>6</v>
      </c>
    </row>
    <row r="315" spans="1:9" x14ac:dyDescent="0.25">
      <c r="A315" s="1" t="s">
        <v>1847</v>
      </c>
      <c r="B315" s="1" t="s">
        <v>1848</v>
      </c>
      <c r="C315" s="1" t="s">
        <v>168</v>
      </c>
      <c r="D315" s="1" t="s">
        <v>1406</v>
      </c>
      <c r="E315" s="1" t="s">
        <v>101</v>
      </c>
      <c r="F315" s="9">
        <f t="shared" si="17"/>
        <v>0</v>
      </c>
      <c r="G315" s="9">
        <f t="shared" si="18"/>
        <v>1</v>
      </c>
      <c r="H315" s="9">
        <f t="shared" si="19"/>
        <v>0</v>
      </c>
      <c r="I315" s="10">
        <f t="shared" si="20"/>
        <v>1</v>
      </c>
    </row>
    <row r="316" spans="1:9" x14ac:dyDescent="0.25">
      <c r="A316" s="1" t="s">
        <v>167</v>
      </c>
      <c r="B316" s="1" t="s">
        <v>166</v>
      </c>
      <c r="C316" s="1" t="s">
        <v>168</v>
      </c>
      <c r="D316" s="1" t="s">
        <v>1406</v>
      </c>
      <c r="E316" s="1" t="s">
        <v>101</v>
      </c>
      <c r="F316" s="9">
        <f t="shared" si="17"/>
        <v>0</v>
      </c>
      <c r="G316" s="9">
        <f t="shared" si="18"/>
        <v>1</v>
      </c>
      <c r="H316" s="9">
        <f t="shared" si="19"/>
        <v>0</v>
      </c>
      <c r="I316" s="10">
        <f t="shared" si="20"/>
        <v>1</v>
      </c>
    </row>
    <row r="317" spans="1:9" x14ac:dyDescent="0.25">
      <c r="A317" s="1" t="s">
        <v>1849</v>
      </c>
      <c r="B317" s="1" t="s">
        <v>1850</v>
      </c>
      <c r="C317" s="1" t="s">
        <v>168</v>
      </c>
      <c r="D317" s="1" t="s">
        <v>1406</v>
      </c>
      <c r="E317" s="1" t="s">
        <v>101</v>
      </c>
      <c r="F317" s="9">
        <f t="shared" si="17"/>
        <v>0</v>
      </c>
      <c r="G317" s="9">
        <f t="shared" si="18"/>
        <v>3</v>
      </c>
      <c r="H317" s="9">
        <f t="shared" si="19"/>
        <v>0</v>
      </c>
      <c r="I317" s="10">
        <f t="shared" si="20"/>
        <v>3</v>
      </c>
    </row>
    <row r="318" spans="1:9" x14ac:dyDescent="0.25">
      <c r="A318" s="1" t="s">
        <v>170</v>
      </c>
      <c r="B318" s="1" t="s">
        <v>169</v>
      </c>
      <c r="C318" s="1" t="s">
        <v>168</v>
      </c>
      <c r="D318" s="1" t="s">
        <v>1406</v>
      </c>
      <c r="E318" s="1" t="s">
        <v>101</v>
      </c>
      <c r="F318" s="9">
        <f t="shared" si="17"/>
        <v>0</v>
      </c>
      <c r="G318" s="9">
        <f t="shared" si="18"/>
        <v>0</v>
      </c>
      <c r="H318" s="9">
        <f t="shared" si="19"/>
        <v>0</v>
      </c>
      <c r="I318" s="10">
        <f t="shared" si="20"/>
        <v>0</v>
      </c>
    </row>
    <row r="319" spans="1:9" x14ac:dyDescent="0.25">
      <c r="A319" s="1" t="s">
        <v>1851</v>
      </c>
      <c r="B319" s="1" t="s">
        <v>1852</v>
      </c>
      <c r="C319" s="1" t="s">
        <v>168</v>
      </c>
      <c r="D319" s="1" t="s">
        <v>1406</v>
      </c>
      <c r="E319" s="1" t="s">
        <v>101</v>
      </c>
      <c r="F319" s="9">
        <f t="shared" si="17"/>
        <v>0</v>
      </c>
      <c r="G319" s="9">
        <f t="shared" si="18"/>
        <v>3</v>
      </c>
      <c r="H319" s="9">
        <f t="shared" si="19"/>
        <v>0</v>
      </c>
      <c r="I319" s="10">
        <f t="shared" si="20"/>
        <v>3</v>
      </c>
    </row>
    <row r="320" spans="1:9" x14ac:dyDescent="0.25">
      <c r="A320" s="1" t="s">
        <v>172</v>
      </c>
      <c r="B320" s="1" t="s">
        <v>171</v>
      </c>
      <c r="C320" s="1" t="s">
        <v>168</v>
      </c>
      <c r="D320" s="1" t="s">
        <v>1406</v>
      </c>
      <c r="E320" s="1" t="s">
        <v>101</v>
      </c>
      <c r="F320" s="9">
        <f t="shared" si="17"/>
        <v>0</v>
      </c>
      <c r="G320" s="9">
        <f t="shared" si="18"/>
        <v>0</v>
      </c>
      <c r="H320" s="9">
        <f t="shared" si="19"/>
        <v>0</v>
      </c>
      <c r="I320" s="10">
        <f t="shared" si="20"/>
        <v>0</v>
      </c>
    </row>
    <row r="321" spans="1:9" x14ac:dyDescent="0.25">
      <c r="A321" s="1" t="s">
        <v>174</v>
      </c>
      <c r="B321" s="1" t="s">
        <v>173</v>
      </c>
      <c r="C321" s="1" t="s">
        <v>168</v>
      </c>
      <c r="D321" s="1" t="s">
        <v>1406</v>
      </c>
      <c r="E321" s="1" t="s">
        <v>101</v>
      </c>
      <c r="F321" s="9">
        <f t="shared" si="17"/>
        <v>0</v>
      </c>
      <c r="G321" s="9">
        <f t="shared" si="18"/>
        <v>0</v>
      </c>
      <c r="H321" s="9">
        <f t="shared" si="19"/>
        <v>0</v>
      </c>
      <c r="I321" s="10">
        <f t="shared" si="20"/>
        <v>0</v>
      </c>
    </row>
    <row r="322" spans="1:9" x14ac:dyDescent="0.25">
      <c r="A322" s="1" t="s">
        <v>176</v>
      </c>
      <c r="B322" s="1" t="s">
        <v>175</v>
      </c>
      <c r="C322" s="1" t="s">
        <v>168</v>
      </c>
      <c r="D322" s="1" t="s">
        <v>1406</v>
      </c>
      <c r="E322" s="1" t="s">
        <v>101</v>
      </c>
      <c r="F322" s="9">
        <f t="shared" ref="F322:F385" si="21">IFERROR(VLOOKUP(A322,condi,8,0),0)</f>
        <v>0</v>
      </c>
      <c r="G322" s="9">
        <f t="shared" ref="G322:G385" si="22">IFERROR(VLOOKUP(A322,maqui,8,0),0)</f>
        <v>0</v>
      </c>
      <c r="H322" s="9">
        <f t="shared" ref="H322:H385" si="23">IFERROR(VLOOKUP(A322,ascint,8,0),0)</f>
        <v>0</v>
      </c>
      <c r="I322" s="10">
        <f t="shared" si="20"/>
        <v>0</v>
      </c>
    </row>
    <row r="323" spans="1:9" x14ac:dyDescent="0.25">
      <c r="A323" s="1" t="s">
        <v>178</v>
      </c>
      <c r="B323" s="1" t="s">
        <v>177</v>
      </c>
      <c r="C323" s="1" t="s">
        <v>168</v>
      </c>
      <c r="D323" s="1" t="s">
        <v>1406</v>
      </c>
      <c r="E323" s="1" t="s">
        <v>101</v>
      </c>
      <c r="F323" s="9">
        <f t="shared" si="21"/>
        <v>0</v>
      </c>
      <c r="G323" s="9">
        <f t="shared" si="22"/>
        <v>21</v>
      </c>
      <c r="H323" s="9">
        <f t="shared" si="23"/>
        <v>0</v>
      </c>
      <c r="I323" s="10">
        <f t="shared" si="20"/>
        <v>21</v>
      </c>
    </row>
    <row r="324" spans="1:9" x14ac:dyDescent="0.25">
      <c r="A324" s="1" t="s">
        <v>180</v>
      </c>
      <c r="B324" s="1" t="s">
        <v>179</v>
      </c>
      <c r="C324" s="1" t="s">
        <v>168</v>
      </c>
      <c r="D324" s="1" t="s">
        <v>1406</v>
      </c>
      <c r="E324" s="1" t="s">
        <v>101</v>
      </c>
      <c r="F324" s="9">
        <f t="shared" si="21"/>
        <v>0</v>
      </c>
      <c r="G324" s="9">
        <f t="shared" si="22"/>
        <v>0</v>
      </c>
      <c r="H324" s="9">
        <f t="shared" si="23"/>
        <v>0</v>
      </c>
      <c r="I324" s="10">
        <f t="shared" si="20"/>
        <v>0</v>
      </c>
    </row>
    <row r="325" spans="1:9" x14ac:dyDescent="0.25">
      <c r="A325" s="1" t="s">
        <v>1853</v>
      </c>
      <c r="B325" s="1" t="s">
        <v>1854</v>
      </c>
      <c r="C325" s="1" t="s">
        <v>168</v>
      </c>
      <c r="D325" s="1" t="s">
        <v>1406</v>
      </c>
      <c r="E325" s="1" t="s">
        <v>101</v>
      </c>
      <c r="F325" s="9">
        <f t="shared" si="21"/>
        <v>0</v>
      </c>
      <c r="G325" s="9">
        <f t="shared" si="22"/>
        <v>3</v>
      </c>
      <c r="H325" s="9">
        <f t="shared" si="23"/>
        <v>0</v>
      </c>
      <c r="I325" s="10">
        <f t="shared" si="20"/>
        <v>3</v>
      </c>
    </row>
    <row r="326" spans="1:9" x14ac:dyDescent="0.25">
      <c r="A326" s="1" t="s">
        <v>185</v>
      </c>
      <c r="B326" s="1" t="s">
        <v>184</v>
      </c>
      <c r="C326" s="1" t="s">
        <v>168</v>
      </c>
      <c r="D326" s="1" t="s">
        <v>1406</v>
      </c>
      <c r="E326" s="1" t="s">
        <v>101</v>
      </c>
      <c r="F326" s="9">
        <f t="shared" si="21"/>
        <v>0</v>
      </c>
      <c r="G326" s="9">
        <f t="shared" si="22"/>
        <v>1</v>
      </c>
      <c r="H326" s="9">
        <f t="shared" si="23"/>
        <v>0</v>
      </c>
      <c r="I326" s="10">
        <f t="shared" si="20"/>
        <v>1</v>
      </c>
    </row>
    <row r="327" spans="1:9" x14ac:dyDescent="0.25">
      <c r="A327" s="1" t="s">
        <v>192</v>
      </c>
      <c r="B327" s="1" t="s">
        <v>191</v>
      </c>
      <c r="C327" s="1" t="s">
        <v>168</v>
      </c>
      <c r="D327" s="1" t="s">
        <v>1406</v>
      </c>
      <c r="E327" s="1" t="s">
        <v>101</v>
      </c>
      <c r="F327" s="9">
        <f t="shared" si="21"/>
        <v>0</v>
      </c>
      <c r="G327" s="9">
        <f t="shared" si="22"/>
        <v>3</v>
      </c>
      <c r="H327" s="9">
        <f t="shared" si="23"/>
        <v>0</v>
      </c>
      <c r="I327" s="10">
        <f t="shared" si="20"/>
        <v>3</v>
      </c>
    </row>
    <row r="328" spans="1:9" x14ac:dyDescent="0.25">
      <c r="A328" s="1" t="s">
        <v>195</v>
      </c>
      <c r="B328" s="1" t="s">
        <v>194</v>
      </c>
      <c r="C328" s="1" t="s">
        <v>168</v>
      </c>
      <c r="D328" s="1" t="s">
        <v>1406</v>
      </c>
      <c r="E328" s="1" t="s">
        <v>101</v>
      </c>
      <c r="F328" s="9">
        <f t="shared" si="21"/>
        <v>0</v>
      </c>
      <c r="G328" s="9">
        <f t="shared" si="22"/>
        <v>6</v>
      </c>
      <c r="H328" s="9">
        <f t="shared" si="23"/>
        <v>0</v>
      </c>
      <c r="I328" s="10">
        <f t="shared" ref="I328:I391" si="24">+F328+G328+H328</f>
        <v>6</v>
      </c>
    </row>
    <row r="329" spans="1:9" x14ac:dyDescent="0.25">
      <c r="A329" s="1" t="s">
        <v>197</v>
      </c>
      <c r="B329" s="1" t="s">
        <v>196</v>
      </c>
      <c r="C329" s="1" t="s">
        <v>168</v>
      </c>
      <c r="D329" s="1" t="s">
        <v>1406</v>
      </c>
      <c r="E329" s="1" t="s">
        <v>101</v>
      </c>
      <c r="F329" s="9">
        <f t="shared" si="21"/>
        <v>0</v>
      </c>
      <c r="G329" s="9">
        <f t="shared" si="22"/>
        <v>7</v>
      </c>
      <c r="H329" s="9">
        <f t="shared" si="23"/>
        <v>0</v>
      </c>
      <c r="I329" s="10">
        <f t="shared" si="24"/>
        <v>7</v>
      </c>
    </row>
    <row r="330" spans="1:9" x14ac:dyDescent="0.25">
      <c r="A330" s="1" t="s">
        <v>199</v>
      </c>
      <c r="B330" s="1" t="s">
        <v>198</v>
      </c>
      <c r="C330" s="1" t="s">
        <v>168</v>
      </c>
      <c r="D330" s="1" t="s">
        <v>1406</v>
      </c>
      <c r="E330" s="1" t="s">
        <v>101</v>
      </c>
      <c r="F330" s="9">
        <f t="shared" si="21"/>
        <v>0</v>
      </c>
      <c r="G330" s="9">
        <f t="shared" si="22"/>
        <v>0</v>
      </c>
      <c r="H330" s="9">
        <f t="shared" si="23"/>
        <v>0</v>
      </c>
      <c r="I330" s="10">
        <f t="shared" si="24"/>
        <v>0</v>
      </c>
    </row>
    <row r="331" spans="1:9" x14ac:dyDescent="0.25">
      <c r="A331" s="1" t="s">
        <v>201</v>
      </c>
      <c r="B331" s="1" t="s">
        <v>200</v>
      </c>
      <c r="C331" s="1" t="s">
        <v>168</v>
      </c>
      <c r="D331" s="1" t="s">
        <v>1406</v>
      </c>
      <c r="E331" s="1" t="s">
        <v>101</v>
      </c>
      <c r="F331" s="9">
        <f t="shared" si="21"/>
        <v>0</v>
      </c>
      <c r="G331" s="9">
        <f t="shared" si="22"/>
        <v>0</v>
      </c>
      <c r="H331" s="9">
        <f t="shared" si="23"/>
        <v>0</v>
      </c>
      <c r="I331" s="10">
        <f t="shared" si="24"/>
        <v>0</v>
      </c>
    </row>
    <row r="332" spans="1:9" x14ac:dyDescent="0.25">
      <c r="A332" s="1" t="s">
        <v>203</v>
      </c>
      <c r="B332" s="1" t="s">
        <v>202</v>
      </c>
      <c r="C332" s="1" t="s">
        <v>168</v>
      </c>
      <c r="D332" s="1" t="s">
        <v>1406</v>
      </c>
      <c r="E332" s="1" t="s">
        <v>101</v>
      </c>
      <c r="F332" s="9">
        <f t="shared" si="21"/>
        <v>0</v>
      </c>
      <c r="G332" s="9">
        <f t="shared" si="22"/>
        <v>0</v>
      </c>
      <c r="H332" s="9">
        <f t="shared" si="23"/>
        <v>0</v>
      </c>
      <c r="I332" s="10">
        <f t="shared" si="24"/>
        <v>0</v>
      </c>
    </row>
    <row r="333" spans="1:9" x14ac:dyDescent="0.25">
      <c r="A333" s="1" t="s">
        <v>205</v>
      </c>
      <c r="B333" s="1" t="s">
        <v>204</v>
      </c>
      <c r="C333" s="1" t="s">
        <v>168</v>
      </c>
      <c r="D333" s="1" t="s">
        <v>1406</v>
      </c>
      <c r="E333" s="1" t="s">
        <v>101</v>
      </c>
      <c r="F333" s="9">
        <f t="shared" si="21"/>
        <v>0</v>
      </c>
      <c r="G333" s="9">
        <f t="shared" si="22"/>
        <v>0</v>
      </c>
      <c r="H333" s="9">
        <f t="shared" si="23"/>
        <v>0</v>
      </c>
      <c r="I333" s="10">
        <f t="shared" si="24"/>
        <v>0</v>
      </c>
    </row>
    <row r="334" spans="1:9" x14ac:dyDescent="0.25">
      <c r="A334" s="1" t="s">
        <v>207</v>
      </c>
      <c r="B334" s="1" t="s">
        <v>206</v>
      </c>
      <c r="C334" s="1" t="s">
        <v>168</v>
      </c>
      <c r="D334" s="1" t="s">
        <v>1406</v>
      </c>
      <c r="E334" s="1" t="s">
        <v>101</v>
      </c>
      <c r="F334" s="9">
        <f t="shared" si="21"/>
        <v>0</v>
      </c>
      <c r="G334" s="9">
        <f t="shared" si="22"/>
        <v>7</v>
      </c>
      <c r="H334" s="9">
        <f t="shared" si="23"/>
        <v>0</v>
      </c>
      <c r="I334" s="10">
        <f t="shared" si="24"/>
        <v>7</v>
      </c>
    </row>
    <row r="335" spans="1:9" x14ac:dyDescent="0.25">
      <c r="A335" s="1" t="s">
        <v>209</v>
      </c>
      <c r="B335" s="1" t="s">
        <v>208</v>
      </c>
      <c r="C335" s="1" t="s">
        <v>168</v>
      </c>
      <c r="D335" s="1" t="s">
        <v>1406</v>
      </c>
      <c r="E335" s="1" t="s">
        <v>101</v>
      </c>
      <c r="F335" s="9">
        <f t="shared" si="21"/>
        <v>2</v>
      </c>
      <c r="G335" s="9">
        <f t="shared" si="22"/>
        <v>0</v>
      </c>
      <c r="H335" s="9">
        <f t="shared" si="23"/>
        <v>0</v>
      </c>
      <c r="I335" s="10">
        <f t="shared" si="24"/>
        <v>2</v>
      </c>
    </row>
    <row r="336" spans="1:9" x14ac:dyDescent="0.25">
      <c r="A336" s="1" t="s">
        <v>214</v>
      </c>
      <c r="B336" s="1" t="s">
        <v>213</v>
      </c>
      <c r="C336" s="1" t="s">
        <v>168</v>
      </c>
      <c r="D336" s="1" t="s">
        <v>1406</v>
      </c>
      <c r="E336" s="1" t="s">
        <v>101</v>
      </c>
      <c r="F336" s="9">
        <f t="shared" si="21"/>
        <v>0</v>
      </c>
      <c r="G336" s="9">
        <f t="shared" si="22"/>
        <v>0</v>
      </c>
      <c r="H336" s="9">
        <f t="shared" si="23"/>
        <v>0</v>
      </c>
      <c r="I336" s="10">
        <f t="shared" si="24"/>
        <v>0</v>
      </c>
    </row>
    <row r="337" spans="1:9" x14ac:dyDescent="0.25">
      <c r="A337" s="1" t="s">
        <v>221</v>
      </c>
      <c r="B337" s="1" t="s">
        <v>220</v>
      </c>
      <c r="C337" s="1" t="s">
        <v>168</v>
      </c>
      <c r="D337" s="1" t="s">
        <v>1406</v>
      </c>
      <c r="E337" s="1" t="s">
        <v>101</v>
      </c>
      <c r="F337" s="9">
        <f t="shared" si="21"/>
        <v>0</v>
      </c>
      <c r="G337" s="9">
        <f t="shared" si="22"/>
        <v>0</v>
      </c>
      <c r="H337" s="9">
        <f t="shared" si="23"/>
        <v>0</v>
      </c>
      <c r="I337" s="10">
        <f t="shared" si="24"/>
        <v>0</v>
      </c>
    </row>
    <row r="338" spans="1:9" x14ac:dyDescent="0.25">
      <c r="A338" s="1" t="s">
        <v>223</v>
      </c>
      <c r="B338" s="1" t="s">
        <v>222</v>
      </c>
      <c r="C338" s="1" t="s">
        <v>168</v>
      </c>
      <c r="D338" s="1" t="s">
        <v>1406</v>
      </c>
      <c r="E338" s="1" t="s">
        <v>101</v>
      </c>
      <c r="F338" s="9">
        <f t="shared" si="21"/>
        <v>0</v>
      </c>
      <c r="G338" s="9">
        <f t="shared" si="22"/>
        <v>1</v>
      </c>
      <c r="H338" s="9">
        <f t="shared" si="23"/>
        <v>0</v>
      </c>
      <c r="I338" s="10">
        <f t="shared" si="24"/>
        <v>1</v>
      </c>
    </row>
    <row r="339" spans="1:9" x14ac:dyDescent="0.25">
      <c r="A339" s="1" t="s">
        <v>225</v>
      </c>
      <c r="B339" s="1" t="s">
        <v>224</v>
      </c>
      <c r="C339" s="1" t="s">
        <v>168</v>
      </c>
      <c r="D339" s="1" t="s">
        <v>1406</v>
      </c>
      <c r="E339" s="1" t="s">
        <v>101</v>
      </c>
      <c r="F339" s="9">
        <f t="shared" si="21"/>
        <v>0</v>
      </c>
      <c r="G339" s="9">
        <f t="shared" si="22"/>
        <v>0</v>
      </c>
      <c r="H339" s="9">
        <f t="shared" si="23"/>
        <v>0</v>
      </c>
      <c r="I339" s="10">
        <f t="shared" si="24"/>
        <v>0</v>
      </c>
    </row>
    <row r="340" spans="1:9" x14ac:dyDescent="0.25">
      <c r="A340" s="1" t="s">
        <v>227</v>
      </c>
      <c r="B340" s="1" t="s">
        <v>226</v>
      </c>
      <c r="C340" s="1" t="s">
        <v>168</v>
      </c>
      <c r="D340" s="1" t="s">
        <v>1406</v>
      </c>
      <c r="E340" s="1" t="s">
        <v>101</v>
      </c>
      <c r="F340" s="9">
        <f t="shared" si="21"/>
        <v>0</v>
      </c>
      <c r="G340" s="9">
        <f t="shared" si="22"/>
        <v>1</v>
      </c>
      <c r="H340" s="9">
        <f t="shared" si="23"/>
        <v>0</v>
      </c>
      <c r="I340" s="10">
        <f t="shared" si="24"/>
        <v>1</v>
      </c>
    </row>
    <row r="341" spans="1:9" x14ac:dyDescent="0.25">
      <c r="A341" s="1" t="s">
        <v>1855</v>
      </c>
      <c r="B341" s="1" t="s">
        <v>1856</v>
      </c>
      <c r="C341" s="1" t="s">
        <v>168</v>
      </c>
      <c r="D341" s="1" t="s">
        <v>1406</v>
      </c>
      <c r="E341" s="1" t="s">
        <v>101</v>
      </c>
      <c r="F341" s="9">
        <f t="shared" si="21"/>
        <v>0</v>
      </c>
      <c r="G341" s="9">
        <f t="shared" si="22"/>
        <v>1</v>
      </c>
      <c r="H341" s="9">
        <f t="shared" si="23"/>
        <v>0</v>
      </c>
      <c r="I341" s="10">
        <f t="shared" si="24"/>
        <v>1</v>
      </c>
    </row>
    <row r="342" spans="1:9" x14ac:dyDescent="0.25">
      <c r="A342" s="1" t="s">
        <v>229</v>
      </c>
      <c r="B342" s="1" t="s">
        <v>228</v>
      </c>
      <c r="C342" s="1" t="s">
        <v>168</v>
      </c>
      <c r="D342" s="1" t="s">
        <v>1406</v>
      </c>
      <c r="E342" s="1" t="s">
        <v>101</v>
      </c>
      <c r="F342" s="9">
        <f t="shared" si="21"/>
        <v>0</v>
      </c>
      <c r="G342" s="9">
        <f t="shared" si="22"/>
        <v>1</v>
      </c>
      <c r="H342" s="9">
        <f t="shared" si="23"/>
        <v>0</v>
      </c>
      <c r="I342" s="10">
        <f t="shared" si="24"/>
        <v>1</v>
      </c>
    </row>
    <row r="343" spans="1:9" x14ac:dyDescent="0.25">
      <c r="A343" s="1" t="s">
        <v>120</v>
      </c>
      <c r="B343" s="1" t="s">
        <v>119</v>
      </c>
      <c r="C343" s="1" t="s">
        <v>121</v>
      </c>
      <c r="D343" s="1" t="s">
        <v>1406</v>
      </c>
      <c r="E343" s="1" t="s">
        <v>104</v>
      </c>
      <c r="F343" s="9">
        <f t="shared" si="21"/>
        <v>0</v>
      </c>
      <c r="G343" s="9">
        <f t="shared" si="22"/>
        <v>0</v>
      </c>
      <c r="H343" s="9">
        <f t="shared" si="23"/>
        <v>0</v>
      </c>
      <c r="I343" s="10">
        <f t="shared" si="24"/>
        <v>0</v>
      </c>
    </row>
    <row r="344" spans="1:9" x14ac:dyDescent="0.25">
      <c r="A344" s="1" t="s">
        <v>123</v>
      </c>
      <c r="B344" s="1" t="s">
        <v>122</v>
      </c>
      <c r="C344" s="1" t="s">
        <v>121</v>
      </c>
      <c r="D344" s="1" t="s">
        <v>1406</v>
      </c>
      <c r="E344" s="1" t="s">
        <v>104</v>
      </c>
      <c r="F344" s="9">
        <f t="shared" si="21"/>
        <v>0</v>
      </c>
      <c r="G344" s="9">
        <f t="shared" si="22"/>
        <v>0</v>
      </c>
      <c r="H344" s="9">
        <f t="shared" si="23"/>
        <v>0</v>
      </c>
      <c r="I344" s="10">
        <f t="shared" si="24"/>
        <v>0</v>
      </c>
    </row>
    <row r="345" spans="1:9" x14ac:dyDescent="0.25">
      <c r="A345" s="1" t="s">
        <v>1857</v>
      </c>
      <c r="B345" s="1" t="s">
        <v>1858</v>
      </c>
      <c r="C345" s="1" t="s">
        <v>121</v>
      </c>
      <c r="D345" s="1" t="s">
        <v>1406</v>
      </c>
      <c r="E345" s="1" t="s">
        <v>104</v>
      </c>
      <c r="F345" s="9">
        <f t="shared" si="21"/>
        <v>0</v>
      </c>
      <c r="G345" s="9">
        <f t="shared" si="22"/>
        <v>12</v>
      </c>
      <c r="H345" s="9">
        <f t="shared" si="23"/>
        <v>0</v>
      </c>
      <c r="I345" s="10">
        <f t="shared" si="24"/>
        <v>12</v>
      </c>
    </row>
    <row r="346" spans="1:9" x14ac:dyDescent="0.25">
      <c r="A346" s="1" t="s">
        <v>125</v>
      </c>
      <c r="B346" s="1" t="s">
        <v>124</v>
      </c>
      <c r="C346" s="1" t="s">
        <v>121</v>
      </c>
      <c r="D346" s="1" t="s">
        <v>1406</v>
      </c>
      <c r="E346" s="1" t="s">
        <v>104</v>
      </c>
      <c r="F346" s="9">
        <f t="shared" si="21"/>
        <v>0</v>
      </c>
      <c r="G346" s="9">
        <f t="shared" si="22"/>
        <v>0</v>
      </c>
      <c r="H346" s="9">
        <f t="shared" si="23"/>
        <v>0</v>
      </c>
      <c r="I346" s="10">
        <f t="shared" si="24"/>
        <v>0</v>
      </c>
    </row>
    <row r="347" spans="1:9" x14ac:dyDescent="0.25">
      <c r="A347" s="1" t="s">
        <v>127</v>
      </c>
      <c r="B347" s="1" t="s">
        <v>126</v>
      </c>
      <c r="C347" s="1" t="s">
        <v>121</v>
      </c>
      <c r="D347" s="1" t="s">
        <v>1406</v>
      </c>
      <c r="E347" s="1" t="s">
        <v>104</v>
      </c>
      <c r="F347" s="9">
        <f t="shared" si="21"/>
        <v>0</v>
      </c>
      <c r="G347" s="9">
        <f t="shared" si="22"/>
        <v>1</v>
      </c>
      <c r="H347" s="9">
        <f t="shared" si="23"/>
        <v>0</v>
      </c>
      <c r="I347" s="10">
        <f t="shared" si="24"/>
        <v>1</v>
      </c>
    </row>
    <row r="348" spans="1:9" x14ac:dyDescent="0.25">
      <c r="A348" s="1" t="s">
        <v>129</v>
      </c>
      <c r="B348" s="1" t="s">
        <v>128</v>
      </c>
      <c r="C348" s="1" t="s">
        <v>121</v>
      </c>
      <c r="D348" s="1" t="s">
        <v>1406</v>
      </c>
      <c r="E348" s="1" t="s">
        <v>104</v>
      </c>
      <c r="F348" s="9">
        <f t="shared" si="21"/>
        <v>0</v>
      </c>
      <c r="G348" s="9">
        <f t="shared" si="22"/>
        <v>5</v>
      </c>
      <c r="H348" s="9">
        <f t="shared" si="23"/>
        <v>0</v>
      </c>
      <c r="I348" s="10">
        <f t="shared" si="24"/>
        <v>5</v>
      </c>
    </row>
    <row r="349" spans="1:9" x14ac:dyDescent="0.25">
      <c r="A349" s="1" t="s">
        <v>1859</v>
      </c>
      <c r="B349" s="1" t="s">
        <v>1860</v>
      </c>
      <c r="C349" s="1" t="s">
        <v>121</v>
      </c>
      <c r="D349" s="1" t="s">
        <v>1406</v>
      </c>
      <c r="E349" s="1" t="s">
        <v>104</v>
      </c>
      <c r="F349" s="9">
        <f t="shared" si="21"/>
        <v>0</v>
      </c>
      <c r="G349" s="9">
        <f t="shared" si="22"/>
        <v>5</v>
      </c>
      <c r="H349" s="9">
        <f t="shared" si="23"/>
        <v>0</v>
      </c>
      <c r="I349" s="10">
        <f t="shared" si="24"/>
        <v>5</v>
      </c>
    </row>
    <row r="350" spans="1:9" x14ac:dyDescent="0.25">
      <c r="A350" s="1" t="s">
        <v>133</v>
      </c>
      <c r="B350" s="1" t="s">
        <v>132</v>
      </c>
      <c r="C350" s="1" t="s">
        <v>121</v>
      </c>
      <c r="D350" s="1" t="s">
        <v>1406</v>
      </c>
      <c r="E350" s="1" t="s">
        <v>104</v>
      </c>
      <c r="F350" s="9">
        <f t="shared" si="21"/>
        <v>0</v>
      </c>
      <c r="G350" s="9">
        <f t="shared" si="22"/>
        <v>3</v>
      </c>
      <c r="H350" s="9">
        <f t="shared" si="23"/>
        <v>0</v>
      </c>
      <c r="I350" s="10">
        <f t="shared" si="24"/>
        <v>3</v>
      </c>
    </row>
    <row r="351" spans="1:9" x14ac:dyDescent="0.25">
      <c r="A351" s="1" t="s">
        <v>137</v>
      </c>
      <c r="B351" s="1" t="s">
        <v>136</v>
      </c>
      <c r="C351" s="1" t="s">
        <v>121</v>
      </c>
      <c r="D351" s="1" t="s">
        <v>1406</v>
      </c>
      <c r="E351" s="1" t="s">
        <v>104</v>
      </c>
      <c r="F351" s="9">
        <f t="shared" si="21"/>
        <v>0</v>
      </c>
      <c r="G351" s="9">
        <f t="shared" si="22"/>
        <v>0</v>
      </c>
      <c r="H351" s="9">
        <f t="shared" si="23"/>
        <v>0</v>
      </c>
      <c r="I351" s="10">
        <f t="shared" si="24"/>
        <v>0</v>
      </c>
    </row>
    <row r="352" spans="1:9" x14ac:dyDescent="0.25">
      <c r="A352" s="1" t="s">
        <v>139</v>
      </c>
      <c r="B352" s="1" t="s">
        <v>138</v>
      </c>
      <c r="C352" s="1" t="s">
        <v>121</v>
      </c>
      <c r="D352" s="1" t="s">
        <v>1406</v>
      </c>
      <c r="E352" s="1" t="s">
        <v>104</v>
      </c>
      <c r="F352" s="9">
        <f t="shared" si="21"/>
        <v>0</v>
      </c>
      <c r="G352" s="9">
        <f t="shared" si="22"/>
        <v>8</v>
      </c>
      <c r="H352" s="9">
        <f t="shared" si="23"/>
        <v>0</v>
      </c>
      <c r="I352" s="10">
        <f t="shared" si="24"/>
        <v>8</v>
      </c>
    </row>
    <row r="353" spans="1:9" x14ac:dyDescent="0.25">
      <c r="A353" s="1" t="s">
        <v>141</v>
      </c>
      <c r="B353" s="1" t="s">
        <v>140</v>
      </c>
      <c r="C353" s="1" t="s">
        <v>121</v>
      </c>
      <c r="D353" s="1" t="s">
        <v>1406</v>
      </c>
      <c r="E353" s="1" t="s">
        <v>104</v>
      </c>
      <c r="F353" s="9">
        <f t="shared" si="21"/>
        <v>0</v>
      </c>
      <c r="G353" s="9">
        <f t="shared" si="22"/>
        <v>0</v>
      </c>
      <c r="H353" s="9">
        <f t="shared" si="23"/>
        <v>0</v>
      </c>
      <c r="I353" s="10">
        <f t="shared" si="24"/>
        <v>0</v>
      </c>
    </row>
    <row r="354" spans="1:9" x14ac:dyDescent="0.25">
      <c r="A354" s="1" t="s">
        <v>143</v>
      </c>
      <c r="B354" s="1" t="s">
        <v>142</v>
      </c>
      <c r="C354" s="1" t="s">
        <v>121</v>
      </c>
      <c r="D354" s="1" t="s">
        <v>1406</v>
      </c>
      <c r="E354" s="1" t="s">
        <v>104</v>
      </c>
      <c r="F354" s="9">
        <f t="shared" si="21"/>
        <v>0</v>
      </c>
      <c r="G354" s="9">
        <f t="shared" si="22"/>
        <v>0</v>
      </c>
      <c r="H354" s="9">
        <f t="shared" si="23"/>
        <v>0</v>
      </c>
      <c r="I354" s="10">
        <f t="shared" si="24"/>
        <v>0</v>
      </c>
    </row>
    <row r="355" spans="1:9" x14ac:dyDescent="0.25">
      <c r="A355" s="1" t="s">
        <v>145</v>
      </c>
      <c r="B355" s="1" t="s">
        <v>144</v>
      </c>
      <c r="C355" s="1" t="s">
        <v>121</v>
      </c>
      <c r="D355" s="1" t="s">
        <v>1406</v>
      </c>
      <c r="E355" s="1" t="s">
        <v>104</v>
      </c>
      <c r="F355" s="9">
        <f t="shared" si="21"/>
        <v>0</v>
      </c>
      <c r="G355" s="9">
        <f t="shared" si="22"/>
        <v>0</v>
      </c>
      <c r="H355" s="9">
        <f t="shared" si="23"/>
        <v>0</v>
      </c>
      <c r="I355" s="10">
        <f t="shared" si="24"/>
        <v>0</v>
      </c>
    </row>
    <row r="356" spans="1:9" x14ac:dyDescent="0.25">
      <c r="A356" s="1" t="s">
        <v>147</v>
      </c>
      <c r="B356" s="1" t="s">
        <v>146</v>
      </c>
      <c r="C356" s="1" t="s">
        <v>121</v>
      </c>
      <c r="D356" s="1" t="s">
        <v>1406</v>
      </c>
      <c r="E356" s="1" t="s">
        <v>104</v>
      </c>
      <c r="F356" s="9">
        <f t="shared" si="21"/>
        <v>0</v>
      </c>
      <c r="G356" s="9">
        <f t="shared" si="22"/>
        <v>0</v>
      </c>
      <c r="H356" s="9">
        <f t="shared" si="23"/>
        <v>0</v>
      </c>
      <c r="I356" s="10">
        <f t="shared" si="24"/>
        <v>0</v>
      </c>
    </row>
    <row r="357" spans="1:9" x14ac:dyDescent="0.25">
      <c r="A357" s="1" t="s">
        <v>1861</v>
      </c>
      <c r="B357" s="1" t="s">
        <v>1862</v>
      </c>
      <c r="C357" s="1" t="s">
        <v>121</v>
      </c>
      <c r="D357" s="1" t="s">
        <v>1406</v>
      </c>
      <c r="E357" s="1" t="s">
        <v>104</v>
      </c>
      <c r="F357" s="9">
        <f t="shared" si="21"/>
        <v>0</v>
      </c>
      <c r="G357" s="9">
        <f t="shared" si="22"/>
        <v>35</v>
      </c>
      <c r="H357" s="9">
        <f t="shared" si="23"/>
        <v>0</v>
      </c>
      <c r="I357" s="10">
        <f t="shared" si="24"/>
        <v>35</v>
      </c>
    </row>
    <row r="358" spans="1:9" x14ac:dyDescent="0.25">
      <c r="A358" s="1" t="s">
        <v>149</v>
      </c>
      <c r="B358" s="1" t="s">
        <v>148</v>
      </c>
      <c r="C358" s="1" t="s">
        <v>121</v>
      </c>
      <c r="D358" s="1" t="s">
        <v>1406</v>
      </c>
      <c r="E358" s="1" t="s">
        <v>104</v>
      </c>
      <c r="F358" s="9">
        <f t="shared" si="21"/>
        <v>0</v>
      </c>
      <c r="G358" s="9">
        <f t="shared" si="22"/>
        <v>0</v>
      </c>
      <c r="H358" s="9">
        <f t="shared" si="23"/>
        <v>0</v>
      </c>
      <c r="I358" s="10">
        <f t="shared" si="24"/>
        <v>0</v>
      </c>
    </row>
    <row r="359" spans="1:9" x14ac:dyDescent="0.25">
      <c r="A359" s="1" t="s">
        <v>151</v>
      </c>
      <c r="B359" s="1" t="s">
        <v>150</v>
      </c>
      <c r="C359" s="1" t="s">
        <v>121</v>
      </c>
      <c r="D359" s="1" t="s">
        <v>1406</v>
      </c>
      <c r="E359" s="1" t="s">
        <v>104</v>
      </c>
      <c r="F359" s="9">
        <f t="shared" si="21"/>
        <v>0</v>
      </c>
      <c r="G359" s="9">
        <f t="shared" si="22"/>
        <v>0</v>
      </c>
      <c r="H359" s="9">
        <f t="shared" si="23"/>
        <v>0</v>
      </c>
      <c r="I359" s="10">
        <f t="shared" si="24"/>
        <v>0</v>
      </c>
    </row>
    <row r="360" spans="1:9" x14ac:dyDescent="0.25">
      <c r="A360" s="1" t="s">
        <v>1863</v>
      </c>
      <c r="B360" s="1" t="s">
        <v>1864</v>
      </c>
      <c r="C360" s="1" t="s">
        <v>121</v>
      </c>
      <c r="D360" s="1" t="s">
        <v>1406</v>
      </c>
      <c r="E360" s="1" t="s">
        <v>104</v>
      </c>
      <c r="F360" s="9">
        <f t="shared" si="21"/>
        <v>0</v>
      </c>
      <c r="G360" s="9">
        <f t="shared" si="22"/>
        <v>1</v>
      </c>
      <c r="H360" s="9">
        <f t="shared" si="23"/>
        <v>0</v>
      </c>
      <c r="I360" s="10">
        <f t="shared" si="24"/>
        <v>1</v>
      </c>
    </row>
    <row r="361" spans="1:9" x14ac:dyDescent="0.25">
      <c r="A361" s="1" t="s">
        <v>153</v>
      </c>
      <c r="B361" s="1" t="s">
        <v>152</v>
      </c>
      <c r="C361" s="1" t="s">
        <v>121</v>
      </c>
      <c r="D361" s="1" t="s">
        <v>1406</v>
      </c>
      <c r="E361" s="1" t="s">
        <v>104</v>
      </c>
      <c r="F361" s="9">
        <f t="shared" si="21"/>
        <v>0</v>
      </c>
      <c r="G361" s="9">
        <f t="shared" si="22"/>
        <v>0</v>
      </c>
      <c r="H361" s="9">
        <f t="shared" si="23"/>
        <v>0</v>
      </c>
      <c r="I361" s="10">
        <f t="shared" si="24"/>
        <v>0</v>
      </c>
    </row>
    <row r="362" spans="1:9" x14ac:dyDescent="0.25">
      <c r="A362" s="1" t="s">
        <v>155</v>
      </c>
      <c r="B362" s="1" t="s">
        <v>154</v>
      </c>
      <c r="C362" s="1" t="s">
        <v>121</v>
      </c>
      <c r="D362" s="1" t="s">
        <v>1406</v>
      </c>
      <c r="E362" s="1" t="s">
        <v>104</v>
      </c>
      <c r="F362" s="9">
        <f t="shared" si="21"/>
        <v>0</v>
      </c>
      <c r="G362" s="9">
        <f t="shared" si="22"/>
        <v>10</v>
      </c>
      <c r="H362" s="9">
        <f t="shared" si="23"/>
        <v>0</v>
      </c>
      <c r="I362" s="10">
        <f t="shared" si="24"/>
        <v>10</v>
      </c>
    </row>
    <row r="363" spans="1:9" x14ac:dyDescent="0.25">
      <c r="A363" s="1" t="s">
        <v>157</v>
      </c>
      <c r="B363" s="1" t="s">
        <v>156</v>
      </c>
      <c r="C363" s="1" t="s">
        <v>121</v>
      </c>
      <c r="D363" s="1" t="s">
        <v>1406</v>
      </c>
      <c r="E363" s="1" t="s">
        <v>104</v>
      </c>
      <c r="F363" s="9">
        <f t="shared" si="21"/>
        <v>0</v>
      </c>
      <c r="G363" s="9">
        <f t="shared" si="22"/>
        <v>0</v>
      </c>
      <c r="H363" s="9">
        <f t="shared" si="23"/>
        <v>0</v>
      </c>
      <c r="I363" s="10">
        <f t="shared" si="24"/>
        <v>0</v>
      </c>
    </row>
    <row r="364" spans="1:9" x14ac:dyDescent="0.25">
      <c r="A364" s="1" t="s">
        <v>159</v>
      </c>
      <c r="B364" s="1" t="s">
        <v>158</v>
      </c>
      <c r="C364" s="1" t="s">
        <v>121</v>
      </c>
      <c r="D364" s="1" t="s">
        <v>1406</v>
      </c>
      <c r="E364" s="1" t="s">
        <v>104</v>
      </c>
      <c r="F364" s="9">
        <f t="shared" si="21"/>
        <v>0</v>
      </c>
      <c r="G364" s="9">
        <f t="shared" si="22"/>
        <v>0</v>
      </c>
      <c r="H364" s="9">
        <f t="shared" si="23"/>
        <v>0</v>
      </c>
      <c r="I364" s="10">
        <f t="shared" si="24"/>
        <v>0</v>
      </c>
    </row>
    <row r="365" spans="1:9" x14ac:dyDescent="0.25">
      <c r="A365" s="1" t="s">
        <v>163</v>
      </c>
      <c r="B365" s="1" t="s">
        <v>162</v>
      </c>
      <c r="C365" s="1" t="s">
        <v>121</v>
      </c>
      <c r="D365" s="1" t="s">
        <v>1406</v>
      </c>
      <c r="E365" s="1" t="s">
        <v>104</v>
      </c>
      <c r="F365" s="9">
        <f t="shared" si="21"/>
        <v>0</v>
      </c>
      <c r="G365" s="9">
        <f t="shared" si="22"/>
        <v>1</v>
      </c>
      <c r="H365" s="9">
        <f t="shared" si="23"/>
        <v>0</v>
      </c>
      <c r="I365" s="10">
        <f t="shared" si="24"/>
        <v>1</v>
      </c>
    </row>
    <row r="366" spans="1:9" x14ac:dyDescent="0.25">
      <c r="A366" s="1" t="s">
        <v>165</v>
      </c>
      <c r="B366" s="1" t="s">
        <v>164</v>
      </c>
      <c r="C366" s="1" t="s">
        <v>121</v>
      </c>
      <c r="D366" s="1" t="s">
        <v>1406</v>
      </c>
      <c r="E366" s="1" t="s">
        <v>104</v>
      </c>
      <c r="F366" s="9">
        <f t="shared" si="21"/>
        <v>0</v>
      </c>
      <c r="G366" s="9">
        <f t="shared" si="22"/>
        <v>3</v>
      </c>
      <c r="H366" s="9">
        <f t="shared" si="23"/>
        <v>0</v>
      </c>
      <c r="I366" s="10">
        <f t="shared" si="24"/>
        <v>3</v>
      </c>
    </row>
    <row r="367" spans="1:9" x14ac:dyDescent="0.25">
      <c r="A367" s="1" t="s">
        <v>1865</v>
      </c>
      <c r="B367" s="1" t="s">
        <v>1866</v>
      </c>
      <c r="C367" s="1" t="s">
        <v>121</v>
      </c>
      <c r="D367" s="1" t="s">
        <v>1406</v>
      </c>
      <c r="E367" s="1" t="s">
        <v>101</v>
      </c>
      <c r="F367" s="9">
        <f t="shared" si="21"/>
        <v>0</v>
      </c>
      <c r="G367" s="9">
        <f t="shared" si="22"/>
        <v>17</v>
      </c>
      <c r="H367" s="9">
        <f t="shared" si="23"/>
        <v>0</v>
      </c>
      <c r="I367" s="10">
        <f t="shared" si="24"/>
        <v>17</v>
      </c>
    </row>
    <row r="368" spans="1:9" x14ac:dyDescent="0.25">
      <c r="A368" s="1" t="s">
        <v>1867</v>
      </c>
      <c r="B368" s="1" t="s">
        <v>1868</v>
      </c>
      <c r="C368" s="1" t="s">
        <v>232</v>
      </c>
      <c r="D368" s="1" t="s">
        <v>1406</v>
      </c>
      <c r="E368" s="1" t="s">
        <v>30</v>
      </c>
      <c r="F368" s="9">
        <f t="shared" si="21"/>
        <v>0</v>
      </c>
      <c r="G368" s="9">
        <f t="shared" si="22"/>
        <v>3</v>
      </c>
      <c r="H368" s="9">
        <f t="shared" si="23"/>
        <v>0</v>
      </c>
      <c r="I368" s="10">
        <f t="shared" si="24"/>
        <v>3</v>
      </c>
    </row>
    <row r="369" spans="1:9" x14ac:dyDescent="0.25">
      <c r="A369" s="1" t="s">
        <v>1869</v>
      </c>
      <c r="B369" s="1" t="s">
        <v>1870</v>
      </c>
      <c r="C369" s="1" t="s">
        <v>232</v>
      </c>
      <c r="D369" s="1" t="s">
        <v>1406</v>
      </c>
      <c r="E369" s="1" t="s">
        <v>30</v>
      </c>
      <c r="F369" s="9">
        <f t="shared" si="21"/>
        <v>0</v>
      </c>
      <c r="G369" s="9">
        <f t="shared" si="22"/>
        <v>73</v>
      </c>
      <c r="H369" s="9">
        <f t="shared" si="23"/>
        <v>0</v>
      </c>
      <c r="I369" s="10">
        <f t="shared" si="24"/>
        <v>73</v>
      </c>
    </row>
    <row r="370" spans="1:9" x14ac:dyDescent="0.25">
      <c r="A370" s="1" t="s">
        <v>231</v>
      </c>
      <c r="B370" s="1" t="s">
        <v>230</v>
      </c>
      <c r="C370" s="1" t="s">
        <v>232</v>
      </c>
      <c r="D370" s="1" t="s">
        <v>1406</v>
      </c>
      <c r="E370" s="1" t="s">
        <v>30</v>
      </c>
      <c r="F370" s="9">
        <f t="shared" si="21"/>
        <v>0</v>
      </c>
      <c r="G370" s="9">
        <f t="shared" si="22"/>
        <v>4</v>
      </c>
      <c r="H370" s="9">
        <f t="shared" si="23"/>
        <v>0</v>
      </c>
      <c r="I370" s="10">
        <f t="shared" si="24"/>
        <v>4</v>
      </c>
    </row>
    <row r="371" spans="1:9" x14ac:dyDescent="0.25">
      <c r="A371" s="1" t="s">
        <v>1871</v>
      </c>
      <c r="B371" s="1" t="s">
        <v>1872</v>
      </c>
      <c r="C371" s="1" t="s">
        <v>232</v>
      </c>
      <c r="D371" s="1" t="s">
        <v>1406</v>
      </c>
      <c r="E371" s="1" t="s">
        <v>30</v>
      </c>
      <c r="F371" s="9">
        <f t="shared" si="21"/>
        <v>0</v>
      </c>
      <c r="G371" s="9">
        <f t="shared" si="22"/>
        <v>40</v>
      </c>
      <c r="H371" s="9">
        <f t="shared" si="23"/>
        <v>0</v>
      </c>
      <c r="I371" s="10">
        <f t="shared" si="24"/>
        <v>40</v>
      </c>
    </row>
    <row r="372" spans="1:9" x14ac:dyDescent="0.25">
      <c r="A372" s="1" t="s">
        <v>1873</v>
      </c>
      <c r="B372" s="1" t="s">
        <v>1874</v>
      </c>
      <c r="C372" s="1" t="s">
        <v>232</v>
      </c>
      <c r="D372" s="1" t="s">
        <v>1406</v>
      </c>
      <c r="E372" s="1" t="s">
        <v>30</v>
      </c>
      <c r="F372" s="9">
        <f t="shared" si="21"/>
        <v>0</v>
      </c>
      <c r="G372" s="9">
        <f t="shared" si="22"/>
        <v>30</v>
      </c>
      <c r="H372" s="9">
        <f t="shared" si="23"/>
        <v>0</v>
      </c>
      <c r="I372" s="10">
        <f t="shared" si="24"/>
        <v>30</v>
      </c>
    </row>
    <row r="373" spans="1:9" x14ac:dyDescent="0.25">
      <c r="A373" s="1" t="s">
        <v>1875</v>
      </c>
      <c r="B373" s="1" t="s">
        <v>1876</v>
      </c>
      <c r="C373" s="1" t="s">
        <v>232</v>
      </c>
      <c r="D373" s="1" t="s">
        <v>1406</v>
      </c>
      <c r="E373" s="1" t="s">
        <v>30</v>
      </c>
      <c r="F373" s="9">
        <f t="shared" si="21"/>
        <v>0</v>
      </c>
      <c r="G373" s="9">
        <f t="shared" si="22"/>
        <v>4</v>
      </c>
      <c r="H373" s="9">
        <f t="shared" si="23"/>
        <v>0</v>
      </c>
      <c r="I373" s="10">
        <f t="shared" si="24"/>
        <v>4</v>
      </c>
    </row>
    <row r="374" spans="1:9" x14ac:dyDescent="0.25">
      <c r="A374" s="1" t="s">
        <v>234</v>
      </c>
      <c r="B374" s="1" t="s">
        <v>233</v>
      </c>
      <c r="C374" s="1" t="s">
        <v>232</v>
      </c>
      <c r="D374" s="1" t="s">
        <v>1406</v>
      </c>
      <c r="E374" s="1" t="s">
        <v>30</v>
      </c>
      <c r="F374" s="9">
        <f t="shared" si="21"/>
        <v>0</v>
      </c>
      <c r="G374" s="9">
        <f t="shared" si="22"/>
        <v>55</v>
      </c>
      <c r="H374" s="9">
        <f t="shared" si="23"/>
        <v>0</v>
      </c>
      <c r="I374" s="10">
        <f t="shared" si="24"/>
        <v>55</v>
      </c>
    </row>
    <row r="375" spans="1:9" x14ac:dyDescent="0.25">
      <c r="A375" s="1" t="s">
        <v>236</v>
      </c>
      <c r="B375" s="1" t="s">
        <v>235</v>
      </c>
      <c r="C375" s="1" t="s">
        <v>232</v>
      </c>
      <c r="D375" s="1" t="s">
        <v>1406</v>
      </c>
      <c r="E375" s="1" t="s">
        <v>30</v>
      </c>
      <c r="F375" s="9">
        <f t="shared" si="21"/>
        <v>0</v>
      </c>
      <c r="G375" s="9">
        <f t="shared" si="22"/>
        <v>24</v>
      </c>
      <c r="H375" s="9">
        <f t="shared" si="23"/>
        <v>0</v>
      </c>
      <c r="I375" s="10">
        <f t="shared" si="24"/>
        <v>24</v>
      </c>
    </row>
    <row r="376" spans="1:9" x14ac:dyDescent="0.25">
      <c r="A376" s="1" t="s">
        <v>1877</v>
      </c>
      <c r="B376" s="1" t="s">
        <v>1878</v>
      </c>
      <c r="C376" s="1" t="s">
        <v>232</v>
      </c>
      <c r="D376" s="1" t="s">
        <v>1406</v>
      </c>
      <c r="E376" s="1" t="s">
        <v>30</v>
      </c>
      <c r="F376" s="9">
        <f t="shared" si="21"/>
        <v>0</v>
      </c>
      <c r="G376" s="9">
        <f t="shared" si="22"/>
        <v>40</v>
      </c>
      <c r="H376" s="9">
        <f t="shared" si="23"/>
        <v>0</v>
      </c>
      <c r="I376" s="10">
        <f t="shared" si="24"/>
        <v>40</v>
      </c>
    </row>
    <row r="377" spans="1:9" x14ac:dyDescent="0.25">
      <c r="A377" s="1" t="s">
        <v>1879</v>
      </c>
      <c r="B377" s="1" t="s">
        <v>1880</v>
      </c>
      <c r="C377" s="1" t="s">
        <v>232</v>
      </c>
      <c r="D377" s="1" t="s">
        <v>1406</v>
      </c>
      <c r="E377" s="1" t="s">
        <v>30</v>
      </c>
      <c r="F377" s="9">
        <f t="shared" si="21"/>
        <v>0</v>
      </c>
      <c r="G377" s="9">
        <f t="shared" si="22"/>
        <v>1</v>
      </c>
      <c r="H377" s="9">
        <f t="shared" si="23"/>
        <v>0</v>
      </c>
      <c r="I377" s="10">
        <f t="shared" si="24"/>
        <v>1</v>
      </c>
    </row>
    <row r="378" spans="1:9" x14ac:dyDescent="0.25">
      <c r="A378" s="1" t="s">
        <v>1881</v>
      </c>
      <c r="B378" s="1" t="s">
        <v>1882</v>
      </c>
      <c r="C378" s="1" t="s">
        <v>232</v>
      </c>
      <c r="D378" s="1" t="s">
        <v>1406</v>
      </c>
      <c r="E378" s="1" t="s">
        <v>30</v>
      </c>
      <c r="F378" s="9">
        <f t="shared" si="21"/>
        <v>34</v>
      </c>
      <c r="G378" s="9">
        <f t="shared" si="22"/>
        <v>46</v>
      </c>
      <c r="H378" s="9">
        <f t="shared" si="23"/>
        <v>0</v>
      </c>
      <c r="I378" s="10">
        <f t="shared" si="24"/>
        <v>80</v>
      </c>
    </row>
    <row r="379" spans="1:9" x14ac:dyDescent="0.25">
      <c r="A379" s="1" t="s">
        <v>1883</v>
      </c>
      <c r="B379" s="1" t="s">
        <v>1884</v>
      </c>
      <c r="C379" s="1" t="s">
        <v>232</v>
      </c>
      <c r="D379" s="1" t="s">
        <v>1406</v>
      </c>
      <c r="E379" s="1" t="s">
        <v>30</v>
      </c>
      <c r="F379" s="9">
        <f t="shared" si="21"/>
        <v>0</v>
      </c>
      <c r="G379" s="9">
        <f t="shared" si="22"/>
        <v>2186</v>
      </c>
      <c r="H379" s="9">
        <f t="shared" si="23"/>
        <v>0</v>
      </c>
      <c r="I379" s="10">
        <f t="shared" si="24"/>
        <v>2186</v>
      </c>
    </row>
    <row r="380" spans="1:9" x14ac:dyDescent="0.25">
      <c r="A380" s="1" t="s">
        <v>1885</v>
      </c>
      <c r="B380" s="1" t="s">
        <v>1886</v>
      </c>
      <c r="C380" s="1" t="s">
        <v>232</v>
      </c>
      <c r="D380" s="1" t="s">
        <v>1406</v>
      </c>
      <c r="E380" s="1" t="s">
        <v>30</v>
      </c>
      <c r="F380" s="9">
        <f t="shared" si="21"/>
        <v>0</v>
      </c>
      <c r="G380" s="9">
        <f t="shared" si="22"/>
        <v>24</v>
      </c>
      <c r="H380" s="9">
        <f t="shared" si="23"/>
        <v>0</v>
      </c>
      <c r="I380" s="10">
        <f t="shared" si="24"/>
        <v>24</v>
      </c>
    </row>
    <row r="381" spans="1:9" x14ac:dyDescent="0.25">
      <c r="A381" s="1" t="s">
        <v>1887</v>
      </c>
      <c r="B381" s="1" t="s">
        <v>1888</v>
      </c>
      <c r="C381" s="1" t="s">
        <v>232</v>
      </c>
      <c r="D381" s="1" t="s">
        <v>1406</v>
      </c>
      <c r="E381" s="1" t="s">
        <v>30</v>
      </c>
      <c r="F381" s="9">
        <f t="shared" si="21"/>
        <v>0</v>
      </c>
      <c r="G381" s="9">
        <f t="shared" si="22"/>
        <v>24</v>
      </c>
      <c r="H381" s="9">
        <f t="shared" si="23"/>
        <v>0</v>
      </c>
      <c r="I381" s="10">
        <f t="shared" si="24"/>
        <v>24</v>
      </c>
    </row>
    <row r="382" spans="1:9" x14ac:dyDescent="0.25">
      <c r="A382" s="1" t="s">
        <v>1889</v>
      </c>
      <c r="B382" s="1" t="s">
        <v>1890</v>
      </c>
      <c r="C382" s="1" t="s">
        <v>232</v>
      </c>
      <c r="D382" s="1" t="s">
        <v>1406</v>
      </c>
      <c r="E382" s="1" t="s">
        <v>30</v>
      </c>
      <c r="F382" s="9">
        <f t="shared" si="21"/>
        <v>0</v>
      </c>
      <c r="G382" s="9">
        <f t="shared" si="22"/>
        <v>39</v>
      </c>
      <c r="H382" s="9">
        <f t="shared" si="23"/>
        <v>0</v>
      </c>
      <c r="I382" s="10">
        <f t="shared" si="24"/>
        <v>39</v>
      </c>
    </row>
    <row r="383" spans="1:9" x14ac:dyDescent="0.25">
      <c r="A383" s="1" t="s">
        <v>1891</v>
      </c>
      <c r="B383" s="1" t="s">
        <v>1892</v>
      </c>
      <c r="C383" s="1" t="s">
        <v>232</v>
      </c>
      <c r="D383" s="1" t="s">
        <v>1406</v>
      </c>
      <c r="E383" s="1" t="s">
        <v>30</v>
      </c>
      <c r="F383" s="9">
        <f t="shared" si="21"/>
        <v>0</v>
      </c>
      <c r="G383" s="9">
        <f t="shared" si="22"/>
        <v>6</v>
      </c>
      <c r="H383" s="9">
        <f t="shared" si="23"/>
        <v>0</v>
      </c>
      <c r="I383" s="10">
        <f t="shared" si="24"/>
        <v>6</v>
      </c>
    </row>
    <row r="384" spans="1:9" x14ac:dyDescent="0.25">
      <c r="A384" s="1" t="s">
        <v>1893</v>
      </c>
      <c r="B384" s="1" t="s">
        <v>1894</v>
      </c>
      <c r="C384" s="1" t="s">
        <v>232</v>
      </c>
      <c r="D384" s="1" t="s">
        <v>1406</v>
      </c>
      <c r="E384" s="1" t="s">
        <v>30</v>
      </c>
      <c r="F384" s="9">
        <f t="shared" si="21"/>
        <v>0</v>
      </c>
      <c r="G384" s="9">
        <f t="shared" si="22"/>
        <v>6</v>
      </c>
      <c r="H384" s="9">
        <f t="shared" si="23"/>
        <v>0</v>
      </c>
      <c r="I384" s="10">
        <f t="shared" si="24"/>
        <v>6</v>
      </c>
    </row>
    <row r="385" spans="1:9" x14ac:dyDescent="0.25">
      <c r="A385" s="1" t="s">
        <v>1895</v>
      </c>
      <c r="B385" s="1" t="s">
        <v>1896</v>
      </c>
      <c r="C385" s="1" t="s">
        <v>232</v>
      </c>
      <c r="D385" s="1" t="s">
        <v>1406</v>
      </c>
      <c r="E385" s="1" t="s">
        <v>30</v>
      </c>
      <c r="F385" s="9">
        <f t="shared" si="21"/>
        <v>0</v>
      </c>
      <c r="G385" s="9">
        <f t="shared" si="22"/>
        <v>10</v>
      </c>
      <c r="H385" s="9">
        <f t="shared" si="23"/>
        <v>0</v>
      </c>
      <c r="I385" s="10">
        <f t="shared" si="24"/>
        <v>10</v>
      </c>
    </row>
    <row r="386" spans="1:9" x14ac:dyDescent="0.25">
      <c r="A386" s="1" t="s">
        <v>1897</v>
      </c>
      <c r="B386" s="1" t="s">
        <v>1898</v>
      </c>
      <c r="C386" s="1" t="s">
        <v>232</v>
      </c>
      <c r="D386" s="1" t="s">
        <v>1406</v>
      </c>
      <c r="E386" s="1" t="s">
        <v>30</v>
      </c>
      <c r="F386" s="9">
        <f t="shared" ref="F386:F449" si="25">IFERROR(VLOOKUP(A386,condi,8,0),0)</f>
        <v>0</v>
      </c>
      <c r="G386" s="9">
        <f t="shared" ref="G386:G449" si="26">IFERROR(VLOOKUP(A386,maqui,8,0),0)</f>
        <v>10</v>
      </c>
      <c r="H386" s="9">
        <f t="shared" ref="H386:H449" si="27">IFERROR(VLOOKUP(A386,ascint,8,0),0)</f>
        <v>0</v>
      </c>
      <c r="I386" s="10">
        <f t="shared" si="24"/>
        <v>10</v>
      </c>
    </row>
    <row r="387" spans="1:9" x14ac:dyDescent="0.25">
      <c r="A387" s="1" t="s">
        <v>1899</v>
      </c>
      <c r="B387" s="1" t="s">
        <v>1900</v>
      </c>
      <c r="C387" s="1" t="s">
        <v>232</v>
      </c>
      <c r="D387" s="1" t="s">
        <v>1406</v>
      </c>
      <c r="E387" s="1" t="s">
        <v>30</v>
      </c>
      <c r="F387" s="9">
        <f t="shared" si="25"/>
        <v>0</v>
      </c>
      <c r="G387" s="9">
        <f t="shared" si="26"/>
        <v>8</v>
      </c>
      <c r="H387" s="9">
        <f t="shared" si="27"/>
        <v>0</v>
      </c>
      <c r="I387" s="10">
        <f t="shared" si="24"/>
        <v>8</v>
      </c>
    </row>
    <row r="388" spans="1:9" x14ac:dyDescent="0.25">
      <c r="A388" s="1" t="s">
        <v>1901</v>
      </c>
      <c r="B388" s="1" t="s">
        <v>1902</v>
      </c>
      <c r="C388" s="1" t="s">
        <v>232</v>
      </c>
      <c r="D388" s="1" t="s">
        <v>1406</v>
      </c>
      <c r="E388" s="1" t="s">
        <v>30</v>
      </c>
      <c r="F388" s="9">
        <f t="shared" si="25"/>
        <v>0</v>
      </c>
      <c r="G388" s="9">
        <f t="shared" si="26"/>
        <v>37</v>
      </c>
      <c r="H388" s="9">
        <f t="shared" si="27"/>
        <v>0</v>
      </c>
      <c r="I388" s="10">
        <f t="shared" si="24"/>
        <v>37</v>
      </c>
    </row>
    <row r="389" spans="1:9" x14ac:dyDescent="0.25">
      <c r="A389" s="1" t="s">
        <v>1903</v>
      </c>
      <c r="B389" s="1" t="s">
        <v>1904</v>
      </c>
      <c r="C389" s="1" t="s">
        <v>232</v>
      </c>
      <c r="D389" s="1" t="s">
        <v>1406</v>
      </c>
      <c r="E389" s="1" t="s">
        <v>30</v>
      </c>
      <c r="F389" s="9">
        <f t="shared" si="25"/>
        <v>0</v>
      </c>
      <c r="G389" s="9">
        <f t="shared" si="26"/>
        <v>3</v>
      </c>
      <c r="H389" s="9">
        <f t="shared" si="27"/>
        <v>0</v>
      </c>
      <c r="I389" s="10">
        <f t="shared" si="24"/>
        <v>3</v>
      </c>
    </row>
    <row r="390" spans="1:9" x14ac:dyDescent="0.25">
      <c r="A390" s="1" t="s">
        <v>1905</v>
      </c>
      <c r="B390" s="1" t="s">
        <v>1906</v>
      </c>
      <c r="C390" s="1" t="s">
        <v>232</v>
      </c>
      <c r="D390" s="1" t="s">
        <v>1406</v>
      </c>
      <c r="E390" s="1" t="s">
        <v>30</v>
      </c>
      <c r="F390" s="9">
        <f t="shared" si="25"/>
        <v>1</v>
      </c>
      <c r="G390" s="9">
        <f t="shared" si="26"/>
        <v>6</v>
      </c>
      <c r="H390" s="9">
        <f t="shared" si="27"/>
        <v>0</v>
      </c>
      <c r="I390" s="10">
        <f t="shared" si="24"/>
        <v>7</v>
      </c>
    </row>
    <row r="391" spans="1:9" x14ac:dyDescent="0.25">
      <c r="A391" s="1" t="s">
        <v>1907</v>
      </c>
      <c r="B391" s="1" t="s">
        <v>1908</v>
      </c>
      <c r="C391" s="1" t="s">
        <v>232</v>
      </c>
      <c r="D391" s="1" t="s">
        <v>1406</v>
      </c>
      <c r="E391" s="1" t="s">
        <v>30</v>
      </c>
      <c r="F391" s="9">
        <f t="shared" si="25"/>
        <v>0</v>
      </c>
      <c r="G391" s="9">
        <f t="shared" si="26"/>
        <v>0</v>
      </c>
      <c r="H391" s="9">
        <f t="shared" si="27"/>
        <v>0</v>
      </c>
      <c r="I391" s="10">
        <f t="shared" si="24"/>
        <v>0</v>
      </c>
    </row>
    <row r="392" spans="1:9" x14ac:dyDescent="0.25">
      <c r="A392" s="1" t="s">
        <v>1909</v>
      </c>
      <c r="B392" s="1" t="s">
        <v>1910</v>
      </c>
      <c r="C392" s="1" t="s">
        <v>232</v>
      </c>
      <c r="D392" s="1" t="s">
        <v>1406</v>
      </c>
      <c r="E392" s="1" t="s">
        <v>30</v>
      </c>
      <c r="F392" s="9">
        <f t="shared" si="25"/>
        <v>0</v>
      </c>
      <c r="G392" s="9">
        <f t="shared" si="26"/>
        <v>0</v>
      </c>
      <c r="H392" s="9">
        <f t="shared" si="27"/>
        <v>0</v>
      </c>
      <c r="I392" s="10">
        <f t="shared" ref="I392:I455" si="28">+F392+G392+H392</f>
        <v>0</v>
      </c>
    </row>
    <row r="393" spans="1:9" x14ac:dyDescent="0.25">
      <c r="A393" s="1" t="s">
        <v>1911</v>
      </c>
      <c r="B393" s="1" t="s">
        <v>1912</v>
      </c>
      <c r="C393" s="1" t="s">
        <v>232</v>
      </c>
      <c r="D393" s="1" t="s">
        <v>1406</v>
      </c>
      <c r="E393" s="1" t="s">
        <v>30</v>
      </c>
      <c r="F393" s="9">
        <f t="shared" si="25"/>
        <v>0</v>
      </c>
      <c r="G393" s="9">
        <f t="shared" si="26"/>
        <v>27</v>
      </c>
      <c r="H393" s="9">
        <f t="shared" si="27"/>
        <v>0</v>
      </c>
      <c r="I393" s="10">
        <f t="shared" si="28"/>
        <v>27</v>
      </c>
    </row>
    <row r="394" spans="1:9" x14ac:dyDescent="0.25">
      <c r="A394" s="1" t="s">
        <v>1913</v>
      </c>
      <c r="B394" s="1" t="s">
        <v>1914</v>
      </c>
      <c r="C394" s="1" t="s">
        <v>232</v>
      </c>
      <c r="D394" s="1" t="s">
        <v>1406</v>
      </c>
      <c r="E394" s="1" t="s">
        <v>30</v>
      </c>
      <c r="F394" s="9">
        <f t="shared" si="25"/>
        <v>2</v>
      </c>
      <c r="G394" s="9">
        <f t="shared" si="26"/>
        <v>150</v>
      </c>
      <c r="H394" s="9">
        <f t="shared" si="27"/>
        <v>0</v>
      </c>
      <c r="I394" s="10">
        <f t="shared" si="28"/>
        <v>152</v>
      </c>
    </row>
    <row r="395" spans="1:9" x14ac:dyDescent="0.25">
      <c r="A395" s="1" t="s">
        <v>1915</v>
      </c>
      <c r="B395" s="1" t="s">
        <v>1916</v>
      </c>
      <c r="C395" s="1" t="s">
        <v>232</v>
      </c>
      <c r="D395" s="1" t="s">
        <v>1406</v>
      </c>
      <c r="E395" s="1" t="s">
        <v>30</v>
      </c>
      <c r="F395" s="9">
        <f t="shared" si="25"/>
        <v>0</v>
      </c>
      <c r="G395" s="9">
        <f t="shared" si="26"/>
        <v>46</v>
      </c>
      <c r="H395" s="9">
        <f t="shared" si="27"/>
        <v>0</v>
      </c>
      <c r="I395" s="10">
        <f t="shared" si="28"/>
        <v>46</v>
      </c>
    </row>
    <row r="396" spans="1:9" x14ac:dyDescent="0.25">
      <c r="A396" s="1" t="s">
        <v>1917</v>
      </c>
      <c r="B396" s="1" t="s">
        <v>1918</v>
      </c>
      <c r="C396" s="1" t="s">
        <v>232</v>
      </c>
      <c r="D396" s="1" t="s">
        <v>1406</v>
      </c>
      <c r="E396" s="1" t="s">
        <v>30</v>
      </c>
      <c r="F396" s="9">
        <f t="shared" si="25"/>
        <v>0</v>
      </c>
      <c r="G396" s="9">
        <f t="shared" si="26"/>
        <v>22</v>
      </c>
      <c r="H396" s="9">
        <f t="shared" si="27"/>
        <v>0</v>
      </c>
      <c r="I396" s="10">
        <f t="shared" si="28"/>
        <v>22</v>
      </c>
    </row>
    <row r="397" spans="1:9" x14ac:dyDescent="0.25">
      <c r="A397" s="1" t="s">
        <v>238</v>
      </c>
      <c r="B397" s="1" t="s">
        <v>237</v>
      </c>
      <c r="C397" s="1" t="s">
        <v>232</v>
      </c>
      <c r="D397" s="1" t="s">
        <v>1406</v>
      </c>
      <c r="E397" s="1" t="s">
        <v>30</v>
      </c>
      <c r="F397" s="9">
        <f t="shared" si="25"/>
        <v>0</v>
      </c>
      <c r="G397" s="9">
        <f t="shared" si="26"/>
        <v>6</v>
      </c>
      <c r="H397" s="9">
        <f t="shared" si="27"/>
        <v>0</v>
      </c>
      <c r="I397" s="10">
        <f t="shared" si="28"/>
        <v>6</v>
      </c>
    </row>
    <row r="398" spans="1:9" x14ac:dyDescent="0.25">
      <c r="A398" s="1" t="s">
        <v>1919</v>
      </c>
      <c r="B398" s="1" t="s">
        <v>1920</v>
      </c>
      <c r="C398" s="1" t="s">
        <v>232</v>
      </c>
      <c r="D398" s="1" t="s">
        <v>1406</v>
      </c>
      <c r="E398" s="1" t="s">
        <v>30</v>
      </c>
      <c r="F398" s="9">
        <f t="shared" si="25"/>
        <v>0</v>
      </c>
      <c r="G398" s="9">
        <f t="shared" si="26"/>
        <v>6</v>
      </c>
      <c r="H398" s="9">
        <f t="shared" si="27"/>
        <v>0</v>
      </c>
      <c r="I398" s="10">
        <f t="shared" si="28"/>
        <v>6</v>
      </c>
    </row>
    <row r="399" spans="1:9" x14ac:dyDescent="0.25">
      <c r="A399" s="1" t="s">
        <v>1921</v>
      </c>
      <c r="B399" s="1" t="s">
        <v>1922</v>
      </c>
      <c r="C399" s="1" t="s">
        <v>232</v>
      </c>
      <c r="D399" s="1" t="s">
        <v>1406</v>
      </c>
      <c r="E399" s="1" t="s">
        <v>30</v>
      </c>
      <c r="F399" s="9">
        <f t="shared" si="25"/>
        <v>0</v>
      </c>
      <c r="G399" s="9">
        <f t="shared" si="26"/>
        <v>6</v>
      </c>
      <c r="H399" s="9">
        <f t="shared" si="27"/>
        <v>0</v>
      </c>
      <c r="I399" s="10">
        <f t="shared" si="28"/>
        <v>6</v>
      </c>
    </row>
    <row r="400" spans="1:9" x14ac:dyDescent="0.25">
      <c r="A400" s="1" t="s">
        <v>1923</v>
      </c>
      <c r="B400" s="1" t="s">
        <v>1924</v>
      </c>
      <c r="C400" s="1" t="s">
        <v>232</v>
      </c>
      <c r="D400" s="1" t="s">
        <v>1406</v>
      </c>
      <c r="E400" s="1" t="s">
        <v>30</v>
      </c>
      <c r="F400" s="9">
        <f t="shared" si="25"/>
        <v>0</v>
      </c>
      <c r="G400" s="9">
        <f t="shared" si="26"/>
        <v>50</v>
      </c>
      <c r="H400" s="9">
        <f t="shared" si="27"/>
        <v>0</v>
      </c>
      <c r="I400" s="10">
        <f t="shared" si="28"/>
        <v>50</v>
      </c>
    </row>
    <row r="401" spans="1:9" x14ac:dyDescent="0.25">
      <c r="A401" s="1" t="s">
        <v>240</v>
      </c>
      <c r="B401" s="1" t="s">
        <v>239</v>
      </c>
      <c r="C401" s="1" t="s">
        <v>232</v>
      </c>
      <c r="D401" s="1" t="s">
        <v>1406</v>
      </c>
      <c r="E401" s="1" t="s">
        <v>30</v>
      </c>
      <c r="F401" s="9">
        <f t="shared" si="25"/>
        <v>0</v>
      </c>
      <c r="G401" s="9">
        <f t="shared" si="26"/>
        <v>1</v>
      </c>
      <c r="H401" s="9">
        <f t="shared" si="27"/>
        <v>0</v>
      </c>
      <c r="I401" s="10">
        <f t="shared" si="28"/>
        <v>1</v>
      </c>
    </row>
    <row r="402" spans="1:9" x14ac:dyDescent="0.25">
      <c r="A402" s="1" t="s">
        <v>246</v>
      </c>
      <c r="B402" s="1" t="s">
        <v>245</v>
      </c>
      <c r="C402" s="1" t="s">
        <v>232</v>
      </c>
      <c r="D402" s="1" t="s">
        <v>1406</v>
      </c>
      <c r="E402" s="1" t="s">
        <v>30</v>
      </c>
      <c r="F402" s="9">
        <f t="shared" si="25"/>
        <v>0</v>
      </c>
      <c r="G402" s="9">
        <f t="shared" si="26"/>
        <v>0</v>
      </c>
      <c r="H402" s="9">
        <f t="shared" si="27"/>
        <v>0</v>
      </c>
      <c r="I402" s="10">
        <f t="shared" si="28"/>
        <v>0</v>
      </c>
    </row>
    <row r="403" spans="1:9" x14ac:dyDescent="0.25">
      <c r="A403" s="1" t="s">
        <v>248</v>
      </c>
      <c r="B403" s="1" t="s">
        <v>247</v>
      </c>
      <c r="C403" s="1" t="s">
        <v>232</v>
      </c>
      <c r="D403" s="1" t="s">
        <v>1406</v>
      </c>
      <c r="E403" s="1" t="s">
        <v>30</v>
      </c>
      <c r="F403" s="9">
        <f t="shared" si="25"/>
        <v>0</v>
      </c>
      <c r="G403" s="9">
        <f t="shared" si="26"/>
        <v>11</v>
      </c>
      <c r="H403" s="9">
        <f t="shared" si="27"/>
        <v>0</v>
      </c>
      <c r="I403" s="10">
        <f t="shared" si="28"/>
        <v>11</v>
      </c>
    </row>
    <row r="404" spans="1:9" x14ac:dyDescent="0.25">
      <c r="A404" s="1" t="s">
        <v>250</v>
      </c>
      <c r="B404" s="1" t="s">
        <v>249</v>
      </c>
      <c r="C404" s="1" t="s">
        <v>232</v>
      </c>
      <c r="D404" s="1" t="s">
        <v>1406</v>
      </c>
      <c r="E404" s="1" t="s">
        <v>30</v>
      </c>
      <c r="F404" s="9">
        <f t="shared" si="25"/>
        <v>0</v>
      </c>
      <c r="G404" s="9">
        <f t="shared" si="26"/>
        <v>26</v>
      </c>
      <c r="H404" s="9">
        <f t="shared" si="27"/>
        <v>0</v>
      </c>
      <c r="I404" s="10">
        <f t="shared" si="28"/>
        <v>26</v>
      </c>
    </row>
    <row r="405" spans="1:9" x14ac:dyDescent="0.25">
      <c r="A405" s="1" t="s">
        <v>254</v>
      </c>
      <c r="B405" s="1" t="s">
        <v>253</v>
      </c>
      <c r="C405" s="1" t="s">
        <v>232</v>
      </c>
      <c r="D405" s="1" t="s">
        <v>1406</v>
      </c>
      <c r="E405" s="1" t="s">
        <v>30</v>
      </c>
      <c r="F405" s="9">
        <f t="shared" si="25"/>
        <v>0</v>
      </c>
      <c r="G405" s="9">
        <f t="shared" si="26"/>
        <v>0</v>
      </c>
      <c r="H405" s="9">
        <f t="shared" si="27"/>
        <v>0</v>
      </c>
      <c r="I405" s="10">
        <f t="shared" si="28"/>
        <v>0</v>
      </c>
    </row>
    <row r="406" spans="1:9" x14ac:dyDescent="0.25">
      <c r="A406" s="1" t="s">
        <v>256</v>
      </c>
      <c r="B406" s="1" t="s">
        <v>255</v>
      </c>
      <c r="C406" s="1" t="s">
        <v>232</v>
      </c>
      <c r="D406" s="1" t="s">
        <v>1406</v>
      </c>
      <c r="E406" s="1" t="s">
        <v>30</v>
      </c>
      <c r="F406" s="9">
        <f t="shared" si="25"/>
        <v>0</v>
      </c>
      <c r="G406" s="9">
        <f t="shared" si="26"/>
        <v>16</v>
      </c>
      <c r="H406" s="9">
        <f t="shared" si="27"/>
        <v>0</v>
      </c>
      <c r="I406" s="10">
        <f t="shared" si="28"/>
        <v>16</v>
      </c>
    </row>
    <row r="407" spans="1:9" x14ac:dyDescent="0.25">
      <c r="A407" s="1" t="s">
        <v>258</v>
      </c>
      <c r="B407" s="1" t="s">
        <v>257</v>
      </c>
      <c r="C407" s="1" t="s">
        <v>232</v>
      </c>
      <c r="D407" s="1" t="s">
        <v>1406</v>
      </c>
      <c r="E407" s="1" t="s">
        <v>30</v>
      </c>
      <c r="F407" s="9">
        <f t="shared" si="25"/>
        <v>0</v>
      </c>
      <c r="G407" s="9">
        <f t="shared" si="26"/>
        <v>5</v>
      </c>
      <c r="H407" s="9">
        <f t="shared" si="27"/>
        <v>0</v>
      </c>
      <c r="I407" s="10">
        <f t="shared" si="28"/>
        <v>5</v>
      </c>
    </row>
    <row r="408" spans="1:9" x14ac:dyDescent="0.25">
      <c r="A408" s="1" t="s">
        <v>260</v>
      </c>
      <c r="B408" s="1" t="s">
        <v>259</v>
      </c>
      <c r="C408" s="1" t="s">
        <v>232</v>
      </c>
      <c r="D408" s="1" t="s">
        <v>1406</v>
      </c>
      <c r="E408" s="1" t="s">
        <v>30</v>
      </c>
      <c r="F408" s="9">
        <f t="shared" si="25"/>
        <v>0</v>
      </c>
      <c r="G408" s="9">
        <f t="shared" si="26"/>
        <v>0</v>
      </c>
      <c r="H408" s="9">
        <f t="shared" si="27"/>
        <v>0</v>
      </c>
      <c r="I408" s="10">
        <f t="shared" si="28"/>
        <v>0</v>
      </c>
    </row>
    <row r="409" spans="1:9" x14ac:dyDescent="0.25">
      <c r="A409" s="1" t="s">
        <v>262</v>
      </c>
      <c r="B409" s="1" t="s">
        <v>261</v>
      </c>
      <c r="C409" s="1" t="s">
        <v>232</v>
      </c>
      <c r="D409" s="1" t="s">
        <v>1406</v>
      </c>
      <c r="E409" s="1" t="s">
        <v>30</v>
      </c>
      <c r="F409" s="9">
        <f t="shared" si="25"/>
        <v>0</v>
      </c>
      <c r="G409" s="9">
        <f t="shared" si="26"/>
        <v>0</v>
      </c>
      <c r="H409" s="9">
        <f t="shared" si="27"/>
        <v>0</v>
      </c>
      <c r="I409" s="10">
        <f t="shared" si="28"/>
        <v>0</v>
      </c>
    </row>
    <row r="410" spans="1:9" x14ac:dyDescent="0.25">
      <c r="A410" s="1" t="s">
        <v>264</v>
      </c>
      <c r="B410" s="1" t="s">
        <v>263</v>
      </c>
      <c r="C410" s="1" t="s">
        <v>232</v>
      </c>
      <c r="D410" s="1" t="s">
        <v>1406</v>
      </c>
      <c r="E410" s="1" t="s">
        <v>30</v>
      </c>
      <c r="F410" s="9">
        <f t="shared" si="25"/>
        <v>0</v>
      </c>
      <c r="G410" s="9">
        <f t="shared" si="26"/>
        <v>0</v>
      </c>
      <c r="H410" s="9">
        <f t="shared" si="27"/>
        <v>0</v>
      </c>
      <c r="I410" s="10">
        <f t="shared" si="28"/>
        <v>0</v>
      </c>
    </row>
    <row r="411" spans="1:9" x14ac:dyDescent="0.25">
      <c r="A411" s="1" t="s">
        <v>266</v>
      </c>
      <c r="B411" s="1" t="s">
        <v>265</v>
      </c>
      <c r="C411" s="1" t="s">
        <v>232</v>
      </c>
      <c r="D411" s="1" t="s">
        <v>1406</v>
      </c>
      <c r="E411" s="1" t="s">
        <v>30</v>
      </c>
      <c r="F411" s="9">
        <f t="shared" si="25"/>
        <v>0</v>
      </c>
      <c r="G411" s="9">
        <f t="shared" si="26"/>
        <v>4</v>
      </c>
      <c r="H411" s="9">
        <f t="shared" si="27"/>
        <v>0</v>
      </c>
      <c r="I411" s="10">
        <f t="shared" si="28"/>
        <v>4</v>
      </c>
    </row>
    <row r="412" spans="1:9" x14ac:dyDescent="0.25">
      <c r="A412" s="1" t="s">
        <v>268</v>
      </c>
      <c r="B412" s="1" t="s">
        <v>267</v>
      </c>
      <c r="C412" s="1" t="s">
        <v>232</v>
      </c>
      <c r="D412" s="1" t="s">
        <v>1406</v>
      </c>
      <c r="E412" s="1" t="s">
        <v>30</v>
      </c>
      <c r="F412" s="9">
        <f t="shared" si="25"/>
        <v>0</v>
      </c>
      <c r="G412" s="9">
        <f t="shared" si="26"/>
        <v>0</v>
      </c>
      <c r="H412" s="9">
        <f t="shared" si="27"/>
        <v>0</v>
      </c>
      <c r="I412" s="10">
        <f t="shared" si="28"/>
        <v>0</v>
      </c>
    </row>
    <row r="413" spans="1:9" x14ac:dyDescent="0.25">
      <c r="A413" s="1" t="s">
        <v>1925</v>
      </c>
      <c r="B413" s="1" t="s">
        <v>1926</v>
      </c>
      <c r="C413" s="1" t="s">
        <v>232</v>
      </c>
      <c r="D413" s="1" t="s">
        <v>1406</v>
      </c>
      <c r="E413" s="1" t="s">
        <v>30</v>
      </c>
      <c r="F413" s="9">
        <f t="shared" si="25"/>
        <v>0</v>
      </c>
      <c r="G413" s="9">
        <f t="shared" si="26"/>
        <v>20</v>
      </c>
      <c r="H413" s="9">
        <f t="shared" si="27"/>
        <v>0</v>
      </c>
      <c r="I413" s="10">
        <f t="shared" si="28"/>
        <v>20</v>
      </c>
    </row>
    <row r="414" spans="1:9" x14ac:dyDescent="0.25">
      <c r="A414" s="1" t="s">
        <v>1927</v>
      </c>
      <c r="B414" s="1" t="s">
        <v>1928</v>
      </c>
      <c r="C414" s="1" t="s">
        <v>232</v>
      </c>
      <c r="D414" s="1" t="s">
        <v>1406</v>
      </c>
      <c r="E414" s="1" t="s">
        <v>30</v>
      </c>
      <c r="F414" s="9">
        <f t="shared" si="25"/>
        <v>0</v>
      </c>
      <c r="G414" s="9">
        <f t="shared" si="26"/>
        <v>1</v>
      </c>
      <c r="H414" s="9">
        <f t="shared" si="27"/>
        <v>0</v>
      </c>
      <c r="I414" s="10">
        <f t="shared" si="28"/>
        <v>1</v>
      </c>
    </row>
    <row r="415" spans="1:9" x14ac:dyDescent="0.25">
      <c r="A415" s="1" t="s">
        <v>1929</v>
      </c>
      <c r="B415" s="1" t="s">
        <v>1930</v>
      </c>
      <c r="C415" s="1" t="s">
        <v>232</v>
      </c>
      <c r="D415" s="1" t="s">
        <v>1406</v>
      </c>
      <c r="E415" s="1" t="s">
        <v>30</v>
      </c>
      <c r="F415" s="9">
        <f t="shared" si="25"/>
        <v>0</v>
      </c>
      <c r="G415" s="9">
        <f t="shared" si="26"/>
        <v>2</v>
      </c>
      <c r="H415" s="9">
        <f t="shared" si="27"/>
        <v>0</v>
      </c>
      <c r="I415" s="10">
        <f t="shared" si="28"/>
        <v>2</v>
      </c>
    </row>
    <row r="416" spans="1:9" x14ac:dyDescent="0.25">
      <c r="A416" s="1" t="s">
        <v>270</v>
      </c>
      <c r="B416" s="1" t="s">
        <v>269</v>
      </c>
      <c r="C416" s="1" t="s">
        <v>232</v>
      </c>
      <c r="D416" s="1" t="s">
        <v>1406</v>
      </c>
      <c r="E416" s="1" t="s">
        <v>30</v>
      </c>
      <c r="F416" s="9">
        <f t="shared" si="25"/>
        <v>0</v>
      </c>
      <c r="G416" s="9">
        <f t="shared" si="26"/>
        <v>0</v>
      </c>
      <c r="H416" s="9">
        <f t="shared" si="27"/>
        <v>0</v>
      </c>
      <c r="I416" s="10">
        <f t="shared" si="28"/>
        <v>0</v>
      </c>
    </row>
    <row r="417" spans="1:9" x14ac:dyDescent="0.25">
      <c r="A417" s="1" t="s">
        <v>1931</v>
      </c>
      <c r="B417" s="1" t="s">
        <v>1932</v>
      </c>
      <c r="C417" s="1" t="s">
        <v>232</v>
      </c>
      <c r="D417" s="1" t="s">
        <v>1406</v>
      </c>
      <c r="E417" s="1" t="s">
        <v>30</v>
      </c>
      <c r="F417" s="9">
        <f t="shared" si="25"/>
        <v>0</v>
      </c>
      <c r="G417" s="9">
        <f t="shared" si="26"/>
        <v>3</v>
      </c>
      <c r="H417" s="9">
        <f t="shared" si="27"/>
        <v>0</v>
      </c>
      <c r="I417" s="10">
        <f t="shared" si="28"/>
        <v>3</v>
      </c>
    </row>
    <row r="418" spans="1:9" x14ac:dyDescent="0.25">
      <c r="A418" s="1" t="s">
        <v>272</v>
      </c>
      <c r="B418" s="1" t="s">
        <v>271</v>
      </c>
      <c r="C418" s="1" t="s">
        <v>232</v>
      </c>
      <c r="D418" s="1" t="s">
        <v>1406</v>
      </c>
      <c r="E418" s="1" t="s">
        <v>30</v>
      </c>
      <c r="F418" s="9">
        <f t="shared" si="25"/>
        <v>0</v>
      </c>
      <c r="G418" s="9">
        <f t="shared" si="26"/>
        <v>0</v>
      </c>
      <c r="H418" s="9">
        <f t="shared" si="27"/>
        <v>0</v>
      </c>
      <c r="I418" s="10">
        <f t="shared" si="28"/>
        <v>0</v>
      </c>
    </row>
    <row r="419" spans="1:9" x14ac:dyDescent="0.25">
      <c r="A419" s="1" t="s">
        <v>1933</v>
      </c>
      <c r="B419" s="1" t="s">
        <v>1934</v>
      </c>
      <c r="C419" s="1" t="s">
        <v>232</v>
      </c>
      <c r="D419" s="1" t="s">
        <v>1406</v>
      </c>
      <c r="E419" s="1" t="s">
        <v>30</v>
      </c>
      <c r="F419" s="9">
        <f t="shared" si="25"/>
        <v>0</v>
      </c>
      <c r="G419" s="9">
        <f t="shared" si="26"/>
        <v>9</v>
      </c>
      <c r="H419" s="9">
        <f t="shared" si="27"/>
        <v>0</v>
      </c>
      <c r="I419" s="10">
        <f t="shared" si="28"/>
        <v>9</v>
      </c>
    </row>
    <row r="420" spans="1:9" x14ac:dyDescent="0.25">
      <c r="A420" s="1" t="s">
        <v>274</v>
      </c>
      <c r="B420" s="1" t="s">
        <v>273</v>
      </c>
      <c r="C420" s="1" t="s">
        <v>232</v>
      </c>
      <c r="D420" s="1" t="s">
        <v>1406</v>
      </c>
      <c r="E420" s="1" t="s">
        <v>30</v>
      </c>
      <c r="F420" s="9">
        <f t="shared" si="25"/>
        <v>0</v>
      </c>
      <c r="G420" s="9">
        <f t="shared" si="26"/>
        <v>14</v>
      </c>
      <c r="H420" s="9">
        <f t="shared" si="27"/>
        <v>0</v>
      </c>
      <c r="I420" s="10">
        <f t="shared" si="28"/>
        <v>14</v>
      </c>
    </row>
    <row r="421" spans="1:9" x14ac:dyDescent="0.25">
      <c r="A421" s="1" t="s">
        <v>276</v>
      </c>
      <c r="B421" s="1" t="s">
        <v>275</v>
      </c>
      <c r="C421" s="1" t="s">
        <v>232</v>
      </c>
      <c r="D421" s="1" t="s">
        <v>1406</v>
      </c>
      <c r="E421" s="1" t="s">
        <v>30</v>
      </c>
      <c r="F421" s="9">
        <f t="shared" si="25"/>
        <v>0</v>
      </c>
      <c r="G421" s="9">
        <f t="shared" si="26"/>
        <v>38</v>
      </c>
      <c r="H421" s="9">
        <f t="shared" si="27"/>
        <v>0</v>
      </c>
      <c r="I421" s="10">
        <f t="shared" si="28"/>
        <v>38</v>
      </c>
    </row>
    <row r="422" spans="1:9" x14ac:dyDescent="0.25">
      <c r="A422" s="1" t="s">
        <v>280</v>
      </c>
      <c r="B422" s="1" t="s">
        <v>279</v>
      </c>
      <c r="C422" s="1" t="s">
        <v>232</v>
      </c>
      <c r="D422" s="1" t="s">
        <v>1406</v>
      </c>
      <c r="E422" s="1" t="s">
        <v>30</v>
      </c>
      <c r="F422" s="9">
        <f t="shared" si="25"/>
        <v>0</v>
      </c>
      <c r="G422" s="9">
        <f t="shared" si="26"/>
        <v>37</v>
      </c>
      <c r="H422" s="9">
        <f t="shared" si="27"/>
        <v>0</v>
      </c>
      <c r="I422" s="10">
        <f t="shared" si="28"/>
        <v>37</v>
      </c>
    </row>
    <row r="423" spans="1:9" x14ac:dyDescent="0.25">
      <c r="A423" s="1" t="s">
        <v>282</v>
      </c>
      <c r="B423" s="1" t="s">
        <v>281</v>
      </c>
      <c r="C423" s="1" t="s">
        <v>232</v>
      </c>
      <c r="D423" s="1" t="s">
        <v>1406</v>
      </c>
      <c r="E423" s="1" t="s">
        <v>30</v>
      </c>
      <c r="F423" s="9">
        <f t="shared" si="25"/>
        <v>0</v>
      </c>
      <c r="G423" s="9">
        <f t="shared" si="26"/>
        <v>0</v>
      </c>
      <c r="H423" s="9">
        <f t="shared" si="27"/>
        <v>0</v>
      </c>
      <c r="I423" s="10">
        <f t="shared" si="28"/>
        <v>0</v>
      </c>
    </row>
    <row r="424" spans="1:9" x14ac:dyDescent="0.25">
      <c r="A424" s="1" t="s">
        <v>1935</v>
      </c>
      <c r="B424" s="1" t="s">
        <v>1936</v>
      </c>
      <c r="C424" s="1" t="s">
        <v>232</v>
      </c>
      <c r="D424" s="1" t="s">
        <v>1406</v>
      </c>
      <c r="E424" s="1" t="s">
        <v>30</v>
      </c>
      <c r="F424" s="9">
        <f t="shared" si="25"/>
        <v>0</v>
      </c>
      <c r="G424" s="9">
        <f t="shared" si="26"/>
        <v>0</v>
      </c>
      <c r="H424" s="9">
        <f t="shared" si="27"/>
        <v>0</v>
      </c>
      <c r="I424" s="10">
        <f t="shared" si="28"/>
        <v>0</v>
      </c>
    </row>
    <row r="425" spans="1:9" x14ac:dyDescent="0.25">
      <c r="A425" s="1" t="s">
        <v>286</v>
      </c>
      <c r="B425" s="1" t="s">
        <v>285</v>
      </c>
      <c r="C425" s="1" t="s">
        <v>232</v>
      </c>
      <c r="D425" s="1" t="s">
        <v>1406</v>
      </c>
      <c r="E425" s="1" t="s">
        <v>30</v>
      </c>
      <c r="F425" s="9">
        <f t="shared" si="25"/>
        <v>0</v>
      </c>
      <c r="G425" s="9">
        <f t="shared" si="26"/>
        <v>1</v>
      </c>
      <c r="H425" s="9">
        <f t="shared" si="27"/>
        <v>0</v>
      </c>
      <c r="I425" s="10">
        <f t="shared" si="28"/>
        <v>1</v>
      </c>
    </row>
    <row r="426" spans="1:9" x14ac:dyDescent="0.25">
      <c r="A426" s="1" t="s">
        <v>288</v>
      </c>
      <c r="B426" s="1" t="s">
        <v>287</v>
      </c>
      <c r="C426" s="1" t="s">
        <v>232</v>
      </c>
      <c r="D426" s="1" t="s">
        <v>1406</v>
      </c>
      <c r="E426" s="1" t="s">
        <v>30</v>
      </c>
      <c r="F426" s="9">
        <f t="shared" si="25"/>
        <v>0</v>
      </c>
      <c r="G426" s="9">
        <f t="shared" si="26"/>
        <v>17</v>
      </c>
      <c r="H426" s="9">
        <f t="shared" si="27"/>
        <v>0</v>
      </c>
      <c r="I426" s="10">
        <f t="shared" si="28"/>
        <v>17</v>
      </c>
    </row>
    <row r="427" spans="1:9" x14ac:dyDescent="0.25">
      <c r="A427" s="1" t="s">
        <v>1937</v>
      </c>
      <c r="B427" s="1" t="s">
        <v>1938</v>
      </c>
      <c r="C427" s="1" t="s">
        <v>232</v>
      </c>
      <c r="D427" s="1" t="s">
        <v>1406</v>
      </c>
      <c r="E427" s="1" t="s">
        <v>30</v>
      </c>
      <c r="F427" s="9">
        <f t="shared" si="25"/>
        <v>0</v>
      </c>
      <c r="G427" s="9">
        <f t="shared" si="26"/>
        <v>10</v>
      </c>
      <c r="H427" s="9">
        <f t="shared" si="27"/>
        <v>0</v>
      </c>
      <c r="I427" s="10">
        <f t="shared" si="28"/>
        <v>10</v>
      </c>
    </row>
    <row r="428" spans="1:9" x14ac:dyDescent="0.25">
      <c r="A428" s="1" t="s">
        <v>290</v>
      </c>
      <c r="B428" s="1" t="s">
        <v>289</v>
      </c>
      <c r="C428" s="1" t="s">
        <v>232</v>
      </c>
      <c r="D428" s="1" t="s">
        <v>1406</v>
      </c>
      <c r="E428" s="1" t="s">
        <v>30</v>
      </c>
      <c r="F428" s="9">
        <f t="shared" si="25"/>
        <v>0</v>
      </c>
      <c r="G428" s="9">
        <f t="shared" si="26"/>
        <v>14</v>
      </c>
      <c r="H428" s="9">
        <f t="shared" si="27"/>
        <v>0</v>
      </c>
      <c r="I428" s="10">
        <f t="shared" si="28"/>
        <v>14</v>
      </c>
    </row>
    <row r="429" spans="1:9" x14ac:dyDescent="0.25">
      <c r="A429" s="1" t="s">
        <v>292</v>
      </c>
      <c r="B429" s="1" t="s">
        <v>291</v>
      </c>
      <c r="C429" s="1" t="s">
        <v>232</v>
      </c>
      <c r="D429" s="1" t="s">
        <v>1406</v>
      </c>
      <c r="E429" s="1" t="s">
        <v>30</v>
      </c>
      <c r="F429" s="9">
        <f t="shared" si="25"/>
        <v>0</v>
      </c>
      <c r="G429" s="9">
        <f t="shared" si="26"/>
        <v>50</v>
      </c>
      <c r="H429" s="9">
        <f t="shared" si="27"/>
        <v>0</v>
      </c>
      <c r="I429" s="10">
        <f t="shared" si="28"/>
        <v>50</v>
      </c>
    </row>
    <row r="430" spans="1:9" x14ac:dyDescent="0.25">
      <c r="A430" s="1" t="s">
        <v>294</v>
      </c>
      <c r="B430" s="1" t="s">
        <v>293</v>
      </c>
      <c r="C430" s="1" t="s">
        <v>232</v>
      </c>
      <c r="D430" s="1" t="s">
        <v>1406</v>
      </c>
      <c r="E430" s="1" t="s">
        <v>30</v>
      </c>
      <c r="F430" s="9">
        <f t="shared" si="25"/>
        <v>0</v>
      </c>
      <c r="G430" s="9">
        <f t="shared" si="26"/>
        <v>20</v>
      </c>
      <c r="H430" s="9">
        <f t="shared" si="27"/>
        <v>0</v>
      </c>
      <c r="I430" s="10">
        <f t="shared" si="28"/>
        <v>20</v>
      </c>
    </row>
    <row r="431" spans="1:9" x14ac:dyDescent="0.25">
      <c r="A431" s="1" t="s">
        <v>296</v>
      </c>
      <c r="B431" s="1" t="s">
        <v>295</v>
      </c>
      <c r="C431" s="1" t="s">
        <v>232</v>
      </c>
      <c r="D431" s="1" t="s">
        <v>1406</v>
      </c>
      <c r="E431" s="1" t="s">
        <v>30</v>
      </c>
      <c r="F431" s="9">
        <f t="shared" si="25"/>
        <v>0</v>
      </c>
      <c r="G431" s="9">
        <f t="shared" si="26"/>
        <v>2</v>
      </c>
      <c r="H431" s="9">
        <f t="shared" si="27"/>
        <v>0</v>
      </c>
      <c r="I431" s="10">
        <f t="shared" si="28"/>
        <v>2</v>
      </c>
    </row>
    <row r="432" spans="1:9" x14ac:dyDescent="0.25">
      <c r="A432" s="1" t="s">
        <v>298</v>
      </c>
      <c r="B432" s="1" t="s">
        <v>297</v>
      </c>
      <c r="C432" s="1" t="s">
        <v>232</v>
      </c>
      <c r="D432" s="1" t="s">
        <v>1406</v>
      </c>
      <c r="E432" s="1" t="s">
        <v>30</v>
      </c>
      <c r="F432" s="9">
        <f t="shared" si="25"/>
        <v>0</v>
      </c>
      <c r="G432" s="9">
        <f t="shared" si="26"/>
        <v>26</v>
      </c>
      <c r="H432" s="9">
        <f t="shared" si="27"/>
        <v>0</v>
      </c>
      <c r="I432" s="10">
        <f t="shared" si="28"/>
        <v>26</v>
      </c>
    </row>
    <row r="433" spans="1:9" x14ac:dyDescent="0.25">
      <c r="A433" s="1" t="s">
        <v>300</v>
      </c>
      <c r="B433" s="1" t="s">
        <v>299</v>
      </c>
      <c r="C433" s="1" t="s">
        <v>232</v>
      </c>
      <c r="D433" s="1" t="s">
        <v>1406</v>
      </c>
      <c r="E433" s="1" t="s">
        <v>30</v>
      </c>
      <c r="F433" s="9">
        <f t="shared" si="25"/>
        <v>0</v>
      </c>
      <c r="G433" s="9">
        <f t="shared" si="26"/>
        <v>0</v>
      </c>
      <c r="H433" s="9">
        <f t="shared" si="27"/>
        <v>0</v>
      </c>
      <c r="I433" s="10">
        <f t="shared" si="28"/>
        <v>0</v>
      </c>
    </row>
    <row r="434" spans="1:9" x14ac:dyDescent="0.25">
      <c r="A434" s="1" t="s">
        <v>302</v>
      </c>
      <c r="B434" s="1" t="s">
        <v>301</v>
      </c>
      <c r="C434" s="1" t="s">
        <v>232</v>
      </c>
      <c r="D434" s="1" t="s">
        <v>1406</v>
      </c>
      <c r="E434" s="1" t="s">
        <v>30</v>
      </c>
      <c r="F434" s="9">
        <f t="shared" si="25"/>
        <v>0</v>
      </c>
      <c r="G434" s="9">
        <f t="shared" si="26"/>
        <v>0</v>
      </c>
      <c r="H434" s="9">
        <f t="shared" si="27"/>
        <v>0</v>
      </c>
      <c r="I434" s="10">
        <f t="shared" si="28"/>
        <v>0</v>
      </c>
    </row>
    <row r="435" spans="1:9" x14ac:dyDescent="0.25">
      <c r="A435" s="1" t="s">
        <v>304</v>
      </c>
      <c r="B435" s="1" t="s">
        <v>303</v>
      </c>
      <c r="C435" s="1" t="s">
        <v>232</v>
      </c>
      <c r="D435" s="1" t="s">
        <v>1406</v>
      </c>
      <c r="E435" s="1" t="s">
        <v>30</v>
      </c>
      <c r="F435" s="9">
        <f t="shared" si="25"/>
        <v>0</v>
      </c>
      <c r="G435" s="9">
        <f t="shared" si="26"/>
        <v>9</v>
      </c>
      <c r="H435" s="9">
        <f t="shared" si="27"/>
        <v>0</v>
      </c>
      <c r="I435" s="10">
        <f t="shared" si="28"/>
        <v>9</v>
      </c>
    </row>
    <row r="436" spans="1:9" x14ac:dyDescent="0.25">
      <c r="A436" s="1" t="s">
        <v>306</v>
      </c>
      <c r="B436" s="1" t="s">
        <v>305</v>
      </c>
      <c r="C436" s="1" t="s">
        <v>232</v>
      </c>
      <c r="D436" s="1" t="s">
        <v>1406</v>
      </c>
      <c r="E436" s="1" t="s">
        <v>30</v>
      </c>
      <c r="F436" s="9">
        <f t="shared" si="25"/>
        <v>0</v>
      </c>
      <c r="G436" s="9">
        <f t="shared" si="26"/>
        <v>3</v>
      </c>
      <c r="H436" s="9">
        <f t="shared" si="27"/>
        <v>0</v>
      </c>
      <c r="I436" s="10">
        <f t="shared" si="28"/>
        <v>3</v>
      </c>
    </row>
    <row r="437" spans="1:9" x14ac:dyDescent="0.25">
      <c r="A437" s="1" t="s">
        <v>308</v>
      </c>
      <c r="B437" s="1" t="s">
        <v>307</v>
      </c>
      <c r="C437" s="1" t="s">
        <v>232</v>
      </c>
      <c r="D437" s="1" t="s">
        <v>1406</v>
      </c>
      <c r="E437" s="1" t="s">
        <v>30</v>
      </c>
      <c r="F437" s="9">
        <f t="shared" si="25"/>
        <v>0</v>
      </c>
      <c r="G437" s="9">
        <f t="shared" si="26"/>
        <v>4</v>
      </c>
      <c r="H437" s="9">
        <f t="shared" si="27"/>
        <v>0</v>
      </c>
      <c r="I437" s="10">
        <f t="shared" si="28"/>
        <v>4</v>
      </c>
    </row>
    <row r="438" spans="1:9" x14ac:dyDescent="0.25">
      <c r="A438" s="1" t="s">
        <v>1939</v>
      </c>
      <c r="B438" s="1" t="s">
        <v>1940</v>
      </c>
      <c r="C438" s="1" t="s">
        <v>232</v>
      </c>
      <c r="D438" s="1" t="s">
        <v>1406</v>
      </c>
      <c r="E438" s="1" t="s">
        <v>30</v>
      </c>
      <c r="F438" s="9">
        <f t="shared" si="25"/>
        <v>0</v>
      </c>
      <c r="G438" s="9">
        <f t="shared" si="26"/>
        <v>12</v>
      </c>
      <c r="H438" s="9">
        <f t="shared" si="27"/>
        <v>0</v>
      </c>
      <c r="I438" s="10">
        <f t="shared" si="28"/>
        <v>12</v>
      </c>
    </row>
    <row r="439" spans="1:9" x14ac:dyDescent="0.25">
      <c r="A439" s="1" t="s">
        <v>312</v>
      </c>
      <c r="B439" s="1" t="s">
        <v>311</v>
      </c>
      <c r="C439" s="1" t="s">
        <v>232</v>
      </c>
      <c r="D439" s="1" t="s">
        <v>1406</v>
      </c>
      <c r="E439" s="1" t="s">
        <v>30</v>
      </c>
      <c r="F439" s="9">
        <f t="shared" si="25"/>
        <v>0</v>
      </c>
      <c r="G439" s="9">
        <f t="shared" si="26"/>
        <v>12</v>
      </c>
      <c r="H439" s="9">
        <f t="shared" si="27"/>
        <v>0</v>
      </c>
      <c r="I439" s="10">
        <f t="shared" si="28"/>
        <v>12</v>
      </c>
    </row>
    <row r="440" spans="1:9" x14ac:dyDescent="0.25">
      <c r="A440" s="1" t="s">
        <v>314</v>
      </c>
      <c r="B440" s="1" t="s">
        <v>313</v>
      </c>
      <c r="C440" s="1" t="s">
        <v>232</v>
      </c>
      <c r="D440" s="1" t="s">
        <v>1406</v>
      </c>
      <c r="E440" s="1" t="s">
        <v>30</v>
      </c>
      <c r="F440" s="9">
        <f t="shared" si="25"/>
        <v>0</v>
      </c>
      <c r="G440" s="9">
        <f t="shared" si="26"/>
        <v>8</v>
      </c>
      <c r="H440" s="9">
        <f t="shared" si="27"/>
        <v>0</v>
      </c>
      <c r="I440" s="10">
        <f t="shared" si="28"/>
        <v>8</v>
      </c>
    </row>
    <row r="441" spans="1:9" x14ac:dyDescent="0.25">
      <c r="A441" s="1" t="s">
        <v>1941</v>
      </c>
      <c r="B441" s="1" t="s">
        <v>1942</v>
      </c>
      <c r="C441" s="1" t="s">
        <v>232</v>
      </c>
      <c r="D441" s="1" t="s">
        <v>1406</v>
      </c>
      <c r="E441" s="1" t="s">
        <v>30</v>
      </c>
      <c r="F441" s="9">
        <f t="shared" si="25"/>
        <v>0</v>
      </c>
      <c r="G441" s="9">
        <f t="shared" si="26"/>
        <v>8</v>
      </c>
      <c r="H441" s="9">
        <f t="shared" si="27"/>
        <v>0</v>
      </c>
      <c r="I441" s="10">
        <f t="shared" si="28"/>
        <v>8</v>
      </c>
    </row>
    <row r="442" spans="1:9" x14ac:dyDescent="0.25">
      <c r="A442" s="1" t="s">
        <v>316</v>
      </c>
      <c r="B442" s="1" t="s">
        <v>315</v>
      </c>
      <c r="C442" s="1" t="s">
        <v>232</v>
      </c>
      <c r="D442" s="1" t="s">
        <v>1406</v>
      </c>
      <c r="E442" s="1" t="s">
        <v>30</v>
      </c>
      <c r="F442" s="9">
        <f t="shared" si="25"/>
        <v>0</v>
      </c>
      <c r="G442" s="9">
        <f t="shared" si="26"/>
        <v>0</v>
      </c>
      <c r="H442" s="9">
        <f t="shared" si="27"/>
        <v>0</v>
      </c>
      <c r="I442" s="10">
        <f t="shared" si="28"/>
        <v>0</v>
      </c>
    </row>
    <row r="443" spans="1:9" x14ac:dyDescent="0.25">
      <c r="A443" s="1" t="s">
        <v>318</v>
      </c>
      <c r="B443" s="1" t="s">
        <v>317</v>
      </c>
      <c r="C443" s="1" t="s">
        <v>232</v>
      </c>
      <c r="D443" s="1" t="s">
        <v>1406</v>
      </c>
      <c r="E443" s="1" t="s">
        <v>30</v>
      </c>
      <c r="F443" s="9">
        <f t="shared" si="25"/>
        <v>0</v>
      </c>
      <c r="G443" s="9">
        <f t="shared" si="26"/>
        <v>6</v>
      </c>
      <c r="H443" s="9">
        <f t="shared" si="27"/>
        <v>0</v>
      </c>
      <c r="I443" s="10">
        <f t="shared" si="28"/>
        <v>6</v>
      </c>
    </row>
    <row r="444" spans="1:9" x14ac:dyDescent="0.25">
      <c r="A444" s="1" t="s">
        <v>320</v>
      </c>
      <c r="B444" s="1" t="s">
        <v>319</v>
      </c>
      <c r="C444" s="1" t="s">
        <v>232</v>
      </c>
      <c r="D444" s="1" t="s">
        <v>1406</v>
      </c>
      <c r="E444" s="1" t="s">
        <v>30</v>
      </c>
      <c r="F444" s="9">
        <f t="shared" si="25"/>
        <v>0</v>
      </c>
      <c r="G444" s="9">
        <f t="shared" si="26"/>
        <v>6</v>
      </c>
      <c r="H444" s="9">
        <f t="shared" si="27"/>
        <v>0</v>
      </c>
      <c r="I444" s="10">
        <f t="shared" si="28"/>
        <v>6</v>
      </c>
    </row>
    <row r="445" spans="1:9" x14ac:dyDescent="0.25">
      <c r="A445" s="1" t="s">
        <v>322</v>
      </c>
      <c r="B445" s="1" t="s">
        <v>321</v>
      </c>
      <c r="C445" s="1" t="s">
        <v>232</v>
      </c>
      <c r="D445" s="1" t="s">
        <v>1406</v>
      </c>
      <c r="E445" s="1" t="s">
        <v>30</v>
      </c>
      <c r="F445" s="9">
        <f t="shared" si="25"/>
        <v>0</v>
      </c>
      <c r="G445" s="9">
        <f t="shared" si="26"/>
        <v>0</v>
      </c>
      <c r="H445" s="9">
        <f t="shared" si="27"/>
        <v>0</v>
      </c>
      <c r="I445" s="10">
        <f t="shared" si="28"/>
        <v>0</v>
      </c>
    </row>
    <row r="446" spans="1:9" x14ac:dyDescent="0.25">
      <c r="A446" s="1" t="s">
        <v>324</v>
      </c>
      <c r="B446" s="1" t="s">
        <v>323</v>
      </c>
      <c r="C446" s="1" t="s">
        <v>232</v>
      </c>
      <c r="D446" s="1" t="s">
        <v>1406</v>
      </c>
      <c r="E446" s="1" t="s">
        <v>30</v>
      </c>
      <c r="F446" s="9">
        <f t="shared" si="25"/>
        <v>0</v>
      </c>
      <c r="G446" s="9">
        <f t="shared" si="26"/>
        <v>0</v>
      </c>
      <c r="H446" s="9">
        <f t="shared" si="27"/>
        <v>0</v>
      </c>
      <c r="I446" s="10">
        <f t="shared" si="28"/>
        <v>0</v>
      </c>
    </row>
    <row r="447" spans="1:9" x14ac:dyDescent="0.25">
      <c r="A447" s="1" t="s">
        <v>326</v>
      </c>
      <c r="B447" s="1" t="s">
        <v>325</v>
      </c>
      <c r="C447" s="1" t="s">
        <v>232</v>
      </c>
      <c r="D447" s="1" t="s">
        <v>1406</v>
      </c>
      <c r="E447" s="1" t="s">
        <v>30</v>
      </c>
      <c r="F447" s="9">
        <f t="shared" si="25"/>
        <v>0</v>
      </c>
      <c r="G447" s="9">
        <f t="shared" si="26"/>
        <v>0</v>
      </c>
      <c r="H447" s="9">
        <f t="shared" si="27"/>
        <v>0</v>
      </c>
      <c r="I447" s="10">
        <f t="shared" si="28"/>
        <v>0</v>
      </c>
    </row>
    <row r="448" spans="1:9" x14ac:dyDescent="0.25">
      <c r="A448" s="1" t="s">
        <v>330</v>
      </c>
      <c r="B448" s="1" t="s">
        <v>329</v>
      </c>
      <c r="C448" s="1" t="s">
        <v>232</v>
      </c>
      <c r="D448" s="1" t="s">
        <v>1406</v>
      </c>
      <c r="E448" s="1" t="s">
        <v>30</v>
      </c>
      <c r="F448" s="9">
        <f t="shared" si="25"/>
        <v>0</v>
      </c>
      <c r="G448" s="9">
        <f t="shared" si="26"/>
        <v>2</v>
      </c>
      <c r="H448" s="9">
        <f t="shared" si="27"/>
        <v>0</v>
      </c>
      <c r="I448" s="10">
        <f t="shared" si="28"/>
        <v>2</v>
      </c>
    </row>
    <row r="449" spans="1:9" x14ac:dyDescent="0.25">
      <c r="A449" s="1" t="s">
        <v>332</v>
      </c>
      <c r="B449" s="1" t="s">
        <v>331</v>
      </c>
      <c r="C449" s="1" t="s">
        <v>232</v>
      </c>
      <c r="D449" s="1" t="s">
        <v>1406</v>
      </c>
      <c r="E449" s="1" t="s">
        <v>30</v>
      </c>
      <c r="F449" s="9">
        <f t="shared" si="25"/>
        <v>0</v>
      </c>
      <c r="G449" s="9">
        <f t="shared" si="26"/>
        <v>26</v>
      </c>
      <c r="H449" s="9">
        <f t="shared" si="27"/>
        <v>0</v>
      </c>
      <c r="I449" s="10">
        <f t="shared" si="28"/>
        <v>26</v>
      </c>
    </row>
    <row r="450" spans="1:9" x14ac:dyDescent="0.25">
      <c r="A450" s="1" t="s">
        <v>1943</v>
      </c>
      <c r="B450" s="1" t="s">
        <v>1944</v>
      </c>
      <c r="C450" s="1" t="s">
        <v>232</v>
      </c>
      <c r="D450" s="1" t="s">
        <v>1406</v>
      </c>
      <c r="E450" s="1" t="s">
        <v>30</v>
      </c>
      <c r="F450" s="9">
        <f t="shared" ref="F450:F513" si="29">IFERROR(VLOOKUP(A450,condi,8,0),0)</f>
        <v>0</v>
      </c>
      <c r="G450" s="9">
        <f t="shared" ref="G450:G513" si="30">IFERROR(VLOOKUP(A450,maqui,8,0),0)</f>
        <v>25</v>
      </c>
      <c r="H450" s="9">
        <f t="shared" ref="H450:H513" si="31">IFERROR(VLOOKUP(A450,ascint,8,0),0)</f>
        <v>0</v>
      </c>
      <c r="I450" s="10">
        <f t="shared" si="28"/>
        <v>25</v>
      </c>
    </row>
    <row r="451" spans="1:9" x14ac:dyDescent="0.25">
      <c r="A451" s="1" t="s">
        <v>334</v>
      </c>
      <c r="B451" s="1" t="s">
        <v>333</v>
      </c>
      <c r="C451" s="1" t="s">
        <v>232</v>
      </c>
      <c r="D451" s="1" t="s">
        <v>1406</v>
      </c>
      <c r="E451" s="1" t="s">
        <v>30</v>
      </c>
      <c r="F451" s="9">
        <f t="shared" si="29"/>
        <v>0</v>
      </c>
      <c r="G451" s="9">
        <f t="shared" si="30"/>
        <v>0</v>
      </c>
      <c r="H451" s="9">
        <f t="shared" si="31"/>
        <v>0</v>
      </c>
      <c r="I451" s="10">
        <f t="shared" si="28"/>
        <v>0</v>
      </c>
    </row>
    <row r="452" spans="1:9" x14ac:dyDescent="0.25">
      <c r="A452" s="1" t="s">
        <v>336</v>
      </c>
      <c r="B452" s="1" t="s">
        <v>335</v>
      </c>
      <c r="C452" s="1" t="s">
        <v>232</v>
      </c>
      <c r="D452" s="1" t="s">
        <v>1406</v>
      </c>
      <c r="E452" s="1" t="s">
        <v>30</v>
      </c>
      <c r="F452" s="9">
        <f t="shared" si="29"/>
        <v>0</v>
      </c>
      <c r="G452" s="9">
        <f t="shared" si="30"/>
        <v>0</v>
      </c>
      <c r="H452" s="9">
        <f t="shared" si="31"/>
        <v>0</v>
      </c>
      <c r="I452" s="10">
        <f t="shared" si="28"/>
        <v>0</v>
      </c>
    </row>
    <row r="453" spans="1:9" x14ac:dyDescent="0.25">
      <c r="A453" s="1" t="s">
        <v>338</v>
      </c>
      <c r="B453" s="1" t="s">
        <v>337</v>
      </c>
      <c r="C453" s="1" t="s">
        <v>232</v>
      </c>
      <c r="D453" s="1" t="s">
        <v>1406</v>
      </c>
      <c r="E453" s="1" t="s">
        <v>30</v>
      </c>
      <c r="F453" s="9">
        <f t="shared" si="29"/>
        <v>0</v>
      </c>
      <c r="G453" s="9">
        <f t="shared" si="30"/>
        <v>10</v>
      </c>
      <c r="H453" s="9">
        <f t="shared" si="31"/>
        <v>0</v>
      </c>
      <c r="I453" s="10">
        <f t="shared" si="28"/>
        <v>10</v>
      </c>
    </row>
    <row r="454" spans="1:9" x14ac:dyDescent="0.25">
      <c r="A454" s="1" t="s">
        <v>340</v>
      </c>
      <c r="B454" s="1" t="s">
        <v>339</v>
      </c>
      <c r="C454" s="1" t="s">
        <v>232</v>
      </c>
      <c r="D454" s="1" t="s">
        <v>1406</v>
      </c>
      <c r="E454" s="1" t="s">
        <v>30</v>
      </c>
      <c r="F454" s="9">
        <f t="shared" si="29"/>
        <v>0</v>
      </c>
      <c r="G454" s="9">
        <f t="shared" si="30"/>
        <v>20</v>
      </c>
      <c r="H454" s="9">
        <f t="shared" si="31"/>
        <v>0</v>
      </c>
      <c r="I454" s="10">
        <f t="shared" si="28"/>
        <v>20</v>
      </c>
    </row>
    <row r="455" spans="1:9" x14ac:dyDescent="0.25">
      <c r="A455" s="1" t="s">
        <v>342</v>
      </c>
      <c r="B455" s="1" t="s">
        <v>341</v>
      </c>
      <c r="C455" s="1" t="s">
        <v>232</v>
      </c>
      <c r="D455" s="1" t="s">
        <v>1406</v>
      </c>
      <c r="E455" s="1" t="s">
        <v>30</v>
      </c>
      <c r="F455" s="9">
        <f t="shared" si="29"/>
        <v>0</v>
      </c>
      <c r="G455" s="9">
        <f t="shared" si="30"/>
        <v>21</v>
      </c>
      <c r="H455" s="9">
        <f t="shared" si="31"/>
        <v>0</v>
      </c>
      <c r="I455" s="10">
        <f t="shared" si="28"/>
        <v>21</v>
      </c>
    </row>
    <row r="456" spans="1:9" x14ac:dyDescent="0.25">
      <c r="A456" s="1" t="s">
        <v>1945</v>
      </c>
      <c r="B456" s="1" t="s">
        <v>1946</v>
      </c>
      <c r="C456" s="1" t="s">
        <v>232</v>
      </c>
      <c r="D456" s="1" t="s">
        <v>1406</v>
      </c>
      <c r="E456" s="1" t="s">
        <v>30</v>
      </c>
      <c r="F456" s="9">
        <f t="shared" si="29"/>
        <v>0</v>
      </c>
      <c r="G456" s="9">
        <f t="shared" si="30"/>
        <v>2</v>
      </c>
      <c r="H456" s="9">
        <f t="shared" si="31"/>
        <v>0</v>
      </c>
      <c r="I456" s="10">
        <f t="shared" ref="I456:I519" si="32">+F456+G456+H456</f>
        <v>2</v>
      </c>
    </row>
    <row r="457" spans="1:9" x14ac:dyDescent="0.25">
      <c r="A457" s="1" t="s">
        <v>1947</v>
      </c>
      <c r="B457" s="1" t="s">
        <v>1948</v>
      </c>
      <c r="C457" s="1" t="s">
        <v>232</v>
      </c>
      <c r="D457" s="1" t="s">
        <v>1406</v>
      </c>
      <c r="E457" s="1" t="s">
        <v>30</v>
      </c>
      <c r="F457" s="9">
        <f t="shared" si="29"/>
        <v>0</v>
      </c>
      <c r="G457" s="9">
        <f t="shared" si="30"/>
        <v>9</v>
      </c>
      <c r="H457" s="9">
        <f t="shared" si="31"/>
        <v>0</v>
      </c>
      <c r="I457" s="10">
        <f t="shared" si="32"/>
        <v>9</v>
      </c>
    </row>
    <row r="458" spans="1:9" x14ac:dyDescent="0.25">
      <c r="A458" s="1" t="s">
        <v>344</v>
      </c>
      <c r="B458" s="1" t="s">
        <v>343</v>
      </c>
      <c r="C458" s="1" t="s">
        <v>232</v>
      </c>
      <c r="D458" s="1" t="s">
        <v>1406</v>
      </c>
      <c r="E458" s="1" t="s">
        <v>30</v>
      </c>
      <c r="F458" s="9">
        <f t="shared" si="29"/>
        <v>0</v>
      </c>
      <c r="G458" s="9">
        <f t="shared" si="30"/>
        <v>6</v>
      </c>
      <c r="H458" s="9">
        <f t="shared" si="31"/>
        <v>0</v>
      </c>
      <c r="I458" s="10">
        <f t="shared" si="32"/>
        <v>6</v>
      </c>
    </row>
    <row r="459" spans="1:9" x14ac:dyDescent="0.25">
      <c r="A459" s="1" t="s">
        <v>1949</v>
      </c>
      <c r="B459" s="1" t="s">
        <v>1950</v>
      </c>
      <c r="C459" s="1" t="s">
        <v>232</v>
      </c>
      <c r="D459" s="1" t="s">
        <v>1406</v>
      </c>
      <c r="E459" s="1" t="s">
        <v>30</v>
      </c>
      <c r="F459" s="9">
        <f t="shared" si="29"/>
        <v>0</v>
      </c>
      <c r="G459" s="9">
        <f t="shared" si="30"/>
        <v>4</v>
      </c>
      <c r="H459" s="9">
        <f t="shared" si="31"/>
        <v>0</v>
      </c>
      <c r="I459" s="10">
        <f t="shared" si="32"/>
        <v>4</v>
      </c>
    </row>
    <row r="460" spans="1:9" x14ac:dyDescent="0.25">
      <c r="A460" s="1" t="s">
        <v>346</v>
      </c>
      <c r="B460" s="1" t="s">
        <v>345</v>
      </c>
      <c r="C460" s="1" t="s">
        <v>232</v>
      </c>
      <c r="D460" s="1" t="s">
        <v>1406</v>
      </c>
      <c r="E460" s="1" t="s">
        <v>30</v>
      </c>
      <c r="F460" s="9">
        <f t="shared" si="29"/>
        <v>0</v>
      </c>
      <c r="G460" s="9">
        <f t="shared" si="30"/>
        <v>3</v>
      </c>
      <c r="H460" s="9">
        <f t="shared" si="31"/>
        <v>0</v>
      </c>
      <c r="I460" s="10">
        <f t="shared" si="32"/>
        <v>3</v>
      </c>
    </row>
    <row r="461" spans="1:9" x14ac:dyDescent="0.25">
      <c r="A461" s="1" t="s">
        <v>1951</v>
      </c>
      <c r="B461" s="1" t="s">
        <v>1952</v>
      </c>
      <c r="C461" s="1" t="s">
        <v>232</v>
      </c>
      <c r="D461" s="1" t="s">
        <v>1406</v>
      </c>
      <c r="E461" s="1" t="s">
        <v>30</v>
      </c>
      <c r="F461" s="9">
        <f t="shared" si="29"/>
        <v>0</v>
      </c>
      <c r="G461" s="9">
        <f t="shared" si="30"/>
        <v>10</v>
      </c>
      <c r="H461" s="9">
        <f t="shared" si="31"/>
        <v>0</v>
      </c>
      <c r="I461" s="10">
        <f t="shared" si="32"/>
        <v>10</v>
      </c>
    </row>
    <row r="462" spans="1:9" x14ac:dyDescent="0.25">
      <c r="A462" s="1" t="s">
        <v>348</v>
      </c>
      <c r="B462" s="1" t="s">
        <v>347</v>
      </c>
      <c r="C462" s="1" t="s">
        <v>232</v>
      </c>
      <c r="D462" s="1" t="s">
        <v>1406</v>
      </c>
      <c r="E462" s="1" t="s">
        <v>30</v>
      </c>
      <c r="F462" s="9">
        <f t="shared" si="29"/>
        <v>0</v>
      </c>
      <c r="G462" s="9">
        <f t="shared" si="30"/>
        <v>0</v>
      </c>
      <c r="H462" s="9">
        <f t="shared" si="31"/>
        <v>0</v>
      </c>
      <c r="I462" s="10">
        <f t="shared" si="32"/>
        <v>0</v>
      </c>
    </row>
    <row r="463" spans="1:9" x14ac:dyDescent="0.25">
      <c r="A463" s="1" t="s">
        <v>1953</v>
      </c>
      <c r="B463" s="1" t="s">
        <v>1954</v>
      </c>
      <c r="C463" s="1" t="s">
        <v>232</v>
      </c>
      <c r="D463" s="1" t="s">
        <v>1406</v>
      </c>
      <c r="E463" s="1" t="s">
        <v>30</v>
      </c>
      <c r="F463" s="9">
        <f t="shared" si="29"/>
        <v>0</v>
      </c>
      <c r="G463" s="9">
        <f t="shared" si="30"/>
        <v>2</v>
      </c>
      <c r="H463" s="9">
        <f t="shared" si="31"/>
        <v>0</v>
      </c>
      <c r="I463" s="10">
        <f t="shared" si="32"/>
        <v>2</v>
      </c>
    </row>
    <row r="464" spans="1:9" x14ac:dyDescent="0.25">
      <c r="A464" s="1" t="s">
        <v>350</v>
      </c>
      <c r="B464" s="1" t="s">
        <v>349</v>
      </c>
      <c r="C464" s="1" t="s">
        <v>232</v>
      </c>
      <c r="D464" s="1" t="s">
        <v>1406</v>
      </c>
      <c r="E464" s="1" t="s">
        <v>30</v>
      </c>
      <c r="F464" s="9">
        <f t="shared" si="29"/>
        <v>0</v>
      </c>
      <c r="G464" s="9">
        <f t="shared" si="30"/>
        <v>2</v>
      </c>
      <c r="H464" s="9">
        <f t="shared" si="31"/>
        <v>0</v>
      </c>
      <c r="I464" s="10">
        <f t="shared" si="32"/>
        <v>2</v>
      </c>
    </row>
    <row r="465" spans="1:9" x14ac:dyDescent="0.25">
      <c r="A465" s="1" t="s">
        <v>1955</v>
      </c>
      <c r="B465" s="1" t="s">
        <v>1956</v>
      </c>
      <c r="C465" s="1" t="s">
        <v>232</v>
      </c>
      <c r="D465" s="1" t="s">
        <v>1406</v>
      </c>
      <c r="E465" s="1" t="s">
        <v>30</v>
      </c>
      <c r="F465" s="9">
        <f t="shared" si="29"/>
        <v>0</v>
      </c>
      <c r="G465" s="9">
        <f t="shared" si="30"/>
        <v>5</v>
      </c>
      <c r="H465" s="9">
        <f t="shared" si="31"/>
        <v>0</v>
      </c>
      <c r="I465" s="10">
        <f t="shared" si="32"/>
        <v>5</v>
      </c>
    </row>
    <row r="466" spans="1:9" x14ac:dyDescent="0.25">
      <c r="A466" s="1" t="s">
        <v>354</v>
      </c>
      <c r="B466" s="1" t="s">
        <v>353</v>
      </c>
      <c r="C466" s="1" t="s">
        <v>232</v>
      </c>
      <c r="D466" s="1" t="s">
        <v>1406</v>
      </c>
      <c r="E466" s="1" t="s">
        <v>30</v>
      </c>
      <c r="F466" s="9">
        <f t="shared" si="29"/>
        <v>0</v>
      </c>
      <c r="G466" s="9">
        <f t="shared" si="30"/>
        <v>0</v>
      </c>
      <c r="H466" s="9">
        <f t="shared" si="31"/>
        <v>0</v>
      </c>
      <c r="I466" s="10">
        <f t="shared" si="32"/>
        <v>0</v>
      </c>
    </row>
    <row r="467" spans="1:9" x14ac:dyDescent="0.25">
      <c r="A467" s="1" t="s">
        <v>1957</v>
      </c>
      <c r="B467" s="1" t="s">
        <v>1958</v>
      </c>
      <c r="C467" s="1" t="s">
        <v>232</v>
      </c>
      <c r="D467" s="1" t="s">
        <v>1406</v>
      </c>
      <c r="E467" s="1" t="s">
        <v>30</v>
      </c>
      <c r="F467" s="9">
        <f t="shared" si="29"/>
        <v>0</v>
      </c>
      <c r="G467" s="9">
        <f t="shared" si="30"/>
        <v>29</v>
      </c>
      <c r="H467" s="9">
        <f t="shared" si="31"/>
        <v>0</v>
      </c>
      <c r="I467" s="10">
        <f t="shared" si="32"/>
        <v>29</v>
      </c>
    </row>
    <row r="468" spans="1:9" x14ac:dyDescent="0.25">
      <c r="A468" s="1" t="s">
        <v>1959</v>
      </c>
      <c r="B468" s="1" t="s">
        <v>1960</v>
      </c>
      <c r="C468" s="1" t="s">
        <v>232</v>
      </c>
      <c r="D468" s="1" t="s">
        <v>1406</v>
      </c>
      <c r="E468" s="1" t="s">
        <v>30</v>
      </c>
      <c r="F468" s="9">
        <f t="shared" si="29"/>
        <v>0</v>
      </c>
      <c r="G468" s="9">
        <f t="shared" si="30"/>
        <v>24</v>
      </c>
      <c r="H468" s="9">
        <f t="shared" si="31"/>
        <v>0</v>
      </c>
      <c r="I468" s="10">
        <f t="shared" si="32"/>
        <v>24</v>
      </c>
    </row>
    <row r="469" spans="1:9" x14ac:dyDescent="0.25">
      <c r="A469" s="1" t="s">
        <v>362</v>
      </c>
      <c r="B469" s="1" t="s">
        <v>361</v>
      </c>
      <c r="C469" s="1" t="s">
        <v>232</v>
      </c>
      <c r="D469" s="1" t="s">
        <v>1406</v>
      </c>
      <c r="E469" s="1" t="s">
        <v>30</v>
      </c>
      <c r="F469" s="9">
        <f t="shared" si="29"/>
        <v>0</v>
      </c>
      <c r="G469" s="9">
        <f t="shared" si="30"/>
        <v>102</v>
      </c>
      <c r="H469" s="9">
        <f t="shared" si="31"/>
        <v>0</v>
      </c>
      <c r="I469" s="10">
        <f t="shared" si="32"/>
        <v>102</v>
      </c>
    </row>
    <row r="470" spans="1:9" x14ac:dyDescent="0.25">
      <c r="A470" s="1" t="s">
        <v>364</v>
      </c>
      <c r="B470" s="1" t="s">
        <v>363</v>
      </c>
      <c r="C470" s="1" t="s">
        <v>232</v>
      </c>
      <c r="D470" s="1" t="s">
        <v>1406</v>
      </c>
      <c r="E470" s="1" t="s">
        <v>30</v>
      </c>
      <c r="F470" s="9">
        <f t="shared" si="29"/>
        <v>0</v>
      </c>
      <c r="G470" s="9">
        <f t="shared" si="30"/>
        <v>12</v>
      </c>
      <c r="H470" s="9">
        <f t="shared" si="31"/>
        <v>0</v>
      </c>
      <c r="I470" s="10">
        <f t="shared" si="32"/>
        <v>12</v>
      </c>
    </row>
    <row r="471" spans="1:9" x14ac:dyDescent="0.25">
      <c r="A471" s="1" t="s">
        <v>366</v>
      </c>
      <c r="B471" s="1" t="s">
        <v>365</v>
      </c>
      <c r="C471" s="1" t="s">
        <v>232</v>
      </c>
      <c r="D471" s="1" t="s">
        <v>1406</v>
      </c>
      <c r="E471" s="1" t="s">
        <v>30</v>
      </c>
      <c r="F471" s="9">
        <f t="shared" si="29"/>
        <v>0</v>
      </c>
      <c r="G471" s="9">
        <f t="shared" si="30"/>
        <v>78</v>
      </c>
      <c r="H471" s="9">
        <f t="shared" si="31"/>
        <v>0</v>
      </c>
      <c r="I471" s="10">
        <f t="shared" si="32"/>
        <v>78</v>
      </c>
    </row>
    <row r="472" spans="1:9" x14ac:dyDescent="0.25">
      <c r="A472" s="1" t="s">
        <v>370</v>
      </c>
      <c r="B472" s="1" t="s">
        <v>369</v>
      </c>
      <c r="C472" s="1" t="s">
        <v>232</v>
      </c>
      <c r="D472" s="1" t="s">
        <v>1406</v>
      </c>
      <c r="E472" s="1" t="s">
        <v>30</v>
      </c>
      <c r="F472" s="9">
        <f t="shared" si="29"/>
        <v>0</v>
      </c>
      <c r="G472" s="9">
        <f t="shared" si="30"/>
        <v>0</v>
      </c>
      <c r="H472" s="9">
        <f t="shared" si="31"/>
        <v>0</v>
      </c>
      <c r="I472" s="10">
        <f t="shared" si="32"/>
        <v>0</v>
      </c>
    </row>
    <row r="473" spans="1:9" x14ac:dyDescent="0.25">
      <c r="A473" s="1" t="s">
        <v>374</v>
      </c>
      <c r="B473" s="1" t="s">
        <v>373</v>
      </c>
      <c r="C473" s="1" t="s">
        <v>232</v>
      </c>
      <c r="D473" s="1" t="s">
        <v>1406</v>
      </c>
      <c r="E473" s="1" t="s">
        <v>30</v>
      </c>
      <c r="F473" s="9">
        <f t="shared" si="29"/>
        <v>0</v>
      </c>
      <c r="G473" s="9">
        <f t="shared" si="30"/>
        <v>22</v>
      </c>
      <c r="H473" s="9">
        <f t="shared" si="31"/>
        <v>0</v>
      </c>
      <c r="I473" s="10">
        <f t="shared" si="32"/>
        <v>22</v>
      </c>
    </row>
    <row r="474" spans="1:9" x14ac:dyDescent="0.25">
      <c r="A474" s="1" t="s">
        <v>376</v>
      </c>
      <c r="B474" s="1" t="s">
        <v>375</v>
      </c>
      <c r="C474" s="1" t="s">
        <v>232</v>
      </c>
      <c r="D474" s="1" t="s">
        <v>1406</v>
      </c>
      <c r="E474" s="1" t="s">
        <v>30</v>
      </c>
      <c r="F474" s="9">
        <f t="shared" si="29"/>
        <v>0</v>
      </c>
      <c r="G474" s="9">
        <f t="shared" si="30"/>
        <v>0</v>
      </c>
      <c r="H474" s="9">
        <f t="shared" si="31"/>
        <v>0</v>
      </c>
      <c r="I474" s="10">
        <f t="shared" si="32"/>
        <v>0</v>
      </c>
    </row>
    <row r="475" spans="1:9" x14ac:dyDescent="0.25">
      <c r="A475" s="1" t="s">
        <v>382</v>
      </c>
      <c r="B475" s="1" t="s">
        <v>381</v>
      </c>
      <c r="C475" s="1" t="s">
        <v>232</v>
      </c>
      <c r="D475" s="1" t="s">
        <v>1406</v>
      </c>
      <c r="E475" s="1" t="s">
        <v>30</v>
      </c>
      <c r="F475" s="9">
        <f t="shared" si="29"/>
        <v>0</v>
      </c>
      <c r="G475" s="9">
        <f t="shared" si="30"/>
        <v>6</v>
      </c>
      <c r="H475" s="9">
        <f t="shared" si="31"/>
        <v>0</v>
      </c>
      <c r="I475" s="10">
        <f t="shared" si="32"/>
        <v>6</v>
      </c>
    </row>
    <row r="476" spans="1:9" x14ac:dyDescent="0.25">
      <c r="A476" s="1" t="s">
        <v>1961</v>
      </c>
      <c r="B476" s="1" t="s">
        <v>1962</v>
      </c>
      <c r="C476" s="1" t="s">
        <v>232</v>
      </c>
      <c r="D476" s="1" t="s">
        <v>1406</v>
      </c>
      <c r="E476" s="1" t="s">
        <v>30</v>
      </c>
      <c r="F476" s="9">
        <f t="shared" si="29"/>
        <v>31</v>
      </c>
      <c r="G476" s="9">
        <f t="shared" si="30"/>
        <v>1</v>
      </c>
      <c r="H476" s="9">
        <f t="shared" si="31"/>
        <v>0</v>
      </c>
      <c r="I476" s="10">
        <f t="shared" si="32"/>
        <v>32</v>
      </c>
    </row>
    <row r="477" spans="1:9" x14ac:dyDescent="0.25">
      <c r="A477" s="1" t="s">
        <v>384</v>
      </c>
      <c r="B477" s="1" t="s">
        <v>383</v>
      </c>
      <c r="C477" s="1" t="s">
        <v>232</v>
      </c>
      <c r="D477" s="1" t="s">
        <v>1406</v>
      </c>
      <c r="E477" s="1" t="s">
        <v>30</v>
      </c>
      <c r="F477" s="9">
        <f t="shared" si="29"/>
        <v>2</v>
      </c>
      <c r="G477" s="9">
        <f t="shared" si="30"/>
        <v>10</v>
      </c>
      <c r="H477" s="9">
        <f t="shared" si="31"/>
        <v>0</v>
      </c>
      <c r="I477" s="10">
        <f t="shared" si="32"/>
        <v>12</v>
      </c>
    </row>
    <row r="478" spans="1:9" x14ac:dyDescent="0.25">
      <c r="A478" s="1" t="s">
        <v>1963</v>
      </c>
      <c r="B478" s="1" t="s">
        <v>1964</v>
      </c>
      <c r="C478" s="1" t="s">
        <v>232</v>
      </c>
      <c r="D478" s="1" t="s">
        <v>1406</v>
      </c>
      <c r="E478" s="1" t="s">
        <v>30</v>
      </c>
      <c r="F478" s="9">
        <f t="shared" si="29"/>
        <v>0</v>
      </c>
      <c r="G478" s="9">
        <f t="shared" si="30"/>
        <v>6</v>
      </c>
      <c r="H478" s="9">
        <f t="shared" si="31"/>
        <v>0</v>
      </c>
      <c r="I478" s="10">
        <f t="shared" si="32"/>
        <v>6</v>
      </c>
    </row>
    <row r="479" spans="1:9" x14ac:dyDescent="0.25">
      <c r="A479" s="1" t="s">
        <v>386</v>
      </c>
      <c r="B479" s="1" t="s">
        <v>385</v>
      </c>
      <c r="C479" s="1" t="s">
        <v>232</v>
      </c>
      <c r="D479" s="1" t="s">
        <v>1406</v>
      </c>
      <c r="E479" s="1" t="s">
        <v>30</v>
      </c>
      <c r="F479" s="9">
        <f t="shared" si="29"/>
        <v>0</v>
      </c>
      <c r="G479" s="9">
        <f t="shared" si="30"/>
        <v>0</v>
      </c>
      <c r="H479" s="9">
        <f t="shared" si="31"/>
        <v>0</v>
      </c>
      <c r="I479" s="10">
        <f t="shared" si="32"/>
        <v>0</v>
      </c>
    </row>
    <row r="480" spans="1:9" x14ac:dyDescent="0.25">
      <c r="A480" s="1" t="s">
        <v>388</v>
      </c>
      <c r="B480" s="1" t="s">
        <v>387</v>
      </c>
      <c r="C480" s="1" t="s">
        <v>232</v>
      </c>
      <c r="D480" s="1" t="s">
        <v>1406</v>
      </c>
      <c r="E480" s="1" t="s">
        <v>30</v>
      </c>
      <c r="F480" s="9">
        <f t="shared" si="29"/>
        <v>0</v>
      </c>
      <c r="G480" s="9">
        <f t="shared" si="30"/>
        <v>0</v>
      </c>
      <c r="H480" s="9">
        <f t="shared" si="31"/>
        <v>0</v>
      </c>
      <c r="I480" s="10">
        <f t="shared" si="32"/>
        <v>0</v>
      </c>
    </row>
    <row r="481" spans="1:9" x14ac:dyDescent="0.25">
      <c r="A481" s="1" t="s">
        <v>1965</v>
      </c>
      <c r="B481" s="1" t="s">
        <v>1966</v>
      </c>
      <c r="C481" s="1" t="s">
        <v>232</v>
      </c>
      <c r="D481" s="1" t="s">
        <v>1406</v>
      </c>
      <c r="E481" s="1" t="s">
        <v>30</v>
      </c>
      <c r="F481" s="9">
        <f t="shared" si="29"/>
        <v>0</v>
      </c>
      <c r="G481" s="9">
        <f t="shared" si="30"/>
        <v>2</v>
      </c>
      <c r="H481" s="9">
        <f t="shared" si="31"/>
        <v>0</v>
      </c>
      <c r="I481" s="10">
        <f t="shared" si="32"/>
        <v>2</v>
      </c>
    </row>
    <row r="482" spans="1:9" x14ac:dyDescent="0.25">
      <c r="A482" s="1" t="s">
        <v>390</v>
      </c>
      <c r="B482" s="1" t="s">
        <v>389</v>
      </c>
      <c r="C482" s="1" t="s">
        <v>232</v>
      </c>
      <c r="D482" s="1" t="s">
        <v>1406</v>
      </c>
      <c r="E482" s="1" t="s">
        <v>30</v>
      </c>
      <c r="F482" s="9">
        <f t="shared" si="29"/>
        <v>0</v>
      </c>
      <c r="G482" s="9">
        <f t="shared" si="30"/>
        <v>6</v>
      </c>
      <c r="H482" s="9">
        <f t="shared" si="31"/>
        <v>0</v>
      </c>
      <c r="I482" s="10">
        <f t="shared" si="32"/>
        <v>6</v>
      </c>
    </row>
    <row r="483" spans="1:9" x14ac:dyDescent="0.25">
      <c r="A483" s="1" t="s">
        <v>392</v>
      </c>
      <c r="B483" s="1" t="s">
        <v>391</v>
      </c>
      <c r="C483" s="1" t="s">
        <v>232</v>
      </c>
      <c r="D483" s="1" t="s">
        <v>1406</v>
      </c>
      <c r="E483" s="1" t="s">
        <v>30</v>
      </c>
      <c r="F483" s="9">
        <f t="shared" si="29"/>
        <v>0</v>
      </c>
      <c r="G483" s="9">
        <f t="shared" si="30"/>
        <v>2</v>
      </c>
      <c r="H483" s="9">
        <f t="shared" si="31"/>
        <v>0</v>
      </c>
      <c r="I483" s="10">
        <f t="shared" si="32"/>
        <v>2</v>
      </c>
    </row>
    <row r="484" spans="1:9" x14ac:dyDescent="0.25">
      <c r="A484" s="1" t="s">
        <v>1967</v>
      </c>
      <c r="B484" s="1" t="s">
        <v>1968</v>
      </c>
      <c r="C484" s="1" t="s">
        <v>232</v>
      </c>
      <c r="D484" s="1" t="s">
        <v>1406</v>
      </c>
      <c r="E484" s="1" t="s">
        <v>30</v>
      </c>
      <c r="F484" s="9">
        <f t="shared" si="29"/>
        <v>0</v>
      </c>
      <c r="G484" s="9">
        <f t="shared" si="30"/>
        <v>4</v>
      </c>
      <c r="H484" s="9">
        <f t="shared" si="31"/>
        <v>0</v>
      </c>
      <c r="I484" s="10">
        <f t="shared" si="32"/>
        <v>4</v>
      </c>
    </row>
    <row r="485" spans="1:9" x14ac:dyDescent="0.25">
      <c r="A485" s="1" t="s">
        <v>1969</v>
      </c>
      <c r="B485" s="1" t="s">
        <v>1970</v>
      </c>
      <c r="C485" s="1" t="s">
        <v>232</v>
      </c>
      <c r="D485" s="1" t="s">
        <v>1406</v>
      </c>
      <c r="E485" s="1" t="s">
        <v>30</v>
      </c>
      <c r="F485" s="9">
        <f t="shared" si="29"/>
        <v>0</v>
      </c>
      <c r="G485" s="9">
        <f t="shared" si="30"/>
        <v>4</v>
      </c>
      <c r="H485" s="9">
        <f t="shared" si="31"/>
        <v>0</v>
      </c>
      <c r="I485" s="10">
        <f t="shared" si="32"/>
        <v>4</v>
      </c>
    </row>
    <row r="486" spans="1:9" x14ac:dyDescent="0.25">
      <c r="A486" s="1" t="s">
        <v>1971</v>
      </c>
      <c r="B486" s="1" t="s">
        <v>1972</v>
      </c>
      <c r="C486" s="1" t="s">
        <v>232</v>
      </c>
      <c r="D486" s="1" t="s">
        <v>1406</v>
      </c>
      <c r="E486" s="1" t="s">
        <v>30</v>
      </c>
      <c r="F486" s="9">
        <f t="shared" si="29"/>
        <v>0</v>
      </c>
      <c r="G486" s="9">
        <f t="shared" si="30"/>
        <v>10</v>
      </c>
      <c r="H486" s="9">
        <f t="shared" si="31"/>
        <v>0</v>
      </c>
      <c r="I486" s="10">
        <f t="shared" si="32"/>
        <v>10</v>
      </c>
    </row>
    <row r="487" spans="1:9" x14ac:dyDescent="0.25">
      <c r="A487" s="1" t="s">
        <v>394</v>
      </c>
      <c r="B487" s="1" t="s">
        <v>393</v>
      </c>
      <c r="C487" s="1" t="s">
        <v>232</v>
      </c>
      <c r="D487" s="1" t="s">
        <v>1406</v>
      </c>
      <c r="E487" s="1" t="s">
        <v>30</v>
      </c>
      <c r="F487" s="9">
        <f t="shared" si="29"/>
        <v>0</v>
      </c>
      <c r="G487" s="9">
        <f t="shared" si="30"/>
        <v>5</v>
      </c>
      <c r="H487" s="9">
        <f t="shared" si="31"/>
        <v>0</v>
      </c>
      <c r="I487" s="10">
        <f t="shared" si="32"/>
        <v>5</v>
      </c>
    </row>
    <row r="488" spans="1:9" x14ac:dyDescent="0.25">
      <c r="A488" s="1" t="s">
        <v>1973</v>
      </c>
      <c r="B488" s="1" t="s">
        <v>1974</v>
      </c>
      <c r="C488" s="1" t="s">
        <v>232</v>
      </c>
      <c r="D488" s="1" t="s">
        <v>1406</v>
      </c>
      <c r="E488" s="1" t="s">
        <v>30</v>
      </c>
      <c r="F488" s="9">
        <f t="shared" si="29"/>
        <v>0</v>
      </c>
      <c r="G488" s="9">
        <f t="shared" si="30"/>
        <v>9</v>
      </c>
      <c r="H488" s="9">
        <f t="shared" si="31"/>
        <v>0</v>
      </c>
      <c r="I488" s="10">
        <f t="shared" si="32"/>
        <v>9</v>
      </c>
    </row>
    <row r="489" spans="1:9" x14ac:dyDescent="0.25">
      <c r="A489" s="1" t="s">
        <v>396</v>
      </c>
      <c r="B489" s="1" t="s">
        <v>395</v>
      </c>
      <c r="C489" s="1" t="s">
        <v>232</v>
      </c>
      <c r="D489" s="1" t="s">
        <v>1406</v>
      </c>
      <c r="E489" s="1" t="s">
        <v>30</v>
      </c>
      <c r="F489" s="9">
        <f t="shared" si="29"/>
        <v>0</v>
      </c>
      <c r="G489" s="9">
        <f t="shared" si="30"/>
        <v>0</v>
      </c>
      <c r="H489" s="9">
        <f t="shared" si="31"/>
        <v>0</v>
      </c>
      <c r="I489" s="10">
        <f t="shared" si="32"/>
        <v>0</v>
      </c>
    </row>
    <row r="490" spans="1:9" x14ac:dyDescent="0.25">
      <c r="A490" s="1" t="s">
        <v>1975</v>
      </c>
      <c r="B490" s="1" t="s">
        <v>1976</v>
      </c>
      <c r="C490" s="1" t="s">
        <v>232</v>
      </c>
      <c r="D490" s="1" t="s">
        <v>1406</v>
      </c>
      <c r="E490" s="1" t="s">
        <v>30</v>
      </c>
      <c r="F490" s="9">
        <f t="shared" si="29"/>
        <v>0</v>
      </c>
      <c r="G490" s="9">
        <f t="shared" si="30"/>
        <v>1486</v>
      </c>
      <c r="H490" s="9">
        <f t="shared" si="31"/>
        <v>0</v>
      </c>
      <c r="I490" s="10">
        <f t="shared" si="32"/>
        <v>1486</v>
      </c>
    </row>
    <row r="491" spans="1:9" x14ac:dyDescent="0.25">
      <c r="A491" s="1" t="s">
        <v>1977</v>
      </c>
      <c r="B491" s="1" t="s">
        <v>1978</v>
      </c>
      <c r="C491" s="1" t="s">
        <v>232</v>
      </c>
      <c r="D491" s="1" t="s">
        <v>1406</v>
      </c>
      <c r="E491" s="1" t="s">
        <v>30</v>
      </c>
      <c r="F491" s="9">
        <f t="shared" si="29"/>
        <v>20</v>
      </c>
      <c r="G491" s="9">
        <f t="shared" si="30"/>
        <v>2</v>
      </c>
      <c r="H491" s="9">
        <f t="shared" si="31"/>
        <v>0</v>
      </c>
      <c r="I491" s="10">
        <f t="shared" si="32"/>
        <v>22</v>
      </c>
    </row>
    <row r="492" spans="1:9" x14ac:dyDescent="0.25">
      <c r="A492" s="1" t="s">
        <v>1979</v>
      </c>
      <c r="B492" s="1" t="s">
        <v>1980</v>
      </c>
      <c r="C492" s="1" t="s">
        <v>232</v>
      </c>
      <c r="D492" s="1" t="s">
        <v>1406</v>
      </c>
      <c r="E492" s="1" t="s">
        <v>30</v>
      </c>
      <c r="F492" s="9">
        <f t="shared" si="29"/>
        <v>77</v>
      </c>
      <c r="G492" s="9">
        <f t="shared" si="30"/>
        <v>52</v>
      </c>
      <c r="H492" s="9">
        <f t="shared" si="31"/>
        <v>0</v>
      </c>
      <c r="I492" s="10">
        <f t="shared" si="32"/>
        <v>129</v>
      </c>
    </row>
    <row r="493" spans="1:9" x14ac:dyDescent="0.25">
      <c r="A493" s="1" t="s">
        <v>1981</v>
      </c>
      <c r="B493" s="1" t="s">
        <v>1982</v>
      </c>
      <c r="C493" s="1" t="s">
        <v>232</v>
      </c>
      <c r="D493" s="1" t="s">
        <v>1406</v>
      </c>
      <c r="E493" s="1" t="s">
        <v>30</v>
      </c>
      <c r="F493" s="9">
        <f t="shared" si="29"/>
        <v>0</v>
      </c>
      <c r="G493" s="9">
        <f t="shared" si="30"/>
        <v>127</v>
      </c>
      <c r="H493" s="9">
        <f t="shared" si="31"/>
        <v>0</v>
      </c>
      <c r="I493" s="10">
        <f t="shared" si="32"/>
        <v>127</v>
      </c>
    </row>
    <row r="494" spans="1:9" x14ac:dyDescent="0.25">
      <c r="A494" s="1" t="s">
        <v>1983</v>
      </c>
      <c r="B494" s="1" t="s">
        <v>1984</v>
      </c>
      <c r="C494" s="1" t="s">
        <v>232</v>
      </c>
      <c r="D494" s="1" t="s">
        <v>1406</v>
      </c>
      <c r="E494" s="1" t="s">
        <v>30</v>
      </c>
      <c r="F494" s="9">
        <f t="shared" si="29"/>
        <v>28</v>
      </c>
      <c r="G494" s="9">
        <f t="shared" si="30"/>
        <v>2</v>
      </c>
      <c r="H494" s="9">
        <f t="shared" si="31"/>
        <v>0</v>
      </c>
      <c r="I494" s="10">
        <f t="shared" si="32"/>
        <v>30</v>
      </c>
    </row>
    <row r="495" spans="1:9" x14ac:dyDescent="0.25">
      <c r="A495" s="1" t="s">
        <v>1985</v>
      </c>
      <c r="B495" s="1" t="s">
        <v>1986</v>
      </c>
      <c r="C495" s="1" t="s">
        <v>232</v>
      </c>
      <c r="D495" s="1" t="s">
        <v>1406</v>
      </c>
      <c r="E495" s="1" t="s">
        <v>30</v>
      </c>
      <c r="F495" s="9">
        <f t="shared" si="29"/>
        <v>0</v>
      </c>
      <c r="G495" s="9">
        <f t="shared" si="30"/>
        <v>1</v>
      </c>
      <c r="H495" s="9">
        <f t="shared" si="31"/>
        <v>0</v>
      </c>
      <c r="I495" s="10">
        <f t="shared" si="32"/>
        <v>1</v>
      </c>
    </row>
    <row r="496" spans="1:9" x14ac:dyDescent="0.25">
      <c r="A496" s="1" t="s">
        <v>1987</v>
      </c>
      <c r="B496" s="1" t="s">
        <v>1988</v>
      </c>
      <c r="C496" s="1" t="s">
        <v>232</v>
      </c>
      <c r="D496" s="1" t="s">
        <v>1406</v>
      </c>
      <c r="E496" s="1" t="s">
        <v>30</v>
      </c>
      <c r="F496" s="9">
        <f t="shared" si="29"/>
        <v>3</v>
      </c>
      <c r="G496" s="9">
        <f t="shared" si="30"/>
        <v>24</v>
      </c>
      <c r="H496" s="9">
        <f t="shared" si="31"/>
        <v>0</v>
      </c>
      <c r="I496" s="10">
        <f t="shared" si="32"/>
        <v>27</v>
      </c>
    </row>
    <row r="497" spans="1:9" x14ac:dyDescent="0.25">
      <c r="A497" s="1" t="s">
        <v>1989</v>
      </c>
      <c r="B497" s="1" t="s">
        <v>1990</v>
      </c>
      <c r="C497" s="1" t="s">
        <v>232</v>
      </c>
      <c r="D497" s="1" t="s">
        <v>1406</v>
      </c>
      <c r="E497" s="1" t="s">
        <v>30</v>
      </c>
      <c r="F497" s="9">
        <f t="shared" si="29"/>
        <v>24</v>
      </c>
      <c r="G497" s="9">
        <f t="shared" si="30"/>
        <v>1</v>
      </c>
      <c r="H497" s="9">
        <f t="shared" si="31"/>
        <v>0</v>
      </c>
      <c r="I497" s="10">
        <f t="shared" si="32"/>
        <v>25</v>
      </c>
    </row>
    <row r="498" spans="1:9" x14ac:dyDescent="0.25">
      <c r="A498" s="1" t="s">
        <v>1991</v>
      </c>
      <c r="B498" s="1" t="s">
        <v>1992</v>
      </c>
      <c r="C498" s="1" t="s">
        <v>232</v>
      </c>
      <c r="D498" s="1" t="s">
        <v>1406</v>
      </c>
      <c r="E498" s="1" t="s">
        <v>30</v>
      </c>
      <c r="F498" s="9">
        <f t="shared" si="29"/>
        <v>13</v>
      </c>
      <c r="G498" s="9">
        <f t="shared" si="30"/>
        <v>2</v>
      </c>
      <c r="H498" s="9">
        <f t="shared" si="31"/>
        <v>0</v>
      </c>
      <c r="I498" s="10">
        <f t="shared" si="32"/>
        <v>15</v>
      </c>
    </row>
    <row r="499" spans="1:9" x14ac:dyDescent="0.25">
      <c r="A499" s="1" t="s">
        <v>1993</v>
      </c>
      <c r="B499" s="1" t="s">
        <v>1994</v>
      </c>
      <c r="C499" s="1" t="s">
        <v>232</v>
      </c>
      <c r="D499" s="1" t="s">
        <v>1406</v>
      </c>
      <c r="E499" s="1" t="s">
        <v>30</v>
      </c>
      <c r="F499" s="9">
        <f t="shared" si="29"/>
        <v>16</v>
      </c>
      <c r="G499" s="9">
        <f t="shared" si="30"/>
        <v>49</v>
      </c>
      <c r="H499" s="9">
        <f t="shared" si="31"/>
        <v>0</v>
      </c>
      <c r="I499" s="10">
        <f t="shared" si="32"/>
        <v>65</v>
      </c>
    </row>
    <row r="500" spans="1:9" x14ac:dyDescent="0.25">
      <c r="A500" s="1" t="s">
        <v>1995</v>
      </c>
      <c r="B500" s="1" t="s">
        <v>1996</v>
      </c>
      <c r="C500" s="1" t="s">
        <v>232</v>
      </c>
      <c r="D500" s="1" t="s">
        <v>1406</v>
      </c>
      <c r="E500" s="1" t="s">
        <v>30</v>
      </c>
      <c r="F500" s="9">
        <f t="shared" si="29"/>
        <v>5</v>
      </c>
      <c r="G500" s="9">
        <f t="shared" si="30"/>
        <v>23</v>
      </c>
      <c r="H500" s="9">
        <f t="shared" si="31"/>
        <v>0</v>
      </c>
      <c r="I500" s="10">
        <f t="shared" si="32"/>
        <v>28</v>
      </c>
    </row>
    <row r="501" spans="1:9" x14ac:dyDescent="0.25">
      <c r="A501" s="1" t="s">
        <v>1997</v>
      </c>
      <c r="B501" s="1" t="s">
        <v>1998</v>
      </c>
      <c r="C501" s="1" t="s">
        <v>232</v>
      </c>
      <c r="D501" s="1" t="s">
        <v>1406</v>
      </c>
      <c r="E501" s="1" t="s">
        <v>30</v>
      </c>
      <c r="F501" s="9">
        <f t="shared" si="29"/>
        <v>4</v>
      </c>
      <c r="G501" s="9">
        <f t="shared" si="30"/>
        <v>8</v>
      </c>
      <c r="H501" s="9">
        <f t="shared" si="31"/>
        <v>0</v>
      </c>
      <c r="I501" s="10">
        <f t="shared" si="32"/>
        <v>12</v>
      </c>
    </row>
    <row r="502" spans="1:9" x14ac:dyDescent="0.25">
      <c r="A502" s="1" t="s">
        <v>1999</v>
      </c>
      <c r="B502" s="1" t="s">
        <v>2000</v>
      </c>
      <c r="C502" s="1" t="s">
        <v>232</v>
      </c>
      <c r="D502" s="1" t="s">
        <v>1406</v>
      </c>
      <c r="E502" s="1" t="s">
        <v>30</v>
      </c>
      <c r="F502" s="9">
        <f t="shared" si="29"/>
        <v>0</v>
      </c>
      <c r="G502" s="9">
        <f t="shared" si="30"/>
        <v>0</v>
      </c>
      <c r="H502" s="9">
        <f t="shared" si="31"/>
        <v>0</v>
      </c>
      <c r="I502" s="10">
        <f t="shared" si="32"/>
        <v>0</v>
      </c>
    </row>
    <row r="503" spans="1:9" x14ac:dyDescent="0.25">
      <c r="A503" s="1" t="s">
        <v>2001</v>
      </c>
      <c r="B503" s="1" t="s">
        <v>2002</v>
      </c>
      <c r="C503" s="1" t="s">
        <v>232</v>
      </c>
      <c r="D503" s="1" t="s">
        <v>1406</v>
      </c>
      <c r="E503" s="1" t="s">
        <v>30</v>
      </c>
      <c r="F503" s="9">
        <f t="shared" si="29"/>
        <v>0</v>
      </c>
      <c r="G503" s="9">
        <f t="shared" si="30"/>
        <v>6</v>
      </c>
      <c r="H503" s="9">
        <f t="shared" si="31"/>
        <v>0</v>
      </c>
      <c r="I503" s="10">
        <f t="shared" si="32"/>
        <v>6</v>
      </c>
    </row>
    <row r="504" spans="1:9" x14ac:dyDescent="0.25">
      <c r="A504" s="1" t="s">
        <v>2003</v>
      </c>
      <c r="B504" s="1" t="s">
        <v>2004</v>
      </c>
      <c r="C504" s="1" t="s">
        <v>232</v>
      </c>
      <c r="D504" s="1" t="s">
        <v>1406</v>
      </c>
      <c r="E504" s="1" t="s">
        <v>30</v>
      </c>
      <c r="F504" s="9">
        <f t="shared" si="29"/>
        <v>0</v>
      </c>
      <c r="G504" s="9">
        <f t="shared" si="30"/>
        <v>12</v>
      </c>
      <c r="H504" s="9">
        <f t="shared" si="31"/>
        <v>0</v>
      </c>
      <c r="I504" s="10">
        <f t="shared" si="32"/>
        <v>12</v>
      </c>
    </row>
    <row r="505" spans="1:9" x14ac:dyDescent="0.25">
      <c r="A505" s="1" t="s">
        <v>2005</v>
      </c>
      <c r="B505" s="1" t="s">
        <v>2006</v>
      </c>
      <c r="C505" s="1" t="s">
        <v>232</v>
      </c>
      <c r="D505" s="1" t="s">
        <v>1406</v>
      </c>
      <c r="E505" s="1" t="s">
        <v>30</v>
      </c>
      <c r="F505" s="9">
        <f t="shared" si="29"/>
        <v>0</v>
      </c>
      <c r="G505" s="9">
        <f t="shared" si="30"/>
        <v>14</v>
      </c>
      <c r="H505" s="9">
        <f t="shared" si="31"/>
        <v>0</v>
      </c>
      <c r="I505" s="10">
        <f t="shared" si="32"/>
        <v>14</v>
      </c>
    </row>
    <row r="506" spans="1:9" x14ac:dyDescent="0.25">
      <c r="A506" s="1" t="s">
        <v>2007</v>
      </c>
      <c r="B506" s="1" t="s">
        <v>2008</v>
      </c>
      <c r="C506" s="1" t="s">
        <v>232</v>
      </c>
      <c r="D506" s="1" t="s">
        <v>1406</v>
      </c>
      <c r="E506" s="1" t="s">
        <v>30</v>
      </c>
      <c r="F506" s="9">
        <f t="shared" si="29"/>
        <v>0</v>
      </c>
      <c r="G506" s="9">
        <f t="shared" si="30"/>
        <v>6</v>
      </c>
      <c r="H506" s="9">
        <f t="shared" si="31"/>
        <v>0</v>
      </c>
      <c r="I506" s="10">
        <f t="shared" si="32"/>
        <v>6</v>
      </c>
    </row>
    <row r="507" spans="1:9" x14ac:dyDescent="0.25">
      <c r="A507" s="1" t="s">
        <v>2009</v>
      </c>
      <c r="B507" s="1" t="s">
        <v>2010</v>
      </c>
      <c r="C507" s="1" t="s">
        <v>232</v>
      </c>
      <c r="D507" s="1" t="s">
        <v>1406</v>
      </c>
      <c r="E507" s="1" t="s">
        <v>30</v>
      </c>
      <c r="F507" s="9">
        <f t="shared" si="29"/>
        <v>0</v>
      </c>
      <c r="G507" s="9">
        <f t="shared" si="30"/>
        <v>12</v>
      </c>
      <c r="H507" s="9">
        <f t="shared" si="31"/>
        <v>0</v>
      </c>
      <c r="I507" s="10">
        <f t="shared" si="32"/>
        <v>12</v>
      </c>
    </row>
    <row r="508" spans="1:9" x14ac:dyDescent="0.25">
      <c r="A508" s="1" t="s">
        <v>2011</v>
      </c>
      <c r="B508" s="1" t="s">
        <v>2012</v>
      </c>
      <c r="C508" s="1" t="s">
        <v>232</v>
      </c>
      <c r="D508" s="1" t="s">
        <v>1406</v>
      </c>
      <c r="E508" s="1" t="s">
        <v>30</v>
      </c>
      <c r="F508" s="9">
        <f t="shared" si="29"/>
        <v>0</v>
      </c>
      <c r="G508" s="9">
        <f t="shared" si="30"/>
        <v>0</v>
      </c>
      <c r="H508" s="9">
        <f t="shared" si="31"/>
        <v>0</v>
      </c>
      <c r="I508" s="10">
        <f t="shared" si="32"/>
        <v>0</v>
      </c>
    </row>
    <row r="509" spans="1:9" x14ac:dyDescent="0.25">
      <c r="A509" s="1" t="s">
        <v>2013</v>
      </c>
      <c r="B509" s="1" t="s">
        <v>2014</v>
      </c>
      <c r="C509" s="1" t="s">
        <v>232</v>
      </c>
      <c r="D509" s="1" t="s">
        <v>1406</v>
      </c>
      <c r="E509" s="1" t="s">
        <v>30</v>
      </c>
      <c r="F509" s="9">
        <f t="shared" si="29"/>
        <v>5</v>
      </c>
      <c r="G509" s="9">
        <f t="shared" si="30"/>
        <v>1</v>
      </c>
      <c r="H509" s="9">
        <f t="shared" si="31"/>
        <v>0</v>
      </c>
      <c r="I509" s="10">
        <f t="shared" si="32"/>
        <v>6</v>
      </c>
    </row>
    <row r="510" spans="1:9" x14ac:dyDescent="0.25">
      <c r="A510" s="1" t="s">
        <v>2015</v>
      </c>
      <c r="B510" s="1" t="s">
        <v>2016</v>
      </c>
      <c r="C510" s="1" t="s">
        <v>232</v>
      </c>
      <c r="D510" s="1" t="s">
        <v>1406</v>
      </c>
      <c r="E510" s="1" t="s">
        <v>30</v>
      </c>
      <c r="F510" s="9">
        <f t="shared" si="29"/>
        <v>5</v>
      </c>
      <c r="G510" s="9">
        <f t="shared" si="30"/>
        <v>15</v>
      </c>
      <c r="H510" s="9">
        <f t="shared" si="31"/>
        <v>0</v>
      </c>
      <c r="I510" s="10">
        <f t="shared" si="32"/>
        <v>20</v>
      </c>
    </row>
    <row r="511" spans="1:9" x14ac:dyDescent="0.25">
      <c r="A511" s="1" t="s">
        <v>402</v>
      </c>
      <c r="B511" s="1" t="s">
        <v>401</v>
      </c>
      <c r="C511" s="1" t="s">
        <v>232</v>
      </c>
      <c r="D511" s="1" t="s">
        <v>1406</v>
      </c>
      <c r="E511" s="1" t="s">
        <v>30</v>
      </c>
      <c r="F511" s="9">
        <f t="shared" si="29"/>
        <v>0</v>
      </c>
      <c r="G511" s="9">
        <f t="shared" si="30"/>
        <v>0</v>
      </c>
      <c r="H511" s="9">
        <f t="shared" si="31"/>
        <v>0</v>
      </c>
      <c r="I511" s="10">
        <f t="shared" si="32"/>
        <v>0</v>
      </c>
    </row>
    <row r="512" spans="1:9" x14ac:dyDescent="0.25">
      <c r="A512" s="1" t="s">
        <v>2017</v>
      </c>
      <c r="B512" s="1" t="s">
        <v>2018</v>
      </c>
      <c r="C512" s="1" t="s">
        <v>232</v>
      </c>
      <c r="D512" s="1" t="s">
        <v>1406</v>
      </c>
      <c r="E512" s="1" t="s">
        <v>30</v>
      </c>
      <c r="F512" s="9">
        <f t="shared" si="29"/>
        <v>2</v>
      </c>
      <c r="G512" s="9">
        <f t="shared" si="30"/>
        <v>14</v>
      </c>
      <c r="H512" s="9">
        <f t="shared" si="31"/>
        <v>0</v>
      </c>
      <c r="I512" s="10">
        <f t="shared" si="32"/>
        <v>16</v>
      </c>
    </row>
    <row r="513" spans="1:9" x14ac:dyDescent="0.25">
      <c r="A513" s="1" t="s">
        <v>410</v>
      </c>
      <c r="B513" s="1" t="s">
        <v>409</v>
      </c>
      <c r="C513" s="1" t="s">
        <v>232</v>
      </c>
      <c r="D513" s="1" t="s">
        <v>1406</v>
      </c>
      <c r="E513" s="1" t="s">
        <v>30</v>
      </c>
      <c r="F513" s="9">
        <f t="shared" si="29"/>
        <v>0</v>
      </c>
      <c r="G513" s="9">
        <f t="shared" si="30"/>
        <v>0</v>
      </c>
      <c r="H513" s="9">
        <f t="shared" si="31"/>
        <v>0</v>
      </c>
      <c r="I513" s="10">
        <f t="shared" si="32"/>
        <v>0</v>
      </c>
    </row>
    <row r="514" spans="1:9" x14ac:dyDescent="0.25">
      <c r="A514" s="1" t="s">
        <v>412</v>
      </c>
      <c r="B514" s="1" t="s">
        <v>411</v>
      </c>
      <c r="C514" s="1" t="s">
        <v>232</v>
      </c>
      <c r="D514" s="1" t="s">
        <v>1406</v>
      </c>
      <c r="E514" s="1" t="s">
        <v>30</v>
      </c>
      <c r="F514" s="9">
        <f t="shared" ref="F514:F577" si="33">IFERROR(VLOOKUP(A514,condi,8,0),0)</f>
        <v>0</v>
      </c>
      <c r="G514" s="9">
        <f t="shared" ref="G514:G577" si="34">IFERROR(VLOOKUP(A514,maqui,8,0),0)</f>
        <v>0</v>
      </c>
      <c r="H514" s="9">
        <f t="shared" ref="H514:H577" si="35">IFERROR(VLOOKUP(A514,ascint,8,0),0)</f>
        <v>0</v>
      </c>
      <c r="I514" s="10">
        <f t="shared" si="32"/>
        <v>0</v>
      </c>
    </row>
    <row r="515" spans="1:9" x14ac:dyDescent="0.25">
      <c r="A515" s="1" t="s">
        <v>414</v>
      </c>
      <c r="B515" s="1" t="s">
        <v>413</v>
      </c>
      <c r="C515" s="1" t="s">
        <v>232</v>
      </c>
      <c r="D515" s="1" t="s">
        <v>1406</v>
      </c>
      <c r="E515" s="1" t="s">
        <v>30</v>
      </c>
      <c r="F515" s="9">
        <f t="shared" si="33"/>
        <v>0</v>
      </c>
      <c r="G515" s="9">
        <f t="shared" si="34"/>
        <v>5</v>
      </c>
      <c r="H515" s="9">
        <f t="shared" si="35"/>
        <v>0</v>
      </c>
      <c r="I515" s="10">
        <f t="shared" si="32"/>
        <v>5</v>
      </c>
    </row>
    <row r="516" spans="1:9" x14ac:dyDescent="0.25">
      <c r="A516" s="1" t="s">
        <v>2019</v>
      </c>
      <c r="B516" s="1" t="s">
        <v>2020</v>
      </c>
      <c r="C516" s="1" t="s">
        <v>232</v>
      </c>
      <c r="D516" s="1" t="s">
        <v>1406</v>
      </c>
      <c r="E516" s="1" t="s">
        <v>30</v>
      </c>
      <c r="F516" s="9">
        <f t="shared" si="33"/>
        <v>0</v>
      </c>
      <c r="G516" s="9">
        <f t="shared" si="34"/>
        <v>8</v>
      </c>
      <c r="H516" s="9">
        <f t="shared" si="35"/>
        <v>0</v>
      </c>
      <c r="I516" s="10">
        <f t="shared" si="32"/>
        <v>8</v>
      </c>
    </row>
    <row r="517" spans="1:9" x14ac:dyDescent="0.25">
      <c r="A517" s="1" t="s">
        <v>2021</v>
      </c>
      <c r="B517" s="1" t="s">
        <v>2022</v>
      </c>
      <c r="C517" s="1" t="s">
        <v>232</v>
      </c>
      <c r="D517" s="1" t="s">
        <v>1406</v>
      </c>
      <c r="E517" s="1" t="s">
        <v>30</v>
      </c>
      <c r="F517" s="9">
        <f t="shared" si="33"/>
        <v>2</v>
      </c>
      <c r="G517" s="9">
        <f t="shared" si="34"/>
        <v>0</v>
      </c>
      <c r="H517" s="9">
        <f t="shared" si="35"/>
        <v>0</v>
      </c>
      <c r="I517" s="10">
        <f t="shared" si="32"/>
        <v>2</v>
      </c>
    </row>
    <row r="518" spans="1:9" x14ac:dyDescent="0.25">
      <c r="A518" s="1" t="s">
        <v>2023</v>
      </c>
      <c r="B518" s="1" t="s">
        <v>2024</v>
      </c>
      <c r="C518" s="1" t="s">
        <v>232</v>
      </c>
      <c r="D518" s="1" t="s">
        <v>1406</v>
      </c>
      <c r="E518" s="1" t="s">
        <v>30</v>
      </c>
      <c r="F518" s="9">
        <f t="shared" si="33"/>
        <v>0</v>
      </c>
      <c r="G518" s="9">
        <f t="shared" si="34"/>
        <v>3</v>
      </c>
      <c r="H518" s="9">
        <f t="shared" si="35"/>
        <v>0</v>
      </c>
      <c r="I518" s="10">
        <f t="shared" si="32"/>
        <v>3</v>
      </c>
    </row>
    <row r="519" spans="1:9" x14ac:dyDescent="0.25">
      <c r="A519" s="1" t="s">
        <v>2025</v>
      </c>
      <c r="B519" s="1" t="s">
        <v>2026</v>
      </c>
      <c r="C519" s="1" t="s">
        <v>232</v>
      </c>
      <c r="D519" s="1" t="s">
        <v>1406</v>
      </c>
      <c r="E519" s="1" t="s">
        <v>30</v>
      </c>
      <c r="F519" s="9">
        <f t="shared" si="33"/>
        <v>2</v>
      </c>
      <c r="G519" s="9">
        <f t="shared" si="34"/>
        <v>5</v>
      </c>
      <c r="H519" s="9">
        <f t="shared" si="35"/>
        <v>0</v>
      </c>
      <c r="I519" s="10">
        <f t="shared" si="32"/>
        <v>7</v>
      </c>
    </row>
    <row r="520" spans="1:9" x14ac:dyDescent="0.25">
      <c r="A520" s="1" t="s">
        <v>416</v>
      </c>
      <c r="B520" s="1" t="s">
        <v>415</v>
      </c>
      <c r="C520" s="1" t="s">
        <v>232</v>
      </c>
      <c r="D520" s="1" t="s">
        <v>1406</v>
      </c>
      <c r="E520" s="1" t="s">
        <v>30</v>
      </c>
      <c r="F520" s="9">
        <f t="shared" si="33"/>
        <v>0</v>
      </c>
      <c r="G520" s="9">
        <f t="shared" si="34"/>
        <v>4</v>
      </c>
      <c r="H520" s="9">
        <f t="shared" si="35"/>
        <v>0</v>
      </c>
      <c r="I520" s="10">
        <f t="shared" ref="I520:I583" si="36">+F520+G520+H520</f>
        <v>4</v>
      </c>
    </row>
    <row r="521" spans="1:9" x14ac:dyDescent="0.25">
      <c r="A521" s="1" t="s">
        <v>2027</v>
      </c>
      <c r="B521" s="1" t="s">
        <v>2028</v>
      </c>
      <c r="C521" s="1" t="s">
        <v>232</v>
      </c>
      <c r="D521" s="1" t="s">
        <v>1406</v>
      </c>
      <c r="E521" s="1" t="s">
        <v>30</v>
      </c>
      <c r="F521" s="9">
        <f t="shared" si="33"/>
        <v>0</v>
      </c>
      <c r="G521" s="9">
        <f t="shared" si="34"/>
        <v>6</v>
      </c>
      <c r="H521" s="9">
        <f t="shared" si="35"/>
        <v>0</v>
      </c>
      <c r="I521" s="10">
        <f t="shared" si="36"/>
        <v>6</v>
      </c>
    </row>
    <row r="522" spans="1:9" x14ac:dyDescent="0.25">
      <c r="A522" s="1" t="s">
        <v>418</v>
      </c>
      <c r="B522" s="1" t="s">
        <v>417</v>
      </c>
      <c r="C522" s="1" t="s">
        <v>232</v>
      </c>
      <c r="D522" s="1" t="s">
        <v>1406</v>
      </c>
      <c r="E522" s="1" t="s">
        <v>30</v>
      </c>
      <c r="F522" s="9">
        <f t="shared" si="33"/>
        <v>0</v>
      </c>
      <c r="G522" s="9">
        <f t="shared" si="34"/>
        <v>0</v>
      </c>
      <c r="H522" s="9">
        <f t="shared" si="35"/>
        <v>0</v>
      </c>
      <c r="I522" s="10">
        <f t="shared" si="36"/>
        <v>0</v>
      </c>
    </row>
    <row r="523" spans="1:9" x14ac:dyDescent="0.25">
      <c r="A523" s="1" t="s">
        <v>2029</v>
      </c>
      <c r="B523" s="1" t="s">
        <v>2030</v>
      </c>
      <c r="C523" s="1" t="s">
        <v>232</v>
      </c>
      <c r="D523" s="1" t="s">
        <v>1406</v>
      </c>
      <c r="E523" s="1" t="s">
        <v>30</v>
      </c>
      <c r="F523" s="9">
        <f t="shared" si="33"/>
        <v>0</v>
      </c>
      <c r="G523" s="9">
        <f t="shared" si="34"/>
        <v>9</v>
      </c>
      <c r="H523" s="9">
        <f t="shared" si="35"/>
        <v>0</v>
      </c>
      <c r="I523" s="10">
        <f t="shared" si="36"/>
        <v>9</v>
      </c>
    </row>
    <row r="524" spans="1:9" x14ac:dyDescent="0.25">
      <c r="A524" s="1" t="s">
        <v>2031</v>
      </c>
      <c r="B524" s="1" t="s">
        <v>2032</v>
      </c>
      <c r="C524" s="1" t="s">
        <v>232</v>
      </c>
      <c r="D524" s="1" t="s">
        <v>1406</v>
      </c>
      <c r="E524" s="1" t="s">
        <v>30</v>
      </c>
      <c r="F524" s="9">
        <f t="shared" si="33"/>
        <v>0</v>
      </c>
      <c r="G524" s="9">
        <f t="shared" si="34"/>
        <v>16</v>
      </c>
      <c r="H524" s="9">
        <f t="shared" si="35"/>
        <v>0</v>
      </c>
      <c r="I524" s="10">
        <f t="shared" si="36"/>
        <v>16</v>
      </c>
    </row>
    <row r="525" spans="1:9" x14ac:dyDescent="0.25">
      <c r="A525" s="1" t="s">
        <v>420</v>
      </c>
      <c r="B525" s="1" t="s">
        <v>419</v>
      </c>
      <c r="C525" s="1" t="s">
        <v>232</v>
      </c>
      <c r="D525" s="1" t="s">
        <v>1406</v>
      </c>
      <c r="E525" s="1" t="s">
        <v>30</v>
      </c>
      <c r="F525" s="9">
        <f t="shared" si="33"/>
        <v>0</v>
      </c>
      <c r="G525" s="9">
        <f t="shared" si="34"/>
        <v>28</v>
      </c>
      <c r="H525" s="9">
        <f t="shared" si="35"/>
        <v>0</v>
      </c>
      <c r="I525" s="10">
        <f t="shared" si="36"/>
        <v>28</v>
      </c>
    </row>
    <row r="526" spans="1:9" x14ac:dyDescent="0.25">
      <c r="A526" s="1" t="s">
        <v>422</v>
      </c>
      <c r="B526" s="1" t="s">
        <v>421</v>
      </c>
      <c r="C526" s="1" t="s">
        <v>232</v>
      </c>
      <c r="D526" s="1" t="s">
        <v>1406</v>
      </c>
      <c r="E526" s="1" t="s">
        <v>30</v>
      </c>
      <c r="F526" s="9">
        <f t="shared" si="33"/>
        <v>0</v>
      </c>
      <c r="G526" s="9">
        <f t="shared" si="34"/>
        <v>15</v>
      </c>
      <c r="H526" s="9">
        <f t="shared" si="35"/>
        <v>0</v>
      </c>
      <c r="I526" s="10">
        <f t="shared" si="36"/>
        <v>15</v>
      </c>
    </row>
    <row r="527" spans="1:9" x14ac:dyDescent="0.25">
      <c r="A527" s="1" t="s">
        <v>2033</v>
      </c>
      <c r="B527" s="1" t="s">
        <v>2034</v>
      </c>
      <c r="C527" s="1" t="s">
        <v>232</v>
      </c>
      <c r="D527" s="1" t="s">
        <v>1406</v>
      </c>
      <c r="E527" s="1" t="s">
        <v>30</v>
      </c>
      <c r="F527" s="9">
        <f t="shared" si="33"/>
        <v>29</v>
      </c>
      <c r="G527" s="9">
        <f t="shared" si="34"/>
        <v>14</v>
      </c>
      <c r="H527" s="9">
        <f t="shared" si="35"/>
        <v>0</v>
      </c>
      <c r="I527" s="10">
        <f t="shared" si="36"/>
        <v>43</v>
      </c>
    </row>
    <row r="528" spans="1:9" x14ac:dyDescent="0.25">
      <c r="A528" s="1" t="s">
        <v>2035</v>
      </c>
      <c r="B528" s="1" t="s">
        <v>2036</v>
      </c>
      <c r="C528" s="1" t="s">
        <v>232</v>
      </c>
      <c r="D528" s="1" t="s">
        <v>1406</v>
      </c>
      <c r="E528" s="1" t="s">
        <v>30</v>
      </c>
      <c r="F528" s="9">
        <f t="shared" si="33"/>
        <v>0</v>
      </c>
      <c r="G528" s="9">
        <f t="shared" si="34"/>
        <v>2</v>
      </c>
      <c r="H528" s="9">
        <f t="shared" si="35"/>
        <v>0</v>
      </c>
      <c r="I528" s="10">
        <f t="shared" si="36"/>
        <v>2</v>
      </c>
    </row>
    <row r="529" spans="1:9" x14ac:dyDescent="0.25">
      <c r="A529" s="1" t="s">
        <v>2037</v>
      </c>
      <c r="B529" s="1" t="s">
        <v>2038</v>
      </c>
      <c r="C529" s="1" t="s">
        <v>232</v>
      </c>
      <c r="D529" s="1" t="s">
        <v>1406</v>
      </c>
      <c r="E529" s="1" t="s">
        <v>30</v>
      </c>
      <c r="F529" s="9">
        <f t="shared" si="33"/>
        <v>0</v>
      </c>
      <c r="G529" s="9">
        <f t="shared" si="34"/>
        <v>2</v>
      </c>
      <c r="H529" s="9">
        <f t="shared" si="35"/>
        <v>0</v>
      </c>
      <c r="I529" s="10">
        <f t="shared" si="36"/>
        <v>2</v>
      </c>
    </row>
    <row r="530" spans="1:9" x14ac:dyDescent="0.25">
      <c r="A530" s="1" t="s">
        <v>2039</v>
      </c>
      <c r="B530" s="1" t="s">
        <v>2040</v>
      </c>
      <c r="C530" s="1" t="s">
        <v>232</v>
      </c>
      <c r="D530" s="1" t="s">
        <v>1406</v>
      </c>
      <c r="E530" s="1" t="s">
        <v>30</v>
      </c>
      <c r="F530" s="9">
        <f t="shared" si="33"/>
        <v>0</v>
      </c>
      <c r="G530" s="9">
        <f t="shared" si="34"/>
        <v>15</v>
      </c>
      <c r="H530" s="9">
        <f t="shared" si="35"/>
        <v>0</v>
      </c>
      <c r="I530" s="10">
        <f t="shared" si="36"/>
        <v>15</v>
      </c>
    </row>
    <row r="531" spans="1:9" x14ac:dyDescent="0.25">
      <c r="A531" s="1" t="s">
        <v>2041</v>
      </c>
      <c r="B531" s="1" t="s">
        <v>2042</v>
      </c>
      <c r="C531" s="1" t="s">
        <v>232</v>
      </c>
      <c r="D531" s="1" t="s">
        <v>1406</v>
      </c>
      <c r="E531" s="1" t="s">
        <v>30</v>
      </c>
      <c r="F531" s="9">
        <f t="shared" si="33"/>
        <v>0</v>
      </c>
      <c r="G531" s="9">
        <f t="shared" si="34"/>
        <v>6</v>
      </c>
      <c r="H531" s="9">
        <f t="shared" si="35"/>
        <v>0</v>
      </c>
      <c r="I531" s="10">
        <f t="shared" si="36"/>
        <v>6</v>
      </c>
    </row>
    <row r="532" spans="1:9" x14ac:dyDescent="0.25">
      <c r="A532" s="1" t="s">
        <v>2043</v>
      </c>
      <c r="B532" s="1" t="s">
        <v>2044</v>
      </c>
      <c r="C532" s="1" t="s">
        <v>232</v>
      </c>
      <c r="D532" s="1" t="s">
        <v>1406</v>
      </c>
      <c r="E532" s="1" t="s">
        <v>30</v>
      </c>
      <c r="F532" s="9">
        <f t="shared" si="33"/>
        <v>0</v>
      </c>
      <c r="G532" s="9">
        <f t="shared" si="34"/>
        <v>1</v>
      </c>
      <c r="H532" s="9">
        <f t="shared" si="35"/>
        <v>0</v>
      </c>
      <c r="I532" s="10">
        <f t="shared" si="36"/>
        <v>1</v>
      </c>
    </row>
    <row r="533" spans="1:9" x14ac:dyDescent="0.25">
      <c r="A533" s="1" t="s">
        <v>2045</v>
      </c>
      <c r="B533" s="1" t="s">
        <v>2046</v>
      </c>
      <c r="C533" s="1" t="s">
        <v>232</v>
      </c>
      <c r="D533" s="1" t="s">
        <v>1406</v>
      </c>
      <c r="E533" s="1" t="s">
        <v>30</v>
      </c>
      <c r="F533" s="9">
        <f t="shared" si="33"/>
        <v>0</v>
      </c>
      <c r="G533" s="9">
        <f t="shared" si="34"/>
        <v>2</v>
      </c>
      <c r="H533" s="9">
        <f t="shared" si="35"/>
        <v>0</v>
      </c>
      <c r="I533" s="10">
        <f t="shared" si="36"/>
        <v>2</v>
      </c>
    </row>
    <row r="534" spans="1:9" x14ac:dyDescent="0.25">
      <c r="A534" s="1" t="s">
        <v>432</v>
      </c>
      <c r="B534" s="1" t="s">
        <v>431</v>
      </c>
      <c r="C534" s="1" t="s">
        <v>232</v>
      </c>
      <c r="D534" s="1" t="s">
        <v>1406</v>
      </c>
      <c r="E534" s="1" t="s">
        <v>30</v>
      </c>
      <c r="F534" s="9">
        <f t="shared" si="33"/>
        <v>0</v>
      </c>
      <c r="G534" s="9">
        <f t="shared" si="34"/>
        <v>91</v>
      </c>
      <c r="H534" s="9">
        <f t="shared" si="35"/>
        <v>0</v>
      </c>
      <c r="I534" s="10">
        <f t="shared" si="36"/>
        <v>91</v>
      </c>
    </row>
    <row r="535" spans="1:9" x14ac:dyDescent="0.25">
      <c r="A535" s="1" t="s">
        <v>436</v>
      </c>
      <c r="B535" s="1" t="s">
        <v>435</v>
      </c>
      <c r="C535" s="1" t="s">
        <v>232</v>
      </c>
      <c r="D535" s="1" t="s">
        <v>1406</v>
      </c>
      <c r="E535" s="1" t="s">
        <v>30</v>
      </c>
      <c r="F535" s="9">
        <f t="shared" si="33"/>
        <v>0</v>
      </c>
      <c r="G535" s="9">
        <f t="shared" si="34"/>
        <v>9</v>
      </c>
      <c r="H535" s="9">
        <f t="shared" si="35"/>
        <v>0</v>
      </c>
      <c r="I535" s="10">
        <f t="shared" si="36"/>
        <v>9</v>
      </c>
    </row>
    <row r="536" spans="1:9" x14ac:dyDescent="0.25">
      <c r="A536" s="1" t="s">
        <v>438</v>
      </c>
      <c r="B536" s="1" t="s">
        <v>437</v>
      </c>
      <c r="C536" s="1" t="s">
        <v>232</v>
      </c>
      <c r="D536" s="1" t="s">
        <v>1406</v>
      </c>
      <c r="E536" s="1" t="s">
        <v>30</v>
      </c>
      <c r="F536" s="9">
        <f t="shared" si="33"/>
        <v>0</v>
      </c>
      <c r="G536" s="9">
        <f t="shared" si="34"/>
        <v>17</v>
      </c>
      <c r="H536" s="9">
        <f t="shared" si="35"/>
        <v>0</v>
      </c>
      <c r="I536" s="10">
        <f t="shared" si="36"/>
        <v>17</v>
      </c>
    </row>
    <row r="537" spans="1:9" x14ac:dyDescent="0.25">
      <c r="A537" s="1" t="s">
        <v>442</v>
      </c>
      <c r="B537" s="1" t="s">
        <v>441</v>
      </c>
      <c r="C537" s="1" t="s">
        <v>232</v>
      </c>
      <c r="D537" s="1" t="s">
        <v>1406</v>
      </c>
      <c r="E537" s="1" t="s">
        <v>30</v>
      </c>
      <c r="F537" s="9">
        <f t="shared" si="33"/>
        <v>0</v>
      </c>
      <c r="G537" s="9">
        <f t="shared" si="34"/>
        <v>0</v>
      </c>
      <c r="H537" s="9">
        <f t="shared" si="35"/>
        <v>0</v>
      </c>
      <c r="I537" s="10">
        <f t="shared" si="36"/>
        <v>0</v>
      </c>
    </row>
    <row r="538" spans="1:9" x14ac:dyDescent="0.25">
      <c r="A538" s="1" t="s">
        <v>2047</v>
      </c>
      <c r="B538" s="1" t="s">
        <v>2048</v>
      </c>
      <c r="C538" s="1" t="s">
        <v>232</v>
      </c>
      <c r="D538" s="1" t="s">
        <v>1406</v>
      </c>
      <c r="E538" s="1" t="s">
        <v>30</v>
      </c>
      <c r="F538" s="9">
        <f t="shared" si="33"/>
        <v>4</v>
      </c>
      <c r="G538" s="9">
        <f t="shared" si="34"/>
        <v>8</v>
      </c>
      <c r="H538" s="9">
        <f t="shared" si="35"/>
        <v>0</v>
      </c>
      <c r="I538" s="10">
        <f t="shared" si="36"/>
        <v>12</v>
      </c>
    </row>
    <row r="539" spans="1:9" x14ac:dyDescent="0.25">
      <c r="A539" s="1" t="s">
        <v>2049</v>
      </c>
      <c r="B539" s="1" t="s">
        <v>2050</v>
      </c>
      <c r="C539" s="1" t="s">
        <v>232</v>
      </c>
      <c r="D539" s="1" t="s">
        <v>1406</v>
      </c>
      <c r="E539" s="1" t="s">
        <v>30</v>
      </c>
      <c r="F539" s="9">
        <f t="shared" si="33"/>
        <v>0</v>
      </c>
      <c r="G539" s="9">
        <f t="shared" si="34"/>
        <v>11</v>
      </c>
      <c r="H539" s="9">
        <f t="shared" si="35"/>
        <v>0</v>
      </c>
      <c r="I539" s="10">
        <f t="shared" si="36"/>
        <v>11</v>
      </c>
    </row>
    <row r="540" spans="1:9" x14ac:dyDescent="0.25">
      <c r="A540" s="1" t="s">
        <v>2051</v>
      </c>
      <c r="B540" s="1" t="s">
        <v>2052</v>
      </c>
      <c r="C540" s="1" t="s">
        <v>232</v>
      </c>
      <c r="D540" s="1" t="s">
        <v>1406</v>
      </c>
      <c r="E540" s="1" t="s">
        <v>30</v>
      </c>
      <c r="F540" s="9">
        <f t="shared" si="33"/>
        <v>2</v>
      </c>
      <c r="G540" s="9">
        <f t="shared" si="34"/>
        <v>69</v>
      </c>
      <c r="H540" s="9">
        <f t="shared" si="35"/>
        <v>0</v>
      </c>
      <c r="I540" s="10">
        <f t="shared" si="36"/>
        <v>71</v>
      </c>
    </row>
    <row r="541" spans="1:9" x14ac:dyDescent="0.25">
      <c r="A541" s="1" t="s">
        <v>2053</v>
      </c>
      <c r="B541" s="1" t="s">
        <v>2054</v>
      </c>
      <c r="C541" s="1" t="s">
        <v>232</v>
      </c>
      <c r="D541" s="1" t="s">
        <v>1406</v>
      </c>
      <c r="E541" s="1" t="s">
        <v>30</v>
      </c>
      <c r="F541" s="9">
        <f t="shared" si="33"/>
        <v>0</v>
      </c>
      <c r="G541" s="9">
        <f t="shared" si="34"/>
        <v>0</v>
      </c>
      <c r="H541" s="9">
        <f t="shared" si="35"/>
        <v>0</v>
      </c>
      <c r="I541" s="10">
        <f t="shared" si="36"/>
        <v>0</v>
      </c>
    </row>
    <row r="542" spans="1:9" x14ac:dyDescent="0.25">
      <c r="A542" s="1" t="s">
        <v>2055</v>
      </c>
      <c r="B542" s="1" t="s">
        <v>2056</v>
      </c>
      <c r="C542" s="1" t="s">
        <v>232</v>
      </c>
      <c r="D542" s="1" t="s">
        <v>1406</v>
      </c>
      <c r="E542" s="1" t="s">
        <v>30</v>
      </c>
      <c r="F542" s="9">
        <f t="shared" si="33"/>
        <v>0</v>
      </c>
      <c r="G542" s="9">
        <f t="shared" si="34"/>
        <v>4</v>
      </c>
      <c r="H542" s="9">
        <f t="shared" si="35"/>
        <v>0</v>
      </c>
      <c r="I542" s="10">
        <f t="shared" si="36"/>
        <v>4</v>
      </c>
    </row>
    <row r="543" spans="1:9" x14ac:dyDescent="0.25">
      <c r="A543" s="1" t="s">
        <v>2057</v>
      </c>
      <c r="B543" s="1" t="s">
        <v>2058</v>
      </c>
      <c r="C543" s="1" t="s">
        <v>232</v>
      </c>
      <c r="D543" s="1" t="s">
        <v>1406</v>
      </c>
      <c r="E543" s="1" t="s">
        <v>30</v>
      </c>
      <c r="F543" s="9">
        <f t="shared" si="33"/>
        <v>0</v>
      </c>
      <c r="G543" s="9">
        <f t="shared" si="34"/>
        <v>3</v>
      </c>
      <c r="H543" s="9">
        <f t="shared" si="35"/>
        <v>0</v>
      </c>
      <c r="I543" s="10">
        <f t="shared" si="36"/>
        <v>3</v>
      </c>
    </row>
    <row r="544" spans="1:9" x14ac:dyDescent="0.25">
      <c r="A544" s="1" t="s">
        <v>444</v>
      </c>
      <c r="B544" s="1" t="s">
        <v>443</v>
      </c>
      <c r="C544" s="1" t="s">
        <v>232</v>
      </c>
      <c r="D544" s="1" t="s">
        <v>1406</v>
      </c>
      <c r="E544" s="1" t="s">
        <v>30</v>
      </c>
      <c r="F544" s="9">
        <f t="shared" si="33"/>
        <v>0</v>
      </c>
      <c r="G544" s="9">
        <f t="shared" si="34"/>
        <v>0</v>
      </c>
      <c r="H544" s="9">
        <f t="shared" si="35"/>
        <v>0</v>
      </c>
      <c r="I544" s="10">
        <f t="shared" si="36"/>
        <v>0</v>
      </c>
    </row>
    <row r="545" spans="1:9" x14ac:dyDescent="0.25">
      <c r="A545" s="1" t="s">
        <v>446</v>
      </c>
      <c r="B545" s="1" t="s">
        <v>445</v>
      </c>
      <c r="C545" s="1" t="s">
        <v>232</v>
      </c>
      <c r="D545" s="1" t="s">
        <v>1406</v>
      </c>
      <c r="E545" s="1" t="s">
        <v>30</v>
      </c>
      <c r="F545" s="9">
        <f t="shared" si="33"/>
        <v>0</v>
      </c>
      <c r="G545" s="9">
        <f t="shared" si="34"/>
        <v>149</v>
      </c>
      <c r="H545" s="9">
        <f t="shared" si="35"/>
        <v>0</v>
      </c>
      <c r="I545" s="10">
        <f t="shared" si="36"/>
        <v>149</v>
      </c>
    </row>
    <row r="546" spans="1:9" x14ac:dyDescent="0.25">
      <c r="A546" s="1" t="s">
        <v>448</v>
      </c>
      <c r="B546" s="1" t="s">
        <v>447</v>
      </c>
      <c r="C546" s="1" t="s">
        <v>232</v>
      </c>
      <c r="D546" s="1" t="s">
        <v>1406</v>
      </c>
      <c r="E546" s="1" t="s">
        <v>30</v>
      </c>
      <c r="F546" s="9">
        <f t="shared" si="33"/>
        <v>0</v>
      </c>
      <c r="G546" s="9">
        <f t="shared" si="34"/>
        <v>62</v>
      </c>
      <c r="H546" s="9">
        <f t="shared" si="35"/>
        <v>0</v>
      </c>
      <c r="I546" s="10">
        <f t="shared" si="36"/>
        <v>62</v>
      </c>
    </row>
    <row r="547" spans="1:9" x14ac:dyDescent="0.25">
      <c r="A547" s="1" t="s">
        <v>451</v>
      </c>
      <c r="B547" s="1" t="s">
        <v>450</v>
      </c>
      <c r="C547" s="1" t="s">
        <v>232</v>
      </c>
      <c r="D547" s="1" t="s">
        <v>1406</v>
      </c>
      <c r="E547" s="1" t="s">
        <v>30</v>
      </c>
      <c r="F547" s="9">
        <f t="shared" si="33"/>
        <v>0</v>
      </c>
      <c r="G547" s="9">
        <f t="shared" si="34"/>
        <v>156</v>
      </c>
      <c r="H547" s="9">
        <f t="shared" si="35"/>
        <v>0</v>
      </c>
      <c r="I547" s="10">
        <f t="shared" si="36"/>
        <v>156</v>
      </c>
    </row>
    <row r="548" spans="1:9" x14ac:dyDescent="0.25">
      <c r="A548" s="1" t="s">
        <v>453</v>
      </c>
      <c r="B548" s="1" t="s">
        <v>452</v>
      </c>
      <c r="C548" s="1" t="s">
        <v>232</v>
      </c>
      <c r="D548" s="1" t="s">
        <v>1406</v>
      </c>
      <c r="E548" s="1" t="s">
        <v>30</v>
      </c>
      <c r="F548" s="9">
        <f t="shared" si="33"/>
        <v>0</v>
      </c>
      <c r="G548" s="9">
        <f t="shared" si="34"/>
        <v>16</v>
      </c>
      <c r="H548" s="9">
        <f t="shared" si="35"/>
        <v>0</v>
      </c>
      <c r="I548" s="10">
        <f t="shared" si="36"/>
        <v>16</v>
      </c>
    </row>
    <row r="549" spans="1:9" x14ac:dyDescent="0.25">
      <c r="A549" s="1" t="s">
        <v>455</v>
      </c>
      <c r="B549" s="1" t="s">
        <v>454</v>
      </c>
      <c r="C549" s="1" t="s">
        <v>232</v>
      </c>
      <c r="D549" s="1" t="s">
        <v>1406</v>
      </c>
      <c r="E549" s="1" t="s">
        <v>30</v>
      </c>
      <c r="F549" s="9">
        <f t="shared" si="33"/>
        <v>0</v>
      </c>
      <c r="G549" s="9">
        <f t="shared" si="34"/>
        <v>21</v>
      </c>
      <c r="H549" s="9">
        <f t="shared" si="35"/>
        <v>0</v>
      </c>
      <c r="I549" s="10">
        <f t="shared" si="36"/>
        <v>21</v>
      </c>
    </row>
    <row r="550" spans="1:9" x14ac:dyDescent="0.25">
      <c r="A550" s="1" t="s">
        <v>458</v>
      </c>
      <c r="B550" s="1" t="s">
        <v>457</v>
      </c>
      <c r="C550" s="1" t="s">
        <v>232</v>
      </c>
      <c r="D550" s="1" t="s">
        <v>1406</v>
      </c>
      <c r="E550" s="1" t="s">
        <v>30</v>
      </c>
      <c r="F550" s="9">
        <f t="shared" si="33"/>
        <v>0</v>
      </c>
      <c r="G550" s="9">
        <f t="shared" si="34"/>
        <v>12</v>
      </c>
      <c r="H550" s="9">
        <f t="shared" si="35"/>
        <v>0</v>
      </c>
      <c r="I550" s="10">
        <f t="shared" si="36"/>
        <v>12</v>
      </c>
    </row>
    <row r="551" spans="1:9" x14ac:dyDescent="0.25">
      <c r="A551" s="1" t="s">
        <v>460</v>
      </c>
      <c r="B551" s="1" t="s">
        <v>459</v>
      </c>
      <c r="C551" s="1" t="s">
        <v>232</v>
      </c>
      <c r="D551" s="1" t="s">
        <v>1406</v>
      </c>
      <c r="E551" s="1" t="s">
        <v>30</v>
      </c>
      <c r="F551" s="9">
        <f t="shared" si="33"/>
        <v>0</v>
      </c>
      <c r="G551" s="9">
        <f t="shared" si="34"/>
        <v>21</v>
      </c>
      <c r="H551" s="9">
        <f t="shared" si="35"/>
        <v>0</v>
      </c>
      <c r="I551" s="10">
        <f t="shared" si="36"/>
        <v>21</v>
      </c>
    </row>
    <row r="552" spans="1:9" x14ac:dyDescent="0.25">
      <c r="A552" s="1" t="s">
        <v>463</v>
      </c>
      <c r="B552" s="1" t="s">
        <v>462</v>
      </c>
      <c r="C552" s="1" t="s">
        <v>232</v>
      </c>
      <c r="D552" s="1" t="s">
        <v>1406</v>
      </c>
      <c r="E552" s="1" t="s">
        <v>30</v>
      </c>
      <c r="F552" s="9">
        <f t="shared" si="33"/>
        <v>0</v>
      </c>
      <c r="G552" s="9">
        <f t="shared" si="34"/>
        <v>59</v>
      </c>
      <c r="H552" s="9">
        <f t="shared" si="35"/>
        <v>0</v>
      </c>
      <c r="I552" s="10">
        <f t="shared" si="36"/>
        <v>59</v>
      </c>
    </row>
    <row r="553" spans="1:9" x14ac:dyDescent="0.25">
      <c r="A553" s="1" t="s">
        <v>466</v>
      </c>
      <c r="B553" s="1" t="s">
        <v>465</v>
      </c>
      <c r="C553" s="1" t="s">
        <v>232</v>
      </c>
      <c r="D553" s="1" t="s">
        <v>1406</v>
      </c>
      <c r="E553" s="1" t="s">
        <v>30</v>
      </c>
      <c r="F553" s="9">
        <f t="shared" si="33"/>
        <v>0</v>
      </c>
      <c r="G553" s="9">
        <f t="shared" si="34"/>
        <v>3</v>
      </c>
      <c r="H553" s="9">
        <f t="shared" si="35"/>
        <v>0</v>
      </c>
      <c r="I553" s="10">
        <f t="shared" si="36"/>
        <v>3</v>
      </c>
    </row>
    <row r="554" spans="1:9" x14ac:dyDescent="0.25">
      <c r="A554" s="1" t="s">
        <v>469</v>
      </c>
      <c r="B554" s="1" t="s">
        <v>468</v>
      </c>
      <c r="C554" s="1" t="s">
        <v>232</v>
      </c>
      <c r="D554" s="1" t="s">
        <v>1406</v>
      </c>
      <c r="E554" s="1" t="s">
        <v>30</v>
      </c>
      <c r="F554" s="9">
        <f t="shared" si="33"/>
        <v>0</v>
      </c>
      <c r="G554" s="9">
        <f t="shared" si="34"/>
        <v>6</v>
      </c>
      <c r="H554" s="9">
        <f t="shared" si="35"/>
        <v>0</v>
      </c>
      <c r="I554" s="10">
        <f t="shared" si="36"/>
        <v>6</v>
      </c>
    </row>
    <row r="555" spans="1:9" x14ac:dyDescent="0.25">
      <c r="A555" s="1" t="s">
        <v>471</v>
      </c>
      <c r="B555" s="1" t="s">
        <v>470</v>
      </c>
      <c r="C555" s="1" t="s">
        <v>232</v>
      </c>
      <c r="D555" s="1" t="s">
        <v>1406</v>
      </c>
      <c r="E555" s="1" t="s">
        <v>30</v>
      </c>
      <c r="F555" s="9">
        <f t="shared" si="33"/>
        <v>0</v>
      </c>
      <c r="G555" s="9">
        <f t="shared" si="34"/>
        <v>74</v>
      </c>
      <c r="H555" s="9">
        <f t="shared" si="35"/>
        <v>0</v>
      </c>
      <c r="I555" s="10">
        <f t="shared" si="36"/>
        <v>74</v>
      </c>
    </row>
    <row r="556" spans="1:9" x14ac:dyDescent="0.25">
      <c r="A556" s="1" t="s">
        <v>473</v>
      </c>
      <c r="B556" s="1" t="s">
        <v>472</v>
      </c>
      <c r="C556" s="1" t="s">
        <v>232</v>
      </c>
      <c r="D556" s="1" t="s">
        <v>1406</v>
      </c>
      <c r="E556" s="1" t="s">
        <v>30</v>
      </c>
      <c r="F556" s="9">
        <f t="shared" si="33"/>
        <v>0</v>
      </c>
      <c r="G556" s="9">
        <f t="shared" si="34"/>
        <v>0</v>
      </c>
      <c r="H556" s="9">
        <f t="shared" si="35"/>
        <v>0</v>
      </c>
      <c r="I556" s="10">
        <f t="shared" si="36"/>
        <v>0</v>
      </c>
    </row>
    <row r="557" spans="1:9" x14ac:dyDescent="0.25">
      <c r="A557" s="1" t="s">
        <v>475</v>
      </c>
      <c r="B557" s="1" t="s">
        <v>474</v>
      </c>
      <c r="C557" s="1" t="s">
        <v>232</v>
      </c>
      <c r="D557" s="1" t="s">
        <v>1406</v>
      </c>
      <c r="E557" s="1" t="s">
        <v>30</v>
      </c>
      <c r="F557" s="9">
        <f t="shared" si="33"/>
        <v>0</v>
      </c>
      <c r="G557" s="9">
        <f t="shared" si="34"/>
        <v>0</v>
      </c>
      <c r="H557" s="9">
        <f t="shared" si="35"/>
        <v>0</v>
      </c>
      <c r="I557" s="10">
        <f t="shared" si="36"/>
        <v>0</v>
      </c>
    </row>
    <row r="558" spans="1:9" x14ac:dyDescent="0.25">
      <c r="A558" s="1" t="s">
        <v>477</v>
      </c>
      <c r="B558" s="1" t="s">
        <v>476</v>
      </c>
      <c r="C558" s="1" t="s">
        <v>232</v>
      </c>
      <c r="D558" s="1" t="s">
        <v>1406</v>
      </c>
      <c r="E558" s="1" t="s">
        <v>30</v>
      </c>
      <c r="F558" s="9">
        <f t="shared" si="33"/>
        <v>0</v>
      </c>
      <c r="G558" s="9">
        <f t="shared" si="34"/>
        <v>0</v>
      </c>
      <c r="H558" s="9">
        <f t="shared" si="35"/>
        <v>0</v>
      </c>
      <c r="I558" s="10">
        <f t="shared" si="36"/>
        <v>0</v>
      </c>
    </row>
    <row r="559" spans="1:9" x14ac:dyDescent="0.25">
      <c r="A559" s="1" t="s">
        <v>2059</v>
      </c>
      <c r="B559" s="1" t="s">
        <v>2060</v>
      </c>
      <c r="C559" s="1" t="s">
        <v>669</v>
      </c>
      <c r="D559" s="1" t="s">
        <v>1406</v>
      </c>
      <c r="E559" s="1" t="s">
        <v>30</v>
      </c>
      <c r="F559" s="9">
        <f t="shared" si="33"/>
        <v>0</v>
      </c>
      <c r="G559" s="9">
        <f t="shared" si="34"/>
        <v>37</v>
      </c>
      <c r="H559" s="9">
        <f t="shared" si="35"/>
        <v>0</v>
      </c>
      <c r="I559" s="10">
        <f t="shared" si="36"/>
        <v>37</v>
      </c>
    </row>
    <row r="560" spans="1:9" x14ac:dyDescent="0.25">
      <c r="A560" s="1" t="s">
        <v>2061</v>
      </c>
      <c r="B560" s="1" t="s">
        <v>2062</v>
      </c>
      <c r="C560" s="1" t="s">
        <v>669</v>
      </c>
      <c r="D560" s="1" t="s">
        <v>1406</v>
      </c>
      <c r="E560" s="1" t="s">
        <v>30</v>
      </c>
      <c r="F560" s="9">
        <f t="shared" si="33"/>
        <v>0</v>
      </c>
      <c r="G560" s="9">
        <f t="shared" si="34"/>
        <v>6</v>
      </c>
      <c r="H560" s="9">
        <f t="shared" si="35"/>
        <v>0</v>
      </c>
      <c r="I560" s="10">
        <f t="shared" si="36"/>
        <v>6</v>
      </c>
    </row>
    <row r="561" spans="1:9" x14ac:dyDescent="0.25">
      <c r="A561" s="1" t="s">
        <v>2063</v>
      </c>
      <c r="B561" s="1" t="s">
        <v>2064</v>
      </c>
      <c r="C561" s="1" t="s">
        <v>669</v>
      </c>
      <c r="D561" s="1" t="s">
        <v>1406</v>
      </c>
      <c r="E561" s="1" t="s">
        <v>30</v>
      </c>
      <c r="F561" s="9">
        <f t="shared" si="33"/>
        <v>0</v>
      </c>
      <c r="G561" s="9">
        <f t="shared" si="34"/>
        <v>35</v>
      </c>
      <c r="H561" s="9">
        <f t="shared" si="35"/>
        <v>0</v>
      </c>
      <c r="I561" s="10">
        <f t="shared" si="36"/>
        <v>35</v>
      </c>
    </row>
    <row r="562" spans="1:9" x14ac:dyDescent="0.25">
      <c r="A562" s="1" t="s">
        <v>2065</v>
      </c>
      <c r="B562" s="1" t="s">
        <v>2066</v>
      </c>
      <c r="C562" s="1" t="s">
        <v>669</v>
      </c>
      <c r="D562" s="1" t="s">
        <v>1406</v>
      </c>
      <c r="E562" s="1" t="s">
        <v>30</v>
      </c>
      <c r="F562" s="9">
        <f t="shared" si="33"/>
        <v>0</v>
      </c>
      <c r="G562" s="9">
        <f t="shared" si="34"/>
        <v>3</v>
      </c>
      <c r="H562" s="9">
        <f t="shared" si="35"/>
        <v>0</v>
      </c>
      <c r="I562" s="10">
        <f t="shared" si="36"/>
        <v>3</v>
      </c>
    </row>
    <row r="563" spans="1:9" x14ac:dyDescent="0.25">
      <c r="A563" s="1" t="s">
        <v>668</v>
      </c>
      <c r="B563" s="1" t="s">
        <v>667</v>
      </c>
      <c r="C563" s="1" t="s">
        <v>669</v>
      </c>
      <c r="D563" s="1" t="s">
        <v>1406</v>
      </c>
      <c r="E563" s="1" t="s">
        <v>30</v>
      </c>
      <c r="F563" s="9">
        <f t="shared" si="33"/>
        <v>0</v>
      </c>
      <c r="G563" s="9">
        <f t="shared" si="34"/>
        <v>6</v>
      </c>
      <c r="H563" s="9">
        <f t="shared" si="35"/>
        <v>0</v>
      </c>
      <c r="I563" s="10">
        <f t="shared" si="36"/>
        <v>6</v>
      </c>
    </row>
    <row r="564" spans="1:9" x14ac:dyDescent="0.25">
      <c r="A564" s="1" t="s">
        <v>2067</v>
      </c>
      <c r="B564" s="1" t="s">
        <v>2068</v>
      </c>
      <c r="C564" s="1" t="s">
        <v>669</v>
      </c>
      <c r="D564" s="1" t="s">
        <v>1406</v>
      </c>
      <c r="E564" s="1" t="s">
        <v>30</v>
      </c>
      <c r="F564" s="9">
        <f t="shared" si="33"/>
        <v>3</v>
      </c>
      <c r="G564" s="9">
        <f t="shared" si="34"/>
        <v>9</v>
      </c>
      <c r="H564" s="9">
        <f t="shared" si="35"/>
        <v>0</v>
      </c>
      <c r="I564" s="10">
        <f t="shared" si="36"/>
        <v>12</v>
      </c>
    </row>
    <row r="565" spans="1:9" x14ac:dyDescent="0.25">
      <c r="A565" s="1" t="s">
        <v>2069</v>
      </c>
      <c r="B565" s="1" t="s">
        <v>2070</v>
      </c>
      <c r="C565" s="1" t="s">
        <v>669</v>
      </c>
      <c r="D565" s="1" t="s">
        <v>1406</v>
      </c>
      <c r="E565" s="1" t="s">
        <v>30</v>
      </c>
      <c r="F565" s="9">
        <f t="shared" si="33"/>
        <v>0</v>
      </c>
      <c r="G565" s="9">
        <f t="shared" si="34"/>
        <v>20</v>
      </c>
      <c r="H565" s="9">
        <f t="shared" si="35"/>
        <v>0</v>
      </c>
      <c r="I565" s="10">
        <f t="shared" si="36"/>
        <v>20</v>
      </c>
    </row>
    <row r="566" spans="1:9" x14ac:dyDescent="0.25">
      <c r="A566" s="1" t="s">
        <v>2071</v>
      </c>
      <c r="B566" s="1" t="s">
        <v>2072</v>
      </c>
      <c r="C566" s="1" t="s">
        <v>669</v>
      </c>
      <c r="D566" s="1" t="s">
        <v>1406</v>
      </c>
      <c r="E566" s="1" t="s">
        <v>30</v>
      </c>
      <c r="F566" s="9">
        <f t="shared" si="33"/>
        <v>0</v>
      </c>
      <c r="G566" s="9">
        <f t="shared" si="34"/>
        <v>59</v>
      </c>
      <c r="H566" s="9">
        <f t="shared" si="35"/>
        <v>0</v>
      </c>
      <c r="I566" s="10">
        <f t="shared" si="36"/>
        <v>59</v>
      </c>
    </row>
    <row r="567" spans="1:9" x14ac:dyDescent="0.25">
      <c r="A567" s="1" t="s">
        <v>2073</v>
      </c>
      <c r="B567" s="1" t="s">
        <v>2074</v>
      </c>
      <c r="C567" s="1" t="s">
        <v>669</v>
      </c>
      <c r="D567" s="1" t="s">
        <v>1406</v>
      </c>
      <c r="E567" s="1" t="s">
        <v>30</v>
      </c>
      <c r="F567" s="9">
        <f t="shared" si="33"/>
        <v>0</v>
      </c>
      <c r="G567" s="9">
        <f t="shared" si="34"/>
        <v>18</v>
      </c>
      <c r="H567" s="9">
        <f t="shared" si="35"/>
        <v>0</v>
      </c>
      <c r="I567" s="10">
        <f t="shared" si="36"/>
        <v>18</v>
      </c>
    </row>
    <row r="568" spans="1:9" x14ac:dyDescent="0.25">
      <c r="A568" s="1" t="s">
        <v>2075</v>
      </c>
      <c r="B568" s="1" t="s">
        <v>2076</v>
      </c>
      <c r="C568" s="1" t="s">
        <v>669</v>
      </c>
      <c r="D568" s="1" t="s">
        <v>1406</v>
      </c>
      <c r="E568" s="1" t="s">
        <v>30</v>
      </c>
      <c r="F568" s="9">
        <f t="shared" si="33"/>
        <v>0</v>
      </c>
      <c r="G568" s="9">
        <f t="shared" si="34"/>
        <v>2</v>
      </c>
      <c r="H568" s="9">
        <f t="shared" si="35"/>
        <v>0</v>
      </c>
      <c r="I568" s="10">
        <f t="shared" si="36"/>
        <v>2</v>
      </c>
    </row>
    <row r="569" spans="1:9" x14ac:dyDescent="0.25">
      <c r="A569" s="1" t="s">
        <v>2077</v>
      </c>
      <c r="B569" s="1" t="s">
        <v>2078</v>
      </c>
      <c r="C569" s="1" t="s">
        <v>669</v>
      </c>
      <c r="D569" s="1" t="s">
        <v>1406</v>
      </c>
      <c r="E569" s="1" t="s">
        <v>30</v>
      </c>
      <c r="F569" s="9">
        <f t="shared" si="33"/>
        <v>0</v>
      </c>
      <c r="G569" s="9">
        <f t="shared" si="34"/>
        <v>13</v>
      </c>
      <c r="H569" s="9">
        <f t="shared" si="35"/>
        <v>0</v>
      </c>
      <c r="I569" s="10">
        <f t="shared" si="36"/>
        <v>13</v>
      </c>
    </row>
    <row r="570" spans="1:9" x14ac:dyDescent="0.25">
      <c r="A570" s="1" t="s">
        <v>2079</v>
      </c>
      <c r="B570" s="1" t="s">
        <v>2080</v>
      </c>
      <c r="C570" s="1" t="s">
        <v>669</v>
      </c>
      <c r="D570" s="1" t="s">
        <v>1406</v>
      </c>
      <c r="E570" s="1" t="s">
        <v>30</v>
      </c>
      <c r="F570" s="9">
        <f t="shared" si="33"/>
        <v>0</v>
      </c>
      <c r="G570" s="9">
        <f t="shared" si="34"/>
        <v>7</v>
      </c>
      <c r="H570" s="9">
        <f t="shared" si="35"/>
        <v>0</v>
      </c>
      <c r="I570" s="10">
        <f t="shared" si="36"/>
        <v>7</v>
      </c>
    </row>
    <row r="571" spans="1:9" x14ac:dyDescent="0.25">
      <c r="A571" s="1" t="s">
        <v>671</v>
      </c>
      <c r="B571" s="1" t="s">
        <v>670</v>
      </c>
      <c r="C571" s="1" t="s">
        <v>669</v>
      </c>
      <c r="D571" s="1" t="s">
        <v>1406</v>
      </c>
      <c r="E571" s="1" t="s">
        <v>30</v>
      </c>
      <c r="F571" s="9">
        <f t="shared" si="33"/>
        <v>0</v>
      </c>
      <c r="G571" s="9">
        <f t="shared" si="34"/>
        <v>0</v>
      </c>
      <c r="H571" s="9">
        <f t="shared" si="35"/>
        <v>0</v>
      </c>
      <c r="I571" s="10">
        <f t="shared" si="36"/>
        <v>0</v>
      </c>
    </row>
    <row r="572" spans="1:9" x14ac:dyDescent="0.25">
      <c r="A572" s="1" t="s">
        <v>2081</v>
      </c>
      <c r="B572" s="1" t="s">
        <v>2082</v>
      </c>
      <c r="C572" s="1" t="s">
        <v>669</v>
      </c>
      <c r="D572" s="1" t="s">
        <v>1406</v>
      </c>
      <c r="E572" s="1" t="s">
        <v>30</v>
      </c>
      <c r="F572" s="9">
        <f t="shared" si="33"/>
        <v>0</v>
      </c>
      <c r="G572" s="9">
        <f t="shared" si="34"/>
        <v>58</v>
      </c>
      <c r="H572" s="9">
        <f t="shared" si="35"/>
        <v>0</v>
      </c>
      <c r="I572" s="10">
        <f t="shared" si="36"/>
        <v>58</v>
      </c>
    </row>
    <row r="573" spans="1:9" x14ac:dyDescent="0.25">
      <c r="A573" s="1" t="s">
        <v>2083</v>
      </c>
      <c r="B573" s="1" t="s">
        <v>2084</v>
      </c>
      <c r="C573" s="1" t="s">
        <v>669</v>
      </c>
      <c r="D573" s="1" t="s">
        <v>1406</v>
      </c>
      <c r="E573" s="1" t="s">
        <v>30</v>
      </c>
      <c r="F573" s="9">
        <f t="shared" si="33"/>
        <v>0</v>
      </c>
      <c r="G573" s="9">
        <f t="shared" si="34"/>
        <v>92</v>
      </c>
      <c r="H573" s="9">
        <f t="shared" si="35"/>
        <v>0</v>
      </c>
      <c r="I573" s="10">
        <f t="shared" si="36"/>
        <v>92</v>
      </c>
    </row>
    <row r="574" spans="1:9" x14ac:dyDescent="0.25">
      <c r="A574" s="1" t="s">
        <v>2085</v>
      </c>
      <c r="B574" s="1" t="s">
        <v>2086</v>
      </c>
      <c r="C574" s="1" t="s">
        <v>669</v>
      </c>
      <c r="D574" s="1" t="s">
        <v>1406</v>
      </c>
      <c r="E574" s="1" t="s">
        <v>30</v>
      </c>
      <c r="F574" s="9">
        <f t="shared" si="33"/>
        <v>0</v>
      </c>
      <c r="G574" s="9">
        <f t="shared" si="34"/>
        <v>161</v>
      </c>
      <c r="H574" s="9">
        <f t="shared" si="35"/>
        <v>0</v>
      </c>
      <c r="I574" s="10">
        <f t="shared" si="36"/>
        <v>161</v>
      </c>
    </row>
    <row r="575" spans="1:9" x14ac:dyDescent="0.25">
      <c r="A575" s="1" t="s">
        <v>2087</v>
      </c>
      <c r="B575" s="1" t="s">
        <v>2088</v>
      </c>
      <c r="C575" s="1" t="s">
        <v>669</v>
      </c>
      <c r="D575" s="1" t="s">
        <v>1406</v>
      </c>
      <c r="E575" s="1" t="s">
        <v>30</v>
      </c>
      <c r="F575" s="9">
        <f t="shared" si="33"/>
        <v>0</v>
      </c>
      <c r="G575" s="9">
        <f t="shared" si="34"/>
        <v>22</v>
      </c>
      <c r="H575" s="9">
        <f t="shared" si="35"/>
        <v>0</v>
      </c>
      <c r="I575" s="10">
        <f t="shared" si="36"/>
        <v>22</v>
      </c>
    </row>
    <row r="576" spans="1:9" x14ac:dyDescent="0.25">
      <c r="A576" s="1" t="s">
        <v>673</v>
      </c>
      <c r="B576" s="1" t="s">
        <v>672</v>
      </c>
      <c r="C576" s="1" t="s">
        <v>669</v>
      </c>
      <c r="D576" s="1" t="s">
        <v>1406</v>
      </c>
      <c r="E576" s="1" t="s">
        <v>30</v>
      </c>
      <c r="F576" s="9">
        <f t="shared" si="33"/>
        <v>0</v>
      </c>
      <c r="G576" s="9">
        <f t="shared" si="34"/>
        <v>142</v>
      </c>
      <c r="H576" s="9">
        <f t="shared" si="35"/>
        <v>0</v>
      </c>
      <c r="I576" s="10">
        <f t="shared" si="36"/>
        <v>142</v>
      </c>
    </row>
    <row r="577" spans="1:9" x14ac:dyDescent="0.25">
      <c r="A577" s="1" t="s">
        <v>675</v>
      </c>
      <c r="B577" s="1" t="s">
        <v>674</v>
      </c>
      <c r="C577" s="1" t="s">
        <v>669</v>
      </c>
      <c r="D577" s="1" t="s">
        <v>1406</v>
      </c>
      <c r="E577" s="1" t="s">
        <v>30</v>
      </c>
      <c r="F577" s="9">
        <f t="shared" si="33"/>
        <v>0</v>
      </c>
      <c r="G577" s="9">
        <f t="shared" si="34"/>
        <v>5</v>
      </c>
      <c r="H577" s="9">
        <f t="shared" si="35"/>
        <v>0</v>
      </c>
      <c r="I577" s="10">
        <f t="shared" si="36"/>
        <v>5</v>
      </c>
    </row>
    <row r="578" spans="1:9" x14ac:dyDescent="0.25">
      <c r="A578" s="1" t="s">
        <v>2089</v>
      </c>
      <c r="B578" s="1" t="s">
        <v>2090</v>
      </c>
      <c r="C578" s="1" t="s">
        <v>669</v>
      </c>
      <c r="D578" s="1" t="s">
        <v>1406</v>
      </c>
      <c r="E578" s="1" t="s">
        <v>30</v>
      </c>
      <c r="F578" s="9">
        <f t="shared" ref="F578:F641" si="37">IFERROR(VLOOKUP(A578,condi,8,0),0)</f>
        <v>0</v>
      </c>
      <c r="G578" s="9">
        <f t="shared" ref="G578:G641" si="38">IFERROR(VLOOKUP(A578,maqui,8,0),0)</f>
        <v>18</v>
      </c>
      <c r="H578" s="9">
        <f t="shared" ref="H578:H641" si="39">IFERROR(VLOOKUP(A578,ascint,8,0),0)</f>
        <v>0</v>
      </c>
      <c r="I578" s="10">
        <f t="shared" si="36"/>
        <v>18</v>
      </c>
    </row>
    <row r="579" spans="1:9" x14ac:dyDescent="0.25">
      <c r="A579" s="1" t="s">
        <v>2091</v>
      </c>
      <c r="B579" s="1" t="s">
        <v>2092</v>
      </c>
      <c r="C579" s="1" t="s">
        <v>669</v>
      </c>
      <c r="D579" s="1" t="s">
        <v>1406</v>
      </c>
      <c r="E579" s="1" t="s">
        <v>678</v>
      </c>
      <c r="F579" s="9">
        <f t="shared" si="37"/>
        <v>0</v>
      </c>
      <c r="G579" s="9">
        <f t="shared" si="38"/>
        <v>0</v>
      </c>
      <c r="H579" s="9">
        <f t="shared" si="39"/>
        <v>0</v>
      </c>
      <c r="I579" s="10">
        <f t="shared" si="36"/>
        <v>0</v>
      </c>
    </row>
    <row r="580" spans="1:9" x14ac:dyDescent="0.25">
      <c r="A580" s="1" t="s">
        <v>680</v>
      </c>
      <c r="B580" s="1" t="s">
        <v>679</v>
      </c>
      <c r="C580" s="1" t="s">
        <v>669</v>
      </c>
      <c r="D580" s="1" t="s">
        <v>1406</v>
      </c>
      <c r="E580" s="1" t="s">
        <v>678</v>
      </c>
      <c r="F580" s="9">
        <f t="shared" si="37"/>
        <v>0</v>
      </c>
      <c r="G580" s="9">
        <f t="shared" si="38"/>
        <v>1</v>
      </c>
      <c r="H580" s="9">
        <f t="shared" si="39"/>
        <v>0</v>
      </c>
      <c r="I580" s="10">
        <f t="shared" si="36"/>
        <v>1</v>
      </c>
    </row>
    <row r="581" spans="1:9" x14ac:dyDescent="0.25">
      <c r="A581" s="1" t="s">
        <v>684</v>
      </c>
      <c r="B581" s="1" t="s">
        <v>683</v>
      </c>
      <c r="C581" s="1" t="s">
        <v>669</v>
      </c>
      <c r="D581" s="1" t="s">
        <v>1406</v>
      </c>
      <c r="E581" s="1" t="s">
        <v>678</v>
      </c>
      <c r="F581" s="9">
        <f t="shared" si="37"/>
        <v>0</v>
      </c>
      <c r="G581" s="9">
        <f t="shared" si="38"/>
        <v>0</v>
      </c>
      <c r="H581" s="9">
        <f t="shared" si="39"/>
        <v>0</v>
      </c>
      <c r="I581" s="10">
        <f t="shared" si="36"/>
        <v>0</v>
      </c>
    </row>
    <row r="582" spans="1:9" x14ac:dyDescent="0.25">
      <c r="A582" s="1" t="s">
        <v>686</v>
      </c>
      <c r="B582" s="1" t="s">
        <v>685</v>
      </c>
      <c r="C582" s="1" t="s">
        <v>669</v>
      </c>
      <c r="D582" s="1" t="s">
        <v>1406</v>
      </c>
      <c r="E582" s="1" t="s">
        <v>30</v>
      </c>
      <c r="F582" s="9">
        <f t="shared" si="37"/>
        <v>0</v>
      </c>
      <c r="G582" s="9">
        <f t="shared" si="38"/>
        <v>0</v>
      </c>
      <c r="H582" s="9">
        <f t="shared" si="39"/>
        <v>0</v>
      </c>
      <c r="I582" s="10">
        <f t="shared" si="36"/>
        <v>0</v>
      </c>
    </row>
    <row r="583" spans="1:9" x14ac:dyDescent="0.25">
      <c r="A583" s="1" t="s">
        <v>2093</v>
      </c>
      <c r="B583" s="1" t="s">
        <v>2094</v>
      </c>
      <c r="C583" s="1" t="s">
        <v>669</v>
      </c>
      <c r="D583" s="1" t="s">
        <v>1406</v>
      </c>
      <c r="E583" s="1" t="s">
        <v>2095</v>
      </c>
      <c r="F583" s="9">
        <f t="shared" si="37"/>
        <v>0</v>
      </c>
      <c r="G583" s="9">
        <f t="shared" si="38"/>
        <v>3</v>
      </c>
      <c r="H583" s="9">
        <f t="shared" si="39"/>
        <v>0</v>
      </c>
      <c r="I583" s="10">
        <f t="shared" si="36"/>
        <v>3</v>
      </c>
    </row>
    <row r="584" spans="1:9" x14ac:dyDescent="0.25">
      <c r="A584" s="1" t="s">
        <v>2096</v>
      </c>
      <c r="B584" s="1" t="s">
        <v>2097</v>
      </c>
      <c r="C584" s="1" t="s">
        <v>669</v>
      </c>
      <c r="D584" s="1" t="s">
        <v>1406</v>
      </c>
      <c r="E584" s="1" t="s">
        <v>30</v>
      </c>
      <c r="F584" s="9">
        <f t="shared" si="37"/>
        <v>0</v>
      </c>
      <c r="G584" s="9">
        <f t="shared" si="38"/>
        <v>91</v>
      </c>
      <c r="H584" s="9">
        <f t="shared" si="39"/>
        <v>0</v>
      </c>
      <c r="I584" s="10">
        <f t="shared" ref="I584:I647" si="40">+F584+G584+H584</f>
        <v>91</v>
      </c>
    </row>
    <row r="585" spans="1:9" x14ac:dyDescent="0.25">
      <c r="A585" s="1" t="s">
        <v>2098</v>
      </c>
      <c r="B585" s="1" t="s">
        <v>2099</v>
      </c>
      <c r="C585" s="1" t="s">
        <v>669</v>
      </c>
      <c r="D585" s="1" t="s">
        <v>1406</v>
      </c>
      <c r="E585" s="1" t="s">
        <v>30</v>
      </c>
      <c r="F585" s="9">
        <f t="shared" si="37"/>
        <v>0</v>
      </c>
      <c r="G585" s="9">
        <f t="shared" si="38"/>
        <v>108</v>
      </c>
      <c r="H585" s="9">
        <f t="shared" si="39"/>
        <v>0</v>
      </c>
      <c r="I585" s="10">
        <f t="shared" si="40"/>
        <v>108</v>
      </c>
    </row>
    <row r="586" spans="1:9" x14ac:dyDescent="0.25">
      <c r="A586" s="1" t="s">
        <v>2100</v>
      </c>
      <c r="B586" s="1" t="s">
        <v>2101</v>
      </c>
      <c r="C586" s="1" t="s">
        <v>669</v>
      </c>
      <c r="D586" s="1" t="s">
        <v>1406</v>
      </c>
      <c r="E586" s="1" t="s">
        <v>30</v>
      </c>
      <c r="F586" s="9">
        <f t="shared" si="37"/>
        <v>0</v>
      </c>
      <c r="G586" s="9">
        <f t="shared" si="38"/>
        <v>237</v>
      </c>
      <c r="H586" s="9">
        <f t="shared" si="39"/>
        <v>0</v>
      </c>
      <c r="I586" s="10">
        <f t="shared" si="40"/>
        <v>237</v>
      </c>
    </row>
    <row r="587" spans="1:9" x14ac:dyDescent="0.25">
      <c r="A587" s="1" t="s">
        <v>2102</v>
      </c>
      <c r="B587" s="1" t="s">
        <v>2103</v>
      </c>
      <c r="C587" s="1" t="s">
        <v>669</v>
      </c>
      <c r="D587" s="1" t="s">
        <v>1406</v>
      </c>
      <c r="E587" s="1" t="s">
        <v>30</v>
      </c>
      <c r="F587" s="9">
        <f t="shared" si="37"/>
        <v>0</v>
      </c>
      <c r="G587" s="9">
        <f t="shared" si="38"/>
        <v>238</v>
      </c>
      <c r="H587" s="9">
        <f t="shared" si="39"/>
        <v>0</v>
      </c>
      <c r="I587" s="10">
        <f t="shared" si="40"/>
        <v>238</v>
      </c>
    </row>
    <row r="588" spans="1:9" x14ac:dyDescent="0.25">
      <c r="A588" s="1" t="s">
        <v>688</v>
      </c>
      <c r="B588" s="1" t="s">
        <v>687</v>
      </c>
      <c r="C588" s="1" t="s">
        <v>669</v>
      </c>
      <c r="D588" s="1" t="s">
        <v>1406</v>
      </c>
      <c r="E588" s="1" t="s">
        <v>30</v>
      </c>
      <c r="F588" s="9">
        <f t="shared" si="37"/>
        <v>0</v>
      </c>
      <c r="G588" s="9">
        <f t="shared" si="38"/>
        <v>0</v>
      </c>
      <c r="H588" s="9">
        <f t="shared" si="39"/>
        <v>0</v>
      </c>
      <c r="I588" s="10">
        <f t="shared" si="40"/>
        <v>0</v>
      </c>
    </row>
    <row r="589" spans="1:9" x14ac:dyDescent="0.25">
      <c r="A589" s="1" t="s">
        <v>2104</v>
      </c>
      <c r="B589" s="1" t="s">
        <v>2105</v>
      </c>
      <c r="C589" s="1" t="s">
        <v>669</v>
      </c>
      <c r="D589" s="1" t="s">
        <v>1406</v>
      </c>
      <c r="E589" s="1" t="s">
        <v>30</v>
      </c>
      <c r="F589" s="9">
        <f t="shared" si="37"/>
        <v>0</v>
      </c>
      <c r="G589" s="9">
        <f t="shared" si="38"/>
        <v>24</v>
      </c>
      <c r="H589" s="9">
        <f t="shared" si="39"/>
        <v>0</v>
      </c>
      <c r="I589" s="10">
        <f t="shared" si="40"/>
        <v>24</v>
      </c>
    </row>
    <row r="590" spans="1:9" x14ac:dyDescent="0.25">
      <c r="A590" s="1" t="s">
        <v>2106</v>
      </c>
      <c r="B590" s="1" t="s">
        <v>2107</v>
      </c>
      <c r="C590" s="1" t="s">
        <v>669</v>
      </c>
      <c r="D590" s="1" t="s">
        <v>1406</v>
      </c>
      <c r="E590" s="1" t="s">
        <v>30</v>
      </c>
      <c r="F590" s="9">
        <f t="shared" si="37"/>
        <v>0</v>
      </c>
      <c r="G590" s="9">
        <f t="shared" si="38"/>
        <v>5</v>
      </c>
      <c r="H590" s="9">
        <f t="shared" si="39"/>
        <v>0</v>
      </c>
      <c r="I590" s="10">
        <f t="shared" si="40"/>
        <v>5</v>
      </c>
    </row>
    <row r="591" spans="1:9" x14ac:dyDescent="0.25">
      <c r="A591" s="1" t="s">
        <v>2108</v>
      </c>
      <c r="B591" s="1" t="s">
        <v>2109</v>
      </c>
      <c r="C591" s="1" t="s">
        <v>669</v>
      </c>
      <c r="D591" s="1" t="s">
        <v>1406</v>
      </c>
      <c r="E591" s="1" t="s">
        <v>30</v>
      </c>
      <c r="F591" s="9">
        <f t="shared" si="37"/>
        <v>0</v>
      </c>
      <c r="G591" s="9">
        <f t="shared" si="38"/>
        <v>67</v>
      </c>
      <c r="H591" s="9">
        <f t="shared" si="39"/>
        <v>0</v>
      </c>
      <c r="I591" s="10">
        <f t="shared" si="40"/>
        <v>67</v>
      </c>
    </row>
    <row r="592" spans="1:9" x14ac:dyDescent="0.25">
      <c r="A592" s="1" t="s">
        <v>692</v>
      </c>
      <c r="B592" s="1" t="s">
        <v>691</v>
      </c>
      <c r="C592" s="1" t="s">
        <v>669</v>
      </c>
      <c r="D592" s="1" t="s">
        <v>1406</v>
      </c>
      <c r="E592" s="1" t="s">
        <v>30</v>
      </c>
      <c r="F592" s="9">
        <f t="shared" si="37"/>
        <v>0</v>
      </c>
      <c r="G592" s="9">
        <f t="shared" si="38"/>
        <v>4</v>
      </c>
      <c r="H592" s="9">
        <f t="shared" si="39"/>
        <v>0</v>
      </c>
      <c r="I592" s="10">
        <f t="shared" si="40"/>
        <v>4</v>
      </c>
    </row>
    <row r="593" spans="1:9" x14ac:dyDescent="0.25">
      <c r="A593" s="1" t="s">
        <v>2110</v>
      </c>
      <c r="B593" s="1" t="s">
        <v>2111</v>
      </c>
      <c r="C593" s="1" t="s">
        <v>669</v>
      </c>
      <c r="D593" s="1" t="s">
        <v>1406</v>
      </c>
      <c r="E593" s="1" t="s">
        <v>30</v>
      </c>
      <c r="F593" s="9">
        <f t="shared" si="37"/>
        <v>0</v>
      </c>
      <c r="G593" s="9">
        <f t="shared" si="38"/>
        <v>117</v>
      </c>
      <c r="H593" s="9">
        <f t="shared" si="39"/>
        <v>0</v>
      </c>
      <c r="I593" s="10">
        <f t="shared" si="40"/>
        <v>117</v>
      </c>
    </row>
    <row r="594" spans="1:9" x14ac:dyDescent="0.25">
      <c r="A594" s="1" t="s">
        <v>2112</v>
      </c>
      <c r="B594" s="1" t="s">
        <v>2113</v>
      </c>
      <c r="C594" s="1" t="s">
        <v>669</v>
      </c>
      <c r="D594" s="1" t="s">
        <v>1406</v>
      </c>
      <c r="E594" s="1" t="s">
        <v>30</v>
      </c>
      <c r="F594" s="9">
        <f t="shared" si="37"/>
        <v>0</v>
      </c>
      <c r="G594" s="9">
        <f t="shared" si="38"/>
        <v>98</v>
      </c>
      <c r="H594" s="9">
        <f t="shared" si="39"/>
        <v>0</v>
      </c>
      <c r="I594" s="10">
        <f t="shared" si="40"/>
        <v>98</v>
      </c>
    </row>
    <row r="595" spans="1:9" x14ac:dyDescent="0.25">
      <c r="A595" s="1" t="s">
        <v>2114</v>
      </c>
      <c r="B595" s="1" t="s">
        <v>2115</v>
      </c>
      <c r="C595" s="1" t="s">
        <v>669</v>
      </c>
      <c r="D595" s="1" t="s">
        <v>1406</v>
      </c>
      <c r="E595" s="1" t="s">
        <v>30</v>
      </c>
      <c r="F595" s="9">
        <f t="shared" si="37"/>
        <v>0</v>
      </c>
      <c r="G595" s="9">
        <f t="shared" si="38"/>
        <v>40</v>
      </c>
      <c r="H595" s="9">
        <f t="shared" si="39"/>
        <v>0</v>
      </c>
      <c r="I595" s="10">
        <f t="shared" si="40"/>
        <v>40</v>
      </c>
    </row>
    <row r="596" spans="1:9" x14ac:dyDescent="0.25">
      <c r="A596" s="1" t="s">
        <v>2116</v>
      </c>
      <c r="B596" s="1" t="s">
        <v>2117</v>
      </c>
      <c r="C596" s="1" t="s">
        <v>669</v>
      </c>
      <c r="D596" s="1" t="s">
        <v>1406</v>
      </c>
      <c r="E596" s="1" t="s">
        <v>30</v>
      </c>
      <c r="F596" s="9">
        <f t="shared" si="37"/>
        <v>0</v>
      </c>
      <c r="G596" s="9">
        <f t="shared" si="38"/>
        <v>100</v>
      </c>
      <c r="H596" s="9">
        <f t="shared" si="39"/>
        <v>0</v>
      </c>
      <c r="I596" s="10">
        <f t="shared" si="40"/>
        <v>100</v>
      </c>
    </row>
    <row r="597" spans="1:9" x14ac:dyDescent="0.25">
      <c r="A597" s="1" t="s">
        <v>2118</v>
      </c>
      <c r="B597" s="1" t="s">
        <v>2119</v>
      </c>
      <c r="C597" s="1" t="s">
        <v>669</v>
      </c>
      <c r="D597" s="1" t="s">
        <v>1406</v>
      </c>
      <c r="E597" s="1" t="s">
        <v>30</v>
      </c>
      <c r="F597" s="9">
        <f t="shared" si="37"/>
        <v>0</v>
      </c>
      <c r="G597" s="9">
        <f t="shared" si="38"/>
        <v>100</v>
      </c>
      <c r="H597" s="9">
        <f t="shared" si="39"/>
        <v>0</v>
      </c>
      <c r="I597" s="10">
        <f t="shared" si="40"/>
        <v>100</v>
      </c>
    </row>
    <row r="598" spans="1:9" x14ac:dyDescent="0.25">
      <c r="A598" s="1" t="s">
        <v>2120</v>
      </c>
      <c r="B598" s="1" t="s">
        <v>2121</v>
      </c>
      <c r="C598" s="1" t="s">
        <v>669</v>
      </c>
      <c r="D598" s="1" t="s">
        <v>1406</v>
      </c>
      <c r="E598" s="1" t="s">
        <v>30</v>
      </c>
      <c r="F598" s="9">
        <f t="shared" si="37"/>
        <v>0</v>
      </c>
      <c r="G598" s="9">
        <f t="shared" si="38"/>
        <v>23</v>
      </c>
      <c r="H598" s="9">
        <f t="shared" si="39"/>
        <v>0</v>
      </c>
      <c r="I598" s="10">
        <f t="shared" si="40"/>
        <v>23</v>
      </c>
    </row>
    <row r="599" spans="1:9" x14ac:dyDescent="0.25">
      <c r="A599" s="1" t="s">
        <v>2122</v>
      </c>
      <c r="B599" s="1" t="s">
        <v>2123</v>
      </c>
      <c r="C599" s="1" t="s">
        <v>669</v>
      </c>
      <c r="D599" s="1" t="s">
        <v>1406</v>
      </c>
      <c r="E599" s="1" t="s">
        <v>30</v>
      </c>
      <c r="F599" s="9">
        <f t="shared" si="37"/>
        <v>0</v>
      </c>
      <c r="G599" s="9">
        <f t="shared" si="38"/>
        <v>112</v>
      </c>
      <c r="H599" s="9">
        <f t="shared" si="39"/>
        <v>0</v>
      </c>
      <c r="I599" s="10">
        <f t="shared" si="40"/>
        <v>112</v>
      </c>
    </row>
    <row r="600" spans="1:9" x14ac:dyDescent="0.25">
      <c r="A600" s="1" t="s">
        <v>2124</v>
      </c>
      <c r="B600" s="1" t="s">
        <v>2125</v>
      </c>
      <c r="C600" s="1" t="s">
        <v>669</v>
      </c>
      <c r="D600" s="1" t="s">
        <v>1406</v>
      </c>
      <c r="E600" s="1" t="s">
        <v>30</v>
      </c>
      <c r="F600" s="9">
        <f t="shared" si="37"/>
        <v>0</v>
      </c>
      <c r="G600" s="9">
        <f t="shared" si="38"/>
        <v>14</v>
      </c>
      <c r="H600" s="9">
        <f t="shared" si="39"/>
        <v>0</v>
      </c>
      <c r="I600" s="10">
        <f t="shared" si="40"/>
        <v>14</v>
      </c>
    </row>
    <row r="601" spans="1:9" x14ac:dyDescent="0.25">
      <c r="A601" s="1" t="s">
        <v>2126</v>
      </c>
      <c r="B601" s="1" t="s">
        <v>2127</v>
      </c>
      <c r="C601" s="1" t="s">
        <v>669</v>
      </c>
      <c r="D601" s="1" t="s">
        <v>1406</v>
      </c>
      <c r="E601" s="1" t="s">
        <v>30</v>
      </c>
      <c r="F601" s="9">
        <f t="shared" si="37"/>
        <v>0</v>
      </c>
      <c r="G601" s="9">
        <f t="shared" si="38"/>
        <v>114</v>
      </c>
      <c r="H601" s="9">
        <f t="shared" si="39"/>
        <v>0</v>
      </c>
      <c r="I601" s="10">
        <f t="shared" si="40"/>
        <v>114</v>
      </c>
    </row>
    <row r="602" spans="1:9" x14ac:dyDescent="0.25">
      <c r="A602" s="1" t="s">
        <v>2128</v>
      </c>
      <c r="B602" s="1" t="s">
        <v>2129</v>
      </c>
      <c r="C602" s="1" t="s">
        <v>669</v>
      </c>
      <c r="D602" s="1" t="s">
        <v>1406</v>
      </c>
      <c r="E602" s="1" t="s">
        <v>30</v>
      </c>
      <c r="F602" s="9">
        <f t="shared" si="37"/>
        <v>0</v>
      </c>
      <c r="G602" s="9">
        <f t="shared" si="38"/>
        <v>24</v>
      </c>
      <c r="H602" s="9">
        <f t="shared" si="39"/>
        <v>0</v>
      </c>
      <c r="I602" s="10">
        <f t="shared" si="40"/>
        <v>24</v>
      </c>
    </row>
    <row r="603" spans="1:9" x14ac:dyDescent="0.25">
      <c r="A603" s="1" t="s">
        <v>702</v>
      </c>
      <c r="B603" s="1" t="s">
        <v>701</v>
      </c>
      <c r="C603" s="1" t="s">
        <v>669</v>
      </c>
      <c r="D603" s="1" t="s">
        <v>1406</v>
      </c>
      <c r="E603" s="1" t="s">
        <v>30</v>
      </c>
      <c r="F603" s="9">
        <f t="shared" si="37"/>
        <v>0</v>
      </c>
      <c r="G603" s="9">
        <f t="shared" si="38"/>
        <v>0</v>
      </c>
      <c r="H603" s="9">
        <f t="shared" si="39"/>
        <v>0</v>
      </c>
      <c r="I603" s="10">
        <f t="shared" si="40"/>
        <v>0</v>
      </c>
    </row>
    <row r="604" spans="1:9" x14ac:dyDescent="0.25">
      <c r="A604" s="1" t="s">
        <v>2130</v>
      </c>
      <c r="B604" s="1" t="s">
        <v>2131</v>
      </c>
      <c r="C604" s="1" t="s">
        <v>669</v>
      </c>
      <c r="D604" s="1" t="s">
        <v>1406</v>
      </c>
      <c r="E604" s="1" t="s">
        <v>30</v>
      </c>
      <c r="F604" s="9">
        <f t="shared" si="37"/>
        <v>0</v>
      </c>
      <c r="G604" s="9">
        <f t="shared" si="38"/>
        <v>8</v>
      </c>
      <c r="H604" s="9">
        <f t="shared" si="39"/>
        <v>0</v>
      </c>
      <c r="I604" s="10">
        <f t="shared" si="40"/>
        <v>8</v>
      </c>
    </row>
    <row r="605" spans="1:9" x14ac:dyDescent="0.25">
      <c r="A605" s="1" t="s">
        <v>2132</v>
      </c>
      <c r="B605" s="1" t="s">
        <v>2133</v>
      </c>
      <c r="C605" s="1" t="s">
        <v>669</v>
      </c>
      <c r="D605" s="1" t="s">
        <v>1406</v>
      </c>
      <c r="E605" s="1" t="s">
        <v>30</v>
      </c>
      <c r="F605" s="9">
        <f t="shared" si="37"/>
        <v>0</v>
      </c>
      <c r="G605" s="9">
        <f t="shared" si="38"/>
        <v>3</v>
      </c>
      <c r="H605" s="9">
        <f t="shared" si="39"/>
        <v>0</v>
      </c>
      <c r="I605" s="10">
        <f t="shared" si="40"/>
        <v>3</v>
      </c>
    </row>
    <row r="606" spans="1:9" x14ac:dyDescent="0.25">
      <c r="A606" s="1" t="s">
        <v>2134</v>
      </c>
      <c r="B606" s="1" t="s">
        <v>2135</v>
      </c>
      <c r="C606" s="1" t="s">
        <v>669</v>
      </c>
      <c r="D606" s="1" t="s">
        <v>1406</v>
      </c>
      <c r="E606" s="1" t="s">
        <v>30</v>
      </c>
      <c r="F606" s="9">
        <f t="shared" si="37"/>
        <v>0</v>
      </c>
      <c r="G606" s="9">
        <f t="shared" si="38"/>
        <v>0</v>
      </c>
      <c r="H606" s="9">
        <f t="shared" si="39"/>
        <v>0</v>
      </c>
      <c r="I606" s="10">
        <f t="shared" si="40"/>
        <v>0</v>
      </c>
    </row>
    <row r="607" spans="1:9" x14ac:dyDescent="0.25">
      <c r="A607" s="1" t="s">
        <v>2136</v>
      </c>
      <c r="B607" s="1" t="s">
        <v>2137</v>
      </c>
      <c r="C607" s="1" t="s">
        <v>669</v>
      </c>
      <c r="D607" s="1" t="s">
        <v>1406</v>
      </c>
      <c r="E607" s="1" t="s">
        <v>30</v>
      </c>
      <c r="F607" s="9">
        <f t="shared" si="37"/>
        <v>0</v>
      </c>
      <c r="G607" s="9">
        <f t="shared" si="38"/>
        <v>2</v>
      </c>
      <c r="H607" s="9">
        <f t="shared" si="39"/>
        <v>0</v>
      </c>
      <c r="I607" s="10">
        <f t="shared" si="40"/>
        <v>2</v>
      </c>
    </row>
    <row r="608" spans="1:9" x14ac:dyDescent="0.25">
      <c r="A608" s="1" t="s">
        <v>2138</v>
      </c>
      <c r="B608" s="1" t="s">
        <v>2139</v>
      </c>
      <c r="C608" s="1" t="s">
        <v>669</v>
      </c>
      <c r="D608" s="1" t="s">
        <v>1406</v>
      </c>
      <c r="E608" s="1" t="s">
        <v>30</v>
      </c>
      <c r="F608" s="9">
        <f t="shared" si="37"/>
        <v>0</v>
      </c>
      <c r="G608" s="9">
        <f t="shared" si="38"/>
        <v>2</v>
      </c>
      <c r="H608" s="9">
        <f t="shared" si="39"/>
        <v>0</v>
      </c>
      <c r="I608" s="10">
        <f t="shared" si="40"/>
        <v>2</v>
      </c>
    </row>
    <row r="609" spans="1:9" x14ac:dyDescent="0.25">
      <c r="A609" s="1" t="s">
        <v>704</v>
      </c>
      <c r="B609" s="1" t="s">
        <v>703</v>
      </c>
      <c r="C609" s="1" t="s">
        <v>669</v>
      </c>
      <c r="D609" s="1" t="s">
        <v>1406</v>
      </c>
      <c r="E609" s="1" t="s">
        <v>30</v>
      </c>
      <c r="F609" s="9">
        <f t="shared" si="37"/>
        <v>0</v>
      </c>
      <c r="G609" s="9">
        <f t="shared" si="38"/>
        <v>0</v>
      </c>
      <c r="H609" s="9">
        <f t="shared" si="39"/>
        <v>0</v>
      </c>
      <c r="I609" s="10">
        <f t="shared" si="40"/>
        <v>0</v>
      </c>
    </row>
    <row r="610" spans="1:9" x14ac:dyDescent="0.25">
      <c r="A610" s="1" t="s">
        <v>2140</v>
      </c>
      <c r="B610" s="1" t="s">
        <v>2141</v>
      </c>
      <c r="C610" s="1" t="s">
        <v>669</v>
      </c>
      <c r="D610" s="1" t="s">
        <v>1406</v>
      </c>
      <c r="E610" s="1" t="s">
        <v>30</v>
      </c>
      <c r="F610" s="9">
        <f t="shared" si="37"/>
        <v>0</v>
      </c>
      <c r="G610" s="9">
        <f t="shared" si="38"/>
        <v>5</v>
      </c>
      <c r="H610" s="9">
        <f t="shared" si="39"/>
        <v>0</v>
      </c>
      <c r="I610" s="10">
        <f t="shared" si="40"/>
        <v>5</v>
      </c>
    </row>
    <row r="611" spans="1:9" x14ac:dyDescent="0.25">
      <c r="A611" s="1" t="s">
        <v>2142</v>
      </c>
      <c r="B611" s="1" t="s">
        <v>2143</v>
      </c>
      <c r="C611" s="1" t="s">
        <v>669</v>
      </c>
      <c r="D611" s="1" t="s">
        <v>1406</v>
      </c>
      <c r="E611" s="1" t="s">
        <v>30</v>
      </c>
      <c r="F611" s="9">
        <f t="shared" si="37"/>
        <v>0</v>
      </c>
      <c r="G611" s="9">
        <f t="shared" si="38"/>
        <v>20</v>
      </c>
      <c r="H611" s="9">
        <f t="shared" si="39"/>
        <v>0</v>
      </c>
      <c r="I611" s="10">
        <f t="shared" si="40"/>
        <v>20</v>
      </c>
    </row>
    <row r="612" spans="1:9" x14ac:dyDescent="0.25">
      <c r="A612" s="1" t="s">
        <v>2144</v>
      </c>
      <c r="B612" s="1" t="s">
        <v>2145</v>
      </c>
      <c r="C612" s="1" t="s">
        <v>669</v>
      </c>
      <c r="D612" s="1" t="s">
        <v>1406</v>
      </c>
      <c r="E612" s="1" t="s">
        <v>30</v>
      </c>
      <c r="F612" s="9">
        <f t="shared" si="37"/>
        <v>0</v>
      </c>
      <c r="G612" s="9">
        <f t="shared" si="38"/>
        <v>18</v>
      </c>
      <c r="H612" s="9">
        <f t="shared" si="39"/>
        <v>0</v>
      </c>
      <c r="I612" s="10">
        <f t="shared" si="40"/>
        <v>18</v>
      </c>
    </row>
    <row r="613" spans="1:9" x14ac:dyDescent="0.25">
      <c r="A613" s="1" t="s">
        <v>2146</v>
      </c>
      <c r="B613" s="1" t="s">
        <v>2147</v>
      </c>
      <c r="C613" s="1" t="s">
        <v>669</v>
      </c>
      <c r="D613" s="1" t="s">
        <v>1406</v>
      </c>
      <c r="E613" s="1" t="s">
        <v>30</v>
      </c>
      <c r="F613" s="9">
        <f t="shared" si="37"/>
        <v>0</v>
      </c>
      <c r="G613" s="9">
        <f t="shared" si="38"/>
        <v>21</v>
      </c>
      <c r="H613" s="9">
        <f t="shared" si="39"/>
        <v>0</v>
      </c>
      <c r="I613" s="10">
        <f t="shared" si="40"/>
        <v>21</v>
      </c>
    </row>
    <row r="614" spans="1:9" x14ac:dyDescent="0.25">
      <c r="A614" s="1" t="s">
        <v>2148</v>
      </c>
      <c r="B614" s="1" t="s">
        <v>2149</v>
      </c>
      <c r="C614" s="1" t="s">
        <v>669</v>
      </c>
      <c r="D614" s="1" t="s">
        <v>1406</v>
      </c>
      <c r="E614" s="1" t="s">
        <v>30</v>
      </c>
      <c r="F614" s="9">
        <f t="shared" si="37"/>
        <v>0</v>
      </c>
      <c r="G614" s="9">
        <f t="shared" si="38"/>
        <v>20</v>
      </c>
      <c r="H614" s="9">
        <f t="shared" si="39"/>
        <v>0</v>
      </c>
      <c r="I614" s="10">
        <f t="shared" si="40"/>
        <v>20</v>
      </c>
    </row>
    <row r="615" spans="1:9" x14ac:dyDescent="0.25">
      <c r="A615" s="2" t="s">
        <v>2150</v>
      </c>
      <c r="B615" s="2" t="s">
        <v>2151</v>
      </c>
      <c r="C615" s="2" t="s">
        <v>669</v>
      </c>
      <c r="D615" s="2" t="s">
        <v>1406</v>
      </c>
      <c r="E615" s="2" t="s">
        <v>30</v>
      </c>
      <c r="F615" s="9">
        <f t="shared" si="37"/>
        <v>0</v>
      </c>
      <c r="G615" s="9">
        <f t="shared" si="38"/>
        <v>57</v>
      </c>
      <c r="H615" s="9">
        <f t="shared" si="39"/>
        <v>0</v>
      </c>
      <c r="I615" s="10">
        <f t="shared" si="40"/>
        <v>57</v>
      </c>
    </row>
    <row r="616" spans="1:9" x14ac:dyDescent="0.25">
      <c r="A616" s="2" t="s">
        <v>2152</v>
      </c>
      <c r="B616" s="2" t="s">
        <v>2153</v>
      </c>
      <c r="C616" s="2" t="s">
        <v>669</v>
      </c>
      <c r="D616" s="2" t="s">
        <v>1406</v>
      </c>
      <c r="E616" s="2" t="s">
        <v>30</v>
      </c>
      <c r="F616" s="9">
        <f t="shared" si="37"/>
        <v>12</v>
      </c>
      <c r="G616" s="9">
        <f t="shared" si="38"/>
        <v>40</v>
      </c>
      <c r="H616" s="9">
        <f t="shared" si="39"/>
        <v>0</v>
      </c>
      <c r="I616" s="10">
        <f t="shared" si="40"/>
        <v>52</v>
      </c>
    </row>
    <row r="617" spans="1:9" x14ac:dyDescent="0.25">
      <c r="A617" s="2" t="s">
        <v>2154</v>
      </c>
      <c r="B617" s="2" t="s">
        <v>2155</v>
      </c>
      <c r="C617" s="2" t="s">
        <v>669</v>
      </c>
      <c r="D617" s="2" t="s">
        <v>1406</v>
      </c>
      <c r="E617" s="2" t="s">
        <v>30</v>
      </c>
      <c r="F617" s="9">
        <f t="shared" si="37"/>
        <v>6082</v>
      </c>
      <c r="G617" s="9">
        <f t="shared" si="38"/>
        <v>0</v>
      </c>
      <c r="H617" s="9">
        <f t="shared" si="39"/>
        <v>0</v>
      </c>
      <c r="I617" s="10">
        <f t="shared" si="40"/>
        <v>6082</v>
      </c>
    </row>
    <row r="618" spans="1:9" x14ac:dyDescent="0.25">
      <c r="A618" s="2" t="s">
        <v>2156</v>
      </c>
      <c r="B618" s="2" t="s">
        <v>2157</v>
      </c>
      <c r="C618" s="2" t="s">
        <v>669</v>
      </c>
      <c r="D618" s="2" t="s">
        <v>1406</v>
      </c>
      <c r="E618" s="2" t="s">
        <v>30</v>
      </c>
      <c r="F618" s="9">
        <f t="shared" si="37"/>
        <v>45418</v>
      </c>
      <c r="G618" s="9">
        <f t="shared" si="38"/>
        <v>0</v>
      </c>
      <c r="H618" s="9">
        <f t="shared" si="39"/>
        <v>0</v>
      </c>
      <c r="I618" s="10">
        <f t="shared" si="40"/>
        <v>45418</v>
      </c>
    </row>
    <row r="619" spans="1:9" x14ac:dyDescent="0.25">
      <c r="A619" s="2" t="s">
        <v>2158</v>
      </c>
      <c r="B619" s="2" t="s">
        <v>2159</v>
      </c>
      <c r="C619" s="2" t="s">
        <v>669</v>
      </c>
      <c r="D619" s="2" t="s">
        <v>1406</v>
      </c>
      <c r="E619" s="2" t="s">
        <v>30</v>
      </c>
      <c r="F619" s="9">
        <f t="shared" si="37"/>
        <v>0</v>
      </c>
      <c r="G619" s="9">
        <f t="shared" si="38"/>
        <v>25</v>
      </c>
      <c r="H619" s="9">
        <f t="shared" si="39"/>
        <v>0</v>
      </c>
      <c r="I619" s="10">
        <f t="shared" si="40"/>
        <v>25</v>
      </c>
    </row>
    <row r="620" spans="1:9" x14ac:dyDescent="0.25">
      <c r="A620" s="2" t="s">
        <v>706</v>
      </c>
      <c r="B620" s="2" t="s">
        <v>705</v>
      </c>
      <c r="C620" s="2" t="s">
        <v>669</v>
      </c>
      <c r="D620" s="2" t="s">
        <v>1406</v>
      </c>
      <c r="E620" s="2" t="s">
        <v>30</v>
      </c>
      <c r="F620" s="9">
        <f t="shared" si="37"/>
        <v>0</v>
      </c>
      <c r="G620" s="9">
        <f t="shared" si="38"/>
        <v>0</v>
      </c>
      <c r="H620" s="9">
        <f t="shared" si="39"/>
        <v>0</v>
      </c>
      <c r="I620" s="10">
        <f t="shared" si="40"/>
        <v>0</v>
      </c>
    </row>
    <row r="621" spans="1:9" x14ac:dyDescent="0.25">
      <c r="A621" s="2" t="s">
        <v>2160</v>
      </c>
      <c r="B621" s="2" t="s">
        <v>2161</v>
      </c>
      <c r="C621" s="2" t="s">
        <v>669</v>
      </c>
      <c r="D621" s="2" t="s">
        <v>1406</v>
      </c>
      <c r="E621" s="2" t="s">
        <v>30</v>
      </c>
      <c r="F621" s="9">
        <f t="shared" si="37"/>
        <v>0</v>
      </c>
      <c r="G621" s="9">
        <f t="shared" si="38"/>
        <v>4</v>
      </c>
      <c r="H621" s="9">
        <f t="shared" si="39"/>
        <v>0</v>
      </c>
      <c r="I621" s="10">
        <f t="shared" si="40"/>
        <v>4</v>
      </c>
    </row>
    <row r="622" spans="1:9" x14ac:dyDescent="0.25">
      <c r="A622" s="2" t="s">
        <v>716</v>
      </c>
      <c r="B622" s="2" t="s">
        <v>715</v>
      </c>
      <c r="C622" s="2" t="s">
        <v>669</v>
      </c>
      <c r="D622" s="2" t="s">
        <v>1406</v>
      </c>
      <c r="E622" s="2" t="s">
        <v>30</v>
      </c>
      <c r="F622" s="9">
        <f t="shared" si="37"/>
        <v>0</v>
      </c>
      <c r="G622" s="9">
        <f t="shared" si="38"/>
        <v>6</v>
      </c>
      <c r="H622" s="9">
        <f t="shared" si="39"/>
        <v>0</v>
      </c>
      <c r="I622" s="10">
        <f t="shared" si="40"/>
        <v>6</v>
      </c>
    </row>
    <row r="623" spans="1:9" x14ac:dyDescent="0.25">
      <c r="A623" s="2" t="s">
        <v>2162</v>
      </c>
      <c r="B623" s="2" t="s">
        <v>2163</v>
      </c>
      <c r="C623" s="2" t="s">
        <v>669</v>
      </c>
      <c r="D623" s="2" t="s">
        <v>1406</v>
      </c>
      <c r="E623" s="2" t="s">
        <v>30</v>
      </c>
      <c r="F623" s="9">
        <f t="shared" si="37"/>
        <v>0</v>
      </c>
      <c r="G623" s="9">
        <f t="shared" si="38"/>
        <v>434</v>
      </c>
      <c r="H623" s="9">
        <f t="shared" si="39"/>
        <v>0</v>
      </c>
      <c r="I623" s="10">
        <f t="shared" si="40"/>
        <v>434</v>
      </c>
    </row>
    <row r="624" spans="1:9" x14ac:dyDescent="0.25">
      <c r="A624" s="2" t="s">
        <v>720</v>
      </c>
      <c r="B624" s="2" t="s">
        <v>719</v>
      </c>
      <c r="C624" s="2" t="s">
        <v>669</v>
      </c>
      <c r="D624" s="2" t="s">
        <v>1406</v>
      </c>
      <c r="E624" s="2" t="s">
        <v>30</v>
      </c>
      <c r="F624" s="9">
        <f t="shared" si="37"/>
        <v>0</v>
      </c>
      <c r="G624" s="9">
        <f t="shared" si="38"/>
        <v>476</v>
      </c>
      <c r="H624" s="9">
        <f t="shared" si="39"/>
        <v>0</v>
      </c>
      <c r="I624" s="10">
        <f t="shared" si="40"/>
        <v>476</v>
      </c>
    </row>
    <row r="625" spans="1:9" x14ac:dyDescent="0.25">
      <c r="A625" s="2" t="s">
        <v>722</v>
      </c>
      <c r="B625" s="2" t="s">
        <v>721</v>
      </c>
      <c r="C625" s="2" t="s">
        <v>669</v>
      </c>
      <c r="D625" s="2" t="s">
        <v>1406</v>
      </c>
      <c r="E625" s="2" t="s">
        <v>30</v>
      </c>
      <c r="F625" s="9">
        <f t="shared" si="37"/>
        <v>0</v>
      </c>
      <c r="G625" s="9">
        <f t="shared" si="38"/>
        <v>0</v>
      </c>
      <c r="H625" s="9">
        <f t="shared" si="39"/>
        <v>0</v>
      </c>
      <c r="I625" s="10">
        <f t="shared" si="40"/>
        <v>0</v>
      </c>
    </row>
    <row r="626" spans="1:9" x14ac:dyDescent="0.25">
      <c r="A626" s="2" t="s">
        <v>2164</v>
      </c>
      <c r="B626" s="2" t="s">
        <v>2165</v>
      </c>
      <c r="C626" s="2" t="s">
        <v>669</v>
      </c>
      <c r="D626" s="2" t="s">
        <v>1406</v>
      </c>
      <c r="E626" s="2" t="s">
        <v>30</v>
      </c>
      <c r="F626" s="9">
        <f t="shared" si="37"/>
        <v>0</v>
      </c>
      <c r="G626" s="9">
        <f t="shared" si="38"/>
        <v>6</v>
      </c>
      <c r="H626" s="9">
        <f t="shared" si="39"/>
        <v>0</v>
      </c>
      <c r="I626" s="10">
        <f t="shared" si="40"/>
        <v>6</v>
      </c>
    </row>
    <row r="627" spans="1:9" x14ac:dyDescent="0.25">
      <c r="A627" s="2" t="s">
        <v>2166</v>
      </c>
      <c r="B627" s="2" t="s">
        <v>2167</v>
      </c>
      <c r="C627" s="2" t="s">
        <v>669</v>
      </c>
      <c r="D627" s="2" t="s">
        <v>1406</v>
      </c>
      <c r="E627" s="2" t="s">
        <v>30</v>
      </c>
      <c r="F627" s="9">
        <f t="shared" si="37"/>
        <v>0</v>
      </c>
      <c r="G627" s="9">
        <f t="shared" si="38"/>
        <v>100</v>
      </c>
      <c r="H627" s="9">
        <f t="shared" si="39"/>
        <v>0</v>
      </c>
      <c r="I627" s="10">
        <f t="shared" si="40"/>
        <v>100</v>
      </c>
    </row>
    <row r="628" spans="1:9" x14ac:dyDescent="0.25">
      <c r="A628" s="2" t="s">
        <v>2168</v>
      </c>
      <c r="B628" s="2" t="s">
        <v>2169</v>
      </c>
      <c r="C628" s="2" t="s">
        <v>669</v>
      </c>
      <c r="D628" s="2" t="s">
        <v>1406</v>
      </c>
      <c r="E628" s="2" t="s">
        <v>30</v>
      </c>
      <c r="F628" s="9">
        <f t="shared" si="37"/>
        <v>0</v>
      </c>
      <c r="G628" s="9">
        <f t="shared" si="38"/>
        <v>100</v>
      </c>
      <c r="H628" s="9">
        <f t="shared" si="39"/>
        <v>0</v>
      </c>
      <c r="I628" s="10">
        <f t="shared" si="40"/>
        <v>100</v>
      </c>
    </row>
    <row r="629" spans="1:9" x14ac:dyDescent="0.25">
      <c r="A629" s="2" t="s">
        <v>2170</v>
      </c>
      <c r="B629" s="2" t="s">
        <v>2171</v>
      </c>
      <c r="C629" s="2" t="s">
        <v>669</v>
      </c>
      <c r="D629" s="2" t="s">
        <v>1406</v>
      </c>
      <c r="E629" s="2" t="s">
        <v>30</v>
      </c>
      <c r="F629" s="9">
        <f t="shared" si="37"/>
        <v>0</v>
      </c>
      <c r="G629" s="9">
        <f t="shared" si="38"/>
        <v>68</v>
      </c>
      <c r="H629" s="9">
        <f t="shared" si="39"/>
        <v>0</v>
      </c>
      <c r="I629" s="10">
        <f t="shared" si="40"/>
        <v>68</v>
      </c>
    </row>
    <row r="630" spans="1:9" x14ac:dyDescent="0.25">
      <c r="A630" s="2" t="s">
        <v>2172</v>
      </c>
      <c r="B630" s="2" t="s">
        <v>2173</v>
      </c>
      <c r="C630" s="2" t="s">
        <v>669</v>
      </c>
      <c r="D630" s="2" t="s">
        <v>1406</v>
      </c>
      <c r="E630" s="2" t="s">
        <v>30</v>
      </c>
      <c r="F630" s="9">
        <f t="shared" si="37"/>
        <v>1</v>
      </c>
      <c r="G630" s="9">
        <f t="shared" si="38"/>
        <v>69</v>
      </c>
      <c r="H630" s="9">
        <f t="shared" si="39"/>
        <v>0</v>
      </c>
      <c r="I630" s="10">
        <f t="shared" si="40"/>
        <v>70</v>
      </c>
    </row>
    <row r="631" spans="1:9" x14ac:dyDescent="0.25">
      <c r="A631" s="3" t="s">
        <v>2174</v>
      </c>
      <c r="B631" s="2" t="s">
        <v>2175</v>
      </c>
      <c r="C631" s="2" t="s">
        <v>669</v>
      </c>
      <c r="D631" s="2" t="s">
        <v>1406</v>
      </c>
      <c r="E631" s="2" t="s">
        <v>30</v>
      </c>
      <c r="F631" s="9">
        <f t="shared" si="37"/>
        <v>0</v>
      </c>
      <c r="G631" s="9">
        <f t="shared" si="38"/>
        <v>8</v>
      </c>
      <c r="H631" s="9">
        <f t="shared" si="39"/>
        <v>0</v>
      </c>
      <c r="I631" s="10">
        <f t="shared" si="40"/>
        <v>8</v>
      </c>
    </row>
    <row r="632" spans="1:9" x14ac:dyDescent="0.25">
      <c r="A632" s="2" t="s">
        <v>2176</v>
      </c>
      <c r="B632" s="2" t="s">
        <v>2177</v>
      </c>
      <c r="C632" s="2" t="s">
        <v>669</v>
      </c>
      <c r="D632" s="2" t="s">
        <v>1406</v>
      </c>
      <c r="E632" s="2" t="s">
        <v>30</v>
      </c>
      <c r="F632" s="9">
        <f t="shared" si="37"/>
        <v>0</v>
      </c>
      <c r="G632" s="9">
        <f t="shared" si="38"/>
        <v>48</v>
      </c>
      <c r="H632" s="9">
        <f t="shared" si="39"/>
        <v>0</v>
      </c>
      <c r="I632" s="10">
        <f t="shared" si="40"/>
        <v>48</v>
      </c>
    </row>
    <row r="633" spans="1:9" x14ac:dyDescent="0.25">
      <c r="A633" s="2" t="s">
        <v>724</v>
      </c>
      <c r="B633" s="2" t="s">
        <v>723</v>
      </c>
      <c r="C633" s="2" t="s">
        <v>669</v>
      </c>
      <c r="D633" s="2" t="s">
        <v>1406</v>
      </c>
      <c r="E633" s="2" t="s">
        <v>30</v>
      </c>
      <c r="F633" s="9">
        <f t="shared" si="37"/>
        <v>0</v>
      </c>
      <c r="G633" s="9">
        <f t="shared" si="38"/>
        <v>0</v>
      </c>
      <c r="H633" s="9">
        <f t="shared" si="39"/>
        <v>0</v>
      </c>
      <c r="I633" s="10">
        <f t="shared" si="40"/>
        <v>0</v>
      </c>
    </row>
    <row r="634" spans="1:9" x14ac:dyDescent="0.25">
      <c r="A634" s="2" t="s">
        <v>2178</v>
      </c>
      <c r="B634" s="2" t="s">
        <v>2179</v>
      </c>
      <c r="C634" s="2" t="s">
        <v>669</v>
      </c>
      <c r="D634" s="2" t="s">
        <v>1406</v>
      </c>
      <c r="E634" s="2" t="s">
        <v>30</v>
      </c>
      <c r="F634" s="9">
        <f t="shared" si="37"/>
        <v>0</v>
      </c>
      <c r="G634" s="9">
        <f t="shared" si="38"/>
        <v>117</v>
      </c>
      <c r="H634" s="9">
        <f t="shared" si="39"/>
        <v>0</v>
      </c>
      <c r="I634" s="10">
        <f t="shared" si="40"/>
        <v>117</v>
      </c>
    </row>
    <row r="635" spans="1:9" x14ac:dyDescent="0.25">
      <c r="A635" s="2" t="s">
        <v>726</v>
      </c>
      <c r="B635" s="2" t="s">
        <v>725</v>
      </c>
      <c r="C635" s="2" t="s">
        <v>669</v>
      </c>
      <c r="D635" s="2" t="s">
        <v>1406</v>
      </c>
      <c r="E635" s="2" t="s">
        <v>30</v>
      </c>
      <c r="F635" s="9">
        <f t="shared" si="37"/>
        <v>0</v>
      </c>
      <c r="G635" s="9">
        <f t="shared" si="38"/>
        <v>0</v>
      </c>
      <c r="H635" s="9">
        <f t="shared" si="39"/>
        <v>0</v>
      </c>
      <c r="I635" s="10">
        <f t="shared" si="40"/>
        <v>0</v>
      </c>
    </row>
    <row r="636" spans="1:9" x14ac:dyDescent="0.25">
      <c r="A636" s="2" t="s">
        <v>2180</v>
      </c>
      <c r="B636" s="2" t="s">
        <v>2181</v>
      </c>
      <c r="C636" s="2" t="s">
        <v>669</v>
      </c>
      <c r="D636" s="2" t="s">
        <v>1406</v>
      </c>
      <c r="E636" s="2" t="s">
        <v>30</v>
      </c>
      <c r="F636" s="9">
        <f t="shared" si="37"/>
        <v>0</v>
      </c>
      <c r="G636" s="9">
        <f t="shared" si="38"/>
        <v>3</v>
      </c>
      <c r="H636" s="9">
        <f t="shared" si="39"/>
        <v>0</v>
      </c>
      <c r="I636" s="10">
        <f t="shared" si="40"/>
        <v>3</v>
      </c>
    </row>
    <row r="637" spans="1:9" x14ac:dyDescent="0.25">
      <c r="A637" s="2" t="s">
        <v>728</v>
      </c>
      <c r="B637" s="2" t="s">
        <v>727</v>
      </c>
      <c r="C637" s="2" t="s">
        <v>669</v>
      </c>
      <c r="D637" s="2" t="s">
        <v>1406</v>
      </c>
      <c r="E637" s="2" t="s">
        <v>30</v>
      </c>
      <c r="F637" s="9">
        <f t="shared" si="37"/>
        <v>0</v>
      </c>
      <c r="G637" s="9">
        <f t="shared" si="38"/>
        <v>3</v>
      </c>
      <c r="H637" s="9">
        <f t="shared" si="39"/>
        <v>0</v>
      </c>
      <c r="I637" s="10">
        <f t="shared" si="40"/>
        <v>3</v>
      </c>
    </row>
    <row r="638" spans="1:9" x14ac:dyDescent="0.25">
      <c r="A638" s="2" t="s">
        <v>2182</v>
      </c>
      <c r="B638" s="2" t="s">
        <v>2183</v>
      </c>
      <c r="C638" s="2" t="s">
        <v>669</v>
      </c>
      <c r="D638" s="2" t="s">
        <v>1406</v>
      </c>
      <c r="E638" s="2" t="s">
        <v>30</v>
      </c>
      <c r="F638" s="9">
        <f t="shared" si="37"/>
        <v>0</v>
      </c>
      <c r="G638" s="9">
        <f t="shared" si="38"/>
        <v>1</v>
      </c>
      <c r="H638" s="9">
        <f t="shared" si="39"/>
        <v>0</v>
      </c>
      <c r="I638" s="10">
        <f t="shared" si="40"/>
        <v>1</v>
      </c>
    </row>
    <row r="639" spans="1:9" x14ac:dyDescent="0.25">
      <c r="A639" s="2" t="s">
        <v>2184</v>
      </c>
      <c r="B639" s="2" t="s">
        <v>2185</v>
      </c>
      <c r="C639" s="2" t="s">
        <v>669</v>
      </c>
      <c r="D639" s="2" t="s">
        <v>1406</v>
      </c>
      <c r="E639" s="2" t="s">
        <v>30</v>
      </c>
      <c r="F639" s="9">
        <f t="shared" si="37"/>
        <v>0</v>
      </c>
      <c r="G639" s="9">
        <f t="shared" si="38"/>
        <v>286</v>
      </c>
      <c r="H639" s="9">
        <f t="shared" si="39"/>
        <v>0</v>
      </c>
      <c r="I639" s="10">
        <f t="shared" si="40"/>
        <v>286</v>
      </c>
    </row>
    <row r="640" spans="1:9" x14ac:dyDescent="0.25">
      <c r="A640" s="2" t="s">
        <v>2186</v>
      </c>
      <c r="B640" s="2" t="s">
        <v>2187</v>
      </c>
      <c r="C640" s="2" t="s">
        <v>669</v>
      </c>
      <c r="D640" s="2" t="s">
        <v>1406</v>
      </c>
      <c r="E640" s="2" t="s">
        <v>30</v>
      </c>
      <c r="F640" s="9">
        <f t="shared" si="37"/>
        <v>0</v>
      </c>
      <c r="G640" s="9">
        <f t="shared" si="38"/>
        <v>127</v>
      </c>
      <c r="H640" s="9">
        <f t="shared" si="39"/>
        <v>0</v>
      </c>
      <c r="I640" s="10">
        <f t="shared" si="40"/>
        <v>127</v>
      </c>
    </row>
    <row r="641" spans="1:9" x14ac:dyDescent="0.25">
      <c r="A641" s="2" t="s">
        <v>2188</v>
      </c>
      <c r="B641" s="2" t="s">
        <v>2189</v>
      </c>
      <c r="C641" s="2" t="s">
        <v>669</v>
      </c>
      <c r="D641" s="2" t="s">
        <v>1406</v>
      </c>
      <c r="E641" s="2" t="s">
        <v>30</v>
      </c>
      <c r="F641" s="9">
        <f t="shared" si="37"/>
        <v>0</v>
      </c>
      <c r="G641" s="9">
        <f t="shared" si="38"/>
        <v>1</v>
      </c>
      <c r="H641" s="9">
        <f t="shared" si="39"/>
        <v>0</v>
      </c>
      <c r="I641" s="10">
        <f t="shared" si="40"/>
        <v>1</v>
      </c>
    </row>
    <row r="642" spans="1:9" x14ac:dyDescent="0.25">
      <c r="A642" s="2" t="s">
        <v>2190</v>
      </c>
      <c r="B642" s="2" t="s">
        <v>2191</v>
      </c>
      <c r="C642" s="2" t="s">
        <v>669</v>
      </c>
      <c r="D642" s="2" t="s">
        <v>1406</v>
      </c>
      <c r="E642" s="2" t="s">
        <v>30</v>
      </c>
      <c r="F642" s="9">
        <f t="shared" ref="F642:F702" si="41">IFERROR(VLOOKUP(A642,condi,8,0),0)</f>
        <v>0</v>
      </c>
      <c r="G642" s="9">
        <f t="shared" ref="G642:G702" si="42">IFERROR(VLOOKUP(A642,maqui,8,0),0)</f>
        <v>4</v>
      </c>
      <c r="H642" s="9">
        <f t="shared" ref="H642:H702" si="43">IFERROR(VLOOKUP(A642,ascint,8,0),0)</f>
        <v>0</v>
      </c>
      <c r="I642" s="10">
        <f t="shared" si="40"/>
        <v>4</v>
      </c>
    </row>
    <row r="643" spans="1:9" x14ac:dyDescent="0.25">
      <c r="A643" s="2" t="s">
        <v>2192</v>
      </c>
      <c r="B643" s="2" t="s">
        <v>2193</v>
      </c>
      <c r="C643" s="2" t="s">
        <v>669</v>
      </c>
      <c r="D643" s="2" t="s">
        <v>1406</v>
      </c>
      <c r="E643" s="2" t="s">
        <v>30</v>
      </c>
      <c r="F643" s="9">
        <f t="shared" si="41"/>
        <v>1</v>
      </c>
      <c r="G643" s="9">
        <f t="shared" si="42"/>
        <v>1</v>
      </c>
      <c r="H643" s="9">
        <f t="shared" si="43"/>
        <v>0</v>
      </c>
      <c r="I643" s="10">
        <f t="shared" si="40"/>
        <v>2</v>
      </c>
    </row>
    <row r="644" spans="1:9" x14ac:dyDescent="0.25">
      <c r="A644" s="2" t="s">
        <v>734</v>
      </c>
      <c r="B644" s="2" t="s">
        <v>733</v>
      </c>
      <c r="C644" s="2" t="s">
        <v>669</v>
      </c>
      <c r="D644" s="2" t="s">
        <v>1406</v>
      </c>
      <c r="E644" s="2" t="s">
        <v>30</v>
      </c>
      <c r="F644" s="9">
        <f t="shared" si="41"/>
        <v>0</v>
      </c>
      <c r="G644" s="9">
        <f t="shared" si="42"/>
        <v>0</v>
      </c>
      <c r="H644" s="9">
        <f t="shared" si="43"/>
        <v>0</v>
      </c>
      <c r="I644" s="10">
        <f t="shared" si="40"/>
        <v>0</v>
      </c>
    </row>
    <row r="645" spans="1:9" x14ac:dyDescent="0.25">
      <c r="A645" s="2" t="s">
        <v>736</v>
      </c>
      <c r="B645" s="2" t="s">
        <v>735</v>
      </c>
      <c r="C645" s="2" t="s">
        <v>669</v>
      </c>
      <c r="D645" s="2" t="s">
        <v>1406</v>
      </c>
      <c r="E645" s="2" t="s">
        <v>30</v>
      </c>
      <c r="F645" s="9">
        <f t="shared" si="41"/>
        <v>6</v>
      </c>
      <c r="G645" s="9">
        <f t="shared" si="42"/>
        <v>0</v>
      </c>
      <c r="H645" s="9">
        <f t="shared" si="43"/>
        <v>0</v>
      </c>
      <c r="I645" s="10">
        <f t="shared" si="40"/>
        <v>6</v>
      </c>
    </row>
    <row r="646" spans="1:9" x14ac:dyDescent="0.25">
      <c r="A646" s="2" t="s">
        <v>738</v>
      </c>
      <c r="B646" s="2" t="s">
        <v>737</v>
      </c>
      <c r="C646" s="2" t="s">
        <v>669</v>
      </c>
      <c r="D646" s="2" t="s">
        <v>1406</v>
      </c>
      <c r="E646" s="2" t="s">
        <v>30</v>
      </c>
      <c r="F646" s="9">
        <f t="shared" si="41"/>
        <v>0</v>
      </c>
      <c r="G646" s="9">
        <f t="shared" si="42"/>
        <v>1</v>
      </c>
      <c r="H646" s="9">
        <f t="shared" si="43"/>
        <v>0</v>
      </c>
      <c r="I646" s="10">
        <f t="shared" si="40"/>
        <v>1</v>
      </c>
    </row>
    <row r="647" spans="1:9" x14ac:dyDescent="0.25">
      <c r="A647" s="2" t="s">
        <v>740</v>
      </c>
      <c r="B647" s="2" t="s">
        <v>739</v>
      </c>
      <c r="C647" s="2" t="s">
        <v>669</v>
      </c>
      <c r="D647" s="2" t="s">
        <v>1406</v>
      </c>
      <c r="E647" s="2" t="s">
        <v>30</v>
      </c>
      <c r="F647" s="9">
        <f t="shared" si="41"/>
        <v>0</v>
      </c>
      <c r="G647" s="9">
        <f t="shared" si="42"/>
        <v>0</v>
      </c>
      <c r="H647" s="9">
        <f t="shared" si="43"/>
        <v>0</v>
      </c>
      <c r="I647" s="10">
        <f t="shared" si="40"/>
        <v>0</v>
      </c>
    </row>
    <row r="648" spans="1:9" x14ac:dyDescent="0.25">
      <c r="A648" s="2" t="s">
        <v>2194</v>
      </c>
      <c r="B648" s="2" t="s">
        <v>2195</v>
      </c>
      <c r="C648" s="2" t="s">
        <v>669</v>
      </c>
      <c r="D648" s="2" t="s">
        <v>1406</v>
      </c>
      <c r="E648" s="2" t="s">
        <v>30</v>
      </c>
      <c r="F648" s="9">
        <f t="shared" si="41"/>
        <v>0</v>
      </c>
      <c r="G648" s="9">
        <f t="shared" si="42"/>
        <v>54</v>
      </c>
      <c r="H648" s="9">
        <f t="shared" si="43"/>
        <v>0</v>
      </c>
      <c r="I648" s="10">
        <f t="shared" ref="I648:I708" si="44">+F648+G648+H648</f>
        <v>54</v>
      </c>
    </row>
    <row r="649" spans="1:9" x14ac:dyDescent="0.25">
      <c r="A649" s="2" t="s">
        <v>2196</v>
      </c>
      <c r="B649" s="2" t="s">
        <v>2197</v>
      </c>
      <c r="C649" s="2" t="s">
        <v>669</v>
      </c>
      <c r="D649" s="2" t="s">
        <v>1406</v>
      </c>
      <c r="E649" s="2" t="s">
        <v>30</v>
      </c>
      <c r="F649" s="9">
        <f t="shared" si="41"/>
        <v>0</v>
      </c>
      <c r="G649" s="9">
        <f t="shared" si="42"/>
        <v>50</v>
      </c>
      <c r="H649" s="9">
        <f t="shared" si="43"/>
        <v>0</v>
      </c>
      <c r="I649" s="10">
        <f t="shared" si="44"/>
        <v>50</v>
      </c>
    </row>
    <row r="650" spans="1:9" x14ac:dyDescent="0.25">
      <c r="A650" s="2" t="s">
        <v>2198</v>
      </c>
      <c r="B650" s="2" t="s">
        <v>2199</v>
      </c>
      <c r="C650" s="2" t="s">
        <v>669</v>
      </c>
      <c r="D650" s="2" t="s">
        <v>1406</v>
      </c>
      <c r="E650" s="2" t="s">
        <v>30</v>
      </c>
      <c r="F650" s="9">
        <f t="shared" si="41"/>
        <v>0</v>
      </c>
      <c r="G650" s="9">
        <f t="shared" si="42"/>
        <v>12</v>
      </c>
      <c r="H650" s="9">
        <f t="shared" si="43"/>
        <v>0</v>
      </c>
      <c r="I650" s="10">
        <f t="shared" si="44"/>
        <v>12</v>
      </c>
    </row>
    <row r="651" spans="1:9" x14ac:dyDescent="0.25">
      <c r="A651" s="2" t="s">
        <v>2200</v>
      </c>
      <c r="B651" s="2" t="s">
        <v>2201</v>
      </c>
      <c r="C651" s="2" t="s">
        <v>669</v>
      </c>
      <c r="D651" s="2" t="s">
        <v>1406</v>
      </c>
      <c r="E651" s="2" t="s">
        <v>30</v>
      </c>
      <c r="F651" s="9">
        <f t="shared" si="41"/>
        <v>0</v>
      </c>
      <c r="G651" s="9">
        <f t="shared" si="42"/>
        <v>24</v>
      </c>
      <c r="H651" s="9">
        <f t="shared" si="43"/>
        <v>0</v>
      </c>
      <c r="I651" s="10">
        <f t="shared" si="44"/>
        <v>24</v>
      </c>
    </row>
    <row r="652" spans="1:9" x14ac:dyDescent="0.25">
      <c r="A652" s="2" t="s">
        <v>2202</v>
      </c>
      <c r="B652" s="2" t="s">
        <v>2203</v>
      </c>
      <c r="C652" s="2" t="s">
        <v>669</v>
      </c>
      <c r="D652" s="2" t="s">
        <v>1406</v>
      </c>
      <c r="E652" s="2" t="s">
        <v>30</v>
      </c>
      <c r="F652" s="9">
        <f t="shared" si="41"/>
        <v>7</v>
      </c>
      <c r="G652" s="9">
        <f t="shared" si="42"/>
        <v>62</v>
      </c>
      <c r="H652" s="9">
        <f t="shared" si="43"/>
        <v>0</v>
      </c>
      <c r="I652" s="10">
        <f t="shared" si="44"/>
        <v>69</v>
      </c>
    </row>
    <row r="653" spans="1:9" x14ac:dyDescent="0.25">
      <c r="A653" s="2" t="s">
        <v>2204</v>
      </c>
      <c r="B653" s="2" t="s">
        <v>2205</v>
      </c>
      <c r="C653" s="2" t="s">
        <v>669</v>
      </c>
      <c r="D653" s="2" t="s">
        <v>1406</v>
      </c>
      <c r="E653" s="2" t="s">
        <v>30</v>
      </c>
      <c r="F653" s="9">
        <f t="shared" si="41"/>
        <v>0</v>
      </c>
      <c r="G653" s="9">
        <f t="shared" si="42"/>
        <v>24</v>
      </c>
      <c r="H653" s="9">
        <f t="shared" si="43"/>
        <v>0</v>
      </c>
      <c r="I653" s="10">
        <f t="shared" si="44"/>
        <v>24</v>
      </c>
    </row>
    <row r="654" spans="1:9" x14ac:dyDescent="0.25">
      <c r="A654" s="2" t="s">
        <v>744</v>
      </c>
      <c r="B654" s="2" t="s">
        <v>743</v>
      </c>
      <c r="C654" s="2" t="s">
        <v>669</v>
      </c>
      <c r="D654" s="2" t="s">
        <v>1406</v>
      </c>
      <c r="E654" s="2" t="s">
        <v>30</v>
      </c>
      <c r="F654" s="9">
        <f t="shared" si="41"/>
        <v>0</v>
      </c>
      <c r="G654" s="9">
        <f t="shared" si="42"/>
        <v>0</v>
      </c>
      <c r="H654" s="9">
        <f t="shared" si="43"/>
        <v>0</v>
      </c>
      <c r="I654" s="10">
        <f t="shared" si="44"/>
        <v>0</v>
      </c>
    </row>
    <row r="655" spans="1:9" x14ac:dyDescent="0.25">
      <c r="A655" s="2" t="s">
        <v>2206</v>
      </c>
      <c r="B655" s="2" t="s">
        <v>2207</v>
      </c>
      <c r="C655" s="2" t="s">
        <v>669</v>
      </c>
      <c r="D655" s="2" t="s">
        <v>1406</v>
      </c>
      <c r="E655" s="2" t="s">
        <v>30</v>
      </c>
      <c r="F655" s="9">
        <f t="shared" si="41"/>
        <v>0</v>
      </c>
      <c r="G655" s="9">
        <f t="shared" si="42"/>
        <v>12</v>
      </c>
      <c r="H655" s="9">
        <f t="shared" si="43"/>
        <v>0</v>
      </c>
      <c r="I655" s="10">
        <f t="shared" si="44"/>
        <v>12</v>
      </c>
    </row>
    <row r="656" spans="1:9" x14ac:dyDescent="0.25">
      <c r="A656" s="2" t="s">
        <v>2208</v>
      </c>
      <c r="B656" s="2" t="s">
        <v>2209</v>
      </c>
      <c r="C656" s="2" t="s">
        <v>669</v>
      </c>
      <c r="D656" s="2" t="s">
        <v>1406</v>
      </c>
      <c r="E656" s="2" t="s">
        <v>30</v>
      </c>
      <c r="F656" s="9">
        <f t="shared" si="41"/>
        <v>0</v>
      </c>
      <c r="G656" s="9">
        <f t="shared" si="42"/>
        <v>29</v>
      </c>
      <c r="H656" s="9">
        <f t="shared" si="43"/>
        <v>0</v>
      </c>
      <c r="I656" s="10">
        <f t="shared" si="44"/>
        <v>29</v>
      </c>
    </row>
    <row r="657" spans="1:9" x14ac:dyDescent="0.25">
      <c r="A657" s="2" t="s">
        <v>746</v>
      </c>
      <c r="B657" s="2" t="s">
        <v>745</v>
      </c>
      <c r="C657" s="2" t="s">
        <v>669</v>
      </c>
      <c r="D657" s="2" t="s">
        <v>1406</v>
      </c>
      <c r="E657" s="2" t="s">
        <v>30</v>
      </c>
      <c r="F657" s="9">
        <f t="shared" si="41"/>
        <v>0</v>
      </c>
      <c r="G657" s="9">
        <f t="shared" si="42"/>
        <v>28</v>
      </c>
      <c r="H657" s="9">
        <f t="shared" si="43"/>
        <v>0</v>
      </c>
      <c r="I657" s="10">
        <f t="shared" si="44"/>
        <v>28</v>
      </c>
    </row>
    <row r="658" spans="1:9" x14ac:dyDescent="0.25">
      <c r="A658" s="2" t="s">
        <v>748</v>
      </c>
      <c r="B658" s="2" t="s">
        <v>747</v>
      </c>
      <c r="C658" s="2" t="s">
        <v>669</v>
      </c>
      <c r="D658" s="2" t="s">
        <v>1406</v>
      </c>
      <c r="E658" s="2" t="s">
        <v>30</v>
      </c>
      <c r="F658" s="9">
        <f t="shared" si="41"/>
        <v>0</v>
      </c>
      <c r="G658" s="9">
        <f t="shared" si="42"/>
        <v>6</v>
      </c>
      <c r="H658" s="9">
        <f t="shared" si="43"/>
        <v>0</v>
      </c>
      <c r="I658" s="10">
        <f t="shared" si="44"/>
        <v>6</v>
      </c>
    </row>
    <row r="659" spans="1:9" x14ac:dyDescent="0.25">
      <c r="A659" s="2" t="s">
        <v>750</v>
      </c>
      <c r="B659" s="2" t="s">
        <v>749</v>
      </c>
      <c r="C659" s="2" t="s">
        <v>669</v>
      </c>
      <c r="D659" s="2" t="s">
        <v>1406</v>
      </c>
      <c r="E659" s="2" t="s">
        <v>30</v>
      </c>
      <c r="F659" s="9">
        <f t="shared" si="41"/>
        <v>0</v>
      </c>
      <c r="G659" s="9">
        <f t="shared" si="42"/>
        <v>3</v>
      </c>
      <c r="H659" s="9">
        <f t="shared" si="43"/>
        <v>0</v>
      </c>
      <c r="I659" s="10">
        <f t="shared" si="44"/>
        <v>3</v>
      </c>
    </row>
    <row r="660" spans="1:9" x14ac:dyDescent="0.25">
      <c r="A660" s="2" t="s">
        <v>752</v>
      </c>
      <c r="B660" s="2" t="s">
        <v>751</v>
      </c>
      <c r="C660" s="2" t="s">
        <v>669</v>
      </c>
      <c r="D660" s="2" t="s">
        <v>1406</v>
      </c>
      <c r="E660" s="2" t="s">
        <v>30</v>
      </c>
      <c r="F660" s="9">
        <f t="shared" si="41"/>
        <v>0</v>
      </c>
      <c r="G660" s="9">
        <f t="shared" si="42"/>
        <v>0</v>
      </c>
      <c r="H660" s="9">
        <f t="shared" si="43"/>
        <v>0</v>
      </c>
      <c r="I660" s="10">
        <f t="shared" si="44"/>
        <v>0</v>
      </c>
    </row>
    <row r="661" spans="1:9" x14ac:dyDescent="0.25">
      <c r="A661" s="2" t="s">
        <v>2210</v>
      </c>
      <c r="B661" s="7" t="s">
        <v>2211</v>
      </c>
      <c r="C661" s="2" t="s">
        <v>480</v>
      </c>
      <c r="D661" s="2" t="s">
        <v>1406</v>
      </c>
      <c r="E661" s="2" t="s">
        <v>489</v>
      </c>
      <c r="F661" s="9">
        <f t="shared" si="41"/>
        <v>0</v>
      </c>
      <c r="G661" s="9">
        <f t="shared" si="42"/>
        <v>0</v>
      </c>
      <c r="H661" s="9">
        <f t="shared" si="43"/>
        <v>0</v>
      </c>
      <c r="I661" s="10">
        <f t="shared" si="44"/>
        <v>0</v>
      </c>
    </row>
    <row r="662" spans="1:9" x14ac:dyDescent="0.25">
      <c r="A662" s="2" t="s">
        <v>2212</v>
      </c>
      <c r="B662" s="7" t="s">
        <v>2213</v>
      </c>
      <c r="C662" s="2" t="s">
        <v>480</v>
      </c>
      <c r="D662" s="2" t="s">
        <v>1406</v>
      </c>
      <c r="E662" s="2" t="s">
        <v>489</v>
      </c>
      <c r="F662" s="9">
        <f t="shared" si="41"/>
        <v>0</v>
      </c>
      <c r="G662" s="9">
        <f t="shared" si="42"/>
        <v>0</v>
      </c>
      <c r="H662" s="9">
        <f t="shared" si="43"/>
        <v>0</v>
      </c>
      <c r="I662" s="10">
        <f t="shared" si="44"/>
        <v>0</v>
      </c>
    </row>
    <row r="663" spans="1:9" x14ac:dyDescent="0.25">
      <c r="A663" s="2" t="s">
        <v>2214</v>
      </c>
      <c r="B663" s="7" t="s">
        <v>2215</v>
      </c>
      <c r="C663" s="2" t="s">
        <v>480</v>
      </c>
      <c r="D663" s="2" t="s">
        <v>1406</v>
      </c>
      <c r="E663" s="2" t="s">
        <v>489</v>
      </c>
      <c r="F663" s="9">
        <f t="shared" si="41"/>
        <v>0</v>
      </c>
      <c r="G663" s="9">
        <f t="shared" si="42"/>
        <v>0</v>
      </c>
      <c r="H663" s="9">
        <f t="shared" si="43"/>
        <v>0</v>
      </c>
      <c r="I663" s="10">
        <f t="shared" si="44"/>
        <v>0</v>
      </c>
    </row>
    <row r="664" spans="1:9" x14ac:dyDescent="0.25">
      <c r="A664" s="2" t="s">
        <v>2216</v>
      </c>
      <c r="B664" s="2" t="s">
        <v>2217</v>
      </c>
      <c r="C664" s="2" t="s">
        <v>480</v>
      </c>
      <c r="D664" s="2" t="s">
        <v>1406</v>
      </c>
      <c r="E664" s="2" t="s">
        <v>489</v>
      </c>
      <c r="F664" s="9">
        <f t="shared" si="41"/>
        <v>0</v>
      </c>
      <c r="G664" s="9">
        <f t="shared" si="42"/>
        <v>1.41</v>
      </c>
      <c r="H664" s="9">
        <f t="shared" si="43"/>
        <v>0</v>
      </c>
      <c r="I664" s="10">
        <f t="shared" si="44"/>
        <v>1.41</v>
      </c>
    </row>
    <row r="665" spans="1:9" x14ac:dyDescent="0.25">
      <c r="A665" s="2" t="s">
        <v>2218</v>
      </c>
      <c r="B665" s="7" t="s">
        <v>2219</v>
      </c>
      <c r="C665" s="2" t="s">
        <v>480</v>
      </c>
      <c r="D665" s="2" t="s">
        <v>1406</v>
      </c>
      <c r="E665" s="2" t="s">
        <v>489</v>
      </c>
      <c r="F665" s="9">
        <f t="shared" si="41"/>
        <v>0</v>
      </c>
      <c r="G665" s="9">
        <f t="shared" si="42"/>
        <v>0</v>
      </c>
      <c r="H665" s="9">
        <f t="shared" si="43"/>
        <v>0</v>
      </c>
      <c r="I665" s="10">
        <f t="shared" si="44"/>
        <v>0</v>
      </c>
    </row>
    <row r="666" spans="1:9" x14ac:dyDescent="0.25">
      <c r="A666" s="2" t="s">
        <v>482</v>
      </c>
      <c r="B666" s="2" t="s">
        <v>481</v>
      </c>
      <c r="C666" s="2" t="s">
        <v>480</v>
      </c>
      <c r="D666" s="2" t="s">
        <v>1406</v>
      </c>
      <c r="E666" s="2" t="s">
        <v>82</v>
      </c>
      <c r="F666" s="9">
        <f t="shared" si="41"/>
        <v>0</v>
      </c>
      <c r="G666" s="9">
        <f t="shared" si="42"/>
        <v>0</v>
      </c>
      <c r="H666" s="9">
        <f t="shared" si="43"/>
        <v>0</v>
      </c>
      <c r="I666" s="10">
        <f t="shared" si="44"/>
        <v>0</v>
      </c>
    </row>
    <row r="667" spans="1:9" x14ac:dyDescent="0.25">
      <c r="A667" s="2" t="s">
        <v>2220</v>
      </c>
      <c r="B667" s="7" t="s">
        <v>2221</v>
      </c>
      <c r="C667" s="2" t="s">
        <v>480</v>
      </c>
      <c r="D667" s="2" t="s">
        <v>1406</v>
      </c>
      <c r="E667" s="2" t="s">
        <v>489</v>
      </c>
      <c r="F667" s="9">
        <f t="shared" si="41"/>
        <v>0</v>
      </c>
      <c r="G667" s="9">
        <f t="shared" si="42"/>
        <v>0</v>
      </c>
      <c r="H667" s="9">
        <f t="shared" si="43"/>
        <v>0</v>
      </c>
      <c r="I667" s="10">
        <f t="shared" si="44"/>
        <v>0</v>
      </c>
    </row>
    <row r="668" spans="1:9" x14ac:dyDescent="0.25">
      <c r="A668" s="2" t="s">
        <v>2222</v>
      </c>
      <c r="B668" s="7" t="s">
        <v>2223</v>
      </c>
      <c r="C668" s="2" t="s">
        <v>480</v>
      </c>
      <c r="D668" s="2" t="s">
        <v>1406</v>
      </c>
      <c r="E668" s="2" t="s">
        <v>489</v>
      </c>
      <c r="F668" s="9">
        <f t="shared" si="41"/>
        <v>0</v>
      </c>
      <c r="G668" s="9">
        <f t="shared" si="42"/>
        <v>2.0499999999999998</v>
      </c>
      <c r="H668" s="9">
        <f t="shared" si="43"/>
        <v>0</v>
      </c>
      <c r="I668" s="10">
        <f t="shared" si="44"/>
        <v>2.0499999999999998</v>
      </c>
    </row>
    <row r="669" spans="1:9" x14ac:dyDescent="0.25">
      <c r="A669" s="2" t="s">
        <v>2224</v>
      </c>
      <c r="B669" s="7" t="s">
        <v>2225</v>
      </c>
      <c r="C669" s="2" t="s">
        <v>480</v>
      </c>
      <c r="D669" s="2" t="s">
        <v>1406</v>
      </c>
      <c r="E669" s="2" t="s">
        <v>489</v>
      </c>
      <c r="F669" s="9">
        <f t="shared" si="41"/>
        <v>0</v>
      </c>
      <c r="G669" s="9">
        <f t="shared" si="42"/>
        <v>0</v>
      </c>
      <c r="H669" s="9">
        <f t="shared" si="43"/>
        <v>0</v>
      </c>
      <c r="I669" s="10">
        <f t="shared" si="44"/>
        <v>0</v>
      </c>
    </row>
    <row r="670" spans="1:9" x14ac:dyDescent="0.25">
      <c r="A670" s="2" t="s">
        <v>2226</v>
      </c>
      <c r="B670" s="2" t="s">
        <v>2227</v>
      </c>
      <c r="C670" s="2" t="s">
        <v>480</v>
      </c>
      <c r="D670" s="2" t="s">
        <v>1406</v>
      </c>
      <c r="E670" s="2" t="s">
        <v>82</v>
      </c>
      <c r="F670" s="9">
        <f t="shared" si="41"/>
        <v>0</v>
      </c>
      <c r="G670" s="9">
        <f t="shared" si="42"/>
        <v>149.19999999999999</v>
      </c>
      <c r="H670" s="9">
        <f t="shared" si="43"/>
        <v>0</v>
      </c>
      <c r="I670" s="10">
        <f t="shared" si="44"/>
        <v>149.19999999999999</v>
      </c>
    </row>
    <row r="671" spans="1:9" x14ac:dyDescent="0.25">
      <c r="A671" s="2" t="s">
        <v>488</v>
      </c>
      <c r="B671" s="2" t="s">
        <v>487</v>
      </c>
      <c r="C671" s="2" t="s">
        <v>480</v>
      </c>
      <c r="D671" s="2" t="s">
        <v>1406</v>
      </c>
      <c r="E671" s="2" t="s">
        <v>489</v>
      </c>
      <c r="F671" s="9">
        <f t="shared" si="41"/>
        <v>0</v>
      </c>
      <c r="G671" s="9">
        <f t="shared" si="42"/>
        <v>1.8</v>
      </c>
      <c r="H671" s="9">
        <f t="shared" si="43"/>
        <v>0</v>
      </c>
      <c r="I671" s="10">
        <f t="shared" si="44"/>
        <v>1.8</v>
      </c>
    </row>
    <row r="672" spans="1:9" x14ac:dyDescent="0.25">
      <c r="A672" s="2" t="s">
        <v>491</v>
      </c>
      <c r="B672" s="2" t="s">
        <v>490</v>
      </c>
      <c r="C672" s="2" t="s">
        <v>480</v>
      </c>
      <c r="D672" s="2" t="s">
        <v>1406</v>
      </c>
      <c r="E672" s="2" t="s">
        <v>82</v>
      </c>
      <c r="F672" s="9">
        <f t="shared" si="41"/>
        <v>0</v>
      </c>
      <c r="G672" s="9">
        <f t="shared" si="42"/>
        <v>61</v>
      </c>
      <c r="H672" s="9">
        <f t="shared" si="43"/>
        <v>0</v>
      </c>
      <c r="I672" s="10">
        <f t="shared" si="44"/>
        <v>61</v>
      </c>
    </row>
    <row r="673" spans="1:9" x14ac:dyDescent="0.25">
      <c r="A673" s="2" t="s">
        <v>493</v>
      </c>
      <c r="B673" s="2" t="s">
        <v>492</v>
      </c>
      <c r="C673" s="2" t="s">
        <v>480</v>
      </c>
      <c r="D673" s="2" t="s">
        <v>1406</v>
      </c>
      <c r="E673" s="2" t="s">
        <v>82</v>
      </c>
      <c r="F673" s="9">
        <f t="shared" si="41"/>
        <v>0</v>
      </c>
      <c r="G673" s="9">
        <f t="shared" si="42"/>
        <v>10.94</v>
      </c>
      <c r="H673" s="9">
        <f t="shared" si="43"/>
        <v>0</v>
      </c>
      <c r="I673" s="10">
        <f t="shared" si="44"/>
        <v>10.94</v>
      </c>
    </row>
    <row r="674" spans="1:9" x14ac:dyDescent="0.25">
      <c r="A674" s="2" t="s">
        <v>495</v>
      </c>
      <c r="B674" s="2" t="s">
        <v>494</v>
      </c>
      <c r="C674" s="2" t="s">
        <v>480</v>
      </c>
      <c r="D674" s="2" t="s">
        <v>1406</v>
      </c>
      <c r="E674" s="2" t="s">
        <v>489</v>
      </c>
      <c r="F674" s="9">
        <f t="shared" si="41"/>
        <v>0</v>
      </c>
      <c r="G674" s="9">
        <f t="shared" si="42"/>
        <v>0</v>
      </c>
      <c r="H674" s="9">
        <f t="shared" si="43"/>
        <v>0</v>
      </c>
      <c r="I674" s="10">
        <f t="shared" si="44"/>
        <v>0</v>
      </c>
    </row>
    <row r="675" spans="1:9" x14ac:dyDescent="0.25">
      <c r="A675" s="2" t="s">
        <v>2228</v>
      </c>
      <c r="B675" s="2" t="s">
        <v>2229</v>
      </c>
      <c r="C675" s="2" t="s">
        <v>480</v>
      </c>
      <c r="D675" s="2" t="s">
        <v>1406</v>
      </c>
      <c r="E675" s="2" t="s">
        <v>489</v>
      </c>
      <c r="F675" s="9">
        <f t="shared" si="41"/>
        <v>0</v>
      </c>
      <c r="G675" s="9">
        <f t="shared" si="42"/>
        <v>235.72</v>
      </c>
      <c r="H675" s="9">
        <f t="shared" si="43"/>
        <v>0</v>
      </c>
      <c r="I675" s="10">
        <f t="shared" si="44"/>
        <v>235.72</v>
      </c>
    </row>
    <row r="676" spans="1:9" x14ac:dyDescent="0.25">
      <c r="A676" s="2" t="s">
        <v>2230</v>
      </c>
      <c r="B676" s="2" t="s">
        <v>2231</v>
      </c>
      <c r="C676" s="2" t="s">
        <v>480</v>
      </c>
      <c r="D676" s="2" t="s">
        <v>1406</v>
      </c>
      <c r="E676" s="2" t="s">
        <v>82</v>
      </c>
      <c r="F676" s="9">
        <f t="shared" si="41"/>
        <v>0</v>
      </c>
      <c r="G676" s="9">
        <f t="shared" si="42"/>
        <v>2.9</v>
      </c>
      <c r="H676" s="9">
        <f t="shared" si="43"/>
        <v>0</v>
      </c>
      <c r="I676" s="10">
        <f t="shared" si="44"/>
        <v>2.9</v>
      </c>
    </row>
    <row r="677" spans="1:9" x14ac:dyDescent="0.25">
      <c r="A677" s="2" t="s">
        <v>497</v>
      </c>
      <c r="B677" s="2" t="s">
        <v>496</v>
      </c>
      <c r="C677" s="2" t="s">
        <v>480</v>
      </c>
      <c r="D677" s="2" t="s">
        <v>1406</v>
      </c>
      <c r="E677" s="2" t="s">
        <v>30</v>
      </c>
      <c r="F677" s="9">
        <f t="shared" si="41"/>
        <v>0</v>
      </c>
      <c r="G677" s="9">
        <f t="shared" si="42"/>
        <v>0</v>
      </c>
      <c r="H677" s="9">
        <f t="shared" si="43"/>
        <v>0</v>
      </c>
      <c r="I677" s="10">
        <f t="shared" si="44"/>
        <v>0</v>
      </c>
    </row>
    <row r="678" spans="1:9" x14ac:dyDescent="0.25">
      <c r="A678" s="2" t="s">
        <v>2239</v>
      </c>
      <c r="B678" s="2" t="s">
        <v>2240</v>
      </c>
      <c r="C678" s="2" t="s">
        <v>2241</v>
      </c>
      <c r="D678" s="2" t="s">
        <v>1406</v>
      </c>
      <c r="E678" s="2" t="s">
        <v>30</v>
      </c>
      <c r="F678" s="9">
        <f t="shared" si="41"/>
        <v>0</v>
      </c>
      <c r="G678" s="9">
        <f t="shared" si="42"/>
        <v>1</v>
      </c>
      <c r="H678" s="9">
        <f t="shared" si="43"/>
        <v>0</v>
      </c>
      <c r="I678" s="10">
        <f t="shared" si="44"/>
        <v>1</v>
      </c>
    </row>
    <row r="679" spans="1:9" x14ac:dyDescent="0.25">
      <c r="A679" s="2" t="s">
        <v>2242</v>
      </c>
      <c r="B679" s="2" t="s">
        <v>2243</v>
      </c>
      <c r="C679" s="2" t="s">
        <v>1069</v>
      </c>
      <c r="D679" s="2" t="s">
        <v>1406</v>
      </c>
      <c r="E679" s="2" t="s">
        <v>30</v>
      </c>
      <c r="F679" s="9">
        <f t="shared" si="41"/>
        <v>0</v>
      </c>
      <c r="G679" s="9">
        <f t="shared" si="42"/>
        <v>13950</v>
      </c>
      <c r="H679" s="9">
        <f t="shared" si="43"/>
        <v>0</v>
      </c>
      <c r="I679" s="10">
        <f t="shared" si="44"/>
        <v>13950</v>
      </c>
    </row>
    <row r="680" spans="1:9" x14ac:dyDescent="0.25">
      <c r="A680" s="2" t="s">
        <v>1068</v>
      </c>
      <c r="B680" s="2" t="s">
        <v>1067</v>
      </c>
      <c r="C680" s="2" t="s">
        <v>1069</v>
      </c>
      <c r="D680" s="2" t="s">
        <v>1406</v>
      </c>
      <c r="E680" s="2" t="s">
        <v>30</v>
      </c>
      <c r="F680" s="9">
        <f t="shared" si="41"/>
        <v>0</v>
      </c>
      <c r="G680" s="9">
        <f t="shared" si="42"/>
        <v>40</v>
      </c>
      <c r="H680" s="9">
        <f t="shared" si="43"/>
        <v>0</v>
      </c>
      <c r="I680" s="10">
        <f t="shared" si="44"/>
        <v>40</v>
      </c>
    </row>
    <row r="681" spans="1:9" x14ac:dyDescent="0.25">
      <c r="A681" s="2" t="s">
        <v>1071</v>
      </c>
      <c r="B681" s="2" t="s">
        <v>1070</v>
      </c>
      <c r="C681" s="2" t="s">
        <v>1069</v>
      </c>
      <c r="D681" s="2" t="s">
        <v>1406</v>
      </c>
      <c r="E681" s="2" t="s">
        <v>30</v>
      </c>
      <c r="F681" s="9">
        <f t="shared" si="41"/>
        <v>0</v>
      </c>
      <c r="G681" s="9">
        <f t="shared" si="42"/>
        <v>13</v>
      </c>
      <c r="H681" s="9">
        <f t="shared" si="43"/>
        <v>0</v>
      </c>
      <c r="I681" s="10">
        <f t="shared" si="44"/>
        <v>13</v>
      </c>
    </row>
    <row r="682" spans="1:9" x14ac:dyDescent="0.25">
      <c r="A682" s="2" t="s">
        <v>2244</v>
      </c>
      <c r="B682" s="2" t="s">
        <v>2245</v>
      </c>
      <c r="C682" s="2" t="s">
        <v>1069</v>
      </c>
      <c r="D682" s="2" t="s">
        <v>1406</v>
      </c>
      <c r="E682" s="2" t="s">
        <v>30</v>
      </c>
      <c r="F682" s="9">
        <f t="shared" si="41"/>
        <v>0</v>
      </c>
      <c r="G682" s="9">
        <f t="shared" si="42"/>
        <v>17</v>
      </c>
      <c r="H682" s="9">
        <f t="shared" si="43"/>
        <v>0</v>
      </c>
      <c r="I682" s="10">
        <f t="shared" si="44"/>
        <v>17</v>
      </c>
    </row>
    <row r="683" spans="1:9" x14ac:dyDescent="0.25">
      <c r="A683" s="2" t="s">
        <v>1073</v>
      </c>
      <c r="B683" s="2" t="s">
        <v>1072</v>
      </c>
      <c r="C683" s="2" t="s">
        <v>1069</v>
      </c>
      <c r="D683" s="2" t="s">
        <v>1406</v>
      </c>
      <c r="E683" s="2" t="s">
        <v>30</v>
      </c>
      <c r="F683" s="9">
        <f t="shared" si="41"/>
        <v>0</v>
      </c>
      <c r="G683" s="9">
        <f t="shared" si="42"/>
        <v>211</v>
      </c>
      <c r="H683" s="9">
        <f t="shared" si="43"/>
        <v>0</v>
      </c>
      <c r="I683" s="10">
        <f t="shared" si="44"/>
        <v>211</v>
      </c>
    </row>
    <row r="684" spans="1:9" x14ac:dyDescent="0.25">
      <c r="A684" s="2" t="s">
        <v>1075</v>
      </c>
      <c r="B684" s="2" t="s">
        <v>1074</v>
      </c>
      <c r="C684" s="2" t="s">
        <v>1069</v>
      </c>
      <c r="D684" s="2" t="s">
        <v>1406</v>
      </c>
      <c r="E684" s="2" t="s">
        <v>30</v>
      </c>
      <c r="F684" s="9">
        <f t="shared" si="41"/>
        <v>0</v>
      </c>
      <c r="G684" s="9">
        <f t="shared" si="42"/>
        <v>11</v>
      </c>
      <c r="H684" s="9">
        <f t="shared" si="43"/>
        <v>0</v>
      </c>
      <c r="I684" s="10">
        <f t="shared" si="44"/>
        <v>11</v>
      </c>
    </row>
    <row r="685" spans="1:9" x14ac:dyDescent="0.25">
      <c r="A685" s="2" t="s">
        <v>1077</v>
      </c>
      <c r="B685" s="2" t="s">
        <v>1076</v>
      </c>
      <c r="C685" s="2" t="s">
        <v>1069</v>
      </c>
      <c r="D685" s="2" t="s">
        <v>1406</v>
      </c>
      <c r="E685" s="2" t="s">
        <v>30</v>
      </c>
      <c r="F685" s="9">
        <f t="shared" si="41"/>
        <v>0</v>
      </c>
      <c r="G685" s="9">
        <f t="shared" si="42"/>
        <v>12</v>
      </c>
      <c r="H685" s="9">
        <f t="shared" si="43"/>
        <v>0</v>
      </c>
      <c r="I685" s="10">
        <f t="shared" si="44"/>
        <v>12</v>
      </c>
    </row>
    <row r="686" spans="1:9" x14ac:dyDescent="0.25">
      <c r="A686" s="2" t="s">
        <v>1079</v>
      </c>
      <c r="B686" s="2" t="s">
        <v>1078</v>
      </c>
      <c r="C686" s="2" t="s">
        <v>1069</v>
      </c>
      <c r="D686" s="2" t="s">
        <v>1406</v>
      </c>
      <c r="E686" s="2" t="s">
        <v>30</v>
      </c>
      <c r="F686" s="9">
        <f t="shared" si="41"/>
        <v>0</v>
      </c>
      <c r="G686" s="9">
        <f t="shared" si="42"/>
        <v>131</v>
      </c>
      <c r="H686" s="9">
        <f t="shared" si="43"/>
        <v>0</v>
      </c>
      <c r="I686" s="10">
        <f t="shared" si="44"/>
        <v>131</v>
      </c>
    </row>
    <row r="687" spans="1:9" x14ac:dyDescent="0.25">
      <c r="A687" s="2" t="s">
        <v>1081</v>
      </c>
      <c r="B687" s="2" t="s">
        <v>1080</v>
      </c>
      <c r="C687" s="2" t="s">
        <v>1069</v>
      </c>
      <c r="D687" s="2" t="s">
        <v>1406</v>
      </c>
      <c r="E687" s="2" t="s">
        <v>30</v>
      </c>
      <c r="F687" s="9">
        <f t="shared" si="41"/>
        <v>0</v>
      </c>
      <c r="G687" s="9">
        <f t="shared" si="42"/>
        <v>310</v>
      </c>
      <c r="H687" s="9">
        <f t="shared" si="43"/>
        <v>0</v>
      </c>
      <c r="I687" s="10">
        <f t="shared" si="44"/>
        <v>310</v>
      </c>
    </row>
    <row r="688" spans="1:9" x14ac:dyDescent="0.25">
      <c r="A688" s="2" t="s">
        <v>1083</v>
      </c>
      <c r="B688" s="2" t="s">
        <v>1082</v>
      </c>
      <c r="C688" s="2" t="s">
        <v>1069</v>
      </c>
      <c r="D688" s="2" t="s">
        <v>1406</v>
      </c>
      <c r="E688" s="2" t="s">
        <v>30</v>
      </c>
      <c r="F688" s="9">
        <f t="shared" si="41"/>
        <v>0</v>
      </c>
      <c r="G688" s="9">
        <f t="shared" si="42"/>
        <v>352</v>
      </c>
      <c r="H688" s="9">
        <f t="shared" si="43"/>
        <v>0</v>
      </c>
      <c r="I688" s="10">
        <f t="shared" si="44"/>
        <v>352</v>
      </c>
    </row>
    <row r="689" spans="1:9" x14ac:dyDescent="0.25">
      <c r="A689" s="2" t="s">
        <v>2246</v>
      </c>
      <c r="B689" s="2" t="s">
        <v>2247</v>
      </c>
      <c r="C689" s="2" t="s">
        <v>1069</v>
      </c>
      <c r="D689" s="2" t="s">
        <v>1406</v>
      </c>
      <c r="E689" s="2" t="s">
        <v>30</v>
      </c>
      <c r="F689" s="9">
        <f t="shared" si="41"/>
        <v>0</v>
      </c>
      <c r="G689" s="9">
        <f t="shared" si="42"/>
        <v>315</v>
      </c>
      <c r="H689" s="9">
        <f t="shared" si="43"/>
        <v>0</v>
      </c>
      <c r="I689" s="10">
        <f t="shared" si="44"/>
        <v>315</v>
      </c>
    </row>
    <row r="690" spans="1:9" x14ac:dyDescent="0.25">
      <c r="A690" s="2" t="s">
        <v>1085</v>
      </c>
      <c r="B690" s="2" t="s">
        <v>1084</v>
      </c>
      <c r="C690" s="2" t="s">
        <v>1069</v>
      </c>
      <c r="D690" s="2" t="s">
        <v>1406</v>
      </c>
      <c r="E690" s="2" t="s">
        <v>30</v>
      </c>
      <c r="F690" s="9">
        <f t="shared" si="41"/>
        <v>0</v>
      </c>
      <c r="G690" s="9">
        <f t="shared" si="42"/>
        <v>0</v>
      </c>
      <c r="H690" s="9">
        <f t="shared" si="43"/>
        <v>0</v>
      </c>
      <c r="I690" s="10">
        <f t="shared" si="44"/>
        <v>0</v>
      </c>
    </row>
    <row r="691" spans="1:9" x14ac:dyDescent="0.25">
      <c r="A691" s="2" t="s">
        <v>1087</v>
      </c>
      <c r="B691" s="2" t="s">
        <v>1086</v>
      </c>
      <c r="C691" s="2" t="s">
        <v>1069</v>
      </c>
      <c r="D691" s="2" t="s">
        <v>1406</v>
      </c>
      <c r="E691" s="2" t="s">
        <v>30</v>
      </c>
      <c r="F691" s="9">
        <f t="shared" si="41"/>
        <v>0</v>
      </c>
      <c r="G691" s="9">
        <f t="shared" si="42"/>
        <v>0</v>
      </c>
      <c r="H691" s="9">
        <f t="shared" si="43"/>
        <v>0</v>
      </c>
      <c r="I691" s="10">
        <f t="shared" si="44"/>
        <v>0</v>
      </c>
    </row>
    <row r="692" spans="1:9" x14ac:dyDescent="0.25">
      <c r="A692" s="2" t="s">
        <v>1089</v>
      </c>
      <c r="B692" s="2" t="s">
        <v>1088</v>
      </c>
      <c r="C692" s="2" t="s">
        <v>1069</v>
      </c>
      <c r="D692" s="2" t="s">
        <v>1406</v>
      </c>
      <c r="E692" s="2" t="s">
        <v>30</v>
      </c>
      <c r="F692" s="9">
        <f t="shared" si="41"/>
        <v>0</v>
      </c>
      <c r="G692" s="9">
        <f t="shared" si="42"/>
        <v>0</v>
      </c>
      <c r="H692" s="9">
        <f t="shared" si="43"/>
        <v>0</v>
      </c>
      <c r="I692" s="10">
        <f t="shared" si="44"/>
        <v>0</v>
      </c>
    </row>
    <row r="693" spans="1:9" x14ac:dyDescent="0.25">
      <c r="A693" s="2" t="s">
        <v>1091</v>
      </c>
      <c r="B693" s="2" t="s">
        <v>1090</v>
      </c>
      <c r="C693" s="2" t="s">
        <v>1069</v>
      </c>
      <c r="D693" s="2" t="s">
        <v>1406</v>
      </c>
      <c r="E693" s="2" t="s">
        <v>30</v>
      </c>
      <c r="F693" s="9">
        <f t="shared" si="41"/>
        <v>0</v>
      </c>
      <c r="G693" s="9">
        <f t="shared" si="42"/>
        <v>141</v>
      </c>
      <c r="H693" s="9">
        <f t="shared" si="43"/>
        <v>0</v>
      </c>
      <c r="I693" s="10">
        <f t="shared" si="44"/>
        <v>141</v>
      </c>
    </row>
    <row r="694" spans="1:9" x14ac:dyDescent="0.25">
      <c r="A694" s="2" t="s">
        <v>1093</v>
      </c>
      <c r="B694" s="2" t="s">
        <v>1092</v>
      </c>
      <c r="C694" s="2" t="s">
        <v>1069</v>
      </c>
      <c r="D694" s="2" t="s">
        <v>1406</v>
      </c>
      <c r="E694" s="2" t="s">
        <v>30</v>
      </c>
      <c r="F694" s="9">
        <f t="shared" si="41"/>
        <v>0</v>
      </c>
      <c r="G694" s="9">
        <f t="shared" si="42"/>
        <v>0</v>
      </c>
      <c r="H694" s="9">
        <f t="shared" si="43"/>
        <v>0</v>
      </c>
      <c r="I694" s="10">
        <f t="shared" si="44"/>
        <v>0</v>
      </c>
    </row>
    <row r="695" spans="1:9" x14ac:dyDescent="0.25">
      <c r="A695" s="2" t="s">
        <v>1095</v>
      </c>
      <c r="B695" s="2" t="s">
        <v>1094</v>
      </c>
      <c r="C695" s="2" t="s">
        <v>1069</v>
      </c>
      <c r="D695" s="2" t="s">
        <v>1406</v>
      </c>
      <c r="E695" s="2" t="s">
        <v>30</v>
      </c>
      <c r="F695" s="9">
        <f t="shared" si="41"/>
        <v>0</v>
      </c>
      <c r="G695" s="9">
        <f t="shared" si="42"/>
        <v>63</v>
      </c>
      <c r="H695" s="9">
        <f t="shared" si="43"/>
        <v>0</v>
      </c>
      <c r="I695" s="10">
        <f t="shared" si="44"/>
        <v>63</v>
      </c>
    </row>
    <row r="696" spans="1:9" x14ac:dyDescent="0.25">
      <c r="A696" s="2" t="s">
        <v>1097</v>
      </c>
      <c r="B696" s="2" t="s">
        <v>1096</v>
      </c>
      <c r="C696" s="2" t="s">
        <v>1069</v>
      </c>
      <c r="D696" s="2" t="s">
        <v>1406</v>
      </c>
      <c r="E696" s="2" t="s">
        <v>30</v>
      </c>
      <c r="F696" s="9">
        <f t="shared" si="41"/>
        <v>0</v>
      </c>
      <c r="G696" s="9">
        <f t="shared" si="42"/>
        <v>68</v>
      </c>
      <c r="H696" s="9">
        <f t="shared" si="43"/>
        <v>0</v>
      </c>
      <c r="I696" s="10">
        <f t="shared" si="44"/>
        <v>68</v>
      </c>
    </row>
    <row r="697" spans="1:9" x14ac:dyDescent="0.25">
      <c r="A697" s="2" t="s">
        <v>1099</v>
      </c>
      <c r="B697" s="2" t="s">
        <v>1098</v>
      </c>
      <c r="C697" s="2" t="s">
        <v>1069</v>
      </c>
      <c r="D697" s="2" t="s">
        <v>1406</v>
      </c>
      <c r="E697" s="2" t="s">
        <v>30</v>
      </c>
      <c r="F697" s="9">
        <f t="shared" si="41"/>
        <v>0</v>
      </c>
      <c r="G697" s="9">
        <f t="shared" si="42"/>
        <v>170</v>
      </c>
      <c r="H697" s="9">
        <f t="shared" si="43"/>
        <v>0</v>
      </c>
      <c r="I697" s="10">
        <f t="shared" si="44"/>
        <v>170</v>
      </c>
    </row>
    <row r="698" spans="1:9" x14ac:dyDescent="0.25">
      <c r="A698" s="2" t="s">
        <v>1101</v>
      </c>
      <c r="B698" s="2" t="s">
        <v>1100</v>
      </c>
      <c r="C698" s="2" t="s">
        <v>1069</v>
      </c>
      <c r="D698" s="2" t="s">
        <v>1406</v>
      </c>
      <c r="E698" s="2" t="s">
        <v>30</v>
      </c>
      <c r="F698" s="9">
        <f t="shared" si="41"/>
        <v>0</v>
      </c>
      <c r="G698" s="9">
        <f t="shared" si="42"/>
        <v>71</v>
      </c>
      <c r="H698" s="9">
        <f t="shared" si="43"/>
        <v>0</v>
      </c>
      <c r="I698" s="10">
        <f t="shared" si="44"/>
        <v>71</v>
      </c>
    </row>
    <row r="699" spans="1:9" x14ac:dyDescent="0.25">
      <c r="A699" s="2" t="s">
        <v>1103</v>
      </c>
      <c r="B699" s="2" t="s">
        <v>1102</v>
      </c>
      <c r="C699" s="2" t="s">
        <v>1069</v>
      </c>
      <c r="D699" s="2" t="s">
        <v>1406</v>
      </c>
      <c r="E699" s="2" t="s">
        <v>30</v>
      </c>
      <c r="F699" s="9">
        <f t="shared" si="41"/>
        <v>0</v>
      </c>
      <c r="G699" s="9">
        <f t="shared" si="42"/>
        <v>19</v>
      </c>
      <c r="H699" s="9">
        <f t="shared" si="43"/>
        <v>0</v>
      </c>
      <c r="I699" s="10">
        <f t="shared" si="44"/>
        <v>19</v>
      </c>
    </row>
    <row r="700" spans="1:9" x14ac:dyDescent="0.25">
      <c r="A700" s="2" t="s">
        <v>1105</v>
      </c>
      <c r="B700" s="2" t="s">
        <v>1104</v>
      </c>
      <c r="C700" s="2" t="s">
        <v>1069</v>
      </c>
      <c r="D700" s="2" t="s">
        <v>1406</v>
      </c>
      <c r="E700" s="2" t="s">
        <v>30</v>
      </c>
      <c r="F700" s="9">
        <f t="shared" si="41"/>
        <v>0</v>
      </c>
      <c r="G700" s="9">
        <f t="shared" si="42"/>
        <v>1</v>
      </c>
      <c r="H700" s="9">
        <f t="shared" si="43"/>
        <v>0</v>
      </c>
      <c r="I700" s="10">
        <f t="shared" si="44"/>
        <v>1</v>
      </c>
    </row>
    <row r="701" spans="1:9" x14ac:dyDescent="0.25">
      <c r="A701" s="2" t="s">
        <v>1107</v>
      </c>
      <c r="B701" s="2" t="s">
        <v>1106</v>
      </c>
      <c r="C701" s="2" t="s">
        <v>1069</v>
      </c>
      <c r="D701" s="2" t="s">
        <v>1406</v>
      </c>
      <c r="E701" s="2" t="s">
        <v>30</v>
      </c>
      <c r="F701" s="9">
        <f t="shared" si="41"/>
        <v>0</v>
      </c>
      <c r="G701" s="9">
        <f t="shared" si="42"/>
        <v>97</v>
      </c>
      <c r="H701" s="9">
        <f t="shared" si="43"/>
        <v>0</v>
      </c>
      <c r="I701" s="10">
        <f t="shared" si="44"/>
        <v>97</v>
      </c>
    </row>
    <row r="702" spans="1:9" x14ac:dyDescent="0.25">
      <c r="A702" s="2" t="s">
        <v>1109</v>
      </c>
      <c r="B702" s="2" t="s">
        <v>1108</v>
      </c>
      <c r="C702" s="2" t="s">
        <v>1069</v>
      </c>
      <c r="D702" s="2" t="s">
        <v>1406</v>
      </c>
      <c r="E702" s="2" t="s">
        <v>30</v>
      </c>
      <c r="F702" s="9">
        <f t="shared" si="41"/>
        <v>0</v>
      </c>
      <c r="G702" s="9">
        <f t="shared" si="42"/>
        <v>24</v>
      </c>
      <c r="H702" s="9">
        <f t="shared" si="43"/>
        <v>0</v>
      </c>
      <c r="I702" s="10">
        <f t="shared" si="44"/>
        <v>24</v>
      </c>
    </row>
    <row r="703" spans="1:9" x14ac:dyDescent="0.25">
      <c r="A703" s="2" t="s">
        <v>1111</v>
      </c>
      <c r="B703" s="2" t="s">
        <v>1110</v>
      </c>
      <c r="C703" s="2" t="s">
        <v>1069</v>
      </c>
      <c r="D703" s="2" t="s">
        <v>1406</v>
      </c>
      <c r="E703" s="2" t="s">
        <v>30</v>
      </c>
      <c r="F703" s="9">
        <f t="shared" ref="F703:F766" si="45">IFERROR(VLOOKUP(A703,condi,8,0),0)</f>
        <v>0</v>
      </c>
      <c r="G703" s="9">
        <f t="shared" ref="G703:G766" si="46">IFERROR(VLOOKUP(A703,maqui,8,0),0)</f>
        <v>79</v>
      </c>
      <c r="H703" s="9">
        <f t="shared" ref="H703:H766" si="47">IFERROR(VLOOKUP(A703,ascint,8,0),0)</f>
        <v>0</v>
      </c>
      <c r="I703" s="10">
        <f t="shared" si="44"/>
        <v>79</v>
      </c>
    </row>
    <row r="704" spans="1:9" x14ac:dyDescent="0.25">
      <c r="A704" s="2" t="s">
        <v>1113</v>
      </c>
      <c r="B704" s="2" t="s">
        <v>1112</v>
      </c>
      <c r="C704" s="2" t="s">
        <v>1069</v>
      </c>
      <c r="D704" s="2" t="s">
        <v>1406</v>
      </c>
      <c r="E704" s="2" t="s">
        <v>30</v>
      </c>
      <c r="F704" s="9">
        <f t="shared" si="45"/>
        <v>0</v>
      </c>
      <c r="G704" s="9">
        <f t="shared" si="46"/>
        <v>181</v>
      </c>
      <c r="H704" s="9">
        <f t="shared" si="47"/>
        <v>0</v>
      </c>
      <c r="I704" s="10">
        <f t="shared" si="44"/>
        <v>181</v>
      </c>
    </row>
    <row r="705" spans="1:9" x14ac:dyDescent="0.25">
      <c r="A705" s="2" t="s">
        <v>1115</v>
      </c>
      <c r="B705" s="2" t="s">
        <v>1114</v>
      </c>
      <c r="C705" s="2" t="s">
        <v>1069</v>
      </c>
      <c r="D705" s="2" t="s">
        <v>1406</v>
      </c>
      <c r="E705" s="2" t="s">
        <v>30</v>
      </c>
      <c r="F705" s="9">
        <f t="shared" si="45"/>
        <v>0</v>
      </c>
      <c r="G705" s="9">
        <f t="shared" si="46"/>
        <v>108</v>
      </c>
      <c r="H705" s="9">
        <f t="shared" si="47"/>
        <v>0</v>
      </c>
      <c r="I705" s="10">
        <f t="shared" si="44"/>
        <v>108</v>
      </c>
    </row>
    <row r="706" spans="1:9" x14ac:dyDescent="0.25">
      <c r="A706" s="2" t="s">
        <v>2248</v>
      </c>
      <c r="B706" s="2" t="s">
        <v>2249</v>
      </c>
      <c r="C706" s="2" t="s">
        <v>1069</v>
      </c>
      <c r="D706" s="2" t="s">
        <v>1406</v>
      </c>
      <c r="E706" s="2" t="s">
        <v>30</v>
      </c>
      <c r="F706" s="9">
        <f t="shared" si="45"/>
        <v>0</v>
      </c>
      <c r="G706" s="9">
        <f t="shared" si="46"/>
        <v>43</v>
      </c>
      <c r="H706" s="9">
        <f t="shared" si="47"/>
        <v>0</v>
      </c>
      <c r="I706" s="10">
        <f t="shared" si="44"/>
        <v>43</v>
      </c>
    </row>
    <row r="707" spans="1:9" x14ac:dyDescent="0.25">
      <c r="A707" s="2" t="s">
        <v>1117</v>
      </c>
      <c r="B707" s="2" t="s">
        <v>1116</v>
      </c>
      <c r="C707" s="2" t="s">
        <v>1069</v>
      </c>
      <c r="D707" s="2" t="s">
        <v>1406</v>
      </c>
      <c r="E707" s="2" t="s">
        <v>30</v>
      </c>
      <c r="F707" s="9">
        <f t="shared" si="45"/>
        <v>0</v>
      </c>
      <c r="G707" s="9">
        <f t="shared" si="46"/>
        <v>0</v>
      </c>
      <c r="H707" s="9">
        <f t="shared" si="47"/>
        <v>0</v>
      </c>
      <c r="I707" s="10">
        <f t="shared" si="44"/>
        <v>0</v>
      </c>
    </row>
    <row r="708" spans="1:9" x14ac:dyDescent="0.25">
      <c r="A708" s="2" t="s">
        <v>1119</v>
      </c>
      <c r="B708" s="2" t="s">
        <v>1118</v>
      </c>
      <c r="C708" s="2" t="s">
        <v>1069</v>
      </c>
      <c r="D708" s="2" t="s">
        <v>1406</v>
      </c>
      <c r="E708" s="2" t="s">
        <v>30</v>
      </c>
      <c r="F708" s="9">
        <f t="shared" si="45"/>
        <v>0</v>
      </c>
      <c r="G708" s="9">
        <f t="shared" si="46"/>
        <v>1808</v>
      </c>
      <c r="H708" s="9">
        <f t="shared" si="47"/>
        <v>0</v>
      </c>
      <c r="I708" s="10">
        <f t="shared" si="44"/>
        <v>1808</v>
      </c>
    </row>
    <row r="709" spans="1:9" x14ac:dyDescent="0.25">
      <c r="A709" s="2" t="s">
        <v>1121</v>
      </c>
      <c r="B709" s="2" t="s">
        <v>1120</v>
      </c>
      <c r="C709" s="2" t="s">
        <v>1069</v>
      </c>
      <c r="D709" s="2" t="s">
        <v>1406</v>
      </c>
      <c r="E709" s="2" t="s">
        <v>30</v>
      </c>
      <c r="F709" s="9">
        <f t="shared" si="45"/>
        <v>0</v>
      </c>
      <c r="G709" s="9">
        <f t="shared" si="46"/>
        <v>918</v>
      </c>
      <c r="H709" s="9">
        <f t="shared" si="47"/>
        <v>0</v>
      </c>
      <c r="I709" s="10">
        <f t="shared" ref="I709:I772" si="48">+F709+G709+H709</f>
        <v>918</v>
      </c>
    </row>
    <row r="710" spans="1:9" x14ac:dyDescent="0.25">
      <c r="A710" s="2" t="s">
        <v>1123</v>
      </c>
      <c r="B710" s="2" t="s">
        <v>1122</v>
      </c>
      <c r="C710" s="2" t="s">
        <v>1069</v>
      </c>
      <c r="D710" s="2" t="s">
        <v>1406</v>
      </c>
      <c r="E710" s="2" t="s">
        <v>30</v>
      </c>
      <c r="F710" s="9">
        <f t="shared" si="45"/>
        <v>0</v>
      </c>
      <c r="G710" s="9">
        <f t="shared" si="46"/>
        <v>319</v>
      </c>
      <c r="H710" s="9">
        <f t="shared" si="47"/>
        <v>0</v>
      </c>
      <c r="I710" s="10">
        <f t="shared" si="48"/>
        <v>319</v>
      </c>
    </row>
    <row r="711" spans="1:9" x14ac:dyDescent="0.25">
      <c r="A711" s="2" t="s">
        <v>1125</v>
      </c>
      <c r="B711" s="2" t="s">
        <v>1124</v>
      </c>
      <c r="C711" s="2" t="s">
        <v>1069</v>
      </c>
      <c r="D711" s="2" t="s">
        <v>1406</v>
      </c>
      <c r="E711" s="2" t="s">
        <v>30</v>
      </c>
      <c r="F711" s="9">
        <f t="shared" si="45"/>
        <v>0</v>
      </c>
      <c r="G711" s="9">
        <f t="shared" si="46"/>
        <v>208</v>
      </c>
      <c r="H711" s="9">
        <f t="shared" si="47"/>
        <v>0</v>
      </c>
      <c r="I711" s="10">
        <f t="shared" si="48"/>
        <v>208</v>
      </c>
    </row>
    <row r="712" spans="1:9" x14ac:dyDescent="0.25">
      <c r="A712" s="2" t="s">
        <v>1127</v>
      </c>
      <c r="B712" s="2" t="s">
        <v>1126</v>
      </c>
      <c r="C712" s="2" t="s">
        <v>1069</v>
      </c>
      <c r="D712" s="2" t="s">
        <v>1406</v>
      </c>
      <c r="E712" s="2" t="s">
        <v>30</v>
      </c>
      <c r="F712" s="9">
        <f t="shared" si="45"/>
        <v>0</v>
      </c>
      <c r="G712" s="9">
        <f t="shared" si="46"/>
        <v>317</v>
      </c>
      <c r="H712" s="9">
        <f t="shared" si="47"/>
        <v>0</v>
      </c>
      <c r="I712" s="10">
        <f t="shared" si="48"/>
        <v>317</v>
      </c>
    </row>
    <row r="713" spans="1:9" x14ac:dyDescent="0.25">
      <c r="A713" s="2" t="s">
        <v>1129</v>
      </c>
      <c r="B713" s="2" t="s">
        <v>1128</v>
      </c>
      <c r="C713" s="2" t="s">
        <v>1069</v>
      </c>
      <c r="D713" s="2" t="s">
        <v>1406</v>
      </c>
      <c r="E713" s="2" t="s">
        <v>30</v>
      </c>
      <c r="F713" s="9">
        <f t="shared" si="45"/>
        <v>0</v>
      </c>
      <c r="G713" s="9">
        <f t="shared" si="46"/>
        <v>805</v>
      </c>
      <c r="H713" s="9">
        <f t="shared" si="47"/>
        <v>0</v>
      </c>
      <c r="I713" s="10">
        <f t="shared" si="48"/>
        <v>805</v>
      </c>
    </row>
    <row r="714" spans="1:9" x14ac:dyDescent="0.25">
      <c r="A714" s="2" t="s">
        <v>2250</v>
      </c>
      <c r="B714" s="2" t="s">
        <v>2251</v>
      </c>
      <c r="C714" s="2" t="s">
        <v>1069</v>
      </c>
      <c r="D714" s="2" t="s">
        <v>1406</v>
      </c>
      <c r="E714" s="2" t="s">
        <v>30</v>
      </c>
      <c r="F714" s="9">
        <f t="shared" si="45"/>
        <v>0</v>
      </c>
      <c r="G714" s="9">
        <f t="shared" si="46"/>
        <v>95</v>
      </c>
      <c r="H714" s="9">
        <f t="shared" si="47"/>
        <v>0</v>
      </c>
      <c r="I714" s="10">
        <f t="shared" si="48"/>
        <v>95</v>
      </c>
    </row>
    <row r="715" spans="1:9" x14ac:dyDescent="0.25">
      <c r="A715" s="2" t="s">
        <v>1131</v>
      </c>
      <c r="B715" s="2" t="s">
        <v>1130</v>
      </c>
      <c r="C715" s="2" t="s">
        <v>1069</v>
      </c>
      <c r="D715" s="2" t="s">
        <v>1406</v>
      </c>
      <c r="E715" s="2" t="s">
        <v>30</v>
      </c>
      <c r="F715" s="9">
        <f t="shared" si="45"/>
        <v>0</v>
      </c>
      <c r="G715" s="9">
        <f t="shared" si="46"/>
        <v>1098</v>
      </c>
      <c r="H715" s="9">
        <f t="shared" si="47"/>
        <v>0</v>
      </c>
      <c r="I715" s="10">
        <f t="shared" si="48"/>
        <v>1098</v>
      </c>
    </row>
    <row r="716" spans="1:9" x14ac:dyDescent="0.25">
      <c r="A716" s="2" t="s">
        <v>2252</v>
      </c>
      <c r="B716" s="2" t="s">
        <v>2253</v>
      </c>
      <c r="C716" s="2" t="s">
        <v>1069</v>
      </c>
      <c r="D716" s="2" t="s">
        <v>1406</v>
      </c>
      <c r="E716" s="2" t="s">
        <v>30</v>
      </c>
      <c r="F716" s="9">
        <f t="shared" si="45"/>
        <v>0</v>
      </c>
      <c r="G716" s="9">
        <f t="shared" si="46"/>
        <v>2783</v>
      </c>
      <c r="H716" s="9">
        <f t="shared" si="47"/>
        <v>0</v>
      </c>
      <c r="I716" s="10">
        <f t="shared" si="48"/>
        <v>2783</v>
      </c>
    </row>
    <row r="717" spans="1:9" x14ac:dyDescent="0.25">
      <c r="A717" s="2" t="s">
        <v>2254</v>
      </c>
      <c r="B717" s="2" t="s">
        <v>2255</v>
      </c>
      <c r="C717" s="2" t="s">
        <v>1069</v>
      </c>
      <c r="D717" s="2" t="s">
        <v>1406</v>
      </c>
      <c r="E717" s="2" t="s">
        <v>30</v>
      </c>
      <c r="F717" s="9">
        <f t="shared" si="45"/>
        <v>0</v>
      </c>
      <c r="G717" s="9">
        <f t="shared" si="46"/>
        <v>1</v>
      </c>
      <c r="H717" s="9">
        <f t="shared" si="47"/>
        <v>0</v>
      </c>
      <c r="I717" s="10">
        <f t="shared" si="48"/>
        <v>1</v>
      </c>
    </row>
    <row r="718" spans="1:9" x14ac:dyDescent="0.25">
      <c r="A718" s="2" t="s">
        <v>1133</v>
      </c>
      <c r="B718" s="2" t="s">
        <v>1132</v>
      </c>
      <c r="C718" s="2" t="s">
        <v>1069</v>
      </c>
      <c r="D718" s="2" t="s">
        <v>1406</v>
      </c>
      <c r="E718" s="2" t="s">
        <v>30</v>
      </c>
      <c r="F718" s="9">
        <f t="shared" si="45"/>
        <v>0</v>
      </c>
      <c r="G718" s="9">
        <f t="shared" si="46"/>
        <v>1023</v>
      </c>
      <c r="H718" s="9">
        <f t="shared" si="47"/>
        <v>0</v>
      </c>
      <c r="I718" s="10">
        <f t="shared" si="48"/>
        <v>1023</v>
      </c>
    </row>
    <row r="719" spans="1:9" x14ac:dyDescent="0.25">
      <c r="A719" s="2" t="s">
        <v>2256</v>
      </c>
      <c r="B719" s="2" t="s">
        <v>2257</v>
      </c>
      <c r="C719" s="2" t="s">
        <v>1069</v>
      </c>
      <c r="D719" s="2" t="s">
        <v>1406</v>
      </c>
      <c r="E719" s="2" t="s">
        <v>30</v>
      </c>
      <c r="F719" s="9">
        <f t="shared" si="45"/>
        <v>0</v>
      </c>
      <c r="G719" s="9">
        <f t="shared" si="46"/>
        <v>914</v>
      </c>
      <c r="H719" s="9">
        <f t="shared" si="47"/>
        <v>0</v>
      </c>
      <c r="I719" s="10">
        <f t="shared" si="48"/>
        <v>914</v>
      </c>
    </row>
    <row r="720" spans="1:9" x14ac:dyDescent="0.25">
      <c r="A720" s="2" t="s">
        <v>2258</v>
      </c>
      <c r="B720" s="2" t="s">
        <v>2259</v>
      </c>
      <c r="C720" s="2" t="s">
        <v>1069</v>
      </c>
      <c r="D720" s="2" t="s">
        <v>1406</v>
      </c>
      <c r="E720" s="2" t="s">
        <v>30</v>
      </c>
      <c r="F720" s="9">
        <f t="shared" si="45"/>
        <v>0</v>
      </c>
      <c r="G720" s="9">
        <f t="shared" si="46"/>
        <v>1583</v>
      </c>
      <c r="H720" s="9">
        <f t="shared" si="47"/>
        <v>0</v>
      </c>
      <c r="I720" s="10">
        <f t="shared" si="48"/>
        <v>1583</v>
      </c>
    </row>
    <row r="721" spans="1:9" x14ac:dyDescent="0.25">
      <c r="A721" s="2" t="s">
        <v>1135</v>
      </c>
      <c r="B721" s="2" t="s">
        <v>1134</v>
      </c>
      <c r="C721" s="2" t="s">
        <v>1069</v>
      </c>
      <c r="D721" s="2" t="s">
        <v>1406</v>
      </c>
      <c r="E721" s="2" t="s">
        <v>30</v>
      </c>
      <c r="F721" s="9">
        <f t="shared" si="45"/>
        <v>0</v>
      </c>
      <c r="G721" s="9">
        <f t="shared" si="46"/>
        <v>430</v>
      </c>
      <c r="H721" s="9">
        <f t="shared" si="47"/>
        <v>0</v>
      </c>
      <c r="I721" s="10">
        <f t="shared" si="48"/>
        <v>430</v>
      </c>
    </row>
    <row r="722" spans="1:9" x14ac:dyDescent="0.25">
      <c r="A722" s="2" t="s">
        <v>2260</v>
      </c>
      <c r="B722" s="2" t="s">
        <v>2261</v>
      </c>
      <c r="C722" s="2" t="s">
        <v>1069</v>
      </c>
      <c r="D722" s="2" t="s">
        <v>1406</v>
      </c>
      <c r="E722" s="2" t="s">
        <v>30</v>
      </c>
      <c r="F722" s="9">
        <f t="shared" si="45"/>
        <v>0</v>
      </c>
      <c r="G722" s="9">
        <f t="shared" si="46"/>
        <v>291</v>
      </c>
      <c r="H722" s="9">
        <f t="shared" si="47"/>
        <v>0</v>
      </c>
      <c r="I722" s="10">
        <f t="shared" si="48"/>
        <v>291</v>
      </c>
    </row>
    <row r="723" spans="1:9" x14ac:dyDescent="0.25">
      <c r="A723" s="2" t="s">
        <v>1137</v>
      </c>
      <c r="B723" s="2" t="s">
        <v>1136</v>
      </c>
      <c r="C723" s="2" t="s">
        <v>1069</v>
      </c>
      <c r="D723" s="2" t="s">
        <v>1406</v>
      </c>
      <c r="E723" s="2" t="s">
        <v>30</v>
      </c>
      <c r="F723" s="9">
        <f t="shared" si="45"/>
        <v>0</v>
      </c>
      <c r="G723" s="9">
        <f t="shared" si="46"/>
        <v>590</v>
      </c>
      <c r="H723" s="9">
        <f t="shared" si="47"/>
        <v>0</v>
      </c>
      <c r="I723" s="10">
        <f t="shared" si="48"/>
        <v>590</v>
      </c>
    </row>
    <row r="724" spans="1:9" x14ac:dyDescent="0.25">
      <c r="A724" s="2" t="s">
        <v>2262</v>
      </c>
      <c r="B724" s="2" t="s">
        <v>2263</v>
      </c>
      <c r="C724" s="2" t="s">
        <v>1069</v>
      </c>
      <c r="D724" s="2" t="s">
        <v>1406</v>
      </c>
      <c r="E724" s="2" t="s">
        <v>30</v>
      </c>
      <c r="F724" s="9">
        <f t="shared" si="45"/>
        <v>0</v>
      </c>
      <c r="G724" s="9">
        <f t="shared" si="46"/>
        <v>8546</v>
      </c>
      <c r="H724" s="9">
        <f t="shared" si="47"/>
        <v>0</v>
      </c>
      <c r="I724" s="10">
        <f t="shared" si="48"/>
        <v>8546</v>
      </c>
    </row>
    <row r="725" spans="1:9" x14ac:dyDescent="0.25">
      <c r="A725" s="2" t="s">
        <v>1139</v>
      </c>
      <c r="B725" s="2" t="s">
        <v>1138</v>
      </c>
      <c r="C725" s="2" t="s">
        <v>1069</v>
      </c>
      <c r="D725" s="2" t="s">
        <v>1406</v>
      </c>
      <c r="E725" s="2" t="s">
        <v>30</v>
      </c>
      <c r="F725" s="9">
        <f t="shared" si="45"/>
        <v>0</v>
      </c>
      <c r="G725" s="9">
        <f t="shared" si="46"/>
        <v>136</v>
      </c>
      <c r="H725" s="9">
        <f t="shared" si="47"/>
        <v>0</v>
      </c>
      <c r="I725" s="10">
        <f t="shared" si="48"/>
        <v>136</v>
      </c>
    </row>
    <row r="726" spans="1:9" x14ac:dyDescent="0.25">
      <c r="A726" s="2" t="s">
        <v>2264</v>
      </c>
      <c r="B726" s="2" t="s">
        <v>2265</v>
      </c>
      <c r="C726" s="2" t="s">
        <v>1069</v>
      </c>
      <c r="D726" s="2" t="s">
        <v>1406</v>
      </c>
      <c r="E726" s="2" t="s">
        <v>30</v>
      </c>
      <c r="F726" s="9">
        <f t="shared" si="45"/>
        <v>0</v>
      </c>
      <c r="G726" s="9">
        <f t="shared" si="46"/>
        <v>572</v>
      </c>
      <c r="H726" s="9">
        <f t="shared" si="47"/>
        <v>0</v>
      </c>
      <c r="I726" s="10">
        <f t="shared" si="48"/>
        <v>572</v>
      </c>
    </row>
    <row r="727" spans="1:9" x14ac:dyDescent="0.25">
      <c r="A727" s="2" t="s">
        <v>2266</v>
      </c>
      <c r="B727" s="2" t="s">
        <v>2267</v>
      </c>
      <c r="C727" s="2" t="s">
        <v>1069</v>
      </c>
      <c r="D727" s="2" t="s">
        <v>1406</v>
      </c>
      <c r="E727" s="2" t="s">
        <v>30</v>
      </c>
      <c r="F727" s="9">
        <f t="shared" si="45"/>
        <v>0</v>
      </c>
      <c r="G727" s="9">
        <f t="shared" si="46"/>
        <v>1250</v>
      </c>
      <c r="H727" s="9">
        <f t="shared" si="47"/>
        <v>0</v>
      </c>
      <c r="I727" s="10">
        <f t="shared" si="48"/>
        <v>1250</v>
      </c>
    </row>
    <row r="728" spans="1:9" x14ac:dyDescent="0.25">
      <c r="A728" s="2" t="s">
        <v>2268</v>
      </c>
      <c r="B728" s="2" t="s">
        <v>2269</v>
      </c>
      <c r="C728" s="2" t="s">
        <v>1069</v>
      </c>
      <c r="D728" s="2" t="s">
        <v>1406</v>
      </c>
      <c r="E728" s="2" t="s">
        <v>30</v>
      </c>
      <c r="F728" s="9">
        <f t="shared" si="45"/>
        <v>0</v>
      </c>
      <c r="G728" s="9">
        <f t="shared" si="46"/>
        <v>489</v>
      </c>
      <c r="H728" s="9">
        <f t="shared" si="47"/>
        <v>0</v>
      </c>
      <c r="I728" s="10">
        <f t="shared" si="48"/>
        <v>489</v>
      </c>
    </row>
    <row r="729" spans="1:9" x14ac:dyDescent="0.25">
      <c r="A729" s="2" t="s">
        <v>2270</v>
      </c>
      <c r="B729" s="2" t="s">
        <v>2271</v>
      </c>
      <c r="C729" s="2" t="s">
        <v>1069</v>
      </c>
      <c r="D729" s="2" t="s">
        <v>1406</v>
      </c>
      <c r="E729" s="2" t="s">
        <v>30</v>
      </c>
      <c r="F729" s="9">
        <f t="shared" si="45"/>
        <v>0</v>
      </c>
      <c r="G729" s="9">
        <f t="shared" si="46"/>
        <v>11</v>
      </c>
      <c r="H729" s="9">
        <f t="shared" si="47"/>
        <v>0</v>
      </c>
      <c r="I729" s="10">
        <f t="shared" si="48"/>
        <v>11</v>
      </c>
    </row>
    <row r="730" spans="1:9" x14ac:dyDescent="0.25">
      <c r="A730" s="2" t="s">
        <v>1141</v>
      </c>
      <c r="B730" s="2" t="s">
        <v>1140</v>
      </c>
      <c r="C730" s="2" t="s">
        <v>1069</v>
      </c>
      <c r="D730" s="2" t="s">
        <v>1406</v>
      </c>
      <c r="E730" s="2" t="s">
        <v>30</v>
      </c>
      <c r="F730" s="9">
        <f t="shared" si="45"/>
        <v>0</v>
      </c>
      <c r="G730" s="9">
        <f t="shared" si="46"/>
        <v>515</v>
      </c>
      <c r="H730" s="9">
        <f t="shared" si="47"/>
        <v>0</v>
      </c>
      <c r="I730" s="10">
        <f t="shared" si="48"/>
        <v>515</v>
      </c>
    </row>
    <row r="731" spans="1:9" x14ac:dyDescent="0.25">
      <c r="A731" s="2" t="s">
        <v>2272</v>
      </c>
      <c r="B731" s="2" t="s">
        <v>2273</v>
      </c>
      <c r="C731" s="2" t="s">
        <v>1069</v>
      </c>
      <c r="D731" s="2" t="s">
        <v>1406</v>
      </c>
      <c r="E731" s="2" t="s">
        <v>30</v>
      </c>
      <c r="F731" s="9">
        <f t="shared" si="45"/>
        <v>0</v>
      </c>
      <c r="G731" s="9">
        <f t="shared" si="46"/>
        <v>133</v>
      </c>
      <c r="H731" s="9">
        <f t="shared" si="47"/>
        <v>0</v>
      </c>
      <c r="I731" s="10">
        <f t="shared" si="48"/>
        <v>133</v>
      </c>
    </row>
    <row r="732" spans="1:9" x14ac:dyDescent="0.25">
      <c r="A732" s="2" t="s">
        <v>2274</v>
      </c>
      <c r="B732" s="2" t="s">
        <v>2275</v>
      </c>
      <c r="C732" s="2" t="s">
        <v>1069</v>
      </c>
      <c r="D732" s="2" t="s">
        <v>1406</v>
      </c>
      <c r="E732" s="2" t="s">
        <v>30</v>
      </c>
      <c r="F732" s="9">
        <f t="shared" si="45"/>
        <v>0</v>
      </c>
      <c r="G732" s="9">
        <f t="shared" si="46"/>
        <v>1652</v>
      </c>
      <c r="H732" s="9">
        <f t="shared" si="47"/>
        <v>0</v>
      </c>
      <c r="I732" s="10">
        <f t="shared" si="48"/>
        <v>1652</v>
      </c>
    </row>
    <row r="733" spans="1:9" x14ac:dyDescent="0.25">
      <c r="A733" s="2" t="s">
        <v>2276</v>
      </c>
      <c r="B733" s="2" t="s">
        <v>2277</v>
      </c>
      <c r="C733" s="2" t="s">
        <v>1069</v>
      </c>
      <c r="D733" s="2" t="s">
        <v>1406</v>
      </c>
      <c r="E733" s="2" t="s">
        <v>30</v>
      </c>
      <c r="F733" s="9">
        <f t="shared" si="45"/>
        <v>0</v>
      </c>
      <c r="G733" s="9">
        <f t="shared" si="46"/>
        <v>317</v>
      </c>
      <c r="H733" s="9">
        <f t="shared" si="47"/>
        <v>0</v>
      </c>
      <c r="I733" s="10">
        <f t="shared" si="48"/>
        <v>317</v>
      </c>
    </row>
    <row r="734" spans="1:9" x14ac:dyDescent="0.25">
      <c r="A734" s="2" t="s">
        <v>2278</v>
      </c>
      <c r="B734" s="2" t="s">
        <v>2279</v>
      </c>
      <c r="C734" s="2" t="s">
        <v>1069</v>
      </c>
      <c r="D734" s="2" t="s">
        <v>1406</v>
      </c>
      <c r="E734" s="2" t="s">
        <v>30</v>
      </c>
      <c r="F734" s="9">
        <f t="shared" si="45"/>
        <v>0</v>
      </c>
      <c r="G734" s="9">
        <f t="shared" si="46"/>
        <v>464</v>
      </c>
      <c r="H734" s="9">
        <f t="shared" si="47"/>
        <v>0</v>
      </c>
      <c r="I734" s="10">
        <f t="shared" si="48"/>
        <v>464</v>
      </c>
    </row>
    <row r="735" spans="1:9" x14ac:dyDescent="0.25">
      <c r="A735" s="2" t="s">
        <v>2280</v>
      </c>
      <c r="B735" s="2" t="s">
        <v>2281</v>
      </c>
      <c r="C735" s="2" t="s">
        <v>1069</v>
      </c>
      <c r="D735" s="2" t="s">
        <v>1406</v>
      </c>
      <c r="E735" s="2" t="s">
        <v>30</v>
      </c>
      <c r="F735" s="9">
        <f t="shared" si="45"/>
        <v>0</v>
      </c>
      <c r="G735" s="9">
        <f t="shared" si="46"/>
        <v>115</v>
      </c>
      <c r="H735" s="9">
        <f t="shared" si="47"/>
        <v>0</v>
      </c>
      <c r="I735" s="10">
        <f t="shared" si="48"/>
        <v>115</v>
      </c>
    </row>
    <row r="736" spans="1:9" x14ac:dyDescent="0.25">
      <c r="A736" s="2" t="s">
        <v>2282</v>
      </c>
      <c r="B736" s="2" t="s">
        <v>2283</v>
      </c>
      <c r="C736" s="2" t="s">
        <v>1069</v>
      </c>
      <c r="D736" s="2" t="s">
        <v>1406</v>
      </c>
      <c r="E736" s="2" t="s">
        <v>30</v>
      </c>
      <c r="F736" s="9">
        <f t="shared" si="45"/>
        <v>0</v>
      </c>
      <c r="G736" s="9">
        <f t="shared" si="46"/>
        <v>14</v>
      </c>
      <c r="H736" s="9">
        <f t="shared" si="47"/>
        <v>0</v>
      </c>
      <c r="I736" s="10">
        <f t="shared" si="48"/>
        <v>14</v>
      </c>
    </row>
    <row r="737" spans="1:9" x14ac:dyDescent="0.25">
      <c r="A737" s="2" t="s">
        <v>2284</v>
      </c>
      <c r="B737" s="2" t="s">
        <v>2285</v>
      </c>
      <c r="C737" s="2" t="s">
        <v>1069</v>
      </c>
      <c r="D737" s="2" t="s">
        <v>1406</v>
      </c>
      <c r="E737" s="2" t="s">
        <v>30</v>
      </c>
      <c r="F737" s="9">
        <f t="shared" si="45"/>
        <v>0</v>
      </c>
      <c r="G737" s="9">
        <f t="shared" si="46"/>
        <v>616</v>
      </c>
      <c r="H737" s="9">
        <f t="shared" si="47"/>
        <v>0</v>
      </c>
      <c r="I737" s="10">
        <f t="shared" si="48"/>
        <v>616</v>
      </c>
    </row>
    <row r="738" spans="1:9" x14ac:dyDescent="0.25">
      <c r="A738" s="2" t="s">
        <v>2286</v>
      </c>
      <c r="B738" s="2" t="s">
        <v>2287</v>
      </c>
      <c r="C738" s="2" t="s">
        <v>1069</v>
      </c>
      <c r="D738" s="2" t="s">
        <v>1406</v>
      </c>
      <c r="E738" s="2" t="s">
        <v>30</v>
      </c>
      <c r="F738" s="9">
        <f t="shared" si="45"/>
        <v>0</v>
      </c>
      <c r="G738" s="9">
        <f t="shared" si="46"/>
        <v>2</v>
      </c>
      <c r="H738" s="9">
        <f t="shared" si="47"/>
        <v>0</v>
      </c>
      <c r="I738" s="10">
        <f t="shared" si="48"/>
        <v>2</v>
      </c>
    </row>
    <row r="739" spans="1:9" x14ac:dyDescent="0.25">
      <c r="A739" s="2" t="s">
        <v>1143</v>
      </c>
      <c r="B739" s="2" t="s">
        <v>1142</v>
      </c>
      <c r="C739" s="2" t="s">
        <v>1069</v>
      </c>
      <c r="D739" s="2" t="s">
        <v>1406</v>
      </c>
      <c r="E739" s="2" t="s">
        <v>30</v>
      </c>
      <c r="F739" s="9">
        <f t="shared" si="45"/>
        <v>0</v>
      </c>
      <c r="G739" s="9">
        <f t="shared" si="46"/>
        <v>262</v>
      </c>
      <c r="H739" s="9">
        <f t="shared" si="47"/>
        <v>0</v>
      </c>
      <c r="I739" s="10">
        <f t="shared" si="48"/>
        <v>262</v>
      </c>
    </row>
    <row r="740" spans="1:9" x14ac:dyDescent="0.25">
      <c r="A740" s="2" t="s">
        <v>1145</v>
      </c>
      <c r="B740" s="2" t="s">
        <v>1144</v>
      </c>
      <c r="C740" s="2" t="s">
        <v>1069</v>
      </c>
      <c r="D740" s="2" t="s">
        <v>1406</v>
      </c>
      <c r="E740" s="2" t="s">
        <v>30</v>
      </c>
      <c r="F740" s="9">
        <f t="shared" si="45"/>
        <v>0</v>
      </c>
      <c r="G740" s="9">
        <f t="shared" si="46"/>
        <v>327</v>
      </c>
      <c r="H740" s="9">
        <f t="shared" si="47"/>
        <v>0</v>
      </c>
      <c r="I740" s="10">
        <f t="shared" si="48"/>
        <v>327</v>
      </c>
    </row>
    <row r="741" spans="1:9" x14ac:dyDescent="0.25">
      <c r="A741" s="2" t="s">
        <v>1147</v>
      </c>
      <c r="B741" s="2" t="s">
        <v>1146</v>
      </c>
      <c r="C741" s="2" t="s">
        <v>1069</v>
      </c>
      <c r="D741" s="2" t="s">
        <v>1406</v>
      </c>
      <c r="E741" s="2" t="s">
        <v>30</v>
      </c>
      <c r="F741" s="9">
        <f t="shared" si="45"/>
        <v>0</v>
      </c>
      <c r="G741" s="9">
        <f t="shared" si="46"/>
        <v>568</v>
      </c>
      <c r="H741" s="9">
        <f t="shared" si="47"/>
        <v>0</v>
      </c>
      <c r="I741" s="10">
        <f t="shared" si="48"/>
        <v>568</v>
      </c>
    </row>
    <row r="742" spans="1:9" x14ac:dyDescent="0.25">
      <c r="A742" s="2" t="s">
        <v>1149</v>
      </c>
      <c r="B742" s="2" t="s">
        <v>1148</v>
      </c>
      <c r="C742" s="2" t="s">
        <v>1069</v>
      </c>
      <c r="D742" s="2" t="s">
        <v>1406</v>
      </c>
      <c r="E742" s="2" t="s">
        <v>30</v>
      </c>
      <c r="F742" s="9">
        <f t="shared" si="45"/>
        <v>0</v>
      </c>
      <c r="G742" s="9">
        <f t="shared" si="46"/>
        <v>246</v>
      </c>
      <c r="H742" s="9">
        <f t="shared" si="47"/>
        <v>0</v>
      </c>
      <c r="I742" s="10">
        <f t="shared" si="48"/>
        <v>246</v>
      </c>
    </row>
    <row r="743" spans="1:9" x14ac:dyDescent="0.25">
      <c r="A743" s="2" t="s">
        <v>2288</v>
      </c>
      <c r="B743" s="2" t="s">
        <v>2289</v>
      </c>
      <c r="C743" s="2" t="s">
        <v>1069</v>
      </c>
      <c r="D743" s="2" t="s">
        <v>1406</v>
      </c>
      <c r="E743" s="2" t="s">
        <v>30</v>
      </c>
      <c r="F743" s="9">
        <f t="shared" si="45"/>
        <v>0</v>
      </c>
      <c r="G743" s="9">
        <f t="shared" si="46"/>
        <v>569</v>
      </c>
      <c r="H743" s="9">
        <f t="shared" si="47"/>
        <v>0</v>
      </c>
      <c r="I743" s="10">
        <f t="shared" si="48"/>
        <v>569</v>
      </c>
    </row>
    <row r="744" spans="1:9" x14ac:dyDescent="0.25">
      <c r="A744" s="2" t="s">
        <v>1151</v>
      </c>
      <c r="B744" s="2" t="s">
        <v>1150</v>
      </c>
      <c r="C744" s="2" t="s">
        <v>1069</v>
      </c>
      <c r="D744" s="2" t="s">
        <v>1406</v>
      </c>
      <c r="E744" s="2" t="s">
        <v>30</v>
      </c>
      <c r="F744" s="9">
        <f t="shared" si="45"/>
        <v>0</v>
      </c>
      <c r="G744" s="9">
        <f t="shared" si="46"/>
        <v>1337</v>
      </c>
      <c r="H744" s="9">
        <f t="shared" si="47"/>
        <v>0</v>
      </c>
      <c r="I744" s="10">
        <f t="shared" si="48"/>
        <v>1337</v>
      </c>
    </row>
    <row r="745" spans="1:9" x14ac:dyDescent="0.25">
      <c r="A745" s="2" t="s">
        <v>1153</v>
      </c>
      <c r="B745" s="2" t="s">
        <v>1152</v>
      </c>
      <c r="C745" s="2" t="s">
        <v>1069</v>
      </c>
      <c r="D745" s="2" t="s">
        <v>1406</v>
      </c>
      <c r="E745" s="2" t="s">
        <v>30</v>
      </c>
      <c r="F745" s="9">
        <f t="shared" si="45"/>
        <v>0</v>
      </c>
      <c r="G745" s="9">
        <f t="shared" si="46"/>
        <v>62</v>
      </c>
      <c r="H745" s="9">
        <f t="shared" si="47"/>
        <v>0</v>
      </c>
      <c r="I745" s="10">
        <f t="shared" si="48"/>
        <v>62</v>
      </c>
    </row>
    <row r="746" spans="1:9" x14ac:dyDescent="0.25">
      <c r="A746" s="2" t="s">
        <v>1155</v>
      </c>
      <c r="B746" s="2" t="s">
        <v>1154</v>
      </c>
      <c r="C746" s="2" t="s">
        <v>1069</v>
      </c>
      <c r="D746" s="2" t="s">
        <v>1406</v>
      </c>
      <c r="E746" s="2" t="s">
        <v>30</v>
      </c>
      <c r="F746" s="9">
        <f t="shared" si="45"/>
        <v>0</v>
      </c>
      <c r="G746" s="9">
        <f t="shared" si="46"/>
        <v>161</v>
      </c>
      <c r="H746" s="9">
        <f t="shared" si="47"/>
        <v>0</v>
      </c>
      <c r="I746" s="10">
        <f t="shared" si="48"/>
        <v>161</v>
      </c>
    </row>
    <row r="747" spans="1:9" x14ac:dyDescent="0.25">
      <c r="A747" s="2" t="s">
        <v>1157</v>
      </c>
      <c r="B747" s="2" t="s">
        <v>1156</v>
      </c>
      <c r="C747" s="2" t="s">
        <v>1069</v>
      </c>
      <c r="D747" s="2" t="s">
        <v>1406</v>
      </c>
      <c r="E747" s="2" t="s">
        <v>30</v>
      </c>
      <c r="F747" s="9">
        <f t="shared" si="45"/>
        <v>0</v>
      </c>
      <c r="G747" s="9">
        <f t="shared" si="46"/>
        <v>156</v>
      </c>
      <c r="H747" s="9">
        <f t="shared" si="47"/>
        <v>0</v>
      </c>
      <c r="I747" s="10">
        <f t="shared" si="48"/>
        <v>156</v>
      </c>
    </row>
    <row r="748" spans="1:9" x14ac:dyDescent="0.25">
      <c r="A748" s="2" t="s">
        <v>1159</v>
      </c>
      <c r="B748" s="2" t="s">
        <v>1158</v>
      </c>
      <c r="C748" s="2" t="s">
        <v>1069</v>
      </c>
      <c r="D748" s="2" t="s">
        <v>1406</v>
      </c>
      <c r="E748" s="2" t="s">
        <v>30</v>
      </c>
      <c r="F748" s="9">
        <f t="shared" si="45"/>
        <v>0</v>
      </c>
      <c r="G748" s="9">
        <f t="shared" si="46"/>
        <v>896</v>
      </c>
      <c r="H748" s="9">
        <f t="shared" si="47"/>
        <v>0</v>
      </c>
      <c r="I748" s="10">
        <f t="shared" si="48"/>
        <v>896</v>
      </c>
    </row>
    <row r="749" spans="1:9" x14ac:dyDescent="0.25">
      <c r="A749" s="2" t="s">
        <v>1161</v>
      </c>
      <c r="B749" s="2" t="s">
        <v>1160</v>
      </c>
      <c r="C749" s="2" t="s">
        <v>1069</v>
      </c>
      <c r="D749" s="2" t="s">
        <v>1406</v>
      </c>
      <c r="E749" s="2" t="s">
        <v>30</v>
      </c>
      <c r="F749" s="9">
        <f t="shared" si="45"/>
        <v>0</v>
      </c>
      <c r="G749" s="9">
        <f t="shared" si="46"/>
        <v>131</v>
      </c>
      <c r="H749" s="9">
        <f t="shared" si="47"/>
        <v>0</v>
      </c>
      <c r="I749" s="10">
        <f t="shared" si="48"/>
        <v>131</v>
      </c>
    </row>
    <row r="750" spans="1:9" x14ac:dyDescent="0.25">
      <c r="A750" s="2" t="s">
        <v>2290</v>
      </c>
      <c r="B750" s="2" t="s">
        <v>2291</v>
      </c>
      <c r="C750" s="2" t="s">
        <v>1069</v>
      </c>
      <c r="D750" s="2" t="s">
        <v>1406</v>
      </c>
      <c r="E750" s="2" t="s">
        <v>30</v>
      </c>
      <c r="F750" s="9">
        <f t="shared" si="45"/>
        <v>0</v>
      </c>
      <c r="G750" s="9">
        <f t="shared" si="46"/>
        <v>175</v>
      </c>
      <c r="H750" s="9">
        <f t="shared" si="47"/>
        <v>0</v>
      </c>
      <c r="I750" s="10">
        <f t="shared" si="48"/>
        <v>175</v>
      </c>
    </row>
    <row r="751" spans="1:9" x14ac:dyDescent="0.25">
      <c r="A751" s="2" t="s">
        <v>2292</v>
      </c>
      <c r="B751" s="2" t="s">
        <v>2293</v>
      </c>
      <c r="C751" s="2" t="s">
        <v>1069</v>
      </c>
      <c r="D751" s="2" t="s">
        <v>1406</v>
      </c>
      <c r="E751" s="2" t="s">
        <v>30</v>
      </c>
      <c r="F751" s="9">
        <f t="shared" si="45"/>
        <v>0</v>
      </c>
      <c r="G751" s="9">
        <f t="shared" si="46"/>
        <v>268</v>
      </c>
      <c r="H751" s="9">
        <f t="shared" si="47"/>
        <v>0</v>
      </c>
      <c r="I751" s="10">
        <f t="shared" si="48"/>
        <v>268</v>
      </c>
    </row>
    <row r="752" spans="1:9" x14ac:dyDescent="0.25">
      <c r="A752" s="2" t="s">
        <v>2294</v>
      </c>
      <c r="B752" s="2" t="s">
        <v>2295</v>
      </c>
      <c r="C752" s="2" t="s">
        <v>1069</v>
      </c>
      <c r="D752" s="2" t="s">
        <v>1406</v>
      </c>
      <c r="E752" s="2" t="s">
        <v>30</v>
      </c>
      <c r="F752" s="9">
        <f t="shared" si="45"/>
        <v>0</v>
      </c>
      <c r="G752" s="9">
        <f t="shared" si="46"/>
        <v>3344</v>
      </c>
      <c r="H752" s="9">
        <f t="shared" si="47"/>
        <v>0</v>
      </c>
      <c r="I752" s="10">
        <f t="shared" si="48"/>
        <v>3344</v>
      </c>
    </row>
    <row r="753" spans="1:9" x14ac:dyDescent="0.25">
      <c r="A753" s="2" t="s">
        <v>2296</v>
      </c>
      <c r="B753" s="2" t="s">
        <v>2297</v>
      </c>
      <c r="C753" s="2" t="s">
        <v>1069</v>
      </c>
      <c r="D753" s="2" t="s">
        <v>1406</v>
      </c>
      <c r="E753" s="2" t="s">
        <v>30</v>
      </c>
      <c r="F753" s="9">
        <f t="shared" si="45"/>
        <v>0</v>
      </c>
      <c r="G753" s="9">
        <f t="shared" si="46"/>
        <v>2854</v>
      </c>
      <c r="H753" s="9">
        <f t="shared" si="47"/>
        <v>0</v>
      </c>
      <c r="I753" s="10">
        <f t="shared" si="48"/>
        <v>2854</v>
      </c>
    </row>
    <row r="754" spans="1:9" x14ac:dyDescent="0.25">
      <c r="A754" s="2" t="s">
        <v>2298</v>
      </c>
      <c r="B754" s="2" t="s">
        <v>2299</v>
      </c>
      <c r="C754" s="2" t="s">
        <v>1069</v>
      </c>
      <c r="D754" s="2" t="s">
        <v>1406</v>
      </c>
      <c r="E754" s="2" t="s">
        <v>30</v>
      </c>
      <c r="F754" s="9">
        <f t="shared" si="45"/>
        <v>0</v>
      </c>
      <c r="G754" s="9">
        <f t="shared" si="46"/>
        <v>124</v>
      </c>
      <c r="H754" s="9">
        <f t="shared" si="47"/>
        <v>0</v>
      </c>
      <c r="I754" s="10">
        <f t="shared" si="48"/>
        <v>124</v>
      </c>
    </row>
    <row r="755" spans="1:9" x14ac:dyDescent="0.25">
      <c r="A755" s="2" t="s">
        <v>2300</v>
      </c>
      <c r="B755" s="2" t="s">
        <v>2301</v>
      </c>
      <c r="C755" s="2" t="s">
        <v>1069</v>
      </c>
      <c r="D755" s="2" t="s">
        <v>1406</v>
      </c>
      <c r="E755" s="2" t="s">
        <v>30</v>
      </c>
      <c r="F755" s="9">
        <f t="shared" si="45"/>
        <v>0</v>
      </c>
      <c r="G755" s="9">
        <f t="shared" si="46"/>
        <v>1600</v>
      </c>
      <c r="H755" s="9">
        <f t="shared" si="47"/>
        <v>0</v>
      </c>
      <c r="I755" s="10">
        <f t="shared" si="48"/>
        <v>1600</v>
      </c>
    </row>
    <row r="756" spans="1:9" x14ac:dyDescent="0.25">
      <c r="A756" s="2" t="s">
        <v>1163</v>
      </c>
      <c r="B756" s="2" t="s">
        <v>1162</v>
      </c>
      <c r="C756" s="2" t="s">
        <v>1069</v>
      </c>
      <c r="D756" s="2" t="s">
        <v>1406</v>
      </c>
      <c r="E756" s="2" t="s">
        <v>30</v>
      </c>
      <c r="F756" s="9">
        <f t="shared" si="45"/>
        <v>0</v>
      </c>
      <c r="G756" s="9">
        <f t="shared" si="46"/>
        <v>4326</v>
      </c>
      <c r="H756" s="9">
        <f t="shared" si="47"/>
        <v>0</v>
      </c>
      <c r="I756" s="10">
        <f t="shared" si="48"/>
        <v>4326</v>
      </c>
    </row>
    <row r="757" spans="1:9" x14ac:dyDescent="0.25">
      <c r="A757" s="2" t="s">
        <v>1165</v>
      </c>
      <c r="B757" s="2" t="s">
        <v>1164</v>
      </c>
      <c r="C757" s="2" t="s">
        <v>1069</v>
      </c>
      <c r="D757" s="2" t="s">
        <v>1406</v>
      </c>
      <c r="E757" s="2" t="s">
        <v>30</v>
      </c>
      <c r="F757" s="9">
        <f t="shared" si="45"/>
        <v>0</v>
      </c>
      <c r="G757" s="9">
        <f t="shared" si="46"/>
        <v>644</v>
      </c>
      <c r="H757" s="9">
        <f t="shared" si="47"/>
        <v>0</v>
      </c>
      <c r="I757" s="10">
        <f t="shared" si="48"/>
        <v>644</v>
      </c>
    </row>
    <row r="758" spans="1:9" x14ac:dyDescent="0.25">
      <c r="A758" s="2" t="s">
        <v>1167</v>
      </c>
      <c r="B758" s="2" t="s">
        <v>1166</v>
      </c>
      <c r="C758" s="2" t="s">
        <v>1069</v>
      </c>
      <c r="D758" s="2" t="s">
        <v>1406</v>
      </c>
      <c r="E758" s="2" t="s">
        <v>30</v>
      </c>
      <c r="F758" s="9">
        <f t="shared" si="45"/>
        <v>0</v>
      </c>
      <c r="G758" s="9">
        <f t="shared" si="46"/>
        <v>182</v>
      </c>
      <c r="H758" s="9">
        <f t="shared" si="47"/>
        <v>0</v>
      </c>
      <c r="I758" s="10">
        <f t="shared" si="48"/>
        <v>182</v>
      </c>
    </row>
    <row r="759" spans="1:9" x14ac:dyDescent="0.25">
      <c r="A759" s="2" t="s">
        <v>1169</v>
      </c>
      <c r="B759" s="2" t="s">
        <v>1168</v>
      </c>
      <c r="C759" s="2" t="s">
        <v>1069</v>
      </c>
      <c r="D759" s="2" t="s">
        <v>1406</v>
      </c>
      <c r="E759" s="2" t="s">
        <v>30</v>
      </c>
      <c r="F759" s="9">
        <f t="shared" si="45"/>
        <v>0</v>
      </c>
      <c r="G759" s="9">
        <f t="shared" si="46"/>
        <v>135</v>
      </c>
      <c r="H759" s="9">
        <f t="shared" si="47"/>
        <v>0</v>
      </c>
      <c r="I759" s="10">
        <f t="shared" si="48"/>
        <v>135</v>
      </c>
    </row>
    <row r="760" spans="1:9" x14ac:dyDescent="0.25">
      <c r="A760" s="2" t="s">
        <v>1171</v>
      </c>
      <c r="B760" s="2" t="s">
        <v>1170</v>
      </c>
      <c r="C760" s="2" t="s">
        <v>1069</v>
      </c>
      <c r="D760" s="2" t="s">
        <v>1406</v>
      </c>
      <c r="E760" s="2" t="s">
        <v>30</v>
      </c>
      <c r="F760" s="9">
        <f t="shared" si="45"/>
        <v>0</v>
      </c>
      <c r="G760" s="9">
        <f t="shared" si="46"/>
        <v>2786</v>
      </c>
      <c r="H760" s="9">
        <f t="shared" si="47"/>
        <v>0</v>
      </c>
      <c r="I760" s="10">
        <f t="shared" si="48"/>
        <v>2786</v>
      </c>
    </row>
    <row r="761" spans="1:9" x14ac:dyDescent="0.25">
      <c r="A761" s="2" t="s">
        <v>1173</v>
      </c>
      <c r="B761" s="2" t="s">
        <v>1172</v>
      </c>
      <c r="C761" s="2" t="s">
        <v>1069</v>
      </c>
      <c r="D761" s="2" t="s">
        <v>1406</v>
      </c>
      <c r="E761" s="2" t="s">
        <v>30</v>
      </c>
      <c r="F761" s="9">
        <f t="shared" si="45"/>
        <v>0</v>
      </c>
      <c r="G761" s="9">
        <f t="shared" si="46"/>
        <v>706</v>
      </c>
      <c r="H761" s="9">
        <f t="shared" si="47"/>
        <v>0</v>
      </c>
      <c r="I761" s="10">
        <f t="shared" si="48"/>
        <v>706</v>
      </c>
    </row>
    <row r="762" spans="1:9" x14ac:dyDescent="0.25">
      <c r="A762" s="2" t="s">
        <v>2302</v>
      </c>
      <c r="B762" s="2" t="s">
        <v>2303</v>
      </c>
      <c r="C762" s="2" t="s">
        <v>1069</v>
      </c>
      <c r="D762" s="2" t="s">
        <v>1406</v>
      </c>
      <c r="E762" s="2" t="s">
        <v>30</v>
      </c>
      <c r="F762" s="9">
        <f t="shared" si="45"/>
        <v>0</v>
      </c>
      <c r="G762" s="9">
        <f t="shared" si="46"/>
        <v>4116</v>
      </c>
      <c r="H762" s="9">
        <f t="shared" si="47"/>
        <v>0</v>
      </c>
      <c r="I762" s="10">
        <f t="shared" si="48"/>
        <v>4116</v>
      </c>
    </row>
    <row r="763" spans="1:9" x14ac:dyDescent="0.25">
      <c r="A763" s="2" t="s">
        <v>1175</v>
      </c>
      <c r="B763" s="2" t="s">
        <v>1174</v>
      </c>
      <c r="C763" s="2" t="s">
        <v>1069</v>
      </c>
      <c r="D763" s="2" t="s">
        <v>1406</v>
      </c>
      <c r="E763" s="2" t="s">
        <v>30</v>
      </c>
      <c r="F763" s="9">
        <f t="shared" si="45"/>
        <v>0</v>
      </c>
      <c r="G763" s="9">
        <f t="shared" si="46"/>
        <v>1143</v>
      </c>
      <c r="H763" s="9">
        <f t="shared" si="47"/>
        <v>0</v>
      </c>
      <c r="I763" s="10">
        <f t="shared" si="48"/>
        <v>1143</v>
      </c>
    </row>
    <row r="764" spans="1:9" x14ac:dyDescent="0.25">
      <c r="A764" s="2" t="s">
        <v>2304</v>
      </c>
      <c r="B764" s="2" t="s">
        <v>2305</v>
      </c>
      <c r="C764" s="2" t="s">
        <v>1069</v>
      </c>
      <c r="D764" s="2" t="s">
        <v>1406</v>
      </c>
      <c r="E764" s="2" t="s">
        <v>30</v>
      </c>
      <c r="F764" s="9">
        <f t="shared" si="45"/>
        <v>0</v>
      </c>
      <c r="G764" s="9">
        <f t="shared" si="46"/>
        <v>574</v>
      </c>
      <c r="H764" s="9">
        <f t="shared" si="47"/>
        <v>0</v>
      </c>
      <c r="I764" s="10">
        <f t="shared" si="48"/>
        <v>574</v>
      </c>
    </row>
    <row r="765" spans="1:9" x14ac:dyDescent="0.25">
      <c r="A765" s="2" t="s">
        <v>1177</v>
      </c>
      <c r="B765" s="2" t="s">
        <v>1176</v>
      </c>
      <c r="C765" s="2" t="s">
        <v>1069</v>
      </c>
      <c r="D765" s="2" t="s">
        <v>1406</v>
      </c>
      <c r="E765" s="2" t="s">
        <v>30</v>
      </c>
      <c r="F765" s="9">
        <f t="shared" si="45"/>
        <v>0</v>
      </c>
      <c r="G765" s="9">
        <f t="shared" si="46"/>
        <v>112</v>
      </c>
      <c r="H765" s="9">
        <f t="shared" si="47"/>
        <v>0</v>
      </c>
      <c r="I765" s="10">
        <f t="shared" si="48"/>
        <v>112</v>
      </c>
    </row>
    <row r="766" spans="1:9" x14ac:dyDescent="0.25">
      <c r="A766" s="2" t="s">
        <v>1179</v>
      </c>
      <c r="B766" s="2" t="s">
        <v>1178</v>
      </c>
      <c r="C766" s="2" t="s">
        <v>1069</v>
      </c>
      <c r="D766" s="2" t="s">
        <v>1406</v>
      </c>
      <c r="E766" s="2" t="s">
        <v>30</v>
      </c>
      <c r="F766" s="9">
        <f t="shared" si="45"/>
        <v>0</v>
      </c>
      <c r="G766" s="9">
        <f t="shared" si="46"/>
        <v>25</v>
      </c>
      <c r="H766" s="9">
        <f t="shared" si="47"/>
        <v>0</v>
      </c>
      <c r="I766" s="10">
        <f t="shared" si="48"/>
        <v>25</v>
      </c>
    </row>
    <row r="767" spans="1:9" x14ac:dyDescent="0.25">
      <c r="A767" s="2" t="s">
        <v>1181</v>
      </c>
      <c r="B767" s="2" t="s">
        <v>1180</v>
      </c>
      <c r="C767" s="2" t="s">
        <v>1069</v>
      </c>
      <c r="D767" s="2" t="s">
        <v>1406</v>
      </c>
      <c r="E767" s="2" t="s">
        <v>30</v>
      </c>
      <c r="F767" s="9">
        <f t="shared" ref="F767:F830" si="49">IFERROR(VLOOKUP(A767,condi,8,0),0)</f>
        <v>0</v>
      </c>
      <c r="G767" s="9">
        <f t="shared" ref="G767:G830" si="50">IFERROR(VLOOKUP(A767,maqui,8,0),0)</f>
        <v>4</v>
      </c>
      <c r="H767" s="9">
        <f t="shared" ref="H767:H830" si="51">IFERROR(VLOOKUP(A767,ascint,8,0),0)</f>
        <v>0</v>
      </c>
      <c r="I767" s="10">
        <f t="shared" si="48"/>
        <v>4</v>
      </c>
    </row>
    <row r="768" spans="1:9" x14ac:dyDescent="0.25">
      <c r="A768" s="2" t="s">
        <v>1183</v>
      </c>
      <c r="B768" s="2" t="s">
        <v>1182</v>
      </c>
      <c r="C768" s="2" t="s">
        <v>1069</v>
      </c>
      <c r="D768" s="2" t="s">
        <v>1406</v>
      </c>
      <c r="E768" s="2" t="s">
        <v>30</v>
      </c>
      <c r="F768" s="9">
        <f t="shared" si="49"/>
        <v>0</v>
      </c>
      <c r="G768" s="9">
        <f t="shared" si="50"/>
        <v>572</v>
      </c>
      <c r="H768" s="9">
        <f t="shared" si="51"/>
        <v>0</v>
      </c>
      <c r="I768" s="10">
        <f t="shared" si="48"/>
        <v>572</v>
      </c>
    </row>
    <row r="769" spans="1:9" x14ac:dyDescent="0.25">
      <c r="A769" s="2" t="s">
        <v>1185</v>
      </c>
      <c r="B769" s="2" t="s">
        <v>1184</v>
      </c>
      <c r="C769" s="2" t="s">
        <v>1069</v>
      </c>
      <c r="D769" s="2" t="s">
        <v>1406</v>
      </c>
      <c r="E769" s="2" t="s">
        <v>30</v>
      </c>
      <c r="F769" s="9">
        <f t="shared" si="49"/>
        <v>0</v>
      </c>
      <c r="G769" s="9">
        <f t="shared" si="50"/>
        <v>286</v>
      </c>
      <c r="H769" s="9">
        <f t="shared" si="51"/>
        <v>0</v>
      </c>
      <c r="I769" s="10">
        <f t="shared" si="48"/>
        <v>286</v>
      </c>
    </row>
    <row r="770" spans="1:9" x14ac:dyDescent="0.25">
      <c r="A770" s="2" t="s">
        <v>1187</v>
      </c>
      <c r="B770" s="2" t="s">
        <v>1186</v>
      </c>
      <c r="C770" s="2" t="s">
        <v>1069</v>
      </c>
      <c r="D770" s="2" t="s">
        <v>1406</v>
      </c>
      <c r="E770" s="2" t="s">
        <v>30</v>
      </c>
      <c r="F770" s="9">
        <f t="shared" si="49"/>
        <v>0</v>
      </c>
      <c r="G770" s="9">
        <f t="shared" si="50"/>
        <v>1006</v>
      </c>
      <c r="H770" s="9">
        <f t="shared" si="51"/>
        <v>0</v>
      </c>
      <c r="I770" s="10">
        <f t="shared" si="48"/>
        <v>1006</v>
      </c>
    </row>
    <row r="771" spans="1:9" x14ac:dyDescent="0.25">
      <c r="A771" s="2" t="s">
        <v>1189</v>
      </c>
      <c r="B771" s="2" t="s">
        <v>1188</v>
      </c>
      <c r="C771" s="2" t="s">
        <v>1069</v>
      </c>
      <c r="D771" s="2" t="s">
        <v>1406</v>
      </c>
      <c r="E771" s="2" t="s">
        <v>30</v>
      </c>
      <c r="F771" s="9">
        <f t="shared" si="49"/>
        <v>0</v>
      </c>
      <c r="G771" s="9">
        <f t="shared" si="50"/>
        <v>594</v>
      </c>
      <c r="H771" s="9">
        <f t="shared" si="51"/>
        <v>0</v>
      </c>
      <c r="I771" s="10">
        <f t="shared" si="48"/>
        <v>594</v>
      </c>
    </row>
    <row r="772" spans="1:9" x14ac:dyDescent="0.25">
      <c r="A772" s="2" t="s">
        <v>1191</v>
      </c>
      <c r="B772" s="2" t="s">
        <v>1190</v>
      </c>
      <c r="C772" s="2" t="s">
        <v>1069</v>
      </c>
      <c r="D772" s="2" t="s">
        <v>1406</v>
      </c>
      <c r="E772" s="2" t="s">
        <v>30</v>
      </c>
      <c r="F772" s="9">
        <f t="shared" si="49"/>
        <v>0</v>
      </c>
      <c r="G772" s="9">
        <f t="shared" si="50"/>
        <v>2446</v>
      </c>
      <c r="H772" s="9">
        <f t="shared" si="51"/>
        <v>0</v>
      </c>
      <c r="I772" s="10">
        <f t="shared" si="48"/>
        <v>2446</v>
      </c>
    </row>
    <row r="773" spans="1:9" x14ac:dyDescent="0.25">
      <c r="A773" s="2" t="s">
        <v>2306</v>
      </c>
      <c r="B773" s="2" t="s">
        <v>2307</v>
      </c>
      <c r="C773" s="2" t="s">
        <v>1069</v>
      </c>
      <c r="D773" s="2" t="s">
        <v>1406</v>
      </c>
      <c r="E773" s="2" t="s">
        <v>30</v>
      </c>
      <c r="F773" s="9">
        <f t="shared" si="49"/>
        <v>0</v>
      </c>
      <c r="G773" s="9">
        <f t="shared" si="50"/>
        <v>2242.1799999999998</v>
      </c>
      <c r="H773" s="9">
        <f t="shared" si="51"/>
        <v>0</v>
      </c>
      <c r="I773" s="10">
        <f t="shared" ref="I773:I836" si="52">+F773+G773+H773</f>
        <v>2242.1799999999998</v>
      </c>
    </row>
    <row r="774" spans="1:9" x14ac:dyDescent="0.25">
      <c r="A774" s="2" t="s">
        <v>2308</v>
      </c>
      <c r="B774" s="2" t="s">
        <v>2309</v>
      </c>
      <c r="C774" s="2" t="s">
        <v>1069</v>
      </c>
      <c r="D774" s="2" t="s">
        <v>1406</v>
      </c>
      <c r="E774" s="2" t="s">
        <v>30</v>
      </c>
      <c r="F774" s="9">
        <f t="shared" si="49"/>
        <v>0</v>
      </c>
      <c r="G774" s="9">
        <f t="shared" si="50"/>
        <v>2854</v>
      </c>
      <c r="H774" s="9">
        <f t="shared" si="51"/>
        <v>0</v>
      </c>
      <c r="I774" s="10">
        <f t="shared" si="52"/>
        <v>2854</v>
      </c>
    </row>
    <row r="775" spans="1:9" x14ac:dyDescent="0.25">
      <c r="A775" s="2" t="s">
        <v>1193</v>
      </c>
      <c r="B775" s="2" t="s">
        <v>1192</v>
      </c>
      <c r="C775" s="2" t="s">
        <v>1069</v>
      </c>
      <c r="D775" s="2" t="s">
        <v>1406</v>
      </c>
      <c r="E775" s="2" t="s">
        <v>30</v>
      </c>
      <c r="F775" s="9">
        <f t="shared" si="49"/>
        <v>0</v>
      </c>
      <c r="G775" s="9">
        <f t="shared" si="50"/>
        <v>2900</v>
      </c>
      <c r="H775" s="9">
        <f t="shared" si="51"/>
        <v>0</v>
      </c>
      <c r="I775" s="10">
        <f t="shared" si="52"/>
        <v>2900</v>
      </c>
    </row>
    <row r="776" spans="1:9" x14ac:dyDescent="0.25">
      <c r="A776" s="2" t="s">
        <v>1195</v>
      </c>
      <c r="B776" s="2" t="s">
        <v>1194</v>
      </c>
      <c r="C776" s="2" t="s">
        <v>1069</v>
      </c>
      <c r="D776" s="2" t="s">
        <v>1406</v>
      </c>
      <c r="E776" s="2" t="s">
        <v>30</v>
      </c>
      <c r="F776" s="9">
        <f t="shared" si="49"/>
        <v>0</v>
      </c>
      <c r="G776" s="9">
        <f t="shared" si="50"/>
        <v>2025</v>
      </c>
      <c r="H776" s="9">
        <f t="shared" si="51"/>
        <v>0</v>
      </c>
      <c r="I776" s="10">
        <f t="shared" si="52"/>
        <v>2025</v>
      </c>
    </row>
    <row r="777" spans="1:9" x14ac:dyDescent="0.25">
      <c r="A777" s="2" t="s">
        <v>1197</v>
      </c>
      <c r="B777" s="2" t="s">
        <v>1196</v>
      </c>
      <c r="C777" s="2" t="s">
        <v>1069</v>
      </c>
      <c r="D777" s="2" t="s">
        <v>1406</v>
      </c>
      <c r="E777" s="2" t="s">
        <v>30</v>
      </c>
      <c r="F777" s="9">
        <f t="shared" si="49"/>
        <v>0</v>
      </c>
      <c r="G777" s="9">
        <f t="shared" si="50"/>
        <v>461</v>
      </c>
      <c r="H777" s="9">
        <f t="shared" si="51"/>
        <v>0</v>
      </c>
      <c r="I777" s="10">
        <f t="shared" si="52"/>
        <v>461</v>
      </c>
    </row>
    <row r="778" spans="1:9" x14ac:dyDescent="0.25">
      <c r="A778" s="2" t="s">
        <v>1199</v>
      </c>
      <c r="B778" s="2" t="s">
        <v>1198</v>
      </c>
      <c r="C778" s="2" t="s">
        <v>1069</v>
      </c>
      <c r="D778" s="2" t="s">
        <v>1406</v>
      </c>
      <c r="E778" s="2" t="s">
        <v>30</v>
      </c>
      <c r="F778" s="9">
        <f t="shared" si="49"/>
        <v>0</v>
      </c>
      <c r="G778" s="9">
        <f t="shared" si="50"/>
        <v>1225</v>
      </c>
      <c r="H778" s="9">
        <f t="shared" si="51"/>
        <v>0</v>
      </c>
      <c r="I778" s="10">
        <f t="shared" si="52"/>
        <v>1225</v>
      </c>
    </row>
    <row r="779" spans="1:9" x14ac:dyDescent="0.25">
      <c r="A779" s="2" t="s">
        <v>1201</v>
      </c>
      <c r="B779" s="2" t="s">
        <v>1200</v>
      </c>
      <c r="C779" s="2" t="s">
        <v>1069</v>
      </c>
      <c r="D779" s="2" t="s">
        <v>1406</v>
      </c>
      <c r="E779" s="2" t="s">
        <v>30</v>
      </c>
      <c r="F779" s="9">
        <f t="shared" si="49"/>
        <v>0</v>
      </c>
      <c r="G779" s="9">
        <f t="shared" si="50"/>
        <v>5033</v>
      </c>
      <c r="H779" s="9">
        <f t="shared" si="51"/>
        <v>0</v>
      </c>
      <c r="I779" s="10">
        <f t="shared" si="52"/>
        <v>5033</v>
      </c>
    </row>
    <row r="780" spans="1:9" x14ac:dyDescent="0.25">
      <c r="A780" s="2" t="s">
        <v>2310</v>
      </c>
      <c r="B780" s="2" t="s">
        <v>2311</v>
      </c>
      <c r="C780" s="2" t="s">
        <v>1069</v>
      </c>
      <c r="D780" s="2" t="s">
        <v>1406</v>
      </c>
      <c r="E780" s="2" t="s">
        <v>30</v>
      </c>
      <c r="F780" s="9">
        <f t="shared" si="49"/>
        <v>0</v>
      </c>
      <c r="G780" s="9">
        <f t="shared" si="50"/>
        <v>132</v>
      </c>
      <c r="H780" s="9">
        <f t="shared" si="51"/>
        <v>0</v>
      </c>
      <c r="I780" s="10">
        <f t="shared" si="52"/>
        <v>132</v>
      </c>
    </row>
    <row r="781" spans="1:9" x14ac:dyDescent="0.25">
      <c r="A781" s="2" t="s">
        <v>1203</v>
      </c>
      <c r="B781" s="2" t="s">
        <v>1202</v>
      </c>
      <c r="C781" s="2" t="s">
        <v>1069</v>
      </c>
      <c r="D781" s="2" t="s">
        <v>1406</v>
      </c>
      <c r="E781" s="2" t="s">
        <v>30</v>
      </c>
      <c r="F781" s="9">
        <f t="shared" si="49"/>
        <v>0</v>
      </c>
      <c r="G781" s="9">
        <f t="shared" si="50"/>
        <v>46</v>
      </c>
      <c r="H781" s="9">
        <f t="shared" si="51"/>
        <v>0</v>
      </c>
      <c r="I781" s="10">
        <f t="shared" si="52"/>
        <v>46</v>
      </c>
    </row>
    <row r="782" spans="1:9" x14ac:dyDescent="0.25">
      <c r="A782" s="2" t="s">
        <v>2312</v>
      </c>
      <c r="B782" s="2" t="s">
        <v>2313</v>
      </c>
      <c r="C782" s="2" t="s">
        <v>1069</v>
      </c>
      <c r="D782" s="2" t="s">
        <v>1406</v>
      </c>
      <c r="E782" s="2" t="s">
        <v>30</v>
      </c>
      <c r="F782" s="9">
        <f t="shared" si="49"/>
        <v>0</v>
      </c>
      <c r="G782" s="9">
        <f t="shared" si="50"/>
        <v>2500</v>
      </c>
      <c r="H782" s="9">
        <f t="shared" si="51"/>
        <v>0</v>
      </c>
      <c r="I782" s="10">
        <f t="shared" si="52"/>
        <v>2500</v>
      </c>
    </row>
    <row r="783" spans="1:9" x14ac:dyDescent="0.25">
      <c r="A783" s="2" t="s">
        <v>1205</v>
      </c>
      <c r="B783" s="2" t="s">
        <v>1204</v>
      </c>
      <c r="C783" s="2" t="s">
        <v>1069</v>
      </c>
      <c r="D783" s="2" t="s">
        <v>1406</v>
      </c>
      <c r="E783" s="2" t="s">
        <v>30</v>
      </c>
      <c r="F783" s="9">
        <f t="shared" si="49"/>
        <v>0</v>
      </c>
      <c r="G783" s="9">
        <f t="shared" si="50"/>
        <v>1858</v>
      </c>
      <c r="H783" s="9">
        <f t="shared" si="51"/>
        <v>0</v>
      </c>
      <c r="I783" s="10">
        <f t="shared" si="52"/>
        <v>1858</v>
      </c>
    </row>
    <row r="784" spans="1:9" x14ac:dyDescent="0.25">
      <c r="A784" s="2" t="s">
        <v>1207</v>
      </c>
      <c r="B784" s="2" t="s">
        <v>1206</v>
      </c>
      <c r="C784" s="2" t="s">
        <v>1069</v>
      </c>
      <c r="D784" s="2" t="s">
        <v>1406</v>
      </c>
      <c r="E784" s="2" t="s">
        <v>30</v>
      </c>
      <c r="F784" s="9">
        <f t="shared" si="49"/>
        <v>0</v>
      </c>
      <c r="G784" s="9">
        <f t="shared" si="50"/>
        <v>82</v>
      </c>
      <c r="H784" s="9">
        <f t="shared" si="51"/>
        <v>0</v>
      </c>
      <c r="I784" s="10">
        <f t="shared" si="52"/>
        <v>82</v>
      </c>
    </row>
    <row r="785" spans="1:9" x14ac:dyDescent="0.25">
      <c r="A785" s="2" t="s">
        <v>2314</v>
      </c>
      <c r="B785" s="2" t="s">
        <v>2315</v>
      </c>
      <c r="C785" s="2" t="s">
        <v>1069</v>
      </c>
      <c r="D785" s="2" t="s">
        <v>1406</v>
      </c>
      <c r="E785" s="2" t="s">
        <v>30</v>
      </c>
      <c r="F785" s="9">
        <f t="shared" si="49"/>
        <v>0</v>
      </c>
      <c r="G785" s="9">
        <f t="shared" si="50"/>
        <v>422</v>
      </c>
      <c r="H785" s="9">
        <f t="shared" si="51"/>
        <v>0</v>
      </c>
      <c r="I785" s="10">
        <f t="shared" si="52"/>
        <v>422</v>
      </c>
    </row>
    <row r="786" spans="1:9" x14ac:dyDescent="0.25">
      <c r="A786" s="2" t="s">
        <v>2316</v>
      </c>
      <c r="B786" s="2" t="s">
        <v>2317</v>
      </c>
      <c r="C786" s="2" t="s">
        <v>1069</v>
      </c>
      <c r="D786" s="2" t="s">
        <v>1406</v>
      </c>
      <c r="E786" s="2" t="s">
        <v>30</v>
      </c>
      <c r="F786" s="9">
        <f t="shared" si="49"/>
        <v>0</v>
      </c>
      <c r="G786" s="9">
        <f t="shared" si="50"/>
        <v>800</v>
      </c>
      <c r="H786" s="9">
        <f t="shared" si="51"/>
        <v>0</v>
      </c>
      <c r="I786" s="10">
        <f t="shared" si="52"/>
        <v>800</v>
      </c>
    </row>
    <row r="787" spans="1:9" x14ac:dyDescent="0.25">
      <c r="A787" s="2" t="s">
        <v>1209</v>
      </c>
      <c r="B787" s="2" t="s">
        <v>1208</v>
      </c>
      <c r="C787" s="2" t="s">
        <v>1069</v>
      </c>
      <c r="D787" s="2" t="s">
        <v>1406</v>
      </c>
      <c r="E787" s="2" t="s">
        <v>30</v>
      </c>
      <c r="F787" s="9">
        <f t="shared" si="49"/>
        <v>0</v>
      </c>
      <c r="G787" s="9">
        <f t="shared" si="50"/>
        <v>1756</v>
      </c>
      <c r="H787" s="9">
        <f t="shared" si="51"/>
        <v>0</v>
      </c>
      <c r="I787" s="10">
        <f t="shared" si="52"/>
        <v>1756</v>
      </c>
    </row>
    <row r="788" spans="1:9" x14ac:dyDescent="0.25">
      <c r="A788" s="2" t="s">
        <v>1211</v>
      </c>
      <c r="B788" s="2" t="s">
        <v>1210</v>
      </c>
      <c r="C788" s="2" t="s">
        <v>1069</v>
      </c>
      <c r="D788" s="2" t="s">
        <v>1406</v>
      </c>
      <c r="E788" s="2" t="s">
        <v>30</v>
      </c>
      <c r="F788" s="9">
        <f t="shared" si="49"/>
        <v>0</v>
      </c>
      <c r="G788" s="9">
        <f t="shared" si="50"/>
        <v>1766</v>
      </c>
      <c r="H788" s="9">
        <f t="shared" si="51"/>
        <v>0</v>
      </c>
      <c r="I788" s="10">
        <f t="shared" si="52"/>
        <v>1766</v>
      </c>
    </row>
    <row r="789" spans="1:9" x14ac:dyDescent="0.25">
      <c r="A789" s="2" t="s">
        <v>1213</v>
      </c>
      <c r="B789" s="2" t="s">
        <v>1212</v>
      </c>
      <c r="C789" s="2" t="s">
        <v>1069</v>
      </c>
      <c r="D789" s="2" t="s">
        <v>1406</v>
      </c>
      <c r="E789" s="2" t="s">
        <v>30</v>
      </c>
      <c r="F789" s="9">
        <f t="shared" si="49"/>
        <v>0</v>
      </c>
      <c r="G789" s="9">
        <f t="shared" si="50"/>
        <v>727</v>
      </c>
      <c r="H789" s="9">
        <f t="shared" si="51"/>
        <v>0</v>
      </c>
      <c r="I789" s="10">
        <f t="shared" si="52"/>
        <v>727</v>
      </c>
    </row>
    <row r="790" spans="1:9" x14ac:dyDescent="0.25">
      <c r="A790" s="2" t="s">
        <v>1215</v>
      </c>
      <c r="B790" s="2" t="s">
        <v>1214</v>
      </c>
      <c r="C790" s="2" t="s">
        <v>1069</v>
      </c>
      <c r="D790" s="2" t="s">
        <v>1406</v>
      </c>
      <c r="E790" s="2" t="s">
        <v>30</v>
      </c>
      <c r="F790" s="9">
        <f t="shared" si="49"/>
        <v>0</v>
      </c>
      <c r="G790" s="9">
        <f t="shared" si="50"/>
        <v>16</v>
      </c>
      <c r="H790" s="9">
        <f t="shared" si="51"/>
        <v>0</v>
      </c>
      <c r="I790" s="10">
        <f t="shared" si="52"/>
        <v>16</v>
      </c>
    </row>
    <row r="791" spans="1:9" x14ac:dyDescent="0.25">
      <c r="A791" s="2" t="s">
        <v>1217</v>
      </c>
      <c r="B791" s="2" t="s">
        <v>1216</v>
      </c>
      <c r="C791" s="2" t="s">
        <v>1069</v>
      </c>
      <c r="D791" s="2" t="s">
        <v>1406</v>
      </c>
      <c r="E791" s="2" t="s">
        <v>30</v>
      </c>
      <c r="F791" s="9">
        <f t="shared" si="49"/>
        <v>0</v>
      </c>
      <c r="G791" s="9">
        <f t="shared" si="50"/>
        <v>3528</v>
      </c>
      <c r="H791" s="9">
        <f t="shared" si="51"/>
        <v>0</v>
      </c>
      <c r="I791" s="10">
        <f t="shared" si="52"/>
        <v>3528</v>
      </c>
    </row>
    <row r="792" spans="1:9" x14ac:dyDescent="0.25">
      <c r="A792" s="2" t="s">
        <v>2318</v>
      </c>
      <c r="B792" s="2" t="s">
        <v>2319</v>
      </c>
      <c r="C792" s="2" t="s">
        <v>1069</v>
      </c>
      <c r="D792" s="2" t="s">
        <v>1406</v>
      </c>
      <c r="E792" s="2" t="s">
        <v>30</v>
      </c>
      <c r="F792" s="9">
        <f t="shared" si="49"/>
        <v>0</v>
      </c>
      <c r="G792" s="9">
        <f t="shared" si="50"/>
        <v>3376</v>
      </c>
      <c r="H792" s="9">
        <f t="shared" si="51"/>
        <v>0</v>
      </c>
      <c r="I792" s="10">
        <f t="shared" si="52"/>
        <v>3376</v>
      </c>
    </row>
    <row r="793" spans="1:9" x14ac:dyDescent="0.25">
      <c r="A793" s="2" t="s">
        <v>1219</v>
      </c>
      <c r="B793" s="2" t="s">
        <v>1218</v>
      </c>
      <c r="C793" s="2" t="s">
        <v>1069</v>
      </c>
      <c r="D793" s="2" t="s">
        <v>1406</v>
      </c>
      <c r="E793" s="2" t="s">
        <v>30</v>
      </c>
      <c r="F793" s="9">
        <f t="shared" si="49"/>
        <v>0</v>
      </c>
      <c r="G793" s="9">
        <f t="shared" si="50"/>
        <v>576</v>
      </c>
      <c r="H793" s="9">
        <f t="shared" si="51"/>
        <v>0</v>
      </c>
      <c r="I793" s="10">
        <f t="shared" si="52"/>
        <v>576</v>
      </c>
    </row>
    <row r="794" spans="1:9" x14ac:dyDescent="0.25">
      <c r="A794" s="2" t="s">
        <v>1221</v>
      </c>
      <c r="B794" s="2" t="s">
        <v>1220</v>
      </c>
      <c r="C794" s="2" t="s">
        <v>1069</v>
      </c>
      <c r="D794" s="2" t="s">
        <v>1406</v>
      </c>
      <c r="E794" s="2" t="s">
        <v>30</v>
      </c>
      <c r="F794" s="9">
        <f t="shared" si="49"/>
        <v>0</v>
      </c>
      <c r="G794" s="9">
        <f t="shared" si="50"/>
        <v>138</v>
      </c>
      <c r="H794" s="9">
        <f t="shared" si="51"/>
        <v>0</v>
      </c>
      <c r="I794" s="10">
        <f t="shared" si="52"/>
        <v>138</v>
      </c>
    </row>
    <row r="795" spans="1:9" x14ac:dyDescent="0.25">
      <c r="A795" s="2" t="s">
        <v>1223</v>
      </c>
      <c r="B795" s="2" t="s">
        <v>1222</v>
      </c>
      <c r="C795" s="2" t="s">
        <v>1069</v>
      </c>
      <c r="D795" s="2" t="s">
        <v>1406</v>
      </c>
      <c r="E795" s="2" t="s">
        <v>30</v>
      </c>
      <c r="F795" s="9">
        <f t="shared" si="49"/>
        <v>0</v>
      </c>
      <c r="G795" s="9">
        <f t="shared" si="50"/>
        <v>960</v>
      </c>
      <c r="H795" s="9">
        <f t="shared" si="51"/>
        <v>0</v>
      </c>
      <c r="I795" s="10">
        <f t="shared" si="52"/>
        <v>960</v>
      </c>
    </row>
    <row r="796" spans="1:9" x14ac:dyDescent="0.25">
      <c r="A796" s="2" t="s">
        <v>2320</v>
      </c>
      <c r="B796" s="2" t="s">
        <v>2321</v>
      </c>
      <c r="C796" s="2" t="s">
        <v>1069</v>
      </c>
      <c r="D796" s="2" t="s">
        <v>1406</v>
      </c>
      <c r="E796" s="2" t="s">
        <v>30</v>
      </c>
      <c r="F796" s="9">
        <f t="shared" si="49"/>
        <v>0</v>
      </c>
      <c r="G796" s="9">
        <f t="shared" si="50"/>
        <v>166</v>
      </c>
      <c r="H796" s="9">
        <f t="shared" si="51"/>
        <v>0</v>
      </c>
      <c r="I796" s="10">
        <f t="shared" si="52"/>
        <v>166</v>
      </c>
    </row>
    <row r="797" spans="1:9" x14ac:dyDescent="0.25">
      <c r="A797" s="2" t="s">
        <v>1225</v>
      </c>
      <c r="B797" s="2" t="s">
        <v>1224</v>
      </c>
      <c r="C797" s="2" t="s">
        <v>1069</v>
      </c>
      <c r="D797" s="2" t="s">
        <v>1406</v>
      </c>
      <c r="E797" s="2" t="s">
        <v>30</v>
      </c>
      <c r="F797" s="9">
        <f t="shared" si="49"/>
        <v>0</v>
      </c>
      <c r="G797" s="9">
        <f t="shared" si="50"/>
        <v>1129</v>
      </c>
      <c r="H797" s="9">
        <f t="shared" si="51"/>
        <v>0</v>
      </c>
      <c r="I797" s="10">
        <f t="shared" si="52"/>
        <v>1129</v>
      </c>
    </row>
    <row r="798" spans="1:9" x14ac:dyDescent="0.25">
      <c r="A798" s="2" t="s">
        <v>1227</v>
      </c>
      <c r="B798" s="2" t="s">
        <v>1226</v>
      </c>
      <c r="C798" s="2" t="s">
        <v>1069</v>
      </c>
      <c r="D798" s="2" t="s">
        <v>1406</v>
      </c>
      <c r="E798" s="2" t="s">
        <v>30</v>
      </c>
      <c r="F798" s="9">
        <f t="shared" si="49"/>
        <v>0</v>
      </c>
      <c r="G798" s="9">
        <f t="shared" si="50"/>
        <v>187</v>
      </c>
      <c r="H798" s="9">
        <f t="shared" si="51"/>
        <v>0</v>
      </c>
      <c r="I798" s="10">
        <f t="shared" si="52"/>
        <v>187</v>
      </c>
    </row>
    <row r="799" spans="1:9" x14ac:dyDescent="0.25">
      <c r="A799" s="2" t="s">
        <v>1229</v>
      </c>
      <c r="B799" s="2" t="s">
        <v>1228</v>
      </c>
      <c r="C799" s="2" t="s">
        <v>1069</v>
      </c>
      <c r="D799" s="2" t="s">
        <v>1406</v>
      </c>
      <c r="E799" s="2" t="s">
        <v>30</v>
      </c>
      <c r="F799" s="9">
        <f t="shared" si="49"/>
        <v>0</v>
      </c>
      <c r="G799" s="9">
        <f t="shared" si="50"/>
        <v>91</v>
      </c>
      <c r="H799" s="9">
        <f t="shared" si="51"/>
        <v>0</v>
      </c>
      <c r="I799" s="10">
        <f t="shared" si="52"/>
        <v>91</v>
      </c>
    </row>
    <row r="800" spans="1:9" x14ac:dyDescent="0.25">
      <c r="A800" s="2" t="s">
        <v>1231</v>
      </c>
      <c r="B800" s="2" t="s">
        <v>1230</v>
      </c>
      <c r="C800" s="2" t="s">
        <v>1069</v>
      </c>
      <c r="D800" s="2" t="s">
        <v>1406</v>
      </c>
      <c r="E800" s="2" t="s">
        <v>30</v>
      </c>
      <c r="F800" s="9">
        <f t="shared" si="49"/>
        <v>0</v>
      </c>
      <c r="G800" s="9">
        <f t="shared" si="50"/>
        <v>83</v>
      </c>
      <c r="H800" s="9">
        <f t="shared" si="51"/>
        <v>0</v>
      </c>
      <c r="I800" s="10">
        <f t="shared" si="52"/>
        <v>83</v>
      </c>
    </row>
    <row r="801" spans="1:9" x14ac:dyDescent="0.25">
      <c r="A801" s="2" t="s">
        <v>1233</v>
      </c>
      <c r="B801" s="2" t="s">
        <v>1232</v>
      </c>
      <c r="C801" s="2" t="s">
        <v>1069</v>
      </c>
      <c r="D801" s="2" t="s">
        <v>1406</v>
      </c>
      <c r="E801" s="2" t="s">
        <v>30</v>
      </c>
      <c r="F801" s="9">
        <f t="shared" si="49"/>
        <v>0</v>
      </c>
      <c r="G801" s="9">
        <f t="shared" si="50"/>
        <v>0</v>
      </c>
      <c r="H801" s="9">
        <f t="shared" si="51"/>
        <v>0</v>
      </c>
      <c r="I801" s="10">
        <f t="shared" si="52"/>
        <v>0</v>
      </c>
    </row>
    <row r="802" spans="1:9" x14ac:dyDescent="0.25">
      <c r="A802" s="2" t="s">
        <v>1235</v>
      </c>
      <c r="B802" s="2" t="s">
        <v>1234</v>
      </c>
      <c r="C802" s="2" t="s">
        <v>1069</v>
      </c>
      <c r="D802" s="2" t="s">
        <v>1406</v>
      </c>
      <c r="E802" s="2" t="s">
        <v>30</v>
      </c>
      <c r="F802" s="9">
        <f t="shared" si="49"/>
        <v>0</v>
      </c>
      <c r="G802" s="9">
        <f t="shared" si="50"/>
        <v>3839</v>
      </c>
      <c r="H802" s="9">
        <f t="shared" si="51"/>
        <v>0</v>
      </c>
      <c r="I802" s="10">
        <f t="shared" si="52"/>
        <v>3839</v>
      </c>
    </row>
    <row r="803" spans="1:9" x14ac:dyDescent="0.25">
      <c r="A803" s="2" t="s">
        <v>1237</v>
      </c>
      <c r="B803" s="2" t="s">
        <v>1236</v>
      </c>
      <c r="C803" s="2" t="s">
        <v>1069</v>
      </c>
      <c r="D803" s="2" t="s">
        <v>1406</v>
      </c>
      <c r="E803" s="2" t="s">
        <v>30</v>
      </c>
      <c r="F803" s="9">
        <f t="shared" si="49"/>
        <v>0</v>
      </c>
      <c r="G803" s="9">
        <f t="shared" si="50"/>
        <v>1829</v>
      </c>
      <c r="H803" s="9">
        <f t="shared" si="51"/>
        <v>0</v>
      </c>
      <c r="I803" s="10">
        <f t="shared" si="52"/>
        <v>1829</v>
      </c>
    </row>
    <row r="804" spans="1:9" x14ac:dyDescent="0.25">
      <c r="A804" s="2" t="s">
        <v>1239</v>
      </c>
      <c r="B804" s="2" t="s">
        <v>1238</v>
      </c>
      <c r="C804" s="2" t="s">
        <v>1069</v>
      </c>
      <c r="D804" s="2" t="s">
        <v>1406</v>
      </c>
      <c r="E804" s="2" t="s">
        <v>30</v>
      </c>
      <c r="F804" s="9">
        <f t="shared" si="49"/>
        <v>0</v>
      </c>
      <c r="G804" s="9">
        <f t="shared" si="50"/>
        <v>896</v>
      </c>
      <c r="H804" s="9">
        <f t="shared" si="51"/>
        <v>0</v>
      </c>
      <c r="I804" s="10">
        <f t="shared" si="52"/>
        <v>896</v>
      </c>
    </row>
    <row r="805" spans="1:9" x14ac:dyDescent="0.25">
      <c r="A805" s="2" t="s">
        <v>1241</v>
      </c>
      <c r="B805" s="2" t="s">
        <v>1240</v>
      </c>
      <c r="C805" s="2" t="s">
        <v>1069</v>
      </c>
      <c r="D805" s="2" t="s">
        <v>1406</v>
      </c>
      <c r="E805" s="2" t="s">
        <v>30</v>
      </c>
      <c r="F805" s="9">
        <f t="shared" si="49"/>
        <v>0</v>
      </c>
      <c r="G805" s="9">
        <f t="shared" si="50"/>
        <v>1812</v>
      </c>
      <c r="H805" s="9">
        <f t="shared" si="51"/>
        <v>0</v>
      </c>
      <c r="I805" s="10">
        <f t="shared" si="52"/>
        <v>1812</v>
      </c>
    </row>
    <row r="806" spans="1:9" x14ac:dyDescent="0.25">
      <c r="A806" s="2" t="s">
        <v>1243</v>
      </c>
      <c r="B806" s="2" t="s">
        <v>1242</v>
      </c>
      <c r="C806" s="2" t="s">
        <v>1069</v>
      </c>
      <c r="D806" s="2" t="s">
        <v>1406</v>
      </c>
      <c r="E806" s="2" t="s">
        <v>30</v>
      </c>
      <c r="F806" s="9">
        <f t="shared" si="49"/>
        <v>0</v>
      </c>
      <c r="G806" s="9">
        <f t="shared" si="50"/>
        <v>2333</v>
      </c>
      <c r="H806" s="9">
        <f t="shared" si="51"/>
        <v>0</v>
      </c>
      <c r="I806" s="10">
        <f t="shared" si="52"/>
        <v>2333</v>
      </c>
    </row>
    <row r="807" spans="1:9" x14ac:dyDescent="0.25">
      <c r="A807" s="2" t="s">
        <v>1245</v>
      </c>
      <c r="B807" s="2" t="s">
        <v>1244</v>
      </c>
      <c r="C807" s="2" t="s">
        <v>1069</v>
      </c>
      <c r="D807" s="2" t="s">
        <v>1406</v>
      </c>
      <c r="E807" s="2" t="s">
        <v>30</v>
      </c>
      <c r="F807" s="9">
        <f t="shared" si="49"/>
        <v>0</v>
      </c>
      <c r="G807" s="9">
        <f t="shared" si="50"/>
        <v>795</v>
      </c>
      <c r="H807" s="9">
        <f t="shared" si="51"/>
        <v>0</v>
      </c>
      <c r="I807" s="10">
        <f t="shared" si="52"/>
        <v>795</v>
      </c>
    </row>
    <row r="808" spans="1:9" x14ac:dyDescent="0.25">
      <c r="A808" s="2" t="s">
        <v>1247</v>
      </c>
      <c r="B808" s="2" t="s">
        <v>1246</v>
      </c>
      <c r="C808" s="2" t="s">
        <v>1069</v>
      </c>
      <c r="D808" s="2" t="s">
        <v>1406</v>
      </c>
      <c r="E808" s="2" t="s">
        <v>30</v>
      </c>
      <c r="F808" s="9">
        <f t="shared" si="49"/>
        <v>0</v>
      </c>
      <c r="G808" s="9">
        <f t="shared" si="50"/>
        <v>315</v>
      </c>
      <c r="H808" s="9">
        <f t="shared" si="51"/>
        <v>0</v>
      </c>
      <c r="I808" s="10">
        <f t="shared" si="52"/>
        <v>315</v>
      </c>
    </row>
    <row r="809" spans="1:9" x14ac:dyDescent="0.25">
      <c r="A809" s="2" t="s">
        <v>1249</v>
      </c>
      <c r="B809" s="2" t="s">
        <v>1248</v>
      </c>
      <c r="C809" s="2" t="s">
        <v>1069</v>
      </c>
      <c r="D809" s="2" t="s">
        <v>1406</v>
      </c>
      <c r="E809" s="2" t="s">
        <v>30</v>
      </c>
      <c r="F809" s="9">
        <f t="shared" si="49"/>
        <v>0</v>
      </c>
      <c r="G809" s="9">
        <f t="shared" si="50"/>
        <v>544</v>
      </c>
      <c r="H809" s="9">
        <f t="shared" si="51"/>
        <v>0</v>
      </c>
      <c r="I809" s="10">
        <f t="shared" si="52"/>
        <v>544</v>
      </c>
    </row>
    <row r="810" spans="1:9" x14ac:dyDescent="0.25">
      <c r="A810" s="2" t="s">
        <v>2322</v>
      </c>
      <c r="B810" s="2" t="s">
        <v>2323</v>
      </c>
      <c r="C810" s="2" t="s">
        <v>1069</v>
      </c>
      <c r="D810" s="2" t="s">
        <v>1406</v>
      </c>
      <c r="E810" s="2" t="s">
        <v>30</v>
      </c>
      <c r="F810" s="9">
        <f t="shared" si="49"/>
        <v>0</v>
      </c>
      <c r="G810" s="9">
        <f t="shared" si="50"/>
        <v>2415</v>
      </c>
      <c r="H810" s="9">
        <f t="shared" si="51"/>
        <v>0</v>
      </c>
      <c r="I810" s="10">
        <f t="shared" si="52"/>
        <v>2415</v>
      </c>
    </row>
    <row r="811" spans="1:9" x14ac:dyDescent="0.25">
      <c r="A811" s="2" t="s">
        <v>1251</v>
      </c>
      <c r="B811" s="2" t="s">
        <v>1250</v>
      </c>
      <c r="C811" s="2" t="s">
        <v>1069</v>
      </c>
      <c r="D811" s="2" t="s">
        <v>1406</v>
      </c>
      <c r="E811" s="2" t="s">
        <v>30</v>
      </c>
      <c r="F811" s="9">
        <f t="shared" si="49"/>
        <v>0</v>
      </c>
      <c r="G811" s="9">
        <f t="shared" si="50"/>
        <v>36</v>
      </c>
      <c r="H811" s="9">
        <f t="shared" si="51"/>
        <v>0</v>
      </c>
      <c r="I811" s="10">
        <f t="shared" si="52"/>
        <v>36</v>
      </c>
    </row>
    <row r="812" spans="1:9" x14ac:dyDescent="0.25">
      <c r="A812" s="2" t="s">
        <v>1253</v>
      </c>
      <c r="B812" s="2" t="s">
        <v>1252</v>
      </c>
      <c r="C812" s="2" t="s">
        <v>1069</v>
      </c>
      <c r="D812" s="2" t="s">
        <v>1406</v>
      </c>
      <c r="E812" s="2" t="s">
        <v>30</v>
      </c>
      <c r="F812" s="9">
        <f t="shared" si="49"/>
        <v>0</v>
      </c>
      <c r="G812" s="9">
        <f t="shared" si="50"/>
        <v>496</v>
      </c>
      <c r="H812" s="9">
        <f t="shared" si="51"/>
        <v>0</v>
      </c>
      <c r="I812" s="10">
        <f t="shared" si="52"/>
        <v>496</v>
      </c>
    </row>
    <row r="813" spans="1:9" x14ac:dyDescent="0.25">
      <c r="A813" s="2" t="s">
        <v>1255</v>
      </c>
      <c r="B813" s="2" t="s">
        <v>1254</v>
      </c>
      <c r="C813" s="2" t="s">
        <v>1069</v>
      </c>
      <c r="D813" s="2" t="s">
        <v>1406</v>
      </c>
      <c r="E813" s="2" t="s">
        <v>30</v>
      </c>
      <c r="F813" s="9">
        <f t="shared" si="49"/>
        <v>0</v>
      </c>
      <c r="G813" s="9">
        <f t="shared" si="50"/>
        <v>783</v>
      </c>
      <c r="H813" s="9">
        <f t="shared" si="51"/>
        <v>0</v>
      </c>
      <c r="I813" s="10">
        <f t="shared" si="52"/>
        <v>783</v>
      </c>
    </row>
    <row r="814" spans="1:9" x14ac:dyDescent="0.25">
      <c r="A814" s="2" t="s">
        <v>1257</v>
      </c>
      <c r="B814" s="2" t="s">
        <v>1256</v>
      </c>
      <c r="C814" s="2" t="s">
        <v>1069</v>
      </c>
      <c r="D814" s="2" t="s">
        <v>1406</v>
      </c>
      <c r="E814" s="2" t="s">
        <v>30</v>
      </c>
      <c r="F814" s="9">
        <f t="shared" si="49"/>
        <v>0</v>
      </c>
      <c r="G814" s="9">
        <f t="shared" si="50"/>
        <v>2173</v>
      </c>
      <c r="H814" s="9">
        <f t="shared" si="51"/>
        <v>0</v>
      </c>
      <c r="I814" s="10">
        <f t="shared" si="52"/>
        <v>2173</v>
      </c>
    </row>
    <row r="815" spans="1:9" x14ac:dyDescent="0.25">
      <c r="A815" s="2" t="s">
        <v>1259</v>
      </c>
      <c r="B815" s="2" t="s">
        <v>1258</v>
      </c>
      <c r="C815" s="2" t="s">
        <v>1069</v>
      </c>
      <c r="D815" s="2" t="s">
        <v>1406</v>
      </c>
      <c r="E815" s="2" t="s">
        <v>30</v>
      </c>
      <c r="F815" s="9">
        <f t="shared" si="49"/>
        <v>0</v>
      </c>
      <c r="G815" s="9">
        <f t="shared" si="50"/>
        <v>129</v>
      </c>
      <c r="H815" s="9">
        <f t="shared" si="51"/>
        <v>0</v>
      </c>
      <c r="I815" s="10">
        <f t="shared" si="52"/>
        <v>129</v>
      </c>
    </row>
    <row r="816" spans="1:9" x14ac:dyDescent="0.25">
      <c r="A816" s="2" t="s">
        <v>1261</v>
      </c>
      <c r="B816" s="2" t="s">
        <v>1260</v>
      </c>
      <c r="C816" s="2" t="s">
        <v>1069</v>
      </c>
      <c r="D816" s="2" t="s">
        <v>1406</v>
      </c>
      <c r="E816" s="2" t="s">
        <v>30</v>
      </c>
      <c r="F816" s="9">
        <f t="shared" si="49"/>
        <v>0</v>
      </c>
      <c r="G816" s="9">
        <f t="shared" si="50"/>
        <v>1504</v>
      </c>
      <c r="H816" s="9">
        <f t="shared" si="51"/>
        <v>0</v>
      </c>
      <c r="I816" s="10">
        <f t="shared" si="52"/>
        <v>1504</v>
      </c>
    </row>
    <row r="817" spans="1:9" x14ac:dyDescent="0.25">
      <c r="A817" s="2" t="s">
        <v>1263</v>
      </c>
      <c r="B817" s="2" t="s">
        <v>1262</v>
      </c>
      <c r="C817" s="2" t="s">
        <v>1069</v>
      </c>
      <c r="D817" s="2" t="s">
        <v>1406</v>
      </c>
      <c r="E817" s="2" t="s">
        <v>30</v>
      </c>
      <c r="F817" s="9">
        <f t="shared" si="49"/>
        <v>0</v>
      </c>
      <c r="G817" s="9">
        <f t="shared" si="50"/>
        <v>152</v>
      </c>
      <c r="H817" s="9">
        <f t="shared" si="51"/>
        <v>0</v>
      </c>
      <c r="I817" s="10">
        <f t="shared" si="52"/>
        <v>152</v>
      </c>
    </row>
    <row r="818" spans="1:9" x14ac:dyDescent="0.25">
      <c r="A818" s="2" t="s">
        <v>1265</v>
      </c>
      <c r="B818" s="2" t="s">
        <v>1264</v>
      </c>
      <c r="C818" s="2" t="s">
        <v>1069</v>
      </c>
      <c r="D818" s="2" t="s">
        <v>1406</v>
      </c>
      <c r="E818" s="2" t="s">
        <v>30</v>
      </c>
      <c r="F818" s="9">
        <f t="shared" si="49"/>
        <v>0</v>
      </c>
      <c r="G818" s="9">
        <f t="shared" si="50"/>
        <v>567</v>
      </c>
      <c r="H818" s="9">
        <f t="shared" si="51"/>
        <v>0</v>
      </c>
      <c r="I818" s="10">
        <f t="shared" si="52"/>
        <v>567</v>
      </c>
    </row>
    <row r="819" spans="1:9" x14ac:dyDescent="0.25">
      <c r="A819" s="2" t="s">
        <v>1267</v>
      </c>
      <c r="B819" s="2" t="s">
        <v>1266</v>
      </c>
      <c r="C819" s="2" t="s">
        <v>1069</v>
      </c>
      <c r="D819" s="2" t="s">
        <v>1406</v>
      </c>
      <c r="E819" s="2" t="s">
        <v>30</v>
      </c>
      <c r="F819" s="9">
        <f t="shared" si="49"/>
        <v>0</v>
      </c>
      <c r="G819" s="9">
        <f t="shared" si="50"/>
        <v>0</v>
      </c>
      <c r="H819" s="9">
        <f t="shared" si="51"/>
        <v>0</v>
      </c>
      <c r="I819" s="10">
        <f t="shared" si="52"/>
        <v>0</v>
      </c>
    </row>
    <row r="820" spans="1:9" x14ac:dyDescent="0.25">
      <c r="A820" s="2" t="s">
        <v>1269</v>
      </c>
      <c r="B820" s="2" t="s">
        <v>1268</v>
      </c>
      <c r="C820" s="2" t="s">
        <v>1069</v>
      </c>
      <c r="D820" s="2" t="s">
        <v>1406</v>
      </c>
      <c r="E820" s="2" t="s">
        <v>30</v>
      </c>
      <c r="F820" s="9">
        <f t="shared" si="49"/>
        <v>0</v>
      </c>
      <c r="G820" s="9">
        <f t="shared" si="50"/>
        <v>320</v>
      </c>
      <c r="H820" s="9">
        <f t="shared" si="51"/>
        <v>0</v>
      </c>
      <c r="I820" s="10">
        <f t="shared" si="52"/>
        <v>320</v>
      </c>
    </row>
    <row r="821" spans="1:9" x14ac:dyDescent="0.25">
      <c r="A821" s="2" t="s">
        <v>1271</v>
      </c>
      <c r="B821" s="2" t="s">
        <v>1270</v>
      </c>
      <c r="C821" s="2" t="s">
        <v>1069</v>
      </c>
      <c r="D821" s="2" t="s">
        <v>1406</v>
      </c>
      <c r="E821" s="2" t="s">
        <v>30</v>
      </c>
      <c r="F821" s="9">
        <f t="shared" si="49"/>
        <v>0</v>
      </c>
      <c r="G821" s="9">
        <f t="shared" si="50"/>
        <v>648</v>
      </c>
      <c r="H821" s="9">
        <f t="shared" si="51"/>
        <v>0</v>
      </c>
      <c r="I821" s="10">
        <f t="shared" si="52"/>
        <v>648</v>
      </c>
    </row>
    <row r="822" spans="1:9" x14ac:dyDescent="0.25">
      <c r="A822" s="2" t="s">
        <v>1273</v>
      </c>
      <c r="B822" s="2" t="s">
        <v>1272</v>
      </c>
      <c r="C822" s="2" t="s">
        <v>1069</v>
      </c>
      <c r="D822" s="2" t="s">
        <v>1406</v>
      </c>
      <c r="E822" s="2" t="s">
        <v>30</v>
      </c>
      <c r="F822" s="9">
        <f t="shared" si="49"/>
        <v>0</v>
      </c>
      <c r="G822" s="9">
        <f t="shared" si="50"/>
        <v>594</v>
      </c>
      <c r="H822" s="9">
        <f t="shared" si="51"/>
        <v>0</v>
      </c>
      <c r="I822" s="10">
        <f t="shared" si="52"/>
        <v>594</v>
      </c>
    </row>
    <row r="823" spans="1:9" x14ac:dyDescent="0.25">
      <c r="A823" s="2" t="s">
        <v>1275</v>
      </c>
      <c r="B823" s="2" t="s">
        <v>1274</v>
      </c>
      <c r="C823" s="2" t="s">
        <v>1069</v>
      </c>
      <c r="D823" s="2" t="s">
        <v>1406</v>
      </c>
      <c r="E823" s="2" t="s">
        <v>30</v>
      </c>
      <c r="F823" s="9">
        <f t="shared" si="49"/>
        <v>0</v>
      </c>
      <c r="G823" s="9">
        <f t="shared" si="50"/>
        <v>264</v>
      </c>
      <c r="H823" s="9">
        <f t="shared" si="51"/>
        <v>0</v>
      </c>
      <c r="I823" s="10">
        <f t="shared" si="52"/>
        <v>264</v>
      </c>
    </row>
    <row r="824" spans="1:9" x14ac:dyDescent="0.25">
      <c r="A824" s="2" t="s">
        <v>1277</v>
      </c>
      <c r="B824" s="2" t="s">
        <v>1276</v>
      </c>
      <c r="C824" s="2" t="s">
        <v>1069</v>
      </c>
      <c r="D824" s="2" t="s">
        <v>1406</v>
      </c>
      <c r="E824" s="2" t="s">
        <v>30</v>
      </c>
      <c r="F824" s="9">
        <f t="shared" si="49"/>
        <v>0</v>
      </c>
      <c r="G824" s="9">
        <f t="shared" si="50"/>
        <v>66</v>
      </c>
      <c r="H824" s="9">
        <f t="shared" si="51"/>
        <v>0</v>
      </c>
      <c r="I824" s="10">
        <f t="shared" si="52"/>
        <v>66</v>
      </c>
    </row>
    <row r="825" spans="1:9" x14ac:dyDescent="0.25">
      <c r="A825" s="2" t="s">
        <v>1279</v>
      </c>
      <c r="B825" s="2" t="s">
        <v>1278</v>
      </c>
      <c r="C825" s="2" t="s">
        <v>1069</v>
      </c>
      <c r="D825" s="2" t="s">
        <v>1406</v>
      </c>
      <c r="E825" s="2" t="s">
        <v>30</v>
      </c>
      <c r="F825" s="9">
        <f t="shared" si="49"/>
        <v>0</v>
      </c>
      <c r="G825" s="9">
        <f t="shared" si="50"/>
        <v>58</v>
      </c>
      <c r="H825" s="9">
        <f t="shared" si="51"/>
        <v>0</v>
      </c>
      <c r="I825" s="10">
        <f t="shared" si="52"/>
        <v>58</v>
      </c>
    </row>
    <row r="826" spans="1:9" x14ac:dyDescent="0.25">
      <c r="A826" s="2" t="s">
        <v>1281</v>
      </c>
      <c r="B826" s="2" t="s">
        <v>1280</v>
      </c>
      <c r="C826" s="2" t="s">
        <v>1069</v>
      </c>
      <c r="D826" s="2" t="s">
        <v>1406</v>
      </c>
      <c r="E826" s="2" t="s">
        <v>30</v>
      </c>
      <c r="F826" s="9">
        <f t="shared" si="49"/>
        <v>0</v>
      </c>
      <c r="G826" s="9">
        <f t="shared" si="50"/>
        <v>213</v>
      </c>
      <c r="H826" s="9">
        <f t="shared" si="51"/>
        <v>0</v>
      </c>
      <c r="I826" s="10">
        <f t="shared" si="52"/>
        <v>213</v>
      </c>
    </row>
    <row r="827" spans="1:9" x14ac:dyDescent="0.25">
      <c r="A827" s="2" t="s">
        <v>1283</v>
      </c>
      <c r="B827" s="2" t="s">
        <v>1282</v>
      </c>
      <c r="C827" s="2" t="s">
        <v>1069</v>
      </c>
      <c r="D827" s="2" t="s">
        <v>1406</v>
      </c>
      <c r="E827" s="2" t="s">
        <v>30</v>
      </c>
      <c r="F827" s="9">
        <f t="shared" si="49"/>
        <v>0</v>
      </c>
      <c r="G827" s="9">
        <f t="shared" si="50"/>
        <v>117</v>
      </c>
      <c r="H827" s="9">
        <f t="shared" si="51"/>
        <v>0</v>
      </c>
      <c r="I827" s="10">
        <f t="shared" si="52"/>
        <v>117</v>
      </c>
    </row>
    <row r="828" spans="1:9" x14ac:dyDescent="0.25">
      <c r="A828" s="2" t="s">
        <v>1285</v>
      </c>
      <c r="B828" s="2" t="s">
        <v>1284</v>
      </c>
      <c r="C828" s="2" t="s">
        <v>1069</v>
      </c>
      <c r="D828" s="2" t="s">
        <v>1406</v>
      </c>
      <c r="E828" s="2" t="s">
        <v>30</v>
      </c>
      <c r="F828" s="9">
        <f t="shared" si="49"/>
        <v>0</v>
      </c>
      <c r="G828" s="9">
        <f t="shared" si="50"/>
        <v>514</v>
      </c>
      <c r="H828" s="9">
        <f t="shared" si="51"/>
        <v>0</v>
      </c>
      <c r="I828" s="10">
        <f t="shared" si="52"/>
        <v>514</v>
      </c>
    </row>
    <row r="829" spans="1:9" x14ac:dyDescent="0.25">
      <c r="A829" s="2" t="s">
        <v>1287</v>
      </c>
      <c r="B829" s="2" t="s">
        <v>1286</v>
      </c>
      <c r="C829" s="2" t="s">
        <v>1069</v>
      </c>
      <c r="D829" s="2" t="s">
        <v>1406</v>
      </c>
      <c r="E829" s="2" t="s">
        <v>30</v>
      </c>
      <c r="F829" s="9">
        <f t="shared" si="49"/>
        <v>0</v>
      </c>
      <c r="G829" s="9">
        <f t="shared" si="50"/>
        <v>188</v>
      </c>
      <c r="H829" s="9">
        <f t="shared" si="51"/>
        <v>0</v>
      </c>
      <c r="I829" s="10">
        <f t="shared" si="52"/>
        <v>188</v>
      </c>
    </row>
    <row r="830" spans="1:9" x14ac:dyDescent="0.25">
      <c r="A830" s="2" t="s">
        <v>1289</v>
      </c>
      <c r="B830" s="2" t="s">
        <v>1288</v>
      </c>
      <c r="C830" s="2" t="s">
        <v>1069</v>
      </c>
      <c r="D830" s="2" t="s">
        <v>1406</v>
      </c>
      <c r="E830" s="2" t="s">
        <v>30</v>
      </c>
      <c r="F830" s="9">
        <f t="shared" si="49"/>
        <v>0</v>
      </c>
      <c r="G830" s="9">
        <f t="shared" si="50"/>
        <v>31</v>
      </c>
      <c r="H830" s="9">
        <f t="shared" si="51"/>
        <v>0</v>
      </c>
      <c r="I830" s="10">
        <f t="shared" si="52"/>
        <v>31</v>
      </c>
    </row>
    <row r="831" spans="1:9" x14ac:dyDescent="0.25">
      <c r="A831" s="2" t="s">
        <v>1291</v>
      </c>
      <c r="B831" s="2" t="s">
        <v>1290</v>
      </c>
      <c r="C831" s="2" t="s">
        <v>1069</v>
      </c>
      <c r="D831" s="2" t="s">
        <v>1406</v>
      </c>
      <c r="E831" s="2" t="s">
        <v>30</v>
      </c>
      <c r="F831" s="9">
        <f t="shared" ref="F831:F894" si="53">IFERROR(VLOOKUP(A831,condi,8,0),0)</f>
        <v>0</v>
      </c>
      <c r="G831" s="9">
        <f t="shared" ref="G831:G894" si="54">IFERROR(VLOOKUP(A831,maqui,8,0),0)</f>
        <v>1053</v>
      </c>
      <c r="H831" s="9">
        <f t="shared" ref="H831:H894" si="55">IFERROR(VLOOKUP(A831,ascint,8,0),0)</f>
        <v>0</v>
      </c>
      <c r="I831" s="10">
        <f t="shared" si="52"/>
        <v>1053</v>
      </c>
    </row>
    <row r="832" spans="1:9" x14ac:dyDescent="0.25">
      <c r="A832" s="2" t="s">
        <v>1293</v>
      </c>
      <c r="B832" s="2" t="s">
        <v>1292</v>
      </c>
      <c r="C832" s="2" t="s">
        <v>1069</v>
      </c>
      <c r="D832" s="2" t="s">
        <v>1406</v>
      </c>
      <c r="E832" s="2" t="s">
        <v>30</v>
      </c>
      <c r="F832" s="9">
        <f t="shared" si="53"/>
        <v>0</v>
      </c>
      <c r="G832" s="9">
        <f t="shared" si="54"/>
        <v>1331</v>
      </c>
      <c r="H832" s="9">
        <f t="shared" si="55"/>
        <v>0</v>
      </c>
      <c r="I832" s="10">
        <f t="shared" si="52"/>
        <v>1331</v>
      </c>
    </row>
    <row r="833" spans="1:9" x14ac:dyDescent="0.25">
      <c r="A833" s="2" t="s">
        <v>2324</v>
      </c>
      <c r="B833" s="2" t="s">
        <v>2325</v>
      </c>
      <c r="C833" s="2" t="s">
        <v>1069</v>
      </c>
      <c r="D833" s="2" t="s">
        <v>1406</v>
      </c>
      <c r="E833" s="2" t="s">
        <v>30</v>
      </c>
      <c r="F833" s="9">
        <f t="shared" si="53"/>
        <v>0</v>
      </c>
      <c r="G833" s="9">
        <f t="shared" si="54"/>
        <v>10</v>
      </c>
      <c r="H833" s="9">
        <f t="shared" si="55"/>
        <v>0</v>
      </c>
      <c r="I833" s="10">
        <f t="shared" si="52"/>
        <v>10</v>
      </c>
    </row>
    <row r="834" spans="1:9" x14ac:dyDescent="0.25">
      <c r="A834" s="2" t="s">
        <v>2326</v>
      </c>
      <c r="B834" s="2" t="s">
        <v>2327</v>
      </c>
      <c r="C834" s="2" t="s">
        <v>1069</v>
      </c>
      <c r="D834" s="2" t="s">
        <v>1406</v>
      </c>
      <c r="E834" s="2" t="s">
        <v>30</v>
      </c>
      <c r="F834" s="9">
        <f t="shared" si="53"/>
        <v>0</v>
      </c>
      <c r="G834" s="9">
        <f t="shared" si="54"/>
        <v>95</v>
      </c>
      <c r="H834" s="9">
        <f t="shared" si="55"/>
        <v>0</v>
      </c>
      <c r="I834" s="10">
        <f t="shared" si="52"/>
        <v>95</v>
      </c>
    </row>
    <row r="835" spans="1:9" x14ac:dyDescent="0.25">
      <c r="A835" s="2" t="s">
        <v>2328</v>
      </c>
      <c r="B835" s="2" t="s">
        <v>2329</v>
      </c>
      <c r="C835" s="2" t="s">
        <v>1069</v>
      </c>
      <c r="D835" s="2" t="s">
        <v>1406</v>
      </c>
      <c r="E835" s="2" t="s">
        <v>30</v>
      </c>
      <c r="F835" s="9">
        <f t="shared" si="53"/>
        <v>0</v>
      </c>
      <c r="G835" s="9">
        <f t="shared" si="54"/>
        <v>176</v>
      </c>
      <c r="H835" s="9">
        <f t="shared" si="55"/>
        <v>0</v>
      </c>
      <c r="I835" s="10">
        <f t="shared" si="52"/>
        <v>176</v>
      </c>
    </row>
    <row r="836" spans="1:9" x14ac:dyDescent="0.25">
      <c r="A836" s="2" t="s">
        <v>2330</v>
      </c>
      <c r="B836" s="2" t="s">
        <v>2331</v>
      </c>
      <c r="C836" s="2" t="s">
        <v>1069</v>
      </c>
      <c r="D836" s="2" t="s">
        <v>1406</v>
      </c>
      <c r="E836" s="2" t="s">
        <v>30</v>
      </c>
      <c r="F836" s="9">
        <f t="shared" si="53"/>
        <v>0</v>
      </c>
      <c r="G836" s="9">
        <f t="shared" si="54"/>
        <v>205</v>
      </c>
      <c r="H836" s="9">
        <f t="shared" si="55"/>
        <v>0</v>
      </c>
      <c r="I836" s="10">
        <f t="shared" si="52"/>
        <v>205</v>
      </c>
    </row>
    <row r="837" spans="1:9" x14ac:dyDescent="0.25">
      <c r="A837" s="2" t="s">
        <v>1295</v>
      </c>
      <c r="B837" s="2" t="s">
        <v>1294</v>
      </c>
      <c r="C837" s="2" t="s">
        <v>1069</v>
      </c>
      <c r="D837" s="2" t="s">
        <v>1406</v>
      </c>
      <c r="E837" s="2" t="s">
        <v>30</v>
      </c>
      <c r="F837" s="9">
        <f t="shared" si="53"/>
        <v>0</v>
      </c>
      <c r="G837" s="9">
        <f t="shared" si="54"/>
        <v>148</v>
      </c>
      <c r="H837" s="9">
        <f t="shared" si="55"/>
        <v>0</v>
      </c>
      <c r="I837" s="10">
        <f t="shared" ref="I837:I900" si="56">+F837+G837+H837</f>
        <v>148</v>
      </c>
    </row>
    <row r="838" spans="1:9" x14ac:dyDescent="0.25">
      <c r="A838" s="2" t="s">
        <v>1297</v>
      </c>
      <c r="B838" s="2" t="s">
        <v>1296</v>
      </c>
      <c r="C838" s="2" t="s">
        <v>1069</v>
      </c>
      <c r="D838" s="2" t="s">
        <v>1406</v>
      </c>
      <c r="E838" s="2" t="s">
        <v>30</v>
      </c>
      <c r="F838" s="9">
        <f t="shared" si="53"/>
        <v>0</v>
      </c>
      <c r="G838" s="9">
        <f t="shared" si="54"/>
        <v>54</v>
      </c>
      <c r="H838" s="9">
        <f t="shared" si="55"/>
        <v>0</v>
      </c>
      <c r="I838" s="10">
        <f t="shared" si="56"/>
        <v>54</v>
      </c>
    </row>
    <row r="839" spans="1:9" x14ac:dyDescent="0.25">
      <c r="A839" s="2" t="s">
        <v>1299</v>
      </c>
      <c r="B839" s="2" t="s">
        <v>1298</v>
      </c>
      <c r="C839" s="2" t="s">
        <v>1069</v>
      </c>
      <c r="D839" s="2" t="s">
        <v>1406</v>
      </c>
      <c r="E839" s="2" t="s">
        <v>30</v>
      </c>
      <c r="F839" s="9">
        <f t="shared" si="53"/>
        <v>0</v>
      </c>
      <c r="G839" s="9">
        <f t="shared" si="54"/>
        <v>798</v>
      </c>
      <c r="H839" s="9">
        <f t="shared" si="55"/>
        <v>0</v>
      </c>
      <c r="I839" s="10">
        <f t="shared" si="56"/>
        <v>798</v>
      </c>
    </row>
    <row r="840" spans="1:9" x14ac:dyDescent="0.25">
      <c r="A840" s="2" t="s">
        <v>1301</v>
      </c>
      <c r="B840" s="2" t="s">
        <v>1300</v>
      </c>
      <c r="C840" s="2" t="s">
        <v>1069</v>
      </c>
      <c r="D840" s="2" t="s">
        <v>1406</v>
      </c>
      <c r="E840" s="2" t="s">
        <v>30</v>
      </c>
      <c r="F840" s="9">
        <f t="shared" si="53"/>
        <v>0</v>
      </c>
      <c r="G840" s="9">
        <f t="shared" si="54"/>
        <v>219</v>
      </c>
      <c r="H840" s="9">
        <f t="shared" si="55"/>
        <v>0</v>
      </c>
      <c r="I840" s="10">
        <f t="shared" si="56"/>
        <v>219</v>
      </c>
    </row>
    <row r="841" spans="1:9" x14ac:dyDescent="0.25">
      <c r="A841" s="2" t="s">
        <v>1303</v>
      </c>
      <c r="B841" s="2" t="s">
        <v>1302</v>
      </c>
      <c r="C841" s="2" t="s">
        <v>1069</v>
      </c>
      <c r="D841" s="2" t="s">
        <v>1406</v>
      </c>
      <c r="E841" s="2" t="s">
        <v>30</v>
      </c>
      <c r="F841" s="9">
        <f t="shared" si="53"/>
        <v>0</v>
      </c>
      <c r="G841" s="9">
        <f t="shared" si="54"/>
        <v>675</v>
      </c>
      <c r="H841" s="9">
        <f t="shared" si="55"/>
        <v>0</v>
      </c>
      <c r="I841" s="10">
        <f t="shared" si="56"/>
        <v>675</v>
      </c>
    </row>
    <row r="842" spans="1:9" x14ac:dyDescent="0.25">
      <c r="A842" s="2" t="s">
        <v>1305</v>
      </c>
      <c r="B842" s="2" t="s">
        <v>1304</v>
      </c>
      <c r="C842" s="2" t="s">
        <v>1069</v>
      </c>
      <c r="D842" s="2" t="s">
        <v>1406</v>
      </c>
      <c r="E842" s="2" t="s">
        <v>30</v>
      </c>
      <c r="F842" s="9">
        <f t="shared" si="53"/>
        <v>0</v>
      </c>
      <c r="G842" s="9">
        <f t="shared" si="54"/>
        <v>666</v>
      </c>
      <c r="H842" s="9">
        <f t="shared" si="55"/>
        <v>0</v>
      </c>
      <c r="I842" s="10">
        <f t="shared" si="56"/>
        <v>666</v>
      </c>
    </row>
    <row r="843" spans="1:9" x14ac:dyDescent="0.25">
      <c r="A843" s="2" t="s">
        <v>2332</v>
      </c>
      <c r="B843" s="2" t="s">
        <v>2333</v>
      </c>
      <c r="C843" s="2" t="s">
        <v>1069</v>
      </c>
      <c r="D843" s="2" t="s">
        <v>1406</v>
      </c>
      <c r="E843" s="2" t="s">
        <v>30</v>
      </c>
      <c r="F843" s="9">
        <f t="shared" si="53"/>
        <v>0</v>
      </c>
      <c r="G843" s="9">
        <f t="shared" si="54"/>
        <v>5</v>
      </c>
      <c r="H843" s="9">
        <f t="shared" si="55"/>
        <v>0</v>
      </c>
      <c r="I843" s="10">
        <f t="shared" si="56"/>
        <v>5</v>
      </c>
    </row>
    <row r="844" spans="1:9" x14ac:dyDescent="0.25">
      <c r="A844" s="2" t="s">
        <v>2334</v>
      </c>
      <c r="B844" s="2" t="s">
        <v>2335</v>
      </c>
      <c r="C844" s="2" t="s">
        <v>1069</v>
      </c>
      <c r="D844" s="2" t="s">
        <v>1406</v>
      </c>
      <c r="E844" s="2" t="s">
        <v>30</v>
      </c>
      <c r="F844" s="9">
        <f t="shared" si="53"/>
        <v>0</v>
      </c>
      <c r="G844" s="9">
        <f t="shared" si="54"/>
        <v>185</v>
      </c>
      <c r="H844" s="9">
        <f t="shared" si="55"/>
        <v>0</v>
      </c>
      <c r="I844" s="10">
        <f t="shared" si="56"/>
        <v>185</v>
      </c>
    </row>
    <row r="845" spans="1:9" x14ac:dyDescent="0.25">
      <c r="A845" s="2" t="s">
        <v>2336</v>
      </c>
      <c r="B845" s="2" t="s">
        <v>2337</v>
      </c>
      <c r="C845" s="2" t="s">
        <v>1069</v>
      </c>
      <c r="D845" s="2" t="s">
        <v>1406</v>
      </c>
      <c r="E845" s="2" t="s">
        <v>30</v>
      </c>
      <c r="F845" s="9">
        <f t="shared" si="53"/>
        <v>0</v>
      </c>
      <c r="G845" s="9">
        <f t="shared" si="54"/>
        <v>174</v>
      </c>
      <c r="H845" s="9">
        <f t="shared" si="55"/>
        <v>0</v>
      </c>
      <c r="I845" s="10">
        <f t="shared" si="56"/>
        <v>174</v>
      </c>
    </row>
    <row r="846" spans="1:9" x14ac:dyDescent="0.25">
      <c r="A846" s="2" t="s">
        <v>2338</v>
      </c>
      <c r="B846" s="2" t="s">
        <v>2339</v>
      </c>
      <c r="C846" s="2" t="s">
        <v>1069</v>
      </c>
      <c r="D846" s="2" t="s">
        <v>1406</v>
      </c>
      <c r="E846" s="2" t="s">
        <v>30</v>
      </c>
      <c r="F846" s="9">
        <f t="shared" si="53"/>
        <v>0</v>
      </c>
      <c r="G846" s="9">
        <f t="shared" si="54"/>
        <v>205</v>
      </c>
      <c r="H846" s="9">
        <f t="shared" si="55"/>
        <v>0</v>
      </c>
      <c r="I846" s="10">
        <f t="shared" si="56"/>
        <v>205</v>
      </c>
    </row>
    <row r="847" spans="1:9" x14ac:dyDescent="0.25">
      <c r="A847" s="2" t="s">
        <v>1307</v>
      </c>
      <c r="B847" s="2" t="s">
        <v>1306</v>
      </c>
      <c r="C847" s="2" t="s">
        <v>1069</v>
      </c>
      <c r="D847" s="2" t="s">
        <v>1406</v>
      </c>
      <c r="E847" s="2" t="s">
        <v>30</v>
      </c>
      <c r="F847" s="9">
        <f t="shared" si="53"/>
        <v>0</v>
      </c>
      <c r="G847" s="9">
        <f t="shared" si="54"/>
        <v>1965</v>
      </c>
      <c r="H847" s="9">
        <f t="shared" si="55"/>
        <v>0</v>
      </c>
      <c r="I847" s="10">
        <f t="shared" si="56"/>
        <v>1965</v>
      </c>
    </row>
    <row r="848" spans="1:9" x14ac:dyDescent="0.25">
      <c r="A848" s="2" t="s">
        <v>1309</v>
      </c>
      <c r="B848" s="2" t="s">
        <v>1308</v>
      </c>
      <c r="C848" s="2" t="s">
        <v>1069</v>
      </c>
      <c r="D848" s="2" t="s">
        <v>1406</v>
      </c>
      <c r="E848" s="2" t="s">
        <v>30</v>
      </c>
      <c r="F848" s="9">
        <f t="shared" si="53"/>
        <v>0</v>
      </c>
      <c r="G848" s="9">
        <f t="shared" si="54"/>
        <v>1049</v>
      </c>
      <c r="H848" s="9">
        <f t="shared" si="55"/>
        <v>0</v>
      </c>
      <c r="I848" s="10">
        <f t="shared" si="56"/>
        <v>1049</v>
      </c>
    </row>
    <row r="849" spans="1:9" x14ac:dyDescent="0.25">
      <c r="A849" s="2" t="s">
        <v>2340</v>
      </c>
      <c r="B849" s="2" t="s">
        <v>2341</v>
      </c>
      <c r="C849" s="2" t="s">
        <v>1069</v>
      </c>
      <c r="D849" s="2" t="s">
        <v>1406</v>
      </c>
      <c r="E849" s="2" t="s">
        <v>30</v>
      </c>
      <c r="F849" s="9">
        <f t="shared" si="53"/>
        <v>0</v>
      </c>
      <c r="G849" s="9">
        <f t="shared" si="54"/>
        <v>1415</v>
      </c>
      <c r="H849" s="9">
        <f t="shared" si="55"/>
        <v>0</v>
      </c>
      <c r="I849" s="10">
        <f t="shared" si="56"/>
        <v>1415</v>
      </c>
    </row>
    <row r="850" spans="1:9" x14ac:dyDescent="0.25">
      <c r="A850" s="2" t="s">
        <v>1311</v>
      </c>
      <c r="B850" s="2" t="s">
        <v>1310</v>
      </c>
      <c r="C850" s="2" t="s">
        <v>1069</v>
      </c>
      <c r="D850" s="2" t="s">
        <v>1406</v>
      </c>
      <c r="E850" s="2" t="s">
        <v>30</v>
      </c>
      <c r="F850" s="9">
        <f t="shared" si="53"/>
        <v>0</v>
      </c>
      <c r="G850" s="9">
        <f t="shared" si="54"/>
        <v>2192</v>
      </c>
      <c r="H850" s="9">
        <f t="shared" si="55"/>
        <v>0</v>
      </c>
      <c r="I850" s="10">
        <f t="shared" si="56"/>
        <v>2192</v>
      </c>
    </row>
    <row r="851" spans="1:9" x14ac:dyDescent="0.25">
      <c r="A851" s="2" t="s">
        <v>1313</v>
      </c>
      <c r="B851" s="2" t="s">
        <v>1312</v>
      </c>
      <c r="C851" s="2" t="s">
        <v>1069</v>
      </c>
      <c r="D851" s="2" t="s">
        <v>1406</v>
      </c>
      <c r="E851" s="2" t="s">
        <v>30</v>
      </c>
      <c r="F851" s="9">
        <f t="shared" si="53"/>
        <v>0</v>
      </c>
      <c r="G851" s="9">
        <f t="shared" si="54"/>
        <v>822</v>
      </c>
      <c r="H851" s="9">
        <f t="shared" si="55"/>
        <v>0</v>
      </c>
      <c r="I851" s="10">
        <f t="shared" si="56"/>
        <v>822</v>
      </c>
    </row>
    <row r="852" spans="1:9" x14ac:dyDescent="0.25">
      <c r="A852" s="2" t="s">
        <v>2342</v>
      </c>
      <c r="B852" s="2" t="s">
        <v>2343</v>
      </c>
      <c r="C852" s="2" t="s">
        <v>1069</v>
      </c>
      <c r="D852" s="2" t="s">
        <v>1406</v>
      </c>
      <c r="E852" s="2" t="s">
        <v>30</v>
      </c>
      <c r="F852" s="9">
        <f t="shared" si="53"/>
        <v>0</v>
      </c>
      <c r="G852" s="9">
        <f t="shared" si="54"/>
        <v>1434</v>
      </c>
      <c r="H852" s="9">
        <f t="shared" si="55"/>
        <v>0</v>
      </c>
      <c r="I852" s="10">
        <f t="shared" si="56"/>
        <v>1434</v>
      </c>
    </row>
    <row r="853" spans="1:9" x14ac:dyDescent="0.25">
      <c r="A853" s="2" t="s">
        <v>1315</v>
      </c>
      <c r="B853" s="2" t="s">
        <v>1314</v>
      </c>
      <c r="C853" s="2" t="s">
        <v>1069</v>
      </c>
      <c r="D853" s="2" t="s">
        <v>1406</v>
      </c>
      <c r="E853" s="2" t="s">
        <v>30</v>
      </c>
      <c r="F853" s="9">
        <f t="shared" si="53"/>
        <v>0</v>
      </c>
      <c r="G853" s="9">
        <f t="shared" si="54"/>
        <v>375</v>
      </c>
      <c r="H853" s="9">
        <f t="shared" si="55"/>
        <v>0</v>
      </c>
      <c r="I853" s="10">
        <f t="shared" si="56"/>
        <v>375</v>
      </c>
    </row>
    <row r="854" spans="1:9" x14ac:dyDescent="0.25">
      <c r="A854" s="2" t="s">
        <v>2344</v>
      </c>
      <c r="B854" s="2" t="s">
        <v>2345</v>
      </c>
      <c r="C854" s="2" t="s">
        <v>1069</v>
      </c>
      <c r="D854" s="2" t="s">
        <v>1406</v>
      </c>
      <c r="E854" s="2" t="s">
        <v>30</v>
      </c>
      <c r="F854" s="9">
        <f t="shared" si="53"/>
        <v>0</v>
      </c>
      <c r="G854" s="9">
        <f t="shared" si="54"/>
        <v>170</v>
      </c>
      <c r="H854" s="9">
        <f t="shared" si="55"/>
        <v>0</v>
      </c>
      <c r="I854" s="10">
        <f t="shared" si="56"/>
        <v>170</v>
      </c>
    </row>
    <row r="855" spans="1:9" x14ac:dyDescent="0.25">
      <c r="A855" s="2" t="s">
        <v>1317</v>
      </c>
      <c r="B855" s="2" t="s">
        <v>1316</v>
      </c>
      <c r="C855" s="2" t="s">
        <v>1069</v>
      </c>
      <c r="D855" s="2" t="s">
        <v>1406</v>
      </c>
      <c r="E855" s="2" t="s">
        <v>30</v>
      </c>
      <c r="F855" s="9">
        <f t="shared" si="53"/>
        <v>0</v>
      </c>
      <c r="G855" s="9">
        <f t="shared" si="54"/>
        <v>204</v>
      </c>
      <c r="H855" s="9">
        <f t="shared" si="55"/>
        <v>0</v>
      </c>
      <c r="I855" s="10">
        <f t="shared" si="56"/>
        <v>204</v>
      </c>
    </row>
    <row r="856" spans="1:9" x14ac:dyDescent="0.25">
      <c r="A856" s="2" t="s">
        <v>2346</v>
      </c>
      <c r="B856" s="2" t="s">
        <v>2347</v>
      </c>
      <c r="C856" s="2" t="s">
        <v>1069</v>
      </c>
      <c r="D856" s="2" t="s">
        <v>1406</v>
      </c>
      <c r="E856" s="2" t="s">
        <v>30</v>
      </c>
      <c r="F856" s="9">
        <f t="shared" si="53"/>
        <v>0</v>
      </c>
      <c r="G856" s="9">
        <f t="shared" si="54"/>
        <v>176</v>
      </c>
      <c r="H856" s="9">
        <f t="shared" si="55"/>
        <v>0</v>
      </c>
      <c r="I856" s="10">
        <f t="shared" si="56"/>
        <v>176</v>
      </c>
    </row>
    <row r="857" spans="1:9" x14ac:dyDescent="0.25">
      <c r="A857" s="2" t="s">
        <v>1319</v>
      </c>
      <c r="B857" s="2" t="s">
        <v>1318</v>
      </c>
      <c r="C857" s="2" t="s">
        <v>1069</v>
      </c>
      <c r="D857" s="2" t="s">
        <v>1406</v>
      </c>
      <c r="E857" s="2" t="s">
        <v>30</v>
      </c>
      <c r="F857" s="9">
        <f t="shared" si="53"/>
        <v>0</v>
      </c>
      <c r="G857" s="9">
        <f t="shared" si="54"/>
        <v>1044</v>
      </c>
      <c r="H857" s="9">
        <f t="shared" si="55"/>
        <v>0</v>
      </c>
      <c r="I857" s="10">
        <f t="shared" si="56"/>
        <v>1044</v>
      </c>
    </row>
    <row r="858" spans="1:9" x14ac:dyDescent="0.25">
      <c r="A858" s="2" t="s">
        <v>1321</v>
      </c>
      <c r="B858" s="2" t="s">
        <v>1320</v>
      </c>
      <c r="C858" s="2" t="s">
        <v>1069</v>
      </c>
      <c r="D858" s="2" t="s">
        <v>1406</v>
      </c>
      <c r="E858" s="2" t="s">
        <v>30</v>
      </c>
      <c r="F858" s="9">
        <f t="shared" si="53"/>
        <v>0</v>
      </c>
      <c r="G858" s="9">
        <f t="shared" si="54"/>
        <v>404</v>
      </c>
      <c r="H858" s="9">
        <f t="shared" si="55"/>
        <v>0</v>
      </c>
      <c r="I858" s="10">
        <f t="shared" si="56"/>
        <v>404</v>
      </c>
    </row>
    <row r="859" spans="1:9" x14ac:dyDescent="0.25">
      <c r="A859" s="2" t="s">
        <v>1323</v>
      </c>
      <c r="B859" s="2" t="s">
        <v>1322</v>
      </c>
      <c r="C859" s="2" t="s">
        <v>1069</v>
      </c>
      <c r="D859" s="2" t="s">
        <v>1406</v>
      </c>
      <c r="E859" s="2" t="s">
        <v>30</v>
      </c>
      <c r="F859" s="9">
        <f t="shared" si="53"/>
        <v>0</v>
      </c>
      <c r="G859" s="9">
        <f t="shared" si="54"/>
        <v>220</v>
      </c>
      <c r="H859" s="9">
        <f t="shared" si="55"/>
        <v>0</v>
      </c>
      <c r="I859" s="10">
        <f t="shared" si="56"/>
        <v>220</v>
      </c>
    </row>
    <row r="860" spans="1:9" x14ac:dyDescent="0.25">
      <c r="A860" s="2" t="s">
        <v>1325</v>
      </c>
      <c r="B860" s="2" t="s">
        <v>1324</v>
      </c>
      <c r="C860" s="2" t="s">
        <v>1069</v>
      </c>
      <c r="D860" s="2" t="s">
        <v>1406</v>
      </c>
      <c r="E860" s="2" t="s">
        <v>30</v>
      </c>
      <c r="F860" s="9">
        <f t="shared" si="53"/>
        <v>0</v>
      </c>
      <c r="G860" s="9">
        <f t="shared" si="54"/>
        <v>337</v>
      </c>
      <c r="H860" s="9">
        <f t="shared" si="55"/>
        <v>0</v>
      </c>
      <c r="I860" s="10">
        <f t="shared" si="56"/>
        <v>337</v>
      </c>
    </row>
    <row r="861" spans="1:9" x14ac:dyDescent="0.25">
      <c r="A861" s="2" t="s">
        <v>1327</v>
      </c>
      <c r="B861" s="2" t="s">
        <v>1326</v>
      </c>
      <c r="C861" s="2" t="s">
        <v>1069</v>
      </c>
      <c r="D861" s="2" t="s">
        <v>1406</v>
      </c>
      <c r="E861" s="2" t="s">
        <v>30</v>
      </c>
      <c r="F861" s="9">
        <f t="shared" si="53"/>
        <v>0</v>
      </c>
      <c r="G861" s="9">
        <f t="shared" si="54"/>
        <v>341</v>
      </c>
      <c r="H861" s="9">
        <f t="shared" si="55"/>
        <v>0</v>
      </c>
      <c r="I861" s="10">
        <f t="shared" si="56"/>
        <v>341</v>
      </c>
    </row>
    <row r="862" spans="1:9" x14ac:dyDescent="0.25">
      <c r="A862" s="2" t="s">
        <v>1329</v>
      </c>
      <c r="B862" s="2" t="s">
        <v>1328</v>
      </c>
      <c r="C862" s="2" t="s">
        <v>1069</v>
      </c>
      <c r="D862" s="2" t="s">
        <v>1406</v>
      </c>
      <c r="E862" s="2" t="s">
        <v>30</v>
      </c>
      <c r="F862" s="9">
        <f t="shared" si="53"/>
        <v>0</v>
      </c>
      <c r="G862" s="9">
        <f t="shared" si="54"/>
        <v>387</v>
      </c>
      <c r="H862" s="9">
        <f t="shared" si="55"/>
        <v>0</v>
      </c>
      <c r="I862" s="10">
        <f t="shared" si="56"/>
        <v>387</v>
      </c>
    </row>
    <row r="863" spans="1:9" x14ac:dyDescent="0.25">
      <c r="A863" s="2" t="s">
        <v>2348</v>
      </c>
      <c r="B863" s="2" t="s">
        <v>2349</v>
      </c>
      <c r="C863" s="2" t="s">
        <v>1069</v>
      </c>
      <c r="D863" s="2" t="s">
        <v>1406</v>
      </c>
      <c r="E863" s="2" t="s">
        <v>30</v>
      </c>
      <c r="F863" s="9">
        <f t="shared" si="53"/>
        <v>0</v>
      </c>
      <c r="G863" s="9">
        <f t="shared" si="54"/>
        <v>169</v>
      </c>
      <c r="H863" s="9">
        <f t="shared" si="55"/>
        <v>0</v>
      </c>
      <c r="I863" s="10">
        <f t="shared" si="56"/>
        <v>169</v>
      </c>
    </row>
    <row r="864" spans="1:9" x14ac:dyDescent="0.25">
      <c r="A864" s="2" t="s">
        <v>1331</v>
      </c>
      <c r="B864" s="2" t="s">
        <v>1330</v>
      </c>
      <c r="C864" s="2" t="s">
        <v>1069</v>
      </c>
      <c r="D864" s="2" t="s">
        <v>1406</v>
      </c>
      <c r="E864" s="2" t="s">
        <v>30</v>
      </c>
      <c r="F864" s="9">
        <f t="shared" si="53"/>
        <v>0</v>
      </c>
      <c r="G864" s="9">
        <f t="shared" si="54"/>
        <v>73</v>
      </c>
      <c r="H864" s="9">
        <f t="shared" si="55"/>
        <v>0</v>
      </c>
      <c r="I864" s="10">
        <f t="shared" si="56"/>
        <v>73</v>
      </c>
    </row>
    <row r="865" spans="1:9" x14ac:dyDescent="0.25">
      <c r="A865" s="2" t="s">
        <v>2350</v>
      </c>
      <c r="B865" s="2" t="s">
        <v>2351</v>
      </c>
      <c r="C865" s="2" t="s">
        <v>1069</v>
      </c>
      <c r="D865" s="2" t="s">
        <v>1406</v>
      </c>
      <c r="E865" s="2" t="s">
        <v>30</v>
      </c>
      <c r="F865" s="9">
        <f t="shared" si="53"/>
        <v>0</v>
      </c>
      <c r="G865" s="9">
        <f t="shared" si="54"/>
        <v>153</v>
      </c>
      <c r="H865" s="9">
        <f t="shared" si="55"/>
        <v>0</v>
      </c>
      <c r="I865" s="10">
        <f t="shared" si="56"/>
        <v>153</v>
      </c>
    </row>
    <row r="866" spans="1:9" x14ac:dyDescent="0.25">
      <c r="A866" s="2" t="s">
        <v>1333</v>
      </c>
      <c r="B866" s="2" t="s">
        <v>1332</v>
      </c>
      <c r="C866" s="2" t="s">
        <v>1069</v>
      </c>
      <c r="D866" s="2" t="s">
        <v>1406</v>
      </c>
      <c r="E866" s="2" t="s">
        <v>30</v>
      </c>
      <c r="F866" s="9">
        <f t="shared" si="53"/>
        <v>0</v>
      </c>
      <c r="G866" s="9">
        <f t="shared" si="54"/>
        <v>1180</v>
      </c>
      <c r="H866" s="9">
        <f t="shared" si="55"/>
        <v>0</v>
      </c>
      <c r="I866" s="10">
        <f t="shared" si="56"/>
        <v>1180</v>
      </c>
    </row>
    <row r="867" spans="1:9" x14ac:dyDescent="0.25">
      <c r="A867" s="2" t="s">
        <v>1335</v>
      </c>
      <c r="B867" s="2" t="s">
        <v>1334</v>
      </c>
      <c r="C867" s="2" t="s">
        <v>1069</v>
      </c>
      <c r="D867" s="2" t="s">
        <v>1406</v>
      </c>
      <c r="E867" s="2" t="s">
        <v>30</v>
      </c>
      <c r="F867" s="9">
        <f t="shared" si="53"/>
        <v>0</v>
      </c>
      <c r="G867" s="9">
        <f t="shared" si="54"/>
        <v>462</v>
      </c>
      <c r="H867" s="9">
        <f t="shared" si="55"/>
        <v>0</v>
      </c>
      <c r="I867" s="10">
        <f t="shared" si="56"/>
        <v>462</v>
      </c>
    </row>
    <row r="868" spans="1:9" x14ac:dyDescent="0.25">
      <c r="A868" s="2" t="s">
        <v>1337</v>
      </c>
      <c r="B868" s="2" t="s">
        <v>1336</v>
      </c>
      <c r="C868" s="2" t="s">
        <v>1069</v>
      </c>
      <c r="D868" s="2" t="s">
        <v>1406</v>
      </c>
      <c r="E868" s="2" t="s">
        <v>30</v>
      </c>
      <c r="F868" s="9">
        <f t="shared" si="53"/>
        <v>0</v>
      </c>
      <c r="G868" s="9">
        <f t="shared" si="54"/>
        <v>604</v>
      </c>
      <c r="H868" s="9">
        <f t="shared" si="55"/>
        <v>0</v>
      </c>
      <c r="I868" s="10">
        <f t="shared" si="56"/>
        <v>604</v>
      </c>
    </row>
    <row r="869" spans="1:9" x14ac:dyDescent="0.25">
      <c r="A869" s="2" t="s">
        <v>1339</v>
      </c>
      <c r="B869" s="2" t="s">
        <v>1338</v>
      </c>
      <c r="C869" s="2" t="s">
        <v>1069</v>
      </c>
      <c r="D869" s="2" t="s">
        <v>1406</v>
      </c>
      <c r="E869" s="2" t="s">
        <v>30</v>
      </c>
      <c r="F869" s="9">
        <f t="shared" si="53"/>
        <v>0</v>
      </c>
      <c r="G869" s="9">
        <f t="shared" si="54"/>
        <v>368</v>
      </c>
      <c r="H869" s="9">
        <f t="shared" si="55"/>
        <v>0</v>
      </c>
      <c r="I869" s="10">
        <f t="shared" si="56"/>
        <v>368</v>
      </c>
    </row>
    <row r="870" spans="1:9" x14ac:dyDescent="0.25">
      <c r="A870" s="2" t="s">
        <v>1341</v>
      </c>
      <c r="B870" s="2" t="s">
        <v>1340</v>
      </c>
      <c r="C870" s="2" t="s">
        <v>1069</v>
      </c>
      <c r="D870" s="2" t="s">
        <v>1406</v>
      </c>
      <c r="E870" s="2" t="s">
        <v>30</v>
      </c>
      <c r="F870" s="9">
        <f t="shared" si="53"/>
        <v>0</v>
      </c>
      <c r="G870" s="9">
        <f t="shared" si="54"/>
        <v>343</v>
      </c>
      <c r="H870" s="9">
        <f t="shared" si="55"/>
        <v>0</v>
      </c>
      <c r="I870" s="10">
        <f t="shared" si="56"/>
        <v>343</v>
      </c>
    </row>
    <row r="871" spans="1:9" x14ac:dyDescent="0.25">
      <c r="A871" s="2" t="s">
        <v>2352</v>
      </c>
      <c r="B871" s="2" t="s">
        <v>2353</v>
      </c>
      <c r="C871" s="2" t="s">
        <v>1069</v>
      </c>
      <c r="D871" s="2" t="s">
        <v>1406</v>
      </c>
      <c r="E871" s="2" t="s">
        <v>30</v>
      </c>
      <c r="F871" s="9">
        <f t="shared" si="53"/>
        <v>0</v>
      </c>
      <c r="G871" s="9">
        <f t="shared" si="54"/>
        <v>1435</v>
      </c>
      <c r="H871" s="9">
        <f t="shared" si="55"/>
        <v>0</v>
      </c>
      <c r="I871" s="10">
        <f t="shared" si="56"/>
        <v>1435</v>
      </c>
    </row>
    <row r="872" spans="1:9" x14ac:dyDescent="0.25">
      <c r="A872" s="2" t="s">
        <v>2354</v>
      </c>
      <c r="B872" s="2" t="s">
        <v>2355</v>
      </c>
      <c r="C872" s="2" t="s">
        <v>1069</v>
      </c>
      <c r="D872" s="2" t="s">
        <v>1406</v>
      </c>
      <c r="E872" s="2" t="s">
        <v>30</v>
      </c>
      <c r="F872" s="9">
        <f t="shared" si="53"/>
        <v>0</v>
      </c>
      <c r="G872" s="9">
        <f t="shared" si="54"/>
        <v>4242</v>
      </c>
      <c r="H872" s="9">
        <f t="shared" si="55"/>
        <v>0</v>
      </c>
      <c r="I872" s="10">
        <f t="shared" si="56"/>
        <v>4242</v>
      </c>
    </row>
    <row r="873" spans="1:9" x14ac:dyDescent="0.25">
      <c r="A873" s="2" t="s">
        <v>2356</v>
      </c>
      <c r="B873" s="2" t="s">
        <v>2357</v>
      </c>
      <c r="C873" s="2" t="s">
        <v>1069</v>
      </c>
      <c r="D873" s="2" t="s">
        <v>1406</v>
      </c>
      <c r="E873" s="2" t="s">
        <v>30</v>
      </c>
      <c r="F873" s="9">
        <f t="shared" si="53"/>
        <v>0</v>
      </c>
      <c r="G873" s="9">
        <f t="shared" si="54"/>
        <v>358</v>
      </c>
      <c r="H873" s="9">
        <f t="shared" si="55"/>
        <v>0</v>
      </c>
      <c r="I873" s="10">
        <f t="shared" si="56"/>
        <v>358</v>
      </c>
    </row>
    <row r="874" spans="1:9" x14ac:dyDescent="0.25">
      <c r="A874" s="2" t="s">
        <v>1343</v>
      </c>
      <c r="B874" s="2" t="s">
        <v>1342</v>
      </c>
      <c r="C874" s="2" t="s">
        <v>1069</v>
      </c>
      <c r="D874" s="2" t="s">
        <v>1406</v>
      </c>
      <c r="E874" s="2" t="s">
        <v>82</v>
      </c>
      <c r="F874" s="9">
        <f t="shared" si="53"/>
        <v>0</v>
      </c>
      <c r="G874" s="9">
        <f t="shared" si="54"/>
        <v>1010</v>
      </c>
      <c r="H874" s="9">
        <f t="shared" si="55"/>
        <v>0</v>
      </c>
      <c r="I874" s="10">
        <f t="shared" si="56"/>
        <v>1010</v>
      </c>
    </row>
    <row r="875" spans="1:9" x14ac:dyDescent="0.25">
      <c r="A875" s="2" t="s">
        <v>2358</v>
      </c>
      <c r="B875" s="2" t="s">
        <v>2359</v>
      </c>
      <c r="C875" s="2" t="s">
        <v>1069</v>
      </c>
      <c r="D875" s="2" t="s">
        <v>1406</v>
      </c>
      <c r="E875" s="2" t="s">
        <v>30</v>
      </c>
      <c r="F875" s="9">
        <f t="shared" si="53"/>
        <v>0</v>
      </c>
      <c r="G875" s="9">
        <f t="shared" si="54"/>
        <v>42</v>
      </c>
      <c r="H875" s="9">
        <f t="shared" si="55"/>
        <v>0</v>
      </c>
      <c r="I875" s="10">
        <f t="shared" si="56"/>
        <v>42</v>
      </c>
    </row>
    <row r="876" spans="1:9" x14ac:dyDescent="0.25">
      <c r="A876" s="2" t="s">
        <v>1345</v>
      </c>
      <c r="B876" s="2" t="s">
        <v>1344</v>
      </c>
      <c r="C876" s="2" t="s">
        <v>1069</v>
      </c>
      <c r="D876" s="2" t="s">
        <v>1406</v>
      </c>
      <c r="E876" s="2" t="s">
        <v>82</v>
      </c>
      <c r="F876" s="9">
        <f t="shared" si="53"/>
        <v>0</v>
      </c>
      <c r="G876" s="9">
        <f t="shared" si="54"/>
        <v>1133.5999999999999</v>
      </c>
      <c r="H876" s="9">
        <f t="shared" si="55"/>
        <v>0</v>
      </c>
      <c r="I876" s="10">
        <f t="shared" si="56"/>
        <v>1133.5999999999999</v>
      </c>
    </row>
    <row r="877" spans="1:9" x14ac:dyDescent="0.25">
      <c r="A877" s="2" t="s">
        <v>2360</v>
      </c>
      <c r="B877" s="2" t="s">
        <v>2361</v>
      </c>
      <c r="C877" s="2" t="s">
        <v>1069</v>
      </c>
      <c r="D877" s="2" t="s">
        <v>1406</v>
      </c>
      <c r="E877" s="2" t="s">
        <v>30</v>
      </c>
      <c r="F877" s="9">
        <f t="shared" si="53"/>
        <v>0</v>
      </c>
      <c r="G877" s="9">
        <f t="shared" si="54"/>
        <v>20</v>
      </c>
      <c r="H877" s="9">
        <f t="shared" si="55"/>
        <v>0</v>
      </c>
      <c r="I877" s="10">
        <f t="shared" si="56"/>
        <v>20</v>
      </c>
    </row>
    <row r="878" spans="1:9" x14ac:dyDescent="0.25">
      <c r="A878" s="2" t="s">
        <v>2362</v>
      </c>
      <c r="B878" s="2" t="s">
        <v>2363</v>
      </c>
      <c r="C878" s="2" t="s">
        <v>1069</v>
      </c>
      <c r="D878" s="2" t="s">
        <v>1406</v>
      </c>
      <c r="E878" s="2" t="s">
        <v>30</v>
      </c>
      <c r="F878" s="9">
        <f t="shared" si="53"/>
        <v>0</v>
      </c>
      <c r="G878" s="9">
        <f t="shared" si="54"/>
        <v>41</v>
      </c>
      <c r="H878" s="9">
        <f t="shared" si="55"/>
        <v>0</v>
      </c>
      <c r="I878" s="10">
        <f t="shared" si="56"/>
        <v>41</v>
      </c>
    </row>
    <row r="879" spans="1:9" x14ac:dyDescent="0.25">
      <c r="A879" s="2" t="s">
        <v>1347</v>
      </c>
      <c r="B879" s="2" t="s">
        <v>1346</v>
      </c>
      <c r="C879" s="2" t="s">
        <v>1069</v>
      </c>
      <c r="D879" s="2" t="s">
        <v>1406</v>
      </c>
      <c r="E879" s="2" t="s">
        <v>489</v>
      </c>
      <c r="F879" s="9">
        <f t="shared" si="53"/>
        <v>0</v>
      </c>
      <c r="G879" s="9">
        <f t="shared" si="54"/>
        <v>1652.5</v>
      </c>
      <c r="H879" s="9">
        <f t="shared" si="55"/>
        <v>0</v>
      </c>
      <c r="I879" s="10">
        <f t="shared" si="56"/>
        <v>1652.5</v>
      </c>
    </row>
    <row r="880" spans="1:9" x14ac:dyDescent="0.25">
      <c r="A880" s="2" t="s">
        <v>2364</v>
      </c>
      <c r="B880" s="2" t="s">
        <v>2365</v>
      </c>
      <c r="C880" s="2" t="s">
        <v>1069</v>
      </c>
      <c r="D880" s="2" t="s">
        <v>1406</v>
      </c>
      <c r="E880" s="2" t="s">
        <v>30</v>
      </c>
      <c r="F880" s="9">
        <f t="shared" si="53"/>
        <v>0</v>
      </c>
      <c r="G880" s="9">
        <f t="shared" si="54"/>
        <v>95</v>
      </c>
      <c r="H880" s="9">
        <f t="shared" si="55"/>
        <v>0</v>
      </c>
      <c r="I880" s="10">
        <f t="shared" si="56"/>
        <v>95</v>
      </c>
    </row>
    <row r="881" spans="1:9" x14ac:dyDescent="0.25">
      <c r="A881" s="2" t="s">
        <v>2366</v>
      </c>
      <c r="B881" s="2" t="s">
        <v>2367</v>
      </c>
      <c r="C881" s="2" t="s">
        <v>1069</v>
      </c>
      <c r="D881" s="2" t="s">
        <v>1406</v>
      </c>
      <c r="E881" s="2" t="s">
        <v>30</v>
      </c>
      <c r="F881" s="9">
        <f t="shared" si="53"/>
        <v>0</v>
      </c>
      <c r="G881" s="9">
        <f t="shared" si="54"/>
        <v>5</v>
      </c>
      <c r="H881" s="9">
        <f t="shared" si="55"/>
        <v>0</v>
      </c>
      <c r="I881" s="10">
        <f t="shared" si="56"/>
        <v>5</v>
      </c>
    </row>
    <row r="882" spans="1:9" x14ac:dyDescent="0.25">
      <c r="A882" s="2" t="s">
        <v>1349</v>
      </c>
      <c r="B882" s="2" t="s">
        <v>1348</v>
      </c>
      <c r="C882" s="2" t="s">
        <v>1069</v>
      </c>
      <c r="D882" s="2" t="s">
        <v>1406</v>
      </c>
      <c r="E882" s="2" t="s">
        <v>82</v>
      </c>
      <c r="F882" s="9">
        <f t="shared" si="53"/>
        <v>0</v>
      </c>
      <c r="G882" s="9">
        <f t="shared" si="54"/>
        <v>95</v>
      </c>
      <c r="H882" s="9">
        <f t="shared" si="55"/>
        <v>0</v>
      </c>
      <c r="I882" s="10">
        <f t="shared" si="56"/>
        <v>95</v>
      </c>
    </row>
    <row r="883" spans="1:9" x14ac:dyDescent="0.25">
      <c r="A883" s="2" t="s">
        <v>2368</v>
      </c>
      <c r="B883" s="2" t="s">
        <v>2369</v>
      </c>
      <c r="C883" s="2" t="s">
        <v>1069</v>
      </c>
      <c r="D883" s="2" t="s">
        <v>1406</v>
      </c>
      <c r="E883" s="2" t="s">
        <v>30</v>
      </c>
      <c r="F883" s="9">
        <f t="shared" si="53"/>
        <v>0</v>
      </c>
      <c r="G883" s="9">
        <f t="shared" si="54"/>
        <v>13</v>
      </c>
      <c r="H883" s="9">
        <f t="shared" si="55"/>
        <v>0</v>
      </c>
      <c r="I883" s="10">
        <f t="shared" si="56"/>
        <v>13</v>
      </c>
    </row>
    <row r="884" spans="1:9" x14ac:dyDescent="0.25">
      <c r="A884" s="2" t="s">
        <v>2370</v>
      </c>
      <c r="B884" s="2" t="s">
        <v>2371</v>
      </c>
      <c r="C884" s="2" t="s">
        <v>1069</v>
      </c>
      <c r="D884" s="2" t="s">
        <v>1406</v>
      </c>
      <c r="E884" s="2" t="s">
        <v>82</v>
      </c>
      <c r="F884" s="9">
        <f t="shared" si="53"/>
        <v>0</v>
      </c>
      <c r="G884" s="9">
        <f t="shared" si="54"/>
        <v>549</v>
      </c>
      <c r="H884" s="9">
        <f t="shared" si="55"/>
        <v>0</v>
      </c>
      <c r="I884" s="10">
        <f t="shared" si="56"/>
        <v>549</v>
      </c>
    </row>
    <row r="885" spans="1:9" x14ac:dyDescent="0.25">
      <c r="A885" s="2" t="s">
        <v>1351</v>
      </c>
      <c r="B885" s="2" t="s">
        <v>1350</v>
      </c>
      <c r="C885" s="2" t="s">
        <v>1069</v>
      </c>
      <c r="D885" s="2" t="s">
        <v>1406</v>
      </c>
      <c r="E885" s="2" t="s">
        <v>82</v>
      </c>
      <c r="F885" s="9">
        <f t="shared" si="53"/>
        <v>0</v>
      </c>
      <c r="G885" s="9">
        <f t="shared" si="54"/>
        <v>3940</v>
      </c>
      <c r="H885" s="9">
        <f t="shared" si="55"/>
        <v>0</v>
      </c>
      <c r="I885" s="10">
        <f t="shared" si="56"/>
        <v>3940</v>
      </c>
    </row>
    <row r="886" spans="1:9" x14ac:dyDescent="0.25">
      <c r="A886" s="2" t="s">
        <v>2372</v>
      </c>
      <c r="B886" s="2" t="s">
        <v>2373</v>
      </c>
      <c r="C886" s="2" t="s">
        <v>1069</v>
      </c>
      <c r="D886" s="2" t="s">
        <v>1406</v>
      </c>
      <c r="E886" s="2" t="s">
        <v>30</v>
      </c>
      <c r="F886" s="9">
        <f t="shared" si="53"/>
        <v>0</v>
      </c>
      <c r="G886" s="9">
        <f t="shared" si="54"/>
        <v>198</v>
      </c>
      <c r="H886" s="9">
        <f t="shared" si="55"/>
        <v>0</v>
      </c>
      <c r="I886" s="10">
        <f t="shared" si="56"/>
        <v>198</v>
      </c>
    </row>
    <row r="887" spans="1:9" x14ac:dyDescent="0.25">
      <c r="A887" s="2" t="s">
        <v>1353</v>
      </c>
      <c r="B887" s="2" t="s">
        <v>1352</v>
      </c>
      <c r="C887" s="2" t="s">
        <v>1069</v>
      </c>
      <c r="D887" s="2" t="s">
        <v>1406</v>
      </c>
      <c r="E887" s="2" t="s">
        <v>489</v>
      </c>
      <c r="F887" s="9">
        <f t="shared" si="53"/>
        <v>0</v>
      </c>
      <c r="G887" s="9">
        <f t="shared" si="54"/>
        <v>1997.5</v>
      </c>
      <c r="H887" s="9">
        <f t="shared" si="55"/>
        <v>0</v>
      </c>
      <c r="I887" s="10">
        <f t="shared" si="56"/>
        <v>1997.5</v>
      </c>
    </row>
    <row r="888" spans="1:9" x14ac:dyDescent="0.25">
      <c r="A888" s="2" t="s">
        <v>1355</v>
      </c>
      <c r="B888" s="2" t="s">
        <v>1354</v>
      </c>
      <c r="C888" s="2" t="s">
        <v>1069</v>
      </c>
      <c r="D888" s="2" t="s">
        <v>1406</v>
      </c>
      <c r="E888" s="2" t="s">
        <v>82</v>
      </c>
      <c r="F888" s="9">
        <f t="shared" si="53"/>
        <v>110</v>
      </c>
      <c r="G888" s="9">
        <f t="shared" si="54"/>
        <v>1260</v>
      </c>
      <c r="H888" s="9">
        <f t="shared" si="55"/>
        <v>0</v>
      </c>
      <c r="I888" s="10">
        <f t="shared" si="56"/>
        <v>1370</v>
      </c>
    </row>
    <row r="889" spans="1:9" x14ac:dyDescent="0.25">
      <c r="A889" s="2" t="s">
        <v>2374</v>
      </c>
      <c r="B889" s="2" t="s">
        <v>2375</v>
      </c>
      <c r="C889" s="2" t="s">
        <v>1069</v>
      </c>
      <c r="D889" s="2" t="s">
        <v>1406</v>
      </c>
      <c r="E889" s="2" t="s">
        <v>30</v>
      </c>
      <c r="F889" s="9">
        <f t="shared" si="53"/>
        <v>0</v>
      </c>
      <c r="G889" s="9">
        <f t="shared" si="54"/>
        <v>0</v>
      </c>
      <c r="H889" s="9">
        <f t="shared" si="55"/>
        <v>0</v>
      </c>
      <c r="I889" s="10">
        <f t="shared" si="56"/>
        <v>0</v>
      </c>
    </row>
    <row r="890" spans="1:9" x14ac:dyDescent="0.25">
      <c r="A890" s="2" t="s">
        <v>1357</v>
      </c>
      <c r="B890" s="2" t="s">
        <v>1356</v>
      </c>
      <c r="C890" s="2" t="s">
        <v>1069</v>
      </c>
      <c r="D890" s="2" t="s">
        <v>1406</v>
      </c>
      <c r="E890" s="2" t="s">
        <v>82</v>
      </c>
      <c r="F890" s="9">
        <f t="shared" si="53"/>
        <v>0</v>
      </c>
      <c r="G890" s="9">
        <f t="shared" si="54"/>
        <v>236</v>
      </c>
      <c r="H890" s="9">
        <f t="shared" si="55"/>
        <v>0</v>
      </c>
      <c r="I890" s="10">
        <f t="shared" si="56"/>
        <v>236</v>
      </c>
    </row>
    <row r="891" spans="1:9" x14ac:dyDescent="0.25">
      <c r="A891" s="2" t="s">
        <v>2376</v>
      </c>
      <c r="B891" s="2" t="s">
        <v>2377</v>
      </c>
      <c r="C891" s="2" t="s">
        <v>1069</v>
      </c>
      <c r="D891" s="2" t="s">
        <v>1406</v>
      </c>
      <c r="E891" s="2" t="s">
        <v>30</v>
      </c>
      <c r="F891" s="9">
        <f t="shared" si="53"/>
        <v>0</v>
      </c>
      <c r="G891" s="9">
        <f t="shared" si="54"/>
        <v>126</v>
      </c>
      <c r="H891" s="9">
        <f t="shared" si="55"/>
        <v>0</v>
      </c>
      <c r="I891" s="10">
        <f t="shared" si="56"/>
        <v>126</v>
      </c>
    </row>
    <row r="892" spans="1:9" x14ac:dyDescent="0.25">
      <c r="A892" s="2" t="s">
        <v>2378</v>
      </c>
      <c r="B892" s="2" t="s">
        <v>2379</v>
      </c>
      <c r="C892" s="2" t="s">
        <v>1069</v>
      </c>
      <c r="D892" s="2" t="s">
        <v>1406</v>
      </c>
      <c r="E892" s="2" t="s">
        <v>30</v>
      </c>
      <c r="F892" s="9">
        <f t="shared" si="53"/>
        <v>0</v>
      </c>
      <c r="G892" s="9">
        <f t="shared" si="54"/>
        <v>0</v>
      </c>
      <c r="H892" s="9">
        <f t="shared" si="55"/>
        <v>0</v>
      </c>
      <c r="I892" s="10">
        <f t="shared" si="56"/>
        <v>0</v>
      </c>
    </row>
    <row r="893" spans="1:9" x14ac:dyDescent="0.25">
      <c r="A893" s="2" t="s">
        <v>1359</v>
      </c>
      <c r="B893" s="2" t="s">
        <v>1358</v>
      </c>
      <c r="C893" s="2" t="s">
        <v>1069</v>
      </c>
      <c r="D893" s="2" t="s">
        <v>1406</v>
      </c>
      <c r="E893" s="2" t="s">
        <v>82</v>
      </c>
      <c r="F893" s="9">
        <f t="shared" si="53"/>
        <v>0</v>
      </c>
      <c r="G893" s="9">
        <f t="shared" si="54"/>
        <v>877</v>
      </c>
      <c r="H893" s="9">
        <f t="shared" si="55"/>
        <v>0</v>
      </c>
      <c r="I893" s="10">
        <f t="shared" si="56"/>
        <v>877</v>
      </c>
    </row>
    <row r="894" spans="1:9" x14ac:dyDescent="0.25">
      <c r="A894" s="2" t="s">
        <v>2380</v>
      </c>
      <c r="B894" s="2" t="s">
        <v>2381</v>
      </c>
      <c r="C894" s="2" t="s">
        <v>1069</v>
      </c>
      <c r="D894" s="2" t="s">
        <v>1406</v>
      </c>
      <c r="E894" s="2" t="s">
        <v>30</v>
      </c>
      <c r="F894" s="9">
        <f t="shared" si="53"/>
        <v>0</v>
      </c>
      <c r="G894" s="9">
        <f t="shared" si="54"/>
        <v>98</v>
      </c>
      <c r="H894" s="9">
        <f t="shared" si="55"/>
        <v>0</v>
      </c>
      <c r="I894" s="10">
        <f t="shared" si="56"/>
        <v>98</v>
      </c>
    </row>
    <row r="895" spans="1:9" x14ac:dyDescent="0.25">
      <c r="A895" s="2" t="s">
        <v>2382</v>
      </c>
      <c r="B895" s="2" t="s">
        <v>2383</v>
      </c>
      <c r="C895" s="2" t="s">
        <v>1069</v>
      </c>
      <c r="D895" s="2" t="s">
        <v>1406</v>
      </c>
      <c r="E895" s="2" t="s">
        <v>30</v>
      </c>
      <c r="F895" s="9">
        <f t="shared" ref="F895:F958" si="57">IFERROR(VLOOKUP(A895,condi,8,0),0)</f>
        <v>0</v>
      </c>
      <c r="G895" s="9">
        <f t="shared" ref="G895:G958" si="58">IFERROR(VLOOKUP(A895,maqui,8,0),0)</f>
        <v>1</v>
      </c>
      <c r="H895" s="9">
        <f t="shared" ref="H895:H958" si="59">IFERROR(VLOOKUP(A895,ascint,8,0),0)</f>
        <v>0</v>
      </c>
      <c r="I895" s="10">
        <f t="shared" si="56"/>
        <v>1</v>
      </c>
    </row>
    <row r="896" spans="1:9" x14ac:dyDescent="0.25">
      <c r="A896" s="2" t="s">
        <v>1361</v>
      </c>
      <c r="B896" s="2" t="s">
        <v>1360</v>
      </c>
      <c r="C896" s="2" t="s">
        <v>1069</v>
      </c>
      <c r="D896" s="2" t="s">
        <v>1406</v>
      </c>
      <c r="E896" s="2" t="s">
        <v>82</v>
      </c>
      <c r="F896" s="9">
        <f t="shared" si="57"/>
        <v>0</v>
      </c>
      <c r="G896" s="9">
        <f t="shared" si="58"/>
        <v>500</v>
      </c>
      <c r="H896" s="9">
        <f t="shared" si="59"/>
        <v>0</v>
      </c>
      <c r="I896" s="10">
        <f t="shared" si="56"/>
        <v>500</v>
      </c>
    </row>
    <row r="897" spans="1:9" x14ac:dyDescent="0.25">
      <c r="A897" s="2" t="s">
        <v>1363</v>
      </c>
      <c r="B897" s="2" t="s">
        <v>1362</v>
      </c>
      <c r="C897" s="2" t="s">
        <v>1069</v>
      </c>
      <c r="D897" s="2" t="s">
        <v>1406</v>
      </c>
      <c r="E897" s="2" t="s">
        <v>82</v>
      </c>
      <c r="F897" s="9">
        <f t="shared" si="57"/>
        <v>0</v>
      </c>
      <c r="G897" s="9">
        <f t="shared" si="58"/>
        <v>1404.9</v>
      </c>
      <c r="H897" s="9">
        <f t="shared" si="59"/>
        <v>0</v>
      </c>
      <c r="I897" s="10">
        <f t="shared" si="56"/>
        <v>1404.9</v>
      </c>
    </row>
    <row r="898" spans="1:9" x14ac:dyDescent="0.25">
      <c r="A898" s="2" t="s">
        <v>2384</v>
      </c>
      <c r="B898" s="2" t="s">
        <v>2385</v>
      </c>
      <c r="C898" s="2" t="s">
        <v>1069</v>
      </c>
      <c r="D898" s="2" t="s">
        <v>1406</v>
      </c>
      <c r="E898" s="2" t="s">
        <v>30</v>
      </c>
      <c r="F898" s="9">
        <f t="shared" si="57"/>
        <v>0</v>
      </c>
      <c r="G898" s="9">
        <f t="shared" si="58"/>
        <v>0</v>
      </c>
      <c r="H898" s="9">
        <f t="shared" si="59"/>
        <v>0</v>
      </c>
      <c r="I898" s="10">
        <f t="shared" si="56"/>
        <v>0</v>
      </c>
    </row>
    <row r="899" spans="1:9" x14ac:dyDescent="0.25">
      <c r="A899" s="2" t="s">
        <v>2386</v>
      </c>
      <c r="B899" s="2" t="s">
        <v>2387</v>
      </c>
      <c r="C899" s="2" t="s">
        <v>1069</v>
      </c>
      <c r="D899" s="2" t="s">
        <v>1406</v>
      </c>
      <c r="E899" s="2" t="s">
        <v>30</v>
      </c>
      <c r="F899" s="9">
        <f t="shared" si="57"/>
        <v>0</v>
      </c>
      <c r="G899" s="9">
        <f t="shared" si="58"/>
        <v>0</v>
      </c>
      <c r="H899" s="9">
        <f t="shared" si="59"/>
        <v>0</v>
      </c>
      <c r="I899" s="10">
        <f t="shared" si="56"/>
        <v>0</v>
      </c>
    </row>
    <row r="900" spans="1:9" x14ac:dyDescent="0.25">
      <c r="A900" s="2" t="s">
        <v>2388</v>
      </c>
      <c r="B900" s="2" t="s">
        <v>2389</v>
      </c>
      <c r="C900" s="2" t="s">
        <v>1069</v>
      </c>
      <c r="D900" s="2" t="s">
        <v>1406</v>
      </c>
      <c r="E900" s="2" t="s">
        <v>30</v>
      </c>
      <c r="F900" s="9">
        <f t="shared" si="57"/>
        <v>0</v>
      </c>
      <c r="G900" s="9">
        <f t="shared" si="58"/>
        <v>0</v>
      </c>
      <c r="H900" s="9">
        <f t="shared" si="59"/>
        <v>0</v>
      </c>
      <c r="I900" s="10">
        <f t="shared" si="56"/>
        <v>0</v>
      </c>
    </row>
    <row r="901" spans="1:9" x14ac:dyDescent="0.25">
      <c r="A901" s="2" t="s">
        <v>1365</v>
      </c>
      <c r="B901" s="2" t="s">
        <v>1364</v>
      </c>
      <c r="C901" s="2" t="s">
        <v>1069</v>
      </c>
      <c r="D901" s="2" t="s">
        <v>1406</v>
      </c>
      <c r="E901" s="2" t="s">
        <v>82</v>
      </c>
      <c r="F901" s="9">
        <f t="shared" si="57"/>
        <v>0</v>
      </c>
      <c r="G901" s="9">
        <f t="shared" si="58"/>
        <v>1462.5</v>
      </c>
      <c r="H901" s="9">
        <f t="shared" si="59"/>
        <v>0</v>
      </c>
      <c r="I901" s="10">
        <f t="shared" ref="I901:I964" si="60">+F901+G901+H901</f>
        <v>1462.5</v>
      </c>
    </row>
    <row r="902" spans="1:9" x14ac:dyDescent="0.25">
      <c r="A902" s="2" t="s">
        <v>2390</v>
      </c>
      <c r="B902" s="2" t="s">
        <v>2391</v>
      </c>
      <c r="C902" s="2" t="s">
        <v>1069</v>
      </c>
      <c r="D902" s="2" t="s">
        <v>1406</v>
      </c>
      <c r="E902" s="2" t="s">
        <v>30</v>
      </c>
      <c r="F902" s="9">
        <f t="shared" si="57"/>
        <v>0</v>
      </c>
      <c r="G902" s="9">
        <f t="shared" si="58"/>
        <v>0</v>
      </c>
      <c r="H902" s="9">
        <f t="shared" si="59"/>
        <v>0</v>
      </c>
      <c r="I902" s="10">
        <f t="shared" si="60"/>
        <v>0</v>
      </c>
    </row>
    <row r="903" spans="1:9" x14ac:dyDescent="0.25">
      <c r="A903" s="2" t="s">
        <v>2392</v>
      </c>
      <c r="B903" s="2" t="s">
        <v>2393</v>
      </c>
      <c r="C903" s="2" t="s">
        <v>1069</v>
      </c>
      <c r="D903" s="2" t="s">
        <v>1406</v>
      </c>
      <c r="E903" s="2" t="s">
        <v>30</v>
      </c>
      <c r="F903" s="9">
        <f t="shared" si="57"/>
        <v>0</v>
      </c>
      <c r="G903" s="9">
        <f t="shared" si="58"/>
        <v>125</v>
      </c>
      <c r="H903" s="9">
        <f t="shared" si="59"/>
        <v>0</v>
      </c>
      <c r="I903" s="10">
        <f t="shared" si="60"/>
        <v>125</v>
      </c>
    </row>
    <row r="904" spans="1:9" x14ac:dyDescent="0.25">
      <c r="A904" s="2" t="s">
        <v>2394</v>
      </c>
      <c r="B904" s="2" t="s">
        <v>2395</v>
      </c>
      <c r="C904" s="2" t="s">
        <v>1069</v>
      </c>
      <c r="D904" s="2" t="s">
        <v>1406</v>
      </c>
      <c r="E904" s="2" t="s">
        <v>30</v>
      </c>
      <c r="F904" s="9">
        <f t="shared" si="57"/>
        <v>0</v>
      </c>
      <c r="G904" s="9">
        <f t="shared" si="58"/>
        <v>0</v>
      </c>
      <c r="H904" s="9">
        <f t="shared" si="59"/>
        <v>0</v>
      </c>
      <c r="I904" s="10">
        <f t="shared" si="60"/>
        <v>0</v>
      </c>
    </row>
    <row r="905" spans="1:9" x14ac:dyDescent="0.25">
      <c r="A905" s="2" t="s">
        <v>2396</v>
      </c>
      <c r="B905" s="2" t="s">
        <v>2397</v>
      </c>
      <c r="C905" s="2" t="s">
        <v>1069</v>
      </c>
      <c r="D905" s="2" t="s">
        <v>1406</v>
      </c>
      <c r="E905" s="2" t="s">
        <v>30</v>
      </c>
      <c r="F905" s="9">
        <f t="shared" si="57"/>
        <v>0</v>
      </c>
      <c r="G905" s="9">
        <f t="shared" si="58"/>
        <v>0</v>
      </c>
      <c r="H905" s="9">
        <f t="shared" si="59"/>
        <v>0</v>
      </c>
      <c r="I905" s="10">
        <f t="shared" si="60"/>
        <v>0</v>
      </c>
    </row>
    <row r="906" spans="1:9" x14ac:dyDescent="0.25">
      <c r="A906" s="2" t="s">
        <v>1367</v>
      </c>
      <c r="B906" s="2" t="s">
        <v>1366</v>
      </c>
      <c r="C906" s="2" t="s">
        <v>1069</v>
      </c>
      <c r="D906" s="2" t="s">
        <v>1406</v>
      </c>
      <c r="E906" s="2" t="s">
        <v>30</v>
      </c>
      <c r="F906" s="9">
        <f t="shared" si="57"/>
        <v>0</v>
      </c>
      <c r="G906" s="9">
        <f t="shared" si="58"/>
        <v>0</v>
      </c>
      <c r="H906" s="9">
        <f t="shared" si="59"/>
        <v>0</v>
      </c>
      <c r="I906" s="10">
        <f t="shared" si="60"/>
        <v>0</v>
      </c>
    </row>
    <row r="907" spans="1:9" x14ac:dyDescent="0.25">
      <c r="A907" s="2" t="s">
        <v>1369</v>
      </c>
      <c r="B907" s="2" t="s">
        <v>1368</v>
      </c>
      <c r="C907" s="2" t="s">
        <v>1069</v>
      </c>
      <c r="D907" s="2" t="s">
        <v>1406</v>
      </c>
      <c r="E907" s="2" t="s">
        <v>30</v>
      </c>
      <c r="F907" s="9">
        <f t="shared" si="57"/>
        <v>0</v>
      </c>
      <c r="G907" s="9">
        <f t="shared" si="58"/>
        <v>12488</v>
      </c>
      <c r="H907" s="9">
        <f t="shared" si="59"/>
        <v>0</v>
      </c>
      <c r="I907" s="10">
        <f t="shared" si="60"/>
        <v>12488</v>
      </c>
    </row>
    <row r="908" spans="1:9" x14ac:dyDescent="0.25">
      <c r="A908" s="2" t="s">
        <v>1371</v>
      </c>
      <c r="B908" s="2" t="s">
        <v>1370</v>
      </c>
      <c r="C908" s="2" t="s">
        <v>1069</v>
      </c>
      <c r="D908" s="2" t="s">
        <v>1406</v>
      </c>
      <c r="E908" s="2" t="s">
        <v>30</v>
      </c>
      <c r="F908" s="9">
        <f t="shared" si="57"/>
        <v>0</v>
      </c>
      <c r="G908" s="9">
        <f t="shared" si="58"/>
        <v>3549</v>
      </c>
      <c r="H908" s="9">
        <f t="shared" si="59"/>
        <v>0</v>
      </c>
      <c r="I908" s="10">
        <f t="shared" si="60"/>
        <v>3549</v>
      </c>
    </row>
    <row r="909" spans="1:9" x14ac:dyDescent="0.25">
      <c r="A909" s="2" t="s">
        <v>2398</v>
      </c>
      <c r="B909" s="2" t="s">
        <v>2399</v>
      </c>
      <c r="C909" s="2" t="s">
        <v>1069</v>
      </c>
      <c r="D909" s="2" t="s">
        <v>1406</v>
      </c>
      <c r="E909" s="2" t="s">
        <v>30</v>
      </c>
      <c r="F909" s="9">
        <f t="shared" si="57"/>
        <v>0</v>
      </c>
      <c r="G909" s="9">
        <f t="shared" si="58"/>
        <v>438</v>
      </c>
      <c r="H909" s="9">
        <f t="shared" si="59"/>
        <v>0</v>
      </c>
      <c r="I909" s="10">
        <f t="shared" si="60"/>
        <v>438</v>
      </c>
    </row>
    <row r="910" spans="1:9" x14ac:dyDescent="0.25">
      <c r="A910" s="2" t="s">
        <v>1373</v>
      </c>
      <c r="B910" s="2" t="s">
        <v>1372</v>
      </c>
      <c r="C910" s="2" t="s">
        <v>1069</v>
      </c>
      <c r="D910" s="2" t="s">
        <v>1406</v>
      </c>
      <c r="E910" s="2" t="s">
        <v>30</v>
      </c>
      <c r="F910" s="9">
        <f t="shared" si="57"/>
        <v>0</v>
      </c>
      <c r="G910" s="9">
        <f t="shared" si="58"/>
        <v>0</v>
      </c>
      <c r="H910" s="9">
        <f t="shared" si="59"/>
        <v>0</v>
      </c>
      <c r="I910" s="10">
        <f t="shared" si="60"/>
        <v>0</v>
      </c>
    </row>
    <row r="911" spans="1:9" x14ac:dyDescent="0.25">
      <c r="A911" s="2" t="s">
        <v>1375</v>
      </c>
      <c r="B911" s="2" t="s">
        <v>1374</v>
      </c>
      <c r="C911" s="2" t="s">
        <v>1069</v>
      </c>
      <c r="D911" s="2" t="s">
        <v>1406</v>
      </c>
      <c r="E911" s="2" t="s">
        <v>30</v>
      </c>
      <c r="F911" s="9">
        <f t="shared" si="57"/>
        <v>0</v>
      </c>
      <c r="G911" s="9">
        <f t="shared" si="58"/>
        <v>9410</v>
      </c>
      <c r="H911" s="9">
        <f t="shared" si="59"/>
        <v>0</v>
      </c>
      <c r="I911" s="10">
        <f t="shared" si="60"/>
        <v>9410</v>
      </c>
    </row>
    <row r="912" spans="1:9" x14ac:dyDescent="0.25">
      <c r="A912" s="2" t="s">
        <v>1377</v>
      </c>
      <c r="B912" s="2" t="s">
        <v>1376</v>
      </c>
      <c r="C912" s="2" t="s">
        <v>1069</v>
      </c>
      <c r="D912" s="2" t="s">
        <v>1406</v>
      </c>
      <c r="E912" s="2" t="s">
        <v>30</v>
      </c>
      <c r="F912" s="9">
        <f t="shared" si="57"/>
        <v>0</v>
      </c>
      <c r="G912" s="9">
        <f t="shared" si="58"/>
        <v>14427</v>
      </c>
      <c r="H912" s="9">
        <f t="shared" si="59"/>
        <v>0</v>
      </c>
      <c r="I912" s="10">
        <f t="shared" si="60"/>
        <v>14427</v>
      </c>
    </row>
    <row r="913" spans="1:9" x14ac:dyDescent="0.25">
      <c r="A913" s="2" t="s">
        <v>1379</v>
      </c>
      <c r="B913" s="2" t="s">
        <v>1378</v>
      </c>
      <c r="C913" s="2" t="s">
        <v>1069</v>
      </c>
      <c r="D913" s="2" t="s">
        <v>1406</v>
      </c>
      <c r="E913" s="2" t="s">
        <v>30</v>
      </c>
      <c r="F913" s="9">
        <f t="shared" si="57"/>
        <v>0</v>
      </c>
      <c r="G913" s="9">
        <f t="shared" si="58"/>
        <v>15244</v>
      </c>
      <c r="H913" s="9">
        <f t="shared" si="59"/>
        <v>0</v>
      </c>
      <c r="I913" s="10">
        <f t="shared" si="60"/>
        <v>15244</v>
      </c>
    </row>
    <row r="914" spans="1:9" x14ac:dyDescent="0.25">
      <c r="A914" s="2" t="s">
        <v>1381</v>
      </c>
      <c r="B914" s="2" t="s">
        <v>1380</v>
      </c>
      <c r="C914" s="2" t="s">
        <v>1069</v>
      </c>
      <c r="D914" s="2" t="s">
        <v>1406</v>
      </c>
      <c r="E914" s="2" t="s">
        <v>30</v>
      </c>
      <c r="F914" s="9">
        <f t="shared" si="57"/>
        <v>0</v>
      </c>
      <c r="G914" s="9">
        <f t="shared" si="58"/>
        <v>6489</v>
      </c>
      <c r="H914" s="9">
        <f t="shared" si="59"/>
        <v>0</v>
      </c>
      <c r="I914" s="10">
        <f t="shared" si="60"/>
        <v>6489</v>
      </c>
    </row>
    <row r="915" spans="1:9" x14ac:dyDescent="0.25">
      <c r="A915" s="2" t="s">
        <v>1383</v>
      </c>
      <c r="B915" s="2" t="s">
        <v>1382</v>
      </c>
      <c r="C915" s="2" t="s">
        <v>1069</v>
      </c>
      <c r="D915" s="2" t="s">
        <v>1406</v>
      </c>
      <c r="E915" s="2" t="s">
        <v>30</v>
      </c>
      <c r="F915" s="9">
        <f t="shared" si="57"/>
        <v>0</v>
      </c>
      <c r="G915" s="9">
        <f t="shared" si="58"/>
        <v>636</v>
      </c>
      <c r="H915" s="9">
        <f t="shared" si="59"/>
        <v>0</v>
      </c>
      <c r="I915" s="10">
        <f t="shared" si="60"/>
        <v>636</v>
      </c>
    </row>
    <row r="916" spans="1:9" x14ac:dyDescent="0.25">
      <c r="A916" s="2" t="s">
        <v>1385</v>
      </c>
      <c r="B916" s="2" t="s">
        <v>1384</v>
      </c>
      <c r="C916" s="2" t="s">
        <v>1069</v>
      </c>
      <c r="D916" s="2" t="s">
        <v>1406</v>
      </c>
      <c r="E916" s="2" t="s">
        <v>30</v>
      </c>
      <c r="F916" s="9">
        <f t="shared" si="57"/>
        <v>0</v>
      </c>
      <c r="G916" s="9">
        <f t="shared" si="58"/>
        <v>9572</v>
      </c>
      <c r="H916" s="9">
        <f t="shared" si="59"/>
        <v>0</v>
      </c>
      <c r="I916" s="10">
        <f t="shared" si="60"/>
        <v>9572</v>
      </c>
    </row>
    <row r="917" spans="1:9" x14ac:dyDescent="0.25">
      <c r="A917" s="2" t="s">
        <v>1387</v>
      </c>
      <c r="B917" s="2" t="s">
        <v>1386</v>
      </c>
      <c r="C917" s="2" t="s">
        <v>1069</v>
      </c>
      <c r="D917" s="2" t="s">
        <v>1406</v>
      </c>
      <c r="E917" s="2" t="s">
        <v>30</v>
      </c>
      <c r="F917" s="9">
        <f t="shared" si="57"/>
        <v>0</v>
      </c>
      <c r="G917" s="9">
        <f t="shared" si="58"/>
        <v>9602</v>
      </c>
      <c r="H917" s="9">
        <f t="shared" si="59"/>
        <v>0</v>
      </c>
      <c r="I917" s="10">
        <f t="shared" si="60"/>
        <v>9602</v>
      </c>
    </row>
    <row r="918" spans="1:9" x14ac:dyDescent="0.25">
      <c r="A918" s="2" t="s">
        <v>2400</v>
      </c>
      <c r="B918" s="2" t="s">
        <v>2401</v>
      </c>
      <c r="C918" s="2" t="s">
        <v>1069</v>
      </c>
      <c r="D918" s="2" t="s">
        <v>1406</v>
      </c>
      <c r="E918" s="2" t="s">
        <v>30</v>
      </c>
      <c r="F918" s="9">
        <f t="shared" si="57"/>
        <v>0</v>
      </c>
      <c r="G918" s="9">
        <f t="shared" si="58"/>
        <v>8130</v>
      </c>
      <c r="H918" s="9">
        <f t="shared" si="59"/>
        <v>0</v>
      </c>
      <c r="I918" s="10">
        <f t="shared" si="60"/>
        <v>8130</v>
      </c>
    </row>
    <row r="919" spans="1:9" x14ac:dyDescent="0.25">
      <c r="A919" s="2" t="s">
        <v>2402</v>
      </c>
      <c r="B919" s="2" t="s">
        <v>2403</v>
      </c>
      <c r="C919" s="2" t="s">
        <v>28</v>
      </c>
      <c r="D919" s="2" t="s">
        <v>1406</v>
      </c>
      <c r="E919" s="2" t="s">
        <v>30</v>
      </c>
      <c r="F919" s="9">
        <f t="shared" si="57"/>
        <v>0</v>
      </c>
      <c r="G919" s="9">
        <f t="shared" si="58"/>
        <v>1</v>
      </c>
      <c r="H919" s="9">
        <f t="shared" si="59"/>
        <v>0</v>
      </c>
      <c r="I919" s="10">
        <f t="shared" si="60"/>
        <v>1</v>
      </c>
    </row>
    <row r="920" spans="1:9" x14ac:dyDescent="0.25">
      <c r="A920" s="2" t="s">
        <v>2404</v>
      </c>
      <c r="B920" s="2" t="s">
        <v>2405</v>
      </c>
      <c r="C920" s="2" t="s">
        <v>28</v>
      </c>
      <c r="D920" s="2" t="s">
        <v>1406</v>
      </c>
      <c r="E920" s="2" t="s">
        <v>30</v>
      </c>
      <c r="F920" s="9">
        <f t="shared" si="57"/>
        <v>0</v>
      </c>
      <c r="G920" s="9">
        <f t="shared" si="58"/>
        <v>5</v>
      </c>
      <c r="H920" s="9">
        <f t="shared" si="59"/>
        <v>0</v>
      </c>
      <c r="I920" s="10">
        <f t="shared" si="60"/>
        <v>5</v>
      </c>
    </row>
    <row r="921" spans="1:9" x14ac:dyDescent="0.25">
      <c r="A921" s="2" t="s">
        <v>2406</v>
      </c>
      <c r="B921" s="2" t="s">
        <v>2407</v>
      </c>
      <c r="C921" s="2" t="s">
        <v>28</v>
      </c>
      <c r="D921" s="2" t="s">
        <v>1406</v>
      </c>
      <c r="E921" s="2" t="s">
        <v>30</v>
      </c>
      <c r="F921" s="9">
        <f t="shared" si="57"/>
        <v>0</v>
      </c>
      <c r="G921" s="9">
        <f t="shared" si="58"/>
        <v>83</v>
      </c>
      <c r="H921" s="9">
        <f t="shared" si="59"/>
        <v>0</v>
      </c>
      <c r="I921" s="10">
        <f t="shared" si="60"/>
        <v>83</v>
      </c>
    </row>
    <row r="922" spans="1:9" x14ac:dyDescent="0.25">
      <c r="A922" s="2" t="s">
        <v>2408</v>
      </c>
      <c r="B922" s="2" t="s">
        <v>2409</v>
      </c>
      <c r="C922" s="2" t="s">
        <v>28</v>
      </c>
      <c r="D922" s="2" t="s">
        <v>1406</v>
      </c>
      <c r="E922" s="2" t="s">
        <v>30</v>
      </c>
      <c r="F922" s="9">
        <f t="shared" si="57"/>
        <v>0</v>
      </c>
      <c r="G922" s="9">
        <f t="shared" si="58"/>
        <v>139</v>
      </c>
      <c r="H922" s="9">
        <f t="shared" si="59"/>
        <v>0</v>
      </c>
      <c r="I922" s="10">
        <f t="shared" si="60"/>
        <v>139</v>
      </c>
    </row>
    <row r="923" spans="1:9" x14ac:dyDescent="0.25">
      <c r="A923" s="2" t="s">
        <v>2410</v>
      </c>
      <c r="B923" s="2" t="s">
        <v>2411</v>
      </c>
      <c r="C923" s="2" t="s">
        <v>28</v>
      </c>
      <c r="D923" s="2" t="s">
        <v>1406</v>
      </c>
      <c r="E923" s="2" t="s">
        <v>30</v>
      </c>
      <c r="F923" s="9">
        <f t="shared" si="57"/>
        <v>0</v>
      </c>
      <c r="G923" s="9">
        <f t="shared" si="58"/>
        <v>41</v>
      </c>
      <c r="H923" s="9">
        <f t="shared" si="59"/>
        <v>0</v>
      </c>
      <c r="I923" s="10">
        <f t="shared" si="60"/>
        <v>41</v>
      </c>
    </row>
    <row r="924" spans="1:9" x14ac:dyDescent="0.25">
      <c r="A924" s="2" t="s">
        <v>2412</v>
      </c>
      <c r="B924" s="2" t="s">
        <v>2413</v>
      </c>
      <c r="C924" s="2" t="s">
        <v>28</v>
      </c>
      <c r="D924" s="2" t="s">
        <v>1406</v>
      </c>
      <c r="E924" s="2" t="s">
        <v>30</v>
      </c>
      <c r="F924" s="9">
        <f t="shared" si="57"/>
        <v>0</v>
      </c>
      <c r="G924" s="9">
        <f t="shared" si="58"/>
        <v>20</v>
      </c>
      <c r="H924" s="9">
        <f t="shared" si="59"/>
        <v>0</v>
      </c>
      <c r="I924" s="10">
        <f t="shared" si="60"/>
        <v>20</v>
      </c>
    </row>
    <row r="925" spans="1:9" x14ac:dyDescent="0.25">
      <c r="A925" s="2" t="s">
        <v>2414</v>
      </c>
      <c r="B925" s="2" t="s">
        <v>2415</v>
      </c>
      <c r="C925" s="2" t="s">
        <v>28</v>
      </c>
      <c r="D925" s="2" t="s">
        <v>1406</v>
      </c>
      <c r="E925" s="2" t="s">
        <v>30</v>
      </c>
      <c r="F925" s="9">
        <f t="shared" si="57"/>
        <v>0</v>
      </c>
      <c r="G925" s="9">
        <f t="shared" si="58"/>
        <v>158</v>
      </c>
      <c r="H925" s="9">
        <f t="shared" si="59"/>
        <v>0</v>
      </c>
      <c r="I925" s="10">
        <f t="shared" si="60"/>
        <v>158</v>
      </c>
    </row>
    <row r="926" spans="1:9" x14ac:dyDescent="0.25">
      <c r="A926" s="2" t="s">
        <v>2416</v>
      </c>
      <c r="B926" s="2" t="s">
        <v>2417</v>
      </c>
      <c r="C926" s="2" t="s">
        <v>28</v>
      </c>
      <c r="D926" s="2" t="s">
        <v>1406</v>
      </c>
      <c r="E926" s="2" t="s">
        <v>30</v>
      </c>
      <c r="F926" s="9">
        <f t="shared" si="57"/>
        <v>0</v>
      </c>
      <c r="G926" s="9">
        <f t="shared" si="58"/>
        <v>34</v>
      </c>
      <c r="H926" s="9">
        <f t="shared" si="59"/>
        <v>0</v>
      </c>
      <c r="I926" s="10">
        <f t="shared" si="60"/>
        <v>34</v>
      </c>
    </row>
    <row r="927" spans="1:9" x14ac:dyDescent="0.25">
      <c r="A927" s="2" t="s">
        <v>2418</v>
      </c>
      <c r="B927" s="2" t="s">
        <v>2419</v>
      </c>
      <c r="C927" s="2" t="s">
        <v>28</v>
      </c>
      <c r="D927" s="2" t="s">
        <v>1406</v>
      </c>
      <c r="E927" s="2" t="s">
        <v>30</v>
      </c>
      <c r="F927" s="9">
        <f t="shared" si="57"/>
        <v>0</v>
      </c>
      <c r="G927" s="9">
        <f t="shared" si="58"/>
        <v>60</v>
      </c>
      <c r="H927" s="9">
        <f t="shared" si="59"/>
        <v>0</v>
      </c>
      <c r="I927" s="10">
        <f t="shared" si="60"/>
        <v>60</v>
      </c>
    </row>
    <row r="928" spans="1:9" x14ac:dyDescent="0.25">
      <c r="A928" s="2" t="s">
        <v>2420</v>
      </c>
      <c r="B928" s="2" t="s">
        <v>2421</v>
      </c>
      <c r="C928" s="2" t="s">
        <v>28</v>
      </c>
      <c r="D928" s="2" t="s">
        <v>1406</v>
      </c>
      <c r="E928" s="2" t="s">
        <v>30</v>
      </c>
      <c r="F928" s="9">
        <f t="shared" si="57"/>
        <v>0</v>
      </c>
      <c r="G928" s="9">
        <f t="shared" si="58"/>
        <v>40</v>
      </c>
      <c r="H928" s="9">
        <f t="shared" si="59"/>
        <v>0</v>
      </c>
      <c r="I928" s="10">
        <f t="shared" si="60"/>
        <v>40</v>
      </c>
    </row>
    <row r="929" spans="1:9" x14ac:dyDescent="0.25">
      <c r="A929" s="2" t="s">
        <v>2422</v>
      </c>
      <c r="B929" s="2" t="s">
        <v>2423</v>
      </c>
      <c r="C929" s="2" t="s">
        <v>28</v>
      </c>
      <c r="D929" s="2" t="s">
        <v>1406</v>
      </c>
      <c r="E929" s="2" t="s">
        <v>30</v>
      </c>
      <c r="F929" s="9">
        <f t="shared" si="57"/>
        <v>0</v>
      </c>
      <c r="G929" s="9">
        <f t="shared" si="58"/>
        <v>21</v>
      </c>
      <c r="H929" s="9">
        <f t="shared" si="59"/>
        <v>0</v>
      </c>
      <c r="I929" s="10">
        <f t="shared" si="60"/>
        <v>21</v>
      </c>
    </row>
    <row r="930" spans="1:9" x14ac:dyDescent="0.25">
      <c r="A930" s="2" t="s">
        <v>2424</v>
      </c>
      <c r="B930" s="2" t="s">
        <v>2425</v>
      </c>
      <c r="C930" s="2" t="s">
        <v>28</v>
      </c>
      <c r="D930" s="2" t="s">
        <v>1406</v>
      </c>
      <c r="E930" s="2" t="s">
        <v>30</v>
      </c>
      <c r="F930" s="9">
        <f t="shared" si="57"/>
        <v>0</v>
      </c>
      <c r="G930" s="9">
        <f t="shared" si="58"/>
        <v>2</v>
      </c>
      <c r="H930" s="9">
        <f t="shared" si="59"/>
        <v>0</v>
      </c>
      <c r="I930" s="10">
        <f t="shared" si="60"/>
        <v>2</v>
      </c>
    </row>
    <row r="931" spans="1:9" x14ac:dyDescent="0.25">
      <c r="A931" s="2" t="s">
        <v>2426</v>
      </c>
      <c r="B931" s="2" t="s">
        <v>2427</v>
      </c>
      <c r="C931" s="2" t="s">
        <v>28</v>
      </c>
      <c r="D931" s="2" t="s">
        <v>1406</v>
      </c>
      <c r="E931" s="2" t="s">
        <v>30</v>
      </c>
      <c r="F931" s="9">
        <f t="shared" si="57"/>
        <v>0</v>
      </c>
      <c r="G931" s="9">
        <f t="shared" si="58"/>
        <v>1</v>
      </c>
      <c r="H931" s="9">
        <f t="shared" si="59"/>
        <v>0</v>
      </c>
      <c r="I931" s="10">
        <f t="shared" si="60"/>
        <v>1</v>
      </c>
    </row>
    <row r="932" spans="1:9" x14ac:dyDescent="0.25">
      <c r="A932" s="2" t="s">
        <v>2428</v>
      </c>
      <c r="B932" s="2" t="s">
        <v>2429</v>
      </c>
      <c r="C932" s="2" t="s">
        <v>28</v>
      </c>
      <c r="D932" s="2" t="s">
        <v>1406</v>
      </c>
      <c r="E932" s="2" t="s">
        <v>500</v>
      </c>
      <c r="F932" s="9">
        <f t="shared" si="57"/>
        <v>0</v>
      </c>
      <c r="G932" s="9">
        <f t="shared" si="58"/>
        <v>151</v>
      </c>
      <c r="H932" s="9">
        <f t="shared" si="59"/>
        <v>0</v>
      </c>
      <c r="I932" s="10">
        <f t="shared" si="60"/>
        <v>151</v>
      </c>
    </row>
    <row r="933" spans="1:9" x14ac:dyDescent="0.25">
      <c r="A933" s="2" t="s">
        <v>2430</v>
      </c>
      <c r="B933" s="2" t="s">
        <v>2431</v>
      </c>
      <c r="C933" s="2" t="s">
        <v>28</v>
      </c>
      <c r="D933" s="2" t="s">
        <v>1406</v>
      </c>
      <c r="E933" s="2" t="s">
        <v>500</v>
      </c>
      <c r="F933" s="9">
        <f t="shared" si="57"/>
        <v>0</v>
      </c>
      <c r="G933" s="9">
        <f t="shared" si="58"/>
        <v>37</v>
      </c>
      <c r="H933" s="9">
        <f t="shared" si="59"/>
        <v>0</v>
      </c>
      <c r="I933" s="10">
        <f t="shared" si="60"/>
        <v>37</v>
      </c>
    </row>
    <row r="934" spans="1:9" x14ac:dyDescent="0.25">
      <c r="A934" s="2" t="s">
        <v>2432</v>
      </c>
      <c r="B934" s="2" t="s">
        <v>2433</v>
      </c>
      <c r="C934" s="2" t="s">
        <v>28</v>
      </c>
      <c r="D934" s="2" t="s">
        <v>1406</v>
      </c>
      <c r="E934" s="2" t="s">
        <v>500</v>
      </c>
      <c r="F934" s="9">
        <f t="shared" si="57"/>
        <v>0</v>
      </c>
      <c r="G934" s="9">
        <f t="shared" si="58"/>
        <v>73</v>
      </c>
      <c r="H934" s="9">
        <f t="shared" si="59"/>
        <v>0</v>
      </c>
      <c r="I934" s="10">
        <f t="shared" si="60"/>
        <v>73</v>
      </c>
    </row>
    <row r="935" spans="1:9" x14ac:dyDescent="0.25">
      <c r="A935" s="2" t="s">
        <v>2434</v>
      </c>
      <c r="B935" s="2" t="s">
        <v>2435</v>
      </c>
      <c r="C935" s="2" t="s">
        <v>28</v>
      </c>
      <c r="D935" s="2" t="s">
        <v>1406</v>
      </c>
      <c r="E935" s="2" t="s">
        <v>500</v>
      </c>
      <c r="F935" s="9">
        <f t="shared" si="57"/>
        <v>0</v>
      </c>
      <c r="G935" s="9">
        <f t="shared" si="58"/>
        <v>124</v>
      </c>
      <c r="H935" s="9">
        <f t="shared" si="59"/>
        <v>0</v>
      </c>
      <c r="I935" s="10">
        <f t="shared" si="60"/>
        <v>124</v>
      </c>
    </row>
    <row r="936" spans="1:9" x14ac:dyDescent="0.25">
      <c r="A936" s="2" t="s">
        <v>2436</v>
      </c>
      <c r="B936" s="2" t="s">
        <v>2437</v>
      </c>
      <c r="C936" s="2" t="s">
        <v>28</v>
      </c>
      <c r="D936" s="2" t="s">
        <v>1406</v>
      </c>
      <c r="E936" s="2" t="s">
        <v>500</v>
      </c>
      <c r="F936" s="9">
        <f t="shared" si="57"/>
        <v>0</v>
      </c>
      <c r="G936" s="9">
        <f t="shared" si="58"/>
        <v>40</v>
      </c>
      <c r="H936" s="9">
        <f t="shared" si="59"/>
        <v>0</v>
      </c>
      <c r="I936" s="10">
        <f t="shared" si="60"/>
        <v>40</v>
      </c>
    </row>
    <row r="937" spans="1:9" x14ac:dyDescent="0.25">
      <c r="A937" s="2" t="s">
        <v>2438</v>
      </c>
      <c r="B937" s="2" t="s">
        <v>2439</v>
      </c>
      <c r="C937" s="2" t="s">
        <v>28</v>
      </c>
      <c r="D937" s="2" t="s">
        <v>1406</v>
      </c>
      <c r="E937" s="2" t="s">
        <v>500</v>
      </c>
      <c r="F937" s="9">
        <f t="shared" si="57"/>
        <v>0</v>
      </c>
      <c r="G937" s="9">
        <f t="shared" si="58"/>
        <v>43</v>
      </c>
      <c r="H937" s="9">
        <f t="shared" si="59"/>
        <v>0</v>
      </c>
      <c r="I937" s="10">
        <f t="shared" si="60"/>
        <v>43</v>
      </c>
    </row>
    <row r="938" spans="1:9" x14ac:dyDescent="0.25">
      <c r="A938" s="2" t="s">
        <v>2440</v>
      </c>
      <c r="B938" s="2" t="s">
        <v>2441</v>
      </c>
      <c r="C938" s="2" t="s">
        <v>28</v>
      </c>
      <c r="D938" s="2" t="s">
        <v>1406</v>
      </c>
      <c r="E938" s="2" t="s">
        <v>500</v>
      </c>
      <c r="F938" s="9">
        <f t="shared" si="57"/>
        <v>0</v>
      </c>
      <c r="G938" s="9">
        <f t="shared" si="58"/>
        <v>69</v>
      </c>
      <c r="H938" s="9">
        <f t="shared" si="59"/>
        <v>0</v>
      </c>
      <c r="I938" s="10">
        <f t="shared" si="60"/>
        <v>69</v>
      </c>
    </row>
    <row r="939" spans="1:9" x14ac:dyDescent="0.25">
      <c r="A939" s="2" t="s">
        <v>2442</v>
      </c>
      <c r="B939" s="2" t="s">
        <v>2443</v>
      </c>
      <c r="C939" s="2" t="s">
        <v>28</v>
      </c>
      <c r="D939" s="2" t="s">
        <v>1406</v>
      </c>
      <c r="E939" s="2" t="s">
        <v>30</v>
      </c>
      <c r="F939" s="9">
        <f t="shared" si="57"/>
        <v>0</v>
      </c>
      <c r="G939" s="9">
        <f t="shared" si="58"/>
        <v>20</v>
      </c>
      <c r="H939" s="9">
        <f t="shared" si="59"/>
        <v>0</v>
      </c>
      <c r="I939" s="10">
        <f t="shared" si="60"/>
        <v>20</v>
      </c>
    </row>
    <row r="940" spans="1:9" x14ac:dyDescent="0.25">
      <c r="A940" s="2" t="s">
        <v>499</v>
      </c>
      <c r="B940" s="2" t="s">
        <v>498</v>
      </c>
      <c r="C940" s="2" t="s">
        <v>28</v>
      </c>
      <c r="D940" s="2" t="s">
        <v>1406</v>
      </c>
      <c r="E940" s="2" t="s">
        <v>500</v>
      </c>
      <c r="F940" s="9">
        <f t="shared" si="57"/>
        <v>0</v>
      </c>
      <c r="G940" s="9">
        <f t="shared" si="58"/>
        <v>0</v>
      </c>
      <c r="H940" s="9">
        <f t="shared" si="59"/>
        <v>0</v>
      </c>
      <c r="I940" s="10">
        <f t="shared" si="60"/>
        <v>0</v>
      </c>
    </row>
    <row r="941" spans="1:9" x14ac:dyDescent="0.25">
      <c r="A941" s="2" t="s">
        <v>502</v>
      </c>
      <c r="B941" s="2" t="s">
        <v>501</v>
      </c>
      <c r="C941" s="2" t="s">
        <v>28</v>
      </c>
      <c r="D941" s="2" t="s">
        <v>1406</v>
      </c>
      <c r="E941" s="2" t="s">
        <v>500</v>
      </c>
      <c r="F941" s="9">
        <f t="shared" si="57"/>
        <v>0</v>
      </c>
      <c r="G941" s="9">
        <f t="shared" si="58"/>
        <v>0</v>
      </c>
      <c r="H941" s="9">
        <f t="shared" si="59"/>
        <v>0</v>
      </c>
      <c r="I941" s="10">
        <f t="shared" si="60"/>
        <v>0</v>
      </c>
    </row>
    <row r="942" spans="1:9" x14ac:dyDescent="0.25">
      <c r="A942" s="2" t="s">
        <v>504</v>
      </c>
      <c r="B942" s="2" t="s">
        <v>503</v>
      </c>
      <c r="C942" s="2" t="s">
        <v>28</v>
      </c>
      <c r="D942" s="2" t="s">
        <v>1406</v>
      </c>
      <c r="E942" s="2" t="s">
        <v>500</v>
      </c>
      <c r="F942" s="9">
        <f t="shared" si="57"/>
        <v>0</v>
      </c>
      <c r="G942" s="9">
        <f t="shared" si="58"/>
        <v>0</v>
      </c>
      <c r="H942" s="9">
        <f t="shared" si="59"/>
        <v>0</v>
      </c>
      <c r="I942" s="10">
        <f t="shared" si="60"/>
        <v>0</v>
      </c>
    </row>
    <row r="943" spans="1:9" x14ac:dyDescent="0.25">
      <c r="A943" s="2" t="s">
        <v>506</v>
      </c>
      <c r="B943" s="2" t="s">
        <v>505</v>
      </c>
      <c r="C943" s="2" t="s">
        <v>28</v>
      </c>
      <c r="D943" s="2" t="s">
        <v>1406</v>
      </c>
      <c r="E943" s="2" t="s">
        <v>500</v>
      </c>
      <c r="F943" s="9">
        <f t="shared" si="57"/>
        <v>0</v>
      </c>
      <c r="G943" s="9">
        <f t="shared" si="58"/>
        <v>1</v>
      </c>
      <c r="H943" s="9">
        <f t="shared" si="59"/>
        <v>0</v>
      </c>
      <c r="I943" s="10">
        <f t="shared" si="60"/>
        <v>1</v>
      </c>
    </row>
    <row r="944" spans="1:9" x14ac:dyDescent="0.25">
      <c r="A944" s="2" t="s">
        <v>508</v>
      </c>
      <c r="B944" s="2" t="s">
        <v>507</v>
      </c>
      <c r="C944" s="2" t="s">
        <v>28</v>
      </c>
      <c r="D944" s="2" t="s">
        <v>1406</v>
      </c>
      <c r="E944" s="2" t="s">
        <v>500</v>
      </c>
      <c r="F944" s="9">
        <f t="shared" si="57"/>
        <v>0</v>
      </c>
      <c r="G944" s="9">
        <f t="shared" si="58"/>
        <v>1</v>
      </c>
      <c r="H944" s="9">
        <f t="shared" si="59"/>
        <v>0</v>
      </c>
      <c r="I944" s="10">
        <f t="shared" si="60"/>
        <v>1</v>
      </c>
    </row>
    <row r="945" spans="1:9" x14ac:dyDescent="0.25">
      <c r="A945" s="2" t="s">
        <v>510</v>
      </c>
      <c r="B945" s="2" t="s">
        <v>509</v>
      </c>
      <c r="C945" s="2" t="s">
        <v>28</v>
      </c>
      <c r="D945" s="2" t="s">
        <v>1406</v>
      </c>
      <c r="E945" s="2" t="s">
        <v>30</v>
      </c>
      <c r="F945" s="9">
        <f t="shared" si="57"/>
        <v>0</v>
      </c>
      <c r="G945" s="9">
        <f t="shared" si="58"/>
        <v>0</v>
      </c>
      <c r="H945" s="9">
        <f t="shared" si="59"/>
        <v>0</v>
      </c>
      <c r="I945" s="10">
        <f t="shared" si="60"/>
        <v>0</v>
      </c>
    </row>
    <row r="946" spans="1:9" x14ac:dyDescent="0.25">
      <c r="A946" s="2" t="s">
        <v>512</v>
      </c>
      <c r="B946" s="2" t="s">
        <v>511</v>
      </c>
      <c r="C946" s="2" t="s">
        <v>28</v>
      </c>
      <c r="D946" s="2" t="s">
        <v>1406</v>
      </c>
      <c r="E946" s="2" t="s">
        <v>500</v>
      </c>
      <c r="F946" s="9">
        <f t="shared" si="57"/>
        <v>0</v>
      </c>
      <c r="G946" s="9">
        <f t="shared" si="58"/>
        <v>9</v>
      </c>
      <c r="H946" s="9">
        <f t="shared" si="59"/>
        <v>0</v>
      </c>
      <c r="I946" s="10">
        <f t="shared" si="60"/>
        <v>9</v>
      </c>
    </row>
    <row r="947" spans="1:9" x14ac:dyDescent="0.25">
      <c r="A947" s="2" t="s">
        <v>514</v>
      </c>
      <c r="B947" s="2" t="s">
        <v>513</v>
      </c>
      <c r="C947" s="2" t="s">
        <v>28</v>
      </c>
      <c r="D947" s="2" t="s">
        <v>1406</v>
      </c>
      <c r="E947" s="2" t="s">
        <v>30</v>
      </c>
      <c r="F947" s="9">
        <f t="shared" si="57"/>
        <v>0</v>
      </c>
      <c r="G947" s="9">
        <f t="shared" si="58"/>
        <v>0</v>
      </c>
      <c r="H947" s="9">
        <f t="shared" si="59"/>
        <v>0</v>
      </c>
      <c r="I947" s="10">
        <f t="shared" si="60"/>
        <v>0</v>
      </c>
    </row>
    <row r="948" spans="1:9" x14ac:dyDescent="0.25">
      <c r="A948" s="2" t="s">
        <v>516</v>
      </c>
      <c r="B948" s="2" t="s">
        <v>515</v>
      </c>
      <c r="C948" s="2" t="s">
        <v>28</v>
      </c>
      <c r="D948" s="2" t="s">
        <v>1406</v>
      </c>
      <c r="E948" s="2" t="s">
        <v>500</v>
      </c>
      <c r="F948" s="9">
        <f t="shared" si="57"/>
        <v>0</v>
      </c>
      <c r="G948" s="9">
        <f t="shared" si="58"/>
        <v>2</v>
      </c>
      <c r="H948" s="9">
        <f t="shared" si="59"/>
        <v>0</v>
      </c>
      <c r="I948" s="10">
        <f t="shared" si="60"/>
        <v>2</v>
      </c>
    </row>
    <row r="949" spans="1:9" x14ac:dyDescent="0.25">
      <c r="A949" s="2" t="s">
        <v>518</v>
      </c>
      <c r="B949" s="2" t="s">
        <v>517</v>
      </c>
      <c r="C949" s="2" t="s">
        <v>28</v>
      </c>
      <c r="D949" s="2" t="s">
        <v>1406</v>
      </c>
      <c r="E949" s="2" t="s">
        <v>30</v>
      </c>
      <c r="F949" s="9">
        <f t="shared" si="57"/>
        <v>0</v>
      </c>
      <c r="G949" s="9">
        <f t="shared" si="58"/>
        <v>0</v>
      </c>
      <c r="H949" s="9">
        <f t="shared" si="59"/>
        <v>0</v>
      </c>
      <c r="I949" s="10">
        <f t="shared" si="60"/>
        <v>0</v>
      </c>
    </row>
    <row r="950" spans="1:9" x14ac:dyDescent="0.25">
      <c r="A950" s="2" t="s">
        <v>520</v>
      </c>
      <c r="B950" s="2" t="s">
        <v>519</v>
      </c>
      <c r="C950" s="2" t="s">
        <v>28</v>
      </c>
      <c r="D950" s="2" t="s">
        <v>1406</v>
      </c>
      <c r="E950" s="2" t="s">
        <v>500</v>
      </c>
      <c r="F950" s="9">
        <f t="shared" si="57"/>
        <v>0</v>
      </c>
      <c r="G950" s="9">
        <f t="shared" si="58"/>
        <v>3</v>
      </c>
      <c r="H950" s="9">
        <f t="shared" si="59"/>
        <v>0</v>
      </c>
      <c r="I950" s="10">
        <f t="shared" si="60"/>
        <v>3</v>
      </c>
    </row>
    <row r="951" spans="1:9" x14ac:dyDescent="0.25">
      <c r="A951" s="2" t="s">
        <v>522</v>
      </c>
      <c r="B951" s="2" t="s">
        <v>521</v>
      </c>
      <c r="C951" s="2" t="s">
        <v>28</v>
      </c>
      <c r="D951" s="2" t="s">
        <v>1406</v>
      </c>
      <c r="E951" s="2" t="s">
        <v>500</v>
      </c>
      <c r="F951" s="9">
        <f t="shared" si="57"/>
        <v>0</v>
      </c>
      <c r="G951" s="9">
        <f t="shared" si="58"/>
        <v>3</v>
      </c>
      <c r="H951" s="9">
        <f t="shared" si="59"/>
        <v>0</v>
      </c>
      <c r="I951" s="10">
        <f t="shared" si="60"/>
        <v>3</v>
      </c>
    </row>
    <row r="952" spans="1:9" x14ac:dyDescent="0.25">
      <c r="A952" s="2" t="s">
        <v>524</v>
      </c>
      <c r="B952" s="2" t="s">
        <v>523</v>
      </c>
      <c r="C952" s="2" t="s">
        <v>28</v>
      </c>
      <c r="D952" s="2" t="s">
        <v>1406</v>
      </c>
      <c r="E952" s="2" t="s">
        <v>30</v>
      </c>
      <c r="F952" s="9">
        <f t="shared" si="57"/>
        <v>0</v>
      </c>
      <c r="G952" s="9">
        <f t="shared" si="58"/>
        <v>0</v>
      </c>
      <c r="H952" s="9">
        <f t="shared" si="59"/>
        <v>0</v>
      </c>
      <c r="I952" s="10">
        <f t="shared" si="60"/>
        <v>0</v>
      </c>
    </row>
    <row r="953" spans="1:9" x14ac:dyDescent="0.25">
      <c r="A953" s="2" t="s">
        <v>526</v>
      </c>
      <c r="B953" s="2" t="s">
        <v>525</v>
      </c>
      <c r="C953" s="2" t="s">
        <v>28</v>
      </c>
      <c r="D953" s="2" t="s">
        <v>1406</v>
      </c>
      <c r="E953" s="2" t="s">
        <v>500</v>
      </c>
      <c r="F953" s="9">
        <f t="shared" si="57"/>
        <v>0</v>
      </c>
      <c r="G953" s="9">
        <f t="shared" si="58"/>
        <v>0</v>
      </c>
      <c r="H953" s="9">
        <f t="shared" si="59"/>
        <v>0</v>
      </c>
      <c r="I953" s="10">
        <f t="shared" si="60"/>
        <v>0</v>
      </c>
    </row>
    <row r="954" spans="1:9" x14ac:dyDescent="0.25">
      <c r="A954" s="2" t="s">
        <v>528</v>
      </c>
      <c r="B954" s="2" t="s">
        <v>527</v>
      </c>
      <c r="C954" s="2" t="s">
        <v>28</v>
      </c>
      <c r="D954" s="2" t="s">
        <v>1406</v>
      </c>
      <c r="E954" s="2" t="s">
        <v>500</v>
      </c>
      <c r="F954" s="9">
        <f t="shared" si="57"/>
        <v>0</v>
      </c>
      <c r="G954" s="9">
        <f t="shared" si="58"/>
        <v>1</v>
      </c>
      <c r="H954" s="9">
        <f t="shared" si="59"/>
        <v>0</v>
      </c>
      <c r="I954" s="10">
        <f t="shared" si="60"/>
        <v>1</v>
      </c>
    </row>
    <row r="955" spans="1:9" x14ac:dyDescent="0.25">
      <c r="A955" s="2" t="s">
        <v>530</v>
      </c>
      <c r="B955" s="2" t="s">
        <v>529</v>
      </c>
      <c r="C955" s="2" t="s">
        <v>28</v>
      </c>
      <c r="D955" s="2" t="s">
        <v>1406</v>
      </c>
      <c r="E955" s="2" t="s">
        <v>30</v>
      </c>
      <c r="F955" s="9">
        <f t="shared" si="57"/>
        <v>0</v>
      </c>
      <c r="G955" s="9">
        <f t="shared" si="58"/>
        <v>0</v>
      </c>
      <c r="H955" s="9">
        <f t="shared" si="59"/>
        <v>0</v>
      </c>
      <c r="I955" s="10">
        <f t="shared" si="60"/>
        <v>0</v>
      </c>
    </row>
    <row r="956" spans="1:9" x14ac:dyDescent="0.25">
      <c r="A956" s="2" t="s">
        <v>532</v>
      </c>
      <c r="B956" s="2" t="s">
        <v>531</v>
      </c>
      <c r="C956" s="2" t="s">
        <v>28</v>
      </c>
      <c r="D956" s="2" t="s">
        <v>1406</v>
      </c>
      <c r="E956" s="2" t="s">
        <v>500</v>
      </c>
      <c r="F956" s="9">
        <f t="shared" si="57"/>
        <v>0</v>
      </c>
      <c r="G956" s="9">
        <f t="shared" si="58"/>
        <v>0</v>
      </c>
      <c r="H956" s="9">
        <f t="shared" si="59"/>
        <v>0</v>
      </c>
      <c r="I956" s="10">
        <f t="shared" si="60"/>
        <v>0</v>
      </c>
    </row>
    <row r="957" spans="1:9" x14ac:dyDescent="0.25">
      <c r="A957" s="2" t="s">
        <v>534</v>
      </c>
      <c r="B957" s="2" t="s">
        <v>533</v>
      </c>
      <c r="C957" s="2" t="s">
        <v>28</v>
      </c>
      <c r="D957" s="2" t="s">
        <v>1406</v>
      </c>
      <c r="E957" s="2" t="s">
        <v>500</v>
      </c>
      <c r="F957" s="9">
        <f t="shared" si="57"/>
        <v>0</v>
      </c>
      <c r="G957" s="9">
        <f t="shared" si="58"/>
        <v>1</v>
      </c>
      <c r="H957" s="9">
        <f t="shared" si="59"/>
        <v>0</v>
      </c>
      <c r="I957" s="10">
        <f t="shared" si="60"/>
        <v>1</v>
      </c>
    </row>
    <row r="958" spans="1:9" x14ac:dyDescent="0.25">
      <c r="A958" s="2" t="s">
        <v>536</v>
      </c>
      <c r="B958" s="2" t="s">
        <v>535</v>
      </c>
      <c r="C958" s="2" t="s">
        <v>28</v>
      </c>
      <c r="D958" s="2" t="s">
        <v>1406</v>
      </c>
      <c r="E958" s="2" t="s">
        <v>500</v>
      </c>
      <c r="F958" s="9">
        <f t="shared" si="57"/>
        <v>0</v>
      </c>
      <c r="G958" s="9">
        <f t="shared" si="58"/>
        <v>0</v>
      </c>
      <c r="H958" s="9">
        <f t="shared" si="59"/>
        <v>0</v>
      </c>
      <c r="I958" s="10">
        <f t="shared" si="60"/>
        <v>0</v>
      </c>
    </row>
    <row r="959" spans="1:9" x14ac:dyDescent="0.25">
      <c r="A959" s="2" t="s">
        <v>538</v>
      </c>
      <c r="B959" s="2" t="s">
        <v>537</v>
      </c>
      <c r="C959" s="2" t="s">
        <v>28</v>
      </c>
      <c r="D959" s="2" t="s">
        <v>1406</v>
      </c>
      <c r="E959" s="2" t="s">
        <v>500</v>
      </c>
      <c r="F959" s="9">
        <f t="shared" ref="F959:F1022" si="61">IFERROR(VLOOKUP(A959,condi,8,0),0)</f>
        <v>0</v>
      </c>
      <c r="G959" s="9">
        <f t="shared" ref="G959:G1022" si="62">IFERROR(VLOOKUP(A959,maqui,8,0),0)</f>
        <v>4</v>
      </c>
      <c r="H959" s="9">
        <f t="shared" ref="H959:H1022" si="63">IFERROR(VLOOKUP(A959,ascint,8,0),0)</f>
        <v>0</v>
      </c>
      <c r="I959" s="10">
        <f t="shared" si="60"/>
        <v>4</v>
      </c>
    </row>
    <row r="960" spans="1:9" x14ac:dyDescent="0.25">
      <c r="A960" s="2" t="s">
        <v>540</v>
      </c>
      <c r="B960" s="2" t="s">
        <v>539</v>
      </c>
      <c r="C960" s="2" t="s">
        <v>28</v>
      </c>
      <c r="D960" s="2" t="s">
        <v>1406</v>
      </c>
      <c r="E960" s="2" t="s">
        <v>500</v>
      </c>
      <c r="F960" s="9">
        <f t="shared" si="61"/>
        <v>0</v>
      </c>
      <c r="G960" s="9">
        <f t="shared" si="62"/>
        <v>0</v>
      </c>
      <c r="H960" s="9">
        <f t="shared" si="63"/>
        <v>0</v>
      </c>
      <c r="I960" s="10">
        <f t="shared" si="60"/>
        <v>0</v>
      </c>
    </row>
    <row r="961" spans="1:9" x14ac:dyDescent="0.25">
      <c r="A961" s="2" t="s">
        <v>542</v>
      </c>
      <c r="B961" s="2" t="s">
        <v>541</v>
      </c>
      <c r="C961" s="2" t="s">
        <v>28</v>
      </c>
      <c r="D961" s="2" t="s">
        <v>1406</v>
      </c>
      <c r="E961" s="2" t="s">
        <v>500</v>
      </c>
      <c r="F961" s="9">
        <f t="shared" si="61"/>
        <v>0</v>
      </c>
      <c r="G961" s="9">
        <f t="shared" si="62"/>
        <v>0</v>
      </c>
      <c r="H961" s="9">
        <f t="shared" si="63"/>
        <v>0</v>
      </c>
      <c r="I961" s="10">
        <f t="shared" si="60"/>
        <v>0</v>
      </c>
    </row>
    <row r="962" spans="1:9" x14ac:dyDescent="0.25">
      <c r="A962" s="2" t="s">
        <v>544</v>
      </c>
      <c r="B962" s="2" t="s">
        <v>543</v>
      </c>
      <c r="C962" s="2" t="s">
        <v>28</v>
      </c>
      <c r="D962" s="2" t="s">
        <v>1406</v>
      </c>
      <c r="E962" s="2" t="s">
        <v>500</v>
      </c>
      <c r="F962" s="9">
        <f t="shared" si="61"/>
        <v>0</v>
      </c>
      <c r="G962" s="9">
        <f t="shared" si="62"/>
        <v>2</v>
      </c>
      <c r="H962" s="9">
        <f t="shared" si="63"/>
        <v>0</v>
      </c>
      <c r="I962" s="10">
        <f t="shared" si="60"/>
        <v>2</v>
      </c>
    </row>
    <row r="963" spans="1:9" x14ac:dyDescent="0.25">
      <c r="A963" s="2" t="s">
        <v>546</v>
      </c>
      <c r="B963" s="2" t="s">
        <v>545</v>
      </c>
      <c r="C963" s="2" t="s">
        <v>28</v>
      </c>
      <c r="D963" s="2" t="s">
        <v>1406</v>
      </c>
      <c r="E963" s="2" t="s">
        <v>500</v>
      </c>
      <c r="F963" s="9">
        <f t="shared" si="61"/>
        <v>0</v>
      </c>
      <c r="G963" s="9">
        <f t="shared" si="62"/>
        <v>0</v>
      </c>
      <c r="H963" s="9">
        <f t="shared" si="63"/>
        <v>0</v>
      </c>
      <c r="I963" s="10">
        <f t="shared" si="60"/>
        <v>0</v>
      </c>
    </row>
    <row r="964" spans="1:9" x14ac:dyDescent="0.25">
      <c r="A964" s="2" t="s">
        <v>548</v>
      </c>
      <c r="B964" s="2" t="s">
        <v>547</v>
      </c>
      <c r="C964" s="2" t="s">
        <v>28</v>
      </c>
      <c r="D964" s="2" t="s">
        <v>1406</v>
      </c>
      <c r="E964" s="2" t="s">
        <v>500</v>
      </c>
      <c r="F964" s="9">
        <f t="shared" si="61"/>
        <v>0</v>
      </c>
      <c r="G964" s="9">
        <f t="shared" si="62"/>
        <v>4</v>
      </c>
      <c r="H964" s="9">
        <f t="shared" si="63"/>
        <v>0</v>
      </c>
      <c r="I964" s="10">
        <f t="shared" si="60"/>
        <v>4</v>
      </c>
    </row>
    <row r="965" spans="1:9" x14ac:dyDescent="0.25">
      <c r="A965" s="2" t="s">
        <v>550</v>
      </c>
      <c r="B965" s="2" t="s">
        <v>549</v>
      </c>
      <c r="C965" s="2" t="s">
        <v>28</v>
      </c>
      <c r="D965" s="2" t="s">
        <v>1406</v>
      </c>
      <c r="E965" s="2" t="s">
        <v>500</v>
      </c>
      <c r="F965" s="9">
        <f t="shared" si="61"/>
        <v>0</v>
      </c>
      <c r="G965" s="9">
        <f t="shared" si="62"/>
        <v>4</v>
      </c>
      <c r="H965" s="9">
        <f t="shared" si="63"/>
        <v>0</v>
      </c>
      <c r="I965" s="10">
        <f t="shared" ref="I965:I1028" si="64">+F965+G965+H965</f>
        <v>4</v>
      </c>
    </row>
    <row r="966" spans="1:9" x14ac:dyDescent="0.25">
      <c r="A966" s="2" t="s">
        <v>552</v>
      </c>
      <c r="B966" s="2" t="s">
        <v>551</v>
      </c>
      <c r="C966" s="2" t="s">
        <v>28</v>
      </c>
      <c r="D966" s="2" t="s">
        <v>1406</v>
      </c>
      <c r="E966" s="2" t="s">
        <v>500</v>
      </c>
      <c r="F966" s="9">
        <f t="shared" si="61"/>
        <v>0</v>
      </c>
      <c r="G966" s="9">
        <f t="shared" si="62"/>
        <v>0</v>
      </c>
      <c r="H966" s="9">
        <f t="shared" si="63"/>
        <v>0</v>
      </c>
      <c r="I966" s="10">
        <f t="shared" si="64"/>
        <v>0</v>
      </c>
    </row>
    <row r="967" spans="1:9" x14ac:dyDescent="0.25">
      <c r="A967" s="2" t="s">
        <v>554</v>
      </c>
      <c r="B967" s="2" t="s">
        <v>553</v>
      </c>
      <c r="C967" s="2" t="s">
        <v>28</v>
      </c>
      <c r="D967" s="2" t="s">
        <v>1406</v>
      </c>
      <c r="E967" s="2" t="s">
        <v>500</v>
      </c>
      <c r="F967" s="9">
        <f t="shared" si="61"/>
        <v>0</v>
      </c>
      <c r="G967" s="9">
        <f t="shared" si="62"/>
        <v>1</v>
      </c>
      <c r="H967" s="9">
        <f t="shared" si="63"/>
        <v>0</v>
      </c>
      <c r="I967" s="10">
        <f t="shared" si="64"/>
        <v>1</v>
      </c>
    </row>
    <row r="968" spans="1:9" x14ac:dyDescent="0.25">
      <c r="A968" s="2" t="s">
        <v>556</v>
      </c>
      <c r="B968" s="2" t="s">
        <v>555</v>
      </c>
      <c r="C968" s="2" t="s">
        <v>28</v>
      </c>
      <c r="D968" s="2" t="s">
        <v>1406</v>
      </c>
      <c r="E968" s="2" t="s">
        <v>500</v>
      </c>
      <c r="F968" s="9">
        <f t="shared" si="61"/>
        <v>0</v>
      </c>
      <c r="G968" s="9">
        <f t="shared" si="62"/>
        <v>2</v>
      </c>
      <c r="H968" s="9">
        <f t="shared" si="63"/>
        <v>0</v>
      </c>
      <c r="I968" s="10">
        <f t="shared" si="64"/>
        <v>2</v>
      </c>
    </row>
    <row r="969" spans="1:9" x14ac:dyDescent="0.25">
      <c r="A969" s="2" t="s">
        <v>558</v>
      </c>
      <c r="B969" s="2" t="s">
        <v>557</v>
      </c>
      <c r="C969" s="2" t="s">
        <v>28</v>
      </c>
      <c r="D969" s="2" t="s">
        <v>1406</v>
      </c>
      <c r="E969" s="2" t="s">
        <v>30</v>
      </c>
      <c r="F969" s="9">
        <f t="shared" si="61"/>
        <v>0</v>
      </c>
      <c r="G969" s="9">
        <f t="shared" si="62"/>
        <v>2</v>
      </c>
      <c r="H969" s="9">
        <f t="shared" si="63"/>
        <v>0</v>
      </c>
      <c r="I969" s="10">
        <f t="shared" si="64"/>
        <v>2</v>
      </c>
    </row>
    <row r="970" spans="1:9" x14ac:dyDescent="0.25">
      <c r="A970" s="2" t="s">
        <v>560</v>
      </c>
      <c r="B970" s="2" t="s">
        <v>559</v>
      </c>
      <c r="C970" s="2" t="s">
        <v>28</v>
      </c>
      <c r="D970" s="2" t="s">
        <v>1406</v>
      </c>
      <c r="E970" s="2" t="s">
        <v>30</v>
      </c>
      <c r="F970" s="9">
        <f t="shared" si="61"/>
        <v>0</v>
      </c>
      <c r="G970" s="9">
        <f t="shared" si="62"/>
        <v>0</v>
      </c>
      <c r="H970" s="9">
        <f t="shared" si="63"/>
        <v>0</v>
      </c>
      <c r="I970" s="10">
        <f t="shared" si="64"/>
        <v>0</v>
      </c>
    </row>
    <row r="971" spans="1:9" x14ac:dyDescent="0.25">
      <c r="A971" s="2" t="s">
        <v>562</v>
      </c>
      <c r="B971" s="2" t="s">
        <v>561</v>
      </c>
      <c r="C971" s="2" t="s">
        <v>28</v>
      </c>
      <c r="D971" s="2" t="s">
        <v>1406</v>
      </c>
      <c r="E971" s="2" t="s">
        <v>30</v>
      </c>
      <c r="F971" s="9">
        <f t="shared" si="61"/>
        <v>0</v>
      </c>
      <c r="G971" s="9">
        <f t="shared" si="62"/>
        <v>0</v>
      </c>
      <c r="H971" s="9">
        <f t="shared" si="63"/>
        <v>0</v>
      </c>
      <c r="I971" s="10">
        <f t="shared" si="64"/>
        <v>0</v>
      </c>
    </row>
    <row r="972" spans="1:9" x14ac:dyDescent="0.25">
      <c r="A972" s="2" t="s">
        <v>564</v>
      </c>
      <c r="B972" s="2" t="s">
        <v>563</v>
      </c>
      <c r="C972" s="2" t="s">
        <v>28</v>
      </c>
      <c r="D972" s="2" t="s">
        <v>1406</v>
      </c>
      <c r="E972" s="2" t="s">
        <v>30</v>
      </c>
      <c r="F972" s="9">
        <f t="shared" si="61"/>
        <v>0</v>
      </c>
      <c r="G972" s="9">
        <f t="shared" si="62"/>
        <v>0</v>
      </c>
      <c r="H972" s="9">
        <f t="shared" si="63"/>
        <v>0</v>
      </c>
      <c r="I972" s="10">
        <f t="shared" si="64"/>
        <v>0</v>
      </c>
    </row>
    <row r="973" spans="1:9" x14ac:dyDescent="0.25">
      <c r="A973" s="2" t="s">
        <v>566</v>
      </c>
      <c r="B973" s="2" t="s">
        <v>565</v>
      </c>
      <c r="C973" s="2" t="s">
        <v>28</v>
      </c>
      <c r="D973" s="2" t="s">
        <v>1406</v>
      </c>
      <c r="E973" s="2" t="s">
        <v>30</v>
      </c>
      <c r="F973" s="9">
        <f t="shared" si="61"/>
        <v>0</v>
      </c>
      <c r="G973" s="9">
        <f t="shared" si="62"/>
        <v>0</v>
      </c>
      <c r="H973" s="9">
        <f t="shared" si="63"/>
        <v>0</v>
      </c>
      <c r="I973" s="10">
        <f t="shared" si="64"/>
        <v>0</v>
      </c>
    </row>
    <row r="974" spans="1:9" x14ac:dyDescent="0.25">
      <c r="A974" s="2" t="s">
        <v>568</v>
      </c>
      <c r="B974" s="2" t="s">
        <v>567</v>
      </c>
      <c r="C974" s="2" t="s">
        <v>28</v>
      </c>
      <c r="D974" s="2" t="s">
        <v>1406</v>
      </c>
      <c r="E974" s="2" t="s">
        <v>30</v>
      </c>
      <c r="F974" s="9">
        <f t="shared" si="61"/>
        <v>0</v>
      </c>
      <c r="G974" s="9">
        <f t="shared" si="62"/>
        <v>0</v>
      </c>
      <c r="H974" s="9">
        <f t="shared" si="63"/>
        <v>0</v>
      </c>
      <c r="I974" s="10">
        <f t="shared" si="64"/>
        <v>0</v>
      </c>
    </row>
    <row r="975" spans="1:9" x14ac:dyDescent="0.25">
      <c r="A975" s="2" t="s">
        <v>570</v>
      </c>
      <c r="B975" s="2" t="s">
        <v>569</v>
      </c>
      <c r="C975" s="2" t="s">
        <v>28</v>
      </c>
      <c r="D975" s="2" t="s">
        <v>1406</v>
      </c>
      <c r="E975" s="2" t="s">
        <v>30</v>
      </c>
      <c r="F975" s="9">
        <f t="shared" si="61"/>
        <v>0</v>
      </c>
      <c r="G975" s="9">
        <f t="shared" si="62"/>
        <v>0</v>
      </c>
      <c r="H975" s="9">
        <f t="shared" si="63"/>
        <v>0</v>
      </c>
      <c r="I975" s="10">
        <f t="shared" si="64"/>
        <v>0</v>
      </c>
    </row>
    <row r="976" spans="1:9" x14ac:dyDescent="0.25">
      <c r="A976" s="2" t="s">
        <v>572</v>
      </c>
      <c r="B976" s="2" t="s">
        <v>571</v>
      </c>
      <c r="C976" s="2" t="s">
        <v>28</v>
      </c>
      <c r="D976" s="2" t="s">
        <v>1406</v>
      </c>
      <c r="E976" s="2" t="s">
        <v>30</v>
      </c>
      <c r="F976" s="9">
        <f t="shared" si="61"/>
        <v>0</v>
      </c>
      <c r="G976" s="9">
        <f t="shared" si="62"/>
        <v>0</v>
      </c>
      <c r="H976" s="9">
        <f t="shared" si="63"/>
        <v>0</v>
      </c>
      <c r="I976" s="10">
        <f t="shared" si="64"/>
        <v>0</v>
      </c>
    </row>
    <row r="977" spans="1:9" x14ac:dyDescent="0.25">
      <c r="A977" s="2" t="s">
        <v>574</v>
      </c>
      <c r="B977" s="2" t="s">
        <v>573</v>
      </c>
      <c r="C977" s="2" t="s">
        <v>28</v>
      </c>
      <c r="D977" s="2" t="s">
        <v>1406</v>
      </c>
      <c r="E977" s="2" t="s">
        <v>30</v>
      </c>
      <c r="F977" s="9">
        <f t="shared" si="61"/>
        <v>0</v>
      </c>
      <c r="G977" s="9">
        <f t="shared" si="62"/>
        <v>1</v>
      </c>
      <c r="H977" s="9">
        <f t="shared" si="63"/>
        <v>0</v>
      </c>
      <c r="I977" s="10">
        <f t="shared" si="64"/>
        <v>1</v>
      </c>
    </row>
    <row r="978" spans="1:9" x14ac:dyDescent="0.25">
      <c r="A978" s="2" t="s">
        <v>576</v>
      </c>
      <c r="B978" s="2" t="s">
        <v>575</v>
      </c>
      <c r="C978" s="2" t="s">
        <v>28</v>
      </c>
      <c r="D978" s="2" t="s">
        <v>1406</v>
      </c>
      <c r="E978" s="2" t="s">
        <v>30</v>
      </c>
      <c r="F978" s="9">
        <f t="shared" si="61"/>
        <v>0</v>
      </c>
      <c r="G978" s="9">
        <f t="shared" si="62"/>
        <v>0</v>
      </c>
      <c r="H978" s="9">
        <f t="shared" si="63"/>
        <v>0</v>
      </c>
      <c r="I978" s="10">
        <f t="shared" si="64"/>
        <v>0</v>
      </c>
    </row>
    <row r="979" spans="1:9" x14ac:dyDescent="0.25">
      <c r="A979" s="2" t="s">
        <v>578</v>
      </c>
      <c r="B979" s="2" t="s">
        <v>577</v>
      </c>
      <c r="C979" s="2" t="s">
        <v>28</v>
      </c>
      <c r="D979" s="2" t="s">
        <v>1406</v>
      </c>
      <c r="E979" s="2" t="s">
        <v>30</v>
      </c>
      <c r="F979" s="9">
        <f t="shared" si="61"/>
        <v>0</v>
      </c>
      <c r="G979" s="9">
        <f t="shared" si="62"/>
        <v>0</v>
      </c>
      <c r="H979" s="9">
        <f t="shared" si="63"/>
        <v>0</v>
      </c>
      <c r="I979" s="10">
        <f t="shared" si="64"/>
        <v>0</v>
      </c>
    </row>
    <row r="980" spans="1:9" x14ac:dyDescent="0.25">
      <c r="A980" s="2" t="s">
        <v>580</v>
      </c>
      <c r="B980" s="2" t="s">
        <v>579</v>
      </c>
      <c r="C980" s="2" t="s">
        <v>28</v>
      </c>
      <c r="D980" s="2" t="s">
        <v>1406</v>
      </c>
      <c r="E980" s="2" t="s">
        <v>30</v>
      </c>
      <c r="F980" s="9">
        <f t="shared" si="61"/>
        <v>0</v>
      </c>
      <c r="G980" s="9">
        <f t="shared" si="62"/>
        <v>0</v>
      </c>
      <c r="H980" s="9">
        <f t="shared" si="63"/>
        <v>0</v>
      </c>
      <c r="I980" s="10">
        <f t="shared" si="64"/>
        <v>0</v>
      </c>
    </row>
    <row r="981" spans="1:9" x14ac:dyDescent="0.25">
      <c r="A981" s="2" t="s">
        <v>2444</v>
      </c>
      <c r="B981" s="2" t="s">
        <v>2445</v>
      </c>
      <c r="C981" s="2" t="s">
        <v>28</v>
      </c>
      <c r="D981" s="2" t="s">
        <v>1406</v>
      </c>
      <c r="E981" s="2" t="s">
        <v>30</v>
      </c>
      <c r="F981" s="9">
        <f t="shared" si="61"/>
        <v>5</v>
      </c>
      <c r="G981" s="9">
        <f t="shared" si="62"/>
        <v>1</v>
      </c>
      <c r="H981" s="9">
        <f t="shared" si="63"/>
        <v>0</v>
      </c>
      <c r="I981" s="10">
        <f t="shared" si="64"/>
        <v>6</v>
      </c>
    </row>
    <row r="982" spans="1:9" x14ac:dyDescent="0.25">
      <c r="A982" s="2" t="s">
        <v>582</v>
      </c>
      <c r="B982" s="2" t="s">
        <v>581</v>
      </c>
      <c r="C982" s="2" t="s">
        <v>28</v>
      </c>
      <c r="D982" s="2" t="s">
        <v>1406</v>
      </c>
      <c r="E982" s="2" t="s">
        <v>30</v>
      </c>
      <c r="F982" s="9">
        <f t="shared" si="61"/>
        <v>0</v>
      </c>
      <c r="G982" s="9">
        <f t="shared" si="62"/>
        <v>0</v>
      </c>
      <c r="H982" s="9">
        <f t="shared" si="63"/>
        <v>0</v>
      </c>
      <c r="I982" s="10">
        <f t="shared" si="64"/>
        <v>0</v>
      </c>
    </row>
    <row r="983" spans="1:9" x14ac:dyDescent="0.25">
      <c r="A983" s="2" t="s">
        <v>2446</v>
      </c>
      <c r="B983" s="2" t="s">
        <v>2447</v>
      </c>
      <c r="C983" s="2" t="s">
        <v>28</v>
      </c>
      <c r="D983" s="2" t="s">
        <v>1406</v>
      </c>
      <c r="E983" s="2" t="s">
        <v>30</v>
      </c>
      <c r="F983" s="9">
        <f t="shared" si="61"/>
        <v>0</v>
      </c>
      <c r="G983" s="9">
        <f t="shared" si="62"/>
        <v>0</v>
      </c>
      <c r="H983" s="9">
        <f t="shared" si="63"/>
        <v>0</v>
      </c>
      <c r="I983" s="10">
        <f t="shared" si="64"/>
        <v>0</v>
      </c>
    </row>
    <row r="984" spans="1:9" x14ac:dyDescent="0.25">
      <c r="A984" s="2" t="s">
        <v>2448</v>
      </c>
      <c r="B984" s="2" t="s">
        <v>2449</v>
      </c>
      <c r="C984" s="2" t="s">
        <v>28</v>
      </c>
      <c r="D984" s="2" t="s">
        <v>1406</v>
      </c>
      <c r="E984" s="2" t="s">
        <v>30</v>
      </c>
      <c r="F984" s="9">
        <f t="shared" si="61"/>
        <v>37</v>
      </c>
      <c r="G984" s="9">
        <f t="shared" si="62"/>
        <v>1</v>
      </c>
      <c r="H984" s="9">
        <f t="shared" si="63"/>
        <v>0</v>
      </c>
      <c r="I984" s="10">
        <f t="shared" si="64"/>
        <v>38</v>
      </c>
    </row>
    <row r="985" spans="1:9" x14ac:dyDescent="0.25">
      <c r="A985" s="2" t="s">
        <v>2450</v>
      </c>
      <c r="B985" s="2" t="s">
        <v>2451</v>
      </c>
      <c r="C985" s="2" t="s">
        <v>28</v>
      </c>
      <c r="D985" s="2" t="s">
        <v>1406</v>
      </c>
      <c r="E985" s="2" t="s">
        <v>30</v>
      </c>
      <c r="F985" s="9">
        <f t="shared" si="61"/>
        <v>0</v>
      </c>
      <c r="G985" s="9">
        <f t="shared" si="62"/>
        <v>2</v>
      </c>
      <c r="H985" s="9">
        <f t="shared" si="63"/>
        <v>0</v>
      </c>
      <c r="I985" s="10">
        <f t="shared" si="64"/>
        <v>2</v>
      </c>
    </row>
    <row r="986" spans="1:9" x14ac:dyDescent="0.25">
      <c r="A986" s="2" t="s">
        <v>2452</v>
      </c>
      <c r="B986" s="2" t="s">
        <v>2453</v>
      </c>
      <c r="C986" s="2" t="s">
        <v>28</v>
      </c>
      <c r="D986" s="2" t="s">
        <v>1406</v>
      </c>
      <c r="E986" s="2" t="s">
        <v>30</v>
      </c>
      <c r="F986" s="9">
        <f t="shared" si="61"/>
        <v>0</v>
      </c>
      <c r="G986" s="9">
        <f t="shared" si="62"/>
        <v>2</v>
      </c>
      <c r="H986" s="9">
        <f t="shared" si="63"/>
        <v>0</v>
      </c>
      <c r="I986" s="10">
        <f t="shared" si="64"/>
        <v>2</v>
      </c>
    </row>
    <row r="987" spans="1:9" x14ac:dyDescent="0.25">
      <c r="A987" s="2" t="s">
        <v>2454</v>
      </c>
      <c r="B987" s="2" t="s">
        <v>2455</v>
      </c>
      <c r="C987" s="2" t="s">
        <v>28</v>
      </c>
      <c r="D987" s="2" t="s">
        <v>1406</v>
      </c>
      <c r="E987" s="2" t="s">
        <v>30</v>
      </c>
      <c r="F987" s="9">
        <f t="shared" si="61"/>
        <v>0</v>
      </c>
      <c r="G987" s="9">
        <f t="shared" si="62"/>
        <v>3</v>
      </c>
      <c r="H987" s="9">
        <f t="shared" si="63"/>
        <v>0</v>
      </c>
      <c r="I987" s="10">
        <f t="shared" si="64"/>
        <v>3</v>
      </c>
    </row>
    <row r="988" spans="1:9" x14ac:dyDescent="0.25">
      <c r="A988" s="2" t="s">
        <v>2456</v>
      </c>
      <c r="B988" s="2" t="s">
        <v>2457</v>
      </c>
      <c r="C988" s="2" t="s">
        <v>28</v>
      </c>
      <c r="D988" s="2" t="s">
        <v>1406</v>
      </c>
      <c r="E988" s="2" t="s">
        <v>30</v>
      </c>
      <c r="F988" s="9">
        <f t="shared" si="61"/>
        <v>0</v>
      </c>
      <c r="G988" s="9">
        <f t="shared" si="62"/>
        <v>4</v>
      </c>
      <c r="H988" s="9">
        <f t="shared" si="63"/>
        <v>0</v>
      </c>
      <c r="I988" s="10">
        <f t="shared" si="64"/>
        <v>4</v>
      </c>
    </row>
    <row r="989" spans="1:9" x14ac:dyDescent="0.25">
      <c r="A989" s="2" t="s">
        <v>2458</v>
      </c>
      <c r="B989" s="2" t="s">
        <v>2459</v>
      </c>
      <c r="C989" s="2" t="s">
        <v>28</v>
      </c>
      <c r="D989" s="2" t="s">
        <v>1406</v>
      </c>
      <c r="E989" s="2" t="s">
        <v>30</v>
      </c>
      <c r="F989" s="9">
        <f t="shared" si="61"/>
        <v>0</v>
      </c>
      <c r="G989" s="9">
        <f t="shared" si="62"/>
        <v>9</v>
      </c>
      <c r="H989" s="9">
        <f t="shared" si="63"/>
        <v>0</v>
      </c>
      <c r="I989" s="10">
        <f t="shared" si="64"/>
        <v>9</v>
      </c>
    </row>
    <row r="990" spans="1:9" x14ac:dyDescent="0.25">
      <c r="A990" s="2" t="s">
        <v>2460</v>
      </c>
      <c r="B990" s="2" t="s">
        <v>2461</v>
      </c>
      <c r="C990" s="2" t="s">
        <v>28</v>
      </c>
      <c r="D990" s="2" t="s">
        <v>1406</v>
      </c>
      <c r="E990" s="2" t="s">
        <v>30</v>
      </c>
      <c r="F990" s="9">
        <f t="shared" si="61"/>
        <v>0</v>
      </c>
      <c r="G990" s="9">
        <f t="shared" si="62"/>
        <v>2</v>
      </c>
      <c r="H990" s="9">
        <f t="shared" si="63"/>
        <v>0</v>
      </c>
      <c r="I990" s="10">
        <f t="shared" si="64"/>
        <v>2</v>
      </c>
    </row>
    <row r="991" spans="1:9" x14ac:dyDescent="0.25">
      <c r="A991" s="2" t="s">
        <v>2462</v>
      </c>
      <c r="B991" s="2" t="s">
        <v>2463</v>
      </c>
      <c r="C991" s="2" t="s">
        <v>28</v>
      </c>
      <c r="D991" s="2" t="s">
        <v>1406</v>
      </c>
      <c r="E991" s="2" t="s">
        <v>30</v>
      </c>
      <c r="F991" s="9">
        <f t="shared" si="61"/>
        <v>0</v>
      </c>
      <c r="G991" s="9">
        <f t="shared" si="62"/>
        <v>1</v>
      </c>
      <c r="H991" s="9">
        <f t="shared" si="63"/>
        <v>0</v>
      </c>
      <c r="I991" s="10">
        <f t="shared" si="64"/>
        <v>1</v>
      </c>
    </row>
    <row r="992" spans="1:9" x14ac:dyDescent="0.25">
      <c r="A992" s="2" t="s">
        <v>2464</v>
      </c>
      <c r="B992" s="2" t="s">
        <v>2465</v>
      </c>
      <c r="C992" s="2" t="s">
        <v>28</v>
      </c>
      <c r="D992" s="2" t="s">
        <v>1406</v>
      </c>
      <c r="E992" s="2" t="s">
        <v>30</v>
      </c>
      <c r="F992" s="9">
        <f t="shared" si="61"/>
        <v>0</v>
      </c>
      <c r="G992" s="9">
        <f t="shared" si="62"/>
        <v>17</v>
      </c>
      <c r="H992" s="9">
        <f t="shared" si="63"/>
        <v>0</v>
      </c>
      <c r="I992" s="10">
        <f t="shared" si="64"/>
        <v>17</v>
      </c>
    </row>
    <row r="993" spans="1:9" x14ac:dyDescent="0.25">
      <c r="A993" s="2" t="s">
        <v>2466</v>
      </c>
      <c r="B993" s="2" t="s">
        <v>2467</v>
      </c>
      <c r="C993" s="2" t="s">
        <v>28</v>
      </c>
      <c r="D993" s="2" t="s">
        <v>1406</v>
      </c>
      <c r="E993" s="2" t="s">
        <v>30</v>
      </c>
      <c r="F993" s="9">
        <f t="shared" si="61"/>
        <v>0</v>
      </c>
      <c r="G993" s="9">
        <f t="shared" si="62"/>
        <v>78</v>
      </c>
      <c r="H993" s="9">
        <f t="shared" si="63"/>
        <v>0</v>
      </c>
      <c r="I993" s="10">
        <f t="shared" si="64"/>
        <v>78</v>
      </c>
    </row>
    <row r="994" spans="1:9" x14ac:dyDescent="0.25">
      <c r="A994" s="2" t="s">
        <v>2468</v>
      </c>
      <c r="B994" s="2" t="s">
        <v>2469</v>
      </c>
      <c r="C994" s="2" t="s">
        <v>28</v>
      </c>
      <c r="D994" s="2" t="s">
        <v>1406</v>
      </c>
      <c r="E994" s="2" t="s">
        <v>30</v>
      </c>
      <c r="F994" s="9">
        <f t="shared" si="61"/>
        <v>0</v>
      </c>
      <c r="G994" s="9">
        <f t="shared" si="62"/>
        <v>15</v>
      </c>
      <c r="H994" s="9">
        <f t="shared" si="63"/>
        <v>0</v>
      </c>
      <c r="I994" s="10">
        <f t="shared" si="64"/>
        <v>15</v>
      </c>
    </row>
    <row r="995" spans="1:9" x14ac:dyDescent="0.25">
      <c r="A995" s="2" t="s">
        <v>2470</v>
      </c>
      <c r="B995" s="2" t="s">
        <v>2471</v>
      </c>
      <c r="C995" s="2" t="s">
        <v>28</v>
      </c>
      <c r="D995" s="2" t="s">
        <v>1406</v>
      </c>
      <c r="E995" s="2" t="s">
        <v>30</v>
      </c>
      <c r="F995" s="9">
        <f t="shared" si="61"/>
        <v>0</v>
      </c>
      <c r="G995" s="9">
        <f t="shared" si="62"/>
        <v>10</v>
      </c>
      <c r="H995" s="9">
        <f t="shared" si="63"/>
        <v>0</v>
      </c>
      <c r="I995" s="10">
        <f t="shared" si="64"/>
        <v>10</v>
      </c>
    </row>
    <row r="996" spans="1:9" x14ac:dyDescent="0.25">
      <c r="A996" s="2" t="s">
        <v>44</v>
      </c>
      <c r="B996" s="2" t="s">
        <v>43</v>
      </c>
      <c r="C996" s="2" t="s">
        <v>28</v>
      </c>
      <c r="D996" s="2" t="s">
        <v>1406</v>
      </c>
      <c r="E996" s="2" t="s">
        <v>30</v>
      </c>
      <c r="F996" s="9">
        <f t="shared" si="61"/>
        <v>0</v>
      </c>
      <c r="G996" s="9">
        <f t="shared" si="62"/>
        <v>0</v>
      </c>
      <c r="H996" s="9">
        <f t="shared" si="63"/>
        <v>0</v>
      </c>
      <c r="I996" s="10">
        <f t="shared" si="64"/>
        <v>0</v>
      </c>
    </row>
    <row r="997" spans="1:9" x14ac:dyDescent="0.25">
      <c r="A997" s="2" t="s">
        <v>46</v>
      </c>
      <c r="B997" s="2" t="s">
        <v>45</v>
      </c>
      <c r="C997" s="2" t="s">
        <v>28</v>
      </c>
      <c r="D997" s="2" t="s">
        <v>1406</v>
      </c>
      <c r="E997" s="2" t="s">
        <v>30</v>
      </c>
      <c r="F997" s="9">
        <f t="shared" si="61"/>
        <v>4</v>
      </c>
      <c r="G997" s="9">
        <f t="shared" si="62"/>
        <v>0</v>
      </c>
      <c r="H997" s="9">
        <f t="shared" si="63"/>
        <v>0</v>
      </c>
      <c r="I997" s="10">
        <f t="shared" si="64"/>
        <v>4</v>
      </c>
    </row>
    <row r="998" spans="1:9" x14ac:dyDescent="0.25">
      <c r="A998" s="2" t="s">
        <v>48</v>
      </c>
      <c r="B998" s="2" t="s">
        <v>47</v>
      </c>
      <c r="C998" s="2" t="s">
        <v>28</v>
      </c>
      <c r="D998" s="2" t="s">
        <v>1406</v>
      </c>
      <c r="E998" s="2" t="s">
        <v>30</v>
      </c>
      <c r="F998" s="9">
        <f t="shared" si="61"/>
        <v>0</v>
      </c>
      <c r="G998" s="9">
        <f t="shared" si="62"/>
        <v>0</v>
      </c>
      <c r="H998" s="9">
        <f t="shared" si="63"/>
        <v>0</v>
      </c>
      <c r="I998" s="10">
        <f t="shared" si="64"/>
        <v>0</v>
      </c>
    </row>
    <row r="999" spans="1:9" x14ac:dyDescent="0.25">
      <c r="A999" s="2" t="s">
        <v>2472</v>
      </c>
      <c r="B999" s="2" t="s">
        <v>2473</v>
      </c>
      <c r="C999" s="2" t="s">
        <v>28</v>
      </c>
      <c r="D999" s="2" t="s">
        <v>1406</v>
      </c>
      <c r="E999" s="2" t="s">
        <v>30</v>
      </c>
      <c r="F999" s="9">
        <f t="shared" si="61"/>
        <v>0</v>
      </c>
      <c r="G999" s="9">
        <f t="shared" si="62"/>
        <v>0</v>
      </c>
      <c r="H999" s="9">
        <f t="shared" si="63"/>
        <v>0</v>
      </c>
      <c r="I999" s="10">
        <f t="shared" si="64"/>
        <v>0</v>
      </c>
    </row>
    <row r="1000" spans="1:9" x14ac:dyDescent="0.25">
      <c r="A1000" s="2" t="s">
        <v>2474</v>
      </c>
      <c r="B1000" s="2" t="s">
        <v>2475</v>
      </c>
      <c r="C1000" s="2" t="s">
        <v>28</v>
      </c>
      <c r="D1000" s="2" t="s">
        <v>1406</v>
      </c>
      <c r="E1000" s="2" t="s">
        <v>30</v>
      </c>
      <c r="F1000" s="9">
        <f t="shared" si="61"/>
        <v>0</v>
      </c>
      <c r="G1000" s="9">
        <f t="shared" si="62"/>
        <v>0</v>
      </c>
      <c r="H1000" s="9">
        <f t="shared" si="63"/>
        <v>0</v>
      </c>
      <c r="I1000" s="10">
        <f t="shared" si="64"/>
        <v>0</v>
      </c>
    </row>
    <row r="1001" spans="1:9" x14ac:dyDescent="0.25">
      <c r="A1001" s="2" t="s">
        <v>584</v>
      </c>
      <c r="B1001" s="2" t="s">
        <v>583</v>
      </c>
      <c r="C1001" s="2" t="s">
        <v>28</v>
      </c>
      <c r="D1001" s="2" t="s">
        <v>1406</v>
      </c>
      <c r="E1001" s="2" t="s">
        <v>30</v>
      </c>
      <c r="F1001" s="9">
        <f t="shared" si="61"/>
        <v>0</v>
      </c>
      <c r="G1001" s="9">
        <f t="shared" si="62"/>
        <v>0</v>
      </c>
      <c r="H1001" s="9">
        <f t="shared" si="63"/>
        <v>0</v>
      </c>
      <c r="I1001" s="10">
        <f t="shared" si="64"/>
        <v>0</v>
      </c>
    </row>
    <row r="1002" spans="1:9" x14ac:dyDescent="0.25">
      <c r="A1002" s="2" t="s">
        <v>586</v>
      </c>
      <c r="B1002" s="2" t="s">
        <v>585</v>
      </c>
      <c r="C1002" s="2" t="s">
        <v>28</v>
      </c>
      <c r="D1002" s="2" t="s">
        <v>1406</v>
      </c>
      <c r="E1002" s="2" t="s">
        <v>30</v>
      </c>
      <c r="F1002" s="9">
        <f t="shared" si="61"/>
        <v>0</v>
      </c>
      <c r="G1002" s="9">
        <f t="shared" si="62"/>
        <v>0</v>
      </c>
      <c r="H1002" s="9">
        <f t="shared" si="63"/>
        <v>0</v>
      </c>
      <c r="I1002" s="10">
        <f t="shared" si="64"/>
        <v>0</v>
      </c>
    </row>
    <row r="1003" spans="1:9" x14ac:dyDescent="0.25">
      <c r="A1003" s="2" t="s">
        <v>2476</v>
      </c>
      <c r="B1003" s="2" t="s">
        <v>2477</v>
      </c>
      <c r="C1003" s="2" t="s">
        <v>28</v>
      </c>
      <c r="D1003" s="2" t="s">
        <v>1406</v>
      </c>
      <c r="E1003" s="2" t="s">
        <v>30</v>
      </c>
      <c r="F1003" s="9">
        <f t="shared" si="61"/>
        <v>0</v>
      </c>
      <c r="G1003" s="9">
        <f t="shared" si="62"/>
        <v>0</v>
      </c>
      <c r="H1003" s="9">
        <f t="shared" si="63"/>
        <v>0</v>
      </c>
      <c r="I1003" s="10">
        <f t="shared" si="64"/>
        <v>0</v>
      </c>
    </row>
    <row r="1004" spans="1:9" x14ac:dyDescent="0.25">
      <c r="A1004" s="2" t="s">
        <v>588</v>
      </c>
      <c r="B1004" s="2" t="s">
        <v>587</v>
      </c>
      <c r="C1004" s="2" t="s">
        <v>28</v>
      </c>
      <c r="D1004" s="2" t="s">
        <v>1406</v>
      </c>
      <c r="E1004" s="2" t="s">
        <v>30</v>
      </c>
      <c r="F1004" s="9">
        <f t="shared" si="61"/>
        <v>0</v>
      </c>
      <c r="G1004" s="9">
        <f t="shared" si="62"/>
        <v>0</v>
      </c>
      <c r="H1004" s="9">
        <f t="shared" si="63"/>
        <v>0</v>
      </c>
      <c r="I1004" s="10">
        <f t="shared" si="64"/>
        <v>0</v>
      </c>
    </row>
    <row r="1005" spans="1:9" x14ac:dyDescent="0.25">
      <c r="A1005" s="2" t="s">
        <v>590</v>
      </c>
      <c r="B1005" s="2" t="s">
        <v>589</v>
      </c>
      <c r="C1005" s="2" t="s">
        <v>28</v>
      </c>
      <c r="D1005" s="2" t="s">
        <v>1406</v>
      </c>
      <c r="E1005" s="2" t="s">
        <v>30</v>
      </c>
      <c r="F1005" s="9">
        <f t="shared" si="61"/>
        <v>0</v>
      </c>
      <c r="G1005" s="9">
        <f t="shared" si="62"/>
        <v>0</v>
      </c>
      <c r="H1005" s="9">
        <f t="shared" si="63"/>
        <v>0</v>
      </c>
      <c r="I1005" s="10">
        <f t="shared" si="64"/>
        <v>0</v>
      </c>
    </row>
    <row r="1006" spans="1:9" x14ac:dyDescent="0.25">
      <c r="A1006" s="2" t="s">
        <v>592</v>
      </c>
      <c r="B1006" s="2" t="s">
        <v>591</v>
      </c>
      <c r="C1006" s="2" t="s">
        <v>28</v>
      </c>
      <c r="D1006" s="2" t="s">
        <v>1406</v>
      </c>
      <c r="E1006" s="2" t="s">
        <v>30</v>
      </c>
      <c r="F1006" s="9">
        <f t="shared" si="61"/>
        <v>0</v>
      </c>
      <c r="G1006" s="9">
        <f t="shared" si="62"/>
        <v>0</v>
      </c>
      <c r="H1006" s="9">
        <f t="shared" si="63"/>
        <v>0</v>
      </c>
      <c r="I1006" s="10">
        <f t="shared" si="64"/>
        <v>0</v>
      </c>
    </row>
    <row r="1007" spans="1:9" x14ac:dyDescent="0.25">
      <c r="A1007" s="2" t="s">
        <v>594</v>
      </c>
      <c r="B1007" s="2" t="s">
        <v>593</v>
      </c>
      <c r="C1007" s="2" t="s">
        <v>28</v>
      </c>
      <c r="D1007" s="2" t="s">
        <v>1406</v>
      </c>
      <c r="E1007" s="2" t="s">
        <v>30</v>
      </c>
      <c r="F1007" s="9">
        <f t="shared" si="61"/>
        <v>0</v>
      </c>
      <c r="G1007" s="9">
        <f t="shared" si="62"/>
        <v>1</v>
      </c>
      <c r="H1007" s="9">
        <f t="shared" si="63"/>
        <v>0</v>
      </c>
      <c r="I1007" s="10">
        <f t="shared" si="64"/>
        <v>1</v>
      </c>
    </row>
    <row r="1008" spans="1:9" x14ac:dyDescent="0.25">
      <c r="A1008" s="2" t="s">
        <v>596</v>
      </c>
      <c r="B1008" s="2" t="s">
        <v>595</v>
      </c>
      <c r="C1008" s="2" t="s">
        <v>28</v>
      </c>
      <c r="D1008" s="2" t="s">
        <v>1406</v>
      </c>
      <c r="E1008" s="2" t="s">
        <v>30</v>
      </c>
      <c r="F1008" s="9">
        <f t="shared" si="61"/>
        <v>0</v>
      </c>
      <c r="G1008" s="9">
        <f t="shared" si="62"/>
        <v>0</v>
      </c>
      <c r="H1008" s="9">
        <f t="shared" si="63"/>
        <v>0</v>
      </c>
      <c r="I1008" s="10">
        <f t="shared" si="64"/>
        <v>0</v>
      </c>
    </row>
    <row r="1009" spans="1:9" x14ac:dyDescent="0.25">
      <c r="A1009" s="2" t="s">
        <v>598</v>
      </c>
      <c r="B1009" s="2" t="s">
        <v>597</v>
      </c>
      <c r="C1009" s="2" t="s">
        <v>28</v>
      </c>
      <c r="D1009" s="2" t="s">
        <v>1406</v>
      </c>
      <c r="E1009" s="2" t="s">
        <v>30</v>
      </c>
      <c r="F1009" s="9">
        <f t="shared" si="61"/>
        <v>0</v>
      </c>
      <c r="G1009" s="9">
        <f t="shared" si="62"/>
        <v>0</v>
      </c>
      <c r="H1009" s="9">
        <f t="shared" si="63"/>
        <v>0</v>
      </c>
      <c r="I1009" s="10">
        <f t="shared" si="64"/>
        <v>0</v>
      </c>
    </row>
    <row r="1010" spans="1:9" x14ac:dyDescent="0.25">
      <c r="A1010" s="2" t="s">
        <v>600</v>
      </c>
      <c r="B1010" s="2" t="s">
        <v>599</v>
      </c>
      <c r="C1010" s="2" t="s">
        <v>28</v>
      </c>
      <c r="D1010" s="2" t="s">
        <v>1406</v>
      </c>
      <c r="E1010" s="2" t="s">
        <v>30</v>
      </c>
      <c r="F1010" s="9">
        <f t="shared" si="61"/>
        <v>0</v>
      </c>
      <c r="G1010" s="9">
        <f t="shared" si="62"/>
        <v>0</v>
      </c>
      <c r="H1010" s="9">
        <f t="shared" si="63"/>
        <v>0</v>
      </c>
      <c r="I1010" s="10">
        <f t="shared" si="64"/>
        <v>0</v>
      </c>
    </row>
    <row r="1011" spans="1:9" x14ac:dyDescent="0.25">
      <c r="A1011" s="2" t="s">
        <v>602</v>
      </c>
      <c r="B1011" s="2" t="s">
        <v>601</v>
      </c>
      <c r="C1011" s="2" t="s">
        <v>28</v>
      </c>
      <c r="D1011" s="2" t="s">
        <v>1406</v>
      </c>
      <c r="E1011" s="2" t="s">
        <v>30</v>
      </c>
      <c r="F1011" s="9">
        <f t="shared" si="61"/>
        <v>0</v>
      </c>
      <c r="G1011" s="9">
        <f t="shared" si="62"/>
        <v>0</v>
      </c>
      <c r="H1011" s="9">
        <f t="shared" si="63"/>
        <v>0</v>
      </c>
      <c r="I1011" s="10">
        <f t="shared" si="64"/>
        <v>0</v>
      </c>
    </row>
    <row r="1012" spans="1:9" x14ac:dyDescent="0.25">
      <c r="A1012" s="2" t="s">
        <v>604</v>
      </c>
      <c r="B1012" s="2" t="s">
        <v>603</v>
      </c>
      <c r="C1012" s="2" t="s">
        <v>28</v>
      </c>
      <c r="D1012" s="2" t="s">
        <v>1406</v>
      </c>
      <c r="E1012" s="2" t="s">
        <v>30</v>
      </c>
      <c r="F1012" s="9">
        <f t="shared" si="61"/>
        <v>0</v>
      </c>
      <c r="G1012" s="9">
        <f t="shared" si="62"/>
        <v>0</v>
      </c>
      <c r="H1012" s="9">
        <f t="shared" si="63"/>
        <v>0</v>
      </c>
      <c r="I1012" s="10">
        <f t="shared" si="64"/>
        <v>0</v>
      </c>
    </row>
    <row r="1013" spans="1:9" x14ac:dyDescent="0.25">
      <c r="A1013" s="2" t="s">
        <v>606</v>
      </c>
      <c r="B1013" s="2" t="s">
        <v>605</v>
      </c>
      <c r="C1013" s="2" t="s">
        <v>28</v>
      </c>
      <c r="D1013" s="2" t="s">
        <v>1406</v>
      </c>
      <c r="E1013" s="2" t="s">
        <v>30</v>
      </c>
      <c r="F1013" s="9">
        <f t="shared" si="61"/>
        <v>0</v>
      </c>
      <c r="G1013" s="9">
        <f t="shared" si="62"/>
        <v>1</v>
      </c>
      <c r="H1013" s="9">
        <f t="shared" si="63"/>
        <v>0</v>
      </c>
      <c r="I1013" s="10">
        <f t="shared" si="64"/>
        <v>1</v>
      </c>
    </row>
    <row r="1014" spans="1:9" x14ac:dyDescent="0.25">
      <c r="A1014" s="2" t="s">
        <v>608</v>
      </c>
      <c r="B1014" s="2" t="s">
        <v>607</v>
      </c>
      <c r="C1014" s="2" t="s">
        <v>28</v>
      </c>
      <c r="D1014" s="2" t="s">
        <v>1406</v>
      </c>
      <c r="E1014" s="2" t="s">
        <v>30</v>
      </c>
      <c r="F1014" s="9">
        <f t="shared" si="61"/>
        <v>0</v>
      </c>
      <c r="G1014" s="9">
        <f t="shared" si="62"/>
        <v>0</v>
      </c>
      <c r="H1014" s="9">
        <f t="shared" si="63"/>
        <v>0</v>
      </c>
      <c r="I1014" s="10">
        <f t="shared" si="64"/>
        <v>0</v>
      </c>
    </row>
    <row r="1015" spans="1:9" x14ac:dyDescent="0.25">
      <c r="A1015" s="2" t="s">
        <v>610</v>
      </c>
      <c r="B1015" s="2" t="s">
        <v>609</v>
      </c>
      <c r="C1015" s="2" t="s">
        <v>28</v>
      </c>
      <c r="D1015" s="2" t="s">
        <v>1406</v>
      </c>
      <c r="E1015" s="2" t="s">
        <v>30</v>
      </c>
      <c r="F1015" s="9">
        <f t="shared" si="61"/>
        <v>0</v>
      </c>
      <c r="G1015" s="9">
        <f t="shared" si="62"/>
        <v>2</v>
      </c>
      <c r="H1015" s="9">
        <f t="shared" si="63"/>
        <v>0</v>
      </c>
      <c r="I1015" s="10">
        <f t="shared" si="64"/>
        <v>2</v>
      </c>
    </row>
    <row r="1016" spans="1:9" x14ac:dyDescent="0.25">
      <c r="A1016" s="2" t="s">
        <v>612</v>
      </c>
      <c r="B1016" s="2" t="s">
        <v>611</v>
      </c>
      <c r="C1016" s="2" t="s">
        <v>28</v>
      </c>
      <c r="D1016" s="2" t="s">
        <v>1406</v>
      </c>
      <c r="E1016" s="2" t="s">
        <v>30</v>
      </c>
      <c r="F1016" s="9">
        <f t="shared" si="61"/>
        <v>0</v>
      </c>
      <c r="G1016" s="9">
        <f t="shared" si="62"/>
        <v>0</v>
      </c>
      <c r="H1016" s="9">
        <f t="shared" si="63"/>
        <v>0</v>
      </c>
      <c r="I1016" s="10">
        <f t="shared" si="64"/>
        <v>0</v>
      </c>
    </row>
    <row r="1017" spans="1:9" x14ac:dyDescent="0.25">
      <c r="A1017" s="2" t="s">
        <v>614</v>
      </c>
      <c r="B1017" s="2" t="s">
        <v>613</v>
      </c>
      <c r="C1017" s="2" t="s">
        <v>28</v>
      </c>
      <c r="D1017" s="2" t="s">
        <v>1406</v>
      </c>
      <c r="E1017" s="2" t="s">
        <v>30</v>
      </c>
      <c r="F1017" s="9">
        <f t="shared" si="61"/>
        <v>0</v>
      </c>
      <c r="G1017" s="9">
        <f t="shared" si="62"/>
        <v>0</v>
      </c>
      <c r="H1017" s="9">
        <f t="shared" si="63"/>
        <v>0</v>
      </c>
      <c r="I1017" s="10">
        <f t="shared" si="64"/>
        <v>0</v>
      </c>
    </row>
    <row r="1018" spans="1:9" x14ac:dyDescent="0.25">
      <c r="A1018" s="2" t="s">
        <v>616</v>
      </c>
      <c r="B1018" s="2" t="s">
        <v>615</v>
      </c>
      <c r="C1018" s="2" t="s">
        <v>28</v>
      </c>
      <c r="D1018" s="2" t="s">
        <v>1406</v>
      </c>
      <c r="E1018" s="2" t="s">
        <v>30</v>
      </c>
      <c r="F1018" s="9">
        <f t="shared" si="61"/>
        <v>0</v>
      </c>
      <c r="G1018" s="9">
        <f t="shared" si="62"/>
        <v>0</v>
      </c>
      <c r="H1018" s="9">
        <f t="shared" si="63"/>
        <v>0</v>
      </c>
      <c r="I1018" s="10">
        <f t="shared" si="64"/>
        <v>0</v>
      </c>
    </row>
    <row r="1019" spans="1:9" x14ac:dyDescent="0.25">
      <c r="A1019" s="2" t="s">
        <v>618</v>
      </c>
      <c r="B1019" s="2" t="s">
        <v>617</v>
      </c>
      <c r="C1019" s="2" t="s">
        <v>28</v>
      </c>
      <c r="D1019" s="2" t="s">
        <v>1406</v>
      </c>
      <c r="E1019" s="2" t="s">
        <v>30</v>
      </c>
      <c r="F1019" s="9">
        <f t="shared" si="61"/>
        <v>0</v>
      </c>
      <c r="G1019" s="9">
        <f t="shared" si="62"/>
        <v>0</v>
      </c>
      <c r="H1019" s="9">
        <f t="shared" si="63"/>
        <v>0</v>
      </c>
      <c r="I1019" s="10">
        <f t="shared" si="64"/>
        <v>0</v>
      </c>
    </row>
    <row r="1020" spans="1:9" x14ac:dyDescent="0.25">
      <c r="A1020" s="2" t="s">
        <v>620</v>
      </c>
      <c r="B1020" s="2" t="s">
        <v>619</v>
      </c>
      <c r="C1020" s="2" t="s">
        <v>28</v>
      </c>
      <c r="D1020" s="2" t="s">
        <v>1406</v>
      </c>
      <c r="E1020" s="2" t="s">
        <v>30</v>
      </c>
      <c r="F1020" s="9">
        <f t="shared" si="61"/>
        <v>0</v>
      </c>
      <c r="G1020" s="9">
        <f t="shared" si="62"/>
        <v>0</v>
      </c>
      <c r="H1020" s="9">
        <f t="shared" si="63"/>
        <v>0</v>
      </c>
      <c r="I1020" s="10">
        <f t="shared" si="64"/>
        <v>0</v>
      </c>
    </row>
    <row r="1021" spans="1:9" x14ac:dyDescent="0.25">
      <c r="A1021" s="2" t="s">
        <v>622</v>
      </c>
      <c r="B1021" s="2" t="s">
        <v>621</v>
      </c>
      <c r="C1021" s="2" t="s">
        <v>28</v>
      </c>
      <c r="D1021" s="2" t="s">
        <v>1406</v>
      </c>
      <c r="E1021" s="2" t="s">
        <v>30</v>
      </c>
      <c r="F1021" s="9">
        <f t="shared" si="61"/>
        <v>0</v>
      </c>
      <c r="G1021" s="9">
        <f t="shared" si="62"/>
        <v>1</v>
      </c>
      <c r="H1021" s="9">
        <f t="shared" si="63"/>
        <v>0</v>
      </c>
      <c r="I1021" s="10">
        <f t="shared" si="64"/>
        <v>1</v>
      </c>
    </row>
    <row r="1022" spans="1:9" x14ac:dyDescent="0.25">
      <c r="A1022" s="2" t="s">
        <v>624</v>
      </c>
      <c r="B1022" s="2" t="s">
        <v>623</v>
      </c>
      <c r="C1022" s="2" t="s">
        <v>28</v>
      </c>
      <c r="D1022" s="2" t="s">
        <v>1406</v>
      </c>
      <c r="E1022" s="2" t="s">
        <v>30</v>
      </c>
      <c r="F1022" s="9">
        <f t="shared" si="61"/>
        <v>0</v>
      </c>
      <c r="G1022" s="9">
        <f t="shared" si="62"/>
        <v>1</v>
      </c>
      <c r="H1022" s="9">
        <f t="shared" si="63"/>
        <v>0</v>
      </c>
      <c r="I1022" s="10">
        <f t="shared" si="64"/>
        <v>1</v>
      </c>
    </row>
    <row r="1023" spans="1:9" x14ac:dyDescent="0.25">
      <c r="A1023" s="2" t="s">
        <v>626</v>
      </c>
      <c r="B1023" s="2" t="s">
        <v>625</v>
      </c>
      <c r="C1023" s="2" t="s">
        <v>28</v>
      </c>
      <c r="D1023" s="2" t="s">
        <v>1406</v>
      </c>
      <c r="E1023" s="2" t="s">
        <v>30</v>
      </c>
      <c r="F1023" s="9">
        <f t="shared" ref="F1023:F1086" si="65">IFERROR(VLOOKUP(A1023,condi,8,0),0)</f>
        <v>0</v>
      </c>
      <c r="G1023" s="9">
        <f t="shared" ref="G1023:G1086" si="66">IFERROR(VLOOKUP(A1023,maqui,8,0),0)</f>
        <v>2</v>
      </c>
      <c r="H1023" s="9">
        <f t="shared" ref="H1023:H1086" si="67">IFERROR(VLOOKUP(A1023,ascint,8,0),0)</f>
        <v>0</v>
      </c>
      <c r="I1023" s="10">
        <f t="shared" si="64"/>
        <v>2</v>
      </c>
    </row>
    <row r="1024" spans="1:9" x14ac:dyDescent="0.25">
      <c r="A1024" s="2" t="s">
        <v>628</v>
      </c>
      <c r="B1024" s="2" t="s">
        <v>627</v>
      </c>
      <c r="C1024" s="2" t="s">
        <v>28</v>
      </c>
      <c r="D1024" s="2" t="s">
        <v>1406</v>
      </c>
      <c r="E1024" s="2" t="s">
        <v>30</v>
      </c>
      <c r="F1024" s="9">
        <f t="shared" si="65"/>
        <v>0</v>
      </c>
      <c r="G1024" s="9">
        <f t="shared" si="66"/>
        <v>3</v>
      </c>
      <c r="H1024" s="9">
        <f t="shared" si="67"/>
        <v>0</v>
      </c>
      <c r="I1024" s="10">
        <f t="shared" si="64"/>
        <v>3</v>
      </c>
    </row>
    <row r="1025" spans="1:9" x14ac:dyDescent="0.25">
      <c r="A1025" s="2" t="s">
        <v>630</v>
      </c>
      <c r="B1025" s="2" t="s">
        <v>629</v>
      </c>
      <c r="C1025" s="2" t="s">
        <v>28</v>
      </c>
      <c r="D1025" s="2" t="s">
        <v>1406</v>
      </c>
      <c r="E1025" s="2" t="s">
        <v>30</v>
      </c>
      <c r="F1025" s="9">
        <f t="shared" si="65"/>
        <v>0</v>
      </c>
      <c r="G1025" s="9">
        <f t="shared" si="66"/>
        <v>1</v>
      </c>
      <c r="H1025" s="9">
        <f t="shared" si="67"/>
        <v>0</v>
      </c>
      <c r="I1025" s="10">
        <f t="shared" si="64"/>
        <v>1</v>
      </c>
    </row>
    <row r="1026" spans="1:9" x14ac:dyDescent="0.25">
      <c r="A1026" s="2" t="s">
        <v>632</v>
      </c>
      <c r="B1026" s="2" t="s">
        <v>631</v>
      </c>
      <c r="C1026" s="2" t="s">
        <v>28</v>
      </c>
      <c r="D1026" s="2" t="s">
        <v>1406</v>
      </c>
      <c r="E1026" s="2" t="s">
        <v>30</v>
      </c>
      <c r="F1026" s="9">
        <f t="shared" si="65"/>
        <v>0</v>
      </c>
      <c r="G1026" s="9">
        <f t="shared" si="66"/>
        <v>0</v>
      </c>
      <c r="H1026" s="9">
        <f t="shared" si="67"/>
        <v>0</v>
      </c>
      <c r="I1026" s="10">
        <f t="shared" si="64"/>
        <v>0</v>
      </c>
    </row>
    <row r="1027" spans="1:9" x14ac:dyDescent="0.25">
      <c r="A1027" s="2" t="s">
        <v>634</v>
      </c>
      <c r="B1027" s="2" t="s">
        <v>633</v>
      </c>
      <c r="C1027" s="2" t="s">
        <v>28</v>
      </c>
      <c r="D1027" s="2" t="s">
        <v>1406</v>
      </c>
      <c r="E1027" s="2" t="s">
        <v>30</v>
      </c>
      <c r="F1027" s="9">
        <f t="shared" si="65"/>
        <v>0</v>
      </c>
      <c r="G1027" s="9">
        <f t="shared" si="66"/>
        <v>0</v>
      </c>
      <c r="H1027" s="9">
        <f t="shared" si="67"/>
        <v>0</v>
      </c>
      <c r="I1027" s="10">
        <f t="shared" si="64"/>
        <v>0</v>
      </c>
    </row>
    <row r="1028" spans="1:9" x14ac:dyDescent="0.25">
      <c r="A1028" s="2" t="s">
        <v>636</v>
      </c>
      <c r="B1028" s="2" t="s">
        <v>635</v>
      </c>
      <c r="C1028" s="2" t="s">
        <v>28</v>
      </c>
      <c r="D1028" s="2" t="s">
        <v>1406</v>
      </c>
      <c r="E1028" s="2" t="s">
        <v>30</v>
      </c>
      <c r="F1028" s="9">
        <f t="shared" si="65"/>
        <v>0</v>
      </c>
      <c r="G1028" s="9">
        <f t="shared" si="66"/>
        <v>0</v>
      </c>
      <c r="H1028" s="9">
        <f t="shared" si="67"/>
        <v>0</v>
      </c>
      <c r="I1028" s="10">
        <f t="shared" si="64"/>
        <v>0</v>
      </c>
    </row>
    <row r="1029" spans="1:9" x14ac:dyDescent="0.25">
      <c r="A1029" s="2" t="s">
        <v>638</v>
      </c>
      <c r="B1029" s="2" t="s">
        <v>637</v>
      </c>
      <c r="C1029" s="2" t="s">
        <v>28</v>
      </c>
      <c r="D1029" s="2" t="s">
        <v>1406</v>
      </c>
      <c r="E1029" s="2" t="s">
        <v>30</v>
      </c>
      <c r="F1029" s="9">
        <f t="shared" si="65"/>
        <v>0</v>
      </c>
      <c r="G1029" s="9">
        <f t="shared" si="66"/>
        <v>2</v>
      </c>
      <c r="H1029" s="9">
        <f t="shared" si="67"/>
        <v>0</v>
      </c>
      <c r="I1029" s="10">
        <f t="shared" ref="I1029:I1092" si="68">+F1029+G1029+H1029</f>
        <v>2</v>
      </c>
    </row>
    <row r="1030" spans="1:9" x14ac:dyDescent="0.25">
      <c r="A1030" s="2" t="s">
        <v>640</v>
      </c>
      <c r="B1030" s="2" t="s">
        <v>639</v>
      </c>
      <c r="C1030" s="2" t="s">
        <v>28</v>
      </c>
      <c r="D1030" s="2" t="s">
        <v>1406</v>
      </c>
      <c r="E1030" s="2" t="s">
        <v>30</v>
      </c>
      <c r="F1030" s="9">
        <f t="shared" si="65"/>
        <v>0</v>
      </c>
      <c r="G1030" s="9">
        <f t="shared" si="66"/>
        <v>0</v>
      </c>
      <c r="H1030" s="9">
        <f t="shared" si="67"/>
        <v>0</v>
      </c>
      <c r="I1030" s="10">
        <f t="shared" si="68"/>
        <v>0</v>
      </c>
    </row>
    <row r="1031" spans="1:9" x14ac:dyDescent="0.25">
      <c r="A1031" s="2" t="s">
        <v>642</v>
      </c>
      <c r="B1031" s="2" t="s">
        <v>641</v>
      </c>
      <c r="C1031" s="2" t="s">
        <v>28</v>
      </c>
      <c r="D1031" s="2" t="s">
        <v>1406</v>
      </c>
      <c r="E1031" s="2" t="s">
        <v>30</v>
      </c>
      <c r="F1031" s="9">
        <f t="shared" si="65"/>
        <v>0</v>
      </c>
      <c r="G1031" s="9">
        <f t="shared" si="66"/>
        <v>1</v>
      </c>
      <c r="H1031" s="9">
        <f t="shared" si="67"/>
        <v>0</v>
      </c>
      <c r="I1031" s="10">
        <f t="shared" si="68"/>
        <v>1</v>
      </c>
    </row>
    <row r="1032" spans="1:9" x14ac:dyDescent="0.25">
      <c r="A1032" s="2" t="s">
        <v>644</v>
      </c>
      <c r="B1032" s="2" t="s">
        <v>643</v>
      </c>
      <c r="C1032" s="2" t="s">
        <v>28</v>
      </c>
      <c r="D1032" s="2" t="s">
        <v>1406</v>
      </c>
      <c r="E1032" s="2" t="s">
        <v>30</v>
      </c>
      <c r="F1032" s="9">
        <f t="shared" si="65"/>
        <v>0</v>
      </c>
      <c r="G1032" s="9">
        <f t="shared" si="66"/>
        <v>0</v>
      </c>
      <c r="H1032" s="9">
        <f t="shared" si="67"/>
        <v>0</v>
      </c>
      <c r="I1032" s="10">
        <f t="shared" si="68"/>
        <v>0</v>
      </c>
    </row>
    <row r="1033" spans="1:9" x14ac:dyDescent="0.25">
      <c r="A1033" s="2" t="s">
        <v>646</v>
      </c>
      <c r="B1033" s="2" t="s">
        <v>645</v>
      </c>
      <c r="C1033" s="2" t="s">
        <v>28</v>
      </c>
      <c r="D1033" s="2" t="s">
        <v>1406</v>
      </c>
      <c r="E1033" s="2" t="s">
        <v>30</v>
      </c>
      <c r="F1033" s="9">
        <f t="shared" si="65"/>
        <v>0</v>
      </c>
      <c r="G1033" s="9">
        <f t="shared" si="66"/>
        <v>0</v>
      </c>
      <c r="H1033" s="9">
        <f t="shared" si="67"/>
        <v>0</v>
      </c>
      <c r="I1033" s="10">
        <f t="shared" si="68"/>
        <v>0</v>
      </c>
    </row>
    <row r="1034" spans="1:9" x14ac:dyDescent="0.25">
      <c r="A1034" s="2" t="s">
        <v>648</v>
      </c>
      <c r="B1034" s="2" t="s">
        <v>647</v>
      </c>
      <c r="C1034" s="2" t="s">
        <v>28</v>
      </c>
      <c r="D1034" s="2" t="s">
        <v>1406</v>
      </c>
      <c r="E1034" s="2" t="s">
        <v>30</v>
      </c>
      <c r="F1034" s="9">
        <f t="shared" si="65"/>
        <v>0</v>
      </c>
      <c r="G1034" s="9">
        <f t="shared" si="66"/>
        <v>0</v>
      </c>
      <c r="H1034" s="9">
        <f t="shared" si="67"/>
        <v>0</v>
      </c>
      <c r="I1034" s="10">
        <f t="shared" si="68"/>
        <v>0</v>
      </c>
    </row>
    <row r="1035" spans="1:9" x14ac:dyDescent="0.25">
      <c r="A1035" s="2" t="s">
        <v>650</v>
      </c>
      <c r="B1035" s="2" t="s">
        <v>649</v>
      </c>
      <c r="C1035" s="2" t="s">
        <v>28</v>
      </c>
      <c r="D1035" s="2" t="s">
        <v>1406</v>
      </c>
      <c r="E1035" s="2" t="s">
        <v>30</v>
      </c>
      <c r="F1035" s="9">
        <f t="shared" si="65"/>
        <v>0</v>
      </c>
      <c r="G1035" s="9">
        <f t="shared" si="66"/>
        <v>0</v>
      </c>
      <c r="H1035" s="9">
        <f t="shared" si="67"/>
        <v>0</v>
      </c>
      <c r="I1035" s="10">
        <f t="shared" si="68"/>
        <v>0</v>
      </c>
    </row>
    <row r="1036" spans="1:9" x14ac:dyDescent="0.25">
      <c r="A1036" s="2" t="s">
        <v>652</v>
      </c>
      <c r="B1036" s="2" t="s">
        <v>651</v>
      </c>
      <c r="C1036" s="2" t="s">
        <v>28</v>
      </c>
      <c r="D1036" s="2" t="s">
        <v>1406</v>
      </c>
      <c r="E1036" s="2" t="s">
        <v>30</v>
      </c>
      <c r="F1036" s="9">
        <f t="shared" si="65"/>
        <v>0</v>
      </c>
      <c r="G1036" s="9">
        <f t="shared" si="66"/>
        <v>1</v>
      </c>
      <c r="H1036" s="9">
        <f t="shared" si="67"/>
        <v>0</v>
      </c>
      <c r="I1036" s="10">
        <f t="shared" si="68"/>
        <v>1</v>
      </c>
    </row>
    <row r="1037" spans="1:9" x14ac:dyDescent="0.25">
      <c r="A1037" s="2" t="s">
        <v>654</v>
      </c>
      <c r="B1037" s="2" t="s">
        <v>653</v>
      </c>
      <c r="C1037" s="2" t="s">
        <v>28</v>
      </c>
      <c r="D1037" s="2" t="s">
        <v>1406</v>
      </c>
      <c r="E1037" s="2" t="s">
        <v>30</v>
      </c>
      <c r="F1037" s="9">
        <f t="shared" si="65"/>
        <v>0</v>
      </c>
      <c r="G1037" s="9">
        <f t="shared" si="66"/>
        <v>0</v>
      </c>
      <c r="H1037" s="9">
        <f t="shared" si="67"/>
        <v>0</v>
      </c>
      <c r="I1037" s="10">
        <f t="shared" si="68"/>
        <v>0</v>
      </c>
    </row>
    <row r="1038" spans="1:9" x14ac:dyDescent="0.25">
      <c r="A1038" s="2" t="s">
        <v>656</v>
      </c>
      <c r="B1038" s="2" t="s">
        <v>655</v>
      </c>
      <c r="C1038" s="2" t="s">
        <v>28</v>
      </c>
      <c r="D1038" s="2" t="s">
        <v>1406</v>
      </c>
      <c r="E1038" s="2" t="s">
        <v>30</v>
      </c>
      <c r="F1038" s="9">
        <f t="shared" si="65"/>
        <v>0</v>
      </c>
      <c r="G1038" s="9">
        <f t="shared" si="66"/>
        <v>1</v>
      </c>
      <c r="H1038" s="9">
        <f t="shared" si="67"/>
        <v>0</v>
      </c>
      <c r="I1038" s="10">
        <f t="shared" si="68"/>
        <v>1</v>
      </c>
    </row>
    <row r="1039" spans="1:9" x14ac:dyDescent="0.25">
      <c r="A1039" s="2" t="s">
        <v>658</v>
      </c>
      <c r="B1039" s="2" t="s">
        <v>657</v>
      </c>
      <c r="C1039" s="2" t="s">
        <v>28</v>
      </c>
      <c r="D1039" s="2" t="s">
        <v>1406</v>
      </c>
      <c r="E1039" s="2" t="s">
        <v>30</v>
      </c>
      <c r="F1039" s="9">
        <f t="shared" si="65"/>
        <v>0</v>
      </c>
      <c r="G1039" s="9">
        <f t="shared" si="66"/>
        <v>0</v>
      </c>
      <c r="H1039" s="9">
        <f t="shared" si="67"/>
        <v>0</v>
      </c>
      <c r="I1039" s="10">
        <f t="shared" si="68"/>
        <v>0</v>
      </c>
    </row>
    <row r="1040" spans="1:9" x14ac:dyDescent="0.25">
      <c r="A1040" s="2" t="s">
        <v>660</v>
      </c>
      <c r="B1040" s="2" t="s">
        <v>659</v>
      </c>
      <c r="C1040" s="2" t="s">
        <v>28</v>
      </c>
      <c r="D1040" s="2" t="s">
        <v>1406</v>
      </c>
      <c r="E1040" s="2" t="s">
        <v>30</v>
      </c>
      <c r="F1040" s="9">
        <f t="shared" si="65"/>
        <v>0</v>
      </c>
      <c r="G1040" s="9">
        <f t="shared" si="66"/>
        <v>0</v>
      </c>
      <c r="H1040" s="9">
        <f t="shared" si="67"/>
        <v>0</v>
      </c>
      <c r="I1040" s="10">
        <f t="shared" si="68"/>
        <v>0</v>
      </c>
    </row>
    <row r="1041" spans="1:9" x14ac:dyDescent="0.25">
      <c r="A1041" s="2" t="s">
        <v>662</v>
      </c>
      <c r="B1041" s="2" t="s">
        <v>661</v>
      </c>
      <c r="C1041" s="2" t="s">
        <v>28</v>
      </c>
      <c r="D1041" s="2" t="s">
        <v>1406</v>
      </c>
      <c r="E1041" s="2" t="s">
        <v>30</v>
      </c>
      <c r="F1041" s="9">
        <f t="shared" si="65"/>
        <v>0</v>
      </c>
      <c r="G1041" s="9">
        <f t="shared" si="66"/>
        <v>0</v>
      </c>
      <c r="H1041" s="9">
        <f t="shared" si="67"/>
        <v>0</v>
      </c>
      <c r="I1041" s="10">
        <f t="shared" si="68"/>
        <v>0</v>
      </c>
    </row>
    <row r="1042" spans="1:9" x14ac:dyDescent="0.25">
      <c r="A1042" s="2" t="s">
        <v>664</v>
      </c>
      <c r="B1042" s="2" t="s">
        <v>663</v>
      </c>
      <c r="C1042" s="2" t="s">
        <v>28</v>
      </c>
      <c r="D1042" s="2" t="s">
        <v>1406</v>
      </c>
      <c r="E1042" s="2" t="s">
        <v>30</v>
      </c>
      <c r="F1042" s="9">
        <f t="shared" si="65"/>
        <v>0</v>
      </c>
      <c r="G1042" s="9">
        <f t="shared" si="66"/>
        <v>0</v>
      </c>
      <c r="H1042" s="9">
        <f t="shared" si="67"/>
        <v>0</v>
      </c>
      <c r="I1042" s="10">
        <f t="shared" si="68"/>
        <v>0</v>
      </c>
    </row>
    <row r="1043" spans="1:9" x14ac:dyDescent="0.25">
      <c r="A1043" s="2" t="s">
        <v>666</v>
      </c>
      <c r="B1043" s="2" t="s">
        <v>665</v>
      </c>
      <c r="C1043" s="2" t="s">
        <v>28</v>
      </c>
      <c r="D1043" s="2" t="s">
        <v>1406</v>
      </c>
      <c r="E1043" s="2" t="s">
        <v>30</v>
      </c>
      <c r="F1043" s="9">
        <f t="shared" si="65"/>
        <v>0</v>
      </c>
      <c r="G1043" s="9">
        <f t="shared" si="66"/>
        <v>0</v>
      </c>
      <c r="H1043" s="9">
        <f t="shared" si="67"/>
        <v>0</v>
      </c>
      <c r="I1043" s="10">
        <f t="shared" si="68"/>
        <v>0</v>
      </c>
    </row>
    <row r="1044" spans="1:9" x14ac:dyDescent="0.25">
      <c r="A1044" s="2" t="s">
        <v>2478</v>
      </c>
      <c r="B1044" s="2" t="s">
        <v>2479</v>
      </c>
      <c r="C1044" s="2" t="s">
        <v>28</v>
      </c>
      <c r="D1044" s="2" t="s">
        <v>1406</v>
      </c>
      <c r="E1044" s="2" t="s">
        <v>30</v>
      </c>
      <c r="F1044" s="9">
        <f t="shared" si="65"/>
        <v>2</v>
      </c>
      <c r="G1044" s="9">
        <f t="shared" si="66"/>
        <v>1</v>
      </c>
      <c r="H1044" s="9">
        <f t="shared" si="67"/>
        <v>0</v>
      </c>
      <c r="I1044" s="10">
        <f t="shared" si="68"/>
        <v>3</v>
      </c>
    </row>
    <row r="1045" spans="1:9" x14ac:dyDescent="0.25">
      <c r="A1045" s="2" t="s">
        <v>2480</v>
      </c>
      <c r="B1045" s="2" t="s">
        <v>2481</v>
      </c>
      <c r="C1045" s="2" t="s">
        <v>28</v>
      </c>
      <c r="D1045" s="2" t="s">
        <v>1406</v>
      </c>
      <c r="E1045" s="2" t="s">
        <v>30</v>
      </c>
      <c r="F1045" s="9">
        <f t="shared" si="65"/>
        <v>0</v>
      </c>
      <c r="G1045" s="9">
        <f t="shared" si="66"/>
        <v>1</v>
      </c>
      <c r="H1045" s="9">
        <f t="shared" si="67"/>
        <v>0</v>
      </c>
      <c r="I1045" s="10">
        <f t="shared" si="68"/>
        <v>1</v>
      </c>
    </row>
    <row r="1046" spans="1:9" x14ac:dyDescent="0.25">
      <c r="A1046" s="2" t="s">
        <v>2482</v>
      </c>
      <c r="B1046" s="2" t="s">
        <v>2483</v>
      </c>
      <c r="C1046" s="2" t="s">
        <v>28</v>
      </c>
      <c r="D1046" s="2" t="s">
        <v>1406</v>
      </c>
      <c r="E1046" s="2" t="s">
        <v>30</v>
      </c>
      <c r="F1046" s="9">
        <f t="shared" si="65"/>
        <v>2</v>
      </c>
      <c r="G1046" s="9">
        <f t="shared" si="66"/>
        <v>1</v>
      </c>
      <c r="H1046" s="9">
        <f t="shared" si="67"/>
        <v>0</v>
      </c>
      <c r="I1046" s="10">
        <f t="shared" si="68"/>
        <v>3</v>
      </c>
    </row>
    <row r="1047" spans="1:9" x14ac:dyDescent="0.25">
      <c r="A1047" s="2" t="s">
        <v>2484</v>
      </c>
      <c r="B1047" s="2" t="s">
        <v>2485</v>
      </c>
      <c r="C1047" s="2" t="s">
        <v>28</v>
      </c>
      <c r="D1047" s="2" t="s">
        <v>1406</v>
      </c>
      <c r="E1047" s="2" t="s">
        <v>30</v>
      </c>
      <c r="F1047" s="9">
        <f t="shared" si="65"/>
        <v>8</v>
      </c>
      <c r="G1047" s="9">
        <f t="shared" si="66"/>
        <v>1</v>
      </c>
      <c r="H1047" s="9">
        <f t="shared" si="67"/>
        <v>0</v>
      </c>
      <c r="I1047" s="10">
        <f t="shared" si="68"/>
        <v>9</v>
      </c>
    </row>
    <row r="1048" spans="1:9" x14ac:dyDescent="0.25">
      <c r="A1048" s="2" t="s">
        <v>2486</v>
      </c>
      <c r="B1048" s="2" t="s">
        <v>2487</v>
      </c>
      <c r="C1048" s="2" t="s">
        <v>2488</v>
      </c>
      <c r="D1048" s="2" t="s">
        <v>1406</v>
      </c>
      <c r="E1048" s="2" t="s">
        <v>30</v>
      </c>
      <c r="F1048" s="9">
        <f t="shared" si="65"/>
        <v>0</v>
      </c>
      <c r="G1048" s="9">
        <f t="shared" si="66"/>
        <v>2</v>
      </c>
      <c r="H1048" s="9">
        <f t="shared" si="67"/>
        <v>0</v>
      </c>
      <c r="I1048" s="10">
        <f t="shared" si="68"/>
        <v>2</v>
      </c>
    </row>
    <row r="1049" spans="1:9" x14ac:dyDescent="0.25">
      <c r="A1049" s="2" t="s">
        <v>2489</v>
      </c>
      <c r="B1049" s="2" t="s">
        <v>2490</v>
      </c>
      <c r="C1049" s="2" t="s">
        <v>2488</v>
      </c>
      <c r="D1049" s="2" t="s">
        <v>1406</v>
      </c>
      <c r="E1049" s="2" t="s">
        <v>30</v>
      </c>
      <c r="F1049" s="9">
        <f t="shared" si="65"/>
        <v>0</v>
      </c>
      <c r="G1049" s="9">
        <f t="shared" si="66"/>
        <v>0</v>
      </c>
      <c r="H1049" s="9">
        <f t="shared" si="67"/>
        <v>0</v>
      </c>
      <c r="I1049" s="10">
        <f t="shared" si="68"/>
        <v>0</v>
      </c>
    </row>
    <row r="1050" spans="1:9" x14ac:dyDescent="0.25">
      <c r="A1050" s="2" t="s">
        <v>758</v>
      </c>
      <c r="B1050" s="2" t="s">
        <v>757</v>
      </c>
      <c r="C1050" s="2" t="s">
        <v>759</v>
      </c>
      <c r="D1050" s="2" t="s">
        <v>1406</v>
      </c>
      <c r="E1050" s="2" t="s">
        <v>82</v>
      </c>
      <c r="F1050" s="9">
        <f t="shared" si="65"/>
        <v>0</v>
      </c>
      <c r="G1050" s="9">
        <f t="shared" si="66"/>
        <v>0</v>
      </c>
      <c r="H1050" s="9">
        <f t="shared" si="67"/>
        <v>0</v>
      </c>
      <c r="I1050" s="10">
        <f t="shared" si="68"/>
        <v>0</v>
      </c>
    </row>
    <row r="1051" spans="1:9" x14ac:dyDescent="0.25">
      <c r="A1051" s="2" t="s">
        <v>2491</v>
      </c>
      <c r="B1051" s="2" t="s">
        <v>2492</v>
      </c>
      <c r="C1051" s="2" t="s">
        <v>759</v>
      </c>
      <c r="D1051" s="2" t="s">
        <v>1406</v>
      </c>
      <c r="E1051" s="2" t="s">
        <v>82</v>
      </c>
      <c r="F1051" s="9">
        <f t="shared" si="65"/>
        <v>0</v>
      </c>
      <c r="G1051" s="9">
        <f t="shared" si="66"/>
        <v>78</v>
      </c>
      <c r="H1051" s="9">
        <f t="shared" si="67"/>
        <v>0</v>
      </c>
      <c r="I1051" s="10">
        <f t="shared" si="68"/>
        <v>78</v>
      </c>
    </row>
    <row r="1052" spans="1:9" x14ac:dyDescent="0.25">
      <c r="A1052" s="2" t="s">
        <v>761</v>
      </c>
      <c r="B1052" s="2" t="s">
        <v>760</v>
      </c>
      <c r="C1052" s="2" t="s">
        <v>759</v>
      </c>
      <c r="D1052" s="2" t="s">
        <v>1406</v>
      </c>
      <c r="E1052" s="2" t="s">
        <v>82</v>
      </c>
      <c r="F1052" s="9">
        <f t="shared" si="65"/>
        <v>0</v>
      </c>
      <c r="G1052" s="9">
        <f t="shared" si="66"/>
        <v>30.3</v>
      </c>
      <c r="H1052" s="9">
        <f t="shared" si="67"/>
        <v>0</v>
      </c>
      <c r="I1052" s="10">
        <f t="shared" si="68"/>
        <v>30.3</v>
      </c>
    </row>
    <row r="1053" spans="1:9" x14ac:dyDescent="0.25">
      <c r="A1053" s="2" t="s">
        <v>2493</v>
      </c>
      <c r="B1053" s="2" t="s">
        <v>2494</v>
      </c>
      <c r="C1053" s="2" t="s">
        <v>759</v>
      </c>
      <c r="D1053" s="2" t="s">
        <v>1406</v>
      </c>
      <c r="E1053" s="2" t="s">
        <v>82</v>
      </c>
      <c r="F1053" s="9">
        <f t="shared" si="65"/>
        <v>0</v>
      </c>
      <c r="G1053" s="9">
        <f t="shared" si="66"/>
        <v>298.45</v>
      </c>
      <c r="H1053" s="9">
        <f t="shared" si="67"/>
        <v>0</v>
      </c>
      <c r="I1053" s="10">
        <f t="shared" si="68"/>
        <v>298.45</v>
      </c>
    </row>
    <row r="1054" spans="1:9" x14ac:dyDescent="0.25">
      <c r="A1054" s="2" t="s">
        <v>763</v>
      </c>
      <c r="B1054" s="2" t="s">
        <v>762</v>
      </c>
      <c r="C1054" s="2" t="s">
        <v>759</v>
      </c>
      <c r="D1054" s="2" t="s">
        <v>1406</v>
      </c>
      <c r="E1054" s="2" t="s">
        <v>82</v>
      </c>
      <c r="F1054" s="9">
        <f t="shared" si="65"/>
        <v>0</v>
      </c>
      <c r="G1054" s="9">
        <f t="shared" si="66"/>
        <v>0</v>
      </c>
      <c r="H1054" s="9">
        <f t="shared" si="67"/>
        <v>0</v>
      </c>
      <c r="I1054" s="10">
        <f t="shared" si="68"/>
        <v>0</v>
      </c>
    </row>
    <row r="1055" spans="1:9" x14ac:dyDescent="0.25">
      <c r="A1055" s="2" t="s">
        <v>765</v>
      </c>
      <c r="B1055" s="2" t="s">
        <v>764</v>
      </c>
      <c r="C1055" s="2" t="s">
        <v>759</v>
      </c>
      <c r="D1055" s="2" t="s">
        <v>1406</v>
      </c>
      <c r="E1055" s="2" t="s">
        <v>82</v>
      </c>
      <c r="F1055" s="9">
        <f t="shared" si="65"/>
        <v>0</v>
      </c>
      <c r="G1055" s="9">
        <f t="shared" si="66"/>
        <v>0</v>
      </c>
      <c r="H1055" s="9">
        <f t="shared" si="67"/>
        <v>0</v>
      </c>
      <c r="I1055" s="10">
        <f t="shared" si="68"/>
        <v>0</v>
      </c>
    </row>
    <row r="1056" spans="1:9" x14ac:dyDescent="0.25">
      <c r="A1056" s="2" t="s">
        <v>2495</v>
      </c>
      <c r="B1056" s="2" t="s">
        <v>2496</v>
      </c>
      <c r="C1056" s="2" t="s">
        <v>759</v>
      </c>
      <c r="D1056" s="2" t="s">
        <v>1406</v>
      </c>
      <c r="E1056" s="2" t="s">
        <v>82</v>
      </c>
      <c r="F1056" s="9">
        <f t="shared" si="65"/>
        <v>0</v>
      </c>
      <c r="G1056" s="9">
        <f t="shared" si="66"/>
        <v>150</v>
      </c>
      <c r="H1056" s="9">
        <f t="shared" si="67"/>
        <v>0</v>
      </c>
      <c r="I1056" s="10">
        <f t="shared" si="68"/>
        <v>150</v>
      </c>
    </row>
    <row r="1057" spans="1:9" x14ac:dyDescent="0.25">
      <c r="A1057" s="2" t="s">
        <v>2497</v>
      </c>
      <c r="B1057" s="2" t="s">
        <v>2498</v>
      </c>
      <c r="C1057" s="2" t="s">
        <v>759</v>
      </c>
      <c r="D1057" s="2" t="s">
        <v>1406</v>
      </c>
      <c r="E1057" s="2" t="s">
        <v>82</v>
      </c>
      <c r="F1057" s="9">
        <f t="shared" si="65"/>
        <v>0</v>
      </c>
      <c r="G1057" s="9">
        <f t="shared" si="66"/>
        <v>364</v>
      </c>
      <c r="H1057" s="9">
        <f t="shared" si="67"/>
        <v>0</v>
      </c>
      <c r="I1057" s="10">
        <f t="shared" si="68"/>
        <v>364</v>
      </c>
    </row>
    <row r="1058" spans="1:9" x14ac:dyDescent="0.25">
      <c r="A1058" s="2" t="s">
        <v>2499</v>
      </c>
      <c r="B1058" s="2" t="s">
        <v>2500</v>
      </c>
      <c r="C1058" s="2" t="s">
        <v>759</v>
      </c>
      <c r="D1058" s="2" t="s">
        <v>1406</v>
      </c>
      <c r="E1058" s="2" t="s">
        <v>82</v>
      </c>
      <c r="F1058" s="9">
        <f t="shared" si="65"/>
        <v>0</v>
      </c>
      <c r="G1058" s="9">
        <f t="shared" si="66"/>
        <v>179</v>
      </c>
      <c r="H1058" s="9">
        <f t="shared" si="67"/>
        <v>0</v>
      </c>
      <c r="I1058" s="10">
        <f t="shared" si="68"/>
        <v>179</v>
      </c>
    </row>
    <row r="1059" spans="1:9" x14ac:dyDescent="0.25">
      <c r="A1059" s="2" t="s">
        <v>2501</v>
      </c>
      <c r="B1059" s="2" t="s">
        <v>2502</v>
      </c>
      <c r="C1059" s="2" t="s">
        <v>759</v>
      </c>
      <c r="D1059" s="2" t="s">
        <v>1406</v>
      </c>
      <c r="E1059" s="2" t="s">
        <v>82</v>
      </c>
      <c r="F1059" s="9">
        <f t="shared" si="65"/>
        <v>0</v>
      </c>
      <c r="G1059" s="9">
        <f t="shared" si="66"/>
        <v>93</v>
      </c>
      <c r="H1059" s="9">
        <f t="shared" si="67"/>
        <v>0</v>
      </c>
      <c r="I1059" s="10">
        <f t="shared" si="68"/>
        <v>93</v>
      </c>
    </row>
    <row r="1060" spans="1:9" x14ac:dyDescent="0.25">
      <c r="A1060" s="2" t="s">
        <v>2503</v>
      </c>
      <c r="B1060" s="2" t="s">
        <v>2504</v>
      </c>
      <c r="C1060" s="2" t="s">
        <v>759</v>
      </c>
      <c r="D1060" s="2" t="s">
        <v>1406</v>
      </c>
      <c r="E1060" s="2" t="s">
        <v>82</v>
      </c>
      <c r="F1060" s="9">
        <f t="shared" si="65"/>
        <v>0</v>
      </c>
      <c r="G1060" s="9">
        <f t="shared" si="66"/>
        <v>32.369999999999997</v>
      </c>
      <c r="H1060" s="9">
        <f t="shared" si="67"/>
        <v>0</v>
      </c>
      <c r="I1060" s="10">
        <f t="shared" si="68"/>
        <v>32.369999999999997</v>
      </c>
    </row>
    <row r="1061" spans="1:9" x14ac:dyDescent="0.25">
      <c r="A1061" s="2" t="s">
        <v>2505</v>
      </c>
      <c r="B1061" s="2" t="s">
        <v>2506</v>
      </c>
      <c r="C1061" s="2" t="s">
        <v>759</v>
      </c>
      <c r="D1061" s="2" t="s">
        <v>1406</v>
      </c>
      <c r="E1061" s="2" t="s">
        <v>489</v>
      </c>
      <c r="F1061" s="9">
        <f t="shared" si="65"/>
        <v>0</v>
      </c>
      <c r="G1061" s="9">
        <f t="shared" si="66"/>
        <v>68</v>
      </c>
      <c r="H1061" s="9">
        <f t="shared" si="67"/>
        <v>0</v>
      </c>
      <c r="I1061" s="10">
        <f t="shared" si="68"/>
        <v>68</v>
      </c>
    </row>
    <row r="1062" spans="1:9" x14ac:dyDescent="0.25">
      <c r="A1062" s="2" t="s">
        <v>2507</v>
      </c>
      <c r="B1062" s="2" t="s">
        <v>2508</v>
      </c>
      <c r="C1062" s="2" t="s">
        <v>759</v>
      </c>
      <c r="D1062" s="2" t="s">
        <v>1406</v>
      </c>
      <c r="E1062" s="2" t="s">
        <v>82</v>
      </c>
      <c r="F1062" s="9">
        <f t="shared" si="65"/>
        <v>0</v>
      </c>
      <c r="G1062" s="9">
        <f t="shared" si="66"/>
        <v>1.7</v>
      </c>
      <c r="H1062" s="9">
        <f t="shared" si="67"/>
        <v>0</v>
      </c>
      <c r="I1062" s="10">
        <f t="shared" si="68"/>
        <v>1.7</v>
      </c>
    </row>
    <row r="1063" spans="1:9" x14ac:dyDescent="0.25">
      <c r="A1063" s="2" t="s">
        <v>773</v>
      </c>
      <c r="B1063" s="2" t="s">
        <v>772</v>
      </c>
      <c r="C1063" s="2" t="s">
        <v>759</v>
      </c>
      <c r="D1063" s="2" t="s">
        <v>1406</v>
      </c>
      <c r="E1063" s="2" t="s">
        <v>82</v>
      </c>
      <c r="F1063" s="9">
        <f t="shared" si="65"/>
        <v>0</v>
      </c>
      <c r="G1063" s="9">
        <f t="shared" si="66"/>
        <v>5.9</v>
      </c>
      <c r="H1063" s="9">
        <f t="shared" si="67"/>
        <v>0</v>
      </c>
      <c r="I1063" s="10">
        <f t="shared" si="68"/>
        <v>5.9</v>
      </c>
    </row>
    <row r="1064" spans="1:9" x14ac:dyDescent="0.25">
      <c r="A1064" s="2" t="s">
        <v>2509</v>
      </c>
      <c r="B1064" s="2" t="s">
        <v>2510</v>
      </c>
      <c r="C1064" s="2" t="s">
        <v>759</v>
      </c>
      <c r="D1064" s="2" t="s">
        <v>1406</v>
      </c>
      <c r="E1064" s="2" t="s">
        <v>82</v>
      </c>
      <c r="F1064" s="9">
        <f t="shared" si="65"/>
        <v>0</v>
      </c>
      <c r="G1064" s="9">
        <f t="shared" si="66"/>
        <v>29.6</v>
      </c>
      <c r="H1064" s="9">
        <f t="shared" si="67"/>
        <v>0</v>
      </c>
      <c r="I1064" s="10">
        <f t="shared" si="68"/>
        <v>29.6</v>
      </c>
    </row>
    <row r="1065" spans="1:9" x14ac:dyDescent="0.25">
      <c r="A1065" s="2" t="s">
        <v>775</v>
      </c>
      <c r="B1065" s="2" t="s">
        <v>774</v>
      </c>
      <c r="C1065" s="2" t="s">
        <v>759</v>
      </c>
      <c r="D1065" s="2" t="s">
        <v>1406</v>
      </c>
      <c r="E1065" s="2" t="s">
        <v>82</v>
      </c>
      <c r="F1065" s="9">
        <f t="shared" si="65"/>
        <v>0</v>
      </c>
      <c r="G1065" s="9">
        <f t="shared" si="66"/>
        <v>387</v>
      </c>
      <c r="H1065" s="9">
        <f t="shared" si="67"/>
        <v>0</v>
      </c>
      <c r="I1065" s="10">
        <f t="shared" si="68"/>
        <v>387</v>
      </c>
    </row>
    <row r="1066" spans="1:9" x14ac:dyDescent="0.25">
      <c r="A1066" s="2" t="s">
        <v>2511</v>
      </c>
      <c r="B1066" s="7" t="s">
        <v>2512</v>
      </c>
      <c r="C1066" s="2" t="s">
        <v>759</v>
      </c>
      <c r="D1066" s="2" t="s">
        <v>1406</v>
      </c>
      <c r="E1066" s="2" t="s">
        <v>489</v>
      </c>
      <c r="F1066" s="9">
        <f t="shared" si="65"/>
        <v>0</v>
      </c>
      <c r="G1066" s="9">
        <f t="shared" si="66"/>
        <v>0</v>
      </c>
      <c r="H1066" s="9">
        <f t="shared" si="67"/>
        <v>0</v>
      </c>
      <c r="I1066" s="10">
        <f t="shared" si="68"/>
        <v>0</v>
      </c>
    </row>
    <row r="1067" spans="1:9" x14ac:dyDescent="0.25">
      <c r="A1067" s="2" t="s">
        <v>2513</v>
      </c>
      <c r="B1067" s="2" t="s">
        <v>2514</v>
      </c>
      <c r="C1067" s="2" t="s">
        <v>759</v>
      </c>
      <c r="D1067" s="2" t="s">
        <v>1406</v>
      </c>
      <c r="E1067" s="2" t="s">
        <v>489</v>
      </c>
      <c r="F1067" s="9">
        <f t="shared" si="65"/>
        <v>0</v>
      </c>
      <c r="G1067" s="9">
        <f t="shared" si="66"/>
        <v>150</v>
      </c>
      <c r="H1067" s="9">
        <f t="shared" si="67"/>
        <v>0</v>
      </c>
      <c r="I1067" s="10">
        <f t="shared" si="68"/>
        <v>150</v>
      </c>
    </row>
    <row r="1068" spans="1:9" x14ac:dyDescent="0.25">
      <c r="A1068" s="2" t="s">
        <v>779</v>
      </c>
      <c r="B1068" s="2" t="s">
        <v>778</v>
      </c>
      <c r="C1068" s="2" t="s">
        <v>759</v>
      </c>
      <c r="D1068" s="2" t="s">
        <v>1406</v>
      </c>
      <c r="E1068" s="2" t="s">
        <v>82</v>
      </c>
      <c r="F1068" s="9">
        <f t="shared" si="65"/>
        <v>0</v>
      </c>
      <c r="G1068" s="9">
        <f t="shared" si="66"/>
        <v>417</v>
      </c>
      <c r="H1068" s="9">
        <f t="shared" si="67"/>
        <v>0</v>
      </c>
      <c r="I1068" s="10">
        <f t="shared" si="68"/>
        <v>417</v>
      </c>
    </row>
    <row r="1069" spans="1:9" x14ac:dyDescent="0.25">
      <c r="A1069" s="2" t="s">
        <v>2515</v>
      </c>
      <c r="B1069" s="2" t="s">
        <v>2516</v>
      </c>
      <c r="C1069" s="2" t="s">
        <v>759</v>
      </c>
      <c r="D1069" s="2" t="s">
        <v>1406</v>
      </c>
      <c r="E1069" s="2" t="s">
        <v>82</v>
      </c>
      <c r="F1069" s="9">
        <f t="shared" si="65"/>
        <v>0</v>
      </c>
      <c r="G1069" s="9">
        <f t="shared" si="66"/>
        <v>2.4500000000000002</v>
      </c>
      <c r="H1069" s="9">
        <f t="shared" si="67"/>
        <v>0</v>
      </c>
      <c r="I1069" s="10">
        <f t="shared" si="68"/>
        <v>2.4500000000000002</v>
      </c>
    </row>
    <row r="1070" spans="1:9" x14ac:dyDescent="0.25">
      <c r="A1070" s="2" t="s">
        <v>2517</v>
      </c>
      <c r="B1070" s="2" t="s">
        <v>2518</v>
      </c>
      <c r="C1070" s="2" t="s">
        <v>759</v>
      </c>
      <c r="D1070" s="2" t="s">
        <v>1406</v>
      </c>
      <c r="E1070" s="2" t="s">
        <v>489</v>
      </c>
      <c r="F1070" s="9">
        <f t="shared" si="65"/>
        <v>0</v>
      </c>
      <c r="G1070" s="9">
        <f t="shared" si="66"/>
        <v>142.5</v>
      </c>
      <c r="H1070" s="9">
        <f t="shared" si="67"/>
        <v>0</v>
      </c>
      <c r="I1070" s="10">
        <f t="shared" si="68"/>
        <v>142.5</v>
      </c>
    </row>
    <row r="1071" spans="1:9" x14ac:dyDescent="0.25">
      <c r="A1071" s="2" t="s">
        <v>781</v>
      </c>
      <c r="B1071" s="2" t="s">
        <v>780</v>
      </c>
      <c r="C1071" s="2" t="s">
        <v>759</v>
      </c>
      <c r="D1071" s="2" t="s">
        <v>1406</v>
      </c>
      <c r="E1071" s="2" t="s">
        <v>489</v>
      </c>
      <c r="F1071" s="9">
        <f t="shared" si="65"/>
        <v>0</v>
      </c>
      <c r="G1071" s="9">
        <f t="shared" si="66"/>
        <v>102</v>
      </c>
      <c r="H1071" s="9">
        <f t="shared" si="67"/>
        <v>0</v>
      </c>
      <c r="I1071" s="10">
        <f t="shared" si="68"/>
        <v>102</v>
      </c>
    </row>
    <row r="1072" spans="1:9" x14ac:dyDescent="0.25">
      <c r="A1072" s="2" t="s">
        <v>2519</v>
      </c>
      <c r="B1072" s="2" t="s">
        <v>2520</v>
      </c>
      <c r="C1072" s="2" t="s">
        <v>759</v>
      </c>
      <c r="D1072" s="2" t="s">
        <v>1406</v>
      </c>
      <c r="E1072" s="2" t="s">
        <v>489</v>
      </c>
      <c r="F1072" s="9">
        <f t="shared" si="65"/>
        <v>0</v>
      </c>
      <c r="G1072" s="9">
        <f t="shared" si="66"/>
        <v>288</v>
      </c>
      <c r="H1072" s="9">
        <f t="shared" si="67"/>
        <v>0</v>
      </c>
      <c r="I1072" s="10">
        <f t="shared" si="68"/>
        <v>288</v>
      </c>
    </row>
    <row r="1073" spans="1:9" x14ac:dyDescent="0.25">
      <c r="A1073" s="2" t="s">
        <v>2521</v>
      </c>
      <c r="B1073" s="2" t="s">
        <v>2522</v>
      </c>
      <c r="C1073" s="2" t="s">
        <v>759</v>
      </c>
      <c r="D1073" s="2" t="s">
        <v>1406</v>
      </c>
      <c r="E1073" s="2" t="s">
        <v>489</v>
      </c>
      <c r="F1073" s="9">
        <f t="shared" si="65"/>
        <v>0</v>
      </c>
      <c r="G1073" s="9">
        <f t="shared" si="66"/>
        <v>240</v>
      </c>
      <c r="H1073" s="9">
        <f t="shared" si="67"/>
        <v>0</v>
      </c>
      <c r="I1073" s="10">
        <f t="shared" si="68"/>
        <v>240</v>
      </c>
    </row>
    <row r="1074" spans="1:9" x14ac:dyDescent="0.25">
      <c r="A1074" s="2" t="s">
        <v>2523</v>
      </c>
      <c r="B1074" s="2" t="s">
        <v>2524</v>
      </c>
      <c r="C1074" s="2" t="s">
        <v>759</v>
      </c>
      <c r="D1074" s="2" t="s">
        <v>1406</v>
      </c>
      <c r="E1074" s="2" t="s">
        <v>489</v>
      </c>
      <c r="F1074" s="9">
        <f t="shared" si="65"/>
        <v>0</v>
      </c>
      <c r="G1074" s="9">
        <f t="shared" si="66"/>
        <v>120</v>
      </c>
      <c r="H1074" s="9">
        <f t="shared" si="67"/>
        <v>0</v>
      </c>
      <c r="I1074" s="10">
        <f t="shared" si="68"/>
        <v>120</v>
      </c>
    </row>
    <row r="1075" spans="1:9" x14ac:dyDescent="0.25">
      <c r="A1075" s="2" t="s">
        <v>2525</v>
      </c>
      <c r="B1075" s="2" t="s">
        <v>2526</v>
      </c>
      <c r="C1075" s="2" t="s">
        <v>759</v>
      </c>
      <c r="D1075" s="2" t="s">
        <v>1406</v>
      </c>
      <c r="E1075" s="2" t="s">
        <v>489</v>
      </c>
      <c r="F1075" s="9">
        <f t="shared" si="65"/>
        <v>0</v>
      </c>
      <c r="G1075" s="9">
        <f t="shared" si="66"/>
        <v>69</v>
      </c>
      <c r="H1075" s="9">
        <f t="shared" si="67"/>
        <v>0</v>
      </c>
      <c r="I1075" s="10">
        <f t="shared" si="68"/>
        <v>69</v>
      </c>
    </row>
    <row r="1076" spans="1:9" x14ac:dyDescent="0.25">
      <c r="A1076" s="2" t="s">
        <v>2527</v>
      </c>
      <c r="B1076" s="2" t="s">
        <v>2528</v>
      </c>
      <c r="C1076" s="2" t="s">
        <v>759</v>
      </c>
      <c r="D1076" s="2" t="s">
        <v>1406</v>
      </c>
      <c r="E1076" s="2" t="s">
        <v>489</v>
      </c>
      <c r="F1076" s="9">
        <f t="shared" si="65"/>
        <v>0</v>
      </c>
      <c r="G1076" s="9">
        <f t="shared" si="66"/>
        <v>55.95</v>
      </c>
      <c r="H1076" s="9">
        <f t="shared" si="67"/>
        <v>0</v>
      </c>
      <c r="I1076" s="10">
        <f t="shared" si="68"/>
        <v>55.95</v>
      </c>
    </row>
    <row r="1077" spans="1:9" x14ac:dyDescent="0.25">
      <c r="A1077" s="2" t="s">
        <v>2529</v>
      </c>
      <c r="B1077" s="2" t="s">
        <v>2530</v>
      </c>
      <c r="C1077" s="2" t="s">
        <v>784</v>
      </c>
      <c r="D1077" s="2" t="s">
        <v>1406</v>
      </c>
      <c r="E1077" s="2" t="s">
        <v>30</v>
      </c>
      <c r="F1077" s="9">
        <f t="shared" si="65"/>
        <v>0</v>
      </c>
      <c r="G1077" s="9">
        <f t="shared" si="66"/>
        <v>2</v>
      </c>
      <c r="H1077" s="9">
        <f t="shared" si="67"/>
        <v>0</v>
      </c>
      <c r="I1077" s="10">
        <f t="shared" si="68"/>
        <v>2</v>
      </c>
    </row>
    <row r="1078" spans="1:9" x14ac:dyDescent="0.25">
      <c r="A1078" s="2" t="s">
        <v>2531</v>
      </c>
      <c r="B1078" s="2" t="s">
        <v>2532</v>
      </c>
      <c r="C1078" s="2" t="s">
        <v>784</v>
      </c>
      <c r="D1078" s="2" t="s">
        <v>1406</v>
      </c>
      <c r="E1078" s="2" t="s">
        <v>30</v>
      </c>
      <c r="F1078" s="9">
        <f t="shared" si="65"/>
        <v>0</v>
      </c>
      <c r="G1078" s="9">
        <f t="shared" si="66"/>
        <v>1</v>
      </c>
      <c r="H1078" s="9">
        <f t="shared" si="67"/>
        <v>0</v>
      </c>
      <c r="I1078" s="10">
        <f t="shared" si="68"/>
        <v>1</v>
      </c>
    </row>
    <row r="1079" spans="1:9" x14ac:dyDescent="0.25">
      <c r="A1079" s="2" t="s">
        <v>783</v>
      </c>
      <c r="B1079" s="2" t="s">
        <v>782</v>
      </c>
      <c r="C1079" s="2" t="s">
        <v>784</v>
      </c>
      <c r="D1079" s="2" t="s">
        <v>1406</v>
      </c>
      <c r="E1079" s="2" t="s">
        <v>30</v>
      </c>
      <c r="F1079" s="9">
        <f t="shared" si="65"/>
        <v>0</v>
      </c>
      <c r="G1079" s="9">
        <f t="shared" si="66"/>
        <v>4</v>
      </c>
      <c r="H1079" s="9">
        <f t="shared" si="67"/>
        <v>0</v>
      </c>
      <c r="I1079" s="10">
        <f t="shared" si="68"/>
        <v>4</v>
      </c>
    </row>
    <row r="1080" spans="1:9" x14ac:dyDescent="0.25">
      <c r="A1080" s="2" t="s">
        <v>786</v>
      </c>
      <c r="B1080" s="2" t="s">
        <v>785</v>
      </c>
      <c r="C1080" s="2" t="s">
        <v>784</v>
      </c>
      <c r="D1080" s="2" t="s">
        <v>1406</v>
      </c>
      <c r="E1080" s="2" t="s">
        <v>30</v>
      </c>
      <c r="F1080" s="9">
        <f t="shared" si="65"/>
        <v>0</v>
      </c>
      <c r="G1080" s="9">
        <f t="shared" si="66"/>
        <v>26</v>
      </c>
      <c r="H1080" s="9">
        <f t="shared" si="67"/>
        <v>0</v>
      </c>
      <c r="I1080" s="10">
        <f t="shared" si="68"/>
        <v>26</v>
      </c>
    </row>
    <row r="1081" spans="1:9" x14ac:dyDescent="0.25">
      <c r="A1081" s="2" t="s">
        <v>2533</v>
      </c>
      <c r="B1081" s="2" t="s">
        <v>2534</v>
      </c>
      <c r="C1081" s="2" t="s">
        <v>784</v>
      </c>
      <c r="D1081" s="2" t="s">
        <v>1406</v>
      </c>
      <c r="E1081" s="2" t="s">
        <v>30</v>
      </c>
      <c r="F1081" s="9">
        <f t="shared" si="65"/>
        <v>0</v>
      </c>
      <c r="G1081" s="9">
        <f t="shared" si="66"/>
        <v>10</v>
      </c>
      <c r="H1081" s="9">
        <f t="shared" si="67"/>
        <v>0</v>
      </c>
      <c r="I1081" s="10">
        <f t="shared" si="68"/>
        <v>10</v>
      </c>
    </row>
    <row r="1082" spans="1:9" x14ac:dyDescent="0.25">
      <c r="A1082" s="2" t="s">
        <v>2535</v>
      </c>
      <c r="B1082" s="2" t="s">
        <v>2536</v>
      </c>
      <c r="C1082" s="2" t="s">
        <v>784</v>
      </c>
      <c r="D1082" s="2" t="s">
        <v>1406</v>
      </c>
      <c r="E1082" s="2" t="s">
        <v>30</v>
      </c>
      <c r="F1082" s="9">
        <f t="shared" si="65"/>
        <v>0</v>
      </c>
      <c r="G1082" s="9">
        <f t="shared" si="66"/>
        <v>1</v>
      </c>
      <c r="H1082" s="9">
        <f t="shared" si="67"/>
        <v>0</v>
      </c>
      <c r="I1082" s="10">
        <f t="shared" si="68"/>
        <v>1</v>
      </c>
    </row>
    <row r="1083" spans="1:9" x14ac:dyDescent="0.25">
      <c r="A1083" s="2" t="s">
        <v>2537</v>
      </c>
      <c r="B1083" s="2" t="s">
        <v>2538</v>
      </c>
      <c r="C1083" s="2" t="s">
        <v>784</v>
      </c>
      <c r="D1083" s="2" t="s">
        <v>1406</v>
      </c>
      <c r="E1083" s="2" t="s">
        <v>30</v>
      </c>
      <c r="F1083" s="9">
        <f t="shared" si="65"/>
        <v>0</v>
      </c>
      <c r="G1083" s="9">
        <f t="shared" si="66"/>
        <v>14</v>
      </c>
      <c r="H1083" s="9">
        <f t="shared" si="67"/>
        <v>0</v>
      </c>
      <c r="I1083" s="10">
        <f t="shared" si="68"/>
        <v>14</v>
      </c>
    </row>
    <row r="1084" spans="1:9" x14ac:dyDescent="0.25">
      <c r="A1084" s="2" t="s">
        <v>2539</v>
      </c>
      <c r="B1084" s="2" t="s">
        <v>2540</v>
      </c>
      <c r="C1084" s="2" t="s">
        <v>784</v>
      </c>
      <c r="D1084" s="2" t="s">
        <v>1406</v>
      </c>
      <c r="E1084" s="2" t="s">
        <v>30</v>
      </c>
      <c r="F1084" s="9">
        <f t="shared" si="65"/>
        <v>0</v>
      </c>
      <c r="G1084" s="9">
        <f t="shared" si="66"/>
        <v>3</v>
      </c>
      <c r="H1084" s="9">
        <f t="shared" si="67"/>
        <v>0</v>
      </c>
      <c r="I1084" s="10">
        <f t="shared" si="68"/>
        <v>3</v>
      </c>
    </row>
    <row r="1085" spans="1:9" x14ac:dyDescent="0.25">
      <c r="A1085" s="2" t="s">
        <v>2541</v>
      </c>
      <c r="B1085" s="2" t="s">
        <v>2542</v>
      </c>
      <c r="C1085" s="2" t="s">
        <v>784</v>
      </c>
      <c r="D1085" s="2" t="s">
        <v>1406</v>
      </c>
      <c r="E1085" s="2" t="s">
        <v>30</v>
      </c>
      <c r="F1085" s="9">
        <f t="shared" si="65"/>
        <v>0</v>
      </c>
      <c r="G1085" s="9">
        <f t="shared" si="66"/>
        <v>1</v>
      </c>
      <c r="H1085" s="9">
        <f t="shared" si="67"/>
        <v>0</v>
      </c>
      <c r="I1085" s="10">
        <f t="shared" si="68"/>
        <v>1</v>
      </c>
    </row>
    <row r="1086" spans="1:9" x14ac:dyDescent="0.25">
      <c r="A1086" s="2" t="s">
        <v>2543</v>
      </c>
      <c r="B1086" s="2" t="s">
        <v>2544</v>
      </c>
      <c r="C1086" s="2" t="s">
        <v>784</v>
      </c>
      <c r="D1086" s="2" t="s">
        <v>1406</v>
      </c>
      <c r="E1086" s="2" t="s">
        <v>30</v>
      </c>
      <c r="F1086" s="9">
        <f t="shared" si="65"/>
        <v>0</v>
      </c>
      <c r="G1086" s="9">
        <f t="shared" si="66"/>
        <v>1</v>
      </c>
      <c r="H1086" s="9">
        <f t="shared" si="67"/>
        <v>0</v>
      </c>
      <c r="I1086" s="10">
        <f t="shared" si="68"/>
        <v>1</v>
      </c>
    </row>
    <row r="1087" spans="1:9" x14ac:dyDescent="0.25">
      <c r="A1087" s="2" t="s">
        <v>2545</v>
      </c>
      <c r="B1087" s="2" t="s">
        <v>2546</v>
      </c>
      <c r="C1087" s="2" t="s">
        <v>784</v>
      </c>
      <c r="D1087" s="2" t="s">
        <v>1406</v>
      </c>
      <c r="E1087" s="2" t="s">
        <v>30</v>
      </c>
      <c r="F1087" s="9">
        <f t="shared" ref="F1087:F1150" si="69">IFERROR(VLOOKUP(A1087,condi,8,0),0)</f>
        <v>0</v>
      </c>
      <c r="G1087" s="9">
        <f t="shared" ref="G1087:G1150" si="70">IFERROR(VLOOKUP(A1087,maqui,8,0),0)</f>
        <v>1</v>
      </c>
      <c r="H1087" s="9">
        <f t="shared" ref="H1087:H1150" si="71">IFERROR(VLOOKUP(A1087,ascint,8,0),0)</f>
        <v>0</v>
      </c>
      <c r="I1087" s="10">
        <f t="shared" si="68"/>
        <v>1</v>
      </c>
    </row>
    <row r="1088" spans="1:9" x14ac:dyDescent="0.25">
      <c r="A1088" s="2" t="s">
        <v>2547</v>
      </c>
      <c r="B1088" s="2" t="s">
        <v>2548</v>
      </c>
      <c r="C1088" s="2" t="s">
        <v>784</v>
      </c>
      <c r="D1088" s="2" t="s">
        <v>1406</v>
      </c>
      <c r="E1088" s="2" t="s">
        <v>30</v>
      </c>
      <c r="F1088" s="9">
        <f t="shared" si="69"/>
        <v>0</v>
      </c>
      <c r="G1088" s="9">
        <f t="shared" si="70"/>
        <v>4</v>
      </c>
      <c r="H1088" s="9">
        <f t="shared" si="71"/>
        <v>0</v>
      </c>
      <c r="I1088" s="10">
        <f t="shared" si="68"/>
        <v>4</v>
      </c>
    </row>
    <row r="1089" spans="1:9" x14ac:dyDescent="0.25">
      <c r="A1089" s="2" t="s">
        <v>2549</v>
      </c>
      <c r="B1089" s="2" t="s">
        <v>2550</v>
      </c>
      <c r="C1089" s="2" t="s">
        <v>784</v>
      </c>
      <c r="D1089" s="2" t="s">
        <v>1406</v>
      </c>
      <c r="E1089" s="2" t="s">
        <v>30</v>
      </c>
      <c r="F1089" s="9">
        <f t="shared" si="69"/>
        <v>0</v>
      </c>
      <c r="G1089" s="9">
        <f t="shared" si="70"/>
        <v>8</v>
      </c>
      <c r="H1089" s="9">
        <f t="shared" si="71"/>
        <v>0</v>
      </c>
      <c r="I1089" s="10">
        <f t="shared" si="68"/>
        <v>8</v>
      </c>
    </row>
    <row r="1090" spans="1:9" x14ac:dyDescent="0.25">
      <c r="A1090" s="2" t="s">
        <v>2551</v>
      </c>
      <c r="B1090" s="2" t="s">
        <v>2552</v>
      </c>
      <c r="C1090" s="2" t="s">
        <v>784</v>
      </c>
      <c r="D1090" s="2" t="s">
        <v>1406</v>
      </c>
      <c r="E1090" s="2" t="s">
        <v>30</v>
      </c>
      <c r="F1090" s="9">
        <f t="shared" si="69"/>
        <v>0</v>
      </c>
      <c r="G1090" s="9">
        <f t="shared" si="70"/>
        <v>1</v>
      </c>
      <c r="H1090" s="9">
        <f t="shared" si="71"/>
        <v>0</v>
      </c>
      <c r="I1090" s="10">
        <f t="shared" si="68"/>
        <v>1</v>
      </c>
    </row>
    <row r="1091" spans="1:9" x14ac:dyDescent="0.25">
      <c r="A1091" s="2" t="s">
        <v>2553</v>
      </c>
      <c r="B1091" s="2" t="s">
        <v>2554</v>
      </c>
      <c r="C1091" s="2" t="s">
        <v>784</v>
      </c>
      <c r="D1091" s="2" t="s">
        <v>1406</v>
      </c>
      <c r="E1091" s="2" t="s">
        <v>30</v>
      </c>
      <c r="F1091" s="9">
        <f t="shared" si="69"/>
        <v>0</v>
      </c>
      <c r="G1091" s="9">
        <f t="shared" si="70"/>
        <v>7</v>
      </c>
      <c r="H1091" s="9">
        <f t="shared" si="71"/>
        <v>0</v>
      </c>
      <c r="I1091" s="10">
        <f t="shared" si="68"/>
        <v>7</v>
      </c>
    </row>
    <row r="1092" spans="1:9" x14ac:dyDescent="0.25">
      <c r="A1092" s="2" t="s">
        <v>2555</v>
      </c>
      <c r="B1092" s="2" t="s">
        <v>2556</v>
      </c>
      <c r="C1092" s="2" t="s">
        <v>784</v>
      </c>
      <c r="D1092" s="2" t="s">
        <v>1406</v>
      </c>
      <c r="E1092" s="2" t="s">
        <v>30</v>
      </c>
      <c r="F1092" s="9">
        <f t="shared" si="69"/>
        <v>0</v>
      </c>
      <c r="G1092" s="9">
        <f t="shared" si="70"/>
        <v>9</v>
      </c>
      <c r="H1092" s="9">
        <f t="shared" si="71"/>
        <v>0</v>
      </c>
      <c r="I1092" s="10">
        <f t="shared" si="68"/>
        <v>9</v>
      </c>
    </row>
    <row r="1093" spans="1:9" x14ac:dyDescent="0.25">
      <c r="A1093" s="2" t="s">
        <v>2557</v>
      </c>
      <c r="B1093" s="2" t="s">
        <v>2558</v>
      </c>
      <c r="C1093" s="2" t="s">
        <v>784</v>
      </c>
      <c r="D1093" s="2" t="s">
        <v>1406</v>
      </c>
      <c r="E1093" s="2" t="s">
        <v>30</v>
      </c>
      <c r="F1093" s="9">
        <f t="shared" si="69"/>
        <v>0</v>
      </c>
      <c r="G1093" s="9">
        <f t="shared" si="70"/>
        <v>1</v>
      </c>
      <c r="H1093" s="9">
        <f t="shared" si="71"/>
        <v>0</v>
      </c>
      <c r="I1093" s="10">
        <f t="shared" ref="I1093:I1156" si="72">+F1093+G1093+H1093</f>
        <v>1</v>
      </c>
    </row>
    <row r="1094" spans="1:9" x14ac:dyDescent="0.25">
      <c r="A1094" s="2" t="s">
        <v>2559</v>
      </c>
      <c r="B1094" s="2" t="s">
        <v>2560</v>
      </c>
      <c r="C1094" s="2" t="s">
        <v>784</v>
      </c>
      <c r="D1094" s="2" t="s">
        <v>1406</v>
      </c>
      <c r="E1094" s="2" t="s">
        <v>30</v>
      </c>
      <c r="F1094" s="9">
        <f t="shared" si="69"/>
        <v>0</v>
      </c>
      <c r="G1094" s="9">
        <f t="shared" si="70"/>
        <v>19</v>
      </c>
      <c r="H1094" s="9">
        <f t="shared" si="71"/>
        <v>0</v>
      </c>
      <c r="I1094" s="10">
        <f t="shared" si="72"/>
        <v>19</v>
      </c>
    </row>
    <row r="1095" spans="1:9" x14ac:dyDescent="0.25">
      <c r="A1095" s="2" t="s">
        <v>2561</v>
      </c>
      <c r="B1095" s="2" t="s">
        <v>2562</v>
      </c>
      <c r="C1095" s="2" t="s">
        <v>784</v>
      </c>
      <c r="D1095" s="2" t="s">
        <v>1406</v>
      </c>
      <c r="E1095" s="2" t="s">
        <v>30</v>
      </c>
      <c r="F1095" s="9">
        <f t="shared" si="69"/>
        <v>0</v>
      </c>
      <c r="G1095" s="9">
        <f t="shared" si="70"/>
        <v>5</v>
      </c>
      <c r="H1095" s="9">
        <f t="shared" si="71"/>
        <v>0</v>
      </c>
      <c r="I1095" s="10">
        <f t="shared" si="72"/>
        <v>5</v>
      </c>
    </row>
    <row r="1096" spans="1:9" x14ac:dyDescent="0.25">
      <c r="A1096" s="2" t="s">
        <v>2563</v>
      </c>
      <c r="B1096" s="2" t="s">
        <v>2564</v>
      </c>
      <c r="C1096" s="2" t="s">
        <v>784</v>
      </c>
      <c r="D1096" s="2" t="s">
        <v>1406</v>
      </c>
      <c r="E1096" s="2" t="s">
        <v>30</v>
      </c>
      <c r="F1096" s="9">
        <f t="shared" si="69"/>
        <v>0</v>
      </c>
      <c r="G1096" s="9">
        <f t="shared" si="70"/>
        <v>14</v>
      </c>
      <c r="H1096" s="9">
        <f t="shared" si="71"/>
        <v>0</v>
      </c>
      <c r="I1096" s="10">
        <f t="shared" si="72"/>
        <v>14</v>
      </c>
    </row>
    <row r="1097" spans="1:9" x14ac:dyDescent="0.25">
      <c r="A1097" s="2" t="s">
        <v>2565</v>
      </c>
      <c r="B1097" s="2" t="s">
        <v>2566</v>
      </c>
      <c r="C1097" s="2" t="s">
        <v>784</v>
      </c>
      <c r="D1097" s="2" t="s">
        <v>1406</v>
      </c>
      <c r="E1097" s="2" t="s">
        <v>30</v>
      </c>
      <c r="F1097" s="9">
        <f t="shared" si="69"/>
        <v>1</v>
      </c>
      <c r="G1097" s="9">
        <f t="shared" si="70"/>
        <v>3</v>
      </c>
      <c r="H1097" s="9">
        <f t="shared" si="71"/>
        <v>0</v>
      </c>
      <c r="I1097" s="10">
        <f t="shared" si="72"/>
        <v>4</v>
      </c>
    </row>
    <row r="1098" spans="1:9" x14ac:dyDescent="0.25">
      <c r="A1098" s="2" t="s">
        <v>2567</v>
      </c>
      <c r="B1098" s="2" t="s">
        <v>2568</v>
      </c>
      <c r="C1098" s="2" t="s">
        <v>784</v>
      </c>
      <c r="D1098" s="2" t="s">
        <v>1406</v>
      </c>
      <c r="E1098" s="2" t="s">
        <v>30</v>
      </c>
      <c r="F1098" s="9">
        <f t="shared" si="69"/>
        <v>0</v>
      </c>
      <c r="G1098" s="9">
        <f t="shared" si="70"/>
        <v>10</v>
      </c>
      <c r="H1098" s="9">
        <f t="shared" si="71"/>
        <v>0</v>
      </c>
      <c r="I1098" s="10">
        <f t="shared" si="72"/>
        <v>10</v>
      </c>
    </row>
    <row r="1099" spans="1:9" x14ac:dyDescent="0.25">
      <c r="A1099" s="2" t="s">
        <v>2569</v>
      </c>
      <c r="B1099" s="2" t="s">
        <v>2570</v>
      </c>
      <c r="C1099" s="2" t="s">
        <v>784</v>
      </c>
      <c r="D1099" s="2" t="s">
        <v>1406</v>
      </c>
      <c r="E1099" s="2" t="s">
        <v>30</v>
      </c>
      <c r="F1099" s="9">
        <f t="shared" si="69"/>
        <v>0</v>
      </c>
      <c r="G1099" s="9">
        <f t="shared" si="70"/>
        <v>5</v>
      </c>
      <c r="H1099" s="9">
        <f t="shared" si="71"/>
        <v>0</v>
      </c>
      <c r="I1099" s="10">
        <f t="shared" si="72"/>
        <v>5</v>
      </c>
    </row>
    <row r="1100" spans="1:9" x14ac:dyDescent="0.25">
      <c r="A1100" s="2" t="s">
        <v>2571</v>
      </c>
      <c r="B1100" s="2" t="s">
        <v>2572</v>
      </c>
      <c r="C1100" s="2" t="s">
        <v>784</v>
      </c>
      <c r="D1100" s="2" t="s">
        <v>1406</v>
      </c>
      <c r="E1100" s="2" t="s">
        <v>30</v>
      </c>
      <c r="F1100" s="9">
        <f t="shared" si="69"/>
        <v>0</v>
      </c>
      <c r="G1100" s="9">
        <f t="shared" si="70"/>
        <v>8</v>
      </c>
      <c r="H1100" s="9">
        <f t="shared" si="71"/>
        <v>0</v>
      </c>
      <c r="I1100" s="10">
        <f t="shared" si="72"/>
        <v>8</v>
      </c>
    </row>
    <row r="1101" spans="1:9" x14ac:dyDescent="0.25">
      <c r="A1101" s="2" t="s">
        <v>2573</v>
      </c>
      <c r="B1101" s="2" t="s">
        <v>2574</v>
      </c>
      <c r="C1101" s="2" t="s">
        <v>784</v>
      </c>
      <c r="D1101" s="2" t="s">
        <v>1406</v>
      </c>
      <c r="E1101" s="2" t="s">
        <v>30</v>
      </c>
      <c r="F1101" s="9">
        <f t="shared" si="69"/>
        <v>0</v>
      </c>
      <c r="G1101" s="9">
        <f t="shared" si="70"/>
        <v>2</v>
      </c>
      <c r="H1101" s="9">
        <f t="shared" si="71"/>
        <v>0</v>
      </c>
      <c r="I1101" s="10">
        <f t="shared" si="72"/>
        <v>2</v>
      </c>
    </row>
    <row r="1102" spans="1:9" x14ac:dyDescent="0.25">
      <c r="A1102" s="2" t="s">
        <v>2575</v>
      </c>
      <c r="B1102" s="2" t="s">
        <v>2576</v>
      </c>
      <c r="C1102" s="2" t="s">
        <v>784</v>
      </c>
      <c r="D1102" s="2" t="s">
        <v>1406</v>
      </c>
      <c r="E1102" s="2" t="s">
        <v>30</v>
      </c>
      <c r="F1102" s="9">
        <f t="shared" si="69"/>
        <v>0</v>
      </c>
      <c r="G1102" s="9">
        <f t="shared" si="70"/>
        <v>13</v>
      </c>
      <c r="H1102" s="9">
        <f t="shared" si="71"/>
        <v>0</v>
      </c>
      <c r="I1102" s="10">
        <f t="shared" si="72"/>
        <v>13</v>
      </c>
    </row>
    <row r="1103" spans="1:9" x14ac:dyDescent="0.25">
      <c r="A1103" s="2" t="s">
        <v>2577</v>
      </c>
      <c r="B1103" s="2" t="s">
        <v>2578</v>
      </c>
      <c r="C1103" s="2" t="s">
        <v>784</v>
      </c>
      <c r="D1103" s="2" t="s">
        <v>1406</v>
      </c>
      <c r="E1103" s="2" t="s">
        <v>30</v>
      </c>
      <c r="F1103" s="9">
        <f t="shared" si="69"/>
        <v>0</v>
      </c>
      <c r="G1103" s="9">
        <f t="shared" si="70"/>
        <v>8</v>
      </c>
      <c r="H1103" s="9">
        <f t="shared" si="71"/>
        <v>0</v>
      </c>
      <c r="I1103" s="10">
        <f t="shared" si="72"/>
        <v>8</v>
      </c>
    </row>
    <row r="1104" spans="1:9" x14ac:dyDescent="0.25">
      <c r="A1104" s="2" t="s">
        <v>2579</v>
      </c>
      <c r="B1104" s="2" t="s">
        <v>2580</v>
      </c>
      <c r="C1104" s="2" t="s">
        <v>784</v>
      </c>
      <c r="D1104" s="2" t="s">
        <v>1406</v>
      </c>
      <c r="E1104" s="2" t="s">
        <v>30</v>
      </c>
      <c r="F1104" s="9">
        <f t="shared" si="69"/>
        <v>0</v>
      </c>
      <c r="G1104" s="9">
        <f t="shared" si="70"/>
        <v>9</v>
      </c>
      <c r="H1104" s="9">
        <f t="shared" si="71"/>
        <v>0</v>
      </c>
      <c r="I1104" s="10">
        <f t="shared" si="72"/>
        <v>9</v>
      </c>
    </row>
    <row r="1105" spans="1:9" x14ac:dyDescent="0.25">
      <c r="A1105" s="2" t="s">
        <v>2581</v>
      </c>
      <c r="B1105" s="2" t="s">
        <v>2582</v>
      </c>
      <c r="C1105" s="2" t="s">
        <v>784</v>
      </c>
      <c r="D1105" s="2" t="s">
        <v>1406</v>
      </c>
      <c r="E1105" s="2" t="s">
        <v>30</v>
      </c>
      <c r="F1105" s="9">
        <f t="shared" si="69"/>
        <v>0</v>
      </c>
      <c r="G1105" s="9">
        <f t="shared" si="70"/>
        <v>15</v>
      </c>
      <c r="H1105" s="9">
        <f t="shared" si="71"/>
        <v>0</v>
      </c>
      <c r="I1105" s="10">
        <f t="shared" si="72"/>
        <v>15</v>
      </c>
    </row>
    <row r="1106" spans="1:9" x14ac:dyDescent="0.25">
      <c r="A1106" s="2" t="s">
        <v>2583</v>
      </c>
      <c r="B1106" s="2" t="s">
        <v>2584</v>
      </c>
      <c r="C1106" s="2" t="s">
        <v>784</v>
      </c>
      <c r="D1106" s="2" t="s">
        <v>1406</v>
      </c>
      <c r="E1106" s="2" t="s">
        <v>30</v>
      </c>
      <c r="F1106" s="9">
        <f t="shared" si="69"/>
        <v>0</v>
      </c>
      <c r="G1106" s="9">
        <f t="shared" si="70"/>
        <v>7</v>
      </c>
      <c r="H1106" s="9">
        <f t="shared" si="71"/>
        <v>0</v>
      </c>
      <c r="I1106" s="10">
        <f t="shared" si="72"/>
        <v>7</v>
      </c>
    </row>
    <row r="1107" spans="1:9" x14ac:dyDescent="0.25">
      <c r="A1107" s="2" t="s">
        <v>2585</v>
      </c>
      <c r="B1107" s="2" t="s">
        <v>2586</v>
      </c>
      <c r="C1107" s="2" t="s">
        <v>784</v>
      </c>
      <c r="D1107" s="2" t="s">
        <v>1406</v>
      </c>
      <c r="E1107" s="2" t="s">
        <v>30</v>
      </c>
      <c r="F1107" s="9">
        <f t="shared" si="69"/>
        <v>0</v>
      </c>
      <c r="G1107" s="9">
        <f t="shared" si="70"/>
        <v>8</v>
      </c>
      <c r="H1107" s="9">
        <f t="shared" si="71"/>
        <v>0</v>
      </c>
      <c r="I1107" s="10">
        <f t="shared" si="72"/>
        <v>8</v>
      </c>
    </row>
    <row r="1108" spans="1:9" x14ac:dyDescent="0.25">
      <c r="A1108" s="2" t="s">
        <v>2587</v>
      </c>
      <c r="B1108" s="2" t="s">
        <v>2588</v>
      </c>
      <c r="C1108" s="2" t="s">
        <v>784</v>
      </c>
      <c r="D1108" s="2" t="s">
        <v>1406</v>
      </c>
      <c r="E1108" s="2" t="s">
        <v>30</v>
      </c>
      <c r="F1108" s="9">
        <f t="shared" si="69"/>
        <v>0</v>
      </c>
      <c r="G1108" s="9">
        <f t="shared" si="70"/>
        <v>2</v>
      </c>
      <c r="H1108" s="9">
        <f t="shared" si="71"/>
        <v>0</v>
      </c>
      <c r="I1108" s="10">
        <f t="shared" si="72"/>
        <v>2</v>
      </c>
    </row>
    <row r="1109" spans="1:9" x14ac:dyDescent="0.25">
      <c r="A1109" s="2" t="s">
        <v>2589</v>
      </c>
      <c r="B1109" s="2" t="s">
        <v>2590</v>
      </c>
      <c r="C1109" s="2" t="s">
        <v>784</v>
      </c>
      <c r="D1109" s="2" t="s">
        <v>1406</v>
      </c>
      <c r="E1109" s="2" t="s">
        <v>30</v>
      </c>
      <c r="F1109" s="9">
        <f t="shared" si="69"/>
        <v>0</v>
      </c>
      <c r="G1109" s="9">
        <f t="shared" si="70"/>
        <v>3</v>
      </c>
      <c r="H1109" s="9">
        <f t="shared" si="71"/>
        <v>0</v>
      </c>
      <c r="I1109" s="10">
        <f t="shared" si="72"/>
        <v>3</v>
      </c>
    </row>
    <row r="1110" spans="1:9" x14ac:dyDescent="0.25">
      <c r="A1110" s="2" t="s">
        <v>2591</v>
      </c>
      <c r="B1110" s="2" t="s">
        <v>2592</v>
      </c>
      <c r="C1110" s="2" t="s">
        <v>784</v>
      </c>
      <c r="D1110" s="2" t="s">
        <v>1406</v>
      </c>
      <c r="E1110" s="2" t="s">
        <v>30</v>
      </c>
      <c r="F1110" s="9">
        <f t="shared" si="69"/>
        <v>0</v>
      </c>
      <c r="G1110" s="9">
        <f t="shared" si="70"/>
        <v>1</v>
      </c>
      <c r="H1110" s="9">
        <f t="shared" si="71"/>
        <v>0</v>
      </c>
      <c r="I1110" s="10">
        <f t="shared" si="72"/>
        <v>1</v>
      </c>
    </row>
    <row r="1111" spans="1:9" x14ac:dyDescent="0.25">
      <c r="A1111" s="2" t="s">
        <v>2593</v>
      </c>
      <c r="B1111" s="2" t="s">
        <v>2594</v>
      </c>
      <c r="C1111" s="2" t="s">
        <v>784</v>
      </c>
      <c r="D1111" s="2" t="s">
        <v>1406</v>
      </c>
      <c r="E1111" s="2" t="s">
        <v>30</v>
      </c>
      <c r="F1111" s="9">
        <f t="shared" si="69"/>
        <v>0</v>
      </c>
      <c r="G1111" s="9">
        <f t="shared" si="70"/>
        <v>6</v>
      </c>
      <c r="H1111" s="9">
        <f t="shared" si="71"/>
        <v>0</v>
      </c>
      <c r="I1111" s="10">
        <f t="shared" si="72"/>
        <v>6</v>
      </c>
    </row>
    <row r="1112" spans="1:9" x14ac:dyDescent="0.25">
      <c r="A1112" s="2" t="s">
        <v>2595</v>
      </c>
      <c r="B1112" s="2" t="s">
        <v>2596</v>
      </c>
      <c r="C1112" s="2" t="s">
        <v>784</v>
      </c>
      <c r="D1112" s="2" t="s">
        <v>1406</v>
      </c>
      <c r="E1112" s="2" t="s">
        <v>30</v>
      </c>
      <c r="F1112" s="9">
        <f t="shared" si="69"/>
        <v>0</v>
      </c>
      <c r="G1112" s="9">
        <f t="shared" si="70"/>
        <v>1</v>
      </c>
      <c r="H1112" s="9">
        <f t="shared" si="71"/>
        <v>0</v>
      </c>
      <c r="I1112" s="10">
        <f t="shared" si="72"/>
        <v>1</v>
      </c>
    </row>
    <row r="1113" spans="1:9" x14ac:dyDescent="0.25">
      <c r="A1113" s="2" t="s">
        <v>2597</v>
      </c>
      <c r="B1113" s="2" t="s">
        <v>2598</v>
      </c>
      <c r="C1113" s="2" t="s">
        <v>784</v>
      </c>
      <c r="D1113" s="2" t="s">
        <v>1406</v>
      </c>
      <c r="E1113" s="2" t="s">
        <v>30</v>
      </c>
      <c r="F1113" s="9">
        <f t="shared" si="69"/>
        <v>0</v>
      </c>
      <c r="G1113" s="9">
        <f t="shared" si="70"/>
        <v>1</v>
      </c>
      <c r="H1113" s="9">
        <f t="shared" si="71"/>
        <v>0</v>
      </c>
      <c r="I1113" s="10">
        <f t="shared" si="72"/>
        <v>1</v>
      </c>
    </row>
    <row r="1114" spans="1:9" x14ac:dyDescent="0.25">
      <c r="A1114" s="2" t="s">
        <v>2599</v>
      </c>
      <c r="B1114" s="2" t="s">
        <v>2600</v>
      </c>
      <c r="C1114" s="2" t="s">
        <v>784</v>
      </c>
      <c r="D1114" s="2" t="s">
        <v>1406</v>
      </c>
      <c r="E1114" s="2" t="s">
        <v>30</v>
      </c>
      <c r="F1114" s="9">
        <f t="shared" si="69"/>
        <v>0</v>
      </c>
      <c r="G1114" s="9">
        <f t="shared" si="70"/>
        <v>2</v>
      </c>
      <c r="H1114" s="9">
        <f t="shared" si="71"/>
        <v>0</v>
      </c>
      <c r="I1114" s="10">
        <f t="shared" si="72"/>
        <v>2</v>
      </c>
    </row>
    <row r="1115" spans="1:9" x14ac:dyDescent="0.25">
      <c r="A1115" s="2" t="s">
        <v>2601</v>
      </c>
      <c r="B1115" s="2" t="s">
        <v>2602</v>
      </c>
      <c r="C1115" s="2" t="s">
        <v>784</v>
      </c>
      <c r="D1115" s="2" t="s">
        <v>1406</v>
      </c>
      <c r="E1115" s="2" t="s">
        <v>30</v>
      </c>
      <c r="F1115" s="9">
        <f t="shared" si="69"/>
        <v>0</v>
      </c>
      <c r="G1115" s="9">
        <f t="shared" si="70"/>
        <v>4</v>
      </c>
      <c r="H1115" s="9">
        <f t="shared" si="71"/>
        <v>0</v>
      </c>
      <c r="I1115" s="10">
        <f t="shared" si="72"/>
        <v>4</v>
      </c>
    </row>
    <row r="1116" spans="1:9" x14ac:dyDescent="0.25">
      <c r="A1116" s="2" t="s">
        <v>2603</v>
      </c>
      <c r="B1116" s="2" t="s">
        <v>2604</v>
      </c>
      <c r="C1116" s="2" t="s">
        <v>784</v>
      </c>
      <c r="D1116" s="2" t="s">
        <v>1406</v>
      </c>
      <c r="E1116" s="2" t="s">
        <v>30</v>
      </c>
      <c r="F1116" s="9">
        <f t="shared" si="69"/>
        <v>0</v>
      </c>
      <c r="G1116" s="9">
        <f t="shared" si="70"/>
        <v>1</v>
      </c>
      <c r="H1116" s="9">
        <f t="shared" si="71"/>
        <v>0</v>
      </c>
      <c r="I1116" s="10">
        <f t="shared" si="72"/>
        <v>1</v>
      </c>
    </row>
    <row r="1117" spans="1:9" x14ac:dyDescent="0.25">
      <c r="A1117" s="2" t="s">
        <v>2605</v>
      </c>
      <c r="B1117" s="2" t="s">
        <v>2606</v>
      </c>
      <c r="C1117" s="2" t="s">
        <v>784</v>
      </c>
      <c r="D1117" s="2" t="s">
        <v>1406</v>
      </c>
      <c r="E1117" s="2" t="s">
        <v>30</v>
      </c>
      <c r="F1117" s="9">
        <f t="shared" si="69"/>
        <v>0</v>
      </c>
      <c r="G1117" s="9">
        <f t="shared" si="70"/>
        <v>2</v>
      </c>
      <c r="H1117" s="9">
        <f t="shared" si="71"/>
        <v>0</v>
      </c>
      <c r="I1117" s="10">
        <f t="shared" si="72"/>
        <v>2</v>
      </c>
    </row>
    <row r="1118" spans="1:9" x14ac:dyDescent="0.25">
      <c r="A1118" s="2" t="s">
        <v>2607</v>
      </c>
      <c r="B1118" s="2" t="s">
        <v>2608</v>
      </c>
      <c r="C1118" s="2" t="s">
        <v>784</v>
      </c>
      <c r="D1118" s="2" t="s">
        <v>1406</v>
      </c>
      <c r="E1118" s="2" t="s">
        <v>30</v>
      </c>
      <c r="F1118" s="9">
        <f t="shared" si="69"/>
        <v>0</v>
      </c>
      <c r="G1118" s="9">
        <f t="shared" si="70"/>
        <v>13</v>
      </c>
      <c r="H1118" s="9">
        <f t="shared" si="71"/>
        <v>0</v>
      </c>
      <c r="I1118" s="10">
        <f t="shared" si="72"/>
        <v>13</v>
      </c>
    </row>
    <row r="1119" spans="1:9" x14ac:dyDescent="0.25">
      <c r="A1119" s="2" t="s">
        <v>2609</v>
      </c>
      <c r="B1119" s="2" t="s">
        <v>2610</v>
      </c>
      <c r="C1119" s="2" t="s">
        <v>784</v>
      </c>
      <c r="D1119" s="2" t="s">
        <v>1406</v>
      </c>
      <c r="E1119" s="2" t="s">
        <v>30</v>
      </c>
      <c r="F1119" s="9">
        <f t="shared" si="69"/>
        <v>0</v>
      </c>
      <c r="G1119" s="9">
        <f t="shared" si="70"/>
        <v>8</v>
      </c>
      <c r="H1119" s="9">
        <f t="shared" si="71"/>
        <v>0</v>
      </c>
      <c r="I1119" s="10">
        <f t="shared" si="72"/>
        <v>8</v>
      </c>
    </row>
    <row r="1120" spans="1:9" x14ac:dyDescent="0.25">
      <c r="A1120" s="2" t="s">
        <v>2611</v>
      </c>
      <c r="B1120" s="2" t="s">
        <v>2612</v>
      </c>
      <c r="C1120" s="2" t="s">
        <v>784</v>
      </c>
      <c r="D1120" s="2" t="s">
        <v>1406</v>
      </c>
      <c r="E1120" s="2" t="s">
        <v>30</v>
      </c>
      <c r="F1120" s="9">
        <f t="shared" si="69"/>
        <v>6</v>
      </c>
      <c r="G1120" s="9">
        <f t="shared" si="70"/>
        <v>3</v>
      </c>
      <c r="H1120" s="9">
        <f t="shared" si="71"/>
        <v>0</v>
      </c>
      <c r="I1120" s="10">
        <f t="shared" si="72"/>
        <v>9</v>
      </c>
    </row>
    <row r="1121" spans="1:9" x14ac:dyDescent="0.25">
      <c r="A1121" s="2" t="s">
        <v>2613</v>
      </c>
      <c r="B1121" s="2" t="s">
        <v>2614</v>
      </c>
      <c r="C1121" s="2" t="s">
        <v>784</v>
      </c>
      <c r="D1121" s="2" t="s">
        <v>1406</v>
      </c>
      <c r="E1121" s="2" t="s">
        <v>30</v>
      </c>
      <c r="F1121" s="9">
        <f t="shared" si="69"/>
        <v>0</v>
      </c>
      <c r="G1121" s="9">
        <f t="shared" si="70"/>
        <v>7</v>
      </c>
      <c r="H1121" s="9">
        <f t="shared" si="71"/>
        <v>0</v>
      </c>
      <c r="I1121" s="10">
        <f t="shared" si="72"/>
        <v>7</v>
      </c>
    </row>
    <row r="1122" spans="1:9" x14ac:dyDescent="0.25">
      <c r="A1122" s="2" t="s">
        <v>2615</v>
      </c>
      <c r="B1122" s="2" t="s">
        <v>2616</v>
      </c>
      <c r="C1122" s="2" t="s">
        <v>784</v>
      </c>
      <c r="D1122" s="2" t="s">
        <v>1406</v>
      </c>
      <c r="E1122" s="2" t="s">
        <v>30</v>
      </c>
      <c r="F1122" s="9">
        <f t="shared" si="69"/>
        <v>0</v>
      </c>
      <c r="G1122" s="9">
        <f t="shared" si="70"/>
        <v>3</v>
      </c>
      <c r="H1122" s="9">
        <f t="shared" si="71"/>
        <v>0</v>
      </c>
      <c r="I1122" s="10">
        <f t="shared" si="72"/>
        <v>3</v>
      </c>
    </row>
    <row r="1123" spans="1:9" x14ac:dyDescent="0.25">
      <c r="A1123" s="2" t="s">
        <v>2617</v>
      </c>
      <c r="B1123" s="2" t="s">
        <v>2618</v>
      </c>
      <c r="C1123" s="2" t="s">
        <v>784</v>
      </c>
      <c r="D1123" s="2" t="s">
        <v>1406</v>
      </c>
      <c r="E1123" s="2" t="s">
        <v>30</v>
      </c>
      <c r="F1123" s="9">
        <f t="shared" si="69"/>
        <v>0</v>
      </c>
      <c r="G1123" s="9">
        <f t="shared" si="70"/>
        <v>1</v>
      </c>
      <c r="H1123" s="9">
        <f t="shared" si="71"/>
        <v>0</v>
      </c>
      <c r="I1123" s="10">
        <f t="shared" si="72"/>
        <v>1</v>
      </c>
    </row>
    <row r="1124" spans="1:9" x14ac:dyDescent="0.25">
      <c r="A1124" s="2" t="s">
        <v>2619</v>
      </c>
      <c r="B1124" s="2" t="s">
        <v>2620</v>
      </c>
      <c r="C1124" s="2" t="s">
        <v>784</v>
      </c>
      <c r="D1124" s="2" t="s">
        <v>1406</v>
      </c>
      <c r="E1124" s="2" t="s">
        <v>30</v>
      </c>
      <c r="F1124" s="9">
        <f t="shared" si="69"/>
        <v>0</v>
      </c>
      <c r="G1124" s="9">
        <f t="shared" si="70"/>
        <v>4</v>
      </c>
      <c r="H1124" s="9">
        <f t="shared" si="71"/>
        <v>0</v>
      </c>
      <c r="I1124" s="10">
        <f t="shared" si="72"/>
        <v>4</v>
      </c>
    </row>
    <row r="1125" spans="1:9" x14ac:dyDescent="0.25">
      <c r="A1125" s="2" t="s">
        <v>2621</v>
      </c>
      <c r="B1125" s="2" t="s">
        <v>2622</v>
      </c>
      <c r="C1125" s="2" t="s">
        <v>784</v>
      </c>
      <c r="D1125" s="2" t="s">
        <v>1406</v>
      </c>
      <c r="E1125" s="2" t="s">
        <v>30</v>
      </c>
      <c r="F1125" s="9">
        <f t="shared" si="69"/>
        <v>0</v>
      </c>
      <c r="G1125" s="9">
        <f t="shared" si="70"/>
        <v>3</v>
      </c>
      <c r="H1125" s="9">
        <f t="shared" si="71"/>
        <v>0</v>
      </c>
      <c r="I1125" s="10">
        <f t="shared" si="72"/>
        <v>3</v>
      </c>
    </row>
    <row r="1126" spans="1:9" x14ac:dyDescent="0.25">
      <c r="A1126" s="2" t="s">
        <v>2623</v>
      </c>
      <c r="B1126" s="2" t="s">
        <v>2624</v>
      </c>
      <c r="C1126" s="2" t="s">
        <v>784</v>
      </c>
      <c r="D1126" s="2" t="s">
        <v>1406</v>
      </c>
      <c r="E1126" s="2" t="s">
        <v>30</v>
      </c>
      <c r="F1126" s="9">
        <f t="shared" si="69"/>
        <v>0</v>
      </c>
      <c r="G1126" s="9">
        <f t="shared" si="70"/>
        <v>4</v>
      </c>
      <c r="H1126" s="9">
        <f t="shared" si="71"/>
        <v>0</v>
      </c>
      <c r="I1126" s="10">
        <f t="shared" si="72"/>
        <v>4</v>
      </c>
    </row>
    <row r="1127" spans="1:9" x14ac:dyDescent="0.25">
      <c r="A1127" s="2" t="s">
        <v>2625</v>
      </c>
      <c r="B1127" s="2" t="s">
        <v>2626</v>
      </c>
      <c r="C1127" s="2" t="s">
        <v>784</v>
      </c>
      <c r="D1127" s="2" t="s">
        <v>1406</v>
      </c>
      <c r="E1127" s="2" t="s">
        <v>30</v>
      </c>
      <c r="F1127" s="9">
        <f t="shared" si="69"/>
        <v>0</v>
      </c>
      <c r="G1127" s="9">
        <f t="shared" si="70"/>
        <v>4</v>
      </c>
      <c r="H1127" s="9">
        <f t="shared" si="71"/>
        <v>0</v>
      </c>
      <c r="I1127" s="10">
        <f t="shared" si="72"/>
        <v>4</v>
      </c>
    </row>
    <row r="1128" spans="1:9" x14ac:dyDescent="0.25">
      <c r="A1128" s="2" t="s">
        <v>2627</v>
      </c>
      <c r="B1128" s="2" t="s">
        <v>2628</v>
      </c>
      <c r="C1128" s="2" t="s">
        <v>784</v>
      </c>
      <c r="D1128" s="2" t="s">
        <v>1406</v>
      </c>
      <c r="E1128" s="2" t="s">
        <v>30</v>
      </c>
      <c r="F1128" s="9">
        <f t="shared" si="69"/>
        <v>0</v>
      </c>
      <c r="G1128" s="9">
        <f t="shared" si="70"/>
        <v>15</v>
      </c>
      <c r="H1128" s="9">
        <f t="shared" si="71"/>
        <v>0</v>
      </c>
      <c r="I1128" s="10">
        <f t="shared" si="72"/>
        <v>15</v>
      </c>
    </row>
    <row r="1129" spans="1:9" x14ac:dyDescent="0.25">
      <c r="A1129" s="2" t="s">
        <v>2629</v>
      </c>
      <c r="B1129" s="2" t="s">
        <v>2630</v>
      </c>
      <c r="C1129" s="2" t="s">
        <v>784</v>
      </c>
      <c r="D1129" s="2" t="s">
        <v>1406</v>
      </c>
      <c r="E1129" s="2" t="s">
        <v>30</v>
      </c>
      <c r="F1129" s="9">
        <f t="shared" si="69"/>
        <v>0</v>
      </c>
      <c r="G1129" s="9">
        <f t="shared" si="70"/>
        <v>0</v>
      </c>
      <c r="H1129" s="9">
        <f t="shared" si="71"/>
        <v>0</v>
      </c>
      <c r="I1129" s="10">
        <f t="shared" si="72"/>
        <v>0</v>
      </c>
    </row>
    <row r="1130" spans="1:9" x14ac:dyDescent="0.25">
      <c r="A1130" s="2" t="s">
        <v>2631</v>
      </c>
      <c r="B1130" s="2" t="s">
        <v>2632</v>
      </c>
      <c r="C1130" s="2" t="s">
        <v>784</v>
      </c>
      <c r="D1130" s="2" t="s">
        <v>1406</v>
      </c>
      <c r="E1130" s="2" t="s">
        <v>30</v>
      </c>
      <c r="F1130" s="9">
        <f t="shared" si="69"/>
        <v>0</v>
      </c>
      <c r="G1130" s="9">
        <f t="shared" si="70"/>
        <v>0</v>
      </c>
      <c r="H1130" s="9">
        <f t="shared" si="71"/>
        <v>0</v>
      </c>
      <c r="I1130" s="10">
        <f t="shared" si="72"/>
        <v>0</v>
      </c>
    </row>
    <row r="1131" spans="1:9" x14ac:dyDescent="0.25">
      <c r="A1131" s="2" t="s">
        <v>2633</v>
      </c>
      <c r="B1131" s="2" t="s">
        <v>2634</v>
      </c>
      <c r="C1131" s="2" t="s">
        <v>784</v>
      </c>
      <c r="D1131" s="2" t="s">
        <v>1406</v>
      </c>
      <c r="E1131" s="2" t="s">
        <v>30</v>
      </c>
      <c r="F1131" s="9">
        <f t="shared" si="69"/>
        <v>0</v>
      </c>
      <c r="G1131" s="9">
        <f t="shared" si="70"/>
        <v>17</v>
      </c>
      <c r="H1131" s="9">
        <f t="shared" si="71"/>
        <v>0</v>
      </c>
      <c r="I1131" s="10">
        <f t="shared" si="72"/>
        <v>17</v>
      </c>
    </row>
    <row r="1132" spans="1:9" x14ac:dyDescent="0.25">
      <c r="A1132" s="2" t="s">
        <v>2635</v>
      </c>
      <c r="B1132" s="2" t="s">
        <v>2636</v>
      </c>
      <c r="C1132" s="2" t="s">
        <v>784</v>
      </c>
      <c r="D1132" s="2" t="s">
        <v>1406</v>
      </c>
      <c r="E1132" s="2" t="s">
        <v>30</v>
      </c>
      <c r="F1132" s="9">
        <f t="shared" si="69"/>
        <v>0</v>
      </c>
      <c r="G1132" s="9">
        <f t="shared" si="70"/>
        <v>16</v>
      </c>
      <c r="H1132" s="9">
        <f t="shared" si="71"/>
        <v>0</v>
      </c>
      <c r="I1132" s="10">
        <f t="shared" si="72"/>
        <v>16</v>
      </c>
    </row>
    <row r="1133" spans="1:9" x14ac:dyDescent="0.25">
      <c r="A1133" s="2" t="s">
        <v>2637</v>
      </c>
      <c r="B1133" s="2" t="s">
        <v>2638</v>
      </c>
      <c r="C1133" s="2" t="s">
        <v>784</v>
      </c>
      <c r="D1133" s="2" t="s">
        <v>1406</v>
      </c>
      <c r="E1133" s="2" t="s">
        <v>30</v>
      </c>
      <c r="F1133" s="9">
        <f t="shared" si="69"/>
        <v>0</v>
      </c>
      <c r="G1133" s="9">
        <f t="shared" si="70"/>
        <v>5</v>
      </c>
      <c r="H1133" s="9">
        <f t="shared" si="71"/>
        <v>0</v>
      </c>
      <c r="I1133" s="10">
        <f t="shared" si="72"/>
        <v>5</v>
      </c>
    </row>
    <row r="1134" spans="1:9" x14ac:dyDescent="0.25">
      <c r="A1134" s="2" t="s">
        <v>2639</v>
      </c>
      <c r="B1134" s="2" t="s">
        <v>2640</v>
      </c>
      <c r="C1134" s="2" t="s">
        <v>784</v>
      </c>
      <c r="D1134" s="2" t="s">
        <v>1406</v>
      </c>
      <c r="E1134" s="2" t="s">
        <v>30</v>
      </c>
      <c r="F1134" s="9">
        <f t="shared" si="69"/>
        <v>0</v>
      </c>
      <c r="G1134" s="9">
        <f t="shared" si="70"/>
        <v>2</v>
      </c>
      <c r="H1134" s="9">
        <f t="shared" si="71"/>
        <v>0</v>
      </c>
      <c r="I1134" s="10">
        <f t="shared" si="72"/>
        <v>2</v>
      </c>
    </row>
    <row r="1135" spans="1:9" x14ac:dyDescent="0.25">
      <c r="A1135" s="2" t="s">
        <v>2641</v>
      </c>
      <c r="B1135" s="2" t="s">
        <v>2642</v>
      </c>
      <c r="C1135" s="2" t="s">
        <v>784</v>
      </c>
      <c r="D1135" s="2" t="s">
        <v>1406</v>
      </c>
      <c r="E1135" s="2" t="s">
        <v>30</v>
      </c>
      <c r="F1135" s="9">
        <f t="shared" si="69"/>
        <v>0</v>
      </c>
      <c r="G1135" s="9">
        <f t="shared" si="70"/>
        <v>41</v>
      </c>
      <c r="H1135" s="9">
        <f t="shared" si="71"/>
        <v>0</v>
      </c>
      <c r="I1135" s="10">
        <f t="shared" si="72"/>
        <v>41</v>
      </c>
    </row>
    <row r="1136" spans="1:9" x14ac:dyDescent="0.25">
      <c r="A1136" s="2" t="s">
        <v>2643</v>
      </c>
      <c r="B1136" s="2" t="s">
        <v>2644</v>
      </c>
      <c r="C1136" s="2" t="s">
        <v>784</v>
      </c>
      <c r="D1136" s="2" t="s">
        <v>1406</v>
      </c>
      <c r="E1136" s="2" t="s">
        <v>30</v>
      </c>
      <c r="F1136" s="9">
        <f t="shared" si="69"/>
        <v>0</v>
      </c>
      <c r="G1136" s="9">
        <f t="shared" si="70"/>
        <v>7</v>
      </c>
      <c r="H1136" s="9">
        <f t="shared" si="71"/>
        <v>0</v>
      </c>
      <c r="I1136" s="10">
        <f t="shared" si="72"/>
        <v>7</v>
      </c>
    </row>
    <row r="1137" spans="1:9" x14ac:dyDescent="0.25">
      <c r="A1137" s="2" t="s">
        <v>2645</v>
      </c>
      <c r="B1137" s="2" t="s">
        <v>2646</v>
      </c>
      <c r="C1137" s="2" t="s">
        <v>784</v>
      </c>
      <c r="D1137" s="2" t="s">
        <v>1406</v>
      </c>
      <c r="E1137" s="2" t="s">
        <v>30</v>
      </c>
      <c r="F1137" s="9">
        <f t="shared" si="69"/>
        <v>0</v>
      </c>
      <c r="G1137" s="9">
        <f t="shared" si="70"/>
        <v>8</v>
      </c>
      <c r="H1137" s="9">
        <f t="shared" si="71"/>
        <v>0</v>
      </c>
      <c r="I1137" s="10">
        <f t="shared" si="72"/>
        <v>8</v>
      </c>
    </row>
    <row r="1138" spans="1:9" x14ac:dyDescent="0.25">
      <c r="A1138" s="2" t="s">
        <v>2647</v>
      </c>
      <c r="B1138" s="2" t="s">
        <v>2648</v>
      </c>
      <c r="C1138" s="2" t="s">
        <v>784</v>
      </c>
      <c r="D1138" s="2" t="s">
        <v>1406</v>
      </c>
      <c r="E1138" s="2" t="s">
        <v>30</v>
      </c>
      <c r="F1138" s="9">
        <f t="shared" si="69"/>
        <v>0</v>
      </c>
      <c r="G1138" s="9">
        <f t="shared" si="70"/>
        <v>4</v>
      </c>
      <c r="H1138" s="9">
        <f t="shared" si="71"/>
        <v>0</v>
      </c>
      <c r="I1138" s="10">
        <f t="shared" si="72"/>
        <v>4</v>
      </c>
    </row>
    <row r="1139" spans="1:9" x14ac:dyDescent="0.25">
      <c r="A1139" s="2" t="s">
        <v>2649</v>
      </c>
      <c r="B1139" s="2" t="s">
        <v>2650</v>
      </c>
      <c r="C1139" s="2" t="s">
        <v>784</v>
      </c>
      <c r="D1139" s="2" t="s">
        <v>1406</v>
      </c>
      <c r="E1139" s="2" t="s">
        <v>30</v>
      </c>
      <c r="F1139" s="9">
        <f t="shared" si="69"/>
        <v>0</v>
      </c>
      <c r="G1139" s="9">
        <f t="shared" si="70"/>
        <v>2</v>
      </c>
      <c r="H1139" s="9">
        <f t="shared" si="71"/>
        <v>0</v>
      </c>
      <c r="I1139" s="10">
        <f t="shared" si="72"/>
        <v>2</v>
      </c>
    </row>
    <row r="1140" spans="1:9" x14ac:dyDescent="0.25">
      <c r="A1140" s="2" t="s">
        <v>2651</v>
      </c>
      <c r="B1140" s="2" t="s">
        <v>2652</v>
      </c>
      <c r="C1140" s="2" t="s">
        <v>784</v>
      </c>
      <c r="D1140" s="2" t="s">
        <v>1406</v>
      </c>
      <c r="E1140" s="2" t="s">
        <v>30</v>
      </c>
      <c r="F1140" s="9">
        <f t="shared" si="69"/>
        <v>0</v>
      </c>
      <c r="G1140" s="9">
        <f t="shared" si="70"/>
        <v>16</v>
      </c>
      <c r="H1140" s="9">
        <f t="shared" si="71"/>
        <v>0</v>
      </c>
      <c r="I1140" s="10">
        <f t="shared" si="72"/>
        <v>16</v>
      </c>
    </row>
    <row r="1141" spans="1:9" x14ac:dyDescent="0.25">
      <c r="A1141" s="2" t="s">
        <v>2653</v>
      </c>
      <c r="B1141" s="2" t="s">
        <v>2654</v>
      </c>
      <c r="C1141" s="2" t="s">
        <v>784</v>
      </c>
      <c r="D1141" s="2" t="s">
        <v>1406</v>
      </c>
      <c r="E1141" s="2" t="s">
        <v>30</v>
      </c>
      <c r="F1141" s="9">
        <f t="shared" si="69"/>
        <v>0</v>
      </c>
      <c r="G1141" s="9">
        <f t="shared" si="70"/>
        <v>10</v>
      </c>
      <c r="H1141" s="9">
        <f t="shared" si="71"/>
        <v>0</v>
      </c>
      <c r="I1141" s="10">
        <f t="shared" si="72"/>
        <v>10</v>
      </c>
    </row>
    <row r="1142" spans="1:9" x14ac:dyDescent="0.25">
      <c r="A1142" s="2" t="s">
        <v>2655</v>
      </c>
      <c r="B1142" s="2" t="s">
        <v>2656</v>
      </c>
      <c r="C1142" s="2" t="s">
        <v>784</v>
      </c>
      <c r="D1142" s="2" t="s">
        <v>1406</v>
      </c>
      <c r="E1142" s="2" t="s">
        <v>30</v>
      </c>
      <c r="F1142" s="9">
        <f t="shared" si="69"/>
        <v>0</v>
      </c>
      <c r="G1142" s="9">
        <f t="shared" si="70"/>
        <v>6</v>
      </c>
      <c r="H1142" s="9">
        <f t="shared" si="71"/>
        <v>0</v>
      </c>
      <c r="I1142" s="10">
        <f t="shared" si="72"/>
        <v>6</v>
      </c>
    </row>
    <row r="1143" spans="1:9" x14ac:dyDescent="0.25">
      <c r="A1143" s="2" t="s">
        <v>2657</v>
      </c>
      <c r="B1143" s="2" t="s">
        <v>2658</v>
      </c>
      <c r="C1143" s="2" t="s">
        <v>784</v>
      </c>
      <c r="D1143" s="2" t="s">
        <v>1406</v>
      </c>
      <c r="E1143" s="2" t="s">
        <v>30</v>
      </c>
      <c r="F1143" s="9">
        <f t="shared" si="69"/>
        <v>0</v>
      </c>
      <c r="G1143" s="9">
        <f t="shared" si="70"/>
        <v>7</v>
      </c>
      <c r="H1143" s="9">
        <f t="shared" si="71"/>
        <v>0</v>
      </c>
      <c r="I1143" s="10">
        <f t="shared" si="72"/>
        <v>7</v>
      </c>
    </row>
    <row r="1144" spans="1:9" x14ac:dyDescent="0.25">
      <c r="A1144" s="2" t="s">
        <v>2659</v>
      </c>
      <c r="B1144" s="2" t="s">
        <v>2660</v>
      </c>
      <c r="C1144" s="2" t="s">
        <v>784</v>
      </c>
      <c r="D1144" s="2" t="s">
        <v>1406</v>
      </c>
      <c r="E1144" s="2" t="s">
        <v>30</v>
      </c>
      <c r="F1144" s="9">
        <f t="shared" si="69"/>
        <v>0</v>
      </c>
      <c r="G1144" s="9">
        <f t="shared" si="70"/>
        <v>38</v>
      </c>
      <c r="H1144" s="9">
        <f t="shared" si="71"/>
        <v>0</v>
      </c>
      <c r="I1144" s="10">
        <f t="shared" si="72"/>
        <v>38</v>
      </c>
    </row>
    <row r="1145" spans="1:9" x14ac:dyDescent="0.25">
      <c r="A1145" s="2" t="s">
        <v>2661</v>
      </c>
      <c r="B1145" s="2" t="s">
        <v>2662</v>
      </c>
      <c r="C1145" s="2" t="s">
        <v>784</v>
      </c>
      <c r="D1145" s="2" t="s">
        <v>1406</v>
      </c>
      <c r="E1145" s="2" t="s">
        <v>30</v>
      </c>
      <c r="F1145" s="9">
        <f t="shared" si="69"/>
        <v>0</v>
      </c>
      <c r="G1145" s="9">
        <f t="shared" si="70"/>
        <v>15</v>
      </c>
      <c r="H1145" s="9">
        <f t="shared" si="71"/>
        <v>0</v>
      </c>
      <c r="I1145" s="10">
        <f t="shared" si="72"/>
        <v>15</v>
      </c>
    </row>
    <row r="1146" spans="1:9" x14ac:dyDescent="0.25">
      <c r="A1146" s="2" t="s">
        <v>2663</v>
      </c>
      <c r="B1146" s="2" t="s">
        <v>2664</v>
      </c>
      <c r="C1146" s="2" t="s">
        <v>784</v>
      </c>
      <c r="D1146" s="2" t="s">
        <v>1406</v>
      </c>
      <c r="E1146" s="2" t="s">
        <v>30</v>
      </c>
      <c r="F1146" s="9">
        <f t="shared" si="69"/>
        <v>0</v>
      </c>
      <c r="G1146" s="9">
        <f t="shared" si="70"/>
        <v>9</v>
      </c>
      <c r="H1146" s="9">
        <f t="shared" si="71"/>
        <v>0</v>
      </c>
      <c r="I1146" s="10">
        <f t="shared" si="72"/>
        <v>9</v>
      </c>
    </row>
    <row r="1147" spans="1:9" x14ac:dyDescent="0.25">
      <c r="A1147" s="2" t="s">
        <v>2665</v>
      </c>
      <c r="B1147" s="2" t="s">
        <v>2666</v>
      </c>
      <c r="C1147" s="2" t="s">
        <v>784</v>
      </c>
      <c r="D1147" s="2" t="s">
        <v>1406</v>
      </c>
      <c r="E1147" s="2" t="s">
        <v>30</v>
      </c>
      <c r="F1147" s="9">
        <f t="shared" si="69"/>
        <v>0</v>
      </c>
      <c r="G1147" s="9">
        <f t="shared" si="70"/>
        <v>4</v>
      </c>
      <c r="H1147" s="9">
        <f t="shared" si="71"/>
        <v>0</v>
      </c>
      <c r="I1147" s="10">
        <f t="shared" si="72"/>
        <v>4</v>
      </c>
    </row>
    <row r="1148" spans="1:9" x14ac:dyDescent="0.25">
      <c r="A1148" s="2" t="s">
        <v>2667</v>
      </c>
      <c r="B1148" s="2" t="s">
        <v>2668</v>
      </c>
      <c r="C1148" s="2" t="s">
        <v>784</v>
      </c>
      <c r="D1148" s="2" t="s">
        <v>1406</v>
      </c>
      <c r="E1148" s="2" t="s">
        <v>30</v>
      </c>
      <c r="F1148" s="9">
        <f t="shared" si="69"/>
        <v>0</v>
      </c>
      <c r="G1148" s="9">
        <f t="shared" si="70"/>
        <v>3</v>
      </c>
      <c r="H1148" s="9">
        <f t="shared" si="71"/>
        <v>0</v>
      </c>
      <c r="I1148" s="10">
        <f t="shared" si="72"/>
        <v>3</v>
      </c>
    </row>
    <row r="1149" spans="1:9" x14ac:dyDescent="0.25">
      <c r="A1149" s="2" t="s">
        <v>2669</v>
      </c>
      <c r="B1149" s="2" t="s">
        <v>2670</v>
      </c>
      <c r="C1149" s="2" t="s">
        <v>784</v>
      </c>
      <c r="D1149" s="2" t="s">
        <v>1406</v>
      </c>
      <c r="E1149" s="2" t="s">
        <v>30</v>
      </c>
      <c r="F1149" s="9">
        <f t="shared" si="69"/>
        <v>0</v>
      </c>
      <c r="G1149" s="9">
        <f t="shared" si="70"/>
        <v>24</v>
      </c>
      <c r="H1149" s="9">
        <f t="shared" si="71"/>
        <v>0</v>
      </c>
      <c r="I1149" s="10">
        <f t="shared" si="72"/>
        <v>24</v>
      </c>
    </row>
    <row r="1150" spans="1:9" x14ac:dyDescent="0.25">
      <c r="A1150" s="2" t="s">
        <v>2671</v>
      </c>
      <c r="B1150" s="2" t="s">
        <v>2672</v>
      </c>
      <c r="C1150" s="2" t="s">
        <v>784</v>
      </c>
      <c r="D1150" s="2" t="s">
        <v>1406</v>
      </c>
      <c r="E1150" s="2" t="s">
        <v>30</v>
      </c>
      <c r="F1150" s="9">
        <f t="shared" si="69"/>
        <v>0</v>
      </c>
      <c r="G1150" s="9">
        <f t="shared" si="70"/>
        <v>19</v>
      </c>
      <c r="H1150" s="9">
        <f t="shared" si="71"/>
        <v>0</v>
      </c>
      <c r="I1150" s="10">
        <f t="shared" si="72"/>
        <v>19</v>
      </c>
    </row>
    <row r="1151" spans="1:9" x14ac:dyDescent="0.25">
      <c r="A1151" s="2" t="s">
        <v>2673</v>
      </c>
      <c r="B1151" s="2" t="s">
        <v>2674</v>
      </c>
      <c r="C1151" s="2" t="s">
        <v>784</v>
      </c>
      <c r="D1151" s="2" t="s">
        <v>1406</v>
      </c>
      <c r="E1151" s="2" t="s">
        <v>30</v>
      </c>
      <c r="F1151" s="9">
        <f t="shared" ref="F1151:F1214" si="73">IFERROR(VLOOKUP(A1151,condi,8,0),0)</f>
        <v>0</v>
      </c>
      <c r="G1151" s="9">
        <f t="shared" ref="G1151:G1214" si="74">IFERROR(VLOOKUP(A1151,maqui,8,0),0)</f>
        <v>7</v>
      </c>
      <c r="H1151" s="9">
        <f t="shared" ref="H1151:H1214" si="75">IFERROR(VLOOKUP(A1151,ascint,8,0),0)</f>
        <v>0</v>
      </c>
      <c r="I1151" s="10">
        <f t="shared" si="72"/>
        <v>7</v>
      </c>
    </row>
    <row r="1152" spans="1:9" x14ac:dyDescent="0.25">
      <c r="A1152" s="2" t="s">
        <v>2675</v>
      </c>
      <c r="B1152" s="2" t="s">
        <v>2676</v>
      </c>
      <c r="C1152" s="2" t="s">
        <v>784</v>
      </c>
      <c r="D1152" s="2" t="s">
        <v>1406</v>
      </c>
      <c r="E1152" s="2" t="s">
        <v>30</v>
      </c>
      <c r="F1152" s="9">
        <f t="shared" si="73"/>
        <v>0</v>
      </c>
      <c r="G1152" s="9">
        <f t="shared" si="74"/>
        <v>2</v>
      </c>
      <c r="H1152" s="9">
        <f t="shared" si="75"/>
        <v>0</v>
      </c>
      <c r="I1152" s="10">
        <f t="shared" si="72"/>
        <v>2</v>
      </c>
    </row>
    <row r="1153" spans="1:9" x14ac:dyDescent="0.25">
      <c r="A1153" s="2" t="s">
        <v>2677</v>
      </c>
      <c r="B1153" s="2" t="s">
        <v>2678</v>
      </c>
      <c r="C1153" s="2" t="s">
        <v>784</v>
      </c>
      <c r="D1153" s="2" t="s">
        <v>1406</v>
      </c>
      <c r="E1153" s="2" t="s">
        <v>30</v>
      </c>
      <c r="F1153" s="9">
        <f t="shared" si="73"/>
        <v>0</v>
      </c>
      <c r="G1153" s="9">
        <f t="shared" si="74"/>
        <v>9</v>
      </c>
      <c r="H1153" s="9">
        <f t="shared" si="75"/>
        <v>0</v>
      </c>
      <c r="I1153" s="10">
        <f t="shared" si="72"/>
        <v>9</v>
      </c>
    </row>
    <row r="1154" spans="1:9" x14ac:dyDescent="0.25">
      <c r="A1154" s="2" t="s">
        <v>2679</v>
      </c>
      <c r="B1154" s="2" t="s">
        <v>2680</v>
      </c>
      <c r="C1154" s="2" t="s">
        <v>784</v>
      </c>
      <c r="D1154" s="2" t="s">
        <v>1406</v>
      </c>
      <c r="E1154" s="2" t="s">
        <v>30</v>
      </c>
      <c r="F1154" s="9">
        <f t="shared" si="73"/>
        <v>0</v>
      </c>
      <c r="G1154" s="9">
        <f t="shared" si="74"/>
        <v>18</v>
      </c>
      <c r="H1154" s="9">
        <f t="shared" si="75"/>
        <v>0</v>
      </c>
      <c r="I1154" s="10">
        <f t="shared" si="72"/>
        <v>18</v>
      </c>
    </row>
    <row r="1155" spans="1:9" x14ac:dyDescent="0.25">
      <c r="A1155" s="2" t="s">
        <v>2681</v>
      </c>
      <c r="B1155" s="2" t="s">
        <v>2682</v>
      </c>
      <c r="C1155" s="2" t="s">
        <v>784</v>
      </c>
      <c r="D1155" s="2" t="s">
        <v>1406</v>
      </c>
      <c r="E1155" s="2" t="s">
        <v>30</v>
      </c>
      <c r="F1155" s="9">
        <f t="shared" si="73"/>
        <v>0</v>
      </c>
      <c r="G1155" s="9">
        <f t="shared" si="74"/>
        <v>4</v>
      </c>
      <c r="H1155" s="9">
        <f t="shared" si="75"/>
        <v>0</v>
      </c>
      <c r="I1155" s="10">
        <f t="shared" si="72"/>
        <v>4</v>
      </c>
    </row>
    <row r="1156" spans="1:9" x14ac:dyDescent="0.25">
      <c r="A1156" s="2" t="s">
        <v>2683</v>
      </c>
      <c r="B1156" s="2" t="s">
        <v>2684</v>
      </c>
      <c r="C1156" s="2" t="s">
        <v>784</v>
      </c>
      <c r="D1156" s="2" t="s">
        <v>1406</v>
      </c>
      <c r="E1156" s="2" t="s">
        <v>30</v>
      </c>
      <c r="F1156" s="9">
        <f t="shared" si="73"/>
        <v>0</v>
      </c>
      <c r="G1156" s="9">
        <f t="shared" si="74"/>
        <v>8</v>
      </c>
      <c r="H1156" s="9">
        <f t="shared" si="75"/>
        <v>0</v>
      </c>
      <c r="I1156" s="10">
        <f t="shared" si="72"/>
        <v>8</v>
      </c>
    </row>
    <row r="1157" spans="1:9" x14ac:dyDescent="0.25">
      <c r="A1157" s="2" t="s">
        <v>2685</v>
      </c>
      <c r="B1157" s="2" t="s">
        <v>2686</v>
      </c>
      <c r="C1157" s="2" t="s">
        <v>784</v>
      </c>
      <c r="D1157" s="2" t="s">
        <v>1406</v>
      </c>
      <c r="E1157" s="2" t="s">
        <v>30</v>
      </c>
      <c r="F1157" s="9">
        <f t="shared" si="73"/>
        <v>0</v>
      </c>
      <c r="G1157" s="9">
        <f t="shared" si="74"/>
        <v>5</v>
      </c>
      <c r="H1157" s="9">
        <f t="shared" si="75"/>
        <v>0</v>
      </c>
      <c r="I1157" s="10">
        <f t="shared" ref="I1157:I1220" si="76">+F1157+G1157+H1157</f>
        <v>5</v>
      </c>
    </row>
    <row r="1158" spans="1:9" x14ac:dyDescent="0.25">
      <c r="A1158" s="2" t="s">
        <v>2687</v>
      </c>
      <c r="B1158" s="2" t="s">
        <v>2688</v>
      </c>
      <c r="C1158" s="2" t="s">
        <v>784</v>
      </c>
      <c r="D1158" s="2" t="s">
        <v>1406</v>
      </c>
      <c r="E1158" s="2" t="s">
        <v>30</v>
      </c>
      <c r="F1158" s="9">
        <f t="shared" si="73"/>
        <v>0</v>
      </c>
      <c r="G1158" s="9">
        <f t="shared" si="74"/>
        <v>10</v>
      </c>
      <c r="H1158" s="9">
        <f t="shared" si="75"/>
        <v>0</v>
      </c>
      <c r="I1158" s="10">
        <f t="shared" si="76"/>
        <v>10</v>
      </c>
    </row>
    <row r="1159" spans="1:9" x14ac:dyDescent="0.25">
      <c r="A1159" s="2" t="s">
        <v>2689</v>
      </c>
      <c r="B1159" s="2" t="s">
        <v>2690</v>
      </c>
      <c r="C1159" s="2" t="s">
        <v>784</v>
      </c>
      <c r="D1159" s="2" t="s">
        <v>1406</v>
      </c>
      <c r="E1159" s="2" t="s">
        <v>30</v>
      </c>
      <c r="F1159" s="9">
        <f t="shared" si="73"/>
        <v>0</v>
      </c>
      <c r="G1159" s="9">
        <f t="shared" si="74"/>
        <v>2</v>
      </c>
      <c r="H1159" s="9">
        <f t="shared" si="75"/>
        <v>0</v>
      </c>
      <c r="I1159" s="10">
        <f t="shared" si="76"/>
        <v>2</v>
      </c>
    </row>
    <row r="1160" spans="1:9" x14ac:dyDescent="0.25">
      <c r="A1160" s="2" t="s">
        <v>2691</v>
      </c>
      <c r="B1160" s="2" t="s">
        <v>2692</v>
      </c>
      <c r="C1160" s="2" t="s">
        <v>784</v>
      </c>
      <c r="D1160" s="2" t="s">
        <v>1406</v>
      </c>
      <c r="E1160" s="2" t="s">
        <v>30</v>
      </c>
      <c r="F1160" s="9">
        <f t="shared" si="73"/>
        <v>0</v>
      </c>
      <c r="G1160" s="9">
        <f t="shared" si="74"/>
        <v>4</v>
      </c>
      <c r="H1160" s="9">
        <f t="shared" si="75"/>
        <v>0</v>
      </c>
      <c r="I1160" s="10">
        <f t="shared" si="76"/>
        <v>4</v>
      </c>
    </row>
    <row r="1161" spans="1:9" x14ac:dyDescent="0.25">
      <c r="A1161" s="2" t="s">
        <v>2693</v>
      </c>
      <c r="B1161" s="2" t="s">
        <v>2694</v>
      </c>
      <c r="C1161" s="2" t="s">
        <v>784</v>
      </c>
      <c r="D1161" s="2" t="s">
        <v>1406</v>
      </c>
      <c r="E1161" s="2" t="s">
        <v>30</v>
      </c>
      <c r="F1161" s="9">
        <f t="shared" si="73"/>
        <v>0</v>
      </c>
      <c r="G1161" s="9">
        <f t="shared" si="74"/>
        <v>3</v>
      </c>
      <c r="H1161" s="9">
        <f t="shared" si="75"/>
        <v>0</v>
      </c>
      <c r="I1161" s="10">
        <f t="shared" si="76"/>
        <v>3</v>
      </c>
    </row>
    <row r="1162" spans="1:9" x14ac:dyDescent="0.25">
      <c r="A1162" s="2" t="s">
        <v>2695</v>
      </c>
      <c r="B1162" s="2" t="s">
        <v>2696</v>
      </c>
      <c r="C1162" s="2" t="s">
        <v>784</v>
      </c>
      <c r="D1162" s="2" t="s">
        <v>1406</v>
      </c>
      <c r="E1162" s="2" t="s">
        <v>30</v>
      </c>
      <c r="F1162" s="9">
        <f t="shared" si="73"/>
        <v>0</v>
      </c>
      <c r="G1162" s="9">
        <f t="shared" si="74"/>
        <v>4</v>
      </c>
      <c r="H1162" s="9">
        <f t="shared" si="75"/>
        <v>0</v>
      </c>
      <c r="I1162" s="10">
        <f t="shared" si="76"/>
        <v>4</v>
      </c>
    </row>
    <row r="1163" spans="1:9" x14ac:dyDescent="0.25">
      <c r="A1163" s="2" t="s">
        <v>2697</v>
      </c>
      <c r="B1163" s="2" t="s">
        <v>2698</v>
      </c>
      <c r="C1163" s="2" t="s">
        <v>784</v>
      </c>
      <c r="D1163" s="2" t="s">
        <v>1406</v>
      </c>
      <c r="E1163" s="2" t="s">
        <v>30</v>
      </c>
      <c r="F1163" s="9">
        <f t="shared" si="73"/>
        <v>0</v>
      </c>
      <c r="G1163" s="9">
        <f t="shared" si="74"/>
        <v>8</v>
      </c>
      <c r="H1163" s="9">
        <f t="shared" si="75"/>
        <v>0</v>
      </c>
      <c r="I1163" s="10">
        <f t="shared" si="76"/>
        <v>8</v>
      </c>
    </row>
    <row r="1164" spans="1:9" x14ac:dyDescent="0.25">
      <c r="A1164" s="2" t="s">
        <v>2699</v>
      </c>
      <c r="B1164" s="2" t="s">
        <v>2700</v>
      </c>
      <c r="C1164" s="2" t="s">
        <v>784</v>
      </c>
      <c r="D1164" s="2" t="s">
        <v>1406</v>
      </c>
      <c r="E1164" s="2" t="s">
        <v>30</v>
      </c>
      <c r="F1164" s="9">
        <f t="shared" si="73"/>
        <v>0</v>
      </c>
      <c r="G1164" s="9">
        <f t="shared" si="74"/>
        <v>1</v>
      </c>
      <c r="H1164" s="9">
        <f t="shared" si="75"/>
        <v>0</v>
      </c>
      <c r="I1164" s="10">
        <f t="shared" si="76"/>
        <v>1</v>
      </c>
    </row>
    <row r="1165" spans="1:9" x14ac:dyDescent="0.25">
      <c r="A1165" s="2" t="s">
        <v>2701</v>
      </c>
      <c r="B1165" s="2" t="s">
        <v>2702</v>
      </c>
      <c r="C1165" s="2" t="s">
        <v>784</v>
      </c>
      <c r="D1165" s="2" t="s">
        <v>1406</v>
      </c>
      <c r="E1165" s="2" t="s">
        <v>30</v>
      </c>
      <c r="F1165" s="9">
        <f t="shared" si="73"/>
        <v>0</v>
      </c>
      <c r="G1165" s="9">
        <f t="shared" si="74"/>
        <v>10</v>
      </c>
      <c r="H1165" s="9">
        <f t="shared" si="75"/>
        <v>0</v>
      </c>
      <c r="I1165" s="10">
        <f t="shared" si="76"/>
        <v>10</v>
      </c>
    </row>
    <row r="1166" spans="1:9" x14ac:dyDescent="0.25">
      <c r="A1166" s="2" t="s">
        <v>2703</v>
      </c>
      <c r="B1166" s="2" t="s">
        <v>2704</v>
      </c>
      <c r="C1166" s="2" t="s">
        <v>784</v>
      </c>
      <c r="D1166" s="2" t="s">
        <v>1406</v>
      </c>
      <c r="E1166" s="2" t="s">
        <v>30</v>
      </c>
      <c r="F1166" s="9">
        <f t="shared" si="73"/>
        <v>0</v>
      </c>
      <c r="G1166" s="9">
        <f t="shared" si="74"/>
        <v>7</v>
      </c>
      <c r="H1166" s="9">
        <f t="shared" si="75"/>
        <v>0</v>
      </c>
      <c r="I1166" s="10">
        <f t="shared" si="76"/>
        <v>7</v>
      </c>
    </row>
    <row r="1167" spans="1:9" x14ac:dyDescent="0.25">
      <c r="A1167" s="2" t="s">
        <v>2705</v>
      </c>
      <c r="B1167" s="2" t="s">
        <v>2706</v>
      </c>
      <c r="C1167" s="2" t="s">
        <v>784</v>
      </c>
      <c r="D1167" s="2" t="s">
        <v>1406</v>
      </c>
      <c r="E1167" s="2" t="s">
        <v>30</v>
      </c>
      <c r="F1167" s="9">
        <f t="shared" si="73"/>
        <v>0</v>
      </c>
      <c r="G1167" s="9">
        <f t="shared" si="74"/>
        <v>17</v>
      </c>
      <c r="H1167" s="9">
        <f t="shared" si="75"/>
        <v>0</v>
      </c>
      <c r="I1167" s="10">
        <f t="shared" si="76"/>
        <v>17</v>
      </c>
    </row>
    <row r="1168" spans="1:9" x14ac:dyDescent="0.25">
      <c r="A1168" s="2" t="s">
        <v>2707</v>
      </c>
      <c r="B1168" s="2" t="s">
        <v>2708</v>
      </c>
      <c r="C1168" s="2" t="s">
        <v>784</v>
      </c>
      <c r="D1168" s="2" t="s">
        <v>1406</v>
      </c>
      <c r="E1168" s="2" t="s">
        <v>30</v>
      </c>
      <c r="F1168" s="9">
        <f t="shared" si="73"/>
        <v>0</v>
      </c>
      <c r="G1168" s="9">
        <f t="shared" si="74"/>
        <v>2</v>
      </c>
      <c r="H1168" s="9">
        <f t="shared" si="75"/>
        <v>0</v>
      </c>
      <c r="I1168" s="10">
        <f t="shared" si="76"/>
        <v>2</v>
      </c>
    </row>
    <row r="1169" spans="1:9" x14ac:dyDescent="0.25">
      <c r="A1169" s="2" t="s">
        <v>2709</v>
      </c>
      <c r="B1169" s="2" t="s">
        <v>2710</v>
      </c>
      <c r="C1169" s="2" t="s">
        <v>784</v>
      </c>
      <c r="D1169" s="2" t="s">
        <v>1406</v>
      </c>
      <c r="E1169" s="2" t="s">
        <v>30</v>
      </c>
      <c r="F1169" s="9">
        <f t="shared" si="73"/>
        <v>0</v>
      </c>
      <c r="G1169" s="9">
        <f t="shared" si="74"/>
        <v>1</v>
      </c>
      <c r="H1169" s="9">
        <f t="shared" si="75"/>
        <v>0</v>
      </c>
      <c r="I1169" s="10">
        <f t="shared" si="76"/>
        <v>1</v>
      </c>
    </row>
    <row r="1170" spans="1:9" x14ac:dyDescent="0.25">
      <c r="A1170" s="2" t="s">
        <v>2711</v>
      </c>
      <c r="B1170" s="2" t="s">
        <v>2712</v>
      </c>
      <c r="C1170" s="2" t="s">
        <v>784</v>
      </c>
      <c r="D1170" s="2" t="s">
        <v>1406</v>
      </c>
      <c r="E1170" s="2" t="s">
        <v>30</v>
      </c>
      <c r="F1170" s="9">
        <f t="shared" si="73"/>
        <v>0</v>
      </c>
      <c r="G1170" s="9">
        <f t="shared" si="74"/>
        <v>7</v>
      </c>
      <c r="H1170" s="9">
        <f t="shared" si="75"/>
        <v>0</v>
      </c>
      <c r="I1170" s="10">
        <f t="shared" si="76"/>
        <v>7</v>
      </c>
    </row>
    <row r="1171" spans="1:9" x14ac:dyDescent="0.25">
      <c r="A1171" s="2" t="s">
        <v>2713</v>
      </c>
      <c r="B1171" s="2" t="s">
        <v>2714</v>
      </c>
      <c r="C1171" s="2" t="s">
        <v>784</v>
      </c>
      <c r="D1171" s="2" t="s">
        <v>1406</v>
      </c>
      <c r="E1171" s="2" t="s">
        <v>30</v>
      </c>
      <c r="F1171" s="9">
        <f t="shared" si="73"/>
        <v>0</v>
      </c>
      <c r="G1171" s="9">
        <f t="shared" si="74"/>
        <v>1</v>
      </c>
      <c r="H1171" s="9">
        <f t="shared" si="75"/>
        <v>0</v>
      </c>
      <c r="I1171" s="10">
        <f t="shared" si="76"/>
        <v>1</v>
      </c>
    </row>
    <row r="1172" spans="1:9" x14ac:dyDescent="0.25">
      <c r="A1172" s="2" t="s">
        <v>2715</v>
      </c>
      <c r="B1172" s="2" t="s">
        <v>2716</v>
      </c>
      <c r="C1172" s="2" t="s">
        <v>784</v>
      </c>
      <c r="D1172" s="2" t="s">
        <v>1406</v>
      </c>
      <c r="E1172" s="2" t="s">
        <v>30</v>
      </c>
      <c r="F1172" s="9">
        <f t="shared" si="73"/>
        <v>0</v>
      </c>
      <c r="G1172" s="9">
        <f t="shared" si="74"/>
        <v>4</v>
      </c>
      <c r="H1172" s="9">
        <f t="shared" si="75"/>
        <v>0</v>
      </c>
      <c r="I1172" s="10">
        <f t="shared" si="76"/>
        <v>4</v>
      </c>
    </row>
    <row r="1173" spans="1:9" x14ac:dyDescent="0.25">
      <c r="A1173" s="2" t="s">
        <v>2717</v>
      </c>
      <c r="B1173" s="2" t="s">
        <v>2718</v>
      </c>
      <c r="C1173" s="2" t="s">
        <v>784</v>
      </c>
      <c r="D1173" s="2" t="s">
        <v>1406</v>
      </c>
      <c r="E1173" s="2" t="s">
        <v>30</v>
      </c>
      <c r="F1173" s="9">
        <f t="shared" si="73"/>
        <v>0</v>
      </c>
      <c r="G1173" s="9">
        <f t="shared" si="74"/>
        <v>0</v>
      </c>
      <c r="H1173" s="9">
        <f t="shared" si="75"/>
        <v>0</v>
      </c>
      <c r="I1173" s="10">
        <f t="shared" si="76"/>
        <v>0</v>
      </c>
    </row>
    <row r="1174" spans="1:9" x14ac:dyDescent="0.25">
      <c r="A1174" s="2" t="s">
        <v>2719</v>
      </c>
      <c r="B1174" s="2" t="s">
        <v>2720</v>
      </c>
      <c r="C1174" s="2" t="s">
        <v>784</v>
      </c>
      <c r="D1174" s="2" t="s">
        <v>1406</v>
      </c>
      <c r="E1174" s="2" t="s">
        <v>30</v>
      </c>
      <c r="F1174" s="9">
        <f t="shared" si="73"/>
        <v>0</v>
      </c>
      <c r="G1174" s="9">
        <f t="shared" si="74"/>
        <v>2</v>
      </c>
      <c r="H1174" s="9">
        <f t="shared" si="75"/>
        <v>0</v>
      </c>
      <c r="I1174" s="10">
        <f t="shared" si="76"/>
        <v>2</v>
      </c>
    </row>
    <row r="1175" spans="1:9" x14ac:dyDescent="0.25">
      <c r="A1175" s="2" t="s">
        <v>2721</v>
      </c>
      <c r="B1175" s="2" t="s">
        <v>2722</v>
      </c>
      <c r="C1175" s="2" t="s">
        <v>784</v>
      </c>
      <c r="D1175" s="2" t="s">
        <v>1406</v>
      </c>
      <c r="E1175" s="2" t="s">
        <v>30</v>
      </c>
      <c r="F1175" s="9">
        <f t="shared" si="73"/>
        <v>0</v>
      </c>
      <c r="G1175" s="9">
        <f t="shared" si="74"/>
        <v>3</v>
      </c>
      <c r="H1175" s="9">
        <f t="shared" si="75"/>
        <v>0</v>
      </c>
      <c r="I1175" s="10">
        <f t="shared" si="76"/>
        <v>3</v>
      </c>
    </row>
    <row r="1176" spans="1:9" x14ac:dyDescent="0.25">
      <c r="A1176" s="2" t="s">
        <v>2723</v>
      </c>
      <c r="B1176" s="2" t="s">
        <v>2724</v>
      </c>
      <c r="C1176" s="2" t="s">
        <v>784</v>
      </c>
      <c r="D1176" s="2" t="s">
        <v>1406</v>
      </c>
      <c r="E1176" s="2" t="s">
        <v>30</v>
      </c>
      <c r="F1176" s="9">
        <f t="shared" si="73"/>
        <v>0</v>
      </c>
      <c r="G1176" s="9">
        <f t="shared" si="74"/>
        <v>1</v>
      </c>
      <c r="H1176" s="9">
        <f t="shared" si="75"/>
        <v>0</v>
      </c>
      <c r="I1176" s="10">
        <f t="shared" si="76"/>
        <v>1</v>
      </c>
    </row>
    <row r="1177" spans="1:9" x14ac:dyDescent="0.25">
      <c r="A1177" s="2" t="s">
        <v>2725</v>
      </c>
      <c r="B1177" s="2" t="s">
        <v>2726</v>
      </c>
      <c r="C1177" s="2" t="s">
        <v>784</v>
      </c>
      <c r="D1177" s="2" t="s">
        <v>1406</v>
      </c>
      <c r="E1177" s="2" t="s">
        <v>30</v>
      </c>
      <c r="F1177" s="9">
        <f t="shared" si="73"/>
        <v>0</v>
      </c>
      <c r="G1177" s="9">
        <f t="shared" si="74"/>
        <v>5</v>
      </c>
      <c r="H1177" s="9">
        <f t="shared" si="75"/>
        <v>0</v>
      </c>
      <c r="I1177" s="10">
        <f t="shared" si="76"/>
        <v>5</v>
      </c>
    </row>
    <row r="1178" spans="1:9" x14ac:dyDescent="0.25">
      <c r="A1178" s="2" t="s">
        <v>2727</v>
      </c>
      <c r="B1178" s="2" t="s">
        <v>2728</v>
      </c>
      <c r="C1178" s="2" t="s">
        <v>784</v>
      </c>
      <c r="D1178" s="2" t="s">
        <v>1406</v>
      </c>
      <c r="E1178" s="2" t="s">
        <v>30</v>
      </c>
      <c r="F1178" s="9">
        <f t="shared" si="73"/>
        <v>0</v>
      </c>
      <c r="G1178" s="9">
        <f t="shared" si="74"/>
        <v>0</v>
      </c>
      <c r="H1178" s="9">
        <f t="shared" si="75"/>
        <v>0</v>
      </c>
      <c r="I1178" s="10">
        <f t="shared" si="76"/>
        <v>0</v>
      </c>
    </row>
    <row r="1179" spans="1:9" x14ac:dyDescent="0.25">
      <c r="A1179" s="2" t="s">
        <v>2729</v>
      </c>
      <c r="B1179" s="2" t="s">
        <v>2730</v>
      </c>
      <c r="C1179" s="2" t="s">
        <v>784</v>
      </c>
      <c r="D1179" s="2" t="s">
        <v>1406</v>
      </c>
      <c r="E1179" s="2" t="s">
        <v>30</v>
      </c>
      <c r="F1179" s="9">
        <f t="shared" si="73"/>
        <v>0</v>
      </c>
      <c r="G1179" s="9">
        <f t="shared" si="74"/>
        <v>1</v>
      </c>
      <c r="H1179" s="9">
        <f t="shared" si="75"/>
        <v>0</v>
      </c>
      <c r="I1179" s="10">
        <f t="shared" si="76"/>
        <v>1</v>
      </c>
    </row>
    <row r="1180" spans="1:9" x14ac:dyDescent="0.25">
      <c r="A1180" s="2" t="s">
        <v>2731</v>
      </c>
      <c r="B1180" s="2" t="s">
        <v>2732</v>
      </c>
      <c r="C1180" s="2" t="s">
        <v>784</v>
      </c>
      <c r="D1180" s="2" t="s">
        <v>1406</v>
      </c>
      <c r="E1180" s="2" t="s">
        <v>30</v>
      </c>
      <c r="F1180" s="9">
        <f t="shared" si="73"/>
        <v>0</v>
      </c>
      <c r="G1180" s="9">
        <f t="shared" si="74"/>
        <v>2</v>
      </c>
      <c r="H1180" s="9">
        <f t="shared" si="75"/>
        <v>0</v>
      </c>
      <c r="I1180" s="10">
        <f t="shared" si="76"/>
        <v>2</v>
      </c>
    </row>
    <row r="1181" spans="1:9" x14ac:dyDescent="0.25">
      <c r="A1181" s="2" t="s">
        <v>2733</v>
      </c>
      <c r="B1181" s="2" t="s">
        <v>2734</v>
      </c>
      <c r="C1181" s="2" t="s">
        <v>784</v>
      </c>
      <c r="D1181" s="2" t="s">
        <v>1406</v>
      </c>
      <c r="E1181" s="2" t="s">
        <v>30</v>
      </c>
      <c r="F1181" s="9">
        <f t="shared" si="73"/>
        <v>0</v>
      </c>
      <c r="G1181" s="9">
        <f t="shared" si="74"/>
        <v>2</v>
      </c>
      <c r="H1181" s="9">
        <f t="shared" si="75"/>
        <v>0</v>
      </c>
      <c r="I1181" s="10">
        <f t="shared" si="76"/>
        <v>2</v>
      </c>
    </row>
    <row r="1182" spans="1:9" x14ac:dyDescent="0.25">
      <c r="A1182" s="2" t="s">
        <v>2735</v>
      </c>
      <c r="B1182" s="2" t="s">
        <v>2736</v>
      </c>
      <c r="C1182" s="2" t="s">
        <v>784</v>
      </c>
      <c r="D1182" s="2" t="s">
        <v>1406</v>
      </c>
      <c r="E1182" s="2" t="s">
        <v>30</v>
      </c>
      <c r="F1182" s="9">
        <f t="shared" si="73"/>
        <v>0</v>
      </c>
      <c r="G1182" s="9">
        <f t="shared" si="74"/>
        <v>2</v>
      </c>
      <c r="H1182" s="9">
        <f t="shared" si="75"/>
        <v>0</v>
      </c>
      <c r="I1182" s="10">
        <f t="shared" si="76"/>
        <v>2</v>
      </c>
    </row>
    <row r="1183" spans="1:9" x14ac:dyDescent="0.25">
      <c r="A1183" s="2" t="s">
        <v>2737</v>
      </c>
      <c r="B1183" s="2" t="s">
        <v>2738</v>
      </c>
      <c r="C1183" s="2" t="s">
        <v>784</v>
      </c>
      <c r="D1183" s="2" t="s">
        <v>1406</v>
      </c>
      <c r="E1183" s="2" t="s">
        <v>30</v>
      </c>
      <c r="F1183" s="9">
        <f t="shared" si="73"/>
        <v>0</v>
      </c>
      <c r="G1183" s="9">
        <f t="shared" si="74"/>
        <v>1</v>
      </c>
      <c r="H1183" s="9">
        <f t="shared" si="75"/>
        <v>0</v>
      </c>
      <c r="I1183" s="10">
        <f t="shared" si="76"/>
        <v>1</v>
      </c>
    </row>
    <row r="1184" spans="1:9" x14ac:dyDescent="0.25">
      <c r="A1184" s="2" t="s">
        <v>788</v>
      </c>
      <c r="B1184" s="2" t="s">
        <v>787</v>
      </c>
      <c r="C1184" s="2" t="s">
        <v>784</v>
      </c>
      <c r="D1184" s="2" t="s">
        <v>1406</v>
      </c>
      <c r="E1184" s="2" t="s">
        <v>30</v>
      </c>
      <c r="F1184" s="9">
        <f t="shared" si="73"/>
        <v>0</v>
      </c>
      <c r="G1184" s="9">
        <f t="shared" si="74"/>
        <v>0</v>
      </c>
      <c r="H1184" s="9">
        <f t="shared" si="75"/>
        <v>0</v>
      </c>
      <c r="I1184" s="10">
        <f t="shared" si="76"/>
        <v>0</v>
      </c>
    </row>
    <row r="1185" spans="1:9" x14ac:dyDescent="0.25">
      <c r="A1185" s="2" t="s">
        <v>2739</v>
      </c>
      <c r="B1185" s="2" t="s">
        <v>2740</v>
      </c>
      <c r="C1185" s="2" t="s">
        <v>784</v>
      </c>
      <c r="D1185" s="2" t="s">
        <v>1406</v>
      </c>
      <c r="E1185" s="2" t="s">
        <v>30</v>
      </c>
      <c r="F1185" s="9">
        <f t="shared" si="73"/>
        <v>0</v>
      </c>
      <c r="G1185" s="9">
        <f t="shared" si="74"/>
        <v>38</v>
      </c>
      <c r="H1185" s="9">
        <f t="shared" si="75"/>
        <v>0</v>
      </c>
      <c r="I1185" s="10">
        <f t="shared" si="76"/>
        <v>38</v>
      </c>
    </row>
    <row r="1186" spans="1:9" x14ac:dyDescent="0.25">
      <c r="A1186" s="2" t="s">
        <v>2741</v>
      </c>
      <c r="B1186" s="2" t="s">
        <v>2742</v>
      </c>
      <c r="C1186" s="2" t="s">
        <v>784</v>
      </c>
      <c r="D1186" s="2" t="s">
        <v>1406</v>
      </c>
      <c r="E1186" s="2" t="s">
        <v>30</v>
      </c>
      <c r="F1186" s="9">
        <f t="shared" si="73"/>
        <v>0</v>
      </c>
      <c r="G1186" s="9">
        <f t="shared" si="74"/>
        <v>3</v>
      </c>
      <c r="H1186" s="9">
        <f t="shared" si="75"/>
        <v>0</v>
      </c>
      <c r="I1186" s="10">
        <f t="shared" si="76"/>
        <v>3</v>
      </c>
    </row>
    <row r="1187" spans="1:9" x14ac:dyDescent="0.25">
      <c r="A1187" s="2" t="s">
        <v>2743</v>
      </c>
      <c r="B1187" s="2" t="s">
        <v>2744</v>
      </c>
      <c r="C1187" s="2" t="s">
        <v>784</v>
      </c>
      <c r="D1187" s="2" t="s">
        <v>1406</v>
      </c>
      <c r="E1187" s="2" t="s">
        <v>30</v>
      </c>
      <c r="F1187" s="9">
        <f t="shared" si="73"/>
        <v>0</v>
      </c>
      <c r="G1187" s="9">
        <f t="shared" si="74"/>
        <v>2</v>
      </c>
      <c r="H1187" s="9">
        <f t="shared" si="75"/>
        <v>0</v>
      </c>
      <c r="I1187" s="10">
        <f t="shared" si="76"/>
        <v>2</v>
      </c>
    </row>
    <row r="1188" spans="1:9" x14ac:dyDescent="0.25">
      <c r="A1188" s="2" t="s">
        <v>2745</v>
      </c>
      <c r="B1188" s="2" t="s">
        <v>2746</v>
      </c>
      <c r="C1188" s="2" t="s">
        <v>784</v>
      </c>
      <c r="D1188" s="2" t="s">
        <v>1406</v>
      </c>
      <c r="E1188" s="2" t="s">
        <v>30</v>
      </c>
      <c r="F1188" s="9">
        <f t="shared" si="73"/>
        <v>0</v>
      </c>
      <c r="G1188" s="9">
        <f t="shared" si="74"/>
        <v>2</v>
      </c>
      <c r="H1188" s="9">
        <f t="shared" si="75"/>
        <v>0</v>
      </c>
      <c r="I1188" s="10">
        <f t="shared" si="76"/>
        <v>2</v>
      </c>
    </row>
    <row r="1189" spans="1:9" x14ac:dyDescent="0.25">
      <c r="A1189" s="2" t="s">
        <v>2747</v>
      </c>
      <c r="B1189" s="2" t="s">
        <v>2748</v>
      </c>
      <c r="C1189" s="2" t="s">
        <v>784</v>
      </c>
      <c r="D1189" s="2" t="s">
        <v>1406</v>
      </c>
      <c r="E1189" s="2" t="s">
        <v>30</v>
      </c>
      <c r="F1189" s="9">
        <f t="shared" si="73"/>
        <v>0</v>
      </c>
      <c r="G1189" s="9">
        <f t="shared" si="74"/>
        <v>2</v>
      </c>
      <c r="H1189" s="9">
        <f t="shared" si="75"/>
        <v>0</v>
      </c>
      <c r="I1189" s="10">
        <f t="shared" si="76"/>
        <v>2</v>
      </c>
    </row>
    <row r="1190" spans="1:9" x14ac:dyDescent="0.25">
      <c r="A1190" s="2" t="s">
        <v>2749</v>
      </c>
      <c r="B1190" s="2" t="s">
        <v>2750</v>
      </c>
      <c r="C1190" s="2" t="s">
        <v>784</v>
      </c>
      <c r="D1190" s="2" t="s">
        <v>1406</v>
      </c>
      <c r="E1190" s="2" t="s">
        <v>30</v>
      </c>
      <c r="F1190" s="9">
        <f t="shared" si="73"/>
        <v>0</v>
      </c>
      <c r="G1190" s="9">
        <f t="shared" si="74"/>
        <v>8</v>
      </c>
      <c r="H1190" s="9">
        <f t="shared" si="75"/>
        <v>0</v>
      </c>
      <c r="I1190" s="10">
        <f t="shared" si="76"/>
        <v>8</v>
      </c>
    </row>
    <row r="1191" spans="1:9" x14ac:dyDescent="0.25">
      <c r="A1191" s="2" t="s">
        <v>2751</v>
      </c>
      <c r="B1191" s="2" t="s">
        <v>2752</v>
      </c>
      <c r="C1191" s="2" t="s">
        <v>784</v>
      </c>
      <c r="D1191" s="2" t="s">
        <v>1406</v>
      </c>
      <c r="E1191" s="2" t="s">
        <v>30</v>
      </c>
      <c r="F1191" s="9">
        <f t="shared" si="73"/>
        <v>0</v>
      </c>
      <c r="G1191" s="9">
        <f t="shared" si="74"/>
        <v>2</v>
      </c>
      <c r="H1191" s="9">
        <f t="shared" si="75"/>
        <v>0</v>
      </c>
      <c r="I1191" s="10">
        <f t="shared" si="76"/>
        <v>2</v>
      </c>
    </row>
    <row r="1192" spans="1:9" x14ac:dyDescent="0.25">
      <c r="A1192" s="2" t="s">
        <v>2753</v>
      </c>
      <c r="B1192" s="2" t="s">
        <v>2754</v>
      </c>
      <c r="C1192" s="2" t="s">
        <v>784</v>
      </c>
      <c r="D1192" s="2" t="s">
        <v>1406</v>
      </c>
      <c r="E1192" s="2" t="s">
        <v>30</v>
      </c>
      <c r="F1192" s="9">
        <f t="shared" si="73"/>
        <v>0</v>
      </c>
      <c r="G1192" s="9">
        <f t="shared" si="74"/>
        <v>2</v>
      </c>
      <c r="H1192" s="9">
        <f t="shared" si="75"/>
        <v>0</v>
      </c>
      <c r="I1192" s="10">
        <f t="shared" si="76"/>
        <v>2</v>
      </c>
    </row>
    <row r="1193" spans="1:9" x14ac:dyDescent="0.25">
      <c r="A1193" s="2" t="s">
        <v>2755</v>
      </c>
      <c r="B1193" s="2" t="s">
        <v>2756</v>
      </c>
      <c r="C1193" s="2" t="s">
        <v>784</v>
      </c>
      <c r="D1193" s="2" t="s">
        <v>1406</v>
      </c>
      <c r="E1193" s="2" t="s">
        <v>30</v>
      </c>
      <c r="F1193" s="9">
        <f t="shared" si="73"/>
        <v>0</v>
      </c>
      <c r="G1193" s="9">
        <f t="shared" si="74"/>
        <v>2</v>
      </c>
      <c r="H1193" s="9">
        <f t="shared" si="75"/>
        <v>0</v>
      </c>
      <c r="I1193" s="10">
        <f t="shared" si="76"/>
        <v>2</v>
      </c>
    </row>
    <row r="1194" spans="1:9" x14ac:dyDescent="0.25">
      <c r="A1194" s="2" t="s">
        <v>2757</v>
      </c>
      <c r="B1194" s="2" t="s">
        <v>2758</v>
      </c>
      <c r="C1194" s="2" t="s">
        <v>784</v>
      </c>
      <c r="D1194" s="2" t="s">
        <v>1406</v>
      </c>
      <c r="E1194" s="2" t="s">
        <v>30</v>
      </c>
      <c r="F1194" s="9">
        <f t="shared" si="73"/>
        <v>0</v>
      </c>
      <c r="G1194" s="9">
        <f t="shared" si="74"/>
        <v>2</v>
      </c>
      <c r="H1194" s="9">
        <f t="shared" si="75"/>
        <v>0</v>
      </c>
      <c r="I1194" s="10">
        <f t="shared" si="76"/>
        <v>2</v>
      </c>
    </row>
    <row r="1195" spans="1:9" x14ac:dyDescent="0.25">
      <c r="A1195" s="2" t="s">
        <v>2759</v>
      </c>
      <c r="B1195" s="2" t="s">
        <v>2760</v>
      </c>
      <c r="C1195" s="2" t="s">
        <v>784</v>
      </c>
      <c r="D1195" s="2" t="s">
        <v>1406</v>
      </c>
      <c r="E1195" s="2" t="s">
        <v>30</v>
      </c>
      <c r="F1195" s="9">
        <f t="shared" si="73"/>
        <v>0</v>
      </c>
      <c r="G1195" s="9">
        <f t="shared" si="74"/>
        <v>2</v>
      </c>
      <c r="H1195" s="9">
        <f t="shared" si="75"/>
        <v>0</v>
      </c>
      <c r="I1195" s="10">
        <f t="shared" si="76"/>
        <v>2</v>
      </c>
    </row>
    <row r="1196" spans="1:9" x14ac:dyDescent="0.25">
      <c r="A1196" s="2" t="s">
        <v>2761</v>
      </c>
      <c r="B1196" s="2" t="s">
        <v>2762</v>
      </c>
      <c r="C1196" s="2" t="s">
        <v>784</v>
      </c>
      <c r="D1196" s="2" t="s">
        <v>1406</v>
      </c>
      <c r="E1196" s="2" t="s">
        <v>30</v>
      </c>
      <c r="F1196" s="9">
        <f t="shared" si="73"/>
        <v>0</v>
      </c>
      <c r="G1196" s="9">
        <f t="shared" si="74"/>
        <v>2</v>
      </c>
      <c r="H1196" s="9">
        <f t="shared" si="75"/>
        <v>0</v>
      </c>
      <c r="I1196" s="10">
        <f t="shared" si="76"/>
        <v>2</v>
      </c>
    </row>
    <row r="1197" spans="1:9" x14ac:dyDescent="0.25">
      <c r="A1197" s="2" t="s">
        <v>2763</v>
      </c>
      <c r="B1197" s="2" t="s">
        <v>2764</v>
      </c>
      <c r="C1197" s="2" t="s">
        <v>784</v>
      </c>
      <c r="D1197" s="2" t="s">
        <v>1406</v>
      </c>
      <c r="E1197" s="2" t="s">
        <v>30</v>
      </c>
      <c r="F1197" s="9">
        <f t="shared" si="73"/>
        <v>0</v>
      </c>
      <c r="G1197" s="9">
        <f t="shared" si="74"/>
        <v>2</v>
      </c>
      <c r="H1197" s="9">
        <f t="shared" si="75"/>
        <v>0</v>
      </c>
      <c r="I1197" s="10">
        <f t="shared" si="76"/>
        <v>2</v>
      </c>
    </row>
    <row r="1198" spans="1:9" x14ac:dyDescent="0.25">
      <c r="A1198" s="2" t="s">
        <v>2765</v>
      </c>
      <c r="B1198" s="2" t="s">
        <v>2766</v>
      </c>
      <c r="C1198" s="2" t="s">
        <v>784</v>
      </c>
      <c r="D1198" s="2" t="s">
        <v>1406</v>
      </c>
      <c r="E1198" s="2" t="s">
        <v>30</v>
      </c>
      <c r="F1198" s="9">
        <f t="shared" si="73"/>
        <v>0</v>
      </c>
      <c r="G1198" s="9">
        <f t="shared" si="74"/>
        <v>3</v>
      </c>
      <c r="H1198" s="9">
        <f t="shared" si="75"/>
        <v>0</v>
      </c>
      <c r="I1198" s="10">
        <f t="shared" si="76"/>
        <v>3</v>
      </c>
    </row>
    <row r="1199" spans="1:9" x14ac:dyDescent="0.25">
      <c r="A1199" s="2" t="s">
        <v>2767</v>
      </c>
      <c r="B1199" s="2" t="s">
        <v>2768</v>
      </c>
      <c r="C1199" s="2" t="s">
        <v>784</v>
      </c>
      <c r="D1199" s="2" t="s">
        <v>1406</v>
      </c>
      <c r="E1199" s="2" t="s">
        <v>30</v>
      </c>
      <c r="F1199" s="9">
        <f t="shared" si="73"/>
        <v>0</v>
      </c>
      <c r="G1199" s="9">
        <f t="shared" si="74"/>
        <v>1</v>
      </c>
      <c r="H1199" s="9">
        <f t="shared" si="75"/>
        <v>0</v>
      </c>
      <c r="I1199" s="10">
        <f t="shared" si="76"/>
        <v>1</v>
      </c>
    </row>
    <row r="1200" spans="1:9" x14ac:dyDescent="0.25">
      <c r="A1200" s="2" t="s">
        <v>2769</v>
      </c>
      <c r="B1200" s="2" t="s">
        <v>2770</v>
      </c>
      <c r="C1200" s="2" t="s">
        <v>784</v>
      </c>
      <c r="D1200" s="2" t="s">
        <v>1406</v>
      </c>
      <c r="E1200" s="2" t="s">
        <v>30</v>
      </c>
      <c r="F1200" s="9">
        <f t="shared" si="73"/>
        <v>0</v>
      </c>
      <c r="G1200" s="9">
        <f t="shared" si="74"/>
        <v>2</v>
      </c>
      <c r="H1200" s="9">
        <f t="shared" si="75"/>
        <v>0</v>
      </c>
      <c r="I1200" s="10">
        <f t="shared" si="76"/>
        <v>2</v>
      </c>
    </row>
    <row r="1201" spans="1:9" x14ac:dyDescent="0.25">
      <c r="A1201" s="2" t="s">
        <v>2771</v>
      </c>
      <c r="B1201" s="2" t="s">
        <v>2772</v>
      </c>
      <c r="C1201" s="2" t="s">
        <v>784</v>
      </c>
      <c r="D1201" s="2" t="s">
        <v>1406</v>
      </c>
      <c r="E1201" s="2" t="s">
        <v>30</v>
      </c>
      <c r="F1201" s="9">
        <f t="shared" si="73"/>
        <v>0</v>
      </c>
      <c r="G1201" s="9">
        <f t="shared" si="74"/>
        <v>2</v>
      </c>
      <c r="H1201" s="9">
        <f t="shared" si="75"/>
        <v>0</v>
      </c>
      <c r="I1201" s="10">
        <f t="shared" si="76"/>
        <v>2</v>
      </c>
    </row>
    <row r="1202" spans="1:9" x14ac:dyDescent="0.25">
      <c r="A1202" s="2" t="s">
        <v>790</v>
      </c>
      <c r="B1202" s="2" t="s">
        <v>789</v>
      </c>
      <c r="C1202" s="2" t="s">
        <v>791</v>
      </c>
      <c r="D1202" s="2" t="s">
        <v>1406</v>
      </c>
      <c r="E1202" s="2" t="s">
        <v>30</v>
      </c>
      <c r="F1202" s="9">
        <f t="shared" si="73"/>
        <v>0</v>
      </c>
      <c r="G1202" s="9">
        <f t="shared" si="74"/>
        <v>0</v>
      </c>
      <c r="H1202" s="9">
        <f t="shared" si="75"/>
        <v>0</v>
      </c>
      <c r="I1202" s="10">
        <f t="shared" si="76"/>
        <v>0</v>
      </c>
    </row>
    <row r="1203" spans="1:9" x14ac:dyDescent="0.25">
      <c r="A1203" s="2" t="s">
        <v>2773</v>
      </c>
      <c r="B1203" s="2" t="s">
        <v>2774</v>
      </c>
      <c r="C1203" s="2" t="s">
        <v>791</v>
      </c>
      <c r="D1203" s="2" t="s">
        <v>1406</v>
      </c>
      <c r="E1203" s="2" t="s">
        <v>30</v>
      </c>
      <c r="F1203" s="9">
        <f t="shared" si="73"/>
        <v>0</v>
      </c>
      <c r="G1203" s="9">
        <f t="shared" si="74"/>
        <v>11</v>
      </c>
      <c r="H1203" s="9">
        <f t="shared" si="75"/>
        <v>0</v>
      </c>
      <c r="I1203" s="10">
        <f t="shared" si="76"/>
        <v>11</v>
      </c>
    </row>
    <row r="1204" spans="1:9" x14ac:dyDescent="0.25">
      <c r="A1204" s="2" t="s">
        <v>793</v>
      </c>
      <c r="B1204" s="2" t="s">
        <v>792</v>
      </c>
      <c r="C1204" s="2" t="s">
        <v>791</v>
      </c>
      <c r="D1204" s="2" t="s">
        <v>1406</v>
      </c>
      <c r="E1204" s="2" t="s">
        <v>30</v>
      </c>
      <c r="F1204" s="9">
        <f t="shared" si="73"/>
        <v>0</v>
      </c>
      <c r="G1204" s="9">
        <f t="shared" si="74"/>
        <v>40</v>
      </c>
      <c r="H1204" s="9">
        <f t="shared" si="75"/>
        <v>0</v>
      </c>
      <c r="I1204" s="10">
        <f t="shared" si="76"/>
        <v>40</v>
      </c>
    </row>
    <row r="1205" spans="1:9" x14ac:dyDescent="0.25">
      <c r="A1205" s="2" t="s">
        <v>2775</v>
      </c>
      <c r="B1205" s="2" t="s">
        <v>2776</v>
      </c>
      <c r="C1205" s="2" t="s">
        <v>791</v>
      </c>
      <c r="D1205" s="2" t="s">
        <v>1406</v>
      </c>
      <c r="E1205" s="2" t="s">
        <v>30</v>
      </c>
      <c r="F1205" s="9">
        <f t="shared" si="73"/>
        <v>0</v>
      </c>
      <c r="G1205" s="9">
        <f t="shared" si="74"/>
        <v>30</v>
      </c>
      <c r="H1205" s="9">
        <f t="shared" si="75"/>
        <v>0</v>
      </c>
      <c r="I1205" s="10">
        <f t="shared" si="76"/>
        <v>30</v>
      </c>
    </row>
    <row r="1206" spans="1:9" x14ac:dyDescent="0.25">
      <c r="A1206" s="2" t="s">
        <v>795</v>
      </c>
      <c r="B1206" s="2" t="s">
        <v>794</v>
      </c>
      <c r="C1206" s="2" t="s">
        <v>791</v>
      </c>
      <c r="D1206" s="2" t="s">
        <v>1406</v>
      </c>
      <c r="E1206" s="2" t="s">
        <v>30</v>
      </c>
      <c r="F1206" s="9">
        <f t="shared" si="73"/>
        <v>0</v>
      </c>
      <c r="G1206" s="9">
        <f t="shared" si="74"/>
        <v>0</v>
      </c>
      <c r="H1206" s="9">
        <f t="shared" si="75"/>
        <v>0</v>
      </c>
      <c r="I1206" s="10">
        <f t="shared" si="76"/>
        <v>0</v>
      </c>
    </row>
    <row r="1207" spans="1:9" x14ac:dyDescent="0.25">
      <c r="A1207" s="2" t="s">
        <v>2777</v>
      </c>
      <c r="B1207" s="2" t="s">
        <v>2778</v>
      </c>
      <c r="C1207" s="2" t="s">
        <v>791</v>
      </c>
      <c r="D1207" s="2" t="s">
        <v>1406</v>
      </c>
      <c r="E1207" s="2" t="s">
        <v>30</v>
      </c>
      <c r="F1207" s="9">
        <f t="shared" si="73"/>
        <v>0</v>
      </c>
      <c r="G1207" s="9">
        <f t="shared" si="74"/>
        <v>15</v>
      </c>
      <c r="H1207" s="9">
        <f t="shared" si="75"/>
        <v>0</v>
      </c>
      <c r="I1207" s="10">
        <f t="shared" si="76"/>
        <v>15</v>
      </c>
    </row>
    <row r="1208" spans="1:9" x14ac:dyDescent="0.25">
      <c r="A1208" s="2" t="s">
        <v>797</v>
      </c>
      <c r="B1208" s="2" t="s">
        <v>796</v>
      </c>
      <c r="C1208" s="2" t="s">
        <v>791</v>
      </c>
      <c r="D1208" s="2" t="s">
        <v>1406</v>
      </c>
      <c r="E1208" s="2" t="s">
        <v>30</v>
      </c>
      <c r="F1208" s="9">
        <f t="shared" si="73"/>
        <v>0</v>
      </c>
      <c r="G1208" s="9">
        <f t="shared" si="74"/>
        <v>0</v>
      </c>
      <c r="H1208" s="9">
        <f t="shared" si="75"/>
        <v>30</v>
      </c>
      <c r="I1208" s="10">
        <f t="shared" si="76"/>
        <v>30</v>
      </c>
    </row>
    <row r="1209" spans="1:9" x14ac:dyDescent="0.25">
      <c r="A1209" s="2" t="s">
        <v>801</v>
      </c>
      <c r="B1209" s="2" t="s">
        <v>800</v>
      </c>
      <c r="C1209" s="2" t="s">
        <v>791</v>
      </c>
      <c r="D1209" s="2" t="s">
        <v>1406</v>
      </c>
      <c r="E1209" s="2" t="s">
        <v>30</v>
      </c>
      <c r="F1209" s="9">
        <f t="shared" si="73"/>
        <v>0</v>
      </c>
      <c r="G1209" s="9">
        <f t="shared" si="74"/>
        <v>61</v>
      </c>
      <c r="H1209" s="9">
        <f t="shared" si="75"/>
        <v>0</v>
      </c>
      <c r="I1209" s="10">
        <f t="shared" si="76"/>
        <v>61</v>
      </c>
    </row>
    <row r="1210" spans="1:9" x14ac:dyDescent="0.25">
      <c r="A1210" s="2" t="s">
        <v>805</v>
      </c>
      <c r="B1210" s="2" t="s">
        <v>804</v>
      </c>
      <c r="C1210" s="2" t="s">
        <v>791</v>
      </c>
      <c r="D1210" s="2" t="s">
        <v>1406</v>
      </c>
      <c r="E1210" s="2" t="s">
        <v>30</v>
      </c>
      <c r="F1210" s="9">
        <f t="shared" si="73"/>
        <v>0</v>
      </c>
      <c r="G1210" s="9">
        <f t="shared" si="74"/>
        <v>41</v>
      </c>
      <c r="H1210" s="9">
        <f t="shared" si="75"/>
        <v>0</v>
      </c>
      <c r="I1210" s="10">
        <f t="shared" si="76"/>
        <v>41</v>
      </c>
    </row>
    <row r="1211" spans="1:9" x14ac:dyDescent="0.25">
      <c r="A1211" s="2" t="s">
        <v>807</v>
      </c>
      <c r="B1211" s="2" t="s">
        <v>806</v>
      </c>
      <c r="C1211" s="2" t="s">
        <v>791</v>
      </c>
      <c r="D1211" s="2" t="s">
        <v>1406</v>
      </c>
      <c r="E1211" s="2" t="s">
        <v>30</v>
      </c>
      <c r="F1211" s="9">
        <f t="shared" si="73"/>
        <v>12</v>
      </c>
      <c r="G1211" s="9">
        <f t="shared" si="74"/>
        <v>14</v>
      </c>
      <c r="H1211" s="9">
        <f t="shared" si="75"/>
        <v>0</v>
      </c>
      <c r="I1211" s="10">
        <f t="shared" si="76"/>
        <v>26</v>
      </c>
    </row>
    <row r="1212" spans="1:9" x14ac:dyDescent="0.25">
      <c r="A1212" s="2" t="s">
        <v>809</v>
      </c>
      <c r="B1212" s="2" t="s">
        <v>808</v>
      </c>
      <c r="C1212" s="2" t="s">
        <v>791</v>
      </c>
      <c r="D1212" s="2" t="s">
        <v>1406</v>
      </c>
      <c r="E1212" s="2" t="s">
        <v>30</v>
      </c>
      <c r="F1212" s="9">
        <f t="shared" si="73"/>
        <v>0</v>
      </c>
      <c r="G1212" s="9">
        <f t="shared" si="74"/>
        <v>2</v>
      </c>
      <c r="H1212" s="9">
        <f t="shared" si="75"/>
        <v>0</v>
      </c>
      <c r="I1212" s="10">
        <f t="shared" si="76"/>
        <v>2</v>
      </c>
    </row>
    <row r="1213" spans="1:9" x14ac:dyDescent="0.25">
      <c r="A1213" s="2" t="s">
        <v>811</v>
      </c>
      <c r="B1213" s="2" t="s">
        <v>810</v>
      </c>
      <c r="C1213" s="2" t="s">
        <v>791</v>
      </c>
      <c r="D1213" s="2" t="s">
        <v>1406</v>
      </c>
      <c r="E1213" s="2" t="s">
        <v>30</v>
      </c>
      <c r="F1213" s="9">
        <f t="shared" si="73"/>
        <v>0</v>
      </c>
      <c r="G1213" s="9">
        <f t="shared" si="74"/>
        <v>16</v>
      </c>
      <c r="H1213" s="9">
        <f t="shared" si="75"/>
        <v>0</v>
      </c>
      <c r="I1213" s="10">
        <f t="shared" si="76"/>
        <v>16</v>
      </c>
    </row>
    <row r="1214" spans="1:9" x14ac:dyDescent="0.25">
      <c r="A1214" s="2" t="s">
        <v>2779</v>
      </c>
      <c r="B1214" s="2" t="s">
        <v>2780</v>
      </c>
      <c r="C1214" s="2" t="s">
        <v>791</v>
      </c>
      <c r="D1214" s="2" t="s">
        <v>1406</v>
      </c>
      <c r="E1214" s="2" t="s">
        <v>30</v>
      </c>
      <c r="F1214" s="9">
        <f t="shared" si="73"/>
        <v>0</v>
      </c>
      <c r="G1214" s="9">
        <f t="shared" si="74"/>
        <v>10</v>
      </c>
      <c r="H1214" s="9">
        <f t="shared" si="75"/>
        <v>0</v>
      </c>
      <c r="I1214" s="10">
        <f t="shared" si="76"/>
        <v>10</v>
      </c>
    </row>
    <row r="1215" spans="1:9" x14ac:dyDescent="0.25">
      <c r="A1215" s="2" t="s">
        <v>2781</v>
      </c>
      <c r="B1215" s="2" t="s">
        <v>2782</v>
      </c>
      <c r="C1215" s="2" t="s">
        <v>791</v>
      </c>
      <c r="D1215" s="2" t="s">
        <v>1406</v>
      </c>
      <c r="E1215" s="2" t="s">
        <v>30</v>
      </c>
      <c r="F1215" s="9">
        <f t="shared" ref="F1215:F1278" si="77">IFERROR(VLOOKUP(A1215,condi,8,0),0)</f>
        <v>0</v>
      </c>
      <c r="G1215" s="9">
        <f t="shared" ref="G1215:G1278" si="78">IFERROR(VLOOKUP(A1215,maqui,8,0),0)</f>
        <v>50</v>
      </c>
      <c r="H1215" s="9">
        <f t="shared" ref="H1215:H1278" si="79">IFERROR(VLOOKUP(A1215,ascint,8,0),0)</f>
        <v>0</v>
      </c>
      <c r="I1215" s="10">
        <f t="shared" si="76"/>
        <v>50</v>
      </c>
    </row>
    <row r="1216" spans="1:9" x14ac:dyDescent="0.25">
      <c r="A1216" s="2" t="s">
        <v>813</v>
      </c>
      <c r="B1216" s="2" t="s">
        <v>812</v>
      </c>
      <c r="C1216" s="2" t="s">
        <v>791</v>
      </c>
      <c r="D1216" s="2" t="s">
        <v>1406</v>
      </c>
      <c r="E1216" s="2" t="s">
        <v>30</v>
      </c>
      <c r="F1216" s="9">
        <f t="shared" si="77"/>
        <v>0</v>
      </c>
      <c r="G1216" s="9">
        <f t="shared" si="78"/>
        <v>10</v>
      </c>
      <c r="H1216" s="9">
        <f t="shared" si="79"/>
        <v>0</v>
      </c>
      <c r="I1216" s="10">
        <f t="shared" si="76"/>
        <v>10</v>
      </c>
    </row>
    <row r="1217" spans="1:9" x14ac:dyDescent="0.25">
      <c r="A1217" s="2" t="s">
        <v>817</v>
      </c>
      <c r="B1217" s="2" t="s">
        <v>816</v>
      </c>
      <c r="C1217" s="2" t="s">
        <v>791</v>
      </c>
      <c r="D1217" s="2" t="s">
        <v>1406</v>
      </c>
      <c r="E1217" s="2" t="s">
        <v>30</v>
      </c>
      <c r="F1217" s="9">
        <f t="shared" si="77"/>
        <v>0</v>
      </c>
      <c r="G1217" s="9">
        <f t="shared" si="78"/>
        <v>65</v>
      </c>
      <c r="H1217" s="9">
        <f t="shared" si="79"/>
        <v>0</v>
      </c>
      <c r="I1217" s="10">
        <f t="shared" si="76"/>
        <v>65</v>
      </c>
    </row>
    <row r="1218" spans="1:9" x14ac:dyDescent="0.25">
      <c r="A1218" s="2" t="s">
        <v>821</v>
      </c>
      <c r="B1218" s="2" t="s">
        <v>820</v>
      </c>
      <c r="C1218" s="2" t="s">
        <v>791</v>
      </c>
      <c r="D1218" s="2" t="s">
        <v>1406</v>
      </c>
      <c r="E1218" s="2" t="s">
        <v>30</v>
      </c>
      <c r="F1218" s="9">
        <f t="shared" si="77"/>
        <v>0</v>
      </c>
      <c r="G1218" s="9">
        <f t="shared" si="78"/>
        <v>20</v>
      </c>
      <c r="H1218" s="9">
        <f t="shared" si="79"/>
        <v>0</v>
      </c>
      <c r="I1218" s="10">
        <f t="shared" si="76"/>
        <v>20</v>
      </c>
    </row>
    <row r="1219" spans="1:9" x14ac:dyDescent="0.25">
      <c r="A1219" s="2" t="s">
        <v>2783</v>
      </c>
      <c r="B1219" s="2" t="s">
        <v>2784</v>
      </c>
      <c r="C1219" s="2" t="s">
        <v>791</v>
      </c>
      <c r="D1219" s="2" t="s">
        <v>1406</v>
      </c>
      <c r="E1219" s="2" t="s">
        <v>30</v>
      </c>
      <c r="F1219" s="9">
        <f t="shared" si="77"/>
        <v>0</v>
      </c>
      <c r="G1219" s="9">
        <f t="shared" si="78"/>
        <v>52</v>
      </c>
      <c r="H1219" s="9">
        <f t="shared" si="79"/>
        <v>0</v>
      </c>
      <c r="I1219" s="10">
        <f t="shared" si="76"/>
        <v>52</v>
      </c>
    </row>
    <row r="1220" spans="1:9" x14ac:dyDescent="0.25">
      <c r="A1220" s="2" t="s">
        <v>2785</v>
      </c>
      <c r="B1220" s="2" t="s">
        <v>2786</v>
      </c>
      <c r="C1220" s="2" t="s">
        <v>791</v>
      </c>
      <c r="D1220" s="2" t="s">
        <v>1406</v>
      </c>
      <c r="E1220" s="2" t="s">
        <v>30</v>
      </c>
      <c r="F1220" s="9">
        <f t="shared" si="77"/>
        <v>0</v>
      </c>
      <c r="G1220" s="9">
        <f t="shared" si="78"/>
        <v>30</v>
      </c>
      <c r="H1220" s="9">
        <f t="shared" si="79"/>
        <v>0</v>
      </c>
      <c r="I1220" s="10">
        <f t="shared" si="76"/>
        <v>30</v>
      </c>
    </row>
    <row r="1221" spans="1:9" x14ac:dyDescent="0.25">
      <c r="A1221" s="2" t="s">
        <v>823</v>
      </c>
      <c r="B1221" s="2" t="s">
        <v>822</v>
      </c>
      <c r="C1221" s="2" t="s">
        <v>791</v>
      </c>
      <c r="D1221" s="2" t="s">
        <v>1406</v>
      </c>
      <c r="E1221" s="2" t="s">
        <v>30</v>
      </c>
      <c r="F1221" s="9">
        <f t="shared" si="77"/>
        <v>0</v>
      </c>
      <c r="G1221" s="9">
        <f t="shared" si="78"/>
        <v>0</v>
      </c>
      <c r="H1221" s="9">
        <f t="shared" si="79"/>
        <v>0</v>
      </c>
      <c r="I1221" s="10">
        <f t="shared" ref="I1221:I1284" si="80">+F1221+G1221+H1221</f>
        <v>0</v>
      </c>
    </row>
    <row r="1222" spans="1:9" x14ac:dyDescent="0.25">
      <c r="A1222" s="2" t="s">
        <v>825</v>
      </c>
      <c r="B1222" s="2" t="s">
        <v>824</v>
      </c>
      <c r="C1222" s="2" t="s">
        <v>791</v>
      </c>
      <c r="D1222" s="2" t="s">
        <v>1406</v>
      </c>
      <c r="E1222" s="2" t="s">
        <v>30</v>
      </c>
      <c r="F1222" s="9">
        <f t="shared" si="77"/>
        <v>0</v>
      </c>
      <c r="G1222" s="9">
        <f t="shared" si="78"/>
        <v>0</v>
      </c>
      <c r="H1222" s="9">
        <f t="shared" si="79"/>
        <v>0</v>
      </c>
      <c r="I1222" s="10">
        <f t="shared" si="80"/>
        <v>0</v>
      </c>
    </row>
    <row r="1223" spans="1:9" x14ac:dyDescent="0.25">
      <c r="A1223" s="2" t="s">
        <v>827</v>
      </c>
      <c r="B1223" s="2" t="s">
        <v>826</v>
      </c>
      <c r="C1223" s="2" t="s">
        <v>791</v>
      </c>
      <c r="D1223" s="2" t="s">
        <v>1406</v>
      </c>
      <c r="E1223" s="2" t="s">
        <v>30</v>
      </c>
      <c r="F1223" s="9">
        <f t="shared" si="77"/>
        <v>0</v>
      </c>
      <c r="G1223" s="9">
        <f t="shared" si="78"/>
        <v>7</v>
      </c>
      <c r="H1223" s="9">
        <f t="shared" si="79"/>
        <v>0</v>
      </c>
      <c r="I1223" s="10">
        <f t="shared" si="80"/>
        <v>7</v>
      </c>
    </row>
    <row r="1224" spans="1:9" x14ac:dyDescent="0.25">
      <c r="A1224" s="2" t="s">
        <v>2787</v>
      </c>
      <c r="B1224" s="2" t="s">
        <v>2788</v>
      </c>
      <c r="C1224" s="2" t="s">
        <v>791</v>
      </c>
      <c r="D1224" s="2" t="s">
        <v>1406</v>
      </c>
      <c r="E1224" s="2" t="s">
        <v>30</v>
      </c>
      <c r="F1224" s="9">
        <f t="shared" si="77"/>
        <v>0</v>
      </c>
      <c r="G1224" s="9">
        <f t="shared" si="78"/>
        <v>9</v>
      </c>
      <c r="H1224" s="9">
        <f t="shared" si="79"/>
        <v>0</v>
      </c>
      <c r="I1224" s="10">
        <f t="shared" si="80"/>
        <v>9</v>
      </c>
    </row>
    <row r="1225" spans="1:9" x14ac:dyDescent="0.25">
      <c r="A1225" s="2" t="s">
        <v>829</v>
      </c>
      <c r="B1225" s="2" t="s">
        <v>828</v>
      </c>
      <c r="C1225" s="2" t="s">
        <v>791</v>
      </c>
      <c r="D1225" s="2" t="s">
        <v>1406</v>
      </c>
      <c r="E1225" s="2" t="s">
        <v>30</v>
      </c>
      <c r="F1225" s="9">
        <f t="shared" si="77"/>
        <v>0</v>
      </c>
      <c r="G1225" s="9">
        <f t="shared" si="78"/>
        <v>48</v>
      </c>
      <c r="H1225" s="9">
        <f t="shared" si="79"/>
        <v>0</v>
      </c>
      <c r="I1225" s="10">
        <f t="shared" si="80"/>
        <v>48</v>
      </c>
    </row>
    <row r="1226" spans="1:9" x14ac:dyDescent="0.25">
      <c r="A1226" s="2" t="s">
        <v>2789</v>
      </c>
      <c r="B1226" s="2" t="s">
        <v>2790</v>
      </c>
      <c r="C1226" s="2" t="s">
        <v>791</v>
      </c>
      <c r="D1226" s="2" t="s">
        <v>1406</v>
      </c>
      <c r="E1226" s="2" t="s">
        <v>30</v>
      </c>
      <c r="F1226" s="9">
        <f t="shared" si="77"/>
        <v>0</v>
      </c>
      <c r="G1226" s="9">
        <f t="shared" si="78"/>
        <v>17</v>
      </c>
      <c r="H1226" s="9">
        <f t="shared" si="79"/>
        <v>0</v>
      </c>
      <c r="I1226" s="10">
        <f t="shared" si="80"/>
        <v>17</v>
      </c>
    </row>
    <row r="1227" spans="1:9" x14ac:dyDescent="0.25">
      <c r="A1227" s="2" t="s">
        <v>835</v>
      </c>
      <c r="B1227" s="2" t="s">
        <v>834</v>
      </c>
      <c r="C1227" s="2" t="s">
        <v>791</v>
      </c>
      <c r="D1227" s="2" t="s">
        <v>1406</v>
      </c>
      <c r="E1227" s="2" t="s">
        <v>30</v>
      </c>
      <c r="F1227" s="9">
        <f t="shared" si="77"/>
        <v>0</v>
      </c>
      <c r="G1227" s="9">
        <f t="shared" si="78"/>
        <v>34</v>
      </c>
      <c r="H1227" s="9">
        <f t="shared" si="79"/>
        <v>0</v>
      </c>
      <c r="I1227" s="10">
        <f t="shared" si="80"/>
        <v>34</v>
      </c>
    </row>
    <row r="1228" spans="1:9" x14ac:dyDescent="0.25">
      <c r="A1228" s="2" t="s">
        <v>837</v>
      </c>
      <c r="B1228" s="2" t="s">
        <v>836</v>
      </c>
      <c r="C1228" s="2" t="s">
        <v>791</v>
      </c>
      <c r="D1228" s="2" t="s">
        <v>1406</v>
      </c>
      <c r="E1228" s="2" t="s">
        <v>30</v>
      </c>
      <c r="F1228" s="9">
        <f t="shared" si="77"/>
        <v>0</v>
      </c>
      <c r="G1228" s="9">
        <f t="shared" si="78"/>
        <v>0</v>
      </c>
      <c r="H1228" s="9">
        <f t="shared" si="79"/>
        <v>0</v>
      </c>
      <c r="I1228" s="10">
        <f t="shared" si="80"/>
        <v>0</v>
      </c>
    </row>
    <row r="1229" spans="1:9" x14ac:dyDescent="0.25">
      <c r="A1229" s="2" t="s">
        <v>839</v>
      </c>
      <c r="B1229" s="2" t="s">
        <v>838</v>
      </c>
      <c r="C1229" s="2" t="s">
        <v>791</v>
      </c>
      <c r="D1229" s="2" t="s">
        <v>1406</v>
      </c>
      <c r="E1229" s="2" t="s">
        <v>30</v>
      </c>
      <c r="F1229" s="9">
        <f t="shared" si="77"/>
        <v>0</v>
      </c>
      <c r="G1229" s="9">
        <f t="shared" si="78"/>
        <v>0</v>
      </c>
      <c r="H1229" s="9">
        <f t="shared" si="79"/>
        <v>0</v>
      </c>
      <c r="I1229" s="10">
        <f t="shared" si="80"/>
        <v>0</v>
      </c>
    </row>
    <row r="1230" spans="1:9" x14ac:dyDescent="0.25">
      <c r="A1230" s="2" t="s">
        <v>2791</v>
      </c>
      <c r="B1230" s="2" t="s">
        <v>2792</v>
      </c>
      <c r="C1230" s="2" t="s">
        <v>791</v>
      </c>
      <c r="D1230" s="2" t="s">
        <v>1406</v>
      </c>
      <c r="E1230" s="2" t="s">
        <v>30</v>
      </c>
      <c r="F1230" s="9">
        <f t="shared" si="77"/>
        <v>0</v>
      </c>
      <c r="G1230" s="9">
        <f t="shared" si="78"/>
        <v>10</v>
      </c>
      <c r="H1230" s="9">
        <f t="shared" si="79"/>
        <v>0</v>
      </c>
      <c r="I1230" s="10">
        <f t="shared" si="80"/>
        <v>10</v>
      </c>
    </row>
    <row r="1231" spans="1:9" x14ac:dyDescent="0.25">
      <c r="A1231" s="2" t="s">
        <v>843</v>
      </c>
      <c r="B1231" s="2" t="s">
        <v>842</v>
      </c>
      <c r="C1231" s="2" t="s">
        <v>791</v>
      </c>
      <c r="D1231" s="2" t="s">
        <v>1406</v>
      </c>
      <c r="E1231" s="2" t="s">
        <v>30</v>
      </c>
      <c r="F1231" s="9">
        <f t="shared" si="77"/>
        <v>0</v>
      </c>
      <c r="G1231" s="9">
        <f t="shared" si="78"/>
        <v>8</v>
      </c>
      <c r="H1231" s="9">
        <f t="shared" si="79"/>
        <v>0</v>
      </c>
      <c r="I1231" s="10">
        <f t="shared" si="80"/>
        <v>8</v>
      </c>
    </row>
    <row r="1232" spans="1:9" x14ac:dyDescent="0.25">
      <c r="A1232" s="2" t="s">
        <v>2793</v>
      </c>
      <c r="B1232" s="2" t="s">
        <v>2794</v>
      </c>
      <c r="C1232" s="2" t="s">
        <v>791</v>
      </c>
      <c r="D1232" s="2" t="s">
        <v>1406</v>
      </c>
      <c r="E1232" s="2" t="s">
        <v>30</v>
      </c>
      <c r="F1232" s="9">
        <f t="shared" si="77"/>
        <v>4</v>
      </c>
      <c r="G1232" s="9">
        <f t="shared" si="78"/>
        <v>3</v>
      </c>
      <c r="H1232" s="9">
        <f t="shared" si="79"/>
        <v>0</v>
      </c>
      <c r="I1232" s="10">
        <f t="shared" si="80"/>
        <v>7</v>
      </c>
    </row>
    <row r="1233" spans="1:9" x14ac:dyDescent="0.25">
      <c r="A1233" s="2" t="s">
        <v>845</v>
      </c>
      <c r="B1233" s="2" t="s">
        <v>844</v>
      </c>
      <c r="C1233" s="2" t="s">
        <v>791</v>
      </c>
      <c r="D1233" s="2" t="s">
        <v>1406</v>
      </c>
      <c r="E1233" s="2" t="s">
        <v>30</v>
      </c>
      <c r="F1233" s="9">
        <f t="shared" si="77"/>
        <v>0</v>
      </c>
      <c r="G1233" s="9">
        <f t="shared" si="78"/>
        <v>12</v>
      </c>
      <c r="H1233" s="9">
        <f t="shared" si="79"/>
        <v>0</v>
      </c>
      <c r="I1233" s="10">
        <f t="shared" si="80"/>
        <v>12</v>
      </c>
    </row>
    <row r="1234" spans="1:9" x14ac:dyDescent="0.25">
      <c r="A1234" s="2" t="s">
        <v>847</v>
      </c>
      <c r="B1234" s="2" t="s">
        <v>846</v>
      </c>
      <c r="C1234" s="2" t="s">
        <v>791</v>
      </c>
      <c r="D1234" s="2" t="s">
        <v>1406</v>
      </c>
      <c r="E1234" s="2" t="s">
        <v>30</v>
      </c>
      <c r="F1234" s="9">
        <f t="shared" si="77"/>
        <v>0</v>
      </c>
      <c r="G1234" s="9">
        <f t="shared" si="78"/>
        <v>26</v>
      </c>
      <c r="H1234" s="9">
        <f t="shared" si="79"/>
        <v>20</v>
      </c>
      <c r="I1234" s="10">
        <f t="shared" si="80"/>
        <v>46</v>
      </c>
    </row>
    <row r="1235" spans="1:9" x14ac:dyDescent="0.25">
      <c r="A1235" s="2" t="s">
        <v>849</v>
      </c>
      <c r="B1235" s="2" t="s">
        <v>848</v>
      </c>
      <c r="C1235" s="2" t="s">
        <v>791</v>
      </c>
      <c r="D1235" s="2" t="s">
        <v>1406</v>
      </c>
      <c r="E1235" s="2" t="s">
        <v>30</v>
      </c>
      <c r="F1235" s="9">
        <f t="shared" si="77"/>
        <v>13</v>
      </c>
      <c r="G1235" s="9">
        <f t="shared" si="78"/>
        <v>1</v>
      </c>
      <c r="H1235" s="9">
        <f t="shared" si="79"/>
        <v>0</v>
      </c>
      <c r="I1235" s="10">
        <f t="shared" si="80"/>
        <v>14</v>
      </c>
    </row>
    <row r="1236" spans="1:9" x14ac:dyDescent="0.25">
      <c r="A1236" s="2" t="s">
        <v>851</v>
      </c>
      <c r="B1236" s="2" t="s">
        <v>850</v>
      </c>
      <c r="C1236" s="2" t="s">
        <v>791</v>
      </c>
      <c r="D1236" s="2" t="s">
        <v>1406</v>
      </c>
      <c r="E1236" s="2" t="s">
        <v>30</v>
      </c>
      <c r="F1236" s="9">
        <f t="shared" si="77"/>
        <v>0</v>
      </c>
      <c r="G1236" s="9">
        <f t="shared" si="78"/>
        <v>15</v>
      </c>
      <c r="H1236" s="9">
        <f t="shared" si="79"/>
        <v>0</v>
      </c>
      <c r="I1236" s="10">
        <f t="shared" si="80"/>
        <v>15</v>
      </c>
    </row>
    <row r="1237" spans="1:9" x14ac:dyDescent="0.25">
      <c r="A1237" s="2" t="s">
        <v>859</v>
      </c>
      <c r="B1237" s="2" t="s">
        <v>858</v>
      </c>
      <c r="C1237" s="2" t="s">
        <v>791</v>
      </c>
      <c r="D1237" s="2" t="s">
        <v>1406</v>
      </c>
      <c r="E1237" s="2" t="s">
        <v>30</v>
      </c>
      <c r="F1237" s="9">
        <f t="shared" si="77"/>
        <v>0</v>
      </c>
      <c r="G1237" s="9">
        <f t="shared" si="78"/>
        <v>24</v>
      </c>
      <c r="H1237" s="9">
        <f t="shared" si="79"/>
        <v>0</v>
      </c>
      <c r="I1237" s="10">
        <f t="shared" si="80"/>
        <v>24</v>
      </c>
    </row>
    <row r="1238" spans="1:9" x14ac:dyDescent="0.25">
      <c r="A1238" s="2" t="s">
        <v>861</v>
      </c>
      <c r="B1238" s="2" t="s">
        <v>860</v>
      </c>
      <c r="C1238" s="2" t="s">
        <v>791</v>
      </c>
      <c r="D1238" s="2" t="s">
        <v>1406</v>
      </c>
      <c r="E1238" s="2" t="s">
        <v>30</v>
      </c>
      <c r="F1238" s="9">
        <f t="shared" si="77"/>
        <v>0</v>
      </c>
      <c r="G1238" s="9">
        <f t="shared" si="78"/>
        <v>7</v>
      </c>
      <c r="H1238" s="9">
        <f t="shared" si="79"/>
        <v>0</v>
      </c>
      <c r="I1238" s="10">
        <f t="shared" si="80"/>
        <v>7</v>
      </c>
    </row>
    <row r="1239" spans="1:9" x14ac:dyDescent="0.25">
      <c r="A1239" s="2" t="s">
        <v>2795</v>
      </c>
      <c r="B1239" s="2" t="s">
        <v>2796</v>
      </c>
      <c r="C1239" s="2" t="s">
        <v>791</v>
      </c>
      <c r="D1239" s="2" t="s">
        <v>1406</v>
      </c>
      <c r="E1239" s="2" t="s">
        <v>30</v>
      </c>
      <c r="F1239" s="9">
        <f t="shared" si="77"/>
        <v>0</v>
      </c>
      <c r="G1239" s="9">
        <f t="shared" si="78"/>
        <v>21</v>
      </c>
      <c r="H1239" s="9">
        <f t="shared" si="79"/>
        <v>0</v>
      </c>
      <c r="I1239" s="10">
        <f t="shared" si="80"/>
        <v>21</v>
      </c>
    </row>
    <row r="1240" spans="1:9" x14ac:dyDescent="0.25">
      <c r="A1240" s="2" t="s">
        <v>2797</v>
      </c>
      <c r="B1240" s="2" t="s">
        <v>2798</v>
      </c>
      <c r="C1240" s="2" t="s">
        <v>791</v>
      </c>
      <c r="D1240" s="2" t="s">
        <v>1406</v>
      </c>
      <c r="E1240" s="2" t="s">
        <v>30</v>
      </c>
      <c r="F1240" s="9">
        <f t="shared" si="77"/>
        <v>0</v>
      </c>
      <c r="G1240" s="9">
        <f t="shared" si="78"/>
        <v>0</v>
      </c>
      <c r="H1240" s="9">
        <f t="shared" si="79"/>
        <v>0</v>
      </c>
      <c r="I1240" s="10">
        <f t="shared" si="80"/>
        <v>0</v>
      </c>
    </row>
    <row r="1241" spans="1:9" x14ac:dyDescent="0.25">
      <c r="A1241" s="2" t="s">
        <v>2799</v>
      </c>
      <c r="B1241" s="2" t="s">
        <v>2800</v>
      </c>
      <c r="C1241" s="2" t="s">
        <v>791</v>
      </c>
      <c r="D1241" s="2" t="s">
        <v>1406</v>
      </c>
      <c r="E1241" s="2" t="s">
        <v>30</v>
      </c>
      <c r="F1241" s="9">
        <f t="shared" si="77"/>
        <v>0</v>
      </c>
      <c r="G1241" s="9">
        <f t="shared" si="78"/>
        <v>20</v>
      </c>
      <c r="H1241" s="9">
        <f t="shared" si="79"/>
        <v>0</v>
      </c>
      <c r="I1241" s="10">
        <f t="shared" si="80"/>
        <v>20</v>
      </c>
    </row>
    <row r="1242" spans="1:9" x14ac:dyDescent="0.25">
      <c r="A1242" s="2" t="s">
        <v>2801</v>
      </c>
      <c r="B1242" s="2" t="s">
        <v>2802</v>
      </c>
      <c r="C1242" s="2" t="s">
        <v>791</v>
      </c>
      <c r="D1242" s="2" t="s">
        <v>1406</v>
      </c>
      <c r="E1242" s="2" t="s">
        <v>30</v>
      </c>
      <c r="F1242" s="9">
        <f t="shared" si="77"/>
        <v>0</v>
      </c>
      <c r="G1242" s="9">
        <f t="shared" si="78"/>
        <v>8</v>
      </c>
      <c r="H1242" s="9">
        <f t="shared" si="79"/>
        <v>0</v>
      </c>
      <c r="I1242" s="10">
        <f t="shared" si="80"/>
        <v>8</v>
      </c>
    </row>
    <row r="1243" spans="1:9" x14ac:dyDescent="0.25">
      <c r="A1243" s="2" t="s">
        <v>863</v>
      </c>
      <c r="B1243" s="2" t="s">
        <v>862</v>
      </c>
      <c r="C1243" s="2" t="s">
        <v>791</v>
      </c>
      <c r="D1243" s="2" t="s">
        <v>1406</v>
      </c>
      <c r="E1243" s="2" t="s">
        <v>30</v>
      </c>
      <c r="F1243" s="9">
        <f t="shared" si="77"/>
        <v>0</v>
      </c>
      <c r="G1243" s="9">
        <f t="shared" si="78"/>
        <v>0</v>
      </c>
      <c r="H1243" s="9">
        <f t="shared" si="79"/>
        <v>0</v>
      </c>
      <c r="I1243" s="10">
        <f t="shared" si="80"/>
        <v>0</v>
      </c>
    </row>
    <row r="1244" spans="1:9" x14ac:dyDescent="0.25">
      <c r="A1244" s="2" t="s">
        <v>2803</v>
      </c>
      <c r="B1244" s="2" t="s">
        <v>2804</v>
      </c>
      <c r="C1244" s="2" t="s">
        <v>791</v>
      </c>
      <c r="D1244" s="2" t="s">
        <v>1406</v>
      </c>
      <c r="E1244" s="2" t="s">
        <v>30</v>
      </c>
      <c r="F1244" s="9">
        <f t="shared" si="77"/>
        <v>0</v>
      </c>
      <c r="G1244" s="9">
        <f t="shared" si="78"/>
        <v>19</v>
      </c>
      <c r="H1244" s="9">
        <f t="shared" si="79"/>
        <v>0</v>
      </c>
      <c r="I1244" s="10">
        <f t="shared" si="80"/>
        <v>19</v>
      </c>
    </row>
    <row r="1245" spans="1:9" x14ac:dyDescent="0.25">
      <c r="A1245" s="2" t="s">
        <v>2805</v>
      </c>
      <c r="B1245" s="2" t="s">
        <v>2806</v>
      </c>
      <c r="C1245" s="2" t="s">
        <v>791</v>
      </c>
      <c r="D1245" s="2" t="s">
        <v>1406</v>
      </c>
      <c r="E1245" s="2" t="s">
        <v>30</v>
      </c>
      <c r="F1245" s="9">
        <f t="shared" si="77"/>
        <v>0</v>
      </c>
      <c r="G1245" s="9">
        <f t="shared" si="78"/>
        <v>15</v>
      </c>
      <c r="H1245" s="9">
        <f t="shared" si="79"/>
        <v>0</v>
      </c>
      <c r="I1245" s="10">
        <f t="shared" si="80"/>
        <v>15</v>
      </c>
    </row>
    <row r="1246" spans="1:9" x14ac:dyDescent="0.25">
      <c r="A1246" s="2" t="s">
        <v>865</v>
      </c>
      <c r="B1246" s="2" t="s">
        <v>864</v>
      </c>
      <c r="C1246" s="2" t="s">
        <v>791</v>
      </c>
      <c r="D1246" s="2" t="s">
        <v>1406</v>
      </c>
      <c r="E1246" s="2" t="s">
        <v>30</v>
      </c>
      <c r="F1246" s="9">
        <f t="shared" si="77"/>
        <v>0</v>
      </c>
      <c r="G1246" s="9">
        <f t="shared" si="78"/>
        <v>25</v>
      </c>
      <c r="H1246" s="9">
        <f t="shared" si="79"/>
        <v>0</v>
      </c>
      <c r="I1246" s="10">
        <f t="shared" si="80"/>
        <v>25</v>
      </c>
    </row>
    <row r="1247" spans="1:9" x14ac:dyDescent="0.25">
      <c r="A1247" s="2" t="s">
        <v>867</v>
      </c>
      <c r="B1247" s="2" t="s">
        <v>866</v>
      </c>
      <c r="C1247" s="2" t="s">
        <v>791</v>
      </c>
      <c r="D1247" s="2" t="s">
        <v>1406</v>
      </c>
      <c r="E1247" s="2" t="s">
        <v>30</v>
      </c>
      <c r="F1247" s="9">
        <f t="shared" si="77"/>
        <v>0</v>
      </c>
      <c r="G1247" s="9">
        <f t="shared" si="78"/>
        <v>12</v>
      </c>
      <c r="H1247" s="9">
        <f t="shared" si="79"/>
        <v>0</v>
      </c>
      <c r="I1247" s="10">
        <f t="shared" si="80"/>
        <v>12</v>
      </c>
    </row>
    <row r="1248" spans="1:9" x14ac:dyDescent="0.25">
      <c r="A1248" s="2" t="s">
        <v>2807</v>
      </c>
      <c r="B1248" s="2" t="s">
        <v>2808</v>
      </c>
      <c r="C1248" s="2" t="s">
        <v>791</v>
      </c>
      <c r="D1248" s="2" t="s">
        <v>1406</v>
      </c>
      <c r="E1248" s="2" t="s">
        <v>30</v>
      </c>
      <c r="F1248" s="9">
        <f t="shared" si="77"/>
        <v>0</v>
      </c>
      <c r="G1248" s="9">
        <f t="shared" si="78"/>
        <v>16</v>
      </c>
      <c r="H1248" s="9">
        <f t="shared" si="79"/>
        <v>0</v>
      </c>
      <c r="I1248" s="10">
        <f t="shared" si="80"/>
        <v>16</v>
      </c>
    </row>
    <row r="1249" spans="1:9" x14ac:dyDescent="0.25">
      <c r="A1249" s="2" t="s">
        <v>869</v>
      </c>
      <c r="B1249" s="2" t="s">
        <v>868</v>
      </c>
      <c r="C1249" s="2" t="s">
        <v>791</v>
      </c>
      <c r="D1249" s="2" t="s">
        <v>1406</v>
      </c>
      <c r="E1249" s="2" t="s">
        <v>30</v>
      </c>
      <c r="F1249" s="9">
        <f t="shared" si="77"/>
        <v>0</v>
      </c>
      <c r="G1249" s="9">
        <f t="shared" si="78"/>
        <v>18</v>
      </c>
      <c r="H1249" s="9">
        <f t="shared" si="79"/>
        <v>0</v>
      </c>
      <c r="I1249" s="10">
        <f t="shared" si="80"/>
        <v>18</v>
      </c>
    </row>
    <row r="1250" spans="1:9" x14ac:dyDescent="0.25">
      <c r="A1250" s="2" t="s">
        <v>871</v>
      </c>
      <c r="B1250" s="2" t="s">
        <v>870</v>
      </c>
      <c r="C1250" s="2" t="s">
        <v>791</v>
      </c>
      <c r="D1250" s="2" t="s">
        <v>1406</v>
      </c>
      <c r="E1250" s="2" t="s">
        <v>30</v>
      </c>
      <c r="F1250" s="9">
        <f t="shared" si="77"/>
        <v>0</v>
      </c>
      <c r="G1250" s="9">
        <f t="shared" si="78"/>
        <v>0</v>
      </c>
      <c r="H1250" s="9">
        <f t="shared" si="79"/>
        <v>0</v>
      </c>
      <c r="I1250" s="10">
        <f t="shared" si="80"/>
        <v>0</v>
      </c>
    </row>
    <row r="1251" spans="1:9" x14ac:dyDescent="0.25">
      <c r="A1251" s="2" t="s">
        <v>873</v>
      </c>
      <c r="B1251" s="2" t="s">
        <v>872</v>
      </c>
      <c r="C1251" s="2" t="s">
        <v>791</v>
      </c>
      <c r="D1251" s="2" t="s">
        <v>1406</v>
      </c>
      <c r="E1251" s="2" t="s">
        <v>30</v>
      </c>
      <c r="F1251" s="9">
        <f t="shared" si="77"/>
        <v>0</v>
      </c>
      <c r="G1251" s="9">
        <f t="shared" si="78"/>
        <v>12</v>
      </c>
      <c r="H1251" s="9">
        <f t="shared" si="79"/>
        <v>0</v>
      </c>
      <c r="I1251" s="10">
        <f t="shared" si="80"/>
        <v>12</v>
      </c>
    </row>
    <row r="1252" spans="1:9" x14ac:dyDescent="0.25">
      <c r="A1252" s="2" t="s">
        <v>879</v>
      </c>
      <c r="B1252" s="2" t="s">
        <v>878</v>
      </c>
      <c r="C1252" s="2" t="s">
        <v>791</v>
      </c>
      <c r="D1252" s="2" t="s">
        <v>1406</v>
      </c>
      <c r="E1252" s="2" t="s">
        <v>30</v>
      </c>
      <c r="F1252" s="9">
        <f t="shared" si="77"/>
        <v>0</v>
      </c>
      <c r="G1252" s="9">
        <f t="shared" si="78"/>
        <v>15</v>
      </c>
      <c r="H1252" s="9">
        <f t="shared" si="79"/>
        <v>0</v>
      </c>
      <c r="I1252" s="10">
        <f t="shared" si="80"/>
        <v>15</v>
      </c>
    </row>
    <row r="1253" spans="1:9" x14ac:dyDescent="0.25">
      <c r="A1253" s="2" t="s">
        <v>2809</v>
      </c>
      <c r="B1253" s="2" t="s">
        <v>2810</v>
      </c>
      <c r="C1253" s="2" t="s">
        <v>791</v>
      </c>
      <c r="D1253" s="2" t="s">
        <v>1406</v>
      </c>
      <c r="E1253" s="2" t="s">
        <v>30</v>
      </c>
      <c r="F1253" s="9">
        <f t="shared" si="77"/>
        <v>0</v>
      </c>
      <c r="G1253" s="9">
        <f t="shared" si="78"/>
        <v>19</v>
      </c>
      <c r="H1253" s="9">
        <f t="shared" si="79"/>
        <v>0</v>
      </c>
      <c r="I1253" s="10">
        <f t="shared" si="80"/>
        <v>19</v>
      </c>
    </row>
    <row r="1254" spans="1:9" x14ac:dyDescent="0.25">
      <c r="A1254" s="2" t="s">
        <v>881</v>
      </c>
      <c r="B1254" s="2" t="s">
        <v>880</v>
      </c>
      <c r="C1254" s="2" t="s">
        <v>791</v>
      </c>
      <c r="D1254" s="2" t="s">
        <v>1406</v>
      </c>
      <c r="E1254" s="2" t="s">
        <v>30</v>
      </c>
      <c r="F1254" s="9">
        <f t="shared" si="77"/>
        <v>0</v>
      </c>
      <c r="G1254" s="9">
        <f t="shared" si="78"/>
        <v>13</v>
      </c>
      <c r="H1254" s="9">
        <f t="shared" si="79"/>
        <v>0</v>
      </c>
      <c r="I1254" s="10">
        <f t="shared" si="80"/>
        <v>13</v>
      </c>
    </row>
    <row r="1255" spans="1:9" x14ac:dyDescent="0.25">
      <c r="A1255" s="2" t="s">
        <v>883</v>
      </c>
      <c r="B1255" s="2" t="s">
        <v>882</v>
      </c>
      <c r="C1255" s="2" t="s">
        <v>791</v>
      </c>
      <c r="D1255" s="2" t="s">
        <v>1406</v>
      </c>
      <c r="E1255" s="2" t="s">
        <v>30</v>
      </c>
      <c r="F1255" s="9">
        <f t="shared" si="77"/>
        <v>0</v>
      </c>
      <c r="G1255" s="9">
        <f t="shared" si="78"/>
        <v>19</v>
      </c>
      <c r="H1255" s="9">
        <f t="shared" si="79"/>
        <v>0</v>
      </c>
      <c r="I1255" s="10">
        <f t="shared" si="80"/>
        <v>19</v>
      </c>
    </row>
    <row r="1256" spans="1:9" x14ac:dyDescent="0.25">
      <c r="A1256" s="2" t="s">
        <v>885</v>
      </c>
      <c r="B1256" s="2" t="s">
        <v>884</v>
      </c>
      <c r="C1256" s="2" t="s">
        <v>791</v>
      </c>
      <c r="D1256" s="2" t="s">
        <v>1406</v>
      </c>
      <c r="E1256" s="2" t="s">
        <v>30</v>
      </c>
      <c r="F1256" s="9">
        <f t="shared" si="77"/>
        <v>0</v>
      </c>
      <c r="G1256" s="9">
        <f t="shared" si="78"/>
        <v>0</v>
      </c>
      <c r="H1256" s="9">
        <f t="shared" si="79"/>
        <v>0</v>
      </c>
      <c r="I1256" s="10">
        <f t="shared" si="80"/>
        <v>0</v>
      </c>
    </row>
    <row r="1257" spans="1:9" x14ac:dyDescent="0.25">
      <c r="A1257" s="2" t="s">
        <v>889</v>
      </c>
      <c r="B1257" s="2" t="s">
        <v>888</v>
      </c>
      <c r="C1257" s="2" t="s">
        <v>791</v>
      </c>
      <c r="D1257" s="2" t="s">
        <v>1406</v>
      </c>
      <c r="E1257" s="2" t="s">
        <v>30</v>
      </c>
      <c r="F1257" s="9">
        <f t="shared" si="77"/>
        <v>0</v>
      </c>
      <c r="G1257" s="9">
        <f t="shared" si="78"/>
        <v>0</v>
      </c>
      <c r="H1257" s="9">
        <f t="shared" si="79"/>
        <v>0</v>
      </c>
      <c r="I1257" s="10">
        <f t="shared" si="80"/>
        <v>0</v>
      </c>
    </row>
    <row r="1258" spans="1:9" x14ac:dyDescent="0.25">
      <c r="A1258" s="2" t="s">
        <v>893</v>
      </c>
      <c r="B1258" s="2" t="s">
        <v>892</v>
      </c>
      <c r="C1258" s="2" t="s">
        <v>791</v>
      </c>
      <c r="D1258" s="2" t="s">
        <v>1406</v>
      </c>
      <c r="E1258" s="2" t="s">
        <v>30</v>
      </c>
      <c r="F1258" s="9">
        <f t="shared" si="77"/>
        <v>0</v>
      </c>
      <c r="G1258" s="9">
        <f t="shared" si="78"/>
        <v>0</v>
      </c>
      <c r="H1258" s="9">
        <f t="shared" si="79"/>
        <v>0</v>
      </c>
      <c r="I1258" s="10">
        <f t="shared" si="80"/>
        <v>0</v>
      </c>
    </row>
    <row r="1259" spans="1:9" x14ac:dyDescent="0.25">
      <c r="A1259" s="2" t="s">
        <v>2811</v>
      </c>
      <c r="B1259" s="2" t="s">
        <v>2812</v>
      </c>
      <c r="C1259" s="2" t="s">
        <v>791</v>
      </c>
      <c r="D1259" s="2" t="s">
        <v>1406</v>
      </c>
      <c r="E1259" s="2" t="s">
        <v>30</v>
      </c>
      <c r="F1259" s="9">
        <f t="shared" si="77"/>
        <v>0</v>
      </c>
      <c r="G1259" s="9">
        <f t="shared" si="78"/>
        <v>0</v>
      </c>
      <c r="H1259" s="9">
        <f t="shared" si="79"/>
        <v>0</v>
      </c>
      <c r="I1259" s="10">
        <f t="shared" si="80"/>
        <v>0</v>
      </c>
    </row>
    <row r="1260" spans="1:9" x14ac:dyDescent="0.25">
      <c r="A1260" s="2" t="s">
        <v>2813</v>
      </c>
      <c r="B1260" s="2" t="s">
        <v>2814</v>
      </c>
      <c r="C1260" s="2" t="s">
        <v>791</v>
      </c>
      <c r="D1260" s="2" t="s">
        <v>1406</v>
      </c>
      <c r="E1260" s="2" t="s">
        <v>30</v>
      </c>
      <c r="F1260" s="9">
        <f t="shared" si="77"/>
        <v>0</v>
      </c>
      <c r="G1260" s="9">
        <f t="shared" si="78"/>
        <v>0</v>
      </c>
      <c r="H1260" s="9">
        <f t="shared" si="79"/>
        <v>0</v>
      </c>
      <c r="I1260" s="10">
        <f t="shared" si="80"/>
        <v>0</v>
      </c>
    </row>
    <row r="1261" spans="1:9" x14ac:dyDescent="0.25">
      <c r="A1261" s="2" t="s">
        <v>2815</v>
      </c>
      <c r="B1261" s="2" t="s">
        <v>2816</v>
      </c>
      <c r="C1261" s="2" t="s">
        <v>791</v>
      </c>
      <c r="D1261" s="2" t="s">
        <v>1406</v>
      </c>
      <c r="E1261" s="2" t="s">
        <v>30</v>
      </c>
      <c r="F1261" s="9">
        <f t="shared" si="77"/>
        <v>0</v>
      </c>
      <c r="G1261" s="9">
        <f t="shared" si="78"/>
        <v>14</v>
      </c>
      <c r="H1261" s="9">
        <f t="shared" si="79"/>
        <v>0</v>
      </c>
      <c r="I1261" s="10">
        <f t="shared" si="80"/>
        <v>14</v>
      </c>
    </row>
    <row r="1262" spans="1:9" x14ac:dyDescent="0.25">
      <c r="A1262" s="2" t="s">
        <v>897</v>
      </c>
      <c r="B1262" s="2" t="s">
        <v>896</v>
      </c>
      <c r="C1262" s="2" t="s">
        <v>791</v>
      </c>
      <c r="D1262" s="2" t="s">
        <v>1406</v>
      </c>
      <c r="E1262" s="2" t="s">
        <v>30</v>
      </c>
      <c r="F1262" s="9">
        <f t="shared" si="77"/>
        <v>0</v>
      </c>
      <c r="G1262" s="9">
        <f t="shared" si="78"/>
        <v>0</v>
      </c>
      <c r="H1262" s="9">
        <f t="shared" si="79"/>
        <v>0</v>
      </c>
      <c r="I1262" s="10">
        <f t="shared" si="80"/>
        <v>0</v>
      </c>
    </row>
    <row r="1263" spans="1:9" x14ac:dyDescent="0.25">
      <c r="A1263" s="2" t="s">
        <v>2817</v>
      </c>
      <c r="B1263" s="2" t="s">
        <v>2818</v>
      </c>
      <c r="C1263" s="2" t="s">
        <v>791</v>
      </c>
      <c r="D1263" s="2" t="s">
        <v>1406</v>
      </c>
      <c r="E1263" s="2" t="s">
        <v>30</v>
      </c>
      <c r="F1263" s="9">
        <f t="shared" si="77"/>
        <v>0</v>
      </c>
      <c r="G1263" s="9">
        <f t="shared" si="78"/>
        <v>6</v>
      </c>
      <c r="H1263" s="9">
        <f t="shared" si="79"/>
        <v>0</v>
      </c>
      <c r="I1263" s="10">
        <f t="shared" si="80"/>
        <v>6</v>
      </c>
    </row>
    <row r="1264" spans="1:9" x14ac:dyDescent="0.25">
      <c r="A1264" s="2" t="s">
        <v>2819</v>
      </c>
      <c r="B1264" s="2" t="s">
        <v>2820</v>
      </c>
      <c r="C1264" s="2" t="s">
        <v>791</v>
      </c>
      <c r="D1264" s="2" t="s">
        <v>1406</v>
      </c>
      <c r="E1264" s="2" t="s">
        <v>30</v>
      </c>
      <c r="F1264" s="9">
        <f t="shared" si="77"/>
        <v>0</v>
      </c>
      <c r="G1264" s="9">
        <f t="shared" si="78"/>
        <v>4</v>
      </c>
      <c r="H1264" s="9">
        <f t="shared" si="79"/>
        <v>0</v>
      </c>
      <c r="I1264" s="10">
        <f t="shared" si="80"/>
        <v>4</v>
      </c>
    </row>
    <row r="1265" spans="1:9" x14ac:dyDescent="0.25">
      <c r="A1265" s="2" t="s">
        <v>2821</v>
      </c>
      <c r="B1265" s="2" t="s">
        <v>2822</v>
      </c>
      <c r="C1265" s="2" t="s">
        <v>791</v>
      </c>
      <c r="D1265" s="2" t="s">
        <v>1406</v>
      </c>
      <c r="E1265" s="2" t="s">
        <v>30</v>
      </c>
      <c r="F1265" s="9">
        <f t="shared" si="77"/>
        <v>0</v>
      </c>
      <c r="G1265" s="9">
        <f t="shared" si="78"/>
        <v>7</v>
      </c>
      <c r="H1265" s="9">
        <f t="shared" si="79"/>
        <v>0</v>
      </c>
      <c r="I1265" s="10">
        <f t="shared" si="80"/>
        <v>7</v>
      </c>
    </row>
    <row r="1266" spans="1:9" x14ac:dyDescent="0.25">
      <c r="A1266" s="2" t="s">
        <v>899</v>
      </c>
      <c r="B1266" s="2" t="s">
        <v>898</v>
      </c>
      <c r="C1266" s="2" t="s">
        <v>791</v>
      </c>
      <c r="D1266" s="2" t="s">
        <v>1406</v>
      </c>
      <c r="E1266" s="2" t="s">
        <v>30</v>
      </c>
      <c r="F1266" s="9">
        <f t="shared" si="77"/>
        <v>0</v>
      </c>
      <c r="G1266" s="9">
        <f t="shared" si="78"/>
        <v>4</v>
      </c>
      <c r="H1266" s="9">
        <f t="shared" si="79"/>
        <v>0</v>
      </c>
      <c r="I1266" s="10">
        <f t="shared" si="80"/>
        <v>4</v>
      </c>
    </row>
    <row r="1267" spans="1:9" x14ac:dyDescent="0.25">
      <c r="A1267" s="2" t="s">
        <v>901</v>
      </c>
      <c r="B1267" s="2" t="s">
        <v>900</v>
      </c>
      <c r="C1267" s="2" t="s">
        <v>791</v>
      </c>
      <c r="D1267" s="2" t="s">
        <v>1406</v>
      </c>
      <c r="E1267" s="2" t="s">
        <v>30</v>
      </c>
      <c r="F1267" s="9">
        <f t="shared" si="77"/>
        <v>0</v>
      </c>
      <c r="G1267" s="9">
        <f t="shared" si="78"/>
        <v>0</v>
      </c>
      <c r="H1267" s="9">
        <f t="shared" si="79"/>
        <v>0</v>
      </c>
      <c r="I1267" s="10">
        <f t="shared" si="80"/>
        <v>0</v>
      </c>
    </row>
    <row r="1268" spans="1:9" x14ac:dyDescent="0.25">
      <c r="A1268" s="2" t="s">
        <v>2823</v>
      </c>
      <c r="B1268" s="2" t="s">
        <v>2824</v>
      </c>
      <c r="C1268" s="2" t="s">
        <v>791</v>
      </c>
      <c r="D1268" s="2" t="s">
        <v>1406</v>
      </c>
      <c r="E1268" s="2" t="s">
        <v>30</v>
      </c>
      <c r="F1268" s="9">
        <f t="shared" si="77"/>
        <v>0</v>
      </c>
      <c r="G1268" s="9">
        <f t="shared" si="78"/>
        <v>15</v>
      </c>
      <c r="H1268" s="9">
        <f t="shared" si="79"/>
        <v>0</v>
      </c>
      <c r="I1268" s="10">
        <f t="shared" si="80"/>
        <v>15</v>
      </c>
    </row>
    <row r="1269" spans="1:9" x14ac:dyDescent="0.25">
      <c r="A1269" s="2" t="s">
        <v>911</v>
      </c>
      <c r="B1269" s="2" t="s">
        <v>910</v>
      </c>
      <c r="C1269" s="2" t="s">
        <v>791</v>
      </c>
      <c r="D1269" s="2" t="s">
        <v>1406</v>
      </c>
      <c r="E1269" s="2" t="s">
        <v>30</v>
      </c>
      <c r="F1269" s="9">
        <f t="shared" si="77"/>
        <v>0</v>
      </c>
      <c r="G1269" s="9">
        <f t="shared" si="78"/>
        <v>3</v>
      </c>
      <c r="H1269" s="9">
        <f t="shared" si="79"/>
        <v>0</v>
      </c>
      <c r="I1269" s="10">
        <f t="shared" si="80"/>
        <v>3</v>
      </c>
    </row>
    <row r="1270" spans="1:9" x14ac:dyDescent="0.25">
      <c r="A1270" s="2" t="s">
        <v>913</v>
      </c>
      <c r="B1270" s="2" t="s">
        <v>912</v>
      </c>
      <c r="C1270" s="2" t="s">
        <v>791</v>
      </c>
      <c r="D1270" s="2" t="s">
        <v>1406</v>
      </c>
      <c r="E1270" s="2" t="s">
        <v>30</v>
      </c>
      <c r="F1270" s="9">
        <f t="shared" si="77"/>
        <v>0</v>
      </c>
      <c r="G1270" s="9">
        <f t="shared" si="78"/>
        <v>3</v>
      </c>
      <c r="H1270" s="9">
        <f t="shared" si="79"/>
        <v>0</v>
      </c>
      <c r="I1270" s="10">
        <f t="shared" si="80"/>
        <v>3</v>
      </c>
    </row>
    <row r="1271" spans="1:9" x14ac:dyDescent="0.25">
      <c r="A1271" s="2" t="s">
        <v>915</v>
      </c>
      <c r="B1271" s="2" t="s">
        <v>914</v>
      </c>
      <c r="C1271" s="2" t="s">
        <v>791</v>
      </c>
      <c r="D1271" s="2" t="s">
        <v>1406</v>
      </c>
      <c r="E1271" s="2" t="s">
        <v>30</v>
      </c>
      <c r="F1271" s="9">
        <f t="shared" si="77"/>
        <v>0</v>
      </c>
      <c r="G1271" s="9">
        <f t="shared" si="78"/>
        <v>8</v>
      </c>
      <c r="H1271" s="9">
        <f t="shared" si="79"/>
        <v>0</v>
      </c>
      <c r="I1271" s="10">
        <f t="shared" si="80"/>
        <v>8</v>
      </c>
    </row>
    <row r="1272" spans="1:9" x14ac:dyDescent="0.25">
      <c r="A1272" s="2" t="s">
        <v>919</v>
      </c>
      <c r="B1272" s="2" t="s">
        <v>918</v>
      </c>
      <c r="C1272" s="2" t="s">
        <v>791</v>
      </c>
      <c r="D1272" s="2" t="s">
        <v>1406</v>
      </c>
      <c r="E1272" s="2" t="s">
        <v>30</v>
      </c>
      <c r="F1272" s="9">
        <f t="shared" si="77"/>
        <v>0</v>
      </c>
      <c r="G1272" s="9">
        <f t="shared" si="78"/>
        <v>5</v>
      </c>
      <c r="H1272" s="9">
        <f t="shared" si="79"/>
        <v>0</v>
      </c>
      <c r="I1272" s="10">
        <f t="shared" si="80"/>
        <v>5</v>
      </c>
    </row>
    <row r="1273" spans="1:9" x14ac:dyDescent="0.25">
      <c r="A1273" s="2" t="s">
        <v>921</v>
      </c>
      <c r="B1273" s="2" t="s">
        <v>920</v>
      </c>
      <c r="C1273" s="2" t="s">
        <v>791</v>
      </c>
      <c r="D1273" s="2" t="s">
        <v>1406</v>
      </c>
      <c r="E1273" s="2" t="s">
        <v>30</v>
      </c>
      <c r="F1273" s="9">
        <f t="shared" si="77"/>
        <v>0</v>
      </c>
      <c r="G1273" s="9">
        <f t="shared" si="78"/>
        <v>0</v>
      </c>
      <c r="H1273" s="9">
        <f t="shared" si="79"/>
        <v>0</v>
      </c>
      <c r="I1273" s="10">
        <f t="shared" si="80"/>
        <v>0</v>
      </c>
    </row>
    <row r="1274" spans="1:9" x14ac:dyDescent="0.25">
      <c r="A1274" s="2" t="s">
        <v>925</v>
      </c>
      <c r="B1274" s="2" t="s">
        <v>924</v>
      </c>
      <c r="C1274" s="2" t="s">
        <v>791</v>
      </c>
      <c r="D1274" s="2" t="s">
        <v>1406</v>
      </c>
      <c r="E1274" s="2" t="s">
        <v>30</v>
      </c>
      <c r="F1274" s="9">
        <f t="shared" si="77"/>
        <v>0</v>
      </c>
      <c r="G1274" s="9">
        <f t="shared" si="78"/>
        <v>3</v>
      </c>
      <c r="H1274" s="9">
        <f t="shared" si="79"/>
        <v>0</v>
      </c>
      <c r="I1274" s="10">
        <f t="shared" si="80"/>
        <v>3</v>
      </c>
    </row>
    <row r="1275" spans="1:9" x14ac:dyDescent="0.25">
      <c r="A1275" s="2" t="s">
        <v>931</v>
      </c>
      <c r="B1275" s="2" t="s">
        <v>930</v>
      </c>
      <c r="C1275" s="2" t="s">
        <v>791</v>
      </c>
      <c r="D1275" s="2" t="s">
        <v>1406</v>
      </c>
      <c r="E1275" s="2" t="s">
        <v>30</v>
      </c>
      <c r="F1275" s="9">
        <f t="shared" si="77"/>
        <v>0</v>
      </c>
      <c r="G1275" s="9">
        <f t="shared" si="78"/>
        <v>2</v>
      </c>
      <c r="H1275" s="9">
        <f t="shared" si="79"/>
        <v>0</v>
      </c>
      <c r="I1275" s="10">
        <f t="shared" si="80"/>
        <v>2</v>
      </c>
    </row>
    <row r="1276" spans="1:9" x14ac:dyDescent="0.25">
      <c r="A1276" s="2" t="s">
        <v>2825</v>
      </c>
      <c r="B1276" s="2" t="s">
        <v>2826</v>
      </c>
      <c r="C1276" s="2" t="s">
        <v>791</v>
      </c>
      <c r="D1276" s="2" t="s">
        <v>1406</v>
      </c>
      <c r="E1276" s="2" t="s">
        <v>30</v>
      </c>
      <c r="F1276" s="9">
        <f t="shared" si="77"/>
        <v>0</v>
      </c>
      <c r="G1276" s="9">
        <f t="shared" si="78"/>
        <v>1</v>
      </c>
      <c r="H1276" s="9">
        <f t="shared" si="79"/>
        <v>0</v>
      </c>
      <c r="I1276" s="10">
        <f t="shared" si="80"/>
        <v>1</v>
      </c>
    </row>
    <row r="1277" spans="1:9" x14ac:dyDescent="0.25">
      <c r="A1277" s="2" t="s">
        <v>937</v>
      </c>
      <c r="B1277" s="2" t="s">
        <v>936</v>
      </c>
      <c r="C1277" s="2" t="s">
        <v>791</v>
      </c>
      <c r="D1277" s="2" t="s">
        <v>1406</v>
      </c>
      <c r="E1277" s="2" t="s">
        <v>30</v>
      </c>
      <c r="F1277" s="9">
        <f t="shared" si="77"/>
        <v>0</v>
      </c>
      <c r="G1277" s="9">
        <f t="shared" si="78"/>
        <v>19</v>
      </c>
      <c r="H1277" s="9">
        <f t="shared" si="79"/>
        <v>0</v>
      </c>
      <c r="I1277" s="10">
        <f t="shared" si="80"/>
        <v>19</v>
      </c>
    </row>
    <row r="1278" spans="1:9" x14ac:dyDescent="0.25">
      <c r="A1278" s="2" t="s">
        <v>939</v>
      </c>
      <c r="B1278" s="2" t="s">
        <v>938</v>
      </c>
      <c r="C1278" s="2" t="s">
        <v>791</v>
      </c>
      <c r="D1278" s="2" t="s">
        <v>1406</v>
      </c>
      <c r="E1278" s="2" t="s">
        <v>30</v>
      </c>
      <c r="F1278" s="9">
        <f t="shared" si="77"/>
        <v>0</v>
      </c>
      <c r="G1278" s="9">
        <f t="shared" si="78"/>
        <v>0</v>
      </c>
      <c r="H1278" s="9">
        <f t="shared" si="79"/>
        <v>0</v>
      </c>
      <c r="I1278" s="10">
        <f t="shared" si="80"/>
        <v>0</v>
      </c>
    </row>
    <row r="1279" spans="1:9" x14ac:dyDescent="0.25">
      <c r="A1279" s="2" t="s">
        <v>2827</v>
      </c>
      <c r="B1279" s="2" t="s">
        <v>2828</v>
      </c>
      <c r="C1279" s="2" t="s">
        <v>791</v>
      </c>
      <c r="D1279" s="2" t="s">
        <v>1406</v>
      </c>
      <c r="E1279" s="2" t="s">
        <v>30</v>
      </c>
      <c r="F1279" s="9">
        <f t="shared" ref="F1279:F1342" si="81">IFERROR(VLOOKUP(A1279,condi,8,0),0)</f>
        <v>0</v>
      </c>
      <c r="G1279" s="9">
        <f t="shared" ref="G1279:G1342" si="82">IFERROR(VLOOKUP(A1279,maqui,8,0),0)</f>
        <v>0</v>
      </c>
      <c r="H1279" s="9">
        <f t="shared" ref="H1279:H1342" si="83">IFERROR(VLOOKUP(A1279,ascint,8,0),0)</f>
        <v>0</v>
      </c>
      <c r="I1279" s="10">
        <f t="shared" si="80"/>
        <v>0</v>
      </c>
    </row>
    <row r="1280" spans="1:9" x14ac:dyDescent="0.25">
      <c r="A1280" s="2" t="s">
        <v>2829</v>
      </c>
      <c r="B1280" s="2" t="s">
        <v>2830</v>
      </c>
      <c r="C1280" s="2" t="s">
        <v>791</v>
      </c>
      <c r="D1280" s="2" t="s">
        <v>1406</v>
      </c>
      <c r="E1280" s="2" t="s">
        <v>30</v>
      </c>
      <c r="F1280" s="9">
        <f t="shared" si="81"/>
        <v>0</v>
      </c>
      <c r="G1280" s="9">
        <f t="shared" si="82"/>
        <v>3</v>
      </c>
      <c r="H1280" s="9">
        <f t="shared" si="83"/>
        <v>0</v>
      </c>
      <c r="I1280" s="10">
        <f t="shared" si="80"/>
        <v>3</v>
      </c>
    </row>
    <row r="1281" spans="1:9" x14ac:dyDescent="0.25">
      <c r="A1281" s="2" t="s">
        <v>943</v>
      </c>
      <c r="B1281" s="2" t="s">
        <v>942</v>
      </c>
      <c r="C1281" s="2" t="s">
        <v>791</v>
      </c>
      <c r="D1281" s="2" t="s">
        <v>1406</v>
      </c>
      <c r="E1281" s="2" t="s">
        <v>30</v>
      </c>
      <c r="F1281" s="9">
        <f t="shared" si="81"/>
        <v>0</v>
      </c>
      <c r="G1281" s="9">
        <f t="shared" si="82"/>
        <v>0</v>
      </c>
      <c r="H1281" s="9">
        <f t="shared" si="83"/>
        <v>0</v>
      </c>
      <c r="I1281" s="10">
        <f t="shared" si="80"/>
        <v>0</v>
      </c>
    </row>
    <row r="1282" spans="1:9" x14ac:dyDescent="0.25">
      <c r="A1282" s="2" t="s">
        <v>947</v>
      </c>
      <c r="B1282" s="2" t="s">
        <v>946</v>
      </c>
      <c r="C1282" s="2" t="s">
        <v>791</v>
      </c>
      <c r="D1282" s="2" t="s">
        <v>1406</v>
      </c>
      <c r="E1282" s="2" t="s">
        <v>30</v>
      </c>
      <c r="F1282" s="9">
        <f t="shared" si="81"/>
        <v>0</v>
      </c>
      <c r="G1282" s="9">
        <f t="shared" si="82"/>
        <v>0</v>
      </c>
      <c r="H1282" s="9">
        <f t="shared" si="83"/>
        <v>0</v>
      </c>
      <c r="I1282" s="10">
        <f t="shared" si="80"/>
        <v>0</v>
      </c>
    </row>
    <row r="1283" spans="1:9" x14ac:dyDescent="0.25">
      <c r="A1283" s="2" t="s">
        <v>2831</v>
      </c>
      <c r="B1283" s="2" t="s">
        <v>2832</v>
      </c>
      <c r="C1283" s="2" t="s">
        <v>791</v>
      </c>
      <c r="D1283" s="2" t="s">
        <v>1406</v>
      </c>
      <c r="E1283" s="2" t="s">
        <v>30</v>
      </c>
      <c r="F1283" s="9">
        <f t="shared" si="81"/>
        <v>0</v>
      </c>
      <c r="G1283" s="9">
        <f t="shared" si="82"/>
        <v>0</v>
      </c>
      <c r="H1283" s="9">
        <f t="shared" si="83"/>
        <v>0</v>
      </c>
      <c r="I1283" s="10">
        <f t="shared" si="80"/>
        <v>0</v>
      </c>
    </row>
    <row r="1284" spans="1:9" x14ac:dyDescent="0.25">
      <c r="A1284" s="2" t="s">
        <v>2833</v>
      </c>
      <c r="B1284" s="2" t="s">
        <v>2834</v>
      </c>
      <c r="C1284" s="2" t="s">
        <v>791</v>
      </c>
      <c r="D1284" s="2" t="s">
        <v>1406</v>
      </c>
      <c r="E1284" s="2" t="s">
        <v>30</v>
      </c>
      <c r="F1284" s="9">
        <f t="shared" si="81"/>
        <v>0</v>
      </c>
      <c r="G1284" s="9">
        <f t="shared" si="82"/>
        <v>8</v>
      </c>
      <c r="H1284" s="9">
        <f t="shared" si="83"/>
        <v>0</v>
      </c>
      <c r="I1284" s="10">
        <f t="shared" si="80"/>
        <v>8</v>
      </c>
    </row>
    <row r="1285" spans="1:9" x14ac:dyDescent="0.25">
      <c r="A1285" s="2" t="s">
        <v>2835</v>
      </c>
      <c r="B1285" s="2" t="s">
        <v>2836</v>
      </c>
      <c r="C1285" s="2" t="s">
        <v>791</v>
      </c>
      <c r="D1285" s="2" t="s">
        <v>1406</v>
      </c>
      <c r="E1285" s="2" t="s">
        <v>30</v>
      </c>
      <c r="F1285" s="9">
        <f t="shared" si="81"/>
        <v>0</v>
      </c>
      <c r="G1285" s="9">
        <f t="shared" si="82"/>
        <v>10</v>
      </c>
      <c r="H1285" s="9">
        <f t="shared" si="83"/>
        <v>0</v>
      </c>
      <c r="I1285" s="10">
        <f t="shared" ref="I1285:I1348" si="84">+F1285+G1285+H1285</f>
        <v>10</v>
      </c>
    </row>
    <row r="1286" spans="1:9" x14ac:dyDescent="0.25">
      <c r="A1286" s="2" t="s">
        <v>951</v>
      </c>
      <c r="B1286" s="2" t="s">
        <v>950</v>
      </c>
      <c r="C1286" s="2" t="s">
        <v>791</v>
      </c>
      <c r="D1286" s="2" t="s">
        <v>1406</v>
      </c>
      <c r="E1286" s="2" t="s">
        <v>30</v>
      </c>
      <c r="F1286" s="9">
        <f t="shared" si="81"/>
        <v>0</v>
      </c>
      <c r="G1286" s="9">
        <f t="shared" si="82"/>
        <v>9</v>
      </c>
      <c r="H1286" s="9">
        <f t="shared" si="83"/>
        <v>0</v>
      </c>
      <c r="I1286" s="10">
        <f t="shared" si="84"/>
        <v>9</v>
      </c>
    </row>
    <row r="1287" spans="1:9" x14ac:dyDescent="0.25">
      <c r="A1287" s="2" t="s">
        <v>953</v>
      </c>
      <c r="B1287" s="2" t="s">
        <v>952</v>
      </c>
      <c r="C1287" s="2" t="s">
        <v>791</v>
      </c>
      <c r="D1287" s="2" t="s">
        <v>1406</v>
      </c>
      <c r="E1287" s="2" t="s">
        <v>30</v>
      </c>
      <c r="F1287" s="9">
        <f t="shared" si="81"/>
        <v>0</v>
      </c>
      <c r="G1287" s="9">
        <f t="shared" si="82"/>
        <v>0</v>
      </c>
      <c r="H1287" s="9">
        <f t="shared" si="83"/>
        <v>0</v>
      </c>
      <c r="I1287" s="10">
        <f t="shared" si="84"/>
        <v>0</v>
      </c>
    </row>
    <row r="1288" spans="1:9" x14ac:dyDescent="0.25">
      <c r="A1288" s="2" t="s">
        <v>2837</v>
      </c>
      <c r="B1288" s="2" t="s">
        <v>2838</v>
      </c>
      <c r="C1288" s="2" t="s">
        <v>791</v>
      </c>
      <c r="D1288" s="2" t="s">
        <v>1406</v>
      </c>
      <c r="E1288" s="2" t="s">
        <v>30</v>
      </c>
      <c r="F1288" s="9">
        <f t="shared" si="81"/>
        <v>0</v>
      </c>
      <c r="G1288" s="9">
        <f t="shared" si="82"/>
        <v>1</v>
      </c>
      <c r="H1288" s="9">
        <f t="shared" si="83"/>
        <v>0</v>
      </c>
      <c r="I1288" s="10">
        <f t="shared" si="84"/>
        <v>1</v>
      </c>
    </row>
    <row r="1289" spans="1:9" x14ac:dyDescent="0.25">
      <c r="A1289" s="2" t="s">
        <v>955</v>
      </c>
      <c r="B1289" s="2" t="s">
        <v>954</v>
      </c>
      <c r="C1289" s="2" t="s">
        <v>791</v>
      </c>
      <c r="D1289" s="2" t="s">
        <v>1406</v>
      </c>
      <c r="E1289" s="2" t="s">
        <v>30</v>
      </c>
      <c r="F1289" s="9">
        <f t="shared" si="81"/>
        <v>0</v>
      </c>
      <c r="G1289" s="9">
        <f t="shared" si="82"/>
        <v>9</v>
      </c>
      <c r="H1289" s="9">
        <f t="shared" si="83"/>
        <v>0</v>
      </c>
      <c r="I1289" s="10">
        <f t="shared" si="84"/>
        <v>9</v>
      </c>
    </row>
    <row r="1290" spans="1:9" x14ac:dyDescent="0.25">
      <c r="A1290" s="2" t="s">
        <v>957</v>
      </c>
      <c r="B1290" s="2" t="s">
        <v>956</v>
      </c>
      <c r="C1290" s="2" t="s">
        <v>791</v>
      </c>
      <c r="D1290" s="2" t="s">
        <v>1406</v>
      </c>
      <c r="E1290" s="2" t="s">
        <v>30</v>
      </c>
      <c r="F1290" s="9">
        <f t="shared" si="81"/>
        <v>0</v>
      </c>
      <c r="G1290" s="9">
        <f t="shared" si="82"/>
        <v>0</v>
      </c>
      <c r="H1290" s="9">
        <f t="shared" si="83"/>
        <v>0</v>
      </c>
      <c r="I1290" s="10">
        <f t="shared" si="84"/>
        <v>0</v>
      </c>
    </row>
    <row r="1291" spans="1:9" x14ac:dyDescent="0.25">
      <c r="A1291" s="2" t="s">
        <v>959</v>
      </c>
      <c r="B1291" s="2" t="s">
        <v>958</v>
      </c>
      <c r="C1291" s="2" t="s">
        <v>791</v>
      </c>
      <c r="D1291" s="2" t="s">
        <v>1406</v>
      </c>
      <c r="E1291" s="2" t="s">
        <v>30</v>
      </c>
      <c r="F1291" s="9">
        <f t="shared" si="81"/>
        <v>0</v>
      </c>
      <c r="G1291" s="9">
        <f t="shared" si="82"/>
        <v>0</v>
      </c>
      <c r="H1291" s="9">
        <f t="shared" si="83"/>
        <v>0</v>
      </c>
      <c r="I1291" s="10">
        <f t="shared" si="84"/>
        <v>0</v>
      </c>
    </row>
    <row r="1292" spans="1:9" x14ac:dyDescent="0.25">
      <c r="A1292" s="2" t="s">
        <v>961</v>
      </c>
      <c r="B1292" s="2" t="s">
        <v>960</v>
      </c>
      <c r="C1292" s="2" t="s">
        <v>791</v>
      </c>
      <c r="D1292" s="2" t="s">
        <v>1406</v>
      </c>
      <c r="E1292" s="2" t="s">
        <v>30</v>
      </c>
      <c r="F1292" s="9">
        <f t="shared" si="81"/>
        <v>0</v>
      </c>
      <c r="G1292" s="9">
        <f t="shared" si="82"/>
        <v>0</v>
      </c>
      <c r="H1292" s="9">
        <f t="shared" si="83"/>
        <v>0</v>
      </c>
      <c r="I1292" s="10">
        <f t="shared" si="84"/>
        <v>0</v>
      </c>
    </row>
    <row r="1293" spans="1:9" x14ac:dyDescent="0.25">
      <c r="A1293" s="2" t="s">
        <v>963</v>
      </c>
      <c r="B1293" s="2" t="s">
        <v>962</v>
      </c>
      <c r="C1293" s="2" t="s">
        <v>791</v>
      </c>
      <c r="D1293" s="2" t="s">
        <v>1406</v>
      </c>
      <c r="E1293" s="2" t="s">
        <v>30</v>
      </c>
      <c r="F1293" s="9">
        <f t="shared" si="81"/>
        <v>0</v>
      </c>
      <c r="G1293" s="9">
        <f t="shared" si="82"/>
        <v>0</v>
      </c>
      <c r="H1293" s="9">
        <f t="shared" si="83"/>
        <v>0</v>
      </c>
      <c r="I1293" s="10">
        <f t="shared" si="84"/>
        <v>0</v>
      </c>
    </row>
    <row r="1294" spans="1:9" x14ac:dyDescent="0.25">
      <c r="A1294" s="2" t="s">
        <v>2839</v>
      </c>
      <c r="B1294" s="2" t="s">
        <v>2840</v>
      </c>
      <c r="C1294" s="2" t="s">
        <v>791</v>
      </c>
      <c r="D1294" s="2" t="s">
        <v>1406</v>
      </c>
      <c r="E1294" s="2" t="s">
        <v>30</v>
      </c>
      <c r="F1294" s="9">
        <f t="shared" si="81"/>
        <v>0</v>
      </c>
      <c r="G1294" s="9">
        <f t="shared" si="82"/>
        <v>10</v>
      </c>
      <c r="H1294" s="9">
        <f t="shared" si="83"/>
        <v>0</v>
      </c>
      <c r="I1294" s="10">
        <f t="shared" si="84"/>
        <v>10</v>
      </c>
    </row>
    <row r="1295" spans="1:9" x14ac:dyDescent="0.25">
      <c r="A1295" s="2" t="s">
        <v>965</v>
      </c>
      <c r="B1295" s="2" t="s">
        <v>964</v>
      </c>
      <c r="C1295" s="2" t="s">
        <v>791</v>
      </c>
      <c r="D1295" s="2" t="s">
        <v>1406</v>
      </c>
      <c r="E1295" s="2" t="s">
        <v>30</v>
      </c>
      <c r="F1295" s="9">
        <f t="shared" si="81"/>
        <v>0</v>
      </c>
      <c r="G1295" s="9">
        <f t="shared" si="82"/>
        <v>0</v>
      </c>
      <c r="H1295" s="9">
        <f t="shared" si="83"/>
        <v>0</v>
      </c>
      <c r="I1295" s="10">
        <f t="shared" si="84"/>
        <v>0</v>
      </c>
    </row>
    <row r="1296" spans="1:9" x14ac:dyDescent="0.25">
      <c r="A1296" s="2" t="s">
        <v>2841</v>
      </c>
      <c r="B1296" s="2" t="s">
        <v>2842</v>
      </c>
      <c r="C1296" s="2" t="s">
        <v>791</v>
      </c>
      <c r="D1296" s="2" t="s">
        <v>1406</v>
      </c>
      <c r="E1296" s="2" t="s">
        <v>30</v>
      </c>
      <c r="F1296" s="9">
        <f t="shared" si="81"/>
        <v>0</v>
      </c>
      <c r="G1296" s="9">
        <f t="shared" si="82"/>
        <v>28</v>
      </c>
      <c r="H1296" s="9">
        <f t="shared" si="83"/>
        <v>0</v>
      </c>
      <c r="I1296" s="10">
        <f t="shared" si="84"/>
        <v>28</v>
      </c>
    </row>
    <row r="1297" spans="1:9" x14ac:dyDescent="0.25">
      <c r="A1297" s="2" t="s">
        <v>967</v>
      </c>
      <c r="B1297" s="2" t="s">
        <v>966</v>
      </c>
      <c r="C1297" s="2" t="s">
        <v>791</v>
      </c>
      <c r="D1297" s="2" t="s">
        <v>1406</v>
      </c>
      <c r="E1297" s="2" t="s">
        <v>30</v>
      </c>
      <c r="F1297" s="9">
        <f t="shared" si="81"/>
        <v>0</v>
      </c>
      <c r="G1297" s="9">
        <f t="shared" si="82"/>
        <v>6</v>
      </c>
      <c r="H1297" s="9">
        <f t="shared" si="83"/>
        <v>0</v>
      </c>
      <c r="I1297" s="10">
        <f t="shared" si="84"/>
        <v>6</v>
      </c>
    </row>
    <row r="1298" spans="1:9" x14ac:dyDescent="0.25">
      <c r="A1298" s="2" t="s">
        <v>969</v>
      </c>
      <c r="B1298" s="2" t="s">
        <v>968</v>
      </c>
      <c r="C1298" s="2" t="s">
        <v>791</v>
      </c>
      <c r="D1298" s="2" t="s">
        <v>1406</v>
      </c>
      <c r="E1298" s="2" t="s">
        <v>30</v>
      </c>
      <c r="F1298" s="9">
        <f t="shared" si="81"/>
        <v>0</v>
      </c>
      <c r="G1298" s="9">
        <f t="shared" si="82"/>
        <v>0</v>
      </c>
      <c r="H1298" s="9">
        <f t="shared" si="83"/>
        <v>0</v>
      </c>
      <c r="I1298" s="10">
        <f t="shared" si="84"/>
        <v>0</v>
      </c>
    </row>
    <row r="1299" spans="1:9" x14ac:dyDescent="0.25">
      <c r="A1299" s="2" t="s">
        <v>971</v>
      </c>
      <c r="B1299" s="2" t="s">
        <v>970</v>
      </c>
      <c r="C1299" s="2" t="s">
        <v>791</v>
      </c>
      <c r="D1299" s="2" t="s">
        <v>1406</v>
      </c>
      <c r="E1299" s="2" t="s">
        <v>30</v>
      </c>
      <c r="F1299" s="9">
        <f t="shared" si="81"/>
        <v>0</v>
      </c>
      <c r="G1299" s="9">
        <f t="shared" si="82"/>
        <v>14</v>
      </c>
      <c r="H1299" s="9">
        <f t="shared" si="83"/>
        <v>0</v>
      </c>
      <c r="I1299" s="10">
        <f t="shared" si="84"/>
        <v>14</v>
      </c>
    </row>
    <row r="1300" spans="1:9" x14ac:dyDescent="0.25">
      <c r="A1300" s="2" t="s">
        <v>973</v>
      </c>
      <c r="B1300" s="2" t="s">
        <v>972</v>
      </c>
      <c r="C1300" s="2" t="s">
        <v>791</v>
      </c>
      <c r="D1300" s="2" t="s">
        <v>1406</v>
      </c>
      <c r="E1300" s="2" t="s">
        <v>30</v>
      </c>
      <c r="F1300" s="9">
        <f t="shared" si="81"/>
        <v>0</v>
      </c>
      <c r="G1300" s="9">
        <f t="shared" si="82"/>
        <v>8</v>
      </c>
      <c r="H1300" s="9">
        <f t="shared" si="83"/>
        <v>0</v>
      </c>
      <c r="I1300" s="10">
        <f t="shared" si="84"/>
        <v>8</v>
      </c>
    </row>
    <row r="1301" spans="1:9" x14ac:dyDescent="0.25">
      <c r="A1301" s="2" t="s">
        <v>2843</v>
      </c>
      <c r="B1301" s="2" t="s">
        <v>2844</v>
      </c>
      <c r="C1301" s="2" t="s">
        <v>791</v>
      </c>
      <c r="D1301" s="2" t="s">
        <v>1406</v>
      </c>
      <c r="E1301" s="2" t="s">
        <v>30</v>
      </c>
      <c r="F1301" s="9">
        <f t="shared" si="81"/>
        <v>0</v>
      </c>
      <c r="G1301" s="9">
        <f t="shared" si="82"/>
        <v>1</v>
      </c>
      <c r="H1301" s="9">
        <f t="shared" si="83"/>
        <v>0</v>
      </c>
      <c r="I1301" s="10">
        <f t="shared" si="84"/>
        <v>1</v>
      </c>
    </row>
    <row r="1302" spans="1:9" x14ac:dyDescent="0.25">
      <c r="A1302" s="2" t="s">
        <v>2845</v>
      </c>
      <c r="B1302" s="2" t="s">
        <v>2846</v>
      </c>
      <c r="C1302" s="2" t="s">
        <v>791</v>
      </c>
      <c r="D1302" s="2" t="s">
        <v>1406</v>
      </c>
      <c r="E1302" s="2" t="s">
        <v>30</v>
      </c>
      <c r="F1302" s="9">
        <f t="shared" si="81"/>
        <v>0</v>
      </c>
      <c r="G1302" s="9">
        <f t="shared" si="82"/>
        <v>2</v>
      </c>
      <c r="H1302" s="9">
        <f t="shared" si="83"/>
        <v>0</v>
      </c>
      <c r="I1302" s="10">
        <f t="shared" si="84"/>
        <v>2</v>
      </c>
    </row>
    <row r="1303" spans="1:9" x14ac:dyDescent="0.25">
      <c r="A1303" s="2" t="s">
        <v>975</v>
      </c>
      <c r="B1303" s="2" t="s">
        <v>974</v>
      </c>
      <c r="C1303" s="2" t="s">
        <v>791</v>
      </c>
      <c r="D1303" s="2" t="s">
        <v>1406</v>
      </c>
      <c r="E1303" s="2" t="s">
        <v>30</v>
      </c>
      <c r="F1303" s="9">
        <f t="shared" si="81"/>
        <v>0</v>
      </c>
      <c r="G1303" s="9">
        <f t="shared" si="82"/>
        <v>0</v>
      </c>
      <c r="H1303" s="9">
        <f t="shared" si="83"/>
        <v>0</v>
      </c>
      <c r="I1303" s="10">
        <f t="shared" si="84"/>
        <v>0</v>
      </c>
    </row>
    <row r="1304" spans="1:9" x14ac:dyDescent="0.25">
      <c r="A1304" s="2" t="s">
        <v>977</v>
      </c>
      <c r="B1304" s="2" t="s">
        <v>976</v>
      </c>
      <c r="C1304" s="2" t="s">
        <v>791</v>
      </c>
      <c r="D1304" s="2" t="s">
        <v>1406</v>
      </c>
      <c r="E1304" s="2" t="s">
        <v>30</v>
      </c>
      <c r="F1304" s="9">
        <f t="shared" si="81"/>
        <v>0</v>
      </c>
      <c r="G1304" s="9">
        <f t="shared" si="82"/>
        <v>2</v>
      </c>
      <c r="H1304" s="9">
        <f t="shared" si="83"/>
        <v>0</v>
      </c>
      <c r="I1304" s="10">
        <f t="shared" si="84"/>
        <v>2</v>
      </c>
    </row>
    <row r="1305" spans="1:9" x14ac:dyDescent="0.25">
      <c r="A1305" s="2" t="s">
        <v>2847</v>
      </c>
      <c r="B1305" s="2" t="s">
        <v>2848</v>
      </c>
      <c r="C1305" s="2" t="s">
        <v>791</v>
      </c>
      <c r="D1305" s="2" t="s">
        <v>1406</v>
      </c>
      <c r="E1305" s="2" t="s">
        <v>30</v>
      </c>
      <c r="F1305" s="9">
        <f t="shared" si="81"/>
        <v>0</v>
      </c>
      <c r="G1305" s="9">
        <f t="shared" si="82"/>
        <v>6</v>
      </c>
      <c r="H1305" s="9">
        <f t="shared" si="83"/>
        <v>0</v>
      </c>
      <c r="I1305" s="10">
        <f t="shared" si="84"/>
        <v>6</v>
      </c>
    </row>
    <row r="1306" spans="1:9" x14ac:dyDescent="0.25">
      <c r="A1306" s="2" t="s">
        <v>979</v>
      </c>
      <c r="B1306" s="2" t="s">
        <v>978</v>
      </c>
      <c r="C1306" s="2" t="s">
        <v>791</v>
      </c>
      <c r="D1306" s="2" t="s">
        <v>1406</v>
      </c>
      <c r="E1306" s="2" t="s">
        <v>30</v>
      </c>
      <c r="F1306" s="9">
        <f t="shared" si="81"/>
        <v>0</v>
      </c>
      <c r="G1306" s="9">
        <f t="shared" si="82"/>
        <v>8</v>
      </c>
      <c r="H1306" s="9">
        <f t="shared" si="83"/>
        <v>0</v>
      </c>
      <c r="I1306" s="10">
        <f t="shared" si="84"/>
        <v>8</v>
      </c>
    </row>
    <row r="1307" spans="1:9" x14ac:dyDescent="0.25">
      <c r="A1307" s="2" t="s">
        <v>981</v>
      </c>
      <c r="B1307" s="2" t="s">
        <v>980</v>
      </c>
      <c r="C1307" s="2" t="s">
        <v>791</v>
      </c>
      <c r="D1307" s="2" t="s">
        <v>1406</v>
      </c>
      <c r="E1307" s="2" t="s">
        <v>30</v>
      </c>
      <c r="F1307" s="9">
        <f t="shared" si="81"/>
        <v>0</v>
      </c>
      <c r="G1307" s="9">
        <f t="shared" si="82"/>
        <v>8</v>
      </c>
      <c r="H1307" s="9">
        <f t="shared" si="83"/>
        <v>0</v>
      </c>
      <c r="I1307" s="10">
        <f t="shared" si="84"/>
        <v>8</v>
      </c>
    </row>
    <row r="1308" spans="1:9" x14ac:dyDescent="0.25">
      <c r="A1308" s="2" t="s">
        <v>2849</v>
      </c>
      <c r="B1308" s="2" t="s">
        <v>2850</v>
      </c>
      <c r="C1308" s="2" t="s">
        <v>791</v>
      </c>
      <c r="D1308" s="2" t="s">
        <v>1406</v>
      </c>
      <c r="E1308" s="2" t="s">
        <v>30</v>
      </c>
      <c r="F1308" s="9">
        <f t="shared" si="81"/>
        <v>0</v>
      </c>
      <c r="G1308" s="9">
        <f t="shared" si="82"/>
        <v>3</v>
      </c>
      <c r="H1308" s="9">
        <f t="shared" si="83"/>
        <v>0</v>
      </c>
      <c r="I1308" s="10">
        <f t="shared" si="84"/>
        <v>3</v>
      </c>
    </row>
    <row r="1309" spans="1:9" x14ac:dyDescent="0.25">
      <c r="A1309" s="2" t="s">
        <v>985</v>
      </c>
      <c r="B1309" s="2" t="s">
        <v>984</v>
      </c>
      <c r="C1309" s="2" t="s">
        <v>791</v>
      </c>
      <c r="D1309" s="2" t="s">
        <v>1406</v>
      </c>
      <c r="E1309" s="2" t="s">
        <v>30</v>
      </c>
      <c r="F1309" s="9">
        <f t="shared" si="81"/>
        <v>0</v>
      </c>
      <c r="G1309" s="9">
        <f t="shared" si="82"/>
        <v>4</v>
      </c>
      <c r="H1309" s="9">
        <f t="shared" si="83"/>
        <v>0</v>
      </c>
      <c r="I1309" s="10">
        <f t="shared" si="84"/>
        <v>4</v>
      </c>
    </row>
    <row r="1310" spans="1:9" x14ac:dyDescent="0.25">
      <c r="A1310" s="2" t="s">
        <v>989</v>
      </c>
      <c r="B1310" s="2" t="s">
        <v>988</v>
      </c>
      <c r="C1310" s="2" t="s">
        <v>791</v>
      </c>
      <c r="D1310" s="2" t="s">
        <v>1406</v>
      </c>
      <c r="E1310" s="2" t="s">
        <v>30</v>
      </c>
      <c r="F1310" s="9">
        <f t="shared" si="81"/>
        <v>0</v>
      </c>
      <c r="G1310" s="9">
        <f t="shared" si="82"/>
        <v>0</v>
      </c>
      <c r="H1310" s="9">
        <f t="shared" si="83"/>
        <v>0</v>
      </c>
      <c r="I1310" s="10">
        <f t="shared" si="84"/>
        <v>0</v>
      </c>
    </row>
    <row r="1311" spans="1:9" x14ac:dyDescent="0.25">
      <c r="A1311" s="2" t="s">
        <v>991</v>
      </c>
      <c r="B1311" s="2" t="s">
        <v>990</v>
      </c>
      <c r="C1311" s="2" t="s">
        <v>791</v>
      </c>
      <c r="D1311" s="2" t="s">
        <v>1406</v>
      </c>
      <c r="E1311" s="2" t="s">
        <v>30</v>
      </c>
      <c r="F1311" s="9">
        <f t="shared" si="81"/>
        <v>0</v>
      </c>
      <c r="G1311" s="9">
        <f t="shared" si="82"/>
        <v>1</v>
      </c>
      <c r="H1311" s="9">
        <f t="shared" si="83"/>
        <v>0</v>
      </c>
      <c r="I1311" s="10">
        <f t="shared" si="84"/>
        <v>1</v>
      </c>
    </row>
    <row r="1312" spans="1:9" x14ac:dyDescent="0.25">
      <c r="A1312" s="2" t="s">
        <v>993</v>
      </c>
      <c r="B1312" s="2" t="s">
        <v>992</v>
      </c>
      <c r="C1312" s="2" t="s">
        <v>791</v>
      </c>
      <c r="D1312" s="2" t="s">
        <v>1406</v>
      </c>
      <c r="E1312" s="2" t="s">
        <v>30</v>
      </c>
      <c r="F1312" s="9">
        <f t="shared" si="81"/>
        <v>0</v>
      </c>
      <c r="G1312" s="9">
        <f t="shared" si="82"/>
        <v>0</v>
      </c>
      <c r="H1312" s="9">
        <f t="shared" si="83"/>
        <v>0</v>
      </c>
      <c r="I1312" s="10">
        <f t="shared" si="84"/>
        <v>0</v>
      </c>
    </row>
    <row r="1313" spans="1:9" x14ac:dyDescent="0.25">
      <c r="A1313" s="2" t="s">
        <v>995</v>
      </c>
      <c r="B1313" s="2" t="s">
        <v>994</v>
      </c>
      <c r="C1313" s="2" t="s">
        <v>791</v>
      </c>
      <c r="D1313" s="2" t="s">
        <v>1406</v>
      </c>
      <c r="E1313" s="2" t="s">
        <v>30</v>
      </c>
      <c r="F1313" s="9">
        <f t="shared" si="81"/>
        <v>0</v>
      </c>
      <c r="G1313" s="9">
        <f t="shared" si="82"/>
        <v>6</v>
      </c>
      <c r="H1313" s="9">
        <f t="shared" si="83"/>
        <v>0</v>
      </c>
      <c r="I1313" s="10">
        <f t="shared" si="84"/>
        <v>6</v>
      </c>
    </row>
    <row r="1314" spans="1:9" x14ac:dyDescent="0.25">
      <c r="A1314" s="2" t="s">
        <v>997</v>
      </c>
      <c r="B1314" s="2" t="s">
        <v>996</v>
      </c>
      <c r="C1314" s="2" t="s">
        <v>791</v>
      </c>
      <c r="D1314" s="2" t="s">
        <v>1406</v>
      </c>
      <c r="E1314" s="2" t="s">
        <v>30</v>
      </c>
      <c r="F1314" s="9">
        <f t="shared" si="81"/>
        <v>0</v>
      </c>
      <c r="G1314" s="9">
        <f t="shared" si="82"/>
        <v>1</v>
      </c>
      <c r="H1314" s="9">
        <f t="shared" si="83"/>
        <v>0</v>
      </c>
      <c r="I1314" s="10">
        <f t="shared" si="84"/>
        <v>1</v>
      </c>
    </row>
    <row r="1315" spans="1:9" x14ac:dyDescent="0.25">
      <c r="A1315" s="2" t="s">
        <v>1001</v>
      </c>
      <c r="B1315" s="2" t="s">
        <v>1000</v>
      </c>
      <c r="C1315" s="2" t="s">
        <v>791</v>
      </c>
      <c r="D1315" s="2" t="s">
        <v>1406</v>
      </c>
      <c r="E1315" s="2" t="s">
        <v>30</v>
      </c>
      <c r="F1315" s="9">
        <f t="shared" si="81"/>
        <v>0</v>
      </c>
      <c r="G1315" s="9">
        <f t="shared" si="82"/>
        <v>6</v>
      </c>
      <c r="H1315" s="9">
        <f t="shared" si="83"/>
        <v>0</v>
      </c>
      <c r="I1315" s="10">
        <f t="shared" si="84"/>
        <v>6</v>
      </c>
    </row>
    <row r="1316" spans="1:9" x14ac:dyDescent="0.25">
      <c r="A1316" s="2" t="s">
        <v>2851</v>
      </c>
      <c r="B1316" s="2" t="s">
        <v>2852</v>
      </c>
      <c r="C1316" s="2" t="s">
        <v>791</v>
      </c>
      <c r="D1316" s="2" t="s">
        <v>1406</v>
      </c>
      <c r="E1316" s="2" t="s">
        <v>30</v>
      </c>
      <c r="F1316" s="9">
        <f t="shared" si="81"/>
        <v>0</v>
      </c>
      <c r="G1316" s="9">
        <f t="shared" si="82"/>
        <v>1</v>
      </c>
      <c r="H1316" s="9">
        <f t="shared" si="83"/>
        <v>0</v>
      </c>
      <c r="I1316" s="10">
        <f t="shared" si="84"/>
        <v>1</v>
      </c>
    </row>
    <row r="1317" spans="1:9" x14ac:dyDescent="0.25">
      <c r="A1317" s="2" t="s">
        <v>1003</v>
      </c>
      <c r="B1317" s="2" t="s">
        <v>1002</v>
      </c>
      <c r="C1317" s="2" t="s">
        <v>791</v>
      </c>
      <c r="D1317" s="2" t="s">
        <v>1406</v>
      </c>
      <c r="E1317" s="2" t="s">
        <v>30</v>
      </c>
      <c r="F1317" s="9">
        <f t="shared" si="81"/>
        <v>0</v>
      </c>
      <c r="G1317" s="9">
        <f t="shared" si="82"/>
        <v>0</v>
      </c>
      <c r="H1317" s="9">
        <f t="shared" si="83"/>
        <v>0</v>
      </c>
      <c r="I1317" s="10">
        <f t="shared" si="84"/>
        <v>0</v>
      </c>
    </row>
    <row r="1318" spans="1:9" x14ac:dyDescent="0.25">
      <c r="A1318" s="2" t="s">
        <v>2853</v>
      </c>
      <c r="B1318" s="2" t="s">
        <v>2854</v>
      </c>
      <c r="C1318" s="2" t="s">
        <v>791</v>
      </c>
      <c r="D1318" s="2" t="s">
        <v>1406</v>
      </c>
      <c r="E1318" s="2" t="s">
        <v>30</v>
      </c>
      <c r="F1318" s="9">
        <f t="shared" si="81"/>
        <v>0</v>
      </c>
      <c r="G1318" s="9">
        <f t="shared" si="82"/>
        <v>1</v>
      </c>
      <c r="H1318" s="9">
        <f t="shared" si="83"/>
        <v>0</v>
      </c>
      <c r="I1318" s="10">
        <f t="shared" si="84"/>
        <v>1</v>
      </c>
    </row>
    <row r="1319" spans="1:9" x14ac:dyDescent="0.25">
      <c r="A1319" s="2" t="s">
        <v>1005</v>
      </c>
      <c r="B1319" s="2" t="s">
        <v>1004</v>
      </c>
      <c r="C1319" s="2" t="s">
        <v>791</v>
      </c>
      <c r="D1319" s="2" t="s">
        <v>1406</v>
      </c>
      <c r="E1319" s="2" t="s">
        <v>30</v>
      </c>
      <c r="F1319" s="9">
        <f t="shared" si="81"/>
        <v>0</v>
      </c>
      <c r="G1319" s="9">
        <f t="shared" si="82"/>
        <v>3</v>
      </c>
      <c r="H1319" s="9">
        <f t="shared" si="83"/>
        <v>0</v>
      </c>
      <c r="I1319" s="10">
        <f t="shared" si="84"/>
        <v>3</v>
      </c>
    </row>
    <row r="1320" spans="1:9" x14ac:dyDescent="0.25">
      <c r="A1320" s="2" t="s">
        <v>2855</v>
      </c>
      <c r="B1320" s="2" t="s">
        <v>2856</v>
      </c>
      <c r="C1320" s="2" t="s">
        <v>791</v>
      </c>
      <c r="D1320" s="2" t="s">
        <v>1406</v>
      </c>
      <c r="E1320" s="2" t="s">
        <v>30</v>
      </c>
      <c r="F1320" s="9">
        <f t="shared" si="81"/>
        <v>0</v>
      </c>
      <c r="G1320" s="9">
        <f t="shared" si="82"/>
        <v>2</v>
      </c>
      <c r="H1320" s="9">
        <f t="shared" si="83"/>
        <v>0</v>
      </c>
      <c r="I1320" s="10">
        <f t="shared" si="84"/>
        <v>2</v>
      </c>
    </row>
    <row r="1321" spans="1:9" x14ac:dyDescent="0.25">
      <c r="A1321" s="2" t="s">
        <v>2857</v>
      </c>
      <c r="B1321" s="2" t="s">
        <v>2858</v>
      </c>
      <c r="C1321" s="2" t="s">
        <v>791</v>
      </c>
      <c r="D1321" s="2" t="s">
        <v>1406</v>
      </c>
      <c r="E1321" s="2" t="s">
        <v>30</v>
      </c>
      <c r="F1321" s="9">
        <f t="shared" si="81"/>
        <v>0</v>
      </c>
      <c r="G1321" s="9">
        <f t="shared" si="82"/>
        <v>6</v>
      </c>
      <c r="H1321" s="9">
        <f t="shared" si="83"/>
        <v>0</v>
      </c>
      <c r="I1321" s="10">
        <f t="shared" si="84"/>
        <v>6</v>
      </c>
    </row>
    <row r="1322" spans="1:9" x14ac:dyDescent="0.25">
      <c r="A1322" s="2" t="s">
        <v>2859</v>
      </c>
      <c r="B1322" s="2" t="s">
        <v>2860</v>
      </c>
      <c r="C1322" s="2" t="s">
        <v>791</v>
      </c>
      <c r="D1322" s="2" t="s">
        <v>1406</v>
      </c>
      <c r="E1322" s="2" t="s">
        <v>30</v>
      </c>
      <c r="F1322" s="9">
        <f t="shared" si="81"/>
        <v>0</v>
      </c>
      <c r="G1322" s="9">
        <f t="shared" si="82"/>
        <v>16</v>
      </c>
      <c r="H1322" s="9">
        <f t="shared" si="83"/>
        <v>0</v>
      </c>
      <c r="I1322" s="10">
        <f t="shared" si="84"/>
        <v>16</v>
      </c>
    </row>
    <row r="1323" spans="1:9" x14ac:dyDescent="0.25">
      <c r="A1323" s="2" t="s">
        <v>1007</v>
      </c>
      <c r="B1323" s="2" t="s">
        <v>1006</v>
      </c>
      <c r="C1323" s="2" t="s">
        <v>791</v>
      </c>
      <c r="D1323" s="2" t="s">
        <v>1406</v>
      </c>
      <c r="E1323" s="2" t="s">
        <v>30</v>
      </c>
      <c r="F1323" s="9">
        <f t="shared" si="81"/>
        <v>0</v>
      </c>
      <c r="G1323" s="9">
        <f t="shared" si="82"/>
        <v>2</v>
      </c>
      <c r="H1323" s="9">
        <f t="shared" si="83"/>
        <v>0</v>
      </c>
      <c r="I1323" s="10">
        <f t="shared" si="84"/>
        <v>2</v>
      </c>
    </row>
    <row r="1324" spans="1:9" x14ac:dyDescent="0.25">
      <c r="A1324" s="2" t="s">
        <v>1009</v>
      </c>
      <c r="B1324" s="2" t="s">
        <v>1008</v>
      </c>
      <c r="C1324" s="2" t="s">
        <v>791</v>
      </c>
      <c r="D1324" s="2" t="s">
        <v>1406</v>
      </c>
      <c r="E1324" s="2" t="s">
        <v>30</v>
      </c>
      <c r="F1324" s="9">
        <f t="shared" si="81"/>
        <v>0</v>
      </c>
      <c r="G1324" s="9">
        <f t="shared" si="82"/>
        <v>6</v>
      </c>
      <c r="H1324" s="9">
        <f t="shared" si="83"/>
        <v>0</v>
      </c>
      <c r="I1324" s="10">
        <f t="shared" si="84"/>
        <v>6</v>
      </c>
    </row>
    <row r="1325" spans="1:9" x14ac:dyDescent="0.25">
      <c r="A1325" s="2" t="s">
        <v>1013</v>
      </c>
      <c r="B1325" s="2" t="s">
        <v>1012</v>
      </c>
      <c r="C1325" s="2" t="s">
        <v>791</v>
      </c>
      <c r="D1325" s="2" t="s">
        <v>1406</v>
      </c>
      <c r="E1325" s="2" t="s">
        <v>30</v>
      </c>
      <c r="F1325" s="9">
        <f t="shared" si="81"/>
        <v>0</v>
      </c>
      <c r="G1325" s="9">
        <f t="shared" si="82"/>
        <v>8</v>
      </c>
      <c r="H1325" s="9">
        <f t="shared" si="83"/>
        <v>0</v>
      </c>
      <c r="I1325" s="10">
        <f t="shared" si="84"/>
        <v>8</v>
      </c>
    </row>
    <row r="1326" spans="1:9" x14ac:dyDescent="0.25">
      <c r="A1326" s="2" t="s">
        <v>1015</v>
      </c>
      <c r="B1326" s="2" t="s">
        <v>1014</v>
      </c>
      <c r="C1326" s="2" t="s">
        <v>791</v>
      </c>
      <c r="D1326" s="2" t="s">
        <v>1406</v>
      </c>
      <c r="E1326" s="2" t="s">
        <v>30</v>
      </c>
      <c r="F1326" s="9">
        <f t="shared" si="81"/>
        <v>6</v>
      </c>
      <c r="G1326" s="9">
        <f t="shared" si="82"/>
        <v>9</v>
      </c>
      <c r="H1326" s="9">
        <f t="shared" si="83"/>
        <v>0</v>
      </c>
      <c r="I1326" s="10">
        <f t="shared" si="84"/>
        <v>15</v>
      </c>
    </row>
    <row r="1327" spans="1:9" x14ac:dyDescent="0.25">
      <c r="A1327" s="2" t="s">
        <v>1017</v>
      </c>
      <c r="B1327" s="2" t="s">
        <v>1016</v>
      </c>
      <c r="C1327" s="2" t="s">
        <v>791</v>
      </c>
      <c r="D1327" s="2" t="s">
        <v>1406</v>
      </c>
      <c r="E1327" s="2" t="s">
        <v>30</v>
      </c>
      <c r="F1327" s="9">
        <f t="shared" si="81"/>
        <v>0</v>
      </c>
      <c r="G1327" s="9">
        <f t="shared" si="82"/>
        <v>3</v>
      </c>
      <c r="H1327" s="9">
        <f t="shared" si="83"/>
        <v>0</v>
      </c>
      <c r="I1327" s="10">
        <f t="shared" si="84"/>
        <v>3</v>
      </c>
    </row>
    <row r="1328" spans="1:9" x14ac:dyDescent="0.25">
      <c r="A1328" s="2" t="s">
        <v>2861</v>
      </c>
      <c r="B1328" s="2" t="s">
        <v>2862</v>
      </c>
      <c r="C1328" s="2" t="s">
        <v>791</v>
      </c>
      <c r="D1328" s="2" t="s">
        <v>1406</v>
      </c>
      <c r="E1328" s="2" t="s">
        <v>30</v>
      </c>
      <c r="F1328" s="9">
        <f t="shared" si="81"/>
        <v>0</v>
      </c>
      <c r="G1328" s="9">
        <f t="shared" si="82"/>
        <v>16</v>
      </c>
      <c r="H1328" s="9">
        <f t="shared" si="83"/>
        <v>0</v>
      </c>
      <c r="I1328" s="10">
        <f t="shared" si="84"/>
        <v>16</v>
      </c>
    </row>
    <row r="1329" spans="1:9" x14ac:dyDescent="0.25">
      <c r="A1329" s="2" t="s">
        <v>2863</v>
      </c>
      <c r="B1329" s="2" t="s">
        <v>2864</v>
      </c>
      <c r="C1329" s="2" t="s">
        <v>791</v>
      </c>
      <c r="D1329" s="2" t="s">
        <v>1406</v>
      </c>
      <c r="E1329" s="2" t="s">
        <v>30</v>
      </c>
      <c r="F1329" s="9">
        <f t="shared" si="81"/>
        <v>0</v>
      </c>
      <c r="G1329" s="9">
        <f t="shared" si="82"/>
        <v>10</v>
      </c>
      <c r="H1329" s="9">
        <f t="shared" si="83"/>
        <v>0</v>
      </c>
      <c r="I1329" s="10">
        <f t="shared" si="84"/>
        <v>10</v>
      </c>
    </row>
    <row r="1330" spans="1:9" x14ac:dyDescent="0.25">
      <c r="A1330" s="2" t="s">
        <v>1019</v>
      </c>
      <c r="B1330" s="2" t="s">
        <v>1018</v>
      </c>
      <c r="C1330" s="2" t="s">
        <v>791</v>
      </c>
      <c r="D1330" s="2" t="s">
        <v>1406</v>
      </c>
      <c r="E1330" s="2" t="s">
        <v>30</v>
      </c>
      <c r="F1330" s="9">
        <f t="shared" si="81"/>
        <v>0</v>
      </c>
      <c r="G1330" s="9">
        <f t="shared" si="82"/>
        <v>10</v>
      </c>
      <c r="H1330" s="9">
        <f t="shared" si="83"/>
        <v>0</v>
      </c>
      <c r="I1330" s="10">
        <f t="shared" si="84"/>
        <v>10</v>
      </c>
    </row>
    <row r="1331" spans="1:9" x14ac:dyDescent="0.25">
      <c r="A1331" s="2" t="s">
        <v>2865</v>
      </c>
      <c r="B1331" s="2" t="s">
        <v>2866</v>
      </c>
      <c r="C1331" s="2" t="s">
        <v>791</v>
      </c>
      <c r="D1331" s="2" t="s">
        <v>1406</v>
      </c>
      <c r="E1331" s="2" t="s">
        <v>30</v>
      </c>
      <c r="F1331" s="9">
        <f t="shared" si="81"/>
        <v>0</v>
      </c>
      <c r="G1331" s="9">
        <f t="shared" si="82"/>
        <v>55</v>
      </c>
      <c r="H1331" s="9">
        <f t="shared" si="83"/>
        <v>0</v>
      </c>
      <c r="I1331" s="10">
        <f t="shared" si="84"/>
        <v>55</v>
      </c>
    </row>
    <row r="1332" spans="1:9" x14ac:dyDescent="0.25">
      <c r="A1332" s="2" t="s">
        <v>1021</v>
      </c>
      <c r="B1332" s="2" t="s">
        <v>1020</v>
      </c>
      <c r="C1332" s="2" t="s">
        <v>791</v>
      </c>
      <c r="D1332" s="2" t="s">
        <v>1406</v>
      </c>
      <c r="E1332" s="2" t="s">
        <v>30</v>
      </c>
      <c r="F1332" s="9">
        <f t="shared" si="81"/>
        <v>0</v>
      </c>
      <c r="G1332" s="9">
        <f t="shared" si="82"/>
        <v>6</v>
      </c>
      <c r="H1332" s="9">
        <f t="shared" si="83"/>
        <v>0</v>
      </c>
      <c r="I1332" s="10">
        <f t="shared" si="84"/>
        <v>6</v>
      </c>
    </row>
    <row r="1333" spans="1:9" x14ac:dyDescent="0.25">
      <c r="A1333" s="2" t="s">
        <v>1023</v>
      </c>
      <c r="B1333" s="2" t="s">
        <v>1022</v>
      </c>
      <c r="C1333" s="2" t="s">
        <v>791</v>
      </c>
      <c r="D1333" s="2" t="s">
        <v>1406</v>
      </c>
      <c r="E1333" s="2" t="s">
        <v>30</v>
      </c>
      <c r="F1333" s="9">
        <f t="shared" si="81"/>
        <v>43</v>
      </c>
      <c r="G1333" s="9">
        <f t="shared" si="82"/>
        <v>0</v>
      </c>
      <c r="H1333" s="9">
        <f t="shared" si="83"/>
        <v>0</v>
      </c>
      <c r="I1333" s="10">
        <f t="shared" si="84"/>
        <v>43</v>
      </c>
    </row>
    <row r="1334" spans="1:9" x14ac:dyDescent="0.25">
      <c r="A1334" s="2" t="s">
        <v>2867</v>
      </c>
      <c r="B1334" s="2" t="s">
        <v>2868</v>
      </c>
      <c r="C1334" s="2" t="s">
        <v>791</v>
      </c>
      <c r="D1334" s="2" t="s">
        <v>1406</v>
      </c>
      <c r="E1334" s="2" t="s">
        <v>30</v>
      </c>
      <c r="F1334" s="9">
        <f t="shared" si="81"/>
        <v>0</v>
      </c>
      <c r="G1334" s="9">
        <f t="shared" si="82"/>
        <v>36</v>
      </c>
      <c r="H1334" s="9">
        <f t="shared" si="83"/>
        <v>0</v>
      </c>
      <c r="I1334" s="10">
        <f t="shared" si="84"/>
        <v>36</v>
      </c>
    </row>
    <row r="1335" spans="1:9" x14ac:dyDescent="0.25">
      <c r="A1335" s="2" t="s">
        <v>2869</v>
      </c>
      <c r="B1335" s="2" t="s">
        <v>2870</v>
      </c>
      <c r="C1335" s="2" t="s">
        <v>791</v>
      </c>
      <c r="D1335" s="2" t="s">
        <v>1406</v>
      </c>
      <c r="E1335" s="2" t="s">
        <v>30</v>
      </c>
      <c r="F1335" s="9">
        <f t="shared" si="81"/>
        <v>0</v>
      </c>
      <c r="G1335" s="9">
        <f t="shared" si="82"/>
        <v>1</v>
      </c>
      <c r="H1335" s="9">
        <f t="shared" si="83"/>
        <v>0</v>
      </c>
      <c r="I1335" s="10">
        <f t="shared" si="84"/>
        <v>1</v>
      </c>
    </row>
    <row r="1336" spans="1:9" x14ac:dyDescent="0.25">
      <c r="A1336" s="2" t="s">
        <v>2871</v>
      </c>
      <c r="B1336" s="2" t="s">
        <v>2872</v>
      </c>
      <c r="C1336" s="2" t="s">
        <v>791</v>
      </c>
      <c r="D1336" s="2" t="s">
        <v>1406</v>
      </c>
      <c r="E1336" s="2" t="s">
        <v>30</v>
      </c>
      <c r="F1336" s="9">
        <f t="shared" si="81"/>
        <v>0</v>
      </c>
      <c r="G1336" s="9">
        <f t="shared" si="82"/>
        <v>7</v>
      </c>
      <c r="H1336" s="9">
        <f t="shared" si="83"/>
        <v>0</v>
      </c>
      <c r="I1336" s="10">
        <f t="shared" si="84"/>
        <v>7</v>
      </c>
    </row>
    <row r="1337" spans="1:9" x14ac:dyDescent="0.25">
      <c r="A1337" s="2" t="s">
        <v>2873</v>
      </c>
      <c r="B1337" s="2" t="s">
        <v>2874</v>
      </c>
      <c r="C1337" s="2" t="s">
        <v>791</v>
      </c>
      <c r="D1337" s="2" t="s">
        <v>1406</v>
      </c>
      <c r="E1337" s="2" t="s">
        <v>30</v>
      </c>
      <c r="F1337" s="9">
        <f t="shared" si="81"/>
        <v>0</v>
      </c>
      <c r="G1337" s="9">
        <f t="shared" si="82"/>
        <v>24</v>
      </c>
      <c r="H1337" s="9">
        <f t="shared" si="83"/>
        <v>0</v>
      </c>
      <c r="I1337" s="10">
        <f t="shared" si="84"/>
        <v>24</v>
      </c>
    </row>
    <row r="1338" spans="1:9" x14ac:dyDescent="0.25">
      <c r="A1338" s="2" t="s">
        <v>2875</v>
      </c>
      <c r="B1338" s="2" t="s">
        <v>2876</v>
      </c>
      <c r="C1338" s="2" t="s">
        <v>791</v>
      </c>
      <c r="D1338" s="2" t="s">
        <v>1406</v>
      </c>
      <c r="E1338" s="2" t="s">
        <v>30</v>
      </c>
      <c r="F1338" s="9">
        <f t="shared" si="81"/>
        <v>0</v>
      </c>
      <c r="G1338" s="9">
        <f t="shared" si="82"/>
        <v>30</v>
      </c>
      <c r="H1338" s="9">
        <f t="shared" si="83"/>
        <v>0</v>
      </c>
      <c r="I1338" s="10">
        <f t="shared" si="84"/>
        <v>30</v>
      </c>
    </row>
    <row r="1339" spans="1:9" x14ac:dyDescent="0.25">
      <c r="A1339" s="2" t="s">
        <v>1025</v>
      </c>
      <c r="B1339" s="2" t="s">
        <v>1024</v>
      </c>
      <c r="C1339" s="2" t="s">
        <v>791</v>
      </c>
      <c r="D1339" s="2" t="s">
        <v>1406</v>
      </c>
      <c r="E1339" s="2" t="s">
        <v>30</v>
      </c>
      <c r="F1339" s="9">
        <f t="shared" si="81"/>
        <v>0</v>
      </c>
      <c r="G1339" s="9">
        <f t="shared" si="82"/>
        <v>0</v>
      </c>
      <c r="H1339" s="9">
        <f t="shared" si="83"/>
        <v>0</v>
      </c>
      <c r="I1339" s="10">
        <f t="shared" si="84"/>
        <v>0</v>
      </c>
    </row>
    <row r="1340" spans="1:9" x14ac:dyDescent="0.25">
      <c r="A1340" s="2" t="s">
        <v>1027</v>
      </c>
      <c r="B1340" s="2" t="s">
        <v>1026</v>
      </c>
      <c r="C1340" s="2" t="s">
        <v>791</v>
      </c>
      <c r="D1340" s="2" t="s">
        <v>1406</v>
      </c>
      <c r="E1340" s="2" t="s">
        <v>30</v>
      </c>
      <c r="F1340" s="9">
        <f t="shared" si="81"/>
        <v>0</v>
      </c>
      <c r="G1340" s="9">
        <f t="shared" si="82"/>
        <v>0</v>
      </c>
      <c r="H1340" s="9">
        <f t="shared" si="83"/>
        <v>0</v>
      </c>
      <c r="I1340" s="10">
        <f t="shared" si="84"/>
        <v>0</v>
      </c>
    </row>
    <row r="1341" spans="1:9" x14ac:dyDescent="0.25">
      <c r="A1341" s="2" t="s">
        <v>2877</v>
      </c>
      <c r="B1341" s="2" t="s">
        <v>2878</v>
      </c>
      <c r="C1341" s="2" t="s">
        <v>791</v>
      </c>
      <c r="D1341" s="2" t="s">
        <v>1406</v>
      </c>
      <c r="E1341" s="2" t="s">
        <v>30</v>
      </c>
      <c r="F1341" s="9">
        <f t="shared" si="81"/>
        <v>0</v>
      </c>
      <c r="G1341" s="9">
        <f t="shared" si="82"/>
        <v>5</v>
      </c>
      <c r="H1341" s="9">
        <f t="shared" si="83"/>
        <v>0</v>
      </c>
      <c r="I1341" s="10">
        <f t="shared" si="84"/>
        <v>5</v>
      </c>
    </row>
    <row r="1342" spans="1:9" x14ac:dyDescent="0.25">
      <c r="A1342" s="2" t="s">
        <v>1029</v>
      </c>
      <c r="B1342" s="2" t="s">
        <v>1028</v>
      </c>
      <c r="C1342" s="2" t="s">
        <v>1030</v>
      </c>
      <c r="D1342" s="2" t="s">
        <v>1406</v>
      </c>
      <c r="E1342" s="2" t="s">
        <v>1031</v>
      </c>
      <c r="F1342" s="9">
        <f t="shared" si="81"/>
        <v>0</v>
      </c>
      <c r="G1342" s="9">
        <f t="shared" si="82"/>
        <v>0</v>
      </c>
      <c r="H1342" s="9">
        <f t="shared" si="83"/>
        <v>0</v>
      </c>
      <c r="I1342" s="10">
        <f t="shared" si="84"/>
        <v>0</v>
      </c>
    </row>
    <row r="1343" spans="1:9" x14ac:dyDescent="0.25">
      <c r="A1343" s="2" t="s">
        <v>1033</v>
      </c>
      <c r="B1343" s="7" t="s">
        <v>1032</v>
      </c>
      <c r="C1343" s="2" t="s">
        <v>1030</v>
      </c>
      <c r="D1343" s="2" t="s">
        <v>1406</v>
      </c>
      <c r="E1343" s="2" t="s">
        <v>1031</v>
      </c>
      <c r="F1343" s="9">
        <f t="shared" ref="F1343:F1403" si="85">IFERROR(VLOOKUP(A1343,condi,8,0),0)</f>
        <v>0</v>
      </c>
      <c r="G1343" s="9">
        <f t="shared" ref="G1343:G1403" si="86">IFERROR(VLOOKUP(A1343,maqui,8,0),0)</f>
        <v>2.2400000000000002</v>
      </c>
      <c r="H1343" s="9">
        <f t="shared" ref="H1343:H1403" si="87">IFERROR(VLOOKUP(A1343,ascint,8,0),0)</f>
        <v>0</v>
      </c>
      <c r="I1343" s="10">
        <f t="shared" si="84"/>
        <v>2.2400000000000002</v>
      </c>
    </row>
    <row r="1344" spans="1:9" x14ac:dyDescent="0.25">
      <c r="A1344" s="2" t="s">
        <v>1035</v>
      </c>
      <c r="B1344" s="2" t="s">
        <v>1034</v>
      </c>
      <c r="C1344" s="2" t="s">
        <v>1030</v>
      </c>
      <c r="D1344" s="2" t="s">
        <v>1406</v>
      </c>
      <c r="E1344" s="2" t="s">
        <v>1031</v>
      </c>
      <c r="F1344" s="9">
        <f t="shared" si="85"/>
        <v>0</v>
      </c>
      <c r="G1344" s="9">
        <f t="shared" si="86"/>
        <v>0</v>
      </c>
      <c r="H1344" s="9">
        <f t="shared" si="87"/>
        <v>0</v>
      </c>
      <c r="I1344" s="10">
        <f t="shared" si="84"/>
        <v>0</v>
      </c>
    </row>
    <row r="1345" spans="1:9" x14ac:dyDescent="0.25">
      <c r="A1345" s="2" t="s">
        <v>1037</v>
      </c>
      <c r="B1345" s="2" t="s">
        <v>1036</v>
      </c>
      <c r="C1345" s="2" t="s">
        <v>1030</v>
      </c>
      <c r="D1345" s="2" t="s">
        <v>1406</v>
      </c>
      <c r="E1345" s="2" t="s">
        <v>1031</v>
      </c>
      <c r="F1345" s="9">
        <f t="shared" si="85"/>
        <v>0</v>
      </c>
      <c r="G1345" s="9">
        <f t="shared" si="86"/>
        <v>0</v>
      </c>
      <c r="H1345" s="9">
        <f t="shared" si="87"/>
        <v>0</v>
      </c>
      <c r="I1345" s="10">
        <f t="shared" si="84"/>
        <v>0</v>
      </c>
    </row>
    <row r="1346" spans="1:9" x14ac:dyDescent="0.25">
      <c r="A1346" s="2" t="s">
        <v>1039</v>
      </c>
      <c r="B1346" s="2" t="s">
        <v>1038</v>
      </c>
      <c r="C1346" s="2" t="s">
        <v>1030</v>
      </c>
      <c r="D1346" s="2" t="s">
        <v>1406</v>
      </c>
      <c r="E1346" s="2" t="s">
        <v>1031</v>
      </c>
      <c r="F1346" s="9">
        <f t="shared" si="85"/>
        <v>0</v>
      </c>
      <c r="G1346" s="9">
        <f t="shared" si="86"/>
        <v>0</v>
      </c>
      <c r="H1346" s="9">
        <f t="shared" si="87"/>
        <v>0</v>
      </c>
      <c r="I1346" s="10">
        <f t="shared" si="84"/>
        <v>0</v>
      </c>
    </row>
    <row r="1347" spans="1:9" x14ac:dyDescent="0.25">
      <c r="A1347" s="2" t="s">
        <v>1041</v>
      </c>
      <c r="B1347" s="2" t="s">
        <v>1040</v>
      </c>
      <c r="C1347" s="2" t="s">
        <v>1030</v>
      </c>
      <c r="D1347" s="2" t="s">
        <v>1406</v>
      </c>
      <c r="E1347" s="2" t="s">
        <v>1031</v>
      </c>
      <c r="F1347" s="9">
        <f t="shared" si="85"/>
        <v>0</v>
      </c>
      <c r="G1347" s="9">
        <f t="shared" si="86"/>
        <v>0</v>
      </c>
      <c r="H1347" s="9">
        <f t="shared" si="87"/>
        <v>0</v>
      </c>
      <c r="I1347" s="10">
        <f t="shared" si="84"/>
        <v>0</v>
      </c>
    </row>
    <row r="1348" spans="1:9" x14ac:dyDescent="0.25">
      <c r="A1348" s="2" t="s">
        <v>2879</v>
      </c>
      <c r="B1348" s="2" t="s">
        <v>2880</v>
      </c>
      <c r="C1348" s="2" t="s">
        <v>1030</v>
      </c>
      <c r="D1348" s="2" t="s">
        <v>1406</v>
      </c>
      <c r="E1348" s="2" t="s">
        <v>1031</v>
      </c>
      <c r="F1348" s="9">
        <f t="shared" si="85"/>
        <v>1E-4</v>
      </c>
      <c r="G1348" s="9">
        <f t="shared" si="86"/>
        <v>544.67999999999995</v>
      </c>
      <c r="H1348" s="9">
        <f t="shared" si="87"/>
        <v>0</v>
      </c>
      <c r="I1348" s="10">
        <f t="shared" si="84"/>
        <v>544.68009999999992</v>
      </c>
    </row>
    <row r="1349" spans="1:9" x14ac:dyDescent="0.25">
      <c r="A1349" s="2" t="s">
        <v>2881</v>
      </c>
      <c r="B1349" s="2" t="s">
        <v>2882</v>
      </c>
      <c r="C1349" s="2" t="s">
        <v>1030</v>
      </c>
      <c r="D1349" s="2" t="s">
        <v>1406</v>
      </c>
      <c r="E1349" s="2" t="s">
        <v>1031</v>
      </c>
      <c r="F1349" s="9">
        <f t="shared" si="85"/>
        <v>0</v>
      </c>
      <c r="G1349" s="9">
        <f t="shared" si="86"/>
        <v>158.11000000000001</v>
      </c>
      <c r="H1349" s="9">
        <f t="shared" si="87"/>
        <v>0</v>
      </c>
      <c r="I1349" s="10">
        <f t="shared" ref="I1349:I1405" si="88">+F1349+G1349+H1349</f>
        <v>158.11000000000001</v>
      </c>
    </row>
    <row r="1350" spans="1:9" x14ac:dyDescent="0.25">
      <c r="A1350" s="2" t="s">
        <v>2883</v>
      </c>
      <c r="B1350" s="7" t="s">
        <v>2884</v>
      </c>
      <c r="C1350" s="2" t="s">
        <v>1030</v>
      </c>
      <c r="D1350" s="2" t="s">
        <v>1406</v>
      </c>
      <c r="E1350" s="2" t="s">
        <v>1031</v>
      </c>
      <c r="F1350" s="9">
        <f t="shared" si="85"/>
        <v>0</v>
      </c>
      <c r="G1350" s="9">
        <f t="shared" si="86"/>
        <v>4.7300000000000004</v>
      </c>
      <c r="H1350" s="9">
        <f t="shared" si="87"/>
        <v>0</v>
      </c>
      <c r="I1350" s="10">
        <f t="shared" si="88"/>
        <v>4.7300000000000004</v>
      </c>
    </row>
    <row r="1351" spans="1:9" x14ac:dyDescent="0.25">
      <c r="A1351" s="2" t="s">
        <v>2885</v>
      </c>
      <c r="B1351" s="7" t="s">
        <v>2886</v>
      </c>
      <c r="C1351" s="2" t="s">
        <v>1030</v>
      </c>
      <c r="D1351" s="2" t="s">
        <v>1406</v>
      </c>
      <c r="E1351" s="2" t="s">
        <v>1031</v>
      </c>
      <c r="F1351" s="9">
        <f t="shared" si="85"/>
        <v>5.9999999999999995E-4</v>
      </c>
      <c r="G1351" s="9">
        <f t="shared" si="86"/>
        <v>18.95</v>
      </c>
      <c r="H1351" s="9">
        <f t="shared" si="87"/>
        <v>0</v>
      </c>
      <c r="I1351" s="10">
        <f t="shared" si="88"/>
        <v>18.950599999999998</v>
      </c>
    </row>
    <row r="1352" spans="1:9" x14ac:dyDescent="0.25">
      <c r="A1352" s="2" t="s">
        <v>2887</v>
      </c>
      <c r="B1352" s="7" t="s">
        <v>2888</v>
      </c>
      <c r="C1352" s="2" t="s">
        <v>1030</v>
      </c>
      <c r="D1352" s="2" t="s">
        <v>1406</v>
      </c>
      <c r="E1352" s="2" t="s">
        <v>1031</v>
      </c>
      <c r="F1352" s="9">
        <f t="shared" si="85"/>
        <v>0</v>
      </c>
      <c r="G1352" s="9">
        <f t="shared" si="86"/>
        <v>64.27</v>
      </c>
      <c r="H1352" s="9">
        <f t="shared" si="87"/>
        <v>0</v>
      </c>
      <c r="I1352" s="10">
        <f t="shared" si="88"/>
        <v>64.27</v>
      </c>
    </row>
    <row r="1353" spans="1:9" x14ac:dyDescent="0.25">
      <c r="A1353" s="2" t="s">
        <v>1043</v>
      </c>
      <c r="B1353" s="2" t="s">
        <v>1042</v>
      </c>
      <c r="C1353" s="2" t="s">
        <v>1030</v>
      </c>
      <c r="D1353" s="2" t="s">
        <v>1406</v>
      </c>
      <c r="E1353" s="2" t="s">
        <v>1031</v>
      </c>
      <c r="F1353" s="9">
        <f t="shared" si="85"/>
        <v>0</v>
      </c>
      <c r="G1353" s="9">
        <f t="shared" si="86"/>
        <v>0</v>
      </c>
      <c r="H1353" s="9">
        <f t="shared" si="87"/>
        <v>0</v>
      </c>
      <c r="I1353" s="10">
        <f t="shared" si="88"/>
        <v>0</v>
      </c>
    </row>
    <row r="1354" spans="1:9" x14ac:dyDescent="0.25">
      <c r="A1354" s="2" t="s">
        <v>2889</v>
      </c>
      <c r="B1354" s="7" t="s">
        <v>2890</v>
      </c>
      <c r="C1354" s="2" t="s">
        <v>1030</v>
      </c>
      <c r="D1354" s="2" t="s">
        <v>1406</v>
      </c>
      <c r="E1354" s="2" t="s">
        <v>1031</v>
      </c>
      <c r="F1354" s="9">
        <f t="shared" si="85"/>
        <v>0</v>
      </c>
      <c r="G1354" s="9">
        <f t="shared" si="86"/>
        <v>0</v>
      </c>
      <c r="H1354" s="9">
        <f t="shared" si="87"/>
        <v>0</v>
      </c>
      <c r="I1354" s="10">
        <f t="shared" si="88"/>
        <v>0</v>
      </c>
    </row>
    <row r="1355" spans="1:9" x14ac:dyDescent="0.25">
      <c r="A1355" s="2" t="s">
        <v>2891</v>
      </c>
      <c r="B1355" s="7" t="s">
        <v>2892</v>
      </c>
      <c r="C1355" s="2" t="s">
        <v>1030</v>
      </c>
      <c r="D1355" s="2" t="s">
        <v>1406</v>
      </c>
      <c r="E1355" s="2" t="s">
        <v>1031</v>
      </c>
      <c r="F1355" s="9">
        <f t="shared" si="85"/>
        <v>0</v>
      </c>
      <c r="G1355" s="9">
        <f t="shared" si="86"/>
        <v>0</v>
      </c>
      <c r="H1355" s="9">
        <f t="shared" si="87"/>
        <v>0</v>
      </c>
      <c r="I1355" s="10">
        <f t="shared" si="88"/>
        <v>0</v>
      </c>
    </row>
    <row r="1356" spans="1:9" x14ac:dyDescent="0.25">
      <c r="A1356" s="2" t="s">
        <v>2893</v>
      </c>
      <c r="B1356" s="2" t="s">
        <v>2894</v>
      </c>
      <c r="C1356" s="2" t="s">
        <v>1030</v>
      </c>
      <c r="D1356" s="2" t="s">
        <v>1406</v>
      </c>
      <c r="E1356" s="2" t="s">
        <v>1031</v>
      </c>
      <c r="F1356" s="9">
        <f t="shared" si="85"/>
        <v>0</v>
      </c>
      <c r="G1356" s="9">
        <f t="shared" si="86"/>
        <v>14.03</v>
      </c>
      <c r="H1356" s="9">
        <f t="shared" si="87"/>
        <v>0</v>
      </c>
      <c r="I1356" s="10">
        <f t="shared" si="88"/>
        <v>14.03</v>
      </c>
    </row>
    <row r="1357" spans="1:9" x14ac:dyDescent="0.25">
      <c r="A1357" s="2" t="s">
        <v>2895</v>
      </c>
      <c r="B1357" s="2" t="s">
        <v>2896</v>
      </c>
      <c r="C1357" s="2" t="s">
        <v>1030</v>
      </c>
      <c r="D1357" s="2" t="s">
        <v>1406</v>
      </c>
      <c r="E1357" s="2" t="s">
        <v>1031</v>
      </c>
      <c r="F1357" s="9">
        <f t="shared" si="85"/>
        <v>0</v>
      </c>
      <c r="G1357" s="9">
        <f t="shared" si="86"/>
        <v>2118.48</v>
      </c>
      <c r="H1357" s="9">
        <f t="shared" si="87"/>
        <v>0</v>
      </c>
      <c r="I1357" s="10">
        <f t="shared" si="88"/>
        <v>2118.48</v>
      </c>
    </row>
    <row r="1358" spans="1:9" x14ac:dyDescent="0.25">
      <c r="A1358" s="2" t="s">
        <v>2897</v>
      </c>
      <c r="B1358" s="7" t="s">
        <v>2898</v>
      </c>
      <c r="C1358" s="2" t="s">
        <v>1030</v>
      </c>
      <c r="D1358" s="2" t="s">
        <v>1406</v>
      </c>
      <c r="E1358" s="2" t="s">
        <v>1031</v>
      </c>
      <c r="F1358" s="9">
        <f t="shared" si="85"/>
        <v>0</v>
      </c>
      <c r="G1358" s="9">
        <f t="shared" si="86"/>
        <v>34.479999999999997</v>
      </c>
      <c r="H1358" s="9">
        <f t="shared" si="87"/>
        <v>0</v>
      </c>
      <c r="I1358" s="10">
        <f t="shared" si="88"/>
        <v>34.479999999999997</v>
      </c>
    </row>
    <row r="1359" spans="1:9" x14ac:dyDescent="0.25">
      <c r="A1359" s="2" t="s">
        <v>2899</v>
      </c>
      <c r="B1359" s="2" t="s">
        <v>2900</v>
      </c>
      <c r="C1359" s="2" t="s">
        <v>2901</v>
      </c>
      <c r="D1359" s="2" t="s">
        <v>1406</v>
      </c>
      <c r="E1359" s="2" t="s">
        <v>30</v>
      </c>
      <c r="F1359" s="9">
        <f t="shared" si="85"/>
        <v>1</v>
      </c>
      <c r="G1359" s="9">
        <f t="shared" si="86"/>
        <v>4</v>
      </c>
      <c r="H1359" s="9">
        <f t="shared" si="87"/>
        <v>0</v>
      </c>
      <c r="I1359" s="10">
        <f t="shared" si="88"/>
        <v>5</v>
      </c>
    </row>
    <row r="1360" spans="1:9" x14ac:dyDescent="0.25">
      <c r="A1360" s="2" t="s">
        <v>2902</v>
      </c>
      <c r="B1360" s="2" t="s">
        <v>2903</v>
      </c>
      <c r="C1360" s="2" t="s">
        <v>2901</v>
      </c>
      <c r="D1360" s="2" t="s">
        <v>1406</v>
      </c>
      <c r="E1360" s="2" t="s">
        <v>30</v>
      </c>
      <c r="F1360" s="9">
        <f t="shared" si="85"/>
        <v>11</v>
      </c>
      <c r="G1360" s="9">
        <f t="shared" si="86"/>
        <v>1</v>
      </c>
      <c r="H1360" s="9">
        <f t="shared" si="87"/>
        <v>0</v>
      </c>
      <c r="I1360" s="10">
        <f t="shared" si="88"/>
        <v>12</v>
      </c>
    </row>
    <row r="1361" spans="1:9" x14ac:dyDescent="0.25">
      <c r="A1361" s="2" t="s">
        <v>2904</v>
      </c>
      <c r="B1361" s="2" t="s">
        <v>2905</v>
      </c>
      <c r="C1361" s="2" t="s">
        <v>2901</v>
      </c>
      <c r="D1361" s="2" t="s">
        <v>1406</v>
      </c>
      <c r="E1361" s="2" t="s">
        <v>30</v>
      </c>
      <c r="F1361" s="9">
        <f t="shared" si="85"/>
        <v>0</v>
      </c>
      <c r="G1361" s="9">
        <f t="shared" si="86"/>
        <v>1</v>
      </c>
      <c r="H1361" s="9">
        <f t="shared" si="87"/>
        <v>0</v>
      </c>
      <c r="I1361" s="10">
        <f t="shared" si="88"/>
        <v>1</v>
      </c>
    </row>
    <row r="1362" spans="1:9" x14ac:dyDescent="0.25">
      <c r="A1362" s="2" t="s">
        <v>2906</v>
      </c>
      <c r="B1362" s="2" t="s">
        <v>2907</v>
      </c>
      <c r="C1362" s="2" t="s">
        <v>2901</v>
      </c>
      <c r="D1362" s="2" t="s">
        <v>1406</v>
      </c>
      <c r="E1362" s="2" t="s">
        <v>2095</v>
      </c>
      <c r="F1362" s="9">
        <f t="shared" si="85"/>
        <v>0</v>
      </c>
      <c r="G1362" s="9">
        <f t="shared" si="86"/>
        <v>0</v>
      </c>
      <c r="H1362" s="9">
        <f t="shared" si="87"/>
        <v>0</v>
      </c>
      <c r="I1362" s="10">
        <f t="shared" si="88"/>
        <v>0</v>
      </c>
    </row>
    <row r="1363" spans="1:9" x14ac:dyDescent="0.25">
      <c r="A1363" s="2" t="s">
        <v>2908</v>
      </c>
      <c r="B1363" s="2" t="s">
        <v>2909</v>
      </c>
      <c r="C1363" s="2" t="s">
        <v>2901</v>
      </c>
      <c r="D1363" s="2" t="s">
        <v>1406</v>
      </c>
      <c r="E1363" s="2" t="s">
        <v>30</v>
      </c>
      <c r="F1363" s="9">
        <f t="shared" si="85"/>
        <v>0</v>
      </c>
      <c r="G1363" s="9">
        <f t="shared" si="86"/>
        <v>4</v>
      </c>
      <c r="H1363" s="9">
        <f t="shared" si="87"/>
        <v>0</v>
      </c>
      <c r="I1363" s="10">
        <f t="shared" si="88"/>
        <v>4</v>
      </c>
    </row>
    <row r="1364" spans="1:9" x14ac:dyDescent="0.25">
      <c r="A1364" s="2" t="s">
        <v>2910</v>
      </c>
      <c r="B1364" s="2" t="s">
        <v>2911</v>
      </c>
      <c r="C1364" s="2" t="s">
        <v>2901</v>
      </c>
      <c r="D1364" s="2" t="s">
        <v>1406</v>
      </c>
      <c r="E1364" s="2" t="s">
        <v>30</v>
      </c>
      <c r="F1364" s="9">
        <f t="shared" si="85"/>
        <v>0</v>
      </c>
      <c r="G1364" s="9">
        <f t="shared" si="86"/>
        <v>4</v>
      </c>
      <c r="H1364" s="9">
        <f t="shared" si="87"/>
        <v>0</v>
      </c>
      <c r="I1364" s="10">
        <f t="shared" si="88"/>
        <v>4</v>
      </c>
    </row>
    <row r="1365" spans="1:9" x14ac:dyDescent="0.25">
      <c r="A1365" s="2" t="s">
        <v>2912</v>
      </c>
      <c r="B1365" s="2" t="s">
        <v>2913</v>
      </c>
      <c r="C1365" s="2" t="s">
        <v>2901</v>
      </c>
      <c r="D1365" s="2" t="s">
        <v>1406</v>
      </c>
      <c r="E1365" s="2" t="s">
        <v>30</v>
      </c>
      <c r="F1365" s="9">
        <f t="shared" si="85"/>
        <v>0</v>
      </c>
      <c r="G1365" s="9">
        <f t="shared" si="86"/>
        <v>3</v>
      </c>
      <c r="H1365" s="9">
        <f t="shared" si="87"/>
        <v>0</v>
      </c>
      <c r="I1365" s="10">
        <f t="shared" si="88"/>
        <v>3</v>
      </c>
    </row>
    <row r="1366" spans="1:9" x14ac:dyDescent="0.25">
      <c r="A1366" s="2" t="s">
        <v>2914</v>
      </c>
      <c r="B1366" s="2" t="s">
        <v>2915</v>
      </c>
      <c r="C1366" s="2" t="s">
        <v>2901</v>
      </c>
      <c r="D1366" s="2" t="s">
        <v>1406</v>
      </c>
      <c r="E1366" s="2" t="s">
        <v>30</v>
      </c>
      <c r="F1366" s="9">
        <f t="shared" si="85"/>
        <v>0</v>
      </c>
      <c r="G1366" s="9">
        <f t="shared" si="86"/>
        <v>1</v>
      </c>
      <c r="H1366" s="9">
        <f t="shared" si="87"/>
        <v>0</v>
      </c>
      <c r="I1366" s="10">
        <f t="shared" si="88"/>
        <v>1</v>
      </c>
    </row>
    <row r="1367" spans="1:9" x14ac:dyDescent="0.25">
      <c r="A1367" s="2" t="s">
        <v>2916</v>
      </c>
      <c r="B1367" s="2" t="s">
        <v>2917</v>
      </c>
      <c r="C1367" s="2" t="s">
        <v>2901</v>
      </c>
      <c r="D1367" s="2" t="s">
        <v>1406</v>
      </c>
      <c r="E1367" s="2" t="s">
        <v>30</v>
      </c>
      <c r="F1367" s="9">
        <f t="shared" si="85"/>
        <v>0</v>
      </c>
      <c r="G1367" s="9">
        <f t="shared" si="86"/>
        <v>1</v>
      </c>
      <c r="H1367" s="9">
        <f t="shared" si="87"/>
        <v>0</v>
      </c>
      <c r="I1367" s="10">
        <f t="shared" si="88"/>
        <v>1</v>
      </c>
    </row>
    <row r="1368" spans="1:9" x14ac:dyDescent="0.25">
      <c r="A1368" s="2" t="s">
        <v>2918</v>
      </c>
      <c r="B1368" s="2" t="s">
        <v>2919</v>
      </c>
      <c r="C1368" s="2" t="s">
        <v>2901</v>
      </c>
      <c r="D1368" s="2" t="s">
        <v>1406</v>
      </c>
      <c r="E1368" s="2" t="s">
        <v>30</v>
      </c>
      <c r="F1368" s="9">
        <f t="shared" si="85"/>
        <v>0</v>
      </c>
      <c r="G1368" s="9">
        <f t="shared" si="86"/>
        <v>4</v>
      </c>
      <c r="H1368" s="9">
        <f t="shared" si="87"/>
        <v>0</v>
      </c>
      <c r="I1368" s="10">
        <f t="shared" si="88"/>
        <v>4</v>
      </c>
    </row>
    <row r="1369" spans="1:9" x14ac:dyDescent="0.25">
      <c r="A1369" s="2" t="s">
        <v>2920</v>
      </c>
      <c r="B1369" s="2" t="s">
        <v>2921</v>
      </c>
      <c r="C1369" s="2" t="s">
        <v>2922</v>
      </c>
      <c r="D1369" s="2" t="s">
        <v>1406</v>
      </c>
      <c r="E1369" s="2" t="s">
        <v>30</v>
      </c>
      <c r="F1369" s="9">
        <f t="shared" si="85"/>
        <v>0</v>
      </c>
      <c r="G1369" s="9">
        <f t="shared" si="86"/>
        <v>1</v>
      </c>
      <c r="H1369" s="9">
        <f t="shared" si="87"/>
        <v>0</v>
      </c>
      <c r="I1369" s="10">
        <f t="shared" si="88"/>
        <v>1</v>
      </c>
    </row>
    <row r="1370" spans="1:9" x14ac:dyDescent="0.25">
      <c r="A1370" s="2" t="s">
        <v>2923</v>
      </c>
      <c r="B1370" s="2" t="s">
        <v>2924</v>
      </c>
      <c r="C1370" s="2" t="s">
        <v>2922</v>
      </c>
      <c r="D1370" s="2" t="s">
        <v>1406</v>
      </c>
      <c r="E1370" s="2" t="s">
        <v>30</v>
      </c>
      <c r="F1370" s="9">
        <f t="shared" si="85"/>
        <v>0</v>
      </c>
      <c r="G1370" s="9">
        <f t="shared" si="86"/>
        <v>1</v>
      </c>
      <c r="H1370" s="9">
        <f t="shared" si="87"/>
        <v>0</v>
      </c>
      <c r="I1370" s="10">
        <f t="shared" si="88"/>
        <v>1</v>
      </c>
    </row>
    <row r="1371" spans="1:9" x14ac:dyDescent="0.25">
      <c r="A1371" s="2" t="s">
        <v>2925</v>
      </c>
      <c r="B1371" s="2" t="s">
        <v>2926</v>
      </c>
      <c r="C1371" s="2" t="s">
        <v>2922</v>
      </c>
      <c r="D1371" s="2" t="s">
        <v>1406</v>
      </c>
      <c r="E1371" s="2" t="s">
        <v>30</v>
      </c>
      <c r="F1371" s="9">
        <f t="shared" si="85"/>
        <v>0</v>
      </c>
      <c r="G1371" s="9">
        <f t="shared" si="86"/>
        <v>1</v>
      </c>
      <c r="H1371" s="9">
        <f t="shared" si="87"/>
        <v>0</v>
      </c>
      <c r="I1371" s="10">
        <f t="shared" si="88"/>
        <v>1</v>
      </c>
    </row>
    <row r="1372" spans="1:9" x14ac:dyDescent="0.25">
      <c r="A1372" s="2" t="s">
        <v>2927</v>
      </c>
      <c r="B1372" s="2" t="s">
        <v>2928</v>
      </c>
      <c r="C1372" s="2" t="s">
        <v>2922</v>
      </c>
      <c r="D1372" s="2" t="s">
        <v>1406</v>
      </c>
      <c r="E1372" s="2" t="s">
        <v>30</v>
      </c>
      <c r="F1372" s="9">
        <f t="shared" si="85"/>
        <v>0</v>
      </c>
      <c r="G1372" s="9">
        <f t="shared" si="86"/>
        <v>1</v>
      </c>
      <c r="H1372" s="9">
        <f t="shared" si="87"/>
        <v>0</v>
      </c>
      <c r="I1372" s="10">
        <f t="shared" si="88"/>
        <v>1</v>
      </c>
    </row>
    <row r="1373" spans="1:9" x14ac:dyDescent="0.25">
      <c r="A1373" s="2" t="s">
        <v>2929</v>
      </c>
      <c r="B1373" s="2" t="s">
        <v>2930</v>
      </c>
      <c r="C1373" s="2" t="s">
        <v>2922</v>
      </c>
      <c r="D1373" s="2" t="s">
        <v>1406</v>
      </c>
      <c r="E1373" s="2" t="s">
        <v>30</v>
      </c>
      <c r="F1373" s="9">
        <f t="shared" si="85"/>
        <v>0</v>
      </c>
      <c r="G1373" s="9">
        <f t="shared" si="86"/>
        <v>5</v>
      </c>
      <c r="H1373" s="9">
        <f t="shared" si="87"/>
        <v>0</v>
      </c>
      <c r="I1373" s="10">
        <f t="shared" si="88"/>
        <v>5</v>
      </c>
    </row>
    <row r="1374" spans="1:9" x14ac:dyDescent="0.25">
      <c r="A1374" s="2" t="s">
        <v>2931</v>
      </c>
      <c r="B1374" s="2" t="s">
        <v>2932</v>
      </c>
      <c r="C1374" s="2" t="s">
        <v>2922</v>
      </c>
      <c r="D1374" s="2" t="s">
        <v>1406</v>
      </c>
      <c r="E1374" s="2" t="s">
        <v>30</v>
      </c>
      <c r="F1374" s="9">
        <f t="shared" si="85"/>
        <v>0</v>
      </c>
      <c r="G1374" s="9">
        <f t="shared" si="86"/>
        <v>3</v>
      </c>
      <c r="H1374" s="9">
        <f t="shared" si="87"/>
        <v>0</v>
      </c>
      <c r="I1374" s="10">
        <f t="shared" si="88"/>
        <v>3</v>
      </c>
    </row>
    <row r="1375" spans="1:9" x14ac:dyDescent="0.25">
      <c r="A1375" s="2" t="s">
        <v>2933</v>
      </c>
      <c r="B1375" s="2" t="s">
        <v>2934</v>
      </c>
      <c r="C1375" s="2" t="s">
        <v>2922</v>
      </c>
      <c r="D1375" s="2" t="s">
        <v>1406</v>
      </c>
      <c r="E1375" s="2" t="s">
        <v>30</v>
      </c>
      <c r="F1375" s="9">
        <f t="shared" si="85"/>
        <v>0</v>
      </c>
      <c r="G1375" s="9">
        <f t="shared" si="86"/>
        <v>1</v>
      </c>
      <c r="H1375" s="9">
        <f t="shared" si="87"/>
        <v>0</v>
      </c>
      <c r="I1375" s="10">
        <f t="shared" si="88"/>
        <v>1</v>
      </c>
    </row>
    <row r="1376" spans="1:9" x14ac:dyDescent="0.25">
      <c r="A1376" s="2" t="s">
        <v>2935</v>
      </c>
      <c r="B1376" s="2" t="s">
        <v>2936</v>
      </c>
      <c r="C1376" s="2" t="s">
        <v>2922</v>
      </c>
      <c r="D1376" s="2" t="s">
        <v>1406</v>
      </c>
      <c r="E1376" s="2" t="s">
        <v>30</v>
      </c>
      <c r="F1376" s="9">
        <f t="shared" si="85"/>
        <v>0</v>
      </c>
      <c r="G1376" s="9">
        <f t="shared" si="86"/>
        <v>1</v>
      </c>
      <c r="H1376" s="9">
        <f t="shared" si="87"/>
        <v>0</v>
      </c>
      <c r="I1376" s="10">
        <f t="shared" si="88"/>
        <v>1</v>
      </c>
    </row>
    <row r="1377" spans="1:9" x14ac:dyDescent="0.25">
      <c r="A1377" s="2" t="s">
        <v>2937</v>
      </c>
      <c r="B1377" s="2" t="s">
        <v>2938</v>
      </c>
      <c r="C1377" s="2" t="s">
        <v>1557</v>
      </c>
      <c r="D1377" s="2" t="s">
        <v>1406</v>
      </c>
      <c r="E1377" s="2" t="s">
        <v>1558</v>
      </c>
      <c r="F1377" s="9">
        <f t="shared" si="85"/>
        <v>0</v>
      </c>
      <c r="G1377" s="9">
        <f t="shared" si="86"/>
        <v>0</v>
      </c>
      <c r="H1377" s="9">
        <f t="shared" si="87"/>
        <v>0</v>
      </c>
      <c r="I1377" s="10">
        <f t="shared" si="88"/>
        <v>0</v>
      </c>
    </row>
    <row r="1378" spans="1:9" x14ac:dyDescent="0.25">
      <c r="A1378" s="2" t="s">
        <v>2939</v>
      </c>
      <c r="B1378" s="2" t="s">
        <v>2940</v>
      </c>
      <c r="C1378" s="2" t="s">
        <v>1557</v>
      </c>
      <c r="D1378" s="2" t="s">
        <v>1406</v>
      </c>
      <c r="E1378" s="2" t="s">
        <v>30</v>
      </c>
      <c r="F1378" s="9">
        <f t="shared" si="85"/>
        <v>135</v>
      </c>
      <c r="G1378" s="9">
        <f t="shared" si="86"/>
        <v>0</v>
      </c>
      <c r="H1378" s="9">
        <f t="shared" si="87"/>
        <v>0</v>
      </c>
      <c r="I1378" s="10">
        <f t="shared" si="88"/>
        <v>135</v>
      </c>
    </row>
    <row r="1379" spans="1:9" x14ac:dyDescent="0.25">
      <c r="A1379" s="2" t="s">
        <v>2941</v>
      </c>
      <c r="B1379" s="2" t="s">
        <v>2942</v>
      </c>
      <c r="C1379" s="2" t="s">
        <v>1557</v>
      </c>
      <c r="D1379" s="2" t="s">
        <v>1406</v>
      </c>
      <c r="E1379" s="2" t="s">
        <v>30</v>
      </c>
      <c r="F1379" s="9">
        <f t="shared" si="85"/>
        <v>1475</v>
      </c>
      <c r="G1379" s="9">
        <f t="shared" si="86"/>
        <v>0</v>
      </c>
      <c r="H1379" s="9">
        <f t="shared" si="87"/>
        <v>0</v>
      </c>
      <c r="I1379" s="10">
        <f t="shared" si="88"/>
        <v>1475</v>
      </c>
    </row>
    <row r="1380" spans="1:9" x14ac:dyDescent="0.25">
      <c r="A1380" s="2" t="s">
        <v>2943</v>
      </c>
      <c r="B1380" s="2" t="s">
        <v>2944</v>
      </c>
      <c r="C1380" s="2" t="s">
        <v>1557</v>
      </c>
      <c r="D1380" s="2" t="s">
        <v>1406</v>
      </c>
      <c r="E1380" s="2" t="s">
        <v>1558</v>
      </c>
      <c r="F1380" s="9">
        <f t="shared" si="85"/>
        <v>8</v>
      </c>
      <c r="G1380" s="9">
        <f t="shared" si="86"/>
        <v>0</v>
      </c>
      <c r="H1380" s="9">
        <f t="shared" si="87"/>
        <v>0</v>
      </c>
      <c r="I1380" s="10">
        <f t="shared" si="88"/>
        <v>8</v>
      </c>
    </row>
    <row r="1381" spans="1:9" x14ac:dyDescent="0.25">
      <c r="A1381" s="2" t="s">
        <v>2945</v>
      </c>
      <c r="B1381" s="2" t="s">
        <v>2946</v>
      </c>
      <c r="C1381" s="2" t="s">
        <v>1557</v>
      </c>
      <c r="D1381" s="2" t="s">
        <v>1406</v>
      </c>
      <c r="E1381" s="2" t="s">
        <v>1558</v>
      </c>
      <c r="F1381" s="9">
        <f t="shared" si="85"/>
        <v>2</v>
      </c>
      <c r="G1381" s="9">
        <f t="shared" si="86"/>
        <v>0</v>
      </c>
      <c r="H1381" s="9">
        <f t="shared" si="87"/>
        <v>0</v>
      </c>
      <c r="I1381" s="10">
        <f t="shared" si="88"/>
        <v>2</v>
      </c>
    </row>
    <row r="1382" spans="1:9" x14ac:dyDescent="0.25">
      <c r="A1382" s="2" t="s">
        <v>2947</v>
      </c>
      <c r="B1382" s="2" t="s">
        <v>2948</v>
      </c>
      <c r="C1382" s="2" t="s">
        <v>1557</v>
      </c>
      <c r="D1382" s="2" t="s">
        <v>1406</v>
      </c>
      <c r="E1382" s="2" t="s">
        <v>30</v>
      </c>
      <c r="F1382" s="9">
        <f t="shared" si="85"/>
        <v>9</v>
      </c>
      <c r="G1382" s="9">
        <f t="shared" si="86"/>
        <v>0</v>
      </c>
      <c r="H1382" s="9">
        <f t="shared" si="87"/>
        <v>0</v>
      </c>
      <c r="I1382" s="10">
        <f t="shared" si="88"/>
        <v>9</v>
      </c>
    </row>
    <row r="1383" spans="1:9" x14ac:dyDescent="0.25">
      <c r="A1383" s="2" t="s">
        <v>2949</v>
      </c>
      <c r="B1383" s="2" t="s">
        <v>2950</v>
      </c>
      <c r="C1383" s="2" t="s">
        <v>1557</v>
      </c>
      <c r="D1383" s="2" t="s">
        <v>1406</v>
      </c>
      <c r="E1383" s="2" t="s">
        <v>30</v>
      </c>
      <c r="F1383" s="9">
        <f t="shared" si="85"/>
        <v>39</v>
      </c>
      <c r="G1383" s="9">
        <f t="shared" si="86"/>
        <v>0</v>
      </c>
      <c r="H1383" s="9">
        <f t="shared" si="87"/>
        <v>0</v>
      </c>
      <c r="I1383" s="10">
        <f t="shared" si="88"/>
        <v>39</v>
      </c>
    </row>
    <row r="1384" spans="1:9" x14ac:dyDescent="0.25">
      <c r="A1384" s="2" t="s">
        <v>2951</v>
      </c>
      <c r="B1384" s="2" t="s">
        <v>2952</v>
      </c>
      <c r="C1384" s="2" t="s">
        <v>1557</v>
      </c>
      <c r="D1384" s="2" t="s">
        <v>1406</v>
      </c>
      <c r="E1384" s="2" t="s">
        <v>30</v>
      </c>
      <c r="F1384" s="9">
        <f t="shared" si="85"/>
        <v>9</v>
      </c>
      <c r="G1384" s="9">
        <f t="shared" si="86"/>
        <v>0</v>
      </c>
      <c r="H1384" s="9">
        <f t="shared" si="87"/>
        <v>0</v>
      </c>
      <c r="I1384" s="10">
        <f t="shared" si="88"/>
        <v>9</v>
      </c>
    </row>
    <row r="1385" spans="1:9" x14ac:dyDescent="0.25">
      <c r="A1385" s="2" t="s">
        <v>2953</v>
      </c>
      <c r="B1385" s="2" t="s">
        <v>2954</v>
      </c>
      <c r="C1385" s="2" t="s">
        <v>1557</v>
      </c>
      <c r="D1385" s="2" t="s">
        <v>1406</v>
      </c>
      <c r="E1385" s="2" t="s">
        <v>1558</v>
      </c>
      <c r="F1385" s="9">
        <f t="shared" si="85"/>
        <v>2</v>
      </c>
      <c r="G1385" s="9">
        <f t="shared" si="86"/>
        <v>0</v>
      </c>
      <c r="H1385" s="9">
        <f t="shared" si="87"/>
        <v>0</v>
      </c>
      <c r="I1385" s="10">
        <f t="shared" si="88"/>
        <v>2</v>
      </c>
    </row>
    <row r="1386" spans="1:9" x14ac:dyDescent="0.25">
      <c r="A1386" s="2" t="s">
        <v>2955</v>
      </c>
      <c r="B1386" s="2" t="s">
        <v>2956</v>
      </c>
      <c r="C1386" s="2" t="s">
        <v>1557</v>
      </c>
      <c r="D1386" s="2" t="s">
        <v>1406</v>
      </c>
      <c r="E1386" s="2" t="s">
        <v>30</v>
      </c>
      <c r="F1386" s="9">
        <f t="shared" si="85"/>
        <v>8</v>
      </c>
      <c r="G1386" s="9">
        <f t="shared" si="86"/>
        <v>0</v>
      </c>
      <c r="H1386" s="9">
        <f t="shared" si="87"/>
        <v>0</v>
      </c>
      <c r="I1386" s="10">
        <f t="shared" si="88"/>
        <v>8</v>
      </c>
    </row>
    <row r="1387" spans="1:9" x14ac:dyDescent="0.25">
      <c r="A1387" s="2" t="s">
        <v>2957</v>
      </c>
      <c r="B1387" s="2" t="s">
        <v>2958</v>
      </c>
      <c r="C1387" s="2" t="s">
        <v>1557</v>
      </c>
      <c r="D1387" s="2" t="s">
        <v>1406</v>
      </c>
      <c r="E1387" s="2" t="s">
        <v>1558</v>
      </c>
      <c r="F1387" s="9">
        <f t="shared" si="85"/>
        <v>9</v>
      </c>
      <c r="G1387" s="9">
        <f t="shared" si="86"/>
        <v>0</v>
      </c>
      <c r="H1387" s="9">
        <f t="shared" si="87"/>
        <v>0</v>
      </c>
      <c r="I1387" s="10">
        <f t="shared" si="88"/>
        <v>9</v>
      </c>
    </row>
    <row r="1388" spans="1:9" x14ac:dyDescent="0.25">
      <c r="A1388" s="2" t="s">
        <v>2959</v>
      </c>
      <c r="B1388" s="2" t="s">
        <v>1562</v>
      </c>
      <c r="C1388" s="2" t="s">
        <v>1557</v>
      </c>
      <c r="D1388" s="2" t="s">
        <v>1406</v>
      </c>
      <c r="E1388" s="2" t="s">
        <v>1558</v>
      </c>
      <c r="F1388" s="9">
        <f t="shared" si="85"/>
        <v>137</v>
      </c>
      <c r="G1388" s="9">
        <f t="shared" si="86"/>
        <v>0</v>
      </c>
      <c r="H1388" s="9">
        <f t="shared" si="87"/>
        <v>0</v>
      </c>
      <c r="I1388" s="10">
        <f t="shared" si="88"/>
        <v>137</v>
      </c>
    </row>
    <row r="1389" spans="1:9" x14ac:dyDescent="0.25">
      <c r="A1389" s="2" t="s">
        <v>2960</v>
      </c>
      <c r="B1389" s="2" t="s">
        <v>2961</v>
      </c>
      <c r="C1389" s="2" t="s">
        <v>1557</v>
      </c>
      <c r="D1389" s="2" t="s">
        <v>1406</v>
      </c>
      <c r="E1389" s="2" t="s">
        <v>1558</v>
      </c>
      <c r="F1389" s="9">
        <f t="shared" si="85"/>
        <v>4</v>
      </c>
      <c r="G1389" s="9">
        <f t="shared" si="86"/>
        <v>0</v>
      </c>
      <c r="H1389" s="9">
        <f t="shared" si="87"/>
        <v>0</v>
      </c>
      <c r="I1389" s="10">
        <f t="shared" si="88"/>
        <v>4</v>
      </c>
    </row>
    <row r="1390" spans="1:9" x14ac:dyDescent="0.25">
      <c r="A1390" s="2" t="s">
        <v>2962</v>
      </c>
      <c r="B1390" s="2" t="s">
        <v>2963</v>
      </c>
      <c r="C1390" s="2" t="s">
        <v>1557</v>
      </c>
      <c r="D1390" s="2" t="s">
        <v>1406</v>
      </c>
      <c r="E1390" s="2" t="s">
        <v>1558</v>
      </c>
      <c r="F1390" s="9">
        <f t="shared" si="85"/>
        <v>1</v>
      </c>
      <c r="G1390" s="9">
        <f t="shared" si="86"/>
        <v>0</v>
      </c>
      <c r="H1390" s="9">
        <f t="shared" si="87"/>
        <v>0</v>
      </c>
      <c r="I1390" s="10">
        <f t="shared" si="88"/>
        <v>1</v>
      </c>
    </row>
    <row r="1391" spans="1:9" x14ac:dyDescent="0.25">
      <c r="A1391" s="2" t="s">
        <v>2964</v>
      </c>
      <c r="B1391" s="2" t="s">
        <v>2965</v>
      </c>
      <c r="C1391" s="2" t="s">
        <v>1557</v>
      </c>
      <c r="D1391" s="2" t="s">
        <v>1406</v>
      </c>
      <c r="E1391" s="2" t="s">
        <v>1558</v>
      </c>
      <c r="F1391" s="9">
        <f t="shared" si="85"/>
        <v>8</v>
      </c>
      <c r="G1391" s="9">
        <f t="shared" si="86"/>
        <v>0</v>
      </c>
      <c r="H1391" s="9">
        <f t="shared" si="87"/>
        <v>0</v>
      </c>
      <c r="I1391" s="10">
        <f t="shared" si="88"/>
        <v>8</v>
      </c>
    </row>
    <row r="1392" spans="1:9" x14ac:dyDescent="0.25">
      <c r="A1392" s="2" t="s">
        <v>2966</v>
      </c>
      <c r="B1392" s="2" t="s">
        <v>2967</v>
      </c>
      <c r="C1392" s="2" t="s">
        <v>1557</v>
      </c>
      <c r="D1392" s="2" t="s">
        <v>1406</v>
      </c>
      <c r="E1392" s="2" t="s">
        <v>1558</v>
      </c>
      <c r="F1392" s="9">
        <f t="shared" si="85"/>
        <v>5</v>
      </c>
      <c r="G1392" s="9">
        <f t="shared" si="86"/>
        <v>0</v>
      </c>
      <c r="H1392" s="9">
        <f t="shared" si="87"/>
        <v>0</v>
      </c>
      <c r="I1392" s="10">
        <f t="shared" si="88"/>
        <v>5</v>
      </c>
    </row>
    <row r="1393" spans="1:9" x14ac:dyDescent="0.25">
      <c r="A1393" s="2" t="s">
        <v>2968</v>
      </c>
      <c r="B1393" s="2" t="s">
        <v>2969</v>
      </c>
      <c r="C1393" s="2" t="s">
        <v>1557</v>
      </c>
      <c r="D1393" s="2" t="s">
        <v>1406</v>
      </c>
      <c r="E1393" s="2" t="s">
        <v>1558</v>
      </c>
      <c r="F1393" s="9">
        <f t="shared" si="85"/>
        <v>24</v>
      </c>
      <c r="G1393" s="9">
        <f t="shared" si="86"/>
        <v>0</v>
      </c>
      <c r="H1393" s="9">
        <f t="shared" si="87"/>
        <v>0</v>
      </c>
      <c r="I1393" s="10">
        <f t="shared" si="88"/>
        <v>24</v>
      </c>
    </row>
    <row r="1394" spans="1:9" x14ac:dyDescent="0.25">
      <c r="A1394" s="2" t="s">
        <v>2970</v>
      </c>
      <c r="B1394" s="2" t="s">
        <v>2971</v>
      </c>
      <c r="C1394" s="2" t="s">
        <v>1557</v>
      </c>
      <c r="D1394" s="2" t="s">
        <v>1406</v>
      </c>
      <c r="E1394" s="2" t="s">
        <v>1558</v>
      </c>
      <c r="F1394" s="9">
        <f t="shared" si="85"/>
        <v>17</v>
      </c>
      <c r="G1394" s="9">
        <f t="shared" si="86"/>
        <v>0</v>
      </c>
      <c r="H1394" s="9">
        <f t="shared" si="87"/>
        <v>0</v>
      </c>
      <c r="I1394" s="10">
        <f t="shared" si="88"/>
        <v>17</v>
      </c>
    </row>
    <row r="1395" spans="1:9" x14ac:dyDescent="0.25">
      <c r="A1395" s="2" t="s">
        <v>2972</v>
      </c>
      <c r="B1395" s="2" t="s">
        <v>2973</v>
      </c>
      <c r="C1395" s="2" t="s">
        <v>1557</v>
      </c>
      <c r="D1395" s="2" t="s">
        <v>1406</v>
      </c>
      <c r="E1395" s="2" t="s">
        <v>1558</v>
      </c>
      <c r="F1395" s="9">
        <f t="shared" si="85"/>
        <v>3</v>
      </c>
      <c r="G1395" s="9">
        <f t="shared" si="86"/>
        <v>0</v>
      </c>
      <c r="H1395" s="9">
        <f t="shared" si="87"/>
        <v>0</v>
      </c>
      <c r="I1395" s="10">
        <f t="shared" si="88"/>
        <v>3</v>
      </c>
    </row>
    <row r="1396" spans="1:9" x14ac:dyDescent="0.25">
      <c r="A1396" s="2" t="s">
        <v>2974</v>
      </c>
      <c r="B1396" s="2" t="s">
        <v>2975</v>
      </c>
      <c r="C1396" s="2" t="s">
        <v>1557</v>
      </c>
      <c r="D1396" s="2" t="s">
        <v>1406</v>
      </c>
      <c r="E1396" s="2" t="s">
        <v>1558</v>
      </c>
      <c r="F1396" s="9">
        <f t="shared" si="85"/>
        <v>4</v>
      </c>
      <c r="G1396" s="9">
        <f t="shared" si="86"/>
        <v>0</v>
      </c>
      <c r="H1396" s="9">
        <f t="shared" si="87"/>
        <v>0</v>
      </c>
      <c r="I1396" s="10">
        <f t="shared" si="88"/>
        <v>4</v>
      </c>
    </row>
    <row r="1397" spans="1:9" x14ac:dyDescent="0.25">
      <c r="A1397" s="2" t="s">
        <v>2976</v>
      </c>
      <c r="B1397" s="2" t="s">
        <v>2977</v>
      </c>
      <c r="C1397" s="2" t="s">
        <v>1557</v>
      </c>
      <c r="D1397" s="2" t="s">
        <v>1406</v>
      </c>
      <c r="E1397" s="2" t="s">
        <v>1558</v>
      </c>
      <c r="F1397" s="9">
        <f t="shared" si="85"/>
        <v>8</v>
      </c>
      <c r="G1397" s="9">
        <f t="shared" si="86"/>
        <v>0</v>
      </c>
      <c r="H1397" s="9">
        <f t="shared" si="87"/>
        <v>0</v>
      </c>
      <c r="I1397" s="10">
        <f t="shared" si="88"/>
        <v>8</v>
      </c>
    </row>
    <row r="1398" spans="1:9" x14ac:dyDescent="0.25">
      <c r="A1398" s="2" t="s">
        <v>2978</v>
      </c>
      <c r="B1398" s="2" t="s">
        <v>2979</v>
      </c>
      <c r="C1398" s="2" t="s">
        <v>1405</v>
      </c>
      <c r="D1398" s="2" t="s">
        <v>1406</v>
      </c>
      <c r="E1398" s="2" t="s">
        <v>30</v>
      </c>
      <c r="F1398" s="9">
        <f t="shared" si="85"/>
        <v>8</v>
      </c>
      <c r="G1398" s="9">
        <f t="shared" si="86"/>
        <v>0</v>
      </c>
      <c r="H1398" s="9">
        <f t="shared" si="87"/>
        <v>0</v>
      </c>
      <c r="I1398" s="10">
        <f t="shared" si="88"/>
        <v>8</v>
      </c>
    </row>
    <row r="1399" spans="1:9" x14ac:dyDescent="0.25">
      <c r="A1399" s="2" t="s">
        <v>2980</v>
      </c>
      <c r="B1399" s="2" t="s">
        <v>2981</v>
      </c>
      <c r="C1399" s="2" t="s">
        <v>1405</v>
      </c>
      <c r="D1399" s="2" t="s">
        <v>1406</v>
      </c>
      <c r="E1399" s="2" t="s">
        <v>30</v>
      </c>
      <c r="F1399" s="9">
        <f t="shared" si="85"/>
        <v>2</v>
      </c>
      <c r="G1399" s="9">
        <f t="shared" si="86"/>
        <v>0</v>
      </c>
      <c r="H1399" s="9">
        <f t="shared" si="87"/>
        <v>0</v>
      </c>
      <c r="I1399" s="10">
        <f t="shared" si="88"/>
        <v>2</v>
      </c>
    </row>
    <row r="1400" spans="1:9" x14ac:dyDescent="0.25">
      <c r="A1400" s="2" t="s">
        <v>2982</v>
      </c>
      <c r="B1400" s="2" t="s">
        <v>2983</v>
      </c>
      <c r="C1400" s="2" t="s">
        <v>1405</v>
      </c>
      <c r="D1400" s="2" t="s">
        <v>1406</v>
      </c>
      <c r="E1400" s="2" t="s">
        <v>30</v>
      </c>
      <c r="F1400" s="9">
        <f t="shared" si="85"/>
        <v>8</v>
      </c>
      <c r="G1400" s="9">
        <f t="shared" si="86"/>
        <v>0</v>
      </c>
      <c r="H1400" s="9">
        <f t="shared" si="87"/>
        <v>0</v>
      </c>
      <c r="I1400" s="10">
        <f t="shared" si="88"/>
        <v>8</v>
      </c>
    </row>
    <row r="1401" spans="1:9" x14ac:dyDescent="0.25">
      <c r="A1401" s="2" t="s">
        <v>2984</v>
      </c>
      <c r="B1401" s="2" t="s">
        <v>2985</v>
      </c>
      <c r="C1401" s="2" t="s">
        <v>1405</v>
      </c>
      <c r="D1401" s="2" t="s">
        <v>1406</v>
      </c>
      <c r="E1401" s="2" t="s">
        <v>30</v>
      </c>
      <c r="F1401" s="9">
        <f t="shared" si="85"/>
        <v>2</v>
      </c>
      <c r="G1401" s="9">
        <f t="shared" si="86"/>
        <v>0</v>
      </c>
      <c r="H1401" s="9">
        <f t="shared" si="87"/>
        <v>0</v>
      </c>
      <c r="I1401" s="10">
        <f t="shared" si="88"/>
        <v>2</v>
      </c>
    </row>
    <row r="1402" spans="1:9" x14ac:dyDescent="0.25">
      <c r="A1402" s="2" t="s">
        <v>2986</v>
      </c>
      <c r="B1402" s="2" t="s">
        <v>2987</v>
      </c>
      <c r="C1402" s="2" t="s">
        <v>1405</v>
      </c>
      <c r="D1402" s="2" t="s">
        <v>1406</v>
      </c>
      <c r="E1402" s="2" t="s">
        <v>30</v>
      </c>
      <c r="F1402" s="9">
        <f t="shared" si="85"/>
        <v>1</v>
      </c>
      <c r="G1402" s="9">
        <f t="shared" si="86"/>
        <v>0</v>
      </c>
      <c r="H1402" s="9">
        <f t="shared" si="87"/>
        <v>0</v>
      </c>
      <c r="I1402" s="10">
        <f t="shared" si="88"/>
        <v>1</v>
      </c>
    </row>
    <row r="1403" spans="1:9" x14ac:dyDescent="0.25">
      <c r="A1403" s="2" t="s">
        <v>2988</v>
      </c>
      <c r="B1403" s="2" t="s">
        <v>2989</v>
      </c>
      <c r="C1403" s="2" t="s">
        <v>1405</v>
      </c>
      <c r="D1403" s="2" t="s">
        <v>1406</v>
      </c>
      <c r="E1403" s="2" t="s">
        <v>30</v>
      </c>
      <c r="F1403" s="9">
        <f t="shared" si="85"/>
        <v>1</v>
      </c>
      <c r="G1403" s="9">
        <f t="shared" si="86"/>
        <v>0</v>
      </c>
      <c r="H1403" s="9">
        <f t="shared" si="87"/>
        <v>0</v>
      </c>
      <c r="I1403" s="10">
        <f t="shared" si="88"/>
        <v>1</v>
      </c>
    </row>
    <row r="1404" spans="1:9" x14ac:dyDescent="0.25">
      <c r="A1404" s="2" t="s">
        <v>3005</v>
      </c>
      <c r="B1404" s="2" t="s">
        <v>3006</v>
      </c>
      <c r="C1404" s="2" t="s">
        <v>81</v>
      </c>
      <c r="D1404" s="2" t="s">
        <v>1406</v>
      </c>
      <c r="E1404" s="2" t="s">
        <v>489</v>
      </c>
      <c r="F1404" s="9">
        <f t="shared" ref="F1404:F1463" si="89">IFERROR(VLOOKUP(A1404,condi,8,0),0)</f>
        <v>0</v>
      </c>
      <c r="G1404" s="9">
        <f t="shared" ref="G1404:G1463" si="90">IFERROR(VLOOKUP(A1404,maqui,8,0),0)</f>
        <v>0</v>
      </c>
      <c r="H1404" s="9">
        <f t="shared" ref="H1404:H1463" si="91">IFERROR(VLOOKUP(A1404,ascint,8,0),0)</f>
        <v>0</v>
      </c>
      <c r="I1404" s="10">
        <f t="shared" si="88"/>
        <v>0</v>
      </c>
    </row>
    <row r="1405" spans="1:9" x14ac:dyDescent="0.25">
      <c r="A1405" s="2" t="s">
        <v>3007</v>
      </c>
      <c r="B1405" s="2" t="s">
        <v>3008</v>
      </c>
      <c r="C1405" s="2" t="s">
        <v>81</v>
      </c>
      <c r="D1405" s="2" t="s">
        <v>1406</v>
      </c>
      <c r="E1405" s="2" t="s">
        <v>489</v>
      </c>
      <c r="F1405" s="9">
        <f t="shared" si="89"/>
        <v>0</v>
      </c>
      <c r="G1405" s="9">
        <f t="shared" si="90"/>
        <v>0</v>
      </c>
      <c r="H1405" s="9">
        <f t="shared" si="91"/>
        <v>0</v>
      </c>
      <c r="I1405" s="10">
        <f t="shared" si="88"/>
        <v>0</v>
      </c>
    </row>
    <row r="1406" spans="1:9" x14ac:dyDescent="0.25">
      <c r="A1406" s="2" t="s">
        <v>3009</v>
      </c>
      <c r="B1406" s="2" t="s">
        <v>3010</v>
      </c>
      <c r="C1406" s="2" t="s">
        <v>81</v>
      </c>
      <c r="D1406" s="2" t="s">
        <v>1406</v>
      </c>
      <c r="E1406" s="2" t="s">
        <v>3011</v>
      </c>
      <c r="F1406" s="9">
        <f t="shared" si="89"/>
        <v>10</v>
      </c>
      <c r="G1406" s="9">
        <f t="shared" si="90"/>
        <v>0</v>
      </c>
      <c r="H1406" s="9">
        <f t="shared" si="91"/>
        <v>0</v>
      </c>
      <c r="I1406" s="10">
        <f t="shared" ref="I1406:I1469" si="92">+F1406+G1406+H1406</f>
        <v>10</v>
      </c>
    </row>
    <row r="1407" spans="1:9" x14ac:dyDescent="0.25">
      <c r="A1407" s="2" t="s">
        <v>3012</v>
      </c>
      <c r="B1407" s="2" t="s">
        <v>3013</v>
      </c>
      <c r="C1407" s="2" t="s">
        <v>81</v>
      </c>
      <c r="D1407" s="2" t="s">
        <v>1406</v>
      </c>
      <c r="E1407" s="2" t="s">
        <v>3011</v>
      </c>
      <c r="F1407" s="9">
        <f t="shared" si="89"/>
        <v>7.5</v>
      </c>
      <c r="G1407" s="9">
        <f t="shared" si="90"/>
        <v>0</v>
      </c>
      <c r="H1407" s="9">
        <f t="shared" si="91"/>
        <v>0</v>
      </c>
      <c r="I1407" s="10">
        <f t="shared" si="92"/>
        <v>7.5</v>
      </c>
    </row>
    <row r="1408" spans="1:9" x14ac:dyDescent="0.25">
      <c r="A1408" s="2" t="s">
        <v>3014</v>
      </c>
      <c r="B1408" s="2" t="s">
        <v>3015</v>
      </c>
      <c r="C1408" s="2" t="s">
        <v>81</v>
      </c>
      <c r="D1408" s="2" t="s">
        <v>1406</v>
      </c>
      <c r="E1408" s="2" t="s">
        <v>3011</v>
      </c>
      <c r="F1408" s="9">
        <f t="shared" si="89"/>
        <v>7</v>
      </c>
      <c r="G1408" s="9">
        <f t="shared" si="90"/>
        <v>0</v>
      </c>
      <c r="H1408" s="9">
        <f t="shared" si="91"/>
        <v>0</v>
      </c>
      <c r="I1408" s="10">
        <f t="shared" si="92"/>
        <v>7</v>
      </c>
    </row>
    <row r="1409" spans="1:9" x14ac:dyDescent="0.25">
      <c r="A1409" s="2" t="s">
        <v>3016</v>
      </c>
      <c r="B1409" s="2" t="s">
        <v>3017</v>
      </c>
      <c r="C1409" s="2" t="s">
        <v>81</v>
      </c>
      <c r="D1409" s="2" t="s">
        <v>1406</v>
      </c>
      <c r="E1409" s="2" t="s">
        <v>3011</v>
      </c>
      <c r="F1409" s="9">
        <f t="shared" si="89"/>
        <v>17.670000000000002</v>
      </c>
      <c r="G1409" s="9">
        <f t="shared" si="90"/>
        <v>0</v>
      </c>
      <c r="H1409" s="9">
        <f t="shared" si="91"/>
        <v>0</v>
      </c>
      <c r="I1409" s="10">
        <f t="shared" si="92"/>
        <v>17.670000000000002</v>
      </c>
    </row>
    <row r="1410" spans="1:9" x14ac:dyDescent="0.25">
      <c r="A1410" s="2" t="s">
        <v>3018</v>
      </c>
      <c r="B1410" s="2" t="s">
        <v>3019</v>
      </c>
      <c r="C1410" s="2" t="s">
        <v>81</v>
      </c>
      <c r="D1410" s="2" t="s">
        <v>1406</v>
      </c>
      <c r="E1410" s="2" t="s">
        <v>3011</v>
      </c>
      <c r="F1410" s="9">
        <f t="shared" si="89"/>
        <v>196</v>
      </c>
      <c r="G1410" s="9">
        <f t="shared" si="90"/>
        <v>0</v>
      </c>
      <c r="H1410" s="9">
        <f t="shared" si="91"/>
        <v>0</v>
      </c>
      <c r="I1410" s="10">
        <f t="shared" si="92"/>
        <v>196</v>
      </c>
    </row>
    <row r="1411" spans="1:9" x14ac:dyDescent="0.25">
      <c r="A1411" s="2" t="s">
        <v>3020</v>
      </c>
      <c r="B1411" s="2" t="s">
        <v>3021</v>
      </c>
      <c r="C1411" s="2" t="s">
        <v>81</v>
      </c>
      <c r="D1411" s="2" t="s">
        <v>1406</v>
      </c>
      <c r="E1411" s="2" t="s">
        <v>3011</v>
      </c>
      <c r="F1411" s="9">
        <f t="shared" si="89"/>
        <v>19.100000000000001</v>
      </c>
      <c r="G1411" s="9">
        <f t="shared" si="90"/>
        <v>0</v>
      </c>
      <c r="H1411" s="9">
        <f t="shared" si="91"/>
        <v>0</v>
      </c>
      <c r="I1411" s="10">
        <f t="shared" si="92"/>
        <v>19.100000000000001</v>
      </c>
    </row>
    <row r="1412" spans="1:9" x14ac:dyDescent="0.25">
      <c r="A1412" s="2" t="s">
        <v>3022</v>
      </c>
      <c r="B1412" s="2" t="s">
        <v>3023</v>
      </c>
      <c r="C1412" s="2" t="s">
        <v>81</v>
      </c>
      <c r="D1412" s="2" t="s">
        <v>1406</v>
      </c>
      <c r="E1412" s="2" t="s">
        <v>3011</v>
      </c>
      <c r="F1412" s="9">
        <f t="shared" si="89"/>
        <v>9.9</v>
      </c>
      <c r="G1412" s="9">
        <f t="shared" si="90"/>
        <v>0</v>
      </c>
      <c r="H1412" s="9">
        <f t="shared" si="91"/>
        <v>0</v>
      </c>
      <c r="I1412" s="10">
        <f t="shared" si="92"/>
        <v>9.9</v>
      </c>
    </row>
    <row r="1413" spans="1:9" x14ac:dyDescent="0.25">
      <c r="A1413" s="2" t="s">
        <v>3024</v>
      </c>
      <c r="B1413" s="2" t="s">
        <v>3025</v>
      </c>
      <c r="C1413" s="2" t="s">
        <v>81</v>
      </c>
      <c r="D1413" s="2" t="s">
        <v>1406</v>
      </c>
      <c r="E1413" s="2" t="s">
        <v>3011</v>
      </c>
      <c r="F1413" s="9">
        <f t="shared" si="89"/>
        <v>39.4</v>
      </c>
      <c r="G1413" s="9">
        <f t="shared" si="90"/>
        <v>0</v>
      </c>
      <c r="H1413" s="9">
        <f t="shared" si="91"/>
        <v>0</v>
      </c>
      <c r="I1413" s="10">
        <f t="shared" si="92"/>
        <v>39.4</v>
      </c>
    </row>
    <row r="1414" spans="1:9" x14ac:dyDescent="0.25">
      <c r="A1414" s="2" t="s">
        <v>3026</v>
      </c>
      <c r="B1414" s="2" t="s">
        <v>3027</v>
      </c>
      <c r="C1414" s="2" t="s">
        <v>81</v>
      </c>
      <c r="D1414" s="2" t="s">
        <v>1406</v>
      </c>
      <c r="E1414" s="2" t="s">
        <v>3011</v>
      </c>
      <c r="F1414" s="9">
        <f t="shared" si="89"/>
        <v>60.69</v>
      </c>
      <c r="G1414" s="9">
        <f t="shared" si="90"/>
        <v>0</v>
      </c>
      <c r="H1414" s="9">
        <f t="shared" si="91"/>
        <v>0</v>
      </c>
      <c r="I1414" s="10">
        <f t="shared" si="92"/>
        <v>60.69</v>
      </c>
    </row>
    <row r="1415" spans="1:9" x14ac:dyDescent="0.25">
      <c r="A1415" s="2" t="s">
        <v>3028</v>
      </c>
      <c r="B1415" s="2" t="s">
        <v>3029</v>
      </c>
      <c r="C1415" s="2" t="s">
        <v>81</v>
      </c>
      <c r="D1415" s="2" t="s">
        <v>1406</v>
      </c>
      <c r="E1415" s="2" t="s">
        <v>3011</v>
      </c>
      <c r="F1415" s="9">
        <f t="shared" si="89"/>
        <v>54.95</v>
      </c>
      <c r="G1415" s="9">
        <f t="shared" si="90"/>
        <v>0</v>
      </c>
      <c r="H1415" s="9">
        <f t="shared" si="91"/>
        <v>0</v>
      </c>
      <c r="I1415" s="10">
        <f t="shared" si="92"/>
        <v>54.95</v>
      </c>
    </row>
    <row r="1416" spans="1:9" x14ac:dyDescent="0.25">
      <c r="A1416" s="2" t="s">
        <v>3030</v>
      </c>
      <c r="B1416" s="2" t="s">
        <v>3031</v>
      </c>
      <c r="C1416" s="2" t="s">
        <v>81</v>
      </c>
      <c r="D1416" s="2" t="s">
        <v>1406</v>
      </c>
      <c r="E1416" s="2" t="s">
        <v>3011</v>
      </c>
      <c r="F1416" s="9">
        <f t="shared" si="89"/>
        <v>750.34</v>
      </c>
      <c r="G1416" s="9">
        <f t="shared" si="90"/>
        <v>0</v>
      </c>
      <c r="H1416" s="9">
        <f t="shared" si="91"/>
        <v>0</v>
      </c>
      <c r="I1416" s="10">
        <f t="shared" si="92"/>
        <v>750.34</v>
      </c>
    </row>
    <row r="1417" spans="1:9" x14ac:dyDescent="0.25">
      <c r="A1417" s="2" t="s">
        <v>3032</v>
      </c>
      <c r="B1417" s="2" t="s">
        <v>3033</v>
      </c>
      <c r="C1417" s="2" t="s">
        <v>81</v>
      </c>
      <c r="D1417" s="2" t="s">
        <v>1406</v>
      </c>
      <c r="E1417" s="2" t="s">
        <v>3011</v>
      </c>
      <c r="F1417" s="9">
        <f t="shared" si="89"/>
        <v>96.19</v>
      </c>
      <c r="G1417" s="9">
        <f t="shared" si="90"/>
        <v>0</v>
      </c>
      <c r="H1417" s="9">
        <f t="shared" si="91"/>
        <v>0</v>
      </c>
      <c r="I1417" s="10">
        <f t="shared" si="92"/>
        <v>96.19</v>
      </c>
    </row>
    <row r="1418" spans="1:9" x14ac:dyDescent="0.25">
      <c r="A1418" s="2" t="s">
        <v>3034</v>
      </c>
      <c r="B1418" s="2" t="s">
        <v>3035</v>
      </c>
      <c r="C1418" s="2" t="s">
        <v>81</v>
      </c>
      <c r="D1418" s="2" t="s">
        <v>1406</v>
      </c>
      <c r="E1418" s="2" t="s">
        <v>3011</v>
      </c>
      <c r="F1418" s="9">
        <f t="shared" si="89"/>
        <v>12.5</v>
      </c>
      <c r="G1418" s="9">
        <f t="shared" si="90"/>
        <v>0</v>
      </c>
      <c r="H1418" s="9">
        <f t="shared" si="91"/>
        <v>0</v>
      </c>
      <c r="I1418" s="10">
        <f t="shared" si="92"/>
        <v>12.5</v>
      </c>
    </row>
    <row r="1419" spans="1:9" x14ac:dyDescent="0.25">
      <c r="A1419" s="2" t="s">
        <v>3036</v>
      </c>
      <c r="B1419" s="2" t="s">
        <v>3037</v>
      </c>
      <c r="C1419" s="2" t="s">
        <v>81</v>
      </c>
      <c r="D1419" s="2" t="s">
        <v>1406</v>
      </c>
      <c r="E1419" s="2" t="s">
        <v>3011</v>
      </c>
      <c r="F1419" s="9">
        <f t="shared" si="89"/>
        <v>384.87</v>
      </c>
      <c r="G1419" s="9">
        <f t="shared" si="90"/>
        <v>0</v>
      </c>
      <c r="H1419" s="9">
        <f t="shared" si="91"/>
        <v>0</v>
      </c>
      <c r="I1419" s="10">
        <f t="shared" si="92"/>
        <v>384.87</v>
      </c>
    </row>
    <row r="1420" spans="1:9" x14ac:dyDescent="0.25">
      <c r="A1420" s="2" t="s">
        <v>3038</v>
      </c>
      <c r="B1420" s="2" t="s">
        <v>3039</v>
      </c>
      <c r="C1420" s="2" t="s">
        <v>81</v>
      </c>
      <c r="D1420" s="2" t="s">
        <v>1406</v>
      </c>
      <c r="E1420" s="2" t="s">
        <v>3011</v>
      </c>
      <c r="F1420" s="9">
        <f t="shared" si="89"/>
        <v>8</v>
      </c>
      <c r="G1420" s="9">
        <f t="shared" si="90"/>
        <v>0</v>
      </c>
      <c r="H1420" s="9">
        <f t="shared" si="91"/>
        <v>0</v>
      </c>
      <c r="I1420" s="10">
        <f t="shared" si="92"/>
        <v>8</v>
      </c>
    </row>
    <row r="1421" spans="1:9" x14ac:dyDescent="0.25">
      <c r="A1421" s="2" t="s">
        <v>3040</v>
      </c>
      <c r="B1421" s="2" t="s">
        <v>3041</v>
      </c>
      <c r="C1421" s="2" t="s">
        <v>81</v>
      </c>
      <c r="D1421" s="2" t="s">
        <v>1406</v>
      </c>
      <c r="E1421" s="2" t="s">
        <v>3011</v>
      </c>
      <c r="F1421" s="9">
        <f t="shared" si="89"/>
        <v>4.33</v>
      </c>
      <c r="G1421" s="9">
        <f t="shared" si="90"/>
        <v>0</v>
      </c>
      <c r="H1421" s="9">
        <f t="shared" si="91"/>
        <v>0</v>
      </c>
      <c r="I1421" s="10">
        <f t="shared" si="92"/>
        <v>4.33</v>
      </c>
    </row>
    <row r="1422" spans="1:9" x14ac:dyDescent="0.25">
      <c r="A1422" s="2" t="s">
        <v>3042</v>
      </c>
      <c r="B1422" s="2" t="s">
        <v>3043</v>
      </c>
      <c r="C1422" s="2" t="s">
        <v>81</v>
      </c>
      <c r="D1422" s="2" t="s">
        <v>1406</v>
      </c>
      <c r="E1422" s="2" t="s">
        <v>3011</v>
      </c>
      <c r="F1422" s="9">
        <f t="shared" si="89"/>
        <v>79.459999999999994</v>
      </c>
      <c r="G1422" s="9">
        <f t="shared" si="90"/>
        <v>0</v>
      </c>
      <c r="H1422" s="9">
        <f t="shared" si="91"/>
        <v>0</v>
      </c>
      <c r="I1422" s="10">
        <f t="shared" si="92"/>
        <v>79.459999999999994</v>
      </c>
    </row>
    <row r="1423" spans="1:9" x14ac:dyDescent="0.25">
      <c r="A1423" s="2" t="s">
        <v>3044</v>
      </c>
      <c r="B1423" s="2" t="s">
        <v>3045</v>
      </c>
      <c r="C1423" s="2" t="s">
        <v>81</v>
      </c>
      <c r="D1423" s="2" t="s">
        <v>1406</v>
      </c>
      <c r="E1423" s="2" t="s">
        <v>3011</v>
      </c>
      <c r="F1423" s="9">
        <f t="shared" si="89"/>
        <v>50.92</v>
      </c>
      <c r="G1423" s="9">
        <f t="shared" si="90"/>
        <v>0</v>
      </c>
      <c r="H1423" s="9">
        <f t="shared" si="91"/>
        <v>0</v>
      </c>
      <c r="I1423" s="10">
        <f t="shared" si="92"/>
        <v>50.92</v>
      </c>
    </row>
    <row r="1424" spans="1:9" x14ac:dyDescent="0.25">
      <c r="A1424" s="2" t="s">
        <v>3046</v>
      </c>
      <c r="B1424" s="2" t="s">
        <v>3047</v>
      </c>
      <c r="C1424" s="2" t="s">
        <v>81</v>
      </c>
      <c r="D1424" s="2" t="s">
        <v>1406</v>
      </c>
      <c r="E1424" s="2" t="s">
        <v>30</v>
      </c>
      <c r="F1424" s="9">
        <f t="shared" si="89"/>
        <v>72</v>
      </c>
      <c r="G1424" s="9">
        <f t="shared" si="90"/>
        <v>0</v>
      </c>
      <c r="H1424" s="9">
        <f t="shared" si="91"/>
        <v>0</v>
      </c>
      <c r="I1424" s="10">
        <f t="shared" si="92"/>
        <v>72</v>
      </c>
    </row>
    <row r="1425" spans="1:9" x14ac:dyDescent="0.25">
      <c r="A1425" s="2" t="s">
        <v>3048</v>
      </c>
      <c r="B1425" s="2" t="s">
        <v>3049</v>
      </c>
      <c r="C1425" s="2" t="s">
        <v>81</v>
      </c>
      <c r="D1425" s="2" t="s">
        <v>1406</v>
      </c>
      <c r="E1425" s="2" t="s">
        <v>30</v>
      </c>
      <c r="F1425" s="9">
        <f t="shared" si="89"/>
        <v>14</v>
      </c>
      <c r="G1425" s="9">
        <f t="shared" si="90"/>
        <v>0</v>
      </c>
      <c r="H1425" s="9">
        <f t="shared" si="91"/>
        <v>0</v>
      </c>
      <c r="I1425" s="10">
        <f t="shared" si="92"/>
        <v>14</v>
      </c>
    </row>
    <row r="1426" spans="1:9" x14ac:dyDescent="0.25">
      <c r="A1426" s="2" t="s">
        <v>3050</v>
      </c>
      <c r="B1426" s="2" t="s">
        <v>3051</v>
      </c>
      <c r="C1426" s="2" t="s">
        <v>81</v>
      </c>
      <c r="D1426" s="2" t="s">
        <v>1406</v>
      </c>
      <c r="E1426" s="2" t="s">
        <v>30</v>
      </c>
      <c r="F1426" s="9">
        <f t="shared" si="89"/>
        <v>199</v>
      </c>
      <c r="G1426" s="9">
        <f t="shared" si="90"/>
        <v>0</v>
      </c>
      <c r="H1426" s="9">
        <f t="shared" si="91"/>
        <v>0</v>
      </c>
      <c r="I1426" s="10">
        <f t="shared" si="92"/>
        <v>199</v>
      </c>
    </row>
    <row r="1427" spans="1:9" x14ac:dyDescent="0.25">
      <c r="A1427" s="2" t="s">
        <v>3052</v>
      </c>
      <c r="B1427" s="2" t="s">
        <v>3053</v>
      </c>
      <c r="C1427" s="2" t="s">
        <v>81</v>
      </c>
      <c r="D1427" s="2" t="s">
        <v>1406</v>
      </c>
      <c r="E1427" s="2" t="s">
        <v>30</v>
      </c>
      <c r="F1427" s="9">
        <f t="shared" si="89"/>
        <v>1027</v>
      </c>
      <c r="G1427" s="9">
        <f t="shared" si="90"/>
        <v>0</v>
      </c>
      <c r="H1427" s="9">
        <f t="shared" si="91"/>
        <v>0</v>
      </c>
      <c r="I1427" s="10">
        <f t="shared" si="92"/>
        <v>1027</v>
      </c>
    </row>
    <row r="1428" spans="1:9" x14ac:dyDescent="0.25">
      <c r="A1428" s="2" t="s">
        <v>3054</v>
      </c>
      <c r="B1428" s="2" t="s">
        <v>3055</v>
      </c>
      <c r="C1428" s="2" t="s">
        <v>81</v>
      </c>
      <c r="D1428" s="2" t="s">
        <v>1406</v>
      </c>
      <c r="E1428" s="2" t="s">
        <v>30</v>
      </c>
      <c r="F1428" s="9">
        <f t="shared" si="89"/>
        <v>1535</v>
      </c>
      <c r="G1428" s="9">
        <f t="shared" si="90"/>
        <v>0</v>
      </c>
      <c r="H1428" s="9">
        <f t="shared" si="91"/>
        <v>0</v>
      </c>
      <c r="I1428" s="10">
        <f t="shared" si="92"/>
        <v>1535</v>
      </c>
    </row>
    <row r="1429" spans="1:9" x14ac:dyDescent="0.25">
      <c r="A1429" s="2" t="s">
        <v>3056</v>
      </c>
      <c r="B1429" s="2" t="s">
        <v>3057</v>
      </c>
      <c r="C1429" s="2" t="s">
        <v>81</v>
      </c>
      <c r="D1429" s="2" t="s">
        <v>1406</v>
      </c>
      <c r="E1429" s="2" t="s">
        <v>30</v>
      </c>
      <c r="F1429" s="9">
        <f t="shared" si="89"/>
        <v>136</v>
      </c>
      <c r="G1429" s="9">
        <f t="shared" si="90"/>
        <v>0</v>
      </c>
      <c r="H1429" s="9">
        <f t="shared" si="91"/>
        <v>0</v>
      </c>
      <c r="I1429" s="10">
        <f t="shared" si="92"/>
        <v>136</v>
      </c>
    </row>
    <row r="1430" spans="1:9" x14ac:dyDescent="0.25">
      <c r="A1430" s="2" t="s">
        <v>3058</v>
      </c>
      <c r="B1430" s="2" t="s">
        <v>3059</v>
      </c>
      <c r="C1430" s="2" t="s">
        <v>81</v>
      </c>
      <c r="D1430" s="2" t="s">
        <v>1406</v>
      </c>
      <c r="E1430" s="2" t="s">
        <v>30</v>
      </c>
      <c r="F1430" s="9">
        <f t="shared" si="89"/>
        <v>133</v>
      </c>
      <c r="G1430" s="9">
        <f t="shared" si="90"/>
        <v>0</v>
      </c>
      <c r="H1430" s="9">
        <f t="shared" si="91"/>
        <v>0</v>
      </c>
      <c r="I1430" s="10">
        <f t="shared" si="92"/>
        <v>133</v>
      </c>
    </row>
    <row r="1431" spans="1:9" x14ac:dyDescent="0.25">
      <c r="A1431" s="2" t="s">
        <v>3060</v>
      </c>
      <c r="B1431" s="2" t="s">
        <v>3061</v>
      </c>
      <c r="C1431" s="2" t="s">
        <v>81</v>
      </c>
      <c r="D1431" s="2" t="s">
        <v>1406</v>
      </c>
      <c r="E1431" s="2" t="s">
        <v>30</v>
      </c>
      <c r="F1431" s="9">
        <f t="shared" si="89"/>
        <v>640</v>
      </c>
      <c r="G1431" s="9">
        <f t="shared" si="90"/>
        <v>0</v>
      </c>
      <c r="H1431" s="9">
        <f t="shared" si="91"/>
        <v>0</v>
      </c>
      <c r="I1431" s="10">
        <f t="shared" si="92"/>
        <v>640</v>
      </c>
    </row>
    <row r="1432" spans="1:9" x14ac:dyDescent="0.25">
      <c r="A1432" s="2" t="s">
        <v>3062</v>
      </c>
      <c r="B1432" s="2" t="s">
        <v>3063</v>
      </c>
      <c r="C1432" s="2" t="s">
        <v>81</v>
      </c>
      <c r="D1432" s="2" t="s">
        <v>1406</v>
      </c>
      <c r="E1432" s="2" t="s">
        <v>30</v>
      </c>
      <c r="F1432" s="9">
        <f t="shared" si="89"/>
        <v>17</v>
      </c>
      <c r="G1432" s="9">
        <f t="shared" si="90"/>
        <v>0</v>
      </c>
      <c r="H1432" s="9">
        <f t="shared" si="91"/>
        <v>0</v>
      </c>
      <c r="I1432" s="10">
        <f t="shared" si="92"/>
        <v>17</v>
      </c>
    </row>
    <row r="1433" spans="1:9" x14ac:dyDescent="0.25">
      <c r="A1433" s="2" t="s">
        <v>3064</v>
      </c>
      <c r="B1433" s="2" t="s">
        <v>3065</v>
      </c>
      <c r="C1433" s="2" t="s">
        <v>81</v>
      </c>
      <c r="D1433" s="2" t="s">
        <v>1406</v>
      </c>
      <c r="E1433" s="2" t="s">
        <v>30</v>
      </c>
      <c r="F1433" s="9">
        <f t="shared" si="89"/>
        <v>21</v>
      </c>
      <c r="G1433" s="9">
        <f t="shared" si="90"/>
        <v>0</v>
      </c>
      <c r="H1433" s="9">
        <f t="shared" si="91"/>
        <v>0</v>
      </c>
      <c r="I1433" s="10">
        <f t="shared" si="92"/>
        <v>21</v>
      </c>
    </row>
    <row r="1434" spans="1:9" x14ac:dyDescent="0.25">
      <c r="A1434" s="2" t="s">
        <v>3066</v>
      </c>
      <c r="B1434" s="2" t="s">
        <v>3067</v>
      </c>
      <c r="C1434" s="2" t="s">
        <v>81</v>
      </c>
      <c r="D1434" s="2" t="s">
        <v>1406</v>
      </c>
      <c r="E1434" s="2" t="s">
        <v>30</v>
      </c>
      <c r="F1434" s="9">
        <f t="shared" si="89"/>
        <v>21</v>
      </c>
      <c r="G1434" s="9">
        <f t="shared" si="90"/>
        <v>0</v>
      </c>
      <c r="H1434" s="9">
        <f t="shared" si="91"/>
        <v>0</v>
      </c>
      <c r="I1434" s="10">
        <f t="shared" si="92"/>
        <v>21</v>
      </c>
    </row>
    <row r="1435" spans="1:9" x14ac:dyDescent="0.25">
      <c r="A1435" s="2" t="s">
        <v>3068</v>
      </c>
      <c r="B1435" s="2" t="s">
        <v>3069</v>
      </c>
      <c r="C1435" s="2" t="s">
        <v>81</v>
      </c>
      <c r="D1435" s="2" t="s">
        <v>1406</v>
      </c>
      <c r="E1435" s="2" t="s">
        <v>30</v>
      </c>
      <c r="F1435" s="9">
        <f t="shared" si="89"/>
        <v>13</v>
      </c>
      <c r="G1435" s="9">
        <f t="shared" si="90"/>
        <v>0</v>
      </c>
      <c r="H1435" s="9">
        <f t="shared" si="91"/>
        <v>0</v>
      </c>
      <c r="I1435" s="10">
        <f t="shared" si="92"/>
        <v>13</v>
      </c>
    </row>
    <row r="1436" spans="1:9" x14ac:dyDescent="0.25">
      <c r="A1436" s="2" t="s">
        <v>3070</v>
      </c>
      <c r="B1436" s="2" t="s">
        <v>3071</v>
      </c>
      <c r="C1436" s="2" t="s">
        <v>81</v>
      </c>
      <c r="D1436" s="2" t="s">
        <v>1406</v>
      </c>
      <c r="E1436" s="2" t="s">
        <v>30</v>
      </c>
      <c r="F1436" s="9">
        <f t="shared" si="89"/>
        <v>96</v>
      </c>
      <c r="G1436" s="9">
        <f t="shared" si="90"/>
        <v>0</v>
      </c>
      <c r="H1436" s="9">
        <f t="shared" si="91"/>
        <v>0</v>
      </c>
      <c r="I1436" s="10">
        <f t="shared" si="92"/>
        <v>96</v>
      </c>
    </row>
    <row r="1437" spans="1:9" x14ac:dyDescent="0.25">
      <c r="A1437" s="2" t="s">
        <v>3072</v>
      </c>
      <c r="B1437" s="2" t="s">
        <v>3073</v>
      </c>
      <c r="C1437" s="2" t="s">
        <v>81</v>
      </c>
      <c r="D1437" s="2" t="s">
        <v>1406</v>
      </c>
      <c r="E1437" s="2" t="s">
        <v>30</v>
      </c>
      <c r="F1437" s="9">
        <f t="shared" si="89"/>
        <v>11</v>
      </c>
      <c r="G1437" s="9">
        <f t="shared" si="90"/>
        <v>0</v>
      </c>
      <c r="H1437" s="9">
        <f t="shared" si="91"/>
        <v>0</v>
      </c>
      <c r="I1437" s="10">
        <f t="shared" si="92"/>
        <v>11</v>
      </c>
    </row>
    <row r="1438" spans="1:9" x14ac:dyDescent="0.25">
      <c r="A1438" s="2" t="s">
        <v>3074</v>
      </c>
      <c r="B1438" s="2" t="s">
        <v>3075</v>
      </c>
      <c r="C1438" s="2" t="s">
        <v>81</v>
      </c>
      <c r="D1438" s="2" t="s">
        <v>1406</v>
      </c>
      <c r="E1438" s="2" t="s">
        <v>30</v>
      </c>
      <c r="F1438" s="9">
        <f t="shared" si="89"/>
        <v>30</v>
      </c>
      <c r="G1438" s="9">
        <f t="shared" si="90"/>
        <v>0</v>
      </c>
      <c r="H1438" s="9">
        <f t="shared" si="91"/>
        <v>0</v>
      </c>
      <c r="I1438" s="10">
        <f t="shared" si="92"/>
        <v>30</v>
      </c>
    </row>
    <row r="1439" spans="1:9" x14ac:dyDescent="0.25">
      <c r="A1439" s="2" t="s">
        <v>3076</v>
      </c>
      <c r="B1439" s="2" t="s">
        <v>3077</v>
      </c>
      <c r="C1439" s="2" t="s">
        <v>81</v>
      </c>
      <c r="D1439" s="2" t="s">
        <v>1406</v>
      </c>
      <c r="E1439" s="2" t="s">
        <v>30</v>
      </c>
      <c r="F1439" s="9">
        <f t="shared" si="89"/>
        <v>22</v>
      </c>
      <c r="G1439" s="9">
        <f t="shared" si="90"/>
        <v>0</v>
      </c>
      <c r="H1439" s="9">
        <f t="shared" si="91"/>
        <v>0</v>
      </c>
      <c r="I1439" s="10">
        <f t="shared" si="92"/>
        <v>22</v>
      </c>
    </row>
    <row r="1440" spans="1:9" x14ac:dyDescent="0.25">
      <c r="A1440" s="2" t="s">
        <v>3078</v>
      </c>
      <c r="B1440" s="2" t="s">
        <v>3079</v>
      </c>
      <c r="C1440" s="2" t="s">
        <v>81</v>
      </c>
      <c r="D1440" s="2" t="s">
        <v>1406</v>
      </c>
      <c r="E1440" s="2" t="s">
        <v>30</v>
      </c>
      <c r="F1440" s="9">
        <f t="shared" si="89"/>
        <v>20</v>
      </c>
      <c r="G1440" s="9">
        <f t="shared" si="90"/>
        <v>0</v>
      </c>
      <c r="H1440" s="9">
        <f t="shared" si="91"/>
        <v>0</v>
      </c>
      <c r="I1440" s="10">
        <f t="shared" si="92"/>
        <v>20</v>
      </c>
    </row>
    <row r="1441" spans="1:9" x14ac:dyDescent="0.25">
      <c r="A1441" s="2" t="s">
        <v>3080</v>
      </c>
      <c r="B1441" s="2" t="s">
        <v>3081</v>
      </c>
      <c r="C1441" s="2" t="s">
        <v>81</v>
      </c>
      <c r="D1441" s="2" t="s">
        <v>1406</v>
      </c>
      <c r="E1441" s="2" t="s">
        <v>30</v>
      </c>
      <c r="F1441" s="9">
        <f t="shared" si="89"/>
        <v>349</v>
      </c>
      <c r="G1441" s="9">
        <f t="shared" si="90"/>
        <v>0</v>
      </c>
      <c r="H1441" s="9">
        <f t="shared" si="91"/>
        <v>0</v>
      </c>
      <c r="I1441" s="10">
        <f t="shared" si="92"/>
        <v>349</v>
      </c>
    </row>
    <row r="1442" spans="1:9" x14ac:dyDescent="0.25">
      <c r="A1442" s="2" t="s">
        <v>3082</v>
      </c>
      <c r="B1442" s="2" t="s">
        <v>3083</v>
      </c>
      <c r="C1442" s="2" t="s">
        <v>1046</v>
      </c>
      <c r="D1442" s="2" t="s">
        <v>1406</v>
      </c>
      <c r="E1442" s="2" t="s">
        <v>101</v>
      </c>
      <c r="F1442" s="9">
        <f t="shared" si="89"/>
        <v>0.5</v>
      </c>
      <c r="G1442" s="9">
        <f t="shared" si="90"/>
        <v>0</v>
      </c>
      <c r="H1442" s="9">
        <f t="shared" si="91"/>
        <v>0</v>
      </c>
      <c r="I1442" s="10">
        <f t="shared" si="92"/>
        <v>0.5</v>
      </c>
    </row>
    <row r="1443" spans="1:9" x14ac:dyDescent="0.25">
      <c r="A1443" s="2" t="s">
        <v>3084</v>
      </c>
      <c r="B1443" s="2" t="s">
        <v>3085</v>
      </c>
      <c r="C1443" s="2" t="s">
        <v>1046</v>
      </c>
      <c r="D1443" s="2" t="s">
        <v>1406</v>
      </c>
      <c r="E1443" s="2" t="s">
        <v>101</v>
      </c>
      <c r="F1443" s="9">
        <f t="shared" si="89"/>
        <v>0.5</v>
      </c>
      <c r="G1443" s="9">
        <f t="shared" si="90"/>
        <v>0</v>
      </c>
      <c r="H1443" s="9">
        <f t="shared" si="91"/>
        <v>0</v>
      </c>
      <c r="I1443" s="10">
        <f t="shared" si="92"/>
        <v>0.5</v>
      </c>
    </row>
    <row r="1444" spans="1:9" x14ac:dyDescent="0.25">
      <c r="A1444" s="2" t="s">
        <v>3086</v>
      </c>
      <c r="B1444" s="2" t="s">
        <v>3087</v>
      </c>
      <c r="C1444" s="2" t="s">
        <v>95</v>
      </c>
      <c r="D1444" s="2" t="s">
        <v>1406</v>
      </c>
      <c r="E1444" s="2" t="s">
        <v>30</v>
      </c>
      <c r="F1444" s="9">
        <f t="shared" si="89"/>
        <v>6</v>
      </c>
      <c r="G1444" s="9">
        <f t="shared" si="90"/>
        <v>0</v>
      </c>
      <c r="H1444" s="9">
        <f t="shared" si="91"/>
        <v>0</v>
      </c>
      <c r="I1444" s="10">
        <f t="shared" si="92"/>
        <v>6</v>
      </c>
    </row>
    <row r="1445" spans="1:9" x14ac:dyDescent="0.25">
      <c r="A1445" s="2" t="s">
        <v>3088</v>
      </c>
      <c r="B1445" s="2" t="s">
        <v>3089</v>
      </c>
      <c r="C1445" s="2" t="s">
        <v>95</v>
      </c>
      <c r="D1445" s="2" t="s">
        <v>1406</v>
      </c>
      <c r="E1445" s="2" t="s">
        <v>30</v>
      </c>
      <c r="F1445" s="9">
        <f t="shared" si="89"/>
        <v>14</v>
      </c>
      <c r="G1445" s="9">
        <f t="shared" si="90"/>
        <v>0</v>
      </c>
      <c r="H1445" s="9">
        <f t="shared" si="91"/>
        <v>0</v>
      </c>
      <c r="I1445" s="10">
        <f t="shared" si="92"/>
        <v>14</v>
      </c>
    </row>
    <row r="1446" spans="1:9" x14ac:dyDescent="0.25">
      <c r="A1446" s="2" t="s">
        <v>3090</v>
      </c>
      <c r="B1446" s="2" t="s">
        <v>3091</v>
      </c>
      <c r="C1446" s="2" t="s">
        <v>95</v>
      </c>
      <c r="D1446" s="2" t="s">
        <v>1406</v>
      </c>
      <c r="E1446" s="2" t="s">
        <v>30</v>
      </c>
      <c r="F1446" s="9">
        <f t="shared" si="89"/>
        <v>2</v>
      </c>
      <c r="G1446" s="9">
        <f t="shared" si="90"/>
        <v>0</v>
      </c>
      <c r="H1446" s="9">
        <f t="shared" si="91"/>
        <v>0</v>
      </c>
      <c r="I1446" s="10">
        <f t="shared" si="92"/>
        <v>2</v>
      </c>
    </row>
    <row r="1447" spans="1:9" x14ac:dyDescent="0.25">
      <c r="A1447" s="2" t="s">
        <v>3092</v>
      </c>
      <c r="B1447" s="2" t="s">
        <v>3093</v>
      </c>
      <c r="C1447" s="2" t="s">
        <v>95</v>
      </c>
      <c r="D1447" s="2" t="s">
        <v>1406</v>
      </c>
      <c r="E1447" s="2" t="s">
        <v>30</v>
      </c>
      <c r="F1447" s="9">
        <f t="shared" si="89"/>
        <v>10</v>
      </c>
      <c r="G1447" s="9">
        <f t="shared" si="90"/>
        <v>0</v>
      </c>
      <c r="H1447" s="9">
        <f t="shared" si="91"/>
        <v>0</v>
      </c>
      <c r="I1447" s="10">
        <f t="shared" si="92"/>
        <v>10</v>
      </c>
    </row>
    <row r="1448" spans="1:9" x14ac:dyDescent="0.25">
      <c r="A1448" s="2" t="s">
        <v>3094</v>
      </c>
      <c r="B1448" s="2" t="s">
        <v>3095</v>
      </c>
      <c r="C1448" s="2" t="s">
        <v>95</v>
      </c>
      <c r="D1448" s="2" t="s">
        <v>1406</v>
      </c>
      <c r="E1448" s="2" t="s">
        <v>30</v>
      </c>
      <c r="F1448" s="9">
        <f t="shared" si="89"/>
        <v>6</v>
      </c>
      <c r="G1448" s="9">
        <f t="shared" si="90"/>
        <v>0</v>
      </c>
      <c r="H1448" s="9">
        <f t="shared" si="91"/>
        <v>0</v>
      </c>
      <c r="I1448" s="10">
        <f t="shared" si="92"/>
        <v>6</v>
      </c>
    </row>
    <row r="1449" spans="1:9" x14ac:dyDescent="0.25">
      <c r="A1449" s="2" t="s">
        <v>3096</v>
      </c>
      <c r="B1449" s="2" t="s">
        <v>3097</v>
      </c>
      <c r="C1449" s="2" t="s">
        <v>95</v>
      </c>
      <c r="D1449" s="2" t="s">
        <v>1406</v>
      </c>
      <c r="E1449" s="2" t="s">
        <v>101</v>
      </c>
      <c r="F1449" s="9">
        <f t="shared" si="89"/>
        <v>1</v>
      </c>
      <c r="G1449" s="9">
        <f t="shared" si="90"/>
        <v>0</v>
      </c>
      <c r="H1449" s="9">
        <f t="shared" si="91"/>
        <v>0</v>
      </c>
      <c r="I1449" s="10">
        <f t="shared" si="92"/>
        <v>1</v>
      </c>
    </row>
    <row r="1450" spans="1:9" x14ac:dyDescent="0.25">
      <c r="A1450" s="2" t="s">
        <v>3098</v>
      </c>
      <c r="B1450" s="2" t="s">
        <v>3099</v>
      </c>
      <c r="C1450" s="2" t="s">
        <v>95</v>
      </c>
      <c r="D1450" s="2" t="s">
        <v>1406</v>
      </c>
      <c r="E1450" s="2" t="s">
        <v>101</v>
      </c>
      <c r="F1450" s="9">
        <f t="shared" si="89"/>
        <v>0</v>
      </c>
      <c r="G1450" s="9">
        <f t="shared" si="90"/>
        <v>0</v>
      </c>
      <c r="H1450" s="9">
        <f t="shared" si="91"/>
        <v>0</v>
      </c>
      <c r="I1450" s="10">
        <f t="shared" si="92"/>
        <v>0</v>
      </c>
    </row>
    <row r="1451" spans="1:9" x14ac:dyDescent="0.25">
      <c r="A1451" s="2" t="s">
        <v>3100</v>
      </c>
      <c r="B1451" s="2" t="s">
        <v>3101</v>
      </c>
      <c r="C1451" s="2" t="s">
        <v>95</v>
      </c>
      <c r="D1451" s="2" t="s">
        <v>1406</v>
      </c>
      <c r="E1451" s="2" t="s">
        <v>30</v>
      </c>
      <c r="F1451" s="9">
        <f t="shared" si="89"/>
        <v>17</v>
      </c>
      <c r="G1451" s="9">
        <f t="shared" si="90"/>
        <v>0</v>
      </c>
      <c r="H1451" s="9">
        <f t="shared" si="91"/>
        <v>0</v>
      </c>
      <c r="I1451" s="10">
        <f t="shared" si="92"/>
        <v>17</v>
      </c>
    </row>
    <row r="1452" spans="1:9" x14ac:dyDescent="0.25">
      <c r="A1452" s="2" t="s">
        <v>3102</v>
      </c>
      <c r="B1452" s="2" t="s">
        <v>3103</v>
      </c>
      <c r="C1452" s="2" t="s">
        <v>95</v>
      </c>
      <c r="D1452" s="2" t="s">
        <v>1406</v>
      </c>
      <c r="E1452" s="2" t="s">
        <v>30</v>
      </c>
      <c r="F1452" s="9">
        <f t="shared" si="89"/>
        <v>10</v>
      </c>
      <c r="G1452" s="9">
        <f t="shared" si="90"/>
        <v>0</v>
      </c>
      <c r="H1452" s="9">
        <f t="shared" si="91"/>
        <v>0</v>
      </c>
      <c r="I1452" s="10">
        <f t="shared" si="92"/>
        <v>10</v>
      </c>
    </row>
    <row r="1453" spans="1:9" x14ac:dyDescent="0.25">
      <c r="A1453" s="2" t="s">
        <v>3104</v>
      </c>
      <c r="B1453" s="2" t="s">
        <v>3105</v>
      </c>
      <c r="C1453" s="2" t="s">
        <v>95</v>
      </c>
      <c r="D1453" s="2" t="s">
        <v>1406</v>
      </c>
      <c r="E1453" s="2" t="s">
        <v>30</v>
      </c>
      <c r="F1453" s="9">
        <f t="shared" si="89"/>
        <v>10</v>
      </c>
      <c r="G1453" s="9">
        <f t="shared" si="90"/>
        <v>0</v>
      </c>
      <c r="H1453" s="9">
        <f t="shared" si="91"/>
        <v>0</v>
      </c>
      <c r="I1453" s="10">
        <f t="shared" si="92"/>
        <v>10</v>
      </c>
    </row>
    <row r="1454" spans="1:9" x14ac:dyDescent="0.25">
      <c r="A1454" s="2" t="s">
        <v>3106</v>
      </c>
      <c r="B1454" s="2" t="s">
        <v>3107</v>
      </c>
      <c r="C1454" s="2" t="s">
        <v>95</v>
      </c>
      <c r="D1454" s="2" t="s">
        <v>1406</v>
      </c>
      <c r="E1454" s="2" t="s">
        <v>30</v>
      </c>
      <c r="F1454" s="9">
        <f t="shared" si="89"/>
        <v>22</v>
      </c>
      <c r="G1454" s="9">
        <f t="shared" si="90"/>
        <v>0</v>
      </c>
      <c r="H1454" s="9">
        <f t="shared" si="91"/>
        <v>0</v>
      </c>
      <c r="I1454" s="10">
        <f t="shared" si="92"/>
        <v>22</v>
      </c>
    </row>
    <row r="1455" spans="1:9" x14ac:dyDescent="0.25">
      <c r="A1455" s="2" t="s">
        <v>3108</v>
      </c>
      <c r="B1455" s="2" t="s">
        <v>3109</v>
      </c>
      <c r="C1455" s="2" t="s">
        <v>95</v>
      </c>
      <c r="D1455" s="2" t="s">
        <v>1406</v>
      </c>
      <c r="E1455" s="2" t="s">
        <v>30</v>
      </c>
      <c r="F1455" s="9">
        <f t="shared" si="89"/>
        <v>0</v>
      </c>
      <c r="G1455" s="9">
        <f t="shared" si="90"/>
        <v>0</v>
      </c>
      <c r="H1455" s="9">
        <f t="shared" si="91"/>
        <v>0</v>
      </c>
      <c r="I1455" s="10">
        <f t="shared" si="92"/>
        <v>0</v>
      </c>
    </row>
    <row r="1456" spans="1:9" x14ac:dyDescent="0.25">
      <c r="A1456" s="2" t="s">
        <v>3110</v>
      </c>
      <c r="B1456" s="2" t="s">
        <v>3111</v>
      </c>
      <c r="C1456" s="2" t="s">
        <v>95</v>
      </c>
      <c r="D1456" s="2" t="s">
        <v>1406</v>
      </c>
      <c r="E1456" s="2" t="s">
        <v>30</v>
      </c>
      <c r="F1456" s="9">
        <f t="shared" si="89"/>
        <v>0</v>
      </c>
      <c r="G1456" s="9">
        <f t="shared" si="90"/>
        <v>0</v>
      </c>
      <c r="H1456" s="9">
        <f t="shared" si="91"/>
        <v>0</v>
      </c>
      <c r="I1456" s="10">
        <f t="shared" si="92"/>
        <v>0</v>
      </c>
    </row>
    <row r="1457" spans="1:9" x14ac:dyDescent="0.25">
      <c r="A1457" s="2" t="s">
        <v>3112</v>
      </c>
      <c r="B1457" s="2" t="s">
        <v>3113</v>
      </c>
      <c r="C1457" s="2" t="s">
        <v>3114</v>
      </c>
      <c r="D1457" s="2" t="s">
        <v>1406</v>
      </c>
      <c r="E1457" s="2" t="s">
        <v>101</v>
      </c>
      <c r="F1457" s="9">
        <f t="shared" si="89"/>
        <v>3</v>
      </c>
      <c r="G1457" s="9">
        <f t="shared" si="90"/>
        <v>0</v>
      </c>
      <c r="H1457" s="9">
        <f t="shared" si="91"/>
        <v>0</v>
      </c>
      <c r="I1457" s="10">
        <f t="shared" si="92"/>
        <v>3</v>
      </c>
    </row>
    <row r="1458" spans="1:9" x14ac:dyDescent="0.25">
      <c r="A1458" s="2" t="s">
        <v>3115</v>
      </c>
      <c r="B1458" s="2" t="s">
        <v>3116</v>
      </c>
      <c r="C1458" s="2" t="s">
        <v>3114</v>
      </c>
      <c r="D1458" s="2" t="s">
        <v>1406</v>
      </c>
      <c r="E1458" s="2" t="s">
        <v>101</v>
      </c>
      <c r="F1458" s="9">
        <f t="shared" si="89"/>
        <v>1</v>
      </c>
      <c r="G1458" s="9">
        <f t="shared" si="90"/>
        <v>0</v>
      </c>
      <c r="H1458" s="9">
        <f t="shared" si="91"/>
        <v>0</v>
      </c>
      <c r="I1458" s="10">
        <f t="shared" si="92"/>
        <v>1</v>
      </c>
    </row>
    <row r="1459" spans="1:9" x14ac:dyDescent="0.25">
      <c r="A1459" s="2" t="s">
        <v>3117</v>
      </c>
      <c r="B1459" s="2" t="s">
        <v>3118</v>
      </c>
      <c r="C1459" s="2" t="s">
        <v>3114</v>
      </c>
      <c r="D1459" s="2" t="s">
        <v>1406</v>
      </c>
      <c r="E1459" s="2" t="s">
        <v>101</v>
      </c>
      <c r="F1459" s="9">
        <f t="shared" si="89"/>
        <v>5</v>
      </c>
      <c r="G1459" s="9">
        <f t="shared" si="90"/>
        <v>0</v>
      </c>
      <c r="H1459" s="9">
        <f t="shared" si="91"/>
        <v>0</v>
      </c>
      <c r="I1459" s="10">
        <f t="shared" si="92"/>
        <v>5</v>
      </c>
    </row>
    <row r="1460" spans="1:9" x14ac:dyDescent="0.25">
      <c r="A1460" s="2" t="s">
        <v>3119</v>
      </c>
      <c r="B1460" s="2" t="s">
        <v>3120</v>
      </c>
      <c r="C1460" s="2" t="s">
        <v>3114</v>
      </c>
      <c r="D1460" s="2" t="s">
        <v>1406</v>
      </c>
      <c r="E1460" s="2" t="s">
        <v>104</v>
      </c>
      <c r="F1460" s="9">
        <f t="shared" si="89"/>
        <v>2</v>
      </c>
      <c r="G1460" s="9">
        <f t="shared" si="90"/>
        <v>0</v>
      </c>
      <c r="H1460" s="9">
        <f t="shared" si="91"/>
        <v>0</v>
      </c>
      <c r="I1460" s="10">
        <f t="shared" si="92"/>
        <v>2</v>
      </c>
    </row>
    <row r="1461" spans="1:9" x14ac:dyDescent="0.25">
      <c r="A1461" s="2" t="s">
        <v>3121</v>
      </c>
      <c r="B1461" s="2" t="s">
        <v>3122</v>
      </c>
      <c r="C1461" s="2" t="s">
        <v>3114</v>
      </c>
      <c r="D1461" s="2" t="s">
        <v>1406</v>
      </c>
      <c r="E1461" s="2" t="s">
        <v>104</v>
      </c>
      <c r="F1461" s="9">
        <f t="shared" si="89"/>
        <v>8</v>
      </c>
      <c r="G1461" s="9">
        <f t="shared" si="90"/>
        <v>0</v>
      </c>
      <c r="H1461" s="9">
        <f t="shared" si="91"/>
        <v>0</v>
      </c>
      <c r="I1461" s="10">
        <f t="shared" si="92"/>
        <v>8</v>
      </c>
    </row>
    <row r="1462" spans="1:9" x14ac:dyDescent="0.25">
      <c r="A1462" s="2" t="s">
        <v>3123</v>
      </c>
      <c r="B1462" s="2" t="s">
        <v>3124</v>
      </c>
      <c r="C1462" s="2" t="s">
        <v>3114</v>
      </c>
      <c r="D1462" s="2" t="s">
        <v>1406</v>
      </c>
      <c r="E1462" s="2" t="s">
        <v>101</v>
      </c>
      <c r="F1462" s="9">
        <f t="shared" si="89"/>
        <v>15</v>
      </c>
      <c r="G1462" s="9">
        <f t="shared" si="90"/>
        <v>0</v>
      </c>
      <c r="H1462" s="9">
        <f t="shared" si="91"/>
        <v>0</v>
      </c>
      <c r="I1462" s="10">
        <f t="shared" si="92"/>
        <v>15</v>
      </c>
    </row>
    <row r="1463" spans="1:9" x14ac:dyDescent="0.25">
      <c r="A1463" s="2" t="s">
        <v>3125</v>
      </c>
      <c r="B1463" s="2" t="s">
        <v>3126</v>
      </c>
      <c r="C1463" s="2" t="s">
        <v>3114</v>
      </c>
      <c r="D1463" s="2" t="s">
        <v>1406</v>
      </c>
      <c r="E1463" s="2" t="s">
        <v>101</v>
      </c>
      <c r="F1463" s="9">
        <f t="shared" si="89"/>
        <v>14</v>
      </c>
      <c r="G1463" s="9">
        <f t="shared" si="90"/>
        <v>0</v>
      </c>
      <c r="H1463" s="9">
        <f t="shared" si="91"/>
        <v>0</v>
      </c>
      <c r="I1463" s="10">
        <f t="shared" si="92"/>
        <v>14</v>
      </c>
    </row>
    <row r="1464" spans="1:9" x14ac:dyDescent="0.25">
      <c r="A1464" s="2" t="s">
        <v>3127</v>
      </c>
      <c r="B1464" s="2" t="s">
        <v>3128</v>
      </c>
      <c r="C1464" s="2" t="s">
        <v>3114</v>
      </c>
      <c r="D1464" s="2" t="s">
        <v>1406</v>
      </c>
      <c r="E1464" s="2" t="s">
        <v>101</v>
      </c>
      <c r="F1464" s="9">
        <f t="shared" ref="F1464:F1527" si="93">IFERROR(VLOOKUP(A1464,condi,8,0),0)</f>
        <v>9</v>
      </c>
      <c r="G1464" s="9">
        <f t="shared" ref="G1464:G1527" si="94">IFERROR(VLOOKUP(A1464,maqui,8,0),0)</f>
        <v>0</v>
      </c>
      <c r="H1464" s="9">
        <f t="shared" ref="H1464:H1527" si="95">IFERROR(VLOOKUP(A1464,ascint,8,0),0)</f>
        <v>0</v>
      </c>
      <c r="I1464" s="10">
        <f t="shared" si="92"/>
        <v>9</v>
      </c>
    </row>
    <row r="1465" spans="1:9" x14ac:dyDescent="0.25">
      <c r="A1465" s="2" t="s">
        <v>3129</v>
      </c>
      <c r="B1465" s="2" t="s">
        <v>3130</v>
      </c>
      <c r="C1465" s="2" t="s">
        <v>3114</v>
      </c>
      <c r="D1465" s="2" t="s">
        <v>1406</v>
      </c>
      <c r="E1465" s="2" t="s">
        <v>101</v>
      </c>
      <c r="F1465" s="9">
        <f t="shared" si="93"/>
        <v>0.6</v>
      </c>
      <c r="G1465" s="9">
        <f t="shared" si="94"/>
        <v>0</v>
      </c>
      <c r="H1465" s="9">
        <f t="shared" si="95"/>
        <v>0</v>
      </c>
      <c r="I1465" s="10">
        <f t="shared" si="92"/>
        <v>0.6</v>
      </c>
    </row>
    <row r="1466" spans="1:9" x14ac:dyDescent="0.25">
      <c r="A1466" s="2" t="s">
        <v>3131</v>
      </c>
      <c r="B1466" s="2" t="s">
        <v>3132</v>
      </c>
      <c r="C1466" s="2" t="s">
        <v>232</v>
      </c>
      <c r="D1466" s="2" t="s">
        <v>1406</v>
      </c>
      <c r="E1466" s="2" t="s">
        <v>30</v>
      </c>
      <c r="F1466" s="9">
        <f t="shared" si="93"/>
        <v>57</v>
      </c>
      <c r="G1466" s="9">
        <f t="shared" si="94"/>
        <v>0</v>
      </c>
      <c r="H1466" s="9">
        <f t="shared" si="95"/>
        <v>0</v>
      </c>
      <c r="I1466" s="10">
        <f t="shared" si="92"/>
        <v>57</v>
      </c>
    </row>
    <row r="1467" spans="1:9" x14ac:dyDescent="0.25">
      <c r="A1467" s="2" t="s">
        <v>3133</v>
      </c>
      <c r="B1467" s="2" t="s">
        <v>3134</v>
      </c>
      <c r="C1467" s="2" t="s">
        <v>232</v>
      </c>
      <c r="D1467" s="2" t="s">
        <v>1406</v>
      </c>
      <c r="E1467" s="2" t="s">
        <v>30</v>
      </c>
      <c r="F1467" s="9">
        <f t="shared" si="93"/>
        <v>62</v>
      </c>
      <c r="G1467" s="9">
        <f t="shared" si="94"/>
        <v>0</v>
      </c>
      <c r="H1467" s="9">
        <f t="shared" si="95"/>
        <v>0</v>
      </c>
      <c r="I1467" s="10">
        <f t="shared" si="92"/>
        <v>62</v>
      </c>
    </row>
    <row r="1468" spans="1:9" x14ac:dyDescent="0.25">
      <c r="A1468" s="2" t="s">
        <v>3135</v>
      </c>
      <c r="B1468" s="2" t="s">
        <v>3136</v>
      </c>
      <c r="C1468" s="2" t="s">
        <v>232</v>
      </c>
      <c r="D1468" s="2" t="s">
        <v>1406</v>
      </c>
      <c r="E1468" s="2" t="s">
        <v>30</v>
      </c>
      <c r="F1468" s="9">
        <f t="shared" si="93"/>
        <v>16</v>
      </c>
      <c r="G1468" s="9">
        <f t="shared" si="94"/>
        <v>0</v>
      </c>
      <c r="H1468" s="9">
        <f t="shared" si="95"/>
        <v>0</v>
      </c>
      <c r="I1468" s="10">
        <f t="shared" si="92"/>
        <v>16</v>
      </c>
    </row>
    <row r="1469" spans="1:9" x14ac:dyDescent="0.25">
      <c r="A1469" s="2" t="s">
        <v>3137</v>
      </c>
      <c r="B1469" s="2" t="s">
        <v>3138</v>
      </c>
      <c r="C1469" s="2" t="s">
        <v>232</v>
      </c>
      <c r="D1469" s="2" t="s">
        <v>1406</v>
      </c>
      <c r="E1469" s="2" t="s">
        <v>30</v>
      </c>
      <c r="F1469" s="9">
        <f t="shared" si="93"/>
        <v>4</v>
      </c>
      <c r="G1469" s="9">
        <f t="shared" si="94"/>
        <v>0</v>
      </c>
      <c r="H1469" s="9">
        <f t="shared" si="95"/>
        <v>0</v>
      </c>
      <c r="I1469" s="10">
        <f t="shared" si="92"/>
        <v>4</v>
      </c>
    </row>
    <row r="1470" spans="1:9" x14ac:dyDescent="0.25">
      <c r="A1470" s="2" t="s">
        <v>3139</v>
      </c>
      <c r="B1470" s="2" t="s">
        <v>3140</v>
      </c>
      <c r="C1470" s="2" t="s">
        <v>232</v>
      </c>
      <c r="D1470" s="2" t="s">
        <v>1406</v>
      </c>
      <c r="E1470" s="2" t="s">
        <v>30</v>
      </c>
      <c r="F1470" s="9">
        <f t="shared" si="93"/>
        <v>3</v>
      </c>
      <c r="G1470" s="9">
        <f t="shared" si="94"/>
        <v>0</v>
      </c>
      <c r="H1470" s="9">
        <f t="shared" si="95"/>
        <v>0</v>
      </c>
      <c r="I1470" s="10">
        <f t="shared" ref="I1470:I1533" si="96">+F1470+G1470+H1470</f>
        <v>3</v>
      </c>
    </row>
    <row r="1471" spans="1:9" x14ac:dyDescent="0.25">
      <c r="A1471" s="2" t="s">
        <v>3141</v>
      </c>
      <c r="B1471" s="2" t="s">
        <v>3142</v>
      </c>
      <c r="C1471" s="2" t="s">
        <v>232</v>
      </c>
      <c r="D1471" s="2" t="s">
        <v>1406</v>
      </c>
      <c r="E1471" s="2" t="s">
        <v>30</v>
      </c>
      <c r="F1471" s="9">
        <f t="shared" si="93"/>
        <v>9</v>
      </c>
      <c r="G1471" s="9">
        <f t="shared" si="94"/>
        <v>0</v>
      </c>
      <c r="H1471" s="9">
        <f t="shared" si="95"/>
        <v>0</v>
      </c>
      <c r="I1471" s="10">
        <f t="shared" si="96"/>
        <v>9</v>
      </c>
    </row>
    <row r="1472" spans="1:9" x14ac:dyDescent="0.25">
      <c r="A1472" s="2" t="s">
        <v>3143</v>
      </c>
      <c r="B1472" s="2" t="s">
        <v>3144</v>
      </c>
      <c r="C1472" s="2" t="s">
        <v>232</v>
      </c>
      <c r="D1472" s="2" t="s">
        <v>1406</v>
      </c>
      <c r="E1472" s="2" t="s">
        <v>30</v>
      </c>
      <c r="F1472" s="9">
        <f t="shared" si="93"/>
        <v>10</v>
      </c>
      <c r="G1472" s="9">
        <f t="shared" si="94"/>
        <v>0</v>
      </c>
      <c r="H1472" s="9">
        <f t="shared" si="95"/>
        <v>0</v>
      </c>
      <c r="I1472" s="10">
        <f t="shared" si="96"/>
        <v>10</v>
      </c>
    </row>
    <row r="1473" spans="1:9" x14ac:dyDescent="0.25">
      <c r="A1473" s="2" t="s">
        <v>3145</v>
      </c>
      <c r="B1473" s="2" t="s">
        <v>3146</v>
      </c>
      <c r="C1473" s="2" t="s">
        <v>232</v>
      </c>
      <c r="D1473" s="2" t="s">
        <v>1406</v>
      </c>
      <c r="E1473" s="2" t="s">
        <v>30</v>
      </c>
      <c r="F1473" s="9">
        <f t="shared" si="93"/>
        <v>5</v>
      </c>
      <c r="G1473" s="9">
        <f t="shared" si="94"/>
        <v>0</v>
      </c>
      <c r="H1473" s="9">
        <f t="shared" si="95"/>
        <v>0</v>
      </c>
      <c r="I1473" s="10">
        <f t="shared" si="96"/>
        <v>5</v>
      </c>
    </row>
    <row r="1474" spans="1:9" x14ac:dyDescent="0.25">
      <c r="A1474" s="2" t="s">
        <v>3147</v>
      </c>
      <c r="B1474" s="2" t="s">
        <v>3148</v>
      </c>
      <c r="C1474" s="2" t="s">
        <v>232</v>
      </c>
      <c r="D1474" s="2" t="s">
        <v>1406</v>
      </c>
      <c r="E1474" s="2" t="s">
        <v>30</v>
      </c>
      <c r="F1474" s="9">
        <f t="shared" si="93"/>
        <v>4</v>
      </c>
      <c r="G1474" s="9">
        <f t="shared" si="94"/>
        <v>0</v>
      </c>
      <c r="H1474" s="9">
        <f t="shared" si="95"/>
        <v>0</v>
      </c>
      <c r="I1474" s="10">
        <f t="shared" si="96"/>
        <v>4</v>
      </c>
    </row>
    <row r="1475" spans="1:9" x14ac:dyDescent="0.25">
      <c r="A1475" s="2" t="s">
        <v>3149</v>
      </c>
      <c r="B1475" s="2" t="s">
        <v>3150</v>
      </c>
      <c r="C1475" s="2" t="s">
        <v>232</v>
      </c>
      <c r="D1475" s="2" t="s">
        <v>1406</v>
      </c>
      <c r="E1475" s="2" t="s">
        <v>30</v>
      </c>
      <c r="F1475" s="9">
        <f t="shared" si="93"/>
        <v>4</v>
      </c>
      <c r="G1475" s="9">
        <f t="shared" si="94"/>
        <v>0</v>
      </c>
      <c r="H1475" s="9">
        <f t="shared" si="95"/>
        <v>0</v>
      </c>
      <c r="I1475" s="10">
        <f t="shared" si="96"/>
        <v>4</v>
      </c>
    </row>
    <row r="1476" spans="1:9" x14ac:dyDescent="0.25">
      <c r="A1476" s="2" t="s">
        <v>3151</v>
      </c>
      <c r="B1476" s="2" t="s">
        <v>3152</v>
      </c>
      <c r="C1476" s="2" t="s">
        <v>232</v>
      </c>
      <c r="D1476" s="2" t="s">
        <v>1406</v>
      </c>
      <c r="E1476" s="2" t="s">
        <v>30</v>
      </c>
      <c r="F1476" s="9">
        <f t="shared" si="93"/>
        <v>89</v>
      </c>
      <c r="G1476" s="9">
        <f t="shared" si="94"/>
        <v>0</v>
      </c>
      <c r="H1476" s="9">
        <f t="shared" si="95"/>
        <v>0</v>
      </c>
      <c r="I1476" s="10">
        <f t="shared" si="96"/>
        <v>89</v>
      </c>
    </row>
    <row r="1477" spans="1:9" x14ac:dyDescent="0.25">
      <c r="A1477" s="2" t="s">
        <v>3153</v>
      </c>
      <c r="B1477" s="2" t="s">
        <v>3154</v>
      </c>
      <c r="C1477" s="2" t="s">
        <v>232</v>
      </c>
      <c r="D1477" s="2" t="s">
        <v>1406</v>
      </c>
      <c r="E1477" s="2" t="s">
        <v>30</v>
      </c>
      <c r="F1477" s="9">
        <f t="shared" si="93"/>
        <v>54</v>
      </c>
      <c r="G1477" s="9">
        <f t="shared" si="94"/>
        <v>0</v>
      </c>
      <c r="H1477" s="9">
        <f t="shared" si="95"/>
        <v>0</v>
      </c>
      <c r="I1477" s="10">
        <f t="shared" si="96"/>
        <v>54</v>
      </c>
    </row>
    <row r="1478" spans="1:9" x14ac:dyDescent="0.25">
      <c r="A1478" s="2" t="s">
        <v>3155</v>
      </c>
      <c r="B1478" s="2" t="s">
        <v>3156</v>
      </c>
      <c r="C1478" s="2" t="s">
        <v>232</v>
      </c>
      <c r="D1478" s="2" t="s">
        <v>1406</v>
      </c>
      <c r="E1478" s="2" t="s">
        <v>30</v>
      </c>
      <c r="F1478" s="9">
        <f t="shared" si="93"/>
        <v>13</v>
      </c>
      <c r="G1478" s="9">
        <f t="shared" si="94"/>
        <v>0</v>
      </c>
      <c r="H1478" s="9">
        <f t="shared" si="95"/>
        <v>0</v>
      </c>
      <c r="I1478" s="10">
        <f t="shared" si="96"/>
        <v>13</v>
      </c>
    </row>
    <row r="1479" spans="1:9" x14ac:dyDescent="0.25">
      <c r="A1479" s="2" t="s">
        <v>3157</v>
      </c>
      <c r="B1479" s="2" t="s">
        <v>3158</v>
      </c>
      <c r="C1479" s="2" t="s">
        <v>232</v>
      </c>
      <c r="D1479" s="2" t="s">
        <v>1406</v>
      </c>
      <c r="E1479" s="2" t="s">
        <v>30</v>
      </c>
      <c r="F1479" s="9">
        <f t="shared" si="93"/>
        <v>6</v>
      </c>
      <c r="G1479" s="9">
        <f t="shared" si="94"/>
        <v>0</v>
      </c>
      <c r="H1479" s="9">
        <f t="shared" si="95"/>
        <v>0</v>
      </c>
      <c r="I1479" s="10">
        <f t="shared" si="96"/>
        <v>6</v>
      </c>
    </row>
    <row r="1480" spans="1:9" x14ac:dyDescent="0.25">
      <c r="A1480" s="2" t="s">
        <v>3159</v>
      </c>
      <c r="B1480" s="2" t="s">
        <v>3160</v>
      </c>
      <c r="C1480" s="2" t="s">
        <v>232</v>
      </c>
      <c r="D1480" s="2" t="s">
        <v>1406</v>
      </c>
      <c r="E1480" s="2" t="s">
        <v>30</v>
      </c>
      <c r="F1480" s="9">
        <f t="shared" si="93"/>
        <v>6</v>
      </c>
      <c r="G1480" s="9">
        <f t="shared" si="94"/>
        <v>0</v>
      </c>
      <c r="H1480" s="9">
        <f t="shared" si="95"/>
        <v>0</v>
      </c>
      <c r="I1480" s="10">
        <f t="shared" si="96"/>
        <v>6</v>
      </c>
    </row>
    <row r="1481" spans="1:9" x14ac:dyDescent="0.25">
      <c r="A1481" s="2" t="s">
        <v>3161</v>
      </c>
      <c r="B1481" s="2" t="s">
        <v>3162</v>
      </c>
      <c r="C1481" s="2" t="s">
        <v>232</v>
      </c>
      <c r="D1481" s="2" t="s">
        <v>1406</v>
      </c>
      <c r="E1481" s="2" t="s">
        <v>30</v>
      </c>
      <c r="F1481" s="9">
        <f t="shared" si="93"/>
        <v>4</v>
      </c>
      <c r="G1481" s="9">
        <f t="shared" si="94"/>
        <v>0</v>
      </c>
      <c r="H1481" s="9">
        <f t="shared" si="95"/>
        <v>0</v>
      </c>
      <c r="I1481" s="10">
        <f t="shared" si="96"/>
        <v>4</v>
      </c>
    </row>
    <row r="1482" spans="1:9" x14ac:dyDescent="0.25">
      <c r="A1482" s="2" t="s">
        <v>3163</v>
      </c>
      <c r="B1482" s="2" t="s">
        <v>3164</v>
      </c>
      <c r="C1482" s="2" t="s">
        <v>232</v>
      </c>
      <c r="D1482" s="2" t="s">
        <v>1406</v>
      </c>
      <c r="E1482" s="2" t="s">
        <v>30</v>
      </c>
      <c r="F1482" s="9">
        <f t="shared" si="93"/>
        <v>1</v>
      </c>
      <c r="G1482" s="9">
        <f t="shared" si="94"/>
        <v>0</v>
      </c>
      <c r="H1482" s="9">
        <f t="shared" si="95"/>
        <v>0</v>
      </c>
      <c r="I1482" s="10">
        <f t="shared" si="96"/>
        <v>1</v>
      </c>
    </row>
    <row r="1483" spans="1:9" x14ac:dyDescent="0.25">
      <c r="A1483" s="2" t="s">
        <v>3165</v>
      </c>
      <c r="B1483" s="2" t="s">
        <v>3166</v>
      </c>
      <c r="C1483" s="2" t="s">
        <v>232</v>
      </c>
      <c r="D1483" s="2" t="s">
        <v>1406</v>
      </c>
      <c r="E1483" s="2" t="s">
        <v>30</v>
      </c>
      <c r="F1483" s="9">
        <f t="shared" si="93"/>
        <v>4</v>
      </c>
      <c r="G1483" s="9">
        <f t="shared" si="94"/>
        <v>0</v>
      </c>
      <c r="H1483" s="9">
        <f t="shared" si="95"/>
        <v>0</v>
      </c>
      <c r="I1483" s="10">
        <f t="shared" si="96"/>
        <v>4</v>
      </c>
    </row>
    <row r="1484" spans="1:9" x14ac:dyDescent="0.25">
      <c r="A1484" s="2" t="s">
        <v>3167</v>
      </c>
      <c r="B1484" s="2" t="s">
        <v>3168</v>
      </c>
      <c r="C1484" s="2" t="s">
        <v>232</v>
      </c>
      <c r="D1484" s="2" t="s">
        <v>1406</v>
      </c>
      <c r="E1484" s="2" t="s">
        <v>30</v>
      </c>
      <c r="F1484" s="9">
        <f t="shared" si="93"/>
        <v>3</v>
      </c>
      <c r="G1484" s="9">
        <f t="shared" si="94"/>
        <v>0</v>
      </c>
      <c r="H1484" s="9">
        <f t="shared" si="95"/>
        <v>0</v>
      </c>
      <c r="I1484" s="10">
        <f t="shared" si="96"/>
        <v>3</v>
      </c>
    </row>
    <row r="1485" spans="1:9" x14ac:dyDescent="0.25">
      <c r="A1485" s="2" t="s">
        <v>3169</v>
      </c>
      <c r="B1485" s="2" t="s">
        <v>3170</v>
      </c>
      <c r="C1485" s="2" t="s">
        <v>232</v>
      </c>
      <c r="D1485" s="2" t="s">
        <v>1406</v>
      </c>
      <c r="E1485" s="2" t="s">
        <v>30</v>
      </c>
      <c r="F1485" s="9">
        <f t="shared" si="93"/>
        <v>12</v>
      </c>
      <c r="G1485" s="9">
        <f t="shared" si="94"/>
        <v>0</v>
      </c>
      <c r="H1485" s="9">
        <f t="shared" si="95"/>
        <v>0</v>
      </c>
      <c r="I1485" s="10">
        <f t="shared" si="96"/>
        <v>12</v>
      </c>
    </row>
    <row r="1486" spans="1:9" x14ac:dyDescent="0.25">
      <c r="A1486" s="2" t="s">
        <v>328</v>
      </c>
      <c r="B1486" s="2" t="s">
        <v>327</v>
      </c>
      <c r="C1486" s="2" t="s">
        <v>232</v>
      </c>
      <c r="D1486" s="2" t="s">
        <v>1406</v>
      </c>
      <c r="E1486" s="2" t="s">
        <v>30</v>
      </c>
      <c r="F1486" s="9">
        <f t="shared" si="93"/>
        <v>0</v>
      </c>
      <c r="G1486" s="9">
        <f t="shared" si="94"/>
        <v>0</v>
      </c>
      <c r="H1486" s="9">
        <f t="shared" si="95"/>
        <v>0</v>
      </c>
      <c r="I1486" s="10">
        <f t="shared" si="96"/>
        <v>0</v>
      </c>
    </row>
    <row r="1487" spans="1:9" x14ac:dyDescent="0.25">
      <c r="A1487" s="2" t="s">
        <v>3171</v>
      </c>
      <c r="B1487" s="2" t="s">
        <v>3172</v>
      </c>
      <c r="C1487" s="2" t="s">
        <v>232</v>
      </c>
      <c r="D1487" s="2" t="s">
        <v>1406</v>
      </c>
      <c r="E1487" s="2" t="s">
        <v>30</v>
      </c>
      <c r="F1487" s="9">
        <f t="shared" si="93"/>
        <v>16</v>
      </c>
      <c r="G1487" s="9">
        <f t="shared" si="94"/>
        <v>0</v>
      </c>
      <c r="H1487" s="9">
        <f t="shared" si="95"/>
        <v>0</v>
      </c>
      <c r="I1487" s="10">
        <f t="shared" si="96"/>
        <v>16</v>
      </c>
    </row>
    <row r="1488" spans="1:9" x14ac:dyDescent="0.25">
      <c r="A1488" s="2" t="s">
        <v>3173</v>
      </c>
      <c r="B1488" s="2" t="s">
        <v>3174</v>
      </c>
      <c r="C1488" s="2" t="s">
        <v>232</v>
      </c>
      <c r="D1488" s="2" t="s">
        <v>1406</v>
      </c>
      <c r="E1488" s="2" t="s">
        <v>30</v>
      </c>
      <c r="F1488" s="9">
        <f t="shared" si="93"/>
        <v>37</v>
      </c>
      <c r="G1488" s="9">
        <f t="shared" si="94"/>
        <v>0</v>
      </c>
      <c r="H1488" s="9">
        <f t="shared" si="95"/>
        <v>0</v>
      </c>
      <c r="I1488" s="10">
        <f t="shared" si="96"/>
        <v>37</v>
      </c>
    </row>
    <row r="1489" spans="1:9" x14ac:dyDescent="0.25">
      <c r="A1489" s="2" t="s">
        <v>3175</v>
      </c>
      <c r="B1489" s="2" t="s">
        <v>3176</v>
      </c>
      <c r="C1489" s="2" t="s">
        <v>232</v>
      </c>
      <c r="D1489" s="2" t="s">
        <v>1406</v>
      </c>
      <c r="E1489" s="2" t="s">
        <v>30</v>
      </c>
      <c r="F1489" s="9">
        <f t="shared" si="93"/>
        <v>2</v>
      </c>
      <c r="G1489" s="9">
        <f t="shared" si="94"/>
        <v>0</v>
      </c>
      <c r="H1489" s="9">
        <f t="shared" si="95"/>
        <v>0</v>
      </c>
      <c r="I1489" s="10">
        <f t="shared" si="96"/>
        <v>2</v>
      </c>
    </row>
    <row r="1490" spans="1:9" x14ac:dyDescent="0.25">
      <c r="A1490" s="2" t="s">
        <v>3177</v>
      </c>
      <c r="B1490" s="2" t="s">
        <v>3178</v>
      </c>
      <c r="C1490" s="2" t="s">
        <v>232</v>
      </c>
      <c r="D1490" s="2" t="s">
        <v>1406</v>
      </c>
      <c r="E1490" s="2" t="s">
        <v>30</v>
      </c>
      <c r="F1490" s="9">
        <f t="shared" si="93"/>
        <v>11</v>
      </c>
      <c r="G1490" s="9">
        <f t="shared" si="94"/>
        <v>0</v>
      </c>
      <c r="H1490" s="9">
        <f t="shared" si="95"/>
        <v>0</v>
      </c>
      <c r="I1490" s="10">
        <f t="shared" si="96"/>
        <v>11</v>
      </c>
    </row>
    <row r="1491" spans="1:9" x14ac:dyDescent="0.25">
      <c r="A1491" s="2" t="s">
        <v>3179</v>
      </c>
      <c r="B1491" s="2" t="s">
        <v>3180</v>
      </c>
      <c r="C1491" s="2" t="s">
        <v>232</v>
      </c>
      <c r="D1491" s="2" t="s">
        <v>1406</v>
      </c>
      <c r="E1491" s="2" t="s">
        <v>30</v>
      </c>
      <c r="F1491" s="9">
        <f t="shared" si="93"/>
        <v>1</v>
      </c>
      <c r="G1491" s="9">
        <f t="shared" si="94"/>
        <v>0</v>
      </c>
      <c r="H1491" s="9">
        <f t="shared" si="95"/>
        <v>0</v>
      </c>
      <c r="I1491" s="10">
        <f t="shared" si="96"/>
        <v>1</v>
      </c>
    </row>
    <row r="1492" spans="1:9" x14ac:dyDescent="0.25">
      <c r="A1492" s="2" t="s">
        <v>3181</v>
      </c>
      <c r="B1492" s="2" t="s">
        <v>3182</v>
      </c>
      <c r="C1492" s="2" t="s">
        <v>232</v>
      </c>
      <c r="D1492" s="2" t="s">
        <v>1406</v>
      </c>
      <c r="E1492" s="2" t="s">
        <v>30</v>
      </c>
      <c r="F1492" s="9">
        <f t="shared" si="93"/>
        <v>8</v>
      </c>
      <c r="G1492" s="9">
        <f t="shared" si="94"/>
        <v>0</v>
      </c>
      <c r="H1492" s="9">
        <f t="shared" si="95"/>
        <v>0</v>
      </c>
      <c r="I1492" s="10">
        <f t="shared" si="96"/>
        <v>8</v>
      </c>
    </row>
    <row r="1493" spans="1:9" x14ac:dyDescent="0.25">
      <c r="A1493" s="2" t="s">
        <v>3183</v>
      </c>
      <c r="B1493" s="2" t="s">
        <v>3184</v>
      </c>
      <c r="C1493" s="2" t="s">
        <v>232</v>
      </c>
      <c r="D1493" s="2" t="s">
        <v>1406</v>
      </c>
      <c r="E1493" s="2" t="s">
        <v>30</v>
      </c>
      <c r="F1493" s="9">
        <f t="shared" si="93"/>
        <v>3</v>
      </c>
      <c r="G1493" s="9">
        <f t="shared" si="94"/>
        <v>0</v>
      </c>
      <c r="H1493" s="9">
        <f t="shared" si="95"/>
        <v>0</v>
      </c>
      <c r="I1493" s="10">
        <f t="shared" si="96"/>
        <v>3</v>
      </c>
    </row>
    <row r="1494" spans="1:9" x14ac:dyDescent="0.25">
      <c r="A1494" s="2" t="s">
        <v>3185</v>
      </c>
      <c r="B1494" s="2" t="s">
        <v>3186</v>
      </c>
      <c r="C1494" s="2" t="s">
        <v>232</v>
      </c>
      <c r="D1494" s="2" t="s">
        <v>1406</v>
      </c>
      <c r="E1494" s="2" t="s">
        <v>30</v>
      </c>
      <c r="F1494" s="9">
        <f t="shared" si="93"/>
        <v>12</v>
      </c>
      <c r="G1494" s="9">
        <f t="shared" si="94"/>
        <v>0</v>
      </c>
      <c r="H1494" s="9">
        <f t="shared" si="95"/>
        <v>0</v>
      </c>
      <c r="I1494" s="10">
        <f t="shared" si="96"/>
        <v>12</v>
      </c>
    </row>
    <row r="1495" spans="1:9" x14ac:dyDescent="0.25">
      <c r="A1495" s="2" t="s">
        <v>3187</v>
      </c>
      <c r="B1495" s="2" t="s">
        <v>3188</v>
      </c>
      <c r="C1495" s="2" t="s">
        <v>232</v>
      </c>
      <c r="D1495" s="2" t="s">
        <v>1406</v>
      </c>
      <c r="E1495" s="2" t="s">
        <v>30</v>
      </c>
      <c r="F1495" s="9">
        <f t="shared" si="93"/>
        <v>12</v>
      </c>
      <c r="G1495" s="9">
        <f t="shared" si="94"/>
        <v>0</v>
      </c>
      <c r="H1495" s="9">
        <f t="shared" si="95"/>
        <v>0</v>
      </c>
      <c r="I1495" s="10">
        <f t="shared" si="96"/>
        <v>12</v>
      </c>
    </row>
    <row r="1496" spans="1:9" x14ac:dyDescent="0.25">
      <c r="A1496" s="2" t="s">
        <v>3189</v>
      </c>
      <c r="B1496" s="2" t="s">
        <v>3190</v>
      </c>
      <c r="C1496" s="2" t="s">
        <v>232</v>
      </c>
      <c r="D1496" s="2" t="s">
        <v>1406</v>
      </c>
      <c r="E1496" s="2" t="s">
        <v>30</v>
      </c>
      <c r="F1496" s="9">
        <f t="shared" si="93"/>
        <v>20</v>
      </c>
      <c r="G1496" s="9">
        <f t="shared" si="94"/>
        <v>0</v>
      </c>
      <c r="H1496" s="9">
        <f t="shared" si="95"/>
        <v>0</v>
      </c>
      <c r="I1496" s="10">
        <f t="shared" si="96"/>
        <v>20</v>
      </c>
    </row>
    <row r="1497" spans="1:9" x14ac:dyDescent="0.25">
      <c r="A1497" s="2" t="s">
        <v>3191</v>
      </c>
      <c r="B1497" s="2" t="s">
        <v>3192</v>
      </c>
      <c r="C1497" s="2" t="s">
        <v>232</v>
      </c>
      <c r="D1497" s="2" t="s">
        <v>1406</v>
      </c>
      <c r="E1497" s="2" t="s">
        <v>30</v>
      </c>
      <c r="F1497" s="9">
        <f t="shared" si="93"/>
        <v>34</v>
      </c>
      <c r="G1497" s="9">
        <f t="shared" si="94"/>
        <v>0</v>
      </c>
      <c r="H1497" s="9">
        <f t="shared" si="95"/>
        <v>0</v>
      </c>
      <c r="I1497" s="10">
        <f t="shared" si="96"/>
        <v>34</v>
      </c>
    </row>
    <row r="1498" spans="1:9" x14ac:dyDescent="0.25">
      <c r="A1498" s="2" t="s">
        <v>3193</v>
      </c>
      <c r="B1498" s="2" t="s">
        <v>3194</v>
      </c>
      <c r="C1498" s="2" t="s">
        <v>232</v>
      </c>
      <c r="D1498" s="2" t="s">
        <v>1406</v>
      </c>
      <c r="E1498" s="2" t="s">
        <v>30</v>
      </c>
      <c r="F1498" s="9">
        <f t="shared" si="93"/>
        <v>15</v>
      </c>
      <c r="G1498" s="9">
        <f t="shared" si="94"/>
        <v>0</v>
      </c>
      <c r="H1498" s="9">
        <f t="shared" si="95"/>
        <v>0</v>
      </c>
      <c r="I1498" s="10">
        <f t="shared" si="96"/>
        <v>15</v>
      </c>
    </row>
    <row r="1499" spans="1:9" x14ac:dyDescent="0.25">
      <c r="A1499" s="2" t="s">
        <v>3195</v>
      </c>
      <c r="B1499" s="2" t="s">
        <v>3196</v>
      </c>
      <c r="C1499" s="2" t="s">
        <v>232</v>
      </c>
      <c r="D1499" s="2" t="s">
        <v>1406</v>
      </c>
      <c r="E1499" s="2" t="s">
        <v>30</v>
      </c>
      <c r="F1499" s="9">
        <f t="shared" si="93"/>
        <v>71</v>
      </c>
      <c r="G1499" s="9">
        <f t="shared" si="94"/>
        <v>0</v>
      </c>
      <c r="H1499" s="9">
        <f t="shared" si="95"/>
        <v>0</v>
      </c>
      <c r="I1499" s="10">
        <f t="shared" si="96"/>
        <v>71</v>
      </c>
    </row>
    <row r="1500" spans="1:9" x14ac:dyDescent="0.25">
      <c r="A1500" s="2" t="s">
        <v>3197</v>
      </c>
      <c r="B1500" s="2" t="s">
        <v>3198</v>
      </c>
      <c r="C1500" s="2" t="s">
        <v>232</v>
      </c>
      <c r="D1500" s="2" t="s">
        <v>1406</v>
      </c>
      <c r="E1500" s="2" t="s">
        <v>30</v>
      </c>
      <c r="F1500" s="9">
        <f t="shared" si="93"/>
        <v>32</v>
      </c>
      <c r="G1500" s="9">
        <f t="shared" si="94"/>
        <v>0</v>
      </c>
      <c r="H1500" s="9">
        <f t="shared" si="95"/>
        <v>0</v>
      </c>
      <c r="I1500" s="10">
        <f t="shared" si="96"/>
        <v>32</v>
      </c>
    </row>
    <row r="1501" spans="1:9" x14ac:dyDescent="0.25">
      <c r="A1501" s="2" t="s">
        <v>3199</v>
      </c>
      <c r="B1501" s="2" t="s">
        <v>3200</v>
      </c>
      <c r="C1501" s="2" t="s">
        <v>232</v>
      </c>
      <c r="D1501" s="2" t="s">
        <v>1406</v>
      </c>
      <c r="E1501" s="2" t="s">
        <v>30</v>
      </c>
      <c r="F1501" s="9">
        <f t="shared" si="93"/>
        <v>44</v>
      </c>
      <c r="G1501" s="9">
        <f t="shared" si="94"/>
        <v>0</v>
      </c>
      <c r="H1501" s="9">
        <f t="shared" si="95"/>
        <v>0</v>
      </c>
      <c r="I1501" s="10">
        <f t="shared" si="96"/>
        <v>44</v>
      </c>
    </row>
    <row r="1502" spans="1:9" x14ac:dyDescent="0.25">
      <c r="A1502" s="2" t="s">
        <v>3201</v>
      </c>
      <c r="B1502" s="2" t="s">
        <v>3202</v>
      </c>
      <c r="C1502" s="2" t="s">
        <v>232</v>
      </c>
      <c r="D1502" s="2" t="s">
        <v>1406</v>
      </c>
      <c r="E1502" s="2" t="s">
        <v>30</v>
      </c>
      <c r="F1502" s="9">
        <f t="shared" si="93"/>
        <v>1</v>
      </c>
      <c r="G1502" s="9">
        <f t="shared" si="94"/>
        <v>0</v>
      </c>
      <c r="H1502" s="9">
        <f t="shared" si="95"/>
        <v>0</v>
      </c>
      <c r="I1502" s="10">
        <f t="shared" si="96"/>
        <v>1</v>
      </c>
    </row>
    <row r="1503" spans="1:9" x14ac:dyDescent="0.25">
      <c r="A1503" s="2" t="s">
        <v>3203</v>
      </c>
      <c r="B1503" s="2" t="s">
        <v>3204</v>
      </c>
      <c r="C1503" s="2" t="s">
        <v>232</v>
      </c>
      <c r="D1503" s="2" t="s">
        <v>1406</v>
      </c>
      <c r="E1503" s="2" t="s">
        <v>30</v>
      </c>
      <c r="F1503" s="9">
        <f t="shared" si="93"/>
        <v>12</v>
      </c>
      <c r="G1503" s="9">
        <f t="shared" si="94"/>
        <v>0</v>
      </c>
      <c r="H1503" s="9">
        <f t="shared" si="95"/>
        <v>0</v>
      </c>
      <c r="I1503" s="10">
        <f t="shared" si="96"/>
        <v>12</v>
      </c>
    </row>
    <row r="1504" spans="1:9" x14ac:dyDescent="0.25">
      <c r="A1504" s="2" t="s">
        <v>3205</v>
      </c>
      <c r="B1504" s="2" t="s">
        <v>3206</v>
      </c>
      <c r="C1504" s="2" t="s">
        <v>232</v>
      </c>
      <c r="D1504" s="2" t="s">
        <v>1406</v>
      </c>
      <c r="E1504" s="2" t="s">
        <v>30</v>
      </c>
      <c r="F1504" s="9">
        <f t="shared" si="93"/>
        <v>47</v>
      </c>
      <c r="G1504" s="9">
        <f t="shared" si="94"/>
        <v>0</v>
      </c>
      <c r="H1504" s="9">
        <f t="shared" si="95"/>
        <v>0</v>
      </c>
      <c r="I1504" s="10">
        <f t="shared" si="96"/>
        <v>47</v>
      </c>
    </row>
    <row r="1505" spans="1:9" x14ac:dyDescent="0.25">
      <c r="A1505" s="2" t="s">
        <v>3207</v>
      </c>
      <c r="B1505" s="2" t="s">
        <v>3208</v>
      </c>
      <c r="C1505" s="2" t="s">
        <v>232</v>
      </c>
      <c r="D1505" s="2" t="s">
        <v>1406</v>
      </c>
      <c r="E1505" s="2" t="s">
        <v>30</v>
      </c>
      <c r="F1505" s="9">
        <f t="shared" si="93"/>
        <v>4</v>
      </c>
      <c r="G1505" s="9">
        <f t="shared" si="94"/>
        <v>0</v>
      </c>
      <c r="H1505" s="9">
        <f t="shared" si="95"/>
        <v>0</v>
      </c>
      <c r="I1505" s="10">
        <f t="shared" si="96"/>
        <v>4</v>
      </c>
    </row>
    <row r="1506" spans="1:9" x14ac:dyDescent="0.25">
      <c r="A1506" s="2" t="s">
        <v>3209</v>
      </c>
      <c r="B1506" s="2" t="s">
        <v>3210</v>
      </c>
      <c r="C1506" s="2" t="s">
        <v>232</v>
      </c>
      <c r="D1506" s="2" t="s">
        <v>1406</v>
      </c>
      <c r="E1506" s="2" t="s">
        <v>30</v>
      </c>
      <c r="F1506" s="9">
        <f t="shared" si="93"/>
        <v>19</v>
      </c>
      <c r="G1506" s="9">
        <f t="shared" si="94"/>
        <v>0</v>
      </c>
      <c r="H1506" s="9">
        <f t="shared" si="95"/>
        <v>0</v>
      </c>
      <c r="I1506" s="10">
        <f t="shared" si="96"/>
        <v>19</v>
      </c>
    </row>
    <row r="1507" spans="1:9" x14ac:dyDescent="0.25">
      <c r="A1507" s="2" t="s">
        <v>3211</v>
      </c>
      <c r="B1507" s="2" t="s">
        <v>3212</v>
      </c>
      <c r="C1507" s="2" t="s">
        <v>232</v>
      </c>
      <c r="D1507" s="2" t="s">
        <v>1406</v>
      </c>
      <c r="E1507" s="2" t="s">
        <v>30</v>
      </c>
      <c r="F1507" s="9">
        <f t="shared" si="93"/>
        <v>37</v>
      </c>
      <c r="G1507" s="9">
        <f t="shared" si="94"/>
        <v>0</v>
      </c>
      <c r="H1507" s="9">
        <f t="shared" si="95"/>
        <v>0</v>
      </c>
      <c r="I1507" s="10">
        <f t="shared" si="96"/>
        <v>37</v>
      </c>
    </row>
    <row r="1508" spans="1:9" x14ac:dyDescent="0.25">
      <c r="A1508" s="2" t="s">
        <v>3213</v>
      </c>
      <c r="B1508" s="2" t="s">
        <v>3214</v>
      </c>
      <c r="C1508" s="2" t="s">
        <v>232</v>
      </c>
      <c r="D1508" s="2" t="s">
        <v>1406</v>
      </c>
      <c r="E1508" s="2" t="s">
        <v>30</v>
      </c>
      <c r="F1508" s="9">
        <f t="shared" si="93"/>
        <v>4</v>
      </c>
      <c r="G1508" s="9">
        <f t="shared" si="94"/>
        <v>0</v>
      </c>
      <c r="H1508" s="9">
        <f t="shared" si="95"/>
        <v>0</v>
      </c>
      <c r="I1508" s="10">
        <f t="shared" si="96"/>
        <v>4</v>
      </c>
    </row>
    <row r="1509" spans="1:9" x14ac:dyDescent="0.25">
      <c r="A1509" s="2" t="s">
        <v>3215</v>
      </c>
      <c r="B1509" s="2" t="s">
        <v>3216</v>
      </c>
      <c r="C1509" s="2" t="s">
        <v>232</v>
      </c>
      <c r="D1509" s="2" t="s">
        <v>1406</v>
      </c>
      <c r="E1509" s="2" t="s">
        <v>30</v>
      </c>
      <c r="F1509" s="9">
        <f t="shared" si="93"/>
        <v>4</v>
      </c>
      <c r="G1509" s="9">
        <f t="shared" si="94"/>
        <v>0</v>
      </c>
      <c r="H1509" s="9">
        <f t="shared" si="95"/>
        <v>0</v>
      </c>
      <c r="I1509" s="10">
        <f t="shared" si="96"/>
        <v>4</v>
      </c>
    </row>
    <row r="1510" spans="1:9" x14ac:dyDescent="0.25">
      <c r="A1510" s="2" t="s">
        <v>3217</v>
      </c>
      <c r="B1510" s="2" t="s">
        <v>3218</v>
      </c>
      <c r="C1510" s="2" t="s">
        <v>232</v>
      </c>
      <c r="D1510" s="2" t="s">
        <v>1406</v>
      </c>
      <c r="E1510" s="2" t="s">
        <v>30</v>
      </c>
      <c r="F1510" s="9">
        <f t="shared" si="93"/>
        <v>40</v>
      </c>
      <c r="G1510" s="9">
        <f t="shared" si="94"/>
        <v>0</v>
      </c>
      <c r="H1510" s="9">
        <f t="shared" si="95"/>
        <v>0</v>
      </c>
      <c r="I1510" s="10">
        <f t="shared" si="96"/>
        <v>40</v>
      </c>
    </row>
    <row r="1511" spans="1:9" x14ac:dyDescent="0.25">
      <c r="A1511" s="2" t="s">
        <v>3219</v>
      </c>
      <c r="B1511" s="2" t="s">
        <v>3220</v>
      </c>
      <c r="C1511" s="2" t="s">
        <v>232</v>
      </c>
      <c r="D1511" s="2" t="s">
        <v>1406</v>
      </c>
      <c r="E1511" s="2" t="s">
        <v>30</v>
      </c>
      <c r="F1511" s="9">
        <f t="shared" si="93"/>
        <v>2</v>
      </c>
      <c r="G1511" s="9">
        <f t="shared" si="94"/>
        <v>0</v>
      </c>
      <c r="H1511" s="9">
        <f t="shared" si="95"/>
        <v>0</v>
      </c>
      <c r="I1511" s="10">
        <f t="shared" si="96"/>
        <v>2</v>
      </c>
    </row>
    <row r="1512" spans="1:9" x14ac:dyDescent="0.25">
      <c r="A1512" s="2" t="s">
        <v>3221</v>
      </c>
      <c r="B1512" s="2" t="s">
        <v>3222</v>
      </c>
      <c r="C1512" s="2" t="s">
        <v>232</v>
      </c>
      <c r="D1512" s="2" t="s">
        <v>1406</v>
      </c>
      <c r="E1512" s="2" t="s">
        <v>30</v>
      </c>
      <c r="F1512" s="9">
        <f t="shared" si="93"/>
        <v>6</v>
      </c>
      <c r="G1512" s="9">
        <f t="shared" si="94"/>
        <v>0</v>
      </c>
      <c r="H1512" s="9">
        <f t="shared" si="95"/>
        <v>0</v>
      </c>
      <c r="I1512" s="10">
        <f t="shared" si="96"/>
        <v>6</v>
      </c>
    </row>
    <row r="1513" spans="1:9" x14ac:dyDescent="0.25">
      <c r="A1513" s="2" t="s">
        <v>3223</v>
      </c>
      <c r="B1513" s="2" t="s">
        <v>3224</v>
      </c>
      <c r="C1513" s="2" t="s">
        <v>232</v>
      </c>
      <c r="D1513" s="2" t="s">
        <v>1406</v>
      </c>
      <c r="E1513" s="2" t="s">
        <v>30</v>
      </c>
      <c r="F1513" s="9">
        <f t="shared" si="93"/>
        <v>4</v>
      </c>
      <c r="G1513" s="9">
        <f t="shared" si="94"/>
        <v>0</v>
      </c>
      <c r="H1513" s="9">
        <f t="shared" si="95"/>
        <v>0</v>
      </c>
      <c r="I1513" s="10">
        <f t="shared" si="96"/>
        <v>4</v>
      </c>
    </row>
    <row r="1514" spans="1:9" x14ac:dyDescent="0.25">
      <c r="A1514" s="2" t="s">
        <v>3225</v>
      </c>
      <c r="B1514" s="2" t="s">
        <v>3226</v>
      </c>
      <c r="C1514" s="2" t="s">
        <v>232</v>
      </c>
      <c r="D1514" s="2" t="s">
        <v>1406</v>
      </c>
      <c r="E1514" s="2" t="s">
        <v>30</v>
      </c>
      <c r="F1514" s="9">
        <f t="shared" si="93"/>
        <v>40</v>
      </c>
      <c r="G1514" s="9">
        <f t="shared" si="94"/>
        <v>0</v>
      </c>
      <c r="H1514" s="9">
        <f t="shared" si="95"/>
        <v>0</v>
      </c>
      <c r="I1514" s="10">
        <f t="shared" si="96"/>
        <v>40</v>
      </c>
    </row>
    <row r="1515" spans="1:9" x14ac:dyDescent="0.25">
      <c r="A1515" s="2" t="s">
        <v>3227</v>
      </c>
      <c r="B1515" s="2" t="s">
        <v>3228</v>
      </c>
      <c r="C1515" s="2" t="s">
        <v>232</v>
      </c>
      <c r="D1515" s="2" t="s">
        <v>1406</v>
      </c>
      <c r="E1515" s="2" t="s">
        <v>30</v>
      </c>
      <c r="F1515" s="9">
        <f t="shared" si="93"/>
        <v>36</v>
      </c>
      <c r="G1515" s="9">
        <f t="shared" si="94"/>
        <v>0</v>
      </c>
      <c r="H1515" s="9">
        <f t="shared" si="95"/>
        <v>0</v>
      </c>
      <c r="I1515" s="10">
        <f t="shared" si="96"/>
        <v>36</v>
      </c>
    </row>
    <row r="1516" spans="1:9" x14ac:dyDescent="0.25">
      <c r="A1516" s="2" t="s">
        <v>3229</v>
      </c>
      <c r="B1516" s="2" t="s">
        <v>3230</v>
      </c>
      <c r="C1516" s="2" t="s">
        <v>3231</v>
      </c>
      <c r="D1516" s="2" t="s">
        <v>1406</v>
      </c>
      <c r="E1516" s="2" t="s">
        <v>30</v>
      </c>
      <c r="F1516" s="9">
        <f t="shared" si="93"/>
        <v>6</v>
      </c>
      <c r="G1516" s="9">
        <f t="shared" si="94"/>
        <v>0</v>
      </c>
      <c r="H1516" s="9">
        <f t="shared" si="95"/>
        <v>0</v>
      </c>
      <c r="I1516" s="10">
        <f t="shared" si="96"/>
        <v>6</v>
      </c>
    </row>
    <row r="1517" spans="1:9" x14ac:dyDescent="0.25">
      <c r="A1517" s="2" t="s">
        <v>3232</v>
      </c>
      <c r="B1517" s="2" t="s">
        <v>3233</v>
      </c>
      <c r="C1517" s="2" t="s">
        <v>3231</v>
      </c>
      <c r="D1517" s="2" t="s">
        <v>1406</v>
      </c>
      <c r="E1517" s="2" t="s">
        <v>30</v>
      </c>
      <c r="F1517" s="9">
        <f t="shared" si="93"/>
        <v>1</v>
      </c>
      <c r="G1517" s="9">
        <f t="shared" si="94"/>
        <v>0</v>
      </c>
      <c r="H1517" s="9">
        <f t="shared" si="95"/>
        <v>0</v>
      </c>
      <c r="I1517" s="10">
        <f t="shared" si="96"/>
        <v>1</v>
      </c>
    </row>
    <row r="1518" spans="1:9" x14ac:dyDescent="0.25">
      <c r="A1518" s="2" t="s">
        <v>3234</v>
      </c>
      <c r="B1518" s="2" t="s">
        <v>3235</v>
      </c>
      <c r="C1518" s="2" t="s">
        <v>3231</v>
      </c>
      <c r="D1518" s="2" t="s">
        <v>1406</v>
      </c>
      <c r="E1518" s="2" t="s">
        <v>30</v>
      </c>
      <c r="F1518" s="9">
        <f t="shared" si="93"/>
        <v>8</v>
      </c>
      <c r="G1518" s="9">
        <f t="shared" si="94"/>
        <v>0</v>
      </c>
      <c r="H1518" s="9">
        <f t="shared" si="95"/>
        <v>0</v>
      </c>
      <c r="I1518" s="10">
        <f t="shared" si="96"/>
        <v>8</v>
      </c>
    </row>
    <row r="1519" spans="1:9" x14ac:dyDescent="0.25">
      <c r="A1519" s="2" t="s">
        <v>3236</v>
      </c>
      <c r="B1519" s="2" t="s">
        <v>3237</v>
      </c>
      <c r="C1519" s="2" t="s">
        <v>3231</v>
      </c>
      <c r="D1519" s="2" t="s">
        <v>1406</v>
      </c>
      <c r="E1519" s="2" t="s">
        <v>30</v>
      </c>
      <c r="F1519" s="9">
        <f t="shared" si="93"/>
        <v>0</v>
      </c>
      <c r="G1519" s="9">
        <f t="shared" si="94"/>
        <v>0</v>
      </c>
      <c r="H1519" s="9">
        <f t="shared" si="95"/>
        <v>0</v>
      </c>
      <c r="I1519" s="10">
        <f t="shared" si="96"/>
        <v>0</v>
      </c>
    </row>
    <row r="1520" spans="1:9" x14ac:dyDescent="0.25">
      <c r="A1520" s="2" t="s">
        <v>3238</v>
      </c>
      <c r="B1520" s="2" t="s">
        <v>3239</v>
      </c>
      <c r="C1520" s="2" t="s">
        <v>3231</v>
      </c>
      <c r="D1520" s="2" t="s">
        <v>1406</v>
      </c>
      <c r="E1520" s="2" t="s">
        <v>678</v>
      </c>
      <c r="F1520" s="9">
        <f t="shared" si="93"/>
        <v>0</v>
      </c>
      <c r="G1520" s="9">
        <f t="shared" si="94"/>
        <v>0</v>
      </c>
      <c r="H1520" s="9">
        <f t="shared" si="95"/>
        <v>0</v>
      </c>
      <c r="I1520" s="10">
        <f t="shared" si="96"/>
        <v>0</v>
      </c>
    </row>
    <row r="1521" spans="1:9" x14ac:dyDescent="0.25">
      <c r="A1521" s="2" t="s">
        <v>3240</v>
      </c>
      <c r="B1521" s="2" t="s">
        <v>3241</v>
      </c>
      <c r="C1521" s="2" t="s">
        <v>3231</v>
      </c>
      <c r="D1521" s="2" t="s">
        <v>1406</v>
      </c>
      <c r="E1521" s="2" t="s">
        <v>678</v>
      </c>
      <c r="F1521" s="9">
        <f t="shared" si="93"/>
        <v>0</v>
      </c>
      <c r="G1521" s="9">
        <f t="shared" si="94"/>
        <v>0</v>
      </c>
      <c r="H1521" s="9">
        <f t="shared" si="95"/>
        <v>0</v>
      </c>
      <c r="I1521" s="10">
        <f t="shared" si="96"/>
        <v>0</v>
      </c>
    </row>
    <row r="1522" spans="1:9" x14ac:dyDescent="0.25">
      <c r="A1522" s="2" t="s">
        <v>3242</v>
      </c>
      <c r="B1522" s="2" t="s">
        <v>3243</v>
      </c>
      <c r="C1522" s="2" t="s">
        <v>3231</v>
      </c>
      <c r="D1522" s="2" t="s">
        <v>1406</v>
      </c>
      <c r="E1522" s="2" t="s">
        <v>30</v>
      </c>
      <c r="F1522" s="9">
        <f t="shared" si="93"/>
        <v>4</v>
      </c>
      <c r="G1522" s="9">
        <f t="shared" si="94"/>
        <v>0</v>
      </c>
      <c r="H1522" s="9">
        <f t="shared" si="95"/>
        <v>0</v>
      </c>
      <c r="I1522" s="10">
        <f t="shared" si="96"/>
        <v>4</v>
      </c>
    </row>
    <row r="1523" spans="1:9" x14ac:dyDescent="0.25">
      <c r="A1523" s="2" t="s">
        <v>3244</v>
      </c>
      <c r="B1523" s="2" t="s">
        <v>3245</v>
      </c>
      <c r="C1523" s="2" t="s">
        <v>3231</v>
      </c>
      <c r="D1523" s="2" t="s">
        <v>1406</v>
      </c>
      <c r="E1523" s="2" t="s">
        <v>30</v>
      </c>
      <c r="F1523" s="9">
        <f t="shared" si="93"/>
        <v>16</v>
      </c>
      <c r="G1523" s="9">
        <f t="shared" si="94"/>
        <v>0</v>
      </c>
      <c r="H1523" s="9">
        <f t="shared" si="95"/>
        <v>0</v>
      </c>
      <c r="I1523" s="10">
        <f t="shared" si="96"/>
        <v>16</v>
      </c>
    </row>
    <row r="1524" spans="1:9" x14ac:dyDescent="0.25">
      <c r="A1524" s="2" t="s">
        <v>3246</v>
      </c>
      <c r="B1524" s="2" t="s">
        <v>3247</v>
      </c>
      <c r="C1524" s="2" t="s">
        <v>3231</v>
      </c>
      <c r="D1524" s="2" t="s">
        <v>1406</v>
      </c>
      <c r="E1524" s="2" t="s">
        <v>30</v>
      </c>
      <c r="F1524" s="9">
        <f t="shared" si="93"/>
        <v>19</v>
      </c>
      <c r="G1524" s="9">
        <f t="shared" si="94"/>
        <v>0</v>
      </c>
      <c r="H1524" s="9">
        <f t="shared" si="95"/>
        <v>0</v>
      </c>
      <c r="I1524" s="10">
        <f t="shared" si="96"/>
        <v>19</v>
      </c>
    </row>
    <row r="1525" spans="1:9" x14ac:dyDescent="0.25">
      <c r="A1525" s="2" t="s">
        <v>3248</v>
      </c>
      <c r="B1525" s="2" t="s">
        <v>3249</v>
      </c>
      <c r="C1525" s="2" t="s">
        <v>3231</v>
      </c>
      <c r="D1525" s="2" t="s">
        <v>1406</v>
      </c>
      <c r="E1525" s="2" t="s">
        <v>30</v>
      </c>
      <c r="F1525" s="9">
        <f t="shared" si="93"/>
        <v>10</v>
      </c>
      <c r="G1525" s="9">
        <f t="shared" si="94"/>
        <v>0</v>
      </c>
      <c r="H1525" s="9">
        <f t="shared" si="95"/>
        <v>0</v>
      </c>
      <c r="I1525" s="10">
        <f t="shared" si="96"/>
        <v>10</v>
      </c>
    </row>
    <row r="1526" spans="1:9" x14ac:dyDescent="0.25">
      <c r="A1526" s="2" t="s">
        <v>3250</v>
      </c>
      <c r="B1526" s="2" t="s">
        <v>3251</v>
      </c>
      <c r="C1526" s="2" t="s">
        <v>3231</v>
      </c>
      <c r="D1526" s="2" t="s">
        <v>1406</v>
      </c>
      <c r="E1526" s="2" t="s">
        <v>30</v>
      </c>
      <c r="F1526" s="9">
        <f t="shared" si="93"/>
        <v>1</v>
      </c>
      <c r="G1526" s="9">
        <f t="shared" si="94"/>
        <v>0</v>
      </c>
      <c r="H1526" s="9">
        <f t="shared" si="95"/>
        <v>0</v>
      </c>
      <c r="I1526" s="10">
        <f t="shared" si="96"/>
        <v>1</v>
      </c>
    </row>
    <row r="1527" spans="1:9" x14ac:dyDescent="0.25">
      <c r="A1527" s="2" t="s">
        <v>3252</v>
      </c>
      <c r="B1527" s="2" t="s">
        <v>3253</v>
      </c>
      <c r="C1527" s="2" t="s">
        <v>3231</v>
      </c>
      <c r="D1527" s="2" t="s">
        <v>1406</v>
      </c>
      <c r="E1527" s="2" t="s">
        <v>30</v>
      </c>
      <c r="F1527" s="9">
        <f t="shared" si="93"/>
        <v>56</v>
      </c>
      <c r="G1527" s="9">
        <f t="shared" si="94"/>
        <v>0</v>
      </c>
      <c r="H1527" s="9">
        <f t="shared" si="95"/>
        <v>0</v>
      </c>
      <c r="I1527" s="10">
        <f t="shared" si="96"/>
        <v>56</v>
      </c>
    </row>
    <row r="1528" spans="1:9" x14ac:dyDescent="0.25">
      <c r="A1528" s="2" t="s">
        <v>3254</v>
      </c>
      <c r="B1528" s="2" t="s">
        <v>3255</v>
      </c>
      <c r="C1528" s="2" t="s">
        <v>3231</v>
      </c>
      <c r="D1528" s="2" t="s">
        <v>1406</v>
      </c>
      <c r="E1528" s="2" t="s">
        <v>30</v>
      </c>
      <c r="F1528" s="9">
        <f t="shared" ref="F1528:F1591" si="97">IFERROR(VLOOKUP(A1528,condi,8,0),0)</f>
        <v>10</v>
      </c>
      <c r="G1528" s="9">
        <f t="shared" ref="G1528:G1591" si="98">IFERROR(VLOOKUP(A1528,maqui,8,0),0)</f>
        <v>0</v>
      </c>
      <c r="H1528" s="9">
        <f t="shared" ref="H1528:H1591" si="99">IFERROR(VLOOKUP(A1528,ascint,8,0),0)</f>
        <v>0</v>
      </c>
      <c r="I1528" s="10">
        <f t="shared" si="96"/>
        <v>10</v>
      </c>
    </row>
    <row r="1529" spans="1:9" x14ac:dyDescent="0.25">
      <c r="A1529" s="2" t="s">
        <v>3256</v>
      </c>
      <c r="B1529" s="2" t="s">
        <v>3257</v>
      </c>
      <c r="C1529" s="2" t="s">
        <v>3231</v>
      </c>
      <c r="D1529" s="2" t="s">
        <v>1406</v>
      </c>
      <c r="E1529" s="2" t="s">
        <v>30</v>
      </c>
      <c r="F1529" s="9">
        <f t="shared" si="97"/>
        <v>58</v>
      </c>
      <c r="G1529" s="9">
        <f t="shared" si="98"/>
        <v>0</v>
      </c>
      <c r="H1529" s="9">
        <f t="shared" si="99"/>
        <v>0</v>
      </c>
      <c r="I1529" s="10">
        <f t="shared" si="96"/>
        <v>58</v>
      </c>
    </row>
    <row r="1530" spans="1:9" x14ac:dyDescent="0.25">
      <c r="A1530" s="2" t="s">
        <v>3258</v>
      </c>
      <c r="B1530" s="2" t="s">
        <v>3259</v>
      </c>
      <c r="C1530" s="2" t="s">
        <v>3231</v>
      </c>
      <c r="D1530" s="2" t="s">
        <v>1406</v>
      </c>
      <c r="E1530" s="2" t="s">
        <v>30</v>
      </c>
      <c r="F1530" s="9">
        <f t="shared" si="97"/>
        <v>104</v>
      </c>
      <c r="G1530" s="9">
        <f t="shared" si="98"/>
        <v>0</v>
      </c>
      <c r="H1530" s="9">
        <f t="shared" si="99"/>
        <v>0</v>
      </c>
      <c r="I1530" s="10">
        <f t="shared" si="96"/>
        <v>104</v>
      </c>
    </row>
    <row r="1531" spans="1:9" x14ac:dyDescent="0.25">
      <c r="A1531" s="2" t="s">
        <v>3260</v>
      </c>
      <c r="B1531" s="2" t="s">
        <v>3261</v>
      </c>
      <c r="C1531" s="2" t="s">
        <v>3231</v>
      </c>
      <c r="D1531" s="2" t="s">
        <v>1406</v>
      </c>
      <c r="E1531" s="2" t="s">
        <v>101</v>
      </c>
      <c r="F1531" s="9">
        <f t="shared" si="97"/>
        <v>2</v>
      </c>
      <c r="G1531" s="9">
        <f t="shared" si="98"/>
        <v>0</v>
      </c>
      <c r="H1531" s="9">
        <f t="shared" si="99"/>
        <v>0</v>
      </c>
      <c r="I1531" s="10">
        <f t="shared" si="96"/>
        <v>2</v>
      </c>
    </row>
    <row r="1532" spans="1:9" x14ac:dyDescent="0.25">
      <c r="A1532" s="2" t="s">
        <v>3262</v>
      </c>
      <c r="B1532" s="2" t="s">
        <v>3263</v>
      </c>
      <c r="C1532" s="2" t="s">
        <v>3231</v>
      </c>
      <c r="D1532" s="2" t="s">
        <v>1406</v>
      </c>
      <c r="E1532" s="2" t="s">
        <v>30</v>
      </c>
      <c r="F1532" s="9">
        <f t="shared" si="97"/>
        <v>9</v>
      </c>
      <c r="G1532" s="9">
        <f t="shared" si="98"/>
        <v>0</v>
      </c>
      <c r="H1532" s="9">
        <f t="shared" si="99"/>
        <v>0</v>
      </c>
      <c r="I1532" s="10">
        <f t="shared" si="96"/>
        <v>9</v>
      </c>
    </row>
    <row r="1533" spans="1:9" x14ac:dyDescent="0.25">
      <c r="A1533" s="2" t="s">
        <v>3264</v>
      </c>
      <c r="B1533" s="2" t="s">
        <v>3265</v>
      </c>
      <c r="C1533" s="2" t="s">
        <v>3231</v>
      </c>
      <c r="D1533" s="2" t="s">
        <v>1406</v>
      </c>
      <c r="E1533" s="2" t="s">
        <v>30</v>
      </c>
      <c r="F1533" s="9">
        <f t="shared" si="97"/>
        <v>1</v>
      </c>
      <c r="G1533" s="9">
        <f t="shared" si="98"/>
        <v>0</v>
      </c>
      <c r="H1533" s="9">
        <f t="shared" si="99"/>
        <v>0</v>
      </c>
      <c r="I1533" s="10">
        <f t="shared" si="96"/>
        <v>1</v>
      </c>
    </row>
    <row r="1534" spans="1:9" x14ac:dyDescent="0.25">
      <c r="A1534" s="2" t="s">
        <v>3266</v>
      </c>
      <c r="B1534" s="2" t="s">
        <v>3267</v>
      </c>
      <c r="C1534" s="2" t="s">
        <v>3231</v>
      </c>
      <c r="D1534" s="2" t="s">
        <v>1406</v>
      </c>
      <c r="E1534" s="2" t="s">
        <v>30</v>
      </c>
      <c r="F1534" s="9">
        <f t="shared" si="97"/>
        <v>3</v>
      </c>
      <c r="G1534" s="9">
        <f t="shared" si="98"/>
        <v>0</v>
      </c>
      <c r="H1534" s="9">
        <f t="shared" si="99"/>
        <v>0</v>
      </c>
      <c r="I1534" s="10">
        <f t="shared" ref="I1534:I1597" si="100">+F1534+G1534+H1534</f>
        <v>3</v>
      </c>
    </row>
    <row r="1535" spans="1:9" x14ac:dyDescent="0.25">
      <c r="A1535" s="2" t="s">
        <v>3268</v>
      </c>
      <c r="B1535" s="2" t="s">
        <v>3269</v>
      </c>
      <c r="C1535" s="2" t="s">
        <v>3231</v>
      </c>
      <c r="D1535" s="2" t="s">
        <v>1406</v>
      </c>
      <c r="E1535" s="2" t="s">
        <v>30</v>
      </c>
      <c r="F1535" s="9">
        <f t="shared" si="97"/>
        <v>8</v>
      </c>
      <c r="G1535" s="9">
        <f t="shared" si="98"/>
        <v>0</v>
      </c>
      <c r="H1535" s="9">
        <f t="shared" si="99"/>
        <v>0</v>
      </c>
      <c r="I1535" s="10">
        <f t="shared" si="100"/>
        <v>8</v>
      </c>
    </row>
    <row r="1536" spans="1:9" x14ac:dyDescent="0.25">
      <c r="A1536" s="2" t="s">
        <v>3270</v>
      </c>
      <c r="B1536" s="2" t="s">
        <v>3271</v>
      </c>
      <c r="C1536" s="2" t="s">
        <v>3231</v>
      </c>
      <c r="D1536" s="2" t="s">
        <v>1406</v>
      </c>
      <c r="E1536" s="2" t="s">
        <v>30</v>
      </c>
      <c r="F1536" s="9">
        <f t="shared" si="97"/>
        <v>20</v>
      </c>
      <c r="G1536" s="9">
        <f t="shared" si="98"/>
        <v>0</v>
      </c>
      <c r="H1536" s="9">
        <f t="shared" si="99"/>
        <v>0</v>
      </c>
      <c r="I1536" s="10">
        <f t="shared" si="100"/>
        <v>20</v>
      </c>
    </row>
    <row r="1537" spans="1:9" x14ac:dyDescent="0.25">
      <c r="A1537" s="2" t="s">
        <v>3272</v>
      </c>
      <c r="B1537" s="2" t="s">
        <v>3273</v>
      </c>
      <c r="C1537" s="2" t="s">
        <v>3231</v>
      </c>
      <c r="D1537" s="2" t="s">
        <v>1406</v>
      </c>
      <c r="E1537" s="2" t="s">
        <v>30</v>
      </c>
      <c r="F1537" s="9">
        <f t="shared" si="97"/>
        <v>8</v>
      </c>
      <c r="G1537" s="9">
        <f t="shared" si="98"/>
        <v>0</v>
      </c>
      <c r="H1537" s="9">
        <f t="shared" si="99"/>
        <v>0</v>
      </c>
      <c r="I1537" s="10">
        <f t="shared" si="100"/>
        <v>8</v>
      </c>
    </row>
    <row r="1538" spans="1:9" x14ac:dyDescent="0.25">
      <c r="A1538" s="2" t="s">
        <v>3274</v>
      </c>
      <c r="B1538" s="2" t="s">
        <v>3275</v>
      </c>
      <c r="C1538" s="2" t="s">
        <v>3231</v>
      </c>
      <c r="D1538" s="2" t="s">
        <v>1406</v>
      </c>
      <c r="E1538" s="2" t="s">
        <v>30</v>
      </c>
      <c r="F1538" s="9">
        <f t="shared" si="97"/>
        <v>12</v>
      </c>
      <c r="G1538" s="9">
        <f t="shared" si="98"/>
        <v>0</v>
      </c>
      <c r="H1538" s="9">
        <f t="shared" si="99"/>
        <v>0</v>
      </c>
      <c r="I1538" s="10">
        <f t="shared" si="100"/>
        <v>12</v>
      </c>
    </row>
    <row r="1539" spans="1:9" x14ac:dyDescent="0.25">
      <c r="A1539" s="2" t="s">
        <v>3276</v>
      </c>
      <c r="B1539" s="2" t="s">
        <v>3277</v>
      </c>
      <c r="C1539" s="2" t="s">
        <v>3231</v>
      </c>
      <c r="D1539" s="2" t="s">
        <v>1406</v>
      </c>
      <c r="E1539" s="2" t="s">
        <v>30</v>
      </c>
      <c r="F1539" s="9">
        <f t="shared" si="97"/>
        <v>138</v>
      </c>
      <c r="G1539" s="9">
        <f t="shared" si="98"/>
        <v>0</v>
      </c>
      <c r="H1539" s="9">
        <f t="shared" si="99"/>
        <v>0</v>
      </c>
      <c r="I1539" s="10">
        <f t="shared" si="100"/>
        <v>138</v>
      </c>
    </row>
    <row r="1540" spans="1:9" x14ac:dyDescent="0.25">
      <c r="A1540" s="2" t="s">
        <v>3278</v>
      </c>
      <c r="B1540" s="2" t="s">
        <v>3279</v>
      </c>
      <c r="C1540" s="2" t="s">
        <v>3231</v>
      </c>
      <c r="D1540" s="2" t="s">
        <v>1406</v>
      </c>
      <c r="E1540" s="2" t="s">
        <v>30</v>
      </c>
      <c r="F1540" s="9">
        <f t="shared" si="97"/>
        <v>1100</v>
      </c>
      <c r="G1540" s="9">
        <f t="shared" si="98"/>
        <v>0</v>
      </c>
      <c r="H1540" s="9">
        <f t="shared" si="99"/>
        <v>0</v>
      </c>
      <c r="I1540" s="10">
        <f t="shared" si="100"/>
        <v>1100</v>
      </c>
    </row>
    <row r="1541" spans="1:9" x14ac:dyDescent="0.25">
      <c r="A1541" s="2" t="s">
        <v>3280</v>
      </c>
      <c r="B1541" s="2" t="s">
        <v>3281</v>
      </c>
      <c r="C1541" s="2" t="s">
        <v>3231</v>
      </c>
      <c r="D1541" s="2" t="s">
        <v>1406</v>
      </c>
      <c r="E1541" s="2" t="s">
        <v>30</v>
      </c>
      <c r="F1541" s="9">
        <f t="shared" si="97"/>
        <v>3933</v>
      </c>
      <c r="G1541" s="9">
        <f t="shared" si="98"/>
        <v>0</v>
      </c>
      <c r="H1541" s="9">
        <f t="shared" si="99"/>
        <v>0</v>
      </c>
      <c r="I1541" s="10">
        <f t="shared" si="100"/>
        <v>3933</v>
      </c>
    </row>
    <row r="1542" spans="1:9" x14ac:dyDescent="0.25">
      <c r="A1542" s="2" t="s">
        <v>3282</v>
      </c>
      <c r="B1542" s="2" t="s">
        <v>3283</v>
      </c>
      <c r="C1542" s="2" t="s">
        <v>3231</v>
      </c>
      <c r="D1542" s="2" t="s">
        <v>1406</v>
      </c>
      <c r="E1542" s="2" t="s">
        <v>30</v>
      </c>
      <c r="F1542" s="9">
        <f t="shared" si="97"/>
        <v>4</v>
      </c>
      <c r="G1542" s="9">
        <f t="shared" si="98"/>
        <v>0</v>
      </c>
      <c r="H1542" s="9">
        <f t="shared" si="99"/>
        <v>0</v>
      </c>
      <c r="I1542" s="10">
        <f t="shared" si="100"/>
        <v>4</v>
      </c>
    </row>
    <row r="1543" spans="1:9" x14ac:dyDescent="0.25">
      <c r="A1543" s="2" t="s">
        <v>3284</v>
      </c>
      <c r="B1543" s="2" t="s">
        <v>3285</v>
      </c>
      <c r="C1543" s="2" t="s">
        <v>3231</v>
      </c>
      <c r="D1543" s="2" t="s">
        <v>1406</v>
      </c>
      <c r="E1543" s="2" t="s">
        <v>30</v>
      </c>
      <c r="F1543" s="9">
        <f t="shared" si="97"/>
        <v>188</v>
      </c>
      <c r="G1543" s="9">
        <f t="shared" si="98"/>
        <v>0</v>
      </c>
      <c r="H1543" s="9">
        <f t="shared" si="99"/>
        <v>0</v>
      </c>
      <c r="I1543" s="10">
        <f t="shared" si="100"/>
        <v>188</v>
      </c>
    </row>
    <row r="1544" spans="1:9" x14ac:dyDescent="0.25">
      <c r="A1544" s="2" t="s">
        <v>3286</v>
      </c>
      <c r="B1544" s="2" t="s">
        <v>3287</v>
      </c>
      <c r="C1544" s="2" t="s">
        <v>3231</v>
      </c>
      <c r="D1544" s="2" t="s">
        <v>1406</v>
      </c>
      <c r="E1544" s="2" t="s">
        <v>30</v>
      </c>
      <c r="F1544" s="9">
        <f t="shared" si="97"/>
        <v>498</v>
      </c>
      <c r="G1544" s="9">
        <f t="shared" si="98"/>
        <v>0</v>
      </c>
      <c r="H1544" s="9">
        <f t="shared" si="99"/>
        <v>0</v>
      </c>
      <c r="I1544" s="10">
        <f t="shared" si="100"/>
        <v>498</v>
      </c>
    </row>
    <row r="1545" spans="1:9" x14ac:dyDescent="0.25">
      <c r="A1545" s="2" t="s">
        <v>3288</v>
      </c>
      <c r="B1545" s="2" t="s">
        <v>3289</v>
      </c>
      <c r="C1545" s="2" t="s">
        <v>3231</v>
      </c>
      <c r="D1545" s="2" t="s">
        <v>1406</v>
      </c>
      <c r="E1545" s="2" t="s">
        <v>30</v>
      </c>
      <c r="F1545" s="9">
        <f t="shared" si="97"/>
        <v>5</v>
      </c>
      <c r="G1545" s="9">
        <f t="shared" si="98"/>
        <v>0</v>
      </c>
      <c r="H1545" s="9">
        <f t="shared" si="99"/>
        <v>0</v>
      </c>
      <c r="I1545" s="10">
        <f t="shared" si="100"/>
        <v>5</v>
      </c>
    </row>
    <row r="1546" spans="1:9" x14ac:dyDescent="0.25">
      <c r="A1546" s="2" t="s">
        <v>3290</v>
      </c>
      <c r="B1546" s="2" t="s">
        <v>3291</v>
      </c>
      <c r="C1546" s="2" t="s">
        <v>3231</v>
      </c>
      <c r="D1546" s="2" t="s">
        <v>1406</v>
      </c>
      <c r="E1546" s="2" t="s">
        <v>30</v>
      </c>
      <c r="F1546" s="9">
        <f t="shared" si="97"/>
        <v>13</v>
      </c>
      <c r="G1546" s="9">
        <f t="shared" si="98"/>
        <v>0</v>
      </c>
      <c r="H1546" s="9">
        <f t="shared" si="99"/>
        <v>0</v>
      </c>
      <c r="I1546" s="10">
        <f t="shared" si="100"/>
        <v>13</v>
      </c>
    </row>
    <row r="1547" spans="1:9" x14ac:dyDescent="0.25">
      <c r="A1547" s="2" t="s">
        <v>3292</v>
      </c>
      <c r="B1547" s="2" t="s">
        <v>3293</v>
      </c>
      <c r="C1547" s="2" t="s">
        <v>3231</v>
      </c>
      <c r="D1547" s="2" t="s">
        <v>1406</v>
      </c>
      <c r="E1547" s="2" t="s">
        <v>30</v>
      </c>
      <c r="F1547" s="9">
        <f t="shared" si="97"/>
        <v>2</v>
      </c>
      <c r="G1547" s="9">
        <f t="shared" si="98"/>
        <v>0</v>
      </c>
      <c r="H1547" s="9">
        <f t="shared" si="99"/>
        <v>0</v>
      </c>
      <c r="I1547" s="10">
        <f t="shared" si="100"/>
        <v>2</v>
      </c>
    </row>
    <row r="1548" spans="1:9" x14ac:dyDescent="0.25">
      <c r="A1548" s="2" t="s">
        <v>3294</v>
      </c>
      <c r="B1548" s="2" t="s">
        <v>3295</v>
      </c>
      <c r="C1548" s="2" t="s">
        <v>3231</v>
      </c>
      <c r="D1548" s="2" t="s">
        <v>1406</v>
      </c>
      <c r="E1548" s="2" t="s">
        <v>30</v>
      </c>
      <c r="F1548" s="9">
        <f t="shared" si="97"/>
        <v>547</v>
      </c>
      <c r="G1548" s="9">
        <f t="shared" si="98"/>
        <v>0</v>
      </c>
      <c r="H1548" s="9">
        <f t="shared" si="99"/>
        <v>0</v>
      </c>
      <c r="I1548" s="10">
        <f t="shared" si="100"/>
        <v>547</v>
      </c>
    </row>
    <row r="1549" spans="1:9" x14ac:dyDescent="0.25">
      <c r="A1549" s="2" t="s">
        <v>3296</v>
      </c>
      <c r="B1549" s="2" t="s">
        <v>3297</v>
      </c>
      <c r="C1549" s="2" t="s">
        <v>3231</v>
      </c>
      <c r="D1549" s="2" t="s">
        <v>1406</v>
      </c>
      <c r="E1549" s="2" t="s">
        <v>30</v>
      </c>
      <c r="F1549" s="9">
        <f t="shared" si="97"/>
        <v>23</v>
      </c>
      <c r="G1549" s="9">
        <f t="shared" si="98"/>
        <v>0</v>
      </c>
      <c r="H1549" s="9">
        <f t="shared" si="99"/>
        <v>0</v>
      </c>
      <c r="I1549" s="10">
        <f t="shared" si="100"/>
        <v>23</v>
      </c>
    </row>
    <row r="1550" spans="1:9" x14ac:dyDescent="0.25">
      <c r="A1550" s="2" t="s">
        <v>3298</v>
      </c>
      <c r="B1550" s="2" t="s">
        <v>3299</v>
      </c>
      <c r="C1550" s="2" t="s">
        <v>3231</v>
      </c>
      <c r="D1550" s="2" t="s">
        <v>1406</v>
      </c>
      <c r="E1550" s="2" t="s">
        <v>30</v>
      </c>
      <c r="F1550" s="9">
        <f t="shared" si="97"/>
        <v>43</v>
      </c>
      <c r="G1550" s="9">
        <f t="shared" si="98"/>
        <v>0</v>
      </c>
      <c r="H1550" s="9">
        <f t="shared" si="99"/>
        <v>0</v>
      </c>
      <c r="I1550" s="10">
        <f t="shared" si="100"/>
        <v>43</v>
      </c>
    </row>
    <row r="1551" spans="1:9" x14ac:dyDescent="0.25">
      <c r="A1551" s="2" t="s">
        <v>3300</v>
      </c>
      <c r="B1551" s="2" t="s">
        <v>3301</v>
      </c>
      <c r="C1551" s="2" t="s">
        <v>3231</v>
      </c>
      <c r="D1551" s="2" t="s">
        <v>1406</v>
      </c>
      <c r="E1551" s="2" t="s">
        <v>30</v>
      </c>
      <c r="F1551" s="9">
        <f t="shared" si="97"/>
        <v>4</v>
      </c>
      <c r="G1551" s="9">
        <f t="shared" si="98"/>
        <v>0</v>
      </c>
      <c r="H1551" s="9">
        <f t="shared" si="99"/>
        <v>0</v>
      </c>
      <c r="I1551" s="10">
        <f t="shared" si="100"/>
        <v>4</v>
      </c>
    </row>
    <row r="1552" spans="1:9" x14ac:dyDescent="0.25">
      <c r="A1552" s="2" t="s">
        <v>3302</v>
      </c>
      <c r="B1552" s="2" t="s">
        <v>3303</v>
      </c>
      <c r="C1552" s="2" t="s">
        <v>3231</v>
      </c>
      <c r="D1552" s="2" t="s">
        <v>1406</v>
      </c>
      <c r="E1552" s="2" t="s">
        <v>30</v>
      </c>
      <c r="F1552" s="9">
        <f t="shared" si="97"/>
        <v>30</v>
      </c>
      <c r="G1552" s="9">
        <f t="shared" si="98"/>
        <v>0</v>
      </c>
      <c r="H1552" s="9">
        <f t="shared" si="99"/>
        <v>0</v>
      </c>
      <c r="I1552" s="10">
        <f t="shared" si="100"/>
        <v>30</v>
      </c>
    </row>
    <row r="1553" spans="1:9" x14ac:dyDescent="0.25">
      <c r="A1553" s="2" t="s">
        <v>3304</v>
      </c>
      <c r="B1553" s="2" t="s">
        <v>3305</v>
      </c>
      <c r="C1553" s="2" t="s">
        <v>3231</v>
      </c>
      <c r="D1553" s="2" t="s">
        <v>1406</v>
      </c>
      <c r="E1553" s="2" t="s">
        <v>30</v>
      </c>
      <c r="F1553" s="9">
        <f t="shared" si="97"/>
        <v>1</v>
      </c>
      <c r="G1553" s="9">
        <f t="shared" si="98"/>
        <v>0</v>
      </c>
      <c r="H1553" s="9">
        <f t="shared" si="99"/>
        <v>0</v>
      </c>
      <c r="I1553" s="10">
        <f t="shared" si="100"/>
        <v>1</v>
      </c>
    </row>
    <row r="1554" spans="1:9" x14ac:dyDescent="0.25">
      <c r="A1554" s="2" t="s">
        <v>3306</v>
      </c>
      <c r="B1554" s="2" t="s">
        <v>3307</v>
      </c>
      <c r="C1554" s="2" t="s">
        <v>3231</v>
      </c>
      <c r="D1554" s="2" t="s">
        <v>1406</v>
      </c>
      <c r="E1554" s="2" t="s">
        <v>30</v>
      </c>
      <c r="F1554" s="9">
        <f t="shared" si="97"/>
        <v>1</v>
      </c>
      <c r="G1554" s="9">
        <f t="shared" si="98"/>
        <v>0</v>
      </c>
      <c r="H1554" s="9">
        <f t="shared" si="99"/>
        <v>0</v>
      </c>
      <c r="I1554" s="10">
        <f t="shared" si="100"/>
        <v>1</v>
      </c>
    </row>
    <row r="1555" spans="1:9" x14ac:dyDescent="0.25">
      <c r="A1555" s="2" t="s">
        <v>3308</v>
      </c>
      <c r="B1555" s="2" t="s">
        <v>3309</v>
      </c>
      <c r="C1555" s="2" t="s">
        <v>3231</v>
      </c>
      <c r="D1555" s="2" t="s">
        <v>1406</v>
      </c>
      <c r="E1555" s="2" t="s">
        <v>30</v>
      </c>
      <c r="F1555" s="9">
        <f t="shared" si="97"/>
        <v>6</v>
      </c>
      <c r="G1555" s="9">
        <f t="shared" si="98"/>
        <v>0</v>
      </c>
      <c r="H1555" s="9">
        <f t="shared" si="99"/>
        <v>0</v>
      </c>
      <c r="I1555" s="10">
        <f t="shared" si="100"/>
        <v>6</v>
      </c>
    </row>
    <row r="1556" spans="1:9" x14ac:dyDescent="0.25">
      <c r="A1556" s="2" t="s">
        <v>3310</v>
      </c>
      <c r="B1556" s="2" t="s">
        <v>3311</v>
      </c>
      <c r="C1556" s="2" t="s">
        <v>3231</v>
      </c>
      <c r="D1556" s="2" t="s">
        <v>1406</v>
      </c>
      <c r="E1556" s="2" t="s">
        <v>30</v>
      </c>
      <c r="F1556" s="9">
        <f t="shared" si="97"/>
        <v>2</v>
      </c>
      <c r="G1556" s="9">
        <f t="shared" si="98"/>
        <v>0</v>
      </c>
      <c r="H1556" s="9">
        <f t="shared" si="99"/>
        <v>0</v>
      </c>
      <c r="I1556" s="10">
        <f t="shared" si="100"/>
        <v>2</v>
      </c>
    </row>
    <row r="1557" spans="1:9" x14ac:dyDescent="0.25">
      <c r="A1557" s="2" t="s">
        <v>3312</v>
      </c>
      <c r="B1557" s="2" t="s">
        <v>3313</v>
      </c>
      <c r="C1557" s="2" t="s">
        <v>3231</v>
      </c>
      <c r="D1557" s="2" t="s">
        <v>1406</v>
      </c>
      <c r="E1557" s="2" t="s">
        <v>30</v>
      </c>
      <c r="F1557" s="9">
        <f t="shared" si="97"/>
        <v>1</v>
      </c>
      <c r="G1557" s="9">
        <f t="shared" si="98"/>
        <v>0</v>
      </c>
      <c r="H1557" s="9">
        <f t="shared" si="99"/>
        <v>0</v>
      </c>
      <c r="I1557" s="10">
        <f t="shared" si="100"/>
        <v>1</v>
      </c>
    </row>
    <row r="1558" spans="1:9" x14ac:dyDescent="0.25">
      <c r="A1558" s="2" t="s">
        <v>3314</v>
      </c>
      <c r="B1558" s="2" t="s">
        <v>3315</v>
      </c>
      <c r="C1558" s="2" t="s">
        <v>480</v>
      </c>
      <c r="D1558" s="2" t="s">
        <v>1406</v>
      </c>
      <c r="E1558" s="2" t="s">
        <v>489</v>
      </c>
      <c r="F1558" s="9">
        <f t="shared" si="97"/>
        <v>0.8</v>
      </c>
      <c r="G1558" s="9">
        <f t="shared" si="98"/>
        <v>0</v>
      </c>
      <c r="H1558" s="9">
        <f t="shared" si="99"/>
        <v>0</v>
      </c>
      <c r="I1558" s="10">
        <f t="shared" si="100"/>
        <v>0.8</v>
      </c>
    </row>
    <row r="1559" spans="1:9" x14ac:dyDescent="0.25">
      <c r="A1559" s="2" t="s">
        <v>3316</v>
      </c>
      <c r="B1559" s="2" t="s">
        <v>3317</v>
      </c>
      <c r="C1559" s="2" t="s">
        <v>480</v>
      </c>
      <c r="D1559" s="2" t="s">
        <v>1406</v>
      </c>
      <c r="E1559" s="2" t="s">
        <v>489</v>
      </c>
      <c r="F1559" s="9">
        <f t="shared" si="97"/>
        <v>1.7</v>
      </c>
      <c r="G1559" s="9">
        <f t="shared" si="98"/>
        <v>0</v>
      </c>
      <c r="H1559" s="9">
        <f t="shared" si="99"/>
        <v>0</v>
      </c>
      <c r="I1559" s="10">
        <f t="shared" si="100"/>
        <v>1.7</v>
      </c>
    </row>
    <row r="1560" spans="1:9" x14ac:dyDescent="0.25">
      <c r="A1560" s="2" t="s">
        <v>3318</v>
      </c>
      <c r="B1560" s="2" t="s">
        <v>3319</v>
      </c>
      <c r="C1560" s="2" t="s">
        <v>480</v>
      </c>
      <c r="D1560" s="2" t="s">
        <v>1406</v>
      </c>
      <c r="E1560" s="2" t="s">
        <v>489</v>
      </c>
      <c r="F1560" s="9">
        <f t="shared" si="97"/>
        <v>3</v>
      </c>
      <c r="G1560" s="9">
        <f t="shared" si="98"/>
        <v>0</v>
      </c>
      <c r="H1560" s="9">
        <f t="shared" si="99"/>
        <v>0</v>
      </c>
      <c r="I1560" s="10">
        <f t="shared" si="100"/>
        <v>3</v>
      </c>
    </row>
    <row r="1561" spans="1:9" x14ac:dyDescent="0.25">
      <c r="A1561" s="2" t="s">
        <v>3320</v>
      </c>
      <c r="B1561" s="2" t="s">
        <v>3321</v>
      </c>
      <c r="C1561" s="2" t="s">
        <v>480</v>
      </c>
      <c r="D1561" s="2" t="s">
        <v>1406</v>
      </c>
      <c r="E1561" s="2" t="s">
        <v>489</v>
      </c>
      <c r="F1561" s="9">
        <f t="shared" si="97"/>
        <v>3</v>
      </c>
      <c r="G1561" s="9">
        <f t="shared" si="98"/>
        <v>0</v>
      </c>
      <c r="H1561" s="9">
        <f t="shared" si="99"/>
        <v>0</v>
      </c>
      <c r="I1561" s="10">
        <f t="shared" si="100"/>
        <v>3</v>
      </c>
    </row>
    <row r="1562" spans="1:9" x14ac:dyDescent="0.25">
      <c r="A1562" s="2" t="s">
        <v>3322</v>
      </c>
      <c r="B1562" s="2" t="s">
        <v>3323</v>
      </c>
      <c r="C1562" s="2" t="s">
        <v>480</v>
      </c>
      <c r="D1562" s="2" t="s">
        <v>1406</v>
      </c>
      <c r="E1562" s="2" t="s">
        <v>489</v>
      </c>
      <c r="F1562" s="9">
        <f t="shared" si="97"/>
        <v>4</v>
      </c>
      <c r="G1562" s="9">
        <f t="shared" si="98"/>
        <v>0</v>
      </c>
      <c r="H1562" s="9">
        <f t="shared" si="99"/>
        <v>0</v>
      </c>
      <c r="I1562" s="10">
        <f t="shared" si="100"/>
        <v>4</v>
      </c>
    </row>
    <row r="1563" spans="1:9" x14ac:dyDescent="0.25">
      <c r="A1563" s="2" t="s">
        <v>3324</v>
      </c>
      <c r="B1563" s="2" t="s">
        <v>3325</v>
      </c>
      <c r="C1563" s="2" t="s">
        <v>480</v>
      </c>
      <c r="D1563" s="2" t="s">
        <v>1406</v>
      </c>
      <c r="E1563" s="2" t="s">
        <v>489</v>
      </c>
      <c r="F1563" s="9">
        <f t="shared" si="97"/>
        <v>0.56000000000000005</v>
      </c>
      <c r="G1563" s="9">
        <f t="shared" si="98"/>
        <v>0</v>
      </c>
      <c r="H1563" s="9">
        <f t="shared" si="99"/>
        <v>0</v>
      </c>
      <c r="I1563" s="10">
        <f t="shared" si="100"/>
        <v>0.56000000000000005</v>
      </c>
    </row>
    <row r="1564" spans="1:9" x14ac:dyDescent="0.25">
      <c r="A1564" s="2" t="s">
        <v>3326</v>
      </c>
      <c r="B1564" s="2" t="s">
        <v>3327</v>
      </c>
      <c r="C1564" s="2" t="s">
        <v>480</v>
      </c>
      <c r="D1564" s="2" t="s">
        <v>1406</v>
      </c>
      <c r="E1564" s="2" t="s">
        <v>489</v>
      </c>
      <c r="F1564" s="9">
        <f t="shared" si="97"/>
        <v>12</v>
      </c>
      <c r="G1564" s="9">
        <f t="shared" si="98"/>
        <v>0</v>
      </c>
      <c r="H1564" s="9">
        <f t="shared" si="99"/>
        <v>0</v>
      </c>
      <c r="I1564" s="10">
        <f t="shared" si="100"/>
        <v>12</v>
      </c>
    </row>
    <row r="1565" spans="1:9" x14ac:dyDescent="0.25">
      <c r="A1565" s="2" t="s">
        <v>3328</v>
      </c>
      <c r="B1565" s="2" t="s">
        <v>3329</v>
      </c>
      <c r="C1565" s="2" t="s">
        <v>3330</v>
      </c>
      <c r="D1565" s="2" t="s">
        <v>1406</v>
      </c>
      <c r="E1565" s="2" t="s">
        <v>30</v>
      </c>
      <c r="F1565" s="9">
        <f t="shared" si="97"/>
        <v>1</v>
      </c>
      <c r="G1565" s="9">
        <f t="shared" si="98"/>
        <v>0</v>
      </c>
      <c r="H1565" s="9">
        <f t="shared" si="99"/>
        <v>0</v>
      </c>
      <c r="I1565" s="10">
        <f t="shared" si="100"/>
        <v>1</v>
      </c>
    </row>
    <row r="1566" spans="1:9" x14ac:dyDescent="0.25">
      <c r="A1566" s="2" t="s">
        <v>3331</v>
      </c>
      <c r="B1566" s="2" t="s">
        <v>3332</v>
      </c>
      <c r="C1566" s="2" t="s">
        <v>2241</v>
      </c>
      <c r="D1566" s="2" t="s">
        <v>1406</v>
      </c>
      <c r="E1566" s="2" t="s">
        <v>30</v>
      </c>
      <c r="F1566" s="9">
        <f t="shared" si="97"/>
        <v>1</v>
      </c>
      <c r="G1566" s="9">
        <f t="shared" si="98"/>
        <v>0</v>
      </c>
      <c r="H1566" s="9">
        <f t="shared" si="99"/>
        <v>0</v>
      </c>
      <c r="I1566" s="10">
        <f t="shared" si="100"/>
        <v>1</v>
      </c>
    </row>
    <row r="1567" spans="1:9" x14ac:dyDescent="0.25">
      <c r="A1567" s="2" t="s">
        <v>3333</v>
      </c>
      <c r="B1567" s="2" t="s">
        <v>3334</v>
      </c>
      <c r="C1567" s="2" t="s">
        <v>2241</v>
      </c>
      <c r="D1567" s="2" t="s">
        <v>1406</v>
      </c>
      <c r="E1567" s="2" t="s">
        <v>30</v>
      </c>
      <c r="F1567" s="9">
        <f t="shared" si="97"/>
        <v>1</v>
      </c>
      <c r="G1567" s="9">
        <f t="shared" si="98"/>
        <v>0</v>
      </c>
      <c r="H1567" s="9">
        <f t="shared" si="99"/>
        <v>0</v>
      </c>
      <c r="I1567" s="10">
        <f t="shared" si="100"/>
        <v>1</v>
      </c>
    </row>
    <row r="1568" spans="1:9" x14ac:dyDescent="0.25">
      <c r="A1568" s="2" t="s">
        <v>3335</v>
      </c>
      <c r="B1568" s="2" t="s">
        <v>3336</v>
      </c>
      <c r="C1568" s="2" t="s">
        <v>2241</v>
      </c>
      <c r="D1568" s="2" t="s">
        <v>1406</v>
      </c>
      <c r="E1568" s="2" t="s">
        <v>30</v>
      </c>
      <c r="F1568" s="9">
        <f t="shared" si="97"/>
        <v>2</v>
      </c>
      <c r="G1568" s="9">
        <f t="shared" si="98"/>
        <v>0</v>
      </c>
      <c r="H1568" s="9">
        <f t="shared" si="99"/>
        <v>0</v>
      </c>
      <c r="I1568" s="10">
        <f t="shared" si="100"/>
        <v>2</v>
      </c>
    </row>
    <row r="1569" spans="1:9" x14ac:dyDescent="0.25">
      <c r="A1569" s="2" t="s">
        <v>3337</v>
      </c>
      <c r="B1569" s="2" t="s">
        <v>3338</v>
      </c>
      <c r="C1569" s="2" t="s">
        <v>2241</v>
      </c>
      <c r="D1569" s="2" t="s">
        <v>1406</v>
      </c>
      <c r="E1569" s="2" t="s">
        <v>30</v>
      </c>
      <c r="F1569" s="9">
        <f t="shared" si="97"/>
        <v>2</v>
      </c>
      <c r="G1569" s="9">
        <f t="shared" si="98"/>
        <v>0</v>
      </c>
      <c r="H1569" s="9">
        <f t="shared" si="99"/>
        <v>0</v>
      </c>
      <c r="I1569" s="10">
        <f t="shared" si="100"/>
        <v>2</v>
      </c>
    </row>
    <row r="1570" spans="1:9" x14ac:dyDescent="0.25">
      <c r="A1570" s="2" t="s">
        <v>3339</v>
      </c>
      <c r="B1570" s="2" t="s">
        <v>3340</v>
      </c>
      <c r="C1570" s="2" t="s">
        <v>2241</v>
      </c>
      <c r="D1570" s="2" t="s">
        <v>1406</v>
      </c>
      <c r="E1570" s="2" t="s">
        <v>30</v>
      </c>
      <c r="F1570" s="9">
        <f t="shared" si="97"/>
        <v>7</v>
      </c>
      <c r="G1570" s="9">
        <f t="shared" si="98"/>
        <v>0</v>
      </c>
      <c r="H1570" s="9">
        <f t="shared" si="99"/>
        <v>0</v>
      </c>
      <c r="I1570" s="10">
        <f t="shared" si="100"/>
        <v>7</v>
      </c>
    </row>
    <row r="1571" spans="1:9" x14ac:dyDescent="0.25">
      <c r="A1571" s="2" t="s">
        <v>3341</v>
      </c>
      <c r="B1571" s="2" t="s">
        <v>3342</v>
      </c>
      <c r="C1571" s="2" t="s">
        <v>2241</v>
      </c>
      <c r="D1571" s="2" t="s">
        <v>1406</v>
      </c>
      <c r="E1571" s="2" t="s">
        <v>30</v>
      </c>
      <c r="F1571" s="9">
        <f t="shared" si="97"/>
        <v>4</v>
      </c>
      <c r="G1571" s="9">
        <f t="shared" si="98"/>
        <v>0</v>
      </c>
      <c r="H1571" s="9">
        <f t="shared" si="99"/>
        <v>0</v>
      </c>
      <c r="I1571" s="10">
        <f t="shared" si="100"/>
        <v>4</v>
      </c>
    </row>
    <row r="1572" spans="1:9" x14ac:dyDescent="0.25">
      <c r="A1572" s="2" t="s">
        <v>3343</v>
      </c>
      <c r="B1572" s="2" t="s">
        <v>3344</v>
      </c>
      <c r="C1572" s="2" t="s">
        <v>2241</v>
      </c>
      <c r="D1572" s="2" t="s">
        <v>1406</v>
      </c>
      <c r="E1572" s="2" t="s">
        <v>30</v>
      </c>
      <c r="F1572" s="9">
        <f t="shared" si="97"/>
        <v>1</v>
      </c>
      <c r="G1572" s="9">
        <f t="shared" si="98"/>
        <v>0</v>
      </c>
      <c r="H1572" s="9">
        <f t="shared" si="99"/>
        <v>0</v>
      </c>
      <c r="I1572" s="10">
        <f t="shared" si="100"/>
        <v>1</v>
      </c>
    </row>
    <row r="1573" spans="1:9" x14ac:dyDescent="0.25">
      <c r="A1573" s="2" t="s">
        <v>3345</v>
      </c>
      <c r="B1573" s="2" t="s">
        <v>3346</v>
      </c>
      <c r="C1573" s="2" t="s">
        <v>2241</v>
      </c>
      <c r="D1573" s="2" t="s">
        <v>1406</v>
      </c>
      <c r="E1573" s="2" t="s">
        <v>30</v>
      </c>
      <c r="F1573" s="9">
        <f t="shared" si="97"/>
        <v>1</v>
      </c>
      <c r="G1573" s="9">
        <f t="shared" si="98"/>
        <v>0</v>
      </c>
      <c r="H1573" s="9">
        <f t="shared" si="99"/>
        <v>0</v>
      </c>
      <c r="I1573" s="10">
        <f t="shared" si="100"/>
        <v>1</v>
      </c>
    </row>
    <row r="1574" spans="1:9" x14ac:dyDescent="0.25">
      <c r="A1574" s="2" t="s">
        <v>3347</v>
      </c>
      <c r="B1574" s="2" t="s">
        <v>3348</v>
      </c>
      <c r="C1574" s="2" t="s">
        <v>2241</v>
      </c>
      <c r="D1574" s="2" t="s">
        <v>1406</v>
      </c>
      <c r="E1574" s="2" t="s">
        <v>30</v>
      </c>
      <c r="F1574" s="9">
        <f t="shared" si="97"/>
        <v>1</v>
      </c>
      <c r="G1574" s="9">
        <f t="shared" si="98"/>
        <v>0</v>
      </c>
      <c r="H1574" s="9">
        <f t="shared" si="99"/>
        <v>0</v>
      </c>
      <c r="I1574" s="10">
        <f t="shared" si="100"/>
        <v>1</v>
      </c>
    </row>
    <row r="1575" spans="1:9" x14ac:dyDescent="0.25">
      <c r="A1575" s="2" t="s">
        <v>3349</v>
      </c>
      <c r="B1575" s="2" t="s">
        <v>3350</v>
      </c>
      <c r="C1575" s="2" t="s">
        <v>1069</v>
      </c>
      <c r="D1575" s="2" t="s">
        <v>1406</v>
      </c>
      <c r="E1575" s="2" t="s">
        <v>30</v>
      </c>
      <c r="F1575" s="9">
        <f t="shared" si="97"/>
        <v>60</v>
      </c>
      <c r="G1575" s="9">
        <f t="shared" si="98"/>
        <v>0</v>
      </c>
      <c r="H1575" s="9">
        <f t="shared" si="99"/>
        <v>0</v>
      </c>
      <c r="I1575" s="10">
        <f t="shared" si="100"/>
        <v>60</v>
      </c>
    </row>
    <row r="1576" spans="1:9" x14ac:dyDescent="0.25">
      <c r="A1576" s="2" t="s">
        <v>3351</v>
      </c>
      <c r="B1576" s="2" t="s">
        <v>3352</v>
      </c>
      <c r="C1576" s="2" t="s">
        <v>1069</v>
      </c>
      <c r="D1576" s="2" t="s">
        <v>1406</v>
      </c>
      <c r="E1576" s="2" t="s">
        <v>30</v>
      </c>
      <c r="F1576" s="9">
        <f t="shared" si="97"/>
        <v>130</v>
      </c>
      <c r="G1576" s="9">
        <f t="shared" si="98"/>
        <v>0</v>
      </c>
      <c r="H1576" s="9">
        <f t="shared" si="99"/>
        <v>0</v>
      </c>
      <c r="I1576" s="10">
        <f t="shared" si="100"/>
        <v>130</v>
      </c>
    </row>
    <row r="1577" spans="1:9" x14ac:dyDescent="0.25">
      <c r="A1577" s="2" t="s">
        <v>3353</v>
      </c>
      <c r="B1577" s="2" t="s">
        <v>3354</v>
      </c>
      <c r="C1577" s="2" t="s">
        <v>1069</v>
      </c>
      <c r="D1577" s="2" t="s">
        <v>1406</v>
      </c>
      <c r="E1577" s="2" t="s">
        <v>30</v>
      </c>
      <c r="F1577" s="9">
        <f t="shared" si="97"/>
        <v>136</v>
      </c>
      <c r="G1577" s="9">
        <f t="shared" si="98"/>
        <v>0</v>
      </c>
      <c r="H1577" s="9">
        <f t="shared" si="99"/>
        <v>0</v>
      </c>
      <c r="I1577" s="10">
        <f t="shared" si="100"/>
        <v>136</v>
      </c>
    </row>
    <row r="1578" spans="1:9" x14ac:dyDescent="0.25">
      <c r="A1578" s="2" t="s">
        <v>3355</v>
      </c>
      <c r="B1578" s="2" t="s">
        <v>3356</v>
      </c>
      <c r="C1578" s="2" t="s">
        <v>1069</v>
      </c>
      <c r="D1578" s="2" t="s">
        <v>1406</v>
      </c>
      <c r="E1578" s="2" t="s">
        <v>30</v>
      </c>
      <c r="F1578" s="9">
        <f t="shared" si="97"/>
        <v>69</v>
      </c>
      <c r="G1578" s="9">
        <f t="shared" si="98"/>
        <v>0</v>
      </c>
      <c r="H1578" s="9">
        <f t="shared" si="99"/>
        <v>0</v>
      </c>
      <c r="I1578" s="10">
        <f t="shared" si="100"/>
        <v>69</v>
      </c>
    </row>
    <row r="1579" spans="1:9" x14ac:dyDescent="0.25">
      <c r="A1579" s="2" t="s">
        <v>3357</v>
      </c>
      <c r="B1579" s="2" t="s">
        <v>3358</v>
      </c>
      <c r="C1579" s="2" t="s">
        <v>1069</v>
      </c>
      <c r="D1579" s="2" t="s">
        <v>1406</v>
      </c>
      <c r="E1579" s="2" t="s">
        <v>30</v>
      </c>
      <c r="F1579" s="9">
        <f t="shared" si="97"/>
        <v>67</v>
      </c>
      <c r="G1579" s="9">
        <f t="shared" si="98"/>
        <v>0</v>
      </c>
      <c r="H1579" s="9">
        <f t="shared" si="99"/>
        <v>0</v>
      </c>
      <c r="I1579" s="10">
        <f t="shared" si="100"/>
        <v>67</v>
      </c>
    </row>
    <row r="1580" spans="1:9" x14ac:dyDescent="0.25">
      <c r="A1580" s="2" t="s">
        <v>3359</v>
      </c>
      <c r="B1580" s="2" t="s">
        <v>3360</v>
      </c>
      <c r="C1580" s="2" t="s">
        <v>1069</v>
      </c>
      <c r="D1580" s="2" t="s">
        <v>1406</v>
      </c>
      <c r="E1580" s="2" t="s">
        <v>30</v>
      </c>
      <c r="F1580" s="9">
        <f t="shared" si="97"/>
        <v>1455</v>
      </c>
      <c r="G1580" s="9">
        <f t="shared" si="98"/>
        <v>0</v>
      </c>
      <c r="H1580" s="9">
        <f t="shared" si="99"/>
        <v>0</v>
      </c>
      <c r="I1580" s="10">
        <f t="shared" si="100"/>
        <v>1455</v>
      </c>
    </row>
    <row r="1581" spans="1:9" x14ac:dyDescent="0.25">
      <c r="A1581" s="2" t="s">
        <v>3361</v>
      </c>
      <c r="B1581" s="2" t="s">
        <v>3362</v>
      </c>
      <c r="C1581" s="2" t="s">
        <v>1069</v>
      </c>
      <c r="D1581" s="2" t="s">
        <v>1406</v>
      </c>
      <c r="E1581" s="2" t="s">
        <v>30</v>
      </c>
      <c r="F1581" s="9">
        <f t="shared" si="97"/>
        <v>4200</v>
      </c>
      <c r="G1581" s="9">
        <f t="shared" si="98"/>
        <v>0</v>
      </c>
      <c r="H1581" s="9">
        <f t="shared" si="99"/>
        <v>0</v>
      </c>
      <c r="I1581" s="10">
        <f t="shared" si="100"/>
        <v>4200</v>
      </c>
    </row>
    <row r="1582" spans="1:9" x14ac:dyDescent="0.25">
      <c r="A1582" s="2" t="s">
        <v>3363</v>
      </c>
      <c r="B1582" s="2" t="s">
        <v>3364</v>
      </c>
      <c r="C1582" s="2" t="s">
        <v>1069</v>
      </c>
      <c r="D1582" s="2" t="s">
        <v>1406</v>
      </c>
      <c r="E1582" s="2" t="s">
        <v>30</v>
      </c>
      <c r="F1582" s="9">
        <f t="shared" si="97"/>
        <v>2</v>
      </c>
      <c r="G1582" s="9">
        <f t="shared" si="98"/>
        <v>0</v>
      </c>
      <c r="H1582" s="9">
        <f t="shared" si="99"/>
        <v>0</v>
      </c>
      <c r="I1582" s="10">
        <f t="shared" si="100"/>
        <v>2</v>
      </c>
    </row>
    <row r="1583" spans="1:9" x14ac:dyDescent="0.25">
      <c r="A1583" s="2" t="s">
        <v>3365</v>
      </c>
      <c r="B1583" s="2" t="s">
        <v>3366</v>
      </c>
      <c r="C1583" s="2" t="s">
        <v>1069</v>
      </c>
      <c r="D1583" s="2" t="s">
        <v>1406</v>
      </c>
      <c r="E1583" s="2" t="s">
        <v>30</v>
      </c>
      <c r="F1583" s="9">
        <f t="shared" si="97"/>
        <v>2876</v>
      </c>
      <c r="G1583" s="9">
        <f t="shared" si="98"/>
        <v>0</v>
      </c>
      <c r="H1583" s="9">
        <f t="shared" si="99"/>
        <v>0</v>
      </c>
      <c r="I1583" s="10">
        <f t="shared" si="100"/>
        <v>2876</v>
      </c>
    </row>
    <row r="1584" spans="1:9" x14ac:dyDescent="0.25">
      <c r="A1584" s="2" t="s">
        <v>3367</v>
      </c>
      <c r="B1584" s="2" t="s">
        <v>3368</v>
      </c>
      <c r="C1584" s="2" t="s">
        <v>1069</v>
      </c>
      <c r="D1584" s="2" t="s">
        <v>1406</v>
      </c>
      <c r="E1584" s="2" t="s">
        <v>30</v>
      </c>
      <c r="F1584" s="9">
        <f t="shared" si="97"/>
        <v>65</v>
      </c>
      <c r="G1584" s="9">
        <f t="shared" si="98"/>
        <v>0</v>
      </c>
      <c r="H1584" s="9">
        <f t="shared" si="99"/>
        <v>0</v>
      </c>
      <c r="I1584" s="10">
        <f t="shared" si="100"/>
        <v>65</v>
      </c>
    </row>
    <row r="1585" spans="1:9" x14ac:dyDescent="0.25">
      <c r="A1585" s="2" t="s">
        <v>3369</v>
      </c>
      <c r="B1585" s="2" t="s">
        <v>3370</v>
      </c>
      <c r="C1585" s="2" t="s">
        <v>1069</v>
      </c>
      <c r="D1585" s="2" t="s">
        <v>1406</v>
      </c>
      <c r="E1585" s="2" t="s">
        <v>30</v>
      </c>
      <c r="F1585" s="9">
        <f t="shared" si="97"/>
        <v>63</v>
      </c>
      <c r="G1585" s="9">
        <f t="shared" si="98"/>
        <v>0</v>
      </c>
      <c r="H1585" s="9">
        <f t="shared" si="99"/>
        <v>0</v>
      </c>
      <c r="I1585" s="10">
        <f t="shared" si="100"/>
        <v>63</v>
      </c>
    </row>
    <row r="1586" spans="1:9" x14ac:dyDescent="0.25">
      <c r="A1586" s="2" t="s">
        <v>3371</v>
      </c>
      <c r="B1586" s="2" t="s">
        <v>3372</v>
      </c>
      <c r="C1586" s="2" t="s">
        <v>1069</v>
      </c>
      <c r="D1586" s="2" t="s">
        <v>1406</v>
      </c>
      <c r="E1586" s="2" t="s">
        <v>30</v>
      </c>
      <c r="F1586" s="9">
        <f t="shared" si="97"/>
        <v>194</v>
      </c>
      <c r="G1586" s="9">
        <f t="shared" si="98"/>
        <v>0</v>
      </c>
      <c r="H1586" s="9">
        <f t="shared" si="99"/>
        <v>0</v>
      </c>
      <c r="I1586" s="10">
        <f t="shared" si="100"/>
        <v>194</v>
      </c>
    </row>
    <row r="1587" spans="1:9" x14ac:dyDescent="0.25">
      <c r="A1587" s="2" t="s">
        <v>3373</v>
      </c>
      <c r="B1587" s="2" t="s">
        <v>3374</v>
      </c>
      <c r="C1587" s="2" t="s">
        <v>1069</v>
      </c>
      <c r="D1587" s="2" t="s">
        <v>1406</v>
      </c>
      <c r="E1587" s="2" t="s">
        <v>30</v>
      </c>
      <c r="F1587" s="9">
        <f t="shared" si="97"/>
        <v>68</v>
      </c>
      <c r="G1587" s="9">
        <f t="shared" si="98"/>
        <v>0</v>
      </c>
      <c r="H1587" s="9">
        <f t="shared" si="99"/>
        <v>0</v>
      </c>
      <c r="I1587" s="10">
        <f t="shared" si="100"/>
        <v>68</v>
      </c>
    </row>
    <row r="1588" spans="1:9" x14ac:dyDescent="0.25">
      <c r="A1588" s="2" t="s">
        <v>3375</v>
      </c>
      <c r="B1588" s="2" t="s">
        <v>3376</v>
      </c>
      <c r="C1588" s="2" t="s">
        <v>1069</v>
      </c>
      <c r="D1588" s="2" t="s">
        <v>1406</v>
      </c>
      <c r="E1588" s="2" t="s">
        <v>30</v>
      </c>
      <c r="F1588" s="9">
        <f t="shared" si="97"/>
        <v>40</v>
      </c>
      <c r="G1588" s="9">
        <f t="shared" si="98"/>
        <v>0</v>
      </c>
      <c r="H1588" s="9">
        <f t="shared" si="99"/>
        <v>0</v>
      </c>
      <c r="I1588" s="10">
        <f t="shared" si="100"/>
        <v>40</v>
      </c>
    </row>
    <row r="1589" spans="1:9" x14ac:dyDescent="0.25">
      <c r="A1589" s="2" t="s">
        <v>3377</v>
      </c>
      <c r="B1589" s="2" t="s">
        <v>3378</v>
      </c>
      <c r="C1589" s="2" t="s">
        <v>1069</v>
      </c>
      <c r="D1589" s="2" t="s">
        <v>1406</v>
      </c>
      <c r="E1589" s="2" t="s">
        <v>30</v>
      </c>
      <c r="F1589" s="9">
        <f t="shared" si="97"/>
        <v>386</v>
      </c>
      <c r="G1589" s="9">
        <f t="shared" si="98"/>
        <v>0</v>
      </c>
      <c r="H1589" s="9">
        <f t="shared" si="99"/>
        <v>0</v>
      </c>
      <c r="I1589" s="10">
        <f t="shared" si="100"/>
        <v>386</v>
      </c>
    </row>
    <row r="1590" spans="1:9" x14ac:dyDescent="0.25">
      <c r="A1590" s="2" t="s">
        <v>3379</v>
      </c>
      <c r="B1590" s="2" t="s">
        <v>3380</v>
      </c>
      <c r="C1590" s="2" t="s">
        <v>1069</v>
      </c>
      <c r="D1590" s="2" t="s">
        <v>1406</v>
      </c>
      <c r="E1590" s="2" t="s">
        <v>30</v>
      </c>
      <c r="F1590" s="9">
        <f t="shared" si="97"/>
        <v>182</v>
      </c>
      <c r="G1590" s="9">
        <f t="shared" si="98"/>
        <v>0</v>
      </c>
      <c r="H1590" s="9">
        <f t="shared" si="99"/>
        <v>0</v>
      </c>
      <c r="I1590" s="10">
        <f t="shared" si="100"/>
        <v>182</v>
      </c>
    </row>
    <row r="1591" spans="1:9" x14ac:dyDescent="0.25">
      <c r="A1591" s="2" t="s">
        <v>3381</v>
      </c>
      <c r="B1591" s="2" t="s">
        <v>3382</v>
      </c>
      <c r="C1591" s="2" t="s">
        <v>1069</v>
      </c>
      <c r="D1591" s="2" t="s">
        <v>1406</v>
      </c>
      <c r="E1591" s="2" t="s">
        <v>30</v>
      </c>
      <c r="F1591" s="9">
        <f t="shared" si="97"/>
        <v>14</v>
      </c>
      <c r="G1591" s="9">
        <f t="shared" si="98"/>
        <v>0</v>
      </c>
      <c r="H1591" s="9">
        <f t="shared" si="99"/>
        <v>0</v>
      </c>
      <c r="I1591" s="10">
        <f t="shared" si="100"/>
        <v>14</v>
      </c>
    </row>
    <row r="1592" spans="1:9" x14ac:dyDescent="0.25">
      <c r="A1592" s="2" t="s">
        <v>3383</v>
      </c>
      <c r="B1592" s="2" t="s">
        <v>3384</v>
      </c>
      <c r="C1592" s="2" t="s">
        <v>1069</v>
      </c>
      <c r="D1592" s="2" t="s">
        <v>1406</v>
      </c>
      <c r="E1592" s="2" t="s">
        <v>30</v>
      </c>
      <c r="F1592" s="9">
        <f t="shared" ref="F1592:F1655" si="101">IFERROR(VLOOKUP(A1592,condi,8,0),0)</f>
        <v>192</v>
      </c>
      <c r="G1592" s="9">
        <f t="shared" ref="G1592:G1655" si="102">IFERROR(VLOOKUP(A1592,maqui,8,0),0)</f>
        <v>0</v>
      </c>
      <c r="H1592" s="9">
        <f t="shared" ref="H1592:H1655" si="103">IFERROR(VLOOKUP(A1592,ascint,8,0),0)</f>
        <v>0</v>
      </c>
      <c r="I1592" s="10">
        <f t="shared" si="100"/>
        <v>192</v>
      </c>
    </row>
    <row r="1593" spans="1:9" x14ac:dyDescent="0.25">
      <c r="A1593" s="2" t="s">
        <v>3385</v>
      </c>
      <c r="B1593" s="2" t="s">
        <v>3386</v>
      </c>
      <c r="C1593" s="2" t="s">
        <v>1069</v>
      </c>
      <c r="D1593" s="2" t="s">
        <v>1406</v>
      </c>
      <c r="E1593" s="2" t="s">
        <v>30</v>
      </c>
      <c r="F1593" s="9">
        <f t="shared" si="101"/>
        <v>14</v>
      </c>
      <c r="G1593" s="9">
        <f t="shared" si="102"/>
        <v>0</v>
      </c>
      <c r="H1593" s="9">
        <f t="shared" si="103"/>
        <v>0</v>
      </c>
      <c r="I1593" s="10">
        <f t="shared" si="100"/>
        <v>14</v>
      </c>
    </row>
    <row r="1594" spans="1:9" x14ac:dyDescent="0.25">
      <c r="A1594" s="2" t="s">
        <v>3387</v>
      </c>
      <c r="B1594" s="2" t="s">
        <v>3388</v>
      </c>
      <c r="C1594" s="2" t="s">
        <v>1069</v>
      </c>
      <c r="D1594" s="2" t="s">
        <v>1406</v>
      </c>
      <c r="E1594" s="2" t="s">
        <v>30</v>
      </c>
      <c r="F1594" s="9">
        <f t="shared" si="101"/>
        <v>1542</v>
      </c>
      <c r="G1594" s="9">
        <f t="shared" si="102"/>
        <v>0</v>
      </c>
      <c r="H1594" s="9">
        <f t="shared" si="103"/>
        <v>0</v>
      </c>
      <c r="I1594" s="10">
        <f t="shared" si="100"/>
        <v>1542</v>
      </c>
    </row>
    <row r="1595" spans="1:9" x14ac:dyDescent="0.25">
      <c r="A1595" s="2" t="s">
        <v>3389</v>
      </c>
      <c r="B1595" s="2" t="s">
        <v>3390</v>
      </c>
      <c r="C1595" s="2" t="s">
        <v>1069</v>
      </c>
      <c r="D1595" s="2" t="s">
        <v>1406</v>
      </c>
      <c r="E1595" s="2" t="s">
        <v>30</v>
      </c>
      <c r="F1595" s="9">
        <f t="shared" si="101"/>
        <v>65</v>
      </c>
      <c r="G1595" s="9">
        <f t="shared" si="102"/>
        <v>0</v>
      </c>
      <c r="H1595" s="9">
        <f t="shared" si="103"/>
        <v>0</v>
      </c>
      <c r="I1595" s="10">
        <f t="shared" si="100"/>
        <v>65</v>
      </c>
    </row>
    <row r="1596" spans="1:9" x14ac:dyDescent="0.25">
      <c r="A1596" s="2" t="s">
        <v>3391</v>
      </c>
      <c r="B1596" s="2" t="s">
        <v>3392</v>
      </c>
      <c r="C1596" s="2" t="s">
        <v>1069</v>
      </c>
      <c r="D1596" s="2" t="s">
        <v>1406</v>
      </c>
      <c r="E1596" s="2" t="s">
        <v>30</v>
      </c>
      <c r="F1596" s="9">
        <f t="shared" si="101"/>
        <v>1360</v>
      </c>
      <c r="G1596" s="9">
        <f t="shared" si="102"/>
        <v>0</v>
      </c>
      <c r="H1596" s="9">
        <f t="shared" si="103"/>
        <v>0</v>
      </c>
      <c r="I1596" s="10">
        <f t="shared" si="100"/>
        <v>1360</v>
      </c>
    </row>
    <row r="1597" spans="1:9" x14ac:dyDescent="0.25">
      <c r="A1597" s="2" t="s">
        <v>3393</v>
      </c>
      <c r="B1597" s="2" t="s">
        <v>3394</v>
      </c>
      <c r="C1597" s="2" t="s">
        <v>1069</v>
      </c>
      <c r="D1597" s="2" t="s">
        <v>1406</v>
      </c>
      <c r="E1597" s="2" t="s">
        <v>30</v>
      </c>
      <c r="F1597" s="9">
        <f t="shared" si="101"/>
        <v>314</v>
      </c>
      <c r="G1597" s="9">
        <f t="shared" si="102"/>
        <v>0</v>
      </c>
      <c r="H1597" s="9">
        <f t="shared" si="103"/>
        <v>0</v>
      </c>
      <c r="I1597" s="10">
        <f t="shared" si="100"/>
        <v>314</v>
      </c>
    </row>
    <row r="1598" spans="1:9" x14ac:dyDescent="0.25">
      <c r="A1598" s="2" t="s">
        <v>3395</v>
      </c>
      <c r="B1598" s="2" t="s">
        <v>3396</v>
      </c>
      <c r="C1598" s="2" t="s">
        <v>1069</v>
      </c>
      <c r="D1598" s="2" t="s">
        <v>1406</v>
      </c>
      <c r="E1598" s="2" t="s">
        <v>30</v>
      </c>
      <c r="F1598" s="9">
        <f t="shared" si="101"/>
        <v>37</v>
      </c>
      <c r="G1598" s="9">
        <f t="shared" si="102"/>
        <v>0</v>
      </c>
      <c r="H1598" s="9">
        <f t="shared" si="103"/>
        <v>0</v>
      </c>
      <c r="I1598" s="10">
        <f t="shared" ref="I1598:I1661" si="104">+F1598+G1598+H1598</f>
        <v>37</v>
      </c>
    </row>
    <row r="1599" spans="1:9" x14ac:dyDescent="0.25">
      <c r="A1599" s="2" t="s">
        <v>3397</v>
      </c>
      <c r="B1599" s="2" t="s">
        <v>3398</v>
      </c>
      <c r="C1599" s="2" t="s">
        <v>1069</v>
      </c>
      <c r="D1599" s="2" t="s">
        <v>1406</v>
      </c>
      <c r="E1599" s="2" t="s">
        <v>30</v>
      </c>
      <c r="F1599" s="9">
        <f t="shared" si="101"/>
        <v>164</v>
      </c>
      <c r="G1599" s="9">
        <f t="shared" si="102"/>
        <v>0</v>
      </c>
      <c r="H1599" s="9">
        <f t="shared" si="103"/>
        <v>0</v>
      </c>
      <c r="I1599" s="10">
        <f t="shared" si="104"/>
        <v>164</v>
      </c>
    </row>
    <row r="1600" spans="1:9" x14ac:dyDescent="0.25">
      <c r="A1600" s="2" t="s">
        <v>3399</v>
      </c>
      <c r="B1600" s="2" t="s">
        <v>3400</v>
      </c>
      <c r="C1600" s="2" t="s">
        <v>1069</v>
      </c>
      <c r="D1600" s="2" t="s">
        <v>1406</v>
      </c>
      <c r="E1600" s="2" t="s">
        <v>30</v>
      </c>
      <c r="F1600" s="9">
        <f t="shared" si="101"/>
        <v>4</v>
      </c>
      <c r="G1600" s="9">
        <f t="shared" si="102"/>
        <v>0</v>
      </c>
      <c r="H1600" s="9">
        <f t="shared" si="103"/>
        <v>0</v>
      </c>
      <c r="I1600" s="10">
        <f t="shared" si="104"/>
        <v>4</v>
      </c>
    </row>
    <row r="1601" spans="1:9" x14ac:dyDescent="0.25">
      <c r="A1601" s="2" t="s">
        <v>3401</v>
      </c>
      <c r="B1601" s="2" t="s">
        <v>3402</v>
      </c>
      <c r="C1601" s="2" t="s">
        <v>1069</v>
      </c>
      <c r="D1601" s="2" t="s">
        <v>1406</v>
      </c>
      <c r="E1601" s="2" t="s">
        <v>30</v>
      </c>
      <c r="F1601" s="9">
        <f t="shared" si="101"/>
        <v>4</v>
      </c>
      <c r="G1601" s="9">
        <f t="shared" si="102"/>
        <v>0</v>
      </c>
      <c r="H1601" s="9">
        <f t="shared" si="103"/>
        <v>0</v>
      </c>
      <c r="I1601" s="10">
        <f t="shared" si="104"/>
        <v>4</v>
      </c>
    </row>
    <row r="1602" spans="1:9" x14ac:dyDescent="0.25">
      <c r="A1602" s="2" t="s">
        <v>3403</v>
      </c>
      <c r="B1602" s="2" t="s">
        <v>3404</v>
      </c>
      <c r="C1602" s="2" t="s">
        <v>1069</v>
      </c>
      <c r="D1602" s="2" t="s">
        <v>1406</v>
      </c>
      <c r="E1602" s="2" t="s">
        <v>82</v>
      </c>
      <c r="F1602" s="9">
        <f t="shared" si="101"/>
        <v>0</v>
      </c>
      <c r="G1602" s="9">
        <f t="shared" si="102"/>
        <v>0</v>
      </c>
      <c r="H1602" s="9">
        <f t="shared" si="103"/>
        <v>0</v>
      </c>
      <c r="I1602" s="10">
        <f t="shared" si="104"/>
        <v>0</v>
      </c>
    </row>
    <row r="1603" spans="1:9" x14ac:dyDescent="0.25">
      <c r="A1603" s="2" t="s">
        <v>25</v>
      </c>
      <c r="B1603" s="2" t="s">
        <v>24</v>
      </c>
      <c r="C1603" s="2" t="s">
        <v>28</v>
      </c>
      <c r="D1603" s="2" t="s">
        <v>1406</v>
      </c>
      <c r="E1603" s="2" t="s">
        <v>30</v>
      </c>
      <c r="F1603" s="9">
        <f t="shared" si="101"/>
        <v>0</v>
      </c>
      <c r="G1603" s="9">
        <f t="shared" si="102"/>
        <v>0</v>
      </c>
      <c r="H1603" s="9">
        <f t="shared" si="103"/>
        <v>0</v>
      </c>
      <c r="I1603" s="10">
        <f t="shared" si="104"/>
        <v>0</v>
      </c>
    </row>
    <row r="1604" spans="1:9" x14ac:dyDescent="0.25">
      <c r="A1604" s="2" t="s">
        <v>33</v>
      </c>
      <c r="B1604" s="2" t="s">
        <v>32</v>
      </c>
      <c r="C1604" s="2" t="s">
        <v>28</v>
      </c>
      <c r="D1604" s="2" t="s">
        <v>1406</v>
      </c>
      <c r="E1604" s="2" t="s">
        <v>30</v>
      </c>
      <c r="F1604" s="9">
        <f t="shared" si="101"/>
        <v>0</v>
      </c>
      <c r="G1604" s="9">
        <f t="shared" si="102"/>
        <v>0</v>
      </c>
      <c r="H1604" s="9">
        <f t="shared" si="103"/>
        <v>0</v>
      </c>
      <c r="I1604" s="10">
        <f t="shared" si="104"/>
        <v>0</v>
      </c>
    </row>
    <row r="1605" spans="1:9" x14ac:dyDescent="0.25">
      <c r="A1605" s="2" t="s">
        <v>35</v>
      </c>
      <c r="B1605" s="2" t="s">
        <v>34</v>
      </c>
      <c r="C1605" s="2" t="s">
        <v>28</v>
      </c>
      <c r="D1605" s="2" t="s">
        <v>1406</v>
      </c>
      <c r="E1605" s="2" t="s">
        <v>30</v>
      </c>
      <c r="F1605" s="9">
        <f t="shared" si="101"/>
        <v>0</v>
      </c>
      <c r="G1605" s="9">
        <f t="shared" si="102"/>
        <v>0</v>
      </c>
      <c r="H1605" s="9">
        <f t="shared" si="103"/>
        <v>0</v>
      </c>
      <c r="I1605" s="10">
        <f t="shared" si="104"/>
        <v>0</v>
      </c>
    </row>
    <row r="1606" spans="1:9" x14ac:dyDescent="0.25">
      <c r="A1606" s="2" t="s">
        <v>38</v>
      </c>
      <c r="B1606" s="2" t="s">
        <v>37</v>
      </c>
      <c r="C1606" s="2" t="s">
        <v>28</v>
      </c>
      <c r="D1606" s="2" t="s">
        <v>1406</v>
      </c>
      <c r="E1606" s="2" t="s">
        <v>30</v>
      </c>
      <c r="F1606" s="9">
        <f t="shared" si="101"/>
        <v>1</v>
      </c>
      <c r="G1606" s="9">
        <f t="shared" si="102"/>
        <v>0</v>
      </c>
      <c r="H1606" s="9">
        <f t="shared" si="103"/>
        <v>0</v>
      </c>
      <c r="I1606" s="10">
        <f t="shared" si="104"/>
        <v>1</v>
      </c>
    </row>
    <row r="1607" spans="1:9" x14ac:dyDescent="0.25">
      <c r="A1607" s="2" t="s">
        <v>3405</v>
      </c>
      <c r="B1607" s="2" t="s">
        <v>3406</v>
      </c>
      <c r="C1607" s="2" t="s">
        <v>28</v>
      </c>
      <c r="D1607" s="2" t="s">
        <v>1406</v>
      </c>
      <c r="E1607" s="2" t="s">
        <v>30</v>
      </c>
      <c r="F1607" s="9">
        <f t="shared" si="101"/>
        <v>40</v>
      </c>
      <c r="G1607" s="9">
        <f t="shared" si="102"/>
        <v>0</v>
      </c>
      <c r="H1607" s="9">
        <f t="shared" si="103"/>
        <v>0</v>
      </c>
      <c r="I1607" s="10">
        <f t="shared" si="104"/>
        <v>40</v>
      </c>
    </row>
    <row r="1608" spans="1:9" x14ac:dyDescent="0.25">
      <c r="A1608" s="2" t="s">
        <v>3407</v>
      </c>
      <c r="B1608" s="2" t="s">
        <v>3408</v>
      </c>
      <c r="C1608" s="2" t="s">
        <v>28</v>
      </c>
      <c r="D1608" s="2" t="s">
        <v>1406</v>
      </c>
      <c r="E1608" s="2" t="s">
        <v>30</v>
      </c>
      <c r="F1608" s="9">
        <f t="shared" si="101"/>
        <v>81</v>
      </c>
      <c r="G1608" s="9">
        <f t="shared" si="102"/>
        <v>0</v>
      </c>
      <c r="H1608" s="9">
        <f t="shared" si="103"/>
        <v>0</v>
      </c>
      <c r="I1608" s="10">
        <f t="shared" si="104"/>
        <v>81</v>
      </c>
    </row>
    <row r="1609" spans="1:9" x14ac:dyDescent="0.25">
      <c r="A1609" s="2" t="s">
        <v>3409</v>
      </c>
      <c r="B1609" s="2" t="s">
        <v>3410</v>
      </c>
      <c r="C1609" s="2" t="s">
        <v>28</v>
      </c>
      <c r="D1609" s="2" t="s">
        <v>1406</v>
      </c>
      <c r="E1609" s="2" t="s">
        <v>30</v>
      </c>
      <c r="F1609" s="9">
        <f t="shared" si="101"/>
        <v>50</v>
      </c>
      <c r="G1609" s="9">
        <f t="shared" si="102"/>
        <v>0</v>
      </c>
      <c r="H1609" s="9">
        <f t="shared" si="103"/>
        <v>0</v>
      </c>
      <c r="I1609" s="10">
        <f t="shared" si="104"/>
        <v>50</v>
      </c>
    </row>
    <row r="1610" spans="1:9" x14ac:dyDescent="0.25">
      <c r="A1610" s="2" t="s">
        <v>3411</v>
      </c>
      <c r="B1610" s="2" t="s">
        <v>3412</v>
      </c>
      <c r="C1610" s="2" t="s">
        <v>28</v>
      </c>
      <c r="D1610" s="2" t="s">
        <v>1406</v>
      </c>
      <c r="E1610" s="2" t="s">
        <v>30</v>
      </c>
      <c r="F1610" s="9">
        <f t="shared" si="101"/>
        <v>2</v>
      </c>
      <c r="G1610" s="9">
        <f t="shared" si="102"/>
        <v>0</v>
      </c>
      <c r="H1610" s="9">
        <f t="shared" si="103"/>
        <v>0</v>
      </c>
      <c r="I1610" s="10">
        <f t="shared" si="104"/>
        <v>2</v>
      </c>
    </row>
    <row r="1611" spans="1:9" x14ac:dyDescent="0.25">
      <c r="A1611" s="2" t="s">
        <v>3413</v>
      </c>
      <c r="B1611" s="2" t="s">
        <v>3414</v>
      </c>
      <c r="C1611" s="2" t="s">
        <v>28</v>
      </c>
      <c r="D1611" s="2" t="s">
        <v>1406</v>
      </c>
      <c r="E1611" s="2" t="s">
        <v>30</v>
      </c>
      <c r="F1611" s="9">
        <f t="shared" si="101"/>
        <v>1</v>
      </c>
      <c r="G1611" s="9">
        <f t="shared" si="102"/>
        <v>0</v>
      </c>
      <c r="H1611" s="9">
        <f t="shared" si="103"/>
        <v>0</v>
      </c>
      <c r="I1611" s="10">
        <f t="shared" si="104"/>
        <v>1</v>
      </c>
    </row>
    <row r="1612" spans="1:9" x14ac:dyDescent="0.25">
      <c r="A1612" s="2" t="s">
        <v>3415</v>
      </c>
      <c r="B1612" s="2" t="s">
        <v>3416</v>
      </c>
      <c r="C1612" s="2" t="s">
        <v>28</v>
      </c>
      <c r="D1612" s="2" t="s">
        <v>1406</v>
      </c>
      <c r="E1612" s="2" t="s">
        <v>30</v>
      </c>
      <c r="F1612" s="9">
        <f t="shared" si="101"/>
        <v>4</v>
      </c>
      <c r="G1612" s="9">
        <f t="shared" si="102"/>
        <v>0</v>
      </c>
      <c r="H1612" s="9">
        <f t="shared" si="103"/>
        <v>0</v>
      </c>
      <c r="I1612" s="10">
        <f t="shared" si="104"/>
        <v>4</v>
      </c>
    </row>
    <row r="1613" spans="1:9" x14ac:dyDescent="0.25">
      <c r="A1613" s="2" t="s">
        <v>3417</v>
      </c>
      <c r="B1613" s="2" t="s">
        <v>3418</v>
      </c>
      <c r="C1613" s="2" t="s">
        <v>28</v>
      </c>
      <c r="D1613" s="2" t="s">
        <v>1406</v>
      </c>
      <c r="E1613" s="2" t="s">
        <v>30</v>
      </c>
      <c r="F1613" s="9">
        <f t="shared" si="101"/>
        <v>2</v>
      </c>
      <c r="G1613" s="9">
        <f t="shared" si="102"/>
        <v>0</v>
      </c>
      <c r="H1613" s="9">
        <f t="shared" si="103"/>
        <v>0</v>
      </c>
      <c r="I1613" s="10">
        <f t="shared" si="104"/>
        <v>2</v>
      </c>
    </row>
    <row r="1614" spans="1:9" x14ac:dyDescent="0.25">
      <c r="A1614" s="2" t="s">
        <v>3419</v>
      </c>
      <c r="B1614" s="2" t="s">
        <v>3420</v>
      </c>
      <c r="C1614" s="2" t="s">
        <v>28</v>
      </c>
      <c r="D1614" s="2" t="s">
        <v>1406</v>
      </c>
      <c r="E1614" s="2" t="s">
        <v>30</v>
      </c>
      <c r="F1614" s="9">
        <f t="shared" si="101"/>
        <v>1</v>
      </c>
      <c r="G1614" s="9">
        <f t="shared" si="102"/>
        <v>0</v>
      </c>
      <c r="H1614" s="9">
        <f t="shared" si="103"/>
        <v>0</v>
      </c>
      <c r="I1614" s="10">
        <f t="shared" si="104"/>
        <v>1</v>
      </c>
    </row>
    <row r="1615" spans="1:9" x14ac:dyDescent="0.25">
      <c r="A1615" s="2" t="s">
        <v>3421</v>
      </c>
      <c r="B1615" s="2" t="s">
        <v>3422</v>
      </c>
      <c r="C1615" s="2" t="s">
        <v>28</v>
      </c>
      <c r="D1615" s="2" t="s">
        <v>1406</v>
      </c>
      <c r="E1615" s="2" t="s">
        <v>30</v>
      </c>
      <c r="F1615" s="9">
        <f t="shared" si="101"/>
        <v>12</v>
      </c>
      <c r="G1615" s="9">
        <f t="shared" si="102"/>
        <v>0</v>
      </c>
      <c r="H1615" s="9">
        <f t="shared" si="103"/>
        <v>0</v>
      </c>
      <c r="I1615" s="10">
        <f t="shared" si="104"/>
        <v>12</v>
      </c>
    </row>
    <row r="1616" spans="1:9" x14ac:dyDescent="0.25">
      <c r="A1616" s="2" t="s">
        <v>3423</v>
      </c>
      <c r="B1616" s="2" t="s">
        <v>3424</v>
      </c>
      <c r="C1616" s="2" t="s">
        <v>28</v>
      </c>
      <c r="D1616" s="2" t="s">
        <v>1406</v>
      </c>
      <c r="E1616" s="2" t="s">
        <v>30</v>
      </c>
      <c r="F1616" s="9">
        <f t="shared" si="101"/>
        <v>3</v>
      </c>
      <c r="G1616" s="9">
        <f t="shared" si="102"/>
        <v>0</v>
      </c>
      <c r="H1616" s="9">
        <f t="shared" si="103"/>
        <v>0</v>
      </c>
      <c r="I1616" s="10">
        <f t="shared" si="104"/>
        <v>3</v>
      </c>
    </row>
    <row r="1617" spans="1:9" x14ac:dyDescent="0.25">
      <c r="A1617" s="2" t="s">
        <v>3425</v>
      </c>
      <c r="B1617" s="2" t="s">
        <v>3426</v>
      </c>
      <c r="C1617" s="2" t="s">
        <v>28</v>
      </c>
      <c r="D1617" s="2" t="s">
        <v>1406</v>
      </c>
      <c r="E1617" s="2" t="s">
        <v>30</v>
      </c>
      <c r="F1617" s="9">
        <f t="shared" si="101"/>
        <v>3</v>
      </c>
      <c r="G1617" s="9">
        <f t="shared" si="102"/>
        <v>0</v>
      </c>
      <c r="H1617" s="9">
        <f t="shared" si="103"/>
        <v>0</v>
      </c>
      <c r="I1617" s="10">
        <f t="shared" si="104"/>
        <v>3</v>
      </c>
    </row>
    <row r="1618" spans="1:9" x14ac:dyDescent="0.25">
      <c r="A1618" s="2" t="s">
        <v>3427</v>
      </c>
      <c r="B1618" s="2" t="s">
        <v>3428</v>
      </c>
      <c r="C1618" s="2" t="s">
        <v>28</v>
      </c>
      <c r="D1618" s="2" t="s">
        <v>1406</v>
      </c>
      <c r="E1618" s="2" t="s">
        <v>30</v>
      </c>
      <c r="F1618" s="9">
        <f t="shared" si="101"/>
        <v>3</v>
      </c>
      <c r="G1618" s="9">
        <f t="shared" si="102"/>
        <v>0</v>
      </c>
      <c r="H1618" s="9">
        <f t="shared" si="103"/>
        <v>0</v>
      </c>
      <c r="I1618" s="10">
        <f t="shared" si="104"/>
        <v>3</v>
      </c>
    </row>
    <row r="1619" spans="1:9" x14ac:dyDescent="0.25">
      <c r="A1619" s="2" t="s">
        <v>3429</v>
      </c>
      <c r="B1619" s="2" t="s">
        <v>3430</v>
      </c>
      <c r="C1619" s="2" t="s">
        <v>28</v>
      </c>
      <c r="D1619" s="2" t="s">
        <v>1406</v>
      </c>
      <c r="E1619" s="2" t="s">
        <v>30</v>
      </c>
      <c r="F1619" s="9">
        <f t="shared" si="101"/>
        <v>1</v>
      </c>
      <c r="G1619" s="9">
        <f t="shared" si="102"/>
        <v>0</v>
      </c>
      <c r="H1619" s="9">
        <f t="shared" si="103"/>
        <v>0</v>
      </c>
      <c r="I1619" s="10">
        <f t="shared" si="104"/>
        <v>1</v>
      </c>
    </row>
    <row r="1620" spans="1:9" x14ac:dyDescent="0.25">
      <c r="A1620" s="2" t="s">
        <v>3431</v>
      </c>
      <c r="B1620" s="2" t="s">
        <v>3432</v>
      </c>
      <c r="C1620" s="2" t="s">
        <v>28</v>
      </c>
      <c r="D1620" s="2" t="s">
        <v>1406</v>
      </c>
      <c r="E1620" s="2" t="s">
        <v>30</v>
      </c>
      <c r="F1620" s="9">
        <f t="shared" si="101"/>
        <v>8</v>
      </c>
      <c r="G1620" s="9">
        <f t="shared" si="102"/>
        <v>0</v>
      </c>
      <c r="H1620" s="9">
        <f t="shared" si="103"/>
        <v>0</v>
      </c>
      <c r="I1620" s="10">
        <f t="shared" si="104"/>
        <v>8</v>
      </c>
    </row>
    <row r="1621" spans="1:9" x14ac:dyDescent="0.25">
      <c r="A1621" s="2" t="s">
        <v>3433</v>
      </c>
      <c r="B1621" s="2" t="s">
        <v>3434</v>
      </c>
      <c r="C1621" s="2" t="s">
        <v>28</v>
      </c>
      <c r="D1621" s="2" t="s">
        <v>1406</v>
      </c>
      <c r="E1621" s="2" t="s">
        <v>30</v>
      </c>
      <c r="F1621" s="9">
        <f t="shared" si="101"/>
        <v>10</v>
      </c>
      <c r="G1621" s="9">
        <f t="shared" si="102"/>
        <v>0</v>
      </c>
      <c r="H1621" s="9">
        <f t="shared" si="103"/>
        <v>0</v>
      </c>
      <c r="I1621" s="10">
        <f t="shared" si="104"/>
        <v>10</v>
      </c>
    </row>
    <row r="1622" spans="1:9" x14ac:dyDescent="0.25">
      <c r="A1622" s="2" t="s">
        <v>3435</v>
      </c>
      <c r="B1622" s="2" t="s">
        <v>3436</v>
      </c>
      <c r="C1622" s="2" t="s">
        <v>28</v>
      </c>
      <c r="D1622" s="2" t="s">
        <v>1406</v>
      </c>
      <c r="E1622" s="2" t="s">
        <v>30</v>
      </c>
      <c r="F1622" s="9">
        <f t="shared" si="101"/>
        <v>4</v>
      </c>
      <c r="G1622" s="9">
        <f t="shared" si="102"/>
        <v>0</v>
      </c>
      <c r="H1622" s="9">
        <f t="shared" si="103"/>
        <v>0</v>
      </c>
      <c r="I1622" s="10">
        <f t="shared" si="104"/>
        <v>4</v>
      </c>
    </row>
    <row r="1623" spans="1:9" x14ac:dyDescent="0.25">
      <c r="A1623" s="2" t="s">
        <v>3437</v>
      </c>
      <c r="B1623" s="2" t="s">
        <v>3438</v>
      </c>
      <c r="C1623" s="2" t="s">
        <v>28</v>
      </c>
      <c r="D1623" s="2" t="s">
        <v>1406</v>
      </c>
      <c r="E1623" s="2" t="s">
        <v>30</v>
      </c>
      <c r="F1623" s="9">
        <f t="shared" si="101"/>
        <v>1</v>
      </c>
      <c r="G1623" s="9">
        <f t="shared" si="102"/>
        <v>0</v>
      </c>
      <c r="H1623" s="9">
        <f t="shared" si="103"/>
        <v>0</v>
      </c>
      <c r="I1623" s="10">
        <f t="shared" si="104"/>
        <v>1</v>
      </c>
    </row>
    <row r="1624" spans="1:9" x14ac:dyDescent="0.25">
      <c r="A1624" s="2" t="s">
        <v>3439</v>
      </c>
      <c r="B1624" s="2" t="s">
        <v>3440</v>
      </c>
      <c r="C1624" s="2" t="s">
        <v>28</v>
      </c>
      <c r="D1624" s="2" t="s">
        <v>1406</v>
      </c>
      <c r="E1624" s="2" t="s">
        <v>30</v>
      </c>
      <c r="F1624" s="9">
        <f t="shared" si="101"/>
        <v>8</v>
      </c>
      <c r="G1624" s="9">
        <f t="shared" si="102"/>
        <v>0</v>
      </c>
      <c r="H1624" s="9">
        <f t="shared" si="103"/>
        <v>0</v>
      </c>
      <c r="I1624" s="10">
        <f t="shared" si="104"/>
        <v>8</v>
      </c>
    </row>
    <row r="1625" spans="1:9" x14ac:dyDescent="0.25">
      <c r="A1625" s="2" t="s">
        <v>3441</v>
      </c>
      <c r="B1625" s="2" t="s">
        <v>3442</v>
      </c>
      <c r="C1625" s="2" t="s">
        <v>28</v>
      </c>
      <c r="D1625" s="2" t="s">
        <v>1406</v>
      </c>
      <c r="E1625" s="2" t="s">
        <v>30</v>
      </c>
      <c r="F1625" s="9">
        <f t="shared" si="101"/>
        <v>21</v>
      </c>
      <c r="G1625" s="9">
        <f t="shared" si="102"/>
        <v>0</v>
      </c>
      <c r="H1625" s="9">
        <f t="shared" si="103"/>
        <v>0</v>
      </c>
      <c r="I1625" s="10">
        <f t="shared" si="104"/>
        <v>21</v>
      </c>
    </row>
    <row r="1626" spans="1:9" x14ac:dyDescent="0.25">
      <c r="A1626" s="2" t="s">
        <v>3443</v>
      </c>
      <c r="B1626" s="2" t="s">
        <v>3444</v>
      </c>
      <c r="C1626" s="2" t="s">
        <v>28</v>
      </c>
      <c r="D1626" s="2" t="s">
        <v>1406</v>
      </c>
      <c r="E1626" s="2" t="s">
        <v>30</v>
      </c>
      <c r="F1626" s="9">
        <f t="shared" si="101"/>
        <v>3</v>
      </c>
      <c r="G1626" s="9">
        <f t="shared" si="102"/>
        <v>0</v>
      </c>
      <c r="H1626" s="9">
        <f t="shared" si="103"/>
        <v>0</v>
      </c>
      <c r="I1626" s="10">
        <f t="shared" si="104"/>
        <v>3</v>
      </c>
    </row>
    <row r="1627" spans="1:9" x14ac:dyDescent="0.25">
      <c r="A1627" s="2" t="s">
        <v>3445</v>
      </c>
      <c r="B1627" s="2" t="s">
        <v>3446</v>
      </c>
      <c r="C1627" s="2" t="s">
        <v>28</v>
      </c>
      <c r="D1627" s="2" t="s">
        <v>1406</v>
      </c>
      <c r="E1627" s="2" t="s">
        <v>30</v>
      </c>
      <c r="F1627" s="9">
        <f t="shared" si="101"/>
        <v>2</v>
      </c>
      <c r="G1627" s="9">
        <f t="shared" si="102"/>
        <v>0</v>
      </c>
      <c r="H1627" s="9">
        <f t="shared" si="103"/>
        <v>0</v>
      </c>
      <c r="I1627" s="10">
        <f t="shared" si="104"/>
        <v>2</v>
      </c>
    </row>
    <row r="1628" spans="1:9" x14ac:dyDescent="0.25">
      <c r="A1628" s="2" t="s">
        <v>3447</v>
      </c>
      <c r="B1628" s="2" t="s">
        <v>3448</v>
      </c>
      <c r="C1628" s="2" t="s">
        <v>28</v>
      </c>
      <c r="D1628" s="2" t="s">
        <v>1406</v>
      </c>
      <c r="E1628" s="2" t="s">
        <v>30</v>
      </c>
      <c r="F1628" s="9">
        <f t="shared" si="101"/>
        <v>20</v>
      </c>
      <c r="G1628" s="9">
        <f t="shared" si="102"/>
        <v>0</v>
      </c>
      <c r="H1628" s="9">
        <f t="shared" si="103"/>
        <v>0</v>
      </c>
      <c r="I1628" s="10">
        <f t="shared" si="104"/>
        <v>20</v>
      </c>
    </row>
    <row r="1629" spans="1:9" x14ac:dyDescent="0.25">
      <c r="A1629" s="2" t="s">
        <v>3449</v>
      </c>
      <c r="B1629" s="2" t="s">
        <v>3450</v>
      </c>
      <c r="C1629" s="2" t="s">
        <v>28</v>
      </c>
      <c r="D1629" s="2" t="s">
        <v>1406</v>
      </c>
      <c r="E1629" s="2" t="s">
        <v>30</v>
      </c>
      <c r="F1629" s="9">
        <f t="shared" si="101"/>
        <v>28</v>
      </c>
      <c r="G1629" s="9">
        <f t="shared" si="102"/>
        <v>0</v>
      </c>
      <c r="H1629" s="9">
        <f t="shared" si="103"/>
        <v>0</v>
      </c>
      <c r="I1629" s="10">
        <f t="shared" si="104"/>
        <v>28</v>
      </c>
    </row>
    <row r="1630" spans="1:9" x14ac:dyDescent="0.25">
      <c r="A1630" s="2" t="s">
        <v>3451</v>
      </c>
      <c r="B1630" s="2" t="s">
        <v>3452</v>
      </c>
      <c r="C1630" s="2" t="s">
        <v>28</v>
      </c>
      <c r="D1630" s="2" t="s">
        <v>1406</v>
      </c>
      <c r="E1630" s="2" t="s">
        <v>30</v>
      </c>
      <c r="F1630" s="9">
        <f t="shared" si="101"/>
        <v>5</v>
      </c>
      <c r="G1630" s="9">
        <f t="shared" si="102"/>
        <v>0</v>
      </c>
      <c r="H1630" s="9">
        <f t="shared" si="103"/>
        <v>0</v>
      </c>
      <c r="I1630" s="10">
        <f t="shared" si="104"/>
        <v>5</v>
      </c>
    </row>
    <row r="1631" spans="1:9" x14ac:dyDescent="0.25">
      <c r="A1631" s="2" t="s">
        <v>3453</v>
      </c>
      <c r="B1631" s="2" t="s">
        <v>3454</v>
      </c>
      <c r="C1631" s="2" t="s">
        <v>28</v>
      </c>
      <c r="D1631" s="2" t="s">
        <v>1406</v>
      </c>
      <c r="E1631" s="2" t="s">
        <v>30</v>
      </c>
      <c r="F1631" s="9">
        <f t="shared" si="101"/>
        <v>11</v>
      </c>
      <c r="G1631" s="9">
        <f t="shared" si="102"/>
        <v>0</v>
      </c>
      <c r="H1631" s="9">
        <f t="shared" si="103"/>
        <v>0</v>
      </c>
      <c r="I1631" s="10">
        <f t="shared" si="104"/>
        <v>11</v>
      </c>
    </row>
    <row r="1632" spans="1:9" x14ac:dyDescent="0.25">
      <c r="A1632" s="2" t="s">
        <v>3455</v>
      </c>
      <c r="B1632" s="2" t="s">
        <v>3456</v>
      </c>
      <c r="C1632" s="2" t="s">
        <v>28</v>
      </c>
      <c r="D1632" s="2" t="s">
        <v>1406</v>
      </c>
      <c r="E1632" s="2" t="s">
        <v>30</v>
      </c>
      <c r="F1632" s="9">
        <f t="shared" si="101"/>
        <v>20</v>
      </c>
      <c r="G1632" s="9">
        <f t="shared" si="102"/>
        <v>0</v>
      </c>
      <c r="H1632" s="9">
        <f t="shared" si="103"/>
        <v>0</v>
      </c>
      <c r="I1632" s="10">
        <f t="shared" si="104"/>
        <v>20</v>
      </c>
    </row>
    <row r="1633" spans="1:9" x14ac:dyDescent="0.25">
      <c r="A1633" s="2" t="s">
        <v>3457</v>
      </c>
      <c r="B1633" s="2" t="s">
        <v>3458</v>
      </c>
      <c r="C1633" s="2" t="s">
        <v>28</v>
      </c>
      <c r="D1633" s="2" t="s">
        <v>1406</v>
      </c>
      <c r="E1633" s="2" t="s">
        <v>30</v>
      </c>
      <c r="F1633" s="9">
        <f t="shared" si="101"/>
        <v>1</v>
      </c>
      <c r="G1633" s="9">
        <f t="shared" si="102"/>
        <v>0</v>
      </c>
      <c r="H1633" s="9">
        <f t="shared" si="103"/>
        <v>0</v>
      </c>
      <c r="I1633" s="10">
        <f t="shared" si="104"/>
        <v>1</v>
      </c>
    </row>
    <row r="1634" spans="1:9" x14ac:dyDescent="0.25">
      <c r="A1634" s="2" t="s">
        <v>3459</v>
      </c>
      <c r="B1634" s="2" t="s">
        <v>3460</v>
      </c>
      <c r="C1634" s="2" t="s">
        <v>28</v>
      </c>
      <c r="D1634" s="2" t="s">
        <v>1406</v>
      </c>
      <c r="E1634" s="2" t="s">
        <v>30</v>
      </c>
      <c r="F1634" s="9">
        <f t="shared" si="101"/>
        <v>25</v>
      </c>
      <c r="G1634" s="9">
        <f t="shared" si="102"/>
        <v>0</v>
      </c>
      <c r="H1634" s="9">
        <f t="shared" si="103"/>
        <v>0</v>
      </c>
      <c r="I1634" s="10">
        <f t="shared" si="104"/>
        <v>25</v>
      </c>
    </row>
    <row r="1635" spans="1:9" x14ac:dyDescent="0.25">
      <c r="A1635" s="2" t="s">
        <v>3461</v>
      </c>
      <c r="B1635" s="2" t="s">
        <v>3462</v>
      </c>
      <c r="C1635" s="2" t="s">
        <v>28</v>
      </c>
      <c r="D1635" s="2" t="s">
        <v>1406</v>
      </c>
      <c r="E1635" s="2" t="s">
        <v>30</v>
      </c>
      <c r="F1635" s="9">
        <f t="shared" si="101"/>
        <v>22</v>
      </c>
      <c r="G1635" s="9">
        <f t="shared" si="102"/>
        <v>0</v>
      </c>
      <c r="H1635" s="9">
        <f t="shared" si="103"/>
        <v>0</v>
      </c>
      <c r="I1635" s="10">
        <f t="shared" si="104"/>
        <v>22</v>
      </c>
    </row>
    <row r="1636" spans="1:9" x14ac:dyDescent="0.25">
      <c r="A1636" s="2" t="s">
        <v>3463</v>
      </c>
      <c r="B1636" s="2" t="s">
        <v>3464</v>
      </c>
      <c r="C1636" s="2" t="s">
        <v>28</v>
      </c>
      <c r="D1636" s="2" t="s">
        <v>1406</v>
      </c>
      <c r="E1636" s="2" t="s">
        <v>30</v>
      </c>
      <c r="F1636" s="9">
        <f t="shared" si="101"/>
        <v>23</v>
      </c>
      <c r="G1636" s="9">
        <f t="shared" si="102"/>
        <v>0</v>
      </c>
      <c r="H1636" s="9">
        <f t="shared" si="103"/>
        <v>0</v>
      </c>
      <c r="I1636" s="10">
        <f t="shared" si="104"/>
        <v>23</v>
      </c>
    </row>
    <row r="1637" spans="1:9" x14ac:dyDescent="0.25">
      <c r="A1637" s="2" t="s">
        <v>3465</v>
      </c>
      <c r="B1637" s="2" t="s">
        <v>3466</v>
      </c>
      <c r="C1637" s="2" t="s">
        <v>28</v>
      </c>
      <c r="D1637" s="2" t="s">
        <v>1406</v>
      </c>
      <c r="E1637" s="2" t="s">
        <v>30</v>
      </c>
      <c r="F1637" s="9">
        <f t="shared" si="101"/>
        <v>2</v>
      </c>
      <c r="G1637" s="9">
        <f t="shared" si="102"/>
        <v>0</v>
      </c>
      <c r="H1637" s="9">
        <f t="shared" si="103"/>
        <v>0</v>
      </c>
      <c r="I1637" s="10">
        <f t="shared" si="104"/>
        <v>2</v>
      </c>
    </row>
    <row r="1638" spans="1:9" x14ac:dyDescent="0.25">
      <c r="A1638" s="2" t="s">
        <v>3467</v>
      </c>
      <c r="B1638" s="2" t="s">
        <v>3468</v>
      </c>
      <c r="C1638" s="2" t="s">
        <v>28</v>
      </c>
      <c r="D1638" s="2" t="s">
        <v>1406</v>
      </c>
      <c r="E1638" s="2" t="s">
        <v>30</v>
      </c>
      <c r="F1638" s="9">
        <f t="shared" si="101"/>
        <v>19</v>
      </c>
      <c r="G1638" s="9">
        <f t="shared" si="102"/>
        <v>0</v>
      </c>
      <c r="H1638" s="9">
        <f t="shared" si="103"/>
        <v>0</v>
      </c>
      <c r="I1638" s="10">
        <f t="shared" si="104"/>
        <v>19</v>
      </c>
    </row>
    <row r="1639" spans="1:9" x14ac:dyDescent="0.25">
      <c r="A1639" s="2" t="s">
        <v>41</v>
      </c>
      <c r="B1639" s="2" t="s">
        <v>40</v>
      </c>
      <c r="C1639" s="2" t="s">
        <v>28</v>
      </c>
      <c r="D1639" s="2" t="s">
        <v>1406</v>
      </c>
      <c r="E1639" s="2" t="s">
        <v>30</v>
      </c>
      <c r="F1639" s="9">
        <f t="shared" si="101"/>
        <v>1</v>
      </c>
      <c r="G1639" s="9">
        <f t="shared" si="102"/>
        <v>0</v>
      </c>
      <c r="H1639" s="9">
        <f t="shared" si="103"/>
        <v>0</v>
      </c>
      <c r="I1639" s="10">
        <f t="shared" si="104"/>
        <v>1</v>
      </c>
    </row>
    <row r="1640" spans="1:9" x14ac:dyDescent="0.25">
      <c r="A1640" s="2" t="s">
        <v>51</v>
      </c>
      <c r="B1640" s="2" t="s">
        <v>50</v>
      </c>
      <c r="C1640" s="2" t="s">
        <v>28</v>
      </c>
      <c r="D1640" s="2" t="s">
        <v>1406</v>
      </c>
      <c r="E1640" s="2" t="s">
        <v>30</v>
      </c>
      <c r="F1640" s="9">
        <f t="shared" si="101"/>
        <v>1</v>
      </c>
      <c r="G1640" s="9">
        <f t="shared" si="102"/>
        <v>0</v>
      </c>
      <c r="H1640" s="9">
        <f t="shared" si="103"/>
        <v>0</v>
      </c>
      <c r="I1640" s="10">
        <f t="shared" si="104"/>
        <v>1</v>
      </c>
    </row>
    <row r="1641" spans="1:9" x14ac:dyDescent="0.25">
      <c r="A1641" s="2" t="s">
        <v>54</v>
      </c>
      <c r="B1641" s="2" t="s">
        <v>53</v>
      </c>
      <c r="C1641" s="2" t="s">
        <v>28</v>
      </c>
      <c r="D1641" s="2" t="s">
        <v>1406</v>
      </c>
      <c r="E1641" s="2" t="s">
        <v>30</v>
      </c>
      <c r="F1641" s="9">
        <f t="shared" si="101"/>
        <v>1</v>
      </c>
      <c r="G1641" s="9">
        <f t="shared" si="102"/>
        <v>0</v>
      </c>
      <c r="H1641" s="9">
        <f t="shared" si="103"/>
        <v>0</v>
      </c>
      <c r="I1641" s="10">
        <f t="shared" si="104"/>
        <v>1</v>
      </c>
    </row>
    <row r="1642" spans="1:9" x14ac:dyDescent="0.25">
      <c r="A1642" s="2" t="s">
        <v>57</v>
      </c>
      <c r="B1642" s="2" t="s">
        <v>56</v>
      </c>
      <c r="C1642" s="2" t="s">
        <v>28</v>
      </c>
      <c r="D1642" s="2" t="s">
        <v>1406</v>
      </c>
      <c r="E1642" s="2" t="s">
        <v>30</v>
      </c>
      <c r="F1642" s="9">
        <f t="shared" si="101"/>
        <v>1</v>
      </c>
      <c r="G1642" s="9">
        <f t="shared" si="102"/>
        <v>0</v>
      </c>
      <c r="H1642" s="9">
        <f t="shared" si="103"/>
        <v>0</v>
      </c>
      <c r="I1642" s="10">
        <f t="shared" si="104"/>
        <v>1</v>
      </c>
    </row>
    <row r="1643" spans="1:9" x14ac:dyDescent="0.25">
      <c r="A1643" s="2" t="s">
        <v>60</v>
      </c>
      <c r="B1643" s="2" t="s">
        <v>59</v>
      </c>
      <c r="C1643" s="2" t="s">
        <v>28</v>
      </c>
      <c r="D1643" s="2" t="s">
        <v>1406</v>
      </c>
      <c r="E1643" s="2" t="s">
        <v>30</v>
      </c>
      <c r="F1643" s="9">
        <f t="shared" si="101"/>
        <v>1</v>
      </c>
      <c r="G1643" s="9">
        <f t="shared" si="102"/>
        <v>0</v>
      </c>
      <c r="H1643" s="9">
        <f t="shared" si="103"/>
        <v>0</v>
      </c>
      <c r="I1643" s="10">
        <f t="shared" si="104"/>
        <v>1</v>
      </c>
    </row>
    <row r="1644" spans="1:9" x14ac:dyDescent="0.25">
      <c r="A1644" s="2" t="s">
        <v>63</v>
      </c>
      <c r="B1644" s="2" t="s">
        <v>62</v>
      </c>
      <c r="C1644" s="2" t="s">
        <v>28</v>
      </c>
      <c r="D1644" s="2" t="s">
        <v>1406</v>
      </c>
      <c r="E1644" s="2" t="s">
        <v>30</v>
      </c>
      <c r="F1644" s="9">
        <f t="shared" si="101"/>
        <v>1</v>
      </c>
      <c r="G1644" s="9">
        <f t="shared" si="102"/>
        <v>0</v>
      </c>
      <c r="H1644" s="9">
        <f t="shared" si="103"/>
        <v>0</v>
      </c>
      <c r="I1644" s="10">
        <f t="shared" si="104"/>
        <v>1</v>
      </c>
    </row>
    <row r="1645" spans="1:9" x14ac:dyDescent="0.25">
      <c r="A1645" s="2" t="s">
        <v>65</v>
      </c>
      <c r="B1645" s="2" t="s">
        <v>64</v>
      </c>
      <c r="C1645" s="2" t="s">
        <v>28</v>
      </c>
      <c r="D1645" s="2" t="s">
        <v>1406</v>
      </c>
      <c r="E1645" s="2" t="s">
        <v>30</v>
      </c>
      <c r="F1645" s="9">
        <f t="shared" si="101"/>
        <v>0</v>
      </c>
      <c r="G1645" s="9">
        <f t="shared" si="102"/>
        <v>0</v>
      </c>
      <c r="H1645" s="9">
        <f t="shared" si="103"/>
        <v>0</v>
      </c>
      <c r="I1645" s="10">
        <f t="shared" si="104"/>
        <v>0</v>
      </c>
    </row>
    <row r="1646" spans="1:9" x14ac:dyDescent="0.25">
      <c r="A1646" s="2" t="s">
        <v>67</v>
      </c>
      <c r="B1646" s="2" t="s">
        <v>66</v>
      </c>
      <c r="C1646" s="2" t="s">
        <v>28</v>
      </c>
      <c r="D1646" s="2" t="s">
        <v>1406</v>
      </c>
      <c r="E1646" s="2" t="s">
        <v>30</v>
      </c>
      <c r="F1646" s="9">
        <f t="shared" si="101"/>
        <v>0</v>
      </c>
      <c r="G1646" s="9">
        <f t="shared" si="102"/>
        <v>0</v>
      </c>
      <c r="H1646" s="9">
        <f t="shared" si="103"/>
        <v>0</v>
      </c>
      <c r="I1646" s="10">
        <f t="shared" si="104"/>
        <v>0</v>
      </c>
    </row>
    <row r="1647" spans="1:9" x14ac:dyDescent="0.25">
      <c r="A1647" s="2" t="s">
        <v>70</v>
      </c>
      <c r="B1647" s="2" t="s">
        <v>69</v>
      </c>
      <c r="C1647" s="2" t="s">
        <v>28</v>
      </c>
      <c r="D1647" s="2" t="s">
        <v>1406</v>
      </c>
      <c r="E1647" s="2" t="s">
        <v>30</v>
      </c>
      <c r="F1647" s="9">
        <f t="shared" si="101"/>
        <v>2</v>
      </c>
      <c r="G1647" s="9">
        <f t="shared" si="102"/>
        <v>0</v>
      </c>
      <c r="H1647" s="9">
        <f t="shared" si="103"/>
        <v>0</v>
      </c>
      <c r="I1647" s="10">
        <f t="shared" si="104"/>
        <v>2</v>
      </c>
    </row>
    <row r="1648" spans="1:9" x14ac:dyDescent="0.25">
      <c r="A1648" s="2" t="s">
        <v>72</v>
      </c>
      <c r="B1648" s="2" t="s">
        <v>71</v>
      </c>
      <c r="C1648" s="2" t="s">
        <v>28</v>
      </c>
      <c r="D1648" s="2" t="s">
        <v>1406</v>
      </c>
      <c r="E1648" s="2" t="s">
        <v>30</v>
      </c>
      <c r="F1648" s="9">
        <f t="shared" si="101"/>
        <v>0</v>
      </c>
      <c r="G1648" s="9">
        <f t="shared" si="102"/>
        <v>0</v>
      </c>
      <c r="H1648" s="9">
        <f t="shared" si="103"/>
        <v>0</v>
      </c>
      <c r="I1648" s="10">
        <f t="shared" si="104"/>
        <v>0</v>
      </c>
    </row>
    <row r="1649" spans="1:9" x14ac:dyDescent="0.25">
      <c r="A1649" s="2" t="s">
        <v>75</v>
      </c>
      <c r="B1649" s="2" t="s">
        <v>74</v>
      </c>
      <c r="C1649" s="2" t="s">
        <v>28</v>
      </c>
      <c r="D1649" s="2" t="s">
        <v>1406</v>
      </c>
      <c r="E1649" s="2" t="s">
        <v>30</v>
      </c>
      <c r="F1649" s="9">
        <f t="shared" si="101"/>
        <v>1</v>
      </c>
      <c r="G1649" s="9">
        <f t="shared" si="102"/>
        <v>0</v>
      </c>
      <c r="H1649" s="9">
        <f t="shared" si="103"/>
        <v>0</v>
      </c>
      <c r="I1649" s="10">
        <f t="shared" si="104"/>
        <v>1</v>
      </c>
    </row>
    <row r="1650" spans="1:9" x14ac:dyDescent="0.25">
      <c r="A1650" s="2" t="s">
        <v>78</v>
      </c>
      <c r="B1650" s="2" t="s">
        <v>77</v>
      </c>
      <c r="C1650" s="2" t="s">
        <v>28</v>
      </c>
      <c r="D1650" s="2" t="s">
        <v>1406</v>
      </c>
      <c r="E1650" s="2" t="s">
        <v>30</v>
      </c>
      <c r="F1650" s="9">
        <f t="shared" si="101"/>
        <v>0</v>
      </c>
      <c r="G1650" s="9">
        <f t="shared" si="102"/>
        <v>0</v>
      </c>
      <c r="H1650" s="9">
        <f t="shared" si="103"/>
        <v>0</v>
      </c>
      <c r="I1650" s="10">
        <f t="shared" si="104"/>
        <v>0</v>
      </c>
    </row>
    <row r="1651" spans="1:9" x14ac:dyDescent="0.25">
      <c r="A1651" s="2" t="s">
        <v>3469</v>
      </c>
      <c r="B1651" s="2" t="s">
        <v>3470</v>
      </c>
      <c r="C1651" s="2" t="s">
        <v>28</v>
      </c>
      <c r="D1651" s="2" t="s">
        <v>1406</v>
      </c>
      <c r="E1651" s="2" t="s">
        <v>30</v>
      </c>
      <c r="F1651" s="9">
        <f t="shared" si="101"/>
        <v>1</v>
      </c>
      <c r="G1651" s="9">
        <f t="shared" si="102"/>
        <v>0</v>
      </c>
      <c r="H1651" s="9">
        <f t="shared" si="103"/>
        <v>0</v>
      </c>
      <c r="I1651" s="10">
        <f t="shared" si="104"/>
        <v>1</v>
      </c>
    </row>
    <row r="1652" spans="1:9" x14ac:dyDescent="0.25">
      <c r="A1652" s="2" t="s">
        <v>3471</v>
      </c>
      <c r="B1652" s="2" t="s">
        <v>3472</v>
      </c>
      <c r="C1652" s="2" t="s">
        <v>28</v>
      </c>
      <c r="D1652" s="2" t="s">
        <v>1406</v>
      </c>
      <c r="E1652" s="2" t="s">
        <v>30</v>
      </c>
      <c r="F1652" s="9">
        <f t="shared" si="101"/>
        <v>18</v>
      </c>
      <c r="G1652" s="9">
        <f t="shared" si="102"/>
        <v>0</v>
      </c>
      <c r="H1652" s="9">
        <f t="shared" si="103"/>
        <v>0</v>
      </c>
      <c r="I1652" s="10">
        <f t="shared" si="104"/>
        <v>18</v>
      </c>
    </row>
    <row r="1653" spans="1:9" x14ac:dyDescent="0.25">
      <c r="A1653" s="2" t="s">
        <v>3473</v>
      </c>
      <c r="B1653" s="2" t="s">
        <v>3474</v>
      </c>
      <c r="C1653" s="2" t="s">
        <v>28</v>
      </c>
      <c r="D1653" s="2" t="s">
        <v>1406</v>
      </c>
      <c r="E1653" s="2" t="s">
        <v>30</v>
      </c>
      <c r="F1653" s="9">
        <f t="shared" si="101"/>
        <v>1</v>
      </c>
      <c r="G1653" s="9">
        <f t="shared" si="102"/>
        <v>0</v>
      </c>
      <c r="H1653" s="9">
        <f t="shared" si="103"/>
        <v>0</v>
      </c>
      <c r="I1653" s="10">
        <f t="shared" si="104"/>
        <v>1</v>
      </c>
    </row>
    <row r="1654" spans="1:9" x14ac:dyDescent="0.25">
      <c r="A1654" s="2" t="s">
        <v>3475</v>
      </c>
      <c r="B1654" s="2" t="s">
        <v>3476</v>
      </c>
      <c r="C1654" s="2" t="s">
        <v>28</v>
      </c>
      <c r="D1654" s="2" t="s">
        <v>1406</v>
      </c>
      <c r="E1654" s="2" t="s">
        <v>30</v>
      </c>
      <c r="F1654" s="9">
        <f t="shared" si="101"/>
        <v>1</v>
      </c>
      <c r="G1654" s="9">
        <f t="shared" si="102"/>
        <v>0</v>
      </c>
      <c r="H1654" s="9">
        <f t="shared" si="103"/>
        <v>0</v>
      </c>
      <c r="I1654" s="10">
        <f t="shared" si="104"/>
        <v>1</v>
      </c>
    </row>
    <row r="1655" spans="1:9" x14ac:dyDescent="0.25">
      <c r="A1655" s="2" t="s">
        <v>3477</v>
      </c>
      <c r="B1655" s="2" t="s">
        <v>3478</v>
      </c>
      <c r="C1655" s="2" t="s">
        <v>28</v>
      </c>
      <c r="D1655" s="2" t="s">
        <v>1406</v>
      </c>
      <c r="E1655" s="2" t="s">
        <v>3479</v>
      </c>
      <c r="F1655" s="9">
        <f t="shared" si="101"/>
        <v>3</v>
      </c>
      <c r="G1655" s="9">
        <f t="shared" si="102"/>
        <v>0</v>
      </c>
      <c r="H1655" s="9">
        <f t="shared" si="103"/>
        <v>0</v>
      </c>
      <c r="I1655" s="10">
        <f t="shared" si="104"/>
        <v>3</v>
      </c>
    </row>
    <row r="1656" spans="1:9" x14ac:dyDescent="0.25">
      <c r="A1656" s="2" t="s">
        <v>3480</v>
      </c>
      <c r="B1656" s="2" t="s">
        <v>3481</v>
      </c>
      <c r="C1656" s="2" t="s">
        <v>28</v>
      </c>
      <c r="D1656" s="2" t="s">
        <v>1406</v>
      </c>
      <c r="E1656" s="2" t="s">
        <v>30</v>
      </c>
      <c r="F1656" s="9">
        <f t="shared" ref="F1656:F1719" si="105">IFERROR(VLOOKUP(A1656,condi,8,0),0)</f>
        <v>1</v>
      </c>
      <c r="G1656" s="9">
        <f t="shared" ref="G1656:G1719" si="106">IFERROR(VLOOKUP(A1656,maqui,8,0),0)</f>
        <v>0</v>
      </c>
      <c r="H1656" s="9">
        <f t="shared" ref="H1656:H1719" si="107">IFERROR(VLOOKUP(A1656,ascint,8,0),0)</f>
        <v>0</v>
      </c>
      <c r="I1656" s="10">
        <f t="shared" si="104"/>
        <v>1</v>
      </c>
    </row>
    <row r="1657" spans="1:9" x14ac:dyDescent="0.25">
      <c r="A1657" s="2" t="s">
        <v>3482</v>
      </c>
      <c r="B1657" s="2" t="s">
        <v>3483</v>
      </c>
      <c r="C1657" s="2" t="s">
        <v>28</v>
      </c>
      <c r="D1657" s="2" t="s">
        <v>1406</v>
      </c>
      <c r="E1657" s="2" t="s">
        <v>30</v>
      </c>
      <c r="F1657" s="9">
        <f t="shared" si="105"/>
        <v>3</v>
      </c>
      <c r="G1657" s="9">
        <f t="shared" si="106"/>
        <v>0</v>
      </c>
      <c r="H1657" s="9">
        <f t="shared" si="107"/>
        <v>0</v>
      </c>
      <c r="I1657" s="10">
        <f t="shared" si="104"/>
        <v>3</v>
      </c>
    </row>
    <row r="1658" spans="1:9" x14ac:dyDescent="0.25">
      <c r="A1658" s="2" t="s">
        <v>3484</v>
      </c>
      <c r="B1658" s="2" t="s">
        <v>3485</v>
      </c>
      <c r="C1658" s="2" t="s">
        <v>28</v>
      </c>
      <c r="D1658" s="2" t="s">
        <v>1406</v>
      </c>
      <c r="E1658" s="2" t="s">
        <v>30</v>
      </c>
      <c r="F1658" s="9">
        <f t="shared" si="105"/>
        <v>4</v>
      </c>
      <c r="G1658" s="9">
        <f t="shared" si="106"/>
        <v>0</v>
      </c>
      <c r="H1658" s="9">
        <f t="shared" si="107"/>
        <v>0</v>
      </c>
      <c r="I1658" s="10">
        <f t="shared" si="104"/>
        <v>4</v>
      </c>
    </row>
    <row r="1659" spans="1:9" x14ac:dyDescent="0.25">
      <c r="A1659" s="2" t="s">
        <v>3486</v>
      </c>
      <c r="B1659" s="2" t="s">
        <v>3487</v>
      </c>
      <c r="C1659" s="2" t="s">
        <v>28</v>
      </c>
      <c r="D1659" s="2" t="s">
        <v>1406</v>
      </c>
      <c r="E1659" s="2" t="s">
        <v>30</v>
      </c>
      <c r="F1659" s="9">
        <f t="shared" si="105"/>
        <v>8</v>
      </c>
      <c r="G1659" s="9">
        <f t="shared" si="106"/>
        <v>0</v>
      </c>
      <c r="H1659" s="9">
        <f t="shared" si="107"/>
        <v>0</v>
      </c>
      <c r="I1659" s="10">
        <f t="shared" si="104"/>
        <v>8</v>
      </c>
    </row>
    <row r="1660" spans="1:9" x14ac:dyDescent="0.25">
      <c r="A1660" s="2" t="s">
        <v>3488</v>
      </c>
      <c r="B1660" s="2" t="s">
        <v>3489</v>
      </c>
      <c r="C1660" s="2" t="s">
        <v>28</v>
      </c>
      <c r="D1660" s="2" t="s">
        <v>1406</v>
      </c>
      <c r="E1660" s="2" t="s">
        <v>30</v>
      </c>
      <c r="F1660" s="9">
        <f t="shared" si="105"/>
        <v>5</v>
      </c>
      <c r="G1660" s="9">
        <f t="shared" si="106"/>
        <v>0</v>
      </c>
      <c r="H1660" s="9">
        <f t="shared" si="107"/>
        <v>0</v>
      </c>
      <c r="I1660" s="10">
        <f t="shared" si="104"/>
        <v>5</v>
      </c>
    </row>
    <row r="1661" spans="1:9" x14ac:dyDescent="0.25">
      <c r="A1661" s="2" t="s">
        <v>3490</v>
      </c>
      <c r="B1661" s="2" t="s">
        <v>3491</v>
      </c>
      <c r="C1661" s="2" t="s">
        <v>28</v>
      </c>
      <c r="D1661" s="2" t="s">
        <v>1406</v>
      </c>
      <c r="E1661" s="2" t="s">
        <v>30</v>
      </c>
      <c r="F1661" s="9">
        <f t="shared" si="105"/>
        <v>1</v>
      </c>
      <c r="G1661" s="9">
        <f t="shared" si="106"/>
        <v>0</v>
      </c>
      <c r="H1661" s="9">
        <f t="shared" si="107"/>
        <v>0</v>
      </c>
      <c r="I1661" s="10">
        <f t="shared" si="104"/>
        <v>1</v>
      </c>
    </row>
    <row r="1662" spans="1:9" x14ac:dyDescent="0.25">
      <c r="A1662" s="2" t="s">
        <v>3492</v>
      </c>
      <c r="B1662" s="2" t="s">
        <v>3493</v>
      </c>
      <c r="C1662" s="2" t="s">
        <v>28</v>
      </c>
      <c r="D1662" s="2" t="s">
        <v>1406</v>
      </c>
      <c r="E1662" s="2" t="s">
        <v>30</v>
      </c>
      <c r="F1662" s="9">
        <f t="shared" si="105"/>
        <v>1</v>
      </c>
      <c r="G1662" s="9">
        <f t="shared" si="106"/>
        <v>0</v>
      </c>
      <c r="H1662" s="9">
        <f t="shared" si="107"/>
        <v>0</v>
      </c>
      <c r="I1662" s="10">
        <f t="shared" ref="I1662:I1725" si="108">+F1662+G1662+H1662</f>
        <v>1</v>
      </c>
    </row>
    <row r="1663" spans="1:9" x14ac:dyDescent="0.25">
      <c r="A1663" s="2" t="s">
        <v>3494</v>
      </c>
      <c r="B1663" s="2" t="s">
        <v>3495</v>
      </c>
      <c r="C1663" s="2" t="s">
        <v>28</v>
      </c>
      <c r="D1663" s="2" t="s">
        <v>1406</v>
      </c>
      <c r="E1663" s="2" t="s">
        <v>30</v>
      </c>
      <c r="F1663" s="9">
        <f t="shared" si="105"/>
        <v>5</v>
      </c>
      <c r="G1663" s="9">
        <f t="shared" si="106"/>
        <v>0</v>
      </c>
      <c r="H1663" s="9">
        <f t="shared" si="107"/>
        <v>0</v>
      </c>
      <c r="I1663" s="10">
        <f t="shared" si="108"/>
        <v>5</v>
      </c>
    </row>
    <row r="1664" spans="1:9" x14ac:dyDescent="0.25">
      <c r="A1664" s="2" t="s">
        <v>3496</v>
      </c>
      <c r="B1664" s="2" t="s">
        <v>3497</v>
      </c>
      <c r="C1664" s="2" t="s">
        <v>28</v>
      </c>
      <c r="D1664" s="2" t="s">
        <v>1406</v>
      </c>
      <c r="E1664" s="2" t="s">
        <v>30</v>
      </c>
      <c r="F1664" s="9">
        <f t="shared" si="105"/>
        <v>1</v>
      </c>
      <c r="G1664" s="9">
        <f t="shared" si="106"/>
        <v>0</v>
      </c>
      <c r="H1664" s="9">
        <f t="shared" si="107"/>
        <v>0</v>
      </c>
      <c r="I1664" s="10">
        <f t="shared" si="108"/>
        <v>1</v>
      </c>
    </row>
    <row r="1665" spans="1:9" x14ac:dyDescent="0.25">
      <c r="A1665" s="2" t="s">
        <v>3498</v>
      </c>
      <c r="B1665" s="2" t="s">
        <v>3499</v>
      </c>
      <c r="C1665" s="2" t="s">
        <v>28</v>
      </c>
      <c r="D1665" s="2" t="s">
        <v>1406</v>
      </c>
      <c r="E1665" s="2" t="s">
        <v>30</v>
      </c>
      <c r="F1665" s="9">
        <f t="shared" si="105"/>
        <v>4</v>
      </c>
      <c r="G1665" s="9">
        <f t="shared" si="106"/>
        <v>0</v>
      </c>
      <c r="H1665" s="9">
        <f t="shared" si="107"/>
        <v>0</v>
      </c>
      <c r="I1665" s="10">
        <f t="shared" si="108"/>
        <v>4</v>
      </c>
    </row>
    <row r="1666" spans="1:9" x14ac:dyDescent="0.25">
      <c r="A1666" s="2" t="s">
        <v>3500</v>
      </c>
      <c r="B1666" s="2" t="s">
        <v>3501</v>
      </c>
      <c r="C1666" s="2" t="s">
        <v>28</v>
      </c>
      <c r="D1666" s="2" t="s">
        <v>1406</v>
      </c>
      <c r="E1666" s="2" t="s">
        <v>30</v>
      </c>
      <c r="F1666" s="9">
        <f t="shared" si="105"/>
        <v>2</v>
      </c>
      <c r="G1666" s="9">
        <f t="shared" si="106"/>
        <v>0</v>
      </c>
      <c r="H1666" s="9">
        <f t="shared" si="107"/>
        <v>0</v>
      </c>
      <c r="I1666" s="10">
        <f t="shared" si="108"/>
        <v>2</v>
      </c>
    </row>
    <row r="1667" spans="1:9" x14ac:dyDescent="0.25">
      <c r="A1667" s="2" t="s">
        <v>3502</v>
      </c>
      <c r="B1667" s="2" t="s">
        <v>3503</v>
      </c>
      <c r="C1667" s="2" t="s">
        <v>28</v>
      </c>
      <c r="D1667" s="2" t="s">
        <v>1406</v>
      </c>
      <c r="E1667" s="2" t="s">
        <v>30</v>
      </c>
      <c r="F1667" s="9">
        <f t="shared" si="105"/>
        <v>10</v>
      </c>
      <c r="G1667" s="9">
        <f t="shared" si="106"/>
        <v>0</v>
      </c>
      <c r="H1667" s="9">
        <f t="shared" si="107"/>
        <v>0</v>
      </c>
      <c r="I1667" s="10">
        <f t="shared" si="108"/>
        <v>10</v>
      </c>
    </row>
    <row r="1668" spans="1:9" x14ac:dyDescent="0.25">
      <c r="A1668" s="2" t="s">
        <v>3504</v>
      </c>
      <c r="B1668" s="2" t="s">
        <v>3505</v>
      </c>
      <c r="C1668" s="2" t="s">
        <v>28</v>
      </c>
      <c r="D1668" s="2" t="s">
        <v>1406</v>
      </c>
      <c r="E1668" s="2" t="s">
        <v>30</v>
      </c>
      <c r="F1668" s="9">
        <f t="shared" si="105"/>
        <v>9</v>
      </c>
      <c r="G1668" s="9">
        <f t="shared" si="106"/>
        <v>0</v>
      </c>
      <c r="H1668" s="9">
        <f t="shared" si="107"/>
        <v>0</v>
      </c>
      <c r="I1668" s="10">
        <f t="shared" si="108"/>
        <v>9</v>
      </c>
    </row>
    <row r="1669" spans="1:9" x14ac:dyDescent="0.25">
      <c r="A1669" s="2" t="s">
        <v>3506</v>
      </c>
      <c r="B1669" s="2" t="s">
        <v>3507</v>
      </c>
      <c r="C1669" s="2" t="s">
        <v>28</v>
      </c>
      <c r="D1669" s="2" t="s">
        <v>1406</v>
      </c>
      <c r="E1669" s="2" t="s">
        <v>30</v>
      </c>
      <c r="F1669" s="9">
        <f t="shared" si="105"/>
        <v>39</v>
      </c>
      <c r="G1669" s="9">
        <f t="shared" si="106"/>
        <v>0</v>
      </c>
      <c r="H1669" s="9">
        <f t="shared" si="107"/>
        <v>0</v>
      </c>
      <c r="I1669" s="10">
        <f t="shared" si="108"/>
        <v>39</v>
      </c>
    </row>
    <row r="1670" spans="1:9" x14ac:dyDescent="0.25">
      <c r="A1670" s="2" t="s">
        <v>3508</v>
      </c>
      <c r="B1670" s="2" t="s">
        <v>3509</v>
      </c>
      <c r="C1670" s="2" t="s">
        <v>28</v>
      </c>
      <c r="D1670" s="2" t="s">
        <v>1406</v>
      </c>
      <c r="E1670" s="2" t="s">
        <v>30</v>
      </c>
      <c r="F1670" s="9">
        <f t="shared" si="105"/>
        <v>10</v>
      </c>
      <c r="G1670" s="9">
        <f t="shared" si="106"/>
        <v>0</v>
      </c>
      <c r="H1670" s="9">
        <f t="shared" si="107"/>
        <v>0</v>
      </c>
      <c r="I1670" s="10">
        <f t="shared" si="108"/>
        <v>10</v>
      </c>
    </row>
    <row r="1671" spans="1:9" x14ac:dyDescent="0.25">
      <c r="A1671" s="2" t="s">
        <v>3510</v>
      </c>
      <c r="B1671" s="2" t="s">
        <v>3511</v>
      </c>
      <c r="C1671" s="2" t="s">
        <v>28</v>
      </c>
      <c r="D1671" s="2" t="s">
        <v>1406</v>
      </c>
      <c r="E1671" s="2" t="s">
        <v>30</v>
      </c>
      <c r="F1671" s="9">
        <f t="shared" si="105"/>
        <v>1</v>
      </c>
      <c r="G1671" s="9">
        <f t="shared" si="106"/>
        <v>0</v>
      </c>
      <c r="H1671" s="9">
        <f t="shared" si="107"/>
        <v>0</v>
      </c>
      <c r="I1671" s="10">
        <f t="shared" si="108"/>
        <v>1</v>
      </c>
    </row>
    <row r="1672" spans="1:9" x14ac:dyDescent="0.25">
      <c r="A1672" s="2" t="s">
        <v>3512</v>
      </c>
      <c r="B1672" s="2" t="s">
        <v>3513</v>
      </c>
      <c r="C1672" s="2" t="s">
        <v>28</v>
      </c>
      <c r="D1672" s="2" t="s">
        <v>1406</v>
      </c>
      <c r="E1672" s="2" t="s">
        <v>30</v>
      </c>
      <c r="F1672" s="9">
        <f t="shared" si="105"/>
        <v>2</v>
      </c>
      <c r="G1672" s="9">
        <f t="shared" si="106"/>
        <v>0</v>
      </c>
      <c r="H1672" s="9">
        <f t="shared" si="107"/>
        <v>0</v>
      </c>
      <c r="I1672" s="10">
        <f t="shared" si="108"/>
        <v>2</v>
      </c>
    </row>
    <row r="1673" spans="1:9" x14ac:dyDescent="0.25">
      <c r="A1673" s="2" t="s">
        <v>3514</v>
      </c>
      <c r="B1673" s="2" t="s">
        <v>3515</v>
      </c>
      <c r="C1673" s="2" t="s">
        <v>28</v>
      </c>
      <c r="D1673" s="2" t="s">
        <v>1406</v>
      </c>
      <c r="E1673" s="2" t="s">
        <v>30</v>
      </c>
      <c r="F1673" s="9">
        <f t="shared" si="105"/>
        <v>5</v>
      </c>
      <c r="G1673" s="9">
        <f t="shared" si="106"/>
        <v>0</v>
      </c>
      <c r="H1673" s="9">
        <f t="shared" si="107"/>
        <v>0</v>
      </c>
      <c r="I1673" s="10">
        <f t="shared" si="108"/>
        <v>5</v>
      </c>
    </row>
    <row r="1674" spans="1:9" x14ac:dyDescent="0.25">
      <c r="A1674" s="2" t="s">
        <v>3516</v>
      </c>
      <c r="B1674" s="2" t="s">
        <v>3517</v>
      </c>
      <c r="C1674" s="2" t="s">
        <v>28</v>
      </c>
      <c r="D1674" s="2" t="s">
        <v>1406</v>
      </c>
      <c r="E1674" s="2" t="s">
        <v>30</v>
      </c>
      <c r="F1674" s="9">
        <f t="shared" si="105"/>
        <v>2</v>
      </c>
      <c r="G1674" s="9">
        <f t="shared" si="106"/>
        <v>0</v>
      </c>
      <c r="H1674" s="9">
        <f t="shared" si="107"/>
        <v>0</v>
      </c>
      <c r="I1674" s="10">
        <f t="shared" si="108"/>
        <v>2</v>
      </c>
    </row>
    <row r="1675" spans="1:9" x14ac:dyDescent="0.25">
      <c r="A1675" s="2" t="s">
        <v>3518</v>
      </c>
      <c r="B1675" s="2" t="s">
        <v>3519</v>
      </c>
      <c r="C1675" s="2" t="s">
        <v>28</v>
      </c>
      <c r="D1675" s="2" t="s">
        <v>1406</v>
      </c>
      <c r="E1675" s="2" t="s">
        <v>30</v>
      </c>
      <c r="F1675" s="9">
        <f t="shared" si="105"/>
        <v>2</v>
      </c>
      <c r="G1675" s="9">
        <f t="shared" si="106"/>
        <v>0</v>
      </c>
      <c r="H1675" s="9">
        <f t="shared" si="107"/>
        <v>0</v>
      </c>
      <c r="I1675" s="10">
        <f t="shared" si="108"/>
        <v>2</v>
      </c>
    </row>
    <row r="1676" spans="1:9" x14ac:dyDescent="0.25">
      <c r="A1676" s="2" t="s">
        <v>3520</v>
      </c>
      <c r="B1676" s="2" t="s">
        <v>3521</v>
      </c>
      <c r="C1676" s="2" t="s">
        <v>28</v>
      </c>
      <c r="D1676" s="2" t="s">
        <v>1406</v>
      </c>
      <c r="E1676" s="2" t="s">
        <v>30</v>
      </c>
      <c r="F1676" s="9">
        <f t="shared" si="105"/>
        <v>3</v>
      </c>
      <c r="G1676" s="9">
        <f t="shared" si="106"/>
        <v>0</v>
      </c>
      <c r="H1676" s="9">
        <f t="shared" si="107"/>
        <v>0</v>
      </c>
      <c r="I1676" s="10">
        <f t="shared" si="108"/>
        <v>3</v>
      </c>
    </row>
    <row r="1677" spans="1:9" x14ac:dyDescent="0.25">
      <c r="A1677" s="2" t="s">
        <v>3522</v>
      </c>
      <c r="B1677" s="2" t="s">
        <v>3523</v>
      </c>
      <c r="C1677" s="2" t="s">
        <v>28</v>
      </c>
      <c r="D1677" s="2" t="s">
        <v>1406</v>
      </c>
      <c r="E1677" s="2" t="s">
        <v>30</v>
      </c>
      <c r="F1677" s="9">
        <f t="shared" si="105"/>
        <v>1</v>
      </c>
      <c r="G1677" s="9">
        <f t="shared" si="106"/>
        <v>0</v>
      </c>
      <c r="H1677" s="9">
        <f t="shared" si="107"/>
        <v>0</v>
      </c>
      <c r="I1677" s="10">
        <f t="shared" si="108"/>
        <v>1</v>
      </c>
    </row>
    <row r="1678" spans="1:9" x14ac:dyDescent="0.25">
      <c r="A1678" s="2" t="s">
        <v>3524</v>
      </c>
      <c r="B1678" s="2" t="s">
        <v>3525</v>
      </c>
      <c r="C1678" s="2" t="s">
        <v>28</v>
      </c>
      <c r="D1678" s="2" t="s">
        <v>1406</v>
      </c>
      <c r="E1678" s="2" t="s">
        <v>30</v>
      </c>
      <c r="F1678" s="9">
        <f t="shared" si="105"/>
        <v>18</v>
      </c>
      <c r="G1678" s="9">
        <f t="shared" si="106"/>
        <v>0</v>
      </c>
      <c r="H1678" s="9">
        <f t="shared" si="107"/>
        <v>0</v>
      </c>
      <c r="I1678" s="10">
        <f t="shared" si="108"/>
        <v>18</v>
      </c>
    </row>
    <row r="1679" spans="1:9" x14ac:dyDescent="0.25">
      <c r="A1679" s="2" t="s">
        <v>3526</v>
      </c>
      <c r="B1679" s="2" t="s">
        <v>3527</v>
      </c>
      <c r="C1679" s="2" t="s">
        <v>28</v>
      </c>
      <c r="D1679" s="2" t="s">
        <v>1406</v>
      </c>
      <c r="E1679" s="2" t="s">
        <v>30</v>
      </c>
      <c r="F1679" s="9">
        <f t="shared" si="105"/>
        <v>18</v>
      </c>
      <c r="G1679" s="9">
        <f t="shared" si="106"/>
        <v>0</v>
      </c>
      <c r="H1679" s="9">
        <f t="shared" si="107"/>
        <v>0</v>
      </c>
      <c r="I1679" s="10">
        <f t="shared" si="108"/>
        <v>18</v>
      </c>
    </row>
    <row r="1680" spans="1:9" x14ac:dyDescent="0.25">
      <c r="A1680" s="2" t="s">
        <v>3528</v>
      </c>
      <c r="B1680" s="2" t="s">
        <v>3529</v>
      </c>
      <c r="C1680" s="2" t="s">
        <v>28</v>
      </c>
      <c r="D1680" s="2" t="s">
        <v>1406</v>
      </c>
      <c r="E1680" s="2" t="s">
        <v>30</v>
      </c>
      <c r="F1680" s="9">
        <f t="shared" si="105"/>
        <v>2</v>
      </c>
      <c r="G1680" s="9">
        <f t="shared" si="106"/>
        <v>0</v>
      </c>
      <c r="H1680" s="9">
        <f t="shared" si="107"/>
        <v>0</v>
      </c>
      <c r="I1680" s="10">
        <f t="shared" si="108"/>
        <v>2</v>
      </c>
    </row>
    <row r="1681" spans="1:9" x14ac:dyDescent="0.25">
      <c r="A1681" s="2" t="s">
        <v>3530</v>
      </c>
      <c r="B1681" s="2" t="s">
        <v>3531</v>
      </c>
      <c r="C1681" s="2" t="s">
        <v>28</v>
      </c>
      <c r="D1681" s="2" t="s">
        <v>1406</v>
      </c>
      <c r="E1681" s="2" t="s">
        <v>30</v>
      </c>
      <c r="F1681" s="9">
        <f t="shared" si="105"/>
        <v>8</v>
      </c>
      <c r="G1681" s="9">
        <f t="shared" si="106"/>
        <v>0</v>
      </c>
      <c r="H1681" s="9">
        <f t="shared" si="107"/>
        <v>0</v>
      </c>
      <c r="I1681" s="10">
        <f t="shared" si="108"/>
        <v>8</v>
      </c>
    </row>
    <row r="1682" spans="1:9" x14ac:dyDescent="0.25">
      <c r="A1682" s="2" t="s">
        <v>3532</v>
      </c>
      <c r="B1682" s="2" t="s">
        <v>3533</v>
      </c>
      <c r="C1682" s="2" t="s">
        <v>28</v>
      </c>
      <c r="D1682" s="2" t="s">
        <v>1406</v>
      </c>
      <c r="E1682" s="2" t="s">
        <v>30</v>
      </c>
      <c r="F1682" s="9">
        <f t="shared" si="105"/>
        <v>5</v>
      </c>
      <c r="G1682" s="9">
        <f t="shared" si="106"/>
        <v>0</v>
      </c>
      <c r="H1682" s="9">
        <f t="shared" si="107"/>
        <v>0</v>
      </c>
      <c r="I1682" s="10">
        <f t="shared" si="108"/>
        <v>5</v>
      </c>
    </row>
    <row r="1683" spans="1:9" x14ac:dyDescent="0.25">
      <c r="A1683" s="2" t="s">
        <v>3534</v>
      </c>
      <c r="B1683" s="2" t="s">
        <v>3535</v>
      </c>
      <c r="C1683" s="2" t="s">
        <v>28</v>
      </c>
      <c r="D1683" s="2" t="s">
        <v>1406</v>
      </c>
      <c r="E1683" s="2" t="s">
        <v>30</v>
      </c>
      <c r="F1683" s="9">
        <f t="shared" si="105"/>
        <v>5</v>
      </c>
      <c r="G1683" s="9">
        <f t="shared" si="106"/>
        <v>0</v>
      </c>
      <c r="H1683" s="9">
        <f t="shared" si="107"/>
        <v>0</v>
      </c>
      <c r="I1683" s="10">
        <f t="shared" si="108"/>
        <v>5</v>
      </c>
    </row>
    <row r="1684" spans="1:9" x14ac:dyDescent="0.25">
      <c r="A1684" s="2" t="s">
        <v>3536</v>
      </c>
      <c r="B1684" s="2" t="s">
        <v>3537</v>
      </c>
      <c r="C1684" s="2" t="s">
        <v>28</v>
      </c>
      <c r="D1684" s="2" t="s">
        <v>1406</v>
      </c>
      <c r="E1684" s="2" t="s">
        <v>30</v>
      </c>
      <c r="F1684" s="9">
        <f t="shared" si="105"/>
        <v>4</v>
      </c>
      <c r="G1684" s="9">
        <f t="shared" si="106"/>
        <v>0</v>
      </c>
      <c r="H1684" s="9">
        <f t="shared" si="107"/>
        <v>0</v>
      </c>
      <c r="I1684" s="10">
        <f t="shared" si="108"/>
        <v>4</v>
      </c>
    </row>
    <row r="1685" spans="1:9" x14ac:dyDescent="0.25">
      <c r="A1685" s="2" t="s">
        <v>3538</v>
      </c>
      <c r="B1685" s="2" t="s">
        <v>3539</v>
      </c>
      <c r="C1685" s="2" t="s">
        <v>28</v>
      </c>
      <c r="D1685" s="2" t="s">
        <v>1406</v>
      </c>
      <c r="E1685" s="2" t="s">
        <v>30</v>
      </c>
      <c r="F1685" s="9">
        <f t="shared" si="105"/>
        <v>2</v>
      </c>
      <c r="G1685" s="9">
        <f t="shared" si="106"/>
        <v>0</v>
      </c>
      <c r="H1685" s="9">
        <f t="shared" si="107"/>
        <v>0</v>
      </c>
      <c r="I1685" s="10">
        <f t="shared" si="108"/>
        <v>2</v>
      </c>
    </row>
    <row r="1686" spans="1:9" x14ac:dyDescent="0.25">
      <c r="A1686" s="2" t="s">
        <v>3540</v>
      </c>
      <c r="B1686" s="2" t="s">
        <v>3541</v>
      </c>
      <c r="C1686" s="2" t="s">
        <v>28</v>
      </c>
      <c r="D1686" s="2" t="s">
        <v>1406</v>
      </c>
      <c r="E1686" s="2" t="s">
        <v>30</v>
      </c>
      <c r="F1686" s="9">
        <f t="shared" si="105"/>
        <v>4</v>
      </c>
      <c r="G1686" s="9">
        <f t="shared" si="106"/>
        <v>0</v>
      </c>
      <c r="H1686" s="9">
        <f t="shared" si="107"/>
        <v>0</v>
      </c>
      <c r="I1686" s="10">
        <f t="shared" si="108"/>
        <v>4</v>
      </c>
    </row>
    <row r="1687" spans="1:9" x14ac:dyDescent="0.25">
      <c r="A1687" s="2" t="s">
        <v>3542</v>
      </c>
      <c r="B1687" s="2" t="s">
        <v>3543</v>
      </c>
      <c r="C1687" s="2" t="s">
        <v>28</v>
      </c>
      <c r="D1687" s="2" t="s">
        <v>1406</v>
      </c>
      <c r="E1687" s="2" t="s">
        <v>30</v>
      </c>
      <c r="F1687" s="9">
        <f t="shared" si="105"/>
        <v>6</v>
      </c>
      <c r="G1687" s="9">
        <f t="shared" si="106"/>
        <v>0</v>
      </c>
      <c r="H1687" s="9">
        <f t="shared" si="107"/>
        <v>0</v>
      </c>
      <c r="I1687" s="10">
        <f t="shared" si="108"/>
        <v>6</v>
      </c>
    </row>
    <row r="1688" spans="1:9" x14ac:dyDescent="0.25">
      <c r="A1688" s="2" t="s">
        <v>3544</v>
      </c>
      <c r="B1688" s="2" t="s">
        <v>3545</v>
      </c>
      <c r="C1688" s="2" t="s">
        <v>28</v>
      </c>
      <c r="D1688" s="2" t="s">
        <v>1406</v>
      </c>
      <c r="E1688" s="2" t="s">
        <v>30</v>
      </c>
      <c r="F1688" s="9">
        <f t="shared" si="105"/>
        <v>10</v>
      </c>
      <c r="G1688" s="9">
        <f t="shared" si="106"/>
        <v>0</v>
      </c>
      <c r="H1688" s="9">
        <f t="shared" si="107"/>
        <v>0</v>
      </c>
      <c r="I1688" s="10">
        <f t="shared" si="108"/>
        <v>10</v>
      </c>
    </row>
    <row r="1689" spans="1:9" x14ac:dyDescent="0.25">
      <c r="A1689" s="2" t="s">
        <v>3546</v>
      </c>
      <c r="B1689" s="2" t="s">
        <v>3547</v>
      </c>
      <c r="C1689" s="2" t="s">
        <v>28</v>
      </c>
      <c r="D1689" s="2" t="s">
        <v>1406</v>
      </c>
      <c r="E1689" s="2" t="s">
        <v>30</v>
      </c>
      <c r="F1689" s="9">
        <f t="shared" si="105"/>
        <v>1</v>
      </c>
      <c r="G1689" s="9">
        <f t="shared" si="106"/>
        <v>0</v>
      </c>
      <c r="H1689" s="9">
        <f t="shared" si="107"/>
        <v>0</v>
      </c>
      <c r="I1689" s="10">
        <f t="shared" si="108"/>
        <v>1</v>
      </c>
    </row>
    <row r="1690" spans="1:9" x14ac:dyDescent="0.25">
      <c r="A1690" s="2" t="s">
        <v>3548</v>
      </c>
      <c r="B1690" s="2" t="s">
        <v>3549</v>
      </c>
      <c r="C1690" s="2" t="s">
        <v>3550</v>
      </c>
      <c r="D1690" s="2" t="s">
        <v>1406</v>
      </c>
      <c r="E1690" s="2" t="s">
        <v>30</v>
      </c>
      <c r="F1690" s="9">
        <f t="shared" si="105"/>
        <v>2</v>
      </c>
      <c r="G1690" s="9">
        <f t="shared" si="106"/>
        <v>0</v>
      </c>
      <c r="H1690" s="9">
        <f t="shared" si="107"/>
        <v>0</v>
      </c>
      <c r="I1690" s="10">
        <f t="shared" si="108"/>
        <v>2</v>
      </c>
    </row>
    <row r="1691" spans="1:9" x14ac:dyDescent="0.25">
      <c r="A1691" s="2" t="s">
        <v>3551</v>
      </c>
      <c r="B1691" s="2" t="s">
        <v>3552</v>
      </c>
      <c r="C1691" s="2" t="s">
        <v>3550</v>
      </c>
      <c r="D1691" s="2" t="s">
        <v>1406</v>
      </c>
      <c r="E1691" s="2" t="s">
        <v>30</v>
      </c>
      <c r="F1691" s="9">
        <f t="shared" si="105"/>
        <v>2</v>
      </c>
      <c r="G1691" s="9">
        <f t="shared" si="106"/>
        <v>0</v>
      </c>
      <c r="H1691" s="9">
        <f t="shared" si="107"/>
        <v>0</v>
      </c>
      <c r="I1691" s="10">
        <f t="shared" si="108"/>
        <v>2</v>
      </c>
    </row>
    <row r="1692" spans="1:9" x14ac:dyDescent="0.25">
      <c r="A1692" s="2" t="s">
        <v>3553</v>
      </c>
      <c r="B1692" s="2" t="s">
        <v>3554</v>
      </c>
      <c r="C1692" s="2" t="s">
        <v>3550</v>
      </c>
      <c r="D1692" s="2" t="s">
        <v>1406</v>
      </c>
      <c r="E1692" s="2" t="s">
        <v>82</v>
      </c>
      <c r="F1692" s="9">
        <f t="shared" si="105"/>
        <v>6</v>
      </c>
      <c r="G1692" s="9">
        <f t="shared" si="106"/>
        <v>0</v>
      </c>
      <c r="H1692" s="9">
        <f t="shared" si="107"/>
        <v>0</v>
      </c>
      <c r="I1692" s="10">
        <f t="shared" si="108"/>
        <v>6</v>
      </c>
    </row>
    <row r="1693" spans="1:9" x14ac:dyDescent="0.25">
      <c r="A1693" s="2" t="s">
        <v>3555</v>
      </c>
      <c r="B1693" s="2" t="s">
        <v>3556</v>
      </c>
      <c r="C1693" s="2" t="s">
        <v>3550</v>
      </c>
      <c r="D1693" s="2" t="s">
        <v>1406</v>
      </c>
      <c r="E1693" s="2" t="s">
        <v>30</v>
      </c>
      <c r="F1693" s="9">
        <f t="shared" si="105"/>
        <v>4</v>
      </c>
      <c r="G1693" s="9">
        <f t="shared" si="106"/>
        <v>0</v>
      </c>
      <c r="H1693" s="9">
        <f t="shared" si="107"/>
        <v>0</v>
      </c>
      <c r="I1693" s="10">
        <f t="shared" si="108"/>
        <v>4</v>
      </c>
    </row>
    <row r="1694" spans="1:9" x14ac:dyDescent="0.25">
      <c r="A1694" s="2" t="s">
        <v>3557</v>
      </c>
      <c r="B1694" s="2" t="s">
        <v>3558</v>
      </c>
      <c r="C1694" s="2" t="s">
        <v>3550</v>
      </c>
      <c r="D1694" s="2" t="s">
        <v>1406</v>
      </c>
      <c r="E1694" s="2" t="s">
        <v>30</v>
      </c>
      <c r="F1694" s="9">
        <f t="shared" si="105"/>
        <v>1</v>
      </c>
      <c r="G1694" s="9">
        <f t="shared" si="106"/>
        <v>0</v>
      </c>
      <c r="H1694" s="9">
        <f t="shared" si="107"/>
        <v>0</v>
      </c>
      <c r="I1694" s="10">
        <f t="shared" si="108"/>
        <v>1</v>
      </c>
    </row>
    <row r="1695" spans="1:9" x14ac:dyDescent="0.25">
      <c r="A1695" s="2" t="s">
        <v>3559</v>
      </c>
      <c r="B1695" s="2" t="s">
        <v>3560</v>
      </c>
      <c r="C1695" s="2" t="s">
        <v>3550</v>
      </c>
      <c r="D1695" s="2" t="s">
        <v>1406</v>
      </c>
      <c r="E1695" s="2" t="s">
        <v>3011</v>
      </c>
      <c r="F1695" s="9">
        <f t="shared" si="105"/>
        <v>0</v>
      </c>
      <c r="G1695" s="9">
        <f t="shared" si="106"/>
        <v>0</v>
      </c>
      <c r="H1695" s="9">
        <f t="shared" si="107"/>
        <v>0</v>
      </c>
      <c r="I1695" s="10">
        <f t="shared" si="108"/>
        <v>0</v>
      </c>
    </row>
    <row r="1696" spans="1:9" x14ac:dyDescent="0.25">
      <c r="A1696" s="2" t="s">
        <v>3561</v>
      </c>
      <c r="B1696" s="2" t="s">
        <v>3562</v>
      </c>
      <c r="C1696" s="2" t="s">
        <v>2488</v>
      </c>
      <c r="D1696" s="2" t="s">
        <v>1406</v>
      </c>
      <c r="E1696" s="2" t="s">
        <v>30</v>
      </c>
      <c r="F1696" s="9">
        <f t="shared" si="105"/>
        <v>43</v>
      </c>
      <c r="G1696" s="9">
        <f t="shared" si="106"/>
        <v>0</v>
      </c>
      <c r="H1696" s="9">
        <f t="shared" si="107"/>
        <v>0</v>
      </c>
      <c r="I1696" s="10">
        <f t="shared" si="108"/>
        <v>43</v>
      </c>
    </row>
    <row r="1697" spans="1:9" x14ac:dyDescent="0.25">
      <c r="A1697" s="2" t="s">
        <v>3563</v>
      </c>
      <c r="B1697" s="2" t="s">
        <v>3564</v>
      </c>
      <c r="C1697" s="2" t="s">
        <v>2488</v>
      </c>
      <c r="D1697" s="2" t="s">
        <v>1406</v>
      </c>
      <c r="E1697" s="2" t="s">
        <v>30</v>
      </c>
      <c r="F1697" s="9">
        <f t="shared" si="105"/>
        <v>2</v>
      </c>
      <c r="G1697" s="9">
        <f t="shared" si="106"/>
        <v>0</v>
      </c>
      <c r="H1697" s="9">
        <f t="shared" si="107"/>
        <v>0</v>
      </c>
      <c r="I1697" s="10">
        <f t="shared" si="108"/>
        <v>2</v>
      </c>
    </row>
    <row r="1698" spans="1:9" x14ac:dyDescent="0.25">
      <c r="A1698" s="2" t="s">
        <v>3565</v>
      </c>
      <c r="B1698" s="2" t="s">
        <v>3566</v>
      </c>
      <c r="C1698" s="2" t="s">
        <v>2488</v>
      </c>
      <c r="D1698" s="2" t="s">
        <v>1406</v>
      </c>
      <c r="E1698" s="2" t="s">
        <v>30</v>
      </c>
      <c r="F1698" s="9">
        <f t="shared" si="105"/>
        <v>6</v>
      </c>
      <c r="G1698" s="9">
        <f t="shared" si="106"/>
        <v>0</v>
      </c>
      <c r="H1698" s="9">
        <f t="shared" si="107"/>
        <v>0</v>
      </c>
      <c r="I1698" s="10">
        <f t="shared" si="108"/>
        <v>6</v>
      </c>
    </row>
    <row r="1699" spans="1:9" x14ac:dyDescent="0.25">
      <c r="A1699" s="2" t="s">
        <v>3567</v>
      </c>
      <c r="B1699" s="2" t="s">
        <v>3568</v>
      </c>
      <c r="C1699" s="2" t="s">
        <v>2488</v>
      </c>
      <c r="D1699" s="2" t="s">
        <v>1406</v>
      </c>
      <c r="E1699" s="2" t="s">
        <v>30</v>
      </c>
      <c r="F1699" s="9">
        <f t="shared" si="105"/>
        <v>6</v>
      </c>
      <c r="G1699" s="9">
        <f t="shared" si="106"/>
        <v>0</v>
      </c>
      <c r="H1699" s="9">
        <f t="shared" si="107"/>
        <v>0</v>
      </c>
      <c r="I1699" s="10">
        <f t="shared" si="108"/>
        <v>6</v>
      </c>
    </row>
    <row r="1700" spans="1:9" x14ac:dyDescent="0.25">
      <c r="A1700" s="2" t="s">
        <v>3569</v>
      </c>
      <c r="B1700" s="2" t="s">
        <v>3570</v>
      </c>
      <c r="C1700" s="2" t="s">
        <v>2488</v>
      </c>
      <c r="D1700" s="2" t="s">
        <v>1406</v>
      </c>
      <c r="E1700" s="2" t="s">
        <v>30</v>
      </c>
      <c r="F1700" s="9">
        <f t="shared" si="105"/>
        <v>6</v>
      </c>
      <c r="G1700" s="9">
        <f t="shared" si="106"/>
        <v>0</v>
      </c>
      <c r="H1700" s="9">
        <f t="shared" si="107"/>
        <v>0</v>
      </c>
      <c r="I1700" s="10">
        <f t="shared" si="108"/>
        <v>6</v>
      </c>
    </row>
    <row r="1701" spans="1:9" x14ac:dyDescent="0.25">
      <c r="A1701" s="2" t="s">
        <v>3571</v>
      </c>
      <c r="B1701" s="2" t="s">
        <v>3572</v>
      </c>
      <c r="C1701" s="2" t="s">
        <v>759</v>
      </c>
      <c r="D1701" s="2" t="s">
        <v>1406</v>
      </c>
      <c r="E1701" s="2" t="s">
        <v>82</v>
      </c>
      <c r="F1701" s="9">
        <f t="shared" si="105"/>
        <v>9</v>
      </c>
      <c r="G1701" s="9">
        <f t="shared" si="106"/>
        <v>0</v>
      </c>
      <c r="H1701" s="9">
        <f t="shared" si="107"/>
        <v>0</v>
      </c>
      <c r="I1701" s="10">
        <f t="shared" si="108"/>
        <v>9</v>
      </c>
    </row>
    <row r="1702" spans="1:9" x14ac:dyDescent="0.25">
      <c r="A1702" s="2" t="s">
        <v>3573</v>
      </c>
      <c r="B1702" s="2" t="s">
        <v>3574</v>
      </c>
      <c r="C1702" s="2" t="s">
        <v>759</v>
      </c>
      <c r="D1702" s="2" t="s">
        <v>1406</v>
      </c>
      <c r="E1702" s="2" t="s">
        <v>82</v>
      </c>
      <c r="F1702" s="9">
        <f t="shared" si="105"/>
        <v>36</v>
      </c>
      <c r="G1702" s="9">
        <f t="shared" si="106"/>
        <v>0</v>
      </c>
      <c r="H1702" s="9">
        <f t="shared" si="107"/>
        <v>0</v>
      </c>
      <c r="I1702" s="10">
        <f t="shared" si="108"/>
        <v>36</v>
      </c>
    </row>
    <row r="1703" spans="1:9" x14ac:dyDescent="0.25">
      <c r="A1703" s="2" t="s">
        <v>3575</v>
      </c>
      <c r="B1703" s="2" t="s">
        <v>3576</v>
      </c>
      <c r="C1703" s="2" t="s">
        <v>759</v>
      </c>
      <c r="D1703" s="2" t="s">
        <v>1406</v>
      </c>
      <c r="E1703" s="2" t="s">
        <v>82</v>
      </c>
      <c r="F1703" s="9">
        <f t="shared" si="105"/>
        <v>51</v>
      </c>
      <c r="G1703" s="9">
        <f t="shared" si="106"/>
        <v>0</v>
      </c>
      <c r="H1703" s="9">
        <f t="shared" si="107"/>
        <v>0</v>
      </c>
      <c r="I1703" s="10">
        <f t="shared" si="108"/>
        <v>51</v>
      </c>
    </row>
    <row r="1704" spans="1:9" x14ac:dyDescent="0.25">
      <c r="A1704" s="2" t="s">
        <v>3577</v>
      </c>
      <c r="B1704" s="2" t="s">
        <v>3578</v>
      </c>
      <c r="C1704" s="2" t="s">
        <v>784</v>
      </c>
      <c r="D1704" s="2" t="s">
        <v>1406</v>
      </c>
      <c r="E1704" s="2" t="s">
        <v>30</v>
      </c>
      <c r="F1704" s="9">
        <f t="shared" si="105"/>
        <v>4</v>
      </c>
      <c r="G1704" s="9">
        <f t="shared" si="106"/>
        <v>0</v>
      </c>
      <c r="H1704" s="9">
        <f t="shared" si="107"/>
        <v>0</v>
      </c>
      <c r="I1704" s="10">
        <f t="shared" si="108"/>
        <v>4</v>
      </c>
    </row>
    <row r="1705" spans="1:9" x14ac:dyDescent="0.25">
      <c r="A1705" s="2" t="s">
        <v>3579</v>
      </c>
      <c r="B1705" s="2" t="s">
        <v>3580</v>
      </c>
      <c r="C1705" s="2" t="s">
        <v>784</v>
      </c>
      <c r="D1705" s="2" t="s">
        <v>1406</v>
      </c>
      <c r="E1705" s="2" t="s">
        <v>30</v>
      </c>
      <c r="F1705" s="9">
        <f t="shared" si="105"/>
        <v>7</v>
      </c>
      <c r="G1705" s="9">
        <f t="shared" si="106"/>
        <v>0</v>
      </c>
      <c r="H1705" s="9">
        <f t="shared" si="107"/>
        <v>0</v>
      </c>
      <c r="I1705" s="10">
        <f t="shared" si="108"/>
        <v>7</v>
      </c>
    </row>
    <row r="1706" spans="1:9" x14ac:dyDescent="0.25">
      <c r="A1706" s="2" t="s">
        <v>3581</v>
      </c>
      <c r="B1706" s="2" t="s">
        <v>3582</v>
      </c>
      <c r="C1706" s="2" t="s">
        <v>784</v>
      </c>
      <c r="D1706" s="2" t="s">
        <v>1406</v>
      </c>
      <c r="E1706" s="2" t="s">
        <v>30</v>
      </c>
      <c r="F1706" s="9">
        <f t="shared" si="105"/>
        <v>7</v>
      </c>
      <c r="G1706" s="9">
        <f t="shared" si="106"/>
        <v>0</v>
      </c>
      <c r="H1706" s="9">
        <f t="shared" si="107"/>
        <v>0</v>
      </c>
      <c r="I1706" s="10">
        <f t="shared" si="108"/>
        <v>7</v>
      </c>
    </row>
    <row r="1707" spans="1:9" x14ac:dyDescent="0.25">
      <c r="A1707" s="2" t="s">
        <v>3583</v>
      </c>
      <c r="B1707" s="2" t="s">
        <v>3584</v>
      </c>
      <c r="C1707" s="2" t="s">
        <v>784</v>
      </c>
      <c r="D1707" s="2" t="s">
        <v>1406</v>
      </c>
      <c r="E1707" s="2" t="s">
        <v>30</v>
      </c>
      <c r="F1707" s="9">
        <f t="shared" si="105"/>
        <v>2</v>
      </c>
      <c r="G1707" s="9">
        <f t="shared" si="106"/>
        <v>0</v>
      </c>
      <c r="H1707" s="9">
        <f t="shared" si="107"/>
        <v>0</v>
      </c>
      <c r="I1707" s="10">
        <f t="shared" si="108"/>
        <v>2</v>
      </c>
    </row>
    <row r="1708" spans="1:9" x14ac:dyDescent="0.25">
      <c r="A1708" s="2" t="s">
        <v>3585</v>
      </c>
      <c r="B1708" s="2" t="s">
        <v>3586</v>
      </c>
      <c r="C1708" s="2" t="s">
        <v>784</v>
      </c>
      <c r="D1708" s="2" t="s">
        <v>1406</v>
      </c>
      <c r="E1708" s="2" t="s">
        <v>30</v>
      </c>
      <c r="F1708" s="9">
        <f t="shared" si="105"/>
        <v>3</v>
      </c>
      <c r="G1708" s="9">
        <f t="shared" si="106"/>
        <v>0</v>
      </c>
      <c r="H1708" s="9">
        <f t="shared" si="107"/>
        <v>0</v>
      </c>
      <c r="I1708" s="10">
        <f t="shared" si="108"/>
        <v>3</v>
      </c>
    </row>
    <row r="1709" spans="1:9" x14ac:dyDescent="0.25">
      <c r="A1709" s="2" t="s">
        <v>3587</v>
      </c>
      <c r="B1709" s="2" t="s">
        <v>3588</v>
      </c>
      <c r="C1709" s="2" t="s">
        <v>784</v>
      </c>
      <c r="D1709" s="2" t="s">
        <v>1406</v>
      </c>
      <c r="E1709" s="2" t="s">
        <v>30</v>
      </c>
      <c r="F1709" s="9">
        <f t="shared" si="105"/>
        <v>2</v>
      </c>
      <c r="G1709" s="9">
        <f t="shared" si="106"/>
        <v>0</v>
      </c>
      <c r="H1709" s="9">
        <f t="shared" si="107"/>
        <v>0</v>
      </c>
      <c r="I1709" s="10">
        <f t="shared" si="108"/>
        <v>2</v>
      </c>
    </row>
    <row r="1710" spans="1:9" x14ac:dyDescent="0.25">
      <c r="A1710" s="2" t="s">
        <v>3589</v>
      </c>
      <c r="B1710" s="2" t="s">
        <v>3590</v>
      </c>
      <c r="C1710" s="2" t="s">
        <v>784</v>
      </c>
      <c r="D1710" s="2" t="s">
        <v>1406</v>
      </c>
      <c r="E1710" s="2" t="s">
        <v>30</v>
      </c>
      <c r="F1710" s="9">
        <f t="shared" si="105"/>
        <v>4</v>
      </c>
      <c r="G1710" s="9">
        <f t="shared" si="106"/>
        <v>0</v>
      </c>
      <c r="H1710" s="9">
        <f t="shared" si="107"/>
        <v>0</v>
      </c>
      <c r="I1710" s="10">
        <f t="shared" si="108"/>
        <v>4</v>
      </c>
    </row>
    <row r="1711" spans="1:9" x14ac:dyDescent="0.25">
      <c r="A1711" s="2" t="s">
        <v>3591</v>
      </c>
      <c r="B1711" s="2" t="s">
        <v>3592</v>
      </c>
      <c r="C1711" s="2" t="s">
        <v>791</v>
      </c>
      <c r="D1711" s="2" t="s">
        <v>1406</v>
      </c>
      <c r="E1711" s="2" t="s">
        <v>30</v>
      </c>
      <c r="F1711" s="9">
        <f t="shared" si="105"/>
        <v>1</v>
      </c>
      <c r="G1711" s="9">
        <f t="shared" si="106"/>
        <v>0</v>
      </c>
      <c r="H1711" s="9">
        <f t="shared" si="107"/>
        <v>0</v>
      </c>
      <c r="I1711" s="10">
        <f t="shared" si="108"/>
        <v>1</v>
      </c>
    </row>
    <row r="1712" spans="1:9" x14ac:dyDescent="0.25">
      <c r="A1712" s="2" t="s">
        <v>3593</v>
      </c>
      <c r="B1712" s="2" t="s">
        <v>3594</v>
      </c>
      <c r="C1712" s="2" t="s">
        <v>791</v>
      </c>
      <c r="D1712" s="2" t="s">
        <v>1406</v>
      </c>
      <c r="E1712" s="2" t="s">
        <v>30</v>
      </c>
      <c r="F1712" s="9">
        <f t="shared" si="105"/>
        <v>30</v>
      </c>
      <c r="G1712" s="9">
        <f t="shared" si="106"/>
        <v>0</v>
      </c>
      <c r="H1712" s="9">
        <f t="shared" si="107"/>
        <v>0</v>
      </c>
      <c r="I1712" s="10">
        <f t="shared" si="108"/>
        <v>30</v>
      </c>
    </row>
    <row r="1713" spans="1:9" x14ac:dyDescent="0.25">
      <c r="A1713" s="2" t="s">
        <v>3595</v>
      </c>
      <c r="B1713" s="2" t="s">
        <v>3596</v>
      </c>
      <c r="C1713" s="2" t="s">
        <v>791</v>
      </c>
      <c r="D1713" s="2" t="s">
        <v>1406</v>
      </c>
      <c r="E1713" s="2" t="s">
        <v>30</v>
      </c>
      <c r="F1713" s="9">
        <f t="shared" si="105"/>
        <v>12</v>
      </c>
      <c r="G1713" s="9">
        <f t="shared" si="106"/>
        <v>0</v>
      </c>
      <c r="H1713" s="9">
        <f t="shared" si="107"/>
        <v>0</v>
      </c>
      <c r="I1713" s="10">
        <f t="shared" si="108"/>
        <v>12</v>
      </c>
    </row>
    <row r="1714" spans="1:9" x14ac:dyDescent="0.25">
      <c r="A1714" s="2" t="s">
        <v>3597</v>
      </c>
      <c r="B1714" s="2" t="s">
        <v>842</v>
      </c>
      <c r="C1714" s="2" t="s">
        <v>791</v>
      </c>
      <c r="D1714" s="2" t="s">
        <v>1406</v>
      </c>
      <c r="E1714" s="2" t="s">
        <v>30</v>
      </c>
      <c r="F1714" s="9">
        <f t="shared" si="105"/>
        <v>0</v>
      </c>
      <c r="G1714" s="9">
        <f t="shared" si="106"/>
        <v>0</v>
      </c>
      <c r="H1714" s="9">
        <f t="shared" si="107"/>
        <v>0</v>
      </c>
      <c r="I1714" s="10">
        <f t="shared" si="108"/>
        <v>0</v>
      </c>
    </row>
    <row r="1715" spans="1:9" x14ac:dyDescent="0.25">
      <c r="A1715" s="2" t="s">
        <v>3598</v>
      </c>
      <c r="B1715" s="2" t="s">
        <v>3599</v>
      </c>
      <c r="C1715" s="2" t="s">
        <v>791</v>
      </c>
      <c r="D1715" s="2" t="s">
        <v>1406</v>
      </c>
      <c r="E1715" s="2" t="s">
        <v>30</v>
      </c>
      <c r="F1715" s="9">
        <f t="shared" si="105"/>
        <v>4</v>
      </c>
      <c r="G1715" s="9">
        <f t="shared" si="106"/>
        <v>0</v>
      </c>
      <c r="H1715" s="9">
        <f t="shared" si="107"/>
        <v>0</v>
      </c>
      <c r="I1715" s="10">
        <f t="shared" si="108"/>
        <v>4</v>
      </c>
    </row>
    <row r="1716" spans="1:9" x14ac:dyDescent="0.25">
      <c r="A1716" s="2" t="s">
        <v>3600</v>
      </c>
      <c r="B1716" s="2" t="s">
        <v>3601</v>
      </c>
      <c r="C1716" s="2" t="s">
        <v>791</v>
      </c>
      <c r="D1716" s="2" t="s">
        <v>1406</v>
      </c>
      <c r="E1716" s="2" t="s">
        <v>30</v>
      </c>
      <c r="F1716" s="9">
        <f t="shared" si="105"/>
        <v>191</v>
      </c>
      <c r="G1716" s="9">
        <f t="shared" si="106"/>
        <v>0</v>
      </c>
      <c r="H1716" s="9">
        <f t="shared" si="107"/>
        <v>0</v>
      </c>
      <c r="I1716" s="10">
        <f t="shared" si="108"/>
        <v>191</v>
      </c>
    </row>
    <row r="1717" spans="1:9" x14ac:dyDescent="0.25">
      <c r="A1717" s="2" t="s">
        <v>3602</v>
      </c>
      <c r="B1717" s="2" t="s">
        <v>3603</v>
      </c>
      <c r="C1717" s="2" t="s">
        <v>791</v>
      </c>
      <c r="D1717" s="2" t="s">
        <v>1406</v>
      </c>
      <c r="E1717" s="2" t="s">
        <v>30</v>
      </c>
      <c r="F1717" s="9">
        <f t="shared" si="105"/>
        <v>6</v>
      </c>
      <c r="G1717" s="9">
        <f t="shared" si="106"/>
        <v>0</v>
      </c>
      <c r="H1717" s="9">
        <f t="shared" si="107"/>
        <v>0</v>
      </c>
      <c r="I1717" s="10">
        <f t="shared" si="108"/>
        <v>6</v>
      </c>
    </row>
    <row r="1718" spans="1:9" x14ac:dyDescent="0.25">
      <c r="A1718" s="2" t="s">
        <v>3604</v>
      </c>
      <c r="B1718" s="2" t="s">
        <v>3605</v>
      </c>
      <c r="C1718" s="2" t="s">
        <v>791</v>
      </c>
      <c r="D1718" s="2" t="s">
        <v>1406</v>
      </c>
      <c r="E1718" s="2" t="s">
        <v>30</v>
      </c>
      <c r="F1718" s="9">
        <f t="shared" si="105"/>
        <v>10</v>
      </c>
      <c r="G1718" s="9">
        <f t="shared" si="106"/>
        <v>0</v>
      </c>
      <c r="H1718" s="9">
        <f t="shared" si="107"/>
        <v>0</v>
      </c>
      <c r="I1718" s="10">
        <f t="shared" si="108"/>
        <v>10</v>
      </c>
    </row>
    <row r="1719" spans="1:9" x14ac:dyDescent="0.25">
      <c r="A1719" s="2" t="s">
        <v>3606</v>
      </c>
      <c r="B1719" s="2" t="s">
        <v>3607</v>
      </c>
      <c r="C1719" s="2" t="s">
        <v>791</v>
      </c>
      <c r="D1719" s="2" t="s">
        <v>1406</v>
      </c>
      <c r="E1719" s="2" t="s">
        <v>30</v>
      </c>
      <c r="F1719" s="9">
        <f t="shared" si="105"/>
        <v>87</v>
      </c>
      <c r="G1719" s="9">
        <f t="shared" si="106"/>
        <v>0</v>
      </c>
      <c r="H1719" s="9">
        <f t="shared" si="107"/>
        <v>0</v>
      </c>
      <c r="I1719" s="10">
        <f t="shared" si="108"/>
        <v>87</v>
      </c>
    </row>
    <row r="1720" spans="1:9" x14ac:dyDescent="0.25">
      <c r="A1720" s="2" t="s">
        <v>3608</v>
      </c>
      <c r="B1720" s="2" t="s">
        <v>3609</v>
      </c>
      <c r="C1720" s="2" t="s">
        <v>791</v>
      </c>
      <c r="D1720" s="2" t="s">
        <v>1406</v>
      </c>
      <c r="E1720" s="2" t="s">
        <v>30</v>
      </c>
      <c r="F1720" s="9">
        <f t="shared" ref="F1720:F1783" si="109">IFERROR(VLOOKUP(A1720,condi,8,0),0)</f>
        <v>40</v>
      </c>
      <c r="G1720" s="9">
        <f t="shared" ref="G1720:G1783" si="110">IFERROR(VLOOKUP(A1720,maqui,8,0),0)</f>
        <v>0</v>
      </c>
      <c r="H1720" s="9">
        <f t="shared" ref="H1720:H1783" si="111">IFERROR(VLOOKUP(A1720,ascint,8,0),0)</f>
        <v>0</v>
      </c>
      <c r="I1720" s="10">
        <f t="shared" si="108"/>
        <v>40</v>
      </c>
    </row>
    <row r="1721" spans="1:9" x14ac:dyDescent="0.25">
      <c r="A1721" s="2" t="s">
        <v>3610</v>
      </c>
      <c r="B1721" s="2" t="s">
        <v>3611</v>
      </c>
      <c r="C1721" s="2" t="s">
        <v>791</v>
      </c>
      <c r="D1721" s="2" t="s">
        <v>1406</v>
      </c>
      <c r="E1721" s="2" t="s">
        <v>30</v>
      </c>
      <c r="F1721" s="9">
        <f t="shared" si="109"/>
        <v>25</v>
      </c>
      <c r="G1721" s="9">
        <f t="shared" si="110"/>
        <v>0</v>
      </c>
      <c r="H1721" s="9">
        <f t="shared" si="111"/>
        <v>0</v>
      </c>
      <c r="I1721" s="10">
        <f t="shared" si="108"/>
        <v>25</v>
      </c>
    </row>
    <row r="1722" spans="1:9" x14ac:dyDescent="0.25">
      <c r="A1722" s="2" t="s">
        <v>3612</v>
      </c>
      <c r="B1722" s="2" t="s">
        <v>3613</v>
      </c>
      <c r="C1722" s="2" t="s">
        <v>791</v>
      </c>
      <c r="D1722" s="2" t="s">
        <v>1406</v>
      </c>
      <c r="E1722" s="2" t="s">
        <v>30</v>
      </c>
      <c r="F1722" s="9">
        <f t="shared" si="109"/>
        <v>2</v>
      </c>
      <c r="G1722" s="9">
        <f t="shared" si="110"/>
        <v>0</v>
      </c>
      <c r="H1722" s="9">
        <f t="shared" si="111"/>
        <v>0</v>
      </c>
      <c r="I1722" s="10">
        <f t="shared" si="108"/>
        <v>2</v>
      </c>
    </row>
    <row r="1723" spans="1:9" x14ac:dyDescent="0.25">
      <c r="A1723" s="2" t="s">
        <v>3614</v>
      </c>
      <c r="B1723" s="2" t="s">
        <v>3615</v>
      </c>
      <c r="C1723" s="2" t="s">
        <v>791</v>
      </c>
      <c r="D1723" s="2" t="s">
        <v>1406</v>
      </c>
      <c r="E1723" s="2" t="s">
        <v>30</v>
      </c>
      <c r="F1723" s="9">
        <f t="shared" si="109"/>
        <v>6</v>
      </c>
      <c r="G1723" s="9">
        <f t="shared" si="110"/>
        <v>0</v>
      </c>
      <c r="H1723" s="9">
        <f t="shared" si="111"/>
        <v>0</v>
      </c>
      <c r="I1723" s="10">
        <f t="shared" si="108"/>
        <v>6</v>
      </c>
    </row>
    <row r="1724" spans="1:9" x14ac:dyDescent="0.25">
      <c r="A1724" s="2" t="s">
        <v>3616</v>
      </c>
      <c r="B1724" s="2" t="s">
        <v>3617</v>
      </c>
      <c r="C1724" s="2" t="s">
        <v>791</v>
      </c>
      <c r="D1724" s="2" t="s">
        <v>1406</v>
      </c>
      <c r="E1724" s="2" t="s">
        <v>30</v>
      </c>
      <c r="F1724" s="9">
        <f t="shared" si="109"/>
        <v>41</v>
      </c>
      <c r="G1724" s="9">
        <f t="shared" si="110"/>
        <v>0</v>
      </c>
      <c r="H1724" s="9">
        <f t="shared" si="111"/>
        <v>0</v>
      </c>
      <c r="I1724" s="10">
        <f t="shared" si="108"/>
        <v>41</v>
      </c>
    </row>
    <row r="1725" spans="1:9" x14ac:dyDescent="0.25">
      <c r="A1725" s="2" t="s">
        <v>3618</v>
      </c>
      <c r="B1725" s="2" t="s">
        <v>3619</v>
      </c>
      <c r="C1725" s="2" t="s">
        <v>791</v>
      </c>
      <c r="D1725" s="2" t="s">
        <v>1406</v>
      </c>
      <c r="E1725" s="2" t="s">
        <v>30</v>
      </c>
      <c r="F1725" s="9">
        <f t="shared" si="109"/>
        <v>12</v>
      </c>
      <c r="G1725" s="9">
        <f t="shared" si="110"/>
        <v>0</v>
      </c>
      <c r="H1725" s="9">
        <f t="shared" si="111"/>
        <v>0</v>
      </c>
      <c r="I1725" s="10">
        <f t="shared" si="108"/>
        <v>12</v>
      </c>
    </row>
    <row r="1726" spans="1:9" x14ac:dyDescent="0.25">
      <c r="A1726" s="2" t="s">
        <v>3620</v>
      </c>
      <c r="B1726" s="2" t="s">
        <v>3621</v>
      </c>
      <c r="C1726" s="2" t="s">
        <v>791</v>
      </c>
      <c r="D1726" s="2" t="s">
        <v>1406</v>
      </c>
      <c r="E1726" s="2" t="s">
        <v>30</v>
      </c>
      <c r="F1726" s="9">
        <f t="shared" si="109"/>
        <v>10</v>
      </c>
      <c r="G1726" s="9">
        <f t="shared" si="110"/>
        <v>0</v>
      </c>
      <c r="H1726" s="9">
        <f t="shared" si="111"/>
        <v>0</v>
      </c>
      <c r="I1726" s="10">
        <f t="shared" ref="I1726:I1789" si="112">+F1726+G1726+H1726</f>
        <v>10</v>
      </c>
    </row>
    <row r="1727" spans="1:9" x14ac:dyDescent="0.25">
      <c r="A1727" s="2" t="s">
        <v>3622</v>
      </c>
      <c r="B1727" s="2" t="s">
        <v>3623</v>
      </c>
      <c r="C1727" s="2" t="s">
        <v>791</v>
      </c>
      <c r="D1727" s="2" t="s">
        <v>1406</v>
      </c>
      <c r="E1727" s="2" t="s">
        <v>30</v>
      </c>
      <c r="F1727" s="9">
        <f t="shared" si="109"/>
        <v>25</v>
      </c>
      <c r="G1727" s="9">
        <f t="shared" si="110"/>
        <v>0</v>
      </c>
      <c r="H1727" s="9">
        <f t="shared" si="111"/>
        <v>0</v>
      </c>
      <c r="I1727" s="10">
        <f t="shared" si="112"/>
        <v>25</v>
      </c>
    </row>
    <row r="1728" spans="1:9" x14ac:dyDescent="0.25">
      <c r="A1728" s="2" t="s">
        <v>3624</v>
      </c>
      <c r="B1728" s="2" t="s">
        <v>3625</v>
      </c>
      <c r="C1728" s="2" t="s">
        <v>791</v>
      </c>
      <c r="D1728" s="2" t="s">
        <v>1406</v>
      </c>
      <c r="E1728" s="2" t="s">
        <v>30</v>
      </c>
      <c r="F1728" s="9">
        <f t="shared" si="109"/>
        <v>14</v>
      </c>
      <c r="G1728" s="9">
        <f t="shared" si="110"/>
        <v>0</v>
      </c>
      <c r="H1728" s="9">
        <f t="shared" si="111"/>
        <v>0</v>
      </c>
      <c r="I1728" s="10">
        <f t="shared" si="112"/>
        <v>14</v>
      </c>
    </row>
    <row r="1729" spans="1:9" x14ac:dyDescent="0.25">
      <c r="A1729" s="2" t="s">
        <v>3626</v>
      </c>
      <c r="B1729" s="2" t="s">
        <v>3627</v>
      </c>
      <c r="C1729" s="2" t="s">
        <v>791</v>
      </c>
      <c r="D1729" s="2" t="s">
        <v>1406</v>
      </c>
      <c r="E1729" s="2" t="s">
        <v>30</v>
      </c>
      <c r="F1729" s="9">
        <f t="shared" si="109"/>
        <v>3</v>
      </c>
      <c r="G1729" s="9">
        <f t="shared" si="110"/>
        <v>0</v>
      </c>
      <c r="H1729" s="9">
        <f t="shared" si="111"/>
        <v>0</v>
      </c>
      <c r="I1729" s="10">
        <f t="shared" si="112"/>
        <v>3</v>
      </c>
    </row>
    <row r="1730" spans="1:9" x14ac:dyDescent="0.25">
      <c r="A1730" s="2" t="s">
        <v>3628</v>
      </c>
      <c r="B1730" s="2" t="s">
        <v>3629</v>
      </c>
      <c r="C1730" s="2" t="s">
        <v>791</v>
      </c>
      <c r="D1730" s="2" t="s">
        <v>1406</v>
      </c>
      <c r="E1730" s="2" t="s">
        <v>30</v>
      </c>
      <c r="F1730" s="9">
        <f t="shared" si="109"/>
        <v>13</v>
      </c>
      <c r="G1730" s="9">
        <f t="shared" si="110"/>
        <v>0</v>
      </c>
      <c r="H1730" s="9">
        <f t="shared" si="111"/>
        <v>0</v>
      </c>
      <c r="I1730" s="10">
        <f t="shared" si="112"/>
        <v>13</v>
      </c>
    </row>
    <row r="1731" spans="1:9" x14ac:dyDescent="0.25">
      <c r="A1731" s="2" t="s">
        <v>3630</v>
      </c>
      <c r="B1731" s="2" t="s">
        <v>3631</v>
      </c>
      <c r="C1731" s="2" t="s">
        <v>791</v>
      </c>
      <c r="D1731" s="2" t="s">
        <v>1406</v>
      </c>
      <c r="E1731" s="2" t="s">
        <v>30</v>
      </c>
      <c r="F1731" s="9">
        <f t="shared" si="109"/>
        <v>1</v>
      </c>
      <c r="G1731" s="9">
        <f t="shared" si="110"/>
        <v>0</v>
      </c>
      <c r="H1731" s="9">
        <f t="shared" si="111"/>
        <v>0</v>
      </c>
      <c r="I1731" s="10">
        <f t="shared" si="112"/>
        <v>1</v>
      </c>
    </row>
    <row r="1732" spans="1:9" x14ac:dyDescent="0.25">
      <c r="A1732" s="2" t="s">
        <v>3632</v>
      </c>
      <c r="B1732" s="2" t="s">
        <v>3633</v>
      </c>
      <c r="C1732" s="2" t="s">
        <v>791</v>
      </c>
      <c r="D1732" s="2" t="s">
        <v>1406</v>
      </c>
      <c r="E1732" s="2" t="s">
        <v>30</v>
      </c>
      <c r="F1732" s="9">
        <f t="shared" si="109"/>
        <v>12</v>
      </c>
      <c r="G1732" s="9">
        <f t="shared" si="110"/>
        <v>0</v>
      </c>
      <c r="H1732" s="9">
        <f t="shared" si="111"/>
        <v>0</v>
      </c>
      <c r="I1732" s="10">
        <f t="shared" si="112"/>
        <v>12</v>
      </c>
    </row>
    <row r="1733" spans="1:9" x14ac:dyDescent="0.25">
      <c r="A1733" s="2" t="s">
        <v>3634</v>
      </c>
      <c r="B1733" s="2" t="s">
        <v>3635</v>
      </c>
      <c r="C1733" s="2" t="s">
        <v>791</v>
      </c>
      <c r="D1733" s="2" t="s">
        <v>1406</v>
      </c>
      <c r="E1733" s="2" t="s">
        <v>30</v>
      </c>
      <c r="F1733" s="9">
        <f t="shared" si="109"/>
        <v>49</v>
      </c>
      <c r="G1733" s="9">
        <f t="shared" si="110"/>
        <v>0</v>
      </c>
      <c r="H1733" s="9">
        <f t="shared" si="111"/>
        <v>0</v>
      </c>
      <c r="I1733" s="10">
        <f t="shared" si="112"/>
        <v>49</v>
      </c>
    </row>
    <row r="1734" spans="1:9" x14ac:dyDescent="0.25">
      <c r="A1734" s="2" t="s">
        <v>3636</v>
      </c>
      <c r="B1734" s="2" t="s">
        <v>3637</v>
      </c>
      <c r="C1734" s="2" t="s">
        <v>791</v>
      </c>
      <c r="D1734" s="2" t="s">
        <v>1406</v>
      </c>
      <c r="E1734" s="2" t="s">
        <v>30</v>
      </c>
      <c r="F1734" s="9">
        <f t="shared" si="109"/>
        <v>16</v>
      </c>
      <c r="G1734" s="9">
        <f t="shared" si="110"/>
        <v>0</v>
      </c>
      <c r="H1734" s="9">
        <f t="shared" si="111"/>
        <v>0</v>
      </c>
      <c r="I1734" s="10">
        <f t="shared" si="112"/>
        <v>16</v>
      </c>
    </row>
    <row r="1735" spans="1:9" x14ac:dyDescent="0.25">
      <c r="A1735" s="2" t="s">
        <v>3638</v>
      </c>
      <c r="B1735" s="2" t="s">
        <v>3639</v>
      </c>
      <c r="C1735" s="2" t="s">
        <v>791</v>
      </c>
      <c r="D1735" s="2" t="s">
        <v>1406</v>
      </c>
      <c r="E1735" s="2" t="s">
        <v>30</v>
      </c>
      <c r="F1735" s="9">
        <f t="shared" si="109"/>
        <v>27</v>
      </c>
      <c r="G1735" s="9">
        <f t="shared" si="110"/>
        <v>0</v>
      </c>
      <c r="H1735" s="9">
        <f t="shared" si="111"/>
        <v>0</v>
      </c>
      <c r="I1735" s="10">
        <f t="shared" si="112"/>
        <v>27</v>
      </c>
    </row>
    <row r="1736" spans="1:9" x14ac:dyDescent="0.25">
      <c r="A1736" s="2" t="s">
        <v>3640</v>
      </c>
      <c r="B1736" s="2" t="s">
        <v>3641</v>
      </c>
      <c r="C1736" s="2" t="s">
        <v>791</v>
      </c>
      <c r="D1736" s="2" t="s">
        <v>1406</v>
      </c>
      <c r="E1736" s="2" t="s">
        <v>30</v>
      </c>
      <c r="F1736" s="9">
        <f t="shared" si="109"/>
        <v>90</v>
      </c>
      <c r="G1736" s="9">
        <f t="shared" si="110"/>
        <v>0</v>
      </c>
      <c r="H1736" s="9">
        <f t="shared" si="111"/>
        <v>0</v>
      </c>
      <c r="I1736" s="10">
        <f t="shared" si="112"/>
        <v>90</v>
      </c>
    </row>
    <row r="1737" spans="1:9" x14ac:dyDescent="0.25">
      <c r="A1737" s="2" t="s">
        <v>3642</v>
      </c>
      <c r="B1737" s="2" t="s">
        <v>3643</v>
      </c>
      <c r="C1737" s="2" t="s">
        <v>791</v>
      </c>
      <c r="D1737" s="2" t="s">
        <v>1406</v>
      </c>
      <c r="E1737" s="2" t="s">
        <v>30</v>
      </c>
      <c r="F1737" s="9">
        <f t="shared" si="109"/>
        <v>4</v>
      </c>
      <c r="G1737" s="9">
        <f t="shared" si="110"/>
        <v>0</v>
      </c>
      <c r="H1737" s="9">
        <f t="shared" si="111"/>
        <v>0</v>
      </c>
      <c r="I1737" s="10">
        <f t="shared" si="112"/>
        <v>4</v>
      </c>
    </row>
    <row r="1738" spans="1:9" x14ac:dyDescent="0.25">
      <c r="A1738" s="2" t="s">
        <v>3644</v>
      </c>
      <c r="B1738" s="2" t="s">
        <v>3645</v>
      </c>
      <c r="C1738" s="2" t="s">
        <v>791</v>
      </c>
      <c r="D1738" s="2" t="s">
        <v>1406</v>
      </c>
      <c r="E1738" s="2" t="s">
        <v>30</v>
      </c>
      <c r="F1738" s="9">
        <f t="shared" si="109"/>
        <v>47</v>
      </c>
      <c r="G1738" s="9">
        <f t="shared" si="110"/>
        <v>0</v>
      </c>
      <c r="H1738" s="9">
        <f t="shared" si="111"/>
        <v>0</v>
      </c>
      <c r="I1738" s="10">
        <f t="shared" si="112"/>
        <v>47</v>
      </c>
    </row>
    <row r="1739" spans="1:9" x14ac:dyDescent="0.25">
      <c r="A1739" s="2" t="s">
        <v>3646</v>
      </c>
      <c r="B1739" s="2" t="s">
        <v>3647</v>
      </c>
      <c r="C1739" s="2" t="s">
        <v>791</v>
      </c>
      <c r="D1739" s="2" t="s">
        <v>1406</v>
      </c>
      <c r="E1739" s="2" t="s">
        <v>30</v>
      </c>
      <c r="F1739" s="9">
        <f t="shared" si="109"/>
        <v>2</v>
      </c>
      <c r="G1739" s="9">
        <f t="shared" si="110"/>
        <v>0</v>
      </c>
      <c r="H1739" s="9">
        <f t="shared" si="111"/>
        <v>0</v>
      </c>
      <c r="I1739" s="10">
        <f t="shared" si="112"/>
        <v>2</v>
      </c>
    </row>
    <row r="1740" spans="1:9" x14ac:dyDescent="0.25">
      <c r="A1740" s="2" t="s">
        <v>3648</v>
      </c>
      <c r="B1740" s="2" t="s">
        <v>3649</v>
      </c>
      <c r="C1740" s="2" t="s">
        <v>791</v>
      </c>
      <c r="D1740" s="2" t="s">
        <v>1406</v>
      </c>
      <c r="E1740" s="2" t="s">
        <v>30</v>
      </c>
      <c r="F1740" s="9">
        <f t="shared" si="109"/>
        <v>71</v>
      </c>
      <c r="G1740" s="9">
        <f t="shared" si="110"/>
        <v>0</v>
      </c>
      <c r="H1740" s="9">
        <f t="shared" si="111"/>
        <v>0</v>
      </c>
      <c r="I1740" s="10">
        <f t="shared" si="112"/>
        <v>71</v>
      </c>
    </row>
    <row r="1741" spans="1:9" x14ac:dyDescent="0.25">
      <c r="A1741" s="2" t="s">
        <v>3650</v>
      </c>
      <c r="B1741" s="2" t="s">
        <v>3651</v>
      </c>
      <c r="C1741" s="2" t="s">
        <v>791</v>
      </c>
      <c r="D1741" s="2" t="s">
        <v>1406</v>
      </c>
      <c r="E1741" s="2" t="s">
        <v>30</v>
      </c>
      <c r="F1741" s="9">
        <f t="shared" si="109"/>
        <v>20</v>
      </c>
      <c r="G1741" s="9">
        <f t="shared" si="110"/>
        <v>0</v>
      </c>
      <c r="H1741" s="9">
        <f t="shared" si="111"/>
        <v>0</v>
      </c>
      <c r="I1741" s="10">
        <f t="shared" si="112"/>
        <v>20</v>
      </c>
    </row>
    <row r="1742" spans="1:9" x14ac:dyDescent="0.25">
      <c r="A1742" s="2" t="s">
        <v>3652</v>
      </c>
      <c r="B1742" s="2" t="s">
        <v>3653</v>
      </c>
      <c r="C1742" s="2" t="s">
        <v>791</v>
      </c>
      <c r="D1742" s="2" t="s">
        <v>1406</v>
      </c>
      <c r="E1742" s="2" t="s">
        <v>30</v>
      </c>
      <c r="F1742" s="9">
        <f t="shared" si="109"/>
        <v>33</v>
      </c>
      <c r="G1742" s="9">
        <f t="shared" si="110"/>
        <v>0</v>
      </c>
      <c r="H1742" s="9">
        <f t="shared" si="111"/>
        <v>0</v>
      </c>
      <c r="I1742" s="10">
        <f t="shared" si="112"/>
        <v>33</v>
      </c>
    </row>
    <row r="1743" spans="1:9" x14ac:dyDescent="0.25">
      <c r="A1743" s="2" t="s">
        <v>3654</v>
      </c>
      <c r="B1743" s="2" t="s">
        <v>3655</v>
      </c>
      <c r="C1743" s="2" t="s">
        <v>791</v>
      </c>
      <c r="D1743" s="2" t="s">
        <v>1406</v>
      </c>
      <c r="E1743" s="2" t="s">
        <v>30</v>
      </c>
      <c r="F1743" s="9">
        <f t="shared" si="109"/>
        <v>5</v>
      </c>
      <c r="G1743" s="9">
        <f t="shared" si="110"/>
        <v>0</v>
      </c>
      <c r="H1743" s="9">
        <f t="shared" si="111"/>
        <v>0</v>
      </c>
      <c r="I1743" s="10">
        <f t="shared" si="112"/>
        <v>5</v>
      </c>
    </row>
    <row r="1744" spans="1:9" x14ac:dyDescent="0.25">
      <c r="A1744" s="2" t="s">
        <v>3656</v>
      </c>
      <c r="B1744" s="2" t="s">
        <v>3657</v>
      </c>
      <c r="C1744" s="2" t="s">
        <v>791</v>
      </c>
      <c r="D1744" s="2" t="s">
        <v>1406</v>
      </c>
      <c r="E1744" s="2" t="s">
        <v>30</v>
      </c>
      <c r="F1744" s="9">
        <f t="shared" si="109"/>
        <v>68</v>
      </c>
      <c r="G1744" s="9">
        <f t="shared" si="110"/>
        <v>0</v>
      </c>
      <c r="H1744" s="9">
        <f t="shared" si="111"/>
        <v>0</v>
      </c>
      <c r="I1744" s="10">
        <f t="shared" si="112"/>
        <v>68</v>
      </c>
    </row>
    <row r="1745" spans="1:9" x14ac:dyDescent="0.25">
      <c r="A1745" s="2" t="s">
        <v>3658</v>
      </c>
      <c r="B1745" s="2" t="s">
        <v>3659</v>
      </c>
      <c r="C1745" s="2" t="s">
        <v>791</v>
      </c>
      <c r="D1745" s="2" t="s">
        <v>1406</v>
      </c>
      <c r="E1745" s="2" t="s">
        <v>30</v>
      </c>
      <c r="F1745" s="9">
        <f t="shared" si="109"/>
        <v>15</v>
      </c>
      <c r="G1745" s="9">
        <f t="shared" si="110"/>
        <v>0</v>
      </c>
      <c r="H1745" s="9">
        <f t="shared" si="111"/>
        <v>0</v>
      </c>
      <c r="I1745" s="10">
        <f t="shared" si="112"/>
        <v>15</v>
      </c>
    </row>
    <row r="1746" spans="1:9" x14ac:dyDescent="0.25">
      <c r="A1746" s="2" t="s">
        <v>3660</v>
      </c>
      <c r="B1746" s="2" t="s">
        <v>3661</v>
      </c>
      <c r="C1746" s="2" t="s">
        <v>791</v>
      </c>
      <c r="D1746" s="2" t="s">
        <v>1406</v>
      </c>
      <c r="E1746" s="2" t="s">
        <v>30</v>
      </c>
      <c r="F1746" s="9">
        <f t="shared" si="109"/>
        <v>71</v>
      </c>
      <c r="G1746" s="9">
        <f t="shared" si="110"/>
        <v>0</v>
      </c>
      <c r="H1746" s="9">
        <f t="shared" si="111"/>
        <v>0</v>
      </c>
      <c r="I1746" s="10">
        <f t="shared" si="112"/>
        <v>71</v>
      </c>
    </row>
    <row r="1747" spans="1:9" x14ac:dyDescent="0.25">
      <c r="A1747" s="2" t="s">
        <v>3662</v>
      </c>
      <c r="B1747" s="2" t="s">
        <v>3663</v>
      </c>
      <c r="C1747" s="2" t="s">
        <v>791</v>
      </c>
      <c r="D1747" s="2" t="s">
        <v>1406</v>
      </c>
      <c r="E1747" s="2" t="s">
        <v>30</v>
      </c>
      <c r="F1747" s="9">
        <f t="shared" si="109"/>
        <v>7</v>
      </c>
      <c r="G1747" s="9">
        <f t="shared" si="110"/>
        <v>0</v>
      </c>
      <c r="H1747" s="9">
        <f t="shared" si="111"/>
        <v>0</v>
      </c>
      <c r="I1747" s="10">
        <f t="shared" si="112"/>
        <v>7</v>
      </c>
    </row>
    <row r="1748" spans="1:9" x14ac:dyDescent="0.25">
      <c r="A1748" s="2" t="s">
        <v>3664</v>
      </c>
      <c r="B1748" s="2" t="s">
        <v>3665</v>
      </c>
      <c r="C1748" s="2" t="s">
        <v>791</v>
      </c>
      <c r="D1748" s="2" t="s">
        <v>1406</v>
      </c>
      <c r="E1748" s="2" t="s">
        <v>30</v>
      </c>
      <c r="F1748" s="9">
        <f t="shared" si="109"/>
        <v>1</v>
      </c>
      <c r="G1748" s="9">
        <f t="shared" si="110"/>
        <v>0</v>
      </c>
      <c r="H1748" s="9">
        <f t="shared" si="111"/>
        <v>0</v>
      </c>
      <c r="I1748" s="10">
        <f t="shared" si="112"/>
        <v>1</v>
      </c>
    </row>
    <row r="1749" spans="1:9" x14ac:dyDescent="0.25">
      <c r="A1749" s="2" t="s">
        <v>3666</v>
      </c>
      <c r="B1749" s="2" t="s">
        <v>3667</v>
      </c>
      <c r="C1749" s="2" t="s">
        <v>791</v>
      </c>
      <c r="D1749" s="2" t="s">
        <v>1406</v>
      </c>
      <c r="E1749" s="2" t="s">
        <v>30</v>
      </c>
      <c r="F1749" s="9">
        <f t="shared" si="109"/>
        <v>5</v>
      </c>
      <c r="G1749" s="9">
        <f t="shared" si="110"/>
        <v>0</v>
      </c>
      <c r="H1749" s="9">
        <f t="shared" si="111"/>
        <v>0</v>
      </c>
      <c r="I1749" s="10">
        <f t="shared" si="112"/>
        <v>5</v>
      </c>
    </row>
    <row r="1750" spans="1:9" x14ac:dyDescent="0.25">
      <c r="A1750" s="2" t="s">
        <v>3668</v>
      </c>
      <c r="B1750" s="2" t="s">
        <v>3669</v>
      </c>
      <c r="C1750" s="2" t="s">
        <v>791</v>
      </c>
      <c r="D1750" s="2" t="s">
        <v>1406</v>
      </c>
      <c r="E1750" s="2" t="s">
        <v>30</v>
      </c>
      <c r="F1750" s="9">
        <f t="shared" si="109"/>
        <v>9</v>
      </c>
      <c r="G1750" s="9">
        <f t="shared" si="110"/>
        <v>0</v>
      </c>
      <c r="H1750" s="9">
        <f t="shared" si="111"/>
        <v>0</v>
      </c>
      <c r="I1750" s="10">
        <f t="shared" si="112"/>
        <v>9</v>
      </c>
    </row>
    <row r="1751" spans="1:9" x14ac:dyDescent="0.25">
      <c r="A1751" s="2" t="s">
        <v>3670</v>
      </c>
      <c r="B1751" s="2" t="s">
        <v>3671</v>
      </c>
      <c r="C1751" s="2" t="s">
        <v>791</v>
      </c>
      <c r="D1751" s="2" t="s">
        <v>1406</v>
      </c>
      <c r="E1751" s="2" t="s">
        <v>30</v>
      </c>
      <c r="F1751" s="9">
        <f t="shared" si="109"/>
        <v>5</v>
      </c>
      <c r="G1751" s="9">
        <f t="shared" si="110"/>
        <v>0</v>
      </c>
      <c r="H1751" s="9">
        <f t="shared" si="111"/>
        <v>0</v>
      </c>
      <c r="I1751" s="10">
        <f t="shared" si="112"/>
        <v>5</v>
      </c>
    </row>
    <row r="1752" spans="1:9" x14ac:dyDescent="0.25">
      <c r="A1752" s="2" t="s">
        <v>3672</v>
      </c>
      <c r="B1752" s="2" t="s">
        <v>3673</v>
      </c>
      <c r="C1752" s="2" t="s">
        <v>791</v>
      </c>
      <c r="D1752" s="2" t="s">
        <v>1406</v>
      </c>
      <c r="E1752" s="2" t="s">
        <v>30</v>
      </c>
      <c r="F1752" s="9">
        <f t="shared" si="109"/>
        <v>6</v>
      </c>
      <c r="G1752" s="9">
        <f t="shared" si="110"/>
        <v>0</v>
      </c>
      <c r="H1752" s="9">
        <f t="shared" si="111"/>
        <v>0</v>
      </c>
      <c r="I1752" s="10">
        <f t="shared" si="112"/>
        <v>6</v>
      </c>
    </row>
    <row r="1753" spans="1:9" x14ac:dyDescent="0.25">
      <c r="A1753" s="2" t="s">
        <v>3674</v>
      </c>
      <c r="B1753" s="2" t="s">
        <v>3675</v>
      </c>
      <c r="C1753" s="2" t="s">
        <v>1030</v>
      </c>
      <c r="D1753" s="2" t="s">
        <v>1406</v>
      </c>
      <c r="E1753" s="2" t="s">
        <v>1031</v>
      </c>
      <c r="F1753" s="9">
        <f t="shared" si="109"/>
        <v>361.09100000000001</v>
      </c>
      <c r="G1753" s="9">
        <f t="shared" si="110"/>
        <v>0</v>
      </c>
      <c r="H1753" s="9">
        <f t="shared" si="111"/>
        <v>0</v>
      </c>
      <c r="I1753" s="10">
        <f t="shared" si="112"/>
        <v>361.09100000000001</v>
      </c>
    </row>
    <row r="1754" spans="1:9" x14ac:dyDescent="0.25">
      <c r="A1754" s="2" t="s">
        <v>3676</v>
      </c>
      <c r="B1754" s="2" t="s">
        <v>3677</v>
      </c>
      <c r="C1754" s="2" t="s">
        <v>1030</v>
      </c>
      <c r="D1754" s="2" t="s">
        <v>1406</v>
      </c>
      <c r="E1754" s="2" t="s">
        <v>1031</v>
      </c>
      <c r="F1754" s="9">
        <f t="shared" si="109"/>
        <v>323.17</v>
      </c>
      <c r="G1754" s="9">
        <f t="shared" si="110"/>
        <v>0</v>
      </c>
      <c r="H1754" s="9">
        <f t="shared" si="111"/>
        <v>0</v>
      </c>
      <c r="I1754" s="10">
        <f t="shared" si="112"/>
        <v>323.17</v>
      </c>
    </row>
    <row r="1755" spans="1:9" x14ac:dyDescent="0.25">
      <c r="A1755" s="2" t="s">
        <v>3678</v>
      </c>
      <c r="B1755" s="2" t="s">
        <v>3679</v>
      </c>
      <c r="C1755" s="2" t="s">
        <v>2901</v>
      </c>
      <c r="D1755" s="2" t="s">
        <v>1406</v>
      </c>
      <c r="E1755" s="2" t="s">
        <v>30</v>
      </c>
      <c r="F1755" s="9">
        <f t="shared" si="109"/>
        <v>1</v>
      </c>
      <c r="G1755" s="9">
        <f t="shared" si="110"/>
        <v>0</v>
      </c>
      <c r="H1755" s="9">
        <f t="shared" si="111"/>
        <v>0</v>
      </c>
      <c r="I1755" s="10">
        <f t="shared" si="112"/>
        <v>1</v>
      </c>
    </row>
    <row r="1756" spans="1:9" x14ac:dyDescent="0.25">
      <c r="A1756" s="2" t="s">
        <v>3680</v>
      </c>
      <c r="B1756" s="2" t="s">
        <v>3681</v>
      </c>
      <c r="C1756" s="2" t="s">
        <v>2901</v>
      </c>
      <c r="D1756" s="2" t="s">
        <v>1406</v>
      </c>
      <c r="E1756" s="2" t="s">
        <v>30</v>
      </c>
      <c r="F1756" s="9">
        <f t="shared" si="109"/>
        <v>1</v>
      </c>
      <c r="G1756" s="9">
        <f t="shared" si="110"/>
        <v>0</v>
      </c>
      <c r="H1756" s="9">
        <f t="shared" si="111"/>
        <v>0</v>
      </c>
      <c r="I1756" s="10">
        <f t="shared" si="112"/>
        <v>1</v>
      </c>
    </row>
    <row r="1757" spans="1:9" x14ac:dyDescent="0.25">
      <c r="A1757" s="2" t="s">
        <v>3682</v>
      </c>
      <c r="B1757" s="2" t="s">
        <v>3683</v>
      </c>
      <c r="C1757" s="2" t="s">
        <v>2901</v>
      </c>
      <c r="D1757" s="2" t="s">
        <v>1406</v>
      </c>
      <c r="E1757" s="2" t="s">
        <v>30</v>
      </c>
      <c r="F1757" s="9">
        <f t="shared" si="109"/>
        <v>0.5</v>
      </c>
      <c r="G1757" s="9">
        <f t="shared" si="110"/>
        <v>0</v>
      </c>
      <c r="H1757" s="9">
        <f t="shared" si="111"/>
        <v>0</v>
      </c>
      <c r="I1757" s="10">
        <f t="shared" si="112"/>
        <v>0.5</v>
      </c>
    </row>
    <row r="1758" spans="1:9" x14ac:dyDescent="0.25">
      <c r="A1758" s="2" t="s">
        <v>3684</v>
      </c>
      <c r="B1758" s="2" t="s">
        <v>3685</v>
      </c>
      <c r="C1758" s="2" t="s">
        <v>2901</v>
      </c>
      <c r="D1758" s="2" t="s">
        <v>1406</v>
      </c>
      <c r="E1758" s="2" t="s">
        <v>30</v>
      </c>
      <c r="F1758" s="9">
        <f t="shared" si="109"/>
        <v>8</v>
      </c>
      <c r="G1758" s="9">
        <f t="shared" si="110"/>
        <v>0</v>
      </c>
      <c r="H1758" s="9">
        <f t="shared" si="111"/>
        <v>0</v>
      </c>
      <c r="I1758" s="10">
        <f t="shared" si="112"/>
        <v>8</v>
      </c>
    </row>
    <row r="1759" spans="1:9" x14ac:dyDescent="0.25">
      <c r="A1759" s="2" t="s">
        <v>3686</v>
      </c>
      <c r="B1759" s="2" t="s">
        <v>3687</v>
      </c>
      <c r="C1759" s="2" t="s">
        <v>2901</v>
      </c>
      <c r="D1759" s="2" t="s">
        <v>1406</v>
      </c>
      <c r="E1759" s="2" t="s">
        <v>30</v>
      </c>
      <c r="F1759" s="9">
        <f t="shared" si="109"/>
        <v>1</v>
      </c>
      <c r="G1759" s="9">
        <f t="shared" si="110"/>
        <v>0</v>
      </c>
      <c r="H1759" s="9">
        <f t="shared" si="111"/>
        <v>0</v>
      </c>
      <c r="I1759" s="10">
        <f t="shared" si="112"/>
        <v>1</v>
      </c>
    </row>
    <row r="1760" spans="1:9" x14ac:dyDescent="0.25">
      <c r="A1760" s="2" t="s">
        <v>3688</v>
      </c>
      <c r="B1760" s="2" t="s">
        <v>3689</v>
      </c>
      <c r="C1760" s="2" t="s">
        <v>2901</v>
      </c>
      <c r="D1760" s="2" t="s">
        <v>1406</v>
      </c>
      <c r="E1760" s="2" t="s">
        <v>30</v>
      </c>
      <c r="F1760" s="9">
        <f t="shared" si="109"/>
        <v>2</v>
      </c>
      <c r="G1760" s="9">
        <f t="shared" si="110"/>
        <v>0</v>
      </c>
      <c r="H1760" s="9">
        <f t="shared" si="111"/>
        <v>0</v>
      </c>
      <c r="I1760" s="10">
        <f t="shared" si="112"/>
        <v>2</v>
      </c>
    </row>
    <row r="1761" spans="1:9" x14ac:dyDescent="0.25">
      <c r="A1761" s="2" t="s">
        <v>3690</v>
      </c>
      <c r="B1761" s="2" t="s">
        <v>3691</v>
      </c>
      <c r="C1761" s="2" t="s">
        <v>2901</v>
      </c>
      <c r="D1761" s="2" t="s">
        <v>1406</v>
      </c>
      <c r="E1761" s="2" t="s">
        <v>30</v>
      </c>
      <c r="F1761" s="9">
        <f t="shared" si="109"/>
        <v>3</v>
      </c>
      <c r="G1761" s="9">
        <f t="shared" si="110"/>
        <v>0</v>
      </c>
      <c r="H1761" s="9">
        <f t="shared" si="111"/>
        <v>0</v>
      </c>
      <c r="I1761" s="10">
        <f t="shared" si="112"/>
        <v>3</v>
      </c>
    </row>
    <row r="1762" spans="1:9" x14ac:dyDescent="0.25">
      <c r="A1762" s="2" t="s">
        <v>3692</v>
      </c>
      <c r="B1762" s="2" t="s">
        <v>3693</v>
      </c>
      <c r="C1762" s="2" t="s">
        <v>2901</v>
      </c>
      <c r="D1762" s="2" t="s">
        <v>1406</v>
      </c>
      <c r="E1762" s="2" t="s">
        <v>30</v>
      </c>
      <c r="F1762" s="9">
        <f t="shared" si="109"/>
        <v>2</v>
      </c>
      <c r="G1762" s="9">
        <f t="shared" si="110"/>
        <v>0</v>
      </c>
      <c r="H1762" s="9">
        <f t="shared" si="111"/>
        <v>0</v>
      </c>
      <c r="I1762" s="10">
        <f t="shared" si="112"/>
        <v>2</v>
      </c>
    </row>
    <row r="1763" spans="1:9" x14ac:dyDescent="0.25">
      <c r="A1763" s="2" t="s">
        <v>3694</v>
      </c>
      <c r="B1763" s="2" t="s">
        <v>3695</v>
      </c>
      <c r="C1763" s="2" t="s">
        <v>2901</v>
      </c>
      <c r="D1763" s="2" t="s">
        <v>1406</v>
      </c>
      <c r="E1763" s="2" t="s">
        <v>30</v>
      </c>
      <c r="F1763" s="9">
        <f t="shared" si="109"/>
        <v>5</v>
      </c>
      <c r="G1763" s="9">
        <f t="shared" si="110"/>
        <v>0</v>
      </c>
      <c r="H1763" s="9">
        <f t="shared" si="111"/>
        <v>0</v>
      </c>
      <c r="I1763" s="10">
        <f t="shared" si="112"/>
        <v>5</v>
      </c>
    </row>
    <row r="1764" spans="1:9" x14ac:dyDescent="0.25">
      <c r="A1764" s="2" t="s">
        <v>3696</v>
      </c>
      <c r="B1764" s="2" t="s">
        <v>3697</v>
      </c>
      <c r="C1764" s="2" t="s">
        <v>2901</v>
      </c>
      <c r="D1764" s="2" t="s">
        <v>1406</v>
      </c>
      <c r="E1764" s="2" t="s">
        <v>30</v>
      </c>
      <c r="F1764" s="9">
        <f t="shared" si="109"/>
        <v>5</v>
      </c>
      <c r="G1764" s="9">
        <f t="shared" si="110"/>
        <v>0</v>
      </c>
      <c r="H1764" s="9">
        <f t="shared" si="111"/>
        <v>0</v>
      </c>
      <c r="I1764" s="10">
        <f t="shared" si="112"/>
        <v>5</v>
      </c>
    </row>
    <row r="1765" spans="1:9" x14ac:dyDescent="0.25">
      <c r="A1765" s="2" t="s">
        <v>3698</v>
      </c>
      <c r="B1765" s="2" t="s">
        <v>3699</v>
      </c>
      <c r="C1765" s="2" t="s">
        <v>2901</v>
      </c>
      <c r="D1765" s="2" t="s">
        <v>1406</v>
      </c>
      <c r="E1765" s="2" t="s">
        <v>30</v>
      </c>
      <c r="F1765" s="9">
        <f t="shared" si="109"/>
        <v>17</v>
      </c>
      <c r="G1765" s="9">
        <f t="shared" si="110"/>
        <v>0</v>
      </c>
      <c r="H1765" s="9">
        <f t="shared" si="111"/>
        <v>0</v>
      </c>
      <c r="I1765" s="10">
        <f t="shared" si="112"/>
        <v>17</v>
      </c>
    </row>
    <row r="1766" spans="1:9" x14ac:dyDescent="0.25">
      <c r="A1766" s="2" t="s">
        <v>3700</v>
      </c>
      <c r="B1766" s="2" t="s">
        <v>3701</v>
      </c>
      <c r="C1766" s="2" t="s">
        <v>2901</v>
      </c>
      <c r="D1766" s="2" t="s">
        <v>1406</v>
      </c>
      <c r="E1766" s="2" t="s">
        <v>30</v>
      </c>
      <c r="F1766" s="9">
        <f t="shared" si="109"/>
        <v>13</v>
      </c>
      <c r="G1766" s="9">
        <f t="shared" si="110"/>
        <v>0</v>
      </c>
      <c r="H1766" s="9">
        <f t="shared" si="111"/>
        <v>0</v>
      </c>
      <c r="I1766" s="10">
        <f t="shared" si="112"/>
        <v>13</v>
      </c>
    </row>
    <row r="1767" spans="1:9" x14ac:dyDescent="0.25">
      <c r="A1767" s="2" t="s">
        <v>3702</v>
      </c>
      <c r="B1767" s="2" t="s">
        <v>3703</v>
      </c>
      <c r="C1767" s="2" t="s">
        <v>2901</v>
      </c>
      <c r="D1767" s="2" t="s">
        <v>1406</v>
      </c>
      <c r="E1767" s="2" t="s">
        <v>30</v>
      </c>
      <c r="F1767" s="9">
        <f t="shared" si="109"/>
        <v>14</v>
      </c>
      <c r="G1767" s="9">
        <f t="shared" si="110"/>
        <v>0</v>
      </c>
      <c r="H1767" s="9">
        <f t="shared" si="111"/>
        <v>0</v>
      </c>
      <c r="I1767" s="10">
        <f t="shared" si="112"/>
        <v>14</v>
      </c>
    </row>
    <row r="1768" spans="1:9" x14ac:dyDescent="0.25">
      <c r="A1768" s="2" t="s">
        <v>3704</v>
      </c>
      <c r="B1768" s="2" t="s">
        <v>3705</v>
      </c>
      <c r="C1768" s="2" t="s">
        <v>2901</v>
      </c>
      <c r="D1768" s="2" t="s">
        <v>1406</v>
      </c>
      <c r="E1768" s="2" t="s">
        <v>30</v>
      </c>
      <c r="F1768" s="9">
        <f t="shared" si="109"/>
        <v>7</v>
      </c>
      <c r="G1768" s="9">
        <f t="shared" si="110"/>
        <v>0</v>
      </c>
      <c r="H1768" s="9">
        <f t="shared" si="111"/>
        <v>0</v>
      </c>
      <c r="I1768" s="10">
        <f t="shared" si="112"/>
        <v>7</v>
      </c>
    </row>
    <row r="1769" spans="1:9" x14ac:dyDescent="0.25">
      <c r="A1769" s="2" t="s">
        <v>3706</v>
      </c>
      <c r="B1769" s="2" t="s">
        <v>3707</v>
      </c>
      <c r="C1769" s="2" t="s">
        <v>2901</v>
      </c>
      <c r="D1769" s="2" t="s">
        <v>1406</v>
      </c>
      <c r="E1769" s="2" t="s">
        <v>30</v>
      </c>
      <c r="F1769" s="9">
        <f t="shared" si="109"/>
        <v>9</v>
      </c>
      <c r="G1769" s="9">
        <f t="shared" si="110"/>
        <v>0</v>
      </c>
      <c r="H1769" s="9">
        <f t="shared" si="111"/>
        <v>0</v>
      </c>
      <c r="I1769" s="10">
        <f t="shared" si="112"/>
        <v>9</v>
      </c>
    </row>
    <row r="1770" spans="1:9" x14ac:dyDescent="0.25">
      <c r="A1770" s="2" t="s">
        <v>3708</v>
      </c>
      <c r="B1770" s="2" t="s">
        <v>3709</v>
      </c>
      <c r="C1770" s="2" t="s">
        <v>2901</v>
      </c>
      <c r="D1770" s="2" t="s">
        <v>1406</v>
      </c>
      <c r="E1770" s="2" t="s">
        <v>30</v>
      </c>
      <c r="F1770" s="9">
        <f t="shared" si="109"/>
        <v>1</v>
      </c>
      <c r="G1770" s="9">
        <f t="shared" si="110"/>
        <v>0</v>
      </c>
      <c r="H1770" s="9">
        <f t="shared" si="111"/>
        <v>0</v>
      </c>
      <c r="I1770" s="10">
        <f t="shared" si="112"/>
        <v>1</v>
      </c>
    </row>
    <row r="1771" spans="1:9" x14ac:dyDescent="0.25">
      <c r="A1771" s="2" t="s">
        <v>3710</v>
      </c>
      <c r="B1771" s="2" t="s">
        <v>3711</v>
      </c>
      <c r="C1771" s="2" t="s">
        <v>2901</v>
      </c>
      <c r="D1771" s="2" t="s">
        <v>1406</v>
      </c>
      <c r="E1771" s="2" t="s">
        <v>30</v>
      </c>
      <c r="F1771" s="9">
        <f t="shared" si="109"/>
        <v>1</v>
      </c>
      <c r="G1771" s="9">
        <f t="shared" si="110"/>
        <v>0</v>
      </c>
      <c r="H1771" s="9">
        <f t="shared" si="111"/>
        <v>0</v>
      </c>
      <c r="I1771" s="10">
        <f t="shared" si="112"/>
        <v>1</v>
      </c>
    </row>
    <row r="1772" spans="1:9" x14ac:dyDescent="0.25">
      <c r="A1772" s="2" t="s">
        <v>3712</v>
      </c>
      <c r="B1772" s="2" t="s">
        <v>3713</v>
      </c>
      <c r="C1772" s="2" t="s">
        <v>2901</v>
      </c>
      <c r="D1772" s="2" t="s">
        <v>1406</v>
      </c>
      <c r="E1772" s="2" t="s">
        <v>30</v>
      </c>
      <c r="F1772" s="9">
        <f t="shared" si="109"/>
        <v>1</v>
      </c>
      <c r="G1772" s="9">
        <f t="shared" si="110"/>
        <v>0</v>
      </c>
      <c r="H1772" s="9">
        <f t="shared" si="111"/>
        <v>0</v>
      </c>
      <c r="I1772" s="10">
        <f t="shared" si="112"/>
        <v>1</v>
      </c>
    </row>
    <row r="1773" spans="1:9" x14ac:dyDescent="0.25">
      <c r="A1773" s="2" t="s">
        <v>3714</v>
      </c>
      <c r="B1773" s="2" t="s">
        <v>3715</v>
      </c>
      <c r="C1773" s="2" t="s">
        <v>2901</v>
      </c>
      <c r="D1773" s="2" t="s">
        <v>1406</v>
      </c>
      <c r="E1773" s="2" t="s">
        <v>30</v>
      </c>
      <c r="F1773" s="9">
        <f t="shared" si="109"/>
        <v>2</v>
      </c>
      <c r="G1773" s="9">
        <f t="shared" si="110"/>
        <v>0</v>
      </c>
      <c r="H1773" s="9">
        <f t="shared" si="111"/>
        <v>0</v>
      </c>
      <c r="I1773" s="10">
        <f t="shared" si="112"/>
        <v>2</v>
      </c>
    </row>
    <row r="1774" spans="1:9" x14ac:dyDescent="0.25">
      <c r="A1774" s="2" t="s">
        <v>3716</v>
      </c>
      <c r="B1774" s="2" t="s">
        <v>3717</v>
      </c>
      <c r="C1774" s="2" t="s">
        <v>2901</v>
      </c>
      <c r="D1774" s="2" t="s">
        <v>1406</v>
      </c>
      <c r="E1774" s="2" t="s">
        <v>30</v>
      </c>
      <c r="F1774" s="9">
        <f t="shared" si="109"/>
        <v>2</v>
      </c>
      <c r="G1774" s="9">
        <f t="shared" si="110"/>
        <v>0</v>
      </c>
      <c r="H1774" s="9">
        <f t="shared" si="111"/>
        <v>0</v>
      </c>
      <c r="I1774" s="10">
        <f t="shared" si="112"/>
        <v>2</v>
      </c>
    </row>
    <row r="1775" spans="1:9" x14ac:dyDescent="0.25">
      <c r="A1775" s="2" t="s">
        <v>3718</v>
      </c>
      <c r="B1775" s="2" t="s">
        <v>3719</v>
      </c>
      <c r="C1775" s="2" t="s">
        <v>2901</v>
      </c>
      <c r="D1775" s="2" t="s">
        <v>1406</v>
      </c>
      <c r="E1775" s="2" t="s">
        <v>30</v>
      </c>
      <c r="F1775" s="9">
        <f t="shared" si="109"/>
        <v>2</v>
      </c>
      <c r="G1775" s="9">
        <f t="shared" si="110"/>
        <v>0</v>
      </c>
      <c r="H1775" s="9">
        <f t="shared" si="111"/>
        <v>0</v>
      </c>
      <c r="I1775" s="10">
        <f t="shared" si="112"/>
        <v>2</v>
      </c>
    </row>
    <row r="1776" spans="1:9" x14ac:dyDescent="0.25">
      <c r="A1776" s="2" t="s">
        <v>3720</v>
      </c>
      <c r="B1776" s="2" t="s">
        <v>3721</v>
      </c>
      <c r="C1776" s="2" t="s">
        <v>2901</v>
      </c>
      <c r="D1776" s="2" t="s">
        <v>1406</v>
      </c>
      <c r="E1776" s="2" t="s">
        <v>30</v>
      </c>
      <c r="F1776" s="9">
        <f t="shared" si="109"/>
        <v>2</v>
      </c>
      <c r="G1776" s="9">
        <f t="shared" si="110"/>
        <v>0</v>
      </c>
      <c r="H1776" s="9">
        <f t="shared" si="111"/>
        <v>0</v>
      </c>
      <c r="I1776" s="10">
        <f t="shared" si="112"/>
        <v>2</v>
      </c>
    </row>
    <row r="1777" spans="1:9" x14ac:dyDescent="0.25">
      <c r="A1777" s="2" t="s">
        <v>3722</v>
      </c>
      <c r="B1777" s="2" t="s">
        <v>3723</v>
      </c>
      <c r="C1777" s="2" t="s">
        <v>2901</v>
      </c>
      <c r="D1777" s="2" t="s">
        <v>1406</v>
      </c>
      <c r="E1777" s="2" t="s">
        <v>30</v>
      </c>
      <c r="F1777" s="9">
        <f t="shared" si="109"/>
        <v>6</v>
      </c>
      <c r="G1777" s="9">
        <f t="shared" si="110"/>
        <v>0</v>
      </c>
      <c r="H1777" s="9">
        <f t="shared" si="111"/>
        <v>0</v>
      </c>
      <c r="I1777" s="10">
        <f t="shared" si="112"/>
        <v>6</v>
      </c>
    </row>
    <row r="1778" spans="1:9" x14ac:dyDescent="0.25">
      <c r="A1778" s="2" t="s">
        <v>3724</v>
      </c>
      <c r="B1778" s="2" t="s">
        <v>3725</v>
      </c>
      <c r="C1778" s="2" t="s">
        <v>2901</v>
      </c>
      <c r="D1778" s="2" t="s">
        <v>1406</v>
      </c>
      <c r="E1778" s="2" t="s">
        <v>30</v>
      </c>
      <c r="F1778" s="9">
        <f t="shared" si="109"/>
        <v>3</v>
      </c>
      <c r="G1778" s="9">
        <f t="shared" si="110"/>
        <v>0</v>
      </c>
      <c r="H1778" s="9">
        <f t="shared" si="111"/>
        <v>0</v>
      </c>
      <c r="I1778" s="10">
        <f t="shared" si="112"/>
        <v>3</v>
      </c>
    </row>
    <row r="1779" spans="1:9" x14ac:dyDescent="0.25">
      <c r="A1779" s="2" t="s">
        <v>3726</v>
      </c>
      <c r="B1779" s="2" t="s">
        <v>3727</v>
      </c>
      <c r="C1779" s="2" t="s">
        <v>2901</v>
      </c>
      <c r="D1779" s="2" t="s">
        <v>1406</v>
      </c>
      <c r="E1779" s="2" t="s">
        <v>30</v>
      </c>
      <c r="F1779" s="9">
        <f t="shared" si="109"/>
        <v>1</v>
      </c>
      <c r="G1779" s="9">
        <f t="shared" si="110"/>
        <v>0</v>
      </c>
      <c r="H1779" s="9">
        <f t="shared" si="111"/>
        <v>0</v>
      </c>
      <c r="I1779" s="10">
        <f t="shared" si="112"/>
        <v>1</v>
      </c>
    </row>
    <row r="1780" spans="1:9" x14ac:dyDescent="0.25">
      <c r="A1780" s="2" t="s">
        <v>3728</v>
      </c>
      <c r="B1780" s="2" t="s">
        <v>3729</v>
      </c>
      <c r="C1780" s="2" t="s">
        <v>2901</v>
      </c>
      <c r="D1780" s="2" t="s">
        <v>1406</v>
      </c>
      <c r="E1780" s="2" t="s">
        <v>30</v>
      </c>
      <c r="F1780" s="9">
        <f t="shared" si="109"/>
        <v>38</v>
      </c>
      <c r="G1780" s="9">
        <f t="shared" si="110"/>
        <v>0</v>
      </c>
      <c r="H1780" s="9">
        <f t="shared" si="111"/>
        <v>0</v>
      </c>
      <c r="I1780" s="10">
        <f t="shared" si="112"/>
        <v>38</v>
      </c>
    </row>
    <row r="1781" spans="1:9" x14ac:dyDescent="0.25">
      <c r="A1781" s="2" t="s">
        <v>3730</v>
      </c>
      <c r="B1781" s="2" t="s">
        <v>3731</v>
      </c>
      <c r="C1781" s="2" t="s">
        <v>2901</v>
      </c>
      <c r="D1781" s="2" t="s">
        <v>1406</v>
      </c>
      <c r="E1781" s="2" t="s">
        <v>30</v>
      </c>
      <c r="F1781" s="9">
        <f t="shared" si="109"/>
        <v>4</v>
      </c>
      <c r="G1781" s="9">
        <f t="shared" si="110"/>
        <v>0</v>
      </c>
      <c r="H1781" s="9">
        <f t="shared" si="111"/>
        <v>0</v>
      </c>
      <c r="I1781" s="10">
        <f t="shared" si="112"/>
        <v>4</v>
      </c>
    </row>
    <row r="1782" spans="1:9" x14ac:dyDescent="0.25">
      <c r="A1782" s="2" t="s">
        <v>3732</v>
      </c>
      <c r="B1782" s="2" t="s">
        <v>3733</v>
      </c>
      <c r="C1782" s="2" t="s">
        <v>2901</v>
      </c>
      <c r="D1782" s="2" t="s">
        <v>1406</v>
      </c>
      <c r="E1782" s="2" t="s">
        <v>30</v>
      </c>
      <c r="F1782" s="9">
        <f t="shared" si="109"/>
        <v>5</v>
      </c>
      <c r="G1782" s="9">
        <f t="shared" si="110"/>
        <v>0</v>
      </c>
      <c r="H1782" s="9">
        <f t="shared" si="111"/>
        <v>0</v>
      </c>
      <c r="I1782" s="10">
        <f t="shared" si="112"/>
        <v>5</v>
      </c>
    </row>
    <row r="1783" spans="1:9" x14ac:dyDescent="0.25">
      <c r="A1783" s="2" t="s">
        <v>3734</v>
      </c>
      <c r="B1783" s="2" t="s">
        <v>3735</v>
      </c>
      <c r="C1783" s="2" t="s">
        <v>2901</v>
      </c>
      <c r="D1783" s="2" t="s">
        <v>1406</v>
      </c>
      <c r="E1783" s="2" t="s">
        <v>30</v>
      </c>
      <c r="F1783" s="9">
        <f t="shared" si="109"/>
        <v>2</v>
      </c>
      <c r="G1783" s="9">
        <f t="shared" si="110"/>
        <v>0</v>
      </c>
      <c r="H1783" s="9">
        <f t="shared" si="111"/>
        <v>0</v>
      </c>
      <c r="I1783" s="10">
        <f t="shared" si="112"/>
        <v>2</v>
      </c>
    </row>
    <row r="1784" spans="1:9" x14ac:dyDescent="0.25">
      <c r="A1784" s="2" t="s">
        <v>3736</v>
      </c>
      <c r="B1784" s="2" t="s">
        <v>3737</v>
      </c>
      <c r="C1784" s="2" t="s">
        <v>2901</v>
      </c>
      <c r="D1784" s="2" t="s">
        <v>1406</v>
      </c>
      <c r="E1784" s="2" t="s">
        <v>30</v>
      </c>
      <c r="F1784" s="9">
        <f t="shared" ref="F1784:F1847" si="113">IFERROR(VLOOKUP(A1784,condi,8,0),0)</f>
        <v>5</v>
      </c>
      <c r="G1784" s="9">
        <f t="shared" ref="G1784:G1847" si="114">IFERROR(VLOOKUP(A1784,maqui,8,0),0)</f>
        <v>0</v>
      </c>
      <c r="H1784" s="9">
        <f t="shared" ref="H1784:H1847" si="115">IFERROR(VLOOKUP(A1784,ascint,8,0),0)</f>
        <v>0</v>
      </c>
      <c r="I1784" s="10">
        <f t="shared" si="112"/>
        <v>5</v>
      </c>
    </row>
    <row r="1785" spans="1:9" x14ac:dyDescent="0.25">
      <c r="A1785" s="2" t="s">
        <v>3738</v>
      </c>
      <c r="B1785" s="2" t="s">
        <v>3739</v>
      </c>
      <c r="C1785" s="2" t="s">
        <v>2901</v>
      </c>
      <c r="D1785" s="2" t="s">
        <v>1406</v>
      </c>
      <c r="E1785" s="2" t="s">
        <v>30</v>
      </c>
      <c r="F1785" s="9">
        <f t="shared" si="113"/>
        <v>4</v>
      </c>
      <c r="G1785" s="9">
        <f t="shared" si="114"/>
        <v>0</v>
      </c>
      <c r="H1785" s="9">
        <f t="shared" si="115"/>
        <v>0</v>
      </c>
      <c r="I1785" s="10">
        <f t="shared" si="112"/>
        <v>4</v>
      </c>
    </row>
    <row r="1786" spans="1:9" x14ac:dyDescent="0.25">
      <c r="A1786" s="2" t="s">
        <v>3740</v>
      </c>
      <c r="B1786" s="2" t="s">
        <v>3741</v>
      </c>
      <c r="C1786" s="2" t="s">
        <v>2901</v>
      </c>
      <c r="D1786" s="2" t="s">
        <v>1406</v>
      </c>
      <c r="E1786" s="2" t="s">
        <v>30</v>
      </c>
      <c r="F1786" s="9">
        <f t="shared" si="113"/>
        <v>2</v>
      </c>
      <c r="G1786" s="9">
        <f t="shared" si="114"/>
        <v>0</v>
      </c>
      <c r="H1786" s="9">
        <f t="shared" si="115"/>
        <v>0</v>
      </c>
      <c r="I1786" s="10">
        <f t="shared" si="112"/>
        <v>2</v>
      </c>
    </row>
    <row r="1787" spans="1:9" x14ac:dyDescent="0.25">
      <c r="A1787" s="2" t="s">
        <v>3742</v>
      </c>
      <c r="B1787" s="2" t="s">
        <v>3743</v>
      </c>
      <c r="C1787" s="2" t="s">
        <v>2901</v>
      </c>
      <c r="D1787" s="2" t="s">
        <v>1406</v>
      </c>
      <c r="E1787" s="2" t="s">
        <v>30</v>
      </c>
      <c r="F1787" s="9">
        <f t="shared" si="113"/>
        <v>2</v>
      </c>
      <c r="G1787" s="9">
        <f t="shared" si="114"/>
        <v>0</v>
      </c>
      <c r="H1787" s="9">
        <f t="shared" si="115"/>
        <v>0</v>
      </c>
      <c r="I1787" s="10">
        <f t="shared" si="112"/>
        <v>2</v>
      </c>
    </row>
    <row r="1788" spans="1:9" x14ac:dyDescent="0.25">
      <c r="A1788" s="2" t="s">
        <v>3744</v>
      </c>
      <c r="B1788" s="2" t="s">
        <v>3745</v>
      </c>
      <c r="C1788" s="2" t="s">
        <v>2901</v>
      </c>
      <c r="D1788" s="2" t="s">
        <v>1406</v>
      </c>
      <c r="E1788" s="2" t="s">
        <v>30</v>
      </c>
      <c r="F1788" s="9">
        <f t="shared" si="113"/>
        <v>5</v>
      </c>
      <c r="G1788" s="9">
        <f t="shared" si="114"/>
        <v>0</v>
      </c>
      <c r="H1788" s="9">
        <f t="shared" si="115"/>
        <v>0</v>
      </c>
      <c r="I1788" s="10">
        <f t="shared" si="112"/>
        <v>5</v>
      </c>
    </row>
    <row r="1789" spans="1:9" x14ac:dyDescent="0.25">
      <c r="A1789" s="2" t="s">
        <v>3746</v>
      </c>
      <c r="B1789" s="2" t="s">
        <v>3747</v>
      </c>
      <c r="C1789" s="2" t="s">
        <v>2901</v>
      </c>
      <c r="D1789" s="2" t="s">
        <v>1406</v>
      </c>
      <c r="E1789" s="2" t="s">
        <v>30</v>
      </c>
      <c r="F1789" s="9">
        <f t="shared" si="113"/>
        <v>1</v>
      </c>
      <c r="G1789" s="9">
        <f t="shared" si="114"/>
        <v>0</v>
      </c>
      <c r="H1789" s="9">
        <f t="shared" si="115"/>
        <v>0</v>
      </c>
      <c r="I1789" s="10">
        <f t="shared" si="112"/>
        <v>1</v>
      </c>
    </row>
    <row r="1790" spans="1:9" x14ac:dyDescent="0.25">
      <c r="A1790" s="2" t="s">
        <v>3748</v>
      </c>
      <c r="B1790" s="2" t="s">
        <v>3749</v>
      </c>
      <c r="C1790" s="2" t="s">
        <v>2901</v>
      </c>
      <c r="D1790" s="2" t="s">
        <v>1406</v>
      </c>
      <c r="E1790" s="2" t="s">
        <v>30</v>
      </c>
      <c r="F1790" s="9">
        <f t="shared" si="113"/>
        <v>1</v>
      </c>
      <c r="G1790" s="9">
        <f t="shared" si="114"/>
        <v>0</v>
      </c>
      <c r="H1790" s="9">
        <f t="shared" si="115"/>
        <v>0</v>
      </c>
      <c r="I1790" s="10">
        <f t="shared" ref="I1790:I1831" si="116">+F1790+G1790+H1790</f>
        <v>1</v>
      </c>
    </row>
    <row r="1791" spans="1:9" x14ac:dyDescent="0.25">
      <c r="A1791" s="2" t="s">
        <v>3750</v>
      </c>
      <c r="B1791" s="2" t="s">
        <v>3751</v>
      </c>
      <c r="C1791" s="2" t="s">
        <v>2901</v>
      </c>
      <c r="D1791" s="2" t="s">
        <v>1406</v>
      </c>
      <c r="E1791" s="2" t="s">
        <v>30</v>
      </c>
      <c r="F1791" s="9">
        <f t="shared" si="113"/>
        <v>3</v>
      </c>
      <c r="G1791" s="9">
        <f t="shared" si="114"/>
        <v>0</v>
      </c>
      <c r="H1791" s="9">
        <f t="shared" si="115"/>
        <v>0</v>
      </c>
      <c r="I1791" s="10">
        <f t="shared" si="116"/>
        <v>3</v>
      </c>
    </row>
    <row r="1792" spans="1:9" x14ac:dyDescent="0.25">
      <c r="A1792" s="2" t="s">
        <v>3752</v>
      </c>
      <c r="B1792" s="2" t="s">
        <v>3753</v>
      </c>
      <c r="C1792" s="2" t="s">
        <v>2901</v>
      </c>
      <c r="D1792" s="2" t="s">
        <v>1406</v>
      </c>
      <c r="E1792" s="2" t="s">
        <v>30</v>
      </c>
      <c r="F1792" s="9">
        <f t="shared" si="113"/>
        <v>108</v>
      </c>
      <c r="G1792" s="9">
        <f t="shared" si="114"/>
        <v>0</v>
      </c>
      <c r="H1792" s="9">
        <f t="shared" si="115"/>
        <v>0</v>
      </c>
      <c r="I1792" s="10">
        <f t="shared" si="116"/>
        <v>108</v>
      </c>
    </row>
    <row r="1793" spans="1:9" x14ac:dyDescent="0.25">
      <c r="A1793" s="2" t="s">
        <v>3754</v>
      </c>
      <c r="B1793" s="2" t="s">
        <v>3755</v>
      </c>
      <c r="C1793" s="2" t="s">
        <v>2901</v>
      </c>
      <c r="D1793" s="2" t="s">
        <v>1406</v>
      </c>
      <c r="E1793" s="2" t="s">
        <v>30</v>
      </c>
      <c r="F1793" s="9">
        <f t="shared" si="113"/>
        <v>49</v>
      </c>
      <c r="G1793" s="9">
        <f t="shared" si="114"/>
        <v>0</v>
      </c>
      <c r="H1793" s="9">
        <f t="shared" si="115"/>
        <v>0</v>
      </c>
      <c r="I1793" s="10">
        <f t="shared" si="116"/>
        <v>49</v>
      </c>
    </row>
    <row r="1794" spans="1:9" x14ac:dyDescent="0.25">
      <c r="A1794" s="2" t="s">
        <v>3756</v>
      </c>
      <c r="B1794" s="2" t="s">
        <v>3757</v>
      </c>
      <c r="C1794" s="2" t="s">
        <v>2901</v>
      </c>
      <c r="D1794" s="2" t="s">
        <v>1406</v>
      </c>
      <c r="E1794" s="2" t="s">
        <v>30</v>
      </c>
      <c r="F1794" s="9">
        <f t="shared" si="113"/>
        <v>8</v>
      </c>
      <c r="G1794" s="9">
        <f t="shared" si="114"/>
        <v>0</v>
      </c>
      <c r="H1794" s="9">
        <f t="shared" si="115"/>
        <v>0</v>
      </c>
      <c r="I1794" s="10">
        <f t="shared" si="116"/>
        <v>8</v>
      </c>
    </row>
    <row r="1795" spans="1:9" x14ac:dyDescent="0.25">
      <c r="A1795" s="2" t="s">
        <v>3758</v>
      </c>
      <c r="B1795" s="2" t="s">
        <v>3759</v>
      </c>
      <c r="C1795" s="2" t="s">
        <v>2901</v>
      </c>
      <c r="D1795" s="2" t="s">
        <v>1406</v>
      </c>
      <c r="E1795" s="2" t="s">
        <v>30</v>
      </c>
      <c r="F1795" s="9">
        <f t="shared" si="113"/>
        <v>3</v>
      </c>
      <c r="G1795" s="9">
        <f t="shared" si="114"/>
        <v>0</v>
      </c>
      <c r="H1795" s="9">
        <f t="shared" si="115"/>
        <v>0</v>
      </c>
      <c r="I1795" s="10">
        <f t="shared" si="116"/>
        <v>3</v>
      </c>
    </row>
    <row r="1796" spans="1:9" x14ac:dyDescent="0.25">
      <c r="A1796" s="2" t="s">
        <v>3760</v>
      </c>
      <c r="B1796" s="2" t="s">
        <v>3761</v>
      </c>
      <c r="C1796" s="2" t="s">
        <v>2901</v>
      </c>
      <c r="D1796" s="2" t="s">
        <v>1406</v>
      </c>
      <c r="E1796" s="2" t="s">
        <v>30</v>
      </c>
      <c r="F1796" s="9">
        <f t="shared" si="113"/>
        <v>2</v>
      </c>
      <c r="G1796" s="9">
        <f t="shared" si="114"/>
        <v>0</v>
      </c>
      <c r="H1796" s="9">
        <f t="shared" si="115"/>
        <v>0</v>
      </c>
      <c r="I1796" s="10">
        <f t="shared" si="116"/>
        <v>2</v>
      </c>
    </row>
    <row r="1797" spans="1:9" x14ac:dyDescent="0.25">
      <c r="A1797" s="2" t="s">
        <v>3762</v>
      </c>
      <c r="B1797" s="2" t="s">
        <v>3763</v>
      </c>
      <c r="C1797" s="2" t="s">
        <v>2901</v>
      </c>
      <c r="D1797" s="2" t="s">
        <v>1406</v>
      </c>
      <c r="E1797" s="2" t="s">
        <v>30</v>
      </c>
      <c r="F1797" s="9">
        <f t="shared" si="113"/>
        <v>0</v>
      </c>
      <c r="G1797" s="9">
        <f t="shared" si="114"/>
        <v>0</v>
      </c>
      <c r="H1797" s="9">
        <f t="shared" si="115"/>
        <v>0</v>
      </c>
      <c r="I1797" s="10">
        <f t="shared" si="116"/>
        <v>0</v>
      </c>
    </row>
    <row r="1798" spans="1:9" x14ac:dyDescent="0.25">
      <c r="A1798" s="2" t="s">
        <v>3764</v>
      </c>
      <c r="B1798" s="2" t="s">
        <v>3765</v>
      </c>
      <c r="C1798" s="2" t="s">
        <v>2901</v>
      </c>
      <c r="D1798" s="2" t="s">
        <v>1406</v>
      </c>
      <c r="E1798" s="2" t="s">
        <v>30</v>
      </c>
      <c r="F1798" s="9">
        <f t="shared" si="113"/>
        <v>1</v>
      </c>
      <c r="G1798" s="9">
        <f t="shared" si="114"/>
        <v>0</v>
      </c>
      <c r="H1798" s="9">
        <f t="shared" si="115"/>
        <v>0</v>
      </c>
      <c r="I1798" s="10">
        <f t="shared" si="116"/>
        <v>1</v>
      </c>
    </row>
    <row r="1799" spans="1:9" x14ac:dyDescent="0.25">
      <c r="A1799" s="2" t="s">
        <v>3766</v>
      </c>
      <c r="B1799" s="2" t="s">
        <v>3767</v>
      </c>
      <c r="C1799" s="2" t="s">
        <v>2901</v>
      </c>
      <c r="D1799" s="2" t="s">
        <v>1406</v>
      </c>
      <c r="E1799" s="2" t="s">
        <v>30</v>
      </c>
      <c r="F1799" s="9">
        <f t="shared" si="113"/>
        <v>1</v>
      </c>
      <c r="G1799" s="9">
        <f t="shared" si="114"/>
        <v>0</v>
      </c>
      <c r="H1799" s="9">
        <f t="shared" si="115"/>
        <v>0</v>
      </c>
      <c r="I1799" s="10">
        <f t="shared" si="116"/>
        <v>1</v>
      </c>
    </row>
    <row r="1800" spans="1:9" x14ac:dyDescent="0.25">
      <c r="A1800" s="2" t="s">
        <v>3768</v>
      </c>
      <c r="B1800" s="2" t="s">
        <v>3769</v>
      </c>
      <c r="C1800" s="2" t="s">
        <v>2901</v>
      </c>
      <c r="D1800" s="2" t="s">
        <v>1406</v>
      </c>
      <c r="E1800" s="2" t="s">
        <v>30</v>
      </c>
      <c r="F1800" s="9">
        <f t="shared" si="113"/>
        <v>2</v>
      </c>
      <c r="G1800" s="9">
        <f t="shared" si="114"/>
        <v>0</v>
      </c>
      <c r="H1800" s="9">
        <f t="shared" si="115"/>
        <v>0</v>
      </c>
      <c r="I1800" s="10">
        <f t="shared" si="116"/>
        <v>2</v>
      </c>
    </row>
    <row r="1801" spans="1:9" x14ac:dyDescent="0.25">
      <c r="A1801" s="2" t="s">
        <v>3770</v>
      </c>
      <c r="B1801" s="2" t="s">
        <v>3771</v>
      </c>
      <c r="C1801" s="2" t="s">
        <v>2901</v>
      </c>
      <c r="D1801" s="2" t="s">
        <v>1406</v>
      </c>
      <c r="E1801" s="2" t="s">
        <v>30</v>
      </c>
      <c r="F1801" s="9">
        <f t="shared" si="113"/>
        <v>2</v>
      </c>
      <c r="G1801" s="9">
        <f t="shared" si="114"/>
        <v>0</v>
      </c>
      <c r="H1801" s="9">
        <f t="shared" si="115"/>
        <v>0</v>
      </c>
      <c r="I1801" s="10">
        <f t="shared" si="116"/>
        <v>2</v>
      </c>
    </row>
    <row r="1802" spans="1:9" x14ac:dyDescent="0.25">
      <c r="A1802" s="2" t="s">
        <v>3772</v>
      </c>
      <c r="B1802" s="2" t="s">
        <v>3773</v>
      </c>
      <c r="C1802" s="2" t="s">
        <v>2901</v>
      </c>
      <c r="D1802" s="2" t="s">
        <v>1406</v>
      </c>
      <c r="E1802" s="2" t="s">
        <v>30</v>
      </c>
      <c r="F1802" s="9">
        <f t="shared" si="113"/>
        <v>3</v>
      </c>
      <c r="G1802" s="9">
        <f t="shared" si="114"/>
        <v>0</v>
      </c>
      <c r="H1802" s="9">
        <f t="shared" si="115"/>
        <v>0</v>
      </c>
      <c r="I1802" s="10">
        <f t="shared" si="116"/>
        <v>3</v>
      </c>
    </row>
    <row r="1803" spans="1:9" x14ac:dyDescent="0.25">
      <c r="A1803" s="2" t="s">
        <v>3774</v>
      </c>
      <c r="B1803" s="2" t="s">
        <v>3775</v>
      </c>
      <c r="C1803" s="2" t="s">
        <v>2901</v>
      </c>
      <c r="D1803" s="2" t="s">
        <v>1406</v>
      </c>
      <c r="E1803" s="2" t="s">
        <v>30</v>
      </c>
      <c r="F1803" s="9">
        <f t="shared" si="113"/>
        <v>1</v>
      </c>
      <c r="G1803" s="9">
        <f t="shared" si="114"/>
        <v>0</v>
      </c>
      <c r="H1803" s="9">
        <f t="shared" si="115"/>
        <v>0</v>
      </c>
      <c r="I1803" s="10">
        <f t="shared" si="116"/>
        <v>1</v>
      </c>
    </row>
    <row r="1804" spans="1:9" x14ac:dyDescent="0.25">
      <c r="A1804" s="2" t="s">
        <v>3776</v>
      </c>
      <c r="B1804" s="2" t="s">
        <v>3777</v>
      </c>
      <c r="C1804" s="2" t="s">
        <v>2901</v>
      </c>
      <c r="D1804" s="2" t="s">
        <v>1406</v>
      </c>
      <c r="E1804" s="2" t="s">
        <v>30</v>
      </c>
      <c r="F1804" s="9">
        <f t="shared" si="113"/>
        <v>3</v>
      </c>
      <c r="G1804" s="9">
        <f t="shared" si="114"/>
        <v>0</v>
      </c>
      <c r="H1804" s="9">
        <f t="shared" si="115"/>
        <v>0</v>
      </c>
      <c r="I1804" s="10">
        <f t="shared" si="116"/>
        <v>3</v>
      </c>
    </row>
    <row r="1805" spans="1:9" x14ac:dyDescent="0.25">
      <c r="A1805" s="2" t="s">
        <v>3778</v>
      </c>
      <c r="B1805" s="2" t="s">
        <v>3779</v>
      </c>
      <c r="C1805" s="2" t="s">
        <v>2901</v>
      </c>
      <c r="D1805" s="2" t="s">
        <v>1406</v>
      </c>
      <c r="E1805" s="2" t="s">
        <v>30</v>
      </c>
      <c r="F1805" s="9">
        <f t="shared" si="113"/>
        <v>6</v>
      </c>
      <c r="G1805" s="9">
        <f t="shared" si="114"/>
        <v>0</v>
      </c>
      <c r="H1805" s="9">
        <f t="shared" si="115"/>
        <v>0</v>
      </c>
      <c r="I1805" s="10">
        <f t="shared" si="116"/>
        <v>6</v>
      </c>
    </row>
    <row r="1806" spans="1:9" x14ac:dyDescent="0.25">
      <c r="A1806" s="2" t="s">
        <v>3780</v>
      </c>
      <c r="B1806" s="2" t="s">
        <v>3781</v>
      </c>
      <c r="C1806" s="2" t="s">
        <v>2901</v>
      </c>
      <c r="D1806" s="2" t="s">
        <v>1406</v>
      </c>
      <c r="E1806" s="2" t="s">
        <v>30</v>
      </c>
      <c r="F1806" s="9">
        <f t="shared" si="113"/>
        <v>3</v>
      </c>
      <c r="G1806" s="9">
        <f t="shared" si="114"/>
        <v>0</v>
      </c>
      <c r="H1806" s="9">
        <f t="shared" si="115"/>
        <v>0</v>
      </c>
      <c r="I1806" s="10">
        <f t="shared" si="116"/>
        <v>3</v>
      </c>
    </row>
    <row r="1807" spans="1:9" x14ac:dyDescent="0.25">
      <c r="A1807" s="2" t="s">
        <v>3782</v>
      </c>
      <c r="B1807" s="2" t="s">
        <v>3783</v>
      </c>
      <c r="C1807" s="2" t="s">
        <v>2901</v>
      </c>
      <c r="D1807" s="2" t="s">
        <v>1406</v>
      </c>
      <c r="E1807" s="2" t="s">
        <v>30</v>
      </c>
      <c r="F1807" s="9">
        <f t="shared" si="113"/>
        <v>1</v>
      </c>
      <c r="G1807" s="9">
        <f t="shared" si="114"/>
        <v>0</v>
      </c>
      <c r="H1807" s="9">
        <f t="shared" si="115"/>
        <v>0</v>
      </c>
      <c r="I1807" s="10">
        <f t="shared" si="116"/>
        <v>1</v>
      </c>
    </row>
    <row r="1808" spans="1:9" x14ac:dyDescent="0.25">
      <c r="A1808" s="2" t="s">
        <v>3784</v>
      </c>
      <c r="B1808" s="2" t="s">
        <v>3785</v>
      </c>
      <c r="C1808" s="2" t="s">
        <v>2901</v>
      </c>
      <c r="D1808" s="2" t="s">
        <v>1406</v>
      </c>
      <c r="E1808" s="2" t="s">
        <v>30</v>
      </c>
      <c r="F1808" s="9">
        <f t="shared" si="113"/>
        <v>1</v>
      </c>
      <c r="G1808" s="9">
        <f t="shared" si="114"/>
        <v>0</v>
      </c>
      <c r="H1808" s="9">
        <f t="shared" si="115"/>
        <v>0</v>
      </c>
      <c r="I1808" s="10">
        <f t="shared" si="116"/>
        <v>1</v>
      </c>
    </row>
    <row r="1809" spans="1:9" x14ac:dyDescent="0.25">
      <c r="A1809" s="2" t="s">
        <v>3786</v>
      </c>
      <c r="B1809" s="2" t="s">
        <v>3787</v>
      </c>
      <c r="C1809" s="2" t="s">
        <v>2901</v>
      </c>
      <c r="D1809" s="2" t="s">
        <v>1406</v>
      </c>
      <c r="E1809" s="2" t="s">
        <v>30</v>
      </c>
      <c r="F1809" s="9">
        <f t="shared" si="113"/>
        <v>2</v>
      </c>
      <c r="G1809" s="9">
        <f t="shared" si="114"/>
        <v>0</v>
      </c>
      <c r="H1809" s="9">
        <f t="shared" si="115"/>
        <v>0</v>
      </c>
      <c r="I1809" s="10">
        <f t="shared" si="116"/>
        <v>2</v>
      </c>
    </row>
    <row r="1810" spans="1:9" x14ac:dyDescent="0.25">
      <c r="A1810" s="2" t="s">
        <v>3788</v>
      </c>
      <c r="B1810" s="2" t="s">
        <v>3789</v>
      </c>
      <c r="C1810" s="2" t="s">
        <v>2901</v>
      </c>
      <c r="D1810" s="2" t="s">
        <v>1406</v>
      </c>
      <c r="E1810" s="2" t="s">
        <v>2095</v>
      </c>
      <c r="F1810" s="9">
        <f t="shared" si="113"/>
        <v>2</v>
      </c>
      <c r="G1810" s="9">
        <f t="shared" si="114"/>
        <v>0</v>
      </c>
      <c r="H1810" s="9">
        <f t="shared" si="115"/>
        <v>0</v>
      </c>
      <c r="I1810" s="10">
        <f t="shared" si="116"/>
        <v>2</v>
      </c>
    </row>
    <row r="1811" spans="1:9" x14ac:dyDescent="0.25">
      <c r="A1811" s="2" t="s">
        <v>3790</v>
      </c>
      <c r="B1811" s="2" t="s">
        <v>2907</v>
      </c>
      <c r="C1811" s="2" t="s">
        <v>2901</v>
      </c>
      <c r="D1811" s="2" t="s">
        <v>1406</v>
      </c>
      <c r="E1811" s="2" t="s">
        <v>2095</v>
      </c>
      <c r="F1811" s="9">
        <f t="shared" si="113"/>
        <v>0</v>
      </c>
      <c r="G1811" s="9">
        <f t="shared" si="114"/>
        <v>0</v>
      </c>
      <c r="H1811" s="9">
        <f t="shared" si="115"/>
        <v>0</v>
      </c>
      <c r="I1811" s="10">
        <f t="shared" si="116"/>
        <v>0</v>
      </c>
    </row>
    <row r="1812" spans="1:9" x14ac:dyDescent="0.25">
      <c r="A1812" s="2" t="s">
        <v>3791</v>
      </c>
      <c r="B1812" s="2" t="s">
        <v>3792</v>
      </c>
      <c r="C1812" s="2" t="s">
        <v>2901</v>
      </c>
      <c r="D1812" s="2" t="s">
        <v>1406</v>
      </c>
      <c r="E1812" s="2" t="s">
        <v>2095</v>
      </c>
      <c r="F1812" s="9">
        <f t="shared" si="113"/>
        <v>2</v>
      </c>
      <c r="G1812" s="9">
        <f t="shared" si="114"/>
        <v>0</v>
      </c>
      <c r="H1812" s="9">
        <f t="shared" si="115"/>
        <v>0</v>
      </c>
      <c r="I1812" s="10">
        <f t="shared" si="116"/>
        <v>2</v>
      </c>
    </row>
    <row r="1813" spans="1:9" x14ac:dyDescent="0.25">
      <c r="A1813" s="2" t="s">
        <v>3793</v>
      </c>
      <c r="B1813" s="2" t="s">
        <v>3794</v>
      </c>
      <c r="C1813" s="2" t="s">
        <v>2901</v>
      </c>
      <c r="D1813" s="2" t="s">
        <v>1406</v>
      </c>
      <c r="E1813" s="2" t="s">
        <v>2095</v>
      </c>
      <c r="F1813" s="9">
        <f t="shared" si="113"/>
        <v>2</v>
      </c>
      <c r="G1813" s="9">
        <f t="shared" si="114"/>
        <v>0</v>
      </c>
      <c r="H1813" s="9">
        <f t="shared" si="115"/>
        <v>0</v>
      </c>
      <c r="I1813" s="10">
        <f t="shared" si="116"/>
        <v>2</v>
      </c>
    </row>
    <row r="1814" spans="1:9" x14ac:dyDescent="0.25">
      <c r="A1814" s="2" t="s">
        <v>3795</v>
      </c>
      <c r="B1814" s="2" t="s">
        <v>3796</v>
      </c>
      <c r="C1814" s="2" t="s">
        <v>2901</v>
      </c>
      <c r="D1814" s="2" t="s">
        <v>1406</v>
      </c>
      <c r="E1814" s="2" t="s">
        <v>30</v>
      </c>
      <c r="F1814" s="9">
        <f t="shared" si="113"/>
        <v>1</v>
      </c>
      <c r="G1814" s="9">
        <f t="shared" si="114"/>
        <v>0</v>
      </c>
      <c r="H1814" s="9">
        <f t="shared" si="115"/>
        <v>0</v>
      </c>
      <c r="I1814" s="10">
        <f t="shared" si="116"/>
        <v>1</v>
      </c>
    </row>
    <row r="1815" spans="1:9" x14ac:dyDescent="0.25">
      <c r="A1815" s="2" t="s">
        <v>3797</v>
      </c>
      <c r="B1815" s="2" t="s">
        <v>3798</v>
      </c>
      <c r="C1815" s="2" t="s">
        <v>2901</v>
      </c>
      <c r="D1815" s="2" t="s">
        <v>1406</v>
      </c>
      <c r="E1815" s="2" t="s">
        <v>30</v>
      </c>
      <c r="F1815" s="9">
        <f t="shared" si="113"/>
        <v>102</v>
      </c>
      <c r="G1815" s="9">
        <f t="shared" si="114"/>
        <v>0</v>
      </c>
      <c r="H1815" s="9">
        <f t="shared" si="115"/>
        <v>0</v>
      </c>
      <c r="I1815" s="10">
        <f t="shared" si="116"/>
        <v>102</v>
      </c>
    </row>
    <row r="1816" spans="1:9" x14ac:dyDescent="0.25">
      <c r="A1816" s="2" t="s">
        <v>3799</v>
      </c>
      <c r="B1816" s="2" t="s">
        <v>3800</v>
      </c>
      <c r="C1816" s="2" t="s">
        <v>2901</v>
      </c>
      <c r="D1816" s="2" t="s">
        <v>1406</v>
      </c>
      <c r="E1816" s="2" t="s">
        <v>30</v>
      </c>
      <c r="F1816" s="9">
        <f t="shared" si="113"/>
        <v>1</v>
      </c>
      <c r="G1816" s="9">
        <f t="shared" si="114"/>
        <v>0</v>
      </c>
      <c r="H1816" s="9">
        <f t="shared" si="115"/>
        <v>0</v>
      </c>
      <c r="I1816" s="10">
        <f t="shared" si="116"/>
        <v>1</v>
      </c>
    </row>
    <row r="1817" spans="1:9" x14ac:dyDescent="0.25">
      <c r="A1817" s="2" t="s">
        <v>3801</v>
      </c>
      <c r="B1817" s="2" t="s">
        <v>3802</v>
      </c>
      <c r="C1817" s="2" t="s">
        <v>2901</v>
      </c>
      <c r="D1817" s="2" t="s">
        <v>1406</v>
      </c>
      <c r="E1817" s="2" t="s">
        <v>30</v>
      </c>
      <c r="F1817" s="9">
        <f t="shared" si="113"/>
        <v>2</v>
      </c>
      <c r="G1817" s="9">
        <f t="shared" si="114"/>
        <v>0</v>
      </c>
      <c r="H1817" s="9">
        <f t="shared" si="115"/>
        <v>0</v>
      </c>
      <c r="I1817" s="10">
        <f t="shared" si="116"/>
        <v>2</v>
      </c>
    </row>
    <row r="1818" spans="1:9" x14ac:dyDescent="0.25">
      <c r="A1818" s="2" t="s">
        <v>3803</v>
      </c>
      <c r="B1818" s="2" t="s">
        <v>3804</v>
      </c>
      <c r="C1818" s="2" t="s">
        <v>2901</v>
      </c>
      <c r="D1818" s="2" t="s">
        <v>1406</v>
      </c>
      <c r="E1818" s="2" t="s">
        <v>30</v>
      </c>
      <c r="F1818" s="9">
        <f t="shared" si="113"/>
        <v>3</v>
      </c>
      <c r="G1818" s="9">
        <f t="shared" si="114"/>
        <v>0</v>
      </c>
      <c r="H1818" s="9">
        <f t="shared" si="115"/>
        <v>0</v>
      </c>
      <c r="I1818" s="10">
        <f t="shared" si="116"/>
        <v>3</v>
      </c>
    </row>
    <row r="1819" spans="1:9" x14ac:dyDescent="0.25">
      <c r="A1819" s="2" t="s">
        <v>3805</v>
      </c>
      <c r="B1819" s="2" t="s">
        <v>3806</v>
      </c>
      <c r="C1819" s="2" t="s">
        <v>2901</v>
      </c>
      <c r="D1819" s="2" t="s">
        <v>1406</v>
      </c>
      <c r="E1819" s="2" t="s">
        <v>30</v>
      </c>
      <c r="F1819" s="9">
        <f t="shared" si="113"/>
        <v>2</v>
      </c>
      <c r="G1819" s="9">
        <f t="shared" si="114"/>
        <v>0</v>
      </c>
      <c r="H1819" s="9">
        <f t="shared" si="115"/>
        <v>0</v>
      </c>
      <c r="I1819" s="10">
        <f t="shared" si="116"/>
        <v>2</v>
      </c>
    </row>
    <row r="1820" spans="1:9" x14ac:dyDescent="0.25">
      <c r="A1820" s="2" t="s">
        <v>3807</v>
      </c>
      <c r="B1820" s="2" t="s">
        <v>3808</v>
      </c>
      <c r="C1820" s="2" t="s">
        <v>2901</v>
      </c>
      <c r="D1820" s="2" t="s">
        <v>1406</v>
      </c>
      <c r="E1820" s="2" t="s">
        <v>30</v>
      </c>
      <c r="F1820" s="9">
        <f t="shared" si="113"/>
        <v>1</v>
      </c>
      <c r="G1820" s="9">
        <f t="shared" si="114"/>
        <v>0</v>
      </c>
      <c r="H1820" s="9">
        <f t="shared" si="115"/>
        <v>0</v>
      </c>
      <c r="I1820" s="10">
        <f t="shared" si="116"/>
        <v>1</v>
      </c>
    </row>
    <row r="1821" spans="1:9" x14ac:dyDescent="0.25">
      <c r="A1821" s="2" t="s">
        <v>3809</v>
      </c>
      <c r="B1821" s="2" t="s">
        <v>3810</v>
      </c>
      <c r="C1821" s="2" t="s">
        <v>2901</v>
      </c>
      <c r="D1821" s="2" t="s">
        <v>1406</v>
      </c>
      <c r="E1821" s="2" t="s">
        <v>30</v>
      </c>
      <c r="F1821" s="9">
        <f t="shared" si="113"/>
        <v>58.5</v>
      </c>
      <c r="G1821" s="9">
        <f t="shared" si="114"/>
        <v>0</v>
      </c>
      <c r="H1821" s="9">
        <f t="shared" si="115"/>
        <v>0</v>
      </c>
      <c r="I1821" s="10">
        <f t="shared" si="116"/>
        <v>58.5</v>
      </c>
    </row>
    <row r="1822" spans="1:9" x14ac:dyDescent="0.25">
      <c r="A1822" s="2" t="s">
        <v>3811</v>
      </c>
      <c r="B1822" s="2" t="s">
        <v>3812</v>
      </c>
      <c r="C1822" s="2" t="s">
        <v>2901</v>
      </c>
      <c r="D1822" s="2" t="s">
        <v>1406</v>
      </c>
      <c r="E1822" s="2" t="s">
        <v>30</v>
      </c>
      <c r="F1822" s="9">
        <f t="shared" si="113"/>
        <v>3</v>
      </c>
      <c r="G1822" s="9">
        <f t="shared" si="114"/>
        <v>0</v>
      </c>
      <c r="H1822" s="9">
        <f t="shared" si="115"/>
        <v>0</v>
      </c>
      <c r="I1822" s="10">
        <f t="shared" si="116"/>
        <v>3</v>
      </c>
    </row>
    <row r="1823" spans="1:9" x14ac:dyDescent="0.25">
      <c r="A1823" s="2" t="s">
        <v>3813</v>
      </c>
      <c r="B1823" s="2" t="s">
        <v>3814</v>
      </c>
      <c r="C1823" s="2" t="s">
        <v>2901</v>
      </c>
      <c r="D1823" s="2" t="s">
        <v>1406</v>
      </c>
      <c r="E1823" s="2" t="s">
        <v>30</v>
      </c>
      <c r="F1823" s="9">
        <f t="shared" si="113"/>
        <v>1</v>
      </c>
      <c r="G1823" s="9">
        <f t="shared" si="114"/>
        <v>0</v>
      </c>
      <c r="H1823" s="9">
        <f t="shared" si="115"/>
        <v>0</v>
      </c>
      <c r="I1823" s="10">
        <f t="shared" si="116"/>
        <v>1</v>
      </c>
    </row>
    <row r="1824" spans="1:9" x14ac:dyDescent="0.25">
      <c r="A1824" s="2" t="s">
        <v>3815</v>
      </c>
      <c r="B1824" s="2" t="s">
        <v>3816</v>
      </c>
      <c r="C1824" s="2" t="s">
        <v>2901</v>
      </c>
      <c r="D1824" s="2" t="s">
        <v>1406</v>
      </c>
      <c r="E1824" s="2" t="s">
        <v>30</v>
      </c>
      <c r="F1824" s="9">
        <f t="shared" si="113"/>
        <v>64</v>
      </c>
      <c r="G1824" s="9">
        <f t="shared" si="114"/>
        <v>0</v>
      </c>
      <c r="H1824" s="9">
        <f t="shared" si="115"/>
        <v>0</v>
      </c>
      <c r="I1824" s="10">
        <f t="shared" si="116"/>
        <v>64</v>
      </c>
    </row>
    <row r="1825" spans="1:9" x14ac:dyDescent="0.25">
      <c r="A1825" s="2" t="s">
        <v>3817</v>
      </c>
      <c r="B1825" s="2" t="s">
        <v>3818</v>
      </c>
      <c r="C1825" s="2" t="s">
        <v>2901</v>
      </c>
      <c r="D1825" s="2" t="s">
        <v>1406</v>
      </c>
      <c r="E1825" s="2" t="s">
        <v>30</v>
      </c>
      <c r="F1825" s="9">
        <f t="shared" si="113"/>
        <v>1</v>
      </c>
      <c r="G1825" s="9">
        <f t="shared" si="114"/>
        <v>0</v>
      </c>
      <c r="H1825" s="9">
        <f t="shared" si="115"/>
        <v>0</v>
      </c>
      <c r="I1825" s="10">
        <f t="shared" si="116"/>
        <v>1</v>
      </c>
    </row>
    <row r="1826" spans="1:9" x14ac:dyDescent="0.25">
      <c r="A1826" s="2" t="s">
        <v>3819</v>
      </c>
      <c r="B1826" s="2" t="s">
        <v>3820</v>
      </c>
      <c r="C1826" s="2" t="s">
        <v>2901</v>
      </c>
      <c r="D1826" s="2" t="s">
        <v>1406</v>
      </c>
      <c r="E1826" s="2" t="s">
        <v>30</v>
      </c>
      <c r="F1826" s="9">
        <f t="shared" si="113"/>
        <v>2</v>
      </c>
      <c r="G1826" s="9">
        <f t="shared" si="114"/>
        <v>0</v>
      </c>
      <c r="H1826" s="9">
        <f t="shared" si="115"/>
        <v>0</v>
      </c>
      <c r="I1826" s="10">
        <f t="shared" si="116"/>
        <v>2</v>
      </c>
    </row>
    <row r="1827" spans="1:9" x14ac:dyDescent="0.25">
      <c r="A1827" s="2" t="s">
        <v>3821</v>
      </c>
      <c r="B1827" s="2" t="s">
        <v>3822</v>
      </c>
      <c r="C1827" s="2" t="s">
        <v>2901</v>
      </c>
      <c r="D1827" s="2" t="s">
        <v>1406</v>
      </c>
      <c r="E1827" s="2" t="s">
        <v>30</v>
      </c>
      <c r="F1827" s="9">
        <f t="shared" si="113"/>
        <v>2</v>
      </c>
      <c r="G1827" s="9">
        <f t="shared" si="114"/>
        <v>0</v>
      </c>
      <c r="H1827" s="9">
        <f t="shared" si="115"/>
        <v>0</v>
      </c>
      <c r="I1827" s="10">
        <f t="shared" si="116"/>
        <v>2</v>
      </c>
    </row>
    <row r="1828" spans="1:9" x14ac:dyDescent="0.25">
      <c r="A1828" s="2" t="s">
        <v>3823</v>
      </c>
      <c r="B1828" s="2" t="s">
        <v>3824</v>
      </c>
      <c r="C1828" s="2" t="s">
        <v>2901</v>
      </c>
      <c r="D1828" s="2" t="s">
        <v>1406</v>
      </c>
      <c r="E1828" s="2" t="s">
        <v>30</v>
      </c>
      <c r="F1828" s="9">
        <f t="shared" si="113"/>
        <v>10</v>
      </c>
      <c r="G1828" s="9">
        <f t="shared" si="114"/>
        <v>0</v>
      </c>
      <c r="H1828" s="9">
        <f t="shared" si="115"/>
        <v>0</v>
      </c>
      <c r="I1828" s="10">
        <f t="shared" si="116"/>
        <v>10</v>
      </c>
    </row>
    <row r="1829" spans="1:9" x14ac:dyDescent="0.25">
      <c r="A1829" s="2" t="s">
        <v>3825</v>
      </c>
      <c r="B1829" s="2" t="s">
        <v>3826</v>
      </c>
      <c r="C1829" s="2" t="s">
        <v>2901</v>
      </c>
      <c r="D1829" s="2" t="s">
        <v>1406</v>
      </c>
      <c r="E1829" s="2" t="s">
        <v>30</v>
      </c>
      <c r="F1829" s="9">
        <f t="shared" si="113"/>
        <v>16</v>
      </c>
      <c r="G1829" s="9">
        <f t="shared" si="114"/>
        <v>0</v>
      </c>
      <c r="H1829" s="9">
        <f t="shared" si="115"/>
        <v>0</v>
      </c>
      <c r="I1829" s="10">
        <f t="shared" si="116"/>
        <v>16</v>
      </c>
    </row>
    <row r="1830" spans="1:9" x14ac:dyDescent="0.25">
      <c r="A1830" s="2" t="s">
        <v>3827</v>
      </c>
      <c r="B1830" s="2" t="s">
        <v>3828</v>
      </c>
      <c r="C1830" s="2" t="s">
        <v>2901</v>
      </c>
      <c r="D1830" s="2" t="s">
        <v>1406</v>
      </c>
      <c r="E1830" s="2" t="s">
        <v>30</v>
      </c>
      <c r="F1830" s="9">
        <f t="shared" si="113"/>
        <v>19</v>
      </c>
      <c r="G1830" s="9">
        <f t="shared" si="114"/>
        <v>0</v>
      </c>
      <c r="H1830" s="9">
        <f t="shared" si="115"/>
        <v>0</v>
      </c>
      <c r="I1830" s="10">
        <f t="shared" si="116"/>
        <v>19</v>
      </c>
    </row>
    <row r="1831" spans="1:9" x14ac:dyDescent="0.25">
      <c r="A1831" s="2" t="s">
        <v>3829</v>
      </c>
      <c r="B1831" s="2" t="s">
        <v>3830</v>
      </c>
      <c r="C1831" s="2" t="s">
        <v>2901</v>
      </c>
      <c r="D1831" s="2" t="s">
        <v>1406</v>
      </c>
      <c r="E1831" s="2" t="s">
        <v>30</v>
      </c>
      <c r="F1831" s="9">
        <f t="shared" si="113"/>
        <v>100</v>
      </c>
      <c r="G1831" s="9">
        <f t="shared" si="114"/>
        <v>0</v>
      </c>
      <c r="H1831" s="9">
        <f t="shared" si="115"/>
        <v>0</v>
      </c>
      <c r="I1831" s="10">
        <f t="shared" si="116"/>
        <v>100</v>
      </c>
    </row>
    <row r="1832" spans="1:9" x14ac:dyDescent="0.25">
      <c r="A1832" s="2" t="s">
        <v>3831</v>
      </c>
      <c r="B1832" s="2" t="s">
        <v>3832</v>
      </c>
      <c r="C1832" s="2" t="s">
        <v>2901</v>
      </c>
      <c r="D1832" s="2" t="s">
        <v>1406</v>
      </c>
      <c r="E1832" s="2" t="s">
        <v>30</v>
      </c>
      <c r="F1832" s="9">
        <f t="shared" si="113"/>
        <v>10</v>
      </c>
      <c r="G1832" s="9">
        <f t="shared" si="114"/>
        <v>0</v>
      </c>
      <c r="H1832" s="9">
        <f t="shared" si="115"/>
        <v>0</v>
      </c>
      <c r="I1832" s="10">
        <f t="shared" ref="I1832:I1847" si="117">+F1832+G1832+H1832</f>
        <v>10</v>
      </c>
    </row>
    <row r="1833" spans="1:9" x14ac:dyDescent="0.25">
      <c r="A1833" s="2" t="s">
        <v>3833</v>
      </c>
      <c r="B1833" s="2" t="s">
        <v>3834</v>
      </c>
      <c r="C1833" s="2" t="s">
        <v>2901</v>
      </c>
      <c r="D1833" s="2" t="s">
        <v>1406</v>
      </c>
      <c r="E1833" s="2" t="s">
        <v>30</v>
      </c>
      <c r="F1833" s="9">
        <f t="shared" si="113"/>
        <v>1</v>
      </c>
      <c r="G1833" s="9">
        <f t="shared" si="114"/>
        <v>0</v>
      </c>
      <c r="H1833" s="9">
        <f t="shared" si="115"/>
        <v>0</v>
      </c>
      <c r="I1833" s="10">
        <f t="shared" si="117"/>
        <v>1</v>
      </c>
    </row>
    <row r="1834" spans="1:9" x14ac:dyDescent="0.25">
      <c r="A1834" s="2" t="s">
        <v>3835</v>
      </c>
      <c r="B1834" s="2" t="s">
        <v>3836</v>
      </c>
      <c r="C1834" s="2" t="s">
        <v>2901</v>
      </c>
      <c r="D1834" s="2" t="s">
        <v>1406</v>
      </c>
      <c r="E1834" s="2" t="s">
        <v>30</v>
      </c>
      <c r="F1834" s="9">
        <f t="shared" si="113"/>
        <v>6</v>
      </c>
      <c r="G1834" s="9">
        <f t="shared" si="114"/>
        <v>0</v>
      </c>
      <c r="H1834" s="9">
        <f t="shared" si="115"/>
        <v>0</v>
      </c>
      <c r="I1834" s="10">
        <f t="shared" si="117"/>
        <v>6</v>
      </c>
    </row>
    <row r="1835" spans="1:9" x14ac:dyDescent="0.25">
      <c r="A1835" s="2" t="s">
        <v>3837</v>
      </c>
      <c r="B1835" s="2" t="s">
        <v>3838</v>
      </c>
      <c r="C1835" s="2" t="s">
        <v>2901</v>
      </c>
      <c r="D1835" s="2" t="s">
        <v>1406</v>
      </c>
      <c r="E1835" s="2" t="s">
        <v>30</v>
      </c>
      <c r="F1835" s="9">
        <f t="shared" si="113"/>
        <v>15</v>
      </c>
      <c r="G1835" s="9">
        <f t="shared" si="114"/>
        <v>0</v>
      </c>
      <c r="H1835" s="9">
        <f t="shared" si="115"/>
        <v>0</v>
      </c>
      <c r="I1835" s="10">
        <f t="shared" si="117"/>
        <v>15</v>
      </c>
    </row>
    <row r="1836" spans="1:9" x14ac:dyDescent="0.25">
      <c r="A1836" s="2" t="s">
        <v>3839</v>
      </c>
      <c r="B1836" s="2" t="s">
        <v>3840</v>
      </c>
      <c r="C1836" s="2" t="s">
        <v>2901</v>
      </c>
      <c r="D1836" s="2" t="s">
        <v>1406</v>
      </c>
      <c r="E1836" s="2" t="s">
        <v>30</v>
      </c>
      <c r="F1836" s="9">
        <f t="shared" si="113"/>
        <v>25</v>
      </c>
      <c r="G1836" s="9">
        <f t="shared" si="114"/>
        <v>0</v>
      </c>
      <c r="H1836" s="9">
        <f t="shared" si="115"/>
        <v>0</v>
      </c>
      <c r="I1836" s="10">
        <f t="shared" si="117"/>
        <v>25</v>
      </c>
    </row>
    <row r="1837" spans="1:9" x14ac:dyDescent="0.25">
      <c r="A1837" s="2" t="s">
        <v>3841</v>
      </c>
      <c r="B1837" s="2" t="s">
        <v>3842</v>
      </c>
      <c r="C1837" s="2" t="s">
        <v>2901</v>
      </c>
      <c r="D1837" s="2" t="s">
        <v>1406</v>
      </c>
      <c r="E1837" s="2" t="s">
        <v>30</v>
      </c>
      <c r="F1837" s="9">
        <f t="shared" si="113"/>
        <v>3</v>
      </c>
      <c r="G1837" s="9">
        <f t="shared" si="114"/>
        <v>0</v>
      </c>
      <c r="H1837" s="9">
        <f t="shared" si="115"/>
        <v>0</v>
      </c>
      <c r="I1837" s="10">
        <f t="shared" si="117"/>
        <v>3</v>
      </c>
    </row>
    <row r="1838" spans="1:9" x14ac:dyDescent="0.25">
      <c r="A1838" s="2" t="s">
        <v>3843</v>
      </c>
      <c r="B1838" s="2" t="s">
        <v>3844</v>
      </c>
      <c r="C1838" s="2" t="s">
        <v>2901</v>
      </c>
      <c r="D1838" s="2" t="s">
        <v>1406</v>
      </c>
      <c r="E1838" s="2" t="s">
        <v>30</v>
      </c>
      <c r="F1838" s="9">
        <f t="shared" si="113"/>
        <v>36</v>
      </c>
      <c r="G1838" s="9">
        <f t="shared" si="114"/>
        <v>0</v>
      </c>
      <c r="H1838" s="9">
        <f t="shared" si="115"/>
        <v>0</v>
      </c>
      <c r="I1838" s="10">
        <f t="shared" si="117"/>
        <v>36</v>
      </c>
    </row>
    <row r="1839" spans="1:9" x14ac:dyDescent="0.25">
      <c r="A1839" s="2" t="s">
        <v>3845</v>
      </c>
      <c r="B1839" s="2" t="s">
        <v>3846</v>
      </c>
      <c r="C1839" s="2" t="s">
        <v>2901</v>
      </c>
      <c r="D1839" s="2" t="s">
        <v>1406</v>
      </c>
      <c r="E1839" s="2" t="s">
        <v>30</v>
      </c>
      <c r="F1839" s="9">
        <f t="shared" si="113"/>
        <v>1</v>
      </c>
      <c r="G1839" s="9">
        <f t="shared" si="114"/>
        <v>0</v>
      </c>
      <c r="H1839" s="9">
        <f t="shared" si="115"/>
        <v>0</v>
      </c>
      <c r="I1839" s="10">
        <f t="shared" si="117"/>
        <v>1</v>
      </c>
    </row>
    <row r="1840" spans="1:9" x14ac:dyDescent="0.25">
      <c r="A1840" s="2" t="s">
        <v>3847</v>
      </c>
      <c r="B1840" s="2" t="s">
        <v>3848</v>
      </c>
      <c r="C1840" s="2" t="s">
        <v>2901</v>
      </c>
      <c r="D1840" s="2" t="s">
        <v>1406</v>
      </c>
      <c r="E1840" s="2" t="s">
        <v>30</v>
      </c>
      <c r="F1840" s="9">
        <f t="shared" si="113"/>
        <v>1</v>
      </c>
      <c r="G1840" s="9">
        <f t="shared" si="114"/>
        <v>0</v>
      </c>
      <c r="H1840" s="9">
        <f t="shared" si="115"/>
        <v>0</v>
      </c>
      <c r="I1840" s="10">
        <f t="shared" si="117"/>
        <v>1</v>
      </c>
    </row>
    <row r="1841" spans="1:9" x14ac:dyDescent="0.25">
      <c r="A1841" s="2" t="s">
        <v>3849</v>
      </c>
      <c r="B1841" s="2" t="s">
        <v>3850</v>
      </c>
      <c r="C1841" s="2" t="s">
        <v>2901</v>
      </c>
      <c r="D1841" s="2" t="s">
        <v>1406</v>
      </c>
      <c r="E1841" s="2" t="s">
        <v>30</v>
      </c>
      <c r="F1841" s="9">
        <f t="shared" si="113"/>
        <v>1</v>
      </c>
      <c r="G1841" s="9">
        <f t="shared" si="114"/>
        <v>0</v>
      </c>
      <c r="H1841" s="9">
        <f t="shared" si="115"/>
        <v>0</v>
      </c>
      <c r="I1841" s="10">
        <f t="shared" si="117"/>
        <v>1</v>
      </c>
    </row>
    <row r="1842" spans="1:9" x14ac:dyDescent="0.25">
      <c r="A1842" s="2" t="s">
        <v>3851</v>
      </c>
      <c r="B1842" s="2" t="s">
        <v>3852</v>
      </c>
      <c r="C1842" s="2" t="s">
        <v>2901</v>
      </c>
      <c r="D1842" s="2" t="s">
        <v>1406</v>
      </c>
      <c r="E1842" s="2" t="s">
        <v>30</v>
      </c>
      <c r="F1842" s="9">
        <f t="shared" si="113"/>
        <v>71</v>
      </c>
      <c r="G1842" s="9">
        <f t="shared" si="114"/>
        <v>0</v>
      </c>
      <c r="H1842" s="9">
        <f t="shared" si="115"/>
        <v>0</v>
      </c>
      <c r="I1842" s="10">
        <f t="shared" si="117"/>
        <v>71</v>
      </c>
    </row>
    <row r="1843" spans="1:9" x14ac:dyDescent="0.25">
      <c r="A1843" s="2" t="s">
        <v>3853</v>
      </c>
      <c r="B1843" s="2" t="s">
        <v>3854</v>
      </c>
      <c r="C1843" s="2" t="s">
        <v>2901</v>
      </c>
      <c r="D1843" s="2" t="s">
        <v>1406</v>
      </c>
      <c r="E1843" s="2" t="s">
        <v>30</v>
      </c>
      <c r="F1843" s="9">
        <f t="shared" si="113"/>
        <v>3</v>
      </c>
      <c r="G1843" s="9">
        <f t="shared" si="114"/>
        <v>0</v>
      </c>
      <c r="H1843" s="9">
        <f t="shared" si="115"/>
        <v>0</v>
      </c>
      <c r="I1843" s="10">
        <f t="shared" si="117"/>
        <v>3</v>
      </c>
    </row>
    <row r="1844" spans="1:9" x14ac:dyDescent="0.25">
      <c r="A1844" s="2" t="s">
        <v>3855</v>
      </c>
      <c r="B1844" s="2" t="s">
        <v>3856</v>
      </c>
      <c r="C1844" s="2" t="s">
        <v>2901</v>
      </c>
      <c r="D1844" s="2" t="s">
        <v>1406</v>
      </c>
      <c r="E1844" s="2" t="s">
        <v>30</v>
      </c>
      <c r="F1844" s="9">
        <f t="shared" si="113"/>
        <v>6</v>
      </c>
      <c r="G1844" s="9">
        <f t="shared" si="114"/>
        <v>0</v>
      </c>
      <c r="H1844" s="9">
        <f t="shared" si="115"/>
        <v>0</v>
      </c>
      <c r="I1844" s="10">
        <f t="shared" si="117"/>
        <v>6</v>
      </c>
    </row>
    <row r="1845" spans="1:9" x14ac:dyDescent="0.25">
      <c r="A1845" s="2" t="s">
        <v>3857</v>
      </c>
      <c r="B1845" s="2" t="s">
        <v>3858</v>
      </c>
      <c r="C1845" s="2" t="s">
        <v>2901</v>
      </c>
      <c r="D1845" s="2" t="s">
        <v>1406</v>
      </c>
      <c r="E1845" s="2" t="s">
        <v>30</v>
      </c>
      <c r="F1845" s="9">
        <f t="shared" si="113"/>
        <v>5</v>
      </c>
      <c r="G1845" s="9">
        <f t="shared" si="114"/>
        <v>0</v>
      </c>
      <c r="H1845" s="9">
        <f t="shared" si="115"/>
        <v>0</v>
      </c>
      <c r="I1845" s="10">
        <f t="shared" si="117"/>
        <v>5</v>
      </c>
    </row>
    <row r="1846" spans="1:9" x14ac:dyDescent="0.25">
      <c r="A1846" s="2" t="s">
        <v>3859</v>
      </c>
      <c r="B1846" s="2" t="s">
        <v>3860</v>
      </c>
      <c r="C1846" s="2" t="s">
        <v>2901</v>
      </c>
      <c r="D1846" s="2" t="s">
        <v>1406</v>
      </c>
      <c r="E1846" s="2" t="s">
        <v>30</v>
      </c>
      <c r="F1846" s="9">
        <f t="shared" si="113"/>
        <v>180</v>
      </c>
      <c r="G1846" s="9">
        <f t="shared" si="114"/>
        <v>0</v>
      </c>
      <c r="H1846" s="9">
        <f t="shared" si="115"/>
        <v>0</v>
      </c>
      <c r="I1846" s="10">
        <f t="shared" si="117"/>
        <v>180</v>
      </c>
    </row>
    <row r="1847" spans="1:9" x14ac:dyDescent="0.25">
      <c r="A1847" s="2" t="s">
        <v>3861</v>
      </c>
      <c r="B1847" s="2" t="s">
        <v>3862</v>
      </c>
      <c r="C1847" s="2" t="s">
        <v>2901</v>
      </c>
      <c r="D1847" s="2" t="s">
        <v>1406</v>
      </c>
      <c r="E1847" s="2" t="s">
        <v>30</v>
      </c>
      <c r="F1847" s="9">
        <f t="shared" si="113"/>
        <v>7</v>
      </c>
      <c r="G1847" s="9">
        <f t="shared" si="114"/>
        <v>0</v>
      </c>
      <c r="H1847" s="9">
        <f t="shared" si="115"/>
        <v>0</v>
      </c>
      <c r="I1847" s="10">
        <f t="shared" si="117"/>
        <v>7</v>
      </c>
    </row>
    <row r="1848" spans="1:9" x14ac:dyDescent="0.25">
      <c r="A1848" s="2" t="s">
        <v>3863</v>
      </c>
      <c r="B1848" s="2" t="s">
        <v>3864</v>
      </c>
      <c r="C1848" s="2" t="s">
        <v>2901</v>
      </c>
      <c r="D1848" s="2" t="s">
        <v>1406</v>
      </c>
      <c r="E1848" s="2" t="s">
        <v>30</v>
      </c>
      <c r="F1848" s="9">
        <f t="shared" ref="F1848:F1873" si="118">IFERROR(VLOOKUP(A1848,condi,8,0),0)</f>
        <v>1</v>
      </c>
      <c r="G1848" s="9">
        <f t="shared" ref="G1848:G1873" si="119">IFERROR(VLOOKUP(A1848,maqui,8,0),0)</f>
        <v>0</v>
      </c>
      <c r="H1848" s="9">
        <f t="shared" ref="H1848:H1873" si="120">IFERROR(VLOOKUP(A1848,ascint,8,0),0)</f>
        <v>0</v>
      </c>
      <c r="I1848" s="10">
        <f t="shared" ref="I1848:I1873" si="121">+F1848+G1848+H1848</f>
        <v>1</v>
      </c>
    </row>
    <row r="1849" spans="1:9" x14ac:dyDescent="0.25">
      <c r="A1849" s="2" t="s">
        <v>3865</v>
      </c>
      <c r="B1849" s="2" t="s">
        <v>3866</v>
      </c>
      <c r="C1849" s="2" t="s">
        <v>2901</v>
      </c>
      <c r="D1849" s="2" t="s">
        <v>1406</v>
      </c>
      <c r="E1849" s="2" t="s">
        <v>30</v>
      </c>
      <c r="F1849" s="9">
        <f t="shared" si="118"/>
        <v>54</v>
      </c>
      <c r="G1849" s="9">
        <f t="shared" si="119"/>
        <v>0</v>
      </c>
      <c r="H1849" s="9">
        <f t="shared" si="120"/>
        <v>0</v>
      </c>
      <c r="I1849" s="10">
        <f t="shared" si="121"/>
        <v>54</v>
      </c>
    </row>
    <row r="1850" spans="1:9" x14ac:dyDescent="0.25">
      <c r="A1850" s="2" t="s">
        <v>3867</v>
      </c>
      <c r="B1850" s="2" t="s">
        <v>3868</v>
      </c>
      <c r="C1850" s="2" t="s">
        <v>2901</v>
      </c>
      <c r="D1850" s="2" t="s">
        <v>1406</v>
      </c>
      <c r="E1850" s="2" t="s">
        <v>30</v>
      </c>
      <c r="F1850" s="9">
        <f t="shared" si="118"/>
        <v>1</v>
      </c>
      <c r="G1850" s="9">
        <f t="shared" si="119"/>
        <v>0</v>
      </c>
      <c r="H1850" s="9">
        <f t="shared" si="120"/>
        <v>0</v>
      </c>
      <c r="I1850" s="10">
        <f t="shared" si="121"/>
        <v>1</v>
      </c>
    </row>
    <row r="1851" spans="1:9" x14ac:dyDescent="0.25">
      <c r="A1851" s="2" t="s">
        <v>3869</v>
      </c>
      <c r="B1851" s="2" t="s">
        <v>3870</v>
      </c>
      <c r="C1851" s="2" t="s">
        <v>2901</v>
      </c>
      <c r="D1851" s="2" t="s">
        <v>1406</v>
      </c>
      <c r="E1851" s="2" t="s">
        <v>30</v>
      </c>
      <c r="F1851" s="9">
        <f t="shared" si="118"/>
        <v>3</v>
      </c>
      <c r="G1851" s="9">
        <f t="shared" si="119"/>
        <v>0</v>
      </c>
      <c r="H1851" s="9">
        <f t="shared" si="120"/>
        <v>0</v>
      </c>
      <c r="I1851" s="10">
        <f t="shared" si="121"/>
        <v>3</v>
      </c>
    </row>
    <row r="1852" spans="1:9" x14ac:dyDescent="0.25">
      <c r="A1852" s="2" t="s">
        <v>3871</v>
      </c>
      <c r="B1852" s="2" t="s">
        <v>3872</v>
      </c>
      <c r="C1852" s="2" t="s">
        <v>2901</v>
      </c>
      <c r="D1852" s="2" t="s">
        <v>1406</v>
      </c>
      <c r="E1852" s="2" t="s">
        <v>30</v>
      </c>
      <c r="F1852" s="9">
        <f t="shared" si="118"/>
        <v>1</v>
      </c>
      <c r="G1852" s="9">
        <f t="shared" si="119"/>
        <v>0</v>
      </c>
      <c r="H1852" s="9">
        <f t="shared" si="120"/>
        <v>0</v>
      </c>
      <c r="I1852" s="10">
        <f t="shared" si="121"/>
        <v>1</v>
      </c>
    </row>
    <row r="1853" spans="1:9" x14ac:dyDescent="0.25">
      <c r="A1853" s="2" t="s">
        <v>3873</v>
      </c>
      <c r="B1853" s="2" t="s">
        <v>3874</v>
      </c>
      <c r="C1853" s="2" t="s">
        <v>2901</v>
      </c>
      <c r="D1853" s="2" t="s">
        <v>1406</v>
      </c>
      <c r="E1853" s="2" t="s">
        <v>30</v>
      </c>
      <c r="F1853" s="9">
        <f t="shared" si="118"/>
        <v>2</v>
      </c>
      <c r="G1853" s="9">
        <f t="shared" si="119"/>
        <v>0</v>
      </c>
      <c r="H1853" s="9">
        <f t="shared" si="120"/>
        <v>0</v>
      </c>
      <c r="I1853" s="10">
        <f t="shared" si="121"/>
        <v>2</v>
      </c>
    </row>
    <row r="1854" spans="1:9" x14ac:dyDescent="0.25">
      <c r="A1854" s="2" t="s">
        <v>3875</v>
      </c>
      <c r="B1854" s="2" t="s">
        <v>3876</v>
      </c>
      <c r="C1854" s="2" t="s">
        <v>2901</v>
      </c>
      <c r="D1854" s="2" t="s">
        <v>1406</v>
      </c>
      <c r="E1854" s="2" t="s">
        <v>30</v>
      </c>
      <c r="F1854" s="9">
        <f t="shared" si="118"/>
        <v>8</v>
      </c>
      <c r="G1854" s="9">
        <f t="shared" si="119"/>
        <v>0</v>
      </c>
      <c r="H1854" s="9">
        <f t="shared" si="120"/>
        <v>0</v>
      </c>
      <c r="I1854" s="10">
        <f t="shared" si="121"/>
        <v>8</v>
      </c>
    </row>
    <row r="1855" spans="1:9" x14ac:dyDescent="0.25">
      <c r="A1855" s="2" t="s">
        <v>3877</v>
      </c>
      <c r="B1855" s="2" t="s">
        <v>3878</v>
      </c>
      <c r="C1855" s="2" t="s">
        <v>2901</v>
      </c>
      <c r="D1855" s="2" t="s">
        <v>1406</v>
      </c>
      <c r="E1855" s="2" t="s">
        <v>30</v>
      </c>
      <c r="F1855" s="9">
        <f t="shared" si="118"/>
        <v>30</v>
      </c>
      <c r="G1855" s="9">
        <f t="shared" si="119"/>
        <v>0</v>
      </c>
      <c r="H1855" s="9">
        <f t="shared" si="120"/>
        <v>0</v>
      </c>
      <c r="I1855" s="10">
        <f t="shared" si="121"/>
        <v>30</v>
      </c>
    </row>
    <row r="1856" spans="1:9" x14ac:dyDescent="0.25">
      <c r="A1856" s="2" t="s">
        <v>3879</v>
      </c>
      <c r="B1856" s="2" t="s">
        <v>3880</v>
      </c>
      <c r="C1856" s="2" t="s">
        <v>2901</v>
      </c>
      <c r="D1856" s="2" t="s">
        <v>1406</v>
      </c>
      <c r="E1856" s="2" t="s">
        <v>30</v>
      </c>
      <c r="F1856" s="9">
        <f t="shared" si="118"/>
        <v>1</v>
      </c>
      <c r="G1856" s="9">
        <f t="shared" si="119"/>
        <v>0</v>
      </c>
      <c r="H1856" s="9">
        <f t="shared" si="120"/>
        <v>0</v>
      </c>
      <c r="I1856" s="10">
        <f t="shared" si="121"/>
        <v>1</v>
      </c>
    </row>
    <row r="1857" spans="1:9" x14ac:dyDescent="0.25">
      <c r="A1857" s="2" t="s">
        <v>3881</v>
      </c>
      <c r="B1857" s="2" t="s">
        <v>3882</v>
      </c>
      <c r="C1857" s="2" t="s">
        <v>2901</v>
      </c>
      <c r="D1857" s="2" t="s">
        <v>1406</v>
      </c>
      <c r="E1857" s="2" t="s">
        <v>30</v>
      </c>
      <c r="F1857" s="9">
        <f t="shared" si="118"/>
        <v>1</v>
      </c>
      <c r="G1857" s="9">
        <f t="shared" si="119"/>
        <v>0</v>
      </c>
      <c r="H1857" s="9">
        <f t="shared" si="120"/>
        <v>0</v>
      </c>
      <c r="I1857" s="10">
        <f t="shared" si="121"/>
        <v>1</v>
      </c>
    </row>
    <row r="1858" spans="1:9" x14ac:dyDescent="0.25">
      <c r="A1858" s="2" t="s">
        <v>3883</v>
      </c>
      <c r="B1858" s="2" t="s">
        <v>3884</v>
      </c>
      <c r="C1858" s="2" t="s">
        <v>2901</v>
      </c>
      <c r="D1858" s="2" t="s">
        <v>1406</v>
      </c>
      <c r="E1858" s="2" t="s">
        <v>30</v>
      </c>
      <c r="F1858" s="9">
        <f t="shared" si="118"/>
        <v>1</v>
      </c>
      <c r="G1858" s="9">
        <f t="shared" si="119"/>
        <v>0</v>
      </c>
      <c r="H1858" s="9">
        <f t="shared" si="120"/>
        <v>0</v>
      </c>
      <c r="I1858" s="10">
        <f t="shared" si="121"/>
        <v>1</v>
      </c>
    </row>
    <row r="1859" spans="1:9" x14ac:dyDescent="0.25">
      <c r="A1859" s="2" t="s">
        <v>3885</v>
      </c>
      <c r="B1859" s="2" t="s">
        <v>3886</v>
      </c>
      <c r="C1859" s="2" t="s">
        <v>2901</v>
      </c>
      <c r="D1859" s="2" t="s">
        <v>1406</v>
      </c>
      <c r="E1859" s="2" t="s">
        <v>30</v>
      </c>
      <c r="F1859" s="9">
        <f t="shared" si="118"/>
        <v>5</v>
      </c>
      <c r="G1859" s="9">
        <f t="shared" si="119"/>
        <v>0</v>
      </c>
      <c r="H1859" s="9">
        <f t="shared" si="120"/>
        <v>0</v>
      </c>
      <c r="I1859" s="10">
        <f t="shared" si="121"/>
        <v>5</v>
      </c>
    </row>
    <row r="1860" spans="1:9" x14ac:dyDescent="0.25">
      <c r="A1860" s="2" t="s">
        <v>3887</v>
      </c>
      <c r="B1860" s="2" t="s">
        <v>3888</v>
      </c>
      <c r="C1860" s="2" t="s">
        <v>2901</v>
      </c>
      <c r="D1860" s="2" t="s">
        <v>1406</v>
      </c>
      <c r="E1860" s="2" t="s">
        <v>30</v>
      </c>
      <c r="F1860" s="9">
        <f t="shared" si="118"/>
        <v>4</v>
      </c>
      <c r="G1860" s="9">
        <f t="shared" si="119"/>
        <v>0</v>
      </c>
      <c r="H1860" s="9">
        <f t="shared" si="120"/>
        <v>0</v>
      </c>
      <c r="I1860" s="10">
        <f t="shared" si="121"/>
        <v>4</v>
      </c>
    </row>
    <row r="1861" spans="1:9" x14ac:dyDescent="0.25">
      <c r="A1861" s="2" t="s">
        <v>3889</v>
      </c>
      <c r="B1861" s="2" t="s">
        <v>3890</v>
      </c>
      <c r="C1861" s="2" t="s">
        <v>2901</v>
      </c>
      <c r="D1861" s="2" t="s">
        <v>1406</v>
      </c>
      <c r="E1861" s="2" t="s">
        <v>30</v>
      </c>
      <c r="F1861" s="9">
        <f t="shared" si="118"/>
        <v>6</v>
      </c>
      <c r="G1861" s="9">
        <f t="shared" si="119"/>
        <v>0</v>
      </c>
      <c r="H1861" s="9">
        <f t="shared" si="120"/>
        <v>0</v>
      </c>
      <c r="I1861" s="10">
        <f t="shared" si="121"/>
        <v>6</v>
      </c>
    </row>
    <row r="1862" spans="1:9" x14ac:dyDescent="0.25">
      <c r="A1862" s="2" t="s">
        <v>3891</v>
      </c>
      <c r="B1862" s="2" t="s">
        <v>3892</v>
      </c>
      <c r="C1862" s="2" t="s">
        <v>2901</v>
      </c>
      <c r="D1862" s="2" t="s">
        <v>1406</v>
      </c>
      <c r="E1862" s="2" t="s">
        <v>30</v>
      </c>
      <c r="F1862" s="9">
        <f t="shared" si="118"/>
        <v>1</v>
      </c>
      <c r="G1862" s="9">
        <f t="shared" si="119"/>
        <v>0</v>
      </c>
      <c r="H1862" s="9">
        <f t="shared" si="120"/>
        <v>0</v>
      </c>
      <c r="I1862" s="10">
        <f t="shared" si="121"/>
        <v>1</v>
      </c>
    </row>
    <row r="1863" spans="1:9" x14ac:dyDescent="0.25">
      <c r="A1863" s="2" t="s">
        <v>3893</v>
      </c>
      <c r="B1863" s="2" t="s">
        <v>3894</v>
      </c>
      <c r="C1863" s="2" t="s">
        <v>2901</v>
      </c>
      <c r="D1863" s="2" t="s">
        <v>1406</v>
      </c>
      <c r="E1863" s="2" t="s">
        <v>30</v>
      </c>
      <c r="F1863" s="9">
        <f t="shared" si="118"/>
        <v>3</v>
      </c>
      <c r="G1863" s="9">
        <f t="shared" si="119"/>
        <v>0</v>
      </c>
      <c r="H1863" s="9">
        <f t="shared" si="120"/>
        <v>0</v>
      </c>
      <c r="I1863" s="10">
        <f t="shared" si="121"/>
        <v>3</v>
      </c>
    </row>
    <row r="1864" spans="1:9" x14ac:dyDescent="0.25">
      <c r="A1864" s="2" t="s">
        <v>3895</v>
      </c>
      <c r="B1864" s="2" t="s">
        <v>3896</v>
      </c>
      <c r="C1864" s="2" t="s">
        <v>2901</v>
      </c>
      <c r="D1864" s="2" t="s">
        <v>1406</v>
      </c>
      <c r="E1864" s="2" t="s">
        <v>30</v>
      </c>
      <c r="F1864" s="9">
        <f t="shared" si="118"/>
        <v>1</v>
      </c>
      <c r="G1864" s="9">
        <f t="shared" si="119"/>
        <v>0</v>
      </c>
      <c r="H1864" s="9">
        <f t="shared" si="120"/>
        <v>0</v>
      </c>
      <c r="I1864" s="10">
        <f t="shared" si="121"/>
        <v>1</v>
      </c>
    </row>
    <row r="1865" spans="1:9" x14ac:dyDescent="0.25">
      <c r="A1865" s="2" t="s">
        <v>3897</v>
      </c>
      <c r="B1865" s="2" t="s">
        <v>3898</v>
      </c>
      <c r="C1865" s="2" t="s">
        <v>2901</v>
      </c>
      <c r="D1865" s="2" t="s">
        <v>1406</v>
      </c>
      <c r="E1865" s="2" t="s">
        <v>30</v>
      </c>
      <c r="F1865" s="9">
        <f t="shared" si="118"/>
        <v>2</v>
      </c>
      <c r="G1865" s="9">
        <f t="shared" si="119"/>
        <v>0</v>
      </c>
      <c r="H1865" s="9">
        <f t="shared" si="120"/>
        <v>0</v>
      </c>
      <c r="I1865" s="10">
        <f t="shared" si="121"/>
        <v>2</v>
      </c>
    </row>
    <row r="1866" spans="1:9" x14ac:dyDescent="0.25">
      <c r="A1866" s="2" t="s">
        <v>3899</v>
      </c>
      <c r="B1866" s="2" t="s">
        <v>3900</v>
      </c>
      <c r="C1866" s="2" t="s">
        <v>2901</v>
      </c>
      <c r="D1866" s="2" t="s">
        <v>1406</v>
      </c>
      <c r="E1866" s="2" t="s">
        <v>30</v>
      </c>
      <c r="F1866" s="9">
        <f t="shared" si="118"/>
        <v>1</v>
      </c>
      <c r="G1866" s="9">
        <f t="shared" si="119"/>
        <v>0</v>
      </c>
      <c r="H1866" s="9">
        <f t="shared" si="120"/>
        <v>0</v>
      </c>
      <c r="I1866" s="10">
        <f t="shared" si="121"/>
        <v>1</v>
      </c>
    </row>
    <row r="1867" spans="1:9" x14ac:dyDescent="0.25">
      <c r="A1867" s="2" t="s">
        <v>3901</v>
      </c>
      <c r="B1867" s="2" t="s">
        <v>3902</v>
      </c>
      <c r="C1867" s="2" t="s">
        <v>2901</v>
      </c>
      <c r="D1867" s="2" t="s">
        <v>1406</v>
      </c>
      <c r="E1867" s="2" t="s">
        <v>30</v>
      </c>
      <c r="F1867" s="9">
        <f t="shared" si="118"/>
        <v>7</v>
      </c>
      <c r="G1867" s="9">
        <f t="shared" si="119"/>
        <v>0</v>
      </c>
      <c r="H1867" s="9">
        <f t="shared" si="120"/>
        <v>0</v>
      </c>
      <c r="I1867" s="10">
        <f t="shared" si="121"/>
        <v>7</v>
      </c>
    </row>
    <row r="1868" spans="1:9" x14ac:dyDescent="0.25">
      <c r="A1868" s="2" t="s">
        <v>3903</v>
      </c>
      <c r="B1868" s="2" t="s">
        <v>3904</v>
      </c>
      <c r="C1868" s="2" t="s">
        <v>2901</v>
      </c>
      <c r="D1868" s="2" t="s">
        <v>1406</v>
      </c>
      <c r="E1868" s="2" t="s">
        <v>30</v>
      </c>
      <c r="F1868" s="9">
        <f t="shared" si="118"/>
        <v>2</v>
      </c>
      <c r="G1868" s="9">
        <f t="shared" si="119"/>
        <v>0</v>
      </c>
      <c r="H1868" s="9">
        <f t="shared" si="120"/>
        <v>0</v>
      </c>
      <c r="I1868" s="10">
        <f t="shared" si="121"/>
        <v>2</v>
      </c>
    </row>
    <row r="1869" spans="1:9" x14ac:dyDescent="0.25">
      <c r="A1869" s="2" t="s">
        <v>3905</v>
      </c>
      <c r="B1869" s="2" t="s">
        <v>3906</v>
      </c>
      <c r="C1869" s="2" t="s">
        <v>2901</v>
      </c>
      <c r="D1869" s="2" t="s">
        <v>1406</v>
      </c>
      <c r="E1869" s="2" t="s">
        <v>30</v>
      </c>
      <c r="F1869" s="9">
        <f t="shared" si="118"/>
        <v>6</v>
      </c>
      <c r="G1869" s="9">
        <f t="shared" si="119"/>
        <v>0</v>
      </c>
      <c r="H1869" s="9">
        <f t="shared" si="120"/>
        <v>0</v>
      </c>
      <c r="I1869" s="10">
        <f t="shared" si="121"/>
        <v>6</v>
      </c>
    </row>
    <row r="1870" spans="1:9" x14ac:dyDescent="0.25">
      <c r="A1870" s="4" t="s">
        <v>3907</v>
      </c>
      <c r="B1870" s="4" t="s">
        <v>3908</v>
      </c>
      <c r="C1870" s="4" t="s">
        <v>2901</v>
      </c>
      <c r="D1870" s="4" t="s">
        <v>1406</v>
      </c>
      <c r="E1870" s="4" t="s">
        <v>30</v>
      </c>
      <c r="F1870" s="9">
        <f t="shared" si="118"/>
        <v>9</v>
      </c>
      <c r="G1870" s="9">
        <f t="shared" si="119"/>
        <v>0</v>
      </c>
      <c r="H1870" s="9">
        <f t="shared" si="120"/>
        <v>0</v>
      </c>
      <c r="I1870" s="10">
        <f t="shared" si="121"/>
        <v>9</v>
      </c>
    </row>
    <row r="1871" spans="1:9" x14ac:dyDescent="0.25">
      <c r="A1871" s="4" t="s">
        <v>3909</v>
      </c>
      <c r="B1871" s="4" t="s">
        <v>3910</v>
      </c>
      <c r="C1871" s="4" t="s">
        <v>2901</v>
      </c>
      <c r="D1871" s="4" t="s">
        <v>1406</v>
      </c>
      <c r="E1871" s="4" t="s">
        <v>30</v>
      </c>
      <c r="F1871" s="9">
        <f t="shared" si="118"/>
        <v>3</v>
      </c>
      <c r="G1871" s="9">
        <f t="shared" si="119"/>
        <v>0</v>
      </c>
      <c r="H1871" s="9">
        <f t="shared" si="120"/>
        <v>0</v>
      </c>
      <c r="I1871" s="10">
        <f t="shared" si="121"/>
        <v>3</v>
      </c>
    </row>
    <row r="1872" spans="1:9" x14ac:dyDescent="0.25">
      <c r="A1872" s="4" t="s">
        <v>3911</v>
      </c>
      <c r="B1872" s="4" t="s">
        <v>3912</v>
      </c>
      <c r="C1872" s="4" t="s">
        <v>2922</v>
      </c>
      <c r="D1872" s="4" t="s">
        <v>1406</v>
      </c>
      <c r="E1872" s="4" t="s">
        <v>30</v>
      </c>
      <c r="F1872" s="9">
        <f t="shared" si="118"/>
        <v>0</v>
      </c>
      <c r="G1872" s="9">
        <f t="shared" si="119"/>
        <v>0</v>
      </c>
      <c r="H1872" s="9">
        <f t="shared" si="120"/>
        <v>0</v>
      </c>
      <c r="I1872" s="10">
        <f t="shared" si="121"/>
        <v>0</v>
      </c>
    </row>
    <row r="1873" spans="1:9" x14ac:dyDescent="0.25">
      <c r="A1873" s="4" t="s">
        <v>3913</v>
      </c>
      <c r="B1873" s="4" t="s">
        <v>3914</v>
      </c>
      <c r="C1873" s="4" t="s">
        <v>2922</v>
      </c>
      <c r="D1873" s="4" t="s">
        <v>1406</v>
      </c>
      <c r="E1873" s="4" t="s">
        <v>30</v>
      </c>
      <c r="F1873" s="9">
        <f t="shared" si="118"/>
        <v>1</v>
      </c>
      <c r="G1873" s="9">
        <f t="shared" si="119"/>
        <v>0</v>
      </c>
      <c r="H1873" s="9">
        <f t="shared" si="120"/>
        <v>0</v>
      </c>
      <c r="I1873" s="10">
        <f t="shared" si="121"/>
        <v>1</v>
      </c>
    </row>
    <row r="1874" spans="1:9" x14ac:dyDescent="0.25">
      <c r="A1874" s="11" t="s">
        <v>5607</v>
      </c>
      <c r="B1874" s="11" t="s">
        <v>5608</v>
      </c>
      <c r="C1874" s="11" t="s">
        <v>81</v>
      </c>
      <c r="D1874" s="4" t="s">
        <v>1406</v>
      </c>
      <c r="E1874" t="s">
        <v>489</v>
      </c>
      <c r="F1874" s="9">
        <f t="shared" ref="F1874:F1937" si="122">IFERROR(VLOOKUP(A1874,condi,8,0),0)</f>
        <v>0</v>
      </c>
      <c r="G1874" s="9">
        <f t="shared" ref="G1874:G1937" si="123">IFERROR(VLOOKUP(A1874,maqui,8,0),0)</f>
        <v>0</v>
      </c>
      <c r="H1874" s="9">
        <f t="shared" ref="H1874:H1937" si="124">IFERROR(VLOOKUP(A1874,ascint,8,0),0)</f>
        <v>0</v>
      </c>
      <c r="I1874" s="10">
        <f t="shared" ref="I1874:I1937" si="125">+F1874+G1874+H1874</f>
        <v>0</v>
      </c>
    </row>
    <row r="1875" spans="1:9" x14ac:dyDescent="0.25">
      <c r="A1875" s="11" t="s">
        <v>5609</v>
      </c>
      <c r="B1875" s="11" t="s">
        <v>5610</v>
      </c>
      <c r="C1875" s="11" t="s">
        <v>81</v>
      </c>
      <c r="D1875" s="4" t="s">
        <v>1406</v>
      </c>
      <c r="E1875" t="s">
        <v>489</v>
      </c>
      <c r="F1875" s="9">
        <f t="shared" si="122"/>
        <v>0</v>
      </c>
      <c r="G1875" s="9">
        <f t="shared" si="123"/>
        <v>0</v>
      </c>
      <c r="H1875" s="9">
        <f t="shared" si="124"/>
        <v>0</v>
      </c>
      <c r="I1875" s="10">
        <f t="shared" si="125"/>
        <v>0</v>
      </c>
    </row>
    <row r="1876" spans="1:9" x14ac:dyDescent="0.25">
      <c r="A1876" s="11" t="s">
        <v>5611</v>
      </c>
      <c r="B1876" s="11" t="s">
        <v>5612</v>
      </c>
      <c r="C1876" s="11" t="s">
        <v>81</v>
      </c>
      <c r="D1876" s="4" t="s">
        <v>1406</v>
      </c>
      <c r="E1876" t="s">
        <v>489</v>
      </c>
      <c r="F1876" s="9">
        <f t="shared" si="122"/>
        <v>0</v>
      </c>
      <c r="G1876" s="9">
        <f t="shared" si="123"/>
        <v>0</v>
      </c>
      <c r="H1876" s="9">
        <f t="shared" si="124"/>
        <v>0</v>
      </c>
      <c r="I1876" s="10">
        <f t="shared" si="125"/>
        <v>0</v>
      </c>
    </row>
    <row r="1877" spans="1:9" x14ac:dyDescent="0.25">
      <c r="A1877" s="11" t="s">
        <v>5613</v>
      </c>
      <c r="B1877" s="11" t="s">
        <v>5614</v>
      </c>
      <c r="C1877" s="11" t="s">
        <v>81</v>
      </c>
      <c r="D1877" s="4" t="s">
        <v>1406</v>
      </c>
      <c r="E1877" t="s">
        <v>489</v>
      </c>
      <c r="F1877" s="9">
        <f t="shared" si="122"/>
        <v>0</v>
      </c>
      <c r="G1877" s="9">
        <f t="shared" si="123"/>
        <v>0</v>
      </c>
      <c r="H1877" s="9">
        <f t="shared" si="124"/>
        <v>0</v>
      </c>
      <c r="I1877" s="10">
        <f t="shared" si="125"/>
        <v>0</v>
      </c>
    </row>
    <row r="1878" spans="1:9" x14ac:dyDescent="0.25">
      <c r="A1878" s="11" t="s">
        <v>5615</v>
      </c>
      <c r="B1878" s="11" t="s">
        <v>5616</v>
      </c>
      <c r="C1878" s="11" t="s">
        <v>81</v>
      </c>
      <c r="D1878" s="4" t="s">
        <v>1406</v>
      </c>
      <c r="E1878" t="s">
        <v>489</v>
      </c>
      <c r="F1878" s="9">
        <f t="shared" si="122"/>
        <v>0</v>
      </c>
      <c r="G1878" s="9">
        <f t="shared" si="123"/>
        <v>0</v>
      </c>
      <c r="H1878" s="9">
        <f t="shared" si="124"/>
        <v>0</v>
      </c>
      <c r="I1878" s="10">
        <f t="shared" si="125"/>
        <v>0</v>
      </c>
    </row>
    <row r="1879" spans="1:9" x14ac:dyDescent="0.25">
      <c r="A1879" s="11" t="s">
        <v>5617</v>
      </c>
      <c r="B1879" s="11" t="s">
        <v>5618</v>
      </c>
      <c r="C1879" s="11" t="s">
        <v>81</v>
      </c>
      <c r="D1879" s="4" t="s">
        <v>1406</v>
      </c>
      <c r="E1879" t="s">
        <v>489</v>
      </c>
      <c r="F1879" s="9">
        <f t="shared" si="122"/>
        <v>0</v>
      </c>
      <c r="G1879" s="9">
        <f t="shared" si="123"/>
        <v>0</v>
      </c>
      <c r="H1879" s="9">
        <f t="shared" si="124"/>
        <v>0</v>
      </c>
      <c r="I1879" s="10">
        <f t="shared" si="125"/>
        <v>0</v>
      </c>
    </row>
    <row r="1880" spans="1:9" x14ac:dyDescent="0.25">
      <c r="A1880" s="11" t="s">
        <v>5619</v>
      </c>
      <c r="B1880" s="11" t="s">
        <v>5620</v>
      </c>
      <c r="C1880" s="11" t="s">
        <v>81</v>
      </c>
      <c r="D1880" s="4" t="s">
        <v>1406</v>
      </c>
      <c r="E1880" t="s">
        <v>489</v>
      </c>
      <c r="F1880" s="9">
        <f t="shared" si="122"/>
        <v>0</v>
      </c>
      <c r="G1880" s="9">
        <f t="shared" si="123"/>
        <v>0</v>
      </c>
      <c r="H1880" s="9">
        <f t="shared" si="124"/>
        <v>0</v>
      </c>
      <c r="I1880" s="10">
        <f t="shared" si="125"/>
        <v>0</v>
      </c>
    </row>
    <row r="1881" spans="1:9" x14ac:dyDescent="0.25">
      <c r="A1881" s="11" t="s">
        <v>5621</v>
      </c>
      <c r="B1881" s="11" t="s">
        <v>5622</v>
      </c>
      <c r="C1881" s="11" t="s">
        <v>81</v>
      </c>
      <c r="D1881" s="4" t="s">
        <v>1406</v>
      </c>
      <c r="E1881" t="s">
        <v>82</v>
      </c>
      <c r="F1881" s="9">
        <f t="shared" si="122"/>
        <v>0</v>
      </c>
      <c r="G1881" s="9">
        <f t="shared" si="123"/>
        <v>0</v>
      </c>
      <c r="H1881" s="9">
        <f t="shared" si="124"/>
        <v>0</v>
      </c>
      <c r="I1881" s="10">
        <f t="shared" si="125"/>
        <v>0</v>
      </c>
    </row>
    <row r="1882" spans="1:9" x14ac:dyDescent="0.25">
      <c r="A1882" s="11" t="s">
        <v>5623</v>
      </c>
      <c r="B1882" s="11" t="s">
        <v>5624</v>
      </c>
      <c r="C1882" s="11" t="s">
        <v>81</v>
      </c>
      <c r="D1882" s="4" t="s">
        <v>1406</v>
      </c>
      <c r="E1882" t="s">
        <v>489</v>
      </c>
      <c r="F1882" s="9">
        <f t="shared" si="122"/>
        <v>0</v>
      </c>
      <c r="G1882" s="9">
        <f t="shared" si="123"/>
        <v>0</v>
      </c>
      <c r="H1882" s="9">
        <f t="shared" si="124"/>
        <v>0</v>
      </c>
      <c r="I1882" s="10">
        <f t="shared" si="125"/>
        <v>0</v>
      </c>
    </row>
    <row r="1883" spans="1:9" x14ac:dyDescent="0.25">
      <c r="A1883" s="11" t="s">
        <v>5625</v>
      </c>
      <c r="B1883" s="11" t="s">
        <v>5626</v>
      </c>
      <c r="C1883" s="11" t="s">
        <v>81</v>
      </c>
      <c r="D1883" s="4" t="s">
        <v>1406</v>
      </c>
      <c r="E1883" t="s">
        <v>489</v>
      </c>
      <c r="F1883" s="9">
        <f t="shared" si="122"/>
        <v>0</v>
      </c>
      <c r="G1883" s="9">
        <f t="shared" si="123"/>
        <v>0</v>
      </c>
      <c r="H1883" s="9">
        <f t="shared" si="124"/>
        <v>0</v>
      </c>
      <c r="I1883" s="10">
        <f t="shared" si="125"/>
        <v>0</v>
      </c>
    </row>
    <row r="1884" spans="1:9" x14ac:dyDescent="0.25">
      <c r="A1884" s="11" t="s">
        <v>5627</v>
      </c>
      <c r="B1884" s="11" t="s">
        <v>5628</v>
      </c>
      <c r="C1884" s="11" t="s">
        <v>81</v>
      </c>
      <c r="D1884" s="4" t="s">
        <v>1406</v>
      </c>
      <c r="E1884" t="s">
        <v>489</v>
      </c>
      <c r="F1884" s="9">
        <f t="shared" si="122"/>
        <v>0</v>
      </c>
      <c r="G1884" s="9">
        <f t="shared" si="123"/>
        <v>0</v>
      </c>
      <c r="H1884" s="9">
        <f t="shared" si="124"/>
        <v>0</v>
      </c>
      <c r="I1884" s="10">
        <f t="shared" si="125"/>
        <v>0</v>
      </c>
    </row>
    <row r="1885" spans="1:9" x14ac:dyDescent="0.25">
      <c r="A1885" s="11" t="s">
        <v>5629</v>
      </c>
      <c r="B1885" s="11" t="s">
        <v>5630</v>
      </c>
      <c r="C1885" s="11" t="s">
        <v>81</v>
      </c>
      <c r="D1885" s="4" t="s">
        <v>1406</v>
      </c>
      <c r="E1885" t="s">
        <v>489</v>
      </c>
      <c r="F1885" s="9">
        <f t="shared" si="122"/>
        <v>0</v>
      </c>
      <c r="G1885" s="9">
        <f t="shared" si="123"/>
        <v>0</v>
      </c>
      <c r="H1885" s="9">
        <f t="shared" si="124"/>
        <v>0</v>
      </c>
      <c r="I1885" s="10">
        <f t="shared" si="125"/>
        <v>0</v>
      </c>
    </row>
    <row r="1886" spans="1:9" x14ac:dyDescent="0.25">
      <c r="A1886" s="11" t="s">
        <v>5631</v>
      </c>
      <c r="B1886" s="11" t="s">
        <v>5632</v>
      </c>
      <c r="C1886" s="11" t="s">
        <v>81</v>
      </c>
      <c r="D1886" s="4" t="s">
        <v>1406</v>
      </c>
      <c r="E1886" t="s">
        <v>489</v>
      </c>
      <c r="F1886" s="9">
        <f t="shared" si="122"/>
        <v>0</v>
      </c>
      <c r="G1886" s="9">
        <f t="shared" si="123"/>
        <v>0</v>
      </c>
      <c r="H1886" s="9">
        <f t="shared" si="124"/>
        <v>0</v>
      </c>
      <c r="I1886" s="10">
        <f t="shared" si="125"/>
        <v>0</v>
      </c>
    </row>
    <row r="1887" spans="1:9" x14ac:dyDescent="0.25">
      <c r="A1887" s="11" t="s">
        <v>5633</v>
      </c>
      <c r="B1887" s="11" t="s">
        <v>5634</v>
      </c>
      <c r="C1887" s="11" t="s">
        <v>81</v>
      </c>
      <c r="D1887" s="4" t="s">
        <v>1406</v>
      </c>
      <c r="E1887" t="s">
        <v>489</v>
      </c>
      <c r="F1887" s="9">
        <f t="shared" si="122"/>
        <v>0</v>
      </c>
      <c r="G1887" s="9">
        <f t="shared" si="123"/>
        <v>0</v>
      </c>
      <c r="H1887" s="9">
        <f t="shared" si="124"/>
        <v>0</v>
      </c>
      <c r="I1887" s="10">
        <f t="shared" si="125"/>
        <v>0</v>
      </c>
    </row>
    <row r="1888" spans="1:9" x14ac:dyDescent="0.25">
      <c r="A1888" s="11" t="s">
        <v>5635</v>
      </c>
      <c r="B1888" s="11" t="s">
        <v>5636</v>
      </c>
      <c r="C1888" s="11" t="s">
        <v>81</v>
      </c>
      <c r="D1888" s="4" t="s">
        <v>1406</v>
      </c>
      <c r="E1888" t="s">
        <v>489</v>
      </c>
      <c r="F1888" s="9">
        <f t="shared" si="122"/>
        <v>0</v>
      </c>
      <c r="G1888" s="9">
        <f t="shared" si="123"/>
        <v>0</v>
      </c>
      <c r="H1888" s="9">
        <f t="shared" si="124"/>
        <v>0</v>
      </c>
      <c r="I1888" s="10">
        <f t="shared" si="125"/>
        <v>0</v>
      </c>
    </row>
    <row r="1889" spans="1:9" x14ac:dyDescent="0.25">
      <c r="A1889" s="11" t="s">
        <v>5637</v>
      </c>
      <c r="B1889" s="11" t="s">
        <v>5638</v>
      </c>
      <c r="C1889" s="11" t="s">
        <v>81</v>
      </c>
      <c r="D1889" s="4" t="s">
        <v>1406</v>
      </c>
      <c r="E1889" t="s">
        <v>489</v>
      </c>
      <c r="F1889" s="9">
        <f t="shared" si="122"/>
        <v>0</v>
      </c>
      <c r="G1889" s="9">
        <f t="shared" si="123"/>
        <v>0</v>
      </c>
      <c r="H1889" s="9">
        <f t="shared" si="124"/>
        <v>0</v>
      </c>
      <c r="I1889" s="10">
        <f t="shared" si="125"/>
        <v>0</v>
      </c>
    </row>
    <row r="1890" spans="1:9" x14ac:dyDescent="0.25">
      <c r="A1890" s="11" t="s">
        <v>5639</v>
      </c>
      <c r="B1890" s="11" t="s">
        <v>5640</v>
      </c>
      <c r="C1890" s="11" t="s">
        <v>81</v>
      </c>
      <c r="D1890" s="4" t="s">
        <v>1406</v>
      </c>
      <c r="E1890" t="s">
        <v>489</v>
      </c>
      <c r="F1890" s="9">
        <f t="shared" si="122"/>
        <v>0</v>
      </c>
      <c r="G1890" s="9">
        <f t="shared" si="123"/>
        <v>0</v>
      </c>
      <c r="H1890" s="9">
        <f t="shared" si="124"/>
        <v>0</v>
      </c>
      <c r="I1890" s="10">
        <f t="shared" si="125"/>
        <v>0</v>
      </c>
    </row>
    <row r="1891" spans="1:9" x14ac:dyDescent="0.25">
      <c r="A1891" s="11" t="s">
        <v>5641</v>
      </c>
      <c r="B1891" s="11" t="s">
        <v>5642</v>
      </c>
      <c r="C1891" s="11" t="s">
        <v>81</v>
      </c>
      <c r="D1891" s="4" t="s">
        <v>1406</v>
      </c>
      <c r="E1891" t="s">
        <v>489</v>
      </c>
      <c r="F1891" s="9">
        <f t="shared" si="122"/>
        <v>0</v>
      </c>
      <c r="G1891" s="9">
        <f t="shared" si="123"/>
        <v>0</v>
      </c>
      <c r="H1891" s="9">
        <f t="shared" si="124"/>
        <v>0</v>
      </c>
      <c r="I1891" s="10">
        <f t="shared" si="125"/>
        <v>0</v>
      </c>
    </row>
    <row r="1892" spans="1:9" x14ac:dyDescent="0.25">
      <c r="A1892" s="11" t="s">
        <v>5643</v>
      </c>
      <c r="B1892" s="11" t="s">
        <v>5644</v>
      </c>
      <c r="C1892" s="11" t="s">
        <v>81</v>
      </c>
      <c r="D1892" s="4" t="s">
        <v>1406</v>
      </c>
      <c r="E1892" t="s">
        <v>489</v>
      </c>
      <c r="F1892" s="9">
        <f t="shared" si="122"/>
        <v>0</v>
      </c>
      <c r="G1892" s="9">
        <f t="shared" si="123"/>
        <v>0</v>
      </c>
      <c r="H1892" s="9">
        <f t="shared" si="124"/>
        <v>0</v>
      </c>
      <c r="I1892" s="10">
        <f t="shared" si="125"/>
        <v>0</v>
      </c>
    </row>
    <row r="1893" spans="1:9" x14ac:dyDescent="0.25">
      <c r="A1893" s="11" t="s">
        <v>5645</v>
      </c>
      <c r="B1893" s="11" t="s">
        <v>5646</v>
      </c>
      <c r="C1893" s="11" t="s">
        <v>81</v>
      </c>
      <c r="D1893" s="4" t="s">
        <v>1406</v>
      </c>
      <c r="E1893" t="s">
        <v>489</v>
      </c>
      <c r="F1893" s="9">
        <f t="shared" si="122"/>
        <v>0</v>
      </c>
      <c r="G1893" s="9">
        <f t="shared" si="123"/>
        <v>0</v>
      </c>
      <c r="H1893" s="9">
        <f t="shared" si="124"/>
        <v>0</v>
      </c>
      <c r="I1893" s="10">
        <f t="shared" si="125"/>
        <v>0</v>
      </c>
    </row>
    <row r="1894" spans="1:9" x14ac:dyDescent="0.25">
      <c r="A1894" s="11" t="s">
        <v>5647</v>
      </c>
      <c r="B1894" s="11" t="s">
        <v>5648</v>
      </c>
      <c r="C1894" s="11" t="s">
        <v>81</v>
      </c>
      <c r="D1894" s="4" t="s">
        <v>1406</v>
      </c>
      <c r="E1894" t="s">
        <v>489</v>
      </c>
      <c r="F1894" s="9">
        <f t="shared" si="122"/>
        <v>0</v>
      </c>
      <c r="G1894" s="9">
        <f t="shared" si="123"/>
        <v>0</v>
      </c>
      <c r="H1894" s="9">
        <f t="shared" si="124"/>
        <v>0</v>
      </c>
      <c r="I1894" s="10">
        <f t="shared" si="125"/>
        <v>0</v>
      </c>
    </row>
    <row r="1895" spans="1:9" x14ac:dyDescent="0.25">
      <c r="A1895" s="11" t="s">
        <v>5649</v>
      </c>
      <c r="B1895" s="11" t="s">
        <v>5650</v>
      </c>
      <c r="C1895" s="11" t="s">
        <v>81</v>
      </c>
      <c r="D1895" s="4" t="s">
        <v>1406</v>
      </c>
      <c r="E1895" t="s">
        <v>489</v>
      </c>
      <c r="F1895" s="9">
        <f t="shared" si="122"/>
        <v>0</v>
      </c>
      <c r="G1895" s="9">
        <f t="shared" si="123"/>
        <v>0</v>
      </c>
      <c r="H1895" s="9">
        <f t="shared" si="124"/>
        <v>0</v>
      </c>
      <c r="I1895" s="10">
        <f t="shared" si="125"/>
        <v>0</v>
      </c>
    </row>
    <row r="1896" spans="1:9" x14ac:dyDescent="0.25">
      <c r="A1896" s="11" t="s">
        <v>5651</v>
      </c>
      <c r="B1896" s="11" t="s">
        <v>5652</v>
      </c>
      <c r="C1896" s="11" t="s">
        <v>81</v>
      </c>
      <c r="D1896" s="4" t="s">
        <v>1406</v>
      </c>
      <c r="E1896" t="s">
        <v>489</v>
      </c>
      <c r="F1896" s="9">
        <f t="shared" si="122"/>
        <v>0</v>
      </c>
      <c r="G1896" s="9">
        <f t="shared" si="123"/>
        <v>0</v>
      </c>
      <c r="H1896" s="9">
        <f t="shared" si="124"/>
        <v>0</v>
      </c>
      <c r="I1896" s="10">
        <f t="shared" si="125"/>
        <v>0</v>
      </c>
    </row>
    <row r="1897" spans="1:9" x14ac:dyDescent="0.25">
      <c r="A1897" s="11" t="s">
        <v>5653</v>
      </c>
      <c r="B1897" s="11" t="s">
        <v>5654</v>
      </c>
      <c r="C1897" s="11" t="s">
        <v>81</v>
      </c>
      <c r="D1897" s="4" t="s">
        <v>1406</v>
      </c>
      <c r="E1897" t="s">
        <v>489</v>
      </c>
      <c r="F1897" s="9">
        <f t="shared" si="122"/>
        <v>0</v>
      </c>
      <c r="G1897" s="9">
        <f t="shared" si="123"/>
        <v>0</v>
      </c>
      <c r="H1897" s="9">
        <f t="shared" si="124"/>
        <v>0</v>
      </c>
      <c r="I1897" s="10">
        <f t="shared" si="125"/>
        <v>0</v>
      </c>
    </row>
    <row r="1898" spans="1:9" x14ac:dyDescent="0.25">
      <c r="A1898" s="11" t="s">
        <v>5655</v>
      </c>
      <c r="B1898" s="11" t="s">
        <v>5656</v>
      </c>
      <c r="C1898" s="11" t="s">
        <v>81</v>
      </c>
      <c r="D1898" s="4" t="s">
        <v>1406</v>
      </c>
      <c r="E1898" t="s">
        <v>489</v>
      </c>
      <c r="F1898" s="9">
        <f t="shared" si="122"/>
        <v>0</v>
      </c>
      <c r="G1898" s="9">
        <f t="shared" si="123"/>
        <v>0</v>
      </c>
      <c r="H1898" s="9">
        <f t="shared" si="124"/>
        <v>0</v>
      </c>
      <c r="I1898" s="10">
        <f t="shared" si="125"/>
        <v>0</v>
      </c>
    </row>
    <row r="1899" spans="1:9" x14ac:dyDescent="0.25">
      <c r="A1899" s="11" t="s">
        <v>5657</v>
      </c>
      <c r="B1899" s="11" t="s">
        <v>5658</v>
      </c>
      <c r="C1899" s="11" t="s">
        <v>81</v>
      </c>
      <c r="D1899" s="4" t="s">
        <v>1406</v>
      </c>
      <c r="E1899" t="s">
        <v>489</v>
      </c>
      <c r="F1899" s="9">
        <f t="shared" si="122"/>
        <v>0</v>
      </c>
      <c r="G1899" s="9">
        <f t="shared" si="123"/>
        <v>0</v>
      </c>
      <c r="H1899" s="9">
        <f t="shared" si="124"/>
        <v>0</v>
      </c>
      <c r="I1899" s="10">
        <f t="shared" si="125"/>
        <v>0</v>
      </c>
    </row>
    <row r="1900" spans="1:9" x14ac:dyDescent="0.25">
      <c r="A1900" s="11" t="s">
        <v>5659</v>
      </c>
      <c r="B1900" s="11" t="s">
        <v>5660</v>
      </c>
      <c r="C1900" s="11" t="s">
        <v>81</v>
      </c>
      <c r="D1900" s="4" t="s">
        <v>1406</v>
      </c>
      <c r="E1900" t="s">
        <v>489</v>
      </c>
      <c r="F1900" s="9">
        <f t="shared" si="122"/>
        <v>0</v>
      </c>
      <c r="G1900" s="9">
        <f t="shared" si="123"/>
        <v>0</v>
      </c>
      <c r="H1900" s="9">
        <f t="shared" si="124"/>
        <v>0</v>
      </c>
      <c r="I1900" s="10">
        <f t="shared" si="125"/>
        <v>0</v>
      </c>
    </row>
    <row r="1901" spans="1:9" x14ac:dyDescent="0.25">
      <c r="A1901" s="11" t="s">
        <v>5661</v>
      </c>
      <c r="B1901" s="11" t="s">
        <v>5662</v>
      </c>
      <c r="C1901" s="11" t="s">
        <v>81</v>
      </c>
      <c r="D1901" s="4" t="s">
        <v>1406</v>
      </c>
      <c r="E1901" t="s">
        <v>489</v>
      </c>
      <c r="F1901" s="9">
        <f t="shared" si="122"/>
        <v>0</v>
      </c>
      <c r="G1901" s="9">
        <f t="shared" si="123"/>
        <v>0</v>
      </c>
      <c r="H1901" s="9">
        <f t="shared" si="124"/>
        <v>0</v>
      </c>
      <c r="I1901" s="10">
        <f t="shared" si="125"/>
        <v>0</v>
      </c>
    </row>
    <row r="1902" spans="1:9" x14ac:dyDescent="0.25">
      <c r="A1902" s="11" t="s">
        <v>5663</v>
      </c>
      <c r="B1902" s="11" t="s">
        <v>5664</v>
      </c>
      <c r="C1902" s="11" t="s">
        <v>81</v>
      </c>
      <c r="D1902" s="4" t="s">
        <v>1406</v>
      </c>
      <c r="E1902" t="s">
        <v>489</v>
      </c>
      <c r="F1902" s="9">
        <f t="shared" si="122"/>
        <v>0</v>
      </c>
      <c r="G1902" s="9">
        <f t="shared" si="123"/>
        <v>0</v>
      </c>
      <c r="H1902" s="9">
        <f t="shared" si="124"/>
        <v>0</v>
      </c>
      <c r="I1902" s="10">
        <f t="shared" si="125"/>
        <v>0</v>
      </c>
    </row>
    <row r="1903" spans="1:9" x14ac:dyDescent="0.25">
      <c r="A1903" s="11" t="s">
        <v>5665</v>
      </c>
      <c r="B1903" s="11" t="s">
        <v>5666</v>
      </c>
      <c r="C1903" s="11" t="s">
        <v>81</v>
      </c>
      <c r="D1903" s="4" t="s">
        <v>1406</v>
      </c>
      <c r="E1903" t="s">
        <v>489</v>
      </c>
      <c r="F1903" s="9">
        <f t="shared" si="122"/>
        <v>0</v>
      </c>
      <c r="G1903" s="9">
        <f t="shared" si="123"/>
        <v>0</v>
      </c>
      <c r="H1903" s="9">
        <f t="shared" si="124"/>
        <v>0</v>
      </c>
      <c r="I1903" s="10">
        <f t="shared" si="125"/>
        <v>0</v>
      </c>
    </row>
    <row r="1904" spans="1:9" x14ac:dyDescent="0.25">
      <c r="A1904" s="11" t="s">
        <v>5667</v>
      </c>
      <c r="B1904" s="11" t="s">
        <v>5668</v>
      </c>
      <c r="C1904" s="11" t="s">
        <v>81</v>
      </c>
      <c r="D1904" s="4" t="s">
        <v>1406</v>
      </c>
      <c r="E1904" t="s">
        <v>489</v>
      </c>
      <c r="F1904" s="9">
        <f t="shared" si="122"/>
        <v>0</v>
      </c>
      <c r="G1904" s="9">
        <f t="shared" si="123"/>
        <v>0</v>
      </c>
      <c r="H1904" s="9">
        <f t="shared" si="124"/>
        <v>0</v>
      </c>
      <c r="I1904" s="10">
        <f t="shared" si="125"/>
        <v>0</v>
      </c>
    </row>
    <row r="1905" spans="1:9" x14ac:dyDescent="0.25">
      <c r="A1905" s="11" t="s">
        <v>5669</v>
      </c>
      <c r="B1905" s="11" t="s">
        <v>5670</v>
      </c>
      <c r="C1905" s="11" t="s">
        <v>81</v>
      </c>
      <c r="D1905" s="4" t="s">
        <v>1406</v>
      </c>
      <c r="E1905" t="s">
        <v>489</v>
      </c>
      <c r="F1905" s="9">
        <f t="shared" si="122"/>
        <v>0</v>
      </c>
      <c r="G1905" s="9">
        <f t="shared" si="123"/>
        <v>0</v>
      </c>
      <c r="H1905" s="9">
        <f t="shared" si="124"/>
        <v>0</v>
      </c>
      <c r="I1905" s="10">
        <f t="shared" si="125"/>
        <v>0</v>
      </c>
    </row>
    <row r="1906" spans="1:9" x14ac:dyDescent="0.25">
      <c r="A1906" s="11" t="s">
        <v>5671</v>
      </c>
      <c r="B1906" s="11" t="s">
        <v>5672</v>
      </c>
      <c r="C1906" s="11" t="s">
        <v>81</v>
      </c>
      <c r="D1906" s="4" t="s">
        <v>1406</v>
      </c>
      <c r="E1906" t="s">
        <v>3011</v>
      </c>
      <c r="F1906" s="9">
        <f t="shared" si="122"/>
        <v>0</v>
      </c>
      <c r="G1906" s="9">
        <f t="shared" si="123"/>
        <v>0</v>
      </c>
      <c r="H1906" s="9">
        <f t="shared" si="124"/>
        <v>0</v>
      </c>
      <c r="I1906" s="10">
        <f t="shared" si="125"/>
        <v>0</v>
      </c>
    </row>
    <row r="1907" spans="1:9" x14ac:dyDescent="0.25">
      <c r="A1907" s="11" t="s">
        <v>5673</v>
      </c>
      <c r="B1907" s="11" t="s">
        <v>5674</v>
      </c>
      <c r="C1907" s="11" t="s">
        <v>1046</v>
      </c>
      <c r="D1907" s="4" t="s">
        <v>1406</v>
      </c>
      <c r="E1907" t="s">
        <v>101</v>
      </c>
      <c r="F1907" s="9">
        <f t="shared" si="122"/>
        <v>0</v>
      </c>
      <c r="G1907" s="9">
        <f t="shared" si="123"/>
        <v>0</v>
      </c>
      <c r="H1907" s="9">
        <f t="shared" si="124"/>
        <v>0</v>
      </c>
      <c r="I1907" s="10">
        <f t="shared" si="125"/>
        <v>0</v>
      </c>
    </row>
    <row r="1908" spans="1:9" x14ac:dyDescent="0.25">
      <c r="A1908" s="11" t="s">
        <v>5675</v>
      </c>
      <c r="B1908" s="11" t="s">
        <v>5676</v>
      </c>
      <c r="C1908" s="11" t="s">
        <v>95</v>
      </c>
      <c r="D1908" s="4" t="s">
        <v>1406</v>
      </c>
      <c r="E1908" t="s">
        <v>101</v>
      </c>
      <c r="F1908" s="9">
        <f t="shared" si="122"/>
        <v>0</v>
      </c>
      <c r="G1908" s="9">
        <f t="shared" si="123"/>
        <v>0</v>
      </c>
      <c r="H1908" s="9">
        <f t="shared" si="124"/>
        <v>0</v>
      </c>
      <c r="I1908" s="10">
        <f t="shared" si="125"/>
        <v>0</v>
      </c>
    </row>
    <row r="1909" spans="1:9" x14ac:dyDescent="0.25">
      <c r="A1909" s="11" t="s">
        <v>5677</v>
      </c>
      <c r="B1909" s="11" t="s">
        <v>5678</v>
      </c>
      <c r="C1909" s="11" t="s">
        <v>95</v>
      </c>
      <c r="D1909" s="4" t="s">
        <v>1406</v>
      </c>
      <c r="E1909" t="s">
        <v>30</v>
      </c>
      <c r="F1909" s="9">
        <f t="shared" si="122"/>
        <v>0</v>
      </c>
      <c r="G1909" s="9">
        <f t="shared" si="123"/>
        <v>0</v>
      </c>
      <c r="H1909" s="9">
        <f t="shared" si="124"/>
        <v>0</v>
      </c>
      <c r="I1909" s="10">
        <f t="shared" si="125"/>
        <v>0</v>
      </c>
    </row>
    <row r="1910" spans="1:9" x14ac:dyDescent="0.25">
      <c r="A1910" s="11" t="s">
        <v>5679</v>
      </c>
      <c r="B1910" s="11" t="s">
        <v>5680</v>
      </c>
      <c r="C1910" s="11" t="s">
        <v>168</v>
      </c>
      <c r="D1910" s="4" t="s">
        <v>1406</v>
      </c>
      <c r="E1910" t="s">
        <v>104</v>
      </c>
      <c r="F1910" s="9">
        <f t="shared" si="122"/>
        <v>0</v>
      </c>
      <c r="G1910" s="9">
        <f t="shared" si="123"/>
        <v>0</v>
      </c>
      <c r="H1910" s="9">
        <f t="shared" si="124"/>
        <v>0</v>
      </c>
      <c r="I1910" s="10">
        <f t="shared" si="125"/>
        <v>0</v>
      </c>
    </row>
    <row r="1911" spans="1:9" x14ac:dyDescent="0.25">
      <c r="A1911" s="11" t="s">
        <v>5681</v>
      </c>
      <c r="B1911" s="11" t="s">
        <v>5682</v>
      </c>
      <c r="C1911" s="11" t="s">
        <v>1389</v>
      </c>
      <c r="D1911" s="4" t="s">
        <v>1406</v>
      </c>
      <c r="E1911" t="s">
        <v>30</v>
      </c>
      <c r="F1911" s="9">
        <f t="shared" si="122"/>
        <v>0</v>
      </c>
      <c r="G1911" s="9">
        <f t="shared" si="123"/>
        <v>0</v>
      </c>
      <c r="H1911" s="9">
        <f t="shared" si="124"/>
        <v>0</v>
      </c>
      <c r="I1911" s="10">
        <f t="shared" si="125"/>
        <v>0</v>
      </c>
    </row>
    <row r="1912" spans="1:9" x14ac:dyDescent="0.25">
      <c r="A1912" s="11" t="s">
        <v>5683</v>
      </c>
      <c r="B1912" s="11" t="s">
        <v>5684</v>
      </c>
      <c r="C1912" s="11" t="s">
        <v>1389</v>
      </c>
      <c r="D1912" s="4" t="s">
        <v>1406</v>
      </c>
      <c r="E1912" t="s">
        <v>30</v>
      </c>
      <c r="F1912" s="9">
        <f t="shared" si="122"/>
        <v>0</v>
      </c>
      <c r="G1912" s="9">
        <f t="shared" si="123"/>
        <v>0</v>
      </c>
      <c r="H1912" s="9">
        <f t="shared" si="124"/>
        <v>0</v>
      </c>
      <c r="I1912" s="10">
        <f t="shared" si="125"/>
        <v>0</v>
      </c>
    </row>
    <row r="1913" spans="1:9" x14ac:dyDescent="0.25">
      <c r="A1913" s="11" t="s">
        <v>244</v>
      </c>
      <c r="B1913" s="11" t="s">
        <v>243</v>
      </c>
      <c r="C1913" s="11" t="s">
        <v>1389</v>
      </c>
      <c r="D1913" s="4" t="s">
        <v>1406</v>
      </c>
      <c r="E1913" t="s">
        <v>30</v>
      </c>
      <c r="F1913" s="9">
        <f t="shared" si="122"/>
        <v>0</v>
      </c>
      <c r="G1913" s="9">
        <f t="shared" si="123"/>
        <v>0</v>
      </c>
      <c r="H1913" s="9">
        <f t="shared" si="124"/>
        <v>0</v>
      </c>
      <c r="I1913" s="10">
        <f t="shared" si="125"/>
        <v>0</v>
      </c>
    </row>
    <row r="1914" spans="1:9" x14ac:dyDescent="0.25">
      <c r="A1914" s="11" t="s">
        <v>5685</v>
      </c>
      <c r="B1914" s="11" t="s">
        <v>5686</v>
      </c>
      <c r="C1914" s="11" t="s">
        <v>1389</v>
      </c>
      <c r="D1914" s="4" t="s">
        <v>1406</v>
      </c>
      <c r="E1914" t="s">
        <v>30</v>
      </c>
      <c r="F1914" s="9">
        <f t="shared" si="122"/>
        <v>0</v>
      </c>
      <c r="G1914" s="9">
        <f t="shared" si="123"/>
        <v>0</v>
      </c>
      <c r="H1914" s="9">
        <f t="shared" si="124"/>
        <v>0</v>
      </c>
      <c r="I1914" s="10">
        <f t="shared" si="125"/>
        <v>0</v>
      </c>
    </row>
    <row r="1915" spans="1:9" x14ac:dyDescent="0.25">
      <c r="A1915" s="11" t="s">
        <v>278</v>
      </c>
      <c r="B1915" s="11" t="s">
        <v>277</v>
      </c>
      <c r="C1915" s="11" t="s">
        <v>1389</v>
      </c>
      <c r="D1915" s="4" t="s">
        <v>1406</v>
      </c>
      <c r="E1915" t="s">
        <v>30</v>
      </c>
      <c r="F1915" s="9">
        <f t="shared" si="122"/>
        <v>0</v>
      </c>
      <c r="G1915" s="9">
        <f t="shared" si="123"/>
        <v>0</v>
      </c>
      <c r="H1915" s="9">
        <f t="shared" si="124"/>
        <v>0</v>
      </c>
      <c r="I1915" s="10">
        <f t="shared" si="125"/>
        <v>0</v>
      </c>
    </row>
    <row r="1916" spans="1:9" x14ac:dyDescent="0.25">
      <c r="A1916" s="11" t="s">
        <v>5687</v>
      </c>
      <c r="B1916" s="11" t="s">
        <v>5688</v>
      </c>
      <c r="C1916" s="11" t="s">
        <v>1389</v>
      </c>
      <c r="D1916" s="4" t="s">
        <v>1406</v>
      </c>
      <c r="E1916" t="s">
        <v>30</v>
      </c>
      <c r="F1916" s="9">
        <f t="shared" si="122"/>
        <v>0</v>
      </c>
      <c r="G1916" s="9">
        <f t="shared" si="123"/>
        <v>0</v>
      </c>
      <c r="H1916" s="9">
        <f t="shared" si="124"/>
        <v>0</v>
      </c>
      <c r="I1916" s="10">
        <f t="shared" si="125"/>
        <v>0</v>
      </c>
    </row>
    <row r="1917" spans="1:9" x14ac:dyDescent="0.25">
      <c r="A1917" s="11" t="s">
        <v>352</v>
      </c>
      <c r="B1917" s="11" t="s">
        <v>351</v>
      </c>
      <c r="C1917" s="11" t="s">
        <v>1389</v>
      </c>
      <c r="D1917" s="4" t="s">
        <v>1406</v>
      </c>
      <c r="E1917" t="s">
        <v>30</v>
      </c>
      <c r="F1917" s="9">
        <f t="shared" si="122"/>
        <v>0</v>
      </c>
      <c r="G1917" s="9">
        <f t="shared" si="123"/>
        <v>0</v>
      </c>
      <c r="H1917" s="9">
        <f t="shared" si="124"/>
        <v>0</v>
      </c>
      <c r="I1917" s="10">
        <f t="shared" si="125"/>
        <v>0</v>
      </c>
    </row>
    <row r="1918" spans="1:9" x14ac:dyDescent="0.25">
      <c r="A1918" s="11" t="s">
        <v>5689</v>
      </c>
      <c r="B1918" s="11" t="s">
        <v>5690</v>
      </c>
      <c r="C1918" s="11" t="s">
        <v>1389</v>
      </c>
      <c r="D1918" s="4" t="s">
        <v>1406</v>
      </c>
      <c r="E1918" t="s">
        <v>30</v>
      </c>
      <c r="F1918" s="9">
        <f t="shared" si="122"/>
        <v>0</v>
      </c>
      <c r="G1918" s="9">
        <f t="shared" si="123"/>
        <v>0</v>
      </c>
      <c r="H1918" s="9">
        <f t="shared" si="124"/>
        <v>0</v>
      </c>
      <c r="I1918" s="10">
        <f t="shared" si="125"/>
        <v>0</v>
      </c>
    </row>
    <row r="1919" spans="1:9" x14ac:dyDescent="0.25">
      <c r="A1919" s="11" t="s">
        <v>5691</v>
      </c>
      <c r="B1919" s="11" t="s">
        <v>5692</v>
      </c>
      <c r="C1919" s="11" t="s">
        <v>1389</v>
      </c>
      <c r="D1919" s="4" t="s">
        <v>1406</v>
      </c>
      <c r="E1919" t="s">
        <v>30</v>
      </c>
      <c r="F1919" s="9">
        <f t="shared" si="122"/>
        <v>0</v>
      </c>
      <c r="G1919" s="9">
        <f t="shared" si="123"/>
        <v>0</v>
      </c>
      <c r="H1919" s="9">
        <f t="shared" si="124"/>
        <v>0</v>
      </c>
      <c r="I1919" s="10">
        <f t="shared" si="125"/>
        <v>0</v>
      </c>
    </row>
    <row r="1920" spans="1:9" x14ac:dyDescent="0.25">
      <c r="A1920" s="11" t="s">
        <v>5693</v>
      </c>
      <c r="B1920" s="11" t="s">
        <v>5694</v>
      </c>
      <c r="C1920" s="11" t="s">
        <v>1389</v>
      </c>
      <c r="D1920" s="4" t="s">
        <v>1406</v>
      </c>
      <c r="E1920" t="s">
        <v>30</v>
      </c>
      <c r="F1920" s="9">
        <f t="shared" si="122"/>
        <v>0</v>
      </c>
      <c r="G1920" s="9">
        <f t="shared" si="123"/>
        <v>0</v>
      </c>
      <c r="H1920" s="9">
        <f t="shared" si="124"/>
        <v>0</v>
      </c>
      <c r="I1920" s="10">
        <f t="shared" si="125"/>
        <v>0</v>
      </c>
    </row>
    <row r="1921" spans="1:9" x14ac:dyDescent="0.25">
      <c r="A1921" s="11" t="s">
        <v>5695</v>
      </c>
      <c r="B1921" s="11" t="s">
        <v>5696</v>
      </c>
      <c r="C1921" s="11" t="s">
        <v>1389</v>
      </c>
      <c r="D1921" s="4" t="s">
        <v>1406</v>
      </c>
      <c r="E1921" t="s">
        <v>30</v>
      </c>
      <c r="F1921" s="9">
        <f t="shared" si="122"/>
        <v>0</v>
      </c>
      <c r="G1921" s="9">
        <f t="shared" si="123"/>
        <v>0</v>
      </c>
      <c r="H1921" s="9">
        <f t="shared" si="124"/>
        <v>0</v>
      </c>
      <c r="I1921" s="10">
        <f t="shared" si="125"/>
        <v>0</v>
      </c>
    </row>
    <row r="1922" spans="1:9" x14ac:dyDescent="0.25">
      <c r="A1922" s="11" t="s">
        <v>5697</v>
      </c>
      <c r="B1922" s="11" t="s">
        <v>5698</v>
      </c>
      <c r="C1922" s="11" t="s">
        <v>1389</v>
      </c>
      <c r="D1922" s="4" t="s">
        <v>1406</v>
      </c>
      <c r="E1922" t="s">
        <v>30</v>
      </c>
      <c r="F1922" s="9">
        <f t="shared" si="122"/>
        <v>0</v>
      </c>
      <c r="G1922" s="9">
        <f t="shared" si="123"/>
        <v>0</v>
      </c>
      <c r="H1922" s="9">
        <f t="shared" si="124"/>
        <v>0</v>
      </c>
      <c r="I1922" s="10">
        <f t="shared" si="125"/>
        <v>0</v>
      </c>
    </row>
    <row r="1923" spans="1:9" x14ac:dyDescent="0.25">
      <c r="A1923" s="11" t="s">
        <v>5699</v>
      </c>
      <c r="B1923" s="11" t="s">
        <v>5700</v>
      </c>
      <c r="C1923" s="11" t="s">
        <v>1389</v>
      </c>
      <c r="D1923" s="4" t="s">
        <v>1406</v>
      </c>
      <c r="E1923" t="s">
        <v>30</v>
      </c>
      <c r="F1923" s="9">
        <f t="shared" si="122"/>
        <v>0</v>
      </c>
      <c r="G1923" s="9">
        <f t="shared" si="123"/>
        <v>0</v>
      </c>
      <c r="H1923" s="9">
        <f t="shared" si="124"/>
        <v>0</v>
      </c>
      <c r="I1923" s="10">
        <f t="shared" si="125"/>
        <v>0</v>
      </c>
    </row>
    <row r="1924" spans="1:9" x14ac:dyDescent="0.25">
      <c r="A1924" s="11" t="s">
        <v>5701</v>
      </c>
      <c r="B1924" s="11" t="s">
        <v>5702</v>
      </c>
      <c r="C1924" s="11" t="s">
        <v>1389</v>
      </c>
      <c r="D1924" s="4" t="s">
        <v>1406</v>
      </c>
      <c r="E1924" t="s">
        <v>30</v>
      </c>
      <c r="F1924" s="9">
        <f t="shared" si="122"/>
        <v>0</v>
      </c>
      <c r="G1924" s="9">
        <f t="shared" si="123"/>
        <v>0</v>
      </c>
      <c r="H1924" s="9">
        <f t="shared" si="124"/>
        <v>0</v>
      </c>
      <c r="I1924" s="10">
        <f t="shared" si="125"/>
        <v>0</v>
      </c>
    </row>
    <row r="1925" spans="1:9" x14ac:dyDescent="0.25">
      <c r="A1925" s="11" t="s">
        <v>5703</v>
      </c>
      <c r="B1925" s="11" t="s">
        <v>5704</v>
      </c>
      <c r="C1925" s="11" t="s">
        <v>1389</v>
      </c>
      <c r="D1925" s="4" t="s">
        <v>1406</v>
      </c>
      <c r="E1925" t="s">
        <v>30</v>
      </c>
      <c r="F1925" s="9">
        <f t="shared" si="122"/>
        <v>0</v>
      </c>
      <c r="G1925" s="9">
        <f t="shared" si="123"/>
        <v>0</v>
      </c>
      <c r="H1925" s="9">
        <f t="shared" si="124"/>
        <v>0</v>
      </c>
      <c r="I1925" s="10">
        <f t="shared" si="125"/>
        <v>0</v>
      </c>
    </row>
    <row r="1926" spans="1:9" x14ac:dyDescent="0.25">
      <c r="A1926" s="11" t="s">
        <v>5705</v>
      </c>
      <c r="B1926" s="11" t="s">
        <v>5706</v>
      </c>
      <c r="C1926" s="11" t="s">
        <v>1389</v>
      </c>
      <c r="D1926" s="4" t="s">
        <v>1406</v>
      </c>
      <c r="E1926" t="s">
        <v>30</v>
      </c>
      <c r="F1926" s="9">
        <f t="shared" si="122"/>
        <v>0</v>
      </c>
      <c r="G1926" s="9">
        <f t="shared" si="123"/>
        <v>0</v>
      </c>
      <c r="H1926" s="9">
        <f t="shared" si="124"/>
        <v>0</v>
      </c>
      <c r="I1926" s="10">
        <f t="shared" si="125"/>
        <v>0</v>
      </c>
    </row>
    <row r="1927" spans="1:9" x14ac:dyDescent="0.25">
      <c r="A1927" s="11" t="s">
        <v>5707</v>
      </c>
      <c r="B1927" s="11" t="s">
        <v>5708</v>
      </c>
      <c r="C1927" s="11" t="s">
        <v>1389</v>
      </c>
      <c r="D1927" s="4" t="s">
        <v>1406</v>
      </c>
      <c r="E1927" t="s">
        <v>30</v>
      </c>
      <c r="F1927" s="9">
        <f t="shared" si="122"/>
        <v>0</v>
      </c>
      <c r="G1927" s="9">
        <f t="shared" si="123"/>
        <v>0</v>
      </c>
      <c r="H1927" s="9">
        <f t="shared" si="124"/>
        <v>0</v>
      </c>
      <c r="I1927" s="10">
        <f t="shared" si="125"/>
        <v>0</v>
      </c>
    </row>
    <row r="1928" spans="1:9" x14ac:dyDescent="0.25">
      <c r="A1928" s="11" t="s">
        <v>428</v>
      </c>
      <c r="B1928" s="11" t="s">
        <v>427</v>
      </c>
      <c r="C1928" s="11" t="s">
        <v>1389</v>
      </c>
      <c r="D1928" s="4" t="s">
        <v>1406</v>
      </c>
      <c r="E1928" t="s">
        <v>30</v>
      </c>
      <c r="F1928" s="9">
        <f t="shared" si="122"/>
        <v>0</v>
      </c>
      <c r="G1928" s="9">
        <f t="shared" si="123"/>
        <v>0</v>
      </c>
      <c r="H1928" s="9">
        <f t="shared" si="124"/>
        <v>0</v>
      </c>
      <c r="I1928" s="10">
        <f t="shared" si="125"/>
        <v>0</v>
      </c>
    </row>
    <row r="1929" spans="1:9" x14ac:dyDescent="0.25">
      <c r="A1929" s="11" t="s">
        <v>5709</v>
      </c>
      <c r="B1929" s="11" t="s">
        <v>5710</v>
      </c>
      <c r="C1929" s="11" t="s">
        <v>669</v>
      </c>
      <c r="D1929" s="4" t="s">
        <v>1406</v>
      </c>
      <c r="E1929" t="s">
        <v>30</v>
      </c>
      <c r="F1929" s="9">
        <f t="shared" si="122"/>
        <v>0</v>
      </c>
      <c r="G1929" s="9">
        <f t="shared" si="123"/>
        <v>0</v>
      </c>
      <c r="H1929" s="9">
        <f t="shared" si="124"/>
        <v>0</v>
      </c>
      <c r="I1929" s="10">
        <f t="shared" si="125"/>
        <v>0</v>
      </c>
    </row>
    <row r="1930" spans="1:9" x14ac:dyDescent="0.25">
      <c r="A1930" s="11" t="s">
        <v>5711</v>
      </c>
      <c r="B1930" s="11" t="s">
        <v>5712</v>
      </c>
      <c r="C1930" s="11" t="s">
        <v>669</v>
      </c>
      <c r="D1930" s="4" t="s">
        <v>1406</v>
      </c>
      <c r="E1930" t="s">
        <v>30</v>
      </c>
      <c r="F1930" s="9">
        <f t="shared" si="122"/>
        <v>0</v>
      </c>
      <c r="G1930" s="9">
        <f t="shared" si="123"/>
        <v>0</v>
      </c>
      <c r="H1930" s="9">
        <f t="shared" si="124"/>
        <v>0</v>
      </c>
      <c r="I1930" s="10">
        <f t="shared" si="125"/>
        <v>0</v>
      </c>
    </row>
    <row r="1931" spans="1:9" x14ac:dyDescent="0.25">
      <c r="A1931" s="11" t="s">
        <v>5713</v>
      </c>
      <c r="B1931" s="11" t="s">
        <v>5714</v>
      </c>
      <c r="C1931" s="11" t="s">
        <v>669</v>
      </c>
      <c r="D1931" s="4" t="s">
        <v>1406</v>
      </c>
      <c r="E1931" t="s">
        <v>30</v>
      </c>
      <c r="F1931" s="9">
        <f t="shared" si="122"/>
        <v>0</v>
      </c>
      <c r="G1931" s="9">
        <f t="shared" si="123"/>
        <v>0</v>
      </c>
      <c r="H1931" s="9">
        <f t="shared" si="124"/>
        <v>0</v>
      </c>
      <c r="I1931" s="10">
        <f t="shared" si="125"/>
        <v>0</v>
      </c>
    </row>
    <row r="1932" spans="1:9" x14ac:dyDescent="0.25">
      <c r="A1932" s="11" t="s">
        <v>5715</v>
      </c>
      <c r="B1932" s="11" t="s">
        <v>5716</v>
      </c>
      <c r="C1932" s="11" t="s">
        <v>669</v>
      </c>
      <c r="D1932" s="4" t="s">
        <v>1406</v>
      </c>
      <c r="E1932" t="s">
        <v>30</v>
      </c>
      <c r="F1932" s="9">
        <f t="shared" si="122"/>
        <v>0</v>
      </c>
      <c r="G1932" s="9">
        <f t="shared" si="123"/>
        <v>0</v>
      </c>
      <c r="H1932" s="9">
        <f t="shared" si="124"/>
        <v>0</v>
      </c>
      <c r="I1932" s="10">
        <f t="shared" si="125"/>
        <v>0</v>
      </c>
    </row>
    <row r="1933" spans="1:9" x14ac:dyDescent="0.25">
      <c r="A1933" s="11" t="s">
        <v>5717</v>
      </c>
      <c r="B1933" s="11" t="s">
        <v>5718</v>
      </c>
      <c r="C1933" s="11" t="s">
        <v>669</v>
      </c>
      <c r="D1933" s="4" t="s">
        <v>1406</v>
      </c>
      <c r="E1933" t="s">
        <v>30</v>
      </c>
      <c r="F1933" s="9">
        <f t="shared" si="122"/>
        <v>0</v>
      </c>
      <c r="G1933" s="9">
        <f t="shared" si="123"/>
        <v>0</v>
      </c>
      <c r="H1933" s="9">
        <f t="shared" si="124"/>
        <v>0</v>
      </c>
      <c r="I1933" s="10">
        <f t="shared" si="125"/>
        <v>0</v>
      </c>
    </row>
    <row r="1934" spans="1:9" x14ac:dyDescent="0.25">
      <c r="A1934" s="11" t="s">
        <v>5719</v>
      </c>
      <c r="B1934" s="11" t="s">
        <v>5720</v>
      </c>
      <c r="C1934" s="11" t="s">
        <v>669</v>
      </c>
      <c r="D1934" s="4" t="s">
        <v>1406</v>
      </c>
      <c r="E1934" t="s">
        <v>30</v>
      </c>
      <c r="F1934" s="9">
        <f t="shared" si="122"/>
        <v>0</v>
      </c>
      <c r="G1934" s="9">
        <f t="shared" si="123"/>
        <v>0</v>
      </c>
      <c r="H1934" s="9">
        <f t="shared" si="124"/>
        <v>0</v>
      </c>
      <c r="I1934" s="10">
        <f t="shared" si="125"/>
        <v>0</v>
      </c>
    </row>
    <row r="1935" spans="1:9" x14ac:dyDescent="0.25">
      <c r="A1935" s="11" t="s">
        <v>5721</v>
      </c>
      <c r="B1935" s="11" t="s">
        <v>5722</v>
      </c>
      <c r="C1935" s="11" t="s">
        <v>669</v>
      </c>
      <c r="D1935" s="4" t="s">
        <v>1406</v>
      </c>
      <c r="E1935" t="s">
        <v>30</v>
      </c>
      <c r="F1935" s="9">
        <f t="shared" si="122"/>
        <v>0</v>
      </c>
      <c r="G1935" s="9">
        <f t="shared" si="123"/>
        <v>0</v>
      </c>
      <c r="H1935" s="9">
        <f t="shared" si="124"/>
        <v>0</v>
      </c>
      <c r="I1935" s="10">
        <f t="shared" si="125"/>
        <v>0</v>
      </c>
    </row>
    <row r="1936" spans="1:9" x14ac:dyDescent="0.25">
      <c r="A1936" s="11" t="s">
        <v>708</v>
      </c>
      <c r="B1936" s="11" t="s">
        <v>707</v>
      </c>
      <c r="C1936" s="11" t="s">
        <v>669</v>
      </c>
      <c r="D1936" s="4" t="s">
        <v>1406</v>
      </c>
      <c r="E1936" t="s">
        <v>30</v>
      </c>
      <c r="F1936" s="9">
        <f t="shared" si="122"/>
        <v>0</v>
      </c>
      <c r="G1936" s="9">
        <f t="shared" si="123"/>
        <v>0</v>
      </c>
      <c r="H1936" s="9">
        <f t="shared" si="124"/>
        <v>0</v>
      </c>
      <c r="I1936" s="10">
        <f t="shared" si="125"/>
        <v>0</v>
      </c>
    </row>
    <row r="1937" spans="1:9" x14ac:dyDescent="0.25">
      <c r="A1937" s="11" t="s">
        <v>714</v>
      </c>
      <c r="B1937" s="11" t="s">
        <v>713</v>
      </c>
      <c r="C1937" s="11" t="s">
        <v>669</v>
      </c>
      <c r="D1937" s="4" t="s">
        <v>1406</v>
      </c>
      <c r="E1937" t="s">
        <v>30</v>
      </c>
      <c r="F1937" s="9">
        <f t="shared" si="122"/>
        <v>0</v>
      </c>
      <c r="G1937" s="9">
        <f t="shared" si="123"/>
        <v>0</v>
      </c>
      <c r="H1937" s="9">
        <f t="shared" si="124"/>
        <v>0</v>
      </c>
      <c r="I1937" s="10">
        <f t="shared" si="125"/>
        <v>0</v>
      </c>
    </row>
    <row r="1938" spans="1:9" x14ac:dyDescent="0.25">
      <c r="A1938" s="11" t="s">
        <v>730</v>
      </c>
      <c r="B1938" s="11" t="s">
        <v>729</v>
      </c>
      <c r="C1938" s="11" t="s">
        <v>669</v>
      </c>
      <c r="D1938" s="4" t="s">
        <v>1406</v>
      </c>
      <c r="E1938" t="s">
        <v>30</v>
      </c>
      <c r="F1938" s="9">
        <f t="shared" ref="F1938:F1991" si="126">IFERROR(VLOOKUP(A1938,condi,8,0),0)</f>
        <v>0</v>
      </c>
      <c r="G1938" s="9">
        <f t="shared" ref="G1938:G1991" si="127">IFERROR(VLOOKUP(A1938,maqui,8,0),0)</f>
        <v>0</v>
      </c>
      <c r="H1938" s="9">
        <f t="shared" ref="H1938:H1991" si="128">IFERROR(VLOOKUP(A1938,ascint,8,0),0)</f>
        <v>0</v>
      </c>
      <c r="I1938" s="10">
        <f t="shared" ref="I1938:I1991" si="129">+F1938+G1938+H1938</f>
        <v>0</v>
      </c>
    </row>
    <row r="1939" spans="1:9" x14ac:dyDescent="0.25">
      <c r="A1939" s="11" t="s">
        <v>5723</v>
      </c>
      <c r="B1939" s="11" t="s">
        <v>5724</v>
      </c>
      <c r="C1939" s="11" t="s">
        <v>669</v>
      </c>
      <c r="D1939" s="4" t="s">
        <v>1406</v>
      </c>
      <c r="E1939" t="s">
        <v>30</v>
      </c>
      <c r="F1939" s="9">
        <f t="shared" si="126"/>
        <v>0</v>
      </c>
      <c r="G1939" s="9">
        <f t="shared" si="127"/>
        <v>0</v>
      </c>
      <c r="H1939" s="9">
        <f t="shared" si="128"/>
        <v>0</v>
      </c>
      <c r="I1939" s="10">
        <f t="shared" si="129"/>
        <v>0</v>
      </c>
    </row>
    <row r="1940" spans="1:9" x14ac:dyDescent="0.25">
      <c r="A1940" s="11" t="s">
        <v>5725</v>
      </c>
      <c r="B1940" s="11" t="s">
        <v>5726</v>
      </c>
      <c r="C1940" s="11" t="s">
        <v>669</v>
      </c>
      <c r="D1940" s="4" t="s">
        <v>1406</v>
      </c>
      <c r="E1940" t="s">
        <v>30</v>
      </c>
      <c r="F1940" s="9">
        <f t="shared" si="126"/>
        <v>0</v>
      </c>
      <c r="G1940" s="9">
        <f t="shared" si="127"/>
        <v>0</v>
      </c>
      <c r="H1940" s="9">
        <f t="shared" si="128"/>
        <v>0</v>
      </c>
      <c r="I1940" s="10">
        <f t="shared" si="129"/>
        <v>0</v>
      </c>
    </row>
    <row r="1941" spans="1:9" x14ac:dyDescent="0.25">
      <c r="A1941" s="11" t="s">
        <v>5727</v>
      </c>
      <c r="B1941" s="11" t="s">
        <v>5728</v>
      </c>
      <c r="C1941" s="11" t="s">
        <v>669</v>
      </c>
      <c r="D1941" s="4" t="s">
        <v>1406</v>
      </c>
      <c r="E1941" t="s">
        <v>30</v>
      </c>
      <c r="F1941" s="9">
        <f t="shared" si="126"/>
        <v>0</v>
      </c>
      <c r="G1941" s="9">
        <f t="shared" si="127"/>
        <v>0</v>
      </c>
      <c r="H1941" s="9">
        <f t="shared" si="128"/>
        <v>0</v>
      </c>
      <c r="I1941" s="10">
        <f t="shared" si="129"/>
        <v>0</v>
      </c>
    </row>
    <row r="1942" spans="1:9" x14ac:dyDescent="0.25">
      <c r="A1942" s="11" t="s">
        <v>742</v>
      </c>
      <c r="B1942" s="11" t="s">
        <v>741</v>
      </c>
      <c r="C1942" s="11" t="s">
        <v>669</v>
      </c>
      <c r="D1942" s="4" t="s">
        <v>1406</v>
      </c>
      <c r="E1942" t="s">
        <v>30</v>
      </c>
      <c r="F1942" s="9">
        <f t="shared" si="126"/>
        <v>0</v>
      </c>
      <c r="G1942" s="9">
        <f t="shared" si="127"/>
        <v>0</v>
      </c>
      <c r="H1942" s="9">
        <f t="shared" si="128"/>
        <v>0</v>
      </c>
      <c r="I1942" s="10">
        <f t="shared" si="129"/>
        <v>0</v>
      </c>
    </row>
    <row r="1943" spans="1:9" x14ac:dyDescent="0.25">
      <c r="A1943" s="11" t="s">
        <v>5729</v>
      </c>
      <c r="B1943" s="11" t="s">
        <v>5730</v>
      </c>
      <c r="C1943" s="11" t="s">
        <v>669</v>
      </c>
      <c r="D1943" s="4" t="s">
        <v>1406</v>
      </c>
      <c r="E1943" t="s">
        <v>30</v>
      </c>
      <c r="F1943" s="9">
        <f t="shared" si="126"/>
        <v>0</v>
      </c>
      <c r="G1943" s="9">
        <f t="shared" si="127"/>
        <v>0</v>
      </c>
      <c r="H1943" s="9">
        <f t="shared" si="128"/>
        <v>0</v>
      </c>
      <c r="I1943" s="10">
        <f t="shared" si="129"/>
        <v>0</v>
      </c>
    </row>
    <row r="1944" spans="1:9" x14ac:dyDescent="0.25">
      <c r="A1944" s="11" t="s">
        <v>5731</v>
      </c>
      <c r="B1944" s="11" t="s">
        <v>5732</v>
      </c>
      <c r="C1944" s="11" t="s">
        <v>669</v>
      </c>
      <c r="D1944" s="4" t="s">
        <v>1406</v>
      </c>
      <c r="E1944" t="s">
        <v>30</v>
      </c>
      <c r="F1944" s="9">
        <f t="shared" si="126"/>
        <v>0</v>
      </c>
      <c r="G1944" s="9">
        <f t="shared" si="127"/>
        <v>0</v>
      </c>
      <c r="H1944" s="9">
        <f t="shared" si="128"/>
        <v>0</v>
      </c>
      <c r="I1944" s="10">
        <f t="shared" si="129"/>
        <v>0</v>
      </c>
    </row>
    <row r="1945" spans="1:9" x14ac:dyDescent="0.25">
      <c r="A1945" s="11" t="s">
        <v>5733</v>
      </c>
      <c r="B1945" s="11" t="s">
        <v>5734</v>
      </c>
      <c r="C1945" s="11" t="s">
        <v>669</v>
      </c>
      <c r="D1945" s="4" t="s">
        <v>1406</v>
      </c>
      <c r="E1945" t="s">
        <v>30</v>
      </c>
      <c r="F1945" s="9">
        <f t="shared" si="126"/>
        <v>0</v>
      </c>
      <c r="G1945" s="9">
        <f t="shared" si="127"/>
        <v>0</v>
      </c>
      <c r="H1945" s="9">
        <f t="shared" si="128"/>
        <v>0</v>
      </c>
      <c r="I1945" s="10">
        <f t="shared" si="129"/>
        <v>0</v>
      </c>
    </row>
    <row r="1946" spans="1:9" x14ac:dyDescent="0.25">
      <c r="A1946" s="11" t="s">
        <v>5735</v>
      </c>
      <c r="B1946" s="11" t="s">
        <v>5736</v>
      </c>
      <c r="C1946" s="11" t="s">
        <v>669</v>
      </c>
      <c r="D1946" s="4" t="s">
        <v>1406</v>
      </c>
      <c r="E1946" t="s">
        <v>30</v>
      </c>
      <c r="F1946" s="9">
        <f t="shared" si="126"/>
        <v>0</v>
      </c>
      <c r="G1946" s="9">
        <f t="shared" si="127"/>
        <v>0</v>
      </c>
      <c r="H1946" s="9">
        <f t="shared" si="128"/>
        <v>0</v>
      </c>
      <c r="I1946" s="10">
        <f t="shared" si="129"/>
        <v>0</v>
      </c>
    </row>
    <row r="1947" spans="1:9" x14ac:dyDescent="0.25">
      <c r="A1947" s="11" t="s">
        <v>754</v>
      </c>
      <c r="B1947" s="11" t="s">
        <v>753</v>
      </c>
      <c r="C1947" s="11" t="s">
        <v>669</v>
      </c>
      <c r="D1947" s="4" t="s">
        <v>1406</v>
      </c>
      <c r="E1947" t="s">
        <v>30</v>
      </c>
      <c r="F1947" s="9">
        <f t="shared" si="126"/>
        <v>0</v>
      </c>
      <c r="G1947" s="9">
        <f t="shared" si="127"/>
        <v>0</v>
      </c>
      <c r="H1947" s="9">
        <f t="shared" si="128"/>
        <v>0</v>
      </c>
      <c r="I1947" s="10">
        <f t="shared" si="129"/>
        <v>0</v>
      </c>
    </row>
    <row r="1948" spans="1:9" x14ac:dyDescent="0.25">
      <c r="A1948" s="11" t="s">
        <v>5737</v>
      </c>
      <c r="B1948" s="11" t="s">
        <v>5738</v>
      </c>
      <c r="C1948" s="11" t="s">
        <v>480</v>
      </c>
      <c r="D1948" s="4" t="s">
        <v>1406</v>
      </c>
      <c r="E1948" t="s">
        <v>489</v>
      </c>
      <c r="F1948" s="9">
        <f t="shared" si="126"/>
        <v>0</v>
      </c>
      <c r="G1948" s="9">
        <f t="shared" si="127"/>
        <v>0</v>
      </c>
      <c r="H1948" s="9">
        <f t="shared" si="128"/>
        <v>0</v>
      </c>
      <c r="I1948" s="10">
        <f t="shared" si="129"/>
        <v>0</v>
      </c>
    </row>
    <row r="1949" spans="1:9" x14ac:dyDescent="0.25">
      <c r="A1949" s="11" t="s">
        <v>5739</v>
      </c>
      <c r="B1949" s="11" t="s">
        <v>5740</v>
      </c>
      <c r="C1949" s="11" t="s">
        <v>2241</v>
      </c>
      <c r="D1949" s="4" t="s">
        <v>1406</v>
      </c>
      <c r="E1949" t="s">
        <v>30</v>
      </c>
      <c r="F1949" s="9">
        <f t="shared" si="126"/>
        <v>0</v>
      </c>
      <c r="G1949" s="9">
        <f t="shared" si="127"/>
        <v>0</v>
      </c>
      <c r="H1949" s="9">
        <f t="shared" si="128"/>
        <v>0</v>
      </c>
      <c r="I1949" s="10">
        <f t="shared" si="129"/>
        <v>0</v>
      </c>
    </row>
    <row r="1950" spans="1:9" x14ac:dyDescent="0.25">
      <c r="A1950" s="11" t="s">
        <v>5741</v>
      </c>
      <c r="B1950" s="11" t="s">
        <v>5742</v>
      </c>
      <c r="C1950" s="11" t="s">
        <v>5743</v>
      </c>
      <c r="D1950" s="4" t="s">
        <v>1406</v>
      </c>
      <c r="E1950" t="s">
        <v>30</v>
      </c>
      <c r="F1950" s="9">
        <f t="shared" si="126"/>
        <v>0</v>
      </c>
      <c r="G1950" s="9">
        <f t="shared" si="127"/>
        <v>0</v>
      </c>
      <c r="H1950" s="9">
        <f t="shared" si="128"/>
        <v>0</v>
      </c>
      <c r="I1950" s="10">
        <f t="shared" si="129"/>
        <v>0</v>
      </c>
    </row>
    <row r="1951" spans="1:9" x14ac:dyDescent="0.25">
      <c r="A1951" s="11" t="s">
        <v>5744</v>
      </c>
      <c r="B1951" s="11" t="s">
        <v>5745</v>
      </c>
      <c r="C1951" s="11" t="s">
        <v>5743</v>
      </c>
      <c r="D1951" s="4" t="s">
        <v>1406</v>
      </c>
      <c r="E1951" t="s">
        <v>30</v>
      </c>
      <c r="F1951" s="9">
        <f t="shared" si="126"/>
        <v>0</v>
      </c>
      <c r="G1951" s="9">
        <f t="shared" si="127"/>
        <v>0</v>
      </c>
      <c r="H1951" s="9">
        <f t="shared" si="128"/>
        <v>0</v>
      </c>
      <c r="I1951" s="10">
        <f t="shared" si="129"/>
        <v>0</v>
      </c>
    </row>
    <row r="1952" spans="1:9" x14ac:dyDescent="0.25">
      <c r="A1952" s="11" t="s">
        <v>5746</v>
      </c>
      <c r="B1952" s="11" t="s">
        <v>2488</v>
      </c>
      <c r="C1952" s="11" t="s">
        <v>2488</v>
      </c>
      <c r="D1952" s="4" t="s">
        <v>1406</v>
      </c>
      <c r="E1952" t="s">
        <v>30</v>
      </c>
      <c r="F1952" s="9">
        <f t="shared" si="126"/>
        <v>0</v>
      </c>
      <c r="G1952" s="9">
        <f t="shared" si="127"/>
        <v>0</v>
      </c>
      <c r="H1952" s="9">
        <f t="shared" si="128"/>
        <v>0</v>
      </c>
      <c r="I1952" s="10">
        <f t="shared" si="129"/>
        <v>0</v>
      </c>
    </row>
    <row r="1953" spans="1:9" x14ac:dyDescent="0.25">
      <c r="A1953" s="11" t="s">
        <v>5747</v>
      </c>
      <c r="B1953" s="11" t="s">
        <v>5748</v>
      </c>
      <c r="C1953" s="11" t="s">
        <v>759</v>
      </c>
      <c r="D1953" s="4" t="s">
        <v>1406</v>
      </c>
      <c r="E1953" t="s">
        <v>82</v>
      </c>
      <c r="F1953" s="9">
        <f t="shared" si="126"/>
        <v>0</v>
      </c>
      <c r="G1953" s="9">
        <f t="shared" si="127"/>
        <v>0</v>
      </c>
      <c r="H1953" s="9">
        <f t="shared" si="128"/>
        <v>0</v>
      </c>
      <c r="I1953" s="10">
        <f t="shared" si="129"/>
        <v>0</v>
      </c>
    </row>
    <row r="1954" spans="1:9" x14ac:dyDescent="0.25">
      <c r="A1954" s="11" t="s">
        <v>5749</v>
      </c>
      <c r="B1954" s="11" t="s">
        <v>5750</v>
      </c>
      <c r="C1954" s="11" t="s">
        <v>784</v>
      </c>
      <c r="D1954" s="4" t="s">
        <v>1406</v>
      </c>
      <c r="E1954" t="s">
        <v>30</v>
      </c>
      <c r="F1954" s="9">
        <f t="shared" si="126"/>
        <v>0</v>
      </c>
      <c r="G1954" s="9">
        <f t="shared" si="127"/>
        <v>0</v>
      </c>
      <c r="H1954" s="9">
        <f t="shared" si="128"/>
        <v>0</v>
      </c>
      <c r="I1954" s="10">
        <f t="shared" si="129"/>
        <v>0</v>
      </c>
    </row>
    <row r="1955" spans="1:9" x14ac:dyDescent="0.25">
      <c r="A1955" s="11" t="s">
        <v>5751</v>
      </c>
      <c r="B1955" s="11" t="s">
        <v>5752</v>
      </c>
      <c r="C1955" s="11" t="s">
        <v>784</v>
      </c>
      <c r="D1955" s="4" t="s">
        <v>1406</v>
      </c>
      <c r="E1955" t="s">
        <v>30</v>
      </c>
      <c r="F1955" s="9">
        <f t="shared" si="126"/>
        <v>0</v>
      </c>
      <c r="G1955" s="9">
        <f t="shared" si="127"/>
        <v>0</v>
      </c>
      <c r="H1955" s="9">
        <f t="shared" si="128"/>
        <v>0</v>
      </c>
      <c r="I1955" s="10">
        <f t="shared" si="129"/>
        <v>0</v>
      </c>
    </row>
    <row r="1956" spans="1:9" x14ac:dyDescent="0.25">
      <c r="A1956" s="11" t="s">
        <v>5753</v>
      </c>
      <c r="B1956" s="11" t="s">
        <v>5754</v>
      </c>
      <c r="C1956" s="11" t="s">
        <v>784</v>
      </c>
      <c r="D1956" s="4" t="s">
        <v>1406</v>
      </c>
      <c r="E1956" t="s">
        <v>30</v>
      </c>
      <c r="F1956" s="9">
        <f t="shared" si="126"/>
        <v>0</v>
      </c>
      <c r="G1956" s="9">
        <f t="shared" si="127"/>
        <v>0</v>
      </c>
      <c r="H1956" s="9">
        <f t="shared" si="128"/>
        <v>0</v>
      </c>
      <c r="I1956" s="10">
        <f t="shared" si="129"/>
        <v>0</v>
      </c>
    </row>
    <row r="1957" spans="1:9" x14ac:dyDescent="0.25">
      <c r="A1957" s="11" t="s">
        <v>5755</v>
      </c>
      <c r="B1957" s="11" t="s">
        <v>5756</v>
      </c>
      <c r="C1957" s="11" t="s">
        <v>784</v>
      </c>
      <c r="D1957" s="4" t="s">
        <v>1406</v>
      </c>
      <c r="E1957" t="s">
        <v>30</v>
      </c>
      <c r="F1957" s="9">
        <f t="shared" si="126"/>
        <v>0</v>
      </c>
      <c r="G1957" s="9">
        <f t="shared" si="127"/>
        <v>0</v>
      </c>
      <c r="H1957" s="9">
        <f t="shared" si="128"/>
        <v>0</v>
      </c>
      <c r="I1957" s="10">
        <f t="shared" si="129"/>
        <v>0</v>
      </c>
    </row>
    <row r="1958" spans="1:9" x14ac:dyDescent="0.25">
      <c r="A1958" s="11" t="s">
        <v>5757</v>
      </c>
      <c r="B1958" s="11" t="s">
        <v>5758</v>
      </c>
      <c r="C1958" s="11" t="s">
        <v>784</v>
      </c>
      <c r="D1958" s="4" t="s">
        <v>1406</v>
      </c>
      <c r="E1958" t="s">
        <v>30</v>
      </c>
      <c r="F1958" s="9">
        <f t="shared" si="126"/>
        <v>0</v>
      </c>
      <c r="G1958" s="9">
        <f t="shared" si="127"/>
        <v>0</v>
      </c>
      <c r="H1958" s="9">
        <f t="shared" si="128"/>
        <v>0</v>
      </c>
      <c r="I1958" s="10">
        <f t="shared" si="129"/>
        <v>0</v>
      </c>
    </row>
    <row r="1959" spans="1:9" x14ac:dyDescent="0.25">
      <c r="A1959" s="11" t="s">
        <v>5759</v>
      </c>
      <c r="B1959" s="11" t="s">
        <v>836</v>
      </c>
      <c r="C1959" s="11" t="s">
        <v>791</v>
      </c>
      <c r="D1959" s="4" t="s">
        <v>1406</v>
      </c>
      <c r="E1959" t="s">
        <v>30</v>
      </c>
      <c r="F1959" s="9">
        <f t="shared" si="126"/>
        <v>0</v>
      </c>
      <c r="G1959" s="9">
        <f t="shared" si="127"/>
        <v>0</v>
      </c>
      <c r="H1959" s="9">
        <f t="shared" si="128"/>
        <v>0</v>
      </c>
      <c r="I1959" s="10">
        <f t="shared" si="129"/>
        <v>0</v>
      </c>
    </row>
    <row r="1960" spans="1:9" x14ac:dyDescent="0.25">
      <c r="A1960" s="11" t="s">
        <v>5760</v>
      </c>
      <c r="B1960" s="11" t="s">
        <v>5761</v>
      </c>
      <c r="C1960" s="11" t="s">
        <v>791</v>
      </c>
      <c r="D1960" s="4" t="s">
        <v>1406</v>
      </c>
      <c r="E1960" t="s">
        <v>30</v>
      </c>
      <c r="F1960" s="9">
        <f t="shared" si="126"/>
        <v>0</v>
      </c>
      <c r="G1960" s="9">
        <f t="shared" si="127"/>
        <v>0</v>
      </c>
      <c r="H1960" s="9">
        <f t="shared" si="128"/>
        <v>0</v>
      </c>
      <c r="I1960" s="10">
        <f t="shared" si="129"/>
        <v>0</v>
      </c>
    </row>
    <row r="1961" spans="1:9" x14ac:dyDescent="0.25">
      <c r="A1961" s="11" t="s">
        <v>903</v>
      </c>
      <c r="B1961" s="11" t="s">
        <v>902</v>
      </c>
      <c r="C1961" s="11" t="s">
        <v>791</v>
      </c>
      <c r="D1961" s="4" t="s">
        <v>1406</v>
      </c>
      <c r="E1961" t="s">
        <v>30</v>
      </c>
      <c r="F1961" s="9">
        <f t="shared" si="126"/>
        <v>0</v>
      </c>
      <c r="G1961" s="9">
        <f t="shared" si="127"/>
        <v>0</v>
      </c>
      <c r="H1961" s="9">
        <f t="shared" si="128"/>
        <v>0</v>
      </c>
      <c r="I1961" s="10">
        <f t="shared" si="129"/>
        <v>0</v>
      </c>
    </row>
    <row r="1962" spans="1:9" x14ac:dyDescent="0.25">
      <c r="A1962" s="11" t="s">
        <v>907</v>
      </c>
      <c r="B1962" s="11" t="s">
        <v>906</v>
      </c>
      <c r="C1962" s="11" t="s">
        <v>791</v>
      </c>
      <c r="D1962" s="4" t="s">
        <v>1406</v>
      </c>
      <c r="E1962" t="s">
        <v>30</v>
      </c>
      <c r="F1962" s="9">
        <f t="shared" si="126"/>
        <v>0</v>
      </c>
      <c r="G1962" s="9">
        <f t="shared" si="127"/>
        <v>0</v>
      </c>
      <c r="H1962" s="9">
        <f t="shared" si="128"/>
        <v>0</v>
      </c>
      <c r="I1962" s="10">
        <f t="shared" si="129"/>
        <v>0</v>
      </c>
    </row>
    <row r="1963" spans="1:9" x14ac:dyDescent="0.25">
      <c r="A1963" s="11" t="s">
        <v>5762</v>
      </c>
      <c r="B1963" s="11" t="s">
        <v>5763</v>
      </c>
      <c r="C1963" s="11" t="s">
        <v>791</v>
      </c>
      <c r="D1963" s="4" t="s">
        <v>1406</v>
      </c>
      <c r="E1963" t="s">
        <v>30</v>
      </c>
      <c r="F1963" s="9">
        <f t="shared" si="126"/>
        <v>0</v>
      </c>
      <c r="G1963" s="9">
        <f t="shared" si="127"/>
        <v>0</v>
      </c>
      <c r="H1963" s="9">
        <f t="shared" si="128"/>
        <v>0</v>
      </c>
      <c r="I1963" s="10">
        <f t="shared" si="129"/>
        <v>0</v>
      </c>
    </row>
    <row r="1964" spans="1:9" x14ac:dyDescent="0.25">
      <c r="A1964" s="11" t="s">
        <v>5764</v>
      </c>
      <c r="B1964" s="11" t="s">
        <v>5765</v>
      </c>
      <c r="C1964" s="11" t="s">
        <v>791</v>
      </c>
      <c r="D1964" s="4" t="s">
        <v>1406</v>
      </c>
      <c r="E1964" t="s">
        <v>30</v>
      </c>
      <c r="F1964" s="9">
        <f t="shared" si="126"/>
        <v>0</v>
      </c>
      <c r="G1964" s="9">
        <f t="shared" si="127"/>
        <v>0</v>
      </c>
      <c r="H1964" s="9">
        <f t="shared" si="128"/>
        <v>0</v>
      </c>
      <c r="I1964" s="10">
        <f t="shared" si="129"/>
        <v>0</v>
      </c>
    </row>
    <row r="1965" spans="1:9" x14ac:dyDescent="0.25">
      <c r="A1965" s="11" t="s">
        <v>5766</v>
      </c>
      <c r="B1965" s="11" t="s">
        <v>5767</v>
      </c>
      <c r="C1965" s="11" t="s">
        <v>791</v>
      </c>
      <c r="D1965" s="4" t="s">
        <v>1406</v>
      </c>
      <c r="E1965" t="s">
        <v>30</v>
      </c>
      <c r="F1965" s="9">
        <f t="shared" si="126"/>
        <v>0</v>
      </c>
      <c r="G1965" s="9">
        <f t="shared" si="127"/>
        <v>0</v>
      </c>
      <c r="H1965" s="9">
        <f t="shared" si="128"/>
        <v>0</v>
      </c>
      <c r="I1965" s="10">
        <f t="shared" si="129"/>
        <v>0</v>
      </c>
    </row>
    <row r="1966" spans="1:9" x14ac:dyDescent="0.25">
      <c r="A1966" s="11" t="s">
        <v>945</v>
      </c>
      <c r="B1966" s="11" t="s">
        <v>944</v>
      </c>
      <c r="C1966" s="11" t="s">
        <v>791</v>
      </c>
      <c r="D1966" s="4" t="s">
        <v>1406</v>
      </c>
      <c r="E1966" t="s">
        <v>30</v>
      </c>
      <c r="F1966" s="9">
        <f t="shared" si="126"/>
        <v>0</v>
      </c>
      <c r="G1966" s="9">
        <f t="shared" si="127"/>
        <v>0</v>
      </c>
      <c r="H1966" s="9">
        <f t="shared" si="128"/>
        <v>0</v>
      </c>
      <c r="I1966" s="10">
        <f t="shared" si="129"/>
        <v>0</v>
      </c>
    </row>
    <row r="1967" spans="1:9" x14ac:dyDescent="0.25">
      <c r="A1967" s="11" t="s">
        <v>5768</v>
      </c>
      <c r="B1967" s="11" t="s">
        <v>5769</v>
      </c>
      <c r="C1967" s="11" t="s">
        <v>791</v>
      </c>
      <c r="D1967" s="4" t="s">
        <v>1406</v>
      </c>
      <c r="E1967" t="s">
        <v>30</v>
      </c>
      <c r="F1967" s="9">
        <f t="shared" si="126"/>
        <v>0</v>
      </c>
      <c r="G1967" s="9">
        <f t="shared" si="127"/>
        <v>0</v>
      </c>
      <c r="H1967" s="9">
        <f t="shared" si="128"/>
        <v>0</v>
      </c>
      <c r="I1967" s="10">
        <f t="shared" si="129"/>
        <v>0</v>
      </c>
    </row>
    <row r="1968" spans="1:9" x14ac:dyDescent="0.25">
      <c r="A1968" s="11" t="s">
        <v>5770</v>
      </c>
      <c r="B1968" s="11" t="s">
        <v>5771</v>
      </c>
      <c r="C1968" s="11" t="s">
        <v>791</v>
      </c>
      <c r="D1968" s="4" t="s">
        <v>1406</v>
      </c>
      <c r="E1968" t="s">
        <v>30</v>
      </c>
      <c r="F1968" s="9">
        <f t="shared" si="126"/>
        <v>0</v>
      </c>
      <c r="G1968" s="9">
        <f t="shared" si="127"/>
        <v>0</v>
      </c>
      <c r="H1968" s="9">
        <f t="shared" si="128"/>
        <v>0</v>
      </c>
      <c r="I1968" s="10">
        <f t="shared" si="129"/>
        <v>0</v>
      </c>
    </row>
    <row r="1969" spans="1:9" x14ac:dyDescent="0.25">
      <c r="A1969" s="11" t="s">
        <v>5772</v>
      </c>
      <c r="B1969" s="11" t="s">
        <v>5773</v>
      </c>
      <c r="C1969" s="11" t="s">
        <v>791</v>
      </c>
      <c r="D1969" s="4" t="s">
        <v>1406</v>
      </c>
      <c r="E1969" t="s">
        <v>30</v>
      </c>
      <c r="F1969" s="9">
        <f t="shared" si="126"/>
        <v>0</v>
      </c>
      <c r="G1969" s="9">
        <f t="shared" si="127"/>
        <v>0</v>
      </c>
      <c r="H1969" s="9">
        <f t="shared" si="128"/>
        <v>0</v>
      </c>
      <c r="I1969" s="10">
        <f t="shared" si="129"/>
        <v>0</v>
      </c>
    </row>
    <row r="1970" spans="1:9" x14ac:dyDescent="0.25">
      <c r="A1970" s="11" t="s">
        <v>5774</v>
      </c>
      <c r="B1970" s="11" t="s">
        <v>5775</v>
      </c>
      <c r="C1970" s="11" t="s">
        <v>791</v>
      </c>
      <c r="D1970" s="4" t="s">
        <v>1406</v>
      </c>
      <c r="E1970" t="s">
        <v>30</v>
      </c>
      <c r="F1970" s="9">
        <f t="shared" si="126"/>
        <v>0</v>
      </c>
      <c r="G1970" s="9">
        <f t="shared" si="127"/>
        <v>0</v>
      </c>
      <c r="H1970" s="9">
        <f t="shared" si="128"/>
        <v>0</v>
      </c>
      <c r="I1970" s="10">
        <f t="shared" si="129"/>
        <v>0</v>
      </c>
    </row>
    <row r="1971" spans="1:9" x14ac:dyDescent="0.25">
      <c r="A1971" s="11" t="s">
        <v>983</v>
      </c>
      <c r="B1971" s="11" t="s">
        <v>982</v>
      </c>
      <c r="C1971" s="11" t="s">
        <v>791</v>
      </c>
      <c r="D1971" s="4" t="s">
        <v>1406</v>
      </c>
      <c r="E1971" t="s">
        <v>30</v>
      </c>
      <c r="F1971" s="9">
        <f t="shared" si="126"/>
        <v>0</v>
      </c>
      <c r="G1971" s="9">
        <f t="shared" si="127"/>
        <v>0</v>
      </c>
      <c r="H1971" s="9">
        <f t="shared" si="128"/>
        <v>0</v>
      </c>
      <c r="I1971" s="10">
        <f t="shared" si="129"/>
        <v>0</v>
      </c>
    </row>
    <row r="1972" spans="1:9" x14ac:dyDescent="0.25">
      <c r="A1972" s="11" t="s">
        <v>5776</v>
      </c>
      <c r="B1972" s="11" t="s">
        <v>5777</v>
      </c>
      <c r="C1972" s="11" t="s">
        <v>1557</v>
      </c>
      <c r="D1972" s="4" t="s">
        <v>1406</v>
      </c>
      <c r="E1972" t="s">
        <v>1558</v>
      </c>
      <c r="F1972" s="9">
        <f t="shared" si="126"/>
        <v>0</v>
      </c>
      <c r="G1972" s="9">
        <f t="shared" si="127"/>
        <v>0</v>
      </c>
      <c r="H1972" s="9">
        <f t="shared" si="128"/>
        <v>0</v>
      </c>
      <c r="I1972" s="10">
        <f t="shared" si="129"/>
        <v>0</v>
      </c>
    </row>
    <row r="1973" spans="1:9" x14ac:dyDescent="0.25">
      <c r="A1973" s="11" t="s">
        <v>5778</v>
      </c>
      <c r="B1973" s="11" t="s">
        <v>5779</v>
      </c>
      <c r="C1973" s="11" t="s">
        <v>1557</v>
      </c>
      <c r="D1973" s="4" t="s">
        <v>1406</v>
      </c>
      <c r="E1973" t="s">
        <v>1558</v>
      </c>
      <c r="F1973" s="9">
        <f t="shared" si="126"/>
        <v>0</v>
      </c>
      <c r="G1973" s="9">
        <f t="shared" si="127"/>
        <v>0</v>
      </c>
      <c r="H1973" s="9">
        <f t="shared" si="128"/>
        <v>0</v>
      </c>
      <c r="I1973" s="10">
        <f t="shared" si="129"/>
        <v>0</v>
      </c>
    </row>
    <row r="1974" spans="1:9" x14ac:dyDescent="0.25">
      <c r="A1974" s="11" t="s">
        <v>5780</v>
      </c>
      <c r="B1974" s="11" t="s">
        <v>5781</v>
      </c>
      <c r="C1974" s="11" t="s">
        <v>1557</v>
      </c>
      <c r="D1974" s="4" t="s">
        <v>1406</v>
      </c>
      <c r="E1974" t="s">
        <v>1558</v>
      </c>
      <c r="F1974" s="9">
        <f t="shared" si="126"/>
        <v>0</v>
      </c>
      <c r="G1974" s="9">
        <f t="shared" si="127"/>
        <v>0</v>
      </c>
      <c r="H1974" s="9">
        <f t="shared" si="128"/>
        <v>0</v>
      </c>
      <c r="I1974" s="10">
        <f t="shared" si="129"/>
        <v>0</v>
      </c>
    </row>
    <row r="1975" spans="1:9" x14ac:dyDescent="0.25">
      <c r="A1975" s="11" t="s">
        <v>5782</v>
      </c>
      <c r="B1975" s="11" t="s">
        <v>5783</v>
      </c>
      <c r="C1975" s="11" t="s">
        <v>1557</v>
      </c>
      <c r="D1975" s="4" t="s">
        <v>1406</v>
      </c>
      <c r="E1975" t="s">
        <v>1558</v>
      </c>
      <c r="F1975" s="9">
        <f t="shared" si="126"/>
        <v>0</v>
      </c>
      <c r="G1975" s="9">
        <f t="shared" si="127"/>
        <v>0</v>
      </c>
      <c r="H1975" s="9">
        <f t="shared" si="128"/>
        <v>0</v>
      </c>
      <c r="I1975" s="10">
        <f t="shared" si="129"/>
        <v>0</v>
      </c>
    </row>
    <row r="1976" spans="1:9" x14ac:dyDescent="0.25">
      <c r="A1976" s="11" t="s">
        <v>5784</v>
      </c>
      <c r="B1976" s="11" t="s">
        <v>5785</v>
      </c>
      <c r="C1976" s="11" t="s">
        <v>1557</v>
      </c>
      <c r="D1976" s="4" t="s">
        <v>1406</v>
      </c>
      <c r="E1976" t="s">
        <v>1558</v>
      </c>
      <c r="F1976" s="9">
        <f t="shared" si="126"/>
        <v>0</v>
      </c>
      <c r="G1976" s="9">
        <f t="shared" si="127"/>
        <v>0</v>
      </c>
      <c r="H1976" s="9">
        <f t="shared" si="128"/>
        <v>0</v>
      </c>
      <c r="I1976" s="10">
        <f t="shared" si="129"/>
        <v>0</v>
      </c>
    </row>
    <row r="1977" spans="1:9" x14ac:dyDescent="0.25">
      <c r="A1977" s="11" t="s">
        <v>5786</v>
      </c>
      <c r="B1977" s="11" t="s">
        <v>5787</v>
      </c>
      <c r="C1977" s="11" t="s">
        <v>1557</v>
      </c>
      <c r="D1977" s="4" t="s">
        <v>1406</v>
      </c>
      <c r="E1977" t="s">
        <v>1558</v>
      </c>
      <c r="F1977" s="9">
        <f t="shared" si="126"/>
        <v>0</v>
      </c>
      <c r="G1977" s="9">
        <f t="shared" si="127"/>
        <v>0</v>
      </c>
      <c r="H1977" s="9">
        <f t="shared" si="128"/>
        <v>0</v>
      </c>
      <c r="I1977" s="10">
        <f t="shared" si="129"/>
        <v>0</v>
      </c>
    </row>
    <row r="1978" spans="1:9" x14ac:dyDescent="0.25">
      <c r="A1978" s="11" t="s">
        <v>5788</v>
      </c>
      <c r="B1978" s="11" t="s">
        <v>5789</v>
      </c>
      <c r="C1978" s="11" t="s">
        <v>1557</v>
      </c>
      <c r="D1978" s="4" t="s">
        <v>1406</v>
      </c>
      <c r="E1978" t="s">
        <v>1558</v>
      </c>
      <c r="F1978" s="9">
        <f t="shared" si="126"/>
        <v>0</v>
      </c>
      <c r="G1978" s="9">
        <f t="shared" si="127"/>
        <v>0</v>
      </c>
      <c r="H1978" s="9">
        <f t="shared" si="128"/>
        <v>0</v>
      </c>
      <c r="I1978" s="10">
        <f t="shared" si="129"/>
        <v>0</v>
      </c>
    </row>
    <row r="1979" spans="1:9" x14ac:dyDescent="0.25">
      <c r="A1979" s="11" t="s">
        <v>5790</v>
      </c>
      <c r="B1979" s="11" t="s">
        <v>5791</v>
      </c>
      <c r="C1979" s="11" t="s">
        <v>81</v>
      </c>
      <c r="D1979" s="4" t="s">
        <v>1406</v>
      </c>
      <c r="E1979" t="s">
        <v>82</v>
      </c>
      <c r="F1979" s="9">
        <f t="shared" si="126"/>
        <v>0</v>
      </c>
      <c r="G1979" s="9">
        <f t="shared" si="127"/>
        <v>0</v>
      </c>
      <c r="H1979" s="9">
        <f t="shared" si="128"/>
        <v>0</v>
      </c>
      <c r="I1979" s="10">
        <f t="shared" si="129"/>
        <v>0</v>
      </c>
    </row>
    <row r="1980" spans="1:9" x14ac:dyDescent="0.25">
      <c r="A1980" s="11" t="s">
        <v>5792</v>
      </c>
      <c r="B1980" s="11" t="s">
        <v>5793</v>
      </c>
      <c r="C1980" s="11" t="s">
        <v>81</v>
      </c>
      <c r="D1980" s="4" t="s">
        <v>1406</v>
      </c>
      <c r="E1980" t="s">
        <v>3011</v>
      </c>
      <c r="F1980" s="9">
        <f t="shared" si="126"/>
        <v>0</v>
      </c>
      <c r="G1980" s="9">
        <f t="shared" si="127"/>
        <v>0</v>
      </c>
      <c r="H1980" s="9">
        <f t="shared" si="128"/>
        <v>0</v>
      </c>
      <c r="I1980" s="10">
        <f t="shared" si="129"/>
        <v>0</v>
      </c>
    </row>
    <row r="1981" spans="1:9" x14ac:dyDescent="0.25">
      <c r="A1981" s="11" t="s">
        <v>5794</v>
      </c>
      <c r="B1981" s="11" t="s">
        <v>5795</v>
      </c>
      <c r="C1981" s="11" t="s">
        <v>81</v>
      </c>
      <c r="D1981" s="4" t="s">
        <v>1406</v>
      </c>
      <c r="E1981" t="s">
        <v>3011</v>
      </c>
      <c r="F1981" s="9">
        <f t="shared" si="126"/>
        <v>0</v>
      </c>
      <c r="G1981" s="9">
        <f t="shared" si="127"/>
        <v>0</v>
      </c>
      <c r="H1981" s="9">
        <f t="shared" si="128"/>
        <v>0</v>
      </c>
      <c r="I1981" s="10">
        <f t="shared" si="129"/>
        <v>0</v>
      </c>
    </row>
    <row r="1982" spans="1:9" x14ac:dyDescent="0.25">
      <c r="A1982" s="11" t="s">
        <v>5796</v>
      </c>
      <c r="B1982" s="11" t="s">
        <v>5797</v>
      </c>
      <c r="C1982" s="11" t="s">
        <v>81</v>
      </c>
      <c r="D1982" s="4" t="s">
        <v>1406</v>
      </c>
      <c r="E1982" t="s">
        <v>82</v>
      </c>
      <c r="F1982" s="9">
        <f t="shared" si="126"/>
        <v>0</v>
      </c>
      <c r="G1982" s="9">
        <f t="shared" si="127"/>
        <v>0</v>
      </c>
      <c r="H1982" s="9">
        <f t="shared" si="128"/>
        <v>0</v>
      </c>
      <c r="I1982" s="10">
        <f t="shared" si="129"/>
        <v>0</v>
      </c>
    </row>
    <row r="1983" spans="1:9" x14ac:dyDescent="0.25">
      <c r="A1983" s="11" t="s">
        <v>5798</v>
      </c>
      <c r="B1983" s="11" t="s">
        <v>5799</v>
      </c>
      <c r="C1983" s="11" t="s">
        <v>81</v>
      </c>
      <c r="D1983" s="4" t="s">
        <v>1406</v>
      </c>
      <c r="E1983" t="s">
        <v>82</v>
      </c>
      <c r="F1983" s="9">
        <f t="shared" si="126"/>
        <v>0</v>
      </c>
      <c r="G1983" s="9">
        <f t="shared" si="127"/>
        <v>0</v>
      </c>
      <c r="H1983" s="9">
        <f t="shared" si="128"/>
        <v>0</v>
      </c>
      <c r="I1983" s="10">
        <f t="shared" si="129"/>
        <v>0</v>
      </c>
    </row>
    <row r="1984" spans="1:9" x14ac:dyDescent="0.25">
      <c r="A1984" s="11" t="s">
        <v>5800</v>
      </c>
      <c r="B1984" s="11" t="s">
        <v>5801</v>
      </c>
      <c r="C1984" s="11" t="s">
        <v>81</v>
      </c>
      <c r="D1984" s="4" t="s">
        <v>1406</v>
      </c>
      <c r="E1984" t="s">
        <v>82</v>
      </c>
      <c r="F1984" s="9">
        <f t="shared" si="126"/>
        <v>0</v>
      </c>
      <c r="G1984" s="9">
        <f t="shared" si="127"/>
        <v>0</v>
      </c>
      <c r="H1984" s="9">
        <f t="shared" si="128"/>
        <v>0</v>
      </c>
      <c r="I1984" s="10">
        <f t="shared" si="129"/>
        <v>0</v>
      </c>
    </row>
    <row r="1985" spans="1:9" x14ac:dyDescent="0.25">
      <c r="A1985" s="11" t="s">
        <v>5802</v>
      </c>
      <c r="B1985" s="11" t="s">
        <v>5803</v>
      </c>
      <c r="C1985" s="11" t="s">
        <v>81</v>
      </c>
      <c r="D1985" s="4" t="s">
        <v>1406</v>
      </c>
      <c r="E1985" t="s">
        <v>82</v>
      </c>
      <c r="F1985" s="9">
        <f t="shared" si="126"/>
        <v>0</v>
      </c>
      <c r="G1985" s="9">
        <f t="shared" si="127"/>
        <v>0</v>
      </c>
      <c r="H1985" s="9">
        <f t="shared" si="128"/>
        <v>0</v>
      </c>
      <c r="I1985" s="10">
        <f t="shared" si="129"/>
        <v>0</v>
      </c>
    </row>
    <row r="1986" spans="1:9" x14ac:dyDescent="0.25">
      <c r="A1986" s="11" t="s">
        <v>5804</v>
      </c>
      <c r="B1986" s="11" t="s">
        <v>5805</v>
      </c>
      <c r="C1986" s="11" t="s">
        <v>81</v>
      </c>
      <c r="D1986" s="4" t="s">
        <v>1406</v>
      </c>
      <c r="E1986" t="s">
        <v>82</v>
      </c>
      <c r="F1986" s="9">
        <f t="shared" si="126"/>
        <v>0</v>
      </c>
      <c r="G1986" s="9">
        <f t="shared" si="127"/>
        <v>0</v>
      </c>
      <c r="H1986" s="9">
        <f t="shared" si="128"/>
        <v>0</v>
      </c>
      <c r="I1986" s="10">
        <f t="shared" si="129"/>
        <v>0</v>
      </c>
    </row>
    <row r="1987" spans="1:9" x14ac:dyDescent="0.25">
      <c r="A1987" s="11" t="s">
        <v>5806</v>
      </c>
      <c r="B1987" s="11" t="s">
        <v>5807</v>
      </c>
      <c r="C1987" s="11" t="s">
        <v>81</v>
      </c>
      <c r="D1987" s="4" t="s">
        <v>1406</v>
      </c>
      <c r="E1987" t="s">
        <v>82</v>
      </c>
      <c r="F1987" s="9">
        <f t="shared" si="126"/>
        <v>0</v>
      </c>
      <c r="G1987" s="9">
        <f t="shared" si="127"/>
        <v>0</v>
      </c>
      <c r="H1987" s="9">
        <f t="shared" si="128"/>
        <v>0</v>
      </c>
      <c r="I1987" s="10">
        <f t="shared" si="129"/>
        <v>0</v>
      </c>
    </row>
    <row r="1988" spans="1:9" x14ac:dyDescent="0.25">
      <c r="A1988" s="11" t="s">
        <v>5808</v>
      </c>
      <c r="B1988" s="11" t="s">
        <v>5809</v>
      </c>
      <c r="C1988" s="11" t="s">
        <v>81</v>
      </c>
      <c r="D1988" s="4" t="s">
        <v>1406</v>
      </c>
      <c r="E1988" t="s">
        <v>82</v>
      </c>
      <c r="F1988" s="9">
        <f t="shared" si="126"/>
        <v>0</v>
      </c>
      <c r="G1988" s="9">
        <f t="shared" si="127"/>
        <v>0</v>
      </c>
      <c r="H1988" s="9">
        <f t="shared" si="128"/>
        <v>0</v>
      </c>
      <c r="I1988" s="10">
        <f t="shared" si="129"/>
        <v>0</v>
      </c>
    </row>
    <row r="1989" spans="1:9" x14ac:dyDescent="0.25">
      <c r="A1989" s="11" t="s">
        <v>5810</v>
      </c>
      <c r="B1989" s="11" t="s">
        <v>5811</v>
      </c>
      <c r="C1989" s="11" t="s">
        <v>81</v>
      </c>
      <c r="D1989" s="4" t="s">
        <v>1406</v>
      </c>
      <c r="E1989" t="s">
        <v>82</v>
      </c>
      <c r="F1989" s="9">
        <f t="shared" si="126"/>
        <v>0</v>
      </c>
      <c r="G1989" s="9">
        <f t="shared" si="127"/>
        <v>0</v>
      </c>
      <c r="H1989" s="9">
        <f t="shared" si="128"/>
        <v>0</v>
      </c>
      <c r="I1989" s="10">
        <f t="shared" si="129"/>
        <v>0</v>
      </c>
    </row>
    <row r="1990" spans="1:9" x14ac:dyDescent="0.25">
      <c r="A1990" s="11" t="s">
        <v>5812</v>
      </c>
      <c r="B1990" s="11" t="s">
        <v>5813</v>
      </c>
      <c r="C1990" s="11" t="s">
        <v>81</v>
      </c>
      <c r="D1990" s="4" t="s">
        <v>1406</v>
      </c>
      <c r="E1990" t="s">
        <v>489</v>
      </c>
      <c r="F1990" s="9">
        <f t="shared" si="126"/>
        <v>0</v>
      </c>
      <c r="G1990" s="9">
        <f t="shared" si="127"/>
        <v>0</v>
      </c>
      <c r="H1990" s="9">
        <f t="shared" si="128"/>
        <v>0</v>
      </c>
      <c r="I1990" s="10">
        <f t="shared" si="129"/>
        <v>0</v>
      </c>
    </row>
    <row r="1991" spans="1:9" x14ac:dyDescent="0.25">
      <c r="A1991" s="11" t="s">
        <v>5814</v>
      </c>
      <c r="B1991" s="11" t="s">
        <v>5815</v>
      </c>
      <c r="C1991" s="11" t="s">
        <v>81</v>
      </c>
      <c r="D1991" s="4" t="s">
        <v>1406</v>
      </c>
      <c r="E1991" t="s">
        <v>82</v>
      </c>
      <c r="F1991" s="9">
        <f t="shared" si="126"/>
        <v>0</v>
      </c>
      <c r="G1991" s="9">
        <f t="shared" si="127"/>
        <v>0</v>
      </c>
      <c r="H1991" s="9">
        <f t="shared" si="128"/>
        <v>0</v>
      </c>
      <c r="I1991" s="10">
        <f t="shared" si="129"/>
        <v>0</v>
      </c>
    </row>
    <row r="1992" spans="1:9" x14ac:dyDescent="0.25">
      <c r="A1992" s="11" t="s">
        <v>5816</v>
      </c>
      <c r="B1992" s="11" t="s">
        <v>5817</v>
      </c>
      <c r="C1992" s="11" t="s">
        <v>81</v>
      </c>
      <c r="D1992" s="4" t="s">
        <v>1406</v>
      </c>
      <c r="E1992" t="s">
        <v>489</v>
      </c>
      <c r="F1992" s="9">
        <f t="shared" ref="F1992:F2055" si="130">IFERROR(VLOOKUP(A1992,condi,8,0),0)</f>
        <v>0</v>
      </c>
      <c r="G1992" s="9">
        <f t="shared" ref="G1992:G2055" si="131">IFERROR(VLOOKUP(A1992,maqui,8,0),0)</f>
        <v>0</v>
      </c>
      <c r="H1992" s="9">
        <f t="shared" ref="H1992:H2055" si="132">IFERROR(VLOOKUP(A1992,ascint,8,0),0)</f>
        <v>0</v>
      </c>
      <c r="I1992" s="10">
        <f t="shared" ref="I1992:I2055" si="133">+F1992+G1992+H1992</f>
        <v>0</v>
      </c>
    </row>
    <row r="1993" spans="1:9" x14ac:dyDescent="0.25">
      <c r="A1993" s="11" t="s">
        <v>5818</v>
      </c>
      <c r="B1993" s="11" t="s">
        <v>5819</v>
      </c>
      <c r="C1993" s="11" t="s">
        <v>81</v>
      </c>
      <c r="D1993" s="4" t="s">
        <v>1406</v>
      </c>
      <c r="E1993" t="s">
        <v>489</v>
      </c>
      <c r="F1993" s="9">
        <f t="shared" si="130"/>
        <v>0</v>
      </c>
      <c r="G1993" s="9">
        <f t="shared" si="131"/>
        <v>0</v>
      </c>
      <c r="H1993" s="9">
        <f t="shared" si="132"/>
        <v>0</v>
      </c>
      <c r="I1993" s="10">
        <f t="shared" si="133"/>
        <v>0</v>
      </c>
    </row>
    <row r="1994" spans="1:9" x14ac:dyDescent="0.25">
      <c r="A1994" s="11" t="s">
        <v>5820</v>
      </c>
      <c r="B1994" s="11" t="s">
        <v>5821</v>
      </c>
      <c r="C1994" s="11" t="s">
        <v>81</v>
      </c>
      <c r="D1994" s="4" t="s">
        <v>1406</v>
      </c>
      <c r="E1994" t="s">
        <v>489</v>
      </c>
      <c r="F1994" s="9">
        <f t="shared" si="130"/>
        <v>0</v>
      </c>
      <c r="G1994" s="9">
        <f t="shared" si="131"/>
        <v>0</v>
      </c>
      <c r="H1994" s="9">
        <f t="shared" si="132"/>
        <v>0</v>
      </c>
      <c r="I1994" s="10">
        <f t="shared" si="133"/>
        <v>0</v>
      </c>
    </row>
    <row r="1995" spans="1:9" x14ac:dyDescent="0.25">
      <c r="A1995" s="11" t="s">
        <v>5822</v>
      </c>
      <c r="B1995" s="11" t="s">
        <v>5823</v>
      </c>
      <c r="C1995" s="11" t="s">
        <v>81</v>
      </c>
      <c r="D1995" s="4" t="s">
        <v>1406</v>
      </c>
      <c r="E1995" t="s">
        <v>489</v>
      </c>
      <c r="F1995" s="9">
        <f t="shared" si="130"/>
        <v>0</v>
      </c>
      <c r="G1995" s="9">
        <f t="shared" si="131"/>
        <v>0</v>
      </c>
      <c r="H1995" s="9">
        <f t="shared" si="132"/>
        <v>0</v>
      </c>
      <c r="I1995" s="10">
        <f t="shared" si="133"/>
        <v>0</v>
      </c>
    </row>
    <row r="1996" spans="1:9" x14ac:dyDescent="0.25">
      <c r="A1996" s="11" t="s">
        <v>5824</v>
      </c>
      <c r="B1996" s="11" t="s">
        <v>5825</v>
      </c>
      <c r="C1996" s="11" t="s">
        <v>81</v>
      </c>
      <c r="D1996" s="4" t="s">
        <v>1406</v>
      </c>
      <c r="E1996" t="s">
        <v>489</v>
      </c>
      <c r="F1996" s="9">
        <f t="shared" si="130"/>
        <v>0</v>
      </c>
      <c r="G1996" s="9">
        <f t="shared" si="131"/>
        <v>0</v>
      </c>
      <c r="H1996" s="9">
        <f t="shared" si="132"/>
        <v>0</v>
      </c>
      <c r="I1996" s="10">
        <f t="shared" si="133"/>
        <v>0</v>
      </c>
    </row>
    <row r="1997" spans="1:9" x14ac:dyDescent="0.25">
      <c r="A1997" s="11" t="s">
        <v>5826</v>
      </c>
      <c r="B1997" s="11" t="s">
        <v>5827</v>
      </c>
      <c r="C1997" s="11" t="s">
        <v>81</v>
      </c>
      <c r="D1997" s="4" t="s">
        <v>1406</v>
      </c>
      <c r="E1997" t="s">
        <v>82</v>
      </c>
      <c r="F1997" s="9">
        <f t="shared" si="130"/>
        <v>0</v>
      </c>
      <c r="G1997" s="9">
        <f t="shared" si="131"/>
        <v>0</v>
      </c>
      <c r="H1997" s="9">
        <f t="shared" si="132"/>
        <v>0</v>
      </c>
      <c r="I1997" s="10">
        <f t="shared" si="133"/>
        <v>0</v>
      </c>
    </row>
    <row r="1998" spans="1:9" x14ac:dyDescent="0.25">
      <c r="A1998" s="11" t="s">
        <v>5828</v>
      </c>
      <c r="B1998" s="11" t="s">
        <v>5829</v>
      </c>
      <c r="C1998" s="11" t="s">
        <v>81</v>
      </c>
      <c r="D1998" s="4" t="s">
        <v>1406</v>
      </c>
      <c r="E1998" t="s">
        <v>3011</v>
      </c>
      <c r="F1998" s="9">
        <f t="shared" si="130"/>
        <v>0</v>
      </c>
      <c r="G1998" s="9">
        <f t="shared" si="131"/>
        <v>0</v>
      </c>
      <c r="H1998" s="9">
        <f t="shared" si="132"/>
        <v>0</v>
      </c>
      <c r="I1998" s="10">
        <f t="shared" si="133"/>
        <v>0</v>
      </c>
    </row>
    <row r="1999" spans="1:9" x14ac:dyDescent="0.25">
      <c r="A1999" s="11" t="s">
        <v>5830</v>
      </c>
      <c r="B1999" s="11" t="s">
        <v>5831</v>
      </c>
      <c r="C1999" s="11" t="s">
        <v>81</v>
      </c>
      <c r="D1999" s="4" t="s">
        <v>1406</v>
      </c>
      <c r="E1999" t="s">
        <v>489</v>
      </c>
      <c r="F1999" s="9">
        <f t="shared" si="130"/>
        <v>0</v>
      </c>
      <c r="G1999" s="9">
        <f t="shared" si="131"/>
        <v>0</v>
      </c>
      <c r="H1999" s="9">
        <f t="shared" si="132"/>
        <v>0</v>
      </c>
      <c r="I1999" s="10">
        <f t="shared" si="133"/>
        <v>0</v>
      </c>
    </row>
    <row r="2000" spans="1:9" x14ac:dyDescent="0.25">
      <c r="A2000" s="11" t="s">
        <v>5832</v>
      </c>
      <c r="B2000" s="11" t="s">
        <v>5833</v>
      </c>
      <c r="C2000" s="11" t="s">
        <v>81</v>
      </c>
      <c r="D2000" s="4" t="s">
        <v>1406</v>
      </c>
      <c r="E2000" t="s">
        <v>82</v>
      </c>
      <c r="F2000" s="9">
        <f t="shared" si="130"/>
        <v>0</v>
      </c>
      <c r="G2000" s="9">
        <f t="shared" si="131"/>
        <v>0</v>
      </c>
      <c r="H2000" s="9">
        <f t="shared" si="132"/>
        <v>0</v>
      </c>
      <c r="I2000" s="10">
        <f t="shared" si="133"/>
        <v>0</v>
      </c>
    </row>
    <row r="2001" spans="1:9" x14ac:dyDescent="0.25">
      <c r="A2001" s="11" t="s">
        <v>5834</v>
      </c>
      <c r="B2001" s="11" t="s">
        <v>5835</v>
      </c>
      <c r="C2001" s="11" t="s">
        <v>81</v>
      </c>
      <c r="D2001" s="4" t="s">
        <v>1406</v>
      </c>
      <c r="E2001" t="s">
        <v>489</v>
      </c>
      <c r="F2001" s="9">
        <f t="shared" si="130"/>
        <v>0</v>
      </c>
      <c r="G2001" s="9">
        <f t="shared" si="131"/>
        <v>0</v>
      </c>
      <c r="H2001" s="9">
        <f t="shared" si="132"/>
        <v>0</v>
      </c>
      <c r="I2001" s="10">
        <f t="shared" si="133"/>
        <v>0</v>
      </c>
    </row>
    <row r="2002" spans="1:9" x14ac:dyDescent="0.25">
      <c r="A2002" s="11" t="s">
        <v>5836</v>
      </c>
      <c r="B2002" s="11" t="s">
        <v>5837</v>
      </c>
      <c r="C2002" s="11" t="s">
        <v>81</v>
      </c>
      <c r="D2002" s="4" t="s">
        <v>1406</v>
      </c>
      <c r="E2002" t="s">
        <v>82</v>
      </c>
      <c r="F2002" s="9">
        <f t="shared" si="130"/>
        <v>0</v>
      </c>
      <c r="G2002" s="9">
        <f t="shared" si="131"/>
        <v>0</v>
      </c>
      <c r="H2002" s="9">
        <f t="shared" si="132"/>
        <v>0</v>
      </c>
      <c r="I2002" s="10">
        <f t="shared" si="133"/>
        <v>0</v>
      </c>
    </row>
    <row r="2003" spans="1:9" x14ac:dyDescent="0.25">
      <c r="A2003" s="11" t="s">
        <v>5838</v>
      </c>
      <c r="B2003" s="11" t="s">
        <v>5839</v>
      </c>
      <c r="C2003" s="11" t="s">
        <v>81</v>
      </c>
      <c r="D2003" s="4" t="s">
        <v>1406</v>
      </c>
      <c r="E2003" t="s">
        <v>489</v>
      </c>
      <c r="F2003" s="9">
        <f t="shared" si="130"/>
        <v>0</v>
      </c>
      <c r="G2003" s="9">
        <f t="shared" si="131"/>
        <v>0</v>
      </c>
      <c r="H2003" s="9">
        <f t="shared" si="132"/>
        <v>0</v>
      </c>
      <c r="I2003" s="10">
        <f t="shared" si="133"/>
        <v>0</v>
      </c>
    </row>
    <row r="2004" spans="1:9" x14ac:dyDescent="0.25">
      <c r="A2004" s="11" t="s">
        <v>5840</v>
      </c>
      <c r="B2004" s="11" t="s">
        <v>5841</v>
      </c>
      <c r="C2004" s="11" t="s">
        <v>81</v>
      </c>
      <c r="D2004" s="4" t="s">
        <v>1406</v>
      </c>
      <c r="E2004" t="s">
        <v>489</v>
      </c>
      <c r="F2004" s="9">
        <f t="shared" si="130"/>
        <v>0</v>
      </c>
      <c r="G2004" s="9">
        <f t="shared" si="131"/>
        <v>0</v>
      </c>
      <c r="H2004" s="9">
        <f t="shared" si="132"/>
        <v>0</v>
      </c>
      <c r="I2004" s="10">
        <f t="shared" si="133"/>
        <v>0</v>
      </c>
    </row>
    <row r="2005" spans="1:9" x14ac:dyDescent="0.25">
      <c r="A2005" s="11" t="s">
        <v>5842</v>
      </c>
      <c r="B2005" s="11" t="s">
        <v>5843</v>
      </c>
      <c r="C2005" s="11" t="s">
        <v>81</v>
      </c>
      <c r="D2005" s="4" t="s">
        <v>1406</v>
      </c>
      <c r="E2005" t="s">
        <v>489</v>
      </c>
      <c r="F2005" s="9">
        <f t="shared" si="130"/>
        <v>0</v>
      </c>
      <c r="G2005" s="9">
        <f t="shared" si="131"/>
        <v>0</v>
      </c>
      <c r="H2005" s="9">
        <f t="shared" si="132"/>
        <v>0</v>
      </c>
      <c r="I2005" s="10">
        <f t="shared" si="133"/>
        <v>0</v>
      </c>
    </row>
    <row r="2006" spans="1:9" x14ac:dyDescent="0.25">
      <c r="A2006" s="11" t="s">
        <v>5844</v>
      </c>
      <c r="B2006" s="11" t="s">
        <v>5845</v>
      </c>
      <c r="C2006" s="11" t="s">
        <v>81</v>
      </c>
      <c r="D2006" s="4" t="s">
        <v>1406</v>
      </c>
      <c r="E2006" t="s">
        <v>489</v>
      </c>
      <c r="F2006" s="9">
        <f t="shared" si="130"/>
        <v>0</v>
      </c>
      <c r="G2006" s="9">
        <f t="shared" si="131"/>
        <v>0</v>
      </c>
      <c r="H2006" s="9">
        <f t="shared" si="132"/>
        <v>0</v>
      </c>
      <c r="I2006" s="10">
        <f t="shared" si="133"/>
        <v>0</v>
      </c>
    </row>
    <row r="2007" spans="1:9" x14ac:dyDescent="0.25">
      <c r="A2007" s="11" t="s">
        <v>5846</v>
      </c>
      <c r="B2007" s="11" t="s">
        <v>5847</v>
      </c>
      <c r="C2007" s="11" t="s">
        <v>81</v>
      </c>
      <c r="D2007" s="4" t="s">
        <v>1406</v>
      </c>
      <c r="E2007" t="s">
        <v>489</v>
      </c>
      <c r="F2007" s="9">
        <f t="shared" si="130"/>
        <v>0</v>
      </c>
      <c r="G2007" s="9">
        <f t="shared" si="131"/>
        <v>0</v>
      </c>
      <c r="H2007" s="9">
        <f t="shared" si="132"/>
        <v>0</v>
      </c>
      <c r="I2007" s="10">
        <f t="shared" si="133"/>
        <v>0</v>
      </c>
    </row>
    <row r="2008" spans="1:9" x14ac:dyDescent="0.25">
      <c r="A2008" s="11" t="s">
        <v>5848</v>
      </c>
      <c r="B2008" s="11" t="s">
        <v>5849</v>
      </c>
      <c r="C2008" s="11" t="s">
        <v>81</v>
      </c>
      <c r="D2008" s="4" t="s">
        <v>1406</v>
      </c>
      <c r="E2008" t="s">
        <v>489</v>
      </c>
      <c r="F2008" s="9">
        <f t="shared" si="130"/>
        <v>0</v>
      </c>
      <c r="G2008" s="9">
        <f t="shared" si="131"/>
        <v>0</v>
      </c>
      <c r="H2008" s="9">
        <f t="shared" si="132"/>
        <v>0</v>
      </c>
      <c r="I2008" s="10">
        <f t="shared" si="133"/>
        <v>0</v>
      </c>
    </row>
    <row r="2009" spans="1:9" x14ac:dyDescent="0.25">
      <c r="A2009" s="11" t="s">
        <v>5850</v>
      </c>
      <c r="B2009" s="11" t="s">
        <v>5851</v>
      </c>
      <c r="C2009" s="11" t="s">
        <v>81</v>
      </c>
      <c r="D2009" s="4" t="s">
        <v>1406</v>
      </c>
      <c r="E2009" t="s">
        <v>82</v>
      </c>
      <c r="F2009" s="9">
        <f t="shared" si="130"/>
        <v>0</v>
      </c>
      <c r="G2009" s="9">
        <f t="shared" si="131"/>
        <v>0</v>
      </c>
      <c r="H2009" s="9">
        <f t="shared" si="132"/>
        <v>0</v>
      </c>
      <c r="I2009" s="10">
        <f t="shared" si="133"/>
        <v>0</v>
      </c>
    </row>
    <row r="2010" spans="1:9" x14ac:dyDescent="0.25">
      <c r="A2010" s="11" t="s">
        <v>5852</v>
      </c>
      <c r="B2010" s="11" t="s">
        <v>5853</v>
      </c>
      <c r="C2010" s="11" t="s">
        <v>81</v>
      </c>
      <c r="D2010" s="4" t="s">
        <v>1406</v>
      </c>
      <c r="E2010" t="s">
        <v>489</v>
      </c>
      <c r="F2010" s="9">
        <f t="shared" si="130"/>
        <v>0</v>
      </c>
      <c r="G2010" s="9">
        <f t="shared" si="131"/>
        <v>0</v>
      </c>
      <c r="H2010" s="9">
        <f t="shared" si="132"/>
        <v>0</v>
      </c>
      <c r="I2010" s="10">
        <f t="shared" si="133"/>
        <v>0</v>
      </c>
    </row>
    <row r="2011" spans="1:9" x14ac:dyDescent="0.25">
      <c r="A2011" s="11" t="s">
        <v>5854</v>
      </c>
      <c r="B2011" s="11" t="s">
        <v>5855</v>
      </c>
      <c r="C2011" s="11" t="s">
        <v>81</v>
      </c>
      <c r="D2011" s="4" t="s">
        <v>1406</v>
      </c>
      <c r="E2011" t="s">
        <v>489</v>
      </c>
      <c r="F2011" s="9">
        <f t="shared" si="130"/>
        <v>0</v>
      </c>
      <c r="G2011" s="9">
        <f t="shared" si="131"/>
        <v>0</v>
      </c>
      <c r="H2011" s="9">
        <f t="shared" si="132"/>
        <v>0</v>
      </c>
      <c r="I2011" s="10">
        <f t="shared" si="133"/>
        <v>0</v>
      </c>
    </row>
    <row r="2012" spans="1:9" x14ac:dyDescent="0.25">
      <c r="A2012" s="11" t="s">
        <v>5856</v>
      </c>
      <c r="B2012" s="11" t="s">
        <v>5857</v>
      </c>
      <c r="C2012" s="11" t="s">
        <v>81</v>
      </c>
      <c r="D2012" s="4" t="s">
        <v>1406</v>
      </c>
      <c r="E2012" t="s">
        <v>82</v>
      </c>
      <c r="F2012" s="9">
        <f t="shared" si="130"/>
        <v>0</v>
      </c>
      <c r="G2012" s="9">
        <f t="shared" si="131"/>
        <v>0</v>
      </c>
      <c r="H2012" s="9">
        <f t="shared" si="132"/>
        <v>0</v>
      </c>
      <c r="I2012" s="10">
        <f t="shared" si="133"/>
        <v>0</v>
      </c>
    </row>
    <row r="2013" spans="1:9" x14ac:dyDescent="0.25">
      <c r="A2013" s="11" t="s">
        <v>5858</v>
      </c>
      <c r="B2013" s="11" t="s">
        <v>5859</v>
      </c>
      <c r="C2013" s="11" t="s">
        <v>81</v>
      </c>
      <c r="D2013" s="4" t="s">
        <v>1406</v>
      </c>
      <c r="E2013" t="s">
        <v>489</v>
      </c>
      <c r="F2013" s="9">
        <f t="shared" si="130"/>
        <v>0</v>
      </c>
      <c r="G2013" s="9">
        <f t="shared" si="131"/>
        <v>0</v>
      </c>
      <c r="H2013" s="9">
        <f t="shared" si="132"/>
        <v>0</v>
      </c>
      <c r="I2013" s="10">
        <f t="shared" si="133"/>
        <v>0</v>
      </c>
    </row>
    <row r="2014" spans="1:9" x14ac:dyDescent="0.25">
      <c r="A2014" s="11" t="s">
        <v>5860</v>
      </c>
      <c r="B2014" s="11" t="s">
        <v>5861</v>
      </c>
      <c r="C2014" s="11" t="s">
        <v>81</v>
      </c>
      <c r="D2014" s="4" t="s">
        <v>1406</v>
      </c>
      <c r="E2014" t="s">
        <v>489</v>
      </c>
      <c r="F2014" s="9">
        <f t="shared" si="130"/>
        <v>0</v>
      </c>
      <c r="G2014" s="9">
        <f t="shared" si="131"/>
        <v>0</v>
      </c>
      <c r="H2014" s="9">
        <f t="shared" si="132"/>
        <v>0</v>
      </c>
      <c r="I2014" s="10">
        <f t="shared" si="133"/>
        <v>0</v>
      </c>
    </row>
    <row r="2015" spans="1:9" x14ac:dyDescent="0.25">
      <c r="A2015" s="11" t="s">
        <v>5862</v>
      </c>
      <c r="B2015" s="11" t="s">
        <v>5863</v>
      </c>
      <c r="C2015" s="11" t="s">
        <v>81</v>
      </c>
      <c r="D2015" s="4" t="s">
        <v>1406</v>
      </c>
      <c r="E2015" t="s">
        <v>82</v>
      </c>
      <c r="F2015" s="9">
        <f t="shared" si="130"/>
        <v>0</v>
      </c>
      <c r="G2015" s="9">
        <f t="shared" si="131"/>
        <v>0</v>
      </c>
      <c r="H2015" s="9">
        <f t="shared" si="132"/>
        <v>0</v>
      </c>
      <c r="I2015" s="10">
        <f t="shared" si="133"/>
        <v>0</v>
      </c>
    </row>
    <row r="2016" spans="1:9" x14ac:dyDescent="0.25">
      <c r="A2016" s="11" t="s">
        <v>5864</v>
      </c>
      <c r="B2016" s="11" t="s">
        <v>5865</v>
      </c>
      <c r="C2016" s="11" t="s">
        <v>81</v>
      </c>
      <c r="D2016" s="4" t="s">
        <v>1406</v>
      </c>
      <c r="E2016" t="s">
        <v>489</v>
      </c>
      <c r="F2016" s="9">
        <f t="shared" si="130"/>
        <v>0</v>
      </c>
      <c r="G2016" s="9">
        <f t="shared" si="131"/>
        <v>0</v>
      </c>
      <c r="H2016" s="9">
        <f t="shared" si="132"/>
        <v>0</v>
      </c>
      <c r="I2016" s="10">
        <f t="shared" si="133"/>
        <v>0</v>
      </c>
    </row>
    <row r="2017" spans="1:9" x14ac:dyDescent="0.25">
      <c r="A2017" s="11" t="s">
        <v>5866</v>
      </c>
      <c r="B2017" s="11" t="s">
        <v>5867</v>
      </c>
      <c r="C2017" s="11" t="s">
        <v>81</v>
      </c>
      <c r="D2017" s="4" t="s">
        <v>1406</v>
      </c>
      <c r="E2017" t="s">
        <v>489</v>
      </c>
      <c r="F2017" s="9">
        <f t="shared" si="130"/>
        <v>0</v>
      </c>
      <c r="G2017" s="9">
        <f t="shared" si="131"/>
        <v>0</v>
      </c>
      <c r="H2017" s="9">
        <f t="shared" si="132"/>
        <v>0</v>
      </c>
      <c r="I2017" s="10">
        <f t="shared" si="133"/>
        <v>0</v>
      </c>
    </row>
    <row r="2018" spans="1:9" x14ac:dyDescent="0.25">
      <c r="A2018" s="11" t="s">
        <v>5868</v>
      </c>
      <c r="B2018" s="11" t="s">
        <v>5869</v>
      </c>
      <c r="C2018" s="11" t="s">
        <v>81</v>
      </c>
      <c r="D2018" s="4" t="s">
        <v>1406</v>
      </c>
      <c r="E2018" t="s">
        <v>82</v>
      </c>
      <c r="F2018" s="9">
        <f t="shared" si="130"/>
        <v>0</v>
      </c>
      <c r="G2018" s="9">
        <f t="shared" si="131"/>
        <v>0</v>
      </c>
      <c r="H2018" s="9">
        <f t="shared" si="132"/>
        <v>0</v>
      </c>
      <c r="I2018" s="10">
        <f t="shared" si="133"/>
        <v>0</v>
      </c>
    </row>
    <row r="2019" spans="1:9" x14ac:dyDescent="0.25">
      <c r="A2019" s="11" t="s">
        <v>5870</v>
      </c>
      <c r="B2019" s="11" t="s">
        <v>5871</v>
      </c>
      <c r="C2019" s="11" t="s">
        <v>81</v>
      </c>
      <c r="D2019" s="4" t="s">
        <v>1406</v>
      </c>
      <c r="E2019" t="s">
        <v>489</v>
      </c>
      <c r="F2019" s="9">
        <f t="shared" si="130"/>
        <v>0</v>
      </c>
      <c r="G2019" s="9">
        <f t="shared" si="131"/>
        <v>0</v>
      </c>
      <c r="H2019" s="9">
        <f t="shared" si="132"/>
        <v>0</v>
      </c>
      <c r="I2019" s="10">
        <f t="shared" si="133"/>
        <v>0</v>
      </c>
    </row>
    <row r="2020" spans="1:9" x14ac:dyDescent="0.25">
      <c r="A2020" s="11" t="s">
        <v>5872</v>
      </c>
      <c r="B2020" s="11" t="s">
        <v>5873</v>
      </c>
      <c r="C2020" s="11" t="s">
        <v>81</v>
      </c>
      <c r="D2020" s="4" t="s">
        <v>1406</v>
      </c>
      <c r="E2020" t="s">
        <v>489</v>
      </c>
      <c r="F2020" s="9">
        <f t="shared" si="130"/>
        <v>0</v>
      </c>
      <c r="G2020" s="9">
        <f t="shared" si="131"/>
        <v>0</v>
      </c>
      <c r="H2020" s="9">
        <f t="shared" si="132"/>
        <v>0</v>
      </c>
      <c r="I2020" s="10">
        <f t="shared" si="133"/>
        <v>0</v>
      </c>
    </row>
    <row r="2021" spans="1:9" x14ac:dyDescent="0.25">
      <c r="A2021" s="11" t="s">
        <v>5874</v>
      </c>
      <c r="B2021" s="11" t="s">
        <v>5875</v>
      </c>
      <c r="C2021" s="11" t="s">
        <v>81</v>
      </c>
      <c r="D2021" s="4" t="s">
        <v>1406</v>
      </c>
      <c r="E2021" t="s">
        <v>489</v>
      </c>
      <c r="F2021" s="9">
        <f t="shared" si="130"/>
        <v>0</v>
      </c>
      <c r="G2021" s="9">
        <f t="shared" si="131"/>
        <v>0</v>
      </c>
      <c r="H2021" s="9">
        <f t="shared" si="132"/>
        <v>0</v>
      </c>
      <c r="I2021" s="10">
        <f t="shared" si="133"/>
        <v>0</v>
      </c>
    </row>
    <row r="2022" spans="1:9" x14ac:dyDescent="0.25">
      <c r="A2022" s="11" t="s">
        <v>5876</v>
      </c>
      <c r="B2022" s="11" t="s">
        <v>5877</v>
      </c>
      <c r="C2022" s="11" t="s">
        <v>81</v>
      </c>
      <c r="D2022" s="4" t="s">
        <v>1406</v>
      </c>
      <c r="E2022" t="s">
        <v>489</v>
      </c>
      <c r="F2022" s="9">
        <f t="shared" si="130"/>
        <v>0</v>
      </c>
      <c r="G2022" s="9">
        <f t="shared" si="131"/>
        <v>0</v>
      </c>
      <c r="H2022" s="9">
        <f t="shared" si="132"/>
        <v>0</v>
      </c>
      <c r="I2022" s="10">
        <f t="shared" si="133"/>
        <v>0</v>
      </c>
    </row>
    <row r="2023" spans="1:9" x14ac:dyDescent="0.25">
      <c r="A2023" s="11" t="s">
        <v>5878</v>
      </c>
      <c r="B2023" s="11" t="s">
        <v>5879</v>
      </c>
      <c r="C2023" s="11" t="s">
        <v>81</v>
      </c>
      <c r="D2023" s="4" t="s">
        <v>1406</v>
      </c>
      <c r="E2023" t="s">
        <v>82</v>
      </c>
      <c r="F2023" s="9">
        <f t="shared" si="130"/>
        <v>0</v>
      </c>
      <c r="G2023" s="9">
        <f t="shared" si="131"/>
        <v>0</v>
      </c>
      <c r="H2023" s="9">
        <f t="shared" si="132"/>
        <v>0</v>
      </c>
      <c r="I2023" s="10">
        <f t="shared" si="133"/>
        <v>0</v>
      </c>
    </row>
    <row r="2024" spans="1:9" x14ac:dyDescent="0.25">
      <c r="A2024" s="11" t="s">
        <v>5880</v>
      </c>
      <c r="B2024" s="11" t="s">
        <v>1582</v>
      </c>
      <c r="C2024" s="11" t="s">
        <v>81</v>
      </c>
      <c r="D2024" s="4" t="s">
        <v>1406</v>
      </c>
      <c r="E2024" t="s">
        <v>489</v>
      </c>
      <c r="F2024" s="9">
        <f t="shared" si="130"/>
        <v>0</v>
      </c>
      <c r="G2024" s="9">
        <f t="shared" si="131"/>
        <v>0</v>
      </c>
      <c r="H2024" s="9">
        <f t="shared" si="132"/>
        <v>0</v>
      </c>
      <c r="I2024" s="10">
        <f t="shared" si="133"/>
        <v>0</v>
      </c>
    </row>
    <row r="2025" spans="1:9" x14ac:dyDescent="0.25">
      <c r="A2025" s="11" t="s">
        <v>5881</v>
      </c>
      <c r="B2025" s="11" t="s">
        <v>5882</v>
      </c>
      <c r="C2025" s="11" t="s">
        <v>81</v>
      </c>
      <c r="D2025" s="4" t="s">
        <v>1406</v>
      </c>
      <c r="E2025" t="s">
        <v>489</v>
      </c>
      <c r="F2025" s="9">
        <f t="shared" si="130"/>
        <v>0</v>
      </c>
      <c r="G2025" s="9">
        <f t="shared" si="131"/>
        <v>0</v>
      </c>
      <c r="H2025" s="9">
        <f t="shared" si="132"/>
        <v>0</v>
      </c>
      <c r="I2025" s="10">
        <f t="shared" si="133"/>
        <v>0</v>
      </c>
    </row>
    <row r="2026" spans="1:9" x14ac:dyDescent="0.25">
      <c r="A2026" s="11" t="s">
        <v>5883</v>
      </c>
      <c r="B2026" s="11" t="s">
        <v>5884</v>
      </c>
      <c r="C2026" s="11" t="s">
        <v>81</v>
      </c>
      <c r="D2026" s="4" t="s">
        <v>1406</v>
      </c>
      <c r="E2026" t="s">
        <v>489</v>
      </c>
      <c r="F2026" s="9">
        <f t="shared" si="130"/>
        <v>0</v>
      </c>
      <c r="G2026" s="9">
        <f t="shared" si="131"/>
        <v>0</v>
      </c>
      <c r="H2026" s="9">
        <f t="shared" si="132"/>
        <v>0</v>
      </c>
      <c r="I2026" s="10">
        <f t="shared" si="133"/>
        <v>0</v>
      </c>
    </row>
    <row r="2027" spans="1:9" x14ac:dyDescent="0.25">
      <c r="A2027" s="11" t="s">
        <v>5885</v>
      </c>
      <c r="B2027" s="11" t="s">
        <v>5886</v>
      </c>
      <c r="C2027" s="11" t="s">
        <v>81</v>
      </c>
      <c r="D2027" s="4" t="s">
        <v>1406</v>
      </c>
      <c r="E2027" t="s">
        <v>489</v>
      </c>
      <c r="F2027" s="9">
        <f t="shared" si="130"/>
        <v>0</v>
      </c>
      <c r="G2027" s="9">
        <f t="shared" si="131"/>
        <v>0</v>
      </c>
      <c r="H2027" s="9">
        <f t="shared" si="132"/>
        <v>0</v>
      </c>
      <c r="I2027" s="10">
        <f t="shared" si="133"/>
        <v>0</v>
      </c>
    </row>
    <row r="2028" spans="1:9" x14ac:dyDescent="0.25">
      <c r="A2028" s="11" t="s">
        <v>5887</v>
      </c>
      <c r="B2028" s="11" t="s">
        <v>5888</v>
      </c>
      <c r="C2028" s="11" t="s">
        <v>81</v>
      </c>
      <c r="D2028" s="4" t="s">
        <v>1406</v>
      </c>
      <c r="E2028" t="s">
        <v>489</v>
      </c>
      <c r="F2028" s="9">
        <f t="shared" si="130"/>
        <v>0</v>
      </c>
      <c r="G2028" s="9">
        <f t="shared" si="131"/>
        <v>0</v>
      </c>
      <c r="H2028" s="9">
        <f t="shared" si="132"/>
        <v>0</v>
      </c>
      <c r="I2028" s="10">
        <f t="shared" si="133"/>
        <v>0</v>
      </c>
    </row>
    <row r="2029" spans="1:9" x14ac:dyDescent="0.25">
      <c r="A2029" s="11" t="s">
        <v>5889</v>
      </c>
      <c r="B2029" s="11" t="s">
        <v>5890</v>
      </c>
      <c r="C2029" s="11" t="s">
        <v>81</v>
      </c>
      <c r="D2029" s="4" t="s">
        <v>1406</v>
      </c>
      <c r="E2029" t="s">
        <v>489</v>
      </c>
      <c r="F2029" s="9">
        <f t="shared" si="130"/>
        <v>0</v>
      </c>
      <c r="G2029" s="9">
        <f t="shared" si="131"/>
        <v>0</v>
      </c>
      <c r="H2029" s="9">
        <f t="shared" si="132"/>
        <v>0</v>
      </c>
      <c r="I2029" s="10">
        <f t="shared" si="133"/>
        <v>0</v>
      </c>
    </row>
    <row r="2030" spans="1:9" x14ac:dyDescent="0.25">
      <c r="A2030" s="11" t="s">
        <v>5891</v>
      </c>
      <c r="B2030" s="11" t="s">
        <v>5892</v>
      </c>
      <c r="C2030" s="11" t="s">
        <v>81</v>
      </c>
      <c r="D2030" s="4" t="s">
        <v>1406</v>
      </c>
      <c r="E2030" t="s">
        <v>82</v>
      </c>
      <c r="F2030" s="9">
        <f t="shared" si="130"/>
        <v>0</v>
      </c>
      <c r="G2030" s="9">
        <f t="shared" si="131"/>
        <v>0</v>
      </c>
      <c r="H2030" s="9">
        <f t="shared" si="132"/>
        <v>0</v>
      </c>
      <c r="I2030" s="10">
        <f t="shared" si="133"/>
        <v>0</v>
      </c>
    </row>
    <row r="2031" spans="1:9" x14ac:dyDescent="0.25">
      <c r="A2031" s="11" t="s">
        <v>5893</v>
      </c>
      <c r="B2031" s="11" t="s">
        <v>5894</v>
      </c>
      <c r="C2031" s="11" t="s">
        <v>81</v>
      </c>
      <c r="D2031" s="4" t="s">
        <v>1406</v>
      </c>
      <c r="E2031" t="s">
        <v>489</v>
      </c>
      <c r="F2031" s="9">
        <f t="shared" si="130"/>
        <v>0</v>
      </c>
      <c r="G2031" s="9">
        <f t="shared" si="131"/>
        <v>0</v>
      </c>
      <c r="H2031" s="9">
        <f t="shared" si="132"/>
        <v>0</v>
      </c>
      <c r="I2031" s="10">
        <f t="shared" si="133"/>
        <v>0</v>
      </c>
    </row>
    <row r="2032" spans="1:9" x14ac:dyDescent="0.25">
      <c r="A2032" s="11" t="s">
        <v>5895</v>
      </c>
      <c r="B2032" s="11" t="s">
        <v>5896</v>
      </c>
      <c r="C2032" s="11" t="s">
        <v>81</v>
      </c>
      <c r="D2032" s="4" t="s">
        <v>1406</v>
      </c>
      <c r="E2032" t="s">
        <v>82</v>
      </c>
      <c r="F2032" s="9">
        <f t="shared" si="130"/>
        <v>0</v>
      </c>
      <c r="G2032" s="9">
        <f t="shared" si="131"/>
        <v>0</v>
      </c>
      <c r="H2032" s="9">
        <f t="shared" si="132"/>
        <v>0</v>
      </c>
      <c r="I2032" s="10">
        <f t="shared" si="133"/>
        <v>0</v>
      </c>
    </row>
    <row r="2033" spans="1:9" x14ac:dyDescent="0.25">
      <c r="A2033" s="11" t="s">
        <v>5897</v>
      </c>
      <c r="B2033" s="11" t="s">
        <v>5898</v>
      </c>
      <c r="C2033" s="11" t="s">
        <v>81</v>
      </c>
      <c r="D2033" s="4" t="s">
        <v>1406</v>
      </c>
      <c r="E2033" t="s">
        <v>489</v>
      </c>
      <c r="F2033" s="9">
        <f t="shared" si="130"/>
        <v>0</v>
      </c>
      <c r="G2033" s="9">
        <f t="shared" si="131"/>
        <v>0</v>
      </c>
      <c r="H2033" s="9">
        <f t="shared" si="132"/>
        <v>0</v>
      </c>
      <c r="I2033" s="10">
        <f t="shared" si="133"/>
        <v>0</v>
      </c>
    </row>
    <row r="2034" spans="1:9" x14ac:dyDescent="0.25">
      <c r="A2034" s="11" t="s">
        <v>5899</v>
      </c>
      <c r="B2034" s="11" t="s">
        <v>5900</v>
      </c>
      <c r="C2034" s="11" t="s">
        <v>81</v>
      </c>
      <c r="D2034" s="4" t="s">
        <v>1406</v>
      </c>
      <c r="E2034" t="s">
        <v>489</v>
      </c>
      <c r="F2034" s="9">
        <f t="shared" si="130"/>
        <v>0</v>
      </c>
      <c r="G2034" s="9">
        <f t="shared" si="131"/>
        <v>0</v>
      </c>
      <c r="H2034" s="9">
        <f t="shared" si="132"/>
        <v>0</v>
      </c>
      <c r="I2034" s="10">
        <f t="shared" si="133"/>
        <v>0</v>
      </c>
    </row>
    <row r="2035" spans="1:9" x14ac:dyDescent="0.25">
      <c r="A2035" s="11" t="s">
        <v>5901</v>
      </c>
      <c r="B2035" s="11" t="s">
        <v>5902</v>
      </c>
      <c r="C2035" s="11" t="s">
        <v>81</v>
      </c>
      <c r="D2035" s="4" t="s">
        <v>1406</v>
      </c>
      <c r="E2035" t="s">
        <v>82</v>
      </c>
      <c r="F2035" s="9">
        <f t="shared" si="130"/>
        <v>0</v>
      </c>
      <c r="G2035" s="9">
        <f t="shared" si="131"/>
        <v>0</v>
      </c>
      <c r="H2035" s="9">
        <f t="shared" si="132"/>
        <v>0</v>
      </c>
      <c r="I2035" s="10">
        <f t="shared" si="133"/>
        <v>0</v>
      </c>
    </row>
    <row r="2036" spans="1:9" x14ac:dyDescent="0.25">
      <c r="A2036" s="11" t="s">
        <v>5903</v>
      </c>
      <c r="B2036" s="11" t="s">
        <v>5904</v>
      </c>
      <c r="C2036" s="11" t="s">
        <v>81</v>
      </c>
      <c r="D2036" s="4" t="s">
        <v>1406</v>
      </c>
      <c r="E2036" t="s">
        <v>82</v>
      </c>
      <c r="F2036" s="9">
        <f t="shared" si="130"/>
        <v>0</v>
      </c>
      <c r="G2036" s="9">
        <f t="shared" si="131"/>
        <v>0</v>
      </c>
      <c r="H2036" s="9">
        <f t="shared" si="132"/>
        <v>0</v>
      </c>
      <c r="I2036" s="10">
        <f t="shared" si="133"/>
        <v>0</v>
      </c>
    </row>
    <row r="2037" spans="1:9" x14ac:dyDescent="0.25">
      <c r="A2037" s="11" t="s">
        <v>5905</v>
      </c>
      <c r="B2037" s="11" t="s">
        <v>5906</v>
      </c>
      <c r="C2037" s="11" t="s">
        <v>81</v>
      </c>
      <c r="D2037" s="4" t="s">
        <v>1406</v>
      </c>
      <c r="E2037" t="s">
        <v>489</v>
      </c>
      <c r="F2037" s="9">
        <f t="shared" si="130"/>
        <v>0</v>
      </c>
      <c r="G2037" s="9">
        <f t="shared" si="131"/>
        <v>0</v>
      </c>
      <c r="H2037" s="9">
        <f t="shared" si="132"/>
        <v>0</v>
      </c>
      <c r="I2037" s="10">
        <f t="shared" si="133"/>
        <v>0</v>
      </c>
    </row>
    <row r="2038" spans="1:9" x14ac:dyDescent="0.25">
      <c r="A2038" s="11" t="s">
        <v>5907</v>
      </c>
      <c r="B2038" s="11" t="s">
        <v>5908</v>
      </c>
      <c r="C2038" s="11" t="s">
        <v>81</v>
      </c>
      <c r="D2038" s="4" t="s">
        <v>1406</v>
      </c>
      <c r="E2038" t="s">
        <v>489</v>
      </c>
      <c r="F2038" s="9">
        <f t="shared" si="130"/>
        <v>0</v>
      </c>
      <c r="G2038" s="9">
        <f t="shared" si="131"/>
        <v>0</v>
      </c>
      <c r="H2038" s="9">
        <f t="shared" si="132"/>
        <v>0</v>
      </c>
      <c r="I2038" s="10">
        <f t="shared" si="133"/>
        <v>0</v>
      </c>
    </row>
    <row r="2039" spans="1:9" x14ac:dyDescent="0.25">
      <c r="A2039" s="11" t="s">
        <v>5909</v>
      </c>
      <c r="B2039" s="11" t="s">
        <v>5910</v>
      </c>
      <c r="C2039" s="11" t="s">
        <v>81</v>
      </c>
      <c r="D2039" s="4" t="s">
        <v>1406</v>
      </c>
      <c r="E2039" t="s">
        <v>489</v>
      </c>
      <c r="F2039" s="9">
        <f t="shared" si="130"/>
        <v>0</v>
      </c>
      <c r="G2039" s="9">
        <f t="shared" si="131"/>
        <v>0</v>
      </c>
      <c r="H2039" s="9">
        <f t="shared" si="132"/>
        <v>0</v>
      </c>
      <c r="I2039" s="10">
        <f t="shared" si="133"/>
        <v>0</v>
      </c>
    </row>
    <row r="2040" spans="1:9" x14ac:dyDescent="0.25">
      <c r="A2040" s="11" t="s">
        <v>5911</v>
      </c>
      <c r="B2040" s="11" t="s">
        <v>5912</v>
      </c>
      <c r="C2040" s="11" t="s">
        <v>81</v>
      </c>
      <c r="D2040" s="4" t="s">
        <v>1406</v>
      </c>
      <c r="E2040" t="s">
        <v>82</v>
      </c>
      <c r="F2040" s="9">
        <f t="shared" si="130"/>
        <v>0</v>
      </c>
      <c r="G2040" s="9">
        <f t="shared" si="131"/>
        <v>0</v>
      </c>
      <c r="H2040" s="9">
        <f t="shared" si="132"/>
        <v>0</v>
      </c>
      <c r="I2040" s="10">
        <f t="shared" si="133"/>
        <v>0</v>
      </c>
    </row>
    <row r="2041" spans="1:9" x14ac:dyDescent="0.25">
      <c r="A2041" s="11" t="s">
        <v>5913</v>
      </c>
      <c r="B2041" s="11" t="s">
        <v>5914</v>
      </c>
      <c r="C2041" s="11" t="s">
        <v>81</v>
      </c>
      <c r="D2041" s="4" t="s">
        <v>1406</v>
      </c>
      <c r="E2041" t="s">
        <v>82</v>
      </c>
      <c r="F2041" s="9">
        <f t="shared" si="130"/>
        <v>0</v>
      </c>
      <c r="G2041" s="9">
        <f t="shared" si="131"/>
        <v>0</v>
      </c>
      <c r="H2041" s="9">
        <f t="shared" si="132"/>
        <v>0</v>
      </c>
      <c r="I2041" s="10">
        <f t="shared" si="133"/>
        <v>0</v>
      </c>
    </row>
    <row r="2042" spans="1:9" x14ac:dyDescent="0.25">
      <c r="A2042" s="11" t="s">
        <v>5915</v>
      </c>
      <c r="B2042" s="11" t="s">
        <v>5916</v>
      </c>
      <c r="C2042" s="11" t="s">
        <v>81</v>
      </c>
      <c r="D2042" s="4" t="s">
        <v>1406</v>
      </c>
      <c r="E2042" t="s">
        <v>82</v>
      </c>
      <c r="F2042" s="9">
        <f t="shared" si="130"/>
        <v>0</v>
      </c>
      <c r="G2042" s="9">
        <f t="shared" si="131"/>
        <v>0</v>
      </c>
      <c r="H2042" s="9">
        <f t="shared" si="132"/>
        <v>0</v>
      </c>
      <c r="I2042" s="10">
        <f t="shared" si="133"/>
        <v>0</v>
      </c>
    </row>
    <row r="2043" spans="1:9" x14ac:dyDescent="0.25">
      <c r="A2043" s="11" t="s">
        <v>5917</v>
      </c>
      <c r="B2043" s="11" t="s">
        <v>5918</v>
      </c>
      <c r="C2043" s="11" t="s">
        <v>81</v>
      </c>
      <c r="D2043" s="4" t="s">
        <v>1406</v>
      </c>
      <c r="E2043" t="s">
        <v>82</v>
      </c>
      <c r="F2043" s="9">
        <f t="shared" si="130"/>
        <v>0</v>
      </c>
      <c r="G2043" s="9">
        <f t="shared" si="131"/>
        <v>0</v>
      </c>
      <c r="H2043" s="9">
        <f t="shared" si="132"/>
        <v>0</v>
      </c>
      <c r="I2043" s="10">
        <f t="shared" si="133"/>
        <v>0</v>
      </c>
    </row>
    <row r="2044" spans="1:9" x14ac:dyDescent="0.25">
      <c r="A2044" s="11" t="s">
        <v>5919</v>
      </c>
      <c r="B2044" s="11" t="s">
        <v>5920</v>
      </c>
      <c r="C2044" s="11" t="s">
        <v>81</v>
      </c>
      <c r="D2044" s="4" t="s">
        <v>1406</v>
      </c>
      <c r="E2044" t="s">
        <v>82</v>
      </c>
      <c r="F2044" s="9">
        <f t="shared" si="130"/>
        <v>0</v>
      </c>
      <c r="G2044" s="9">
        <f t="shared" si="131"/>
        <v>0</v>
      </c>
      <c r="H2044" s="9">
        <f t="shared" si="132"/>
        <v>0</v>
      </c>
      <c r="I2044" s="10">
        <f t="shared" si="133"/>
        <v>0</v>
      </c>
    </row>
    <row r="2045" spans="1:9" x14ac:dyDescent="0.25">
      <c r="A2045" s="11" t="s">
        <v>5921</v>
      </c>
      <c r="B2045" s="11" t="s">
        <v>5922</v>
      </c>
      <c r="C2045" s="11" t="s">
        <v>81</v>
      </c>
      <c r="D2045" s="4" t="s">
        <v>1406</v>
      </c>
      <c r="E2045" t="s">
        <v>489</v>
      </c>
      <c r="F2045" s="9">
        <f t="shared" si="130"/>
        <v>0</v>
      </c>
      <c r="G2045" s="9">
        <f t="shared" si="131"/>
        <v>0</v>
      </c>
      <c r="H2045" s="9">
        <f t="shared" si="132"/>
        <v>0</v>
      </c>
      <c r="I2045" s="10">
        <f t="shared" si="133"/>
        <v>0</v>
      </c>
    </row>
    <row r="2046" spans="1:9" x14ac:dyDescent="0.25">
      <c r="A2046" s="11" t="s">
        <v>5923</v>
      </c>
      <c r="B2046" s="11" t="s">
        <v>5924</v>
      </c>
      <c r="C2046" s="11" t="s">
        <v>81</v>
      </c>
      <c r="D2046" s="4" t="s">
        <v>1406</v>
      </c>
      <c r="E2046" t="s">
        <v>489</v>
      </c>
      <c r="F2046" s="9">
        <f t="shared" si="130"/>
        <v>0</v>
      </c>
      <c r="G2046" s="9">
        <f t="shared" si="131"/>
        <v>0</v>
      </c>
      <c r="H2046" s="9">
        <f t="shared" si="132"/>
        <v>0</v>
      </c>
      <c r="I2046" s="10">
        <f t="shared" si="133"/>
        <v>0</v>
      </c>
    </row>
    <row r="2047" spans="1:9" x14ac:dyDescent="0.25">
      <c r="A2047" s="11" t="s">
        <v>5925</v>
      </c>
      <c r="B2047" s="11" t="s">
        <v>5926</v>
      </c>
      <c r="C2047" s="11" t="s">
        <v>81</v>
      </c>
      <c r="D2047" s="4" t="s">
        <v>1406</v>
      </c>
      <c r="E2047" t="s">
        <v>489</v>
      </c>
      <c r="F2047" s="9">
        <f t="shared" si="130"/>
        <v>0</v>
      </c>
      <c r="G2047" s="9">
        <f t="shared" si="131"/>
        <v>0</v>
      </c>
      <c r="H2047" s="9">
        <f t="shared" si="132"/>
        <v>0</v>
      </c>
      <c r="I2047" s="10">
        <f t="shared" si="133"/>
        <v>0</v>
      </c>
    </row>
    <row r="2048" spans="1:9" x14ac:dyDescent="0.25">
      <c r="A2048" s="11" t="s">
        <v>5927</v>
      </c>
      <c r="B2048" s="11" t="s">
        <v>5928</v>
      </c>
      <c r="C2048" s="11" t="s">
        <v>81</v>
      </c>
      <c r="D2048" s="4" t="s">
        <v>1406</v>
      </c>
      <c r="E2048" t="s">
        <v>82</v>
      </c>
      <c r="F2048" s="9">
        <f t="shared" si="130"/>
        <v>0</v>
      </c>
      <c r="G2048" s="9">
        <f t="shared" si="131"/>
        <v>0</v>
      </c>
      <c r="H2048" s="9">
        <f t="shared" si="132"/>
        <v>0</v>
      </c>
      <c r="I2048" s="10">
        <f t="shared" si="133"/>
        <v>0</v>
      </c>
    </row>
    <row r="2049" spans="1:9" x14ac:dyDescent="0.25">
      <c r="A2049" s="11" t="s">
        <v>5929</v>
      </c>
      <c r="B2049" s="11" t="s">
        <v>5930</v>
      </c>
      <c r="C2049" s="11" t="s">
        <v>81</v>
      </c>
      <c r="D2049" s="4" t="s">
        <v>1406</v>
      </c>
      <c r="E2049" t="s">
        <v>82</v>
      </c>
      <c r="F2049" s="9">
        <f t="shared" si="130"/>
        <v>0</v>
      </c>
      <c r="G2049" s="9">
        <f t="shared" si="131"/>
        <v>0</v>
      </c>
      <c r="H2049" s="9">
        <f t="shared" si="132"/>
        <v>0</v>
      </c>
      <c r="I2049" s="10">
        <f t="shared" si="133"/>
        <v>0</v>
      </c>
    </row>
    <row r="2050" spans="1:9" x14ac:dyDescent="0.25">
      <c r="A2050" s="11" t="s">
        <v>5931</v>
      </c>
      <c r="B2050" s="11" t="s">
        <v>5932</v>
      </c>
      <c r="C2050" s="11" t="s">
        <v>81</v>
      </c>
      <c r="D2050" s="4" t="s">
        <v>1406</v>
      </c>
      <c r="E2050" t="s">
        <v>489</v>
      </c>
      <c r="F2050" s="9">
        <f t="shared" si="130"/>
        <v>0</v>
      </c>
      <c r="G2050" s="9">
        <f t="shared" si="131"/>
        <v>0</v>
      </c>
      <c r="H2050" s="9">
        <f t="shared" si="132"/>
        <v>0</v>
      </c>
      <c r="I2050" s="10">
        <f t="shared" si="133"/>
        <v>0</v>
      </c>
    </row>
    <row r="2051" spans="1:9" x14ac:dyDescent="0.25">
      <c r="A2051" s="11" t="s">
        <v>5933</v>
      </c>
      <c r="B2051" s="11" t="s">
        <v>5934</v>
      </c>
      <c r="C2051" s="11" t="s">
        <v>81</v>
      </c>
      <c r="D2051" s="4" t="s">
        <v>1406</v>
      </c>
      <c r="E2051" t="s">
        <v>489</v>
      </c>
      <c r="F2051" s="9">
        <f t="shared" si="130"/>
        <v>0</v>
      </c>
      <c r="G2051" s="9">
        <f t="shared" si="131"/>
        <v>0</v>
      </c>
      <c r="H2051" s="9">
        <f t="shared" si="132"/>
        <v>0</v>
      </c>
      <c r="I2051" s="10">
        <f t="shared" si="133"/>
        <v>0</v>
      </c>
    </row>
    <row r="2052" spans="1:9" x14ac:dyDescent="0.25">
      <c r="A2052" s="11" t="s">
        <v>5935</v>
      </c>
      <c r="B2052" s="11" t="s">
        <v>5936</v>
      </c>
      <c r="C2052" s="11" t="s">
        <v>81</v>
      </c>
      <c r="D2052" s="4" t="s">
        <v>1406</v>
      </c>
      <c r="E2052" t="s">
        <v>489</v>
      </c>
      <c r="F2052" s="9">
        <f t="shared" si="130"/>
        <v>0</v>
      </c>
      <c r="G2052" s="9">
        <f t="shared" si="131"/>
        <v>0</v>
      </c>
      <c r="H2052" s="9">
        <f t="shared" si="132"/>
        <v>0</v>
      </c>
      <c r="I2052" s="10">
        <f t="shared" si="133"/>
        <v>0</v>
      </c>
    </row>
    <row r="2053" spans="1:9" x14ac:dyDescent="0.25">
      <c r="A2053" s="11" t="s">
        <v>5937</v>
      </c>
      <c r="B2053" s="11" t="s">
        <v>5938</v>
      </c>
      <c r="C2053" s="11" t="s">
        <v>81</v>
      </c>
      <c r="D2053" s="4" t="s">
        <v>1406</v>
      </c>
      <c r="E2053" t="s">
        <v>82</v>
      </c>
      <c r="F2053" s="9">
        <f t="shared" si="130"/>
        <v>0</v>
      </c>
      <c r="G2053" s="9">
        <f t="shared" si="131"/>
        <v>0</v>
      </c>
      <c r="H2053" s="9">
        <f t="shared" si="132"/>
        <v>0</v>
      </c>
      <c r="I2053" s="10">
        <f t="shared" si="133"/>
        <v>0</v>
      </c>
    </row>
    <row r="2054" spans="1:9" x14ac:dyDescent="0.25">
      <c r="A2054" s="11" t="s">
        <v>5939</v>
      </c>
      <c r="B2054" s="11" t="s">
        <v>5940</v>
      </c>
      <c r="C2054" s="11" t="s">
        <v>81</v>
      </c>
      <c r="D2054" s="4" t="s">
        <v>1406</v>
      </c>
      <c r="E2054" t="s">
        <v>489</v>
      </c>
      <c r="F2054" s="9">
        <f t="shared" si="130"/>
        <v>0</v>
      </c>
      <c r="G2054" s="9">
        <f t="shared" si="131"/>
        <v>0</v>
      </c>
      <c r="H2054" s="9">
        <f t="shared" si="132"/>
        <v>0</v>
      </c>
      <c r="I2054" s="10">
        <f t="shared" si="133"/>
        <v>0</v>
      </c>
    </row>
    <row r="2055" spans="1:9" x14ac:dyDescent="0.25">
      <c r="A2055" s="11" t="s">
        <v>5941</v>
      </c>
      <c r="B2055" s="11" t="s">
        <v>5942</v>
      </c>
      <c r="C2055" s="11" t="s">
        <v>81</v>
      </c>
      <c r="D2055" s="4" t="s">
        <v>1406</v>
      </c>
      <c r="E2055" t="s">
        <v>82</v>
      </c>
      <c r="F2055" s="9">
        <f t="shared" si="130"/>
        <v>0</v>
      </c>
      <c r="G2055" s="9">
        <f t="shared" si="131"/>
        <v>0</v>
      </c>
      <c r="H2055" s="9">
        <f t="shared" si="132"/>
        <v>0</v>
      </c>
      <c r="I2055" s="10">
        <f t="shared" si="133"/>
        <v>0</v>
      </c>
    </row>
    <row r="2056" spans="1:9" x14ac:dyDescent="0.25">
      <c r="A2056" s="11" t="s">
        <v>5943</v>
      </c>
      <c r="B2056" s="11" t="s">
        <v>5944</v>
      </c>
      <c r="C2056" s="11" t="s">
        <v>81</v>
      </c>
      <c r="D2056" s="4" t="s">
        <v>1406</v>
      </c>
      <c r="E2056" t="s">
        <v>82</v>
      </c>
      <c r="F2056" s="9">
        <f t="shared" ref="F2056:F2119" si="134">IFERROR(VLOOKUP(A2056,condi,8,0),0)</f>
        <v>0</v>
      </c>
      <c r="G2056" s="9">
        <f t="shared" ref="G2056:G2119" si="135">IFERROR(VLOOKUP(A2056,maqui,8,0),0)</f>
        <v>0</v>
      </c>
      <c r="H2056" s="9">
        <f t="shared" ref="H2056:H2119" si="136">IFERROR(VLOOKUP(A2056,ascint,8,0),0)</f>
        <v>0</v>
      </c>
      <c r="I2056" s="10">
        <f t="shared" ref="I2056:I2119" si="137">+F2056+G2056+H2056</f>
        <v>0</v>
      </c>
    </row>
    <row r="2057" spans="1:9" x14ac:dyDescent="0.25">
      <c r="A2057" s="11" t="s">
        <v>5945</v>
      </c>
      <c r="B2057" s="11" t="s">
        <v>5946</v>
      </c>
      <c r="C2057" s="11" t="s">
        <v>81</v>
      </c>
      <c r="D2057" s="4" t="s">
        <v>1406</v>
      </c>
      <c r="E2057" t="s">
        <v>489</v>
      </c>
      <c r="F2057" s="9">
        <f t="shared" si="134"/>
        <v>0</v>
      </c>
      <c r="G2057" s="9">
        <f t="shared" si="135"/>
        <v>0</v>
      </c>
      <c r="H2057" s="9">
        <f t="shared" si="136"/>
        <v>0</v>
      </c>
      <c r="I2057" s="10">
        <f t="shared" si="137"/>
        <v>0</v>
      </c>
    </row>
    <row r="2058" spans="1:9" x14ac:dyDescent="0.25">
      <c r="A2058" s="11" t="s">
        <v>5947</v>
      </c>
      <c r="B2058" s="11" t="s">
        <v>5948</v>
      </c>
      <c r="C2058" s="11" t="s">
        <v>81</v>
      </c>
      <c r="D2058" s="4" t="s">
        <v>1406</v>
      </c>
      <c r="E2058" t="s">
        <v>82</v>
      </c>
      <c r="F2058" s="9">
        <f t="shared" si="134"/>
        <v>0</v>
      </c>
      <c r="G2058" s="9">
        <f t="shared" si="135"/>
        <v>0</v>
      </c>
      <c r="H2058" s="9">
        <f t="shared" si="136"/>
        <v>0</v>
      </c>
      <c r="I2058" s="10">
        <f t="shared" si="137"/>
        <v>0</v>
      </c>
    </row>
    <row r="2059" spans="1:9" x14ac:dyDescent="0.25">
      <c r="A2059" s="11" t="s">
        <v>5949</v>
      </c>
      <c r="B2059" s="11" t="s">
        <v>5950</v>
      </c>
      <c r="C2059" s="11" t="s">
        <v>81</v>
      </c>
      <c r="D2059" s="4" t="s">
        <v>1406</v>
      </c>
      <c r="E2059" t="s">
        <v>82</v>
      </c>
      <c r="F2059" s="9">
        <f t="shared" si="134"/>
        <v>0</v>
      </c>
      <c r="G2059" s="9">
        <f t="shared" si="135"/>
        <v>0</v>
      </c>
      <c r="H2059" s="9">
        <f t="shared" si="136"/>
        <v>0</v>
      </c>
      <c r="I2059" s="10">
        <f t="shared" si="137"/>
        <v>0</v>
      </c>
    </row>
    <row r="2060" spans="1:9" x14ac:dyDescent="0.25">
      <c r="A2060" s="11" t="s">
        <v>5951</v>
      </c>
      <c r="B2060" s="11" t="s">
        <v>5952</v>
      </c>
      <c r="C2060" s="11" t="s">
        <v>81</v>
      </c>
      <c r="D2060" s="4" t="s">
        <v>1406</v>
      </c>
      <c r="E2060" t="s">
        <v>82</v>
      </c>
      <c r="F2060" s="9">
        <f t="shared" si="134"/>
        <v>0</v>
      </c>
      <c r="G2060" s="9">
        <f t="shared" si="135"/>
        <v>0</v>
      </c>
      <c r="H2060" s="9">
        <f t="shared" si="136"/>
        <v>0</v>
      </c>
      <c r="I2060" s="10">
        <f t="shared" si="137"/>
        <v>0</v>
      </c>
    </row>
    <row r="2061" spans="1:9" x14ac:dyDescent="0.25">
      <c r="A2061" s="11" t="s">
        <v>5953</v>
      </c>
      <c r="B2061" s="11" t="s">
        <v>5954</v>
      </c>
      <c r="C2061" s="11" t="s">
        <v>81</v>
      </c>
      <c r="D2061" s="4" t="s">
        <v>1406</v>
      </c>
      <c r="E2061" t="s">
        <v>82</v>
      </c>
      <c r="F2061" s="9">
        <f t="shared" si="134"/>
        <v>0</v>
      </c>
      <c r="G2061" s="9">
        <f t="shared" si="135"/>
        <v>0</v>
      </c>
      <c r="H2061" s="9">
        <f t="shared" si="136"/>
        <v>0</v>
      </c>
      <c r="I2061" s="10">
        <f t="shared" si="137"/>
        <v>0</v>
      </c>
    </row>
    <row r="2062" spans="1:9" x14ac:dyDescent="0.25">
      <c r="A2062" s="11" t="s">
        <v>5955</v>
      </c>
      <c r="B2062" s="11" t="s">
        <v>5956</v>
      </c>
      <c r="C2062" s="11" t="s">
        <v>81</v>
      </c>
      <c r="D2062" s="4" t="s">
        <v>1406</v>
      </c>
      <c r="E2062" t="s">
        <v>82</v>
      </c>
      <c r="F2062" s="9">
        <f t="shared" si="134"/>
        <v>0</v>
      </c>
      <c r="G2062" s="9">
        <f t="shared" si="135"/>
        <v>0</v>
      </c>
      <c r="H2062" s="9">
        <f t="shared" si="136"/>
        <v>0</v>
      </c>
      <c r="I2062" s="10">
        <f t="shared" si="137"/>
        <v>0</v>
      </c>
    </row>
    <row r="2063" spans="1:9" x14ac:dyDescent="0.25">
      <c r="A2063" s="11" t="s">
        <v>5957</v>
      </c>
      <c r="B2063" s="11" t="s">
        <v>5958</v>
      </c>
      <c r="C2063" s="11" t="s">
        <v>81</v>
      </c>
      <c r="D2063" s="4" t="s">
        <v>1406</v>
      </c>
      <c r="E2063" t="s">
        <v>82</v>
      </c>
      <c r="F2063" s="9">
        <f t="shared" si="134"/>
        <v>0</v>
      </c>
      <c r="G2063" s="9">
        <f t="shared" si="135"/>
        <v>0</v>
      </c>
      <c r="H2063" s="9">
        <f t="shared" si="136"/>
        <v>0</v>
      </c>
      <c r="I2063" s="10">
        <f t="shared" si="137"/>
        <v>0</v>
      </c>
    </row>
    <row r="2064" spans="1:9" x14ac:dyDescent="0.25">
      <c r="A2064" s="11" t="s">
        <v>5959</v>
      </c>
      <c r="B2064" s="11" t="s">
        <v>5960</v>
      </c>
      <c r="C2064" s="11" t="s">
        <v>81</v>
      </c>
      <c r="D2064" s="4" t="s">
        <v>1406</v>
      </c>
      <c r="E2064" t="s">
        <v>489</v>
      </c>
      <c r="F2064" s="9">
        <f t="shared" si="134"/>
        <v>0</v>
      </c>
      <c r="G2064" s="9">
        <f t="shared" si="135"/>
        <v>0</v>
      </c>
      <c r="H2064" s="9">
        <f t="shared" si="136"/>
        <v>0</v>
      </c>
      <c r="I2064" s="10">
        <f t="shared" si="137"/>
        <v>0</v>
      </c>
    </row>
    <row r="2065" spans="1:9" x14ac:dyDescent="0.25">
      <c r="A2065" s="11" t="s">
        <v>5961</v>
      </c>
      <c r="B2065" s="11" t="s">
        <v>5962</v>
      </c>
      <c r="C2065" s="11" t="s">
        <v>81</v>
      </c>
      <c r="D2065" s="4" t="s">
        <v>1406</v>
      </c>
      <c r="E2065" t="s">
        <v>489</v>
      </c>
      <c r="F2065" s="9">
        <f t="shared" si="134"/>
        <v>0</v>
      </c>
      <c r="G2065" s="9">
        <f t="shared" si="135"/>
        <v>0</v>
      </c>
      <c r="H2065" s="9">
        <f t="shared" si="136"/>
        <v>0</v>
      </c>
      <c r="I2065" s="10">
        <f t="shared" si="137"/>
        <v>0</v>
      </c>
    </row>
    <row r="2066" spans="1:9" x14ac:dyDescent="0.25">
      <c r="A2066" s="11" t="s">
        <v>5963</v>
      </c>
      <c r="B2066" s="11" t="s">
        <v>5964</v>
      </c>
      <c r="C2066" s="11" t="s">
        <v>81</v>
      </c>
      <c r="D2066" s="4" t="s">
        <v>1406</v>
      </c>
      <c r="E2066" t="s">
        <v>489</v>
      </c>
      <c r="F2066" s="9">
        <f t="shared" si="134"/>
        <v>0</v>
      </c>
      <c r="G2066" s="9">
        <f t="shared" si="135"/>
        <v>0</v>
      </c>
      <c r="H2066" s="9">
        <f t="shared" si="136"/>
        <v>0</v>
      </c>
      <c r="I2066" s="10">
        <f t="shared" si="137"/>
        <v>0</v>
      </c>
    </row>
    <row r="2067" spans="1:9" x14ac:dyDescent="0.25">
      <c r="A2067" s="11" t="s">
        <v>5965</v>
      </c>
      <c r="B2067" s="11" t="s">
        <v>5966</v>
      </c>
      <c r="C2067" s="11" t="s">
        <v>81</v>
      </c>
      <c r="D2067" s="4" t="s">
        <v>1406</v>
      </c>
      <c r="E2067" t="s">
        <v>489</v>
      </c>
      <c r="F2067" s="9">
        <f t="shared" si="134"/>
        <v>0</v>
      </c>
      <c r="G2067" s="9">
        <f t="shared" si="135"/>
        <v>0</v>
      </c>
      <c r="H2067" s="9">
        <f t="shared" si="136"/>
        <v>0</v>
      </c>
      <c r="I2067" s="10">
        <f t="shared" si="137"/>
        <v>0</v>
      </c>
    </row>
    <row r="2068" spans="1:9" x14ac:dyDescent="0.25">
      <c r="A2068" s="11" t="s">
        <v>5967</v>
      </c>
      <c r="B2068" s="11" t="s">
        <v>5968</v>
      </c>
      <c r="C2068" s="11" t="s">
        <v>81</v>
      </c>
      <c r="D2068" s="4" t="s">
        <v>1406</v>
      </c>
      <c r="E2068" t="s">
        <v>489</v>
      </c>
      <c r="F2068" s="9">
        <f t="shared" si="134"/>
        <v>0</v>
      </c>
      <c r="G2068" s="9">
        <f t="shared" si="135"/>
        <v>0</v>
      </c>
      <c r="H2068" s="9">
        <f t="shared" si="136"/>
        <v>0</v>
      </c>
      <c r="I2068" s="10">
        <f t="shared" si="137"/>
        <v>0</v>
      </c>
    </row>
    <row r="2069" spans="1:9" x14ac:dyDescent="0.25">
      <c r="A2069" s="11" t="s">
        <v>5969</v>
      </c>
      <c r="B2069" s="11" t="s">
        <v>5970</v>
      </c>
      <c r="C2069" s="11" t="s">
        <v>81</v>
      </c>
      <c r="D2069" s="4" t="s">
        <v>1406</v>
      </c>
      <c r="E2069" t="s">
        <v>489</v>
      </c>
      <c r="F2069" s="9">
        <f t="shared" si="134"/>
        <v>0</v>
      </c>
      <c r="G2069" s="9">
        <f t="shared" si="135"/>
        <v>0</v>
      </c>
      <c r="H2069" s="9">
        <f t="shared" si="136"/>
        <v>0</v>
      </c>
      <c r="I2069" s="10">
        <f t="shared" si="137"/>
        <v>0</v>
      </c>
    </row>
    <row r="2070" spans="1:9" x14ac:dyDescent="0.25">
      <c r="A2070" s="11" t="s">
        <v>5971</v>
      </c>
      <c r="B2070" s="11" t="s">
        <v>5972</v>
      </c>
      <c r="C2070" s="11" t="s">
        <v>81</v>
      </c>
      <c r="D2070" s="4" t="s">
        <v>1406</v>
      </c>
      <c r="E2070" t="s">
        <v>489</v>
      </c>
      <c r="F2070" s="9">
        <f t="shared" si="134"/>
        <v>0</v>
      </c>
      <c r="G2070" s="9">
        <f t="shared" si="135"/>
        <v>0</v>
      </c>
      <c r="H2070" s="9">
        <f t="shared" si="136"/>
        <v>0</v>
      </c>
      <c r="I2070" s="10">
        <f t="shared" si="137"/>
        <v>0</v>
      </c>
    </row>
    <row r="2071" spans="1:9" x14ac:dyDescent="0.25">
      <c r="A2071" s="11" t="s">
        <v>5973</v>
      </c>
      <c r="B2071" s="11" t="s">
        <v>5974</v>
      </c>
      <c r="C2071" s="11" t="s">
        <v>81</v>
      </c>
      <c r="D2071" s="4" t="s">
        <v>1406</v>
      </c>
      <c r="E2071" t="s">
        <v>489</v>
      </c>
      <c r="F2071" s="9">
        <f t="shared" si="134"/>
        <v>0</v>
      </c>
      <c r="G2071" s="9">
        <f t="shared" si="135"/>
        <v>0</v>
      </c>
      <c r="H2071" s="9">
        <f t="shared" si="136"/>
        <v>0</v>
      </c>
      <c r="I2071" s="10">
        <f t="shared" si="137"/>
        <v>0</v>
      </c>
    </row>
    <row r="2072" spans="1:9" x14ac:dyDescent="0.25">
      <c r="A2072" s="11" t="s">
        <v>5975</v>
      </c>
      <c r="B2072" s="11" t="s">
        <v>5976</v>
      </c>
      <c r="C2072" s="11" t="s">
        <v>81</v>
      </c>
      <c r="D2072" s="4" t="s">
        <v>1406</v>
      </c>
      <c r="E2072" t="s">
        <v>82</v>
      </c>
      <c r="F2072" s="9">
        <f t="shared" si="134"/>
        <v>0</v>
      </c>
      <c r="G2072" s="9">
        <f t="shared" si="135"/>
        <v>0</v>
      </c>
      <c r="H2072" s="9">
        <f t="shared" si="136"/>
        <v>0</v>
      </c>
      <c r="I2072" s="10">
        <f t="shared" si="137"/>
        <v>0</v>
      </c>
    </row>
    <row r="2073" spans="1:9" x14ac:dyDescent="0.25">
      <c r="A2073" s="11" t="s">
        <v>5977</v>
      </c>
      <c r="B2073" s="11" t="s">
        <v>5978</v>
      </c>
      <c r="C2073" s="11" t="s">
        <v>81</v>
      </c>
      <c r="D2073" s="4" t="s">
        <v>1406</v>
      </c>
      <c r="E2073" t="s">
        <v>489</v>
      </c>
      <c r="F2073" s="9">
        <f t="shared" si="134"/>
        <v>0</v>
      </c>
      <c r="G2073" s="9">
        <f t="shared" si="135"/>
        <v>0</v>
      </c>
      <c r="H2073" s="9">
        <f t="shared" si="136"/>
        <v>0</v>
      </c>
      <c r="I2073" s="10">
        <f t="shared" si="137"/>
        <v>0</v>
      </c>
    </row>
    <row r="2074" spans="1:9" x14ac:dyDescent="0.25">
      <c r="A2074" s="11" t="s">
        <v>5979</v>
      </c>
      <c r="B2074" s="11" t="s">
        <v>5980</v>
      </c>
      <c r="C2074" s="11" t="s">
        <v>81</v>
      </c>
      <c r="D2074" s="4" t="s">
        <v>1406</v>
      </c>
      <c r="E2074" t="s">
        <v>82</v>
      </c>
      <c r="F2074" s="9">
        <f t="shared" si="134"/>
        <v>0</v>
      </c>
      <c r="G2074" s="9">
        <f t="shared" si="135"/>
        <v>0</v>
      </c>
      <c r="H2074" s="9">
        <f t="shared" si="136"/>
        <v>0</v>
      </c>
      <c r="I2074" s="10">
        <f t="shared" si="137"/>
        <v>0</v>
      </c>
    </row>
    <row r="2075" spans="1:9" x14ac:dyDescent="0.25">
      <c r="A2075" s="11" t="s">
        <v>5981</v>
      </c>
      <c r="B2075" s="11" t="s">
        <v>5982</v>
      </c>
      <c r="C2075" s="11" t="s">
        <v>81</v>
      </c>
      <c r="D2075" s="4" t="s">
        <v>1406</v>
      </c>
      <c r="E2075" t="s">
        <v>489</v>
      </c>
      <c r="F2075" s="9">
        <f t="shared" si="134"/>
        <v>0</v>
      </c>
      <c r="G2075" s="9">
        <f t="shared" si="135"/>
        <v>0</v>
      </c>
      <c r="H2075" s="9">
        <f t="shared" si="136"/>
        <v>0</v>
      </c>
      <c r="I2075" s="10">
        <f t="shared" si="137"/>
        <v>0</v>
      </c>
    </row>
    <row r="2076" spans="1:9" x14ac:dyDescent="0.25">
      <c r="A2076" s="11" t="s">
        <v>5983</v>
      </c>
      <c r="B2076" s="11" t="s">
        <v>5984</v>
      </c>
      <c r="C2076" s="11" t="s">
        <v>81</v>
      </c>
      <c r="D2076" s="4" t="s">
        <v>1406</v>
      </c>
      <c r="E2076" t="s">
        <v>489</v>
      </c>
      <c r="F2076" s="9">
        <f t="shared" si="134"/>
        <v>0</v>
      </c>
      <c r="G2076" s="9">
        <f t="shared" si="135"/>
        <v>0</v>
      </c>
      <c r="H2076" s="9">
        <f t="shared" si="136"/>
        <v>0</v>
      </c>
      <c r="I2076" s="10">
        <f t="shared" si="137"/>
        <v>0</v>
      </c>
    </row>
    <row r="2077" spans="1:9" x14ac:dyDescent="0.25">
      <c r="A2077" s="11" t="s">
        <v>5985</v>
      </c>
      <c r="B2077" s="11" t="s">
        <v>5986</v>
      </c>
      <c r="C2077" s="11" t="s">
        <v>81</v>
      </c>
      <c r="D2077" s="4" t="s">
        <v>1406</v>
      </c>
      <c r="E2077" t="s">
        <v>489</v>
      </c>
      <c r="F2077" s="9">
        <f t="shared" si="134"/>
        <v>0</v>
      </c>
      <c r="G2077" s="9">
        <f t="shared" si="135"/>
        <v>0</v>
      </c>
      <c r="H2077" s="9">
        <f t="shared" si="136"/>
        <v>0</v>
      </c>
      <c r="I2077" s="10">
        <f t="shared" si="137"/>
        <v>0</v>
      </c>
    </row>
    <row r="2078" spans="1:9" x14ac:dyDescent="0.25">
      <c r="A2078" s="11" t="s">
        <v>5987</v>
      </c>
      <c r="B2078" s="11" t="s">
        <v>5988</v>
      </c>
      <c r="C2078" s="11" t="s">
        <v>81</v>
      </c>
      <c r="D2078" s="4" t="s">
        <v>1406</v>
      </c>
      <c r="E2078" t="s">
        <v>82</v>
      </c>
      <c r="F2078" s="9">
        <f t="shared" si="134"/>
        <v>0</v>
      </c>
      <c r="G2078" s="9">
        <f t="shared" si="135"/>
        <v>0</v>
      </c>
      <c r="H2078" s="9">
        <f t="shared" si="136"/>
        <v>0</v>
      </c>
      <c r="I2078" s="10">
        <f t="shared" si="137"/>
        <v>0</v>
      </c>
    </row>
    <row r="2079" spans="1:9" x14ac:dyDescent="0.25">
      <c r="A2079" s="11" t="s">
        <v>4506</v>
      </c>
      <c r="B2079" s="11" t="s">
        <v>1588</v>
      </c>
      <c r="C2079" s="11" t="s">
        <v>81</v>
      </c>
      <c r="D2079" s="4" t="s">
        <v>1406</v>
      </c>
      <c r="E2079" t="s">
        <v>82</v>
      </c>
      <c r="F2079" s="9">
        <f t="shared" si="134"/>
        <v>0</v>
      </c>
      <c r="G2079" s="9">
        <f t="shared" si="135"/>
        <v>0</v>
      </c>
      <c r="H2079" s="9">
        <f t="shared" si="136"/>
        <v>0</v>
      </c>
      <c r="I2079" s="10">
        <f t="shared" si="137"/>
        <v>0</v>
      </c>
    </row>
    <row r="2080" spans="1:9" x14ac:dyDescent="0.25">
      <c r="A2080" s="11" t="s">
        <v>5989</v>
      </c>
      <c r="B2080" s="11" t="s">
        <v>5990</v>
      </c>
      <c r="C2080" s="11" t="s">
        <v>81</v>
      </c>
      <c r="D2080" s="4" t="s">
        <v>1406</v>
      </c>
      <c r="E2080" t="s">
        <v>489</v>
      </c>
      <c r="F2080" s="9">
        <f t="shared" si="134"/>
        <v>0</v>
      </c>
      <c r="G2080" s="9">
        <f t="shared" si="135"/>
        <v>0</v>
      </c>
      <c r="H2080" s="9">
        <f t="shared" si="136"/>
        <v>0</v>
      </c>
      <c r="I2080" s="10">
        <f t="shared" si="137"/>
        <v>0</v>
      </c>
    </row>
    <row r="2081" spans="1:9" x14ac:dyDescent="0.25">
      <c r="A2081" s="11" t="s">
        <v>5991</v>
      </c>
      <c r="B2081" s="11" t="s">
        <v>5992</v>
      </c>
      <c r="C2081" s="11" t="s">
        <v>81</v>
      </c>
      <c r="D2081" s="4" t="s">
        <v>1406</v>
      </c>
      <c r="E2081" t="s">
        <v>489</v>
      </c>
      <c r="F2081" s="9">
        <f t="shared" si="134"/>
        <v>0</v>
      </c>
      <c r="G2081" s="9">
        <f t="shared" si="135"/>
        <v>0</v>
      </c>
      <c r="H2081" s="9">
        <f t="shared" si="136"/>
        <v>0</v>
      </c>
      <c r="I2081" s="10">
        <f t="shared" si="137"/>
        <v>0</v>
      </c>
    </row>
    <row r="2082" spans="1:9" x14ac:dyDescent="0.25">
      <c r="A2082" s="11" t="s">
        <v>5993</v>
      </c>
      <c r="B2082" s="11" t="s">
        <v>5994</v>
      </c>
      <c r="C2082" s="11" t="s">
        <v>81</v>
      </c>
      <c r="D2082" s="4" t="s">
        <v>1406</v>
      </c>
      <c r="E2082" t="s">
        <v>82</v>
      </c>
      <c r="F2082" s="9">
        <f t="shared" si="134"/>
        <v>0</v>
      </c>
      <c r="G2082" s="9">
        <f t="shared" si="135"/>
        <v>0</v>
      </c>
      <c r="H2082" s="9">
        <f t="shared" si="136"/>
        <v>0</v>
      </c>
      <c r="I2082" s="10">
        <f t="shared" si="137"/>
        <v>0</v>
      </c>
    </row>
    <row r="2083" spans="1:9" x14ac:dyDescent="0.25">
      <c r="A2083" s="11" t="s">
        <v>5995</v>
      </c>
      <c r="B2083" s="11" t="s">
        <v>5996</v>
      </c>
      <c r="C2083" s="11" t="s">
        <v>81</v>
      </c>
      <c r="D2083" s="4" t="s">
        <v>1406</v>
      </c>
      <c r="E2083" t="s">
        <v>82</v>
      </c>
      <c r="F2083" s="9">
        <f t="shared" si="134"/>
        <v>0</v>
      </c>
      <c r="G2083" s="9">
        <f t="shared" si="135"/>
        <v>0</v>
      </c>
      <c r="H2083" s="9">
        <f t="shared" si="136"/>
        <v>0</v>
      </c>
      <c r="I2083" s="10">
        <f t="shared" si="137"/>
        <v>0</v>
      </c>
    </row>
    <row r="2084" spans="1:9" x14ac:dyDescent="0.25">
      <c r="A2084" s="11" t="s">
        <v>5997</v>
      </c>
      <c r="B2084" s="11" t="s">
        <v>5998</v>
      </c>
      <c r="C2084" s="11" t="s">
        <v>81</v>
      </c>
      <c r="D2084" s="4" t="s">
        <v>1406</v>
      </c>
      <c r="E2084" t="s">
        <v>82</v>
      </c>
      <c r="F2084" s="9">
        <f t="shared" si="134"/>
        <v>0</v>
      </c>
      <c r="G2084" s="9">
        <f t="shared" si="135"/>
        <v>0</v>
      </c>
      <c r="H2084" s="9">
        <f t="shared" si="136"/>
        <v>0</v>
      </c>
      <c r="I2084" s="10">
        <f t="shared" si="137"/>
        <v>0</v>
      </c>
    </row>
    <row r="2085" spans="1:9" x14ac:dyDescent="0.25">
      <c r="A2085" s="11" t="s">
        <v>5999</v>
      </c>
      <c r="B2085" s="11" t="s">
        <v>6000</v>
      </c>
      <c r="C2085" s="11" t="s">
        <v>81</v>
      </c>
      <c r="D2085" s="4" t="s">
        <v>1406</v>
      </c>
      <c r="E2085" t="s">
        <v>82</v>
      </c>
      <c r="F2085" s="9">
        <f t="shared" si="134"/>
        <v>0</v>
      </c>
      <c r="G2085" s="9">
        <f t="shared" si="135"/>
        <v>0</v>
      </c>
      <c r="H2085" s="9">
        <f t="shared" si="136"/>
        <v>0</v>
      </c>
      <c r="I2085" s="10">
        <f t="shared" si="137"/>
        <v>0</v>
      </c>
    </row>
    <row r="2086" spans="1:9" x14ac:dyDescent="0.25">
      <c r="A2086" s="11" t="s">
        <v>6001</v>
      </c>
      <c r="B2086" s="11" t="s">
        <v>6002</v>
      </c>
      <c r="C2086" s="11" t="s">
        <v>81</v>
      </c>
      <c r="D2086" s="4" t="s">
        <v>1406</v>
      </c>
      <c r="E2086" t="s">
        <v>82</v>
      </c>
      <c r="F2086" s="9">
        <f t="shared" si="134"/>
        <v>0</v>
      </c>
      <c r="G2086" s="9">
        <f t="shared" si="135"/>
        <v>0</v>
      </c>
      <c r="H2086" s="9">
        <f t="shared" si="136"/>
        <v>0</v>
      </c>
      <c r="I2086" s="10">
        <f t="shared" si="137"/>
        <v>0</v>
      </c>
    </row>
    <row r="2087" spans="1:9" x14ac:dyDescent="0.25">
      <c r="A2087" s="11" t="s">
        <v>6003</v>
      </c>
      <c r="B2087" s="11" t="s">
        <v>6004</v>
      </c>
      <c r="C2087" s="11" t="s">
        <v>81</v>
      </c>
      <c r="D2087" s="4" t="s">
        <v>1406</v>
      </c>
      <c r="E2087" t="s">
        <v>489</v>
      </c>
      <c r="F2087" s="9">
        <f t="shared" si="134"/>
        <v>0</v>
      </c>
      <c r="G2087" s="9">
        <f t="shared" si="135"/>
        <v>0</v>
      </c>
      <c r="H2087" s="9">
        <f t="shared" si="136"/>
        <v>0</v>
      </c>
      <c r="I2087" s="10">
        <f t="shared" si="137"/>
        <v>0</v>
      </c>
    </row>
    <row r="2088" spans="1:9" x14ac:dyDescent="0.25">
      <c r="A2088" s="11" t="s">
        <v>6005</v>
      </c>
      <c r="B2088" s="11" t="s">
        <v>6006</v>
      </c>
      <c r="C2088" s="11" t="s">
        <v>81</v>
      </c>
      <c r="D2088" s="4" t="s">
        <v>1406</v>
      </c>
      <c r="E2088" t="s">
        <v>82</v>
      </c>
      <c r="F2088" s="9">
        <f t="shared" si="134"/>
        <v>0</v>
      </c>
      <c r="G2088" s="9">
        <f t="shared" si="135"/>
        <v>0</v>
      </c>
      <c r="H2088" s="9">
        <f t="shared" si="136"/>
        <v>0</v>
      </c>
      <c r="I2088" s="10">
        <f t="shared" si="137"/>
        <v>0</v>
      </c>
    </row>
    <row r="2089" spans="1:9" x14ac:dyDescent="0.25">
      <c r="A2089" s="11" t="s">
        <v>6007</v>
      </c>
      <c r="B2089" s="11" t="s">
        <v>6008</v>
      </c>
      <c r="C2089" s="11" t="s">
        <v>81</v>
      </c>
      <c r="D2089" s="4" t="s">
        <v>1406</v>
      </c>
      <c r="E2089" t="s">
        <v>489</v>
      </c>
      <c r="F2089" s="9">
        <f t="shared" si="134"/>
        <v>0</v>
      </c>
      <c r="G2089" s="9">
        <f t="shared" si="135"/>
        <v>0</v>
      </c>
      <c r="H2089" s="9">
        <f t="shared" si="136"/>
        <v>0</v>
      </c>
      <c r="I2089" s="10">
        <f t="shared" si="137"/>
        <v>0</v>
      </c>
    </row>
    <row r="2090" spans="1:9" x14ac:dyDescent="0.25">
      <c r="A2090" s="11" t="s">
        <v>6009</v>
      </c>
      <c r="B2090" s="11" t="s">
        <v>6010</v>
      </c>
      <c r="C2090" s="11" t="s">
        <v>81</v>
      </c>
      <c r="D2090" s="4" t="s">
        <v>1406</v>
      </c>
      <c r="E2090" t="s">
        <v>489</v>
      </c>
      <c r="F2090" s="9">
        <f t="shared" si="134"/>
        <v>0</v>
      </c>
      <c r="G2090" s="9">
        <f t="shared" si="135"/>
        <v>0</v>
      </c>
      <c r="H2090" s="9">
        <f t="shared" si="136"/>
        <v>0</v>
      </c>
      <c r="I2090" s="10">
        <f t="shared" si="137"/>
        <v>0</v>
      </c>
    </row>
    <row r="2091" spans="1:9" x14ac:dyDescent="0.25">
      <c r="A2091" s="11" t="s">
        <v>6011</v>
      </c>
      <c r="B2091" s="11" t="s">
        <v>6012</v>
      </c>
      <c r="C2091" s="11" t="s">
        <v>81</v>
      </c>
      <c r="D2091" s="4" t="s">
        <v>1406</v>
      </c>
      <c r="E2091" t="s">
        <v>82</v>
      </c>
      <c r="F2091" s="9">
        <f t="shared" si="134"/>
        <v>0</v>
      </c>
      <c r="G2091" s="9">
        <f t="shared" si="135"/>
        <v>0</v>
      </c>
      <c r="H2091" s="9">
        <f t="shared" si="136"/>
        <v>0</v>
      </c>
      <c r="I2091" s="10">
        <f t="shared" si="137"/>
        <v>0</v>
      </c>
    </row>
    <row r="2092" spans="1:9" x14ac:dyDescent="0.25">
      <c r="A2092" s="11" t="s">
        <v>6013</v>
      </c>
      <c r="B2092" s="11" t="s">
        <v>6014</v>
      </c>
      <c r="C2092" s="11" t="s">
        <v>81</v>
      </c>
      <c r="D2092" s="4" t="s">
        <v>1406</v>
      </c>
      <c r="E2092" t="s">
        <v>489</v>
      </c>
      <c r="F2092" s="9">
        <f t="shared" si="134"/>
        <v>0</v>
      </c>
      <c r="G2092" s="9">
        <f t="shared" si="135"/>
        <v>0</v>
      </c>
      <c r="H2092" s="9">
        <f t="shared" si="136"/>
        <v>0</v>
      </c>
      <c r="I2092" s="10">
        <f t="shared" si="137"/>
        <v>0</v>
      </c>
    </row>
    <row r="2093" spans="1:9" x14ac:dyDescent="0.25">
      <c r="A2093" s="11" t="s">
        <v>6015</v>
      </c>
      <c r="B2093" s="11" t="s">
        <v>6016</v>
      </c>
      <c r="C2093" s="11" t="s">
        <v>81</v>
      </c>
      <c r="D2093" s="4" t="s">
        <v>1406</v>
      </c>
      <c r="E2093" t="s">
        <v>82</v>
      </c>
      <c r="F2093" s="9">
        <f t="shared" si="134"/>
        <v>0</v>
      </c>
      <c r="G2093" s="9">
        <f t="shared" si="135"/>
        <v>0</v>
      </c>
      <c r="H2093" s="9">
        <f t="shared" si="136"/>
        <v>0</v>
      </c>
      <c r="I2093" s="10">
        <f t="shared" si="137"/>
        <v>0</v>
      </c>
    </row>
    <row r="2094" spans="1:9" x14ac:dyDescent="0.25">
      <c r="A2094" s="11" t="s">
        <v>6017</v>
      </c>
      <c r="B2094" s="11" t="s">
        <v>6018</v>
      </c>
      <c r="C2094" s="11" t="s">
        <v>81</v>
      </c>
      <c r="D2094" s="4" t="s">
        <v>1406</v>
      </c>
      <c r="E2094" t="s">
        <v>82</v>
      </c>
      <c r="F2094" s="9">
        <f t="shared" si="134"/>
        <v>0</v>
      </c>
      <c r="G2094" s="9">
        <f t="shared" si="135"/>
        <v>0</v>
      </c>
      <c r="H2094" s="9">
        <f t="shared" si="136"/>
        <v>0</v>
      </c>
      <c r="I2094" s="10">
        <f t="shared" si="137"/>
        <v>0</v>
      </c>
    </row>
    <row r="2095" spans="1:9" x14ac:dyDescent="0.25">
      <c r="A2095" s="11" t="s">
        <v>6019</v>
      </c>
      <c r="B2095" s="11" t="s">
        <v>6020</v>
      </c>
      <c r="C2095" s="11" t="s">
        <v>81</v>
      </c>
      <c r="D2095" s="4" t="s">
        <v>1406</v>
      </c>
      <c r="E2095" t="s">
        <v>489</v>
      </c>
      <c r="F2095" s="9">
        <f t="shared" si="134"/>
        <v>0</v>
      </c>
      <c r="G2095" s="9">
        <f t="shared" si="135"/>
        <v>0</v>
      </c>
      <c r="H2095" s="9">
        <f t="shared" si="136"/>
        <v>0</v>
      </c>
      <c r="I2095" s="10">
        <f t="shared" si="137"/>
        <v>0</v>
      </c>
    </row>
    <row r="2096" spans="1:9" x14ac:dyDescent="0.25">
      <c r="A2096" s="11" t="s">
        <v>6021</v>
      </c>
      <c r="B2096" s="11" t="s">
        <v>6022</v>
      </c>
      <c r="C2096" s="11" t="s">
        <v>81</v>
      </c>
      <c r="D2096" s="4" t="s">
        <v>1406</v>
      </c>
      <c r="E2096" t="s">
        <v>489</v>
      </c>
      <c r="F2096" s="9">
        <f t="shared" si="134"/>
        <v>0</v>
      </c>
      <c r="G2096" s="9">
        <f t="shared" si="135"/>
        <v>0</v>
      </c>
      <c r="H2096" s="9">
        <f t="shared" si="136"/>
        <v>0</v>
      </c>
      <c r="I2096" s="10">
        <f t="shared" si="137"/>
        <v>0</v>
      </c>
    </row>
    <row r="2097" spans="1:9" x14ac:dyDescent="0.25">
      <c r="A2097" s="11" t="s">
        <v>6023</v>
      </c>
      <c r="B2097" s="11" t="s">
        <v>6024</v>
      </c>
      <c r="C2097" s="11" t="s">
        <v>81</v>
      </c>
      <c r="D2097" s="4" t="s">
        <v>1406</v>
      </c>
      <c r="E2097" t="s">
        <v>82</v>
      </c>
      <c r="F2097" s="9">
        <f t="shared" si="134"/>
        <v>0</v>
      </c>
      <c r="G2097" s="9">
        <f t="shared" si="135"/>
        <v>0</v>
      </c>
      <c r="H2097" s="9">
        <f t="shared" si="136"/>
        <v>0</v>
      </c>
      <c r="I2097" s="10">
        <f t="shared" si="137"/>
        <v>0</v>
      </c>
    </row>
    <row r="2098" spans="1:9" x14ac:dyDescent="0.25">
      <c r="A2098" s="11" t="s">
        <v>6025</v>
      </c>
      <c r="B2098" s="11" t="s">
        <v>6026</v>
      </c>
      <c r="C2098" s="11" t="s">
        <v>81</v>
      </c>
      <c r="D2098" s="4" t="s">
        <v>1406</v>
      </c>
      <c r="E2098" t="s">
        <v>82</v>
      </c>
      <c r="F2098" s="9">
        <f t="shared" si="134"/>
        <v>0</v>
      </c>
      <c r="G2098" s="9">
        <f t="shared" si="135"/>
        <v>0</v>
      </c>
      <c r="H2098" s="9">
        <f t="shared" si="136"/>
        <v>0</v>
      </c>
      <c r="I2098" s="10">
        <f t="shared" si="137"/>
        <v>0</v>
      </c>
    </row>
    <row r="2099" spans="1:9" x14ac:dyDescent="0.25">
      <c r="A2099" s="11" t="s">
        <v>6027</v>
      </c>
      <c r="B2099" s="11" t="s">
        <v>6028</v>
      </c>
      <c r="C2099" s="11" t="s">
        <v>81</v>
      </c>
      <c r="D2099" s="4" t="s">
        <v>1406</v>
      </c>
      <c r="E2099" t="s">
        <v>82</v>
      </c>
      <c r="F2099" s="9">
        <f t="shared" si="134"/>
        <v>0</v>
      </c>
      <c r="G2099" s="9">
        <f t="shared" si="135"/>
        <v>0</v>
      </c>
      <c r="H2099" s="9">
        <f t="shared" si="136"/>
        <v>0</v>
      </c>
      <c r="I2099" s="10">
        <f t="shared" si="137"/>
        <v>0</v>
      </c>
    </row>
    <row r="2100" spans="1:9" x14ac:dyDescent="0.25">
      <c r="A2100" s="11" t="s">
        <v>6029</v>
      </c>
      <c r="B2100" s="11" t="s">
        <v>6030</v>
      </c>
      <c r="C2100" s="11" t="s">
        <v>81</v>
      </c>
      <c r="D2100" s="4" t="s">
        <v>1406</v>
      </c>
      <c r="E2100" t="s">
        <v>82</v>
      </c>
      <c r="F2100" s="9">
        <f t="shared" si="134"/>
        <v>0</v>
      </c>
      <c r="G2100" s="9">
        <f t="shared" si="135"/>
        <v>0</v>
      </c>
      <c r="H2100" s="9">
        <f t="shared" si="136"/>
        <v>0</v>
      </c>
      <c r="I2100" s="10">
        <f t="shared" si="137"/>
        <v>0</v>
      </c>
    </row>
    <row r="2101" spans="1:9" x14ac:dyDescent="0.25">
      <c r="A2101" s="11" t="s">
        <v>6031</v>
      </c>
      <c r="B2101" s="11" t="s">
        <v>6032</v>
      </c>
      <c r="C2101" s="11" t="s">
        <v>81</v>
      </c>
      <c r="D2101" s="4" t="s">
        <v>1406</v>
      </c>
      <c r="E2101" t="s">
        <v>489</v>
      </c>
      <c r="F2101" s="9">
        <f t="shared" si="134"/>
        <v>0</v>
      </c>
      <c r="G2101" s="9">
        <f t="shared" si="135"/>
        <v>0</v>
      </c>
      <c r="H2101" s="9">
        <f t="shared" si="136"/>
        <v>0</v>
      </c>
      <c r="I2101" s="10">
        <f t="shared" si="137"/>
        <v>0</v>
      </c>
    </row>
    <row r="2102" spans="1:9" x14ac:dyDescent="0.25">
      <c r="A2102" s="11" t="s">
        <v>6033</v>
      </c>
      <c r="B2102" s="11" t="s">
        <v>6034</v>
      </c>
      <c r="C2102" s="11" t="s">
        <v>81</v>
      </c>
      <c r="D2102" s="4" t="s">
        <v>1406</v>
      </c>
      <c r="E2102" t="s">
        <v>82</v>
      </c>
      <c r="F2102" s="9">
        <f t="shared" si="134"/>
        <v>0</v>
      </c>
      <c r="G2102" s="9">
        <f t="shared" si="135"/>
        <v>0</v>
      </c>
      <c r="H2102" s="9">
        <f t="shared" si="136"/>
        <v>0</v>
      </c>
      <c r="I2102" s="10">
        <f t="shared" si="137"/>
        <v>0</v>
      </c>
    </row>
    <row r="2103" spans="1:9" x14ac:dyDescent="0.25">
      <c r="A2103" s="11" t="s">
        <v>6035</v>
      </c>
      <c r="B2103" s="11" t="s">
        <v>6036</v>
      </c>
      <c r="C2103" s="11" t="s">
        <v>81</v>
      </c>
      <c r="D2103" s="4" t="s">
        <v>1406</v>
      </c>
      <c r="E2103" t="s">
        <v>489</v>
      </c>
      <c r="F2103" s="9">
        <f t="shared" si="134"/>
        <v>0</v>
      </c>
      <c r="G2103" s="9">
        <f t="shared" si="135"/>
        <v>0</v>
      </c>
      <c r="H2103" s="9">
        <f t="shared" si="136"/>
        <v>0</v>
      </c>
      <c r="I2103" s="10">
        <f t="shared" si="137"/>
        <v>0</v>
      </c>
    </row>
    <row r="2104" spans="1:9" x14ac:dyDescent="0.25">
      <c r="A2104" s="11" t="s">
        <v>6037</v>
      </c>
      <c r="B2104" s="11" t="s">
        <v>6038</v>
      </c>
      <c r="C2104" s="11" t="s">
        <v>81</v>
      </c>
      <c r="D2104" s="4" t="s">
        <v>1406</v>
      </c>
      <c r="E2104" t="s">
        <v>82</v>
      </c>
      <c r="F2104" s="9">
        <f t="shared" si="134"/>
        <v>0</v>
      </c>
      <c r="G2104" s="9">
        <f t="shared" si="135"/>
        <v>0</v>
      </c>
      <c r="H2104" s="9">
        <f t="shared" si="136"/>
        <v>0</v>
      </c>
      <c r="I2104" s="10">
        <f t="shared" si="137"/>
        <v>0</v>
      </c>
    </row>
    <row r="2105" spans="1:9" x14ac:dyDescent="0.25">
      <c r="A2105" s="11" t="s">
        <v>6039</v>
      </c>
      <c r="B2105" s="11" t="s">
        <v>6040</v>
      </c>
      <c r="C2105" s="11" t="s">
        <v>81</v>
      </c>
      <c r="D2105" s="4" t="s">
        <v>1406</v>
      </c>
      <c r="E2105" t="s">
        <v>489</v>
      </c>
      <c r="F2105" s="9">
        <f t="shared" si="134"/>
        <v>0</v>
      </c>
      <c r="G2105" s="9">
        <f t="shared" si="135"/>
        <v>0</v>
      </c>
      <c r="H2105" s="9">
        <f t="shared" si="136"/>
        <v>0</v>
      </c>
      <c r="I2105" s="10">
        <f t="shared" si="137"/>
        <v>0</v>
      </c>
    </row>
    <row r="2106" spans="1:9" x14ac:dyDescent="0.25">
      <c r="A2106" s="11" t="s">
        <v>6041</v>
      </c>
      <c r="B2106" s="11" t="s">
        <v>6042</v>
      </c>
      <c r="C2106" s="11" t="s">
        <v>81</v>
      </c>
      <c r="D2106" s="4" t="s">
        <v>1406</v>
      </c>
      <c r="E2106" t="s">
        <v>82</v>
      </c>
      <c r="F2106" s="9">
        <f t="shared" si="134"/>
        <v>0</v>
      </c>
      <c r="G2106" s="9">
        <f t="shared" si="135"/>
        <v>0</v>
      </c>
      <c r="H2106" s="9">
        <f t="shared" si="136"/>
        <v>0</v>
      </c>
      <c r="I2106" s="10">
        <f t="shared" si="137"/>
        <v>0</v>
      </c>
    </row>
    <row r="2107" spans="1:9" x14ac:dyDescent="0.25">
      <c r="A2107" s="11" t="s">
        <v>6043</v>
      </c>
      <c r="B2107" s="11" t="s">
        <v>6044</v>
      </c>
      <c r="C2107" s="11" t="s">
        <v>81</v>
      </c>
      <c r="D2107" s="4" t="s">
        <v>1406</v>
      </c>
      <c r="E2107" t="s">
        <v>82</v>
      </c>
      <c r="F2107" s="9">
        <f t="shared" si="134"/>
        <v>0</v>
      </c>
      <c r="G2107" s="9">
        <f t="shared" si="135"/>
        <v>0</v>
      </c>
      <c r="H2107" s="9">
        <f t="shared" si="136"/>
        <v>0</v>
      </c>
      <c r="I2107" s="10">
        <f t="shared" si="137"/>
        <v>0</v>
      </c>
    </row>
    <row r="2108" spans="1:9" x14ac:dyDescent="0.25">
      <c r="A2108" s="11" t="s">
        <v>6045</v>
      </c>
      <c r="B2108" s="11" t="s">
        <v>6046</v>
      </c>
      <c r="C2108" s="11" t="s">
        <v>81</v>
      </c>
      <c r="D2108" s="4" t="s">
        <v>1406</v>
      </c>
      <c r="E2108" t="s">
        <v>82</v>
      </c>
      <c r="F2108" s="9">
        <f t="shared" si="134"/>
        <v>0</v>
      </c>
      <c r="G2108" s="9">
        <f t="shared" si="135"/>
        <v>0</v>
      </c>
      <c r="H2108" s="9">
        <f t="shared" si="136"/>
        <v>0</v>
      </c>
      <c r="I2108" s="10">
        <f t="shared" si="137"/>
        <v>0</v>
      </c>
    </row>
    <row r="2109" spans="1:9" x14ac:dyDescent="0.25">
      <c r="A2109" s="11" t="s">
        <v>6047</v>
      </c>
      <c r="B2109" s="11" t="s">
        <v>6048</v>
      </c>
      <c r="C2109" s="11" t="s">
        <v>81</v>
      </c>
      <c r="D2109" s="4" t="s">
        <v>1406</v>
      </c>
      <c r="E2109" t="s">
        <v>82</v>
      </c>
      <c r="F2109" s="9">
        <f t="shared" si="134"/>
        <v>0</v>
      </c>
      <c r="G2109" s="9">
        <f t="shared" si="135"/>
        <v>0</v>
      </c>
      <c r="H2109" s="9">
        <f t="shared" si="136"/>
        <v>0</v>
      </c>
      <c r="I2109" s="10">
        <f t="shared" si="137"/>
        <v>0</v>
      </c>
    </row>
    <row r="2110" spans="1:9" x14ac:dyDescent="0.25">
      <c r="A2110" s="11" t="s">
        <v>6049</v>
      </c>
      <c r="B2110" s="11" t="s">
        <v>6050</v>
      </c>
      <c r="C2110" s="11" t="s">
        <v>81</v>
      </c>
      <c r="D2110" s="4" t="s">
        <v>1406</v>
      </c>
      <c r="E2110" t="s">
        <v>489</v>
      </c>
      <c r="F2110" s="9">
        <f t="shared" si="134"/>
        <v>0</v>
      </c>
      <c r="G2110" s="9">
        <f t="shared" si="135"/>
        <v>0</v>
      </c>
      <c r="H2110" s="9">
        <f t="shared" si="136"/>
        <v>0</v>
      </c>
      <c r="I2110" s="10">
        <f t="shared" si="137"/>
        <v>0</v>
      </c>
    </row>
    <row r="2111" spans="1:9" x14ac:dyDescent="0.25">
      <c r="A2111" s="11" t="s">
        <v>6051</v>
      </c>
      <c r="B2111" s="11" t="s">
        <v>6052</v>
      </c>
      <c r="C2111" s="11" t="s">
        <v>81</v>
      </c>
      <c r="D2111" s="4" t="s">
        <v>1406</v>
      </c>
      <c r="E2111" t="s">
        <v>489</v>
      </c>
      <c r="F2111" s="9">
        <f t="shared" si="134"/>
        <v>0</v>
      </c>
      <c r="G2111" s="9">
        <f t="shared" si="135"/>
        <v>0</v>
      </c>
      <c r="H2111" s="9">
        <f t="shared" si="136"/>
        <v>0</v>
      </c>
      <c r="I2111" s="10">
        <f t="shared" si="137"/>
        <v>0</v>
      </c>
    </row>
    <row r="2112" spans="1:9" x14ac:dyDescent="0.25">
      <c r="A2112" s="11" t="s">
        <v>6053</v>
      </c>
      <c r="B2112" s="11" t="s">
        <v>6054</v>
      </c>
      <c r="C2112" s="11" t="s">
        <v>81</v>
      </c>
      <c r="D2112" s="4" t="s">
        <v>1406</v>
      </c>
      <c r="E2112" t="s">
        <v>82</v>
      </c>
      <c r="F2112" s="9">
        <f t="shared" si="134"/>
        <v>0</v>
      </c>
      <c r="G2112" s="9">
        <f t="shared" si="135"/>
        <v>0</v>
      </c>
      <c r="H2112" s="9">
        <f t="shared" si="136"/>
        <v>0</v>
      </c>
      <c r="I2112" s="10">
        <f t="shared" si="137"/>
        <v>0</v>
      </c>
    </row>
    <row r="2113" spans="1:9" x14ac:dyDescent="0.25">
      <c r="A2113" s="11" t="s">
        <v>6055</v>
      </c>
      <c r="B2113" s="11" t="s">
        <v>6056</v>
      </c>
      <c r="C2113" s="11" t="s">
        <v>81</v>
      </c>
      <c r="D2113" s="4" t="s">
        <v>1406</v>
      </c>
      <c r="E2113" t="s">
        <v>82</v>
      </c>
      <c r="F2113" s="9">
        <f t="shared" si="134"/>
        <v>0</v>
      </c>
      <c r="G2113" s="9">
        <f t="shared" si="135"/>
        <v>0</v>
      </c>
      <c r="H2113" s="9">
        <f t="shared" si="136"/>
        <v>0</v>
      </c>
      <c r="I2113" s="10">
        <f t="shared" si="137"/>
        <v>0</v>
      </c>
    </row>
    <row r="2114" spans="1:9" x14ac:dyDescent="0.25">
      <c r="A2114" s="11" t="s">
        <v>6057</v>
      </c>
      <c r="B2114" s="11" t="s">
        <v>6058</v>
      </c>
      <c r="C2114" s="11" t="s">
        <v>81</v>
      </c>
      <c r="D2114" s="4" t="s">
        <v>1406</v>
      </c>
      <c r="E2114" t="s">
        <v>82</v>
      </c>
      <c r="F2114" s="9">
        <f t="shared" si="134"/>
        <v>0</v>
      </c>
      <c r="G2114" s="9">
        <f t="shared" si="135"/>
        <v>0</v>
      </c>
      <c r="H2114" s="9">
        <f t="shared" si="136"/>
        <v>0</v>
      </c>
      <c r="I2114" s="10">
        <f t="shared" si="137"/>
        <v>0</v>
      </c>
    </row>
    <row r="2115" spans="1:9" x14ac:dyDescent="0.25">
      <c r="A2115" s="11" t="s">
        <v>6059</v>
      </c>
      <c r="B2115" s="11" t="s">
        <v>6060</v>
      </c>
      <c r="C2115" s="11" t="s">
        <v>81</v>
      </c>
      <c r="D2115" s="4" t="s">
        <v>1406</v>
      </c>
      <c r="E2115" t="s">
        <v>489</v>
      </c>
      <c r="F2115" s="9">
        <f t="shared" si="134"/>
        <v>0</v>
      </c>
      <c r="G2115" s="9">
        <f t="shared" si="135"/>
        <v>0</v>
      </c>
      <c r="H2115" s="9">
        <f t="shared" si="136"/>
        <v>0</v>
      </c>
      <c r="I2115" s="10">
        <f t="shared" si="137"/>
        <v>0</v>
      </c>
    </row>
    <row r="2116" spans="1:9" x14ac:dyDescent="0.25">
      <c r="A2116" s="11" t="s">
        <v>6061</v>
      </c>
      <c r="B2116" s="11" t="s">
        <v>6062</v>
      </c>
      <c r="C2116" s="11" t="s">
        <v>81</v>
      </c>
      <c r="D2116" s="4" t="s">
        <v>1406</v>
      </c>
      <c r="E2116" t="s">
        <v>489</v>
      </c>
      <c r="F2116" s="9">
        <f t="shared" si="134"/>
        <v>0</v>
      </c>
      <c r="G2116" s="9">
        <f t="shared" si="135"/>
        <v>0</v>
      </c>
      <c r="H2116" s="9">
        <f t="shared" si="136"/>
        <v>0</v>
      </c>
      <c r="I2116" s="10">
        <f t="shared" si="137"/>
        <v>0</v>
      </c>
    </row>
    <row r="2117" spans="1:9" x14ac:dyDescent="0.25">
      <c r="A2117" s="11" t="s">
        <v>6063</v>
      </c>
      <c r="B2117" s="11" t="s">
        <v>6064</v>
      </c>
      <c r="C2117" s="11" t="s">
        <v>81</v>
      </c>
      <c r="D2117" s="4" t="s">
        <v>1406</v>
      </c>
      <c r="E2117" t="s">
        <v>489</v>
      </c>
      <c r="F2117" s="9">
        <f t="shared" si="134"/>
        <v>0</v>
      </c>
      <c r="G2117" s="9">
        <f t="shared" si="135"/>
        <v>0</v>
      </c>
      <c r="H2117" s="9">
        <f t="shared" si="136"/>
        <v>0</v>
      </c>
      <c r="I2117" s="10">
        <f t="shared" si="137"/>
        <v>0</v>
      </c>
    </row>
    <row r="2118" spans="1:9" x14ac:dyDescent="0.25">
      <c r="A2118" s="11" t="s">
        <v>6065</v>
      </c>
      <c r="B2118" s="11" t="s">
        <v>6066</v>
      </c>
      <c r="C2118" s="11" t="s">
        <v>81</v>
      </c>
      <c r="D2118" s="4" t="s">
        <v>1406</v>
      </c>
      <c r="E2118" t="s">
        <v>489</v>
      </c>
      <c r="F2118" s="9">
        <f t="shared" si="134"/>
        <v>0</v>
      </c>
      <c r="G2118" s="9">
        <f t="shared" si="135"/>
        <v>0</v>
      </c>
      <c r="H2118" s="9">
        <f t="shared" si="136"/>
        <v>0</v>
      </c>
      <c r="I2118" s="10">
        <f t="shared" si="137"/>
        <v>0</v>
      </c>
    </row>
    <row r="2119" spans="1:9" x14ac:dyDescent="0.25">
      <c r="A2119" s="11" t="s">
        <v>6067</v>
      </c>
      <c r="B2119" s="11" t="s">
        <v>6068</v>
      </c>
      <c r="C2119" s="11" t="s">
        <v>81</v>
      </c>
      <c r="D2119" s="4" t="s">
        <v>1406</v>
      </c>
      <c r="E2119" t="s">
        <v>489</v>
      </c>
      <c r="F2119" s="9">
        <f t="shared" si="134"/>
        <v>0</v>
      </c>
      <c r="G2119" s="9">
        <f t="shared" si="135"/>
        <v>0</v>
      </c>
      <c r="H2119" s="9">
        <f t="shared" si="136"/>
        <v>0</v>
      </c>
      <c r="I2119" s="10">
        <f t="shared" si="137"/>
        <v>0</v>
      </c>
    </row>
    <row r="2120" spans="1:9" x14ac:dyDescent="0.25">
      <c r="A2120" s="11" t="s">
        <v>6069</v>
      </c>
      <c r="B2120" s="11" t="s">
        <v>6070</v>
      </c>
      <c r="C2120" s="11" t="s">
        <v>81</v>
      </c>
      <c r="D2120" s="4" t="s">
        <v>1406</v>
      </c>
      <c r="E2120" t="s">
        <v>489</v>
      </c>
      <c r="F2120" s="9">
        <f t="shared" ref="F2120:F2183" si="138">IFERROR(VLOOKUP(A2120,condi,8,0),0)</f>
        <v>0</v>
      </c>
      <c r="G2120" s="9">
        <f t="shared" ref="G2120:G2183" si="139">IFERROR(VLOOKUP(A2120,maqui,8,0),0)</f>
        <v>0</v>
      </c>
      <c r="H2120" s="9">
        <f t="shared" ref="H2120:H2183" si="140">IFERROR(VLOOKUP(A2120,ascint,8,0),0)</f>
        <v>0</v>
      </c>
      <c r="I2120" s="10">
        <f t="shared" ref="I2120:I2183" si="141">+F2120+G2120+H2120</f>
        <v>0</v>
      </c>
    </row>
    <row r="2121" spans="1:9" x14ac:dyDescent="0.25">
      <c r="A2121" s="11" t="s">
        <v>6071</v>
      </c>
      <c r="B2121" s="11" t="s">
        <v>6072</v>
      </c>
      <c r="C2121" s="11" t="s">
        <v>81</v>
      </c>
      <c r="D2121" s="4" t="s">
        <v>1406</v>
      </c>
      <c r="E2121" t="s">
        <v>489</v>
      </c>
      <c r="F2121" s="9">
        <f t="shared" si="138"/>
        <v>0</v>
      </c>
      <c r="G2121" s="9">
        <f t="shared" si="139"/>
        <v>0</v>
      </c>
      <c r="H2121" s="9">
        <f t="shared" si="140"/>
        <v>0</v>
      </c>
      <c r="I2121" s="10">
        <f t="shared" si="141"/>
        <v>0</v>
      </c>
    </row>
    <row r="2122" spans="1:9" x14ac:dyDescent="0.25">
      <c r="A2122" s="11" t="s">
        <v>6073</v>
      </c>
      <c r="B2122" s="11" t="s">
        <v>6074</v>
      </c>
      <c r="C2122" s="11" t="s">
        <v>81</v>
      </c>
      <c r="D2122" s="4" t="s">
        <v>1406</v>
      </c>
      <c r="E2122" t="s">
        <v>489</v>
      </c>
      <c r="F2122" s="9">
        <f t="shared" si="138"/>
        <v>0</v>
      </c>
      <c r="G2122" s="9">
        <f t="shared" si="139"/>
        <v>0</v>
      </c>
      <c r="H2122" s="9">
        <f t="shared" si="140"/>
        <v>0</v>
      </c>
      <c r="I2122" s="10">
        <f t="shared" si="141"/>
        <v>0</v>
      </c>
    </row>
    <row r="2123" spans="1:9" x14ac:dyDescent="0.25">
      <c r="A2123" s="11" t="s">
        <v>6075</v>
      </c>
      <c r="B2123" s="11" t="s">
        <v>6076</v>
      </c>
      <c r="C2123" s="11" t="s">
        <v>81</v>
      </c>
      <c r="D2123" s="4" t="s">
        <v>1406</v>
      </c>
      <c r="E2123" t="s">
        <v>82</v>
      </c>
      <c r="F2123" s="9">
        <f t="shared" si="138"/>
        <v>0</v>
      </c>
      <c r="G2123" s="9">
        <f t="shared" si="139"/>
        <v>0</v>
      </c>
      <c r="H2123" s="9">
        <f t="shared" si="140"/>
        <v>0</v>
      </c>
      <c r="I2123" s="10">
        <f t="shared" si="141"/>
        <v>0</v>
      </c>
    </row>
    <row r="2124" spans="1:9" x14ac:dyDescent="0.25">
      <c r="A2124" s="11" t="s">
        <v>6077</v>
      </c>
      <c r="B2124" s="11" t="s">
        <v>6078</v>
      </c>
      <c r="C2124" s="11" t="s">
        <v>81</v>
      </c>
      <c r="D2124" s="4" t="s">
        <v>1406</v>
      </c>
      <c r="E2124" t="s">
        <v>82</v>
      </c>
      <c r="F2124" s="9">
        <f t="shared" si="138"/>
        <v>0</v>
      </c>
      <c r="G2124" s="9">
        <f t="shared" si="139"/>
        <v>0</v>
      </c>
      <c r="H2124" s="9">
        <f t="shared" si="140"/>
        <v>0</v>
      </c>
      <c r="I2124" s="10">
        <f t="shared" si="141"/>
        <v>0</v>
      </c>
    </row>
    <row r="2125" spans="1:9" x14ac:dyDescent="0.25">
      <c r="A2125" s="11" t="s">
        <v>6079</v>
      </c>
      <c r="B2125" s="11" t="s">
        <v>6080</v>
      </c>
      <c r="C2125" s="11" t="s">
        <v>81</v>
      </c>
      <c r="D2125" s="4" t="s">
        <v>1406</v>
      </c>
      <c r="E2125" t="s">
        <v>489</v>
      </c>
      <c r="F2125" s="9">
        <f t="shared" si="138"/>
        <v>0</v>
      </c>
      <c r="G2125" s="9">
        <f t="shared" si="139"/>
        <v>0</v>
      </c>
      <c r="H2125" s="9">
        <f t="shared" si="140"/>
        <v>0</v>
      </c>
      <c r="I2125" s="10">
        <f t="shared" si="141"/>
        <v>0</v>
      </c>
    </row>
    <row r="2126" spans="1:9" x14ac:dyDescent="0.25">
      <c r="A2126" s="11" t="s">
        <v>6081</v>
      </c>
      <c r="B2126" s="11" t="s">
        <v>6082</v>
      </c>
      <c r="C2126" s="11" t="s">
        <v>81</v>
      </c>
      <c r="D2126" s="4" t="s">
        <v>1406</v>
      </c>
      <c r="E2126" t="s">
        <v>489</v>
      </c>
      <c r="F2126" s="9">
        <f t="shared" si="138"/>
        <v>0</v>
      </c>
      <c r="G2126" s="9">
        <f t="shared" si="139"/>
        <v>0</v>
      </c>
      <c r="H2126" s="9">
        <f t="shared" si="140"/>
        <v>0</v>
      </c>
      <c r="I2126" s="10">
        <f t="shared" si="141"/>
        <v>0</v>
      </c>
    </row>
    <row r="2127" spans="1:9" x14ac:dyDescent="0.25">
      <c r="A2127" s="11" t="s">
        <v>6083</v>
      </c>
      <c r="B2127" s="11" t="s">
        <v>6084</v>
      </c>
      <c r="C2127" s="11" t="s">
        <v>81</v>
      </c>
      <c r="D2127" s="4" t="s">
        <v>1406</v>
      </c>
      <c r="E2127" t="s">
        <v>489</v>
      </c>
      <c r="F2127" s="9">
        <f t="shared" si="138"/>
        <v>0</v>
      </c>
      <c r="G2127" s="9">
        <f t="shared" si="139"/>
        <v>0</v>
      </c>
      <c r="H2127" s="9">
        <f t="shared" si="140"/>
        <v>0</v>
      </c>
      <c r="I2127" s="10">
        <f t="shared" si="141"/>
        <v>0</v>
      </c>
    </row>
    <row r="2128" spans="1:9" x14ac:dyDescent="0.25">
      <c r="A2128" s="11" t="s">
        <v>6085</v>
      </c>
      <c r="B2128" s="11" t="s">
        <v>6086</v>
      </c>
      <c r="C2128" s="11" t="s">
        <v>81</v>
      </c>
      <c r="D2128" s="4" t="s">
        <v>1406</v>
      </c>
      <c r="E2128" t="s">
        <v>82</v>
      </c>
      <c r="F2128" s="9">
        <f t="shared" si="138"/>
        <v>0</v>
      </c>
      <c r="G2128" s="9">
        <f t="shared" si="139"/>
        <v>0</v>
      </c>
      <c r="H2128" s="9">
        <f t="shared" si="140"/>
        <v>0</v>
      </c>
      <c r="I2128" s="10">
        <f t="shared" si="141"/>
        <v>0</v>
      </c>
    </row>
    <row r="2129" spans="1:9" x14ac:dyDescent="0.25">
      <c r="A2129" s="11" t="s">
        <v>6087</v>
      </c>
      <c r="B2129" s="11" t="s">
        <v>6088</v>
      </c>
      <c r="C2129" s="11" t="s">
        <v>81</v>
      </c>
      <c r="D2129" s="4" t="s">
        <v>1406</v>
      </c>
      <c r="E2129" t="s">
        <v>82</v>
      </c>
      <c r="F2129" s="9">
        <f t="shared" si="138"/>
        <v>0</v>
      </c>
      <c r="G2129" s="9">
        <f t="shared" si="139"/>
        <v>0</v>
      </c>
      <c r="H2129" s="9">
        <f t="shared" si="140"/>
        <v>0</v>
      </c>
      <c r="I2129" s="10">
        <f t="shared" si="141"/>
        <v>0</v>
      </c>
    </row>
    <row r="2130" spans="1:9" x14ac:dyDescent="0.25">
      <c r="A2130" s="11" t="s">
        <v>6089</v>
      </c>
      <c r="B2130" s="11" t="s">
        <v>6090</v>
      </c>
      <c r="C2130" s="11" t="s">
        <v>81</v>
      </c>
      <c r="D2130" s="4" t="s">
        <v>1406</v>
      </c>
      <c r="E2130" t="s">
        <v>489</v>
      </c>
      <c r="F2130" s="9">
        <f t="shared" si="138"/>
        <v>0</v>
      </c>
      <c r="G2130" s="9">
        <f t="shared" si="139"/>
        <v>0</v>
      </c>
      <c r="H2130" s="9">
        <f t="shared" si="140"/>
        <v>0</v>
      </c>
      <c r="I2130" s="10">
        <f t="shared" si="141"/>
        <v>0</v>
      </c>
    </row>
    <row r="2131" spans="1:9" x14ac:dyDescent="0.25">
      <c r="A2131" s="11" t="s">
        <v>6091</v>
      </c>
      <c r="B2131" s="11" t="s">
        <v>6092</v>
      </c>
      <c r="C2131" s="11" t="s">
        <v>81</v>
      </c>
      <c r="D2131" s="4" t="s">
        <v>1406</v>
      </c>
      <c r="E2131" t="s">
        <v>489</v>
      </c>
      <c r="F2131" s="9">
        <f t="shared" si="138"/>
        <v>0</v>
      </c>
      <c r="G2131" s="9">
        <f t="shared" si="139"/>
        <v>0</v>
      </c>
      <c r="H2131" s="9">
        <f t="shared" si="140"/>
        <v>0</v>
      </c>
      <c r="I2131" s="10">
        <f t="shared" si="141"/>
        <v>0</v>
      </c>
    </row>
    <row r="2132" spans="1:9" x14ac:dyDescent="0.25">
      <c r="A2132" s="11" t="s">
        <v>6093</v>
      </c>
      <c r="B2132" s="11" t="s">
        <v>6094</v>
      </c>
      <c r="C2132" s="11" t="s">
        <v>81</v>
      </c>
      <c r="D2132" s="4" t="s">
        <v>1406</v>
      </c>
      <c r="E2132" t="s">
        <v>82</v>
      </c>
      <c r="F2132" s="9">
        <f t="shared" si="138"/>
        <v>0</v>
      </c>
      <c r="G2132" s="9">
        <f t="shared" si="139"/>
        <v>0</v>
      </c>
      <c r="H2132" s="9">
        <f t="shared" si="140"/>
        <v>0</v>
      </c>
      <c r="I2132" s="10">
        <f t="shared" si="141"/>
        <v>0</v>
      </c>
    </row>
    <row r="2133" spans="1:9" x14ac:dyDescent="0.25">
      <c r="A2133" s="11" t="s">
        <v>6095</v>
      </c>
      <c r="B2133" s="11" t="s">
        <v>6096</v>
      </c>
      <c r="C2133" s="11" t="s">
        <v>81</v>
      </c>
      <c r="D2133" s="4" t="s">
        <v>1406</v>
      </c>
      <c r="E2133" t="s">
        <v>489</v>
      </c>
      <c r="F2133" s="9">
        <f t="shared" si="138"/>
        <v>0</v>
      </c>
      <c r="G2133" s="9">
        <f t="shared" si="139"/>
        <v>0</v>
      </c>
      <c r="H2133" s="9">
        <f t="shared" si="140"/>
        <v>0</v>
      </c>
      <c r="I2133" s="10">
        <f t="shared" si="141"/>
        <v>0</v>
      </c>
    </row>
    <row r="2134" spans="1:9" x14ac:dyDescent="0.25">
      <c r="A2134" s="11" t="s">
        <v>6097</v>
      </c>
      <c r="B2134" s="11" t="s">
        <v>6098</v>
      </c>
      <c r="C2134" s="11" t="s">
        <v>81</v>
      </c>
      <c r="D2134" s="4" t="s">
        <v>1406</v>
      </c>
      <c r="E2134" t="s">
        <v>489</v>
      </c>
      <c r="F2134" s="9">
        <f t="shared" si="138"/>
        <v>0</v>
      </c>
      <c r="G2134" s="9">
        <f t="shared" si="139"/>
        <v>0</v>
      </c>
      <c r="H2134" s="9">
        <f t="shared" si="140"/>
        <v>0</v>
      </c>
      <c r="I2134" s="10">
        <f t="shared" si="141"/>
        <v>0</v>
      </c>
    </row>
    <row r="2135" spans="1:9" x14ac:dyDescent="0.25">
      <c r="A2135" s="11" t="s">
        <v>6099</v>
      </c>
      <c r="B2135" s="11" t="s">
        <v>6100</v>
      </c>
      <c r="C2135" s="11" t="s">
        <v>81</v>
      </c>
      <c r="D2135" s="4" t="s">
        <v>1406</v>
      </c>
      <c r="E2135" t="s">
        <v>489</v>
      </c>
      <c r="F2135" s="9">
        <f t="shared" si="138"/>
        <v>0</v>
      </c>
      <c r="G2135" s="9">
        <f t="shared" si="139"/>
        <v>0</v>
      </c>
      <c r="H2135" s="9">
        <f t="shared" si="140"/>
        <v>0</v>
      </c>
      <c r="I2135" s="10">
        <f t="shared" si="141"/>
        <v>0</v>
      </c>
    </row>
    <row r="2136" spans="1:9" x14ac:dyDescent="0.25">
      <c r="A2136" s="11" t="s">
        <v>6101</v>
      </c>
      <c r="B2136" s="11" t="s">
        <v>6102</v>
      </c>
      <c r="C2136" s="11" t="s">
        <v>81</v>
      </c>
      <c r="D2136" s="4" t="s">
        <v>1406</v>
      </c>
      <c r="E2136" t="s">
        <v>489</v>
      </c>
      <c r="F2136" s="9">
        <f t="shared" si="138"/>
        <v>0</v>
      </c>
      <c r="G2136" s="9">
        <f t="shared" si="139"/>
        <v>0</v>
      </c>
      <c r="H2136" s="9">
        <f t="shared" si="140"/>
        <v>0</v>
      </c>
      <c r="I2136" s="10">
        <f t="shared" si="141"/>
        <v>0</v>
      </c>
    </row>
    <row r="2137" spans="1:9" x14ac:dyDescent="0.25">
      <c r="A2137" s="11" t="s">
        <v>6103</v>
      </c>
      <c r="B2137" s="11" t="s">
        <v>6104</v>
      </c>
      <c r="C2137" s="11" t="s">
        <v>81</v>
      </c>
      <c r="D2137" s="4" t="s">
        <v>1406</v>
      </c>
      <c r="E2137" t="s">
        <v>489</v>
      </c>
      <c r="F2137" s="9">
        <f t="shared" si="138"/>
        <v>0</v>
      </c>
      <c r="G2137" s="9">
        <f t="shared" si="139"/>
        <v>0</v>
      </c>
      <c r="H2137" s="9">
        <f t="shared" si="140"/>
        <v>0</v>
      </c>
      <c r="I2137" s="10">
        <f t="shared" si="141"/>
        <v>0</v>
      </c>
    </row>
    <row r="2138" spans="1:9" x14ac:dyDescent="0.25">
      <c r="A2138" s="11" t="s">
        <v>6105</v>
      </c>
      <c r="B2138" s="11" t="s">
        <v>6106</v>
      </c>
      <c r="C2138" s="11" t="s">
        <v>81</v>
      </c>
      <c r="D2138" s="4" t="s">
        <v>1406</v>
      </c>
      <c r="E2138" t="s">
        <v>82</v>
      </c>
      <c r="F2138" s="9">
        <f t="shared" si="138"/>
        <v>0</v>
      </c>
      <c r="G2138" s="9">
        <f t="shared" si="139"/>
        <v>0</v>
      </c>
      <c r="H2138" s="9">
        <f t="shared" si="140"/>
        <v>0</v>
      </c>
      <c r="I2138" s="10">
        <f t="shared" si="141"/>
        <v>0</v>
      </c>
    </row>
    <row r="2139" spans="1:9" x14ac:dyDescent="0.25">
      <c r="A2139" s="11" t="s">
        <v>6107</v>
      </c>
      <c r="B2139" s="11" t="s">
        <v>6108</v>
      </c>
      <c r="C2139" s="11" t="s">
        <v>81</v>
      </c>
      <c r="D2139" s="4" t="s">
        <v>1406</v>
      </c>
      <c r="E2139" t="s">
        <v>489</v>
      </c>
      <c r="F2139" s="9">
        <f t="shared" si="138"/>
        <v>0</v>
      </c>
      <c r="G2139" s="9">
        <f t="shared" si="139"/>
        <v>0</v>
      </c>
      <c r="H2139" s="9">
        <f t="shared" si="140"/>
        <v>0</v>
      </c>
      <c r="I2139" s="10">
        <f t="shared" si="141"/>
        <v>0</v>
      </c>
    </row>
    <row r="2140" spans="1:9" x14ac:dyDescent="0.25">
      <c r="A2140" s="11" t="s">
        <v>4509</v>
      </c>
      <c r="B2140" s="11" t="s">
        <v>4508</v>
      </c>
      <c r="C2140" s="11" t="s">
        <v>81</v>
      </c>
      <c r="D2140" s="4" t="s">
        <v>1406</v>
      </c>
      <c r="E2140" t="s">
        <v>489</v>
      </c>
      <c r="F2140" s="9">
        <f t="shared" si="138"/>
        <v>0</v>
      </c>
      <c r="G2140" s="9">
        <f t="shared" si="139"/>
        <v>0</v>
      </c>
      <c r="H2140" s="9">
        <f t="shared" si="140"/>
        <v>0</v>
      </c>
      <c r="I2140" s="10">
        <f t="shared" si="141"/>
        <v>0</v>
      </c>
    </row>
    <row r="2141" spans="1:9" x14ac:dyDescent="0.25">
      <c r="A2141" s="11" t="s">
        <v>6109</v>
      </c>
      <c r="B2141" s="11" t="s">
        <v>6110</v>
      </c>
      <c r="C2141" s="11" t="s">
        <v>81</v>
      </c>
      <c r="D2141" s="4" t="s">
        <v>1406</v>
      </c>
      <c r="E2141" t="s">
        <v>489</v>
      </c>
      <c r="F2141" s="9">
        <f t="shared" si="138"/>
        <v>0</v>
      </c>
      <c r="G2141" s="9">
        <f t="shared" si="139"/>
        <v>0</v>
      </c>
      <c r="H2141" s="9">
        <f t="shared" si="140"/>
        <v>0</v>
      </c>
      <c r="I2141" s="10">
        <f t="shared" si="141"/>
        <v>0</v>
      </c>
    </row>
    <row r="2142" spans="1:9" x14ac:dyDescent="0.25">
      <c r="A2142" s="11" t="s">
        <v>6111</v>
      </c>
      <c r="B2142" s="11" t="s">
        <v>6112</v>
      </c>
      <c r="C2142" s="11" t="s">
        <v>81</v>
      </c>
      <c r="D2142" s="4" t="s">
        <v>1406</v>
      </c>
      <c r="E2142" t="s">
        <v>489</v>
      </c>
      <c r="F2142" s="9">
        <f t="shared" si="138"/>
        <v>0</v>
      </c>
      <c r="G2142" s="9">
        <f t="shared" si="139"/>
        <v>0</v>
      </c>
      <c r="H2142" s="9">
        <f t="shared" si="140"/>
        <v>0</v>
      </c>
      <c r="I2142" s="10">
        <f t="shared" si="141"/>
        <v>0</v>
      </c>
    </row>
    <row r="2143" spans="1:9" x14ac:dyDescent="0.25">
      <c r="A2143" s="11" t="s">
        <v>6113</v>
      </c>
      <c r="B2143" s="11" t="s">
        <v>6114</v>
      </c>
      <c r="C2143" s="11" t="s">
        <v>81</v>
      </c>
      <c r="D2143" s="4" t="s">
        <v>1406</v>
      </c>
      <c r="E2143" t="s">
        <v>489</v>
      </c>
      <c r="F2143" s="9">
        <f t="shared" si="138"/>
        <v>0</v>
      </c>
      <c r="G2143" s="9">
        <f t="shared" si="139"/>
        <v>0</v>
      </c>
      <c r="H2143" s="9">
        <f t="shared" si="140"/>
        <v>0</v>
      </c>
      <c r="I2143" s="10">
        <f t="shared" si="141"/>
        <v>0</v>
      </c>
    </row>
    <row r="2144" spans="1:9" x14ac:dyDescent="0.25">
      <c r="A2144" s="11" t="s">
        <v>6115</v>
      </c>
      <c r="B2144" s="11" t="s">
        <v>6116</v>
      </c>
      <c r="C2144" s="11" t="s">
        <v>81</v>
      </c>
      <c r="D2144" s="4" t="s">
        <v>1406</v>
      </c>
      <c r="E2144" t="s">
        <v>489</v>
      </c>
      <c r="F2144" s="9">
        <f t="shared" si="138"/>
        <v>0</v>
      </c>
      <c r="G2144" s="9">
        <f t="shared" si="139"/>
        <v>0</v>
      </c>
      <c r="H2144" s="9">
        <f t="shared" si="140"/>
        <v>0</v>
      </c>
      <c r="I2144" s="10">
        <f t="shared" si="141"/>
        <v>0</v>
      </c>
    </row>
    <row r="2145" spans="1:9" x14ac:dyDescent="0.25">
      <c r="A2145" s="11" t="s">
        <v>6117</v>
      </c>
      <c r="B2145" s="11" t="s">
        <v>6118</v>
      </c>
      <c r="C2145" s="11" t="s">
        <v>81</v>
      </c>
      <c r="D2145" s="4" t="s">
        <v>1406</v>
      </c>
      <c r="E2145" t="s">
        <v>489</v>
      </c>
      <c r="F2145" s="9">
        <f t="shared" si="138"/>
        <v>0</v>
      </c>
      <c r="G2145" s="9">
        <f t="shared" si="139"/>
        <v>0</v>
      </c>
      <c r="H2145" s="9">
        <f t="shared" si="140"/>
        <v>0</v>
      </c>
      <c r="I2145" s="10">
        <f t="shared" si="141"/>
        <v>0</v>
      </c>
    </row>
    <row r="2146" spans="1:9" x14ac:dyDescent="0.25">
      <c r="A2146" s="11" t="s">
        <v>6119</v>
      </c>
      <c r="B2146" s="11" t="s">
        <v>6120</v>
      </c>
      <c r="C2146" s="11" t="s">
        <v>81</v>
      </c>
      <c r="D2146" s="4" t="s">
        <v>1406</v>
      </c>
      <c r="E2146" t="s">
        <v>489</v>
      </c>
      <c r="F2146" s="9">
        <f t="shared" si="138"/>
        <v>0</v>
      </c>
      <c r="G2146" s="9">
        <f t="shared" si="139"/>
        <v>0</v>
      </c>
      <c r="H2146" s="9">
        <f t="shared" si="140"/>
        <v>0</v>
      </c>
      <c r="I2146" s="10">
        <f t="shared" si="141"/>
        <v>0</v>
      </c>
    </row>
    <row r="2147" spans="1:9" x14ac:dyDescent="0.25">
      <c r="A2147" s="11" t="s">
        <v>6121</v>
      </c>
      <c r="B2147" s="11" t="s">
        <v>6122</v>
      </c>
      <c r="C2147" s="11" t="s">
        <v>81</v>
      </c>
      <c r="D2147" s="4" t="s">
        <v>1406</v>
      </c>
      <c r="E2147" t="s">
        <v>82</v>
      </c>
      <c r="F2147" s="9">
        <f t="shared" si="138"/>
        <v>0</v>
      </c>
      <c r="G2147" s="9">
        <f t="shared" si="139"/>
        <v>0</v>
      </c>
      <c r="H2147" s="9">
        <f t="shared" si="140"/>
        <v>0</v>
      </c>
      <c r="I2147" s="10">
        <f t="shared" si="141"/>
        <v>0</v>
      </c>
    </row>
    <row r="2148" spans="1:9" x14ac:dyDescent="0.25">
      <c r="A2148" s="11" t="s">
        <v>6123</v>
      </c>
      <c r="B2148" s="11" t="s">
        <v>6124</v>
      </c>
      <c r="C2148" s="11" t="s">
        <v>81</v>
      </c>
      <c r="D2148" s="4" t="s">
        <v>1406</v>
      </c>
      <c r="E2148" t="s">
        <v>82</v>
      </c>
      <c r="F2148" s="9">
        <f t="shared" si="138"/>
        <v>0</v>
      </c>
      <c r="G2148" s="9">
        <f t="shared" si="139"/>
        <v>0</v>
      </c>
      <c r="H2148" s="9">
        <f t="shared" si="140"/>
        <v>0</v>
      </c>
      <c r="I2148" s="10">
        <f t="shared" si="141"/>
        <v>0</v>
      </c>
    </row>
    <row r="2149" spans="1:9" x14ac:dyDescent="0.25">
      <c r="A2149" s="11" t="s">
        <v>6125</v>
      </c>
      <c r="B2149" s="11" t="s">
        <v>6126</v>
      </c>
      <c r="C2149" s="11" t="s">
        <v>81</v>
      </c>
      <c r="D2149" s="4" t="s">
        <v>1406</v>
      </c>
      <c r="E2149" t="s">
        <v>489</v>
      </c>
      <c r="F2149" s="9">
        <f t="shared" si="138"/>
        <v>0</v>
      </c>
      <c r="G2149" s="9">
        <f t="shared" si="139"/>
        <v>0</v>
      </c>
      <c r="H2149" s="9">
        <f t="shared" si="140"/>
        <v>0</v>
      </c>
      <c r="I2149" s="10">
        <f t="shared" si="141"/>
        <v>0</v>
      </c>
    </row>
    <row r="2150" spans="1:9" x14ac:dyDescent="0.25">
      <c r="A2150" s="11" t="s">
        <v>6127</v>
      </c>
      <c r="B2150" s="11" t="s">
        <v>6128</v>
      </c>
      <c r="C2150" s="11" t="s">
        <v>81</v>
      </c>
      <c r="D2150" s="4" t="s">
        <v>1406</v>
      </c>
      <c r="E2150" t="s">
        <v>489</v>
      </c>
      <c r="F2150" s="9">
        <f t="shared" si="138"/>
        <v>0</v>
      </c>
      <c r="G2150" s="9">
        <f t="shared" si="139"/>
        <v>0</v>
      </c>
      <c r="H2150" s="9">
        <f t="shared" si="140"/>
        <v>0</v>
      </c>
      <c r="I2150" s="10">
        <f t="shared" si="141"/>
        <v>0</v>
      </c>
    </row>
    <row r="2151" spans="1:9" x14ac:dyDescent="0.25">
      <c r="A2151" s="11" t="s">
        <v>6129</v>
      </c>
      <c r="B2151" s="11" t="s">
        <v>6130</v>
      </c>
      <c r="C2151" s="11" t="s">
        <v>81</v>
      </c>
      <c r="D2151" s="4" t="s">
        <v>1406</v>
      </c>
      <c r="E2151" t="s">
        <v>82</v>
      </c>
      <c r="F2151" s="9">
        <f t="shared" si="138"/>
        <v>0</v>
      </c>
      <c r="G2151" s="9">
        <f t="shared" si="139"/>
        <v>0</v>
      </c>
      <c r="H2151" s="9">
        <f t="shared" si="140"/>
        <v>0</v>
      </c>
      <c r="I2151" s="10">
        <f t="shared" si="141"/>
        <v>0</v>
      </c>
    </row>
    <row r="2152" spans="1:9" x14ac:dyDescent="0.25">
      <c r="A2152" s="11" t="s">
        <v>6131</v>
      </c>
      <c r="B2152" s="11" t="s">
        <v>6132</v>
      </c>
      <c r="C2152" s="11" t="s">
        <v>81</v>
      </c>
      <c r="D2152" s="4" t="s">
        <v>1406</v>
      </c>
      <c r="E2152" t="s">
        <v>489</v>
      </c>
      <c r="F2152" s="9">
        <f t="shared" si="138"/>
        <v>0</v>
      </c>
      <c r="G2152" s="9">
        <f t="shared" si="139"/>
        <v>0</v>
      </c>
      <c r="H2152" s="9">
        <f t="shared" si="140"/>
        <v>0</v>
      </c>
      <c r="I2152" s="10">
        <f t="shared" si="141"/>
        <v>0</v>
      </c>
    </row>
    <row r="2153" spans="1:9" x14ac:dyDescent="0.25">
      <c r="A2153" s="11" t="s">
        <v>6133</v>
      </c>
      <c r="B2153" s="11" t="s">
        <v>6134</v>
      </c>
      <c r="C2153" s="11" t="s">
        <v>81</v>
      </c>
      <c r="D2153" s="4" t="s">
        <v>1406</v>
      </c>
      <c r="E2153" t="s">
        <v>489</v>
      </c>
      <c r="F2153" s="9">
        <f t="shared" si="138"/>
        <v>0</v>
      </c>
      <c r="G2153" s="9">
        <f t="shared" si="139"/>
        <v>0</v>
      </c>
      <c r="H2153" s="9">
        <f t="shared" si="140"/>
        <v>0</v>
      </c>
      <c r="I2153" s="10">
        <f t="shared" si="141"/>
        <v>0</v>
      </c>
    </row>
    <row r="2154" spans="1:9" x14ac:dyDescent="0.25">
      <c r="A2154" s="11" t="s">
        <v>6135</v>
      </c>
      <c r="B2154" s="11" t="s">
        <v>6136</v>
      </c>
      <c r="C2154" s="11" t="s">
        <v>81</v>
      </c>
      <c r="D2154" s="4" t="s">
        <v>1406</v>
      </c>
      <c r="E2154" t="s">
        <v>489</v>
      </c>
      <c r="F2154" s="9">
        <f t="shared" si="138"/>
        <v>0</v>
      </c>
      <c r="G2154" s="9">
        <f t="shared" si="139"/>
        <v>0</v>
      </c>
      <c r="H2154" s="9">
        <f t="shared" si="140"/>
        <v>0</v>
      </c>
      <c r="I2154" s="10">
        <f t="shared" si="141"/>
        <v>0</v>
      </c>
    </row>
    <row r="2155" spans="1:9" x14ac:dyDescent="0.25">
      <c r="A2155" s="11" t="s">
        <v>4512</v>
      </c>
      <c r="B2155" s="11" t="s">
        <v>4511</v>
      </c>
      <c r="C2155" s="11" t="s">
        <v>81</v>
      </c>
      <c r="D2155" s="4" t="s">
        <v>1406</v>
      </c>
      <c r="E2155" t="s">
        <v>82</v>
      </c>
      <c r="F2155" s="9">
        <f t="shared" si="138"/>
        <v>0</v>
      </c>
      <c r="G2155" s="9">
        <f t="shared" si="139"/>
        <v>0</v>
      </c>
      <c r="H2155" s="9">
        <f t="shared" si="140"/>
        <v>0</v>
      </c>
      <c r="I2155" s="10">
        <f t="shared" si="141"/>
        <v>0</v>
      </c>
    </row>
    <row r="2156" spans="1:9" x14ac:dyDescent="0.25">
      <c r="A2156" s="11" t="s">
        <v>6137</v>
      </c>
      <c r="B2156" s="11" t="s">
        <v>6138</v>
      </c>
      <c r="C2156" s="11" t="s">
        <v>81</v>
      </c>
      <c r="D2156" s="4" t="s">
        <v>1406</v>
      </c>
      <c r="E2156" t="s">
        <v>82</v>
      </c>
      <c r="F2156" s="9">
        <f t="shared" si="138"/>
        <v>0</v>
      </c>
      <c r="G2156" s="9">
        <f t="shared" si="139"/>
        <v>0</v>
      </c>
      <c r="H2156" s="9">
        <f t="shared" si="140"/>
        <v>0</v>
      </c>
      <c r="I2156" s="10">
        <f t="shared" si="141"/>
        <v>0</v>
      </c>
    </row>
    <row r="2157" spans="1:9" x14ac:dyDescent="0.25">
      <c r="A2157" s="11" t="s">
        <v>6139</v>
      </c>
      <c r="B2157" s="11" t="s">
        <v>6140</v>
      </c>
      <c r="C2157" s="11" t="s">
        <v>81</v>
      </c>
      <c r="D2157" s="4" t="s">
        <v>1406</v>
      </c>
      <c r="E2157" t="s">
        <v>82</v>
      </c>
      <c r="F2157" s="9">
        <f t="shared" si="138"/>
        <v>0</v>
      </c>
      <c r="G2157" s="9">
        <f t="shared" si="139"/>
        <v>0</v>
      </c>
      <c r="H2157" s="9">
        <f t="shared" si="140"/>
        <v>0</v>
      </c>
      <c r="I2157" s="10">
        <f t="shared" si="141"/>
        <v>0</v>
      </c>
    </row>
    <row r="2158" spans="1:9" x14ac:dyDescent="0.25">
      <c r="A2158" s="11" t="s">
        <v>6141</v>
      </c>
      <c r="B2158" s="11" t="s">
        <v>6142</v>
      </c>
      <c r="C2158" s="11" t="s">
        <v>81</v>
      </c>
      <c r="D2158" s="4" t="s">
        <v>1406</v>
      </c>
      <c r="E2158" t="s">
        <v>82</v>
      </c>
      <c r="F2158" s="9">
        <f t="shared" si="138"/>
        <v>0</v>
      </c>
      <c r="G2158" s="9">
        <f t="shared" si="139"/>
        <v>0</v>
      </c>
      <c r="H2158" s="9">
        <f t="shared" si="140"/>
        <v>0</v>
      </c>
      <c r="I2158" s="10">
        <f t="shared" si="141"/>
        <v>0</v>
      </c>
    </row>
    <row r="2159" spans="1:9" x14ac:dyDescent="0.25">
      <c r="A2159" s="11" t="s">
        <v>6143</v>
      </c>
      <c r="B2159" s="11" t="s">
        <v>6144</v>
      </c>
      <c r="C2159" s="11" t="s">
        <v>81</v>
      </c>
      <c r="D2159" s="4" t="s">
        <v>1406</v>
      </c>
      <c r="E2159" t="s">
        <v>489</v>
      </c>
      <c r="F2159" s="9">
        <f t="shared" si="138"/>
        <v>0</v>
      </c>
      <c r="G2159" s="9">
        <f t="shared" si="139"/>
        <v>0</v>
      </c>
      <c r="H2159" s="9">
        <f t="shared" si="140"/>
        <v>0</v>
      </c>
      <c r="I2159" s="10">
        <f t="shared" si="141"/>
        <v>0</v>
      </c>
    </row>
    <row r="2160" spans="1:9" x14ac:dyDescent="0.25">
      <c r="A2160" s="11" t="s">
        <v>6145</v>
      </c>
      <c r="B2160" s="11" t="s">
        <v>6146</v>
      </c>
      <c r="C2160" s="11" t="s">
        <v>81</v>
      </c>
      <c r="D2160" s="4" t="s">
        <v>1406</v>
      </c>
      <c r="E2160" t="s">
        <v>82</v>
      </c>
      <c r="F2160" s="9">
        <f t="shared" si="138"/>
        <v>0</v>
      </c>
      <c r="G2160" s="9">
        <f t="shared" si="139"/>
        <v>0</v>
      </c>
      <c r="H2160" s="9">
        <f t="shared" si="140"/>
        <v>0</v>
      </c>
      <c r="I2160" s="10">
        <f t="shared" si="141"/>
        <v>0</v>
      </c>
    </row>
    <row r="2161" spans="1:9" x14ac:dyDescent="0.25">
      <c r="A2161" s="11" t="s">
        <v>6147</v>
      </c>
      <c r="B2161" s="11" t="s">
        <v>6148</v>
      </c>
      <c r="C2161" s="11" t="s">
        <v>81</v>
      </c>
      <c r="D2161" s="4" t="s">
        <v>1406</v>
      </c>
      <c r="E2161" t="s">
        <v>489</v>
      </c>
      <c r="F2161" s="9">
        <f t="shared" si="138"/>
        <v>0</v>
      </c>
      <c r="G2161" s="9">
        <f t="shared" si="139"/>
        <v>0</v>
      </c>
      <c r="H2161" s="9">
        <f t="shared" si="140"/>
        <v>0</v>
      </c>
      <c r="I2161" s="10">
        <f t="shared" si="141"/>
        <v>0</v>
      </c>
    </row>
    <row r="2162" spans="1:9" x14ac:dyDescent="0.25">
      <c r="A2162" s="11" t="s">
        <v>6149</v>
      </c>
      <c r="B2162" s="11" t="s">
        <v>6150</v>
      </c>
      <c r="C2162" s="11" t="s">
        <v>81</v>
      </c>
      <c r="D2162" s="4" t="s">
        <v>1406</v>
      </c>
      <c r="E2162" t="s">
        <v>489</v>
      </c>
      <c r="F2162" s="9">
        <f t="shared" si="138"/>
        <v>0</v>
      </c>
      <c r="G2162" s="9">
        <f t="shared" si="139"/>
        <v>0</v>
      </c>
      <c r="H2162" s="9">
        <f t="shared" si="140"/>
        <v>0</v>
      </c>
      <c r="I2162" s="10">
        <f t="shared" si="141"/>
        <v>0</v>
      </c>
    </row>
    <row r="2163" spans="1:9" x14ac:dyDescent="0.25">
      <c r="A2163" s="11" t="s">
        <v>6151</v>
      </c>
      <c r="B2163" s="11" t="s">
        <v>6152</v>
      </c>
      <c r="C2163" s="11" t="s">
        <v>81</v>
      </c>
      <c r="D2163" s="4" t="s">
        <v>1406</v>
      </c>
      <c r="E2163" t="s">
        <v>82</v>
      </c>
      <c r="F2163" s="9">
        <f t="shared" si="138"/>
        <v>0</v>
      </c>
      <c r="G2163" s="9">
        <f t="shared" si="139"/>
        <v>0</v>
      </c>
      <c r="H2163" s="9">
        <f t="shared" si="140"/>
        <v>0</v>
      </c>
      <c r="I2163" s="10">
        <f t="shared" si="141"/>
        <v>0</v>
      </c>
    </row>
    <row r="2164" spans="1:9" x14ac:dyDescent="0.25">
      <c r="A2164" s="11" t="s">
        <v>6153</v>
      </c>
      <c r="B2164" s="11" t="s">
        <v>6154</v>
      </c>
      <c r="C2164" s="11" t="s">
        <v>81</v>
      </c>
      <c r="D2164" s="4" t="s">
        <v>1406</v>
      </c>
      <c r="E2164" t="s">
        <v>82</v>
      </c>
      <c r="F2164" s="9">
        <f t="shared" si="138"/>
        <v>0</v>
      </c>
      <c r="G2164" s="9">
        <f t="shared" si="139"/>
        <v>0</v>
      </c>
      <c r="H2164" s="9">
        <f t="shared" si="140"/>
        <v>0</v>
      </c>
      <c r="I2164" s="10">
        <f t="shared" si="141"/>
        <v>0</v>
      </c>
    </row>
    <row r="2165" spans="1:9" x14ac:dyDescent="0.25">
      <c r="A2165" s="11" t="s">
        <v>6155</v>
      </c>
      <c r="B2165" s="11" t="s">
        <v>6156</v>
      </c>
      <c r="C2165" s="11" t="s">
        <v>81</v>
      </c>
      <c r="D2165" s="4" t="s">
        <v>1406</v>
      </c>
      <c r="E2165" t="s">
        <v>82</v>
      </c>
      <c r="F2165" s="9">
        <f t="shared" si="138"/>
        <v>0</v>
      </c>
      <c r="G2165" s="9">
        <f t="shared" si="139"/>
        <v>0</v>
      </c>
      <c r="H2165" s="9">
        <f t="shared" si="140"/>
        <v>0</v>
      </c>
      <c r="I2165" s="10">
        <f t="shared" si="141"/>
        <v>0</v>
      </c>
    </row>
    <row r="2166" spans="1:9" x14ac:dyDescent="0.25">
      <c r="A2166" s="11" t="s">
        <v>6157</v>
      </c>
      <c r="B2166" s="11" t="s">
        <v>6158</v>
      </c>
      <c r="C2166" s="11" t="s">
        <v>81</v>
      </c>
      <c r="D2166" s="4" t="s">
        <v>1406</v>
      </c>
      <c r="E2166" t="s">
        <v>489</v>
      </c>
      <c r="F2166" s="9">
        <f t="shared" si="138"/>
        <v>0</v>
      </c>
      <c r="G2166" s="9">
        <f t="shared" si="139"/>
        <v>0</v>
      </c>
      <c r="H2166" s="9">
        <f t="shared" si="140"/>
        <v>0</v>
      </c>
      <c r="I2166" s="10">
        <f t="shared" si="141"/>
        <v>0</v>
      </c>
    </row>
    <row r="2167" spans="1:9" x14ac:dyDescent="0.25">
      <c r="A2167" s="11" t="s">
        <v>6159</v>
      </c>
      <c r="B2167" s="11" t="s">
        <v>6160</v>
      </c>
      <c r="C2167" s="11" t="s">
        <v>81</v>
      </c>
      <c r="D2167" s="4" t="s">
        <v>1406</v>
      </c>
      <c r="E2167" t="s">
        <v>489</v>
      </c>
      <c r="F2167" s="9">
        <f t="shared" si="138"/>
        <v>0</v>
      </c>
      <c r="G2167" s="9">
        <f t="shared" si="139"/>
        <v>0</v>
      </c>
      <c r="H2167" s="9">
        <f t="shared" si="140"/>
        <v>0</v>
      </c>
      <c r="I2167" s="10">
        <f t="shared" si="141"/>
        <v>0</v>
      </c>
    </row>
    <row r="2168" spans="1:9" x14ac:dyDescent="0.25">
      <c r="A2168" s="11" t="s">
        <v>6161</v>
      </c>
      <c r="B2168" s="11" t="s">
        <v>6162</v>
      </c>
      <c r="C2168" s="11" t="s">
        <v>81</v>
      </c>
      <c r="D2168" s="4" t="s">
        <v>1406</v>
      </c>
      <c r="E2168" t="s">
        <v>82</v>
      </c>
      <c r="F2168" s="9">
        <f t="shared" si="138"/>
        <v>0</v>
      </c>
      <c r="G2168" s="9">
        <f t="shared" si="139"/>
        <v>0</v>
      </c>
      <c r="H2168" s="9">
        <f t="shared" si="140"/>
        <v>0</v>
      </c>
      <c r="I2168" s="10">
        <f t="shared" si="141"/>
        <v>0</v>
      </c>
    </row>
    <row r="2169" spans="1:9" x14ac:dyDescent="0.25">
      <c r="A2169" s="11" t="s">
        <v>6163</v>
      </c>
      <c r="B2169" s="11" t="s">
        <v>6164</v>
      </c>
      <c r="C2169" s="11" t="s">
        <v>81</v>
      </c>
      <c r="D2169" s="4" t="s">
        <v>1406</v>
      </c>
      <c r="E2169" t="s">
        <v>82</v>
      </c>
      <c r="F2169" s="9">
        <f t="shared" si="138"/>
        <v>0</v>
      </c>
      <c r="G2169" s="9">
        <f t="shared" si="139"/>
        <v>0</v>
      </c>
      <c r="H2169" s="9">
        <f t="shared" si="140"/>
        <v>0</v>
      </c>
      <c r="I2169" s="10">
        <f t="shared" si="141"/>
        <v>0</v>
      </c>
    </row>
    <row r="2170" spans="1:9" x14ac:dyDescent="0.25">
      <c r="A2170" s="11" t="s">
        <v>6165</v>
      </c>
      <c r="B2170" s="11" t="s">
        <v>6166</v>
      </c>
      <c r="C2170" s="11" t="s">
        <v>81</v>
      </c>
      <c r="D2170" s="4" t="s">
        <v>1406</v>
      </c>
      <c r="E2170" t="s">
        <v>82</v>
      </c>
      <c r="F2170" s="9">
        <f t="shared" si="138"/>
        <v>0</v>
      </c>
      <c r="G2170" s="9">
        <f t="shared" si="139"/>
        <v>0</v>
      </c>
      <c r="H2170" s="9">
        <f t="shared" si="140"/>
        <v>0</v>
      </c>
      <c r="I2170" s="10">
        <f t="shared" si="141"/>
        <v>0</v>
      </c>
    </row>
    <row r="2171" spans="1:9" x14ac:dyDescent="0.25">
      <c r="A2171" s="11" t="s">
        <v>6167</v>
      </c>
      <c r="B2171" s="11" t="s">
        <v>6168</v>
      </c>
      <c r="C2171" s="11" t="s">
        <v>81</v>
      </c>
      <c r="D2171" s="4" t="s">
        <v>1406</v>
      </c>
      <c r="E2171" t="s">
        <v>82</v>
      </c>
      <c r="F2171" s="9">
        <f t="shared" si="138"/>
        <v>0</v>
      </c>
      <c r="G2171" s="9">
        <f t="shared" si="139"/>
        <v>0</v>
      </c>
      <c r="H2171" s="9">
        <f t="shared" si="140"/>
        <v>0</v>
      </c>
      <c r="I2171" s="10">
        <f t="shared" si="141"/>
        <v>0</v>
      </c>
    </row>
    <row r="2172" spans="1:9" x14ac:dyDescent="0.25">
      <c r="A2172" s="11" t="s">
        <v>6169</v>
      </c>
      <c r="B2172" s="11" t="s">
        <v>6170</v>
      </c>
      <c r="C2172" s="11" t="s">
        <v>81</v>
      </c>
      <c r="D2172" s="4" t="s">
        <v>1406</v>
      </c>
      <c r="E2172" t="s">
        <v>82</v>
      </c>
      <c r="F2172" s="9">
        <f t="shared" si="138"/>
        <v>0</v>
      </c>
      <c r="G2172" s="9">
        <f t="shared" si="139"/>
        <v>0</v>
      </c>
      <c r="H2172" s="9">
        <f t="shared" si="140"/>
        <v>0</v>
      </c>
      <c r="I2172" s="10">
        <f t="shared" si="141"/>
        <v>0</v>
      </c>
    </row>
    <row r="2173" spans="1:9" x14ac:dyDescent="0.25">
      <c r="A2173" s="11" t="s">
        <v>6171</v>
      </c>
      <c r="B2173" s="11" t="s">
        <v>6172</v>
      </c>
      <c r="C2173" s="11" t="s">
        <v>81</v>
      </c>
      <c r="D2173" s="4" t="s">
        <v>1406</v>
      </c>
      <c r="E2173" t="s">
        <v>489</v>
      </c>
      <c r="F2173" s="9">
        <f t="shared" si="138"/>
        <v>0</v>
      </c>
      <c r="G2173" s="9">
        <f t="shared" si="139"/>
        <v>0</v>
      </c>
      <c r="H2173" s="9">
        <f t="shared" si="140"/>
        <v>0</v>
      </c>
      <c r="I2173" s="10">
        <f t="shared" si="141"/>
        <v>0</v>
      </c>
    </row>
    <row r="2174" spans="1:9" x14ac:dyDescent="0.25">
      <c r="A2174" s="11" t="s">
        <v>6173</v>
      </c>
      <c r="B2174" s="11" t="s">
        <v>6174</v>
      </c>
      <c r="C2174" s="11" t="s">
        <v>81</v>
      </c>
      <c r="D2174" s="4" t="s">
        <v>1406</v>
      </c>
      <c r="E2174" t="s">
        <v>82</v>
      </c>
      <c r="F2174" s="9">
        <f t="shared" si="138"/>
        <v>0</v>
      </c>
      <c r="G2174" s="9">
        <f t="shared" si="139"/>
        <v>0</v>
      </c>
      <c r="H2174" s="9">
        <f t="shared" si="140"/>
        <v>0</v>
      </c>
      <c r="I2174" s="10">
        <f t="shared" si="141"/>
        <v>0</v>
      </c>
    </row>
    <row r="2175" spans="1:9" x14ac:dyDescent="0.25">
      <c r="A2175" s="11" t="s">
        <v>6175</v>
      </c>
      <c r="B2175" s="11" t="s">
        <v>6176</v>
      </c>
      <c r="C2175" s="11" t="s">
        <v>81</v>
      </c>
      <c r="D2175" s="4" t="s">
        <v>1406</v>
      </c>
      <c r="E2175" t="s">
        <v>82</v>
      </c>
      <c r="F2175" s="9">
        <f t="shared" si="138"/>
        <v>0</v>
      </c>
      <c r="G2175" s="9">
        <f t="shared" si="139"/>
        <v>0</v>
      </c>
      <c r="H2175" s="9">
        <f t="shared" si="140"/>
        <v>0</v>
      </c>
      <c r="I2175" s="10">
        <f t="shared" si="141"/>
        <v>0</v>
      </c>
    </row>
    <row r="2176" spans="1:9" x14ac:dyDescent="0.25">
      <c r="A2176" s="11" t="s">
        <v>6177</v>
      </c>
      <c r="B2176" s="11" t="s">
        <v>6178</v>
      </c>
      <c r="C2176" s="11" t="s">
        <v>81</v>
      </c>
      <c r="D2176" s="4" t="s">
        <v>1406</v>
      </c>
      <c r="E2176" t="s">
        <v>489</v>
      </c>
      <c r="F2176" s="9">
        <f t="shared" si="138"/>
        <v>0</v>
      </c>
      <c r="G2176" s="9">
        <f t="shared" si="139"/>
        <v>0</v>
      </c>
      <c r="H2176" s="9">
        <f t="shared" si="140"/>
        <v>0</v>
      </c>
      <c r="I2176" s="10">
        <f t="shared" si="141"/>
        <v>0</v>
      </c>
    </row>
    <row r="2177" spans="1:9" x14ac:dyDescent="0.25">
      <c r="A2177" s="11" t="s">
        <v>6179</v>
      </c>
      <c r="B2177" s="11" t="s">
        <v>6180</v>
      </c>
      <c r="C2177" s="11" t="s">
        <v>81</v>
      </c>
      <c r="D2177" s="4" t="s">
        <v>1406</v>
      </c>
      <c r="E2177" t="s">
        <v>82</v>
      </c>
      <c r="F2177" s="9">
        <f t="shared" si="138"/>
        <v>0</v>
      </c>
      <c r="G2177" s="9">
        <f t="shared" si="139"/>
        <v>0</v>
      </c>
      <c r="H2177" s="9">
        <f t="shared" si="140"/>
        <v>0</v>
      </c>
      <c r="I2177" s="10">
        <f t="shared" si="141"/>
        <v>0</v>
      </c>
    </row>
    <row r="2178" spans="1:9" x14ac:dyDescent="0.25">
      <c r="A2178" s="11" t="s">
        <v>6181</v>
      </c>
      <c r="B2178" s="11" t="s">
        <v>6182</v>
      </c>
      <c r="C2178" s="11" t="s">
        <v>81</v>
      </c>
      <c r="D2178" s="4" t="s">
        <v>1406</v>
      </c>
      <c r="E2178" t="s">
        <v>489</v>
      </c>
      <c r="F2178" s="9">
        <f t="shared" si="138"/>
        <v>0</v>
      </c>
      <c r="G2178" s="9">
        <f t="shared" si="139"/>
        <v>0</v>
      </c>
      <c r="H2178" s="9">
        <f t="shared" si="140"/>
        <v>0</v>
      </c>
      <c r="I2178" s="10">
        <f t="shared" si="141"/>
        <v>0</v>
      </c>
    </row>
    <row r="2179" spans="1:9" x14ac:dyDescent="0.25">
      <c r="A2179" s="11" t="s">
        <v>6183</v>
      </c>
      <c r="B2179" s="11" t="s">
        <v>6184</v>
      </c>
      <c r="C2179" s="11" t="s">
        <v>81</v>
      </c>
      <c r="D2179" s="4" t="s">
        <v>1406</v>
      </c>
      <c r="E2179" t="s">
        <v>489</v>
      </c>
      <c r="F2179" s="9">
        <f t="shared" si="138"/>
        <v>0</v>
      </c>
      <c r="G2179" s="9">
        <f t="shared" si="139"/>
        <v>0</v>
      </c>
      <c r="H2179" s="9">
        <f t="shared" si="140"/>
        <v>0</v>
      </c>
      <c r="I2179" s="10">
        <f t="shared" si="141"/>
        <v>0</v>
      </c>
    </row>
    <row r="2180" spans="1:9" x14ac:dyDescent="0.25">
      <c r="A2180" s="11" t="s">
        <v>6185</v>
      </c>
      <c r="B2180" s="11" t="s">
        <v>6186</v>
      </c>
      <c r="C2180" s="11" t="s">
        <v>81</v>
      </c>
      <c r="D2180" s="4" t="s">
        <v>1406</v>
      </c>
      <c r="E2180" t="s">
        <v>82</v>
      </c>
      <c r="F2180" s="9">
        <f t="shared" si="138"/>
        <v>0</v>
      </c>
      <c r="G2180" s="9">
        <f t="shared" si="139"/>
        <v>0</v>
      </c>
      <c r="H2180" s="9">
        <f t="shared" si="140"/>
        <v>0</v>
      </c>
      <c r="I2180" s="10">
        <f t="shared" si="141"/>
        <v>0</v>
      </c>
    </row>
    <row r="2181" spans="1:9" x14ac:dyDescent="0.25">
      <c r="A2181" s="11" t="s">
        <v>6187</v>
      </c>
      <c r="B2181" s="11" t="s">
        <v>6188</v>
      </c>
      <c r="C2181" s="11" t="s">
        <v>81</v>
      </c>
      <c r="D2181" s="4" t="s">
        <v>1406</v>
      </c>
      <c r="E2181" t="s">
        <v>82</v>
      </c>
      <c r="F2181" s="9">
        <f t="shared" si="138"/>
        <v>0</v>
      </c>
      <c r="G2181" s="9">
        <f t="shared" si="139"/>
        <v>0</v>
      </c>
      <c r="H2181" s="9">
        <f t="shared" si="140"/>
        <v>0</v>
      </c>
      <c r="I2181" s="10">
        <f t="shared" si="141"/>
        <v>0</v>
      </c>
    </row>
    <row r="2182" spans="1:9" x14ac:dyDescent="0.25">
      <c r="A2182" s="11" t="s">
        <v>6189</v>
      </c>
      <c r="B2182" s="11" t="s">
        <v>6190</v>
      </c>
      <c r="C2182" s="11" t="s">
        <v>81</v>
      </c>
      <c r="D2182" s="4" t="s">
        <v>1406</v>
      </c>
      <c r="E2182" t="s">
        <v>489</v>
      </c>
      <c r="F2182" s="9">
        <f t="shared" si="138"/>
        <v>0</v>
      </c>
      <c r="G2182" s="9">
        <f t="shared" si="139"/>
        <v>0</v>
      </c>
      <c r="H2182" s="9">
        <f t="shared" si="140"/>
        <v>0</v>
      </c>
      <c r="I2182" s="10">
        <f t="shared" si="141"/>
        <v>0</v>
      </c>
    </row>
    <row r="2183" spans="1:9" x14ac:dyDescent="0.25">
      <c r="A2183" s="11" t="s">
        <v>6191</v>
      </c>
      <c r="B2183" s="11" t="s">
        <v>6192</v>
      </c>
      <c r="C2183" s="11" t="s">
        <v>81</v>
      </c>
      <c r="D2183" s="4" t="s">
        <v>1406</v>
      </c>
      <c r="E2183" t="s">
        <v>82</v>
      </c>
      <c r="F2183" s="9">
        <f t="shared" si="138"/>
        <v>0</v>
      </c>
      <c r="G2183" s="9">
        <f t="shared" si="139"/>
        <v>0</v>
      </c>
      <c r="H2183" s="9">
        <f t="shared" si="140"/>
        <v>0</v>
      </c>
      <c r="I2183" s="10">
        <f t="shared" si="141"/>
        <v>0</v>
      </c>
    </row>
    <row r="2184" spans="1:9" x14ac:dyDescent="0.25">
      <c r="A2184" s="11" t="s">
        <v>6193</v>
      </c>
      <c r="B2184" s="11" t="s">
        <v>6194</v>
      </c>
      <c r="C2184" s="11" t="s">
        <v>81</v>
      </c>
      <c r="D2184" s="4" t="s">
        <v>1406</v>
      </c>
      <c r="E2184" t="s">
        <v>82</v>
      </c>
      <c r="F2184" s="9">
        <f t="shared" ref="F2184:F2247" si="142">IFERROR(VLOOKUP(A2184,condi,8,0),0)</f>
        <v>0</v>
      </c>
      <c r="G2184" s="9">
        <f t="shared" ref="G2184:G2247" si="143">IFERROR(VLOOKUP(A2184,maqui,8,0),0)</f>
        <v>0</v>
      </c>
      <c r="H2184" s="9">
        <f t="shared" ref="H2184:H2247" si="144">IFERROR(VLOOKUP(A2184,ascint,8,0),0)</f>
        <v>0</v>
      </c>
      <c r="I2184" s="10">
        <f t="shared" ref="I2184:I2247" si="145">+F2184+G2184+H2184</f>
        <v>0</v>
      </c>
    </row>
    <row r="2185" spans="1:9" x14ac:dyDescent="0.25">
      <c r="A2185" s="11" t="s">
        <v>6195</v>
      </c>
      <c r="B2185" s="11" t="s">
        <v>6196</v>
      </c>
      <c r="C2185" s="11" t="s">
        <v>81</v>
      </c>
      <c r="D2185" s="4" t="s">
        <v>1406</v>
      </c>
      <c r="E2185" t="s">
        <v>489</v>
      </c>
      <c r="F2185" s="9">
        <f t="shared" si="142"/>
        <v>0</v>
      </c>
      <c r="G2185" s="9">
        <f t="shared" si="143"/>
        <v>0</v>
      </c>
      <c r="H2185" s="9">
        <f t="shared" si="144"/>
        <v>0</v>
      </c>
      <c r="I2185" s="10">
        <f t="shared" si="145"/>
        <v>0</v>
      </c>
    </row>
    <row r="2186" spans="1:9" x14ac:dyDescent="0.25">
      <c r="A2186" s="11" t="s">
        <v>6197</v>
      </c>
      <c r="B2186" s="11" t="s">
        <v>6198</v>
      </c>
      <c r="C2186" s="11" t="s">
        <v>81</v>
      </c>
      <c r="D2186" s="4" t="s">
        <v>1406</v>
      </c>
      <c r="E2186" t="s">
        <v>82</v>
      </c>
      <c r="F2186" s="9">
        <f t="shared" si="142"/>
        <v>0</v>
      </c>
      <c r="G2186" s="9">
        <f t="shared" si="143"/>
        <v>0</v>
      </c>
      <c r="H2186" s="9">
        <f t="shared" si="144"/>
        <v>0</v>
      </c>
      <c r="I2186" s="10">
        <f t="shared" si="145"/>
        <v>0</v>
      </c>
    </row>
    <row r="2187" spans="1:9" x14ac:dyDescent="0.25">
      <c r="A2187" s="11" t="s">
        <v>6199</v>
      </c>
      <c r="B2187" s="11" t="s">
        <v>6200</v>
      </c>
      <c r="C2187" s="11" t="s">
        <v>81</v>
      </c>
      <c r="D2187" s="4" t="s">
        <v>1406</v>
      </c>
      <c r="E2187" t="s">
        <v>82</v>
      </c>
      <c r="F2187" s="9">
        <f t="shared" si="142"/>
        <v>0</v>
      </c>
      <c r="G2187" s="9">
        <f t="shared" si="143"/>
        <v>0</v>
      </c>
      <c r="H2187" s="9">
        <f t="shared" si="144"/>
        <v>0</v>
      </c>
      <c r="I2187" s="10">
        <f t="shared" si="145"/>
        <v>0</v>
      </c>
    </row>
    <row r="2188" spans="1:9" x14ac:dyDescent="0.25">
      <c r="A2188" s="11" t="s">
        <v>6201</v>
      </c>
      <c r="B2188" s="11" t="s">
        <v>6202</v>
      </c>
      <c r="C2188" s="11" t="s">
        <v>81</v>
      </c>
      <c r="D2188" s="4" t="s">
        <v>1406</v>
      </c>
      <c r="E2188" t="s">
        <v>489</v>
      </c>
      <c r="F2188" s="9">
        <f t="shared" si="142"/>
        <v>0</v>
      </c>
      <c r="G2188" s="9">
        <f t="shared" si="143"/>
        <v>0</v>
      </c>
      <c r="H2188" s="9">
        <f t="shared" si="144"/>
        <v>0</v>
      </c>
      <c r="I2188" s="10">
        <f t="shared" si="145"/>
        <v>0</v>
      </c>
    </row>
    <row r="2189" spans="1:9" x14ac:dyDescent="0.25">
      <c r="A2189" s="11" t="s">
        <v>6203</v>
      </c>
      <c r="B2189" s="11" t="s">
        <v>6204</v>
      </c>
      <c r="C2189" s="11" t="s">
        <v>81</v>
      </c>
      <c r="D2189" s="4" t="s">
        <v>1406</v>
      </c>
      <c r="E2189" t="s">
        <v>489</v>
      </c>
      <c r="F2189" s="9">
        <f t="shared" si="142"/>
        <v>0</v>
      </c>
      <c r="G2189" s="9">
        <f t="shared" si="143"/>
        <v>0</v>
      </c>
      <c r="H2189" s="9">
        <f t="shared" si="144"/>
        <v>0</v>
      </c>
      <c r="I2189" s="10">
        <f t="shared" si="145"/>
        <v>0</v>
      </c>
    </row>
    <row r="2190" spans="1:9" x14ac:dyDescent="0.25">
      <c r="A2190" s="11" t="s">
        <v>6205</v>
      </c>
      <c r="B2190" s="11" t="s">
        <v>6206</v>
      </c>
      <c r="C2190" s="11" t="s">
        <v>81</v>
      </c>
      <c r="D2190" s="4" t="s">
        <v>1406</v>
      </c>
      <c r="E2190" t="s">
        <v>82</v>
      </c>
      <c r="F2190" s="9">
        <f t="shared" si="142"/>
        <v>0</v>
      </c>
      <c r="G2190" s="9">
        <f t="shared" si="143"/>
        <v>0</v>
      </c>
      <c r="H2190" s="9">
        <f t="shared" si="144"/>
        <v>0</v>
      </c>
      <c r="I2190" s="10">
        <f t="shared" si="145"/>
        <v>0</v>
      </c>
    </row>
    <row r="2191" spans="1:9" x14ac:dyDescent="0.25">
      <c r="A2191" s="11" t="s">
        <v>6207</v>
      </c>
      <c r="B2191" s="11" t="s">
        <v>6208</v>
      </c>
      <c r="C2191" s="11" t="s">
        <v>81</v>
      </c>
      <c r="D2191" s="4" t="s">
        <v>1406</v>
      </c>
      <c r="E2191" t="s">
        <v>489</v>
      </c>
      <c r="F2191" s="9">
        <f t="shared" si="142"/>
        <v>0</v>
      </c>
      <c r="G2191" s="9">
        <f t="shared" si="143"/>
        <v>0</v>
      </c>
      <c r="H2191" s="9">
        <f t="shared" si="144"/>
        <v>0</v>
      </c>
      <c r="I2191" s="10">
        <f t="shared" si="145"/>
        <v>0</v>
      </c>
    </row>
    <row r="2192" spans="1:9" x14ac:dyDescent="0.25">
      <c r="A2192" s="11" t="s">
        <v>6209</v>
      </c>
      <c r="B2192" s="11" t="s">
        <v>6210</v>
      </c>
      <c r="C2192" s="11" t="s">
        <v>81</v>
      </c>
      <c r="D2192" s="4" t="s">
        <v>1406</v>
      </c>
      <c r="E2192" t="s">
        <v>489</v>
      </c>
      <c r="F2192" s="9">
        <f t="shared" si="142"/>
        <v>0</v>
      </c>
      <c r="G2192" s="9">
        <f t="shared" si="143"/>
        <v>0</v>
      </c>
      <c r="H2192" s="9">
        <f t="shared" si="144"/>
        <v>0</v>
      </c>
      <c r="I2192" s="10">
        <f t="shared" si="145"/>
        <v>0</v>
      </c>
    </row>
    <row r="2193" spans="1:9" x14ac:dyDescent="0.25">
      <c r="A2193" s="11" t="s">
        <v>6211</v>
      </c>
      <c r="B2193" s="11" t="s">
        <v>6212</v>
      </c>
      <c r="C2193" s="11" t="s">
        <v>81</v>
      </c>
      <c r="D2193" s="4" t="s">
        <v>1406</v>
      </c>
      <c r="E2193" t="s">
        <v>82</v>
      </c>
      <c r="F2193" s="9">
        <f t="shared" si="142"/>
        <v>0</v>
      </c>
      <c r="G2193" s="9">
        <f t="shared" si="143"/>
        <v>0</v>
      </c>
      <c r="H2193" s="9">
        <f t="shared" si="144"/>
        <v>0</v>
      </c>
      <c r="I2193" s="10">
        <f t="shared" si="145"/>
        <v>0</v>
      </c>
    </row>
    <row r="2194" spans="1:9" x14ac:dyDescent="0.25">
      <c r="A2194" s="11" t="s">
        <v>6213</v>
      </c>
      <c r="B2194" s="11" t="s">
        <v>6214</v>
      </c>
      <c r="C2194" s="11" t="s">
        <v>81</v>
      </c>
      <c r="D2194" s="4" t="s">
        <v>1406</v>
      </c>
      <c r="E2194" t="s">
        <v>82</v>
      </c>
      <c r="F2194" s="9">
        <f t="shared" si="142"/>
        <v>0</v>
      </c>
      <c r="G2194" s="9">
        <f t="shared" si="143"/>
        <v>0</v>
      </c>
      <c r="H2194" s="9">
        <f t="shared" si="144"/>
        <v>0</v>
      </c>
      <c r="I2194" s="10">
        <f t="shared" si="145"/>
        <v>0</v>
      </c>
    </row>
    <row r="2195" spans="1:9" x14ac:dyDescent="0.25">
      <c r="A2195" s="11" t="s">
        <v>6215</v>
      </c>
      <c r="B2195" s="11" t="s">
        <v>6216</v>
      </c>
      <c r="C2195" s="11" t="s">
        <v>81</v>
      </c>
      <c r="D2195" s="4" t="s">
        <v>1406</v>
      </c>
      <c r="E2195" t="s">
        <v>82</v>
      </c>
      <c r="F2195" s="9">
        <f t="shared" si="142"/>
        <v>0</v>
      </c>
      <c r="G2195" s="9">
        <f t="shared" si="143"/>
        <v>0</v>
      </c>
      <c r="H2195" s="9">
        <f t="shared" si="144"/>
        <v>0</v>
      </c>
      <c r="I2195" s="10">
        <f t="shared" si="145"/>
        <v>0</v>
      </c>
    </row>
    <row r="2196" spans="1:9" x14ac:dyDescent="0.25">
      <c r="A2196" s="11" t="s">
        <v>6217</v>
      </c>
      <c r="B2196" s="11" t="s">
        <v>6218</v>
      </c>
      <c r="C2196" s="11" t="s">
        <v>81</v>
      </c>
      <c r="D2196" s="4" t="s">
        <v>1406</v>
      </c>
      <c r="E2196" t="s">
        <v>82</v>
      </c>
      <c r="F2196" s="9">
        <f t="shared" si="142"/>
        <v>0</v>
      </c>
      <c r="G2196" s="9">
        <f t="shared" si="143"/>
        <v>0</v>
      </c>
      <c r="H2196" s="9">
        <f t="shared" si="144"/>
        <v>0</v>
      </c>
      <c r="I2196" s="10">
        <f t="shared" si="145"/>
        <v>0</v>
      </c>
    </row>
    <row r="2197" spans="1:9" x14ac:dyDescent="0.25">
      <c r="A2197" s="11" t="s">
        <v>6219</v>
      </c>
      <c r="B2197" s="11" t="s">
        <v>6220</v>
      </c>
      <c r="C2197" s="11" t="s">
        <v>81</v>
      </c>
      <c r="D2197" s="4" t="s">
        <v>1406</v>
      </c>
      <c r="E2197" t="s">
        <v>489</v>
      </c>
      <c r="F2197" s="9">
        <f t="shared" si="142"/>
        <v>0</v>
      </c>
      <c r="G2197" s="9">
        <f t="shared" si="143"/>
        <v>0</v>
      </c>
      <c r="H2197" s="9">
        <f t="shared" si="144"/>
        <v>0</v>
      </c>
      <c r="I2197" s="10">
        <f t="shared" si="145"/>
        <v>0</v>
      </c>
    </row>
    <row r="2198" spans="1:9" x14ac:dyDescent="0.25">
      <c r="A2198" s="11" t="s">
        <v>6221</v>
      </c>
      <c r="B2198" s="11" t="s">
        <v>6222</v>
      </c>
      <c r="C2198" s="11" t="s">
        <v>81</v>
      </c>
      <c r="D2198" s="4" t="s">
        <v>1406</v>
      </c>
      <c r="E2198" t="s">
        <v>82</v>
      </c>
      <c r="F2198" s="9">
        <f t="shared" si="142"/>
        <v>0</v>
      </c>
      <c r="G2198" s="9">
        <f t="shared" si="143"/>
        <v>0</v>
      </c>
      <c r="H2198" s="9">
        <f t="shared" si="144"/>
        <v>0</v>
      </c>
      <c r="I2198" s="10">
        <f t="shared" si="145"/>
        <v>0</v>
      </c>
    </row>
    <row r="2199" spans="1:9" x14ac:dyDescent="0.25">
      <c r="A2199" s="11" t="s">
        <v>6223</v>
      </c>
      <c r="B2199" s="11" t="s">
        <v>6224</v>
      </c>
      <c r="C2199" s="11" t="s">
        <v>81</v>
      </c>
      <c r="D2199" s="4" t="s">
        <v>1406</v>
      </c>
      <c r="E2199" t="s">
        <v>489</v>
      </c>
      <c r="F2199" s="9">
        <f t="shared" si="142"/>
        <v>0</v>
      </c>
      <c r="G2199" s="9">
        <f t="shared" si="143"/>
        <v>0</v>
      </c>
      <c r="H2199" s="9">
        <f t="shared" si="144"/>
        <v>0</v>
      </c>
      <c r="I2199" s="10">
        <f t="shared" si="145"/>
        <v>0</v>
      </c>
    </row>
    <row r="2200" spans="1:9" x14ac:dyDescent="0.25">
      <c r="A2200" s="11" t="s">
        <v>6225</v>
      </c>
      <c r="B2200" s="11" t="s">
        <v>6226</v>
      </c>
      <c r="C2200" s="11" t="s">
        <v>81</v>
      </c>
      <c r="D2200" s="4" t="s">
        <v>1406</v>
      </c>
      <c r="E2200" t="s">
        <v>489</v>
      </c>
      <c r="F2200" s="9">
        <f t="shared" si="142"/>
        <v>0</v>
      </c>
      <c r="G2200" s="9">
        <f t="shared" si="143"/>
        <v>0</v>
      </c>
      <c r="H2200" s="9">
        <f t="shared" si="144"/>
        <v>0</v>
      </c>
      <c r="I2200" s="10">
        <f t="shared" si="145"/>
        <v>0</v>
      </c>
    </row>
    <row r="2201" spans="1:9" x14ac:dyDescent="0.25">
      <c r="A2201" s="11" t="s">
        <v>6227</v>
      </c>
      <c r="B2201" s="11" t="s">
        <v>6228</v>
      </c>
      <c r="C2201" s="11" t="s">
        <v>81</v>
      </c>
      <c r="D2201" s="4" t="s">
        <v>1406</v>
      </c>
      <c r="E2201" t="s">
        <v>82</v>
      </c>
      <c r="F2201" s="9">
        <f t="shared" si="142"/>
        <v>0</v>
      </c>
      <c r="G2201" s="9">
        <f t="shared" si="143"/>
        <v>6.3</v>
      </c>
      <c r="H2201" s="9">
        <f t="shared" si="144"/>
        <v>0</v>
      </c>
      <c r="I2201" s="10">
        <f t="shared" si="145"/>
        <v>6.3</v>
      </c>
    </row>
    <row r="2202" spans="1:9" x14ac:dyDescent="0.25">
      <c r="A2202" s="11" t="s">
        <v>6229</v>
      </c>
      <c r="B2202" s="11" t="s">
        <v>6230</v>
      </c>
      <c r="C2202" s="11" t="s">
        <v>81</v>
      </c>
      <c r="D2202" s="4" t="s">
        <v>1406</v>
      </c>
      <c r="E2202" t="s">
        <v>489</v>
      </c>
      <c r="F2202" s="9">
        <f t="shared" si="142"/>
        <v>0</v>
      </c>
      <c r="G2202" s="9">
        <f t="shared" si="143"/>
        <v>0</v>
      </c>
      <c r="H2202" s="9">
        <f t="shared" si="144"/>
        <v>0</v>
      </c>
      <c r="I2202" s="10">
        <f t="shared" si="145"/>
        <v>0</v>
      </c>
    </row>
    <row r="2203" spans="1:9" x14ac:dyDescent="0.25">
      <c r="A2203" s="11" t="s">
        <v>6231</v>
      </c>
      <c r="B2203" s="11" t="s">
        <v>6232</v>
      </c>
      <c r="C2203" s="11" t="s">
        <v>81</v>
      </c>
      <c r="D2203" s="4" t="s">
        <v>1406</v>
      </c>
      <c r="E2203" t="s">
        <v>489</v>
      </c>
      <c r="F2203" s="9">
        <f t="shared" si="142"/>
        <v>0</v>
      </c>
      <c r="G2203" s="9">
        <f t="shared" si="143"/>
        <v>0</v>
      </c>
      <c r="H2203" s="9">
        <f t="shared" si="144"/>
        <v>0</v>
      </c>
      <c r="I2203" s="10">
        <f t="shared" si="145"/>
        <v>0</v>
      </c>
    </row>
    <row r="2204" spans="1:9" x14ac:dyDescent="0.25">
      <c r="A2204" s="11" t="s">
        <v>6233</v>
      </c>
      <c r="B2204" s="11" t="s">
        <v>6234</v>
      </c>
      <c r="C2204" s="11" t="s">
        <v>81</v>
      </c>
      <c r="D2204" s="4" t="s">
        <v>1406</v>
      </c>
      <c r="E2204" t="s">
        <v>489</v>
      </c>
      <c r="F2204" s="9">
        <f t="shared" si="142"/>
        <v>0</v>
      </c>
      <c r="G2204" s="9">
        <f t="shared" si="143"/>
        <v>0</v>
      </c>
      <c r="H2204" s="9">
        <f t="shared" si="144"/>
        <v>0</v>
      </c>
      <c r="I2204" s="10">
        <f t="shared" si="145"/>
        <v>0</v>
      </c>
    </row>
    <row r="2205" spans="1:9" x14ac:dyDescent="0.25">
      <c r="A2205" s="11" t="s">
        <v>6235</v>
      </c>
      <c r="B2205" s="11" t="s">
        <v>6236</v>
      </c>
      <c r="C2205" s="11" t="s">
        <v>81</v>
      </c>
      <c r="D2205" s="4" t="s">
        <v>1406</v>
      </c>
      <c r="E2205" t="s">
        <v>489</v>
      </c>
      <c r="F2205" s="9">
        <f t="shared" si="142"/>
        <v>0</v>
      </c>
      <c r="G2205" s="9">
        <f t="shared" si="143"/>
        <v>0</v>
      </c>
      <c r="H2205" s="9">
        <f t="shared" si="144"/>
        <v>0</v>
      </c>
      <c r="I2205" s="10">
        <f t="shared" si="145"/>
        <v>0</v>
      </c>
    </row>
    <row r="2206" spans="1:9" x14ac:dyDescent="0.25">
      <c r="A2206" s="11" t="s">
        <v>6237</v>
      </c>
      <c r="B2206" s="11" t="s">
        <v>6238</v>
      </c>
      <c r="C2206" s="11" t="s">
        <v>81</v>
      </c>
      <c r="D2206" s="4" t="s">
        <v>1406</v>
      </c>
      <c r="E2206" t="s">
        <v>489</v>
      </c>
      <c r="F2206" s="9">
        <f t="shared" si="142"/>
        <v>0</v>
      </c>
      <c r="G2206" s="9">
        <f t="shared" si="143"/>
        <v>0</v>
      </c>
      <c r="H2206" s="9">
        <f t="shared" si="144"/>
        <v>0</v>
      </c>
      <c r="I2206" s="10">
        <f t="shared" si="145"/>
        <v>0</v>
      </c>
    </row>
    <row r="2207" spans="1:9" x14ac:dyDescent="0.25">
      <c r="A2207" s="11" t="s">
        <v>6239</v>
      </c>
      <c r="B2207" s="11" t="s">
        <v>6240</v>
      </c>
      <c r="C2207" s="11" t="s">
        <v>81</v>
      </c>
      <c r="D2207" s="4" t="s">
        <v>1406</v>
      </c>
      <c r="E2207" t="s">
        <v>489</v>
      </c>
      <c r="F2207" s="9">
        <f t="shared" si="142"/>
        <v>0</v>
      </c>
      <c r="G2207" s="9">
        <f t="shared" si="143"/>
        <v>0</v>
      </c>
      <c r="H2207" s="9">
        <f t="shared" si="144"/>
        <v>0</v>
      </c>
      <c r="I2207" s="10">
        <f t="shared" si="145"/>
        <v>0</v>
      </c>
    </row>
    <row r="2208" spans="1:9" x14ac:dyDescent="0.25">
      <c r="A2208" s="11" t="s">
        <v>6241</v>
      </c>
      <c r="B2208" s="11" t="s">
        <v>6242</v>
      </c>
      <c r="C2208" s="11" t="s">
        <v>81</v>
      </c>
      <c r="D2208" s="4" t="s">
        <v>1406</v>
      </c>
      <c r="E2208" t="s">
        <v>489</v>
      </c>
      <c r="F2208" s="9">
        <f t="shared" si="142"/>
        <v>0</v>
      </c>
      <c r="G2208" s="9">
        <f t="shared" si="143"/>
        <v>0</v>
      </c>
      <c r="H2208" s="9">
        <f t="shared" si="144"/>
        <v>0</v>
      </c>
      <c r="I2208" s="10">
        <f t="shared" si="145"/>
        <v>0</v>
      </c>
    </row>
    <row r="2209" spans="1:9" x14ac:dyDescent="0.25">
      <c r="A2209" s="11" t="s">
        <v>6243</v>
      </c>
      <c r="B2209" s="11" t="s">
        <v>6244</v>
      </c>
      <c r="C2209" s="11" t="s">
        <v>81</v>
      </c>
      <c r="D2209" s="4" t="s">
        <v>1406</v>
      </c>
      <c r="E2209" t="s">
        <v>82</v>
      </c>
      <c r="F2209" s="9">
        <f t="shared" si="142"/>
        <v>0</v>
      </c>
      <c r="G2209" s="9">
        <f t="shared" si="143"/>
        <v>0</v>
      </c>
      <c r="H2209" s="9">
        <f t="shared" si="144"/>
        <v>0</v>
      </c>
      <c r="I2209" s="10">
        <f t="shared" si="145"/>
        <v>0</v>
      </c>
    </row>
    <row r="2210" spans="1:9" x14ac:dyDescent="0.25">
      <c r="A2210" s="11" t="s">
        <v>6245</v>
      </c>
      <c r="B2210" s="11" t="s">
        <v>6246</v>
      </c>
      <c r="C2210" s="11" t="s">
        <v>81</v>
      </c>
      <c r="D2210" s="4" t="s">
        <v>1406</v>
      </c>
      <c r="E2210" t="s">
        <v>82</v>
      </c>
      <c r="F2210" s="9">
        <f t="shared" si="142"/>
        <v>0</v>
      </c>
      <c r="G2210" s="9">
        <f t="shared" si="143"/>
        <v>0</v>
      </c>
      <c r="H2210" s="9">
        <f t="shared" si="144"/>
        <v>0</v>
      </c>
      <c r="I2210" s="10">
        <f t="shared" si="145"/>
        <v>0</v>
      </c>
    </row>
    <row r="2211" spans="1:9" x14ac:dyDescent="0.25">
      <c r="A2211" s="11" t="s">
        <v>6247</v>
      </c>
      <c r="B2211" s="11" t="s">
        <v>6248</v>
      </c>
      <c r="C2211" s="11" t="s">
        <v>81</v>
      </c>
      <c r="D2211" s="4" t="s">
        <v>1406</v>
      </c>
      <c r="E2211" t="s">
        <v>489</v>
      </c>
      <c r="F2211" s="9">
        <f t="shared" si="142"/>
        <v>0</v>
      </c>
      <c r="G2211" s="9">
        <f t="shared" si="143"/>
        <v>0</v>
      </c>
      <c r="H2211" s="9">
        <f t="shared" si="144"/>
        <v>0</v>
      </c>
      <c r="I2211" s="10">
        <f t="shared" si="145"/>
        <v>0</v>
      </c>
    </row>
    <row r="2212" spans="1:9" x14ac:dyDescent="0.25">
      <c r="A2212" s="11" t="s">
        <v>6249</v>
      </c>
      <c r="B2212" s="11" t="s">
        <v>6250</v>
      </c>
      <c r="C2212" s="11" t="s">
        <v>81</v>
      </c>
      <c r="D2212" s="4" t="s">
        <v>1406</v>
      </c>
      <c r="E2212" t="s">
        <v>82</v>
      </c>
      <c r="F2212" s="9">
        <f t="shared" si="142"/>
        <v>0</v>
      </c>
      <c r="G2212" s="9">
        <f t="shared" si="143"/>
        <v>0</v>
      </c>
      <c r="H2212" s="9">
        <f t="shared" si="144"/>
        <v>0</v>
      </c>
      <c r="I2212" s="10">
        <f t="shared" si="145"/>
        <v>0</v>
      </c>
    </row>
    <row r="2213" spans="1:9" x14ac:dyDescent="0.25">
      <c r="A2213" s="11" t="s">
        <v>6251</v>
      </c>
      <c r="B2213" s="11" t="s">
        <v>6252</v>
      </c>
      <c r="C2213" s="11" t="s">
        <v>81</v>
      </c>
      <c r="D2213" s="4" t="s">
        <v>1406</v>
      </c>
      <c r="E2213" t="s">
        <v>489</v>
      </c>
      <c r="F2213" s="9">
        <f t="shared" si="142"/>
        <v>0</v>
      </c>
      <c r="G2213" s="9">
        <f t="shared" si="143"/>
        <v>0</v>
      </c>
      <c r="H2213" s="9">
        <f t="shared" si="144"/>
        <v>0</v>
      </c>
      <c r="I2213" s="10">
        <f t="shared" si="145"/>
        <v>0</v>
      </c>
    </row>
    <row r="2214" spans="1:9" x14ac:dyDescent="0.25">
      <c r="A2214" s="11" t="s">
        <v>6253</v>
      </c>
      <c r="B2214" s="11" t="s">
        <v>6254</v>
      </c>
      <c r="C2214" s="11" t="s">
        <v>81</v>
      </c>
      <c r="D2214" s="4" t="s">
        <v>1406</v>
      </c>
      <c r="E2214" t="s">
        <v>489</v>
      </c>
      <c r="F2214" s="9">
        <f t="shared" si="142"/>
        <v>0</v>
      </c>
      <c r="G2214" s="9">
        <f t="shared" si="143"/>
        <v>0</v>
      </c>
      <c r="H2214" s="9">
        <f t="shared" si="144"/>
        <v>0</v>
      </c>
      <c r="I2214" s="10">
        <f t="shared" si="145"/>
        <v>0</v>
      </c>
    </row>
    <row r="2215" spans="1:9" x14ac:dyDescent="0.25">
      <c r="A2215" s="11" t="s">
        <v>6255</v>
      </c>
      <c r="B2215" s="11" t="s">
        <v>6256</v>
      </c>
      <c r="C2215" s="11" t="s">
        <v>81</v>
      </c>
      <c r="D2215" s="4" t="s">
        <v>1406</v>
      </c>
      <c r="E2215" t="s">
        <v>489</v>
      </c>
      <c r="F2215" s="9">
        <f t="shared" si="142"/>
        <v>0</v>
      </c>
      <c r="G2215" s="9">
        <f t="shared" si="143"/>
        <v>0</v>
      </c>
      <c r="H2215" s="9">
        <f t="shared" si="144"/>
        <v>0</v>
      </c>
      <c r="I2215" s="10">
        <f t="shared" si="145"/>
        <v>0</v>
      </c>
    </row>
    <row r="2216" spans="1:9" x14ac:dyDescent="0.25">
      <c r="A2216" s="11" t="s">
        <v>6257</v>
      </c>
      <c r="B2216" s="11" t="s">
        <v>6258</v>
      </c>
      <c r="C2216" s="11" t="s">
        <v>81</v>
      </c>
      <c r="D2216" s="4" t="s">
        <v>1406</v>
      </c>
      <c r="E2216" t="s">
        <v>489</v>
      </c>
      <c r="F2216" s="9">
        <f t="shared" si="142"/>
        <v>0</v>
      </c>
      <c r="G2216" s="9">
        <f t="shared" si="143"/>
        <v>0</v>
      </c>
      <c r="H2216" s="9">
        <f t="shared" si="144"/>
        <v>0</v>
      </c>
      <c r="I2216" s="10">
        <f t="shared" si="145"/>
        <v>0</v>
      </c>
    </row>
    <row r="2217" spans="1:9" x14ac:dyDescent="0.25">
      <c r="A2217" s="11" t="s">
        <v>6259</v>
      </c>
      <c r="B2217" s="11" t="s">
        <v>6260</v>
      </c>
      <c r="C2217" s="11" t="s">
        <v>81</v>
      </c>
      <c r="D2217" s="4" t="s">
        <v>1406</v>
      </c>
      <c r="E2217" t="s">
        <v>489</v>
      </c>
      <c r="F2217" s="9">
        <f t="shared" si="142"/>
        <v>0</v>
      </c>
      <c r="G2217" s="9">
        <f t="shared" si="143"/>
        <v>0</v>
      </c>
      <c r="H2217" s="9">
        <f t="shared" si="144"/>
        <v>0</v>
      </c>
      <c r="I2217" s="10">
        <f t="shared" si="145"/>
        <v>0</v>
      </c>
    </row>
    <row r="2218" spans="1:9" x14ac:dyDescent="0.25">
      <c r="A2218" s="11" t="s">
        <v>6261</v>
      </c>
      <c r="B2218" s="11" t="s">
        <v>6262</v>
      </c>
      <c r="C2218" s="11" t="s">
        <v>81</v>
      </c>
      <c r="D2218" s="4" t="s">
        <v>1406</v>
      </c>
      <c r="E2218" t="s">
        <v>489</v>
      </c>
      <c r="F2218" s="9">
        <f t="shared" si="142"/>
        <v>0</v>
      </c>
      <c r="G2218" s="9">
        <f t="shared" si="143"/>
        <v>0</v>
      </c>
      <c r="H2218" s="9">
        <f t="shared" si="144"/>
        <v>0</v>
      </c>
      <c r="I2218" s="10">
        <f t="shared" si="145"/>
        <v>0</v>
      </c>
    </row>
    <row r="2219" spans="1:9" x14ac:dyDescent="0.25">
      <c r="A2219" s="11" t="s">
        <v>6263</v>
      </c>
      <c r="B2219" s="11" t="s">
        <v>6264</v>
      </c>
      <c r="C2219" s="11" t="s">
        <v>81</v>
      </c>
      <c r="D2219" s="4" t="s">
        <v>1406</v>
      </c>
      <c r="E2219" t="s">
        <v>489</v>
      </c>
      <c r="F2219" s="9">
        <f t="shared" si="142"/>
        <v>0</v>
      </c>
      <c r="G2219" s="9">
        <f t="shared" si="143"/>
        <v>0</v>
      </c>
      <c r="H2219" s="9">
        <f t="shared" si="144"/>
        <v>0</v>
      </c>
      <c r="I2219" s="10">
        <f t="shared" si="145"/>
        <v>0</v>
      </c>
    </row>
    <row r="2220" spans="1:9" x14ac:dyDescent="0.25">
      <c r="A2220" s="11" t="s">
        <v>6265</v>
      </c>
      <c r="B2220" s="11" t="s">
        <v>6266</v>
      </c>
      <c r="C2220" s="11" t="s">
        <v>81</v>
      </c>
      <c r="D2220" s="4" t="s">
        <v>1406</v>
      </c>
      <c r="E2220" t="s">
        <v>82</v>
      </c>
      <c r="F2220" s="9">
        <f t="shared" si="142"/>
        <v>0</v>
      </c>
      <c r="G2220" s="9">
        <f t="shared" si="143"/>
        <v>0</v>
      </c>
      <c r="H2220" s="9">
        <f t="shared" si="144"/>
        <v>0</v>
      </c>
      <c r="I2220" s="10">
        <f t="shared" si="145"/>
        <v>0</v>
      </c>
    </row>
    <row r="2221" spans="1:9" x14ac:dyDescent="0.25">
      <c r="A2221" s="11" t="s">
        <v>6267</v>
      </c>
      <c r="B2221" s="11" t="s">
        <v>6268</v>
      </c>
      <c r="C2221" s="11" t="s">
        <v>81</v>
      </c>
      <c r="D2221" s="4" t="s">
        <v>1406</v>
      </c>
      <c r="E2221" t="s">
        <v>489</v>
      </c>
      <c r="F2221" s="9">
        <f t="shared" si="142"/>
        <v>0</v>
      </c>
      <c r="G2221" s="9">
        <f t="shared" si="143"/>
        <v>0</v>
      </c>
      <c r="H2221" s="9">
        <f t="shared" si="144"/>
        <v>0</v>
      </c>
      <c r="I2221" s="10">
        <f t="shared" si="145"/>
        <v>0</v>
      </c>
    </row>
    <row r="2222" spans="1:9" x14ac:dyDescent="0.25">
      <c r="A2222" s="11" t="s">
        <v>6269</v>
      </c>
      <c r="B2222" s="11" t="s">
        <v>6270</v>
      </c>
      <c r="C2222" s="11" t="s">
        <v>81</v>
      </c>
      <c r="D2222" s="4" t="s">
        <v>1406</v>
      </c>
      <c r="E2222" t="s">
        <v>82</v>
      </c>
      <c r="F2222" s="9">
        <f t="shared" si="142"/>
        <v>0</v>
      </c>
      <c r="G2222" s="9">
        <f t="shared" si="143"/>
        <v>0</v>
      </c>
      <c r="H2222" s="9">
        <f t="shared" si="144"/>
        <v>0</v>
      </c>
      <c r="I2222" s="10">
        <f t="shared" si="145"/>
        <v>0</v>
      </c>
    </row>
    <row r="2223" spans="1:9" x14ac:dyDescent="0.25">
      <c r="A2223" s="11" t="s">
        <v>6271</v>
      </c>
      <c r="B2223" s="11" t="s">
        <v>6272</v>
      </c>
      <c r="C2223" s="11" t="s">
        <v>81</v>
      </c>
      <c r="D2223" s="4" t="s">
        <v>1406</v>
      </c>
      <c r="E2223" t="s">
        <v>82</v>
      </c>
      <c r="F2223" s="9">
        <f t="shared" si="142"/>
        <v>0</v>
      </c>
      <c r="G2223" s="9">
        <f t="shared" si="143"/>
        <v>0</v>
      </c>
      <c r="H2223" s="9">
        <f t="shared" si="144"/>
        <v>0</v>
      </c>
      <c r="I2223" s="10">
        <f t="shared" si="145"/>
        <v>0</v>
      </c>
    </row>
    <row r="2224" spans="1:9" x14ac:dyDescent="0.25">
      <c r="A2224" s="11" t="s">
        <v>6273</v>
      </c>
      <c r="B2224" s="11" t="s">
        <v>6274</v>
      </c>
      <c r="C2224" s="11" t="s">
        <v>81</v>
      </c>
      <c r="D2224" s="4" t="s">
        <v>1406</v>
      </c>
      <c r="E2224" t="s">
        <v>489</v>
      </c>
      <c r="F2224" s="9">
        <f t="shared" si="142"/>
        <v>0</v>
      </c>
      <c r="G2224" s="9">
        <f t="shared" si="143"/>
        <v>0</v>
      </c>
      <c r="H2224" s="9">
        <f t="shared" si="144"/>
        <v>0</v>
      </c>
      <c r="I2224" s="10">
        <f t="shared" si="145"/>
        <v>0</v>
      </c>
    </row>
    <row r="2225" spans="1:9" x14ac:dyDescent="0.25">
      <c r="A2225" s="11" t="s">
        <v>6275</v>
      </c>
      <c r="B2225" s="11" t="s">
        <v>6276</v>
      </c>
      <c r="C2225" s="11" t="s">
        <v>81</v>
      </c>
      <c r="D2225" s="4" t="s">
        <v>1406</v>
      </c>
      <c r="E2225" t="s">
        <v>82</v>
      </c>
      <c r="F2225" s="9">
        <f t="shared" si="142"/>
        <v>0</v>
      </c>
      <c r="G2225" s="9">
        <f t="shared" si="143"/>
        <v>0</v>
      </c>
      <c r="H2225" s="9">
        <f t="shared" si="144"/>
        <v>0</v>
      </c>
      <c r="I2225" s="10">
        <f t="shared" si="145"/>
        <v>0</v>
      </c>
    </row>
    <row r="2226" spans="1:9" x14ac:dyDescent="0.25">
      <c r="A2226" s="11" t="s">
        <v>6277</v>
      </c>
      <c r="B2226" s="11" t="s">
        <v>6278</v>
      </c>
      <c r="C2226" s="11" t="s">
        <v>81</v>
      </c>
      <c r="D2226" s="4" t="s">
        <v>1406</v>
      </c>
      <c r="E2226" t="s">
        <v>82</v>
      </c>
      <c r="F2226" s="9">
        <f t="shared" si="142"/>
        <v>0</v>
      </c>
      <c r="G2226" s="9">
        <f t="shared" si="143"/>
        <v>0</v>
      </c>
      <c r="H2226" s="9">
        <f t="shared" si="144"/>
        <v>0</v>
      </c>
      <c r="I2226" s="10">
        <f t="shared" si="145"/>
        <v>0</v>
      </c>
    </row>
    <row r="2227" spans="1:9" x14ac:dyDescent="0.25">
      <c r="A2227" s="11" t="s">
        <v>6279</v>
      </c>
      <c r="B2227" s="11" t="s">
        <v>6280</v>
      </c>
      <c r="C2227" s="11" t="s">
        <v>81</v>
      </c>
      <c r="D2227" s="4" t="s">
        <v>1406</v>
      </c>
      <c r="E2227" t="s">
        <v>82</v>
      </c>
      <c r="F2227" s="9">
        <f t="shared" si="142"/>
        <v>0</v>
      </c>
      <c r="G2227" s="9">
        <f t="shared" si="143"/>
        <v>0</v>
      </c>
      <c r="H2227" s="9">
        <f t="shared" si="144"/>
        <v>0</v>
      </c>
      <c r="I2227" s="10">
        <f t="shared" si="145"/>
        <v>0</v>
      </c>
    </row>
    <row r="2228" spans="1:9" x14ac:dyDescent="0.25">
      <c r="A2228" s="11" t="s">
        <v>6281</v>
      </c>
      <c r="B2228" s="11" t="s">
        <v>6282</v>
      </c>
      <c r="C2228" s="11" t="s">
        <v>81</v>
      </c>
      <c r="D2228" s="4" t="s">
        <v>1406</v>
      </c>
      <c r="E2228" t="s">
        <v>489</v>
      </c>
      <c r="F2228" s="9">
        <f t="shared" si="142"/>
        <v>0</v>
      </c>
      <c r="G2228" s="9">
        <f t="shared" si="143"/>
        <v>0</v>
      </c>
      <c r="H2228" s="9">
        <f t="shared" si="144"/>
        <v>0</v>
      </c>
      <c r="I2228" s="10">
        <f t="shared" si="145"/>
        <v>0</v>
      </c>
    </row>
    <row r="2229" spans="1:9" x14ac:dyDescent="0.25">
      <c r="A2229" s="11" t="s">
        <v>6283</v>
      </c>
      <c r="B2229" s="11" t="s">
        <v>6284</v>
      </c>
      <c r="C2229" s="11" t="s">
        <v>81</v>
      </c>
      <c r="D2229" s="4" t="s">
        <v>1406</v>
      </c>
      <c r="E2229" t="s">
        <v>489</v>
      </c>
      <c r="F2229" s="9">
        <f t="shared" si="142"/>
        <v>0</v>
      </c>
      <c r="G2229" s="9">
        <f t="shared" si="143"/>
        <v>0</v>
      </c>
      <c r="H2229" s="9">
        <f t="shared" si="144"/>
        <v>0</v>
      </c>
      <c r="I2229" s="10">
        <f t="shared" si="145"/>
        <v>0</v>
      </c>
    </row>
    <row r="2230" spans="1:9" x14ac:dyDescent="0.25">
      <c r="A2230" s="11" t="s">
        <v>6285</v>
      </c>
      <c r="B2230" s="11" t="s">
        <v>6286</v>
      </c>
      <c r="C2230" s="11" t="s">
        <v>81</v>
      </c>
      <c r="D2230" s="4" t="s">
        <v>1406</v>
      </c>
      <c r="E2230" t="s">
        <v>489</v>
      </c>
      <c r="F2230" s="9">
        <f t="shared" si="142"/>
        <v>0</v>
      </c>
      <c r="G2230" s="9">
        <f t="shared" si="143"/>
        <v>0</v>
      </c>
      <c r="H2230" s="9">
        <f t="shared" si="144"/>
        <v>0</v>
      </c>
      <c r="I2230" s="10">
        <f t="shared" si="145"/>
        <v>0</v>
      </c>
    </row>
    <row r="2231" spans="1:9" x14ac:dyDescent="0.25">
      <c r="A2231" s="11" t="s">
        <v>6287</v>
      </c>
      <c r="B2231" s="11" t="s">
        <v>6288</v>
      </c>
      <c r="C2231" s="11" t="s">
        <v>81</v>
      </c>
      <c r="D2231" s="4" t="s">
        <v>1406</v>
      </c>
      <c r="E2231" t="s">
        <v>82</v>
      </c>
      <c r="F2231" s="9">
        <f t="shared" si="142"/>
        <v>0</v>
      </c>
      <c r="G2231" s="9">
        <f t="shared" si="143"/>
        <v>0</v>
      </c>
      <c r="H2231" s="9">
        <f t="shared" si="144"/>
        <v>0</v>
      </c>
      <c r="I2231" s="10">
        <f t="shared" si="145"/>
        <v>0</v>
      </c>
    </row>
    <row r="2232" spans="1:9" x14ac:dyDescent="0.25">
      <c r="A2232" s="11" t="s">
        <v>6289</v>
      </c>
      <c r="B2232" s="11" t="s">
        <v>6290</v>
      </c>
      <c r="C2232" s="11" t="s">
        <v>81</v>
      </c>
      <c r="D2232" s="4" t="s">
        <v>1406</v>
      </c>
      <c r="E2232" t="s">
        <v>489</v>
      </c>
      <c r="F2232" s="9">
        <f t="shared" si="142"/>
        <v>0</v>
      </c>
      <c r="G2232" s="9">
        <f t="shared" si="143"/>
        <v>0</v>
      </c>
      <c r="H2232" s="9">
        <f t="shared" si="144"/>
        <v>0</v>
      </c>
      <c r="I2232" s="10">
        <f t="shared" si="145"/>
        <v>0</v>
      </c>
    </row>
    <row r="2233" spans="1:9" x14ac:dyDescent="0.25">
      <c r="A2233" s="11" t="s">
        <v>6291</v>
      </c>
      <c r="B2233" s="11" t="s">
        <v>6292</v>
      </c>
      <c r="C2233" s="11" t="s">
        <v>81</v>
      </c>
      <c r="D2233" s="4" t="s">
        <v>1406</v>
      </c>
      <c r="E2233" t="s">
        <v>82</v>
      </c>
      <c r="F2233" s="9">
        <f t="shared" si="142"/>
        <v>0</v>
      </c>
      <c r="G2233" s="9">
        <f t="shared" si="143"/>
        <v>0</v>
      </c>
      <c r="H2233" s="9">
        <f t="shared" si="144"/>
        <v>0</v>
      </c>
      <c r="I2233" s="10">
        <f t="shared" si="145"/>
        <v>0</v>
      </c>
    </row>
    <row r="2234" spans="1:9" x14ac:dyDescent="0.25">
      <c r="A2234" s="11" t="s">
        <v>6293</v>
      </c>
      <c r="B2234" s="11" t="s">
        <v>6294</v>
      </c>
      <c r="C2234" s="11" t="s">
        <v>81</v>
      </c>
      <c r="D2234" s="4" t="s">
        <v>1406</v>
      </c>
      <c r="E2234" t="s">
        <v>489</v>
      </c>
      <c r="F2234" s="9">
        <f t="shared" si="142"/>
        <v>0</v>
      </c>
      <c r="G2234" s="9">
        <f t="shared" si="143"/>
        <v>0</v>
      </c>
      <c r="H2234" s="9">
        <f t="shared" si="144"/>
        <v>0</v>
      </c>
      <c r="I2234" s="10">
        <f t="shared" si="145"/>
        <v>0</v>
      </c>
    </row>
    <row r="2235" spans="1:9" x14ac:dyDescent="0.25">
      <c r="A2235" s="11" t="s">
        <v>6295</v>
      </c>
      <c r="B2235" s="11" t="s">
        <v>6296</v>
      </c>
      <c r="C2235" s="11" t="s">
        <v>81</v>
      </c>
      <c r="D2235" s="4" t="s">
        <v>1406</v>
      </c>
      <c r="E2235" t="s">
        <v>82</v>
      </c>
      <c r="F2235" s="9">
        <f t="shared" si="142"/>
        <v>0</v>
      </c>
      <c r="G2235" s="9">
        <f t="shared" si="143"/>
        <v>0</v>
      </c>
      <c r="H2235" s="9">
        <f t="shared" si="144"/>
        <v>0</v>
      </c>
      <c r="I2235" s="10">
        <f t="shared" si="145"/>
        <v>0</v>
      </c>
    </row>
    <row r="2236" spans="1:9" x14ac:dyDescent="0.25">
      <c r="A2236" s="11" t="s">
        <v>6297</v>
      </c>
      <c r="B2236" s="11" t="s">
        <v>6298</v>
      </c>
      <c r="C2236" s="11" t="s">
        <v>81</v>
      </c>
      <c r="D2236" s="4" t="s">
        <v>1406</v>
      </c>
      <c r="E2236" t="s">
        <v>489</v>
      </c>
      <c r="F2236" s="9">
        <f t="shared" si="142"/>
        <v>0</v>
      </c>
      <c r="G2236" s="9">
        <f t="shared" si="143"/>
        <v>0</v>
      </c>
      <c r="H2236" s="9">
        <f t="shared" si="144"/>
        <v>0</v>
      </c>
      <c r="I2236" s="10">
        <f t="shared" si="145"/>
        <v>0</v>
      </c>
    </row>
    <row r="2237" spans="1:9" x14ac:dyDescent="0.25">
      <c r="A2237" s="11" t="s">
        <v>6299</v>
      </c>
      <c r="B2237" s="11" t="s">
        <v>6300</v>
      </c>
      <c r="C2237" s="11" t="s">
        <v>81</v>
      </c>
      <c r="D2237" s="4" t="s">
        <v>1406</v>
      </c>
      <c r="E2237" t="s">
        <v>489</v>
      </c>
      <c r="F2237" s="9">
        <f t="shared" si="142"/>
        <v>0</v>
      </c>
      <c r="G2237" s="9">
        <f t="shared" si="143"/>
        <v>0</v>
      </c>
      <c r="H2237" s="9">
        <f t="shared" si="144"/>
        <v>0</v>
      </c>
      <c r="I2237" s="10">
        <f t="shared" si="145"/>
        <v>0</v>
      </c>
    </row>
    <row r="2238" spans="1:9" x14ac:dyDescent="0.25">
      <c r="A2238" s="11" t="s">
        <v>6301</v>
      </c>
      <c r="B2238" s="11" t="s">
        <v>6302</v>
      </c>
      <c r="C2238" s="11" t="s">
        <v>81</v>
      </c>
      <c r="D2238" s="4" t="s">
        <v>1406</v>
      </c>
      <c r="E2238" t="s">
        <v>82</v>
      </c>
      <c r="F2238" s="9">
        <f t="shared" si="142"/>
        <v>0</v>
      </c>
      <c r="G2238" s="9">
        <f t="shared" si="143"/>
        <v>0</v>
      </c>
      <c r="H2238" s="9">
        <f t="shared" si="144"/>
        <v>0</v>
      </c>
      <c r="I2238" s="10">
        <f t="shared" si="145"/>
        <v>0</v>
      </c>
    </row>
    <row r="2239" spans="1:9" x14ac:dyDescent="0.25">
      <c r="A2239" s="11" t="s">
        <v>6303</v>
      </c>
      <c r="B2239" s="11" t="s">
        <v>6304</v>
      </c>
      <c r="C2239" s="11" t="s">
        <v>81</v>
      </c>
      <c r="D2239" s="4" t="s">
        <v>1406</v>
      </c>
      <c r="E2239" t="s">
        <v>82</v>
      </c>
      <c r="F2239" s="9">
        <f t="shared" si="142"/>
        <v>0</v>
      </c>
      <c r="G2239" s="9">
        <f t="shared" si="143"/>
        <v>0</v>
      </c>
      <c r="H2239" s="9">
        <f t="shared" si="144"/>
        <v>0</v>
      </c>
      <c r="I2239" s="10">
        <f t="shared" si="145"/>
        <v>0</v>
      </c>
    </row>
    <row r="2240" spans="1:9" x14ac:dyDescent="0.25">
      <c r="A2240" s="11" t="s">
        <v>6305</v>
      </c>
      <c r="B2240" s="11" t="s">
        <v>6306</v>
      </c>
      <c r="C2240" s="11" t="s">
        <v>81</v>
      </c>
      <c r="D2240" s="4" t="s">
        <v>1406</v>
      </c>
      <c r="E2240" t="s">
        <v>82</v>
      </c>
      <c r="F2240" s="9">
        <f t="shared" si="142"/>
        <v>0</v>
      </c>
      <c r="G2240" s="9">
        <f t="shared" si="143"/>
        <v>0</v>
      </c>
      <c r="H2240" s="9">
        <f t="shared" si="144"/>
        <v>0</v>
      </c>
      <c r="I2240" s="10">
        <f t="shared" si="145"/>
        <v>0</v>
      </c>
    </row>
    <row r="2241" spans="1:9" x14ac:dyDescent="0.25">
      <c r="A2241" s="11" t="s">
        <v>6307</v>
      </c>
      <c r="B2241" s="11" t="s">
        <v>6308</v>
      </c>
      <c r="C2241" s="11" t="s">
        <v>81</v>
      </c>
      <c r="D2241" s="4" t="s">
        <v>1406</v>
      </c>
      <c r="E2241" t="s">
        <v>82</v>
      </c>
      <c r="F2241" s="9">
        <f t="shared" si="142"/>
        <v>0</v>
      </c>
      <c r="G2241" s="9">
        <f t="shared" si="143"/>
        <v>0</v>
      </c>
      <c r="H2241" s="9">
        <f t="shared" si="144"/>
        <v>0</v>
      </c>
      <c r="I2241" s="10">
        <f t="shared" si="145"/>
        <v>0</v>
      </c>
    </row>
    <row r="2242" spans="1:9" x14ac:dyDescent="0.25">
      <c r="A2242" s="11" t="s">
        <v>6309</v>
      </c>
      <c r="B2242" s="11" t="s">
        <v>6310</v>
      </c>
      <c r="C2242" s="11" t="s">
        <v>81</v>
      </c>
      <c r="D2242" s="4" t="s">
        <v>1406</v>
      </c>
      <c r="E2242" t="s">
        <v>489</v>
      </c>
      <c r="F2242" s="9">
        <f t="shared" si="142"/>
        <v>0</v>
      </c>
      <c r="G2242" s="9">
        <f t="shared" si="143"/>
        <v>0</v>
      </c>
      <c r="H2242" s="9">
        <f t="shared" si="144"/>
        <v>0</v>
      </c>
      <c r="I2242" s="10">
        <f t="shared" si="145"/>
        <v>0</v>
      </c>
    </row>
    <row r="2243" spans="1:9" x14ac:dyDescent="0.25">
      <c r="A2243" s="11" t="s">
        <v>6311</v>
      </c>
      <c r="B2243" s="11" t="s">
        <v>6312</v>
      </c>
      <c r="C2243" s="11" t="s">
        <v>81</v>
      </c>
      <c r="D2243" s="4" t="s">
        <v>1406</v>
      </c>
      <c r="E2243" t="s">
        <v>489</v>
      </c>
      <c r="F2243" s="9">
        <f t="shared" si="142"/>
        <v>0</v>
      </c>
      <c r="G2243" s="9">
        <f t="shared" si="143"/>
        <v>0</v>
      </c>
      <c r="H2243" s="9">
        <f t="shared" si="144"/>
        <v>0</v>
      </c>
      <c r="I2243" s="10">
        <f t="shared" si="145"/>
        <v>0</v>
      </c>
    </row>
    <row r="2244" spans="1:9" x14ac:dyDescent="0.25">
      <c r="A2244" s="11" t="s">
        <v>6313</v>
      </c>
      <c r="B2244" s="11" t="s">
        <v>6314</v>
      </c>
      <c r="C2244" s="11" t="s">
        <v>81</v>
      </c>
      <c r="D2244" s="4" t="s">
        <v>1406</v>
      </c>
      <c r="E2244" t="s">
        <v>489</v>
      </c>
      <c r="F2244" s="9">
        <f t="shared" si="142"/>
        <v>0</v>
      </c>
      <c r="G2244" s="9">
        <f t="shared" si="143"/>
        <v>0</v>
      </c>
      <c r="H2244" s="9">
        <f t="shared" si="144"/>
        <v>0</v>
      </c>
      <c r="I2244" s="10">
        <f t="shared" si="145"/>
        <v>0</v>
      </c>
    </row>
    <row r="2245" spans="1:9" x14ac:dyDescent="0.25">
      <c r="A2245" s="11" t="s">
        <v>6315</v>
      </c>
      <c r="B2245" s="11" t="s">
        <v>6316</v>
      </c>
      <c r="C2245" s="11" t="s">
        <v>81</v>
      </c>
      <c r="D2245" s="4" t="s">
        <v>1406</v>
      </c>
      <c r="E2245" t="s">
        <v>82</v>
      </c>
      <c r="F2245" s="9">
        <f t="shared" si="142"/>
        <v>0</v>
      </c>
      <c r="G2245" s="9">
        <f t="shared" si="143"/>
        <v>0</v>
      </c>
      <c r="H2245" s="9">
        <f t="shared" si="144"/>
        <v>0</v>
      </c>
      <c r="I2245" s="10">
        <f t="shared" si="145"/>
        <v>0</v>
      </c>
    </row>
    <row r="2246" spans="1:9" x14ac:dyDescent="0.25">
      <c r="A2246" s="11" t="s">
        <v>6317</v>
      </c>
      <c r="B2246" s="11" t="s">
        <v>6318</v>
      </c>
      <c r="C2246" s="11" t="s">
        <v>81</v>
      </c>
      <c r="D2246" s="4" t="s">
        <v>1406</v>
      </c>
      <c r="E2246" t="s">
        <v>489</v>
      </c>
      <c r="F2246" s="9">
        <f t="shared" si="142"/>
        <v>0</v>
      </c>
      <c r="G2246" s="9">
        <f t="shared" si="143"/>
        <v>0</v>
      </c>
      <c r="H2246" s="9">
        <f t="shared" si="144"/>
        <v>0</v>
      </c>
      <c r="I2246" s="10">
        <f t="shared" si="145"/>
        <v>0</v>
      </c>
    </row>
    <row r="2247" spans="1:9" x14ac:dyDescent="0.25">
      <c r="A2247" s="11" t="s">
        <v>6319</v>
      </c>
      <c r="B2247" s="11" t="s">
        <v>6320</v>
      </c>
      <c r="C2247" s="11" t="s">
        <v>81</v>
      </c>
      <c r="D2247" s="4" t="s">
        <v>1406</v>
      </c>
      <c r="E2247" t="s">
        <v>82</v>
      </c>
      <c r="F2247" s="9">
        <f t="shared" si="142"/>
        <v>0</v>
      </c>
      <c r="G2247" s="9">
        <f t="shared" si="143"/>
        <v>0</v>
      </c>
      <c r="H2247" s="9">
        <f t="shared" si="144"/>
        <v>0</v>
      </c>
      <c r="I2247" s="10">
        <f t="shared" si="145"/>
        <v>0</v>
      </c>
    </row>
    <row r="2248" spans="1:9" x14ac:dyDescent="0.25">
      <c r="A2248" s="11" t="s">
        <v>6321</v>
      </c>
      <c r="B2248" s="11" t="s">
        <v>6322</v>
      </c>
      <c r="C2248" s="11" t="s">
        <v>81</v>
      </c>
      <c r="D2248" s="4" t="s">
        <v>1406</v>
      </c>
      <c r="E2248" t="s">
        <v>489</v>
      </c>
      <c r="F2248" s="9">
        <f t="shared" ref="F2248:F2311" si="146">IFERROR(VLOOKUP(A2248,condi,8,0),0)</f>
        <v>0</v>
      </c>
      <c r="G2248" s="9">
        <f t="shared" ref="G2248:G2311" si="147">IFERROR(VLOOKUP(A2248,maqui,8,0),0)</f>
        <v>0</v>
      </c>
      <c r="H2248" s="9">
        <f t="shared" ref="H2248:H2311" si="148">IFERROR(VLOOKUP(A2248,ascint,8,0),0)</f>
        <v>0</v>
      </c>
      <c r="I2248" s="10">
        <f t="shared" ref="I2248:I2311" si="149">+F2248+G2248+H2248</f>
        <v>0</v>
      </c>
    </row>
    <row r="2249" spans="1:9" x14ac:dyDescent="0.25">
      <c r="A2249" s="11" t="s">
        <v>6323</v>
      </c>
      <c r="B2249" s="11" t="s">
        <v>6324</v>
      </c>
      <c r="C2249" s="11" t="s">
        <v>81</v>
      </c>
      <c r="D2249" s="4" t="s">
        <v>1406</v>
      </c>
      <c r="E2249" t="s">
        <v>489</v>
      </c>
      <c r="F2249" s="9">
        <f t="shared" si="146"/>
        <v>0</v>
      </c>
      <c r="G2249" s="9">
        <f t="shared" si="147"/>
        <v>0</v>
      </c>
      <c r="H2249" s="9">
        <f t="shared" si="148"/>
        <v>0</v>
      </c>
      <c r="I2249" s="10">
        <f t="shared" si="149"/>
        <v>0</v>
      </c>
    </row>
    <row r="2250" spans="1:9" x14ac:dyDescent="0.25">
      <c r="A2250" s="11" t="s">
        <v>6325</v>
      </c>
      <c r="B2250" s="11" t="s">
        <v>6326</v>
      </c>
      <c r="C2250" s="11" t="s">
        <v>81</v>
      </c>
      <c r="D2250" s="4" t="s">
        <v>1406</v>
      </c>
      <c r="E2250" t="s">
        <v>82</v>
      </c>
      <c r="F2250" s="9">
        <f t="shared" si="146"/>
        <v>0</v>
      </c>
      <c r="G2250" s="9">
        <f t="shared" si="147"/>
        <v>0</v>
      </c>
      <c r="H2250" s="9">
        <f t="shared" si="148"/>
        <v>0</v>
      </c>
      <c r="I2250" s="10">
        <f t="shared" si="149"/>
        <v>0</v>
      </c>
    </row>
    <row r="2251" spans="1:9" x14ac:dyDescent="0.25">
      <c r="A2251" s="11" t="s">
        <v>6327</v>
      </c>
      <c r="B2251" s="11" t="s">
        <v>6328</v>
      </c>
      <c r="C2251" s="11" t="s">
        <v>81</v>
      </c>
      <c r="D2251" s="4" t="s">
        <v>1406</v>
      </c>
      <c r="E2251" t="s">
        <v>489</v>
      </c>
      <c r="F2251" s="9">
        <f t="shared" si="146"/>
        <v>0</v>
      </c>
      <c r="G2251" s="9">
        <f t="shared" si="147"/>
        <v>0</v>
      </c>
      <c r="H2251" s="9">
        <f t="shared" si="148"/>
        <v>0</v>
      </c>
      <c r="I2251" s="10">
        <f t="shared" si="149"/>
        <v>0</v>
      </c>
    </row>
    <row r="2252" spans="1:9" x14ac:dyDescent="0.25">
      <c r="A2252" s="11" t="s">
        <v>6329</v>
      </c>
      <c r="B2252" s="11" t="s">
        <v>6330</v>
      </c>
      <c r="C2252" s="11" t="s">
        <v>81</v>
      </c>
      <c r="D2252" s="4" t="s">
        <v>1406</v>
      </c>
      <c r="E2252" t="s">
        <v>489</v>
      </c>
      <c r="F2252" s="9">
        <f t="shared" si="146"/>
        <v>0</v>
      </c>
      <c r="G2252" s="9">
        <f t="shared" si="147"/>
        <v>0</v>
      </c>
      <c r="H2252" s="9">
        <f t="shared" si="148"/>
        <v>0</v>
      </c>
      <c r="I2252" s="10">
        <f t="shared" si="149"/>
        <v>0</v>
      </c>
    </row>
    <row r="2253" spans="1:9" x14ac:dyDescent="0.25">
      <c r="A2253" s="11" t="s">
        <v>6331</v>
      </c>
      <c r="B2253" s="11" t="s">
        <v>6332</v>
      </c>
      <c r="C2253" s="11" t="s">
        <v>81</v>
      </c>
      <c r="D2253" s="4" t="s">
        <v>1406</v>
      </c>
      <c r="E2253" t="s">
        <v>489</v>
      </c>
      <c r="F2253" s="9">
        <f t="shared" si="146"/>
        <v>0</v>
      </c>
      <c r="G2253" s="9">
        <f t="shared" si="147"/>
        <v>0</v>
      </c>
      <c r="H2253" s="9">
        <f t="shared" si="148"/>
        <v>0</v>
      </c>
      <c r="I2253" s="10">
        <f t="shared" si="149"/>
        <v>0</v>
      </c>
    </row>
    <row r="2254" spans="1:9" x14ac:dyDescent="0.25">
      <c r="A2254" s="11" t="s">
        <v>6333</v>
      </c>
      <c r="B2254" s="11" t="s">
        <v>6334</v>
      </c>
      <c r="C2254" s="11" t="s">
        <v>81</v>
      </c>
      <c r="D2254" s="4" t="s">
        <v>1406</v>
      </c>
      <c r="E2254" t="s">
        <v>82</v>
      </c>
      <c r="F2254" s="9">
        <f t="shared" si="146"/>
        <v>0</v>
      </c>
      <c r="G2254" s="9">
        <f t="shared" si="147"/>
        <v>0</v>
      </c>
      <c r="H2254" s="9">
        <f t="shared" si="148"/>
        <v>0</v>
      </c>
      <c r="I2254" s="10">
        <f t="shared" si="149"/>
        <v>0</v>
      </c>
    </row>
    <row r="2255" spans="1:9" x14ac:dyDescent="0.25">
      <c r="A2255" s="11" t="s">
        <v>6335</v>
      </c>
      <c r="B2255" s="11" t="s">
        <v>6336</v>
      </c>
      <c r="C2255" s="11" t="s">
        <v>81</v>
      </c>
      <c r="D2255" s="4" t="s">
        <v>1406</v>
      </c>
      <c r="E2255" t="s">
        <v>82</v>
      </c>
      <c r="F2255" s="9">
        <f t="shared" si="146"/>
        <v>0</v>
      </c>
      <c r="G2255" s="9">
        <f t="shared" si="147"/>
        <v>0</v>
      </c>
      <c r="H2255" s="9">
        <f t="shared" si="148"/>
        <v>0</v>
      </c>
      <c r="I2255" s="10">
        <f t="shared" si="149"/>
        <v>0</v>
      </c>
    </row>
    <row r="2256" spans="1:9" x14ac:dyDescent="0.25">
      <c r="A2256" s="11" t="s">
        <v>6337</v>
      </c>
      <c r="B2256" s="11" t="s">
        <v>6338</v>
      </c>
      <c r="C2256" s="11" t="s">
        <v>81</v>
      </c>
      <c r="D2256" s="4" t="s">
        <v>1406</v>
      </c>
      <c r="E2256" t="s">
        <v>489</v>
      </c>
      <c r="F2256" s="9">
        <f t="shared" si="146"/>
        <v>0</v>
      </c>
      <c r="G2256" s="9">
        <f t="shared" si="147"/>
        <v>0</v>
      </c>
      <c r="H2256" s="9">
        <f t="shared" si="148"/>
        <v>0</v>
      </c>
      <c r="I2256" s="10">
        <f t="shared" si="149"/>
        <v>0</v>
      </c>
    </row>
    <row r="2257" spans="1:9" x14ac:dyDescent="0.25">
      <c r="A2257" s="11" t="s">
        <v>4516</v>
      </c>
      <c r="B2257" s="11" t="s">
        <v>4515</v>
      </c>
      <c r="C2257" s="11" t="s">
        <v>81</v>
      </c>
      <c r="D2257" s="4" t="s">
        <v>1406</v>
      </c>
      <c r="E2257" t="s">
        <v>489</v>
      </c>
      <c r="F2257" s="9">
        <f t="shared" si="146"/>
        <v>0</v>
      </c>
      <c r="G2257" s="9">
        <f t="shared" si="147"/>
        <v>0</v>
      </c>
      <c r="H2257" s="9">
        <f t="shared" si="148"/>
        <v>0</v>
      </c>
      <c r="I2257" s="10">
        <f t="shared" si="149"/>
        <v>0</v>
      </c>
    </row>
    <row r="2258" spans="1:9" x14ac:dyDescent="0.25">
      <c r="A2258" s="11" t="s">
        <v>6339</v>
      </c>
      <c r="B2258" s="11" t="s">
        <v>6340</v>
      </c>
      <c r="C2258" s="11" t="s">
        <v>81</v>
      </c>
      <c r="D2258" s="4" t="s">
        <v>1406</v>
      </c>
      <c r="E2258" t="s">
        <v>82</v>
      </c>
      <c r="F2258" s="9">
        <f t="shared" si="146"/>
        <v>0</v>
      </c>
      <c r="G2258" s="9">
        <f t="shared" si="147"/>
        <v>0</v>
      </c>
      <c r="H2258" s="9">
        <f t="shared" si="148"/>
        <v>0</v>
      </c>
      <c r="I2258" s="10">
        <f t="shared" si="149"/>
        <v>0</v>
      </c>
    </row>
    <row r="2259" spans="1:9" x14ac:dyDescent="0.25">
      <c r="A2259" s="11" t="s">
        <v>6341</v>
      </c>
      <c r="B2259" s="11" t="s">
        <v>6342</v>
      </c>
      <c r="C2259" s="11" t="s">
        <v>81</v>
      </c>
      <c r="D2259" s="4" t="s">
        <v>1406</v>
      </c>
      <c r="E2259" t="s">
        <v>82</v>
      </c>
      <c r="F2259" s="9">
        <f t="shared" si="146"/>
        <v>0</v>
      </c>
      <c r="G2259" s="9">
        <f t="shared" si="147"/>
        <v>0</v>
      </c>
      <c r="H2259" s="9">
        <f t="shared" si="148"/>
        <v>0</v>
      </c>
      <c r="I2259" s="10">
        <f t="shared" si="149"/>
        <v>0</v>
      </c>
    </row>
    <row r="2260" spans="1:9" x14ac:dyDescent="0.25">
      <c r="A2260" s="11" t="s">
        <v>6343</v>
      </c>
      <c r="B2260" s="11" t="s">
        <v>6344</v>
      </c>
      <c r="C2260" s="11" t="s">
        <v>81</v>
      </c>
      <c r="D2260" s="4" t="s">
        <v>1406</v>
      </c>
      <c r="E2260" t="s">
        <v>82</v>
      </c>
      <c r="F2260" s="9">
        <f t="shared" si="146"/>
        <v>0</v>
      </c>
      <c r="G2260" s="9">
        <f t="shared" si="147"/>
        <v>0</v>
      </c>
      <c r="H2260" s="9">
        <f t="shared" si="148"/>
        <v>0</v>
      </c>
      <c r="I2260" s="10">
        <f t="shared" si="149"/>
        <v>0</v>
      </c>
    </row>
    <row r="2261" spans="1:9" x14ac:dyDescent="0.25">
      <c r="A2261" s="11" t="s">
        <v>6345</v>
      </c>
      <c r="B2261" s="11" t="s">
        <v>6346</v>
      </c>
      <c r="C2261" s="11" t="s">
        <v>81</v>
      </c>
      <c r="D2261" s="4" t="s">
        <v>1406</v>
      </c>
      <c r="E2261" t="s">
        <v>82</v>
      </c>
      <c r="F2261" s="9">
        <f t="shared" si="146"/>
        <v>0</v>
      </c>
      <c r="G2261" s="9">
        <f t="shared" si="147"/>
        <v>0</v>
      </c>
      <c r="H2261" s="9">
        <f t="shared" si="148"/>
        <v>0</v>
      </c>
      <c r="I2261" s="10">
        <f t="shared" si="149"/>
        <v>0</v>
      </c>
    </row>
    <row r="2262" spans="1:9" x14ac:dyDescent="0.25">
      <c r="A2262" s="11" t="s">
        <v>6347</v>
      </c>
      <c r="B2262" s="11" t="s">
        <v>6348</v>
      </c>
      <c r="C2262" s="11" t="s">
        <v>81</v>
      </c>
      <c r="D2262" s="4" t="s">
        <v>1406</v>
      </c>
      <c r="E2262" t="s">
        <v>82</v>
      </c>
      <c r="F2262" s="9">
        <f t="shared" si="146"/>
        <v>0</v>
      </c>
      <c r="G2262" s="9">
        <f t="shared" si="147"/>
        <v>0</v>
      </c>
      <c r="H2262" s="9">
        <f t="shared" si="148"/>
        <v>0</v>
      </c>
      <c r="I2262" s="10">
        <f t="shared" si="149"/>
        <v>0</v>
      </c>
    </row>
    <row r="2263" spans="1:9" x14ac:dyDescent="0.25">
      <c r="A2263" s="11" t="s">
        <v>6349</v>
      </c>
      <c r="B2263" s="11" t="s">
        <v>6350</v>
      </c>
      <c r="C2263" s="11" t="s">
        <v>81</v>
      </c>
      <c r="D2263" s="4" t="s">
        <v>1406</v>
      </c>
      <c r="E2263" t="s">
        <v>489</v>
      </c>
      <c r="F2263" s="9">
        <f t="shared" si="146"/>
        <v>0</v>
      </c>
      <c r="G2263" s="9">
        <f t="shared" si="147"/>
        <v>0</v>
      </c>
      <c r="H2263" s="9">
        <f t="shared" si="148"/>
        <v>0</v>
      </c>
      <c r="I2263" s="10">
        <f t="shared" si="149"/>
        <v>0</v>
      </c>
    </row>
    <row r="2264" spans="1:9" x14ac:dyDescent="0.25">
      <c r="A2264" s="11" t="s">
        <v>6351</v>
      </c>
      <c r="B2264" s="11" t="s">
        <v>6352</v>
      </c>
      <c r="C2264" s="11" t="s">
        <v>81</v>
      </c>
      <c r="D2264" s="4" t="s">
        <v>1406</v>
      </c>
      <c r="E2264" t="s">
        <v>82</v>
      </c>
      <c r="F2264" s="9">
        <f t="shared" si="146"/>
        <v>0</v>
      </c>
      <c r="G2264" s="9">
        <f t="shared" si="147"/>
        <v>0</v>
      </c>
      <c r="H2264" s="9">
        <f t="shared" si="148"/>
        <v>0</v>
      </c>
      <c r="I2264" s="10">
        <f t="shared" si="149"/>
        <v>0</v>
      </c>
    </row>
    <row r="2265" spans="1:9" x14ac:dyDescent="0.25">
      <c r="A2265" s="11" t="s">
        <v>6353</v>
      </c>
      <c r="B2265" s="11" t="s">
        <v>6354</v>
      </c>
      <c r="C2265" s="11" t="s">
        <v>81</v>
      </c>
      <c r="D2265" s="4" t="s">
        <v>1406</v>
      </c>
      <c r="E2265" t="s">
        <v>489</v>
      </c>
      <c r="F2265" s="9">
        <f t="shared" si="146"/>
        <v>0</v>
      </c>
      <c r="G2265" s="9">
        <f t="shared" si="147"/>
        <v>0</v>
      </c>
      <c r="H2265" s="9">
        <f t="shared" si="148"/>
        <v>0</v>
      </c>
      <c r="I2265" s="10">
        <f t="shared" si="149"/>
        <v>0</v>
      </c>
    </row>
    <row r="2266" spans="1:9" x14ac:dyDescent="0.25">
      <c r="A2266" s="11" t="s">
        <v>6355</v>
      </c>
      <c r="B2266" s="11" t="s">
        <v>6356</v>
      </c>
      <c r="C2266" s="11" t="s">
        <v>81</v>
      </c>
      <c r="D2266" s="4" t="s">
        <v>1406</v>
      </c>
      <c r="E2266" t="s">
        <v>82</v>
      </c>
      <c r="F2266" s="9">
        <f t="shared" si="146"/>
        <v>0</v>
      </c>
      <c r="G2266" s="9">
        <f t="shared" si="147"/>
        <v>0</v>
      </c>
      <c r="H2266" s="9">
        <f t="shared" si="148"/>
        <v>0</v>
      </c>
      <c r="I2266" s="10">
        <f t="shared" si="149"/>
        <v>0</v>
      </c>
    </row>
    <row r="2267" spans="1:9" x14ac:dyDescent="0.25">
      <c r="A2267" s="11" t="s">
        <v>6357</v>
      </c>
      <c r="B2267" s="11" t="s">
        <v>6358</v>
      </c>
      <c r="C2267" s="11" t="s">
        <v>81</v>
      </c>
      <c r="D2267" s="4" t="s">
        <v>1406</v>
      </c>
      <c r="E2267" t="s">
        <v>82</v>
      </c>
      <c r="F2267" s="9">
        <f t="shared" si="146"/>
        <v>0</v>
      </c>
      <c r="G2267" s="9">
        <f t="shared" si="147"/>
        <v>0</v>
      </c>
      <c r="H2267" s="9">
        <f t="shared" si="148"/>
        <v>0</v>
      </c>
      <c r="I2267" s="10">
        <f t="shared" si="149"/>
        <v>0</v>
      </c>
    </row>
    <row r="2268" spans="1:9" x14ac:dyDescent="0.25">
      <c r="A2268" s="11" t="s">
        <v>6359</v>
      </c>
      <c r="B2268" s="11" t="s">
        <v>6360</v>
      </c>
      <c r="C2268" s="11" t="s">
        <v>81</v>
      </c>
      <c r="D2268" s="4" t="s">
        <v>1406</v>
      </c>
      <c r="E2268" t="s">
        <v>82</v>
      </c>
      <c r="F2268" s="9">
        <f t="shared" si="146"/>
        <v>0</v>
      </c>
      <c r="G2268" s="9">
        <f t="shared" si="147"/>
        <v>0</v>
      </c>
      <c r="H2268" s="9">
        <f t="shared" si="148"/>
        <v>0</v>
      </c>
      <c r="I2268" s="10">
        <f t="shared" si="149"/>
        <v>0</v>
      </c>
    </row>
    <row r="2269" spans="1:9" x14ac:dyDescent="0.25">
      <c r="A2269" s="11" t="s">
        <v>4519</v>
      </c>
      <c r="B2269" s="11" t="s">
        <v>4518</v>
      </c>
      <c r="C2269" s="11" t="s">
        <v>81</v>
      </c>
      <c r="D2269" s="4" t="s">
        <v>1406</v>
      </c>
      <c r="E2269" t="s">
        <v>489</v>
      </c>
      <c r="F2269" s="9">
        <f t="shared" si="146"/>
        <v>0</v>
      </c>
      <c r="G2269" s="9">
        <f t="shared" si="147"/>
        <v>0</v>
      </c>
      <c r="H2269" s="9">
        <f t="shared" si="148"/>
        <v>0</v>
      </c>
      <c r="I2269" s="10">
        <f t="shared" si="149"/>
        <v>0</v>
      </c>
    </row>
    <row r="2270" spans="1:9" x14ac:dyDescent="0.25">
      <c r="A2270" s="11" t="s">
        <v>6361</v>
      </c>
      <c r="B2270" s="11" t="s">
        <v>6362</v>
      </c>
      <c r="C2270" s="11" t="s">
        <v>81</v>
      </c>
      <c r="D2270" s="4" t="s">
        <v>1406</v>
      </c>
      <c r="E2270" t="s">
        <v>82</v>
      </c>
      <c r="F2270" s="9">
        <f t="shared" si="146"/>
        <v>0</v>
      </c>
      <c r="G2270" s="9">
        <f t="shared" si="147"/>
        <v>0</v>
      </c>
      <c r="H2270" s="9">
        <f t="shared" si="148"/>
        <v>0</v>
      </c>
      <c r="I2270" s="10">
        <f t="shared" si="149"/>
        <v>0</v>
      </c>
    </row>
    <row r="2271" spans="1:9" x14ac:dyDescent="0.25">
      <c r="A2271" s="11" t="s">
        <v>6363</v>
      </c>
      <c r="B2271" s="11" t="s">
        <v>6364</v>
      </c>
      <c r="C2271" s="11" t="s">
        <v>81</v>
      </c>
      <c r="D2271" s="4" t="s">
        <v>1406</v>
      </c>
      <c r="E2271" t="s">
        <v>489</v>
      </c>
      <c r="F2271" s="9">
        <f t="shared" si="146"/>
        <v>0</v>
      </c>
      <c r="G2271" s="9">
        <f t="shared" si="147"/>
        <v>0</v>
      </c>
      <c r="H2271" s="9">
        <f t="shared" si="148"/>
        <v>0</v>
      </c>
      <c r="I2271" s="10">
        <f t="shared" si="149"/>
        <v>0</v>
      </c>
    </row>
    <row r="2272" spans="1:9" x14ac:dyDescent="0.25">
      <c r="A2272" s="11" t="s">
        <v>6365</v>
      </c>
      <c r="B2272" s="11" t="s">
        <v>6366</v>
      </c>
      <c r="C2272" s="11" t="s">
        <v>81</v>
      </c>
      <c r="D2272" s="4" t="s">
        <v>1406</v>
      </c>
      <c r="E2272" t="s">
        <v>82</v>
      </c>
      <c r="F2272" s="9">
        <f t="shared" si="146"/>
        <v>0</v>
      </c>
      <c r="G2272" s="9">
        <f t="shared" si="147"/>
        <v>0</v>
      </c>
      <c r="H2272" s="9">
        <f t="shared" si="148"/>
        <v>0</v>
      </c>
      <c r="I2272" s="10">
        <f t="shared" si="149"/>
        <v>0</v>
      </c>
    </row>
    <row r="2273" spans="1:9" x14ac:dyDescent="0.25">
      <c r="A2273" s="11" t="s">
        <v>6367</v>
      </c>
      <c r="B2273" s="11" t="s">
        <v>6368</v>
      </c>
      <c r="C2273" s="11" t="s">
        <v>81</v>
      </c>
      <c r="D2273" s="4" t="s">
        <v>1406</v>
      </c>
      <c r="E2273" t="s">
        <v>82</v>
      </c>
      <c r="F2273" s="9">
        <f t="shared" si="146"/>
        <v>0</v>
      </c>
      <c r="G2273" s="9">
        <f t="shared" si="147"/>
        <v>0</v>
      </c>
      <c r="H2273" s="9">
        <f t="shared" si="148"/>
        <v>0</v>
      </c>
      <c r="I2273" s="10">
        <f t="shared" si="149"/>
        <v>0</v>
      </c>
    </row>
    <row r="2274" spans="1:9" x14ac:dyDescent="0.25">
      <c r="A2274" s="11" t="s">
        <v>6369</v>
      </c>
      <c r="B2274" s="11" t="s">
        <v>6370</v>
      </c>
      <c r="C2274" s="11" t="s">
        <v>81</v>
      </c>
      <c r="D2274" s="4" t="s">
        <v>1406</v>
      </c>
      <c r="E2274" t="s">
        <v>82</v>
      </c>
      <c r="F2274" s="9">
        <f t="shared" si="146"/>
        <v>0</v>
      </c>
      <c r="G2274" s="9">
        <f t="shared" si="147"/>
        <v>0</v>
      </c>
      <c r="H2274" s="9">
        <f t="shared" si="148"/>
        <v>0</v>
      </c>
      <c r="I2274" s="10">
        <f t="shared" si="149"/>
        <v>0</v>
      </c>
    </row>
    <row r="2275" spans="1:9" x14ac:dyDescent="0.25">
      <c r="A2275" s="11" t="s">
        <v>6371</v>
      </c>
      <c r="B2275" s="11" t="s">
        <v>6372</v>
      </c>
      <c r="C2275" s="11" t="s">
        <v>81</v>
      </c>
      <c r="D2275" s="4" t="s">
        <v>1406</v>
      </c>
      <c r="E2275" t="s">
        <v>82</v>
      </c>
      <c r="F2275" s="9">
        <f t="shared" si="146"/>
        <v>0</v>
      </c>
      <c r="G2275" s="9">
        <f t="shared" si="147"/>
        <v>0</v>
      </c>
      <c r="H2275" s="9">
        <f t="shared" si="148"/>
        <v>0</v>
      </c>
      <c r="I2275" s="10">
        <f t="shared" si="149"/>
        <v>0</v>
      </c>
    </row>
    <row r="2276" spans="1:9" x14ac:dyDescent="0.25">
      <c r="A2276" s="11" t="s">
        <v>6373</v>
      </c>
      <c r="B2276" s="11" t="s">
        <v>6374</v>
      </c>
      <c r="C2276" s="11" t="s">
        <v>81</v>
      </c>
      <c r="D2276" s="4" t="s">
        <v>1406</v>
      </c>
      <c r="E2276" t="s">
        <v>82</v>
      </c>
      <c r="F2276" s="9">
        <f t="shared" si="146"/>
        <v>0</v>
      </c>
      <c r="G2276" s="9">
        <f t="shared" si="147"/>
        <v>0</v>
      </c>
      <c r="H2276" s="9">
        <f t="shared" si="148"/>
        <v>0</v>
      </c>
      <c r="I2276" s="10">
        <f t="shared" si="149"/>
        <v>0</v>
      </c>
    </row>
    <row r="2277" spans="1:9" x14ac:dyDescent="0.25">
      <c r="A2277" s="11" t="s">
        <v>6375</v>
      </c>
      <c r="B2277" s="11" t="s">
        <v>6376</v>
      </c>
      <c r="C2277" s="11" t="s">
        <v>81</v>
      </c>
      <c r="D2277" s="4" t="s">
        <v>1406</v>
      </c>
      <c r="E2277" t="s">
        <v>82</v>
      </c>
      <c r="F2277" s="9">
        <f t="shared" si="146"/>
        <v>0</v>
      </c>
      <c r="G2277" s="9">
        <f t="shared" si="147"/>
        <v>0</v>
      </c>
      <c r="H2277" s="9">
        <f t="shared" si="148"/>
        <v>0</v>
      </c>
      <c r="I2277" s="10">
        <f t="shared" si="149"/>
        <v>0</v>
      </c>
    </row>
    <row r="2278" spans="1:9" x14ac:dyDescent="0.25">
      <c r="A2278" s="11" t="s">
        <v>6377</v>
      </c>
      <c r="B2278" s="11" t="s">
        <v>6378</v>
      </c>
      <c r="C2278" s="11" t="s">
        <v>81</v>
      </c>
      <c r="D2278" s="4" t="s">
        <v>1406</v>
      </c>
      <c r="E2278" t="s">
        <v>82</v>
      </c>
      <c r="F2278" s="9">
        <f t="shared" si="146"/>
        <v>0</v>
      </c>
      <c r="G2278" s="9">
        <f t="shared" si="147"/>
        <v>0</v>
      </c>
      <c r="H2278" s="9">
        <f t="shared" si="148"/>
        <v>0</v>
      </c>
      <c r="I2278" s="10">
        <f t="shared" si="149"/>
        <v>0</v>
      </c>
    </row>
    <row r="2279" spans="1:9" x14ac:dyDescent="0.25">
      <c r="A2279" s="11" t="s">
        <v>6379</v>
      </c>
      <c r="B2279" s="11" t="s">
        <v>6380</v>
      </c>
      <c r="C2279" s="11" t="s">
        <v>81</v>
      </c>
      <c r="D2279" s="4" t="s">
        <v>1406</v>
      </c>
      <c r="E2279" t="s">
        <v>82</v>
      </c>
      <c r="F2279" s="9">
        <f t="shared" si="146"/>
        <v>0</v>
      </c>
      <c r="G2279" s="9">
        <f t="shared" si="147"/>
        <v>0</v>
      </c>
      <c r="H2279" s="9">
        <f t="shared" si="148"/>
        <v>0</v>
      </c>
      <c r="I2279" s="10">
        <f t="shared" si="149"/>
        <v>0</v>
      </c>
    </row>
    <row r="2280" spans="1:9" x14ac:dyDescent="0.25">
      <c r="A2280" s="11" t="s">
        <v>6381</v>
      </c>
      <c r="B2280" s="11" t="s">
        <v>6382</v>
      </c>
      <c r="C2280" s="11" t="s">
        <v>81</v>
      </c>
      <c r="D2280" s="4" t="s">
        <v>1406</v>
      </c>
      <c r="E2280" t="s">
        <v>82</v>
      </c>
      <c r="F2280" s="9">
        <f t="shared" si="146"/>
        <v>0</v>
      </c>
      <c r="G2280" s="9">
        <f t="shared" si="147"/>
        <v>0</v>
      </c>
      <c r="H2280" s="9">
        <f t="shared" si="148"/>
        <v>0</v>
      </c>
      <c r="I2280" s="10">
        <f t="shared" si="149"/>
        <v>0</v>
      </c>
    </row>
    <row r="2281" spans="1:9" x14ac:dyDescent="0.25">
      <c r="A2281" s="11" t="s">
        <v>6383</v>
      </c>
      <c r="B2281" s="11" t="s">
        <v>6384</v>
      </c>
      <c r="C2281" s="11" t="s">
        <v>81</v>
      </c>
      <c r="D2281" s="4" t="s">
        <v>1406</v>
      </c>
      <c r="E2281" t="s">
        <v>489</v>
      </c>
      <c r="F2281" s="9">
        <f t="shared" si="146"/>
        <v>0</v>
      </c>
      <c r="G2281" s="9">
        <f t="shared" si="147"/>
        <v>0</v>
      </c>
      <c r="H2281" s="9">
        <f t="shared" si="148"/>
        <v>0</v>
      </c>
      <c r="I2281" s="10">
        <f t="shared" si="149"/>
        <v>0</v>
      </c>
    </row>
    <row r="2282" spans="1:9" x14ac:dyDescent="0.25">
      <c r="A2282" s="11" t="s">
        <v>6385</v>
      </c>
      <c r="B2282" s="11" t="s">
        <v>6386</v>
      </c>
      <c r="C2282" s="11" t="s">
        <v>81</v>
      </c>
      <c r="D2282" s="4" t="s">
        <v>1406</v>
      </c>
      <c r="E2282" t="s">
        <v>82</v>
      </c>
      <c r="F2282" s="9">
        <f t="shared" si="146"/>
        <v>0</v>
      </c>
      <c r="G2282" s="9">
        <f t="shared" si="147"/>
        <v>0</v>
      </c>
      <c r="H2282" s="9">
        <f t="shared" si="148"/>
        <v>0</v>
      </c>
      <c r="I2282" s="10">
        <f t="shared" si="149"/>
        <v>0</v>
      </c>
    </row>
    <row r="2283" spans="1:9" x14ac:dyDescent="0.25">
      <c r="A2283" s="11" t="s">
        <v>6387</v>
      </c>
      <c r="B2283" s="11" t="s">
        <v>6388</v>
      </c>
      <c r="C2283" s="11" t="s">
        <v>81</v>
      </c>
      <c r="D2283" s="4" t="s">
        <v>1406</v>
      </c>
      <c r="E2283" t="s">
        <v>82</v>
      </c>
      <c r="F2283" s="9">
        <f t="shared" si="146"/>
        <v>0</v>
      </c>
      <c r="G2283" s="9">
        <f t="shared" si="147"/>
        <v>0</v>
      </c>
      <c r="H2283" s="9">
        <f t="shared" si="148"/>
        <v>0</v>
      </c>
      <c r="I2283" s="10">
        <f t="shared" si="149"/>
        <v>0</v>
      </c>
    </row>
    <row r="2284" spans="1:9" x14ac:dyDescent="0.25">
      <c r="A2284" s="11" t="s">
        <v>6389</v>
      </c>
      <c r="B2284" s="11" t="s">
        <v>6390</v>
      </c>
      <c r="C2284" s="11" t="s">
        <v>81</v>
      </c>
      <c r="D2284" s="4" t="s">
        <v>1406</v>
      </c>
      <c r="E2284" t="s">
        <v>489</v>
      </c>
      <c r="F2284" s="9">
        <f t="shared" si="146"/>
        <v>0</v>
      </c>
      <c r="G2284" s="9">
        <f t="shared" si="147"/>
        <v>0</v>
      </c>
      <c r="H2284" s="9">
        <f t="shared" si="148"/>
        <v>0</v>
      </c>
      <c r="I2284" s="10">
        <f t="shared" si="149"/>
        <v>0</v>
      </c>
    </row>
    <row r="2285" spans="1:9" x14ac:dyDescent="0.25">
      <c r="A2285" s="11" t="s">
        <v>6391</v>
      </c>
      <c r="B2285" s="11" t="s">
        <v>6392</v>
      </c>
      <c r="C2285" s="11" t="s">
        <v>81</v>
      </c>
      <c r="D2285" s="4" t="s">
        <v>1406</v>
      </c>
      <c r="E2285" t="s">
        <v>82</v>
      </c>
      <c r="F2285" s="9">
        <f t="shared" si="146"/>
        <v>0</v>
      </c>
      <c r="G2285" s="9">
        <f t="shared" si="147"/>
        <v>0</v>
      </c>
      <c r="H2285" s="9">
        <f t="shared" si="148"/>
        <v>0</v>
      </c>
      <c r="I2285" s="10">
        <f t="shared" si="149"/>
        <v>0</v>
      </c>
    </row>
    <row r="2286" spans="1:9" x14ac:dyDescent="0.25">
      <c r="A2286" s="11" t="s">
        <v>6393</v>
      </c>
      <c r="B2286" s="11" t="s">
        <v>6394</v>
      </c>
      <c r="C2286" s="11" t="s">
        <v>81</v>
      </c>
      <c r="D2286" s="4" t="s">
        <v>1406</v>
      </c>
      <c r="E2286" t="s">
        <v>82</v>
      </c>
      <c r="F2286" s="9">
        <f t="shared" si="146"/>
        <v>0</v>
      </c>
      <c r="G2286" s="9">
        <f t="shared" si="147"/>
        <v>0</v>
      </c>
      <c r="H2286" s="9">
        <f t="shared" si="148"/>
        <v>0</v>
      </c>
      <c r="I2286" s="10">
        <f t="shared" si="149"/>
        <v>0</v>
      </c>
    </row>
    <row r="2287" spans="1:9" x14ac:dyDescent="0.25">
      <c r="A2287" s="11" t="s">
        <v>6395</v>
      </c>
      <c r="B2287" s="11" t="s">
        <v>6396</v>
      </c>
      <c r="C2287" s="11" t="s">
        <v>81</v>
      </c>
      <c r="D2287" s="4" t="s">
        <v>1406</v>
      </c>
      <c r="E2287" t="s">
        <v>82</v>
      </c>
      <c r="F2287" s="9">
        <f t="shared" si="146"/>
        <v>0</v>
      </c>
      <c r="G2287" s="9">
        <f t="shared" si="147"/>
        <v>0</v>
      </c>
      <c r="H2287" s="9">
        <f t="shared" si="148"/>
        <v>0</v>
      </c>
      <c r="I2287" s="10">
        <f t="shared" si="149"/>
        <v>0</v>
      </c>
    </row>
    <row r="2288" spans="1:9" x14ac:dyDescent="0.25">
      <c r="A2288" s="11" t="s">
        <v>6397</v>
      </c>
      <c r="B2288" s="11" t="s">
        <v>6398</v>
      </c>
      <c r="C2288" s="11" t="s">
        <v>81</v>
      </c>
      <c r="D2288" s="4" t="s">
        <v>1406</v>
      </c>
      <c r="E2288" t="s">
        <v>82</v>
      </c>
      <c r="F2288" s="9">
        <f t="shared" si="146"/>
        <v>0</v>
      </c>
      <c r="G2288" s="9">
        <f t="shared" si="147"/>
        <v>0</v>
      </c>
      <c r="H2288" s="9">
        <f t="shared" si="148"/>
        <v>0</v>
      </c>
      <c r="I2288" s="10">
        <f t="shared" si="149"/>
        <v>0</v>
      </c>
    </row>
    <row r="2289" spans="1:9" x14ac:dyDescent="0.25">
      <c r="A2289" s="11" t="s">
        <v>6399</v>
      </c>
      <c r="B2289" s="11" t="s">
        <v>6400</v>
      </c>
      <c r="C2289" s="11" t="s">
        <v>81</v>
      </c>
      <c r="D2289" s="4" t="s">
        <v>1406</v>
      </c>
      <c r="E2289" t="s">
        <v>82</v>
      </c>
      <c r="F2289" s="9">
        <f t="shared" si="146"/>
        <v>0</v>
      </c>
      <c r="G2289" s="9">
        <f t="shared" si="147"/>
        <v>0</v>
      </c>
      <c r="H2289" s="9">
        <f t="shared" si="148"/>
        <v>0</v>
      </c>
      <c r="I2289" s="10">
        <f t="shared" si="149"/>
        <v>0</v>
      </c>
    </row>
    <row r="2290" spans="1:9" x14ac:dyDescent="0.25">
      <c r="A2290" s="11" t="s">
        <v>6401</v>
      </c>
      <c r="B2290" s="11" t="s">
        <v>6402</v>
      </c>
      <c r="C2290" s="11" t="s">
        <v>81</v>
      </c>
      <c r="D2290" s="4" t="s">
        <v>1406</v>
      </c>
      <c r="E2290" t="s">
        <v>82</v>
      </c>
      <c r="F2290" s="9">
        <f t="shared" si="146"/>
        <v>0</v>
      </c>
      <c r="G2290" s="9">
        <f t="shared" si="147"/>
        <v>0</v>
      </c>
      <c r="H2290" s="9">
        <f t="shared" si="148"/>
        <v>0</v>
      </c>
      <c r="I2290" s="10">
        <f t="shared" si="149"/>
        <v>0</v>
      </c>
    </row>
    <row r="2291" spans="1:9" x14ac:dyDescent="0.25">
      <c r="A2291" s="11" t="s">
        <v>6403</v>
      </c>
      <c r="B2291" s="11" t="s">
        <v>6404</v>
      </c>
      <c r="C2291" s="11" t="s">
        <v>81</v>
      </c>
      <c r="D2291" s="4" t="s">
        <v>1406</v>
      </c>
      <c r="E2291" t="s">
        <v>82</v>
      </c>
      <c r="F2291" s="9">
        <f t="shared" si="146"/>
        <v>0</v>
      </c>
      <c r="G2291" s="9">
        <f t="shared" si="147"/>
        <v>0</v>
      </c>
      <c r="H2291" s="9">
        <f t="shared" si="148"/>
        <v>0</v>
      </c>
      <c r="I2291" s="10">
        <f t="shared" si="149"/>
        <v>0</v>
      </c>
    </row>
    <row r="2292" spans="1:9" x14ac:dyDescent="0.25">
      <c r="A2292" s="11" t="s">
        <v>6405</v>
      </c>
      <c r="B2292" s="11" t="s">
        <v>6406</v>
      </c>
      <c r="C2292" s="11" t="s">
        <v>81</v>
      </c>
      <c r="D2292" s="4" t="s">
        <v>1406</v>
      </c>
      <c r="E2292" t="s">
        <v>82</v>
      </c>
      <c r="F2292" s="9">
        <f t="shared" si="146"/>
        <v>0</v>
      </c>
      <c r="G2292" s="9">
        <f t="shared" si="147"/>
        <v>0</v>
      </c>
      <c r="H2292" s="9">
        <f t="shared" si="148"/>
        <v>0</v>
      </c>
      <c r="I2292" s="10">
        <f t="shared" si="149"/>
        <v>0</v>
      </c>
    </row>
    <row r="2293" spans="1:9" x14ac:dyDescent="0.25">
      <c r="A2293" s="11" t="s">
        <v>6407</v>
      </c>
      <c r="B2293" s="11" t="s">
        <v>6408</v>
      </c>
      <c r="C2293" s="11" t="s">
        <v>81</v>
      </c>
      <c r="D2293" s="4" t="s">
        <v>1406</v>
      </c>
      <c r="E2293" t="s">
        <v>489</v>
      </c>
      <c r="F2293" s="9">
        <f t="shared" si="146"/>
        <v>0</v>
      </c>
      <c r="G2293" s="9">
        <f t="shared" si="147"/>
        <v>0</v>
      </c>
      <c r="H2293" s="9">
        <f t="shared" si="148"/>
        <v>0</v>
      </c>
      <c r="I2293" s="10">
        <f t="shared" si="149"/>
        <v>0</v>
      </c>
    </row>
    <row r="2294" spans="1:9" x14ac:dyDescent="0.25">
      <c r="A2294" s="11" t="s">
        <v>6409</v>
      </c>
      <c r="B2294" s="11" t="s">
        <v>6410</v>
      </c>
      <c r="C2294" s="11" t="s">
        <v>81</v>
      </c>
      <c r="D2294" s="4" t="s">
        <v>1406</v>
      </c>
      <c r="E2294" t="s">
        <v>82</v>
      </c>
      <c r="F2294" s="9">
        <f t="shared" si="146"/>
        <v>0</v>
      </c>
      <c r="G2294" s="9">
        <f t="shared" si="147"/>
        <v>0</v>
      </c>
      <c r="H2294" s="9">
        <f t="shared" si="148"/>
        <v>0</v>
      </c>
      <c r="I2294" s="10">
        <f t="shared" si="149"/>
        <v>0</v>
      </c>
    </row>
    <row r="2295" spans="1:9" x14ac:dyDescent="0.25">
      <c r="A2295" s="11" t="s">
        <v>6411</v>
      </c>
      <c r="B2295" s="11" t="s">
        <v>6412</v>
      </c>
      <c r="C2295" s="11" t="s">
        <v>81</v>
      </c>
      <c r="D2295" s="4" t="s">
        <v>1406</v>
      </c>
      <c r="E2295" t="s">
        <v>82</v>
      </c>
      <c r="F2295" s="9">
        <f t="shared" si="146"/>
        <v>0</v>
      </c>
      <c r="G2295" s="9">
        <f t="shared" si="147"/>
        <v>0</v>
      </c>
      <c r="H2295" s="9">
        <f t="shared" si="148"/>
        <v>0</v>
      </c>
      <c r="I2295" s="10">
        <f t="shared" si="149"/>
        <v>0</v>
      </c>
    </row>
    <row r="2296" spans="1:9" x14ac:dyDescent="0.25">
      <c r="A2296" s="11" t="s">
        <v>6413</v>
      </c>
      <c r="B2296" s="11" t="s">
        <v>6414</v>
      </c>
      <c r="C2296" s="11" t="s">
        <v>81</v>
      </c>
      <c r="D2296" s="4" t="s">
        <v>1406</v>
      </c>
      <c r="E2296" t="s">
        <v>82</v>
      </c>
      <c r="F2296" s="9">
        <f t="shared" si="146"/>
        <v>0</v>
      </c>
      <c r="G2296" s="9">
        <f t="shared" si="147"/>
        <v>0</v>
      </c>
      <c r="H2296" s="9">
        <f t="shared" si="148"/>
        <v>0</v>
      </c>
      <c r="I2296" s="10">
        <f t="shared" si="149"/>
        <v>0</v>
      </c>
    </row>
    <row r="2297" spans="1:9" x14ac:dyDescent="0.25">
      <c r="A2297" s="11" t="s">
        <v>6415</v>
      </c>
      <c r="B2297" s="11" t="s">
        <v>6416</v>
      </c>
      <c r="C2297" s="11" t="s">
        <v>81</v>
      </c>
      <c r="D2297" s="4" t="s">
        <v>1406</v>
      </c>
      <c r="E2297" t="s">
        <v>82</v>
      </c>
      <c r="F2297" s="9">
        <f t="shared" si="146"/>
        <v>0</v>
      </c>
      <c r="G2297" s="9">
        <f t="shared" si="147"/>
        <v>0</v>
      </c>
      <c r="H2297" s="9">
        <f t="shared" si="148"/>
        <v>0</v>
      </c>
      <c r="I2297" s="10">
        <f t="shared" si="149"/>
        <v>0</v>
      </c>
    </row>
    <row r="2298" spans="1:9" x14ac:dyDescent="0.25">
      <c r="A2298" s="11" t="s">
        <v>6417</v>
      </c>
      <c r="B2298" s="11" t="s">
        <v>6418</v>
      </c>
      <c r="C2298" s="11" t="s">
        <v>81</v>
      </c>
      <c r="D2298" s="4" t="s">
        <v>1406</v>
      </c>
      <c r="E2298" t="s">
        <v>489</v>
      </c>
      <c r="F2298" s="9">
        <f t="shared" si="146"/>
        <v>0</v>
      </c>
      <c r="G2298" s="9">
        <f t="shared" si="147"/>
        <v>0</v>
      </c>
      <c r="H2298" s="9">
        <f t="shared" si="148"/>
        <v>0</v>
      </c>
      <c r="I2298" s="10">
        <f t="shared" si="149"/>
        <v>0</v>
      </c>
    </row>
    <row r="2299" spans="1:9" x14ac:dyDescent="0.25">
      <c r="A2299" s="11" t="s">
        <v>6419</v>
      </c>
      <c r="B2299" s="11" t="s">
        <v>6420</v>
      </c>
      <c r="C2299" s="11" t="s">
        <v>81</v>
      </c>
      <c r="D2299" s="4" t="s">
        <v>1406</v>
      </c>
      <c r="E2299" t="s">
        <v>489</v>
      </c>
      <c r="F2299" s="9">
        <f t="shared" si="146"/>
        <v>0</v>
      </c>
      <c r="G2299" s="9">
        <f t="shared" si="147"/>
        <v>0</v>
      </c>
      <c r="H2299" s="9">
        <f t="shared" si="148"/>
        <v>0</v>
      </c>
      <c r="I2299" s="10">
        <f t="shared" si="149"/>
        <v>0</v>
      </c>
    </row>
    <row r="2300" spans="1:9" x14ac:dyDescent="0.25">
      <c r="A2300" s="11" t="s">
        <v>6421</v>
      </c>
      <c r="B2300" s="11" t="s">
        <v>6422</v>
      </c>
      <c r="C2300" s="11" t="s">
        <v>81</v>
      </c>
      <c r="D2300" s="4" t="s">
        <v>1406</v>
      </c>
      <c r="E2300" t="s">
        <v>489</v>
      </c>
      <c r="F2300" s="9">
        <f t="shared" si="146"/>
        <v>0</v>
      </c>
      <c r="G2300" s="9">
        <f t="shared" si="147"/>
        <v>0</v>
      </c>
      <c r="H2300" s="9">
        <f t="shared" si="148"/>
        <v>0</v>
      </c>
      <c r="I2300" s="10">
        <f t="shared" si="149"/>
        <v>0</v>
      </c>
    </row>
    <row r="2301" spans="1:9" x14ac:dyDescent="0.25">
      <c r="A2301" s="11" t="s">
        <v>6423</v>
      </c>
      <c r="B2301" s="11" t="s">
        <v>6424</v>
      </c>
      <c r="C2301" s="11" t="s">
        <v>81</v>
      </c>
      <c r="D2301" s="4" t="s">
        <v>1406</v>
      </c>
      <c r="E2301" t="s">
        <v>82</v>
      </c>
      <c r="F2301" s="9">
        <f t="shared" si="146"/>
        <v>0</v>
      </c>
      <c r="G2301" s="9">
        <f t="shared" si="147"/>
        <v>0</v>
      </c>
      <c r="H2301" s="9">
        <f t="shared" si="148"/>
        <v>0</v>
      </c>
      <c r="I2301" s="10">
        <f t="shared" si="149"/>
        <v>0</v>
      </c>
    </row>
    <row r="2302" spans="1:9" x14ac:dyDescent="0.25">
      <c r="A2302" s="11" t="s">
        <v>6425</v>
      </c>
      <c r="B2302" s="11" t="s">
        <v>6426</v>
      </c>
      <c r="C2302" s="11" t="s">
        <v>81</v>
      </c>
      <c r="D2302" s="4" t="s">
        <v>1406</v>
      </c>
      <c r="E2302" t="s">
        <v>489</v>
      </c>
      <c r="F2302" s="9">
        <f t="shared" si="146"/>
        <v>0</v>
      </c>
      <c r="G2302" s="9">
        <f t="shared" si="147"/>
        <v>0</v>
      </c>
      <c r="H2302" s="9">
        <f t="shared" si="148"/>
        <v>0</v>
      </c>
      <c r="I2302" s="10">
        <f t="shared" si="149"/>
        <v>0</v>
      </c>
    </row>
    <row r="2303" spans="1:9" x14ac:dyDescent="0.25">
      <c r="A2303" s="11" t="s">
        <v>6427</v>
      </c>
      <c r="B2303" s="11" t="s">
        <v>6428</v>
      </c>
      <c r="C2303" s="11" t="s">
        <v>81</v>
      </c>
      <c r="D2303" s="4" t="s">
        <v>1406</v>
      </c>
      <c r="E2303" t="s">
        <v>82</v>
      </c>
      <c r="F2303" s="9">
        <f t="shared" si="146"/>
        <v>0</v>
      </c>
      <c r="G2303" s="9">
        <f t="shared" si="147"/>
        <v>0</v>
      </c>
      <c r="H2303" s="9">
        <f t="shared" si="148"/>
        <v>0</v>
      </c>
      <c r="I2303" s="10">
        <f t="shared" si="149"/>
        <v>0</v>
      </c>
    </row>
    <row r="2304" spans="1:9" x14ac:dyDescent="0.25">
      <c r="A2304" s="11" t="s">
        <v>6429</v>
      </c>
      <c r="B2304" s="11" t="s">
        <v>6430</v>
      </c>
      <c r="C2304" s="11" t="s">
        <v>81</v>
      </c>
      <c r="D2304" s="4" t="s">
        <v>1406</v>
      </c>
      <c r="E2304" t="s">
        <v>82</v>
      </c>
      <c r="F2304" s="9">
        <f t="shared" si="146"/>
        <v>0</v>
      </c>
      <c r="G2304" s="9">
        <f t="shared" si="147"/>
        <v>0</v>
      </c>
      <c r="H2304" s="9">
        <f t="shared" si="148"/>
        <v>0</v>
      </c>
      <c r="I2304" s="10">
        <f t="shared" si="149"/>
        <v>0</v>
      </c>
    </row>
    <row r="2305" spans="1:9" x14ac:dyDescent="0.25">
      <c r="A2305" s="11" t="s">
        <v>4522</v>
      </c>
      <c r="B2305" s="11" t="s">
        <v>4521</v>
      </c>
      <c r="C2305" s="11" t="s">
        <v>81</v>
      </c>
      <c r="D2305" s="4" t="s">
        <v>1406</v>
      </c>
      <c r="E2305" t="s">
        <v>82</v>
      </c>
      <c r="F2305" s="9">
        <f t="shared" si="146"/>
        <v>0</v>
      </c>
      <c r="G2305" s="9">
        <f t="shared" si="147"/>
        <v>0</v>
      </c>
      <c r="H2305" s="9">
        <f t="shared" si="148"/>
        <v>0</v>
      </c>
      <c r="I2305" s="10">
        <f t="shared" si="149"/>
        <v>0</v>
      </c>
    </row>
    <row r="2306" spans="1:9" x14ac:dyDescent="0.25">
      <c r="A2306" s="11" t="s">
        <v>6431</v>
      </c>
      <c r="B2306" s="11" t="s">
        <v>6432</v>
      </c>
      <c r="C2306" s="11" t="s">
        <v>81</v>
      </c>
      <c r="D2306" s="4" t="s">
        <v>1406</v>
      </c>
      <c r="E2306" t="s">
        <v>82</v>
      </c>
      <c r="F2306" s="9">
        <f t="shared" si="146"/>
        <v>0</v>
      </c>
      <c r="G2306" s="9">
        <f t="shared" si="147"/>
        <v>0</v>
      </c>
      <c r="H2306" s="9">
        <f t="shared" si="148"/>
        <v>0</v>
      </c>
      <c r="I2306" s="10">
        <f t="shared" si="149"/>
        <v>0</v>
      </c>
    </row>
    <row r="2307" spans="1:9" x14ac:dyDescent="0.25">
      <c r="A2307" s="11" t="s">
        <v>6433</v>
      </c>
      <c r="B2307" s="11" t="s">
        <v>6434</v>
      </c>
      <c r="C2307" s="11" t="s">
        <v>81</v>
      </c>
      <c r="D2307" s="4" t="s">
        <v>1406</v>
      </c>
      <c r="E2307" t="s">
        <v>489</v>
      </c>
      <c r="F2307" s="9">
        <f t="shared" si="146"/>
        <v>0</v>
      </c>
      <c r="G2307" s="9">
        <f t="shared" si="147"/>
        <v>0</v>
      </c>
      <c r="H2307" s="9">
        <f t="shared" si="148"/>
        <v>0</v>
      </c>
      <c r="I2307" s="10">
        <f t="shared" si="149"/>
        <v>0</v>
      </c>
    </row>
    <row r="2308" spans="1:9" x14ac:dyDescent="0.25">
      <c r="A2308" s="11" t="s">
        <v>6435</v>
      </c>
      <c r="B2308" s="11" t="s">
        <v>6436</v>
      </c>
      <c r="C2308" s="11" t="s">
        <v>81</v>
      </c>
      <c r="D2308" s="4" t="s">
        <v>1406</v>
      </c>
      <c r="E2308" t="s">
        <v>82</v>
      </c>
      <c r="F2308" s="9">
        <f t="shared" si="146"/>
        <v>0</v>
      </c>
      <c r="G2308" s="9">
        <f t="shared" si="147"/>
        <v>0</v>
      </c>
      <c r="H2308" s="9">
        <f t="shared" si="148"/>
        <v>0</v>
      </c>
      <c r="I2308" s="10">
        <f t="shared" si="149"/>
        <v>0</v>
      </c>
    </row>
    <row r="2309" spans="1:9" x14ac:dyDescent="0.25">
      <c r="A2309" s="11" t="s">
        <v>6437</v>
      </c>
      <c r="B2309" s="11" t="s">
        <v>6438</v>
      </c>
      <c r="C2309" s="11" t="s">
        <v>81</v>
      </c>
      <c r="D2309" s="4" t="s">
        <v>1406</v>
      </c>
      <c r="E2309" t="s">
        <v>82</v>
      </c>
      <c r="F2309" s="9">
        <f t="shared" si="146"/>
        <v>0</v>
      </c>
      <c r="G2309" s="9">
        <f t="shared" si="147"/>
        <v>0</v>
      </c>
      <c r="H2309" s="9">
        <f t="shared" si="148"/>
        <v>0</v>
      </c>
      <c r="I2309" s="10">
        <f t="shared" si="149"/>
        <v>0</v>
      </c>
    </row>
    <row r="2310" spans="1:9" x14ac:dyDescent="0.25">
      <c r="A2310" s="11" t="s">
        <v>6439</v>
      </c>
      <c r="B2310" s="11" t="s">
        <v>6440</v>
      </c>
      <c r="C2310" s="11" t="s">
        <v>81</v>
      </c>
      <c r="D2310" s="4" t="s">
        <v>1406</v>
      </c>
      <c r="E2310" t="s">
        <v>489</v>
      </c>
      <c r="F2310" s="9">
        <f t="shared" si="146"/>
        <v>0</v>
      </c>
      <c r="G2310" s="9">
        <f t="shared" si="147"/>
        <v>0</v>
      </c>
      <c r="H2310" s="9">
        <f t="shared" si="148"/>
        <v>0</v>
      </c>
      <c r="I2310" s="10">
        <f t="shared" si="149"/>
        <v>0</v>
      </c>
    </row>
    <row r="2311" spans="1:9" x14ac:dyDescent="0.25">
      <c r="A2311" s="11" t="s">
        <v>6441</v>
      </c>
      <c r="B2311" s="11" t="s">
        <v>6442</v>
      </c>
      <c r="C2311" s="11" t="s">
        <v>81</v>
      </c>
      <c r="D2311" s="4" t="s">
        <v>1406</v>
      </c>
      <c r="E2311" t="s">
        <v>489</v>
      </c>
      <c r="F2311" s="9">
        <f t="shared" si="146"/>
        <v>0</v>
      </c>
      <c r="G2311" s="9">
        <f t="shared" si="147"/>
        <v>0</v>
      </c>
      <c r="H2311" s="9">
        <f t="shared" si="148"/>
        <v>0</v>
      </c>
      <c r="I2311" s="10">
        <f t="shared" si="149"/>
        <v>0</v>
      </c>
    </row>
    <row r="2312" spans="1:9" x14ac:dyDescent="0.25">
      <c r="A2312" s="11" t="s">
        <v>6443</v>
      </c>
      <c r="B2312" s="11" t="s">
        <v>6444</v>
      </c>
      <c r="C2312" s="11" t="s">
        <v>81</v>
      </c>
      <c r="D2312" s="4" t="s">
        <v>1406</v>
      </c>
      <c r="E2312" t="s">
        <v>489</v>
      </c>
      <c r="F2312" s="9">
        <f t="shared" ref="F2312:F2375" si="150">IFERROR(VLOOKUP(A2312,condi,8,0),0)</f>
        <v>0</v>
      </c>
      <c r="G2312" s="9">
        <f t="shared" ref="G2312:G2375" si="151">IFERROR(VLOOKUP(A2312,maqui,8,0),0)</f>
        <v>0</v>
      </c>
      <c r="H2312" s="9">
        <f t="shared" ref="H2312:H2375" si="152">IFERROR(VLOOKUP(A2312,ascint,8,0),0)</f>
        <v>0</v>
      </c>
      <c r="I2312" s="10">
        <f t="shared" ref="I2312:I2375" si="153">+F2312+G2312+H2312</f>
        <v>0</v>
      </c>
    </row>
    <row r="2313" spans="1:9" x14ac:dyDescent="0.25">
      <c r="A2313" s="11" t="s">
        <v>6445</v>
      </c>
      <c r="B2313" s="11" t="s">
        <v>6446</v>
      </c>
      <c r="C2313" s="11" t="s">
        <v>81</v>
      </c>
      <c r="D2313" s="4" t="s">
        <v>1406</v>
      </c>
      <c r="E2313" t="s">
        <v>489</v>
      </c>
      <c r="F2313" s="9">
        <f t="shared" si="150"/>
        <v>0</v>
      </c>
      <c r="G2313" s="9">
        <f t="shared" si="151"/>
        <v>0</v>
      </c>
      <c r="H2313" s="9">
        <f t="shared" si="152"/>
        <v>0</v>
      </c>
      <c r="I2313" s="10">
        <f t="shared" si="153"/>
        <v>0</v>
      </c>
    </row>
    <row r="2314" spans="1:9" x14ac:dyDescent="0.25">
      <c r="A2314" s="11" t="s">
        <v>6447</v>
      </c>
      <c r="B2314" s="11" t="s">
        <v>6448</v>
      </c>
      <c r="C2314" s="11" t="s">
        <v>81</v>
      </c>
      <c r="D2314" s="4" t="s">
        <v>1406</v>
      </c>
      <c r="E2314" t="s">
        <v>489</v>
      </c>
      <c r="F2314" s="9">
        <f t="shared" si="150"/>
        <v>0</v>
      </c>
      <c r="G2314" s="9">
        <f t="shared" si="151"/>
        <v>0</v>
      </c>
      <c r="H2314" s="9">
        <f t="shared" si="152"/>
        <v>0</v>
      </c>
      <c r="I2314" s="10">
        <f t="shared" si="153"/>
        <v>0</v>
      </c>
    </row>
    <row r="2315" spans="1:9" x14ac:dyDescent="0.25">
      <c r="A2315" s="11" t="s">
        <v>6449</v>
      </c>
      <c r="B2315" s="11" t="s">
        <v>6450</v>
      </c>
      <c r="C2315" s="11" t="s">
        <v>81</v>
      </c>
      <c r="D2315" s="4" t="s">
        <v>1406</v>
      </c>
      <c r="E2315" t="s">
        <v>82</v>
      </c>
      <c r="F2315" s="9">
        <f t="shared" si="150"/>
        <v>0</v>
      </c>
      <c r="G2315" s="9">
        <f t="shared" si="151"/>
        <v>0</v>
      </c>
      <c r="H2315" s="9">
        <f t="shared" si="152"/>
        <v>0</v>
      </c>
      <c r="I2315" s="10">
        <f t="shared" si="153"/>
        <v>0</v>
      </c>
    </row>
    <row r="2316" spans="1:9" x14ac:dyDescent="0.25">
      <c r="A2316" s="11" t="s">
        <v>6451</v>
      </c>
      <c r="B2316" s="11" t="s">
        <v>6452</v>
      </c>
      <c r="C2316" s="11" t="s">
        <v>81</v>
      </c>
      <c r="D2316" s="4" t="s">
        <v>1406</v>
      </c>
      <c r="E2316" t="s">
        <v>489</v>
      </c>
      <c r="F2316" s="9">
        <f t="shared" si="150"/>
        <v>0</v>
      </c>
      <c r="G2316" s="9">
        <f t="shared" si="151"/>
        <v>0</v>
      </c>
      <c r="H2316" s="9">
        <f t="shared" si="152"/>
        <v>0</v>
      </c>
      <c r="I2316" s="10">
        <f t="shared" si="153"/>
        <v>0</v>
      </c>
    </row>
    <row r="2317" spans="1:9" x14ac:dyDescent="0.25">
      <c r="A2317" s="11" t="s">
        <v>6453</v>
      </c>
      <c r="B2317" s="11" t="s">
        <v>6454</v>
      </c>
      <c r="C2317" s="11" t="s">
        <v>81</v>
      </c>
      <c r="D2317" s="4" t="s">
        <v>1406</v>
      </c>
      <c r="E2317" t="s">
        <v>82</v>
      </c>
      <c r="F2317" s="9">
        <f t="shared" si="150"/>
        <v>0</v>
      </c>
      <c r="G2317" s="9">
        <f t="shared" si="151"/>
        <v>0</v>
      </c>
      <c r="H2317" s="9">
        <f t="shared" si="152"/>
        <v>0</v>
      </c>
      <c r="I2317" s="10">
        <f t="shared" si="153"/>
        <v>0</v>
      </c>
    </row>
    <row r="2318" spans="1:9" x14ac:dyDescent="0.25">
      <c r="A2318" s="11" t="s">
        <v>6455</v>
      </c>
      <c r="B2318" s="11" t="s">
        <v>6456</v>
      </c>
      <c r="C2318" s="11" t="s">
        <v>81</v>
      </c>
      <c r="D2318" s="4" t="s">
        <v>1406</v>
      </c>
      <c r="E2318" t="s">
        <v>82</v>
      </c>
      <c r="F2318" s="9">
        <f t="shared" si="150"/>
        <v>0</v>
      </c>
      <c r="G2318" s="9">
        <f t="shared" si="151"/>
        <v>0</v>
      </c>
      <c r="H2318" s="9">
        <f t="shared" si="152"/>
        <v>0</v>
      </c>
      <c r="I2318" s="10">
        <f t="shared" si="153"/>
        <v>0</v>
      </c>
    </row>
    <row r="2319" spans="1:9" x14ac:dyDescent="0.25">
      <c r="A2319" s="11" t="s">
        <v>6457</v>
      </c>
      <c r="B2319" s="11" t="s">
        <v>6458</v>
      </c>
      <c r="C2319" s="11" t="s">
        <v>81</v>
      </c>
      <c r="D2319" s="4" t="s">
        <v>1406</v>
      </c>
      <c r="E2319" t="s">
        <v>82</v>
      </c>
      <c r="F2319" s="9">
        <f t="shared" si="150"/>
        <v>0</v>
      </c>
      <c r="G2319" s="9">
        <f t="shared" si="151"/>
        <v>0</v>
      </c>
      <c r="H2319" s="9">
        <f t="shared" si="152"/>
        <v>0</v>
      </c>
      <c r="I2319" s="10">
        <f t="shared" si="153"/>
        <v>0</v>
      </c>
    </row>
    <row r="2320" spans="1:9" x14ac:dyDescent="0.25">
      <c r="A2320" s="11" t="s">
        <v>6459</v>
      </c>
      <c r="B2320" s="11" t="s">
        <v>6460</v>
      </c>
      <c r="C2320" s="11" t="s">
        <v>81</v>
      </c>
      <c r="D2320" s="4" t="s">
        <v>1406</v>
      </c>
      <c r="E2320" t="s">
        <v>82</v>
      </c>
      <c r="F2320" s="9">
        <f t="shared" si="150"/>
        <v>0</v>
      </c>
      <c r="G2320" s="9">
        <f t="shared" si="151"/>
        <v>0</v>
      </c>
      <c r="H2320" s="9">
        <f t="shared" si="152"/>
        <v>0</v>
      </c>
      <c r="I2320" s="10">
        <f t="shared" si="153"/>
        <v>0</v>
      </c>
    </row>
    <row r="2321" spans="1:9" x14ac:dyDescent="0.25">
      <c r="A2321" s="11" t="s">
        <v>6461</v>
      </c>
      <c r="B2321" s="11" t="s">
        <v>6462</v>
      </c>
      <c r="C2321" s="11" t="s">
        <v>81</v>
      </c>
      <c r="D2321" s="4" t="s">
        <v>1406</v>
      </c>
      <c r="E2321" t="s">
        <v>82</v>
      </c>
      <c r="F2321" s="9">
        <f t="shared" si="150"/>
        <v>0</v>
      </c>
      <c r="G2321" s="9">
        <f t="shared" si="151"/>
        <v>0</v>
      </c>
      <c r="H2321" s="9">
        <f t="shared" si="152"/>
        <v>0</v>
      </c>
      <c r="I2321" s="10">
        <f t="shared" si="153"/>
        <v>0</v>
      </c>
    </row>
    <row r="2322" spans="1:9" x14ac:dyDescent="0.25">
      <c r="A2322" s="11" t="s">
        <v>6463</v>
      </c>
      <c r="B2322" s="11" t="s">
        <v>6464</v>
      </c>
      <c r="C2322" s="11" t="s">
        <v>81</v>
      </c>
      <c r="D2322" s="4" t="s">
        <v>1406</v>
      </c>
      <c r="E2322" t="s">
        <v>82</v>
      </c>
      <c r="F2322" s="9">
        <f t="shared" si="150"/>
        <v>0</v>
      </c>
      <c r="G2322" s="9">
        <f t="shared" si="151"/>
        <v>0</v>
      </c>
      <c r="H2322" s="9">
        <f t="shared" si="152"/>
        <v>0</v>
      </c>
      <c r="I2322" s="10">
        <f t="shared" si="153"/>
        <v>0</v>
      </c>
    </row>
    <row r="2323" spans="1:9" x14ac:dyDescent="0.25">
      <c r="A2323" s="11" t="s">
        <v>6465</v>
      </c>
      <c r="B2323" s="11" t="s">
        <v>6466</v>
      </c>
      <c r="C2323" s="11" t="s">
        <v>81</v>
      </c>
      <c r="D2323" s="4" t="s">
        <v>1406</v>
      </c>
      <c r="E2323" t="s">
        <v>82</v>
      </c>
      <c r="F2323" s="9">
        <f t="shared" si="150"/>
        <v>0</v>
      </c>
      <c r="G2323" s="9">
        <f t="shared" si="151"/>
        <v>0</v>
      </c>
      <c r="H2323" s="9">
        <f t="shared" si="152"/>
        <v>0</v>
      </c>
      <c r="I2323" s="10">
        <f t="shared" si="153"/>
        <v>0</v>
      </c>
    </row>
    <row r="2324" spans="1:9" x14ac:dyDescent="0.25">
      <c r="A2324" s="11" t="s">
        <v>6467</v>
      </c>
      <c r="B2324" s="11" t="s">
        <v>6468</v>
      </c>
      <c r="C2324" s="11" t="s">
        <v>81</v>
      </c>
      <c r="D2324" s="4" t="s">
        <v>1406</v>
      </c>
      <c r="E2324" t="s">
        <v>489</v>
      </c>
      <c r="F2324" s="9">
        <f t="shared" si="150"/>
        <v>0</v>
      </c>
      <c r="G2324" s="9">
        <f t="shared" si="151"/>
        <v>0</v>
      </c>
      <c r="H2324" s="9">
        <f t="shared" si="152"/>
        <v>0</v>
      </c>
      <c r="I2324" s="10">
        <f t="shared" si="153"/>
        <v>0</v>
      </c>
    </row>
    <row r="2325" spans="1:9" x14ac:dyDescent="0.25">
      <c r="A2325" s="11" t="s">
        <v>6469</v>
      </c>
      <c r="B2325" s="11" t="s">
        <v>6470</v>
      </c>
      <c r="C2325" s="11" t="s">
        <v>81</v>
      </c>
      <c r="D2325" s="4" t="s">
        <v>1406</v>
      </c>
      <c r="E2325" t="s">
        <v>489</v>
      </c>
      <c r="F2325" s="9">
        <f t="shared" si="150"/>
        <v>0</v>
      </c>
      <c r="G2325" s="9">
        <f t="shared" si="151"/>
        <v>0</v>
      </c>
      <c r="H2325" s="9">
        <f t="shared" si="152"/>
        <v>0</v>
      </c>
      <c r="I2325" s="10">
        <f t="shared" si="153"/>
        <v>0</v>
      </c>
    </row>
    <row r="2326" spans="1:9" x14ac:dyDescent="0.25">
      <c r="A2326" s="11" t="s">
        <v>6471</v>
      </c>
      <c r="B2326" s="11" t="s">
        <v>6472</v>
      </c>
      <c r="C2326" s="11" t="s">
        <v>81</v>
      </c>
      <c r="D2326" s="4" t="s">
        <v>1406</v>
      </c>
      <c r="E2326" t="s">
        <v>489</v>
      </c>
      <c r="F2326" s="9">
        <f t="shared" si="150"/>
        <v>0</v>
      </c>
      <c r="G2326" s="9">
        <f t="shared" si="151"/>
        <v>0</v>
      </c>
      <c r="H2326" s="9">
        <f t="shared" si="152"/>
        <v>0</v>
      </c>
      <c r="I2326" s="10">
        <f t="shared" si="153"/>
        <v>0</v>
      </c>
    </row>
    <row r="2327" spans="1:9" x14ac:dyDescent="0.25">
      <c r="A2327" s="11" t="s">
        <v>6473</v>
      </c>
      <c r="B2327" s="11" t="s">
        <v>6474</v>
      </c>
      <c r="C2327" s="11" t="s">
        <v>81</v>
      </c>
      <c r="D2327" s="4" t="s">
        <v>1406</v>
      </c>
      <c r="E2327" t="s">
        <v>489</v>
      </c>
      <c r="F2327" s="9">
        <f t="shared" si="150"/>
        <v>0</v>
      </c>
      <c r="G2327" s="9">
        <f t="shared" si="151"/>
        <v>0</v>
      </c>
      <c r="H2327" s="9">
        <f t="shared" si="152"/>
        <v>0</v>
      </c>
      <c r="I2327" s="10">
        <f t="shared" si="153"/>
        <v>0</v>
      </c>
    </row>
    <row r="2328" spans="1:9" x14ac:dyDescent="0.25">
      <c r="A2328" s="11" t="s">
        <v>6475</v>
      </c>
      <c r="B2328" s="11" t="s">
        <v>6476</v>
      </c>
      <c r="C2328" s="11" t="s">
        <v>81</v>
      </c>
      <c r="D2328" s="4" t="s">
        <v>1406</v>
      </c>
      <c r="E2328" t="s">
        <v>82</v>
      </c>
      <c r="F2328" s="9">
        <f t="shared" si="150"/>
        <v>0</v>
      </c>
      <c r="G2328" s="9">
        <f t="shared" si="151"/>
        <v>0</v>
      </c>
      <c r="H2328" s="9">
        <f t="shared" si="152"/>
        <v>0</v>
      </c>
      <c r="I2328" s="10">
        <f t="shared" si="153"/>
        <v>0</v>
      </c>
    </row>
    <row r="2329" spans="1:9" x14ac:dyDescent="0.25">
      <c r="A2329" s="11" t="s">
        <v>6477</v>
      </c>
      <c r="B2329" s="11" t="s">
        <v>6478</v>
      </c>
      <c r="C2329" s="11" t="s">
        <v>81</v>
      </c>
      <c r="D2329" s="4" t="s">
        <v>1406</v>
      </c>
      <c r="E2329" t="s">
        <v>489</v>
      </c>
      <c r="F2329" s="9">
        <f t="shared" si="150"/>
        <v>0</v>
      </c>
      <c r="G2329" s="9">
        <f t="shared" si="151"/>
        <v>0</v>
      </c>
      <c r="H2329" s="9">
        <f t="shared" si="152"/>
        <v>0</v>
      </c>
      <c r="I2329" s="10">
        <f t="shared" si="153"/>
        <v>0</v>
      </c>
    </row>
    <row r="2330" spans="1:9" x14ac:dyDescent="0.25">
      <c r="A2330" s="11" t="s">
        <v>6479</v>
      </c>
      <c r="B2330" s="11" t="s">
        <v>6480</v>
      </c>
      <c r="C2330" s="11" t="s">
        <v>81</v>
      </c>
      <c r="D2330" s="4" t="s">
        <v>1406</v>
      </c>
      <c r="E2330" t="s">
        <v>489</v>
      </c>
      <c r="F2330" s="9">
        <f t="shared" si="150"/>
        <v>0</v>
      </c>
      <c r="G2330" s="9">
        <f t="shared" si="151"/>
        <v>0</v>
      </c>
      <c r="H2330" s="9">
        <f t="shared" si="152"/>
        <v>0</v>
      </c>
      <c r="I2330" s="10">
        <f t="shared" si="153"/>
        <v>0</v>
      </c>
    </row>
    <row r="2331" spans="1:9" x14ac:dyDescent="0.25">
      <c r="A2331" s="11" t="s">
        <v>6481</v>
      </c>
      <c r="B2331" s="11" t="s">
        <v>6482</v>
      </c>
      <c r="C2331" s="11" t="s">
        <v>81</v>
      </c>
      <c r="D2331" s="4" t="s">
        <v>1406</v>
      </c>
      <c r="E2331" t="s">
        <v>489</v>
      </c>
      <c r="F2331" s="9">
        <f t="shared" si="150"/>
        <v>0</v>
      </c>
      <c r="G2331" s="9">
        <f t="shared" si="151"/>
        <v>0</v>
      </c>
      <c r="H2331" s="9">
        <f t="shared" si="152"/>
        <v>0</v>
      </c>
      <c r="I2331" s="10">
        <f t="shared" si="153"/>
        <v>0</v>
      </c>
    </row>
    <row r="2332" spans="1:9" x14ac:dyDescent="0.25">
      <c r="A2332" s="11" t="s">
        <v>6483</v>
      </c>
      <c r="B2332" s="11" t="s">
        <v>6484</v>
      </c>
      <c r="C2332" s="11" t="s">
        <v>81</v>
      </c>
      <c r="D2332" s="4" t="s">
        <v>1406</v>
      </c>
      <c r="E2332" t="s">
        <v>489</v>
      </c>
      <c r="F2332" s="9">
        <f t="shared" si="150"/>
        <v>0</v>
      </c>
      <c r="G2332" s="9">
        <f t="shared" si="151"/>
        <v>0</v>
      </c>
      <c r="H2332" s="9">
        <f t="shared" si="152"/>
        <v>0</v>
      </c>
      <c r="I2332" s="10">
        <f t="shared" si="153"/>
        <v>0</v>
      </c>
    </row>
    <row r="2333" spans="1:9" x14ac:dyDescent="0.25">
      <c r="A2333" s="11" t="s">
        <v>6485</v>
      </c>
      <c r="B2333" s="11" t="s">
        <v>6486</v>
      </c>
      <c r="C2333" s="11" t="s">
        <v>81</v>
      </c>
      <c r="D2333" s="4" t="s">
        <v>1406</v>
      </c>
      <c r="E2333" t="s">
        <v>82</v>
      </c>
      <c r="F2333" s="9">
        <f t="shared" si="150"/>
        <v>0</v>
      </c>
      <c r="G2333" s="9">
        <f t="shared" si="151"/>
        <v>0</v>
      </c>
      <c r="H2333" s="9">
        <f t="shared" si="152"/>
        <v>0</v>
      </c>
      <c r="I2333" s="10">
        <f t="shared" si="153"/>
        <v>0</v>
      </c>
    </row>
    <row r="2334" spans="1:9" x14ac:dyDescent="0.25">
      <c r="A2334" s="11" t="s">
        <v>6487</v>
      </c>
      <c r="B2334" s="11" t="s">
        <v>6488</v>
      </c>
      <c r="C2334" s="11" t="s">
        <v>81</v>
      </c>
      <c r="D2334" s="4" t="s">
        <v>1406</v>
      </c>
      <c r="E2334" t="s">
        <v>489</v>
      </c>
      <c r="F2334" s="9">
        <f t="shared" si="150"/>
        <v>0</v>
      </c>
      <c r="G2334" s="9">
        <f t="shared" si="151"/>
        <v>0</v>
      </c>
      <c r="H2334" s="9">
        <f t="shared" si="152"/>
        <v>0</v>
      </c>
      <c r="I2334" s="10">
        <f t="shared" si="153"/>
        <v>0</v>
      </c>
    </row>
    <row r="2335" spans="1:9" x14ac:dyDescent="0.25">
      <c r="A2335" s="11" t="s">
        <v>6489</v>
      </c>
      <c r="B2335" s="11" t="s">
        <v>6490</v>
      </c>
      <c r="C2335" s="11" t="s">
        <v>81</v>
      </c>
      <c r="D2335" s="4" t="s">
        <v>1406</v>
      </c>
      <c r="E2335" t="s">
        <v>82</v>
      </c>
      <c r="F2335" s="9">
        <f t="shared" si="150"/>
        <v>0</v>
      </c>
      <c r="G2335" s="9">
        <f t="shared" si="151"/>
        <v>0</v>
      </c>
      <c r="H2335" s="9">
        <f t="shared" si="152"/>
        <v>0</v>
      </c>
      <c r="I2335" s="10">
        <f t="shared" si="153"/>
        <v>0</v>
      </c>
    </row>
    <row r="2336" spans="1:9" x14ac:dyDescent="0.25">
      <c r="A2336" s="11" t="s">
        <v>6491</v>
      </c>
      <c r="B2336" s="11" t="s">
        <v>6492</v>
      </c>
      <c r="C2336" s="11" t="s">
        <v>81</v>
      </c>
      <c r="D2336" s="4" t="s">
        <v>1406</v>
      </c>
      <c r="E2336" t="s">
        <v>489</v>
      </c>
      <c r="F2336" s="9">
        <f t="shared" si="150"/>
        <v>0</v>
      </c>
      <c r="G2336" s="9">
        <f t="shared" si="151"/>
        <v>0</v>
      </c>
      <c r="H2336" s="9">
        <f t="shared" si="152"/>
        <v>0</v>
      </c>
      <c r="I2336" s="10">
        <f t="shared" si="153"/>
        <v>0</v>
      </c>
    </row>
    <row r="2337" spans="1:9" x14ac:dyDescent="0.25">
      <c r="A2337" s="11" t="s">
        <v>6493</v>
      </c>
      <c r="B2337" s="11" t="s">
        <v>6494</v>
      </c>
      <c r="C2337" s="11" t="s">
        <v>81</v>
      </c>
      <c r="D2337" s="4" t="s">
        <v>1406</v>
      </c>
      <c r="E2337" t="s">
        <v>489</v>
      </c>
      <c r="F2337" s="9">
        <f t="shared" si="150"/>
        <v>0</v>
      </c>
      <c r="G2337" s="9">
        <f t="shared" si="151"/>
        <v>0</v>
      </c>
      <c r="H2337" s="9">
        <f t="shared" si="152"/>
        <v>0</v>
      </c>
      <c r="I2337" s="10">
        <f t="shared" si="153"/>
        <v>0</v>
      </c>
    </row>
    <row r="2338" spans="1:9" x14ac:dyDescent="0.25">
      <c r="A2338" s="11" t="s">
        <v>6495</v>
      </c>
      <c r="B2338" s="11" t="s">
        <v>6496</v>
      </c>
      <c r="C2338" s="11" t="s">
        <v>81</v>
      </c>
      <c r="D2338" s="4" t="s">
        <v>1406</v>
      </c>
      <c r="E2338" t="s">
        <v>82</v>
      </c>
      <c r="F2338" s="9">
        <f t="shared" si="150"/>
        <v>0</v>
      </c>
      <c r="G2338" s="9">
        <f t="shared" si="151"/>
        <v>0</v>
      </c>
      <c r="H2338" s="9">
        <f t="shared" si="152"/>
        <v>0</v>
      </c>
      <c r="I2338" s="10">
        <f t="shared" si="153"/>
        <v>0</v>
      </c>
    </row>
    <row r="2339" spans="1:9" x14ac:dyDescent="0.25">
      <c r="A2339" s="11" t="s">
        <v>6497</v>
      </c>
      <c r="B2339" s="11" t="s">
        <v>6498</v>
      </c>
      <c r="C2339" s="11" t="s">
        <v>81</v>
      </c>
      <c r="D2339" s="4" t="s">
        <v>1406</v>
      </c>
      <c r="E2339" t="s">
        <v>489</v>
      </c>
      <c r="F2339" s="9">
        <f t="shared" si="150"/>
        <v>0</v>
      </c>
      <c r="G2339" s="9">
        <f t="shared" si="151"/>
        <v>0</v>
      </c>
      <c r="H2339" s="9">
        <f t="shared" si="152"/>
        <v>0</v>
      </c>
      <c r="I2339" s="10">
        <f t="shared" si="153"/>
        <v>0</v>
      </c>
    </row>
    <row r="2340" spans="1:9" x14ac:dyDescent="0.25">
      <c r="A2340" s="11" t="s">
        <v>6499</v>
      </c>
      <c r="B2340" s="11" t="s">
        <v>6500</v>
      </c>
      <c r="C2340" s="11" t="s">
        <v>81</v>
      </c>
      <c r="D2340" s="4" t="s">
        <v>1406</v>
      </c>
      <c r="E2340" t="s">
        <v>82</v>
      </c>
      <c r="F2340" s="9">
        <f t="shared" si="150"/>
        <v>0</v>
      </c>
      <c r="G2340" s="9">
        <f t="shared" si="151"/>
        <v>0</v>
      </c>
      <c r="H2340" s="9">
        <f t="shared" si="152"/>
        <v>0</v>
      </c>
      <c r="I2340" s="10">
        <f t="shared" si="153"/>
        <v>0</v>
      </c>
    </row>
    <row r="2341" spans="1:9" x14ac:dyDescent="0.25">
      <c r="A2341" s="11" t="s">
        <v>6501</v>
      </c>
      <c r="B2341" s="11" t="s">
        <v>6502</v>
      </c>
      <c r="C2341" s="11" t="s">
        <v>81</v>
      </c>
      <c r="D2341" s="4" t="s">
        <v>1406</v>
      </c>
      <c r="E2341" t="s">
        <v>489</v>
      </c>
      <c r="F2341" s="9">
        <f t="shared" si="150"/>
        <v>0</v>
      </c>
      <c r="G2341" s="9">
        <f t="shared" si="151"/>
        <v>0</v>
      </c>
      <c r="H2341" s="9">
        <f t="shared" si="152"/>
        <v>0</v>
      </c>
      <c r="I2341" s="10">
        <f t="shared" si="153"/>
        <v>0</v>
      </c>
    </row>
    <row r="2342" spans="1:9" x14ac:dyDescent="0.25">
      <c r="A2342" s="11" t="s">
        <v>6503</v>
      </c>
      <c r="B2342" s="11" t="s">
        <v>6504</v>
      </c>
      <c r="C2342" s="11" t="s">
        <v>81</v>
      </c>
      <c r="D2342" s="4" t="s">
        <v>1406</v>
      </c>
      <c r="E2342" t="s">
        <v>489</v>
      </c>
      <c r="F2342" s="9">
        <f t="shared" si="150"/>
        <v>0</v>
      </c>
      <c r="G2342" s="9">
        <f t="shared" si="151"/>
        <v>0</v>
      </c>
      <c r="H2342" s="9">
        <f t="shared" si="152"/>
        <v>0</v>
      </c>
      <c r="I2342" s="10">
        <f t="shared" si="153"/>
        <v>0</v>
      </c>
    </row>
    <row r="2343" spans="1:9" x14ac:dyDescent="0.25">
      <c r="A2343" s="11" t="s">
        <v>6505</v>
      </c>
      <c r="B2343" s="11" t="s">
        <v>6506</v>
      </c>
      <c r="C2343" s="11" t="s">
        <v>81</v>
      </c>
      <c r="D2343" s="4" t="s">
        <v>1406</v>
      </c>
      <c r="E2343" t="s">
        <v>82</v>
      </c>
      <c r="F2343" s="9">
        <f t="shared" si="150"/>
        <v>0</v>
      </c>
      <c r="G2343" s="9">
        <f t="shared" si="151"/>
        <v>0</v>
      </c>
      <c r="H2343" s="9">
        <f t="shared" si="152"/>
        <v>0</v>
      </c>
      <c r="I2343" s="10">
        <f t="shared" si="153"/>
        <v>0</v>
      </c>
    </row>
    <row r="2344" spans="1:9" x14ac:dyDescent="0.25">
      <c r="A2344" s="11" t="s">
        <v>6507</v>
      </c>
      <c r="B2344" s="11" t="s">
        <v>6508</v>
      </c>
      <c r="C2344" s="11" t="s">
        <v>81</v>
      </c>
      <c r="D2344" s="4" t="s">
        <v>1406</v>
      </c>
      <c r="E2344" t="s">
        <v>489</v>
      </c>
      <c r="F2344" s="9">
        <f t="shared" si="150"/>
        <v>0</v>
      </c>
      <c r="G2344" s="9">
        <f t="shared" si="151"/>
        <v>0</v>
      </c>
      <c r="H2344" s="9">
        <f t="shared" si="152"/>
        <v>0</v>
      </c>
      <c r="I2344" s="10">
        <f t="shared" si="153"/>
        <v>0</v>
      </c>
    </row>
    <row r="2345" spans="1:9" x14ac:dyDescent="0.25">
      <c r="A2345" s="11" t="s">
        <v>6509</v>
      </c>
      <c r="B2345" s="11" t="s">
        <v>6510</v>
      </c>
      <c r="C2345" s="11" t="s">
        <v>81</v>
      </c>
      <c r="D2345" s="4" t="s">
        <v>1406</v>
      </c>
      <c r="E2345" t="s">
        <v>82</v>
      </c>
      <c r="F2345" s="9">
        <f t="shared" si="150"/>
        <v>0</v>
      </c>
      <c r="G2345" s="9">
        <f t="shared" si="151"/>
        <v>0</v>
      </c>
      <c r="H2345" s="9">
        <f t="shared" si="152"/>
        <v>0</v>
      </c>
      <c r="I2345" s="10">
        <f t="shared" si="153"/>
        <v>0</v>
      </c>
    </row>
    <row r="2346" spans="1:9" x14ac:dyDescent="0.25">
      <c r="A2346" s="11" t="s">
        <v>6511</v>
      </c>
      <c r="B2346" s="11" t="s">
        <v>6512</v>
      </c>
      <c r="C2346" s="11" t="s">
        <v>81</v>
      </c>
      <c r="D2346" s="4" t="s">
        <v>1406</v>
      </c>
      <c r="E2346" t="s">
        <v>489</v>
      </c>
      <c r="F2346" s="9">
        <f t="shared" si="150"/>
        <v>0</v>
      </c>
      <c r="G2346" s="9">
        <f t="shared" si="151"/>
        <v>0</v>
      </c>
      <c r="H2346" s="9">
        <f t="shared" si="152"/>
        <v>0</v>
      </c>
      <c r="I2346" s="10">
        <f t="shared" si="153"/>
        <v>0</v>
      </c>
    </row>
    <row r="2347" spans="1:9" x14ac:dyDescent="0.25">
      <c r="A2347" s="11" t="s">
        <v>6513</v>
      </c>
      <c r="B2347" s="11" t="s">
        <v>6514</v>
      </c>
      <c r="C2347" s="11" t="s">
        <v>81</v>
      </c>
      <c r="D2347" s="4" t="s">
        <v>1406</v>
      </c>
      <c r="E2347" t="s">
        <v>489</v>
      </c>
      <c r="F2347" s="9">
        <f t="shared" si="150"/>
        <v>0</v>
      </c>
      <c r="G2347" s="9">
        <f t="shared" si="151"/>
        <v>0</v>
      </c>
      <c r="H2347" s="9">
        <f t="shared" si="152"/>
        <v>0</v>
      </c>
      <c r="I2347" s="10">
        <f t="shared" si="153"/>
        <v>0</v>
      </c>
    </row>
    <row r="2348" spans="1:9" x14ac:dyDescent="0.25">
      <c r="A2348" s="11" t="s">
        <v>6515</v>
      </c>
      <c r="B2348" s="11" t="s">
        <v>6516</v>
      </c>
      <c r="C2348" s="11" t="s">
        <v>81</v>
      </c>
      <c r="D2348" s="4" t="s">
        <v>1406</v>
      </c>
      <c r="E2348" t="s">
        <v>489</v>
      </c>
      <c r="F2348" s="9">
        <f t="shared" si="150"/>
        <v>0</v>
      </c>
      <c r="G2348" s="9">
        <f t="shared" si="151"/>
        <v>0</v>
      </c>
      <c r="H2348" s="9">
        <f t="shared" si="152"/>
        <v>0</v>
      </c>
      <c r="I2348" s="10">
        <f t="shared" si="153"/>
        <v>0</v>
      </c>
    </row>
    <row r="2349" spans="1:9" x14ac:dyDescent="0.25">
      <c r="A2349" s="11" t="s">
        <v>6517</v>
      </c>
      <c r="B2349" s="11" t="s">
        <v>6518</v>
      </c>
      <c r="C2349" s="11" t="s">
        <v>81</v>
      </c>
      <c r="D2349" s="4" t="s">
        <v>1406</v>
      </c>
      <c r="E2349" t="s">
        <v>82</v>
      </c>
      <c r="F2349" s="9">
        <f t="shared" si="150"/>
        <v>0</v>
      </c>
      <c r="G2349" s="9">
        <f t="shared" si="151"/>
        <v>0</v>
      </c>
      <c r="H2349" s="9">
        <f t="shared" si="152"/>
        <v>0</v>
      </c>
      <c r="I2349" s="10">
        <f t="shared" si="153"/>
        <v>0</v>
      </c>
    </row>
    <row r="2350" spans="1:9" x14ac:dyDescent="0.25">
      <c r="A2350" s="11" t="s">
        <v>6519</v>
      </c>
      <c r="B2350" s="11" t="s">
        <v>6520</v>
      </c>
      <c r="C2350" s="11" t="s">
        <v>81</v>
      </c>
      <c r="D2350" s="4" t="s">
        <v>1406</v>
      </c>
      <c r="E2350" t="s">
        <v>82</v>
      </c>
      <c r="F2350" s="9">
        <f t="shared" si="150"/>
        <v>0</v>
      </c>
      <c r="G2350" s="9">
        <f t="shared" si="151"/>
        <v>0</v>
      </c>
      <c r="H2350" s="9">
        <f t="shared" si="152"/>
        <v>0</v>
      </c>
      <c r="I2350" s="10">
        <f t="shared" si="153"/>
        <v>0</v>
      </c>
    </row>
    <row r="2351" spans="1:9" x14ac:dyDescent="0.25">
      <c r="A2351" s="11" t="s">
        <v>6521</v>
      </c>
      <c r="B2351" s="11" t="s">
        <v>6522</v>
      </c>
      <c r="C2351" s="11" t="s">
        <v>81</v>
      </c>
      <c r="D2351" s="4" t="s">
        <v>1406</v>
      </c>
      <c r="E2351" t="s">
        <v>489</v>
      </c>
      <c r="F2351" s="9">
        <f t="shared" si="150"/>
        <v>0</v>
      </c>
      <c r="G2351" s="9">
        <f t="shared" si="151"/>
        <v>0</v>
      </c>
      <c r="H2351" s="9">
        <f t="shared" si="152"/>
        <v>0</v>
      </c>
      <c r="I2351" s="10">
        <f t="shared" si="153"/>
        <v>0</v>
      </c>
    </row>
    <row r="2352" spans="1:9" x14ac:dyDescent="0.25">
      <c r="A2352" s="11" t="s">
        <v>6523</v>
      </c>
      <c r="B2352" s="11" t="s">
        <v>6524</v>
      </c>
      <c r="C2352" s="11" t="s">
        <v>81</v>
      </c>
      <c r="D2352" s="4" t="s">
        <v>1406</v>
      </c>
      <c r="E2352" t="s">
        <v>82</v>
      </c>
      <c r="F2352" s="9">
        <f t="shared" si="150"/>
        <v>0</v>
      </c>
      <c r="G2352" s="9">
        <f t="shared" si="151"/>
        <v>0</v>
      </c>
      <c r="H2352" s="9">
        <f t="shared" si="152"/>
        <v>0</v>
      </c>
      <c r="I2352" s="10">
        <f t="shared" si="153"/>
        <v>0</v>
      </c>
    </row>
    <row r="2353" spans="1:9" x14ac:dyDescent="0.25">
      <c r="A2353" s="11" t="s">
        <v>6525</v>
      </c>
      <c r="B2353" s="11" t="s">
        <v>6526</v>
      </c>
      <c r="C2353" s="11" t="s">
        <v>81</v>
      </c>
      <c r="D2353" s="4" t="s">
        <v>1406</v>
      </c>
      <c r="E2353" t="s">
        <v>82</v>
      </c>
      <c r="F2353" s="9">
        <f t="shared" si="150"/>
        <v>0</v>
      </c>
      <c r="G2353" s="9">
        <f t="shared" si="151"/>
        <v>0</v>
      </c>
      <c r="H2353" s="9">
        <f t="shared" si="152"/>
        <v>0</v>
      </c>
      <c r="I2353" s="10">
        <f t="shared" si="153"/>
        <v>0</v>
      </c>
    </row>
    <row r="2354" spans="1:9" x14ac:dyDescent="0.25">
      <c r="A2354" s="11" t="s">
        <v>6527</v>
      </c>
      <c r="B2354" s="11" t="s">
        <v>6528</v>
      </c>
      <c r="C2354" s="11" t="s">
        <v>81</v>
      </c>
      <c r="D2354" s="4" t="s">
        <v>1406</v>
      </c>
      <c r="E2354" t="s">
        <v>489</v>
      </c>
      <c r="F2354" s="9">
        <f t="shared" si="150"/>
        <v>0</v>
      </c>
      <c r="G2354" s="9">
        <f t="shared" si="151"/>
        <v>0</v>
      </c>
      <c r="H2354" s="9">
        <f t="shared" si="152"/>
        <v>0</v>
      </c>
      <c r="I2354" s="10">
        <f t="shared" si="153"/>
        <v>0</v>
      </c>
    </row>
    <row r="2355" spans="1:9" x14ac:dyDescent="0.25">
      <c r="A2355" s="11" t="s">
        <v>6529</v>
      </c>
      <c r="B2355" s="11" t="s">
        <v>6530</v>
      </c>
      <c r="C2355" s="11" t="s">
        <v>81</v>
      </c>
      <c r="D2355" s="4" t="s">
        <v>1406</v>
      </c>
      <c r="E2355" t="s">
        <v>489</v>
      </c>
      <c r="F2355" s="9">
        <f t="shared" si="150"/>
        <v>0</v>
      </c>
      <c r="G2355" s="9">
        <f t="shared" si="151"/>
        <v>0</v>
      </c>
      <c r="H2355" s="9">
        <f t="shared" si="152"/>
        <v>0</v>
      </c>
      <c r="I2355" s="10">
        <f t="shared" si="153"/>
        <v>0</v>
      </c>
    </row>
    <row r="2356" spans="1:9" x14ac:dyDescent="0.25">
      <c r="A2356" s="11" t="s">
        <v>6531</v>
      </c>
      <c r="B2356" s="11" t="s">
        <v>6532</v>
      </c>
      <c r="C2356" s="11" t="s">
        <v>81</v>
      </c>
      <c r="D2356" s="4" t="s">
        <v>1406</v>
      </c>
      <c r="E2356" t="s">
        <v>82</v>
      </c>
      <c r="F2356" s="9">
        <f t="shared" si="150"/>
        <v>0</v>
      </c>
      <c r="G2356" s="9">
        <f t="shared" si="151"/>
        <v>0</v>
      </c>
      <c r="H2356" s="9">
        <f t="shared" si="152"/>
        <v>0</v>
      </c>
      <c r="I2356" s="10">
        <f t="shared" si="153"/>
        <v>0</v>
      </c>
    </row>
    <row r="2357" spans="1:9" x14ac:dyDescent="0.25">
      <c r="A2357" s="11" t="s">
        <v>6533</v>
      </c>
      <c r="B2357" s="11" t="s">
        <v>6534</v>
      </c>
      <c r="C2357" s="11" t="s">
        <v>81</v>
      </c>
      <c r="D2357" s="4" t="s">
        <v>1406</v>
      </c>
      <c r="E2357" t="s">
        <v>82</v>
      </c>
      <c r="F2357" s="9">
        <f t="shared" si="150"/>
        <v>0</v>
      </c>
      <c r="G2357" s="9">
        <f t="shared" si="151"/>
        <v>0</v>
      </c>
      <c r="H2357" s="9">
        <f t="shared" si="152"/>
        <v>0</v>
      </c>
      <c r="I2357" s="10">
        <f t="shared" si="153"/>
        <v>0</v>
      </c>
    </row>
    <row r="2358" spans="1:9" x14ac:dyDescent="0.25">
      <c r="A2358" s="11" t="s">
        <v>6535</v>
      </c>
      <c r="B2358" s="11" t="s">
        <v>6536</v>
      </c>
      <c r="C2358" s="11" t="s">
        <v>81</v>
      </c>
      <c r="D2358" s="4" t="s">
        <v>1406</v>
      </c>
      <c r="E2358" t="s">
        <v>82</v>
      </c>
      <c r="F2358" s="9">
        <f t="shared" si="150"/>
        <v>0</v>
      </c>
      <c r="G2358" s="9">
        <f t="shared" si="151"/>
        <v>0</v>
      </c>
      <c r="H2358" s="9">
        <f t="shared" si="152"/>
        <v>0</v>
      </c>
      <c r="I2358" s="10">
        <f t="shared" si="153"/>
        <v>0</v>
      </c>
    </row>
    <row r="2359" spans="1:9" x14ac:dyDescent="0.25">
      <c r="A2359" s="11" t="s">
        <v>6537</v>
      </c>
      <c r="B2359" s="11" t="s">
        <v>6538</v>
      </c>
      <c r="C2359" s="11" t="s">
        <v>81</v>
      </c>
      <c r="D2359" s="4" t="s">
        <v>1406</v>
      </c>
      <c r="E2359" t="s">
        <v>489</v>
      </c>
      <c r="F2359" s="9">
        <f t="shared" si="150"/>
        <v>0</v>
      </c>
      <c r="G2359" s="9">
        <f t="shared" si="151"/>
        <v>0</v>
      </c>
      <c r="H2359" s="9">
        <f t="shared" si="152"/>
        <v>0</v>
      </c>
      <c r="I2359" s="10">
        <f t="shared" si="153"/>
        <v>0</v>
      </c>
    </row>
    <row r="2360" spans="1:9" x14ac:dyDescent="0.25">
      <c r="A2360" s="11" t="s">
        <v>6539</v>
      </c>
      <c r="B2360" s="11" t="s">
        <v>6540</v>
      </c>
      <c r="C2360" s="11" t="s">
        <v>81</v>
      </c>
      <c r="D2360" s="4" t="s">
        <v>1406</v>
      </c>
      <c r="E2360" t="s">
        <v>82</v>
      </c>
      <c r="F2360" s="9">
        <f t="shared" si="150"/>
        <v>0</v>
      </c>
      <c r="G2360" s="9">
        <f t="shared" si="151"/>
        <v>0</v>
      </c>
      <c r="H2360" s="9">
        <f t="shared" si="152"/>
        <v>0</v>
      </c>
      <c r="I2360" s="10">
        <f t="shared" si="153"/>
        <v>0</v>
      </c>
    </row>
    <row r="2361" spans="1:9" x14ac:dyDescent="0.25">
      <c r="A2361" s="11" t="s">
        <v>6541</v>
      </c>
      <c r="B2361" s="11" t="s">
        <v>6542</v>
      </c>
      <c r="C2361" s="11" t="s">
        <v>81</v>
      </c>
      <c r="D2361" s="4" t="s">
        <v>1406</v>
      </c>
      <c r="E2361" t="s">
        <v>82</v>
      </c>
      <c r="F2361" s="9">
        <f t="shared" si="150"/>
        <v>0</v>
      </c>
      <c r="G2361" s="9">
        <f t="shared" si="151"/>
        <v>0</v>
      </c>
      <c r="H2361" s="9">
        <f t="shared" si="152"/>
        <v>0</v>
      </c>
      <c r="I2361" s="10">
        <f t="shared" si="153"/>
        <v>0</v>
      </c>
    </row>
    <row r="2362" spans="1:9" x14ac:dyDescent="0.25">
      <c r="A2362" s="11" t="s">
        <v>6543</v>
      </c>
      <c r="B2362" s="11" t="s">
        <v>6544</v>
      </c>
      <c r="C2362" s="11" t="s">
        <v>81</v>
      </c>
      <c r="D2362" s="4" t="s">
        <v>1406</v>
      </c>
      <c r="E2362" t="s">
        <v>82</v>
      </c>
      <c r="F2362" s="9">
        <f t="shared" si="150"/>
        <v>0</v>
      </c>
      <c r="G2362" s="9">
        <f t="shared" si="151"/>
        <v>0</v>
      </c>
      <c r="H2362" s="9">
        <f t="shared" si="152"/>
        <v>0</v>
      </c>
      <c r="I2362" s="10">
        <f t="shared" si="153"/>
        <v>0</v>
      </c>
    </row>
    <row r="2363" spans="1:9" x14ac:dyDescent="0.25">
      <c r="A2363" s="11" t="s">
        <v>6545</v>
      </c>
      <c r="B2363" s="11" t="s">
        <v>6546</v>
      </c>
      <c r="C2363" s="11" t="s">
        <v>81</v>
      </c>
      <c r="D2363" s="4" t="s">
        <v>1406</v>
      </c>
      <c r="E2363" t="s">
        <v>489</v>
      </c>
      <c r="F2363" s="9">
        <f t="shared" si="150"/>
        <v>0</v>
      </c>
      <c r="G2363" s="9">
        <f t="shared" si="151"/>
        <v>0</v>
      </c>
      <c r="H2363" s="9">
        <f t="shared" si="152"/>
        <v>0</v>
      </c>
      <c r="I2363" s="10">
        <f t="shared" si="153"/>
        <v>0</v>
      </c>
    </row>
    <row r="2364" spans="1:9" x14ac:dyDescent="0.25">
      <c r="A2364" s="11" t="s">
        <v>6547</v>
      </c>
      <c r="B2364" s="11" t="s">
        <v>6548</v>
      </c>
      <c r="C2364" s="11" t="s">
        <v>81</v>
      </c>
      <c r="D2364" s="4" t="s">
        <v>1406</v>
      </c>
      <c r="E2364" t="s">
        <v>489</v>
      </c>
      <c r="F2364" s="9">
        <f t="shared" si="150"/>
        <v>0</v>
      </c>
      <c r="G2364" s="9">
        <f t="shared" si="151"/>
        <v>0</v>
      </c>
      <c r="H2364" s="9">
        <f t="shared" si="152"/>
        <v>0</v>
      </c>
      <c r="I2364" s="10">
        <f t="shared" si="153"/>
        <v>0</v>
      </c>
    </row>
    <row r="2365" spans="1:9" x14ac:dyDescent="0.25">
      <c r="A2365" s="11" t="s">
        <v>6549</v>
      </c>
      <c r="B2365" s="11" t="s">
        <v>6550</v>
      </c>
      <c r="C2365" s="11" t="s">
        <v>81</v>
      </c>
      <c r="D2365" s="4" t="s">
        <v>1406</v>
      </c>
      <c r="E2365" t="s">
        <v>489</v>
      </c>
      <c r="F2365" s="9">
        <f t="shared" si="150"/>
        <v>0</v>
      </c>
      <c r="G2365" s="9">
        <f t="shared" si="151"/>
        <v>0</v>
      </c>
      <c r="H2365" s="9">
        <f t="shared" si="152"/>
        <v>0</v>
      </c>
      <c r="I2365" s="10">
        <f t="shared" si="153"/>
        <v>0</v>
      </c>
    </row>
    <row r="2366" spans="1:9" x14ac:dyDescent="0.25">
      <c r="A2366" s="11" t="s">
        <v>6551</v>
      </c>
      <c r="B2366" s="11" t="s">
        <v>6552</v>
      </c>
      <c r="C2366" s="11" t="s">
        <v>81</v>
      </c>
      <c r="D2366" s="4" t="s">
        <v>1406</v>
      </c>
      <c r="E2366" t="s">
        <v>82</v>
      </c>
      <c r="F2366" s="9">
        <f t="shared" si="150"/>
        <v>0</v>
      </c>
      <c r="G2366" s="9">
        <f t="shared" si="151"/>
        <v>0</v>
      </c>
      <c r="H2366" s="9">
        <f t="shared" si="152"/>
        <v>0</v>
      </c>
      <c r="I2366" s="10">
        <f t="shared" si="153"/>
        <v>0</v>
      </c>
    </row>
    <row r="2367" spans="1:9" x14ac:dyDescent="0.25">
      <c r="A2367" s="11" t="s">
        <v>6553</v>
      </c>
      <c r="B2367" s="11" t="s">
        <v>6554</v>
      </c>
      <c r="C2367" s="11" t="s">
        <v>81</v>
      </c>
      <c r="D2367" s="4" t="s">
        <v>1406</v>
      </c>
      <c r="E2367" t="s">
        <v>82</v>
      </c>
      <c r="F2367" s="9">
        <f t="shared" si="150"/>
        <v>0</v>
      </c>
      <c r="G2367" s="9">
        <f t="shared" si="151"/>
        <v>0</v>
      </c>
      <c r="H2367" s="9">
        <f t="shared" si="152"/>
        <v>0</v>
      </c>
      <c r="I2367" s="10">
        <f t="shared" si="153"/>
        <v>0</v>
      </c>
    </row>
    <row r="2368" spans="1:9" x14ac:dyDescent="0.25">
      <c r="A2368" s="11" t="s">
        <v>6555</v>
      </c>
      <c r="B2368" s="11" t="s">
        <v>6556</v>
      </c>
      <c r="C2368" s="11" t="s">
        <v>81</v>
      </c>
      <c r="D2368" s="4" t="s">
        <v>1406</v>
      </c>
      <c r="E2368" t="s">
        <v>82</v>
      </c>
      <c r="F2368" s="9">
        <f t="shared" si="150"/>
        <v>0</v>
      </c>
      <c r="G2368" s="9">
        <f t="shared" si="151"/>
        <v>0</v>
      </c>
      <c r="H2368" s="9">
        <f t="shared" si="152"/>
        <v>0</v>
      </c>
      <c r="I2368" s="10">
        <f t="shared" si="153"/>
        <v>0</v>
      </c>
    </row>
    <row r="2369" spans="1:9" x14ac:dyDescent="0.25">
      <c r="A2369" s="11" t="s">
        <v>6557</v>
      </c>
      <c r="B2369" s="11" t="s">
        <v>6558</v>
      </c>
      <c r="C2369" s="11" t="s">
        <v>81</v>
      </c>
      <c r="D2369" s="4" t="s">
        <v>1406</v>
      </c>
      <c r="E2369" t="s">
        <v>489</v>
      </c>
      <c r="F2369" s="9">
        <f t="shared" si="150"/>
        <v>0</v>
      </c>
      <c r="G2369" s="9">
        <f t="shared" si="151"/>
        <v>0</v>
      </c>
      <c r="H2369" s="9">
        <f t="shared" si="152"/>
        <v>0</v>
      </c>
      <c r="I2369" s="10">
        <f t="shared" si="153"/>
        <v>0</v>
      </c>
    </row>
    <row r="2370" spans="1:9" x14ac:dyDescent="0.25">
      <c r="A2370" s="11" t="s">
        <v>6559</v>
      </c>
      <c r="B2370" s="11" t="s">
        <v>6560</v>
      </c>
      <c r="C2370" s="11" t="s">
        <v>81</v>
      </c>
      <c r="D2370" s="4" t="s">
        <v>1406</v>
      </c>
      <c r="E2370" t="s">
        <v>82</v>
      </c>
      <c r="F2370" s="9">
        <f t="shared" si="150"/>
        <v>0</v>
      </c>
      <c r="G2370" s="9">
        <f t="shared" si="151"/>
        <v>0</v>
      </c>
      <c r="H2370" s="9">
        <f t="shared" si="152"/>
        <v>0</v>
      </c>
      <c r="I2370" s="10">
        <f t="shared" si="153"/>
        <v>0</v>
      </c>
    </row>
    <row r="2371" spans="1:9" x14ac:dyDescent="0.25">
      <c r="A2371" s="11" t="s">
        <v>6561</v>
      </c>
      <c r="B2371" s="11" t="s">
        <v>6562</v>
      </c>
      <c r="C2371" s="11" t="s">
        <v>81</v>
      </c>
      <c r="D2371" s="4" t="s">
        <v>1406</v>
      </c>
      <c r="E2371" t="s">
        <v>82</v>
      </c>
      <c r="F2371" s="9">
        <f t="shared" si="150"/>
        <v>0</v>
      </c>
      <c r="G2371" s="9">
        <f t="shared" si="151"/>
        <v>0</v>
      </c>
      <c r="H2371" s="9">
        <f t="shared" si="152"/>
        <v>0</v>
      </c>
      <c r="I2371" s="10">
        <f t="shared" si="153"/>
        <v>0</v>
      </c>
    </row>
    <row r="2372" spans="1:9" x14ac:dyDescent="0.25">
      <c r="A2372" s="11" t="s">
        <v>6563</v>
      </c>
      <c r="B2372" s="11" t="s">
        <v>6564</v>
      </c>
      <c r="C2372" s="11" t="s">
        <v>81</v>
      </c>
      <c r="D2372" s="4" t="s">
        <v>1406</v>
      </c>
      <c r="E2372" t="s">
        <v>82</v>
      </c>
      <c r="F2372" s="9">
        <f t="shared" si="150"/>
        <v>0</v>
      </c>
      <c r="G2372" s="9">
        <f t="shared" si="151"/>
        <v>0</v>
      </c>
      <c r="H2372" s="9">
        <f t="shared" si="152"/>
        <v>0</v>
      </c>
      <c r="I2372" s="10">
        <f t="shared" si="153"/>
        <v>0</v>
      </c>
    </row>
    <row r="2373" spans="1:9" x14ac:dyDescent="0.25">
      <c r="A2373" s="11" t="s">
        <v>6565</v>
      </c>
      <c r="B2373" s="11" t="s">
        <v>6566</v>
      </c>
      <c r="C2373" s="11" t="s">
        <v>81</v>
      </c>
      <c r="D2373" s="4" t="s">
        <v>1406</v>
      </c>
      <c r="E2373" t="s">
        <v>82</v>
      </c>
      <c r="F2373" s="9">
        <f t="shared" si="150"/>
        <v>0</v>
      </c>
      <c r="G2373" s="9">
        <f t="shared" si="151"/>
        <v>0</v>
      </c>
      <c r="H2373" s="9">
        <f t="shared" si="152"/>
        <v>0</v>
      </c>
      <c r="I2373" s="10">
        <f t="shared" si="153"/>
        <v>0</v>
      </c>
    </row>
    <row r="2374" spans="1:9" x14ac:dyDescent="0.25">
      <c r="A2374" s="11" t="s">
        <v>6567</v>
      </c>
      <c r="B2374" s="11" t="s">
        <v>6568</v>
      </c>
      <c r="C2374" s="11" t="s">
        <v>81</v>
      </c>
      <c r="D2374" s="4" t="s">
        <v>1406</v>
      </c>
      <c r="E2374" t="s">
        <v>489</v>
      </c>
      <c r="F2374" s="9">
        <f t="shared" si="150"/>
        <v>0</v>
      </c>
      <c r="G2374" s="9">
        <f t="shared" si="151"/>
        <v>0</v>
      </c>
      <c r="H2374" s="9">
        <f t="shared" si="152"/>
        <v>0</v>
      </c>
      <c r="I2374" s="10">
        <f t="shared" si="153"/>
        <v>0</v>
      </c>
    </row>
    <row r="2375" spans="1:9" x14ac:dyDescent="0.25">
      <c r="A2375" s="11" t="s">
        <v>6569</v>
      </c>
      <c r="B2375" s="11" t="s">
        <v>6570</v>
      </c>
      <c r="C2375" s="11" t="s">
        <v>81</v>
      </c>
      <c r="D2375" s="4" t="s">
        <v>1406</v>
      </c>
      <c r="E2375" t="s">
        <v>489</v>
      </c>
      <c r="F2375" s="9">
        <f t="shared" si="150"/>
        <v>0</v>
      </c>
      <c r="G2375" s="9">
        <f t="shared" si="151"/>
        <v>0</v>
      </c>
      <c r="H2375" s="9">
        <f t="shared" si="152"/>
        <v>0</v>
      </c>
      <c r="I2375" s="10">
        <f t="shared" si="153"/>
        <v>0</v>
      </c>
    </row>
    <row r="2376" spans="1:9" x14ac:dyDescent="0.25">
      <c r="A2376" s="11" t="s">
        <v>6571</v>
      </c>
      <c r="B2376" s="11" t="s">
        <v>6572</v>
      </c>
      <c r="C2376" s="11" t="s">
        <v>81</v>
      </c>
      <c r="D2376" s="4" t="s">
        <v>1406</v>
      </c>
      <c r="E2376" t="s">
        <v>82</v>
      </c>
      <c r="F2376" s="9">
        <f t="shared" ref="F2376:F2439" si="154">IFERROR(VLOOKUP(A2376,condi,8,0),0)</f>
        <v>0</v>
      </c>
      <c r="G2376" s="9">
        <f t="shared" ref="G2376:G2439" si="155">IFERROR(VLOOKUP(A2376,maqui,8,0),0)</f>
        <v>0</v>
      </c>
      <c r="H2376" s="9">
        <f t="shared" ref="H2376:H2439" si="156">IFERROR(VLOOKUP(A2376,ascint,8,0),0)</f>
        <v>0</v>
      </c>
      <c r="I2376" s="10">
        <f t="shared" ref="I2376:I2439" si="157">+F2376+G2376+H2376</f>
        <v>0</v>
      </c>
    </row>
    <row r="2377" spans="1:9" x14ac:dyDescent="0.25">
      <c r="A2377" s="11" t="s">
        <v>6573</v>
      </c>
      <c r="B2377" s="11" t="s">
        <v>6574</v>
      </c>
      <c r="C2377" s="11" t="s">
        <v>81</v>
      </c>
      <c r="D2377" s="4" t="s">
        <v>1406</v>
      </c>
      <c r="E2377" t="s">
        <v>82</v>
      </c>
      <c r="F2377" s="9">
        <f t="shared" si="154"/>
        <v>0</v>
      </c>
      <c r="G2377" s="9">
        <f t="shared" si="155"/>
        <v>0</v>
      </c>
      <c r="H2377" s="9">
        <f t="shared" si="156"/>
        <v>0</v>
      </c>
      <c r="I2377" s="10">
        <f t="shared" si="157"/>
        <v>0</v>
      </c>
    </row>
    <row r="2378" spans="1:9" x14ac:dyDescent="0.25">
      <c r="A2378" s="11" t="s">
        <v>6575</v>
      </c>
      <c r="B2378" s="11" t="s">
        <v>6576</v>
      </c>
      <c r="C2378" s="11" t="s">
        <v>81</v>
      </c>
      <c r="D2378" s="4" t="s">
        <v>1406</v>
      </c>
      <c r="E2378" t="s">
        <v>82</v>
      </c>
      <c r="F2378" s="9">
        <f t="shared" si="154"/>
        <v>0</v>
      </c>
      <c r="G2378" s="9">
        <f t="shared" si="155"/>
        <v>0</v>
      </c>
      <c r="H2378" s="9">
        <f t="shared" si="156"/>
        <v>0</v>
      </c>
      <c r="I2378" s="10">
        <f t="shared" si="157"/>
        <v>0</v>
      </c>
    </row>
    <row r="2379" spans="1:9" x14ac:dyDescent="0.25">
      <c r="A2379" s="11" t="s">
        <v>6577</v>
      </c>
      <c r="B2379" s="11" t="s">
        <v>6578</v>
      </c>
      <c r="C2379" s="11" t="s">
        <v>81</v>
      </c>
      <c r="D2379" s="4" t="s">
        <v>1406</v>
      </c>
      <c r="E2379" t="s">
        <v>82</v>
      </c>
      <c r="F2379" s="9">
        <f t="shared" si="154"/>
        <v>0</v>
      </c>
      <c r="G2379" s="9">
        <f t="shared" si="155"/>
        <v>0</v>
      </c>
      <c r="H2379" s="9">
        <f t="shared" si="156"/>
        <v>0</v>
      </c>
      <c r="I2379" s="10">
        <f t="shared" si="157"/>
        <v>0</v>
      </c>
    </row>
    <row r="2380" spans="1:9" x14ac:dyDescent="0.25">
      <c r="A2380" s="11" t="s">
        <v>6579</v>
      </c>
      <c r="B2380" s="11" t="s">
        <v>6580</v>
      </c>
      <c r="C2380" s="11" t="s">
        <v>81</v>
      </c>
      <c r="D2380" s="4" t="s">
        <v>1406</v>
      </c>
      <c r="E2380" t="s">
        <v>489</v>
      </c>
      <c r="F2380" s="9">
        <f t="shared" si="154"/>
        <v>0</v>
      </c>
      <c r="G2380" s="9">
        <f t="shared" si="155"/>
        <v>0</v>
      </c>
      <c r="H2380" s="9">
        <f t="shared" si="156"/>
        <v>0</v>
      </c>
      <c r="I2380" s="10">
        <f t="shared" si="157"/>
        <v>0</v>
      </c>
    </row>
    <row r="2381" spans="1:9" x14ac:dyDescent="0.25">
      <c r="A2381" s="11" t="s">
        <v>6581</v>
      </c>
      <c r="B2381" s="11" t="s">
        <v>6582</v>
      </c>
      <c r="C2381" s="11" t="s">
        <v>81</v>
      </c>
      <c r="D2381" s="4" t="s">
        <v>1406</v>
      </c>
      <c r="E2381" t="s">
        <v>82</v>
      </c>
      <c r="F2381" s="9">
        <f t="shared" si="154"/>
        <v>0</v>
      </c>
      <c r="G2381" s="9">
        <f t="shared" si="155"/>
        <v>0</v>
      </c>
      <c r="H2381" s="9">
        <f t="shared" si="156"/>
        <v>0</v>
      </c>
      <c r="I2381" s="10">
        <f t="shared" si="157"/>
        <v>0</v>
      </c>
    </row>
    <row r="2382" spans="1:9" x14ac:dyDescent="0.25">
      <c r="A2382" s="11" t="s">
        <v>6583</v>
      </c>
      <c r="B2382" s="11" t="s">
        <v>6584</v>
      </c>
      <c r="C2382" s="11" t="s">
        <v>81</v>
      </c>
      <c r="D2382" s="4" t="s">
        <v>1406</v>
      </c>
      <c r="E2382" t="s">
        <v>82</v>
      </c>
      <c r="F2382" s="9">
        <f t="shared" si="154"/>
        <v>0</v>
      </c>
      <c r="G2382" s="9">
        <f t="shared" si="155"/>
        <v>0</v>
      </c>
      <c r="H2382" s="9">
        <f t="shared" si="156"/>
        <v>0</v>
      </c>
      <c r="I2382" s="10">
        <f t="shared" si="157"/>
        <v>0</v>
      </c>
    </row>
    <row r="2383" spans="1:9" x14ac:dyDescent="0.25">
      <c r="A2383" s="11" t="s">
        <v>6585</v>
      </c>
      <c r="B2383" s="11" t="s">
        <v>6586</v>
      </c>
      <c r="C2383" s="11" t="s">
        <v>81</v>
      </c>
      <c r="D2383" s="4" t="s">
        <v>1406</v>
      </c>
      <c r="E2383" t="s">
        <v>82</v>
      </c>
      <c r="F2383" s="9">
        <f t="shared" si="154"/>
        <v>0</v>
      </c>
      <c r="G2383" s="9">
        <f t="shared" si="155"/>
        <v>0</v>
      </c>
      <c r="H2383" s="9">
        <f t="shared" si="156"/>
        <v>0</v>
      </c>
      <c r="I2383" s="10">
        <f t="shared" si="157"/>
        <v>0</v>
      </c>
    </row>
    <row r="2384" spans="1:9" x14ac:dyDescent="0.25">
      <c r="A2384" s="11" t="s">
        <v>6587</v>
      </c>
      <c r="B2384" s="11" t="s">
        <v>6588</v>
      </c>
      <c r="C2384" s="11" t="s">
        <v>81</v>
      </c>
      <c r="D2384" s="4" t="s">
        <v>1406</v>
      </c>
      <c r="E2384" t="s">
        <v>82</v>
      </c>
      <c r="F2384" s="9">
        <f t="shared" si="154"/>
        <v>0</v>
      </c>
      <c r="G2384" s="9">
        <f t="shared" si="155"/>
        <v>0</v>
      </c>
      <c r="H2384" s="9">
        <f t="shared" si="156"/>
        <v>0</v>
      </c>
      <c r="I2384" s="10">
        <f t="shared" si="157"/>
        <v>0</v>
      </c>
    </row>
    <row r="2385" spans="1:9" x14ac:dyDescent="0.25">
      <c r="A2385" s="11" t="s">
        <v>6589</v>
      </c>
      <c r="B2385" s="11" t="s">
        <v>6590</v>
      </c>
      <c r="C2385" s="11" t="s">
        <v>81</v>
      </c>
      <c r="D2385" s="4" t="s">
        <v>1406</v>
      </c>
      <c r="E2385" t="s">
        <v>489</v>
      </c>
      <c r="F2385" s="9">
        <f t="shared" si="154"/>
        <v>0</v>
      </c>
      <c r="G2385" s="9">
        <f t="shared" si="155"/>
        <v>0</v>
      </c>
      <c r="H2385" s="9">
        <f t="shared" si="156"/>
        <v>0</v>
      </c>
      <c r="I2385" s="10">
        <f t="shared" si="157"/>
        <v>0</v>
      </c>
    </row>
    <row r="2386" spans="1:9" x14ac:dyDescent="0.25">
      <c r="A2386" s="11" t="s">
        <v>6591</v>
      </c>
      <c r="B2386" s="11" t="s">
        <v>6592</v>
      </c>
      <c r="C2386" s="11" t="s">
        <v>81</v>
      </c>
      <c r="D2386" s="4" t="s">
        <v>1406</v>
      </c>
      <c r="E2386" t="s">
        <v>82</v>
      </c>
      <c r="F2386" s="9">
        <f t="shared" si="154"/>
        <v>0</v>
      </c>
      <c r="G2386" s="9">
        <f t="shared" si="155"/>
        <v>0</v>
      </c>
      <c r="H2386" s="9">
        <f t="shared" si="156"/>
        <v>0</v>
      </c>
      <c r="I2386" s="10">
        <f t="shared" si="157"/>
        <v>0</v>
      </c>
    </row>
    <row r="2387" spans="1:9" x14ac:dyDescent="0.25">
      <c r="A2387" s="11" t="s">
        <v>6593</v>
      </c>
      <c r="B2387" s="11" t="s">
        <v>6594</v>
      </c>
      <c r="C2387" s="11" t="s">
        <v>81</v>
      </c>
      <c r="D2387" s="4" t="s">
        <v>1406</v>
      </c>
      <c r="E2387" t="s">
        <v>82</v>
      </c>
      <c r="F2387" s="9">
        <f t="shared" si="154"/>
        <v>0</v>
      </c>
      <c r="G2387" s="9">
        <f t="shared" si="155"/>
        <v>0</v>
      </c>
      <c r="H2387" s="9">
        <f t="shared" si="156"/>
        <v>0</v>
      </c>
      <c r="I2387" s="10">
        <f t="shared" si="157"/>
        <v>0</v>
      </c>
    </row>
    <row r="2388" spans="1:9" x14ac:dyDescent="0.25">
      <c r="A2388" s="11" t="s">
        <v>6595</v>
      </c>
      <c r="B2388" s="11" t="s">
        <v>6596</v>
      </c>
      <c r="C2388" s="11" t="s">
        <v>81</v>
      </c>
      <c r="D2388" s="4" t="s">
        <v>1406</v>
      </c>
      <c r="E2388" t="s">
        <v>82</v>
      </c>
      <c r="F2388" s="9">
        <f t="shared" si="154"/>
        <v>0</v>
      </c>
      <c r="G2388" s="9">
        <f t="shared" si="155"/>
        <v>0</v>
      </c>
      <c r="H2388" s="9">
        <f t="shared" si="156"/>
        <v>0</v>
      </c>
      <c r="I2388" s="10">
        <f t="shared" si="157"/>
        <v>0</v>
      </c>
    </row>
    <row r="2389" spans="1:9" x14ac:dyDescent="0.25">
      <c r="A2389" s="11" t="s">
        <v>6597</v>
      </c>
      <c r="B2389" s="11" t="s">
        <v>6598</v>
      </c>
      <c r="C2389" s="11" t="s">
        <v>81</v>
      </c>
      <c r="D2389" s="4" t="s">
        <v>1406</v>
      </c>
      <c r="E2389" t="s">
        <v>82</v>
      </c>
      <c r="F2389" s="9">
        <f t="shared" si="154"/>
        <v>0</v>
      </c>
      <c r="G2389" s="9">
        <f t="shared" si="155"/>
        <v>0</v>
      </c>
      <c r="H2389" s="9">
        <f t="shared" si="156"/>
        <v>0</v>
      </c>
      <c r="I2389" s="10">
        <f t="shared" si="157"/>
        <v>0</v>
      </c>
    </row>
    <row r="2390" spans="1:9" x14ac:dyDescent="0.25">
      <c r="A2390" s="11" t="s">
        <v>6599</v>
      </c>
      <c r="B2390" s="11" t="s">
        <v>6600</v>
      </c>
      <c r="C2390" s="11" t="s">
        <v>81</v>
      </c>
      <c r="D2390" s="4" t="s">
        <v>1406</v>
      </c>
      <c r="E2390" t="s">
        <v>82</v>
      </c>
      <c r="F2390" s="9">
        <f t="shared" si="154"/>
        <v>0</v>
      </c>
      <c r="G2390" s="9">
        <f t="shared" si="155"/>
        <v>0</v>
      </c>
      <c r="H2390" s="9">
        <f t="shared" si="156"/>
        <v>0</v>
      </c>
      <c r="I2390" s="10">
        <f t="shared" si="157"/>
        <v>0</v>
      </c>
    </row>
    <row r="2391" spans="1:9" x14ac:dyDescent="0.25">
      <c r="A2391" s="11" t="s">
        <v>6601</v>
      </c>
      <c r="B2391" s="11" t="s">
        <v>6602</v>
      </c>
      <c r="C2391" s="11" t="s">
        <v>81</v>
      </c>
      <c r="D2391" s="4" t="s">
        <v>1406</v>
      </c>
      <c r="E2391" t="s">
        <v>82</v>
      </c>
      <c r="F2391" s="9">
        <f t="shared" si="154"/>
        <v>0</v>
      </c>
      <c r="G2391" s="9">
        <f t="shared" si="155"/>
        <v>0</v>
      </c>
      <c r="H2391" s="9">
        <f t="shared" si="156"/>
        <v>0</v>
      </c>
      <c r="I2391" s="10">
        <f t="shared" si="157"/>
        <v>0</v>
      </c>
    </row>
    <row r="2392" spans="1:9" x14ac:dyDescent="0.25">
      <c r="A2392" s="11" t="s">
        <v>6603</v>
      </c>
      <c r="B2392" s="11" t="s">
        <v>6604</v>
      </c>
      <c r="C2392" s="11" t="s">
        <v>81</v>
      </c>
      <c r="D2392" s="4" t="s">
        <v>1406</v>
      </c>
      <c r="E2392" t="s">
        <v>82</v>
      </c>
      <c r="F2392" s="9">
        <f t="shared" si="154"/>
        <v>0</v>
      </c>
      <c r="G2392" s="9">
        <f t="shared" si="155"/>
        <v>0</v>
      </c>
      <c r="H2392" s="9">
        <f t="shared" si="156"/>
        <v>0</v>
      </c>
      <c r="I2392" s="10">
        <f t="shared" si="157"/>
        <v>0</v>
      </c>
    </row>
    <row r="2393" spans="1:9" x14ac:dyDescent="0.25">
      <c r="A2393" s="11" t="s">
        <v>6605</v>
      </c>
      <c r="B2393" s="11" t="s">
        <v>6606</v>
      </c>
      <c r="C2393" s="11" t="s">
        <v>81</v>
      </c>
      <c r="D2393" s="4" t="s">
        <v>1406</v>
      </c>
      <c r="E2393" t="s">
        <v>82</v>
      </c>
      <c r="F2393" s="9">
        <f t="shared" si="154"/>
        <v>0</v>
      </c>
      <c r="G2393" s="9">
        <f t="shared" si="155"/>
        <v>0</v>
      </c>
      <c r="H2393" s="9">
        <f t="shared" si="156"/>
        <v>0</v>
      </c>
      <c r="I2393" s="10">
        <f t="shared" si="157"/>
        <v>0</v>
      </c>
    </row>
    <row r="2394" spans="1:9" x14ac:dyDescent="0.25">
      <c r="A2394" s="11" t="s">
        <v>6607</v>
      </c>
      <c r="B2394" s="11" t="s">
        <v>6608</v>
      </c>
      <c r="C2394" s="11" t="s">
        <v>81</v>
      </c>
      <c r="D2394" s="4" t="s">
        <v>1406</v>
      </c>
      <c r="E2394" t="s">
        <v>82</v>
      </c>
      <c r="F2394" s="9">
        <f t="shared" si="154"/>
        <v>0</v>
      </c>
      <c r="G2394" s="9">
        <f t="shared" si="155"/>
        <v>0</v>
      </c>
      <c r="H2394" s="9">
        <f t="shared" si="156"/>
        <v>0</v>
      </c>
      <c r="I2394" s="10">
        <f t="shared" si="157"/>
        <v>0</v>
      </c>
    </row>
    <row r="2395" spans="1:9" x14ac:dyDescent="0.25">
      <c r="A2395" s="11" t="s">
        <v>6609</v>
      </c>
      <c r="B2395" s="11" t="s">
        <v>6610</v>
      </c>
      <c r="C2395" s="11" t="s">
        <v>81</v>
      </c>
      <c r="D2395" s="4" t="s">
        <v>1406</v>
      </c>
      <c r="E2395" t="s">
        <v>82</v>
      </c>
      <c r="F2395" s="9">
        <f t="shared" si="154"/>
        <v>0</v>
      </c>
      <c r="G2395" s="9">
        <f t="shared" si="155"/>
        <v>0</v>
      </c>
      <c r="H2395" s="9">
        <f t="shared" si="156"/>
        <v>0</v>
      </c>
      <c r="I2395" s="10">
        <f t="shared" si="157"/>
        <v>0</v>
      </c>
    </row>
    <row r="2396" spans="1:9" x14ac:dyDescent="0.25">
      <c r="A2396" s="11" t="s">
        <v>6611</v>
      </c>
      <c r="B2396" s="11" t="s">
        <v>6612</v>
      </c>
      <c r="C2396" s="11" t="s">
        <v>81</v>
      </c>
      <c r="D2396" s="4" t="s">
        <v>1406</v>
      </c>
      <c r="E2396" t="s">
        <v>82</v>
      </c>
      <c r="F2396" s="9">
        <f t="shared" si="154"/>
        <v>0</v>
      </c>
      <c r="G2396" s="9">
        <f t="shared" si="155"/>
        <v>0</v>
      </c>
      <c r="H2396" s="9">
        <f t="shared" si="156"/>
        <v>0</v>
      </c>
      <c r="I2396" s="10">
        <f t="shared" si="157"/>
        <v>0</v>
      </c>
    </row>
    <row r="2397" spans="1:9" x14ac:dyDescent="0.25">
      <c r="A2397" s="11" t="s">
        <v>6613</v>
      </c>
      <c r="B2397" s="11" t="s">
        <v>6614</v>
      </c>
      <c r="C2397" s="11" t="s">
        <v>81</v>
      </c>
      <c r="D2397" s="4" t="s">
        <v>1406</v>
      </c>
      <c r="E2397" t="s">
        <v>82</v>
      </c>
      <c r="F2397" s="9">
        <f t="shared" si="154"/>
        <v>0</v>
      </c>
      <c r="G2397" s="9">
        <f t="shared" si="155"/>
        <v>0</v>
      </c>
      <c r="H2397" s="9">
        <f t="shared" si="156"/>
        <v>0</v>
      </c>
      <c r="I2397" s="10">
        <f t="shared" si="157"/>
        <v>0</v>
      </c>
    </row>
    <row r="2398" spans="1:9" x14ac:dyDescent="0.25">
      <c r="A2398" s="11" t="s">
        <v>6615</v>
      </c>
      <c r="B2398" s="11" t="s">
        <v>6616</v>
      </c>
      <c r="C2398" s="11" t="s">
        <v>81</v>
      </c>
      <c r="D2398" s="4" t="s">
        <v>1406</v>
      </c>
      <c r="E2398" t="s">
        <v>489</v>
      </c>
      <c r="F2398" s="9">
        <f t="shared" si="154"/>
        <v>0</v>
      </c>
      <c r="G2398" s="9">
        <f t="shared" si="155"/>
        <v>0</v>
      </c>
      <c r="H2398" s="9">
        <f t="shared" si="156"/>
        <v>0</v>
      </c>
      <c r="I2398" s="10">
        <f t="shared" si="157"/>
        <v>0</v>
      </c>
    </row>
    <row r="2399" spans="1:9" x14ac:dyDescent="0.25">
      <c r="A2399" s="11" t="s">
        <v>6617</v>
      </c>
      <c r="B2399" s="11" t="s">
        <v>6618</v>
      </c>
      <c r="C2399" s="11" t="s">
        <v>81</v>
      </c>
      <c r="D2399" s="4" t="s">
        <v>1406</v>
      </c>
      <c r="E2399" t="s">
        <v>489</v>
      </c>
      <c r="F2399" s="9">
        <f t="shared" si="154"/>
        <v>0</v>
      </c>
      <c r="G2399" s="9">
        <f t="shared" si="155"/>
        <v>0</v>
      </c>
      <c r="H2399" s="9">
        <f t="shared" si="156"/>
        <v>0</v>
      </c>
      <c r="I2399" s="10">
        <f t="shared" si="157"/>
        <v>0</v>
      </c>
    </row>
    <row r="2400" spans="1:9" x14ac:dyDescent="0.25">
      <c r="A2400" s="11" t="s">
        <v>6619</v>
      </c>
      <c r="B2400" s="11" t="s">
        <v>6620</v>
      </c>
      <c r="C2400" s="11" t="s">
        <v>81</v>
      </c>
      <c r="D2400" s="4" t="s">
        <v>1406</v>
      </c>
      <c r="E2400" t="s">
        <v>489</v>
      </c>
      <c r="F2400" s="9">
        <f t="shared" si="154"/>
        <v>0</v>
      </c>
      <c r="G2400" s="9">
        <f t="shared" si="155"/>
        <v>0</v>
      </c>
      <c r="H2400" s="9">
        <f t="shared" si="156"/>
        <v>0</v>
      </c>
      <c r="I2400" s="10">
        <f t="shared" si="157"/>
        <v>0</v>
      </c>
    </row>
    <row r="2401" spans="1:9" x14ac:dyDescent="0.25">
      <c r="A2401" s="11" t="s">
        <v>6621</v>
      </c>
      <c r="B2401" s="11" t="s">
        <v>6622</v>
      </c>
      <c r="C2401" s="11" t="s">
        <v>81</v>
      </c>
      <c r="D2401" s="4" t="s">
        <v>1406</v>
      </c>
      <c r="E2401" t="s">
        <v>489</v>
      </c>
      <c r="F2401" s="9">
        <f t="shared" si="154"/>
        <v>0</v>
      </c>
      <c r="G2401" s="9">
        <f t="shared" si="155"/>
        <v>0</v>
      </c>
      <c r="H2401" s="9">
        <f t="shared" si="156"/>
        <v>0</v>
      </c>
      <c r="I2401" s="10">
        <f t="shared" si="157"/>
        <v>0</v>
      </c>
    </row>
    <row r="2402" spans="1:9" x14ac:dyDescent="0.25">
      <c r="A2402" s="11" t="s">
        <v>6623</v>
      </c>
      <c r="B2402" s="11" t="s">
        <v>6624</v>
      </c>
      <c r="C2402" s="11" t="s">
        <v>81</v>
      </c>
      <c r="D2402" s="4" t="s">
        <v>1406</v>
      </c>
      <c r="E2402" t="s">
        <v>489</v>
      </c>
      <c r="F2402" s="9">
        <f t="shared" si="154"/>
        <v>0</v>
      </c>
      <c r="G2402" s="9">
        <f t="shared" si="155"/>
        <v>0</v>
      </c>
      <c r="H2402" s="9">
        <f t="shared" si="156"/>
        <v>0</v>
      </c>
      <c r="I2402" s="10">
        <f t="shared" si="157"/>
        <v>0</v>
      </c>
    </row>
    <row r="2403" spans="1:9" x14ac:dyDescent="0.25">
      <c r="A2403" s="11" t="s">
        <v>6625</v>
      </c>
      <c r="B2403" s="11" t="s">
        <v>6626</v>
      </c>
      <c r="C2403" s="11" t="s">
        <v>81</v>
      </c>
      <c r="D2403" s="4" t="s">
        <v>1406</v>
      </c>
      <c r="E2403" t="s">
        <v>489</v>
      </c>
      <c r="F2403" s="9">
        <f t="shared" si="154"/>
        <v>0</v>
      </c>
      <c r="G2403" s="9">
        <f t="shared" si="155"/>
        <v>0</v>
      </c>
      <c r="H2403" s="9">
        <f t="shared" si="156"/>
        <v>0</v>
      </c>
      <c r="I2403" s="10">
        <f t="shared" si="157"/>
        <v>0</v>
      </c>
    </row>
    <row r="2404" spans="1:9" x14ac:dyDescent="0.25">
      <c r="A2404" s="11" t="s">
        <v>6627</v>
      </c>
      <c r="B2404" s="11" t="s">
        <v>6628</v>
      </c>
      <c r="C2404" s="11" t="s">
        <v>81</v>
      </c>
      <c r="D2404" s="4" t="s">
        <v>1406</v>
      </c>
      <c r="E2404" t="s">
        <v>489</v>
      </c>
      <c r="F2404" s="9">
        <f t="shared" si="154"/>
        <v>0</v>
      </c>
      <c r="G2404" s="9">
        <f t="shared" si="155"/>
        <v>0</v>
      </c>
      <c r="H2404" s="9">
        <f t="shared" si="156"/>
        <v>0</v>
      </c>
      <c r="I2404" s="10">
        <f t="shared" si="157"/>
        <v>0</v>
      </c>
    </row>
    <row r="2405" spans="1:9" x14ac:dyDescent="0.25">
      <c r="A2405" s="11" t="s">
        <v>6629</v>
      </c>
      <c r="B2405" s="11" t="s">
        <v>6630</v>
      </c>
      <c r="C2405" s="11" t="s">
        <v>81</v>
      </c>
      <c r="D2405" s="4" t="s">
        <v>1406</v>
      </c>
      <c r="E2405" t="s">
        <v>82</v>
      </c>
      <c r="F2405" s="9">
        <f t="shared" si="154"/>
        <v>0</v>
      </c>
      <c r="G2405" s="9">
        <f t="shared" si="155"/>
        <v>0</v>
      </c>
      <c r="H2405" s="9">
        <f t="shared" si="156"/>
        <v>0</v>
      </c>
      <c r="I2405" s="10">
        <f t="shared" si="157"/>
        <v>0</v>
      </c>
    </row>
    <row r="2406" spans="1:9" x14ac:dyDescent="0.25">
      <c r="A2406" s="11" t="s">
        <v>6631</v>
      </c>
      <c r="B2406" s="11" t="s">
        <v>6632</v>
      </c>
      <c r="C2406" s="11" t="s">
        <v>81</v>
      </c>
      <c r="D2406" s="4" t="s">
        <v>1406</v>
      </c>
      <c r="E2406" t="s">
        <v>489</v>
      </c>
      <c r="F2406" s="9">
        <f t="shared" si="154"/>
        <v>0</v>
      </c>
      <c r="G2406" s="9">
        <f t="shared" si="155"/>
        <v>0</v>
      </c>
      <c r="H2406" s="9">
        <f t="shared" si="156"/>
        <v>0</v>
      </c>
      <c r="I2406" s="10">
        <f t="shared" si="157"/>
        <v>0</v>
      </c>
    </row>
    <row r="2407" spans="1:9" x14ac:dyDescent="0.25">
      <c r="A2407" s="11" t="s">
        <v>6633</v>
      </c>
      <c r="B2407" s="11" t="s">
        <v>6634</v>
      </c>
      <c r="C2407" s="11" t="s">
        <v>81</v>
      </c>
      <c r="D2407" s="4" t="s">
        <v>1406</v>
      </c>
      <c r="E2407" t="s">
        <v>489</v>
      </c>
      <c r="F2407" s="9">
        <f t="shared" si="154"/>
        <v>0</v>
      </c>
      <c r="G2407" s="9">
        <f t="shared" si="155"/>
        <v>6</v>
      </c>
      <c r="H2407" s="9">
        <f t="shared" si="156"/>
        <v>0</v>
      </c>
      <c r="I2407" s="10">
        <f t="shared" si="157"/>
        <v>6</v>
      </c>
    </row>
    <row r="2408" spans="1:9" x14ac:dyDescent="0.25">
      <c r="A2408" s="11" t="s">
        <v>6635</v>
      </c>
      <c r="B2408" s="11" t="s">
        <v>6636</v>
      </c>
      <c r="C2408" s="11" t="s">
        <v>81</v>
      </c>
      <c r="D2408" s="4" t="s">
        <v>1406</v>
      </c>
      <c r="E2408" t="s">
        <v>82</v>
      </c>
      <c r="F2408" s="9">
        <f t="shared" si="154"/>
        <v>0</v>
      </c>
      <c r="G2408" s="9">
        <f t="shared" si="155"/>
        <v>0</v>
      </c>
      <c r="H2408" s="9">
        <f t="shared" si="156"/>
        <v>0</v>
      </c>
      <c r="I2408" s="10">
        <f t="shared" si="157"/>
        <v>0</v>
      </c>
    </row>
    <row r="2409" spans="1:9" x14ac:dyDescent="0.25">
      <c r="A2409" s="11" t="s">
        <v>6637</v>
      </c>
      <c r="B2409" s="11" t="s">
        <v>6638</v>
      </c>
      <c r="C2409" s="11" t="s">
        <v>81</v>
      </c>
      <c r="D2409" s="4" t="s">
        <v>1406</v>
      </c>
      <c r="E2409" t="s">
        <v>489</v>
      </c>
      <c r="F2409" s="9">
        <f t="shared" si="154"/>
        <v>0</v>
      </c>
      <c r="G2409" s="9">
        <f t="shared" si="155"/>
        <v>0</v>
      </c>
      <c r="H2409" s="9">
        <f t="shared" si="156"/>
        <v>0</v>
      </c>
      <c r="I2409" s="10">
        <f t="shared" si="157"/>
        <v>0</v>
      </c>
    </row>
    <row r="2410" spans="1:9" x14ac:dyDescent="0.25">
      <c r="A2410" s="11" t="s">
        <v>6639</v>
      </c>
      <c r="B2410" s="11" t="s">
        <v>6640</v>
      </c>
      <c r="C2410" s="11" t="s">
        <v>81</v>
      </c>
      <c r="D2410" s="4" t="s">
        <v>1406</v>
      </c>
      <c r="E2410" t="s">
        <v>82</v>
      </c>
      <c r="F2410" s="9">
        <f t="shared" si="154"/>
        <v>0</v>
      </c>
      <c r="G2410" s="9">
        <f t="shared" si="155"/>
        <v>0</v>
      </c>
      <c r="H2410" s="9">
        <f t="shared" si="156"/>
        <v>0</v>
      </c>
      <c r="I2410" s="10">
        <f t="shared" si="157"/>
        <v>0</v>
      </c>
    </row>
    <row r="2411" spans="1:9" x14ac:dyDescent="0.25">
      <c r="A2411" s="11" t="s">
        <v>6641</v>
      </c>
      <c r="B2411" s="11" t="s">
        <v>6642</v>
      </c>
      <c r="C2411" s="11" t="s">
        <v>81</v>
      </c>
      <c r="D2411" s="4" t="s">
        <v>1406</v>
      </c>
      <c r="E2411" t="s">
        <v>82</v>
      </c>
      <c r="F2411" s="9">
        <f t="shared" si="154"/>
        <v>0</v>
      </c>
      <c r="G2411" s="9">
        <f t="shared" si="155"/>
        <v>0</v>
      </c>
      <c r="H2411" s="9">
        <f t="shared" si="156"/>
        <v>0</v>
      </c>
      <c r="I2411" s="10">
        <f t="shared" si="157"/>
        <v>0</v>
      </c>
    </row>
    <row r="2412" spans="1:9" x14ac:dyDescent="0.25">
      <c r="A2412" s="11" t="s">
        <v>6643</v>
      </c>
      <c r="B2412" s="11" t="s">
        <v>6644</v>
      </c>
      <c r="C2412" s="11" t="s">
        <v>81</v>
      </c>
      <c r="D2412" s="4" t="s">
        <v>1406</v>
      </c>
      <c r="E2412" t="s">
        <v>82</v>
      </c>
      <c r="F2412" s="9">
        <f t="shared" si="154"/>
        <v>0</v>
      </c>
      <c r="G2412" s="9">
        <f t="shared" si="155"/>
        <v>0</v>
      </c>
      <c r="H2412" s="9">
        <f t="shared" si="156"/>
        <v>0</v>
      </c>
      <c r="I2412" s="10">
        <f t="shared" si="157"/>
        <v>0</v>
      </c>
    </row>
    <row r="2413" spans="1:9" x14ac:dyDescent="0.25">
      <c r="A2413" s="11" t="s">
        <v>6645</v>
      </c>
      <c r="B2413" s="11" t="s">
        <v>6646</v>
      </c>
      <c r="C2413" s="11" t="s">
        <v>81</v>
      </c>
      <c r="D2413" s="4" t="s">
        <v>1406</v>
      </c>
      <c r="E2413" t="s">
        <v>82</v>
      </c>
      <c r="F2413" s="9">
        <f t="shared" si="154"/>
        <v>0</v>
      </c>
      <c r="G2413" s="9">
        <f t="shared" si="155"/>
        <v>0</v>
      </c>
      <c r="H2413" s="9">
        <f t="shared" si="156"/>
        <v>0</v>
      </c>
      <c r="I2413" s="10">
        <f t="shared" si="157"/>
        <v>0</v>
      </c>
    </row>
    <row r="2414" spans="1:9" x14ac:dyDescent="0.25">
      <c r="A2414" s="11" t="s">
        <v>6647</v>
      </c>
      <c r="B2414" s="11" t="s">
        <v>6648</v>
      </c>
      <c r="C2414" s="11" t="s">
        <v>81</v>
      </c>
      <c r="D2414" s="4" t="s">
        <v>1406</v>
      </c>
      <c r="E2414" t="s">
        <v>82</v>
      </c>
      <c r="F2414" s="9">
        <f t="shared" si="154"/>
        <v>0</v>
      </c>
      <c r="G2414" s="9">
        <f t="shared" si="155"/>
        <v>0</v>
      </c>
      <c r="H2414" s="9">
        <f t="shared" si="156"/>
        <v>0</v>
      </c>
      <c r="I2414" s="10">
        <f t="shared" si="157"/>
        <v>0</v>
      </c>
    </row>
    <row r="2415" spans="1:9" x14ac:dyDescent="0.25">
      <c r="A2415" s="11" t="s">
        <v>6649</v>
      </c>
      <c r="B2415" s="11" t="s">
        <v>6650</v>
      </c>
      <c r="C2415" s="11" t="s">
        <v>81</v>
      </c>
      <c r="D2415" s="4" t="s">
        <v>1406</v>
      </c>
      <c r="E2415" t="s">
        <v>82</v>
      </c>
      <c r="F2415" s="9">
        <f t="shared" si="154"/>
        <v>0</v>
      </c>
      <c r="G2415" s="9">
        <f t="shared" si="155"/>
        <v>0</v>
      </c>
      <c r="H2415" s="9">
        <f t="shared" si="156"/>
        <v>0</v>
      </c>
      <c r="I2415" s="10">
        <f t="shared" si="157"/>
        <v>0</v>
      </c>
    </row>
    <row r="2416" spans="1:9" x14ac:dyDescent="0.25">
      <c r="A2416" s="11" t="s">
        <v>6651</v>
      </c>
      <c r="B2416" s="11" t="s">
        <v>6652</v>
      </c>
      <c r="C2416" s="11" t="s">
        <v>81</v>
      </c>
      <c r="D2416" s="4" t="s">
        <v>1406</v>
      </c>
      <c r="E2416" t="s">
        <v>489</v>
      </c>
      <c r="F2416" s="9">
        <f t="shared" si="154"/>
        <v>0</v>
      </c>
      <c r="G2416" s="9">
        <f t="shared" si="155"/>
        <v>0</v>
      </c>
      <c r="H2416" s="9">
        <f t="shared" si="156"/>
        <v>0</v>
      </c>
      <c r="I2416" s="10">
        <f t="shared" si="157"/>
        <v>0</v>
      </c>
    </row>
    <row r="2417" spans="1:9" x14ac:dyDescent="0.25">
      <c r="A2417" s="11" t="s">
        <v>6653</v>
      </c>
      <c r="B2417" s="11" t="s">
        <v>6654</v>
      </c>
      <c r="C2417" s="11" t="s">
        <v>81</v>
      </c>
      <c r="D2417" s="4" t="s">
        <v>1406</v>
      </c>
      <c r="E2417" t="s">
        <v>489</v>
      </c>
      <c r="F2417" s="9">
        <f t="shared" si="154"/>
        <v>0</v>
      </c>
      <c r="G2417" s="9">
        <f t="shared" si="155"/>
        <v>0</v>
      </c>
      <c r="H2417" s="9">
        <f t="shared" si="156"/>
        <v>0</v>
      </c>
      <c r="I2417" s="10">
        <f t="shared" si="157"/>
        <v>0</v>
      </c>
    </row>
    <row r="2418" spans="1:9" x14ac:dyDescent="0.25">
      <c r="A2418" s="11" t="s">
        <v>6655</v>
      </c>
      <c r="B2418" s="11" t="s">
        <v>6656</v>
      </c>
      <c r="C2418" s="11" t="s">
        <v>81</v>
      </c>
      <c r="D2418" s="4" t="s">
        <v>1406</v>
      </c>
      <c r="E2418" t="s">
        <v>489</v>
      </c>
      <c r="F2418" s="9">
        <f t="shared" si="154"/>
        <v>0</v>
      </c>
      <c r="G2418" s="9">
        <f t="shared" si="155"/>
        <v>0</v>
      </c>
      <c r="H2418" s="9">
        <f t="shared" si="156"/>
        <v>0</v>
      </c>
      <c r="I2418" s="10">
        <f t="shared" si="157"/>
        <v>0</v>
      </c>
    </row>
    <row r="2419" spans="1:9" x14ac:dyDescent="0.25">
      <c r="A2419" s="11" t="s">
        <v>6657</v>
      </c>
      <c r="B2419" s="11" t="s">
        <v>6658</v>
      </c>
      <c r="C2419" s="11" t="s">
        <v>81</v>
      </c>
      <c r="D2419" s="4" t="s">
        <v>1406</v>
      </c>
      <c r="E2419" t="s">
        <v>82</v>
      </c>
      <c r="F2419" s="9">
        <f t="shared" si="154"/>
        <v>0</v>
      </c>
      <c r="G2419" s="9">
        <f t="shared" si="155"/>
        <v>0</v>
      </c>
      <c r="H2419" s="9">
        <f t="shared" si="156"/>
        <v>0</v>
      </c>
      <c r="I2419" s="10">
        <f t="shared" si="157"/>
        <v>0</v>
      </c>
    </row>
    <row r="2420" spans="1:9" x14ac:dyDescent="0.25">
      <c r="A2420" s="11" t="s">
        <v>6659</v>
      </c>
      <c r="B2420" s="11" t="s">
        <v>6660</v>
      </c>
      <c r="C2420" s="11" t="s">
        <v>81</v>
      </c>
      <c r="D2420" s="4" t="s">
        <v>1406</v>
      </c>
      <c r="E2420" t="s">
        <v>82</v>
      </c>
      <c r="F2420" s="9">
        <f t="shared" si="154"/>
        <v>0</v>
      </c>
      <c r="G2420" s="9">
        <f t="shared" si="155"/>
        <v>0</v>
      </c>
      <c r="H2420" s="9">
        <f t="shared" si="156"/>
        <v>0</v>
      </c>
      <c r="I2420" s="10">
        <f t="shared" si="157"/>
        <v>0</v>
      </c>
    </row>
    <row r="2421" spans="1:9" x14ac:dyDescent="0.25">
      <c r="A2421" s="11" t="s">
        <v>6661</v>
      </c>
      <c r="B2421" s="11" t="s">
        <v>6662</v>
      </c>
      <c r="C2421" s="11" t="s">
        <v>81</v>
      </c>
      <c r="D2421" s="4" t="s">
        <v>1406</v>
      </c>
      <c r="E2421" t="s">
        <v>82</v>
      </c>
      <c r="F2421" s="9">
        <f t="shared" si="154"/>
        <v>0</v>
      </c>
      <c r="G2421" s="9">
        <f t="shared" si="155"/>
        <v>7</v>
      </c>
      <c r="H2421" s="9">
        <f t="shared" si="156"/>
        <v>0</v>
      </c>
      <c r="I2421" s="10">
        <f t="shared" si="157"/>
        <v>7</v>
      </c>
    </row>
    <row r="2422" spans="1:9" x14ac:dyDescent="0.25">
      <c r="A2422" s="11" t="s">
        <v>6663</v>
      </c>
      <c r="B2422" s="11" t="s">
        <v>6664</v>
      </c>
      <c r="C2422" s="11" t="s">
        <v>81</v>
      </c>
      <c r="D2422" s="4" t="s">
        <v>1406</v>
      </c>
      <c r="E2422" t="s">
        <v>82</v>
      </c>
      <c r="F2422" s="9">
        <f t="shared" si="154"/>
        <v>0</v>
      </c>
      <c r="G2422" s="9">
        <f t="shared" si="155"/>
        <v>0</v>
      </c>
      <c r="H2422" s="9">
        <f t="shared" si="156"/>
        <v>0</v>
      </c>
      <c r="I2422" s="10">
        <f t="shared" si="157"/>
        <v>0</v>
      </c>
    </row>
    <row r="2423" spans="1:9" x14ac:dyDescent="0.25">
      <c r="A2423" s="11" t="s">
        <v>6665</v>
      </c>
      <c r="B2423" s="11" t="s">
        <v>6666</v>
      </c>
      <c r="C2423" s="11" t="s">
        <v>81</v>
      </c>
      <c r="D2423" s="4" t="s">
        <v>1406</v>
      </c>
      <c r="E2423" t="s">
        <v>489</v>
      </c>
      <c r="F2423" s="9">
        <f t="shared" si="154"/>
        <v>0</v>
      </c>
      <c r="G2423" s="9">
        <f t="shared" si="155"/>
        <v>0</v>
      </c>
      <c r="H2423" s="9">
        <f t="shared" si="156"/>
        <v>0</v>
      </c>
      <c r="I2423" s="10">
        <f t="shared" si="157"/>
        <v>0</v>
      </c>
    </row>
    <row r="2424" spans="1:9" x14ac:dyDescent="0.25">
      <c r="A2424" s="11" t="s">
        <v>6667</v>
      </c>
      <c r="B2424" s="11" t="s">
        <v>6668</v>
      </c>
      <c r="C2424" s="11" t="s">
        <v>81</v>
      </c>
      <c r="D2424" s="4" t="s">
        <v>1406</v>
      </c>
      <c r="E2424" t="s">
        <v>82</v>
      </c>
      <c r="F2424" s="9">
        <f t="shared" si="154"/>
        <v>0</v>
      </c>
      <c r="G2424" s="9">
        <f t="shared" si="155"/>
        <v>0</v>
      </c>
      <c r="H2424" s="9">
        <f t="shared" si="156"/>
        <v>0</v>
      </c>
      <c r="I2424" s="10">
        <f t="shared" si="157"/>
        <v>0</v>
      </c>
    </row>
    <row r="2425" spans="1:9" x14ac:dyDescent="0.25">
      <c r="A2425" s="11" t="s">
        <v>6669</v>
      </c>
      <c r="B2425" s="11" t="s">
        <v>6670</v>
      </c>
      <c r="C2425" s="11" t="s">
        <v>81</v>
      </c>
      <c r="D2425" s="4" t="s">
        <v>1406</v>
      </c>
      <c r="E2425" t="s">
        <v>489</v>
      </c>
      <c r="F2425" s="9">
        <f t="shared" si="154"/>
        <v>0</v>
      </c>
      <c r="G2425" s="9">
        <f t="shared" si="155"/>
        <v>0</v>
      </c>
      <c r="H2425" s="9">
        <f t="shared" si="156"/>
        <v>0</v>
      </c>
      <c r="I2425" s="10">
        <f t="shared" si="157"/>
        <v>0</v>
      </c>
    </row>
    <row r="2426" spans="1:9" x14ac:dyDescent="0.25">
      <c r="A2426" s="11" t="s">
        <v>6671</v>
      </c>
      <c r="B2426" s="11" t="s">
        <v>6672</v>
      </c>
      <c r="C2426" s="11" t="s">
        <v>81</v>
      </c>
      <c r="D2426" s="4" t="s">
        <v>1406</v>
      </c>
      <c r="E2426" t="s">
        <v>82</v>
      </c>
      <c r="F2426" s="9">
        <f t="shared" si="154"/>
        <v>0</v>
      </c>
      <c r="G2426" s="9">
        <f t="shared" si="155"/>
        <v>0</v>
      </c>
      <c r="H2426" s="9">
        <f t="shared" si="156"/>
        <v>0</v>
      </c>
      <c r="I2426" s="10">
        <f t="shared" si="157"/>
        <v>0</v>
      </c>
    </row>
    <row r="2427" spans="1:9" x14ac:dyDescent="0.25">
      <c r="A2427" s="11" t="s">
        <v>6673</v>
      </c>
      <c r="B2427" s="11" t="s">
        <v>6674</v>
      </c>
      <c r="C2427" s="11" t="s">
        <v>81</v>
      </c>
      <c r="D2427" s="4" t="s">
        <v>1406</v>
      </c>
      <c r="E2427" t="s">
        <v>82</v>
      </c>
      <c r="F2427" s="9">
        <f t="shared" si="154"/>
        <v>0</v>
      </c>
      <c r="G2427" s="9">
        <f t="shared" si="155"/>
        <v>0</v>
      </c>
      <c r="H2427" s="9">
        <f t="shared" si="156"/>
        <v>0</v>
      </c>
      <c r="I2427" s="10">
        <f t="shared" si="157"/>
        <v>0</v>
      </c>
    </row>
    <row r="2428" spans="1:9" x14ac:dyDescent="0.25">
      <c r="A2428" s="11" t="s">
        <v>6675</v>
      </c>
      <c r="B2428" s="11" t="s">
        <v>6676</v>
      </c>
      <c r="C2428" s="11" t="s">
        <v>81</v>
      </c>
      <c r="D2428" s="4" t="s">
        <v>1406</v>
      </c>
      <c r="E2428" t="s">
        <v>489</v>
      </c>
      <c r="F2428" s="9">
        <f t="shared" si="154"/>
        <v>0</v>
      </c>
      <c r="G2428" s="9">
        <f t="shared" si="155"/>
        <v>0</v>
      </c>
      <c r="H2428" s="9">
        <f t="shared" si="156"/>
        <v>0</v>
      </c>
      <c r="I2428" s="10">
        <f t="shared" si="157"/>
        <v>0</v>
      </c>
    </row>
    <row r="2429" spans="1:9" x14ac:dyDescent="0.25">
      <c r="A2429" s="11" t="s">
        <v>6677</v>
      </c>
      <c r="B2429" s="11" t="s">
        <v>6678</v>
      </c>
      <c r="C2429" s="11" t="s">
        <v>81</v>
      </c>
      <c r="D2429" s="4" t="s">
        <v>1406</v>
      </c>
      <c r="E2429" t="s">
        <v>82</v>
      </c>
      <c r="F2429" s="9">
        <f t="shared" si="154"/>
        <v>0</v>
      </c>
      <c r="G2429" s="9">
        <f t="shared" si="155"/>
        <v>0</v>
      </c>
      <c r="H2429" s="9">
        <f t="shared" si="156"/>
        <v>0</v>
      </c>
      <c r="I2429" s="10">
        <f t="shared" si="157"/>
        <v>0</v>
      </c>
    </row>
    <row r="2430" spans="1:9" x14ac:dyDescent="0.25">
      <c r="A2430" s="11" t="s">
        <v>6679</v>
      </c>
      <c r="B2430" s="11" t="s">
        <v>6680</v>
      </c>
      <c r="C2430" s="11" t="s">
        <v>81</v>
      </c>
      <c r="D2430" s="4" t="s">
        <v>1406</v>
      </c>
      <c r="E2430" t="s">
        <v>82</v>
      </c>
      <c r="F2430" s="9">
        <f t="shared" si="154"/>
        <v>0</v>
      </c>
      <c r="G2430" s="9">
        <f t="shared" si="155"/>
        <v>0</v>
      </c>
      <c r="H2430" s="9">
        <f t="shared" si="156"/>
        <v>0</v>
      </c>
      <c r="I2430" s="10">
        <f t="shared" si="157"/>
        <v>0</v>
      </c>
    </row>
    <row r="2431" spans="1:9" x14ac:dyDescent="0.25">
      <c r="A2431" s="11" t="s">
        <v>6681</v>
      </c>
      <c r="B2431" s="11" t="s">
        <v>6682</v>
      </c>
      <c r="C2431" s="11" t="s">
        <v>81</v>
      </c>
      <c r="D2431" s="4" t="s">
        <v>1406</v>
      </c>
      <c r="E2431" t="s">
        <v>82</v>
      </c>
      <c r="F2431" s="9">
        <f t="shared" si="154"/>
        <v>0</v>
      </c>
      <c r="G2431" s="9">
        <f t="shared" si="155"/>
        <v>0</v>
      </c>
      <c r="H2431" s="9">
        <f t="shared" si="156"/>
        <v>0</v>
      </c>
      <c r="I2431" s="10">
        <f t="shared" si="157"/>
        <v>0</v>
      </c>
    </row>
    <row r="2432" spans="1:9" x14ac:dyDescent="0.25">
      <c r="A2432" s="11" t="s">
        <v>6683</v>
      </c>
      <c r="B2432" s="11" t="s">
        <v>6684</v>
      </c>
      <c r="C2432" s="11" t="s">
        <v>81</v>
      </c>
      <c r="D2432" s="4" t="s">
        <v>1406</v>
      </c>
      <c r="E2432" t="s">
        <v>489</v>
      </c>
      <c r="F2432" s="9">
        <f t="shared" si="154"/>
        <v>0</v>
      </c>
      <c r="G2432" s="9">
        <f t="shared" si="155"/>
        <v>0</v>
      </c>
      <c r="H2432" s="9">
        <f t="shared" si="156"/>
        <v>0</v>
      </c>
      <c r="I2432" s="10">
        <f t="shared" si="157"/>
        <v>0</v>
      </c>
    </row>
    <row r="2433" spans="1:9" x14ac:dyDescent="0.25">
      <c r="A2433" s="11" t="s">
        <v>6685</v>
      </c>
      <c r="B2433" s="11" t="s">
        <v>6686</v>
      </c>
      <c r="C2433" s="11" t="s">
        <v>81</v>
      </c>
      <c r="D2433" s="4" t="s">
        <v>1406</v>
      </c>
      <c r="E2433" t="s">
        <v>82</v>
      </c>
      <c r="F2433" s="9">
        <f t="shared" si="154"/>
        <v>0</v>
      </c>
      <c r="G2433" s="9">
        <f t="shared" si="155"/>
        <v>0</v>
      </c>
      <c r="H2433" s="9">
        <f t="shared" si="156"/>
        <v>0</v>
      </c>
      <c r="I2433" s="10">
        <f t="shared" si="157"/>
        <v>0</v>
      </c>
    </row>
    <row r="2434" spans="1:9" x14ac:dyDescent="0.25">
      <c r="A2434" s="11" t="s">
        <v>6687</v>
      </c>
      <c r="B2434" s="11" t="s">
        <v>6688</v>
      </c>
      <c r="C2434" s="11" t="s">
        <v>81</v>
      </c>
      <c r="D2434" s="4" t="s">
        <v>1406</v>
      </c>
      <c r="E2434" t="s">
        <v>82</v>
      </c>
      <c r="F2434" s="9">
        <f t="shared" si="154"/>
        <v>0</v>
      </c>
      <c r="G2434" s="9">
        <f t="shared" si="155"/>
        <v>0</v>
      </c>
      <c r="H2434" s="9">
        <f t="shared" si="156"/>
        <v>0</v>
      </c>
      <c r="I2434" s="10">
        <f t="shared" si="157"/>
        <v>0</v>
      </c>
    </row>
    <row r="2435" spans="1:9" x14ac:dyDescent="0.25">
      <c r="A2435" s="11" t="s">
        <v>6689</v>
      </c>
      <c r="B2435" s="11" t="s">
        <v>6690</v>
      </c>
      <c r="C2435" s="11" t="s">
        <v>81</v>
      </c>
      <c r="D2435" s="4" t="s">
        <v>1406</v>
      </c>
      <c r="E2435" t="s">
        <v>489</v>
      </c>
      <c r="F2435" s="9">
        <f t="shared" si="154"/>
        <v>0</v>
      </c>
      <c r="G2435" s="9">
        <f t="shared" si="155"/>
        <v>0</v>
      </c>
      <c r="H2435" s="9">
        <f t="shared" si="156"/>
        <v>0</v>
      </c>
      <c r="I2435" s="10">
        <f t="shared" si="157"/>
        <v>0</v>
      </c>
    </row>
    <row r="2436" spans="1:9" x14ac:dyDescent="0.25">
      <c r="A2436" s="11" t="s">
        <v>6691</v>
      </c>
      <c r="B2436" s="11" t="s">
        <v>6692</v>
      </c>
      <c r="C2436" s="11" t="s">
        <v>81</v>
      </c>
      <c r="D2436" s="4" t="s">
        <v>1406</v>
      </c>
      <c r="E2436" t="s">
        <v>489</v>
      </c>
      <c r="F2436" s="9">
        <f t="shared" si="154"/>
        <v>0</v>
      </c>
      <c r="G2436" s="9">
        <f t="shared" si="155"/>
        <v>0</v>
      </c>
      <c r="H2436" s="9">
        <f t="shared" si="156"/>
        <v>0</v>
      </c>
      <c r="I2436" s="10">
        <f t="shared" si="157"/>
        <v>0</v>
      </c>
    </row>
    <row r="2437" spans="1:9" x14ac:dyDescent="0.25">
      <c r="A2437" s="11" t="s">
        <v>6693</v>
      </c>
      <c r="B2437" s="11" t="s">
        <v>6694</v>
      </c>
      <c r="C2437" s="11" t="s">
        <v>81</v>
      </c>
      <c r="D2437" s="4" t="s">
        <v>1406</v>
      </c>
      <c r="E2437" t="s">
        <v>82</v>
      </c>
      <c r="F2437" s="9">
        <f t="shared" si="154"/>
        <v>0</v>
      </c>
      <c r="G2437" s="9">
        <f t="shared" si="155"/>
        <v>0</v>
      </c>
      <c r="H2437" s="9">
        <f t="shared" si="156"/>
        <v>0</v>
      </c>
      <c r="I2437" s="10">
        <f t="shared" si="157"/>
        <v>0</v>
      </c>
    </row>
    <row r="2438" spans="1:9" x14ac:dyDescent="0.25">
      <c r="A2438" s="11" t="s">
        <v>6695</v>
      </c>
      <c r="B2438" s="11" t="s">
        <v>6696</v>
      </c>
      <c r="C2438" s="11" t="s">
        <v>81</v>
      </c>
      <c r="D2438" s="4" t="s">
        <v>1406</v>
      </c>
      <c r="E2438" t="s">
        <v>82</v>
      </c>
      <c r="F2438" s="9">
        <f t="shared" si="154"/>
        <v>0</v>
      </c>
      <c r="G2438" s="9">
        <f t="shared" si="155"/>
        <v>0</v>
      </c>
      <c r="H2438" s="9">
        <f t="shared" si="156"/>
        <v>0</v>
      </c>
      <c r="I2438" s="10">
        <f t="shared" si="157"/>
        <v>0</v>
      </c>
    </row>
    <row r="2439" spans="1:9" x14ac:dyDescent="0.25">
      <c r="A2439" s="11" t="s">
        <v>6697</v>
      </c>
      <c r="B2439" s="11" t="s">
        <v>6698</v>
      </c>
      <c r="C2439" s="11" t="s">
        <v>81</v>
      </c>
      <c r="D2439" s="4" t="s">
        <v>1406</v>
      </c>
      <c r="E2439" t="s">
        <v>489</v>
      </c>
      <c r="F2439" s="9">
        <f t="shared" si="154"/>
        <v>0</v>
      </c>
      <c r="G2439" s="9">
        <f t="shared" si="155"/>
        <v>0</v>
      </c>
      <c r="H2439" s="9">
        <f t="shared" si="156"/>
        <v>0</v>
      </c>
      <c r="I2439" s="10">
        <f t="shared" si="157"/>
        <v>0</v>
      </c>
    </row>
    <row r="2440" spans="1:9" x14ac:dyDescent="0.25">
      <c r="A2440" s="11" t="s">
        <v>6699</v>
      </c>
      <c r="B2440" s="11" t="s">
        <v>6700</v>
      </c>
      <c r="C2440" s="11" t="s">
        <v>81</v>
      </c>
      <c r="D2440" s="4" t="s">
        <v>1406</v>
      </c>
      <c r="E2440" t="s">
        <v>82</v>
      </c>
      <c r="F2440" s="9">
        <f t="shared" ref="F2440:F2503" si="158">IFERROR(VLOOKUP(A2440,condi,8,0),0)</f>
        <v>0</v>
      </c>
      <c r="G2440" s="9">
        <f t="shared" ref="G2440:G2503" si="159">IFERROR(VLOOKUP(A2440,maqui,8,0),0)</f>
        <v>0</v>
      </c>
      <c r="H2440" s="9">
        <f t="shared" ref="H2440:H2503" si="160">IFERROR(VLOOKUP(A2440,ascint,8,0),0)</f>
        <v>0</v>
      </c>
      <c r="I2440" s="10">
        <f t="shared" ref="I2440:I2503" si="161">+F2440+G2440+H2440</f>
        <v>0</v>
      </c>
    </row>
    <row r="2441" spans="1:9" x14ac:dyDescent="0.25">
      <c r="A2441" s="11" t="s">
        <v>6701</v>
      </c>
      <c r="B2441" s="11" t="s">
        <v>6702</v>
      </c>
      <c r="C2441" s="11" t="s">
        <v>81</v>
      </c>
      <c r="D2441" s="4" t="s">
        <v>1406</v>
      </c>
      <c r="E2441" t="s">
        <v>489</v>
      </c>
      <c r="F2441" s="9">
        <f t="shared" si="158"/>
        <v>0</v>
      </c>
      <c r="G2441" s="9">
        <f t="shared" si="159"/>
        <v>0</v>
      </c>
      <c r="H2441" s="9">
        <f t="shared" si="160"/>
        <v>0</v>
      </c>
      <c r="I2441" s="10">
        <f t="shared" si="161"/>
        <v>0</v>
      </c>
    </row>
    <row r="2442" spans="1:9" x14ac:dyDescent="0.25">
      <c r="A2442" s="11" t="s">
        <v>6703</v>
      </c>
      <c r="B2442" s="11" t="s">
        <v>6704</v>
      </c>
      <c r="C2442" s="11" t="s">
        <v>81</v>
      </c>
      <c r="D2442" s="4" t="s">
        <v>1406</v>
      </c>
      <c r="E2442" t="s">
        <v>82</v>
      </c>
      <c r="F2442" s="9">
        <f t="shared" si="158"/>
        <v>0</v>
      </c>
      <c r="G2442" s="9">
        <f t="shared" si="159"/>
        <v>0</v>
      </c>
      <c r="H2442" s="9">
        <f t="shared" si="160"/>
        <v>0</v>
      </c>
      <c r="I2442" s="10">
        <f t="shared" si="161"/>
        <v>0</v>
      </c>
    </row>
    <row r="2443" spans="1:9" x14ac:dyDescent="0.25">
      <c r="A2443" s="11" t="s">
        <v>6705</v>
      </c>
      <c r="B2443" s="11" t="s">
        <v>6706</v>
      </c>
      <c r="C2443" s="11" t="s">
        <v>81</v>
      </c>
      <c r="D2443" s="4" t="s">
        <v>1406</v>
      </c>
      <c r="E2443" t="s">
        <v>489</v>
      </c>
      <c r="F2443" s="9">
        <f t="shared" si="158"/>
        <v>0</v>
      </c>
      <c r="G2443" s="9">
        <f t="shared" si="159"/>
        <v>0</v>
      </c>
      <c r="H2443" s="9">
        <f t="shared" si="160"/>
        <v>0</v>
      </c>
      <c r="I2443" s="10">
        <f t="shared" si="161"/>
        <v>0</v>
      </c>
    </row>
    <row r="2444" spans="1:9" x14ac:dyDescent="0.25">
      <c r="A2444" s="11" t="s">
        <v>6707</v>
      </c>
      <c r="B2444" s="11" t="s">
        <v>6708</v>
      </c>
      <c r="C2444" s="11" t="s">
        <v>81</v>
      </c>
      <c r="D2444" s="4" t="s">
        <v>1406</v>
      </c>
      <c r="E2444" t="s">
        <v>82</v>
      </c>
      <c r="F2444" s="9">
        <f t="shared" si="158"/>
        <v>0</v>
      </c>
      <c r="G2444" s="9">
        <f t="shared" si="159"/>
        <v>0</v>
      </c>
      <c r="H2444" s="9">
        <f t="shared" si="160"/>
        <v>0</v>
      </c>
      <c r="I2444" s="10">
        <f t="shared" si="161"/>
        <v>0</v>
      </c>
    </row>
    <row r="2445" spans="1:9" x14ac:dyDescent="0.25">
      <c r="A2445" s="11" t="s">
        <v>6709</v>
      </c>
      <c r="B2445" s="11" t="s">
        <v>6710</v>
      </c>
      <c r="C2445" s="11" t="s">
        <v>81</v>
      </c>
      <c r="D2445" s="4" t="s">
        <v>1406</v>
      </c>
      <c r="E2445" t="s">
        <v>82</v>
      </c>
      <c r="F2445" s="9">
        <f t="shared" si="158"/>
        <v>0</v>
      </c>
      <c r="G2445" s="9">
        <f t="shared" si="159"/>
        <v>0</v>
      </c>
      <c r="H2445" s="9">
        <f t="shared" si="160"/>
        <v>0</v>
      </c>
      <c r="I2445" s="10">
        <f t="shared" si="161"/>
        <v>0</v>
      </c>
    </row>
    <row r="2446" spans="1:9" x14ac:dyDescent="0.25">
      <c r="A2446" s="11" t="s">
        <v>6711</v>
      </c>
      <c r="B2446" s="11" t="s">
        <v>6712</v>
      </c>
      <c r="C2446" s="11" t="s">
        <v>81</v>
      </c>
      <c r="D2446" s="4" t="s">
        <v>1406</v>
      </c>
      <c r="E2446" t="s">
        <v>489</v>
      </c>
      <c r="F2446" s="9">
        <f t="shared" si="158"/>
        <v>0</v>
      </c>
      <c r="G2446" s="9">
        <f t="shared" si="159"/>
        <v>0</v>
      </c>
      <c r="H2446" s="9">
        <f t="shared" si="160"/>
        <v>0</v>
      </c>
      <c r="I2446" s="10">
        <f t="shared" si="161"/>
        <v>0</v>
      </c>
    </row>
    <row r="2447" spans="1:9" x14ac:dyDescent="0.25">
      <c r="A2447" s="11" t="s">
        <v>6713</v>
      </c>
      <c r="B2447" s="11" t="s">
        <v>6714</v>
      </c>
      <c r="C2447" s="11" t="s">
        <v>81</v>
      </c>
      <c r="D2447" s="4" t="s">
        <v>1406</v>
      </c>
      <c r="E2447" t="s">
        <v>82</v>
      </c>
      <c r="F2447" s="9">
        <f t="shared" si="158"/>
        <v>0</v>
      </c>
      <c r="G2447" s="9">
        <f t="shared" si="159"/>
        <v>0</v>
      </c>
      <c r="H2447" s="9">
        <f t="shared" si="160"/>
        <v>0</v>
      </c>
      <c r="I2447" s="10">
        <f t="shared" si="161"/>
        <v>0</v>
      </c>
    </row>
    <row r="2448" spans="1:9" x14ac:dyDescent="0.25">
      <c r="A2448" s="11" t="s">
        <v>6715</v>
      </c>
      <c r="B2448" s="11" t="s">
        <v>6716</v>
      </c>
      <c r="C2448" s="11" t="s">
        <v>81</v>
      </c>
      <c r="D2448" s="4" t="s">
        <v>1406</v>
      </c>
      <c r="E2448" t="s">
        <v>489</v>
      </c>
      <c r="F2448" s="9">
        <f t="shared" si="158"/>
        <v>0</v>
      </c>
      <c r="G2448" s="9">
        <f t="shared" si="159"/>
        <v>0</v>
      </c>
      <c r="H2448" s="9">
        <f t="shared" si="160"/>
        <v>0</v>
      </c>
      <c r="I2448" s="10">
        <f t="shared" si="161"/>
        <v>0</v>
      </c>
    </row>
    <row r="2449" spans="1:9" x14ac:dyDescent="0.25">
      <c r="A2449" s="11" t="s">
        <v>6717</v>
      </c>
      <c r="B2449" s="11" t="s">
        <v>6718</v>
      </c>
      <c r="C2449" s="11" t="s">
        <v>81</v>
      </c>
      <c r="D2449" s="4" t="s">
        <v>1406</v>
      </c>
      <c r="E2449" t="s">
        <v>82</v>
      </c>
      <c r="F2449" s="9">
        <f t="shared" si="158"/>
        <v>0</v>
      </c>
      <c r="G2449" s="9">
        <f t="shared" si="159"/>
        <v>0</v>
      </c>
      <c r="H2449" s="9">
        <f t="shared" si="160"/>
        <v>0</v>
      </c>
      <c r="I2449" s="10">
        <f t="shared" si="161"/>
        <v>0</v>
      </c>
    </row>
    <row r="2450" spans="1:9" x14ac:dyDescent="0.25">
      <c r="A2450" s="11" t="s">
        <v>6719</v>
      </c>
      <c r="B2450" s="11" t="s">
        <v>6720</v>
      </c>
      <c r="C2450" s="11" t="s">
        <v>81</v>
      </c>
      <c r="D2450" s="4" t="s">
        <v>1406</v>
      </c>
      <c r="E2450" t="s">
        <v>82</v>
      </c>
      <c r="F2450" s="9">
        <f t="shared" si="158"/>
        <v>0</v>
      </c>
      <c r="G2450" s="9">
        <f t="shared" si="159"/>
        <v>0</v>
      </c>
      <c r="H2450" s="9">
        <f t="shared" si="160"/>
        <v>0</v>
      </c>
      <c r="I2450" s="10">
        <f t="shared" si="161"/>
        <v>0</v>
      </c>
    </row>
    <row r="2451" spans="1:9" x14ac:dyDescent="0.25">
      <c r="A2451" s="11" t="s">
        <v>6721</v>
      </c>
      <c r="B2451" s="11" t="s">
        <v>6722</v>
      </c>
      <c r="C2451" s="11" t="s">
        <v>81</v>
      </c>
      <c r="D2451" s="4" t="s">
        <v>1406</v>
      </c>
      <c r="E2451" t="s">
        <v>82</v>
      </c>
      <c r="F2451" s="9">
        <f t="shared" si="158"/>
        <v>0</v>
      </c>
      <c r="G2451" s="9">
        <f t="shared" si="159"/>
        <v>0</v>
      </c>
      <c r="H2451" s="9">
        <f t="shared" si="160"/>
        <v>0</v>
      </c>
      <c r="I2451" s="10">
        <f t="shared" si="161"/>
        <v>0</v>
      </c>
    </row>
    <row r="2452" spans="1:9" x14ac:dyDescent="0.25">
      <c r="A2452" s="11" t="s">
        <v>6723</v>
      </c>
      <c r="B2452" s="11" t="s">
        <v>6724</v>
      </c>
      <c r="C2452" s="11" t="s">
        <v>81</v>
      </c>
      <c r="D2452" s="4" t="s">
        <v>1406</v>
      </c>
      <c r="E2452" t="s">
        <v>489</v>
      </c>
      <c r="F2452" s="9">
        <f t="shared" si="158"/>
        <v>0</v>
      </c>
      <c r="G2452" s="9">
        <f t="shared" si="159"/>
        <v>0</v>
      </c>
      <c r="H2452" s="9">
        <f t="shared" si="160"/>
        <v>0</v>
      </c>
      <c r="I2452" s="10">
        <f t="shared" si="161"/>
        <v>0</v>
      </c>
    </row>
    <row r="2453" spans="1:9" x14ac:dyDescent="0.25">
      <c r="A2453" s="11" t="s">
        <v>6725</v>
      </c>
      <c r="B2453" s="11" t="s">
        <v>6726</v>
      </c>
      <c r="C2453" s="11" t="s">
        <v>81</v>
      </c>
      <c r="D2453" s="4" t="s">
        <v>1406</v>
      </c>
      <c r="E2453" t="s">
        <v>82</v>
      </c>
      <c r="F2453" s="9">
        <f t="shared" si="158"/>
        <v>0</v>
      </c>
      <c r="G2453" s="9">
        <f t="shared" si="159"/>
        <v>0</v>
      </c>
      <c r="H2453" s="9">
        <f t="shared" si="160"/>
        <v>0</v>
      </c>
      <c r="I2453" s="10">
        <f t="shared" si="161"/>
        <v>0</v>
      </c>
    </row>
    <row r="2454" spans="1:9" x14ac:dyDescent="0.25">
      <c r="A2454" s="11" t="s">
        <v>6727</v>
      </c>
      <c r="B2454" s="11" t="s">
        <v>6728</v>
      </c>
      <c r="C2454" s="11" t="s">
        <v>81</v>
      </c>
      <c r="D2454" s="4" t="s">
        <v>1406</v>
      </c>
      <c r="E2454" t="s">
        <v>82</v>
      </c>
      <c r="F2454" s="9">
        <f t="shared" si="158"/>
        <v>0</v>
      </c>
      <c r="G2454" s="9">
        <f t="shared" si="159"/>
        <v>0</v>
      </c>
      <c r="H2454" s="9">
        <f t="shared" si="160"/>
        <v>0</v>
      </c>
      <c r="I2454" s="10">
        <f t="shared" si="161"/>
        <v>0</v>
      </c>
    </row>
    <row r="2455" spans="1:9" x14ac:dyDescent="0.25">
      <c r="A2455" s="11" t="s">
        <v>6729</v>
      </c>
      <c r="B2455" s="11" t="s">
        <v>6730</v>
      </c>
      <c r="C2455" s="11" t="s">
        <v>81</v>
      </c>
      <c r="D2455" s="4" t="s">
        <v>1406</v>
      </c>
      <c r="E2455" t="s">
        <v>82</v>
      </c>
      <c r="F2455" s="9">
        <f t="shared" si="158"/>
        <v>0</v>
      </c>
      <c r="G2455" s="9">
        <f t="shared" si="159"/>
        <v>0</v>
      </c>
      <c r="H2455" s="9">
        <f t="shared" si="160"/>
        <v>0</v>
      </c>
      <c r="I2455" s="10">
        <f t="shared" si="161"/>
        <v>0</v>
      </c>
    </row>
    <row r="2456" spans="1:9" x14ac:dyDescent="0.25">
      <c r="A2456" s="11" t="s">
        <v>6731</v>
      </c>
      <c r="B2456" s="11" t="s">
        <v>6732</v>
      </c>
      <c r="C2456" s="11" t="s">
        <v>81</v>
      </c>
      <c r="D2456" s="4" t="s">
        <v>1406</v>
      </c>
      <c r="E2456" t="s">
        <v>82</v>
      </c>
      <c r="F2456" s="9">
        <f t="shared" si="158"/>
        <v>0</v>
      </c>
      <c r="G2456" s="9">
        <f t="shared" si="159"/>
        <v>0</v>
      </c>
      <c r="H2456" s="9">
        <f t="shared" si="160"/>
        <v>0</v>
      </c>
      <c r="I2456" s="10">
        <f t="shared" si="161"/>
        <v>0</v>
      </c>
    </row>
    <row r="2457" spans="1:9" x14ac:dyDescent="0.25">
      <c r="A2457" s="11" t="s">
        <v>6733</v>
      </c>
      <c r="B2457" s="11" t="s">
        <v>6734</v>
      </c>
      <c r="C2457" s="11" t="s">
        <v>81</v>
      </c>
      <c r="D2457" s="4" t="s">
        <v>1406</v>
      </c>
      <c r="E2457" t="s">
        <v>82</v>
      </c>
      <c r="F2457" s="9">
        <f t="shared" si="158"/>
        <v>0</v>
      </c>
      <c r="G2457" s="9">
        <f t="shared" si="159"/>
        <v>0</v>
      </c>
      <c r="H2457" s="9">
        <f t="shared" si="160"/>
        <v>0</v>
      </c>
      <c r="I2457" s="10">
        <f t="shared" si="161"/>
        <v>0</v>
      </c>
    </row>
    <row r="2458" spans="1:9" x14ac:dyDescent="0.25">
      <c r="A2458" s="11" t="s">
        <v>6735</v>
      </c>
      <c r="B2458" s="11" t="s">
        <v>6736</v>
      </c>
      <c r="C2458" s="11" t="s">
        <v>81</v>
      </c>
      <c r="D2458" s="4" t="s">
        <v>1406</v>
      </c>
      <c r="E2458" t="s">
        <v>82</v>
      </c>
      <c r="F2458" s="9">
        <f t="shared" si="158"/>
        <v>0</v>
      </c>
      <c r="G2458" s="9">
        <f t="shared" si="159"/>
        <v>0</v>
      </c>
      <c r="H2458" s="9">
        <f t="shared" si="160"/>
        <v>0</v>
      </c>
      <c r="I2458" s="10">
        <f t="shared" si="161"/>
        <v>0</v>
      </c>
    </row>
    <row r="2459" spans="1:9" x14ac:dyDescent="0.25">
      <c r="A2459" s="11" t="s">
        <v>6737</v>
      </c>
      <c r="B2459" s="11" t="s">
        <v>6738</v>
      </c>
      <c r="C2459" s="11" t="s">
        <v>81</v>
      </c>
      <c r="D2459" s="4" t="s">
        <v>1406</v>
      </c>
      <c r="E2459" t="s">
        <v>489</v>
      </c>
      <c r="F2459" s="9">
        <f t="shared" si="158"/>
        <v>0</v>
      </c>
      <c r="G2459" s="9">
        <f t="shared" si="159"/>
        <v>0</v>
      </c>
      <c r="H2459" s="9">
        <f t="shared" si="160"/>
        <v>0</v>
      </c>
      <c r="I2459" s="10">
        <f t="shared" si="161"/>
        <v>0</v>
      </c>
    </row>
    <row r="2460" spans="1:9" x14ac:dyDescent="0.25">
      <c r="A2460" s="11" t="s">
        <v>6739</v>
      </c>
      <c r="B2460" s="11" t="s">
        <v>6740</v>
      </c>
      <c r="C2460" s="11" t="s">
        <v>81</v>
      </c>
      <c r="D2460" s="4" t="s">
        <v>1406</v>
      </c>
      <c r="E2460" t="s">
        <v>489</v>
      </c>
      <c r="F2460" s="9">
        <f t="shared" si="158"/>
        <v>0</v>
      </c>
      <c r="G2460" s="9">
        <f t="shared" si="159"/>
        <v>0</v>
      </c>
      <c r="H2460" s="9">
        <f t="shared" si="160"/>
        <v>0</v>
      </c>
      <c r="I2460" s="10">
        <f t="shared" si="161"/>
        <v>0</v>
      </c>
    </row>
    <row r="2461" spans="1:9" x14ac:dyDescent="0.25">
      <c r="A2461" s="11" t="s">
        <v>6741</v>
      </c>
      <c r="B2461" s="11" t="s">
        <v>6742</v>
      </c>
      <c r="C2461" s="11" t="s">
        <v>81</v>
      </c>
      <c r="D2461" s="4" t="s">
        <v>1406</v>
      </c>
      <c r="E2461" t="s">
        <v>489</v>
      </c>
      <c r="F2461" s="9">
        <f t="shared" si="158"/>
        <v>0</v>
      </c>
      <c r="G2461" s="9">
        <f t="shared" si="159"/>
        <v>0</v>
      </c>
      <c r="H2461" s="9">
        <f t="shared" si="160"/>
        <v>0</v>
      </c>
      <c r="I2461" s="10">
        <f t="shared" si="161"/>
        <v>0</v>
      </c>
    </row>
    <row r="2462" spans="1:9" x14ac:dyDescent="0.25">
      <c r="A2462" s="11" t="s">
        <v>6743</v>
      </c>
      <c r="B2462" s="11" t="s">
        <v>6744</v>
      </c>
      <c r="C2462" s="11" t="s">
        <v>81</v>
      </c>
      <c r="D2462" s="4" t="s">
        <v>1406</v>
      </c>
      <c r="E2462" t="s">
        <v>82</v>
      </c>
      <c r="F2462" s="9">
        <f t="shared" si="158"/>
        <v>0</v>
      </c>
      <c r="G2462" s="9">
        <f t="shared" si="159"/>
        <v>0</v>
      </c>
      <c r="H2462" s="9">
        <f t="shared" si="160"/>
        <v>0</v>
      </c>
      <c r="I2462" s="10">
        <f t="shared" si="161"/>
        <v>0</v>
      </c>
    </row>
    <row r="2463" spans="1:9" x14ac:dyDescent="0.25">
      <c r="A2463" s="11" t="s">
        <v>6745</v>
      </c>
      <c r="B2463" s="11" t="s">
        <v>6746</v>
      </c>
      <c r="C2463" s="11" t="s">
        <v>81</v>
      </c>
      <c r="D2463" s="4" t="s">
        <v>1406</v>
      </c>
      <c r="E2463" t="s">
        <v>82</v>
      </c>
      <c r="F2463" s="9">
        <f t="shared" si="158"/>
        <v>0</v>
      </c>
      <c r="G2463" s="9">
        <f t="shared" si="159"/>
        <v>0</v>
      </c>
      <c r="H2463" s="9">
        <f t="shared" si="160"/>
        <v>0</v>
      </c>
      <c r="I2463" s="10">
        <f t="shared" si="161"/>
        <v>0</v>
      </c>
    </row>
    <row r="2464" spans="1:9" x14ac:dyDescent="0.25">
      <c r="A2464" s="11" t="s">
        <v>6747</v>
      </c>
      <c r="B2464" s="11" t="s">
        <v>6748</v>
      </c>
      <c r="C2464" s="11" t="s">
        <v>81</v>
      </c>
      <c r="D2464" s="4" t="s">
        <v>1406</v>
      </c>
      <c r="E2464" t="s">
        <v>82</v>
      </c>
      <c r="F2464" s="9">
        <f t="shared" si="158"/>
        <v>0</v>
      </c>
      <c r="G2464" s="9">
        <f t="shared" si="159"/>
        <v>0</v>
      </c>
      <c r="H2464" s="9">
        <f t="shared" si="160"/>
        <v>0</v>
      </c>
      <c r="I2464" s="10">
        <f t="shared" si="161"/>
        <v>0</v>
      </c>
    </row>
    <row r="2465" spans="1:9" x14ac:dyDescent="0.25">
      <c r="A2465" s="11" t="s">
        <v>6749</v>
      </c>
      <c r="B2465" s="11" t="s">
        <v>6750</v>
      </c>
      <c r="C2465" s="11" t="s">
        <v>81</v>
      </c>
      <c r="D2465" s="4" t="s">
        <v>1406</v>
      </c>
      <c r="E2465" t="s">
        <v>82</v>
      </c>
      <c r="F2465" s="9">
        <f t="shared" si="158"/>
        <v>0</v>
      </c>
      <c r="G2465" s="9">
        <f t="shared" si="159"/>
        <v>0</v>
      </c>
      <c r="H2465" s="9">
        <f t="shared" si="160"/>
        <v>0</v>
      </c>
      <c r="I2465" s="10">
        <f t="shared" si="161"/>
        <v>0</v>
      </c>
    </row>
    <row r="2466" spans="1:9" x14ac:dyDescent="0.25">
      <c r="A2466" s="11" t="s">
        <v>6751</v>
      </c>
      <c r="B2466" s="11" t="s">
        <v>6752</v>
      </c>
      <c r="C2466" s="11" t="s">
        <v>81</v>
      </c>
      <c r="D2466" s="4" t="s">
        <v>1406</v>
      </c>
      <c r="E2466" t="s">
        <v>489</v>
      </c>
      <c r="F2466" s="9">
        <f t="shared" si="158"/>
        <v>0</v>
      </c>
      <c r="G2466" s="9">
        <f t="shared" si="159"/>
        <v>0</v>
      </c>
      <c r="H2466" s="9">
        <f t="shared" si="160"/>
        <v>0</v>
      </c>
      <c r="I2466" s="10">
        <f t="shared" si="161"/>
        <v>0</v>
      </c>
    </row>
    <row r="2467" spans="1:9" x14ac:dyDescent="0.25">
      <c r="A2467" s="11" t="s">
        <v>6753</v>
      </c>
      <c r="B2467" s="11" t="s">
        <v>6754</v>
      </c>
      <c r="C2467" s="11" t="s">
        <v>81</v>
      </c>
      <c r="D2467" s="4" t="s">
        <v>1406</v>
      </c>
      <c r="E2467" t="s">
        <v>489</v>
      </c>
      <c r="F2467" s="9">
        <f t="shared" si="158"/>
        <v>0</v>
      </c>
      <c r="G2467" s="9">
        <f t="shared" si="159"/>
        <v>0</v>
      </c>
      <c r="H2467" s="9">
        <f t="shared" si="160"/>
        <v>0</v>
      </c>
      <c r="I2467" s="10">
        <f t="shared" si="161"/>
        <v>0</v>
      </c>
    </row>
    <row r="2468" spans="1:9" x14ac:dyDescent="0.25">
      <c r="A2468" s="11" t="s">
        <v>6755</v>
      </c>
      <c r="B2468" s="11" t="s">
        <v>6756</v>
      </c>
      <c r="C2468" s="11" t="s">
        <v>81</v>
      </c>
      <c r="D2468" s="4" t="s">
        <v>1406</v>
      </c>
      <c r="E2468" t="s">
        <v>82</v>
      </c>
      <c r="F2468" s="9">
        <f t="shared" si="158"/>
        <v>0</v>
      </c>
      <c r="G2468" s="9">
        <f t="shared" si="159"/>
        <v>0</v>
      </c>
      <c r="H2468" s="9">
        <f t="shared" si="160"/>
        <v>0</v>
      </c>
      <c r="I2468" s="10">
        <f t="shared" si="161"/>
        <v>0</v>
      </c>
    </row>
    <row r="2469" spans="1:9" x14ac:dyDescent="0.25">
      <c r="A2469" s="11" t="s">
        <v>6757</v>
      </c>
      <c r="B2469" s="11" t="s">
        <v>6758</v>
      </c>
      <c r="C2469" s="11" t="s">
        <v>81</v>
      </c>
      <c r="D2469" s="4" t="s">
        <v>1406</v>
      </c>
      <c r="E2469" t="s">
        <v>489</v>
      </c>
      <c r="F2469" s="9">
        <f t="shared" si="158"/>
        <v>0</v>
      </c>
      <c r="G2469" s="9">
        <f t="shared" si="159"/>
        <v>0</v>
      </c>
      <c r="H2469" s="9">
        <f t="shared" si="160"/>
        <v>0</v>
      </c>
      <c r="I2469" s="10">
        <f t="shared" si="161"/>
        <v>0</v>
      </c>
    </row>
    <row r="2470" spans="1:9" x14ac:dyDescent="0.25">
      <c r="A2470" s="11" t="s">
        <v>6759</v>
      </c>
      <c r="B2470" s="11" t="s">
        <v>6760</v>
      </c>
      <c r="C2470" s="11" t="s">
        <v>81</v>
      </c>
      <c r="D2470" s="4" t="s">
        <v>1406</v>
      </c>
      <c r="E2470" t="s">
        <v>82</v>
      </c>
      <c r="F2470" s="9">
        <f t="shared" si="158"/>
        <v>0</v>
      </c>
      <c r="G2470" s="9">
        <f t="shared" si="159"/>
        <v>0</v>
      </c>
      <c r="H2470" s="9">
        <f t="shared" si="160"/>
        <v>0</v>
      </c>
      <c r="I2470" s="10">
        <f t="shared" si="161"/>
        <v>0</v>
      </c>
    </row>
    <row r="2471" spans="1:9" x14ac:dyDescent="0.25">
      <c r="A2471" s="11" t="s">
        <v>6761</v>
      </c>
      <c r="B2471" s="11" t="s">
        <v>6762</v>
      </c>
      <c r="C2471" s="11" t="s">
        <v>81</v>
      </c>
      <c r="D2471" s="4" t="s">
        <v>1406</v>
      </c>
      <c r="E2471" t="s">
        <v>82</v>
      </c>
      <c r="F2471" s="9">
        <f t="shared" si="158"/>
        <v>0</v>
      </c>
      <c r="G2471" s="9">
        <f t="shared" si="159"/>
        <v>0</v>
      </c>
      <c r="H2471" s="9">
        <f t="shared" si="160"/>
        <v>0</v>
      </c>
      <c r="I2471" s="10">
        <f t="shared" si="161"/>
        <v>0</v>
      </c>
    </row>
    <row r="2472" spans="1:9" x14ac:dyDescent="0.25">
      <c r="A2472" s="11" t="s">
        <v>6763</v>
      </c>
      <c r="B2472" s="11" t="s">
        <v>6764</v>
      </c>
      <c r="C2472" s="11" t="s">
        <v>81</v>
      </c>
      <c r="D2472" s="4" t="s">
        <v>1406</v>
      </c>
      <c r="E2472" t="s">
        <v>82</v>
      </c>
      <c r="F2472" s="9">
        <f t="shared" si="158"/>
        <v>0</v>
      </c>
      <c r="G2472" s="9">
        <f t="shared" si="159"/>
        <v>0</v>
      </c>
      <c r="H2472" s="9">
        <f t="shared" si="160"/>
        <v>0</v>
      </c>
      <c r="I2472" s="10">
        <f t="shared" si="161"/>
        <v>0</v>
      </c>
    </row>
    <row r="2473" spans="1:9" x14ac:dyDescent="0.25">
      <c r="A2473" s="11" t="s">
        <v>6765</v>
      </c>
      <c r="B2473" s="11" t="s">
        <v>6766</v>
      </c>
      <c r="C2473" s="11" t="s">
        <v>81</v>
      </c>
      <c r="D2473" s="4" t="s">
        <v>1406</v>
      </c>
      <c r="E2473" t="s">
        <v>82</v>
      </c>
      <c r="F2473" s="9">
        <f t="shared" si="158"/>
        <v>0</v>
      </c>
      <c r="G2473" s="9">
        <f t="shared" si="159"/>
        <v>0</v>
      </c>
      <c r="H2473" s="9">
        <f t="shared" si="160"/>
        <v>0</v>
      </c>
      <c r="I2473" s="10">
        <f t="shared" si="161"/>
        <v>0</v>
      </c>
    </row>
    <row r="2474" spans="1:9" x14ac:dyDescent="0.25">
      <c r="A2474" s="11" t="s">
        <v>6767</v>
      </c>
      <c r="B2474" s="11" t="s">
        <v>6768</v>
      </c>
      <c r="C2474" s="11" t="s">
        <v>81</v>
      </c>
      <c r="D2474" s="4" t="s">
        <v>1406</v>
      </c>
      <c r="E2474" t="s">
        <v>82</v>
      </c>
      <c r="F2474" s="9">
        <f t="shared" si="158"/>
        <v>0</v>
      </c>
      <c r="G2474" s="9">
        <f t="shared" si="159"/>
        <v>0</v>
      </c>
      <c r="H2474" s="9">
        <f t="shared" si="160"/>
        <v>0</v>
      </c>
      <c r="I2474" s="10">
        <f t="shared" si="161"/>
        <v>0</v>
      </c>
    </row>
    <row r="2475" spans="1:9" x14ac:dyDescent="0.25">
      <c r="A2475" s="11" t="s">
        <v>6769</v>
      </c>
      <c r="B2475" s="11" t="s">
        <v>6770</v>
      </c>
      <c r="C2475" s="11" t="s">
        <v>81</v>
      </c>
      <c r="D2475" s="4" t="s">
        <v>1406</v>
      </c>
      <c r="E2475" t="s">
        <v>489</v>
      </c>
      <c r="F2475" s="9">
        <f t="shared" si="158"/>
        <v>0</v>
      </c>
      <c r="G2475" s="9">
        <f t="shared" si="159"/>
        <v>0</v>
      </c>
      <c r="H2475" s="9">
        <f t="shared" si="160"/>
        <v>0</v>
      </c>
      <c r="I2475" s="10">
        <f t="shared" si="161"/>
        <v>0</v>
      </c>
    </row>
    <row r="2476" spans="1:9" x14ac:dyDescent="0.25">
      <c r="A2476" s="11" t="s">
        <v>6771</v>
      </c>
      <c r="B2476" s="11" t="s">
        <v>6772</v>
      </c>
      <c r="C2476" s="11" t="s">
        <v>81</v>
      </c>
      <c r="D2476" s="4" t="s">
        <v>1406</v>
      </c>
      <c r="E2476" t="s">
        <v>82</v>
      </c>
      <c r="F2476" s="9">
        <f t="shared" si="158"/>
        <v>0</v>
      </c>
      <c r="G2476" s="9">
        <f t="shared" si="159"/>
        <v>0</v>
      </c>
      <c r="H2476" s="9">
        <f t="shared" si="160"/>
        <v>0</v>
      </c>
      <c r="I2476" s="10">
        <f t="shared" si="161"/>
        <v>0</v>
      </c>
    </row>
    <row r="2477" spans="1:9" x14ac:dyDescent="0.25">
      <c r="A2477" s="11" t="s">
        <v>6773</v>
      </c>
      <c r="B2477" s="11" t="s">
        <v>6774</v>
      </c>
      <c r="C2477" s="11" t="s">
        <v>81</v>
      </c>
      <c r="D2477" s="4" t="s">
        <v>1406</v>
      </c>
      <c r="E2477" t="s">
        <v>489</v>
      </c>
      <c r="F2477" s="9">
        <f t="shared" si="158"/>
        <v>0</v>
      </c>
      <c r="G2477" s="9">
        <f t="shared" si="159"/>
        <v>0</v>
      </c>
      <c r="H2477" s="9">
        <f t="shared" si="160"/>
        <v>0</v>
      </c>
      <c r="I2477" s="10">
        <f t="shared" si="161"/>
        <v>0</v>
      </c>
    </row>
    <row r="2478" spans="1:9" x14ac:dyDescent="0.25">
      <c r="A2478" s="11" t="s">
        <v>6775</v>
      </c>
      <c r="B2478" s="11" t="s">
        <v>6776</v>
      </c>
      <c r="C2478" s="11" t="s">
        <v>81</v>
      </c>
      <c r="D2478" s="4" t="s">
        <v>1406</v>
      </c>
      <c r="E2478" t="s">
        <v>82</v>
      </c>
      <c r="F2478" s="9">
        <f t="shared" si="158"/>
        <v>0</v>
      </c>
      <c r="G2478" s="9">
        <f t="shared" si="159"/>
        <v>0</v>
      </c>
      <c r="H2478" s="9">
        <f t="shared" si="160"/>
        <v>0</v>
      </c>
      <c r="I2478" s="10">
        <f t="shared" si="161"/>
        <v>0</v>
      </c>
    </row>
    <row r="2479" spans="1:9" x14ac:dyDescent="0.25">
      <c r="A2479" s="11" t="s">
        <v>6777</v>
      </c>
      <c r="B2479" s="11" t="s">
        <v>6778</v>
      </c>
      <c r="C2479" s="11" t="s">
        <v>81</v>
      </c>
      <c r="D2479" s="4" t="s">
        <v>1406</v>
      </c>
      <c r="E2479" t="s">
        <v>82</v>
      </c>
      <c r="F2479" s="9">
        <f t="shared" si="158"/>
        <v>0</v>
      </c>
      <c r="G2479" s="9">
        <f t="shared" si="159"/>
        <v>0</v>
      </c>
      <c r="H2479" s="9">
        <f t="shared" si="160"/>
        <v>0</v>
      </c>
      <c r="I2479" s="10">
        <f t="shared" si="161"/>
        <v>0</v>
      </c>
    </row>
    <row r="2480" spans="1:9" x14ac:dyDescent="0.25">
      <c r="A2480" s="11" t="s">
        <v>6779</v>
      </c>
      <c r="B2480" s="11" t="s">
        <v>6780</v>
      </c>
      <c r="C2480" s="11" t="s">
        <v>81</v>
      </c>
      <c r="D2480" s="4" t="s">
        <v>1406</v>
      </c>
      <c r="E2480" t="s">
        <v>82</v>
      </c>
      <c r="F2480" s="9">
        <f t="shared" si="158"/>
        <v>0</v>
      </c>
      <c r="G2480" s="9">
        <f t="shared" si="159"/>
        <v>0</v>
      </c>
      <c r="H2480" s="9">
        <f t="shared" si="160"/>
        <v>0</v>
      </c>
      <c r="I2480" s="10">
        <f t="shared" si="161"/>
        <v>0</v>
      </c>
    </row>
    <row r="2481" spans="1:9" x14ac:dyDescent="0.25">
      <c r="A2481" s="11" t="s">
        <v>6781</v>
      </c>
      <c r="B2481" s="11" t="s">
        <v>6782</v>
      </c>
      <c r="C2481" s="11" t="s">
        <v>81</v>
      </c>
      <c r="D2481" s="4" t="s">
        <v>1406</v>
      </c>
      <c r="E2481" t="s">
        <v>82</v>
      </c>
      <c r="F2481" s="9">
        <f t="shared" si="158"/>
        <v>0</v>
      </c>
      <c r="G2481" s="9">
        <f t="shared" si="159"/>
        <v>0</v>
      </c>
      <c r="H2481" s="9">
        <f t="shared" si="160"/>
        <v>0</v>
      </c>
      <c r="I2481" s="10">
        <f t="shared" si="161"/>
        <v>0</v>
      </c>
    </row>
    <row r="2482" spans="1:9" x14ac:dyDescent="0.25">
      <c r="A2482" s="11" t="s">
        <v>6783</v>
      </c>
      <c r="B2482" s="11" t="s">
        <v>6784</v>
      </c>
      <c r="C2482" s="11" t="s">
        <v>81</v>
      </c>
      <c r="D2482" s="4" t="s">
        <v>1406</v>
      </c>
      <c r="E2482" t="s">
        <v>82</v>
      </c>
      <c r="F2482" s="9">
        <f t="shared" si="158"/>
        <v>0</v>
      </c>
      <c r="G2482" s="9">
        <f t="shared" si="159"/>
        <v>0</v>
      </c>
      <c r="H2482" s="9">
        <f t="shared" si="160"/>
        <v>0</v>
      </c>
      <c r="I2482" s="10">
        <f t="shared" si="161"/>
        <v>0</v>
      </c>
    </row>
    <row r="2483" spans="1:9" x14ac:dyDescent="0.25">
      <c r="A2483" s="11" t="s">
        <v>6785</v>
      </c>
      <c r="B2483" s="11" t="s">
        <v>6786</v>
      </c>
      <c r="C2483" s="11" t="s">
        <v>81</v>
      </c>
      <c r="D2483" s="4" t="s">
        <v>1406</v>
      </c>
      <c r="E2483" t="s">
        <v>82</v>
      </c>
      <c r="F2483" s="9">
        <f t="shared" si="158"/>
        <v>0</v>
      </c>
      <c r="G2483" s="9">
        <f t="shared" si="159"/>
        <v>0</v>
      </c>
      <c r="H2483" s="9">
        <f t="shared" si="160"/>
        <v>0</v>
      </c>
      <c r="I2483" s="10">
        <f t="shared" si="161"/>
        <v>0</v>
      </c>
    </row>
    <row r="2484" spans="1:9" x14ac:dyDescent="0.25">
      <c r="A2484" s="11" t="s">
        <v>6787</v>
      </c>
      <c r="B2484" s="11" t="s">
        <v>6788</v>
      </c>
      <c r="C2484" s="11" t="s">
        <v>81</v>
      </c>
      <c r="D2484" s="4" t="s">
        <v>1406</v>
      </c>
      <c r="E2484" t="s">
        <v>82</v>
      </c>
      <c r="F2484" s="9">
        <f t="shared" si="158"/>
        <v>0</v>
      </c>
      <c r="G2484" s="9">
        <f t="shared" si="159"/>
        <v>0</v>
      </c>
      <c r="H2484" s="9">
        <f t="shared" si="160"/>
        <v>0</v>
      </c>
      <c r="I2484" s="10">
        <f t="shared" si="161"/>
        <v>0</v>
      </c>
    </row>
    <row r="2485" spans="1:9" x14ac:dyDescent="0.25">
      <c r="A2485" s="11" t="s">
        <v>6789</v>
      </c>
      <c r="B2485" s="11" t="s">
        <v>6790</v>
      </c>
      <c r="C2485" s="11" t="s">
        <v>81</v>
      </c>
      <c r="D2485" s="4" t="s">
        <v>1406</v>
      </c>
      <c r="E2485" t="s">
        <v>82</v>
      </c>
      <c r="F2485" s="9">
        <f t="shared" si="158"/>
        <v>0</v>
      </c>
      <c r="G2485" s="9">
        <f t="shared" si="159"/>
        <v>0</v>
      </c>
      <c r="H2485" s="9">
        <f t="shared" si="160"/>
        <v>0</v>
      </c>
      <c r="I2485" s="10">
        <f t="shared" si="161"/>
        <v>0</v>
      </c>
    </row>
    <row r="2486" spans="1:9" x14ac:dyDescent="0.25">
      <c r="A2486" s="11" t="s">
        <v>6791</v>
      </c>
      <c r="B2486" s="11" t="s">
        <v>6792</v>
      </c>
      <c r="C2486" s="11" t="s">
        <v>81</v>
      </c>
      <c r="D2486" s="4" t="s">
        <v>1406</v>
      </c>
      <c r="E2486" t="s">
        <v>82</v>
      </c>
      <c r="F2486" s="9">
        <f t="shared" si="158"/>
        <v>0</v>
      </c>
      <c r="G2486" s="9">
        <f t="shared" si="159"/>
        <v>6</v>
      </c>
      <c r="H2486" s="9">
        <f t="shared" si="160"/>
        <v>0</v>
      </c>
      <c r="I2486" s="10">
        <f t="shared" si="161"/>
        <v>6</v>
      </c>
    </row>
    <row r="2487" spans="1:9" x14ac:dyDescent="0.25">
      <c r="A2487" s="11" t="s">
        <v>6793</v>
      </c>
      <c r="B2487" s="11" t="s">
        <v>6794</v>
      </c>
      <c r="C2487" s="11" t="s">
        <v>81</v>
      </c>
      <c r="D2487" s="4" t="s">
        <v>1406</v>
      </c>
      <c r="E2487" t="s">
        <v>82</v>
      </c>
      <c r="F2487" s="9">
        <f t="shared" si="158"/>
        <v>0</v>
      </c>
      <c r="G2487" s="9">
        <f t="shared" si="159"/>
        <v>0</v>
      </c>
      <c r="H2487" s="9">
        <f t="shared" si="160"/>
        <v>0</v>
      </c>
      <c r="I2487" s="10">
        <f t="shared" si="161"/>
        <v>0</v>
      </c>
    </row>
    <row r="2488" spans="1:9" x14ac:dyDescent="0.25">
      <c r="A2488" s="11" t="s">
        <v>6795</v>
      </c>
      <c r="B2488" s="11" t="s">
        <v>6796</v>
      </c>
      <c r="C2488" s="11" t="s">
        <v>81</v>
      </c>
      <c r="D2488" s="4" t="s">
        <v>1406</v>
      </c>
      <c r="E2488" t="s">
        <v>489</v>
      </c>
      <c r="F2488" s="9">
        <f t="shared" si="158"/>
        <v>0</v>
      </c>
      <c r="G2488" s="9">
        <f t="shared" si="159"/>
        <v>0</v>
      </c>
      <c r="H2488" s="9">
        <f t="shared" si="160"/>
        <v>0</v>
      </c>
      <c r="I2488" s="10">
        <f t="shared" si="161"/>
        <v>0</v>
      </c>
    </row>
    <row r="2489" spans="1:9" x14ac:dyDescent="0.25">
      <c r="A2489" s="11" t="s">
        <v>6797</v>
      </c>
      <c r="B2489" s="11" t="s">
        <v>6798</v>
      </c>
      <c r="C2489" s="11" t="s">
        <v>81</v>
      </c>
      <c r="D2489" s="4" t="s">
        <v>1406</v>
      </c>
      <c r="E2489" t="s">
        <v>82</v>
      </c>
      <c r="F2489" s="9">
        <f t="shared" si="158"/>
        <v>0</v>
      </c>
      <c r="G2489" s="9">
        <f t="shared" si="159"/>
        <v>0</v>
      </c>
      <c r="H2489" s="9">
        <f t="shared" si="160"/>
        <v>0</v>
      </c>
      <c r="I2489" s="10">
        <f t="shared" si="161"/>
        <v>0</v>
      </c>
    </row>
    <row r="2490" spans="1:9" x14ac:dyDescent="0.25">
      <c r="A2490" s="11" t="s">
        <v>6799</v>
      </c>
      <c r="B2490" s="11" t="s">
        <v>6800</v>
      </c>
      <c r="C2490" s="11" t="s">
        <v>81</v>
      </c>
      <c r="D2490" s="4" t="s">
        <v>1406</v>
      </c>
      <c r="E2490" t="s">
        <v>489</v>
      </c>
      <c r="F2490" s="9">
        <f t="shared" si="158"/>
        <v>0</v>
      </c>
      <c r="G2490" s="9">
        <f t="shared" si="159"/>
        <v>0</v>
      </c>
      <c r="H2490" s="9">
        <f t="shared" si="160"/>
        <v>0</v>
      </c>
      <c r="I2490" s="10">
        <f t="shared" si="161"/>
        <v>0</v>
      </c>
    </row>
    <row r="2491" spans="1:9" x14ac:dyDescent="0.25">
      <c r="A2491" s="11" t="s">
        <v>6801</v>
      </c>
      <c r="B2491" s="11" t="s">
        <v>6802</v>
      </c>
      <c r="C2491" s="11" t="s">
        <v>81</v>
      </c>
      <c r="D2491" s="4" t="s">
        <v>1406</v>
      </c>
      <c r="E2491" t="s">
        <v>82</v>
      </c>
      <c r="F2491" s="9">
        <f t="shared" si="158"/>
        <v>0</v>
      </c>
      <c r="G2491" s="9">
        <f t="shared" si="159"/>
        <v>0</v>
      </c>
      <c r="H2491" s="9">
        <f t="shared" si="160"/>
        <v>0</v>
      </c>
      <c r="I2491" s="10">
        <f t="shared" si="161"/>
        <v>0</v>
      </c>
    </row>
    <row r="2492" spans="1:9" x14ac:dyDescent="0.25">
      <c r="A2492" s="11" t="s">
        <v>6803</v>
      </c>
      <c r="B2492" s="11" t="s">
        <v>6804</v>
      </c>
      <c r="C2492" s="11" t="s">
        <v>81</v>
      </c>
      <c r="D2492" s="4" t="s">
        <v>1406</v>
      </c>
      <c r="E2492" t="s">
        <v>82</v>
      </c>
      <c r="F2492" s="9">
        <f t="shared" si="158"/>
        <v>0</v>
      </c>
      <c r="G2492" s="9">
        <f t="shared" si="159"/>
        <v>0</v>
      </c>
      <c r="H2492" s="9">
        <f t="shared" si="160"/>
        <v>0</v>
      </c>
      <c r="I2492" s="10">
        <f t="shared" si="161"/>
        <v>0</v>
      </c>
    </row>
    <row r="2493" spans="1:9" x14ac:dyDescent="0.25">
      <c r="A2493" s="11" t="s">
        <v>6805</v>
      </c>
      <c r="B2493" s="11" t="s">
        <v>6806</v>
      </c>
      <c r="C2493" s="11" t="s">
        <v>81</v>
      </c>
      <c r="D2493" s="4" t="s">
        <v>1406</v>
      </c>
      <c r="E2493" t="s">
        <v>82</v>
      </c>
      <c r="F2493" s="9">
        <f t="shared" si="158"/>
        <v>0</v>
      </c>
      <c r="G2493" s="9">
        <f t="shared" si="159"/>
        <v>0</v>
      </c>
      <c r="H2493" s="9">
        <f t="shared" si="160"/>
        <v>0</v>
      </c>
      <c r="I2493" s="10">
        <f t="shared" si="161"/>
        <v>0</v>
      </c>
    </row>
    <row r="2494" spans="1:9" x14ac:dyDescent="0.25">
      <c r="A2494" s="11" t="s">
        <v>6807</v>
      </c>
      <c r="B2494" s="11" t="s">
        <v>5652</v>
      </c>
      <c r="C2494" s="11" t="s">
        <v>81</v>
      </c>
      <c r="D2494" s="4" t="s">
        <v>1406</v>
      </c>
      <c r="E2494" t="s">
        <v>82</v>
      </c>
      <c r="F2494" s="9">
        <f t="shared" si="158"/>
        <v>0</v>
      </c>
      <c r="G2494" s="9">
        <f t="shared" si="159"/>
        <v>0</v>
      </c>
      <c r="H2494" s="9">
        <f t="shared" si="160"/>
        <v>0</v>
      </c>
      <c r="I2494" s="10">
        <f t="shared" si="161"/>
        <v>0</v>
      </c>
    </row>
    <row r="2495" spans="1:9" x14ac:dyDescent="0.25">
      <c r="A2495" s="11" t="s">
        <v>6808</v>
      </c>
      <c r="B2495" s="11" t="s">
        <v>6809</v>
      </c>
      <c r="C2495" s="11" t="s">
        <v>81</v>
      </c>
      <c r="D2495" s="4" t="s">
        <v>1406</v>
      </c>
      <c r="E2495" t="s">
        <v>82</v>
      </c>
      <c r="F2495" s="9">
        <f t="shared" si="158"/>
        <v>0</v>
      </c>
      <c r="G2495" s="9">
        <f t="shared" si="159"/>
        <v>0</v>
      </c>
      <c r="H2495" s="9">
        <f t="shared" si="160"/>
        <v>0</v>
      </c>
      <c r="I2495" s="10">
        <f t="shared" si="161"/>
        <v>0</v>
      </c>
    </row>
    <row r="2496" spans="1:9" x14ac:dyDescent="0.25">
      <c r="A2496" s="11" t="s">
        <v>6810</v>
      </c>
      <c r="B2496" s="11" t="s">
        <v>6811</v>
      </c>
      <c r="C2496" s="11" t="s">
        <v>81</v>
      </c>
      <c r="D2496" s="4" t="s">
        <v>1406</v>
      </c>
      <c r="E2496" t="s">
        <v>82</v>
      </c>
      <c r="F2496" s="9">
        <f t="shared" si="158"/>
        <v>0</v>
      </c>
      <c r="G2496" s="9">
        <f t="shared" si="159"/>
        <v>0</v>
      </c>
      <c r="H2496" s="9">
        <f t="shared" si="160"/>
        <v>0</v>
      </c>
      <c r="I2496" s="10">
        <f t="shared" si="161"/>
        <v>0</v>
      </c>
    </row>
    <row r="2497" spans="1:9" x14ac:dyDescent="0.25">
      <c r="A2497" s="11" t="s">
        <v>6812</v>
      </c>
      <c r="B2497" s="11" t="s">
        <v>6813</v>
      </c>
      <c r="C2497" s="11" t="s">
        <v>81</v>
      </c>
      <c r="D2497" s="4" t="s">
        <v>1406</v>
      </c>
      <c r="E2497" t="s">
        <v>82</v>
      </c>
      <c r="F2497" s="9">
        <f t="shared" si="158"/>
        <v>0</v>
      </c>
      <c r="G2497" s="9">
        <f t="shared" si="159"/>
        <v>0</v>
      </c>
      <c r="H2497" s="9">
        <f t="shared" si="160"/>
        <v>0</v>
      </c>
      <c r="I2497" s="10">
        <f t="shared" si="161"/>
        <v>0</v>
      </c>
    </row>
    <row r="2498" spans="1:9" x14ac:dyDescent="0.25">
      <c r="A2498" s="11" t="s">
        <v>6814</v>
      </c>
      <c r="B2498" s="11" t="s">
        <v>6815</v>
      </c>
      <c r="C2498" s="11" t="s">
        <v>81</v>
      </c>
      <c r="D2498" s="4" t="s">
        <v>1406</v>
      </c>
      <c r="E2498" t="s">
        <v>489</v>
      </c>
      <c r="F2498" s="9">
        <f t="shared" si="158"/>
        <v>0</v>
      </c>
      <c r="G2498" s="9">
        <f t="shared" si="159"/>
        <v>0</v>
      </c>
      <c r="H2498" s="9">
        <f t="shared" si="160"/>
        <v>0</v>
      </c>
      <c r="I2498" s="10">
        <f t="shared" si="161"/>
        <v>0</v>
      </c>
    </row>
    <row r="2499" spans="1:9" x14ac:dyDescent="0.25">
      <c r="A2499" s="11" t="s">
        <v>6816</v>
      </c>
      <c r="B2499" s="11" t="s">
        <v>6817</v>
      </c>
      <c r="C2499" s="11" t="s">
        <v>81</v>
      </c>
      <c r="D2499" s="4" t="s">
        <v>1406</v>
      </c>
      <c r="E2499" t="s">
        <v>82</v>
      </c>
      <c r="F2499" s="9">
        <f t="shared" si="158"/>
        <v>0</v>
      </c>
      <c r="G2499" s="9">
        <f t="shared" si="159"/>
        <v>0</v>
      </c>
      <c r="H2499" s="9">
        <f t="shared" si="160"/>
        <v>0</v>
      </c>
      <c r="I2499" s="10">
        <f t="shared" si="161"/>
        <v>0</v>
      </c>
    </row>
    <row r="2500" spans="1:9" x14ac:dyDescent="0.25">
      <c r="A2500" s="11" t="s">
        <v>6818</v>
      </c>
      <c r="B2500" s="11" t="s">
        <v>6819</v>
      </c>
      <c r="C2500" s="11" t="s">
        <v>81</v>
      </c>
      <c r="D2500" s="4" t="s">
        <v>1406</v>
      </c>
      <c r="E2500" t="s">
        <v>82</v>
      </c>
      <c r="F2500" s="9">
        <f t="shared" si="158"/>
        <v>0</v>
      </c>
      <c r="G2500" s="9">
        <f t="shared" si="159"/>
        <v>0</v>
      </c>
      <c r="H2500" s="9">
        <f t="shared" si="160"/>
        <v>0</v>
      </c>
      <c r="I2500" s="10">
        <f t="shared" si="161"/>
        <v>0</v>
      </c>
    </row>
    <row r="2501" spans="1:9" x14ac:dyDescent="0.25">
      <c r="A2501" s="11" t="s">
        <v>6820</v>
      </c>
      <c r="B2501" s="11" t="s">
        <v>6821</v>
      </c>
      <c r="C2501" s="11" t="s">
        <v>81</v>
      </c>
      <c r="D2501" s="4" t="s">
        <v>1406</v>
      </c>
      <c r="E2501" t="s">
        <v>489</v>
      </c>
      <c r="F2501" s="9">
        <f t="shared" si="158"/>
        <v>0</v>
      </c>
      <c r="G2501" s="9">
        <f t="shared" si="159"/>
        <v>0</v>
      </c>
      <c r="H2501" s="9">
        <f t="shared" si="160"/>
        <v>0</v>
      </c>
      <c r="I2501" s="10">
        <f t="shared" si="161"/>
        <v>0</v>
      </c>
    </row>
    <row r="2502" spans="1:9" x14ac:dyDescent="0.25">
      <c r="A2502" s="11" t="s">
        <v>6822</v>
      </c>
      <c r="B2502" s="11" t="s">
        <v>6823</v>
      </c>
      <c r="C2502" s="11" t="s">
        <v>81</v>
      </c>
      <c r="D2502" s="4" t="s">
        <v>1406</v>
      </c>
      <c r="E2502" t="s">
        <v>489</v>
      </c>
      <c r="F2502" s="9">
        <f t="shared" si="158"/>
        <v>0</v>
      </c>
      <c r="G2502" s="9">
        <f t="shared" si="159"/>
        <v>0</v>
      </c>
      <c r="H2502" s="9">
        <f t="shared" si="160"/>
        <v>0</v>
      </c>
      <c r="I2502" s="10">
        <f t="shared" si="161"/>
        <v>0</v>
      </c>
    </row>
    <row r="2503" spans="1:9" x14ac:dyDescent="0.25">
      <c r="A2503" s="11" t="s">
        <v>6824</v>
      </c>
      <c r="B2503" s="11" t="s">
        <v>6825</v>
      </c>
      <c r="C2503" s="11" t="s">
        <v>81</v>
      </c>
      <c r="D2503" s="4" t="s">
        <v>1406</v>
      </c>
      <c r="E2503" t="s">
        <v>489</v>
      </c>
      <c r="F2503" s="9">
        <f t="shared" si="158"/>
        <v>0</v>
      </c>
      <c r="G2503" s="9">
        <f t="shared" si="159"/>
        <v>0</v>
      </c>
      <c r="H2503" s="9">
        <f t="shared" si="160"/>
        <v>0</v>
      </c>
      <c r="I2503" s="10">
        <f t="shared" si="161"/>
        <v>0</v>
      </c>
    </row>
    <row r="2504" spans="1:9" x14ac:dyDescent="0.25">
      <c r="A2504" s="11" t="s">
        <v>6826</v>
      </c>
      <c r="B2504" s="11" t="s">
        <v>6827</v>
      </c>
      <c r="C2504" s="11" t="s">
        <v>81</v>
      </c>
      <c r="D2504" s="4" t="s">
        <v>1406</v>
      </c>
      <c r="E2504" t="s">
        <v>82</v>
      </c>
      <c r="F2504" s="9">
        <f t="shared" ref="F2504:F2567" si="162">IFERROR(VLOOKUP(A2504,condi,8,0),0)</f>
        <v>0</v>
      </c>
      <c r="G2504" s="9">
        <f t="shared" ref="G2504:G2567" si="163">IFERROR(VLOOKUP(A2504,maqui,8,0),0)</f>
        <v>0</v>
      </c>
      <c r="H2504" s="9">
        <f t="shared" ref="H2504:H2567" si="164">IFERROR(VLOOKUP(A2504,ascint,8,0),0)</f>
        <v>0</v>
      </c>
      <c r="I2504" s="10">
        <f t="shared" ref="I2504:I2567" si="165">+F2504+G2504+H2504</f>
        <v>0</v>
      </c>
    </row>
    <row r="2505" spans="1:9" x14ac:dyDescent="0.25">
      <c r="A2505" s="11" t="s">
        <v>6828</v>
      </c>
      <c r="B2505" s="11" t="s">
        <v>6829</v>
      </c>
      <c r="C2505" s="11" t="s">
        <v>81</v>
      </c>
      <c r="D2505" s="4" t="s">
        <v>1406</v>
      </c>
      <c r="E2505" t="s">
        <v>82</v>
      </c>
      <c r="F2505" s="9">
        <f t="shared" si="162"/>
        <v>0</v>
      </c>
      <c r="G2505" s="9">
        <f t="shared" si="163"/>
        <v>0</v>
      </c>
      <c r="H2505" s="9">
        <f t="shared" si="164"/>
        <v>0</v>
      </c>
      <c r="I2505" s="10">
        <f t="shared" si="165"/>
        <v>0</v>
      </c>
    </row>
    <row r="2506" spans="1:9" x14ac:dyDescent="0.25">
      <c r="A2506" s="11" t="s">
        <v>6830</v>
      </c>
      <c r="B2506" s="11" t="s">
        <v>6831</v>
      </c>
      <c r="C2506" s="11" t="s">
        <v>81</v>
      </c>
      <c r="D2506" s="4" t="s">
        <v>1406</v>
      </c>
      <c r="E2506" t="s">
        <v>489</v>
      </c>
      <c r="F2506" s="9">
        <f t="shared" si="162"/>
        <v>0</v>
      </c>
      <c r="G2506" s="9">
        <f t="shared" si="163"/>
        <v>0</v>
      </c>
      <c r="H2506" s="9">
        <f t="shared" si="164"/>
        <v>0</v>
      </c>
      <c r="I2506" s="10">
        <f t="shared" si="165"/>
        <v>0</v>
      </c>
    </row>
    <row r="2507" spans="1:9" x14ac:dyDescent="0.25">
      <c r="A2507" s="11" t="s">
        <v>6832</v>
      </c>
      <c r="B2507" s="11" t="s">
        <v>6833</v>
      </c>
      <c r="C2507" s="11" t="s">
        <v>81</v>
      </c>
      <c r="D2507" s="4" t="s">
        <v>1406</v>
      </c>
      <c r="E2507" t="s">
        <v>489</v>
      </c>
      <c r="F2507" s="9">
        <f t="shared" si="162"/>
        <v>0</v>
      </c>
      <c r="G2507" s="9">
        <f t="shared" si="163"/>
        <v>0</v>
      </c>
      <c r="H2507" s="9">
        <f t="shared" si="164"/>
        <v>0</v>
      </c>
      <c r="I2507" s="10">
        <f t="shared" si="165"/>
        <v>0</v>
      </c>
    </row>
    <row r="2508" spans="1:9" x14ac:dyDescent="0.25">
      <c r="A2508" s="11" t="s">
        <v>6834</v>
      </c>
      <c r="B2508" s="11" t="s">
        <v>6835</v>
      </c>
      <c r="C2508" s="11" t="s">
        <v>81</v>
      </c>
      <c r="D2508" s="4" t="s">
        <v>1406</v>
      </c>
      <c r="E2508" t="s">
        <v>82</v>
      </c>
      <c r="F2508" s="9">
        <f t="shared" si="162"/>
        <v>0</v>
      </c>
      <c r="G2508" s="9">
        <f t="shared" si="163"/>
        <v>0</v>
      </c>
      <c r="H2508" s="9">
        <f t="shared" si="164"/>
        <v>0</v>
      </c>
      <c r="I2508" s="10">
        <f t="shared" si="165"/>
        <v>0</v>
      </c>
    </row>
    <row r="2509" spans="1:9" x14ac:dyDescent="0.25">
      <c r="A2509" s="11" t="s">
        <v>6836</v>
      </c>
      <c r="B2509" s="11" t="s">
        <v>6837</v>
      </c>
      <c r="C2509" s="11" t="s">
        <v>81</v>
      </c>
      <c r="D2509" s="4" t="s">
        <v>1406</v>
      </c>
      <c r="E2509" t="s">
        <v>489</v>
      </c>
      <c r="F2509" s="9">
        <f t="shared" si="162"/>
        <v>0</v>
      </c>
      <c r="G2509" s="9">
        <f t="shared" si="163"/>
        <v>0</v>
      </c>
      <c r="H2509" s="9">
        <f t="shared" si="164"/>
        <v>0</v>
      </c>
      <c r="I2509" s="10">
        <f t="shared" si="165"/>
        <v>0</v>
      </c>
    </row>
    <row r="2510" spans="1:9" x14ac:dyDescent="0.25">
      <c r="A2510" s="11" t="s">
        <v>6838</v>
      </c>
      <c r="B2510" s="11" t="s">
        <v>6839</v>
      </c>
      <c r="C2510" s="11" t="s">
        <v>81</v>
      </c>
      <c r="D2510" s="4" t="s">
        <v>1406</v>
      </c>
      <c r="E2510" t="s">
        <v>82</v>
      </c>
      <c r="F2510" s="9">
        <f t="shared" si="162"/>
        <v>0</v>
      </c>
      <c r="G2510" s="9">
        <f t="shared" si="163"/>
        <v>0</v>
      </c>
      <c r="H2510" s="9">
        <f t="shared" si="164"/>
        <v>0</v>
      </c>
      <c r="I2510" s="10">
        <f t="shared" si="165"/>
        <v>0</v>
      </c>
    </row>
    <row r="2511" spans="1:9" x14ac:dyDescent="0.25">
      <c r="A2511" s="11" t="s">
        <v>6840</v>
      </c>
      <c r="B2511" s="11" t="s">
        <v>6841</v>
      </c>
      <c r="C2511" s="11" t="s">
        <v>81</v>
      </c>
      <c r="D2511" s="4" t="s">
        <v>1406</v>
      </c>
      <c r="E2511" t="s">
        <v>82</v>
      </c>
      <c r="F2511" s="9">
        <f t="shared" si="162"/>
        <v>0</v>
      </c>
      <c r="G2511" s="9">
        <f t="shared" si="163"/>
        <v>0</v>
      </c>
      <c r="H2511" s="9">
        <f t="shared" si="164"/>
        <v>0</v>
      </c>
      <c r="I2511" s="10">
        <f t="shared" si="165"/>
        <v>0</v>
      </c>
    </row>
    <row r="2512" spans="1:9" x14ac:dyDescent="0.25">
      <c r="A2512" s="11" t="s">
        <v>6842</v>
      </c>
      <c r="B2512" s="11" t="s">
        <v>6843</v>
      </c>
      <c r="C2512" s="11" t="s">
        <v>81</v>
      </c>
      <c r="D2512" s="4" t="s">
        <v>1406</v>
      </c>
      <c r="E2512" t="s">
        <v>489</v>
      </c>
      <c r="F2512" s="9">
        <f t="shared" si="162"/>
        <v>0</v>
      </c>
      <c r="G2512" s="9">
        <f t="shared" si="163"/>
        <v>0</v>
      </c>
      <c r="H2512" s="9">
        <f t="shared" si="164"/>
        <v>0</v>
      </c>
      <c r="I2512" s="10">
        <f t="shared" si="165"/>
        <v>0</v>
      </c>
    </row>
    <row r="2513" spans="1:9" x14ac:dyDescent="0.25">
      <c r="A2513" s="11" t="s">
        <v>6844</v>
      </c>
      <c r="B2513" s="11" t="s">
        <v>6845</v>
      </c>
      <c r="C2513" s="11" t="s">
        <v>81</v>
      </c>
      <c r="D2513" s="4" t="s">
        <v>1406</v>
      </c>
      <c r="E2513" t="s">
        <v>82</v>
      </c>
      <c r="F2513" s="9">
        <f t="shared" si="162"/>
        <v>0</v>
      </c>
      <c r="G2513" s="9">
        <f t="shared" si="163"/>
        <v>0</v>
      </c>
      <c r="H2513" s="9">
        <f t="shared" si="164"/>
        <v>0</v>
      </c>
      <c r="I2513" s="10">
        <f t="shared" si="165"/>
        <v>0</v>
      </c>
    </row>
    <row r="2514" spans="1:9" x14ac:dyDescent="0.25">
      <c r="A2514" s="11" t="s">
        <v>6846</v>
      </c>
      <c r="B2514" s="11" t="s">
        <v>6847</v>
      </c>
      <c r="C2514" s="11" t="s">
        <v>81</v>
      </c>
      <c r="D2514" s="4" t="s">
        <v>1406</v>
      </c>
      <c r="E2514" t="s">
        <v>82</v>
      </c>
      <c r="F2514" s="9">
        <f t="shared" si="162"/>
        <v>0</v>
      </c>
      <c r="G2514" s="9">
        <f t="shared" si="163"/>
        <v>0</v>
      </c>
      <c r="H2514" s="9">
        <f t="shared" si="164"/>
        <v>0</v>
      </c>
      <c r="I2514" s="10">
        <f t="shared" si="165"/>
        <v>0</v>
      </c>
    </row>
    <row r="2515" spans="1:9" x14ac:dyDescent="0.25">
      <c r="A2515" s="11" t="s">
        <v>6848</v>
      </c>
      <c r="B2515" s="11" t="s">
        <v>6849</v>
      </c>
      <c r="C2515" s="11" t="s">
        <v>81</v>
      </c>
      <c r="D2515" s="4" t="s">
        <v>1406</v>
      </c>
      <c r="E2515" t="s">
        <v>82</v>
      </c>
      <c r="F2515" s="9">
        <f t="shared" si="162"/>
        <v>0</v>
      </c>
      <c r="G2515" s="9">
        <f t="shared" si="163"/>
        <v>0</v>
      </c>
      <c r="H2515" s="9">
        <f t="shared" si="164"/>
        <v>0</v>
      </c>
      <c r="I2515" s="10">
        <f t="shared" si="165"/>
        <v>0</v>
      </c>
    </row>
    <row r="2516" spans="1:9" x14ac:dyDescent="0.25">
      <c r="A2516" s="11" t="s">
        <v>6850</v>
      </c>
      <c r="B2516" s="11" t="s">
        <v>6851</v>
      </c>
      <c r="C2516" s="11" t="s">
        <v>81</v>
      </c>
      <c r="D2516" s="4" t="s">
        <v>1406</v>
      </c>
      <c r="E2516" t="s">
        <v>489</v>
      </c>
      <c r="F2516" s="9">
        <f t="shared" si="162"/>
        <v>0</v>
      </c>
      <c r="G2516" s="9">
        <f t="shared" si="163"/>
        <v>0</v>
      </c>
      <c r="H2516" s="9">
        <f t="shared" si="164"/>
        <v>0</v>
      </c>
      <c r="I2516" s="10">
        <f t="shared" si="165"/>
        <v>0</v>
      </c>
    </row>
    <row r="2517" spans="1:9" x14ac:dyDescent="0.25">
      <c r="A2517" s="11" t="s">
        <v>6852</v>
      </c>
      <c r="B2517" s="11" t="s">
        <v>6853</v>
      </c>
      <c r="C2517" s="11" t="s">
        <v>81</v>
      </c>
      <c r="D2517" s="4" t="s">
        <v>1406</v>
      </c>
      <c r="E2517" t="s">
        <v>489</v>
      </c>
      <c r="F2517" s="9">
        <f t="shared" si="162"/>
        <v>0</v>
      </c>
      <c r="G2517" s="9">
        <f t="shared" si="163"/>
        <v>0</v>
      </c>
      <c r="H2517" s="9">
        <f t="shared" si="164"/>
        <v>0</v>
      </c>
      <c r="I2517" s="10">
        <f t="shared" si="165"/>
        <v>0</v>
      </c>
    </row>
    <row r="2518" spans="1:9" x14ac:dyDescent="0.25">
      <c r="A2518" s="11" t="s">
        <v>6854</v>
      </c>
      <c r="B2518" s="11" t="s">
        <v>6855</v>
      </c>
      <c r="C2518" s="11" t="s">
        <v>81</v>
      </c>
      <c r="D2518" s="4" t="s">
        <v>1406</v>
      </c>
      <c r="E2518" t="s">
        <v>82</v>
      </c>
      <c r="F2518" s="9">
        <f t="shared" si="162"/>
        <v>0</v>
      </c>
      <c r="G2518" s="9">
        <f t="shared" si="163"/>
        <v>0</v>
      </c>
      <c r="H2518" s="9">
        <f t="shared" si="164"/>
        <v>0</v>
      </c>
      <c r="I2518" s="10">
        <f t="shared" si="165"/>
        <v>0</v>
      </c>
    </row>
    <row r="2519" spans="1:9" x14ac:dyDescent="0.25">
      <c r="A2519" s="11" t="s">
        <v>6856</v>
      </c>
      <c r="B2519" s="11" t="s">
        <v>6857</v>
      </c>
      <c r="C2519" s="11" t="s">
        <v>81</v>
      </c>
      <c r="D2519" s="4" t="s">
        <v>1406</v>
      </c>
      <c r="E2519" t="s">
        <v>82</v>
      </c>
      <c r="F2519" s="9">
        <f t="shared" si="162"/>
        <v>0</v>
      </c>
      <c r="G2519" s="9">
        <f t="shared" si="163"/>
        <v>0</v>
      </c>
      <c r="H2519" s="9">
        <f t="shared" si="164"/>
        <v>0</v>
      </c>
      <c r="I2519" s="10">
        <f t="shared" si="165"/>
        <v>0</v>
      </c>
    </row>
    <row r="2520" spans="1:9" x14ac:dyDescent="0.25">
      <c r="A2520" s="11" t="s">
        <v>6858</v>
      </c>
      <c r="B2520" s="11" t="s">
        <v>6859</v>
      </c>
      <c r="C2520" s="11" t="s">
        <v>81</v>
      </c>
      <c r="D2520" s="4" t="s">
        <v>1406</v>
      </c>
      <c r="E2520" t="s">
        <v>82</v>
      </c>
      <c r="F2520" s="9">
        <f t="shared" si="162"/>
        <v>0</v>
      </c>
      <c r="G2520" s="9">
        <f t="shared" si="163"/>
        <v>0</v>
      </c>
      <c r="H2520" s="9">
        <f t="shared" si="164"/>
        <v>0</v>
      </c>
      <c r="I2520" s="10">
        <f t="shared" si="165"/>
        <v>0</v>
      </c>
    </row>
    <row r="2521" spans="1:9" x14ac:dyDescent="0.25">
      <c r="A2521" s="11" t="s">
        <v>6860</v>
      </c>
      <c r="B2521" s="11" t="s">
        <v>6861</v>
      </c>
      <c r="C2521" s="11" t="s">
        <v>81</v>
      </c>
      <c r="D2521" s="4" t="s">
        <v>1406</v>
      </c>
      <c r="E2521" t="s">
        <v>489</v>
      </c>
      <c r="F2521" s="9">
        <f t="shared" si="162"/>
        <v>0</v>
      </c>
      <c r="G2521" s="9">
        <f t="shared" si="163"/>
        <v>0</v>
      </c>
      <c r="H2521" s="9">
        <f t="shared" si="164"/>
        <v>0</v>
      </c>
      <c r="I2521" s="10">
        <f t="shared" si="165"/>
        <v>0</v>
      </c>
    </row>
    <row r="2522" spans="1:9" x14ac:dyDescent="0.25">
      <c r="A2522" s="11" t="s">
        <v>6862</v>
      </c>
      <c r="B2522" s="11" t="s">
        <v>6863</v>
      </c>
      <c r="C2522" s="11" t="s">
        <v>81</v>
      </c>
      <c r="D2522" s="4" t="s">
        <v>1406</v>
      </c>
      <c r="E2522" t="s">
        <v>82</v>
      </c>
      <c r="F2522" s="9">
        <f t="shared" si="162"/>
        <v>0</v>
      </c>
      <c r="G2522" s="9">
        <f t="shared" si="163"/>
        <v>0</v>
      </c>
      <c r="H2522" s="9">
        <f t="shared" si="164"/>
        <v>0</v>
      </c>
      <c r="I2522" s="10">
        <f t="shared" si="165"/>
        <v>0</v>
      </c>
    </row>
    <row r="2523" spans="1:9" x14ac:dyDescent="0.25">
      <c r="A2523" s="11" t="s">
        <v>6864</v>
      </c>
      <c r="B2523" s="11" t="s">
        <v>6865</v>
      </c>
      <c r="C2523" s="11" t="s">
        <v>81</v>
      </c>
      <c r="D2523" s="4" t="s">
        <v>1406</v>
      </c>
      <c r="E2523" t="s">
        <v>489</v>
      </c>
      <c r="F2523" s="9">
        <f t="shared" si="162"/>
        <v>0</v>
      </c>
      <c r="G2523" s="9">
        <f t="shared" si="163"/>
        <v>0</v>
      </c>
      <c r="H2523" s="9">
        <f t="shared" si="164"/>
        <v>0</v>
      </c>
      <c r="I2523" s="10">
        <f t="shared" si="165"/>
        <v>0</v>
      </c>
    </row>
    <row r="2524" spans="1:9" x14ac:dyDescent="0.25">
      <c r="A2524" s="11" t="s">
        <v>6866</v>
      </c>
      <c r="B2524" s="11" t="s">
        <v>6867</v>
      </c>
      <c r="C2524" s="11" t="s">
        <v>81</v>
      </c>
      <c r="D2524" s="4" t="s">
        <v>1406</v>
      </c>
      <c r="E2524" t="s">
        <v>82</v>
      </c>
      <c r="F2524" s="9">
        <f t="shared" si="162"/>
        <v>0</v>
      </c>
      <c r="G2524" s="9">
        <f t="shared" si="163"/>
        <v>0</v>
      </c>
      <c r="H2524" s="9">
        <f t="shared" si="164"/>
        <v>0</v>
      </c>
      <c r="I2524" s="10">
        <f t="shared" si="165"/>
        <v>0</v>
      </c>
    </row>
    <row r="2525" spans="1:9" x14ac:dyDescent="0.25">
      <c r="A2525" s="11" t="s">
        <v>6868</v>
      </c>
      <c r="B2525" s="11" t="s">
        <v>6869</v>
      </c>
      <c r="C2525" s="11" t="s">
        <v>81</v>
      </c>
      <c r="D2525" s="4" t="s">
        <v>1406</v>
      </c>
      <c r="E2525" t="s">
        <v>82</v>
      </c>
      <c r="F2525" s="9">
        <f t="shared" si="162"/>
        <v>0</v>
      </c>
      <c r="G2525" s="9">
        <f t="shared" si="163"/>
        <v>0</v>
      </c>
      <c r="H2525" s="9">
        <f t="shared" si="164"/>
        <v>0</v>
      </c>
      <c r="I2525" s="10">
        <f t="shared" si="165"/>
        <v>0</v>
      </c>
    </row>
    <row r="2526" spans="1:9" x14ac:dyDescent="0.25">
      <c r="A2526" s="11" t="s">
        <v>6870</v>
      </c>
      <c r="B2526" s="11" t="s">
        <v>6871</v>
      </c>
      <c r="C2526" s="11" t="s">
        <v>81</v>
      </c>
      <c r="D2526" s="4" t="s">
        <v>1406</v>
      </c>
      <c r="E2526" t="s">
        <v>82</v>
      </c>
      <c r="F2526" s="9">
        <f t="shared" si="162"/>
        <v>0</v>
      </c>
      <c r="G2526" s="9">
        <f t="shared" si="163"/>
        <v>0</v>
      </c>
      <c r="H2526" s="9">
        <f t="shared" si="164"/>
        <v>0</v>
      </c>
      <c r="I2526" s="10">
        <f t="shared" si="165"/>
        <v>0</v>
      </c>
    </row>
    <row r="2527" spans="1:9" x14ac:dyDescent="0.25">
      <c r="A2527" s="11" t="s">
        <v>6872</v>
      </c>
      <c r="B2527" s="11" t="s">
        <v>6873</v>
      </c>
      <c r="C2527" s="11" t="s">
        <v>81</v>
      </c>
      <c r="D2527" s="4" t="s">
        <v>1406</v>
      </c>
      <c r="E2527" t="s">
        <v>82</v>
      </c>
      <c r="F2527" s="9">
        <f t="shared" si="162"/>
        <v>0</v>
      </c>
      <c r="G2527" s="9">
        <f t="shared" si="163"/>
        <v>0</v>
      </c>
      <c r="H2527" s="9">
        <f t="shared" si="164"/>
        <v>0</v>
      </c>
      <c r="I2527" s="10">
        <f t="shared" si="165"/>
        <v>0</v>
      </c>
    </row>
    <row r="2528" spans="1:9" x14ac:dyDescent="0.25">
      <c r="A2528" s="11" t="s">
        <v>6874</v>
      </c>
      <c r="B2528" s="11" t="s">
        <v>6875</v>
      </c>
      <c r="C2528" s="11" t="s">
        <v>81</v>
      </c>
      <c r="D2528" s="4" t="s">
        <v>1406</v>
      </c>
      <c r="E2528" t="s">
        <v>82</v>
      </c>
      <c r="F2528" s="9">
        <f t="shared" si="162"/>
        <v>0</v>
      </c>
      <c r="G2528" s="9">
        <f t="shared" si="163"/>
        <v>0</v>
      </c>
      <c r="H2528" s="9">
        <f t="shared" si="164"/>
        <v>0</v>
      </c>
      <c r="I2528" s="10">
        <f t="shared" si="165"/>
        <v>0</v>
      </c>
    </row>
    <row r="2529" spans="1:9" x14ac:dyDescent="0.25">
      <c r="A2529" s="11" t="s">
        <v>6876</v>
      </c>
      <c r="B2529" s="11" t="s">
        <v>6877</v>
      </c>
      <c r="C2529" s="11" t="s">
        <v>81</v>
      </c>
      <c r="D2529" s="4" t="s">
        <v>1406</v>
      </c>
      <c r="E2529" t="s">
        <v>82</v>
      </c>
      <c r="F2529" s="9">
        <f t="shared" si="162"/>
        <v>0</v>
      </c>
      <c r="G2529" s="9">
        <f t="shared" si="163"/>
        <v>0</v>
      </c>
      <c r="H2529" s="9">
        <f t="shared" si="164"/>
        <v>0</v>
      </c>
      <c r="I2529" s="10">
        <f t="shared" si="165"/>
        <v>0</v>
      </c>
    </row>
    <row r="2530" spans="1:9" x14ac:dyDescent="0.25">
      <c r="A2530" s="11" t="s">
        <v>6878</v>
      </c>
      <c r="B2530" s="11" t="s">
        <v>6879</v>
      </c>
      <c r="C2530" s="11" t="s">
        <v>81</v>
      </c>
      <c r="D2530" s="4" t="s">
        <v>1406</v>
      </c>
      <c r="E2530" t="s">
        <v>82</v>
      </c>
      <c r="F2530" s="9">
        <f t="shared" si="162"/>
        <v>0</v>
      </c>
      <c r="G2530" s="9">
        <f t="shared" si="163"/>
        <v>0</v>
      </c>
      <c r="H2530" s="9">
        <f t="shared" si="164"/>
        <v>0</v>
      </c>
      <c r="I2530" s="10">
        <f t="shared" si="165"/>
        <v>0</v>
      </c>
    </row>
    <row r="2531" spans="1:9" x14ac:dyDescent="0.25">
      <c r="A2531" s="11" t="s">
        <v>6880</v>
      </c>
      <c r="B2531" s="11" t="s">
        <v>6881</v>
      </c>
      <c r="C2531" s="11" t="s">
        <v>81</v>
      </c>
      <c r="D2531" s="4" t="s">
        <v>1406</v>
      </c>
      <c r="E2531" t="s">
        <v>489</v>
      </c>
      <c r="F2531" s="9">
        <f t="shared" si="162"/>
        <v>0</v>
      </c>
      <c r="G2531" s="9">
        <f t="shared" si="163"/>
        <v>0</v>
      </c>
      <c r="H2531" s="9">
        <f t="shared" si="164"/>
        <v>0</v>
      </c>
      <c r="I2531" s="10">
        <f t="shared" si="165"/>
        <v>0</v>
      </c>
    </row>
    <row r="2532" spans="1:9" x14ac:dyDescent="0.25">
      <c r="A2532" s="11" t="s">
        <v>6882</v>
      </c>
      <c r="B2532" s="11" t="s">
        <v>6883</v>
      </c>
      <c r="C2532" s="11" t="s">
        <v>81</v>
      </c>
      <c r="D2532" s="4" t="s">
        <v>1406</v>
      </c>
      <c r="E2532" t="s">
        <v>82</v>
      </c>
      <c r="F2532" s="9">
        <f t="shared" si="162"/>
        <v>0</v>
      </c>
      <c r="G2532" s="9">
        <f t="shared" si="163"/>
        <v>0</v>
      </c>
      <c r="H2532" s="9">
        <f t="shared" si="164"/>
        <v>0</v>
      </c>
      <c r="I2532" s="10">
        <f t="shared" si="165"/>
        <v>0</v>
      </c>
    </row>
    <row r="2533" spans="1:9" x14ac:dyDescent="0.25">
      <c r="A2533" s="11" t="s">
        <v>6884</v>
      </c>
      <c r="B2533" s="11" t="s">
        <v>6885</v>
      </c>
      <c r="C2533" s="11" t="s">
        <v>81</v>
      </c>
      <c r="D2533" s="4" t="s">
        <v>1406</v>
      </c>
      <c r="E2533" t="s">
        <v>489</v>
      </c>
      <c r="F2533" s="9">
        <f t="shared" si="162"/>
        <v>0</v>
      </c>
      <c r="G2533" s="9">
        <f t="shared" si="163"/>
        <v>0</v>
      </c>
      <c r="H2533" s="9">
        <f t="shared" si="164"/>
        <v>0</v>
      </c>
      <c r="I2533" s="10">
        <f t="shared" si="165"/>
        <v>0</v>
      </c>
    </row>
    <row r="2534" spans="1:9" x14ac:dyDescent="0.25">
      <c r="A2534" s="11" t="s">
        <v>6886</v>
      </c>
      <c r="B2534" s="11" t="s">
        <v>6887</v>
      </c>
      <c r="C2534" s="11" t="s">
        <v>81</v>
      </c>
      <c r="D2534" s="4" t="s">
        <v>1406</v>
      </c>
      <c r="E2534" t="s">
        <v>82</v>
      </c>
      <c r="F2534" s="9">
        <f t="shared" si="162"/>
        <v>0</v>
      </c>
      <c r="G2534" s="9">
        <f t="shared" si="163"/>
        <v>0</v>
      </c>
      <c r="H2534" s="9">
        <f t="shared" si="164"/>
        <v>0</v>
      </c>
      <c r="I2534" s="10">
        <f t="shared" si="165"/>
        <v>0</v>
      </c>
    </row>
    <row r="2535" spans="1:9" x14ac:dyDescent="0.25">
      <c r="A2535" s="11" t="s">
        <v>6888</v>
      </c>
      <c r="B2535" s="11" t="s">
        <v>6889</v>
      </c>
      <c r="C2535" s="11" t="s">
        <v>81</v>
      </c>
      <c r="D2535" s="4" t="s">
        <v>1406</v>
      </c>
      <c r="E2535" t="s">
        <v>489</v>
      </c>
      <c r="F2535" s="9">
        <f t="shared" si="162"/>
        <v>0</v>
      </c>
      <c r="G2535" s="9">
        <f t="shared" si="163"/>
        <v>0</v>
      </c>
      <c r="H2535" s="9">
        <f t="shared" si="164"/>
        <v>0</v>
      </c>
      <c r="I2535" s="10">
        <f t="shared" si="165"/>
        <v>0</v>
      </c>
    </row>
    <row r="2536" spans="1:9" x14ac:dyDescent="0.25">
      <c r="A2536" s="11" t="s">
        <v>6890</v>
      </c>
      <c r="B2536" s="11" t="s">
        <v>6891</v>
      </c>
      <c r="C2536" s="11" t="s">
        <v>81</v>
      </c>
      <c r="D2536" s="4" t="s">
        <v>1406</v>
      </c>
      <c r="E2536" t="s">
        <v>82</v>
      </c>
      <c r="F2536" s="9">
        <f t="shared" si="162"/>
        <v>0</v>
      </c>
      <c r="G2536" s="9">
        <f t="shared" si="163"/>
        <v>0</v>
      </c>
      <c r="H2536" s="9">
        <f t="shared" si="164"/>
        <v>0</v>
      </c>
      <c r="I2536" s="10">
        <f t="shared" si="165"/>
        <v>0</v>
      </c>
    </row>
    <row r="2537" spans="1:9" x14ac:dyDescent="0.25">
      <c r="A2537" s="11" t="s">
        <v>6892</v>
      </c>
      <c r="B2537" s="11" t="s">
        <v>6893</v>
      </c>
      <c r="C2537" s="11" t="s">
        <v>81</v>
      </c>
      <c r="D2537" s="4" t="s">
        <v>1406</v>
      </c>
      <c r="E2537" t="s">
        <v>82</v>
      </c>
      <c r="F2537" s="9">
        <f t="shared" si="162"/>
        <v>0</v>
      </c>
      <c r="G2537" s="9">
        <f t="shared" si="163"/>
        <v>0</v>
      </c>
      <c r="H2537" s="9">
        <f t="shared" si="164"/>
        <v>0</v>
      </c>
      <c r="I2537" s="10">
        <f t="shared" si="165"/>
        <v>0</v>
      </c>
    </row>
    <row r="2538" spans="1:9" x14ac:dyDescent="0.25">
      <c r="A2538" s="11" t="s">
        <v>6894</v>
      </c>
      <c r="B2538" s="11" t="s">
        <v>6895</v>
      </c>
      <c r="C2538" s="11" t="s">
        <v>81</v>
      </c>
      <c r="D2538" s="4" t="s">
        <v>1406</v>
      </c>
      <c r="E2538" t="s">
        <v>82</v>
      </c>
      <c r="F2538" s="9">
        <f t="shared" si="162"/>
        <v>0</v>
      </c>
      <c r="G2538" s="9">
        <f t="shared" si="163"/>
        <v>0</v>
      </c>
      <c r="H2538" s="9">
        <f t="shared" si="164"/>
        <v>0</v>
      </c>
      <c r="I2538" s="10">
        <f t="shared" si="165"/>
        <v>0</v>
      </c>
    </row>
    <row r="2539" spans="1:9" x14ac:dyDescent="0.25">
      <c r="A2539" s="11" t="s">
        <v>6896</v>
      </c>
      <c r="B2539" s="11" t="s">
        <v>6897</v>
      </c>
      <c r="C2539" s="11" t="s">
        <v>81</v>
      </c>
      <c r="D2539" s="4" t="s">
        <v>1406</v>
      </c>
      <c r="E2539" t="s">
        <v>489</v>
      </c>
      <c r="F2539" s="9">
        <f t="shared" si="162"/>
        <v>0</v>
      </c>
      <c r="G2539" s="9">
        <f t="shared" si="163"/>
        <v>0</v>
      </c>
      <c r="H2539" s="9">
        <f t="shared" si="164"/>
        <v>0</v>
      </c>
      <c r="I2539" s="10">
        <f t="shared" si="165"/>
        <v>0</v>
      </c>
    </row>
    <row r="2540" spans="1:9" x14ac:dyDescent="0.25">
      <c r="A2540" s="11" t="s">
        <v>6898</v>
      </c>
      <c r="B2540" s="11" t="s">
        <v>6899</v>
      </c>
      <c r="C2540" s="11" t="s">
        <v>81</v>
      </c>
      <c r="D2540" s="4" t="s">
        <v>1406</v>
      </c>
      <c r="E2540" t="s">
        <v>489</v>
      </c>
      <c r="F2540" s="9">
        <f t="shared" si="162"/>
        <v>0</v>
      </c>
      <c r="G2540" s="9">
        <f t="shared" si="163"/>
        <v>0</v>
      </c>
      <c r="H2540" s="9">
        <f t="shared" si="164"/>
        <v>0</v>
      </c>
      <c r="I2540" s="10">
        <f t="shared" si="165"/>
        <v>0</v>
      </c>
    </row>
    <row r="2541" spans="1:9" x14ac:dyDescent="0.25">
      <c r="A2541" s="11" t="s">
        <v>6900</v>
      </c>
      <c r="B2541" s="11" t="s">
        <v>6901</v>
      </c>
      <c r="C2541" s="11" t="s">
        <v>81</v>
      </c>
      <c r="D2541" s="4" t="s">
        <v>1406</v>
      </c>
      <c r="E2541" t="s">
        <v>489</v>
      </c>
      <c r="F2541" s="9">
        <f t="shared" si="162"/>
        <v>0</v>
      </c>
      <c r="G2541" s="9">
        <f t="shared" si="163"/>
        <v>0</v>
      </c>
      <c r="H2541" s="9">
        <f t="shared" si="164"/>
        <v>0</v>
      </c>
      <c r="I2541" s="10">
        <f t="shared" si="165"/>
        <v>0</v>
      </c>
    </row>
    <row r="2542" spans="1:9" x14ac:dyDescent="0.25">
      <c r="A2542" s="11" t="s">
        <v>6902</v>
      </c>
      <c r="B2542" s="11" t="s">
        <v>6903</v>
      </c>
      <c r="C2542" s="11" t="s">
        <v>81</v>
      </c>
      <c r="D2542" s="4" t="s">
        <v>1406</v>
      </c>
      <c r="E2542" t="s">
        <v>489</v>
      </c>
      <c r="F2542" s="9">
        <f t="shared" si="162"/>
        <v>0</v>
      </c>
      <c r="G2542" s="9">
        <f t="shared" si="163"/>
        <v>0</v>
      </c>
      <c r="H2542" s="9">
        <f t="shared" si="164"/>
        <v>0</v>
      </c>
      <c r="I2542" s="10">
        <f t="shared" si="165"/>
        <v>0</v>
      </c>
    </row>
    <row r="2543" spans="1:9" x14ac:dyDescent="0.25">
      <c r="A2543" s="11" t="s">
        <v>6904</v>
      </c>
      <c r="B2543" s="11" t="s">
        <v>6905</v>
      </c>
      <c r="C2543" s="11" t="s">
        <v>81</v>
      </c>
      <c r="D2543" s="4" t="s">
        <v>1406</v>
      </c>
      <c r="E2543" t="s">
        <v>489</v>
      </c>
      <c r="F2543" s="9">
        <f t="shared" si="162"/>
        <v>0</v>
      </c>
      <c r="G2543" s="9">
        <f t="shared" si="163"/>
        <v>0</v>
      </c>
      <c r="H2543" s="9">
        <f t="shared" si="164"/>
        <v>0</v>
      </c>
      <c r="I2543" s="10">
        <f t="shared" si="165"/>
        <v>0</v>
      </c>
    </row>
    <row r="2544" spans="1:9" x14ac:dyDescent="0.25">
      <c r="A2544" s="11" t="s">
        <v>6906</v>
      </c>
      <c r="B2544" s="11" t="s">
        <v>6907</v>
      </c>
      <c r="C2544" s="11" t="s">
        <v>81</v>
      </c>
      <c r="D2544" s="4" t="s">
        <v>1406</v>
      </c>
      <c r="E2544" t="s">
        <v>489</v>
      </c>
      <c r="F2544" s="9">
        <f t="shared" si="162"/>
        <v>0</v>
      </c>
      <c r="G2544" s="9">
        <f t="shared" si="163"/>
        <v>0</v>
      </c>
      <c r="H2544" s="9">
        <f t="shared" si="164"/>
        <v>0</v>
      </c>
      <c r="I2544" s="10">
        <f t="shared" si="165"/>
        <v>0</v>
      </c>
    </row>
    <row r="2545" spans="1:9" x14ac:dyDescent="0.25">
      <c r="A2545" s="11" t="s">
        <v>6908</v>
      </c>
      <c r="B2545" s="11" t="s">
        <v>6909</v>
      </c>
      <c r="C2545" s="11" t="s">
        <v>81</v>
      </c>
      <c r="D2545" s="4" t="s">
        <v>1406</v>
      </c>
      <c r="E2545" t="s">
        <v>489</v>
      </c>
      <c r="F2545" s="9">
        <f t="shared" si="162"/>
        <v>0</v>
      </c>
      <c r="G2545" s="9">
        <f t="shared" si="163"/>
        <v>0</v>
      </c>
      <c r="H2545" s="9">
        <f t="shared" si="164"/>
        <v>0</v>
      </c>
      <c r="I2545" s="10">
        <f t="shared" si="165"/>
        <v>0</v>
      </c>
    </row>
    <row r="2546" spans="1:9" x14ac:dyDescent="0.25">
      <c r="A2546" s="11" t="s">
        <v>6910</v>
      </c>
      <c r="B2546" s="11" t="s">
        <v>6911</v>
      </c>
      <c r="C2546" s="11" t="s">
        <v>81</v>
      </c>
      <c r="D2546" s="4" t="s">
        <v>1406</v>
      </c>
      <c r="E2546" t="s">
        <v>489</v>
      </c>
      <c r="F2546" s="9">
        <f t="shared" si="162"/>
        <v>0</v>
      </c>
      <c r="G2546" s="9">
        <f t="shared" si="163"/>
        <v>0</v>
      </c>
      <c r="H2546" s="9">
        <f t="shared" si="164"/>
        <v>0</v>
      </c>
      <c r="I2546" s="10">
        <f t="shared" si="165"/>
        <v>0</v>
      </c>
    </row>
    <row r="2547" spans="1:9" x14ac:dyDescent="0.25">
      <c r="A2547" s="11" t="s">
        <v>6912</v>
      </c>
      <c r="B2547" s="11" t="s">
        <v>6913</v>
      </c>
      <c r="C2547" s="11" t="s">
        <v>81</v>
      </c>
      <c r="D2547" s="4" t="s">
        <v>1406</v>
      </c>
      <c r="E2547" t="s">
        <v>82</v>
      </c>
      <c r="F2547" s="9">
        <f t="shared" si="162"/>
        <v>0</v>
      </c>
      <c r="G2547" s="9">
        <f t="shared" si="163"/>
        <v>0</v>
      </c>
      <c r="H2547" s="9">
        <f t="shared" si="164"/>
        <v>0</v>
      </c>
      <c r="I2547" s="10">
        <f t="shared" si="165"/>
        <v>0</v>
      </c>
    </row>
    <row r="2548" spans="1:9" x14ac:dyDescent="0.25">
      <c r="A2548" s="11" t="s">
        <v>6914</v>
      </c>
      <c r="B2548" s="11" t="s">
        <v>6915</v>
      </c>
      <c r="C2548" s="11" t="s">
        <v>81</v>
      </c>
      <c r="D2548" s="4" t="s">
        <v>1406</v>
      </c>
      <c r="E2548" t="s">
        <v>489</v>
      </c>
      <c r="F2548" s="9">
        <f t="shared" si="162"/>
        <v>0</v>
      </c>
      <c r="G2548" s="9">
        <f t="shared" si="163"/>
        <v>0</v>
      </c>
      <c r="H2548" s="9">
        <f t="shared" si="164"/>
        <v>0</v>
      </c>
      <c r="I2548" s="10">
        <f t="shared" si="165"/>
        <v>0</v>
      </c>
    </row>
    <row r="2549" spans="1:9" x14ac:dyDescent="0.25">
      <c r="A2549" s="11" t="s">
        <v>6916</v>
      </c>
      <c r="B2549" s="11" t="s">
        <v>6917</v>
      </c>
      <c r="C2549" s="11" t="s">
        <v>81</v>
      </c>
      <c r="D2549" s="4" t="s">
        <v>1406</v>
      </c>
      <c r="E2549" t="s">
        <v>82</v>
      </c>
      <c r="F2549" s="9">
        <f t="shared" si="162"/>
        <v>0</v>
      </c>
      <c r="G2549" s="9">
        <f t="shared" si="163"/>
        <v>0</v>
      </c>
      <c r="H2549" s="9">
        <f t="shared" si="164"/>
        <v>0</v>
      </c>
      <c r="I2549" s="10">
        <f t="shared" si="165"/>
        <v>0</v>
      </c>
    </row>
    <row r="2550" spans="1:9" x14ac:dyDescent="0.25">
      <c r="A2550" s="11" t="s">
        <v>6918</v>
      </c>
      <c r="B2550" s="11" t="s">
        <v>6919</v>
      </c>
      <c r="C2550" s="11" t="s">
        <v>81</v>
      </c>
      <c r="D2550" s="4" t="s">
        <v>1406</v>
      </c>
      <c r="E2550" t="s">
        <v>489</v>
      </c>
      <c r="F2550" s="9">
        <f t="shared" si="162"/>
        <v>0</v>
      </c>
      <c r="G2550" s="9">
        <f t="shared" si="163"/>
        <v>0</v>
      </c>
      <c r="H2550" s="9">
        <f t="shared" si="164"/>
        <v>0</v>
      </c>
      <c r="I2550" s="10">
        <f t="shared" si="165"/>
        <v>0</v>
      </c>
    </row>
    <row r="2551" spans="1:9" x14ac:dyDescent="0.25">
      <c r="A2551" s="11" t="s">
        <v>6920</v>
      </c>
      <c r="B2551" s="11" t="s">
        <v>6921</v>
      </c>
      <c r="C2551" s="11" t="s">
        <v>81</v>
      </c>
      <c r="D2551" s="4" t="s">
        <v>1406</v>
      </c>
      <c r="E2551" t="s">
        <v>82</v>
      </c>
      <c r="F2551" s="9">
        <f t="shared" si="162"/>
        <v>0</v>
      </c>
      <c r="G2551" s="9">
        <f t="shared" si="163"/>
        <v>0</v>
      </c>
      <c r="H2551" s="9">
        <f t="shared" si="164"/>
        <v>0</v>
      </c>
      <c r="I2551" s="10">
        <f t="shared" si="165"/>
        <v>0</v>
      </c>
    </row>
    <row r="2552" spans="1:9" x14ac:dyDescent="0.25">
      <c r="A2552" s="11" t="s">
        <v>6922</v>
      </c>
      <c r="B2552" s="11" t="s">
        <v>6923</v>
      </c>
      <c r="C2552" s="11" t="s">
        <v>81</v>
      </c>
      <c r="D2552" s="4" t="s">
        <v>1406</v>
      </c>
      <c r="E2552" t="s">
        <v>489</v>
      </c>
      <c r="F2552" s="9">
        <f t="shared" si="162"/>
        <v>0</v>
      </c>
      <c r="G2552" s="9">
        <f t="shared" si="163"/>
        <v>0</v>
      </c>
      <c r="H2552" s="9">
        <f t="shared" si="164"/>
        <v>0</v>
      </c>
      <c r="I2552" s="10">
        <f t="shared" si="165"/>
        <v>0</v>
      </c>
    </row>
    <row r="2553" spans="1:9" x14ac:dyDescent="0.25">
      <c r="A2553" s="11" t="s">
        <v>6924</v>
      </c>
      <c r="B2553" s="11" t="s">
        <v>6925</v>
      </c>
      <c r="C2553" s="11" t="s">
        <v>81</v>
      </c>
      <c r="D2553" s="4" t="s">
        <v>1406</v>
      </c>
      <c r="E2553" t="s">
        <v>489</v>
      </c>
      <c r="F2553" s="9">
        <f t="shared" si="162"/>
        <v>0</v>
      </c>
      <c r="G2553" s="9">
        <f t="shared" si="163"/>
        <v>0</v>
      </c>
      <c r="H2553" s="9">
        <f t="shared" si="164"/>
        <v>0</v>
      </c>
      <c r="I2553" s="10">
        <f t="shared" si="165"/>
        <v>0</v>
      </c>
    </row>
    <row r="2554" spans="1:9" x14ac:dyDescent="0.25">
      <c r="A2554" s="11" t="s">
        <v>6926</v>
      </c>
      <c r="B2554" s="11" t="s">
        <v>6927</v>
      </c>
      <c r="C2554" s="11" t="s">
        <v>81</v>
      </c>
      <c r="D2554" s="4" t="s">
        <v>1406</v>
      </c>
      <c r="E2554" t="s">
        <v>489</v>
      </c>
      <c r="F2554" s="9">
        <f t="shared" si="162"/>
        <v>0</v>
      </c>
      <c r="G2554" s="9">
        <f t="shared" si="163"/>
        <v>0</v>
      </c>
      <c r="H2554" s="9">
        <f t="shared" si="164"/>
        <v>0</v>
      </c>
      <c r="I2554" s="10">
        <f t="shared" si="165"/>
        <v>0</v>
      </c>
    </row>
    <row r="2555" spans="1:9" x14ac:dyDescent="0.25">
      <c r="A2555" s="11" t="s">
        <v>6928</v>
      </c>
      <c r="B2555" s="11" t="s">
        <v>6929</v>
      </c>
      <c r="C2555" s="11" t="s">
        <v>81</v>
      </c>
      <c r="D2555" s="4" t="s">
        <v>1406</v>
      </c>
      <c r="E2555" t="s">
        <v>489</v>
      </c>
      <c r="F2555" s="9">
        <f t="shared" si="162"/>
        <v>0</v>
      </c>
      <c r="G2555" s="9">
        <f t="shared" si="163"/>
        <v>0</v>
      </c>
      <c r="H2555" s="9">
        <f t="shared" si="164"/>
        <v>0</v>
      </c>
      <c r="I2555" s="10">
        <f t="shared" si="165"/>
        <v>0</v>
      </c>
    </row>
    <row r="2556" spans="1:9" x14ac:dyDescent="0.25">
      <c r="A2556" s="11" t="s">
        <v>6930</v>
      </c>
      <c r="B2556" s="11" t="s">
        <v>6931</v>
      </c>
      <c r="C2556" s="11" t="s">
        <v>81</v>
      </c>
      <c r="D2556" s="4" t="s">
        <v>1406</v>
      </c>
      <c r="E2556" t="s">
        <v>82</v>
      </c>
      <c r="F2556" s="9">
        <f t="shared" si="162"/>
        <v>0</v>
      </c>
      <c r="G2556" s="9">
        <f t="shared" si="163"/>
        <v>0</v>
      </c>
      <c r="H2556" s="9">
        <f t="shared" si="164"/>
        <v>0</v>
      </c>
      <c r="I2556" s="10">
        <f t="shared" si="165"/>
        <v>0</v>
      </c>
    </row>
    <row r="2557" spans="1:9" x14ac:dyDescent="0.25">
      <c r="A2557" s="11" t="s">
        <v>6932</v>
      </c>
      <c r="B2557" s="11" t="s">
        <v>6933</v>
      </c>
      <c r="C2557" s="11" t="s">
        <v>81</v>
      </c>
      <c r="D2557" s="4" t="s">
        <v>1406</v>
      </c>
      <c r="E2557" t="s">
        <v>489</v>
      </c>
      <c r="F2557" s="9">
        <f t="shared" si="162"/>
        <v>0</v>
      </c>
      <c r="G2557" s="9">
        <f t="shared" si="163"/>
        <v>0</v>
      </c>
      <c r="H2557" s="9">
        <f t="shared" si="164"/>
        <v>0</v>
      </c>
      <c r="I2557" s="10">
        <f t="shared" si="165"/>
        <v>0</v>
      </c>
    </row>
    <row r="2558" spans="1:9" x14ac:dyDescent="0.25">
      <c r="A2558" s="11" t="s">
        <v>6934</v>
      </c>
      <c r="B2558" s="11" t="s">
        <v>6935</v>
      </c>
      <c r="C2558" s="11" t="s">
        <v>81</v>
      </c>
      <c r="D2558" s="4" t="s">
        <v>1406</v>
      </c>
      <c r="E2558" t="s">
        <v>82</v>
      </c>
      <c r="F2558" s="9">
        <f t="shared" si="162"/>
        <v>0</v>
      </c>
      <c r="G2558" s="9">
        <f t="shared" si="163"/>
        <v>0</v>
      </c>
      <c r="H2558" s="9">
        <f t="shared" si="164"/>
        <v>0</v>
      </c>
      <c r="I2558" s="10">
        <f t="shared" si="165"/>
        <v>0</v>
      </c>
    </row>
    <row r="2559" spans="1:9" x14ac:dyDescent="0.25">
      <c r="A2559" s="11" t="s">
        <v>6936</v>
      </c>
      <c r="B2559" s="11" t="s">
        <v>6937</v>
      </c>
      <c r="C2559" s="11" t="s">
        <v>81</v>
      </c>
      <c r="D2559" s="4" t="s">
        <v>1406</v>
      </c>
      <c r="E2559" t="s">
        <v>82</v>
      </c>
      <c r="F2559" s="9">
        <f t="shared" si="162"/>
        <v>0</v>
      </c>
      <c r="G2559" s="9">
        <f t="shared" si="163"/>
        <v>0</v>
      </c>
      <c r="H2559" s="9">
        <f t="shared" si="164"/>
        <v>0</v>
      </c>
      <c r="I2559" s="10">
        <f t="shared" si="165"/>
        <v>0</v>
      </c>
    </row>
    <row r="2560" spans="1:9" x14ac:dyDescent="0.25">
      <c r="A2560" s="11" t="s">
        <v>6938</v>
      </c>
      <c r="B2560" s="11" t="s">
        <v>6939</v>
      </c>
      <c r="C2560" s="11" t="s">
        <v>81</v>
      </c>
      <c r="D2560" s="4" t="s">
        <v>1406</v>
      </c>
      <c r="E2560" t="s">
        <v>489</v>
      </c>
      <c r="F2560" s="9">
        <f t="shared" si="162"/>
        <v>0</v>
      </c>
      <c r="G2560" s="9">
        <f t="shared" si="163"/>
        <v>0</v>
      </c>
      <c r="H2560" s="9">
        <f t="shared" si="164"/>
        <v>0</v>
      </c>
      <c r="I2560" s="10">
        <f t="shared" si="165"/>
        <v>0</v>
      </c>
    </row>
    <row r="2561" spans="1:9" x14ac:dyDescent="0.25">
      <c r="A2561" s="11" t="s">
        <v>6940</v>
      </c>
      <c r="B2561" s="11" t="s">
        <v>6941</v>
      </c>
      <c r="C2561" s="11" t="s">
        <v>81</v>
      </c>
      <c r="D2561" s="4" t="s">
        <v>1406</v>
      </c>
      <c r="E2561" t="s">
        <v>489</v>
      </c>
      <c r="F2561" s="9">
        <f t="shared" si="162"/>
        <v>0</v>
      </c>
      <c r="G2561" s="9">
        <f t="shared" si="163"/>
        <v>0</v>
      </c>
      <c r="H2561" s="9">
        <f t="shared" si="164"/>
        <v>0</v>
      </c>
      <c r="I2561" s="10">
        <f t="shared" si="165"/>
        <v>0</v>
      </c>
    </row>
    <row r="2562" spans="1:9" x14ac:dyDescent="0.25">
      <c r="A2562" s="11" t="s">
        <v>6942</v>
      </c>
      <c r="B2562" s="11" t="s">
        <v>6943</v>
      </c>
      <c r="C2562" s="11" t="s">
        <v>81</v>
      </c>
      <c r="D2562" s="4" t="s">
        <v>1406</v>
      </c>
      <c r="E2562" t="s">
        <v>489</v>
      </c>
      <c r="F2562" s="9">
        <f t="shared" si="162"/>
        <v>0</v>
      </c>
      <c r="G2562" s="9">
        <f t="shared" si="163"/>
        <v>0</v>
      </c>
      <c r="H2562" s="9">
        <f t="shared" si="164"/>
        <v>0</v>
      </c>
      <c r="I2562" s="10">
        <f t="shared" si="165"/>
        <v>0</v>
      </c>
    </row>
    <row r="2563" spans="1:9" x14ac:dyDescent="0.25">
      <c r="A2563" s="11" t="s">
        <v>6944</v>
      </c>
      <c r="B2563" s="11" t="s">
        <v>6945</v>
      </c>
      <c r="C2563" s="11" t="s">
        <v>81</v>
      </c>
      <c r="D2563" s="4" t="s">
        <v>1406</v>
      </c>
      <c r="E2563" t="s">
        <v>489</v>
      </c>
      <c r="F2563" s="9">
        <f t="shared" si="162"/>
        <v>0</v>
      </c>
      <c r="G2563" s="9">
        <f t="shared" si="163"/>
        <v>0</v>
      </c>
      <c r="H2563" s="9">
        <f t="shared" si="164"/>
        <v>0</v>
      </c>
      <c r="I2563" s="10">
        <f t="shared" si="165"/>
        <v>0</v>
      </c>
    </row>
    <row r="2564" spans="1:9" x14ac:dyDescent="0.25">
      <c r="A2564" s="11" t="s">
        <v>4528</v>
      </c>
      <c r="B2564" s="11" t="s">
        <v>4527</v>
      </c>
      <c r="C2564" s="11" t="s">
        <v>81</v>
      </c>
      <c r="D2564" s="4" t="s">
        <v>1406</v>
      </c>
      <c r="E2564" t="s">
        <v>489</v>
      </c>
      <c r="F2564" s="9">
        <f t="shared" si="162"/>
        <v>0</v>
      </c>
      <c r="G2564" s="9">
        <f t="shared" si="163"/>
        <v>0</v>
      </c>
      <c r="H2564" s="9">
        <f t="shared" si="164"/>
        <v>0</v>
      </c>
      <c r="I2564" s="10">
        <f t="shared" si="165"/>
        <v>0</v>
      </c>
    </row>
    <row r="2565" spans="1:9" x14ac:dyDescent="0.25">
      <c r="A2565" s="11" t="s">
        <v>6946</v>
      </c>
      <c r="B2565" s="11" t="s">
        <v>6947</v>
      </c>
      <c r="C2565" s="11" t="s">
        <v>81</v>
      </c>
      <c r="D2565" s="4" t="s">
        <v>1406</v>
      </c>
      <c r="E2565" t="s">
        <v>489</v>
      </c>
      <c r="F2565" s="9">
        <f t="shared" si="162"/>
        <v>0</v>
      </c>
      <c r="G2565" s="9">
        <f t="shared" si="163"/>
        <v>0</v>
      </c>
      <c r="H2565" s="9">
        <f t="shared" si="164"/>
        <v>0</v>
      </c>
      <c r="I2565" s="10">
        <f t="shared" si="165"/>
        <v>0</v>
      </c>
    </row>
    <row r="2566" spans="1:9" x14ac:dyDescent="0.25">
      <c r="A2566" s="11" t="s">
        <v>6948</v>
      </c>
      <c r="B2566" s="11" t="s">
        <v>6949</v>
      </c>
      <c r="C2566" s="11" t="s">
        <v>81</v>
      </c>
      <c r="D2566" s="4" t="s">
        <v>1406</v>
      </c>
      <c r="E2566" t="s">
        <v>82</v>
      </c>
      <c r="F2566" s="9">
        <f t="shared" si="162"/>
        <v>0</v>
      </c>
      <c r="G2566" s="9">
        <f t="shared" si="163"/>
        <v>0</v>
      </c>
      <c r="H2566" s="9">
        <f t="shared" si="164"/>
        <v>0</v>
      </c>
      <c r="I2566" s="10">
        <f t="shared" si="165"/>
        <v>0</v>
      </c>
    </row>
    <row r="2567" spans="1:9" x14ac:dyDescent="0.25">
      <c r="A2567" s="11" t="s">
        <v>6950</v>
      </c>
      <c r="B2567" s="11" t="s">
        <v>6951</v>
      </c>
      <c r="C2567" s="11" t="s">
        <v>81</v>
      </c>
      <c r="D2567" s="4" t="s">
        <v>1406</v>
      </c>
      <c r="E2567" t="s">
        <v>82</v>
      </c>
      <c r="F2567" s="9">
        <f t="shared" si="162"/>
        <v>0</v>
      </c>
      <c r="G2567" s="9">
        <f t="shared" si="163"/>
        <v>0</v>
      </c>
      <c r="H2567" s="9">
        <f t="shared" si="164"/>
        <v>0</v>
      </c>
      <c r="I2567" s="10">
        <f t="shared" si="165"/>
        <v>0</v>
      </c>
    </row>
    <row r="2568" spans="1:9" x14ac:dyDescent="0.25">
      <c r="A2568" s="11" t="s">
        <v>6952</v>
      </c>
      <c r="B2568" s="11" t="s">
        <v>6953</v>
      </c>
      <c r="C2568" s="11" t="s">
        <v>81</v>
      </c>
      <c r="D2568" s="4" t="s">
        <v>1406</v>
      </c>
      <c r="E2568" t="s">
        <v>82</v>
      </c>
      <c r="F2568" s="9">
        <f t="shared" ref="F2568:F2631" si="166">IFERROR(VLOOKUP(A2568,condi,8,0),0)</f>
        <v>0</v>
      </c>
      <c r="G2568" s="9">
        <f t="shared" ref="G2568:G2631" si="167">IFERROR(VLOOKUP(A2568,maqui,8,0),0)</f>
        <v>0</v>
      </c>
      <c r="H2568" s="9">
        <f t="shared" ref="H2568:H2631" si="168">IFERROR(VLOOKUP(A2568,ascint,8,0),0)</f>
        <v>0</v>
      </c>
      <c r="I2568" s="10">
        <f t="shared" ref="I2568:I2631" si="169">+F2568+G2568+H2568</f>
        <v>0</v>
      </c>
    </row>
    <row r="2569" spans="1:9" x14ac:dyDescent="0.25">
      <c r="A2569" s="11" t="s">
        <v>6954</v>
      </c>
      <c r="B2569" s="11" t="s">
        <v>6955</v>
      </c>
      <c r="C2569" s="11" t="s">
        <v>81</v>
      </c>
      <c r="D2569" s="4" t="s">
        <v>1406</v>
      </c>
      <c r="E2569" t="s">
        <v>82</v>
      </c>
      <c r="F2569" s="9">
        <f t="shared" si="166"/>
        <v>0</v>
      </c>
      <c r="G2569" s="9">
        <f t="shared" si="167"/>
        <v>0</v>
      </c>
      <c r="H2569" s="9">
        <f t="shared" si="168"/>
        <v>0</v>
      </c>
      <c r="I2569" s="10">
        <f t="shared" si="169"/>
        <v>0</v>
      </c>
    </row>
    <row r="2570" spans="1:9" x14ac:dyDescent="0.25">
      <c r="A2570" s="11" t="s">
        <v>6956</v>
      </c>
      <c r="B2570" s="11" t="s">
        <v>6957</v>
      </c>
      <c r="C2570" s="11" t="s">
        <v>81</v>
      </c>
      <c r="D2570" s="4" t="s">
        <v>1406</v>
      </c>
      <c r="E2570" t="s">
        <v>82</v>
      </c>
      <c r="F2570" s="9">
        <f t="shared" si="166"/>
        <v>0</v>
      </c>
      <c r="G2570" s="9">
        <f t="shared" si="167"/>
        <v>0</v>
      </c>
      <c r="H2570" s="9">
        <f t="shared" si="168"/>
        <v>0</v>
      </c>
      <c r="I2570" s="10">
        <f t="shared" si="169"/>
        <v>0</v>
      </c>
    </row>
    <row r="2571" spans="1:9" x14ac:dyDescent="0.25">
      <c r="A2571" s="11" t="s">
        <v>6958</v>
      </c>
      <c r="B2571" s="11" t="s">
        <v>6959</v>
      </c>
      <c r="C2571" s="11" t="s">
        <v>81</v>
      </c>
      <c r="D2571" s="4" t="s">
        <v>1406</v>
      </c>
      <c r="E2571" t="s">
        <v>489</v>
      </c>
      <c r="F2571" s="9">
        <f t="shared" si="166"/>
        <v>0</v>
      </c>
      <c r="G2571" s="9">
        <f t="shared" si="167"/>
        <v>0</v>
      </c>
      <c r="H2571" s="9">
        <f t="shared" si="168"/>
        <v>0</v>
      </c>
      <c r="I2571" s="10">
        <f t="shared" si="169"/>
        <v>0</v>
      </c>
    </row>
    <row r="2572" spans="1:9" x14ac:dyDescent="0.25">
      <c r="A2572" s="11" t="s">
        <v>6960</v>
      </c>
      <c r="B2572" s="11" t="s">
        <v>6961</v>
      </c>
      <c r="C2572" s="11" t="s">
        <v>81</v>
      </c>
      <c r="D2572" s="4" t="s">
        <v>1406</v>
      </c>
      <c r="E2572" t="s">
        <v>82</v>
      </c>
      <c r="F2572" s="9">
        <f t="shared" si="166"/>
        <v>0</v>
      </c>
      <c r="G2572" s="9">
        <f t="shared" si="167"/>
        <v>0</v>
      </c>
      <c r="H2572" s="9">
        <f t="shared" si="168"/>
        <v>0</v>
      </c>
      <c r="I2572" s="10">
        <f t="shared" si="169"/>
        <v>0</v>
      </c>
    </row>
    <row r="2573" spans="1:9" x14ac:dyDescent="0.25">
      <c r="A2573" s="11" t="s">
        <v>6962</v>
      </c>
      <c r="B2573" s="11" t="s">
        <v>6963</v>
      </c>
      <c r="C2573" s="11" t="s">
        <v>81</v>
      </c>
      <c r="D2573" s="4" t="s">
        <v>1406</v>
      </c>
      <c r="E2573" t="s">
        <v>489</v>
      </c>
      <c r="F2573" s="9">
        <f t="shared" si="166"/>
        <v>0</v>
      </c>
      <c r="G2573" s="9">
        <f t="shared" si="167"/>
        <v>0</v>
      </c>
      <c r="H2573" s="9">
        <f t="shared" si="168"/>
        <v>0</v>
      </c>
      <c r="I2573" s="10">
        <f t="shared" si="169"/>
        <v>0</v>
      </c>
    </row>
    <row r="2574" spans="1:9" x14ac:dyDescent="0.25">
      <c r="A2574" s="11" t="s">
        <v>6964</v>
      </c>
      <c r="B2574" s="11" t="s">
        <v>6965</v>
      </c>
      <c r="C2574" s="11" t="s">
        <v>81</v>
      </c>
      <c r="D2574" s="4" t="s">
        <v>1406</v>
      </c>
      <c r="E2574" t="s">
        <v>82</v>
      </c>
      <c r="F2574" s="9">
        <f t="shared" si="166"/>
        <v>0</v>
      </c>
      <c r="G2574" s="9">
        <f t="shared" si="167"/>
        <v>0</v>
      </c>
      <c r="H2574" s="9">
        <f t="shared" si="168"/>
        <v>0</v>
      </c>
      <c r="I2574" s="10">
        <f t="shared" si="169"/>
        <v>0</v>
      </c>
    </row>
    <row r="2575" spans="1:9" x14ac:dyDescent="0.25">
      <c r="A2575" s="11" t="s">
        <v>6966</v>
      </c>
      <c r="B2575" s="11" t="s">
        <v>6967</v>
      </c>
      <c r="C2575" s="11" t="s">
        <v>81</v>
      </c>
      <c r="D2575" s="4" t="s">
        <v>1406</v>
      </c>
      <c r="E2575" t="s">
        <v>82</v>
      </c>
      <c r="F2575" s="9">
        <f t="shared" si="166"/>
        <v>0</v>
      </c>
      <c r="G2575" s="9">
        <f t="shared" si="167"/>
        <v>0</v>
      </c>
      <c r="H2575" s="9">
        <f t="shared" si="168"/>
        <v>0</v>
      </c>
      <c r="I2575" s="10">
        <f t="shared" si="169"/>
        <v>0</v>
      </c>
    </row>
    <row r="2576" spans="1:9" x14ac:dyDescent="0.25">
      <c r="A2576" s="11" t="s">
        <v>6968</v>
      </c>
      <c r="B2576" s="11" t="s">
        <v>6969</v>
      </c>
      <c r="C2576" s="11" t="s">
        <v>81</v>
      </c>
      <c r="D2576" s="4" t="s">
        <v>1406</v>
      </c>
      <c r="E2576" t="s">
        <v>82</v>
      </c>
      <c r="F2576" s="9">
        <f t="shared" si="166"/>
        <v>0</v>
      </c>
      <c r="G2576" s="9">
        <f t="shared" si="167"/>
        <v>0</v>
      </c>
      <c r="H2576" s="9">
        <f t="shared" si="168"/>
        <v>0</v>
      </c>
      <c r="I2576" s="10">
        <f t="shared" si="169"/>
        <v>0</v>
      </c>
    </row>
    <row r="2577" spans="1:9" x14ac:dyDescent="0.25">
      <c r="A2577" s="11" t="s">
        <v>6970</v>
      </c>
      <c r="B2577" s="11" t="s">
        <v>6971</v>
      </c>
      <c r="C2577" s="11" t="s">
        <v>81</v>
      </c>
      <c r="D2577" s="4" t="s">
        <v>1406</v>
      </c>
      <c r="E2577" t="s">
        <v>82</v>
      </c>
      <c r="F2577" s="9">
        <f t="shared" si="166"/>
        <v>0</v>
      </c>
      <c r="G2577" s="9">
        <f t="shared" si="167"/>
        <v>0</v>
      </c>
      <c r="H2577" s="9">
        <f t="shared" si="168"/>
        <v>0</v>
      </c>
      <c r="I2577" s="10">
        <f t="shared" si="169"/>
        <v>0</v>
      </c>
    </row>
    <row r="2578" spans="1:9" x14ac:dyDescent="0.25">
      <c r="A2578" s="11" t="s">
        <v>6972</v>
      </c>
      <c r="B2578" s="11" t="s">
        <v>6973</v>
      </c>
      <c r="C2578" s="11" t="s">
        <v>81</v>
      </c>
      <c r="D2578" s="4" t="s">
        <v>1406</v>
      </c>
      <c r="E2578" t="s">
        <v>489</v>
      </c>
      <c r="F2578" s="9">
        <f t="shared" si="166"/>
        <v>0</v>
      </c>
      <c r="G2578" s="9">
        <f t="shared" si="167"/>
        <v>0</v>
      </c>
      <c r="H2578" s="9">
        <f t="shared" si="168"/>
        <v>0</v>
      </c>
      <c r="I2578" s="10">
        <f t="shared" si="169"/>
        <v>0</v>
      </c>
    </row>
    <row r="2579" spans="1:9" x14ac:dyDescent="0.25">
      <c r="A2579" s="11" t="s">
        <v>6974</v>
      </c>
      <c r="B2579" s="11" t="s">
        <v>6975</v>
      </c>
      <c r="C2579" s="11" t="s">
        <v>81</v>
      </c>
      <c r="D2579" s="4" t="s">
        <v>1406</v>
      </c>
      <c r="E2579" t="s">
        <v>82</v>
      </c>
      <c r="F2579" s="9">
        <f t="shared" si="166"/>
        <v>0</v>
      </c>
      <c r="G2579" s="9">
        <f t="shared" si="167"/>
        <v>0</v>
      </c>
      <c r="H2579" s="9">
        <f t="shared" si="168"/>
        <v>0</v>
      </c>
      <c r="I2579" s="10">
        <f t="shared" si="169"/>
        <v>0</v>
      </c>
    </row>
    <row r="2580" spans="1:9" x14ac:dyDescent="0.25">
      <c r="A2580" s="11" t="s">
        <v>6976</v>
      </c>
      <c r="B2580" s="11" t="s">
        <v>6977</v>
      </c>
      <c r="C2580" s="11" t="s">
        <v>81</v>
      </c>
      <c r="D2580" s="4" t="s">
        <v>1406</v>
      </c>
      <c r="E2580" t="s">
        <v>489</v>
      </c>
      <c r="F2580" s="9">
        <f t="shared" si="166"/>
        <v>0</v>
      </c>
      <c r="G2580" s="9">
        <f t="shared" si="167"/>
        <v>0</v>
      </c>
      <c r="H2580" s="9">
        <f t="shared" si="168"/>
        <v>0</v>
      </c>
      <c r="I2580" s="10">
        <f t="shared" si="169"/>
        <v>0</v>
      </c>
    </row>
    <row r="2581" spans="1:9" x14ac:dyDescent="0.25">
      <c r="A2581" s="11" t="s">
        <v>6978</v>
      </c>
      <c r="B2581" s="11" t="s">
        <v>6979</v>
      </c>
      <c r="C2581" s="11" t="s">
        <v>81</v>
      </c>
      <c r="D2581" s="4" t="s">
        <v>1406</v>
      </c>
      <c r="E2581" t="s">
        <v>82</v>
      </c>
      <c r="F2581" s="9">
        <f t="shared" si="166"/>
        <v>0</v>
      </c>
      <c r="G2581" s="9">
        <f t="shared" si="167"/>
        <v>0</v>
      </c>
      <c r="H2581" s="9">
        <f t="shared" si="168"/>
        <v>0</v>
      </c>
      <c r="I2581" s="10">
        <f t="shared" si="169"/>
        <v>0</v>
      </c>
    </row>
    <row r="2582" spans="1:9" x14ac:dyDescent="0.25">
      <c r="A2582" s="11" t="s">
        <v>6980</v>
      </c>
      <c r="B2582" s="11" t="s">
        <v>6981</v>
      </c>
      <c r="C2582" s="11" t="s">
        <v>81</v>
      </c>
      <c r="D2582" s="4" t="s">
        <v>1406</v>
      </c>
      <c r="E2582" t="s">
        <v>489</v>
      </c>
      <c r="F2582" s="9">
        <f t="shared" si="166"/>
        <v>0</v>
      </c>
      <c r="G2582" s="9">
        <f t="shared" si="167"/>
        <v>0</v>
      </c>
      <c r="H2582" s="9">
        <f t="shared" si="168"/>
        <v>0</v>
      </c>
      <c r="I2582" s="10">
        <f t="shared" si="169"/>
        <v>0</v>
      </c>
    </row>
    <row r="2583" spans="1:9" x14ac:dyDescent="0.25">
      <c r="A2583" s="11" t="s">
        <v>6982</v>
      </c>
      <c r="B2583" s="11" t="s">
        <v>6983</v>
      </c>
      <c r="C2583" s="11" t="s">
        <v>81</v>
      </c>
      <c r="D2583" s="4" t="s">
        <v>1406</v>
      </c>
      <c r="E2583" t="s">
        <v>489</v>
      </c>
      <c r="F2583" s="9">
        <f t="shared" si="166"/>
        <v>0</v>
      </c>
      <c r="G2583" s="9">
        <f t="shared" si="167"/>
        <v>0</v>
      </c>
      <c r="H2583" s="9">
        <f t="shared" si="168"/>
        <v>0</v>
      </c>
      <c r="I2583" s="10">
        <f t="shared" si="169"/>
        <v>0</v>
      </c>
    </row>
    <row r="2584" spans="1:9" x14ac:dyDescent="0.25">
      <c r="A2584" s="11" t="s">
        <v>6984</v>
      </c>
      <c r="B2584" s="11" t="s">
        <v>6985</v>
      </c>
      <c r="C2584" s="11" t="s">
        <v>81</v>
      </c>
      <c r="D2584" s="4" t="s">
        <v>1406</v>
      </c>
      <c r="E2584" t="s">
        <v>489</v>
      </c>
      <c r="F2584" s="9">
        <f t="shared" si="166"/>
        <v>0</v>
      </c>
      <c r="G2584" s="9">
        <f t="shared" si="167"/>
        <v>0</v>
      </c>
      <c r="H2584" s="9">
        <f t="shared" si="168"/>
        <v>0</v>
      </c>
      <c r="I2584" s="10">
        <f t="shared" si="169"/>
        <v>0</v>
      </c>
    </row>
    <row r="2585" spans="1:9" x14ac:dyDescent="0.25">
      <c r="A2585" s="11" t="s">
        <v>6986</v>
      </c>
      <c r="B2585" s="11" t="s">
        <v>6987</v>
      </c>
      <c r="C2585" s="11" t="s">
        <v>81</v>
      </c>
      <c r="D2585" s="4" t="s">
        <v>1406</v>
      </c>
      <c r="E2585" t="s">
        <v>489</v>
      </c>
      <c r="F2585" s="9">
        <f t="shared" si="166"/>
        <v>0</v>
      </c>
      <c r="G2585" s="9">
        <f t="shared" si="167"/>
        <v>0</v>
      </c>
      <c r="H2585" s="9">
        <f t="shared" si="168"/>
        <v>0</v>
      </c>
      <c r="I2585" s="10">
        <f t="shared" si="169"/>
        <v>0</v>
      </c>
    </row>
    <row r="2586" spans="1:9" x14ac:dyDescent="0.25">
      <c r="A2586" s="11" t="s">
        <v>6988</v>
      </c>
      <c r="B2586" s="11" t="s">
        <v>6989</v>
      </c>
      <c r="C2586" s="11" t="s">
        <v>81</v>
      </c>
      <c r="D2586" s="4" t="s">
        <v>1406</v>
      </c>
      <c r="E2586" t="s">
        <v>489</v>
      </c>
      <c r="F2586" s="9">
        <f t="shared" si="166"/>
        <v>0</v>
      </c>
      <c r="G2586" s="9">
        <f t="shared" si="167"/>
        <v>0</v>
      </c>
      <c r="H2586" s="9">
        <f t="shared" si="168"/>
        <v>0</v>
      </c>
      <c r="I2586" s="10">
        <f t="shared" si="169"/>
        <v>0</v>
      </c>
    </row>
    <row r="2587" spans="1:9" x14ac:dyDescent="0.25">
      <c r="A2587" s="11" t="s">
        <v>6990</v>
      </c>
      <c r="B2587" s="11" t="s">
        <v>6991</v>
      </c>
      <c r="C2587" s="11" t="s">
        <v>81</v>
      </c>
      <c r="D2587" s="4" t="s">
        <v>1406</v>
      </c>
      <c r="E2587" t="s">
        <v>82</v>
      </c>
      <c r="F2587" s="9">
        <f t="shared" si="166"/>
        <v>0</v>
      </c>
      <c r="G2587" s="9">
        <f t="shared" si="167"/>
        <v>0</v>
      </c>
      <c r="H2587" s="9">
        <f t="shared" si="168"/>
        <v>0</v>
      </c>
      <c r="I2587" s="10">
        <f t="shared" si="169"/>
        <v>0</v>
      </c>
    </row>
    <row r="2588" spans="1:9" x14ac:dyDescent="0.25">
      <c r="A2588" s="11" t="s">
        <v>6992</v>
      </c>
      <c r="B2588" s="11" t="s">
        <v>6993</v>
      </c>
      <c r="C2588" s="11" t="s">
        <v>81</v>
      </c>
      <c r="D2588" s="4" t="s">
        <v>1406</v>
      </c>
      <c r="E2588" t="s">
        <v>489</v>
      </c>
      <c r="F2588" s="9">
        <f t="shared" si="166"/>
        <v>0</v>
      </c>
      <c r="G2588" s="9">
        <f t="shared" si="167"/>
        <v>0</v>
      </c>
      <c r="H2588" s="9">
        <f t="shared" si="168"/>
        <v>0</v>
      </c>
      <c r="I2588" s="10">
        <f t="shared" si="169"/>
        <v>0</v>
      </c>
    </row>
    <row r="2589" spans="1:9" x14ac:dyDescent="0.25">
      <c r="A2589" s="11" t="s">
        <v>6994</v>
      </c>
      <c r="B2589" s="11" t="s">
        <v>6995</v>
      </c>
      <c r="C2589" s="11" t="s">
        <v>81</v>
      </c>
      <c r="D2589" s="4" t="s">
        <v>1406</v>
      </c>
      <c r="E2589" t="s">
        <v>489</v>
      </c>
      <c r="F2589" s="9">
        <f t="shared" si="166"/>
        <v>0</v>
      </c>
      <c r="G2589" s="9">
        <f t="shared" si="167"/>
        <v>0</v>
      </c>
      <c r="H2589" s="9">
        <f t="shared" si="168"/>
        <v>0</v>
      </c>
      <c r="I2589" s="10">
        <f t="shared" si="169"/>
        <v>0</v>
      </c>
    </row>
    <row r="2590" spans="1:9" x14ac:dyDescent="0.25">
      <c r="A2590" s="11" t="s">
        <v>6996</v>
      </c>
      <c r="B2590" s="11" t="s">
        <v>6997</v>
      </c>
      <c r="C2590" s="11" t="s">
        <v>81</v>
      </c>
      <c r="D2590" s="4" t="s">
        <v>1406</v>
      </c>
      <c r="E2590" t="s">
        <v>82</v>
      </c>
      <c r="F2590" s="9">
        <f t="shared" si="166"/>
        <v>0</v>
      </c>
      <c r="G2590" s="9">
        <f t="shared" si="167"/>
        <v>0</v>
      </c>
      <c r="H2590" s="9">
        <f t="shared" si="168"/>
        <v>0</v>
      </c>
      <c r="I2590" s="10">
        <f t="shared" si="169"/>
        <v>0</v>
      </c>
    </row>
    <row r="2591" spans="1:9" x14ac:dyDescent="0.25">
      <c r="A2591" s="11" t="s">
        <v>6998</v>
      </c>
      <c r="B2591" s="11" t="s">
        <v>6999</v>
      </c>
      <c r="C2591" s="11" t="s">
        <v>81</v>
      </c>
      <c r="D2591" s="4" t="s">
        <v>1406</v>
      </c>
      <c r="E2591" t="s">
        <v>489</v>
      </c>
      <c r="F2591" s="9">
        <f t="shared" si="166"/>
        <v>0</v>
      </c>
      <c r="G2591" s="9">
        <f t="shared" si="167"/>
        <v>0</v>
      </c>
      <c r="H2591" s="9">
        <f t="shared" si="168"/>
        <v>0</v>
      </c>
      <c r="I2591" s="10">
        <f t="shared" si="169"/>
        <v>0</v>
      </c>
    </row>
    <row r="2592" spans="1:9" x14ac:dyDescent="0.25">
      <c r="A2592" s="11" t="s">
        <v>7000</v>
      </c>
      <c r="B2592" s="11" t="s">
        <v>7001</v>
      </c>
      <c r="C2592" s="11" t="s">
        <v>81</v>
      </c>
      <c r="D2592" s="4" t="s">
        <v>1406</v>
      </c>
      <c r="E2592" t="s">
        <v>82</v>
      </c>
      <c r="F2592" s="9">
        <f t="shared" si="166"/>
        <v>0</v>
      </c>
      <c r="G2592" s="9">
        <f t="shared" si="167"/>
        <v>0</v>
      </c>
      <c r="H2592" s="9">
        <f t="shared" si="168"/>
        <v>0</v>
      </c>
      <c r="I2592" s="10">
        <f t="shared" si="169"/>
        <v>0</v>
      </c>
    </row>
    <row r="2593" spans="1:9" x14ac:dyDescent="0.25">
      <c r="A2593" s="11" t="s">
        <v>7002</v>
      </c>
      <c r="B2593" s="11" t="s">
        <v>7003</v>
      </c>
      <c r="C2593" s="11" t="s">
        <v>81</v>
      </c>
      <c r="D2593" s="4" t="s">
        <v>1406</v>
      </c>
      <c r="E2593" t="s">
        <v>489</v>
      </c>
      <c r="F2593" s="9">
        <f t="shared" si="166"/>
        <v>0</v>
      </c>
      <c r="G2593" s="9">
        <f t="shared" si="167"/>
        <v>0</v>
      </c>
      <c r="H2593" s="9">
        <f t="shared" si="168"/>
        <v>0</v>
      </c>
      <c r="I2593" s="10">
        <f t="shared" si="169"/>
        <v>0</v>
      </c>
    </row>
    <row r="2594" spans="1:9" x14ac:dyDescent="0.25">
      <c r="A2594" s="11" t="s">
        <v>7004</v>
      </c>
      <c r="B2594" s="11" t="s">
        <v>7005</v>
      </c>
      <c r="C2594" s="11" t="s">
        <v>81</v>
      </c>
      <c r="D2594" s="4" t="s">
        <v>1406</v>
      </c>
      <c r="E2594" t="s">
        <v>489</v>
      </c>
      <c r="F2594" s="9">
        <f t="shared" si="166"/>
        <v>0</v>
      </c>
      <c r="G2594" s="9">
        <f t="shared" si="167"/>
        <v>0</v>
      </c>
      <c r="H2594" s="9">
        <f t="shared" si="168"/>
        <v>0</v>
      </c>
      <c r="I2594" s="10">
        <f t="shared" si="169"/>
        <v>0</v>
      </c>
    </row>
    <row r="2595" spans="1:9" x14ac:dyDescent="0.25">
      <c r="A2595" s="11" t="s">
        <v>7006</v>
      </c>
      <c r="B2595" s="11" t="s">
        <v>7007</v>
      </c>
      <c r="C2595" s="11" t="s">
        <v>81</v>
      </c>
      <c r="D2595" s="4" t="s">
        <v>1406</v>
      </c>
      <c r="E2595" t="s">
        <v>489</v>
      </c>
      <c r="F2595" s="9">
        <f t="shared" si="166"/>
        <v>0</v>
      </c>
      <c r="G2595" s="9">
        <f t="shared" si="167"/>
        <v>0</v>
      </c>
      <c r="H2595" s="9">
        <f t="shared" si="168"/>
        <v>0</v>
      </c>
      <c r="I2595" s="10">
        <f t="shared" si="169"/>
        <v>0</v>
      </c>
    </row>
    <row r="2596" spans="1:9" x14ac:dyDescent="0.25">
      <c r="A2596" s="11" t="s">
        <v>7008</v>
      </c>
      <c r="B2596" s="11" t="s">
        <v>7009</v>
      </c>
      <c r="C2596" s="11" t="s">
        <v>81</v>
      </c>
      <c r="D2596" s="4" t="s">
        <v>1406</v>
      </c>
      <c r="E2596" t="s">
        <v>82</v>
      </c>
      <c r="F2596" s="9">
        <f t="shared" si="166"/>
        <v>0</v>
      </c>
      <c r="G2596" s="9">
        <f t="shared" si="167"/>
        <v>0</v>
      </c>
      <c r="H2596" s="9">
        <f t="shared" si="168"/>
        <v>0</v>
      </c>
      <c r="I2596" s="10">
        <f t="shared" si="169"/>
        <v>0</v>
      </c>
    </row>
    <row r="2597" spans="1:9" x14ac:dyDescent="0.25">
      <c r="A2597" s="11" t="s">
        <v>7010</v>
      </c>
      <c r="B2597" s="11" t="s">
        <v>7011</v>
      </c>
      <c r="C2597" s="11" t="s">
        <v>81</v>
      </c>
      <c r="D2597" s="4" t="s">
        <v>1406</v>
      </c>
      <c r="E2597" t="s">
        <v>82</v>
      </c>
      <c r="F2597" s="9">
        <f t="shared" si="166"/>
        <v>0</v>
      </c>
      <c r="G2597" s="9">
        <f t="shared" si="167"/>
        <v>0</v>
      </c>
      <c r="H2597" s="9">
        <f t="shared" si="168"/>
        <v>0</v>
      </c>
      <c r="I2597" s="10">
        <f t="shared" si="169"/>
        <v>0</v>
      </c>
    </row>
    <row r="2598" spans="1:9" x14ac:dyDescent="0.25">
      <c r="A2598" s="11" t="s">
        <v>7012</v>
      </c>
      <c r="B2598" s="11" t="s">
        <v>7013</v>
      </c>
      <c r="C2598" s="11" t="s">
        <v>81</v>
      </c>
      <c r="D2598" s="4" t="s">
        <v>1406</v>
      </c>
      <c r="E2598" t="s">
        <v>489</v>
      </c>
      <c r="F2598" s="9">
        <f t="shared" si="166"/>
        <v>0</v>
      </c>
      <c r="G2598" s="9">
        <f t="shared" si="167"/>
        <v>0</v>
      </c>
      <c r="H2598" s="9">
        <f t="shared" si="168"/>
        <v>0</v>
      </c>
      <c r="I2598" s="10">
        <f t="shared" si="169"/>
        <v>0</v>
      </c>
    </row>
    <row r="2599" spans="1:9" x14ac:dyDescent="0.25">
      <c r="A2599" s="11" t="s">
        <v>7014</v>
      </c>
      <c r="B2599" s="11" t="s">
        <v>7015</v>
      </c>
      <c r="C2599" s="11" t="s">
        <v>81</v>
      </c>
      <c r="D2599" s="4" t="s">
        <v>1406</v>
      </c>
      <c r="E2599" t="s">
        <v>489</v>
      </c>
      <c r="F2599" s="9">
        <f t="shared" si="166"/>
        <v>0</v>
      </c>
      <c r="G2599" s="9">
        <f t="shared" si="167"/>
        <v>0</v>
      </c>
      <c r="H2599" s="9">
        <f t="shared" si="168"/>
        <v>0</v>
      </c>
      <c r="I2599" s="10">
        <f t="shared" si="169"/>
        <v>0</v>
      </c>
    </row>
    <row r="2600" spans="1:9" x14ac:dyDescent="0.25">
      <c r="A2600" s="11" t="s">
        <v>7016</v>
      </c>
      <c r="B2600" s="11" t="s">
        <v>7017</v>
      </c>
      <c r="C2600" s="11" t="s">
        <v>81</v>
      </c>
      <c r="D2600" s="4" t="s">
        <v>1406</v>
      </c>
      <c r="E2600" t="s">
        <v>489</v>
      </c>
      <c r="F2600" s="9">
        <f t="shared" si="166"/>
        <v>0</v>
      </c>
      <c r="G2600" s="9">
        <f t="shared" si="167"/>
        <v>0</v>
      </c>
      <c r="H2600" s="9">
        <f t="shared" si="168"/>
        <v>0</v>
      </c>
      <c r="I2600" s="10">
        <f t="shared" si="169"/>
        <v>0</v>
      </c>
    </row>
    <row r="2601" spans="1:9" x14ac:dyDescent="0.25">
      <c r="A2601" s="11" t="s">
        <v>7018</v>
      </c>
      <c r="B2601" s="11" t="s">
        <v>7019</v>
      </c>
      <c r="C2601" s="11" t="s">
        <v>81</v>
      </c>
      <c r="D2601" s="4" t="s">
        <v>1406</v>
      </c>
      <c r="E2601" t="s">
        <v>82</v>
      </c>
      <c r="F2601" s="9">
        <f t="shared" si="166"/>
        <v>0</v>
      </c>
      <c r="G2601" s="9">
        <f t="shared" si="167"/>
        <v>0</v>
      </c>
      <c r="H2601" s="9">
        <f t="shared" si="168"/>
        <v>0</v>
      </c>
      <c r="I2601" s="10">
        <f t="shared" si="169"/>
        <v>0</v>
      </c>
    </row>
    <row r="2602" spans="1:9" x14ac:dyDescent="0.25">
      <c r="A2602" s="11" t="s">
        <v>7020</v>
      </c>
      <c r="B2602" s="11" t="s">
        <v>7021</v>
      </c>
      <c r="C2602" s="11" t="s">
        <v>81</v>
      </c>
      <c r="D2602" s="4" t="s">
        <v>1406</v>
      </c>
      <c r="E2602" t="s">
        <v>82</v>
      </c>
      <c r="F2602" s="9">
        <f t="shared" si="166"/>
        <v>0</v>
      </c>
      <c r="G2602" s="9">
        <f t="shared" si="167"/>
        <v>0</v>
      </c>
      <c r="H2602" s="9">
        <f t="shared" si="168"/>
        <v>0</v>
      </c>
      <c r="I2602" s="10">
        <f t="shared" si="169"/>
        <v>0</v>
      </c>
    </row>
    <row r="2603" spans="1:9" x14ac:dyDescent="0.25">
      <c r="A2603" s="11" t="s">
        <v>7022</v>
      </c>
      <c r="B2603" s="11" t="s">
        <v>7023</v>
      </c>
      <c r="C2603" s="11" t="s">
        <v>81</v>
      </c>
      <c r="D2603" s="4" t="s">
        <v>1406</v>
      </c>
      <c r="E2603" t="s">
        <v>82</v>
      </c>
      <c r="F2603" s="9">
        <f t="shared" si="166"/>
        <v>0</v>
      </c>
      <c r="G2603" s="9">
        <f t="shared" si="167"/>
        <v>0</v>
      </c>
      <c r="H2603" s="9">
        <f t="shared" si="168"/>
        <v>0</v>
      </c>
      <c r="I2603" s="10">
        <f t="shared" si="169"/>
        <v>0</v>
      </c>
    </row>
    <row r="2604" spans="1:9" x14ac:dyDescent="0.25">
      <c r="A2604" s="11" t="s">
        <v>7024</v>
      </c>
      <c r="B2604" s="11" t="s">
        <v>7025</v>
      </c>
      <c r="C2604" s="11" t="s">
        <v>81</v>
      </c>
      <c r="D2604" s="4" t="s">
        <v>1406</v>
      </c>
      <c r="E2604" t="s">
        <v>82</v>
      </c>
      <c r="F2604" s="9">
        <f t="shared" si="166"/>
        <v>0</v>
      </c>
      <c r="G2604" s="9">
        <f t="shared" si="167"/>
        <v>0</v>
      </c>
      <c r="H2604" s="9">
        <f t="shared" si="168"/>
        <v>0</v>
      </c>
      <c r="I2604" s="10">
        <f t="shared" si="169"/>
        <v>0</v>
      </c>
    </row>
    <row r="2605" spans="1:9" x14ac:dyDescent="0.25">
      <c r="A2605" s="11" t="s">
        <v>7026</v>
      </c>
      <c r="B2605" s="11" t="s">
        <v>7027</v>
      </c>
      <c r="C2605" s="11" t="s">
        <v>81</v>
      </c>
      <c r="D2605" s="4" t="s">
        <v>1406</v>
      </c>
      <c r="E2605" t="s">
        <v>82</v>
      </c>
      <c r="F2605" s="9">
        <f t="shared" si="166"/>
        <v>0</v>
      </c>
      <c r="G2605" s="9">
        <f t="shared" si="167"/>
        <v>0</v>
      </c>
      <c r="H2605" s="9">
        <f t="shared" si="168"/>
        <v>0</v>
      </c>
      <c r="I2605" s="10">
        <f t="shared" si="169"/>
        <v>0</v>
      </c>
    </row>
    <row r="2606" spans="1:9" x14ac:dyDescent="0.25">
      <c r="A2606" s="11" t="s">
        <v>7028</v>
      </c>
      <c r="B2606" s="11" t="s">
        <v>7029</v>
      </c>
      <c r="C2606" s="11" t="s">
        <v>81</v>
      </c>
      <c r="D2606" s="4" t="s">
        <v>1406</v>
      </c>
      <c r="E2606" t="s">
        <v>82</v>
      </c>
      <c r="F2606" s="9">
        <f t="shared" si="166"/>
        <v>0</v>
      </c>
      <c r="G2606" s="9">
        <f t="shared" si="167"/>
        <v>0</v>
      </c>
      <c r="H2606" s="9">
        <f t="shared" si="168"/>
        <v>0</v>
      </c>
      <c r="I2606" s="10">
        <f t="shared" si="169"/>
        <v>0</v>
      </c>
    </row>
    <row r="2607" spans="1:9" x14ac:dyDescent="0.25">
      <c r="A2607" s="11" t="s">
        <v>7030</v>
      </c>
      <c r="B2607" s="11" t="s">
        <v>7031</v>
      </c>
      <c r="C2607" s="11" t="s">
        <v>81</v>
      </c>
      <c r="D2607" s="4" t="s">
        <v>1406</v>
      </c>
      <c r="E2607" t="s">
        <v>82</v>
      </c>
      <c r="F2607" s="9">
        <f t="shared" si="166"/>
        <v>0</v>
      </c>
      <c r="G2607" s="9">
        <f t="shared" si="167"/>
        <v>0</v>
      </c>
      <c r="H2607" s="9">
        <f t="shared" si="168"/>
        <v>0</v>
      </c>
      <c r="I2607" s="10">
        <f t="shared" si="169"/>
        <v>0</v>
      </c>
    </row>
    <row r="2608" spans="1:9" x14ac:dyDescent="0.25">
      <c r="A2608" s="11" t="s">
        <v>7032</v>
      </c>
      <c r="B2608" s="11" t="s">
        <v>7033</v>
      </c>
      <c r="C2608" s="11" t="s">
        <v>81</v>
      </c>
      <c r="D2608" s="4" t="s">
        <v>1406</v>
      </c>
      <c r="E2608" t="s">
        <v>489</v>
      </c>
      <c r="F2608" s="9">
        <f t="shared" si="166"/>
        <v>0</v>
      </c>
      <c r="G2608" s="9">
        <f t="shared" si="167"/>
        <v>0</v>
      </c>
      <c r="H2608" s="9">
        <f t="shared" si="168"/>
        <v>0</v>
      </c>
      <c r="I2608" s="10">
        <f t="shared" si="169"/>
        <v>0</v>
      </c>
    </row>
    <row r="2609" spans="1:9" x14ac:dyDescent="0.25">
      <c r="A2609" s="11" t="s">
        <v>7034</v>
      </c>
      <c r="B2609" s="11" t="s">
        <v>7035</v>
      </c>
      <c r="C2609" s="11" t="s">
        <v>81</v>
      </c>
      <c r="D2609" s="4" t="s">
        <v>1406</v>
      </c>
      <c r="E2609" t="s">
        <v>489</v>
      </c>
      <c r="F2609" s="9">
        <f t="shared" si="166"/>
        <v>0</v>
      </c>
      <c r="G2609" s="9">
        <f t="shared" si="167"/>
        <v>0</v>
      </c>
      <c r="H2609" s="9">
        <f t="shared" si="168"/>
        <v>0</v>
      </c>
      <c r="I2609" s="10">
        <f t="shared" si="169"/>
        <v>0</v>
      </c>
    </row>
    <row r="2610" spans="1:9" x14ac:dyDescent="0.25">
      <c r="A2610" s="11" t="s">
        <v>7036</v>
      </c>
      <c r="B2610" s="11" t="s">
        <v>7037</v>
      </c>
      <c r="C2610" s="11" t="s">
        <v>81</v>
      </c>
      <c r="D2610" s="4" t="s">
        <v>1406</v>
      </c>
      <c r="E2610" t="s">
        <v>489</v>
      </c>
      <c r="F2610" s="9">
        <f t="shared" si="166"/>
        <v>0</v>
      </c>
      <c r="G2610" s="9">
        <f t="shared" si="167"/>
        <v>0</v>
      </c>
      <c r="H2610" s="9">
        <f t="shared" si="168"/>
        <v>0</v>
      </c>
      <c r="I2610" s="10">
        <f t="shared" si="169"/>
        <v>0</v>
      </c>
    </row>
    <row r="2611" spans="1:9" x14ac:dyDescent="0.25">
      <c r="A2611" s="11" t="s">
        <v>7038</v>
      </c>
      <c r="B2611" s="11" t="s">
        <v>7039</v>
      </c>
      <c r="C2611" s="11" t="s">
        <v>81</v>
      </c>
      <c r="D2611" s="4" t="s">
        <v>1406</v>
      </c>
      <c r="E2611" t="s">
        <v>489</v>
      </c>
      <c r="F2611" s="9">
        <f t="shared" si="166"/>
        <v>0</v>
      </c>
      <c r="G2611" s="9">
        <f t="shared" si="167"/>
        <v>0</v>
      </c>
      <c r="H2611" s="9">
        <f t="shared" si="168"/>
        <v>0</v>
      </c>
      <c r="I2611" s="10">
        <f t="shared" si="169"/>
        <v>0</v>
      </c>
    </row>
    <row r="2612" spans="1:9" x14ac:dyDescent="0.25">
      <c r="A2612" s="11" t="s">
        <v>7040</v>
      </c>
      <c r="B2612" s="11" t="s">
        <v>7041</v>
      </c>
      <c r="C2612" s="11" t="s">
        <v>81</v>
      </c>
      <c r="D2612" s="4" t="s">
        <v>1406</v>
      </c>
      <c r="E2612" t="s">
        <v>489</v>
      </c>
      <c r="F2612" s="9">
        <f t="shared" si="166"/>
        <v>0</v>
      </c>
      <c r="G2612" s="9">
        <f t="shared" si="167"/>
        <v>0</v>
      </c>
      <c r="H2612" s="9">
        <f t="shared" si="168"/>
        <v>0</v>
      </c>
      <c r="I2612" s="10">
        <f t="shared" si="169"/>
        <v>0</v>
      </c>
    </row>
    <row r="2613" spans="1:9" x14ac:dyDescent="0.25">
      <c r="A2613" s="11" t="s">
        <v>7042</v>
      </c>
      <c r="B2613" s="11" t="s">
        <v>7043</v>
      </c>
      <c r="C2613" s="11" t="s">
        <v>81</v>
      </c>
      <c r="D2613" s="4" t="s">
        <v>1406</v>
      </c>
      <c r="E2613" t="s">
        <v>489</v>
      </c>
      <c r="F2613" s="9">
        <f t="shared" si="166"/>
        <v>0</v>
      </c>
      <c r="G2613" s="9">
        <f t="shared" si="167"/>
        <v>0</v>
      </c>
      <c r="H2613" s="9">
        <f t="shared" si="168"/>
        <v>0</v>
      </c>
      <c r="I2613" s="10">
        <f t="shared" si="169"/>
        <v>0</v>
      </c>
    </row>
    <row r="2614" spans="1:9" x14ac:dyDescent="0.25">
      <c r="A2614" s="11" t="s">
        <v>7044</v>
      </c>
      <c r="B2614" s="11" t="s">
        <v>7045</v>
      </c>
      <c r="C2614" s="11" t="s">
        <v>81</v>
      </c>
      <c r="D2614" s="4" t="s">
        <v>1406</v>
      </c>
      <c r="E2614" t="s">
        <v>82</v>
      </c>
      <c r="F2614" s="9">
        <f t="shared" si="166"/>
        <v>0</v>
      </c>
      <c r="G2614" s="9">
        <f t="shared" si="167"/>
        <v>0</v>
      </c>
      <c r="H2614" s="9">
        <f t="shared" si="168"/>
        <v>0</v>
      </c>
      <c r="I2614" s="10">
        <f t="shared" si="169"/>
        <v>0</v>
      </c>
    </row>
    <row r="2615" spans="1:9" x14ac:dyDescent="0.25">
      <c r="A2615" s="11" t="s">
        <v>7046</v>
      </c>
      <c r="B2615" s="11" t="s">
        <v>7047</v>
      </c>
      <c r="C2615" s="11" t="s">
        <v>81</v>
      </c>
      <c r="D2615" s="4" t="s">
        <v>1406</v>
      </c>
      <c r="E2615" t="s">
        <v>82</v>
      </c>
      <c r="F2615" s="9">
        <f t="shared" si="166"/>
        <v>0</v>
      </c>
      <c r="G2615" s="9">
        <f t="shared" si="167"/>
        <v>0</v>
      </c>
      <c r="H2615" s="9">
        <f t="shared" si="168"/>
        <v>0</v>
      </c>
      <c r="I2615" s="10">
        <f t="shared" si="169"/>
        <v>0</v>
      </c>
    </row>
    <row r="2616" spans="1:9" x14ac:dyDescent="0.25">
      <c r="A2616" s="11" t="s">
        <v>7048</v>
      </c>
      <c r="B2616" s="11" t="s">
        <v>7049</v>
      </c>
      <c r="C2616" s="11" t="s">
        <v>81</v>
      </c>
      <c r="D2616" s="4" t="s">
        <v>1406</v>
      </c>
      <c r="E2616" t="s">
        <v>489</v>
      </c>
      <c r="F2616" s="9">
        <f t="shared" si="166"/>
        <v>0</v>
      </c>
      <c r="G2616" s="9">
        <f t="shared" si="167"/>
        <v>0</v>
      </c>
      <c r="H2616" s="9">
        <f t="shared" si="168"/>
        <v>0</v>
      </c>
      <c r="I2616" s="10">
        <f t="shared" si="169"/>
        <v>0</v>
      </c>
    </row>
    <row r="2617" spans="1:9" x14ac:dyDescent="0.25">
      <c r="A2617" s="11" t="s">
        <v>7050</v>
      </c>
      <c r="B2617" s="11" t="s">
        <v>7051</v>
      </c>
      <c r="C2617" s="11" t="s">
        <v>81</v>
      </c>
      <c r="D2617" s="4" t="s">
        <v>1406</v>
      </c>
      <c r="E2617" t="s">
        <v>82</v>
      </c>
      <c r="F2617" s="9">
        <f t="shared" si="166"/>
        <v>0</v>
      </c>
      <c r="G2617" s="9">
        <f t="shared" si="167"/>
        <v>0</v>
      </c>
      <c r="H2617" s="9">
        <f t="shared" si="168"/>
        <v>0</v>
      </c>
      <c r="I2617" s="10">
        <f t="shared" si="169"/>
        <v>0</v>
      </c>
    </row>
    <row r="2618" spans="1:9" x14ac:dyDescent="0.25">
      <c r="A2618" s="11" t="s">
        <v>7052</v>
      </c>
      <c r="B2618" s="11" t="s">
        <v>7053</v>
      </c>
      <c r="C2618" s="11" t="s">
        <v>81</v>
      </c>
      <c r="D2618" s="4" t="s">
        <v>1406</v>
      </c>
      <c r="E2618" t="s">
        <v>489</v>
      </c>
      <c r="F2618" s="9">
        <f t="shared" si="166"/>
        <v>0</v>
      </c>
      <c r="G2618" s="9">
        <f t="shared" si="167"/>
        <v>0</v>
      </c>
      <c r="H2618" s="9">
        <f t="shared" si="168"/>
        <v>0</v>
      </c>
      <c r="I2618" s="10">
        <f t="shared" si="169"/>
        <v>0</v>
      </c>
    </row>
    <row r="2619" spans="1:9" x14ac:dyDescent="0.25">
      <c r="A2619" s="11" t="s">
        <v>7054</v>
      </c>
      <c r="B2619" s="11" t="s">
        <v>7055</v>
      </c>
      <c r="C2619" s="11" t="s">
        <v>81</v>
      </c>
      <c r="D2619" s="4" t="s">
        <v>1406</v>
      </c>
      <c r="E2619" t="s">
        <v>82</v>
      </c>
      <c r="F2619" s="9">
        <f t="shared" si="166"/>
        <v>0</v>
      </c>
      <c r="G2619" s="9">
        <f t="shared" si="167"/>
        <v>0</v>
      </c>
      <c r="H2619" s="9">
        <f t="shared" si="168"/>
        <v>0</v>
      </c>
      <c r="I2619" s="10">
        <f t="shared" si="169"/>
        <v>0</v>
      </c>
    </row>
    <row r="2620" spans="1:9" x14ac:dyDescent="0.25">
      <c r="A2620" s="11" t="s">
        <v>7056</v>
      </c>
      <c r="B2620" s="11" t="s">
        <v>7057</v>
      </c>
      <c r="C2620" s="11" t="s">
        <v>81</v>
      </c>
      <c r="D2620" s="4" t="s">
        <v>1406</v>
      </c>
      <c r="E2620" t="s">
        <v>82</v>
      </c>
      <c r="F2620" s="9">
        <f t="shared" si="166"/>
        <v>0</v>
      </c>
      <c r="G2620" s="9">
        <f t="shared" si="167"/>
        <v>0</v>
      </c>
      <c r="H2620" s="9">
        <f t="shared" si="168"/>
        <v>0</v>
      </c>
      <c r="I2620" s="10">
        <f t="shared" si="169"/>
        <v>0</v>
      </c>
    </row>
    <row r="2621" spans="1:9" x14ac:dyDescent="0.25">
      <c r="A2621" s="11" t="s">
        <v>7058</v>
      </c>
      <c r="B2621" s="11" t="s">
        <v>7059</v>
      </c>
      <c r="C2621" s="11" t="s">
        <v>81</v>
      </c>
      <c r="D2621" s="4" t="s">
        <v>1406</v>
      </c>
      <c r="E2621" t="s">
        <v>82</v>
      </c>
      <c r="F2621" s="9">
        <f t="shared" si="166"/>
        <v>0</v>
      </c>
      <c r="G2621" s="9">
        <f t="shared" si="167"/>
        <v>0</v>
      </c>
      <c r="H2621" s="9">
        <f t="shared" si="168"/>
        <v>0</v>
      </c>
      <c r="I2621" s="10">
        <f t="shared" si="169"/>
        <v>0</v>
      </c>
    </row>
    <row r="2622" spans="1:9" x14ac:dyDescent="0.25">
      <c r="A2622" s="11" t="s">
        <v>7060</v>
      </c>
      <c r="B2622" s="11" t="s">
        <v>7061</v>
      </c>
      <c r="C2622" s="11" t="s">
        <v>81</v>
      </c>
      <c r="D2622" s="4" t="s">
        <v>1406</v>
      </c>
      <c r="E2622" t="s">
        <v>82</v>
      </c>
      <c r="F2622" s="9">
        <f t="shared" si="166"/>
        <v>0</v>
      </c>
      <c r="G2622" s="9">
        <f t="shared" si="167"/>
        <v>0</v>
      </c>
      <c r="H2622" s="9">
        <f t="shared" si="168"/>
        <v>0</v>
      </c>
      <c r="I2622" s="10">
        <f t="shared" si="169"/>
        <v>0</v>
      </c>
    </row>
    <row r="2623" spans="1:9" x14ac:dyDescent="0.25">
      <c r="A2623" s="11" t="s">
        <v>7062</v>
      </c>
      <c r="B2623" s="11" t="s">
        <v>7063</v>
      </c>
      <c r="C2623" s="11" t="s">
        <v>81</v>
      </c>
      <c r="D2623" s="4" t="s">
        <v>1406</v>
      </c>
      <c r="E2623" t="s">
        <v>489</v>
      </c>
      <c r="F2623" s="9">
        <f t="shared" si="166"/>
        <v>0</v>
      </c>
      <c r="G2623" s="9">
        <f t="shared" si="167"/>
        <v>0</v>
      </c>
      <c r="H2623" s="9">
        <f t="shared" si="168"/>
        <v>0</v>
      </c>
      <c r="I2623" s="10">
        <f t="shared" si="169"/>
        <v>0</v>
      </c>
    </row>
    <row r="2624" spans="1:9" x14ac:dyDescent="0.25">
      <c r="A2624" s="11" t="s">
        <v>7064</v>
      </c>
      <c r="B2624" s="11" t="s">
        <v>7065</v>
      </c>
      <c r="C2624" s="11" t="s">
        <v>81</v>
      </c>
      <c r="D2624" s="4" t="s">
        <v>1406</v>
      </c>
      <c r="E2624" t="s">
        <v>82</v>
      </c>
      <c r="F2624" s="9">
        <f t="shared" si="166"/>
        <v>0</v>
      </c>
      <c r="G2624" s="9">
        <f t="shared" si="167"/>
        <v>0</v>
      </c>
      <c r="H2624" s="9">
        <f t="shared" si="168"/>
        <v>0</v>
      </c>
      <c r="I2624" s="10">
        <f t="shared" si="169"/>
        <v>0</v>
      </c>
    </row>
    <row r="2625" spans="1:9" x14ac:dyDescent="0.25">
      <c r="A2625" s="11" t="s">
        <v>7066</v>
      </c>
      <c r="B2625" s="11" t="s">
        <v>7067</v>
      </c>
      <c r="C2625" s="11" t="s">
        <v>81</v>
      </c>
      <c r="D2625" s="4" t="s">
        <v>1406</v>
      </c>
      <c r="E2625" t="s">
        <v>489</v>
      </c>
      <c r="F2625" s="9">
        <f t="shared" si="166"/>
        <v>0</v>
      </c>
      <c r="G2625" s="9">
        <f t="shared" si="167"/>
        <v>0</v>
      </c>
      <c r="H2625" s="9">
        <f t="shared" si="168"/>
        <v>0</v>
      </c>
      <c r="I2625" s="10">
        <f t="shared" si="169"/>
        <v>0</v>
      </c>
    </row>
    <row r="2626" spans="1:9" x14ac:dyDescent="0.25">
      <c r="A2626" s="11" t="s">
        <v>7068</v>
      </c>
      <c r="B2626" s="11" t="s">
        <v>7069</v>
      </c>
      <c r="C2626" s="11" t="s">
        <v>81</v>
      </c>
      <c r="D2626" s="4" t="s">
        <v>1406</v>
      </c>
      <c r="E2626" t="s">
        <v>489</v>
      </c>
      <c r="F2626" s="9">
        <f t="shared" si="166"/>
        <v>0</v>
      </c>
      <c r="G2626" s="9">
        <f t="shared" si="167"/>
        <v>0</v>
      </c>
      <c r="H2626" s="9">
        <f t="shared" si="168"/>
        <v>0</v>
      </c>
      <c r="I2626" s="10">
        <f t="shared" si="169"/>
        <v>0</v>
      </c>
    </row>
    <row r="2627" spans="1:9" x14ac:dyDescent="0.25">
      <c r="A2627" s="11" t="s">
        <v>7070</v>
      </c>
      <c r="B2627" s="11" t="s">
        <v>7071</v>
      </c>
      <c r="C2627" s="11" t="s">
        <v>81</v>
      </c>
      <c r="D2627" s="4" t="s">
        <v>1406</v>
      </c>
      <c r="E2627" t="s">
        <v>82</v>
      </c>
      <c r="F2627" s="9">
        <f t="shared" si="166"/>
        <v>0</v>
      </c>
      <c r="G2627" s="9">
        <f t="shared" si="167"/>
        <v>0</v>
      </c>
      <c r="H2627" s="9">
        <f t="shared" si="168"/>
        <v>0</v>
      </c>
      <c r="I2627" s="10">
        <f t="shared" si="169"/>
        <v>0</v>
      </c>
    </row>
    <row r="2628" spans="1:9" x14ac:dyDescent="0.25">
      <c r="A2628" s="11" t="s">
        <v>7072</v>
      </c>
      <c r="B2628" s="11" t="s">
        <v>7073</v>
      </c>
      <c r="C2628" s="11" t="s">
        <v>81</v>
      </c>
      <c r="D2628" s="4" t="s">
        <v>1406</v>
      </c>
      <c r="E2628" t="s">
        <v>82</v>
      </c>
      <c r="F2628" s="9">
        <f t="shared" si="166"/>
        <v>0</v>
      </c>
      <c r="G2628" s="9">
        <f t="shared" si="167"/>
        <v>0</v>
      </c>
      <c r="H2628" s="9">
        <f t="shared" si="168"/>
        <v>0</v>
      </c>
      <c r="I2628" s="10">
        <f t="shared" si="169"/>
        <v>0</v>
      </c>
    </row>
    <row r="2629" spans="1:9" x14ac:dyDescent="0.25">
      <c r="A2629" s="11" t="s">
        <v>7074</v>
      </c>
      <c r="B2629" s="11" t="s">
        <v>7075</v>
      </c>
      <c r="C2629" s="11" t="s">
        <v>81</v>
      </c>
      <c r="D2629" s="4" t="s">
        <v>1406</v>
      </c>
      <c r="E2629" t="s">
        <v>489</v>
      </c>
      <c r="F2629" s="9">
        <f t="shared" si="166"/>
        <v>0</v>
      </c>
      <c r="G2629" s="9">
        <f t="shared" si="167"/>
        <v>0</v>
      </c>
      <c r="H2629" s="9">
        <f t="shared" si="168"/>
        <v>0</v>
      </c>
      <c r="I2629" s="10">
        <f t="shared" si="169"/>
        <v>0</v>
      </c>
    </row>
    <row r="2630" spans="1:9" x14ac:dyDescent="0.25">
      <c r="A2630" s="11" t="s">
        <v>7076</v>
      </c>
      <c r="B2630" s="11" t="s">
        <v>7077</v>
      </c>
      <c r="C2630" s="11" t="s">
        <v>81</v>
      </c>
      <c r="D2630" s="4" t="s">
        <v>1406</v>
      </c>
      <c r="E2630" t="s">
        <v>82</v>
      </c>
      <c r="F2630" s="9">
        <f t="shared" si="166"/>
        <v>0</v>
      </c>
      <c r="G2630" s="9">
        <f t="shared" si="167"/>
        <v>0</v>
      </c>
      <c r="H2630" s="9">
        <f t="shared" si="168"/>
        <v>0</v>
      </c>
      <c r="I2630" s="10">
        <f t="shared" si="169"/>
        <v>0</v>
      </c>
    </row>
    <row r="2631" spans="1:9" x14ac:dyDescent="0.25">
      <c r="A2631" s="11" t="s">
        <v>7078</v>
      </c>
      <c r="B2631" s="11" t="s">
        <v>7079</v>
      </c>
      <c r="C2631" s="11" t="s">
        <v>81</v>
      </c>
      <c r="D2631" s="4" t="s">
        <v>1406</v>
      </c>
      <c r="E2631" t="s">
        <v>82</v>
      </c>
      <c r="F2631" s="9">
        <f t="shared" si="166"/>
        <v>0</v>
      </c>
      <c r="G2631" s="9">
        <f t="shared" si="167"/>
        <v>0</v>
      </c>
      <c r="H2631" s="9">
        <f t="shared" si="168"/>
        <v>0</v>
      </c>
      <c r="I2631" s="10">
        <f t="shared" si="169"/>
        <v>0</v>
      </c>
    </row>
    <row r="2632" spans="1:9" x14ac:dyDescent="0.25">
      <c r="A2632" s="11" t="s">
        <v>7080</v>
      </c>
      <c r="B2632" s="11" t="s">
        <v>5660</v>
      </c>
      <c r="C2632" s="11" t="s">
        <v>81</v>
      </c>
      <c r="D2632" s="4" t="s">
        <v>1406</v>
      </c>
      <c r="E2632" t="s">
        <v>82</v>
      </c>
      <c r="F2632" s="9">
        <f t="shared" ref="F2632:F2695" si="170">IFERROR(VLOOKUP(A2632,condi,8,0),0)</f>
        <v>0</v>
      </c>
      <c r="G2632" s="9">
        <f t="shared" ref="G2632:G2695" si="171">IFERROR(VLOOKUP(A2632,maqui,8,0),0)</f>
        <v>0</v>
      </c>
      <c r="H2632" s="9">
        <f t="shared" ref="H2632:H2695" si="172">IFERROR(VLOOKUP(A2632,ascint,8,0),0)</f>
        <v>0</v>
      </c>
      <c r="I2632" s="10">
        <f t="shared" ref="I2632:I2695" si="173">+F2632+G2632+H2632</f>
        <v>0</v>
      </c>
    </row>
    <row r="2633" spans="1:9" x14ac:dyDescent="0.25">
      <c r="A2633" s="11" t="s">
        <v>7081</v>
      </c>
      <c r="B2633" s="11" t="s">
        <v>7082</v>
      </c>
      <c r="C2633" s="11" t="s">
        <v>81</v>
      </c>
      <c r="D2633" s="4" t="s">
        <v>1406</v>
      </c>
      <c r="E2633" t="s">
        <v>82</v>
      </c>
      <c r="F2633" s="9">
        <f t="shared" si="170"/>
        <v>0</v>
      </c>
      <c r="G2633" s="9">
        <f t="shared" si="171"/>
        <v>0</v>
      </c>
      <c r="H2633" s="9">
        <f t="shared" si="172"/>
        <v>0</v>
      </c>
      <c r="I2633" s="10">
        <f t="shared" si="173"/>
        <v>0</v>
      </c>
    </row>
    <row r="2634" spans="1:9" x14ac:dyDescent="0.25">
      <c r="A2634" s="11" t="s">
        <v>7083</v>
      </c>
      <c r="B2634" s="11" t="s">
        <v>7084</v>
      </c>
      <c r="C2634" s="11" t="s">
        <v>81</v>
      </c>
      <c r="D2634" s="4" t="s">
        <v>1406</v>
      </c>
      <c r="E2634" t="s">
        <v>489</v>
      </c>
      <c r="F2634" s="9">
        <f t="shared" si="170"/>
        <v>0</v>
      </c>
      <c r="G2634" s="9">
        <f t="shared" si="171"/>
        <v>0</v>
      </c>
      <c r="H2634" s="9">
        <f t="shared" si="172"/>
        <v>0</v>
      </c>
      <c r="I2634" s="10">
        <f t="shared" si="173"/>
        <v>0</v>
      </c>
    </row>
    <row r="2635" spans="1:9" x14ac:dyDescent="0.25">
      <c r="A2635" s="11" t="s">
        <v>7085</v>
      </c>
      <c r="B2635" s="11" t="s">
        <v>7086</v>
      </c>
      <c r="C2635" s="11" t="s">
        <v>81</v>
      </c>
      <c r="D2635" s="4" t="s">
        <v>1406</v>
      </c>
      <c r="E2635" t="s">
        <v>82</v>
      </c>
      <c r="F2635" s="9">
        <f t="shared" si="170"/>
        <v>0</v>
      </c>
      <c r="G2635" s="9">
        <f t="shared" si="171"/>
        <v>0</v>
      </c>
      <c r="H2635" s="9">
        <f t="shared" si="172"/>
        <v>0</v>
      </c>
      <c r="I2635" s="10">
        <f t="shared" si="173"/>
        <v>0</v>
      </c>
    </row>
    <row r="2636" spans="1:9" x14ac:dyDescent="0.25">
      <c r="A2636" s="11" t="s">
        <v>7087</v>
      </c>
      <c r="B2636" s="11" t="s">
        <v>7088</v>
      </c>
      <c r="C2636" s="11" t="s">
        <v>81</v>
      </c>
      <c r="D2636" s="4" t="s">
        <v>1406</v>
      </c>
      <c r="E2636" t="s">
        <v>82</v>
      </c>
      <c r="F2636" s="9">
        <f t="shared" si="170"/>
        <v>0</v>
      </c>
      <c r="G2636" s="9">
        <f t="shared" si="171"/>
        <v>0</v>
      </c>
      <c r="H2636" s="9">
        <f t="shared" si="172"/>
        <v>0</v>
      </c>
      <c r="I2636" s="10">
        <f t="shared" si="173"/>
        <v>0</v>
      </c>
    </row>
    <row r="2637" spans="1:9" x14ac:dyDescent="0.25">
      <c r="A2637" s="11" t="s">
        <v>7089</v>
      </c>
      <c r="B2637" s="11" t="s">
        <v>7090</v>
      </c>
      <c r="C2637" s="11" t="s">
        <v>81</v>
      </c>
      <c r="D2637" s="4" t="s">
        <v>1406</v>
      </c>
      <c r="E2637" t="s">
        <v>489</v>
      </c>
      <c r="F2637" s="9">
        <f t="shared" si="170"/>
        <v>0</v>
      </c>
      <c r="G2637" s="9">
        <f t="shared" si="171"/>
        <v>0</v>
      </c>
      <c r="H2637" s="9">
        <f t="shared" si="172"/>
        <v>0</v>
      </c>
      <c r="I2637" s="10">
        <f t="shared" si="173"/>
        <v>0</v>
      </c>
    </row>
    <row r="2638" spans="1:9" x14ac:dyDescent="0.25">
      <c r="A2638" s="11" t="s">
        <v>7091</v>
      </c>
      <c r="B2638" s="11" t="s">
        <v>7092</v>
      </c>
      <c r="C2638" s="11" t="s">
        <v>81</v>
      </c>
      <c r="D2638" s="4" t="s">
        <v>1406</v>
      </c>
      <c r="E2638" t="s">
        <v>489</v>
      </c>
      <c r="F2638" s="9">
        <f t="shared" si="170"/>
        <v>0</v>
      </c>
      <c r="G2638" s="9">
        <f t="shared" si="171"/>
        <v>0</v>
      </c>
      <c r="H2638" s="9">
        <f t="shared" si="172"/>
        <v>0</v>
      </c>
      <c r="I2638" s="10">
        <f t="shared" si="173"/>
        <v>0</v>
      </c>
    </row>
    <row r="2639" spans="1:9" x14ac:dyDescent="0.25">
      <c r="A2639" s="11" t="s">
        <v>7093</v>
      </c>
      <c r="B2639" s="11" t="s">
        <v>7094</v>
      </c>
      <c r="C2639" s="11" t="s">
        <v>81</v>
      </c>
      <c r="D2639" s="4" t="s">
        <v>1406</v>
      </c>
      <c r="E2639" t="s">
        <v>82</v>
      </c>
      <c r="F2639" s="9">
        <f t="shared" si="170"/>
        <v>0</v>
      </c>
      <c r="G2639" s="9">
        <f t="shared" si="171"/>
        <v>0</v>
      </c>
      <c r="H2639" s="9">
        <f t="shared" si="172"/>
        <v>0</v>
      </c>
      <c r="I2639" s="10">
        <f t="shared" si="173"/>
        <v>0</v>
      </c>
    </row>
    <row r="2640" spans="1:9" x14ac:dyDescent="0.25">
      <c r="A2640" s="11" t="s">
        <v>7095</v>
      </c>
      <c r="B2640" s="11" t="s">
        <v>7096</v>
      </c>
      <c r="C2640" s="11" t="s">
        <v>81</v>
      </c>
      <c r="D2640" s="4" t="s">
        <v>1406</v>
      </c>
      <c r="E2640" t="s">
        <v>82</v>
      </c>
      <c r="F2640" s="9">
        <f t="shared" si="170"/>
        <v>0</v>
      </c>
      <c r="G2640" s="9">
        <f t="shared" si="171"/>
        <v>0</v>
      </c>
      <c r="H2640" s="9">
        <f t="shared" si="172"/>
        <v>0</v>
      </c>
      <c r="I2640" s="10">
        <f t="shared" si="173"/>
        <v>0</v>
      </c>
    </row>
    <row r="2641" spans="1:9" x14ac:dyDescent="0.25">
      <c r="A2641" s="11" t="s">
        <v>7097</v>
      </c>
      <c r="B2641" s="11" t="s">
        <v>7098</v>
      </c>
      <c r="C2641" s="11" t="s">
        <v>81</v>
      </c>
      <c r="D2641" s="4" t="s">
        <v>1406</v>
      </c>
      <c r="E2641" t="s">
        <v>30</v>
      </c>
      <c r="F2641" s="9">
        <f t="shared" si="170"/>
        <v>0</v>
      </c>
      <c r="G2641" s="9">
        <f t="shared" si="171"/>
        <v>0</v>
      </c>
      <c r="H2641" s="9">
        <f t="shared" si="172"/>
        <v>0</v>
      </c>
      <c r="I2641" s="10">
        <f t="shared" si="173"/>
        <v>0</v>
      </c>
    </row>
    <row r="2642" spans="1:9" x14ac:dyDescent="0.25">
      <c r="A2642" s="11" t="s">
        <v>7099</v>
      </c>
      <c r="B2642" s="11" t="s">
        <v>7100</v>
      </c>
      <c r="C2642" s="11" t="s">
        <v>81</v>
      </c>
      <c r="D2642" s="4" t="s">
        <v>1406</v>
      </c>
      <c r="E2642" t="s">
        <v>82</v>
      </c>
      <c r="F2642" s="9">
        <f t="shared" si="170"/>
        <v>0</v>
      </c>
      <c r="G2642" s="9">
        <f t="shared" si="171"/>
        <v>0</v>
      </c>
      <c r="H2642" s="9">
        <f t="shared" si="172"/>
        <v>0</v>
      </c>
      <c r="I2642" s="10">
        <f t="shared" si="173"/>
        <v>0</v>
      </c>
    </row>
    <row r="2643" spans="1:9" x14ac:dyDescent="0.25">
      <c r="A2643" s="11" t="s">
        <v>4531</v>
      </c>
      <c r="B2643" s="11" t="s">
        <v>4530</v>
      </c>
      <c r="C2643" s="11" t="s">
        <v>81</v>
      </c>
      <c r="D2643" s="4" t="s">
        <v>1406</v>
      </c>
      <c r="E2643" t="s">
        <v>82</v>
      </c>
      <c r="F2643" s="9">
        <f t="shared" si="170"/>
        <v>0</v>
      </c>
      <c r="G2643" s="9">
        <f t="shared" si="171"/>
        <v>24.4</v>
      </c>
      <c r="H2643" s="9">
        <f t="shared" si="172"/>
        <v>0</v>
      </c>
      <c r="I2643" s="10">
        <f t="shared" si="173"/>
        <v>24.4</v>
      </c>
    </row>
    <row r="2644" spans="1:9" x14ac:dyDescent="0.25">
      <c r="A2644" s="11" t="s">
        <v>7101</v>
      </c>
      <c r="B2644" s="11" t="s">
        <v>7102</v>
      </c>
      <c r="C2644" s="11" t="s">
        <v>81</v>
      </c>
      <c r="D2644" s="4" t="s">
        <v>1406</v>
      </c>
      <c r="E2644" t="s">
        <v>82</v>
      </c>
      <c r="F2644" s="9">
        <f t="shared" si="170"/>
        <v>0</v>
      </c>
      <c r="G2644" s="9">
        <f t="shared" si="171"/>
        <v>0</v>
      </c>
      <c r="H2644" s="9">
        <f t="shared" si="172"/>
        <v>0</v>
      </c>
      <c r="I2644" s="10">
        <f t="shared" si="173"/>
        <v>0</v>
      </c>
    </row>
    <row r="2645" spans="1:9" x14ac:dyDescent="0.25">
      <c r="A2645" s="11" t="s">
        <v>7103</v>
      </c>
      <c r="B2645" s="11" t="s">
        <v>7104</v>
      </c>
      <c r="C2645" s="11" t="s">
        <v>81</v>
      </c>
      <c r="D2645" s="4" t="s">
        <v>1406</v>
      </c>
      <c r="E2645" t="s">
        <v>82</v>
      </c>
      <c r="F2645" s="9">
        <f t="shared" si="170"/>
        <v>0</v>
      </c>
      <c r="G2645" s="9">
        <f t="shared" si="171"/>
        <v>0</v>
      </c>
      <c r="H2645" s="9">
        <f t="shared" si="172"/>
        <v>0</v>
      </c>
      <c r="I2645" s="10">
        <f t="shared" si="173"/>
        <v>0</v>
      </c>
    </row>
    <row r="2646" spans="1:9" x14ac:dyDescent="0.25">
      <c r="A2646" s="11" t="s">
        <v>7105</v>
      </c>
      <c r="B2646" s="11" t="s">
        <v>7106</v>
      </c>
      <c r="C2646" s="11" t="s">
        <v>81</v>
      </c>
      <c r="D2646" s="4" t="s">
        <v>1406</v>
      </c>
      <c r="E2646" t="s">
        <v>82</v>
      </c>
      <c r="F2646" s="9">
        <f t="shared" si="170"/>
        <v>0</v>
      </c>
      <c r="G2646" s="9">
        <f t="shared" si="171"/>
        <v>0</v>
      </c>
      <c r="H2646" s="9">
        <f t="shared" si="172"/>
        <v>0</v>
      </c>
      <c r="I2646" s="10">
        <f t="shared" si="173"/>
        <v>0</v>
      </c>
    </row>
    <row r="2647" spans="1:9" x14ac:dyDescent="0.25">
      <c r="A2647" s="11" t="s">
        <v>7107</v>
      </c>
      <c r="B2647" s="11" t="s">
        <v>7108</v>
      </c>
      <c r="C2647" s="11" t="s">
        <v>81</v>
      </c>
      <c r="D2647" s="4" t="s">
        <v>1406</v>
      </c>
      <c r="E2647" t="s">
        <v>82</v>
      </c>
      <c r="F2647" s="9">
        <f t="shared" si="170"/>
        <v>0</v>
      </c>
      <c r="G2647" s="9">
        <f t="shared" si="171"/>
        <v>0</v>
      </c>
      <c r="H2647" s="9">
        <f t="shared" si="172"/>
        <v>0</v>
      </c>
      <c r="I2647" s="10">
        <f t="shared" si="173"/>
        <v>0</v>
      </c>
    </row>
    <row r="2648" spans="1:9" x14ac:dyDescent="0.25">
      <c r="A2648" s="11" t="s">
        <v>7109</v>
      </c>
      <c r="B2648" s="11" t="s">
        <v>7110</v>
      </c>
      <c r="C2648" s="11" t="s">
        <v>81</v>
      </c>
      <c r="D2648" s="4" t="s">
        <v>1406</v>
      </c>
      <c r="E2648" t="s">
        <v>82</v>
      </c>
      <c r="F2648" s="9">
        <f t="shared" si="170"/>
        <v>0</v>
      </c>
      <c r="G2648" s="9">
        <f t="shared" si="171"/>
        <v>0</v>
      </c>
      <c r="H2648" s="9">
        <f t="shared" si="172"/>
        <v>0</v>
      </c>
      <c r="I2648" s="10">
        <f t="shared" si="173"/>
        <v>0</v>
      </c>
    </row>
    <row r="2649" spans="1:9" x14ac:dyDescent="0.25">
      <c r="A2649" s="11" t="s">
        <v>7111</v>
      </c>
      <c r="B2649" s="11" t="s">
        <v>7112</v>
      </c>
      <c r="C2649" s="11" t="s">
        <v>81</v>
      </c>
      <c r="D2649" s="4" t="s">
        <v>1406</v>
      </c>
      <c r="E2649" t="s">
        <v>489</v>
      </c>
      <c r="F2649" s="9">
        <f t="shared" si="170"/>
        <v>0</v>
      </c>
      <c r="G2649" s="9">
        <f t="shared" si="171"/>
        <v>0</v>
      </c>
      <c r="H2649" s="9">
        <f t="shared" si="172"/>
        <v>0</v>
      </c>
      <c r="I2649" s="10">
        <f t="shared" si="173"/>
        <v>0</v>
      </c>
    </row>
    <row r="2650" spans="1:9" x14ac:dyDescent="0.25">
      <c r="A2650" s="11" t="s">
        <v>7113</v>
      </c>
      <c r="B2650" s="11" t="s">
        <v>7114</v>
      </c>
      <c r="C2650" s="11" t="s">
        <v>81</v>
      </c>
      <c r="D2650" s="4" t="s">
        <v>1406</v>
      </c>
      <c r="E2650" t="s">
        <v>82</v>
      </c>
      <c r="F2650" s="9">
        <f t="shared" si="170"/>
        <v>0</v>
      </c>
      <c r="G2650" s="9">
        <f t="shared" si="171"/>
        <v>0</v>
      </c>
      <c r="H2650" s="9">
        <f t="shared" si="172"/>
        <v>0</v>
      </c>
      <c r="I2650" s="10">
        <f t="shared" si="173"/>
        <v>0</v>
      </c>
    </row>
    <row r="2651" spans="1:9" x14ac:dyDescent="0.25">
      <c r="A2651" s="11" t="s">
        <v>7115</v>
      </c>
      <c r="B2651" s="11" t="s">
        <v>7116</v>
      </c>
      <c r="C2651" s="11" t="s">
        <v>81</v>
      </c>
      <c r="D2651" s="4" t="s">
        <v>1406</v>
      </c>
      <c r="E2651" t="s">
        <v>489</v>
      </c>
      <c r="F2651" s="9">
        <f t="shared" si="170"/>
        <v>0</v>
      </c>
      <c r="G2651" s="9">
        <f t="shared" si="171"/>
        <v>0</v>
      </c>
      <c r="H2651" s="9">
        <f t="shared" si="172"/>
        <v>0</v>
      </c>
      <c r="I2651" s="10">
        <f t="shared" si="173"/>
        <v>0</v>
      </c>
    </row>
    <row r="2652" spans="1:9" x14ac:dyDescent="0.25">
      <c r="A2652" s="11" t="s">
        <v>7117</v>
      </c>
      <c r="B2652" s="11" t="s">
        <v>7118</v>
      </c>
      <c r="C2652" s="11" t="s">
        <v>81</v>
      </c>
      <c r="D2652" s="4" t="s">
        <v>1406</v>
      </c>
      <c r="E2652" t="s">
        <v>82</v>
      </c>
      <c r="F2652" s="9">
        <f t="shared" si="170"/>
        <v>0</v>
      </c>
      <c r="G2652" s="9">
        <f t="shared" si="171"/>
        <v>0</v>
      </c>
      <c r="H2652" s="9">
        <f t="shared" si="172"/>
        <v>0</v>
      </c>
      <c r="I2652" s="10">
        <f t="shared" si="173"/>
        <v>0</v>
      </c>
    </row>
    <row r="2653" spans="1:9" x14ac:dyDescent="0.25">
      <c r="A2653" s="11" t="s">
        <v>7119</v>
      </c>
      <c r="B2653" s="11" t="s">
        <v>7120</v>
      </c>
      <c r="C2653" s="11" t="s">
        <v>81</v>
      </c>
      <c r="D2653" s="4" t="s">
        <v>1406</v>
      </c>
      <c r="E2653" t="s">
        <v>82</v>
      </c>
      <c r="F2653" s="9">
        <f t="shared" si="170"/>
        <v>0</v>
      </c>
      <c r="G2653" s="9">
        <f t="shared" si="171"/>
        <v>0</v>
      </c>
      <c r="H2653" s="9">
        <f t="shared" si="172"/>
        <v>0</v>
      </c>
      <c r="I2653" s="10">
        <f t="shared" si="173"/>
        <v>0</v>
      </c>
    </row>
    <row r="2654" spans="1:9" x14ac:dyDescent="0.25">
      <c r="A2654" s="11" t="s">
        <v>7121</v>
      </c>
      <c r="B2654" s="11" t="s">
        <v>7122</v>
      </c>
      <c r="C2654" s="11" t="s">
        <v>81</v>
      </c>
      <c r="D2654" s="4" t="s">
        <v>1406</v>
      </c>
      <c r="E2654" t="s">
        <v>82</v>
      </c>
      <c r="F2654" s="9">
        <f t="shared" si="170"/>
        <v>0</v>
      </c>
      <c r="G2654" s="9">
        <f t="shared" si="171"/>
        <v>0</v>
      </c>
      <c r="H2654" s="9">
        <f t="shared" si="172"/>
        <v>0</v>
      </c>
      <c r="I2654" s="10">
        <f t="shared" si="173"/>
        <v>0</v>
      </c>
    </row>
    <row r="2655" spans="1:9" x14ac:dyDescent="0.25">
      <c r="A2655" s="11" t="s">
        <v>7123</v>
      </c>
      <c r="B2655" s="11" t="s">
        <v>7124</v>
      </c>
      <c r="C2655" s="11" t="s">
        <v>81</v>
      </c>
      <c r="D2655" s="4" t="s">
        <v>1406</v>
      </c>
      <c r="E2655" t="s">
        <v>82</v>
      </c>
      <c r="F2655" s="9">
        <f t="shared" si="170"/>
        <v>0</v>
      </c>
      <c r="G2655" s="9">
        <f t="shared" si="171"/>
        <v>0</v>
      </c>
      <c r="H2655" s="9">
        <f t="shared" si="172"/>
        <v>0</v>
      </c>
      <c r="I2655" s="10">
        <f t="shared" si="173"/>
        <v>0</v>
      </c>
    </row>
    <row r="2656" spans="1:9" x14ac:dyDescent="0.25">
      <c r="A2656" s="11" t="s">
        <v>7125</v>
      </c>
      <c r="B2656" s="11" t="s">
        <v>7126</v>
      </c>
      <c r="C2656" s="11" t="s">
        <v>81</v>
      </c>
      <c r="D2656" s="4" t="s">
        <v>1406</v>
      </c>
      <c r="E2656" t="s">
        <v>489</v>
      </c>
      <c r="F2656" s="9">
        <f t="shared" si="170"/>
        <v>0</v>
      </c>
      <c r="G2656" s="9">
        <f t="shared" si="171"/>
        <v>0</v>
      </c>
      <c r="H2656" s="9">
        <f t="shared" si="172"/>
        <v>0</v>
      </c>
      <c r="I2656" s="10">
        <f t="shared" si="173"/>
        <v>0</v>
      </c>
    </row>
    <row r="2657" spans="1:9" x14ac:dyDescent="0.25">
      <c r="A2657" s="11" t="s">
        <v>7127</v>
      </c>
      <c r="B2657" s="11" t="s">
        <v>7128</v>
      </c>
      <c r="C2657" s="11" t="s">
        <v>81</v>
      </c>
      <c r="D2657" s="4" t="s">
        <v>1406</v>
      </c>
      <c r="E2657" t="s">
        <v>82</v>
      </c>
      <c r="F2657" s="9">
        <f t="shared" si="170"/>
        <v>0</v>
      </c>
      <c r="G2657" s="9">
        <f t="shared" si="171"/>
        <v>0</v>
      </c>
      <c r="H2657" s="9">
        <f t="shared" si="172"/>
        <v>0</v>
      </c>
      <c r="I2657" s="10">
        <f t="shared" si="173"/>
        <v>0</v>
      </c>
    </row>
    <row r="2658" spans="1:9" x14ac:dyDescent="0.25">
      <c r="A2658" s="11" t="s">
        <v>7129</v>
      </c>
      <c r="B2658" s="11" t="s">
        <v>7130</v>
      </c>
      <c r="C2658" s="11" t="s">
        <v>81</v>
      </c>
      <c r="D2658" s="4" t="s">
        <v>1406</v>
      </c>
      <c r="E2658" t="s">
        <v>489</v>
      </c>
      <c r="F2658" s="9">
        <f t="shared" si="170"/>
        <v>0</v>
      </c>
      <c r="G2658" s="9">
        <f t="shared" si="171"/>
        <v>0</v>
      </c>
      <c r="H2658" s="9">
        <f t="shared" si="172"/>
        <v>0</v>
      </c>
      <c r="I2658" s="10">
        <f t="shared" si="173"/>
        <v>0</v>
      </c>
    </row>
    <row r="2659" spans="1:9" x14ac:dyDescent="0.25">
      <c r="A2659" s="11" t="s">
        <v>7131</v>
      </c>
      <c r="B2659" s="11" t="s">
        <v>7132</v>
      </c>
      <c r="C2659" s="11" t="s">
        <v>81</v>
      </c>
      <c r="D2659" s="4" t="s">
        <v>1406</v>
      </c>
      <c r="E2659" t="s">
        <v>489</v>
      </c>
      <c r="F2659" s="9">
        <f t="shared" si="170"/>
        <v>0</v>
      </c>
      <c r="G2659" s="9">
        <f t="shared" si="171"/>
        <v>0</v>
      </c>
      <c r="H2659" s="9">
        <f t="shared" si="172"/>
        <v>0</v>
      </c>
      <c r="I2659" s="10">
        <f t="shared" si="173"/>
        <v>0</v>
      </c>
    </row>
    <row r="2660" spans="1:9" x14ac:dyDescent="0.25">
      <c r="A2660" s="11" t="s">
        <v>7133</v>
      </c>
      <c r="B2660" s="11" t="s">
        <v>7134</v>
      </c>
      <c r="C2660" s="11" t="s">
        <v>81</v>
      </c>
      <c r="D2660" s="4" t="s">
        <v>1406</v>
      </c>
      <c r="E2660" t="s">
        <v>82</v>
      </c>
      <c r="F2660" s="9">
        <f t="shared" si="170"/>
        <v>0</v>
      </c>
      <c r="G2660" s="9">
        <f t="shared" si="171"/>
        <v>0</v>
      </c>
      <c r="H2660" s="9">
        <f t="shared" si="172"/>
        <v>0</v>
      </c>
      <c r="I2660" s="10">
        <f t="shared" si="173"/>
        <v>0</v>
      </c>
    </row>
    <row r="2661" spans="1:9" x14ac:dyDescent="0.25">
      <c r="A2661" s="11" t="s">
        <v>7135</v>
      </c>
      <c r="B2661" s="11" t="s">
        <v>7136</v>
      </c>
      <c r="C2661" s="11" t="s">
        <v>81</v>
      </c>
      <c r="D2661" s="4" t="s">
        <v>1406</v>
      </c>
      <c r="E2661" t="s">
        <v>489</v>
      </c>
      <c r="F2661" s="9">
        <f t="shared" si="170"/>
        <v>0</v>
      </c>
      <c r="G2661" s="9">
        <f t="shared" si="171"/>
        <v>0</v>
      </c>
      <c r="H2661" s="9">
        <f t="shared" si="172"/>
        <v>0</v>
      </c>
      <c r="I2661" s="10">
        <f t="shared" si="173"/>
        <v>0</v>
      </c>
    </row>
    <row r="2662" spans="1:9" x14ac:dyDescent="0.25">
      <c r="A2662" s="11" t="s">
        <v>7137</v>
      </c>
      <c r="B2662" s="11" t="s">
        <v>7138</v>
      </c>
      <c r="C2662" s="11" t="s">
        <v>81</v>
      </c>
      <c r="D2662" s="4" t="s">
        <v>1406</v>
      </c>
      <c r="E2662" t="s">
        <v>489</v>
      </c>
      <c r="F2662" s="9">
        <f t="shared" si="170"/>
        <v>0</v>
      </c>
      <c r="G2662" s="9">
        <f t="shared" si="171"/>
        <v>0</v>
      </c>
      <c r="H2662" s="9">
        <f t="shared" si="172"/>
        <v>0</v>
      </c>
      <c r="I2662" s="10">
        <f t="shared" si="173"/>
        <v>0</v>
      </c>
    </row>
    <row r="2663" spans="1:9" x14ac:dyDescent="0.25">
      <c r="A2663" s="11" t="s">
        <v>7139</v>
      </c>
      <c r="B2663" s="11" t="s">
        <v>7140</v>
      </c>
      <c r="C2663" s="11" t="s">
        <v>81</v>
      </c>
      <c r="D2663" s="4" t="s">
        <v>1406</v>
      </c>
      <c r="E2663" t="s">
        <v>82</v>
      </c>
      <c r="F2663" s="9">
        <f t="shared" si="170"/>
        <v>0</v>
      </c>
      <c r="G2663" s="9">
        <f t="shared" si="171"/>
        <v>0</v>
      </c>
      <c r="H2663" s="9">
        <f t="shared" si="172"/>
        <v>0</v>
      </c>
      <c r="I2663" s="10">
        <f t="shared" si="173"/>
        <v>0</v>
      </c>
    </row>
    <row r="2664" spans="1:9" x14ac:dyDescent="0.25">
      <c r="A2664" s="11" t="s">
        <v>7141</v>
      </c>
      <c r="B2664" s="11" t="s">
        <v>7142</v>
      </c>
      <c r="C2664" s="11" t="s">
        <v>81</v>
      </c>
      <c r="D2664" s="4" t="s">
        <v>1406</v>
      </c>
      <c r="E2664" t="s">
        <v>489</v>
      </c>
      <c r="F2664" s="9">
        <f t="shared" si="170"/>
        <v>0</v>
      </c>
      <c r="G2664" s="9">
        <f t="shared" si="171"/>
        <v>0</v>
      </c>
      <c r="H2664" s="9">
        <f t="shared" si="172"/>
        <v>0</v>
      </c>
      <c r="I2664" s="10">
        <f t="shared" si="173"/>
        <v>0</v>
      </c>
    </row>
    <row r="2665" spans="1:9" x14ac:dyDescent="0.25">
      <c r="A2665" s="11" t="s">
        <v>7143</v>
      </c>
      <c r="B2665" s="11" t="s">
        <v>7144</v>
      </c>
      <c r="C2665" s="11" t="s">
        <v>81</v>
      </c>
      <c r="D2665" s="4" t="s">
        <v>1406</v>
      </c>
      <c r="E2665" t="s">
        <v>489</v>
      </c>
      <c r="F2665" s="9">
        <f t="shared" si="170"/>
        <v>0</v>
      </c>
      <c r="G2665" s="9">
        <f t="shared" si="171"/>
        <v>0</v>
      </c>
      <c r="H2665" s="9">
        <f t="shared" si="172"/>
        <v>0</v>
      </c>
      <c r="I2665" s="10">
        <f t="shared" si="173"/>
        <v>0</v>
      </c>
    </row>
    <row r="2666" spans="1:9" x14ac:dyDescent="0.25">
      <c r="A2666" s="11" t="s">
        <v>7145</v>
      </c>
      <c r="B2666" s="11" t="s">
        <v>7146</v>
      </c>
      <c r="C2666" s="11" t="s">
        <v>81</v>
      </c>
      <c r="D2666" s="4" t="s">
        <v>1406</v>
      </c>
      <c r="E2666" t="s">
        <v>489</v>
      </c>
      <c r="F2666" s="9">
        <f t="shared" si="170"/>
        <v>0</v>
      </c>
      <c r="G2666" s="9">
        <f t="shared" si="171"/>
        <v>0</v>
      </c>
      <c r="H2666" s="9">
        <f t="shared" si="172"/>
        <v>0</v>
      </c>
      <c r="I2666" s="10">
        <f t="shared" si="173"/>
        <v>0</v>
      </c>
    </row>
    <row r="2667" spans="1:9" x14ac:dyDescent="0.25">
      <c r="A2667" s="11" t="s">
        <v>7147</v>
      </c>
      <c r="B2667" s="11" t="s">
        <v>7148</v>
      </c>
      <c r="C2667" s="11" t="s">
        <v>81</v>
      </c>
      <c r="D2667" s="4" t="s">
        <v>1406</v>
      </c>
      <c r="E2667" t="s">
        <v>82</v>
      </c>
      <c r="F2667" s="9">
        <f t="shared" si="170"/>
        <v>0</v>
      </c>
      <c r="G2667" s="9">
        <f t="shared" si="171"/>
        <v>0</v>
      </c>
      <c r="H2667" s="9">
        <f t="shared" si="172"/>
        <v>0</v>
      </c>
      <c r="I2667" s="10">
        <f t="shared" si="173"/>
        <v>0</v>
      </c>
    </row>
    <row r="2668" spans="1:9" x14ac:dyDescent="0.25">
      <c r="A2668" s="11" t="s">
        <v>7149</v>
      </c>
      <c r="B2668" s="11" t="s">
        <v>7150</v>
      </c>
      <c r="C2668" s="11" t="s">
        <v>81</v>
      </c>
      <c r="D2668" s="4" t="s">
        <v>1406</v>
      </c>
      <c r="E2668" t="s">
        <v>82</v>
      </c>
      <c r="F2668" s="9">
        <f t="shared" si="170"/>
        <v>0</v>
      </c>
      <c r="G2668" s="9">
        <f t="shared" si="171"/>
        <v>0</v>
      </c>
      <c r="H2668" s="9">
        <f t="shared" si="172"/>
        <v>0</v>
      </c>
      <c r="I2668" s="10">
        <f t="shared" si="173"/>
        <v>0</v>
      </c>
    </row>
    <row r="2669" spans="1:9" x14ac:dyDescent="0.25">
      <c r="A2669" s="11" t="s">
        <v>7151</v>
      </c>
      <c r="B2669" s="11" t="s">
        <v>7152</v>
      </c>
      <c r="C2669" s="11" t="s">
        <v>81</v>
      </c>
      <c r="D2669" s="4" t="s">
        <v>1406</v>
      </c>
      <c r="E2669" t="s">
        <v>82</v>
      </c>
      <c r="F2669" s="9">
        <f t="shared" si="170"/>
        <v>0</v>
      </c>
      <c r="G2669" s="9">
        <f t="shared" si="171"/>
        <v>0</v>
      </c>
      <c r="H2669" s="9">
        <f t="shared" si="172"/>
        <v>0</v>
      </c>
      <c r="I2669" s="10">
        <f t="shared" si="173"/>
        <v>0</v>
      </c>
    </row>
    <row r="2670" spans="1:9" x14ac:dyDescent="0.25">
      <c r="A2670" s="11" t="s">
        <v>7153</v>
      </c>
      <c r="B2670" s="11" t="s">
        <v>7154</v>
      </c>
      <c r="C2670" s="11" t="s">
        <v>81</v>
      </c>
      <c r="D2670" s="4" t="s">
        <v>1406</v>
      </c>
      <c r="E2670" t="s">
        <v>82</v>
      </c>
      <c r="F2670" s="9">
        <f t="shared" si="170"/>
        <v>0</v>
      </c>
      <c r="G2670" s="9">
        <f t="shared" si="171"/>
        <v>0</v>
      </c>
      <c r="H2670" s="9">
        <f t="shared" si="172"/>
        <v>0</v>
      </c>
      <c r="I2670" s="10">
        <f t="shared" si="173"/>
        <v>0</v>
      </c>
    </row>
    <row r="2671" spans="1:9" x14ac:dyDescent="0.25">
      <c r="A2671" s="11" t="s">
        <v>7155</v>
      </c>
      <c r="B2671" s="11" t="s">
        <v>7156</v>
      </c>
      <c r="C2671" s="11" t="s">
        <v>81</v>
      </c>
      <c r="D2671" s="4" t="s">
        <v>1406</v>
      </c>
      <c r="E2671" t="s">
        <v>82</v>
      </c>
      <c r="F2671" s="9">
        <f t="shared" si="170"/>
        <v>0</v>
      </c>
      <c r="G2671" s="9">
        <f t="shared" si="171"/>
        <v>0</v>
      </c>
      <c r="H2671" s="9">
        <f t="shared" si="172"/>
        <v>0</v>
      </c>
      <c r="I2671" s="10">
        <f t="shared" si="173"/>
        <v>0</v>
      </c>
    </row>
    <row r="2672" spans="1:9" x14ac:dyDescent="0.25">
      <c r="A2672" s="11" t="s">
        <v>7157</v>
      </c>
      <c r="B2672" s="11" t="s">
        <v>7158</v>
      </c>
      <c r="C2672" s="11" t="s">
        <v>81</v>
      </c>
      <c r="D2672" s="4" t="s">
        <v>1406</v>
      </c>
      <c r="E2672" t="s">
        <v>489</v>
      </c>
      <c r="F2672" s="9">
        <f t="shared" si="170"/>
        <v>0</v>
      </c>
      <c r="G2672" s="9">
        <f t="shared" si="171"/>
        <v>0</v>
      </c>
      <c r="H2672" s="9">
        <f t="shared" si="172"/>
        <v>0</v>
      </c>
      <c r="I2672" s="10">
        <f t="shared" si="173"/>
        <v>0</v>
      </c>
    </row>
    <row r="2673" spans="1:9" x14ac:dyDescent="0.25">
      <c r="A2673" s="11" t="s">
        <v>7159</v>
      </c>
      <c r="B2673" s="11" t="s">
        <v>7160</v>
      </c>
      <c r="C2673" s="11" t="s">
        <v>81</v>
      </c>
      <c r="D2673" s="4" t="s">
        <v>1406</v>
      </c>
      <c r="E2673" t="s">
        <v>82</v>
      </c>
      <c r="F2673" s="9">
        <f t="shared" si="170"/>
        <v>0</v>
      </c>
      <c r="G2673" s="9">
        <f t="shared" si="171"/>
        <v>0</v>
      </c>
      <c r="H2673" s="9">
        <f t="shared" si="172"/>
        <v>0</v>
      </c>
      <c r="I2673" s="10">
        <f t="shared" si="173"/>
        <v>0</v>
      </c>
    </row>
    <row r="2674" spans="1:9" x14ac:dyDescent="0.25">
      <c r="A2674" s="11" t="s">
        <v>7161</v>
      </c>
      <c r="B2674" s="11" t="s">
        <v>7162</v>
      </c>
      <c r="C2674" s="11" t="s">
        <v>81</v>
      </c>
      <c r="D2674" s="4" t="s">
        <v>1406</v>
      </c>
      <c r="E2674" t="s">
        <v>82</v>
      </c>
      <c r="F2674" s="9">
        <f t="shared" si="170"/>
        <v>0</v>
      </c>
      <c r="G2674" s="9">
        <f t="shared" si="171"/>
        <v>0</v>
      </c>
      <c r="H2674" s="9">
        <f t="shared" si="172"/>
        <v>0</v>
      </c>
      <c r="I2674" s="10">
        <f t="shared" si="173"/>
        <v>0</v>
      </c>
    </row>
    <row r="2675" spans="1:9" x14ac:dyDescent="0.25">
      <c r="A2675" s="11" t="s">
        <v>7163</v>
      </c>
      <c r="B2675" s="11" t="s">
        <v>7164</v>
      </c>
      <c r="C2675" s="11" t="s">
        <v>81</v>
      </c>
      <c r="D2675" s="4" t="s">
        <v>1406</v>
      </c>
      <c r="E2675" t="s">
        <v>82</v>
      </c>
      <c r="F2675" s="9">
        <f t="shared" si="170"/>
        <v>0</v>
      </c>
      <c r="G2675" s="9">
        <f t="shared" si="171"/>
        <v>0</v>
      </c>
      <c r="H2675" s="9">
        <f t="shared" si="172"/>
        <v>0</v>
      </c>
      <c r="I2675" s="10">
        <f t="shared" si="173"/>
        <v>0</v>
      </c>
    </row>
    <row r="2676" spans="1:9" x14ac:dyDescent="0.25">
      <c r="A2676" s="11" t="s">
        <v>7165</v>
      </c>
      <c r="B2676" s="11" t="s">
        <v>7166</v>
      </c>
      <c r="C2676" s="11" t="s">
        <v>81</v>
      </c>
      <c r="D2676" s="4" t="s">
        <v>1406</v>
      </c>
      <c r="E2676" t="s">
        <v>489</v>
      </c>
      <c r="F2676" s="9">
        <f t="shared" si="170"/>
        <v>0</v>
      </c>
      <c r="G2676" s="9">
        <f t="shared" si="171"/>
        <v>0</v>
      </c>
      <c r="H2676" s="9">
        <f t="shared" si="172"/>
        <v>0</v>
      </c>
      <c r="I2676" s="10">
        <f t="shared" si="173"/>
        <v>0</v>
      </c>
    </row>
    <row r="2677" spans="1:9" x14ac:dyDescent="0.25">
      <c r="A2677" s="11" t="s">
        <v>7167</v>
      </c>
      <c r="B2677" s="11" t="s">
        <v>7168</v>
      </c>
      <c r="C2677" s="11" t="s">
        <v>81</v>
      </c>
      <c r="D2677" s="4" t="s">
        <v>1406</v>
      </c>
      <c r="E2677" t="s">
        <v>489</v>
      </c>
      <c r="F2677" s="9">
        <f t="shared" si="170"/>
        <v>0</v>
      </c>
      <c r="G2677" s="9">
        <f t="shared" si="171"/>
        <v>0</v>
      </c>
      <c r="H2677" s="9">
        <f t="shared" si="172"/>
        <v>0</v>
      </c>
      <c r="I2677" s="10">
        <f t="shared" si="173"/>
        <v>0</v>
      </c>
    </row>
    <row r="2678" spans="1:9" x14ac:dyDescent="0.25">
      <c r="A2678" s="11" t="s">
        <v>7169</v>
      </c>
      <c r="B2678" s="11" t="s">
        <v>7170</v>
      </c>
      <c r="C2678" s="11" t="s">
        <v>81</v>
      </c>
      <c r="D2678" s="4" t="s">
        <v>1406</v>
      </c>
      <c r="E2678" t="s">
        <v>82</v>
      </c>
      <c r="F2678" s="9">
        <f t="shared" si="170"/>
        <v>0</v>
      </c>
      <c r="G2678" s="9">
        <f t="shared" si="171"/>
        <v>0</v>
      </c>
      <c r="H2678" s="9">
        <f t="shared" si="172"/>
        <v>0</v>
      </c>
      <c r="I2678" s="10">
        <f t="shared" si="173"/>
        <v>0</v>
      </c>
    </row>
    <row r="2679" spans="1:9" x14ac:dyDescent="0.25">
      <c r="A2679" s="11" t="s">
        <v>7171</v>
      </c>
      <c r="B2679" s="11" t="s">
        <v>7172</v>
      </c>
      <c r="C2679" s="11" t="s">
        <v>81</v>
      </c>
      <c r="D2679" s="4" t="s">
        <v>1406</v>
      </c>
      <c r="E2679" t="s">
        <v>82</v>
      </c>
      <c r="F2679" s="9">
        <f t="shared" si="170"/>
        <v>0</v>
      </c>
      <c r="G2679" s="9">
        <f t="shared" si="171"/>
        <v>0</v>
      </c>
      <c r="H2679" s="9">
        <f t="shared" si="172"/>
        <v>0</v>
      </c>
      <c r="I2679" s="10">
        <f t="shared" si="173"/>
        <v>0</v>
      </c>
    </row>
    <row r="2680" spans="1:9" x14ac:dyDescent="0.25">
      <c r="A2680" s="11" t="s">
        <v>7173</v>
      </c>
      <c r="B2680" s="11" t="s">
        <v>7174</v>
      </c>
      <c r="C2680" s="11" t="s">
        <v>81</v>
      </c>
      <c r="D2680" s="4" t="s">
        <v>1406</v>
      </c>
      <c r="E2680" t="s">
        <v>489</v>
      </c>
      <c r="F2680" s="9">
        <f t="shared" si="170"/>
        <v>0</v>
      </c>
      <c r="G2680" s="9">
        <f t="shared" si="171"/>
        <v>0</v>
      </c>
      <c r="H2680" s="9">
        <f t="shared" si="172"/>
        <v>0</v>
      </c>
      <c r="I2680" s="10">
        <f t="shared" si="173"/>
        <v>0</v>
      </c>
    </row>
    <row r="2681" spans="1:9" x14ac:dyDescent="0.25">
      <c r="A2681" s="11" t="s">
        <v>7175</v>
      </c>
      <c r="B2681" s="11" t="s">
        <v>7176</v>
      </c>
      <c r="C2681" s="11" t="s">
        <v>81</v>
      </c>
      <c r="D2681" s="4" t="s">
        <v>1406</v>
      </c>
      <c r="E2681" t="s">
        <v>489</v>
      </c>
      <c r="F2681" s="9">
        <f t="shared" si="170"/>
        <v>0</v>
      </c>
      <c r="G2681" s="9">
        <f t="shared" si="171"/>
        <v>0</v>
      </c>
      <c r="H2681" s="9">
        <f t="shared" si="172"/>
        <v>0</v>
      </c>
      <c r="I2681" s="10">
        <f t="shared" si="173"/>
        <v>0</v>
      </c>
    </row>
    <row r="2682" spans="1:9" x14ac:dyDescent="0.25">
      <c r="A2682" s="11" t="s">
        <v>7177</v>
      </c>
      <c r="B2682" s="11" t="s">
        <v>7178</v>
      </c>
      <c r="C2682" s="11" t="s">
        <v>81</v>
      </c>
      <c r="D2682" s="4" t="s">
        <v>1406</v>
      </c>
      <c r="E2682" t="s">
        <v>489</v>
      </c>
      <c r="F2682" s="9">
        <f t="shared" si="170"/>
        <v>0</v>
      </c>
      <c r="G2682" s="9">
        <f t="shared" si="171"/>
        <v>0</v>
      </c>
      <c r="H2682" s="9">
        <f t="shared" si="172"/>
        <v>0</v>
      </c>
      <c r="I2682" s="10">
        <f t="shared" si="173"/>
        <v>0</v>
      </c>
    </row>
    <row r="2683" spans="1:9" x14ac:dyDescent="0.25">
      <c r="A2683" s="11" t="s">
        <v>7179</v>
      </c>
      <c r="B2683" s="11" t="s">
        <v>7180</v>
      </c>
      <c r="C2683" s="11" t="s">
        <v>81</v>
      </c>
      <c r="D2683" s="4" t="s">
        <v>1406</v>
      </c>
      <c r="E2683" t="s">
        <v>82</v>
      </c>
      <c r="F2683" s="9">
        <f t="shared" si="170"/>
        <v>0</v>
      </c>
      <c r="G2683" s="9">
        <f t="shared" si="171"/>
        <v>0</v>
      </c>
      <c r="H2683" s="9">
        <f t="shared" si="172"/>
        <v>0</v>
      </c>
      <c r="I2683" s="10">
        <f t="shared" si="173"/>
        <v>0</v>
      </c>
    </row>
    <row r="2684" spans="1:9" x14ac:dyDescent="0.25">
      <c r="A2684" s="11" t="s">
        <v>7181</v>
      </c>
      <c r="B2684" s="11" t="s">
        <v>7182</v>
      </c>
      <c r="C2684" s="11" t="s">
        <v>81</v>
      </c>
      <c r="D2684" s="4" t="s">
        <v>1406</v>
      </c>
      <c r="E2684" t="s">
        <v>82</v>
      </c>
      <c r="F2684" s="9">
        <f t="shared" si="170"/>
        <v>0</v>
      </c>
      <c r="G2684" s="9">
        <f t="shared" si="171"/>
        <v>0</v>
      </c>
      <c r="H2684" s="9">
        <f t="shared" si="172"/>
        <v>0</v>
      </c>
      <c r="I2684" s="10">
        <f t="shared" si="173"/>
        <v>0</v>
      </c>
    </row>
    <row r="2685" spans="1:9" x14ac:dyDescent="0.25">
      <c r="A2685" s="11" t="s">
        <v>7183</v>
      </c>
      <c r="B2685" s="11" t="s">
        <v>7184</v>
      </c>
      <c r="C2685" s="11" t="s">
        <v>81</v>
      </c>
      <c r="D2685" s="4" t="s">
        <v>1406</v>
      </c>
      <c r="E2685" t="s">
        <v>489</v>
      </c>
      <c r="F2685" s="9">
        <f t="shared" si="170"/>
        <v>0</v>
      </c>
      <c r="G2685" s="9">
        <f t="shared" si="171"/>
        <v>0</v>
      </c>
      <c r="H2685" s="9">
        <f t="shared" si="172"/>
        <v>0</v>
      </c>
      <c r="I2685" s="10">
        <f t="shared" si="173"/>
        <v>0</v>
      </c>
    </row>
    <row r="2686" spans="1:9" x14ac:dyDescent="0.25">
      <c r="A2686" s="11" t="s">
        <v>7185</v>
      </c>
      <c r="B2686" s="11" t="s">
        <v>7186</v>
      </c>
      <c r="C2686" s="11" t="s">
        <v>81</v>
      </c>
      <c r="D2686" s="4" t="s">
        <v>1406</v>
      </c>
      <c r="E2686" t="s">
        <v>489</v>
      </c>
      <c r="F2686" s="9">
        <f t="shared" si="170"/>
        <v>0</v>
      </c>
      <c r="G2686" s="9">
        <f t="shared" si="171"/>
        <v>0</v>
      </c>
      <c r="H2686" s="9">
        <f t="shared" si="172"/>
        <v>0</v>
      </c>
      <c r="I2686" s="10">
        <f t="shared" si="173"/>
        <v>0</v>
      </c>
    </row>
    <row r="2687" spans="1:9" x14ac:dyDescent="0.25">
      <c r="A2687" s="11" t="s">
        <v>7187</v>
      </c>
      <c r="B2687" s="11" t="s">
        <v>7188</v>
      </c>
      <c r="C2687" s="11" t="s">
        <v>81</v>
      </c>
      <c r="D2687" s="4" t="s">
        <v>1406</v>
      </c>
      <c r="E2687" t="s">
        <v>82</v>
      </c>
      <c r="F2687" s="9">
        <f t="shared" si="170"/>
        <v>0</v>
      </c>
      <c r="G2687" s="9">
        <f t="shared" si="171"/>
        <v>0</v>
      </c>
      <c r="H2687" s="9">
        <f t="shared" si="172"/>
        <v>0</v>
      </c>
      <c r="I2687" s="10">
        <f t="shared" si="173"/>
        <v>0</v>
      </c>
    </row>
    <row r="2688" spans="1:9" x14ac:dyDescent="0.25">
      <c r="A2688" s="11" t="s">
        <v>7189</v>
      </c>
      <c r="B2688" s="11" t="s">
        <v>7190</v>
      </c>
      <c r="C2688" s="11" t="s">
        <v>81</v>
      </c>
      <c r="D2688" s="4" t="s">
        <v>1406</v>
      </c>
      <c r="E2688" t="s">
        <v>82</v>
      </c>
      <c r="F2688" s="9">
        <f t="shared" si="170"/>
        <v>0</v>
      </c>
      <c r="G2688" s="9">
        <f t="shared" si="171"/>
        <v>0</v>
      </c>
      <c r="H2688" s="9">
        <f t="shared" si="172"/>
        <v>0</v>
      </c>
      <c r="I2688" s="10">
        <f t="shared" si="173"/>
        <v>0</v>
      </c>
    </row>
    <row r="2689" spans="1:9" x14ac:dyDescent="0.25">
      <c r="A2689" s="11" t="s">
        <v>7191</v>
      </c>
      <c r="B2689" s="11" t="s">
        <v>7192</v>
      </c>
      <c r="C2689" s="11" t="s">
        <v>81</v>
      </c>
      <c r="D2689" s="4" t="s">
        <v>1406</v>
      </c>
      <c r="E2689" t="s">
        <v>82</v>
      </c>
      <c r="F2689" s="9">
        <f t="shared" si="170"/>
        <v>0</v>
      </c>
      <c r="G2689" s="9">
        <f t="shared" si="171"/>
        <v>0</v>
      </c>
      <c r="H2689" s="9">
        <f t="shared" si="172"/>
        <v>0</v>
      </c>
      <c r="I2689" s="10">
        <f t="shared" si="173"/>
        <v>0</v>
      </c>
    </row>
    <row r="2690" spans="1:9" x14ac:dyDescent="0.25">
      <c r="A2690" s="11" t="s">
        <v>7193</v>
      </c>
      <c r="B2690" s="11" t="s">
        <v>7194</v>
      </c>
      <c r="C2690" s="11" t="s">
        <v>81</v>
      </c>
      <c r="D2690" s="4" t="s">
        <v>1406</v>
      </c>
      <c r="E2690" t="s">
        <v>489</v>
      </c>
      <c r="F2690" s="9">
        <f t="shared" si="170"/>
        <v>0</v>
      </c>
      <c r="G2690" s="9">
        <f t="shared" si="171"/>
        <v>0</v>
      </c>
      <c r="H2690" s="9">
        <f t="shared" si="172"/>
        <v>0</v>
      </c>
      <c r="I2690" s="10">
        <f t="shared" si="173"/>
        <v>0</v>
      </c>
    </row>
    <row r="2691" spans="1:9" x14ac:dyDescent="0.25">
      <c r="A2691" s="11" t="s">
        <v>7195</v>
      </c>
      <c r="B2691" s="11" t="s">
        <v>7196</v>
      </c>
      <c r="C2691" s="11" t="s">
        <v>81</v>
      </c>
      <c r="D2691" s="4" t="s">
        <v>1406</v>
      </c>
      <c r="E2691" t="s">
        <v>82</v>
      </c>
      <c r="F2691" s="9">
        <f t="shared" si="170"/>
        <v>0</v>
      </c>
      <c r="G2691" s="9">
        <f t="shared" si="171"/>
        <v>0</v>
      </c>
      <c r="H2691" s="9">
        <f t="shared" si="172"/>
        <v>0</v>
      </c>
      <c r="I2691" s="10">
        <f t="shared" si="173"/>
        <v>0</v>
      </c>
    </row>
    <row r="2692" spans="1:9" x14ac:dyDescent="0.25">
      <c r="A2692" s="11" t="s">
        <v>7197</v>
      </c>
      <c r="B2692" s="11" t="s">
        <v>7198</v>
      </c>
      <c r="C2692" s="11" t="s">
        <v>81</v>
      </c>
      <c r="D2692" s="4" t="s">
        <v>1406</v>
      </c>
      <c r="E2692" t="s">
        <v>82</v>
      </c>
      <c r="F2692" s="9">
        <f t="shared" si="170"/>
        <v>0</v>
      </c>
      <c r="G2692" s="9">
        <f t="shared" si="171"/>
        <v>0</v>
      </c>
      <c r="H2692" s="9">
        <f t="shared" si="172"/>
        <v>0</v>
      </c>
      <c r="I2692" s="10">
        <f t="shared" si="173"/>
        <v>0</v>
      </c>
    </row>
    <row r="2693" spans="1:9" x14ac:dyDescent="0.25">
      <c r="A2693" s="11" t="s">
        <v>7199</v>
      </c>
      <c r="B2693" s="11" t="s">
        <v>7200</v>
      </c>
      <c r="C2693" s="11" t="s">
        <v>81</v>
      </c>
      <c r="D2693" s="4" t="s">
        <v>1406</v>
      </c>
      <c r="E2693" t="s">
        <v>489</v>
      </c>
      <c r="F2693" s="9">
        <f t="shared" si="170"/>
        <v>0</v>
      </c>
      <c r="G2693" s="9">
        <f t="shared" si="171"/>
        <v>0</v>
      </c>
      <c r="H2693" s="9">
        <f t="shared" si="172"/>
        <v>0</v>
      </c>
      <c r="I2693" s="10">
        <f t="shared" si="173"/>
        <v>0</v>
      </c>
    </row>
    <row r="2694" spans="1:9" x14ac:dyDescent="0.25">
      <c r="A2694" s="11" t="s">
        <v>7201</v>
      </c>
      <c r="B2694" s="11" t="s">
        <v>7202</v>
      </c>
      <c r="C2694" s="11" t="s">
        <v>81</v>
      </c>
      <c r="D2694" s="4" t="s">
        <v>1406</v>
      </c>
      <c r="E2694" t="s">
        <v>82</v>
      </c>
      <c r="F2694" s="9">
        <f t="shared" si="170"/>
        <v>0</v>
      </c>
      <c r="G2694" s="9">
        <f t="shared" si="171"/>
        <v>0</v>
      </c>
      <c r="H2694" s="9">
        <f t="shared" si="172"/>
        <v>0</v>
      </c>
      <c r="I2694" s="10">
        <f t="shared" si="173"/>
        <v>0</v>
      </c>
    </row>
    <row r="2695" spans="1:9" x14ac:dyDescent="0.25">
      <c r="A2695" s="11" t="s">
        <v>7203</v>
      </c>
      <c r="B2695" s="11" t="s">
        <v>7204</v>
      </c>
      <c r="C2695" s="11" t="s">
        <v>81</v>
      </c>
      <c r="D2695" s="4" t="s">
        <v>1406</v>
      </c>
      <c r="E2695" t="s">
        <v>82</v>
      </c>
      <c r="F2695" s="9">
        <f t="shared" si="170"/>
        <v>0</v>
      </c>
      <c r="G2695" s="9">
        <f t="shared" si="171"/>
        <v>0</v>
      </c>
      <c r="H2695" s="9">
        <f t="shared" si="172"/>
        <v>0</v>
      </c>
      <c r="I2695" s="10">
        <f t="shared" si="173"/>
        <v>0</v>
      </c>
    </row>
    <row r="2696" spans="1:9" x14ac:dyDescent="0.25">
      <c r="A2696" s="11" t="s">
        <v>7205</v>
      </c>
      <c r="B2696" s="11" t="s">
        <v>7206</v>
      </c>
      <c r="C2696" s="11" t="s">
        <v>81</v>
      </c>
      <c r="D2696" s="4" t="s">
        <v>1406</v>
      </c>
      <c r="E2696" t="s">
        <v>489</v>
      </c>
      <c r="F2696" s="9">
        <f t="shared" ref="F2696:F2759" si="174">IFERROR(VLOOKUP(A2696,condi,8,0),0)</f>
        <v>0</v>
      </c>
      <c r="G2696" s="9">
        <f t="shared" ref="G2696:G2759" si="175">IFERROR(VLOOKUP(A2696,maqui,8,0),0)</f>
        <v>0</v>
      </c>
      <c r="H2696" s="9">
        <f t="shared" ref="H2696:H2759" si="176">IFERROR(VLOOKUP(A2696,ascint,8,0),0)</f>
        <v>0</v>
      </c>
      <c r="I2696" s="10">
        <f t="shared" ref="I2696:I2759" si="177">+F2696+G2696+H2696</f>
        <v>0</v>
      </c>
    </row>
    <row r="2697" spans="1:9" x14ac:dyDescent="0.25">
      <c r="A2697" s="11" t="s">
        <v>7207</v>
      </c>
      <c r="B2697" s="11" t="s">
        <v>7208</v>
      </c>
      <c r="C2697" s="11" t="s">
        <v>81</v>
      </c>
      <c r="D2697" s="4" t="s">
        <v>1406</v>
      </c>
      <c r="E2697" t="s">
        <v>82</v>
      </c>
      <c r="F2697" s="9">
        <f t="shared" si="174"/>
        <v>0</v>
      </c>
      <c r="G2697" s="9">
        <f t="shared" si="175"/>
        <v>0</v>
      </c>
      <c r="H2697" s="9">
        <f t="shared" si="176"/>
        <v>0</v>
      </c>
      <c r="I2697" s="10">
        <f t="shared" si="177"/>
        <v>0</v>
      </c>
    </row>
    <row r="2698" spans="1:9" x14ac:dyDescent="0.25">
      <c r="A2698" s="11" t="s">
        <v>7209</v>
      </c>
      <c r="B2698" s="11" t="s">
        <v>7210</v>
      </c>
      <c r="C2698" s="11" t="s">
        <v>81</v>
      </c>
      <c r="D2698" s="4" t="s">
        <v>1406</v>
      </c>
      <c r="E2698" t="s">
        <v>82</v>
      </c>
      <c r="F2698" s="9">
        <f t="shared" si="174"/>
        <v>0</v>
      </c>
      <c r="G2698" s="9">
        <f t="shared" si="175"/>
        <v>0</v>
      </c>
      <c r="H2698" s="9">
        <f t="shared" si="176"/>
        <v>0</v>
      </c>
      <c r="I2698" s="10">
        <f t="shared" si="177"/>
        <v>0</v>
      </c>
    </row>
    <row r="2699" spans="1:9" x14ac:dyDescent="0.25">
      <c r="A2699" s="11" t="s">
        <v>7211</v>
      </c>
      <c r="B2699" s="11" t="s">
        <v>7212</v>
      </c>
      <c r="C2699" s="11" t="s">
        <v>81</v>
      </c>
      <c r="D2699" s="4" t="s">
        <v>1406</v>
      </c>
      <c r="E2699" t="s">
        <v>489</v>
      </c>
      <c r="F2699" s="9">
        <f t="shared" si="174"/>
        <v>0</v>
      </c>
      <c r="G2699" s="9">
        <f t="shared" si="175"/>
        <v>0</v>
      </c>
      <c r="H2699" s="9">
        <f t="shared" si="176"/>
        <v>0</v>
      </c>
      <c r="I2699" s="10">
        <f t="shared" si="177"/>
        <v>0</v>
      </c>
    </row>
    <row r="2700" spans="1:9" x14ac:dyDescent="0.25">
      <c r="A2700" s="11" t="s">
        <v>7213</v>
      </c>
      <c r="B2700" s="11" t="s">
        <v>7214</v>
      </c>
      <c r="C2700" s="11" t="s">
        <v>81</v>
      </c>
      <c r="D2700" s="4" t="s">
        <v>1406</v>
      </c>
      <c r="E2700" t="s">
        <v>489</v>
      </c>
      <c r="F2700" s="9">
        <f t="shared" si="174"/>
        <v>0</v>
      </c>
      <c r="G2700" s="9">
        <f t="shared" si="175"/>
        <v>0</v>
      </c>
      <c r="H2700" s="9">
        <f t="shared" si="176"/>
        <v>0</v>
      </c>
      <c r="I2700" s="10">
        <f t="shared" si="177"/>
        <v>0</v>
      </c>
    </row>
    <row r="2701" spans="1:9" x14ac:dyDescent="0.25">
      <c r="A2701" s="11" t="s">
        <v>7215</v>
      </c>
      <c r="B2701" s="11" t="s">
        <v>7216</v>
      </c>
      <c r="C2701" s="11" t="s">
        <v>81</v>
      </c>
      <c r="D2701" s="4" t="s">
        <v>1406</v>
      </c>
      <c r="E2701" t="s">
        <v>489</v>
      </c>
      <c r="F2701" s="9">
        <f t="shared" si="174"/>
        <v>0</v>
      </c>
      <c r="G2701" s="9">
        <f t="shared" si="175"/>
        <v>0</v>
      </c>
      <c r="H2701" s="9">
        <f t="shared" si="176"/>
        <v>0</v>
      </c>
      <c r="I2701" s="10">
        <f t="shared" si="177"/>
        <v>0</v>
      </c>
    </row>
    <row r="2702" spans="1:9" x14ac:dyDescent="0.25">
      <c r="A2702" s="11" t="s">
        <v>7217</v>
      </c>
      <c r="B2702" s="11" t="s">
        <v>7218</v>
      </c>
      <c r="C2702" s="11" t="s">
        <v>81</v>
      </c>
      <c r="D2702" s="4" t="s">
        <v>1406</v>
      </c>
      <c r="E2702" t="s">
        <v>489</v>
      </c>
      <c r="F2702" s="9">
        <f t="shared" si="174"/>
        <v>0</v>
      </c>
      <c r="G2702" s="9">
        <f t="shared" si="175"/>
        <v>0</v>
      </c>
      <c r="H2702" s="9">
        <f t="shared" si="176"/>
        <v>0</v>
      </c>
      <c r="I2702" s="10">
        <f t="shared" si="177"/>
        <v>0</v>
      </c>
    </row>
    <row r="2703" spans="1:9" x14ac:dyDescent="0.25">
      <c r="A2703" s="11" t="s">
        <v>7219</v>
      </c>
      <c r="B2703" s="11" t="s">
        <v>7220</v>
      </c>
      <c r="C2703" s="11" t="s">
        <v>81</v>
      </c>
      <c r="D2703" s="4" t="s">
        <v>1406</v>
      </c>
      <c r="E2703" t="s">
        <v>489</v>
      </c>
      <c r="F2703" s="9">
        <f t="shared" si="174"/>
        <v>0</v>
      </c>
      <c r="G2703" s="9">
        <f t="shared" si="175"/>
        <v>0</v>
      </c>
      <c r="H2703" s="9">
        <f t="shared" si="176"/>
        <v>0</v>
      </c>
      <c r="I2703" s="10">
        <f t="shared" si="177"/>
        <v>0</v>
      </c>
    </row>
    <row r="2704" spans="1:9" x14ac:dyDescent="0.25">
      <c r="A2704" s="11" t="s">
        <v>7221</v>
      </c>
      <c r="B2704" s="11" t="s">
        <v>7222</v>
      </c>
      <c r="C2704" s="11" t="s">
        <v>81</v>
      </c>
      <c r="D2704" s="4" t="s">
        <v>1406</v>
      </c>
      <c r="E2704" t="s">
        <v>489</v>
      </c>
      <c r="F2704" s="9">
        <f t="shared" si="174"/>
        <v>0</v>
      </c>
      <c r="G2704" s="9">
        <f t="shared" si="175"/>
        <v>0</v>
      </c>
      <c r="H2704" s="9">
        <f t="shared" si="176"/>
        <v>0</v>
      </c>
      <c r="I2704" s="10">
        <f t="shared" si="177"/>
        <v>0</v>
      </c>
    </row>
    <row r="2705" spans="1:9" x14ac:dyDescent="0.25">
      <c r="A2705" s="11" t="s">
        <v>7223</v>
      </c>
      <c r="B2705" s="11" t="s">
        <v>7224</v>
      </c>
      <c r="C2705" s="11" t="s">
        <v>81</v>
      </c>
      <c r="D2705" s="4" t="s">
        <v>1406</v>
      </c>
      <c r="E2705" t="s">
        <v>82</v>
      </c>
      <c r="F2705" s="9">
        <f t="shared" si="174"/>
        <v>0</v>
      </c>
      <c r="G2705" s="9">
        <f t="shared" si="175"/>
        <v>0</v>
      </c>
      <c r="H2705" s="9">
        <f t="shared" si="176"/>
        <v>0</v>
      </c>
      <c r="I2705" s="10">
        <f t="shared" si="177"/>
        <v>0</v>
      </c>
    </row>
    <row r="2706" spans="1:9" x14ac:dyDescent="0.25">
      <c r="A2706" s="11" t="s">
        <v>7225</v>
      </c>
      <c r="B2706" s="11" t="s">
        <v>7226</v>
      </c>
      <c r="C2706" s="11" t="s">
        <v>81</v>
      </c>
      <c r="D2706" s="4" t="s">
        <v>1406</v>
      </c>
      <c r="E2706" t="s">
        <v>82</v>
      </c>
      <c r="F2706" s="9">
        <f t="shared" si="174"/>
        <v>0</v>
      </c>
      <c r="G2706" s="9">
        <f t="shared" si="175"/>
        <v>0</v>
      </c>
      <c r="H2706" s="9">
        <f t="shared" si="176"/>
        <v>0</v>
      </c>
      <c r="I2706" s="10">
        <f t="shared" si="177"/>
        <v>0</v>
      </c>
    </row>
    <row r="2707" spans="1:9" x14ac:dyDescent="0.25">
      <c r="A2707" s="11" t="s">
        <v>7227</v>
      </c>
      <c r="B2707" s="11" t="s">
        <v>7228</v>
      </c>
      <c r="C2707" s="11" t="s">
        <v>81</v>
      </c>
      <c r="D2707" s="4" t="s">
        <v>1406</v>
      </c>
      <c r="E2707" t="s">
        <v>489</v>
      </c>
      <c r="F2707" s="9">
        <f t="shared" si="174"/>
        <v>0</v>
      </c>
      <c r="G2707" s="9">
        <f t="shared" si="175"/>
        <v>0</v>
      </c>
      <c r="H2707" s="9">
        <f t="shared" si="176"/>
        <v>0</v>
      </c>
      <c r="I2707" s="10">
        <f t="shared" si="177"/>
        <v>0</v>
      </c>
    </row>
    <row r="2708" spans="1:9" x14ac:dyDescent="0.25">
      <c r="A2708" s="11" t="s">
        <v>7229</v>
      </c>
      <c r="B2708" s="11" t="s">
        <v>7230</v>
      </c>
      <c r="C2708" s="11" t="s">
        <v>81</v>
      </c>
      <c r="D2708" s="4" t="s">
        <v>1406</v>
      </c>
      <c r="E2708" t="s">
        <v>489</v>
      </c>
      <c r="F2708" s="9">
        <f t="shared" si="174"/>
        <v>0</v>
      </c>
      <c r="G2708" s="9">
        <f t="shared" si="175"/>
        <v>0</v>
      </c>
      <c r="H2708" s="9">
        <f t="shared" si="176"/>
        <v>0</v>
      </c>
      <c r="I2708" s="10">
        <f t="shared" si="177"/>
        <v>0</v>
      </c>
    </row>
    <row r="2709" spans="1:9" x14ac:dyDescent="0.25">
      <c r="A2709" s="11" t="s">
        <v>7231</v>
      </c>
      <c r="B2709" s="11" t="s">
        <v>7232</v>
      </c>
      <c r="C2709" s="11" t="s">
        <v>81</v>
      </c>
      <c r="D2709" s="4" t="s">
        <v>1406</v>
      </c>
      <c r="E2709" t="s">
        <v>489</v>
      </c>
      <c r="F2709" s="9">
        <f t="shared" si="174"/>
        <v>0</v>
      </c>
      <c r="G2709" s="9">
        <f t="shared" si="175"/>
        <v>0</v>
      </c>
      <c r="H2709" s="9">
        <f t="shared" si="176"/>
        <v>0</v>
      </c>
      <c r="I2709" s="10">
        <f t="shared" si="177"/>
        <v>0</v>
      </c>
    </row>
    <row r="2710" spans="1:9" x14ac:dyDescent="0.25">
      <c r="A2710" s="11" t="s">
        <v>7233</v>
      </c>
      <c r="B2710" s="11" t="s">
        <v>7234</v>
      </c>
      <c r="C2710" s="11" t="s">
        <v>81</v>
      </c>
      <c r="D2710" s="4" t="s">
        <v>1406</v>
      </c>
      <c r="E2710" t="s">
        <v>489</v>
      </c>
      <c r="F2710" s="9">
        <f t="shared" si="174"/>
        <v>0</v>
      </c>
      <c r="G2710" s="9">
        <f t="shared" si="175"/>
        <v>0</v>
      </c>
      <c r="H2710" s="9">
        <f t="shared" si="176"/>
        <v>0</v>
      </c>
      <c r="I2710" s="10">
        <f t="shared" si="177"/>
        <v>0</v>
      </c>
    </row>
    <row r="2711" spans="1:9" x14ac:dyDescent="0.25">
      <c r="A2711" s="11" t="s">
        <v>7235</v>
      </c>
      <c r="B2711" s="11" t="s">
        <v>7236</v>
      </c>
      <c r="C2711" s="11" t="s">
        <v>81</v>
      </c>
      <c r="D2711" s="4" t="s">
        <v>1406</v>
      </c>
      <c r="E2711" t="s">
        <v>489</v>
      </c>
      <c r="F2711" s="9">
        <f t="shared" si="174"/>
        <v>0</v>
      </c>
      <c r="G2711" s="9">
        <f t="shared" si="175"/>
        <v>0</v>
      </c>
      <c r="H2711" s="9">
        <f t="shared" si="176"/>
        <v>0</v>
      </c>
      <c r="I2711" s="10">
        <f t="shared" si="177"/>
        <v>0</v>
      </c>
    </row>
    <row r="2712" spans="1:9" x14ac:dyDescent="0.25">
      <c r="A2712" s="11" t="s">
        <v>7237</v>
      </c>
      <c r="B2712" s="11" t="s">
        <v>7238</v>
      </c>
      <c r="C2712" s="11" t="s">
        <v>81</v>
      </c>
      <c r="D2712" s="4" t="s">
        <v>1406</v>
      </c>
      <c r="E2712" t="s">
        <v>82</v>
      </c>
      <c r="F2712" s="9">
        <f t="shared" si="174"/>
        <v>0</v>
      </c>
      <c r="G2712" s="9">
        <f t="shared" si="175"/>
        <v>0</v>
      </c>
      <c r="H2712" s="9">
        <f t="shared" si="176"/>
        <v>0</v>
      </c>
      <c r="I2712" s="10">
        <f t="shared" si="177"/>
        <v>0</v>
      </c>
    </row>
    <row r="2713" spans="1:9" x14ac:dyDescent="0.25">
      <c r="A2713" s="11" t="s">
        <v>7239</v>
      </c>
      <c r="B2713" s="11" t="s">
        <v>7240</v>
      </c>
      <c r="C2713" s="11" t="s">
        <v>81</v>
      </c>
      <c r="D2713" s="4" t="s">
        <v>1406</v>
      </c>
      <c r="E2713" t="s">
        <v>82</v>
      </c>
      <c r="F2713" s="9">
        <f t="shared" si="174"/>
        <v>0</v>
      </c>
      <c r="G2713" s="9">
        <f t="shared" si="175"/>
        <v>0</v>
      </c>
      <c r="H2713" s="9">
        <f t="shared" si="176"/>
        <v>0</v>
      </c>
      <c r="I2713" s="10">
        <f t="shared" si="177"/>
        <v>0</v>
      </c>
    </row>
    <row r="2714" spans="1:9" x14ac:dyDescent="0.25">
      <c r="A2714" s="11" t="s">
        <v>7241</v>
      </c>
      <c r="B2714" s="11" t="s">
        <v>7242</v>
      </c>
      <c r="C2714" s="11" t="s">
        <v>81</v>
      </c>
      <c r="D2714" s="4" t="s">
        <v>1406</v>
      </c>
      <c r="E2714" t="s">
        <v>82</v>
      </c>
      <c r="F2714" s="9">
        <f t="shared" si="174"/>
        <v>0</v>
      </c>
      <c r="G2714" s="9">
        <f t="shared" si="175"/>
        <v>0</v>
      </c>
      <c r="H2714" s="9">
        <f t="shared" si="176"/>
        <v>0</v>
      </c>
      <c r="I2714" s="10">
        <f t="shared" si="177"/>
        <v>0</v>
      </c>
    </row>
    <row r="2715" spans="1:9" x14ac:dyDescent="0.25">
      <c r="A2715" s="11" t="s">
        <v>7243</v>
      </c>
      <c r="B2715" s="11" t="s">
        <v>7244</v>
      </c>
      <c r="C2715" s="11" t="s">
        <v>81</v>
      </c>
      <c r="D2715" s="4" t="s">
        <v>1406</v>
      </c>
      <c r="E2715" t="s">
        <v>82</v>
      </c>
      <c r="F2715" s="9">
        <f t="shared" si="174"/>
        <v>0</v>
      </c>
      <c r="G2715" s="9">
        <f t="shared" si="175"/>
        <v>0</v>
      </c>
      <c r="H2715" s="9">
        <f t="shared" si="176"/>
        <v>0</v>
      </c>
      <c r="I2715" s="10">
        <f t="shared" si="177"/>
        <v>0</v>
      </c>
    </row>
    <row r="2716" spans="1:9" x14ac:dyDescent="0.25">
      <c r="A2716" s="11" t="s">
        <v>7245</v>
      </c>
      <c r="B2716" s="11" t="s">
        <v>7246</v>
      </c>
      <c r="C2716" s="11" t="s">
        <v>81</v>
      </c>
      <c r="D2716" s="4" t="s">
        <v>1406</v>
      </c>
      <c r="E2716" t="s">
        <v>82</v>
      </c>
      <c r="F2716" s="9">
        <f t="shared" si="174"/>
        <v>0</v>
      </c>
      <c r="G2716" s="9">
        <f t="shared" si="175"/>
        <v>0</v>
      </c>
      <c r="H2716" s="9">
        <f t="shared" si="176"/>
        <v>0</v>
      </c>
      <c r="I2716" s="10">
        <f t="shared" si="177"/>
        <v>0</v>
      </c>
    </row>
    <row r="2717" spans="1:9" x14ac:dyDescent="0.25">
      <c r="A2717" s="11" t="s">
        <v>7247</v>
      </c>
      <c r="B2717" s="11" t="s">
        <v>7248</v>
      </c>
      <c r="C2717" s="11" t="s">
        <v>81</v>
      </c>
      <c r="D2717" s="4" t="s">
        <v>1406</v>
      </c>
      <c r="E2717" t="s">
        <v>82</v>
      </c>
      <c r="F2717" s="9">
        <f t="shared" si="174"/>
        <v>0</v>
      </c>
      <c r="G2717" s="9">
        <f t="shared" si="175"/>
        <v>0</v>
      </c>
      <c r="H2717" s="9">
        <f t="shared" si="176"/>
        <v>0</v>
      </c>
      <c r="I2717" s="10">
        <f t="shared" si="177"/>
        <v>0</v>
      </c>
    </row>
    <row r="2718" spans="1:9" x14ac:dyDescent="0.25">
      <c r="A2718" s="11" t="s">
        <v>7249</v>
      </c>
      <c r="B2718" s="11" t="s">
        <v>7250</v>
      </c>
      <c r="C2718" s="11" t="s">
        <v>81</v>
      </c>
      <c r="D2718" s="4" t="s">
        <v>1406</v>
      </c>
      <c r="E2718" t="s">
        <v>489</v>
      </c>
      <c r="F2718" s="9">
        <f t="shared" si="174"/>
        <v>0</v>
      </c>
      <c r="G2718" s="9">
        <f t="shared" si="175"/>
        <v>0</v>
      </c>
      <c r="H2718" s="9">
        <f t="shared" si="176"/>
        <v>0</v>
      </c>
      <c r="I2718" s="10">
        <f t="shared" si="177"/>
        <v>0</v>
      </c>
    </row>
    <row r="2719" spans="1:9" x14ac:dyDescent="0.25">
      <c r="A2719" s="11" t="s">
        <v>7251</v>
      </c>
      <c r="B2719" s="11" t="s">
        <v>7252</v>
      </c>
      <c r="C2719" s="11" t="s">
        <v>81</v>
      </c>
      <c r="D2719" s="4" t="s">
        <v>1406</v>
      </c>
      <c r="E2719" t="s">
        <v>82</v>
      </c>
      <c r="F2719" s="9">
        <f t="shared" si="174"/>
        <v>0</v>
      </c>
      <c r="G2719" s="9">
        <f t="shared" si="175"/>
        <v>0</v>
      </c>
      <c r="H2719" s="9">
        <f t="shared" si="176"/>
        <v>0</v>
      </c>
      <c r="I2719" s="10">
        <f t="shared" si="177"/>
        <v>0</v>
      </c>
    </row>
    <row r="2720" spans="1:9" x14ac:dyDescent="0.25">
      <c r="A2720" s="11" t="s">
        <v>7253</v>
      </c>
      <c r="B2720" s="11" t="s">
        <v>7254</v>
      </c>
      <c r="C2720" s="11" t="s">
        <v>81</v>
      </c>
      <c r="D2720" s="4" t="s">
        <v>1406</v>
      </c>
      <c r="E2720" t="s">
        <v>489</v>
      </c>
      <c r="F2720" s="9">
        <f t="shared" si="174"/>
        <v>0</v>
      </c>
      <c r="G2720" s="9">
        <f t="shared" si="175"/>
        <v>0</v>
      </c>
      <c r="H2720" s="9">
        <f t="shared" si="176"/>
        <v>0</v>
      </c>
      <c r="I2720" s="10">
        <f t="shared" si="177"/>
        <v>0</v>
      </c>
    </row>
    <row r="2721" spans="1:9" x14ac:dyDescent="0.25">
      <c r="A2721" s="11" t="s">
        <v>7255</v>
      </c>
      <c r="B2721" s="11" t="s">
        <v>7256</v>
      </c>
      <c r="C2721" s="11" t="s">
        <v>81</v>
      </c>
      <c r="D2721" s="4" t="s">
        <v>1406</v>
      </c>
      <c r="E2721" t="s">
        <v>489</v>
      </c>
      <c r="F2721" s="9">
        <f t="shared" si="174"/>
        <v>0</v>
      </c>
      <c r="G2721" s="9">
        <f t="shared" si="175"/>
        <v>0</v>
      </c>
      <c r="H2721" s="9">
        <f t="shared" si="176"/>
        <v>0</v>
      </c>
      <c r="I2721" s="10">
        <f t="shared" si="177"/>
        <v>0</v>
      </c>
    </row>
    <row r="2722" spans="1:9" x14ac:dyDescent="0.25">
      <c r="A2722" s="11" t="s">
        <v>7257</v>
      </c>
      <c r="B2722" s="11" t="s">
        <v>7258</v>
      </c>
      <c r="C2722" s="11" t="s">
        <v>81</v>
      </c>
      <c r="D2722" s="4" t="s">
        <v>1406</v>
      </c>
      <c r="E2722" t="s">
        <v>82</v>
      </c>
      <c r="F2722" s="9">
        <f t="shared" si="174"/>
        <v>0</v>
      </c>
      <c r="G2722" s="9">
        <f t="shared" si="175"/>
        <v>0</v>
      </c>
      <c r="H2722" s="9">
        <f t="shared" si="176"/>
        <v>0</v>
      </c>
      <c r="I2722" s="10">
        <f t="shared" si="177"/>
        <v>0</v>
      </c>
    </row>
    <row r="2723" spans="1:9" x14ac:dyDescent="0.25">
      <c r="A2723" s="11" t="s">
        <v>7259</v>
      </c>
      <c r="B2723" s="11" t="s">
        <v>7260</v>
      </c>
      <c r="C2723" s="11" t="s">
        <v>81</v>
      </c>
      <c r="D2723" s="4" t="s">
        <v>1406</v>
      </c>
      <c r="E2723" t="s">
        <v>82</v>
      </c>
      <c r="F2723" s="9">
        <f t="shared" si="174"/>
        <v>0</v>
      </c>
      <c r="G2723" s="9">
        <f t="shared" si="175"/>
        <v>0</v>
      </c>
      <c r="H2723" s="9">
        <f t="shared" si="176"/>
        <v>0</v>
      </c>
      <c r="I2723" s="10">
        <f t="shared" si="177"/>
        <v>0</v>
      </c>
    </row>
    <row r="2724" spans="1:9" x14ac:dyDescent="0.25">
      <c r="A2724" s="11" t="s">
        <v>7261</v>
      </c>
      <c r="B2724" s="11" t="s">
        <v>7262</v>
      </c>
      <c r="C2724" s="11" t="s">
        <v>81</v>
      </c>
      <c r="D2724" s="4" t="s">
        <v>1406</v>
      </c>
      <c r="E2724" t="s">
        <v>82</v>
      </c>
      <c r="F2724" s="9">
        <f t="shared" si="174"/>
        <v>0</v>
      </c>
      <c r="G2724" s="9">
        <f t="shared" si="175"/>
        <v>0</v>
      </c>
      <c r="H2724" s="9">
        <f t="shared" si="176"/>
        <v>0</v>
      </c>
      <c r="I2724" s="10">
        <f t="shared" si="177"/>
        <v>0</v>
      </c>
    </row>
    <row r="2725" spans="1:9" x14ac:dyDescent="0.25">
      <c r="A2725" s="11" t="s">
        <v>7263</v>
      </c>
      <c r="B2725" s="11" t="s">
        <v>7264</v>
      </c>
      <c r="C2725" s="11" t="s">
        <v>81</v>
      </c>
      <c r="D2725" s="4" t="s">
        <v>1406</v>
      </c>
      <c r="E2725" t="s">
        <v>82</v>
      </c>
      <c r="F2725" s="9">
        <f t="shared" si="174"/>
        <v>0</v>
      </c>
      <c r="G2725" s="9">
        <f t="shared" si="175"/>
        <v>0</v>
      </c>
      <c r="H2725" s="9">
        <f t="shared" si="176"/>
        <v>0</v>
      </c>
      <c r="I2725" s="10">
        <f t="shared" si="177"/>
        <v>0</v>
      </c>
    </row>
    <row r="2726" spans="1:9" x14ac:dyDescent="0.25">
      <c r="A2726" s="11" t="s">
        <v>7265</v>
      </c>
      <c r="B2726" s="11" t="s">
        <v>7266</v>
      </c>
      <c r="C2726" s="11" t="s">
        <v>81</v>
      </c>
      <c r="D2726" s="4" t="s">
        <v>1406</v>
      </c>
      <c r="E2726" t="s">
        <v>489</v>
      </c>
      <c r="F2726" s="9">
        <f t="shared" si="174"/>
        <v>0</v>
      </c>
      <c r="G2726" s="9">
        <f t="shared" si="175"/>
        <v>0</v>
      </c>
      <c r="H2726" s="9">
        <f t="shared" si="176"/>
        <v>0</v>
      </c>
      <c r="I2726" s="10">
        <f t="shared" si="177"/>
        <v>0</v>
      </c>
    </row>
    <row r="2727" spans="1:9" x14ac:dyDescent="0.25">
      <c r="A2727" s="11" t="s">
        <v>7267</v>
      </c>
      <c r="B2727" s="11" t="s">
        <v>7268</v>
      </c>
      <c r="C2727" s="11" t="s">
        <v>81</v>
      </c>
      <c r="D2727" s="4" t="s">
        <v>1406</v>
      </c>
      <c r="E2727" t="s">
        <v>82</v>
      </c>
      <c r="F2727" s="9">
        <f t="shared" si="174"/>
        <v>0</v>
      </c>
      <c r="G2727" s="9">
        <f t="shared" si="175"/>
        <v>0</v>
      </c>
      <c r="H2727" s="9">
        <f t="shared" si="176"/>
        <v>0</v>
      </c>
      <c r="I2727" s="10">
        <f t="shared" si="177"/>
        <v>0</v>
      </c>
    </row>
    <row r="2728" spans="1:9" x14ac:dyDescent="0.25">
      <c r="A2728" s="11" t="s">
        <v>7269</v>
      </c>
      <c r="B2728" s="11" t="s">
        <v>7270</v>
      </c>
      <c r="C2728" s="11" t="s">
        <v>81</v>
      </c>
      <c r="D2728" s="4" t="s">
        <v>1406</v>
      </c>
      <c r="E2728" t="s">
        <v>82</v>
      </c>
      <c r="F2728" s="9">
        <f t="shared" si="174"/>
        <v>0</v>
      </c>
      <c r="G2728" s="9">
        <f t="shared" si="175"/>
        <v>0</v>
      </c>
      <c r="H2728" s="9">
        <f t="shared" si="176"/>
        <v>0</v>
      </c>
      <c r="I2728" s="10">
        <f t="shared" si="177"/>
        <v>0</v>
      </c>
    </row>
    <row r="2729" spans="1:9" x14ac:dyDescent="0.25">
      <c r="A2729" s="11" t="s">
        <v>7271</v>
      </c>
      <c r="B2729" s="11" t="s">
        <v>7272</v>
      </c>
      <c r="C2729" s="11" t="s">
        <v>81</v>
      </c>
      <c r="D2729" s="4" t="s">
        <v>1406</v>
      </c>
      <c r="E2729" t="s">
        <v>489</v>
      </c>
      <c r="F2729" s="9">
        <f t="shared" si="174"/>
        <v>0</v>
      </c>
      <c r="G2729" s="9">
        <f t="shared" si="175"/>
        <v>0</v>
      </c>
      <c r="H2729" s="9">
        <f t="shared" si="176"/>
        <v>0</v>
      </c>
      <c r="I2729" s="10">
        <f t="shared" si="177"/>
        <v>0</v>
      </c>
    </row>
    <row r="2730" spans="1:9" x14ac:dyDescent="0.25">
      <c r="A2730" s="11" t="s">
        <v>7273</v>
      </c>
      <c r="B2730" s="11" t="s">
        <v>7274</v>
      </c>
      <c r="C2730" s="11" t="s">
        <v>81</v>
      </c>
      <c r="D2730" s="4" t="s">
        <v>1406</v>
      </c>
      <c r="E2730" t="s">
        <v>489</v>
      </c>
      <c r="F2730" s="9">
        <f t="shared" si="174"/>
        <v>0</v>
      </c>
      <c r="G2730" s="9">
        <f t="shared" si="175"/>
        <v>0</v>
      </c>
      <c r="H2730" s="9">
        <f t="shared" si="176"/>
        <v>0</v>
      </c>
      <c r="I2730" s="10">
        <f t="shared" si="177"/>
        <v>0</v>
      </c>
    </row>
    <row r="2731" spans="1:9" x14ac:dyDescent="0.25">
      <c r="A2731" s="11" t="s">
        <v>7275</v>
      </c>
      <c r="B2731" s="11" t="s">
        <v>7276</v>
      </c>
      <c r="C2731" s="11" t="s">
        <v>81</v>
      </c>
      <c r="D2731" s="4" t="s">
        <v>1406</v>
      </c>
      <c r="E2731" t="s">
        <v>82</v>
      </c>
      <c r="F2731" s="9">
        <f t="shared" si="174"/>
        <v>0</v>
      </c>
      <c r="G2731" s="9">
        <f t="shared" si="175"/>
        <v>0</v>
      </c>
      <c r="H2731" s="9">
        <f t="shared" si="176"/>
        <v>0</v>
      </c>
      <c r="I2731" s="10">
        <f t="shared" si="177"/>
        <v>0</v>
      </c>
    </row>
    <row r="2732" spans="1:9" x14ac:dyDescent="0.25">
      <c r="A2732" s="11" t="s">
        <v>7277</v>
      </c>
      <c r="B2732" s="11" t="s">
        <v>7278</v>
      </c>
      <c r="C2732" s="11" t="s">
        <v>81</v>
      </c>
      <c r="D2732" s="4" t="s">
        <v>1406</v>
      </c>
      <c r="E2732" t="s">
        <v>82</v>
      </c>
      <c r="F2732" s="9">
        <f t="shared" si="174"/>
        <v>0</v>
      </c>
      <c r="G2732" s="9">
        <f t="shared" si="175"/>
        <v>0</v>
      </c>
      <c r="H2732" s="9">
        <f t="shared" si="176"/>
        <v>0</v>
      </c>
      <c r="I2732" s="10">
        <f t="shared" si="177"/>
        <v>0</v>
      </c>
    </row>
    <row r="2733" spans="1:9" x14ac:dyDescent="0.25">
      <c r="A2733" s="11" t="s">
        <v>7279</v>
      </c>
      <c r="B2733" s="11" t="s">
        <v>7280</v>
      </c>
      <c r="C2733" s="11" t="s">
        <v>81</v>
      </c>
      <c r="D2733" s="4" t="s">
        <v>1406</v>
      </c>
      <c r="E2733" t="s">
        <v>82</v>
      </c>
      <c r="F2733" s="9">
        <f t="shared" si="174"/>
        <v>0</v>
      </c>
      <c r="G2733" s="9">
        <f t="shared" si="175"/>
        <v>0</v>
      </c>
      <c r="H2733" s="9">
        <f t="shared" si="176"/>
        <v>0</v>
      </c>
      <c r="I2733" s="10">
        <f t="shared" si="177"/>
        <v>0</v>
      </c>
    </row>
    <row r="2734" spans="1:9" x14ac:dyDescent="0.25">
      <c r="A2734" s="11" t="s">
        <v>7281</v>
      </c>
      <c r="B2734" s="11" t="s">
        <v>7282</v>
      </c>
      <c r="C2734" s="11" t="s">
        <v>81</v>
      </c>
      <c r="D2734" s="4" t="s">
        <v>1406</v>
      </c>
      <c r="E2734" t="s">
        <v>3011</v>
      </c>
      <c r="F2734" s="9">
        <f t="shared" si="174"/>
        <v>0</v>
      </c>
      <c r="G2734" s="9">
        <f t="shared" si="175"/>
        <v>0</v>
      </c>
      <c r="H2734" s="9">
        <f t="shared" si="176"/>
        <v>0</v>
      </c>
      <c r="I2734" s="10">
        <f t="shared" si="177"/>
        <v>0</v>
      </c>
    </row>
    <row r="2735" spans="1:9" x14ac:dyDescent="0.25">
      <c r="A2735" s="11" t="s">
        <v>7283</v>
      </c>
      <c r="B2735" s="11" t="s">
        <v>7284</v>
      </c>
      <c r="C2735" s="11" t="s">
        <v>81</v>
      </c>
      <c r="D2735" s="4" t="s">
        <v>1406</v>
      </c>
      <c r="E2735" t="s">
        <v>3011</v>
      </c>
      <c r="F2735" s="9">
        <f t="shared" si="174"/>
        <v>0</v>
      </c>
      <c r="G2735" s="9">
        <f t="shared" si="175"/>
        <v>0</v>
      </c>
      <c r="H2735" s="9">
        <f t="shared" si="176"/>
        <v>0</v>
      </c>
      <c r="I2735" s="10">
        <f t="shared" si="177"/>
        <v>0</v>
      </c>
    </row>
    <row r="2736" spans="1:9" x14ac:dyDescent="0.25">
      <c r="A2736" s="11" t="s">
        <v>7285</v>
      </c>
      <c r="B2736" s="11" t="s">
        <v>7286</v>
      </c>
      <c r="C2736" s="11" t="s">
        <v>81</v>
      </c>
      <c r="D2736" s="4" t="s">
        <v>1406</v>
      </c>
      <c r="E2736" t="s">
        <v>3011</v>
      </c>
      <c r="F2736" s="9">
        <f t="shared" si="174"/>
        <v>0</v>
      </c>
      <c r="G2736" s="9">
        <f t="shared" si="175"/>
        <v>0</v>
      </c>
      <c r="H2736" s="9">
        <f t="shared" si="176"/>
        <v>0</v>
      </c>
      <c r="I2736" s="10">
        <f t="shared" si="177"/>
        <v>0</v>
      </c>
    </row>
    <row r="2737" spans="1:9" x14ac:dyDescent="0.25">
      <c r="A2737" s="11" t="s">
        <v>7287</v>
      </c>
      <c r="B2737" s="11" t="s">
        <v>7288</v>
      </c>
      <c r="C2737" s="11" t="s">
        <v>81</v>
      </c>
      <c r="D2737" s="4" t="s">
        <v>1406</v>
      </c>
      <c r="E2737" t="s">
        <v>3011</v>
      </c>
      <c r="F2737" s="9">
        <f t="shared" si="174"/>
        <v>0</v>
      </c>
      <c r="G2737" s="9">
        <f t="shared" si="175"/>
        <v>0</v>
      </c>
      <c r="H2737" s="9">
        <f t="shared" si="176"/>
        <v>0</v>
      </c>
      <c r="I2737" s="10">
        <f t="shared" si="177"/>
        <v>0</v>
      </c>
    </row>
    <row r="2738" spans="1:9" x14ac:dyDescent="0.25">
      <c r="A2738" s="11" t="s">
        <v>7289</v>
      </c>
      <c r="B2738" s="11" t="s">
        <v>7290</v>
      </c>
      <c r="C2738" s="11" t="s">
        <v>81</v>
      </c>
      <c r="D2738" s="4" t="s">
        <v>1406</v>
      </c>
      <c r="E2738" t="s">
        <v>3011</v>
      </c>
      <c r="F2738" s="9">
        <f t="shared" si="174"/>
        <v>0</v>
      </c>
      <c r="G2738" s="9">
        <f t="shared" si="175"/>
        <v>0</v>
      </c>
      <c r="H2738" s="9">
        <f t="shared" si="176"/>
        <v>0</v>
      </c>
      <c r="I2738" s="10">
        <f t="shared" si="177"/>
        <v>0</v>
      </c>
    </row>
    <row r="2739" spans="1:9" x14ac:dyDescent="0.25">
      <c r="A2739" s="11" t="s">
        <v>7291</v>
      </c>
      <c r="B2739" s="11" t="s">
        <v>7292</v>
      </c>
      <c r="C2739" s="11" t="s">
        <v>81</v>
      </c>
      <c r="D2739" s="4" t="s">
        <v>1406</v>
      </c>
      <c r="E2739" t="s">
        <v>3011</v>
      </c>
      <c r="F2739" s="9">
        <f t="shared" si="174"/>
        <v>0</v>
      </c>
      <c r="G2739" s="9">
        <f t="shared" si="175"/>
        <v>0</v>
      </c>
      <c r="H2739" s="9">
        <f t="shared" si="176"/>
        <v>0</v>
      </c>
      <c r="I2739" s="10">
        <f t="shared" si="177"/>
        <v>0</v>
      </c>
    </row>
    <row r="2740" spans="1:9" x14ac:dyDescent="0.25">
      <c r="A2740" s="11" t="s">
        <v>7293</v>
      </c>
      <c r="B2740" s="11" t="s">
        <v>7294</v>
      </c>
      <c r="C2740" s="11" t="s">
        <v>81</v>
      </c>
      <c r="D2740" s="4" t="s">
        <v>1406</v>
      </c>
      <c r="E2740" t="s">
        <v>3011</v>
      </c>
      <c r="F2740" s="9">
        <f t="shared" si="174"/>
        <v>0</v>
      </c>
      <c r="G2740" s="9">
        <f t="shared" si="175"/>
        <v>0</v>
      </c>
      <c r="H2740" s="9">
        <f t="shared" si="176"/>
        <v>0</v>
      </c>
      <c r="I2740" s="10">
        <f t="shared" si="177"/>
        <v>0</v>
      </c>
    </row>
    <row r="2741" spans="1:9" x14ac:dyDescent="0.25">
      <c r="A2741" s="11" t="s">
        <v>7295</v>
      </c>
      <c r="B2741" s="11" t="s">
        <v>7296</v>
      </c>
      <c r="C2741" s="11" t="s">
        <v>81</v>
      </c>
      <c r="D2741" s="4" t="s">
        <v>1406</v>
      </c>
      <c r="E2741" t="s">
        <v>3011</v>
      </c>
      <c r="F2741" s="9">
        <f t="shared" si="174"/>
        <v>0</v>
      </c>
      <c r="G2741" s="9">
        <f t="shared" si="175"/>
        <v>0</v>
      </c>
      <c r="H2741" s="9">
        <f t="shared" si="176"/>
        <v>0</v>
      </c>
      <c r="I2741" s="10">
        <f t="shared" si="177"/>
        <v>0</v>
      </c>
    </row>
    <row r="2742" spans="1:9" x14ac:dyDescent="0.25">
      <c r="A2742" s="11" t="s">
        <v>7297</v>
      </c>
      <c r="B2742" s="11" t="s">
        <v>7298</v>
      </c>
      <c r="C2742" s="11" t="s">
        <v>81</v>
      </c>
      <c r="D2742" s="4" t="s">
        <v>1406</v>
      </c>
      <c r="E2742" t="s">
        <v>3011</v>
      </c>
      <c r="F2742" s="9">
        <f t="shared" si="174"/>
        <v>0</v>
      </c>
      <c r="G2742" s="9">
        <f t="shared" si="175"/>
        <v>0</v>
      </c>
      <c r="H2742" s="9">
        <f t="shared" si="176"/>
        <v>0</v>
      </c>
      <c r="I2742" s="10">
        <f t="shared" si="177"/>
        <v>0</v>
      </c>
    </row>
    <row r="2743" spans="1:9" x14ac:dyDescent="0.25">
      <c r="A2743" s="11" t="s">
        <v>7299</v>
      </c>
      <c r="B2743" s="11" t="s">
        <v>7300</v>
      </c>
      <c r="C2743" s="11" t="s">
        <v>81</v>
      </c>
      <c r="D2743" s="4" t="s">
        <v>1406</v>
      </c>
      <c r="E2743" t="s">
        <v>3011</v>
      </c>
      <c r="F2743" s="9">
        <f t="shared" si="174"/>
        <v>0</v>
      </c>
      <c r="G2743" s="9">
        <f t="shared" si="175"/>
        <v>0</v>
      </c>
      <c r="H2743" s="9">
        <f t="shared" si="176"/>
        <v>0</v>
      </c>
      <c r="I2743" s="10">
        <f t="shared" si="177"/>
        <v>0</v>
      </c>
    </row>
    <row r="2744" spans="1:9" x14ac:dyDescent="0.25">
      <c r="A2744" s="11" t="s">
        <v>7301</v>
      </c>
      <c r="B2744" s="11" t="s">
        <v>7302</v>
      </c>
      <c r="C2744" s="11" t="s">
        <v>81</v>
      </c>
      <c r="D2744" s="4" t="s">
        <v>1406</v>
      </c>
      <c r="E2744" t="s">
        <v>3011</v>
      </c>
      <c r="F2744" s="9">
        <f t="shared" si="174"/>
        <v>0</v>
      </c>
      <c r="G2744" s="9">
        <f t="shared" si="175"/>
        <v>0</v>
      </c>
      <c r="H2744" s="9">
        <f t="shared" si="176"/>
        <v>0</v>
      </c>
      <c r="I2744" s="10">
        <f t="shared" si="177"/>
        <v>0</v>
      </c>
    </row>
    <row r="2745" spans="1:9" x14ac:dyDescent="0.25">
      <c r="A2745" s="11" t="s">
        <v>7303</v>
      </c>
      <c r="B2745" s="11" t="s">
        <v>7304</v>
      </c>
      <c r="C2745" s="11" t="s">
        <v>81</v>
      </c>
      <c r="D2745" s="4" t="s">
        <v>1406</v>
      </c>
      <c r="E2745" t="s">
        <v>3011</v>
      </c>
      <c r="F2745" s="9">
        <f t="shared" si="174"/>
        <v>0</v>
      </c>
      <c r="G2745" s="9">
        <f t="shared" si="175"/>
        <v>0</v>
      </c>
      <c r="H2745" s="9">
        <f t="shared" si="176"/>
        <v>0</v>
      </c>
      <c r="I2745" s="10">
        <f t="shared" si="177"/>
        <v>0</v>
      </c>
    </row>
    <row r="2746" spans="1:9" x14ac:dyDescent="0.25">
      <c r="A2746" s="11" t="s">
        <v>7305</v>
      </c>
      <c r="B2746" s="11" t="s">
        <v>7306</v>
      </c>
      <c r="C2746" s="11" t="s">
        <v>81</v>
      </c>
      <c r="D2746" s="4" t="s">
        <v>1406</v>
      </c>
      <c r="E2746" t="s">
        <v>3011</v>
      </c>
      <c r="F2746" s="9">
        <f t="shared" si="174"/>
        <v>0</v>
      </c>
      <c r="G2746" s="9">
        <f t="shared" si="175"/>
        <v>0</v>
      </c>
      <c r="H2746" s="9">
        <f t="shared" si="176"/>
        <v>0</v>
      </c>
      <c r="I2746" s="10">
        <f t="shared" si="177"/>
        <v>0</v>
      </c>
    </row>
    <row r="2747" spans="1:9" x14ac:dyDescent="0.25">
      <c r="A2747" s="11" t="s">
        <v>7307</v>
      </c>
      <c r="B2747" s="11" t="s">
        <v>7308</v>
      </c>
      <c r="C2747" s="11" t="s">
        <v>81</v>
      </c>
      <c r="D2747" s="4" t="s">
        <v>1406</v>
      </c>
      <c r="E2747" t="s">
        <v>3011</v>
      </c>
      <c r="F2747" s="9">
        <f t="shared" si="174"/>
        <v>0</v>
      </c>
      <c r="G2747" s="9">
        <f t="shared" si="175"/>
        <v>0</v>
      </c>
      <c r="H2747" s="9">
        <f t="shared" si="176"/>
        <v>0</v>
      </c>
      <c r="I2747" s="10">
        <f t="shared" si="177"/>
        <v>0</v>
      </c>
    </row>
    <row r="2748" spans="1:9" x14ac:dyDescent="0.25">
      <c r="A2748" s="11" t="s">
        <v>7309</v>
      </c>
      <c r="B2748" s="11" t="s">
        <v>7310</v>
      </c>
      <c r="C2748" s="11" t="s">
        <v>81</v>
      </c>
      <c r="D2748" s="4" t="s">
        <v>1406</v>
      </c>
      <c r="E2748" t="s">
        <v>3011</v>
      </c>
      <c r="F2748" s="9">
        <f t="shared" si="174"/>
        <v>0</v>
      </c>
      <c r="G2748" s="9">
        <f t="shared" si="175"/>
        <v>0</v>
      </c>
      <c r="H2748" s="9">
        <f t="shared" si="176"/>
        <v>0</v>
      </c>
      <c r="I2748" s="10">
        <f t="shared" si="177"/>
        <v>0</v>
      </c>
    </row>
    <row r="2749" spans="1:9" x14ac:dyDescent="0.25">
      <c r="A2749" s="11" t="s">
        <v>7311</v>
      </c>
      <c r="B2749" s="11" t="s">
        <v>7312</v>
      </c>
      <c r="C2749" s="11" t="s">
        <v>81</v>
      </c>
      <c r="D2749" s="4" t="s">
        <v>1406</v>
      </c>
      <c r="E2749" t="s">
        <v>3011</v>
      </c>
      <c r="F2749" s="9">
        <f t="shared" si="174"/>
        <v>0</v>
      </c>
      <c r="G2749" s="9">
        <f t="shared" si="175"/>
        <v>0</v>
      </c>
      <c r="H2749" s="9">
        <f t="shared" si="176"/>
        <v>0</v>
      </c>
      <c r="I2749" s="10">
        <f t="shared" si="177"/>
        <v>0</v>
      </c>
    </row>
    <row r="2750" spans="1:9" x14ac:dyDescent="0.25">
      <c r="A2750" s="11" t="s">
        <v>7313</v>
      </c>
      <c r="B2750" s="11" t="s">
        <v>7314</v>
      </c>
      <c r="C2750" s="11" t="s">
        <v>81</v>
      </c>
      <c r="D2750" s="4" t="s">
        <v>1406</v>
      </c>
      <c r="E2750" t="s">
        <v>3011</v>
      </c>
      <c r="F2750" s="9">
        <f t="shared" si="174"/>
        <v>0</v>
      </c>
      <c r="G2750" s="9">
        <f t="shared" si="175"/>
        <v>0</v>
      </c>
      <c r="H2750" s="9">
        <f t="shared" si="176"/>
        <v>0</v>
      </c>
      <c r="I2750" s="10">
        <f t="shared" si="177"/>
        <v>0</v>
      </c>
    </row>
    <row r="2751" spans="1:9" x14ac:dyDescent="0.25">
      <c r="A2751" s="11" t="s">
        <v>7315</v>
      </c>
      <c r="B2751" s="11" t="s">
        <v>7316</v>
      </c>
      <c r="C2751" s="11" t="s">
        <v>81</v>
      </c>
      <c r="D2751" s="4" t="s">
        <v>1406</v>
      </c>
      <c r="E2751" t="s">
        <v>3011</v>
      </c>
      <c r="F2751" s="9">
        <f t="shared" si="174"/>
        <v>0</v>
      </c>
      <c r="G2751" s="9">
        <f t="shared" si="175"/>
        <v>0</v>
      </c>
      <c r="H2751" s="9">
        <f t="shared" si="176"/>
        <v>0</v>
      </c>
      <c r="I2751" s="10">
        <f t="shared" si="177"/>
        <v>0</v>
      </c>
    </row>
    <row r="2752" spans="1:9" x14ac:dyDescent="0.25">
      <c r="A2752" s="11" t="s">
        <v>7317</v>
      </c>
      <c r="B2752" s="11" t="s">
        <v>7318</v>
      </c>
      <c r="C2752" s="11" t="s">
        <v>81</v>
      </c>
      <c r="D2752" s="4" t="s">
        <v>1406</v>
      </c>
      <c r="E2752" t="s">
        <v>3011</v>
      </c>
      <c r="F2752" s="9">
        <f t="shared" si="174"/>
        <v>0</v>
      </c>
      <c r="G2752" s="9">
        <f t="shared" si="175"/>
        <v>0</v>
      </c>
      <c r="H2752" s="9">
        <f t="shared" si="176"/>
        <v>0</v>
      </c>
      <c r="I2752" s="10">
        <f t="shared" si="177"/>
        <v>0</v>
      </c>
    </row>
    <row r="2753" spans="1:9" x14ac:dyDescent="0.25">
      <c r="A2753" s="11" t="s">
        <v>7319</v>
      </c>
      <c r="B2753" s="11" t="s">
        <v>7320</v>
      </c>
      <c r="C2753" s="11" t="s">
        <v>81</v>
      </c>
      <c r="D2753" s="4" t="s">
        <v>1406</v>
      </c>
      <c r="E2753" t="s">
        <v>3011</v>
      </c>
      <c r="F2753" s="9">
        <f t="shared" si="174"/>
        <v>0</v>
      </c>
      <c r="G2753" s="9">
        <f t="shared" si="175"/>
        <v>0</v>
      </c>
      <c r="H2753" s="9">
        <f t="shared" si="176"/>
        <v>0</v>
      </c>
      <c r="I2753" s="10">
        <f t="shared" si="177"/>
        <v>0</v>
      </c>
    </row>
    <row r="2754" spans="1:9" x14ac:dyDescent="0.25">
      <c r="A2754" s="11" t="s">
        <v>7321</v>
      </c>
      <c r="B2754" s="11" t="s">
        <v>7322</v>
      </c>
      <c r="C2754" s="11" t="s">
        <v>81</v>
      </c>
      <c r="D2754" s="4" t="s">
        <v>1406</v>
      </c>
      <c r="E2754" t="s">
        <v>3011</v>
      </c>
      <c r="F2754" s="9">
        <f t="shared" si="174"/>
        <v>0</v>
      </c>
      <c r="G2754" s="9">
        <f t="shared" si="175"/>
        <v>0</v>
      </c>
      <c r="H2754" s="9">
        <f t="shared" si="176"/>
        <v>0</v>
      </c>
      <c r="I2754" s="10">
        <f t="shared" si="177"/>
        <v>0</v>
      </c>
    </row>
    <row r="2755" spans="1:9" x14ac:dyDescent="0.25">
      <c r="A2755" s="11" t="s">
        <v>7323</v>
      </c>
      <c r="B2755" s="11" t="s">
        <v>7324</v>
      </c>
      <c r="C2755" s="11" t="s">
        <v>81</v>
      </c>
      <c r="D2755" s="4" t="s">
        <v>1406</v>
      </c>
      <c r="E2755" t="s">
        <v>3011</v>
      </c>
      <c r="F2755" s="9">
        <f t="shared" si="174"/>
        <v>0</v>
      </c>
      <c r="G2755" s="9">
        <f t="shared" si="175"/>
        <v>0</v>
      </c>
      <c r="H2755" s="9">
        <f t="shared" si="176"/>
        <v>0</v>
      </c>
      <c r="I2755" s="10">
        <f t="shared" si="177"/>
        <v>0</v>
      </c>
    </row>
    <row r="2756" spans="1:9" x14ac:dyDescent="0.25">
      <c r="A2756" s="11" t="s">
        <v>7325</v>
      </c>
      <c r="B2756" s="11" t="s">
        <v>7326</v>
      </c>
      <c r="C2756" s="11" t="s">
        <v>81</v>
      </c>
      <c r="D2756" s="4" t="s">
        <v>1406</v>
      </c>
      <c r="E2756" t="s">
        <v>3011</v>
      </c>
      <c r="F2756" s="9">
        <f t="shared" si="174"/>
        <v>0</v>
      </c>
      <c r="G2756" s="9">
        <f t="shared" si="175"/>
        <v>0</v>
      </c>
      <c r="H2756" s="9">
        <f t="shared" si="176"/>
        <v>0</v>
      </c>
      <c r="I2756" s="10">
        <f t="shared" si="177"/>
        <v>0</v>
      </c>
    </row>
    <row r="2757" spans="1:9" x14ac:dyDescent="0.25">
      <c r="A2757" s="11" t="s">
        <v>7327</v>
      </c>
      <c r="B2757" s="11" t="s">
        <v>7328</v>
      </c>
      <c r="C2757" s="11" t="s">
        <v>81</v>
      </c>
      <c r="D2757" s="4" t="s">
        <v>1406</v>
      </c>
      <c r="E2757" t="s">
        <v>3011</v>
      </c>
      <c r="F2757" s="9">
        <f t="shared" si="174"/>
        <v>0</v>
      </c>
      <c r="G2757" s="9">
        <f t="shared" si="175"/>
        <v>0</v>
      </c>
      <c r="H2757" s="9">
        <f t="shared" si="176"/>
        <v>0</v>
      </c>
      <c r="I2757" s="10">
        <f t="shared" si="177"/>
        <v>0</v>
      </c>
    </row>
    <row r="2758" spans="1:9" x14ac:dyDescent="0.25">
      <c r="A2758" s="11" t="s">
        <v>7329</v>
      </c>
      <c r="B2758" s="11" t="s">
        <v>7330</v>
      </c>
      <c r="C2758" s="11" t="s">
        <v>81</v>
      </c>
      <c r="D2758" s="4" t="s">
        <v>1406</v>
      </c>
      <c r="E2758" t="s">
        <v>3011</v>
      </c>
      <c r="F2758" s="9">
        <f t="shared" si="174"/>
        <v>0</v>
      </c>
      <c r="G2758" s="9">
        <f t="shared" si="175"/>
        <v>0</v>
      </c>
      <c r="H2758" s="9">
        <f t="shared" si="176"/>
        <v>0</v>
      </c>
      <c r="I2758" s="10">
        <f t="shared" si="177"/>
        <v>0</v>
      </c>
    </row>
    <row r="2759" spans="1:9" x14ac:dyDescent="0.25">
      <c r="A2759" s="11" t="s">
        <v>7331</v>
      </c>
      <c r="B2759" s="11" t="s">
        <v>7332</v>
      </c>
      <c r="C2759" s="11" t="s">
        <v>81</v>
      </c>
      <c r="D2759" s="4" t="s">
        <v>1406</v>
      </c>
      <c r="E2759" t="s">
        <v>3011</v>
      </c>
      <c r="F2759" s="9">
        <f t="shared" si="174"/>
        <v>0</v>
      </c>
      <c r="G2759" s="9">
        <f t="shared" si="175"/>
        <v>0</v>
      </c>
      <c r="H2759" s="9">
        <f t="shared" si="176"/>
        <v>0</v>
      </c>
      <c r="I2759" s="10">
        <f t="shared" si="177"/>
        <v>0</v>
      </c>
    </row>
    <row r="2760" spans="1:9" x14ac:dyDescent="0.25">
      <c r="A2760" s="11" t="s">
        <v>7333</v>
      </c>
      <c r="B2760" s="11" t="s">
        <v>7334</v>
      </c>
      <c r="C2760" s="11" t="s">
        <v>81</v>
      </c>
      <c r="D2760" s="4" t="s">
        <v>1406</v>
      </c>
      <c r="E2760" t="s">
        <v>3011</v>
      </c>
      <c r="F2760" s="9">
        <f t="shared" ref="F2760:F2823" si="178">IFERROR(VLOOKUP(A2760,condi,8,0),0)</f>
        <v>0</v>
      </c>
      <c r="G2760" s="9">
        <f t="shared" ref="G2760:G2823" si="179">IFERROR(VLOOKUP(A2760,maqui,8,0),0)</f>
        <v>0</v>
      </c>
      <c r="H2760" s="9">
        <f t="shared" ref="H2760:H2823" si="180">IFERROR(VLOOKUP(A2760,ascint,8,0),0)</f>
        <v>0</v>
      </c>
      <c r="I2760" s="10">
        <f t="shared" ref="I2760:I2823" si="181">+F2760+G2760+H2760</f>
        <v>0</v>
      </c>
    </row>
    <row r="2761" spans="1:9" x14ac:dyDescent="0.25">
      <c r="A2761" s="11" t="s">
        <v>7335</v>
      </c>
      <c r="B2761" s="11" t="s">
        <v>7336</v>
      </c>
      <c r="C2761" s="11" t="s">
        <v>81</v>
      </c>
      <c r="D2761" s="4" t="s">
        <v>1406</v>
      </c>
      <c r="E2761" t="s">
        <v>3011</v>
      </c>
      <c r="F2761" s="9">
        <f t="shared" si="178"/>
        <v>0</v>
      </c>
      <c r="G2761" s="9">
        <f t="shared" si="179"/>
        <v>0</v>
      </c>
      <c r="H2761" s="9">
        <f t="shared" si="180"/>
        <v>0</v>
      </c>
      <c r="I2761" s="10">
        <f t="shared" si="181"/>
        <v>0</v>
      </c>
    </row>
    <row r="2762" spans="1:9" x14ac:dyDescent="0.25">
      <c r="A2762" s="11" t="s">
        <v>7337</v>
      </c>
      <c r="B2762" s="11" t="s">
        <v>7338</v>
      </c>
      <c r="C2762" s="11" t="s">
        <v>81</v>
      </c>
      <c r="D2762" s="4" t="s">
        <v>1406</v>
      </c>
      <c r="E2762" t="s">
        <v>3011</v>
      </c>
      <c r="F2762" s="9">
        <f t="shared" si="178"/>
        <v>0</v>
      </c>
      <c r="G2762" s="9">
        <f t="shared" si="179"/>
        <v>0</v>
      </c>
      <c r="H2762" s="9">
        <f t="shared" si="180"/>
        <v>0</v>
      </c>
      <c r="I2762" s="10">
        <f t="shared" si="181"/>
        <v>0</v>
      </c>
    </row>
    <row r="2763" spans="1:9" x14ac:dyDescent="0.25">
      <c r="A2763" s="11" t="s">
        <v>7339</v>
      </c>
      <c r="B2763" s="11" t="s">
        <v>7340</v>
      </c>
      <c r="C2763" s="11" t="s">
        <v>81</v>
      </c>
      <c r="D2763" s="4" t="s">
        <v>1406</v>
      </c>
      <c r="E2763" t="s">
        <v>3011</v>
      </c>
      <c r="F2763" s="9">
        <f t="shared" si="178"/>
        <v>0</v>
      </c>
      <c r="G2763" s="9">
        <f t="shared" si="179"/>
        <v>0</v>
      </c>
      <c r="H2763" s="9">
        <f t="shared" si="180"/>
        <v>0</v>
      </c>
      <c r="I2763" s="10">
        <f t="shared" si="181"/>
        <v>0</v>
      </c>
    </row>
    <row r="2764" spans="1:9" x14ac:dyDescent="0.25">
      <c r="A2764" s="11" t="s">
        <v>7341</v>
      </c>
      <c r="B2764" s="11" t="s">
        <v>7342</v>
      </c>
      <c r="C2764" s="11" t="s">
        <v>81</v>
      </c>
      <c r="D2764" s="4" t="s">
        <v>1406</v>
      </c>
      <c r="E2764" t="s">
        <v>3011</v>
      </c>
      <c r="F2764" s="9">
        <f t="shared" si="178"/>
        <v>0</v>
      </c>
      <c r="G2764" s="9">
        <f t="shared" si="179"/>
        <v>0</v>
      </c>
      <c r="H2764" s="9">
        <f t="shared" si="180"/>
        <v>0</v>
      </c>
      <c r="I2764" s="10">
        <f t="shared" si="181"/>
        <v>0</v>
      </c>
    </row>
    <row r="2765" spans="1:9" x14ac:dyDescent="0.25">
      <c r="A2765" s="11" t="s">
        <v>7343</v>
      </c>
      <c r="B2765" s="11" t="s">
        <v>7344</v>
      </c>
      <c r="C2765" s="11" t="s">
        <v>81</v>
      </c>
      <c r="D2765" s="4" t="s">
        <v>1406</v>
      </c>
      <c r="E2765" t="s">
        <v>3011</v>
      </c>
      <c r="F2765" s="9">
        <f t="shared" si="178"/>
        <v>0</v>
      </c>
      <c r="G2765" s="9">
        <f t="shared" si="179"/>
        <v>0</v>
      </c>
      <c r="H2765" s="9">
        <f t="shared" si="180"/>
        <v>0</v>
      </c>
      <c r="I2765" s="10">
        <f t="shared" si="181"/>
        <v>0</v>
      </c>
    </row>
    <row r="2766" spans="1:9" x14ac:dyDescent="0.25">
      <c r="A2766" s="11" t="s">
        <v>7345</v>
      </c>
      <c r="B2766" s="11" t="s">
        <v>7346</v>
      </c>
      <c r="C2766" s="11" t="s">
        <v>81</v>
      </c>
      <c r="D2766" s="4" t="s">
        <v>1406</v>
      </c>
      <c r="E2766" t="s">
        <v>3011</v>
      </c>
      <c r="F2766" s="9">
        <f t="shared" si="178"/>
        <v>0</v>
      </c>
      <c r="G2766" s="9">
        <f t="shared" si="179"/>
        <v>0</v>
      </c>
      <c r="H2766" s="9">
        <f t="shared" si="180"/>
        <v>0</v>
      </c>
      <c r="I2766" s="10">
        <f t="shared" si="181"/>
        <v>0</v>
      </c>
    </row>
    <row r="2767" spans="1:9" x14ac:dyDescent="0.25">
      <c r="A2767" s="11" t="s">
        <v>7347</v>
      </c>
      <c r="B2767" s="11" t="s">
        <v>7348</v>
      </c>
      <c r="C2767" s="11" t="s">
        <v>81</v>
      </c>
      <c r="D2767" s="4" t="s">
        <v>1406</v>
      </c>
      <c r="E2767" t="s">
        <v>3011</v>
      </c>
      <c r="F2767" s="9">
        <f t="shared" si="178"/>
        <v>0</v>
      </c>
      <c r="G2767" s="9">
        <f t="shared" si="179"/>
        <v>0</v>
      </c>
      <c r="H2767" s="9">
        <f t="shared" si="180"/>
        <v>0</v>
      </c>
      <c r="I2767" s="10">
        <f t="shared" si="181"/>
        <v>0</v>
      </c>
    </row>
    <row r="2768" spans="1:9" x14ac:dyDescent="0.25">
      <c r="A2768" s="11" t="s">
        <v>7349</v>
      </c>
      <c r="B2768" s="11" t="s">
        <v>7350</v>
      </c>
      <c r="C2768" s="11" t="s">
        <v>81</v>
      </c>
      <c r="D2768" s="4" t="s">
        <v>1406</v>
      </c>
      <c r="E2768" t="s">
        <v>3011</v>
      </c>
      <c r="F2768" s="9">
        <f t="shared" si="178"/>
        <v>0</v>
      </c>
      <c r="G2768" s="9">
        <f t="shared" si="179"/>
        <v>0</v>
      </c>
      <c r="H2768" s="9">
        <f t="shared" si="180"/>
        <v>0</v>
      </c>
      <c r="I2768" s="10">
        <f t="shared" si="181"/>
        <v>0</v>
      </c>
    </row>
    <row r="2769" spans="1:9" x14ac:dyDescent="0.25">
      <c r="A2769" s="11" t="s">
        <v>7351</v>
      </c>
      <c r="B2769" s="11" t="s">
        <v>7352</v>
      </c>
      <c r="C2769" s="11" t="s">
        <v>81</v>
      </c>
      <c r="D2769" s="4" t="s">
        <v>1406</v>
      </c>
      <c r="E2769" t="s">
        <v>3011</v>
      </c>
      <c r="F2769" s="9">
        <f t="shared" si="178"/>
        <v>0</v>
      </c>
      <c r="G2769" s="9">
        <f t="shared" si="179"/>
        <v>0</v>
      </c>
      <c r="H2769" s="9">
        <f t="shared" si="180"/>
        <v>0</v>
      </c>
      <c r="I2769" s="10">
        <f t="shared" si="181"/>
        <v>0</v>
      </c>
    </row>
    <row r="2770" spans="1:9" x14ac:dyDescent="0.25">
      <c r="A2770" s="11" t="s">
        <v>7353</v>
      </c>
      <c r="B2770" s="11" t="s">
        <v>7354</v>
      </c>
      <c r="C2770" s="11" t="s">
        <v>81</v>
      </c>
      <c r="D2770" s="4" t="s">
        <v>1406</v>
      </c>
      <c r="E2770" t="s">
        <v>3011</v>
      </c>
      <c r="F2770" s="9">
        <f t="shared" si="178"/>
        <v>0</v>
      </c>
      <c r="G2770" s="9">
        <f t="shared" si="179"/>
        <v>0</v>
      </c>
      <c r="H2770" s="9">
        <f t="shared" si="180"/>
        <v>0</v>
      </c>
      <c r="I2770" s="10">
        <f t="shared" si="181"/>
        <v>0</v>
      </c>
    </row>
    <row r="2771" spans="1:9" x14ac:dyDescent="0.25">
      <c r="A2771" s="11" t="s">
        <v>7355</v>
      </c>
      <c r="B2771" s="11" t="s">
        <v>7356</v>
      </c>
      <c r="C2771" s="11" t="s">
        <v>81</v>
      </c>
      <c r="D2771" s="4" t="s">
        <v>1406</v>
      </c>
      <c r="E2771" t="s">
        <v>3011</v>
      </c>
      <c r="F2771" s="9">
        <f t="shared" si="178"/>
        <v>0</v>
      </c>
      <c r="G2771" s="9">
        <f t="shared" si="179"/>
        <v>0</v>
      </c>
      <c r="H2771" s="9">
        <f t="shared" si="180"/>
        <v>0</v>
      </c>
      <c r="I2771" s="10">
        <f t="shared" si="181"/>
        <v>0</v>
      </c>
    </row>
    <row r="2772" spans="1:9" x14ac:dyDescent="0.25">
      <c r="A2772" s="11" t="s">
        <v>7357</v>
      </c>
      <c r="B2772" s="11" t="s">
        <v>7358</v>
      </c>
      <c r="C2772" s="11" t="s">
        <v>81</v>
      </c>
      <c r="D2772" s="4" t="s">
        <v>1406</v>
      </c>
      <c r="E2772" t="s">
        <v>3011</v>
      </c>
      <c r="F2772" s="9">
        <f t="shared" si="178"/>
        <v>0</v>
      </c>
      <c r="G2772" s="9">
        <f t="shared" si="179"/>
        <v>0</v>
      </c>
      <c r="H2772" s="9">
        <f t="shared" si="180"/>
        <v>0</v>
      </c>
      <c r="I2772" s="10">
        <f t="shared" si="181"/>
        <v>0</v>
      </c>
    </row>
    <row r="2773" spans="1:9" x14ac:dyDescent="0.25">
      <c r="A2773" s="11" t="s">
        <v>7359</v>
      </c>
      <c r="B2773" s="11" t="s">
        <v>7360</v>
      </c>
      <c r="C2773" s="11" t="s">
        <v>81</v>
      </c>
      <c r="D2773" s="4" t="s">
        <v>1406</v>
      </c>
      <c r="E2773" t="s">
        <v>3011</v>
      </c>
      <c r="F2773" s="9">
        <f t="shared" si="178"/>
        <v>0</v>
      </c>
      <c r="G2773" s="9">
        <f t="shared" si="179"/>
        <v>0</v>
      </c>
      <c r="H2773" s="9">
        <f t="shared" si="180"/>
        <v>0</v>
      </c>
      <c r="I2773" s="10">
        <f t="shared" si="181"/>
        <v>0</v>
      </c>
    </row>
    <row r="2774" spans="1:9" x14ac:dyDescent="0.25">
      <c r="A2774" s="11" t="s">
        <v>7361</v>
      </c>
      <c r="B2774" s="11" t="s">
        <v>7362</v>
      </c>
      <c r="C2774" s="11" t="s">
        <v>81</v>
      </c>
      <c r="D2774" s="4" t="s">
        <v>1406</v>
      </c>
      <c r="E2774" t="s">
        <v>3011</v>
      </c>
      <c r="F2774" s="9">
        <f t="shared" si="178"/>
        <v>0</v>
      </c>
      <c r="G2774" s="9">
        <f t="shared" si="179"/>
        <v>0</v>
      </c>
      <c r="H2774" s="9">
        <f t="shared" si="180"/>
        <v>0</v>
      </c>
      <c r="I2774" s="10">
        <f t="shared" si="181"/>
        <v>0</v>
      </c>
    </row>
    <row r="2775" spans="1:9" x14ac:dyDescent="0.25">
      <c r="A2775" s="11" t="s">
        <v>7363</v>
      </c>
      <c r="B2775" s="11" t="s">
        <v>7364</v>
      </c>
      <c r="C2775" s="11" t="s">
        <v>81</v>
      </c>
      <c r="D2775" s="4" t="s">
        <v>1406</v>
      </c>
      <c r="E2775" t="s">
        <v>3011</v>
      </c>
      <c r="F2775" s="9">
        <f t="shared" si="178"/>
        <v>0</v>
      </c>
      <c r="G2775" s="9">
        <f t="shared" si="179"/>
        <v>0</v>
      </c>
      <c r="H2775" s="9">
        <f t="shared" si="180"/>
        <v>0</v>
      </c>
      <c r="I2775" s="10">
        <f t="shared" si="181"/>
        <v>0</v>
      </c>
    </row>
    <row r="2776" spans="1:9" x14ac:dyDescent="0.25">
      <c r="A2776" s="11" t="s">
        <v>7365</v>
      </c>
      <c r="B2776" s="11" t="s">
        <v>7366</v>
      </c>
      <c r="C2776" s="11" t="s">
        <v>81</v>
      </c>
      <c r="D2776" s="4" t="s">
        <v>1406</v>
      </c>
      <c r="E2776" t="s">
        <v>3011</v>
      </c>
      <c r="F2776" s="9">
        <f t="shared" si="178"/>
        <v>0</v>
      </c>
      <c r="G2776" s="9">
        <f t="shared" si="179"/>
        <v>0</v>
      </c>
      <c r="H2776" s="9">
        <f t="shared" si="180"/>
        <v>0</v>
      </c>
      <c r="I2776" s="10">
        <f t="shared" si="181"/>
        <v>0</v>
      </c>
    </row>
    <row r="2777" spans="1:9" x14ac:dyDescent="0.25">
      <c r="A2777" s="11" t="s">
        <v>7367</v>
      </c>
      <c r="B2777" s="11" t="s">
        <v>7368</v>
      </c>
      <c r="C2777" s="11" t="s">
        <v>81</v>
      </c>
      <c r="D2777" s="4" t="s">
        <v>1406</v>
      </c>
      <c r="E2777" t="s">
        <v>3011</v>
      </c>
      <c r="F2777" s="9">
        <f t="shared" si="178"/>
        <v>0</v>
      </c>
      <c r="G2777" s="9">
        <f t="shared" si="179"/>
        <v>0</v>
      </c>
      <c r="H2777" s="9">
        <f t="shared" si="180"/>
        <v>0</v>
      </c>
      <c r="I2777" s="10">
        <f t="shared" si="181"/>
        <v>0</v>
      </c>
    </row>
    <row r="2778" spans="1:9" x14ac:dyDescent="0.25">
      <c r="A2778" s="11" t="s">
        <v>7369</v>
      </c>
      <c r="B2778" s="11" t="s">
        <v>7370</v>
      </c>
      <c r="C2778" s="11" t="s">
        <v>81</v>
      </c>
      <c r="D2778" s="4" t="s">
        <v>1406</v>
      </c>
      <c r="E2778" t="s">
        <v>3011</v>
      </c>
      <c r="F2778" s="9">
        <f t="shared" si="178"/>
        <v>0</v>
      </c>
      <c r="G2778" s="9">
        <f t="shared" si="179"/>
        <v>0</v>
      </c>
      <c r="H2778" s="9">
        <f t="shared" si="180"/>
        <v>0</v>
      </c>
      <c r="I2778" s="10">
        <f t="shared" si="181"/>
        <v>0</v>
      </c>
    </row>
    <row r="2779" spans="1:9" x14ac:dyDescent="0.25">
      <c r="A2779" s="11" t="s">
        <v>7371</v>
      </c>
      <c r="B2779" s="11" t="s">
        <v>7372</v>
      </c>
      <c r="C2779" s="11" t="s">
        <v>81</v>
      </c>
      <c r="D2779" s="4" t="s">
        <v>1406</v>
      </c>
      <c r="E2779" t="s">
        <v>3011</v>
      </c>
      <c r="F2779" s="9">
        <f t="shared" si="178"/>
        <v>0</v>
      </c>
      <c r="G2779" s="9">
        <f t="shared" si="179"/>
        <v>0</v>
      </c>
      <c r="H2779" s="9">
        <f t="shared" si="180"/>
        <v>0</v>
      </c>
      <c r="I2779" s="10">
        <f t="shared" si="181"/>
        <v>0</v>
      </c>
    </row>
    <row r="2780" spans="1:9" x14ac:dyDescent="0.25">
      <c r="A2780" s="11" t="s">
        <v>7373</v>
      </c>
      <c r="B2780" s="11" t="s">
        <v>7374</v>
      </c>
      <c r="C2780" s="11" t="s">
        <v>81</v>
      </c>
      <c r="D2780" s="4" t="s">
        <v>1406</v>
      </c>
      <c r="E2780" t="s">
        <v>3011</v>
      </c>
      <c r="F2780" s="9">
        <f t="shared" si="178"/>
        <v>0</v>
      </c>
      <c r="G2780" s="9">
        <f t="shared" si="179"/>
        <v>0</v>
      </c>
      <c r="H2780" s="9">
        <f t="shared" si="180"/>
        <v>0</v>
      </c>
      <c r="I2780" s="10">
        <f t="shared" si="181"/>
        <v>0</v>
      </c>
    </row>
    <row r="2781" spans="1:9" x14ac:dyDescent="0.25">
      <c r="A2781" s="11" t="s">
        <v>7375</v>
      </c>
      <c r="B2781" s="11" t="s">
        <v>7376</v>
      </c>
      <c r="C2781" s="11" t="s">
        <v>81</v>
      </c>
      <c r="D2781" s="4" t="s">
        <v>1406</v>
      </c>
      <c r="E2781" t="s">
        <v>3011</v>
      </c>
      <c r="F2781" s="9">
        <f t="shared" si="178"/>
        <v>0</v>
      </c>
      <c r="G2781" s="9">
        <f t="shared" si="179"/>
        <v>0</v>
      </c>
      <c r="H2781" s="9">
        <f t="shared" si="180"/>
        <v>0</v>
      </c>
      <c r="I2781" s="10">
        <f t="shared" si="181"/>
        <v>0</v>
      </c>
    </row>
    <row r="2782" spans="1:9" x14ac:dyDescent="0.25">
      <c r="A2782" s="11" t="s">
        <v>7377</v>
      </c>
      <c r="B2782" s="11" t="s">
        <v>7378</v>
      </c>
      <c r="C2782" s="11" t="s">
        <v>81</v>
      </c>
      <c r="D2782" s="4" t="s">
        <v>1406</v>
      </c>
      <c r="E2782" t="s">
        <v>3011</v>
      </c>
      <c r="F2782" s="9">
        <f t="shared" si="178"/>
        <v>0</v>
      </c>
      <c r="G2782" s="9">
        <f t="shared" si="179"/>
        <v>0</v>
      </c>
      <c r="H2782" s="9">
        <f t="shared" si="180"/>
        <v>0</v>
      </c>
      <c r="I2782" s="10">
        <f t="shared" si="181"/>
        <v>0</v>
      </c>
    </row>
    <row r="2783" spans="1:9" x14ac:dyDescent="0.25">
      <c r="A2783" s="11" t="s">
        <v>7379</v>
      </c>
      <c r="B2783" s="11" t="s">
        <v>7380</v>
      </c>
      <c r="C2783" s="11" t="s">
        <v>81</v>
      </c>
      <c r="D2783" s="4" t="s">
        <v>1406</v>
      </c>
      <c r="E2783" t="s">
        <v>3011</v>
      </c>
      <c r="F2783" s="9">
        <f t="shared" si="178"/>
        <v>0</v>
      </c>
      <c r="G2783" s="9">
        <f t="shared" si="179"/>
        <v>0</v>
      </c>
      <c r="H2783" s="9">
        <f t="shared" si="180"/>
        <v>0</v>
      </c>
      <c r="I2783" s="10">
        <f t="shared" si="181"/>
        <v>0</v>
      </c>
    </row>
    <row r="2784" spans="1:9" x14ac:dyDescent="0.25">
      <c r="A2784" s="11" t="s">
        <v>7381</v>
      </c>
      <c r="B2784" s="11" t="s">
        <v>7382</v>
      </c>
      <c r="C2784" s="11" t="s">
        <v>81</v>
      </c>
      <c r="D2784" s="4" t="s">
        <v>1406</v>
      </c>
      <c r="E2784" t="s">
        <v>3011</v>
      </c>
      <c r="F2784" s="9">
        <f t="shared" si="178"/>
        <v>0</v>
      </c>
      <c r="G2784" s="9">
        <f t="shared" si="179"/>
        <v>0</v>
      </c>
      <c r="H2784" s="9">
        <f t="shared" si="180"/>
        <v>0</v>
      </c>
      <c r="I2784" s="10">
        <f t="shared" si="181"/>
        <v>0</v>
      </c>
    </row>
    <row r="2785" spans="1:9" x14ac:dyDescent="0.25">
      <c r="A2785" s="11" t="s">
        <v>7383</v>
      </c>
      <c r="B2785" s="11" t="s">
        <v>7384</v>
      </c>
      <c r="C2785" s="11" t="s">
        <v>81</v>
      </c>
      <c r="D2785" s="4" t="s">
        <v>1406</v>
      </c>
      <c r="E2785" t="s">
        <v>3011</v>
      </c>
      <c r="F2785" s="9">
        <f t="shared" si="178"/>
        <v>0</v>
      </c>
      <c r="G2785" s="9">
        <f t="shared" si="179"/>
        <v>0</v>
      </c>
      <c r="H2785" s="9">
        <f t="shared" si="180"/>
        <v>0</v>
      </c>
      <c r="I2785" s="10">
        <f t="shared" si="181"/>
        <v>0</v>
      </c>
    </row>
    <row r="2786" spans="1:9" x14ac:dyDescent="0.25">
      <c r="A2786" s="11" t="s">
        <v>7385</v>
      </c>
      <c r="B2786" s="11" t="s">
        <v>7386</v>
      </c>
      <c r="C2786" s="11" t="s">
        <v>81</v>
      </c>
      <c r="D2786" s="4" t="s">
        <v>1406</v>
      </c>
      <c r="E2786" t="s">
        <v>3011</v>
      </c>
      <c r="F2786" s="9">
        <f t="shared" si="178"/>
        <v>0</v>
      </c>
      <c r="G2786" s="9">
        <f t="shared" si="179"/>
        <v>0</v>
      </c>
      <c r="H2786" s="9">
        <f t="shared" si="180"/>
        <v>0</v>
      </c>
      <c r="I2786" s="10">
        <f t="shared" si="181"/>
        <v>0</v>
      </c>
    </row>
    <row r="2787" spans="1:9" x14ac:dyDescent="0.25">
      <c r="A2787" s="11" t="s">
        <v>7387</v>
      </c>
      <c r="B2787" s="11" t="s">
        <v>7388</v>
      </c>
      <c r="C2787" s="11" t="s">
        <v>81</v>
      </c>
      <c r="D2787" s="4" t="s">
        <v>1406</v>
      </c>
      <c r="E2787" t="s">
        <v>3011</v>
      </c>
      <c r="F2787" s="9">
        <f t="shared" si="178"/>
        <v>0</v>
      </c>
      <c r="G2787" s="9">
        <f t="shared" si="179"/>
        <v>0</v>
      </c>
      <c r="H2787" s="9">
        <f t="shared" si="180"/>
        <v>0</v>
      </c>
      <c r="I2787" s="10">
        <f t="shared" si="181"/>
        <v>0</v>
      </c>
    </row>
    <row r="2788" spans="1:9" x14ac:dyDescent="0.25">
      <c r="A2788" s="11" t="s">
        <v>7389</v>
      </c>
      <c r="B2788" s="11" t="s">
        <v>7390</v>
      </c>
      <c r="C2788" s="11" t="s">
        <v>81</v>
      </c>
      <c r="D2788" s="4" t="s">
        <v>1406</v>
      </c>
      <c r="E2788" t="s">
        <v>3011</v>
      </c>
      <c r="F2788" s="9">
        <f t="shared" si="178"/>
        <v>0</v>
      </c>
      <c r="G2788" s="9">
        <f t="shared" si="179"/>
        <v>0</v>
      </c>
      <c r="H2788" s="9">
        <f t="shared" si="180"/>
        <v>0</v>
      </c>
      <c r="I2788" s="10">
        <f t="shared" si="181"/>
        <v>0</v>
      </c>
    </row>
    <row r="2789" spans="1:9" x14ac:dyDescent="0.25">
      <c r="A2789" s="11" t="s">
        <v>7391</v>
      </c>
      <c r="B2789" s="11" t="s">
        <v>7392</v>
      </c>
      <c r="C2789" s="11" t="s">
        <v>81</v>
      </c>
      <c r="D2789" s="4" t="s">
        <v>1406</v>
      </c>
      <c r="E2789" t="s">
        <v>3011</v>
      </c>
      <c r="F2789" s="9">
        <f t="shared" si="178"/>
        <v>0</v>
      </c>
      <c r="G2789" s="9">
        <f t="shared" si="179"/>
        <v>0</v>
      </c>
      <c r="H2789" s="9">
        <f t="shared" si="180"/>
        <v>0</v>
      </c>
      <c r="I2789" s="10">
        <f t="shared" si="181"/>
        <v>0</v>
      </c>
    </row>
    <row r="2790" spans="1:9" x14ac:dyDescent="0.25">
      <c r="A2790" s="11" t="s">
        <v>7393</v>
      </c>
      <c r="B2790" s="11" t="s">
        <v>7394</v>
      </c>
      <c r="C2790" s="11" t="s">
        <v>81</v>
      </c>
      <c r="D2790" s="4" t="s">
        <v>1406</v>
      </c>
      <c r="E2790" t="s">
        <v>3011</v>
      </c>
      <c r="F2790" s="9">
        <f t="shared" si="178"/>
        <v>0</v>
      </c>
      <c r="G2790" s="9">
        <f t="shared" si="179"/>
        <v>0</v>
      </c>
      <c r="H2790" s="9">
        <f t="shared" si="180"/>
        <v>0</v>
      </c>
      <c r="I2790" s="10">
        <f t="shared" si="181"/>
        <v>0</v>
      </c>
    </row>
    <row r="2791" spans="1:9" x14ac:dyDescent="0.25">
      <c r="A2791" s="11" t="s">
        <v>7395</v>
      </c>
      <c r="B2791" s="11" t="s">
        <v>7396</v>
      </c>
      <c r="C2791" s="11" t="s">
        <v>81</v>
      </c>
      <c r="D2791" s="4" t="s">
        <v>1406</v>
      </c>
      <c r="E2791" t="s">
        <v>3011</v>
      </c>
      <c r="F2791" s="9">
        <f t="shared" si="178"/>
        <v>0</v>
      </c>
      <c r="G2791" s="9">
        <f t="shared" si="179"/>
        <v>0</v>
      </c>
      <c r="H2791" s="9">
        <f t="shared" si="180"/>
        <v>0</v>
      </c>
      <c r="I2791" s="10">
        <f t="shared" si="181"/>
        <v>0</v>
      </c>
    </row>
    <row r="2792" spans="1:9" x14ac:dyDescent="0.25">
      <c r="A2792" s="11" t="s">
        <v>7397</v>
      </c>
      <c r="B2792" s="11" t="s">
        <v>7398</v>
      </c>
      <c r="C2792" s="11" t="s">
        <v>81</v>
      </c>
      <c r="D2792" s="4" t="s">
        <v>1406</v>
      </c>
      <c r="E2792" t="s">
        <v>30</v>
      </c>
      <c r="F2792" s="9">
        <f t="shared" si="178"/>
        <v>0</v>
      </c>
      <c r="G2792" s="9">
        <f t="shared" si="179"/>
        <v>0</v>
      </c>
      <c r="H2792" s="9">
        <f t="shared" si="180"/>
        <v>0</v>
      </c>
      <c r="I2792" s="10">
        <f t="shared" si="181"/>
        <v>0</v>
      </c>
    </row>
    <row r="2793" spans="1:9" x14ac:dyDescent="0.25">
      <c r="A2793" s="11" t="s">
        <v>7399</v>
      </c>
      <c r="B2793" s="11" t="s">
        <v>7400</v>
      </c>
      <c r="C2793" s="11" t="s">
        <v>81</v>
      </c>
      <c r="D2793" s="4" t="s">
        <v>1406</v>
      </c>
      <c r="E2793" t="s">
        <v>30</v>
      </c>
      <c r="F2793" s="9">
        <f t="shared" si="178"/>
        <v>0</v>
      </c>
      <c r="G2793" s="9">
        <f t="shared" si="179"/>
        <v>0</v>
      </c>
      <c r="H2793" s="9">
        <f t="shared" si="180"/>
        <v>0</v>
      </c>
      <c r="I2793" s="10">
        <f t="shared" si="181"/>
        <v>0</v>
      </c>
    </row>
    <row r="2794" spans="1:9" x14ac:dyDescent="0.25">
      <c r="A2794" s="11" t="s">
        <v>7401</v>
      </c>
      <c r="B2794" s="11" t="s">
        <v>7402</v>
      </c>
      <c r="C2794" s="11" t="s">
        <v>81</v>
      </c>
      <c r="D2794" s="4" t="s">
        <v>1406</v>
      </c>
      <c r="E2794" t="s">
        <v>30</v>
      </c>
      <c r="F2794" s="9">
        <f t="shared" si="178"/>
        <v>0</v>
      </c>
      <c r="G2794" s="9">
        <f t="shared" si="179"/>
        <v>0</v>
      </c>
      <c r="H2794" s="9">
        <f t="shared" si="180"/>
        <v>0</v>
      </c>
      <c r="I2794" s="10">
        <f t="shared" si="181"/>
        <v>0</v>
      </c>
    </row>
    <row r="2795" spans="1:9" x14ac:dyDescent="0.25">
      <c r="A2795" s="11" t="s">
        <v>7403</v>
      </c>
      <c r="B2795" s="11" t="s">
        <v>7404</v>
      </c>
      <c r="C2795" s="11" t="s">
        <v>81</v>
      </c>
      <c r="D2795" s="4" t="s">
        <v>1406</v>
      </c>
      <c r="E2795" t="s">
        <v>30</v>
      </c>
      <c r="F2795" s="9">
        <f t="shared" si="178"/>
        <v>0</v>
      </c>
      <c r="G2795" s="9">
        <f t="shared" si="179"/>
        <v>0</v>
      </c>
      <c r="H2795" s="9">
        <f t="shared" si="180"/>
        <v>0</v>
      </c>
      <c r="I2795" s="10">
        <f t="shared" si="181"/>
        <v>0</v>
      </c>
    </row>
    <row r="2796" spans="1:9" x14ac:dyDescent="0.25">
      <c r="A2796" s="11" t="s">
        <v>7405</v>
      </c>
      <c r="B2796" s="11" t="s">
        <v>7406</v>
      </c>
      <c r="C2796" s="11" t="s">
        <v>1046</v>
      </c>
      <c r="D2796" s="4" t="s">
        <v>1406</v>
      </c>
      <c r="E2796" t="s">
        <v>30</v>
      </c>
      <c r="F2796" s="9">
        <f t="shared" si="178"/>
        <v>0</v>
      </c>
      <c r="G2796" s="9">
        <f t="shared" si="179"/>
        <v>0</v>
      </c>
      <c r="H2796" s="9">
        <f t="shared" si="180"/>
        <v>0</v>
      </c>
      <c r="I2796" s="10">
        <f t="shared" si="181"/>
        <v>0</v>
      </c>
    </row>
    <row r="2797" spans="1:9" x14ac:dyDescent="0.25">
      <c r="A2797" s="11" t="s">
        <v>7407</v>
      </c>
      <c r="B2797" s="11" t="s">
        <v>7408</v>
      </c>
      <c r="C2797" s="11" t="s">
        <v>1046</v>
      </c>
      <c r="D2797" s="4" t="s">
        <v>1406</v>
      </c>
      <c r="E2797" t="s">
        <v>101</v>
      </c>
      <c r="F2797" s="9">
        <f t="shared" si="178"/>
        <v>0</v>
      </c>
      <c r="G2797" s="9">
        <f t="shared" si="179"/>
        <v>0</v>
      </c>
      <c r="H2797" s="9">
        <f t="shared" si="180"/>
        <v>0</v>
      </c>
      <c r="I2797" s="10">
        <f t="shared" si="181"/>
        <v>0</v>
      </c>
    </row>
    <row r="2798" spans="1:9" x14ac:dyDescent="0.25">
      <c r="A2798" s="11" t="s">
        <v>7409</v>
      </c>
      <c r="B2798" s="11" t="s">
        <v>7410</v>
      </c>
      <c r="C2798" s="11" t="s">
        <v>1046</v>
      </c>
      <c r="D2798" s="4" t="s">
        <v>1406</v>
      </c>
      <c r="E2798" t="s">
        <v>101</v>
      </c>
      <c r="F2798" s="9">
        <f t="shared" si="178"/>
        <v>0</v>
      </c>
      <c r="G2798" s="9">
        <f t="shared" si="179"/>
        <v>0</v>
      </c>
      <c r="H2798" s="9">
        <f t="shared" si="180"/>
        <v>0</v>
      </c>
      <c r="I2798" s="10">
        <f t="shared" si="181"/>
        <v>0</v>
      </c>
    </row>
    <row r="2799" spans="1:9" x14ac:dyDescent="0.25">
      <c r="A2799" s="11" t="s">
        <v>7411</v>
      </c>
      <c r="B2799" s="11" t="s">
        <v>7412</v>
      </c>
      <c r="C2799" s="11" t="s">
        <v>1046</v>
      </c>
      <c r="D2799" s="4" t="s">
        <v>1406</v>
      </c>
      <c r="E2799" t="s">
        <v>101</v>
      </c>
      <c r="F2799" s="9">
        <f t="shared" si="178"/>
        <v>0</v>
      </c>
      <c r="G2799" s="9">
        <f t="shared" si="179"/>
        <v>0</v>
      </c>
      <c r="H2799" s="9">
        <f t="shared" si="180"/>
        <v>0</v>
      </c>
      <c r="I2799" s="10">
        <f t="shared" si="181"/>
        <v>0</v>
      </c>
    </row>
    <row r="2800" spans="1:9" x14ac:dyDescent="0.25">
      <c r="A2800" s="11" t="s">
        <v>7413</v>
      </c>
      <c r="B2800" s="11" t="s">
        <v>7414</v>
      </c>
      <c r="C2800" s="11" t="s">
        <v>1046</v>
      </c>
      <c r="D2800" s="4" t="s">
        <v>1406</v>
      </c>
      <c r="E2800" t="s">
        <v>30</v>
      </c>
      <c r="F2800" s="9">
        <f t="shared" si="178"/>
        <v>0</v>
      </c>
      <c r="G2800" s="9">
        <f t="shared" si="179"/>
        <v>0</v>
      </c>
      <c r="H2800" s="9">
        <f t="shared" si="180"/>
        <v>0</v>
      </c>
      <c r="I2800" s="10">
        <f t="shared" si="181"/>
        <v>0</v>
      </c>
    </row>
    <row r="2801" spans="1:9" x14ac:dyDescent="0.25">
      <c r="A2801" s="11" t="s">
        <v>7415</v>
      </c>
      <c r="B2801" s="11" t="s">
        <v>7416</v>
      </c>
      <c r="C2801" s="11" t="s">
        <v>1046</v>
      </c>
      <c r="D2801" s="4" t="s">
        <v>1406</v>
      </c>
      <c r="E2801" t="s">
        <v>101</v>
      </c>
      <c r="F2801" s="9">
        <f t="shared" si="178"/>
        <v>0</v>
      </c>
      <c r="G2801" s="9">
        <f t="shared" si="179"/>
        <v>0</v>
      </c>
      <c r="H2801" s="9">
        <f t="shared" si="180"/>
        <v>0</v>
      </c>
      <c r="I2801" s="10">
        <f t="shared" si="181"/>
        <v>0</v>
      </c>
    </row>
    <row r="2802" spans="1:9" x14ac:dyDescent="0.25">
      <c r="A2802" s="11" t="s">
        <v>7417</v>
      </c>
      <c r="B2802" s="11" t="s">
        <v>7418</v>
      </c>
      <c r="C2802" s="11" t="s">
        <v>1046</v>
      </c>
      <c r="D2802" s="4" t="s">
        <v>1406</v>
      </c>
      <c r="E2802" t="s">
        <v>101</v>
      </c>
      <c r="F2802" s="9">
        <f t="shared" si="178"/>
        <v>0</v>
      </c>
      <c r="G2802" s="9">
        <f t="shared" si="179"/>
        <v>0</v>
      </c>
      <c r="H2802" s="9">
        <f t="shared" si="180"/>
        <v>0</v>
      </c>
      <c r="I2802" s="10">
        <f t="shared" si="181"/>
        <v>0</v>
      </c>
    </row>
    <row r="2803" spans="1:9" x14ac:dyDescent="0.25">
      <c r="A2803" s="11" t="s">
        <v>7419</v>
      </c>
      <c r="B2803" s="11" t="s">
        <v>7420</v>
      </c>
      <c r="C2803" s="11" t="s">
        <v>1046</v>
      </c>
      <c r="D2803" s="4" t="s">
        <v>1406</v>
      </c>
      <c r="E2803" t="s">
        <v>82</v>
      </c>
      <c r="F2803" s="9">
        <f t="shared" si="178"/>
        <v>0</v>
      </c>
      <c r="G2803" s="9">
        <f t="shared" si="179"/>
        <v>0</v>
      </c>
      <c r="H2803" s="9">
        <f t="shared" si="180"/>
        <v>0</v>
      </c>
      <c r="I2803" s="10">
        <f t="shared" si="181"/>
        <v>0</v>
      </c>
    </row>
    <row r="2804" spans="1:9" x14ac:dyDescent="0.25">
      <c r="A2804" s="11" t="s">
        <v>7421</v>
      </c>
      <c r="B2804" s="11" t="s">
        <v>7422</v>
      </c>
      <c r="C2804" s="11" t="s">
        <v>1046</v>
      </c>
      <c r="D2804" s="4" t="s">
        <v>1406</v>
      </c>
      <c r="E2804" t="s">
        <v>101</v>
      </c>
      <c r="F2804" s="9">
        <f t="shared" si="178"/>
        <v>0</v>
      </c>
      <c r="G2804" s="9">
        <f t="shared" si="179"/>
        <v>0</v>
      </c>
      <c r="H2804" s="9">
        <f t="shared" si="180"/>
        <v>0</v>
      </c>
      <c r="I2804" s="10">
        <f t="shared" si="181"/>
        <v>0</v>
      </c>
    </row>
    <row r="2805" spans="1:9" x14ac:dyDescent="0.25">
      <c r="A2805" s="11" t="s">
        <v>7423</v>
      </c>
      <c r="B2805" s="11" t="s">
        <v>7424</v>
      </c>
      <c r="C2805" s="11" t="s">
        <v>1046</v>
      </c>
      <c r="D2805" s="4" t="s">
        <v>1406</v>
      </c>
      <c r="E2805" t="s">
        <v>101</v>
      </c>
      <c r="F2805" s="9">
        <f t="shared" si="178"/>
        <v>0</v>
      </c>
      <c r="G2805" s="9">
        <f t="shared" si="179"/>
        <v>0</v>
      </c>
      <c r="H2805" s="9">
        <f t="shared" si="180"/>
        <v>0</v>
      </c>
      <c r="I2805" s="10">
        <f t="shared" si="181"/>
        <v>0</v>
      </c>
    </row>
    <row r="2806" spans="1:9" x14ac:dyDescent="0.25">
      <c r="A2806" s="11" t="s">
        <v>7425</v>
      </c>
      <c r="B2806" s="11" t="s">
        <v>7426</v>
      </c>
      <c r="C2806" s="11" t="s">
        <v>1046</v>
      </c>
      <c r="D2806" s="4" t="s">
        <v>1406</v>
      </c>
      <c r="E2806" t="s">
        <v>101</v>
      </c>
      <c r="F2806" s="9">
        <f t="shared" si="178"/>
        <v>0</v>
      </c>
      <c r="G2806" s="9">
        <f t="shared" si="179"/>
        <v>0</v>
      </c>
      <c r="H2806" s="9">
        <f t="shared" si="180"/>
        <v>0</v>
      </c>
      <c r="I2806" s="10">
        <f t="shared" si="181"/>
        <v>0</v>
      </c>
    </row>
    <row r="2807" spans="1:9" x14ac:dyDescent="0.25">
      <c r="A2807" s="11" t="s">
        <v>7427</v>
      </c>
      <c r="B2807" s="11" t="s">
        <v>7428</v>
      </c>
      <c r="C2807" s="11" t="s">
        <v>1046</v>
      </c>
      <c r="D2807" s="4" t="s">
        <v>1406</v>
      </c>
      <c r="E2807" t="s">
        <v>101</v>
      </c>
      <c r="F2807" s="9">
        <f t="shared" si="178"/>
        <v>0</v>
      </c>
      <c r="G2807" s="9">
        <f t="shared" si="179"/>
        <v>0</v>
      </c>
      <c r="H2807" s="9">
        <f t="shared" si="180"/>
        <v>0</v>
      </c>
      <c r="I2807" s="10">
        <f t="shared" si="181"/>
        <v>0</v>
      </c>
    </row>
    <row r="2808" spans="1:9" x14ac:dyDescent="0.25">
      <c r="A2808" s="11" t="s">
        <v>7429</v>
      </c>
      <c r="B2808" s="11" t="s">
        <v>7430</v>
      </c>
      <c r="C2808" s="11" t="s">
        <v>1046</v>
      </c>
      <c r="D2808" s="4" t="s">
        <v>1406</v>
      </c>
      <c r="E2808" t="s">
        <v>3011</v>
      </c>
      <c r="F2808" s="9">
        <f t="shared" si="178"/>
        <v>0</v>
      </c>
      <c r="G2808" s="9">
        <f t="shared" si="179"/>
        <v>0</v>
      </c>
      <c r="H2808" s="9">
        <f t="shared" si="180"/>
        <v>0</v>
      </c>
      <c r="I2808" s="10">
        <f t="shared" si="181"/>
        <v>0</v>
      </c>
    </row>
    <row r="2809" spans="1:9" x14ac:dyDescent="0.25">
      <c r="A2809" s="11" t="s">
        <v>7431</v>
      </c>
      <c r="B2809" s="11" t="s">
        <v>7432</v>
      </c>
      <c r="C2809" s="11" t="s">
        <v>95</v>
      </c>
      <c r="D2809" s="4" t="s">
        <v>1406</v>
      </c>
      <c r="E2809" t="s">
        <v>30</v>
      </c>
      <c r="F2809" s="9">
        <f t="shared" si="178"/>
        <v>0</v>
      </c>
      <c r="G2809" s="9">
        <f t="shared" si="179"/>
        <v>0</v>
      </c>
      <c r="H2809" s="9">
        <f t="shared" si="180"/>
        <v>0</v>
      </c>
      <c r="I2809" s="10">
        <f t="shared" si="181"/>
        <v>0</v>
      </c>
    </row>
    <row r="2810" spans="1:9" x14ac:dyDescent="0.25">
      <c r="A2810" s="11" t="s">
        <v>7433</v>
      </c>
      <c r="B2810" s="11" t="s">
        <v>7434</v>
      </c>
      <c r="C2810" s="11" t="s">
        <v>95</v>
      </c>
      <c r="D2810" s="4" t="s">
        <v>1406</v>
      </c>
      <c r="E2810" t="s">
        <v>30</v>
      </c>
      <c r="F2810" s="9">
        <f t="shared" si="178"/>
        <v>0</v>
      </c>
      <c r="G2810" s="9">
        <f t="shared" si="179"/>
        <v>0</v>
      </c>
      <c r="H2810" s="9">
        <f t="shared" si="180"/>
        <v>0</v>
      </c>
      <c r="I2810" s="10">
        <f t="shared" si="181"/>
        <v>0</v>
      </c>
    </row>
    <row r="2811" spans="1:9" x14ac:dyDescent="0.25">
      <c r="A2811" s="11" t="s">
        <v>7435</v>
      </c>
      <c r="B2811" s="11" t="s">
        <v>7436</v>
      </c>
      <c r="C2811" s="11" t="s">
        <v>95</v>
      </c>
      <c r="D2811" s="4" t="s">
        <v>1406</v>
      </c>
      <c r="E2811" t="s">
        <v>30</v>
      </c>
      <c r="F2811" s="9">
        <f t="shared" si="178"/>
        <v>0</v>
      </c>
      <c r="G2811" s="9">
        <f t="shared" si="179"/>
        <v>0</v>
      </c>
      <c r="H2811" s="9">
        <f t="shared" si="180"/>
        <v>0</v>
      </c>
      <c r="I2811" s="10">
        <f t="shared" si="181"/>
        <v>0</v>
      </c>
    </row>
    <row r="2812" spans="1:9" x14ac:dyDescent="0.25">
      <c r="A2812" s="11" t="s">
        <v>7437</v>
      </c>
      <c r="B2812" s="11" t="s">
        <v>7438</v>
      </c>
      <c r="C2812" s="11" t="s">
        <v>95</v>
      </c>
      <c r="D2812" s="4" t="s">
        <v>1406</v>
      </c>
      <c r="E2812" t="s">
        <v>30</v>
      </c>
      <c r="F2812" s="9">
        <f t="shared" si="178"/>
        <v>0</v>
      </c>
      <c r="G2812" s="9">
        <f t="shared" si="179"/>
        <v>0</v>
      </c>
      <c r="H2812" s="9">
        <f t="shared" si="180"/>
        <v>0</v>
      </c>
      <c r="I2812" s="10">
        <f t="shared" si="181"/>
        <v>0</v>
      </c>
    </row>
    <row r="2813" spans="1:9" x14ac:dyDescent="0.25">
      <c r="A2813" s="11" t="s">
        <v>7439</v>
      </c>
      <c r="B2813" s="11" t="s">
        <v>7440</v>
      </c>
      <c r="C2813" s="11" t="s">
        <v>95</v>
      </c>
      <c r="D2813" s="4" t="s">
        <v>1406</v>
      </c>
      <c r="E2813" t="s">
        <v>30</v>
      </c>
      <c r="F2813" s="9">
        <f t="shared" si="178"/>
        <v>0</v>
      </c>
      <c r="G2813" s="9">
        <f t="shared" si="179"/>
        <v>0</v>
      </c>
      <c r="H2813" s="9">
        <f t="shared" si="180"/>
        <v>0</v>
      </c>
      <c r="I2813" s="10">
        <f t="shared" si="181"/>
        <v>0</v>
      </c>
    </row>
    <row r="2814" spans="1:9" x14ac:dyDescent="0.25">
      <c r="A2814" s="11" t="s">
        <v>7441</v>
      </c>
      <c r="B2814" s="11" t="s">
        <v>7442</v>
      </c>
      <c r="C2814" s="11" t="s">
        <v>95</v>
      </c>
      <c r="D2814" s="4" t="s">
        <v>1406</v>
      </c>
      <c r="E2814" t="s">
        <v>30</v>
      </c>
      <c r="F2814" s="9">
        <f t="shared" si="178"/>
        <v>0</v>
      </c>
      <c r="G2814" s="9">
        <f t="shared" si="179"/>
        <v>0</v>
      </c>
      <c r="H2814" s="9">
        <f t="shared" si="180"/>
        <v>0</v>
      </c>
      <c r="I2814" s="10">
        <f t="shared" si="181"/>
        <v>0</v>
      </c>
    </row>
    <row r="2815" spans="1:9" x14ac:dyDescent="0.25">
      <c r="A2815" s="11" t="s">
        <v>7443</v>
      </c>
      <c r="B2815" s="11" t="s">
        <v>7444</v>
      </c>
      <c r="C2815" s="11" t="s">
        <v>95</v>
      </c>
      <c r="D2815" s="4" t="s">
        <v>1406</v>
      </c>
      <c r="E2815" t="s">
        <v>30</v>
      </c>
      <c r="F2815" s="9">
        <f t="shared" si="178"/>
        <v>0</v>
      </c>
      <c r="G2815" s="9">
        <f t="shared" si="179"/>
        <v>0</v>
      </c>
      <c r="H2815" s="9">
        <f t="shared" si="180"/>
        <v>0</v>
      </c>
      <c r="I2815" s="10">
        <f t="shared" si="181"/>
        <v>0</v>
      </c>
    </row>
    <row r="2816" spans="1:9" x14ac:dyDescent="0.25">
      <c r="A2816" s="11" t="s">
        <v>7445</v>
      </c>
      <c r="B2816" s="11" t="s">
        <v>7446</v>
      </c>
      <c r="C2816" s="11" t="s">
        <v>95</v>
      </c>
      <c r="D2816" s="4" t="s">
        <v>1406</v>
      </c>
      <c r="E2816" t="s">
        <v>30</v>
      </c>
      <c r="F2816" s="9">
        <f t="shared" si="178"/>
        <v>0</v>
      </c>
      <c r="G2816" s="9">
        <f t="shared" si="179"/>
        <v>0</v>
      </c>
      <c r="H2816" s="9">
        <f t="shared" si="180"/>
        <v>0</v>
      </c>
      <c r="I2816" s="10">
        <f t="shared" si="181"/>
        <v>0</v>
      </c>
    </row>
    <row r="2817" spans="1:9" x14ac:dyDescent="0.25">
      <c r="A2817" s="11" t="s">
        <v>7447</v>
      </c>
      <c r="B2817" s="11" t="s">
        <v>7448</v>
      </c>
      <c r="C2817" s="11" t="s">
        <v>95</v>
      </c>
      <c r="D2817" s="4" t="s">
        <v>1406</v>
      </c>
      <c r="E2817" t="s">
        <v>30</v>
      </c>
      <c r="F2817" s="9">
        <f t="shared" si="178"/>
        <v>0</v>
      </c>
      <c r="G2817" s="9">
        <f t="shared" si="179"/>
        <v>0</v>
      </c>
      <c r="H2817" s="9">
        <f t="shared" si="180"/>
        <v>0</v>
      </c>
      <c r="I2817" s="10">
        <f t="shared" si="181"/>
        <v>0</v>
      </c>
    </row>
    <row r="2818" spans="1:9" x14ac:dyDescent="0.25">
      <c r="A2818" s="11" t="s">
        <v>7449</v>
      </c>
      <c r="B2818" s="11" t="s">
        <v>7450</v>
      </c>
      <c r="C2818" s="11" t="s">
        <v>95</v>
      </c>
      <c r="D2818" s="4" t="s">
        <v>1406</v>
      </c>
      <c r="E2818" t="s">
        <v>30</v>
      </c>
      <c r="F2818" s="9">
        <f t="shared" si="178"/>
        <v>0</v>
      </c>
      <c r="G2818" s="9">
        <f t="shared" si="179"/>
        <v>0</v>
      </c>
      <c r="H2818" s="9">
        <f t="shared" si="180"/>
        <v>0</v>
      </c>
      <c r="I2818" s="10">
        <f t="shared" si="181"/>
        <v>0</v>
      </c>
    </row>
    <row r="2819" spans="1:9" x14ac:dyDescent="0.25">
      <c r="A2819" s="11" t="s">
        <v>7451</v>
      </c>
      <c r="B2819" s="11" t="s">
        <v>7452</v>
      </c>
      <c r="C2819" s="11" t="s">
        <v>95</v>
      </c>
      <c r="D2819" s="4" t="s">
        <v>1406</v>
      </c>
      <c r="E2819" t="s">
        <v>30</v>
      </c>
      <c r="F2819" s="9">
        <f t="shared" si="178"/>
        <v>0</v>
      </c>
      <c r="G2819" s="9">
        <f t="shared" si="179"/>
        <v>0</v>
      </c>
      <c r="H2819" s="9">
        <f t="shared" si="180"/>
        <v>0</v>
      </c>
      <c r="I2819" s="10">
        <f t="shared" si="181"/>
        <v>0</v>
      </c>
    </row>
    <row r="2820" spans="1:9" x14ac:dyDescent="0.25">
      <c r="A2820" s="11" t="s">
        <v>7453</v>
      </c>
      <c r="B2820" s="11" t="s">
        <v>7454</v>
      </c>
      <c r="C2820" s="11" t="s">
        <v>95</v>
      </c>
      <c r="D2820" s="4" t="s">
        <v>1406</v>
      </c>
      <c r="E2820" t="s">
        <v>30</v>
      </c>
      <c r="F2820" s="9">
        <f t="shared" si="178"/>
        <v>0</v>
      </c>
      <c r="G2820" s="9">
        <f t="shared" si="179"/>
        <v>0</v>
      </c>
      <c r="H2820" s="9">
        <f t="shared" si="180"/>
        <v>0</v>
      </c>
      <c r="I2820" s="10">
        <f t="shared" si="181"/>
        <v>0</v>
      </c>
    </row>
    <row r="2821" spans="1:9" x14ac:dyDescent="0.25">
      <c r="A2821" s="11" t="s">
        <v>7455</v>
      </c>
      <c r="B2821" s="11" t="s">
        <v>7456</v>
      </c>
      <c r="C2821" s="11" t="s">
        <v>95</v>
      </c>
      <c r="D2821" s="4" t="s">
        <v>1406</v>
      </c>
      <c r="E2821" t="s">
        <v>30</v>
      </c>
      <c r="F2821" s="9">
        <f t="shared" si="178"/>
        <v>0</v>
      </c>
      <c r="G2821" s="9">
        <f t="shared" si="179"/>
        <v>0</v>
      </c>
      <c r="H2821" s="9">
        <f t="shared" si="180"/>
        <v>0</v>
      </c>
      <c r="I2821" s="10">
        <f t="shared" si="181"/>
        <v>0</v>
      </c>
    </row>
    <row r="2822" spans="1:9" x14ac:dyDescent="0.25">
      <c r="A2822" s="11" t="s">
        <v>7457</v>
      </c>
      <c r="B2822" s="11" t="s">
        <v>7458</v>
      </c>
      <c r="C2822" s="11" t="s">
        <v>95</v>
      </c>
      <c r="D2822" s="4" t="s">
        <v>1406</v>
      </c>
      <c r="E2822" t="s">
        <v>30</v>
      </c>
      <c r="F2822" s="9">
        <f t="shared" si="178"/>
        <v>0</v>
      </c>
      <c r="G2822" s="9">
        <f t="shared" si="179"/>
        <v>0</v>
      </c>
      <c r="H2822" s="9">
        <f t="shared" si="180"/>
        <v>0</v>
      </c>
      <c r="I2822" s="10">
        <f t="shared" si="181"/>
        <v>0</v>
      </c>
    </row>
    <row r="2823" spans="1:9" x14ac:dyDescent="0.25">
      <c r="A2823" s="11" t="s">
        <v>7459</v>
      </c>
      <c r="B2823" s="11" t="s">
        <v>7460</v>
      </c>
      <c r="C2823" s="11" t="s">
        <v>95</v>
      </c>
      <c r="D2823" s="4" t="s">
        <v>1406</v>
      </c>
      <c r="E2823" t="s">
        <v>30</v>
      </c>
      <c r="F2823" s="9">
        <f t="shared" si="178"/>
        <v>0</v>
      </c>
      <c r="G2823" s="9">
        <f t="shared" si="179"/>
        <v>0</v>
      </c>
      <c r="H2823" s="9">
        <f t="shared" si="180"/>
        <v>0</v>
      </c>
      <c r="I2823" s="10">
        <f t="shared" si="181"/>
        <v>0</v>
      </c>
    </row>
    <row r="2824" spans="1:9" x14ac:dyDescent="0.25">
      <c r="A2824" s="11" t="s">
        <v>7461</v>
      </c>
      <c r="B2824" s="11" t="s">
        <v>7462</v>
      </c>
      <c r="C2824" s="11" t="s">
        <v>95</v>
      </c>
      <c r="D2824" s="4" t="s">
        <v>1406</v>
      </c>
      <c r="E2824" t="s">
        <v>30</v>
      </c>
      <c r="F2824" s="9">
        <f t="shared" ref="F2824:F2887" si="182">IFERROR(VLOOKUP(A2824,condi,8,0),0)</f>
        <v>0</v>
      </c>
      <c r="G2824" s="9">
        <f t="shared" ref="G2824:G2887" si="183">IFERROR(VLOOKUP(A2824,maqui,8,0),0)</f>
        <v>0</v>
      </c>
      <c r="H2824" s="9">
        <f t="shared" ref="H2824:H2887" si="184">IFERROR(VLOOKUP(A2824,ascint,8,0),0)</f>
        <v>0</v>
      </c>
      <c r="I2824" s="10">
        <f t="shared" ref="I2824:I2887" si="185">+F2824+G2824+H2824</f>
        <v>0</v>
      </c>
    </row>
    <row r="2825" spans="1:9" x14ac:dyDescent="0.25">
      <c r="A2825" s="11" t="s">
        <v>7463</v>
      </c>
      <c r="B2825" s="11" t="s">
        <v>7464</v>
      </c>
      <c r="C2825" s="11" t="s">
        <v>95</v>
      </c>
      <c r="D2825" s="4" t="s">
        <v>1406</v>
      </c>
      <c r="E2825" t="s">
        <v>30</v>
      </c>
      <c r="F2825" s="9">
        <f t="shared" si="182"/>
        <v>0</v>
      </c>
      <c r="G2825" s="9">
        <f t="shared" si="183"/>
        <v>0</v>
      </c>
      <c r="H2825" s="9">
        <f t="shared" si="184"/>
        <v>0</v>
      </c>
      <c r="I2825" s="10">
        <f t="shared" si="185"/>
        <v>0</v>
      </c>
    </row>
    <row r="2826" spans="1:9" x14ac:dyDescent="0.25">
      <c r="A2826" s="11" t="s">
        <v>7465</v>
      </c>
      <c r="B2826" s="11" t="s">
        <v>7466</v>
      </c>
      <c r="C2826" s="11" t="s">
        <v>95</v>
      </c>
      <c r="D2826" s="4" t="s">
        <v>1406</v>
      </c>
      <c r="E2826" t="s">
        <v>30</v>
      </c>
      <c r="F2826" s="9">
        <f t="shared" si="182"/>
        <v>0</v>
      </c>
      <c r="G2826" s="9">
        <f t="shared" si="183"/>
        <v>0</v>
      </c>
      <c r="H2826" s="9">
        <f t="shared" si="184"/>
        <v>0</v>
      </c>
      <c r="I2826" s="10">
        <f t="shared" si="185"/>
        <v>0</v>
      </c>
    </row>
    <row r="2827" spans="1:9" x14ac:dyDescent="0.25">
      <c r="A2827" s="11" t="s">
        <v>7467</v>
      </c>
      <c r="B2827" s="11" t="s">
        <v>7468</v>
      </c>
      <c r="C2827" s="11" t="s">
        <v>95</v>
      </c>
      <c r="D2827" s="4" t="s">
        <v>1406</v>
      </c>
      <c r="E2827" t="s">
        <v>30</v>
      </c>
      <c r="F2827" s="9">
        <f t="shared" si="182"/>
        <v>0</v>
      </c>
      <c r="G2827" s="9">
        <f t="shared" si="183"/>
        <v>0</v>
      </c>
      <c r="H2827" s="9">
        <f t="shared" si="184"/>
        <v>0</v>
      </c>
      <c r="I2827" s="10">
        <f t="shared" si="185"/>
        <v>0</v>
      </c>
    </row>
    <row r="2828" spans="1:9" x14ac:dyDescent="0.25">
      <c r="A2828" s="11" t="s">
        <v>7469</v>
      </c>
      <c r="B2828" s="11" t="s">
        <v>7470</v>
      </c>
      <c r="C2828" s="11" t="s">
        <v>95</v>
      </c>
      <c r="D2828" s="4" t="s">
        <v>1406</v>
      </c>
      <c r="E2828" t="s">
        <v>30</v>
      </c>
      <c r="F2828" s="9">
        <f t="shared" si="182"/>
        <v>0</v>
      </c>
      <c r="G2828" s="9">
        <f t="shared" si="183"/>
        <v>0</v>
      </c>
      <c r="H2828" s="9">
        <f t="shared" si="184"/>
        <v>0</v>
      </c>
      <c r="I2828" s="10">
        <f t="shared" si="185"/>
        <v>0</v>
      </c>
    </row>
    <row r="2829" spans="1:9" x14ac:dyDescent="0.25">
      <c r="A2829" s="11" t="s">
        <v>7471</v>
      </c>
      <c r="B2829" s="11" t="s">
        <v>7472</v>
      </c>
      <c r="C2829" s="11" t="s">
        <v>95</v>
      </c>
      <c r="D2829" s="4" t="s">
        <v>1406</v>
      </c>
      <c r="E2829" t="s">
        <v>30</v>
      </c>
      <c r="F2829" s="9">
        <f t="shared" si="182"/>
        <v>0</v>
      </c>
      <c r="G2829" s="9">
        <f t="shared" si="183"/>
        <v>0</v>
      </c>
      <c r="H2829" s="9">
        <f t="shared" si="184"/>
        <v>0</v>
      </c>
      <c r="I2829" s="10">
        <f t="shared" si="185"/>
        <v>0</v>
      </c>
    </row>
    <row r="2830" spans="1:9" x14ac:dyDescent="0.25">
      <c r="A2830" s="11" t="s">
        <v>7473</v>
      </c>
      <c r="B2830" s="11" t="s">
        <v>7474</v>
      </c>
      <c r="C2830" s="11" t="s">
        <v>95</v>
      </c>
      <c r="D2830" s="4" t="s">
        <v>1406</v>
      </c>
      <c r="E2830" t="s">
        <v>101</v>
      </c>
      <c r="F2830" s="9">
        <f t="shared" si="182"/>
        <v>0</v>
      </c>
      <c r="G2830" s="9">
        <f t="shared" si="183"/>
        <v>0</v>
      </c>
      <c r="H2830" s="9">
        <f t="shared" si="184"/>
        <v>0</v>
      </c>
      <c r="I2830" s="10">
        <f t="shared" si="185"/>
        <v>0</v>
      </c>
    </row>
    <row r="2831" spans="1:9" x14ac:dyDescent="0.25">
      <c r="A2831" s="11" t="s">
        <v>7475</v>
      </c>
      <c r="B2831" s="11" t="s">
        <v>7476</v>
      </c>
      <c r="C2831" s="11" t="s">
        <v>95</v>
      </c>
      <c r="D2831" s="4" t="s">
        <v>1406</v>
      </c>
      <c r="E2831" t="s">
        <v>101</v>
      </c>
      <c r="F2831" s="9">
        <f t="shared" si="182"/>
        <v>0</v>
      </c>
      <c r="G2831" s="9">
        <f t="shared" si="183"/>
        <v>0</v>
      </c>
      <c r="H2831" s="9">
        <f t="shared" si="184"/>
        <v>0</v>
      </c>
      <c r="I2831" s="10">
        <f t="shared" si="185"/>
        <v>0</v>
      </c>
    </row>
    <row r="2832" spans="1:9" x14ac:dyDescent="0.25">
      <c r="A2832" s="11" t="s">
        <v>7477</v>
      </c>
      <c r="B2832" s="11" t="s">
        <v>7478</v>
      </c>
      <c r="C2832" s="11" t="s">
        <v>95</v>
      </c>
      <c r="D2832" s="4" t="s">
        <v>1406</v>
      </c>
      <c r="E2832" t="s">
        <v>101</v>
      </c>
      <c r="F2832" s="9">
        <f t="shared" si="182"/>
        <v>0</v>
      </c>
      <c r="G2832" s="9">
        <f t="shared" si="183"/>
        <v>0</v>
      </c>
      <c r="H2832" s="9">
        <f t="shared" si="184"/>
        <v>0</v>
      </c>
      <c r="I2832" s="10">
        <f t="shared" si="185"/>
        <v>0</v>
      </c>
    </row>
    <row r="2833" spans="1:9" x14ac:dyDescent="0.25">
      <c r="A2833" s="11" t="s">
        <v>7479</v>
      </c>
      <c r="B2833" s="11" t="s">
        <v>7480</v>
      </c>
      <c r="C2833" s="11" t="s">
        <v>95</v>
      </c>
      <c r="D2833" s="4" t="s">
        <v>1406</v>
      </c>
      <c r="E2833" t="s">
        <v>101</v>
      </c>
      <c r="F2833" s="9">
        <f t="shared" si="182"/>
        <v>0</v>
      </c>
      <c r="G2833" s="9">
        <f t="shared" si="183"/>
        <v>0</v>
      </c>
      <c r="H2833" s="9">
        <f t="shared" si="184"/>
        <v>0</v>
      </c>
      <c r="I2833" s="10">
        <f t="shared" si="185"/>
        <v>0</v>
      </c>
    </row>
    <row r="2834" spans="1:9" x14ac:dyDescent="0.25">
      <c r="A2834" s="11" t="s">
        <v>7481</v>
      </c>
      <c r="B2834" s="11" t="s">
        <v>7482</v>
      </c>
      <c r="C2834" s="11" t="s">
        <v>95</v>
      </c>
      <c r="D2834" s="4" t="s">
        <v>1406</v>
      </c>
      <c r="E2834" t="s">
        <v>101</v>
      </c>
      <c r="F2834" s="9">
        <f t="shared" si="182"/>
        <v>0</v>
      </c>
      <c r="G2834" s="9">
        <f t="shared" si="183"/>
        <v>0</v>
      </c>
      <c r="H2834" s="9">
        <f t="shared" si="184"/>
        <v>0</v>
      </c>
      <c r="I2834" s="10">
        <f t="shared" si="185"/>
        <v>0</v>
      </c>
    </row>
    <row r="2835" spans="1:9" x14ac:dyDescent="0.25">
      <c r="A2835" s="11" t="s">
        <v>7483</v>
      </c>
      <c r="B2835" s="11" t="s">
        <v>7484</v>
      </c>
      <c r="C2835" s="11" t="s">
        <v>95</v>
      </c>
      <c r="D2835" s="4" t="s">
        <v>1406</v>
      </c>
      <c r="E2835" t="s">
        <v>104</v>
      </c>
      <c r="F2835" s="9">
        <f t="shared" si="182"/>
        <v>0</v>
      </c>
      <c r="G2835" s="9">
        <f t="shared" si="183"/>
        <v>0</v>
      </c>
      <c r="H2835" s="9">
        <f t="shared" si="184"/>
        <v>0</v>
      </c>
      <c r="I2835" s="10">
        <f t="shared" si="185"/>
        <v>0</v>
      </c>
    </row>
    <row r="2836" spans="1:9" x14ac:dyDescent="0.25">
      <c r="A2836" s="11" t="s">
        <v>7485</v>
      </c>
      <c r="B2836" s="11" t="s">
        <v>7486</v>
      </c>
      <c r="C2836" s="11" t="s">
        <v>95</v>
      </c>
      <c r="D2836" s="4" t="s">
        <v>1406</v>
      </c>
      <c r="E2836" t="s">
        <v>101</v>
      </c>
      <c r="F2836" s="9">
        <f t="shared" si="182"/>
        <v>0</v>
      </c>
      <c r="G2836" s="9">
        <f t="shared" si="183"/>
        <v>0</v>
      </c>
      <c r="H2836" s="9">
        <f t="shared" si="184"/>
        <v>0</v>
      </c>
      <c r="I2836" s="10">
        <f t="shared" si="185"/>
        <v>0</v>
      </c>
    </row>
    <row r="2837" spans="1:9" x14ac:dyDescent="0.25">
      <c r="A2837" s="11" t="s">
        <v>7487</v>
      </c>
      <c r="B2837" s="11" t="s">
        <v>7488</v>
      </c>
      <c r="C2837" s="11" t="s">
        <v>95</v>
      </c>
      <c r="D2837" s="4" t="s">
        <v>1406</v>
      </c>
      <c r="E2837" t="s">
        <v>101</v>
      </c>
      <c r="F2837" s="9">
        <f t="shared" si="182"/>
        <v>0</v>
      </c>
      <c r="G2837" s="9">
        <f t="shared" si="183"/>
        <v>0</v>
      </c>
      <c r="H2837" s="9">
        <f t="shared" si="184"/>
        <v>0</v>
      </c>
      <c r="I2837" s="10">
        <f t="shared" si="185"/>
        <v>0</v>
      </c>
    </row>
    <row r="2838" spans="1:9" x14ac:dyDescent="0.25">
      <c r="A2838" s="11" t="s">
        <v>7489</v>
      </c>
      <c r="B2838" s="11" t="s">
        <v>7490</v>
      </c>
      <c r="C2838" s="11" t="s">
        <v>95</v>
      </c>
      <c r="D2838" s="4" t="s">
        <v>1406</v>
      </c>
      <c r="E2838" t="s">
        <v>101</v>
      </c>
      <c r="F2838" s="9">
        <f t="shared" si="182"/>
        <v>0</v>
      </c>
      <c r="G2838" s="9">
        <f t="shared" si="183"/>
        <v>0</v>
      </c>
      <c r="H2838" s="9">
        <f t="shared" si="184"/>
        <v>0</v>
      </c>
      <c r="I2838" s="10">
        <f t="shared" si="185"/>
        <v>0</v>
      </c>
    </row>
    <row r="2839" spans="1:9" x14ac:dyDescent="0.25">
      <c r="A2839" s="11" t="s">
        <v>7491</v>
      </c>
      <c r="B2839" s="11" t="s">
        <v>7492</v>
      </c>
      <c r="C2839" s="11" t="s">
        <v>95</v>
      </c>
      <c r="D2839" s="4" t="s">
        <v>1406</v>
      </c>
      <c r="E2839" t="s">
        <v>101</v>
      </c>
      <c r="F2839" s="9">
        <f t="shared" si="182"/>
        <v>0</v>
      </c>
      <c r="G2839" s="9">
        <f t="shared" si="183"/>
        <v>0</v>
      </c>
      <c r="H2839" s="9">
        <f t="shared" si="184"/>
        <v>0</v>
      </c>
      <c r="I2839" s="10">
        <f t="shared" si="185"/>
        <v>0</v>
      </c>
    </row>
    <row r="2840" spans="1:9" x14ac:dyDescent="0.25">
      <c r="A2840" s="11" t="s">
        <v>7493</v>
      </c>
      <c r="B2840" s="11" t="s">
        <v>7494</v>
      </c>
      <c r="C2840" s="11" t="s">
        <v>95</v>
      </c>
      <c r="D2840" s="4" t="s">
        <v>1406</v>
      </c>
      <c r="E2840" t="s">
        <v>104</v>
      </c>
      <c r="F2840" s="9">
        <f t="shared" si="182"/>
        <v>0</v>
      </c>
      <c r="G2840" s="9">
        <f t="shared" si="183"/>
        <v>0</v>
      </c>
      <c r="H2840" s="9">
        <f t="shared" si="184"/>
        <v>0</v>
      </c>
      <c r="I2840" s="10">
        <f t="shared" si="185"/>
        <v>0</v>
      </c>
    </row>
    <row r="2841" spans="1:9" x14ac:dyDescent="0.25">
      <c r="A2841" s="11" t="s">
        <v>7495</v>
      </c>
      <c r="B2841" s="11" t="s">
        <v>7496</v>
      </c>
      <c r="C2841" s="11" t="s">
        <v>95</v>
      </c>
      <c r="D2841" s="4" t="s">
        <v>1406</v>
      </c>
      <c r="E2841" t="s">
        <v>101</v>
      </c>
      <c r="F2841" s="9">
        <f t="shared" si="182"/>
        <v>0</v>
      </c>
      <c r="G2841" s="9">
        <f t="shared" si="183"/>
        <v>0</v>
      </c>
      <c r="H2841" s="9">
        <f t="shared" si="184"/>
        <v>0</v>
      </c>
      <c r="I2841" s="10">
        <f t="shared" si="185"/>
        <v>0</v>
      </c>
    </row>
    <row r="2842" spans="1:9" x14ac:dyDescent="0.25">
      <c r="A2842" s="11" t="s">
        <v>7497</v>
      </c>
      <c r="B2842" s="11" t="s">
        <v>7498</v>
      </c>
      <c r="C2842" s="11" t="s">
        <v>95</v>
      </c>
      <c r="D2842" s="4" t="s">
        <v>1406</v>
      </c>
      <c r="E2842" t="s">
        <v>104</v>
      </c>
      <c r="F2842" s="9">
        <f t="shared" si="182"/>
        <v>0</v>
      </c>
      <c r="G2842" s="9">
        <f t="shared" si="183"/>
        <v>0</v>
      </c>
      <c r="H2842" s="9">
        <f t="shared" si="184"/>
        <v>0</v>
      </c>
      <c r="I2842" s="10">
        <f t="shared" si="185"/>
        <v>0</v>
      </c>
    </row>
    <row r="2843" spans="1:9" x14ac:dyDescent="0.25">
      <c r="A2843" s="11" t="s">
        <v>7499</v>
      </c>
      <c r="B2843" s="11" t="s">
        <v>7500</v>
      </c>
      <c r="C2843" s="11" t="s">
        <v>95</v>
      </c>
      <c r="D2843" s="4" t="s">
        <v>1406</v>
      </c>
      <c r="E2843" t="s">
        <v>101</v>
      </c>
      <c r="F2843" s="9">
        <f t="shared" si="182"/>
        <v>0</v>
      </c>
      <c r="G2843" s="9">
        <f t="shared" si="183"/>
        <v>0</v>
      </c>
      <c r="H2843" s="9">
        <f t="shared" si="184"/>
        <v>0</v>
      </c>
      <c r="I2843" s="10">
        <f t="shared" si="185"/>
        <v>0</v>
      </c>
    </row>
    <row r="2844" spans="1:9" x14ac:dyDescent="0.25">
      <c r="A2844" s="11" t="s">
        <v>7501</v>
      </c>
      <c r="B2844" s="11" t="s">
        <v>7502</v>
      </c>
      <c r="C2844" s="11" t="s">
        <v>95</v>
      </c>
      <c r="D2844" s="4" t="s">
        <v>1406</v>
      </c>
      <c r="E2844" t="s">
        <v>101</v>
      </c>
      <c r="F2844" s="9">
        <f t="shared" si="182"/>
        <v>0</v>
      </c>
      <c r="G2844" s="9">
        <f t="shared" si="183"/>
        <v>0</v>
      </c>
      <c r="H2844" s="9">
        <f t="shared" si="184"/>
        <v>0</v>
      </c>
      <c r="I2844" s="10">
        <f t="shared" si="185"/>
        <v>0</v>
      </c>
    </row>
    <row r="2845" spans="1:9" x14ac:dyDescent="0.25">
      <c r="A2845" s="11" t="s">
        <v>7503</v>
      </c>
      <c r="B2845" s="11" t="s">
        <v>7504</v>
      </c>
      <c r="C2845" s="11" t="s">
        <v>95</v>
      </c>
      <c r="D2845" s="4" t="s">
        <v>1406</v>
      </c>
      <c r="E2845" t="s">
        <v>101</v>
      </c>
      <c r="F2845" s="9">
        <f t="shared" si="182"/>
        <v>0</v>
      </c>
      <c r="G2845" s="9">
        <f t="shared" si="183"/>
        <v>0</v>
      </c>
      <c r="H2845" s="9">
        <f t="shared" si="184"/>
        <v>0</v>
      </c>
      <c r="I2845" s="10">
        <f t="shared" si="185"/>
        <v>0</v>
      </c>
    </row>
    <row r="2846" spans="1:9" x14ac:dyDescent="0.25">
      <c r="A2846" s="11" t="s">
        <v>7505</v>
      </c>
      <c r="B2846" s="11" t="s">
        <v>7506</v>
      </c>
      <c r="C2846" s="11" t="s">
        <v>95</v>
      </c>
      <c r="D2846" s="4" t="s">
        <v>1406</v>
      </c>
      <c r="E2846" t="s">
        <v>104</v>
      </c>
      <c r="F2846" s="9">
        <f t="shared" si="182"/>
        <v>0</v>
      </c>
      <c r="G2846" s="9">
        <f t="shared" si="183"/>
        <v>0</v>
      </c>
      <c r="H2846" s="9">
        <f t="shared" si="184"/>
        <v>0</v>
      </c>
      <c r="I2846" s="10">
        <f t="shared" si="185"/>
        <v>0</v>
      </c>
    </row>
    <row r="2847" spans="1:9" x14ac:dyDescent="0.25">
      <c r="A2847" s="11" t="s">
        <v>7507</v>
      </c>
      <c r="B2847" s="11" t="s">
        <v>7508</v>
      </c>
      <c r="C2847" s="11" t="s">
        <v>95</v>
      </c>
      <c r="D2847" s="4" t="s">
        <v>1406</v>
      </c>
      <c r="E2847" t="s">
        <v>101</v>
      </c>
      <c r="F2847" s="9">
        <f t="shared" si="182"/>
        <v>0</v>
      </c>
      <c r="G2847" s="9">
        <f t="shared" si="183"/>
        <v>0</v>
      </c>
      <c r="H2847" s="9">
        <f t="shared" si="184"/>
        <v>0</v>
      </c>
      <c r="I2847" s="10">
        <f t="shared" si="185"/>
        <v>0</v>
      </c>
    </row>
    <row r="2848" spans="1:9" x14ac:dyDescent="0.25">
      <c r="A2848" s="11" t="s">
        <v>7509</v>
      </c>
      <c r="B2848" s="11" t="s">
        <v>7510</v>
      </c>
      <c r="C2848" s="11" t="s">
        <v>95</v>
      </c>
      <c r="D2848" s="4" t="s">
        <v>1406</v>
      </c>
      <c r="E2848" t="s">
        <v>101</v>
      </c>
      <c r="F2848" s="9">
        <f t="shared" si="182"/>
        <v>0</v>
      </c>
      <c r="G2848" s="9">
        <f t="shared" si="183"/>
        <v>0</v>
      </c>
      <c r="H2848" s="9">
        <f t="shared" si="184"/>
        <v>0</v>
      </c>
      <c r="I2848" s="10">
        <f t="shared" si="185"/>
        <v>0</v>
      </c>
    </row>
    <row r="2849" spans="1:9" x14ac:dyDescent="0.25">
      <c r="A2849" s="11" t="s">
        <v>7511</v>
      </c>
      <c r="B2849" s="11" t="s">
        <v>7512</v>
      </c>
      <c r="C2849" s="11" t="s">
        <v>95</v>
      </c>
      <c r="D2849" s="4" t="s">
        <v>1406</v>
      </c>
      <c r="E2849" t="s">
        <v>101</v>
      </c>
      <c r="F2849" s="9">
        <f t="shared" si="182"/>
        <v>0</v>
      </c>
      <c r="G2849" s="9">
        <f t="shared" si="183"/>
        <v>0</v>
      </c>
      <c r="H2849" s="9">
        <f t="shared" si="184"/>
        <v>0</v>
      </c>
      <c r="I2849" s="10">
        <f t="shared" si="185"/>
        <v>0</v>
      </c>
    </row>
    <row r="2850" spans="1:9" x14ac:dyDescent="0.25">
      <c r="A2850" s="11" t="s">
        <v>7513</v>
      </c>
      <c r="B2850" s="11" t="s">
        <v>7514</v>
      </c>
      <c r="C2850" s="11" t="s">
        <v>95</v>
      </c>
      <c r="D2850" s="4" t="s">
        <v>1406</v>
      </c>
      <c r="E2850" t="s">
        <v>101</v>
      </c>
      <c r="F2850" s="9">
        <f t="shared" si="182"/>
        <v>0</v>
      </c>
      <c r="G2850" s="9">
        <f t="shared" si="183"/>
        <v>0</v>
      </c>
      <c r="H2850" s="9">
        <f t="shared" si="184"/>
        <v>0</v>
      </c>
      <c r="I2850" s="10">
        <f t="shared" si="185"/>
        <v>0</v>
      </c>
    </row>
    <row r="2851" spans="1:9" x14ac:dyDescent="0.25">
      <c r="A2851" s="11" t="s">
        <v>7515</v>
      </c>
      <c r="B2851" s="11" t="s">
        <v>7516</v>
      </c>
      <c r="C2851" s="11" t="s">
        <v>95</v>
      </c>
      <c r="D2851" s="4" t="s">
        <v>1406</v>
      </c>
      <c r="E2851" t="s">
        <v>104</v>
      </c>
      <c r="F2851" s="9">
        <f t="shared" si="182"/>
        <v>0</v>
      </c>
      <c r="G2851" s="9">
        <f t="shared" si="183"/>
        <v>0</v>
      </c>
      <c r="H2851" s="9">
        <f t="shared" si="184"/>
        <v>0</v>
      </c>
      <c r="I2851" s="10">
        <f t="shared" si="185"/>
        <v>0</v>
      </c>
    </row>
    <row r="2852" spans="1:9" x14ac:dyDescent="0.25">
      <c r="A2852" s="11" t="s">
        <v>7517</v>
      </c>
      <c r="B2852" s="11" t="s">
        <v>7518</v>
      </c>
      <c r="C2852" s="11" t="s">
        <v>95</v>
      </c>
      <c r="D2852" s="4" t="s">
        <v>1406</v>
      </c>
      <c r="E2852" t="s">
        <v>101</v>
      </c>
      <c r="F2852" s="9">
        <f t="shared" si="182"/>
        <v>0</v>
      </c>
      <c r="G2852" s="9">
        <f t="shared" si="183"/>
        <v>0</v>
      </c>
      <c r="H2852" s="9">
        <f t="shared" si="184"/>
        <v>0</v>
      </c>
      <c r="I2852" s="10">
        <f t="shared" si="185"/>
        <v>0</v>
      </c>
    </row>
    <row r="2853" spans="1:9" x14ac:dyDescent="0.25">
      <c r="A2853" s="11" t="s">
        <v>7519</v>
      </c>
      <c r="B2853" s="11" t="s">
        <v>7520</v>
      </c>
      <c r="C2853" s="11" t="s">
        <v>95</v>
      </c>
      <c r="D2853" s="4" t="s">
        <v>1406</v>
      </c>
      <c r="E2853" t="s">
        <v>101</v>
      </c>
      <c r="F2853" s="9">
        <f t="shared" si="182"/>
        <v>0</v>
      </c>
      <c r="G2853" s="9">
        <f t="shared" si="183"/>
        <v>0</v>
      </c>
      <c r="H2853" s="9">
        <f t="shared" si="184"/>
        <v>0</v>
      </c>
      <c r="I2853" s="10">
        <f t="shared" si="185"/>
        <v>0</v>
      </c>
    </row>
    <row r="2854" spans="1:9" x14ac:dyDescent="0.25">
      <c r="A2854" s="11" t="s">
        <v>7521</v>
      </c>
      <c r="B2854" s="11" t="s">
        <v>7522</v>
      </c>
      <c r="C2854" s="11" t="s">
        <v>95</v>
      </c>
      <c r="D2854" s="4" t="s">
        <v>1406</v>
      </c>
      <c r="E2854" t="s">
        <v>101</v>
      </c>
      <c r="F2854" s="9">
        <f t="shared" si="182"/>
        <v>0</v>
      </c>
      <c r="G2854" s="9">
        <f t="shared" si="183"/>
        <v>0</v>
      </c>
      <c r="H2854" s="9">
        <f t="shared" si="184"/>
        <v>0</v>
      </c>
      <c r="I2854" s="10">
        <f t="shared" si="185"/>
        <v>0</v>
      </c>
    </row>
    <row r="2855" spans="1:9" x14ac:dyDescent="0.25">
      <c r="A2855" s="11" t="s">
        <v>7523</v>
      </c>
      <c r="B2855" s="11" t="s">
        <v>7524</v>
      </c>
      <c r="C2855" s="11" t="s">
        <v>95</v>
      </c>
      <c r="D2855" s="4" t="s">
        <v>1406</v>
      </c>
      <c r="E2855" t="s">
        <v>101</v>
      </c>
      <c r="F2855" s="9">
        <f t="shared" si="182"/>
        <v>0</v>
      </c>
      <c r="G2855" s="9">
        <f t="shared" si="183"/>
        <v>0</v>
      </c>
      <c r="H2855" s="9">
        <f t="shared" si="184"/>
        <v>0</v>
      </c>
      <c r="I2855" s="10">
        <f t="shared" si="185"/>
        <v>0</v>
      </c>
    </row>
    <row r="2856" spans="1:9" x14ac:dyDescent="0.25">
      <c r="A2856" s="11" t="s">
        <v>7525</v>
      </c>
      <c r="B2856" s="11" t="s">
        <v>7526</v>
      </c>
      <c r="C2856" s="11" t="s">
        <v>95</v>
      </c>
      <c r="D2856" s="4" t="s">
        <v>1406</v>
      </c>
      <c r="E2856" t="s">
        <v>101</v>
      </c>
      <c r="F2856" s="9">
        <f t="shared" si="182"/>
        <v>0</v>
      </c>
      <c r="G2856" s="9">
        <f t="shared" si="183"/>
        <v>0</v>
      </c>
      <c r="H2856" s="9">
        <f t="shared" si="184"/>
        <v>0</v>
      </c>
      <c r="I2856" s="10">
        <f t="shared" si="185"/>
        <v>0</v>
      </c>
    </row>
    <row r="2857" spans="1:9" x14ac:dyDescent="0.25">
      <c r="A2857" s="11" t="s">
        <v>7527</v>
      </c>
      <c r="B2857" s="11" t="s">
        <v>7528</v>
      </c>
      <c r="C2857" s="11" t="s">
        <v>95</v>
      </c>
      <c r="D2857" s="4" t="s">
        <v>1406</v>
      </c>
      <c r="E2857" t="s">
        <v>101</v>
      </c>
      <c r="F2857" s="9">
        <f t="shared" si="182"/>
        <v>0</v>
      </c>
      <c r="G2857" s="9">
        <f t="shared" si="183"/>
        <v>0</v>
      </c>
      <c r="H2857" s="9">
        <f t="shared" si="184"/>
        <v>0</v>
      </c>
      <c r="I2857" s="10">
        <f t="shared" si="185"/>
        <v>0</v>
      </c>
    </row>
    <row r="2858" spans="1:9" x14ac:dyDescent="0.25">
      <c r="A2858" s="11" t="s">
        <v>7529</v>
      </c>
      <c r="B2858" s="11" t="s">
        <v>7530</v>
      </c>
      <c r="C2858" s="11" t="s">
        <v>95</v>
      </c>
      <c r="D2858" s="4" t="s">
        <v>1406</v>
      </c>
      <c r="E2858" t="s">
        <v>101</v>
      </c>
      <c r="F2858" s="9">
        <f t="shared" si="182"/>
        <v>0</v>
      </c>
      <c r="G2858" s="9">
        <f t="shared" si="183"/>
        <v>0</v>
      </c>
      <c r="H2858" s="9">
        <f t="shared" si="184"/>
        <v>0</v>
      </c>
      <c r="I2858" s="10">
        <f t="shared" si="185"/>
        <v>0</v>
      </c>
    </row>
    <row r="2859" spans="1:9" x14ac:dyDescent="0.25">
      <c r="A2859" s="11" t="s">
        <v>7531</v>
      </c>
      <c r="B2859" s="11" t="s">
        <v>7532</v>
      </c>
      <c r="C2859" s="11" t="s">
        <v>95</v>
      </c>
      <c r="D2859" s="4" t="s">
        <v>1406</v>
      </c>
      <c r="E2859" t="s">
        <v>101</v>
      </c>
      <c r="F2859" s="9">
        <f t="shared" si="182"/>
        <v>0</v>
      </c>
      <c r="G2859" s="9">
        <f t="shared" si="183"/>
        <v>0</v>
      </c>
      <c r="H2859" s="9">
        <f t="shared" si="184"/>
        <v>0</v>
      </c>
      <c r="I2859" s="10">
        <f t="shared" si="185"/>
        <v>0</v>
      </c>
    </row>
    <row r="2860" spans="1:9" x14ac:dyDescent="0.25">
      <c r="A2860" s="11" t="s">
        <v>7533</v>
      </c>
      <c r="B2860" s="11" t="s">
        <v>7534</v>
      </c>
      <c r="C2860" s="11" t="s">
        <v>95</v>
      </c>
      <c r="D2860" s="4" t="s">
        <v>1406</v>
      </c>
      <c r="E2860" t="s">
        <v>101</v>
      </c>
      <c r="F2860" s="9">
        <f t="shared" si="182"/>
        <v>0</v>
      </c>
      <c r="G2860" s="9">
        <f t="shared" si="183"/>
        <v>0</v>
      </c>
      <c r="H2860" s="9">
        <f t="shared" si="184"/>
        <v>0</v>
      </c>
      <c r="I2860" s="10">
        <f t="shared" si="185"/>
        <v>0</v>
      </c>
    </row>
    <row r="2861" spans="1:9" x14ac:dyDescent="0.25">
      <c r="A2861" s="11" t="s">
        <v>7535</v>
      </c>
      <c r="B2861" s="11" t="s">
        <v>7536</v>
      </c>
      <c r="C2861" s="11" t="s">
        <v>95</v>
      </c>
      <c r="D2861" s="4" t="s">
        <v>1406</v>
      </c>
      <c r="E2861" t="s">
        <v>101</v>
      </c>
      <c r="F2861" s="9">
        <f t="shared" si="182"/>
        <v>0</v>
      </c>
      <c r="G2861" s="9">
        <f t="shared" si="183"/>
        <v>0</v>
      </c>
      <c r="H2861" s="9">
        <f t="shared" si="184"/>
        <v>0</v>
      </c>
      <c r="I2861" s="10">
        <f t="shared" si="185"/>
        <v>0</v>
      </c>
    </row>
    <row r="2862" spans="1:9" x14ac:dyDescent="0.25">
      <c r="A2862" s="11" t="s">
        <v>7537</v>
      </c>
      <c r="B2862" s="11" t="s">
        <v>7538</v>
      </c>
      <c r="C2862" s="11" t="s">
        <v>95</v>
      </c>
      <c r="D2862" s="4" t="s">
        <v>1406</v>
      </c>
      <c r="E2862" t="s">
        <v>101</v>
      </c>
      <c r="F2862" s="9">
        <f t="shared" si="182"/>
        <v>0</v>
      </c>
      <c r="G2862" s="9">
        <f t="shared" si="183"/>
        <v>0</v>
      </c>
      <c r="H2862" s="9">
        <f t="shared" si="184"/>
        <v>0</v>
      </c>
      <c r="I2862" s="10">
        <f t="shared" si="185"/>
        <v>0</v>
      </c>
    </row>
    <row r="2863" spans="1:9" x14ac:dyDescent="0.25">
      <c r="A2863" s="11" t="s">
        <v>7539</v>
      </c>
      <c r="B2863" s="11" t="s">
        <v>7540</v>
      </c>
      <c r="C2863" s="11" t="s">
        <v>95</v>
      </c>
      <c r="D2863" s="4" t="s">
        <v>1406</v>
      </c>
      <c r="E2863" t="s">
        <v>101</v>
      </c>
      <c r="F2863" s="9">
        <f t="shared" si="182"/>
        <v>0</v>
      </c>
      <c r="G2863" s="9">
        <f t="shared" si="183"/>
        <v>0</v>
      </c>
      <c r="H2863" s="9">
        <f t="shared" si="184"/>
        <v>0</v>
      </c>
      <c r="I2863" s="10">
        <f t="shared" si="185"/>
        <v>0</v>
      </c>
    </row>
    <row r="2864" spans="1:9" x14ac:dyDescent="0.25">
      <c r="A2864" s="11" t="s">
        <v>7541</v>
      </c>
      <c r="B2864" s="11" t="s">
        <v>7542</v>
      </c>
      <c r="C2864" s="11" t="s">
        <v>95</v>
      </c>
      <c r="D2864" s="4" t="s">
        <v>1406</v>
      </c>
      <c r="E2864" t="s">
        <v>101</v>
      </c>
      <c r="F2864" s="9">
        <f t="shared" si="182"/>
        <v>0</v>
      </c>
      <c r="G2864" s="9">
        <f t="shared" si="183"/>
        <v>0</v>
      </c>
      <c r="H2864" s="9">
        <f t="shared" si="184"/>
        <v>0</v>
      </c>
      <c r="I2864" s="10">
        <f t="shared" si="185"/>
        <v>0</v>
      </c>
    </row>
    <row r="2865" spans="1:9" x14ac:dyDescent="0.25">
      <c r="A2865" s="11" t="s">
        <v>7543</v>
      </c>
      <c r="B2865" s="11" t="s">
        <v>7544</v>
      </c>
      <c r="C2865" s="11" t="s">
        <v>95</v>
      </c>
      <c r="D2865" s="4" t="s">
        <v>1406</v>
      </c>
      <c r="E2865" t="s">
        <v>101</v>
      </c>
      <c r="F2865" s="9">
        <f t="shared" si="182"/>
        <v>0</v>
      </c>
      <c r="G2865" s="9">
        <f t="shared" si="183"/>
        <v>0</v>
      </c>
      <c r="H2865" s="9">
        <f t="shared" si="184"/>
        <v>0</v>
      </c>
      <c r="I2865" s="10">
        <f t="shared" si="185"/>
        <v>0</v>
      </c>
    </row>
    <row r="2866" spans="1:9" x14ac:dyDescent="0.25">
      <c r="A2866" s="11" t="s">
        <v>7545</v>
      </c>
      <c r="B2866" s="11" t="s">
        <v>7546</v>
      </c>
      <c r="C2866" s="11" t="s">
        <v>95</v>
      </c>
      <c r="D2866" s="4" t="s">
        <v>1406</v>
      </c>
      <c r="E2866" t="s">
        <v>101</v>
      </c>
      <c r="F2866" s="9">
        <f t="shared" si="182"/>
        <v>0</v>
      </c>
      <c r="G2866" s="9">
        <f t="shared" si="183"/>
        <v>0</v>
      </c>
      <c r="H2866" s="9">
        <f t="shared" si="184"/>
        <v>0</v>
      </c>
      <c r="I2866" s="10">
        <f t="shared" si="185"/>
        <v>0</v>
      </c>
    </row>
    <row r="2867" spans="1:9" x14ac:dyDescent="0.25">
      <c r="A2867" s="11" t="s">
        <v>110</v>
      </c>
      <c r="B2867" s="11" t="s">
        <v>109</v>
      </c>
      <c r="C2867" s="11" t="s">
        <v>95</v>
      </c>
      <c r="D2867" s="4" t="s">
        <v>1406</v>
      </c>
      <c r="E2867" t="s">
        <v>101</v>
      </c>
      <c r="F2867" s="9">
        <f t="shared" si="182"/>
        <v>0</v>
      </c>
      <c r="G2867" s="9">
        <f t="shared" si="183"/>
        <v>0</v>
      </c>
      <c r="H2867" s="9">
        <f t="shared" si="184"/>
        <v>0</v>
      </c>
      <c r="I2867" s="10">
        <f t="shared" si="185"/>
        <v>0</v>
      </c>
    </row>
    <row r="2868" spans="1:9" x14ac:dyDescent="0.25">
      <c r="A2868" s="11" t="s">
        <v>7547</v>
      </c>
      <c r="B2868" s="11" t="s">
        <v>7548</v>
      </c>
      <c r="C2868" s="11" t="s">
        <v>95</v>
      </c>
      <c r="D2868" s="4" t="s">
        <v>1406</v>
      </c>
      <c r="E2868" t="s">
        <v>101</v>
      </c>
      <c r="F2868" s="9">
        <f t="shared" si="182"/>
        <v>0</v>
      </c>
      <c r="G2868" s="9">
        <f t="shared" si="183"/>
        <v>0</v>
      </c>
      <c r="H2868" s="9">
        <f t="shared" si="184"/>
        <v>0</v>
      </c>
      <c r="I2868" s="10">
        <f t="shared" si="185"/>
        <v>0</v>
      </c>
    </row>
    <row r="2869" spans="1:9" x14ac:dyDescent="0.25">
      <c r="A2869" s="11" t="s">
        <v>7549</v>
      </c>
      <c r="B2869" s="11" t="s">
        <v>7550</v>
      </c>
      <c r="C2869" s="11" t="s">
        <v>95</v>
      </c>
      <c r="D2869" s="4" t="s">
        <v>1406</v>
      </c>
      <c r="E2869" t="s">
        <v>101</v>
      </c>
      <c r="F2869" s="9">
        <f t="shared" si="182"/>
        <v>0</v>
      </c>
      <c r="G2869" s="9">
        <f t="shared" si="183"/>
        <v>0</v>
      </c>
      <c r="H2869" s="9">
        <f t="shared" si="184"/>
        <v>0</v>
      </c>
      <c r="I2869" s="10">
        <f t="shared" si="185"/>
        <v>0</v>
      </c>
    </row>
    <row r="2870" spans="1:9" x14ac:dyDescent="0.25">
      <c r="A2870" s="11" t="s">
        <v>7551</v>
      </c>
      <c r="B2870" s="11" t="s">
        <v>7552</v>
      </c>
      <c r="C2870" s="11" t="s">
        <v>95</v>
      </c>
      <c r="D2870" s="4" t="s">
        <v>1406</v>
      </c>
      <c r="E2870" t="s">
        <v>101</v>
      </c>
      <c r="F2870" s="9">
        <f t="shared" si="182"/>
        <v>0</v>
      </c>
      <c r="G2870" s="9">
        <f t="shared" si="183"/>
        <v>0</v>
      </c>
      <c r="H2870" s="9">
        <f t="shared" si="184"/>
        <v>0</v>
      </c>
      <c r="I2870" s="10">
        <f t="shared" si="185"/>
        <v>0</v>
      </c>
    </row>
    <row r="2871" spans="1:9" x14ac:dyDescent="0.25">
      <c r="A2871" s="11" t="s">
        <v>7553</v>
      </c>
      <c r="B2871" s="11" t="s">
        <v>7554</v>
      </c>
      <c r="C2871" s="11" t="s">
        <v>95</v>
      </c>
      <c r="D2871" s="4" t="s">
        <v>1406</v>
      </c>
      <c r="E2871" t="s">
        <v>101</v>
      </c>
      <c r="F2871" s="9">
        <f t="shared" si="182"/>
        <v>0</v>
      </c>
      <c r="G2871" s="9">
        <f t="shared" si="183"/>
        <v>0</v>
      </c>
      <c r="H2871" s="9">
        <f t="shared" si="184"/>
        <v>0</v>
      </c>
      <c r="I2871" s="10">
        <f t="shared" si="185"/>
        <v>0</v>
      </c>
    </row>
    <row r="2872" spans="1:9" x14ac:dyDescent="0.25">
      <c r="A2872" s="11" t="s">
        <v>7555</v>
      </c>
      <c r="B2872" s="11" t="s">
        <v>7556</v>
      </c>
      <c r="C2872" s="11" t="s">
        <v>95</v>
      </c>
      <c r="D2872" s="4" t="s">
        <v>1406</v>
      </c>
      <c r="E2872" t="s">
        <v>101</v>
      </c>
      <c r="F2872" s="9">
        <f t="shared" si="182"/>
        <v>0</v>
      </c>
      <c r="G2872" s="9">
        <f t="shared" si="183"/>
        <v>0</v>
      </c>
      <c r="H2872" s="9">
        <f t="shared" si="184"/>
        <v>0</v>
      </c>
      <c r="I2872" s="10">
        <f t="shared" si="185"/>
        <v>0</v>
      </c>
    </row>
    <row r="2873" spans="1:9" x14ac:dyDescent="0.25">
      <c r="A2873" s="11" t="s">
        <v>7557</v>
      </c>
      <c r="B2873" s="11" t="s">
        <v>7558</v>
      </c>
      <c r="C2873" s="11" t="s">
        <v>95</v>
      </c>
      <c r="D2873" s="4" t="s">
        <v>1406</v>
      </c>
      <c r="E2873" t="s">
        <v>101</v>
      </c>
      <c r="F2873" s="9">
        <f t="shared" si="182"/>
        <v>0</v>
      </c>
      <c r="G2873" s="9">
        <f t="shared" si="183"/>
        <v>0</v>
      </c>
      <c r="H2873" s="9">
        <f t="shared" si="184"/>
        <v>0</v>
      </c>
      <c r="I2873" s="10">
        <f t="shared" si="185"/>
        <v>0</v>
      </c>
    </row>
    <row r="2874" spans="1:9" x14ac:dyDescent="0.25">
      <c r="A2874" s="11" t="s">
        <v>7559</v>
      </c>
      <c r="B2874" s="11" t="s">
        <v>7560</v>
      </c>
      <c r="C2874" s="11" t="s">
        <v>95</v>
      </c>
      <c r="D2874" s="4" t="s">
        <v>1406</v>
      </c>
      <c r="E2874" t="s">
        <v>101</v>
      </c>
      <c r="F2874" s="9">
        <f t="shared" si="182"/>
        <v>0</v>
      </c>
      <c r="G2874" s="9">
        <f t="shared" si="183"/>
        <v>0</v>
      </c>
      <c r="H2874" s="9">
        <f t="shared" si="184"/>
        <v>0</v>
      </c>
      <c r="I2874" s="10">
        <f t="shared" si="185"/>
        <v>0</v>
      </c>
    </row>
    <row r="2875" spans="1:9" x14ac:dyDescent="0.25">
      <c r="A2875" s="11" t="s">
        <v>7561</v>
      </c>
      <c r="B2875" s="11" t="s">
        <v>7562</v>
      </c>
      <c r="C2875" s="11" t="s">
        <v>95</v>
      </c>
      <c r="D2875" s="4" t="s">
        <v>1406</v>
      </c>
      <c r="E2875" t="s">
        <v>101</v>
      </c>
      <c r="F2875" s="9">
        <f t="shared" si="182"/>
        <v>0</v>
      </c>
      <c r="G2875" s="9">
        <f t="shared" si="183"/>
        <v>0</v>
      </c>
      <c r="H2875" s="9">
        <f t="shared" si="184"/>
        <v>0</v>
      </c>
      <c r="I2875" s="10">
        <f t="shared" si="185"/>
        <v>0</v>
      </c>
    </row>
    <row r="2876" spans="1:9" x14ac:dyDescent="0.25">
      <c r="A2876" s="11" t="s">
        <v>7563</v>
      </c>
      <c r="B2876" s="11" t="s">
        <v>7564</v>
      </c>
      <c r="C2876" s="11" t="s">
        <v>95</v>
      </c>
      <c r="D2876" s="4" t="s">
        <v>1406</v>
      </c>
      <c r="E2876" t="s">
        <v>101</v>
      </c>
      <c r="F2876" s="9">
        <f t="shared" si="182"/>
        <v>0</v>
      </c>
      <c r="G2876" s="9">
        <f t="shared" si="183"/>
        <v>0</v>
      </c>
      <c r="H2876" s="9">
        <f t="shared" si="184"/>
        <v>0</v>
      </c>
      <c r="I2876" s="10">
        <f t="shared" si="185"/>
        <v>0</v>
      </c>
    </row>
    <row r="2877" spans="1:9" x14ac:dyDescent="0.25">
      <c r="A2877" s="11" t="s">
        <v>7565</v>
      </c>
      <c r="B2877" s="11" t="s">
        <v>7566</v>
      </c>
      <c r="C2877" s="11" t="s">
        <v>95</v>
      </c>
      <c r="D2877" s="4" t="s">
        <v>1406</v>
      </c>
      <c r="E2877" t="s">
        <v>101</v>
      </c>
      <c r="F2877" s="9">
        <f t="shared" si="182"/>
        <v>0</v>
      </c>
      <c r="G2877" s="9">
        <f t="shared" si="183"/>
        <v>0</v>
      </c>
      <c r="H2877" s="9">
        <f t="shared" si="184"/>
        <v>0</v>
      </c>
      <c r="I2877" s="10">
        <f t="shared" si="185"/>
        <v>0</v>
      </c>
    </row>
    <row r="2878" spans="1:9" x14ac:dyDescent="0.25">
      <c r="A2878" s="11" t="s">
        <v>7567</v>
      </c>
      <c r="B2878" s="11" t="s">
        <v>7568</v>
      </c>
      <c r="C2878" s="11" t="s">
        <v>95</v>
      </c>
      <c r="D2878" s="4" t="s">
        <v>1406</v>
      </c>
      <c r="E2878" t="s">
        <v>101</v>
      </c>
      <c r="F2878" s="9">
        <f t="shared" si="182"/>
        <v>0</v>
      </c>
      <c r="G2878" s="9">
        <f t="shared" si="183"/>
        <v>0</v>
      </c>
      <c r="H2878" s="9">
        <f t="shared" si="184"/>
        <v>0</v>
      </c>
      <c r="I2878" s="10">
        <f t="shared" si="185"/>
        <v>0</v>
      </c>
    </row>
    <row r="2879" spans="1:9" x14ac:dyDescent="0.25">
      <c r="A2879" s="11" t="s">
        <v>7569</v>
      </c>
      <c r="B2879" s="11" t="s">
        <v>7570</v>
      </c>
      <c r="C2879" s="11" t="s">
        <v>95</v>
      </c>
      <c r="D2879" s="4" t="s">
        <v>1406</v>
      </c>
      <c r="E2879" t="s">
        <v>104</v>
      </c>
      <c r="F2879" s="9">
        <f t="shared" si="182"/>
        <v>0</v>
      </c>
      <c r="G2879" s="9">
        <f t="shared" si="183"/>
        <v>0</v>
      </c>
      <c r="H2879" s="9">
        <f t="shared" si="184"/>
        <v>0</v>
      </c>
      <c r="I2879" s="10">
        <f t="shared" si="185"/>
        <v>0</v>
      </c>
    </row>
    <row r="2880" spans="1:9" x14ac:dyDescent="0.25">
      <c r="A2880" s="11" t="s">
        <v>7571</v>
      </c>
      <c r="B2880" s="11" t="s">
        <v>7572</v>
      </c>
      <c r="C2880" s="11" t="s">
        <v>95</v>
      </c>
      <c r="D2880" s="4" t="s">
        <v>1406</v>
      </c>
      <c r="E2880" t="s">
        <v>101</v>
      </c>
      <c r="F2880" s="9">
        <f t="shared" si="182"/>
        <v>0</v>
      </c>
      <c r="G2880" s="9">
        <f t="shared" si="183"/>
        <v>0</v>
      </c>
      <c r="H2880" s="9">
        <f t="shared" si="184"/>
        <v>0</v>
      </c>
      <c r="I2880" s="10">
        <f t="shared" si="185"/>
        <v>0</v>
      </c>
    </row>
    <row r="2881" spans="1:9" x14ac:dyDescent="0.25">
      <c r="A2881" s="11" t="s">
        <v>7573</v>
      </c>
      <c r="B2881" s="11" t="s">
        <v>7574</v>
      </c>
      <c r="C2881" s="11" t="s">
        <v>95</v>
      </c>
      <c r="D2881" s="4" t="s">
        <v>1406</v>
      </c>
      <c r="E2881" t="s">
        <v>101</v>
      </c>
      <c r="F2881" s="9">
        <f t="shared" si="182"/>
        <v>0</v>
      </c>
      <c r="G2881" s="9">
        <f t="shared" si="183"/>
        <v>0</v>
      </c>
      <c r="H2881" s="9">
        <f t="shared" si="184"/>
        <v>0</v>
      </c>
      <c r="I2881" s="10">
        <f t="shared" si="185"/>
        <v>0</v>
      </c>
    </row>
    <row r="2882" spans="1:9" x14ac:dyDescent="0.25">
      <c r="A2882" s="11" t="s">
        <v>7575</v>
      </c>
      <c r="B2882" s="11" t="s">
        <v>7576</v>
      </c>
      <c r="C2882" s="11" t="s">
        <v>95</v>
      </c>
      <c r="D2882" s="4" t="s">
        <v>1406</v>
      </c>
      <c r="E2882" t="s">
        <v>101</v>
      </c>
      <c r="F2882" s="9">
        <f t="shared" si="182"/>
        <v>0</v>
      </c>
      <c r="G2882" s="9">
        <f t="shared" si="183"/>
        <v>0</v>
      </c>
      <c r="H2882" s="9">
        <f t="shared" si="184"/>
        <v>0</v>
      </c>
      <c r="I2882" s="10">
        <f t="shared" si="185"/>
        <v>0</v>
      </c>
    </row>
    <row r="2883" spans="1:9" x14ac:dyDescent="0.25">
      <c r="A2883" s="11" t="s">
        <v>7577</v>
      </c>
      <c r="B2883" s="11" t="s">
        <v>7578</v>
      </c>
      <c r="C2883" s="11" t="s">
        <v>95</v>
      </c>
      <c r="D2883" s="4" t="s">
        <v>1406</v>
      </c>
      <c r="E2883" t="s">
        <v>101</v>
      </c>
      <c r="F2883" s="9">
        <f t="shared" si="182"/>
        <v>0</v>
      </c>
      <c r="G2883" s="9">
        <f t="shared" si="183"/>
        <v>0</v>
      </c>
      <c r="H2883" s="9">
        <f t="shared" si="184"/>
        <v>0</v>
      </c>
      <c r="I2883" s="10">
        <f t="shared" si="185"/>
        <v>0</v>
      </c>
    </row>
    <row r="2884" spans="1:9" x14ac:dyDescent="0.25">
      <c r="A2884" s="11" t="s">
        <v>7579</v>
      </c>
      <c r="B2884" s="11" t="s">
        <v>7580</v>
      </c>
      <c r="C2884" s="11" t="s">
        <v>95</v>
      </c>
      <c r="D2884" s="4" t="s">
        <v>1406</v>
      </c>
      <c r="E2884" t="s">
        <v>101</v>
      </c>
      <c r="F2884" s="9">
        <f t="shared" si="182"/>
        <v>0</v>
      </c>
      <c r="G2884" s="9">
        <f t="shared" si="183"/>
        <v>0</v>
      </c>
      <c r="H2884" s="9">
        <f t="shared" si="184"/>
        <v>0</v>
      </c>
      <c r="I2884" s="10">
        <f t="shared" si="185"/>
        <v>0</v>
      </c>
    </row>
    <row r="2885" spans="1:9" x14ac:dyDescent="0.25">
      <c r="A2885" s="11" t="s">
        <v>7581</v>
      </c>
      <c r="B2885" s="11" t="s">
        <v>7582</v>
      </c>
      <c r="C2885" s="11" t="s">
        <v>95</v>
      </c>
      <c r="D2885" s="4" t="s">
        <v>1406</v>
      </c>
      <c r="E2885" t="s">
        <v>101</v>
      </c>
      <c r="F2885" s="9">
        <f t="shared" si="182"/>
        <v>0</v>
      </c>
      <c r="G2885" s="9">
        <f t="shared" si="183"/>
        <v>0</v>
      </c>
      <c r="H2885" s="9">
        <f t="shared" si="184"/>
        <v>0</v>
      </c>
      <c r="I2885" s="10">
        <f t="shared" si="185"/>
        <v>0</v>
      </c>
    </row>
    <row r="2886" spans="1:9" x14ac:dyDescent="0.25">
      <c r="A2886" s="11" t="s">
        <v>7583</v>
      </c>
      <c r="B2886" s="11" t="s">
        <v>7584</v>
      </c>
      <c r="C2886" s="11" t="s">
        <v>95</v>
      </c>
      <c r="D2886" s="4" t="s">
        <v>1406</v>
      </c>
      <c r="E2886" t="s">
        <v>101</v>
      </c>
      <c r="F2886" s="9">
        <f t="shared" si="182"/>
        <v>0</v>
      </c>
      <c r="G2886" s="9">
        <f t="shared" si="183"/>
        <v>0</v>
      </c>
      <c r="H2886" s="9">
        <f t="shared" si="184"/>
        <v>0</v>
      </c>
      <c r="I2886" s="10">
        <f t="shared" si="185"/>
        <v>0</v>
      </c>
    </row>
    <row r="2887" spans="1:9" x14ac:dyDescent="0.25">
      <c r="A2887" s="11" t="s">
        <v>7585</v>
      </c>
      <c r="B2887" s="11" t="s">
        <v>7586</v>
      </c>
      <c r="C2887" s="11" t="s">
        <v>95</v>
      </c>
      <c r="D2887" s="4" t="s">
        <v>1406</v>
      </c>
      <c r="E2887" t="s">
        <v>101</v>
      </c>
      <c r="F2887" s="9">
        <f t="shared" si="182"/>
        <v>0</v>
      </c>
      <c r="G2887" s="9">
        <f t="shared" si="183"/>
        <v>0</v>
      </c>
      <c r="H2887" s="9">
        <f t="shared" si="184"/>
        <v>0</v>
      </c>
      <c r="I2887" s="10">
        <f t="shared" si="185"/>
        <v>0</v>
      </c>
    </row>
    <row r="2888" spans="1:9" x14ac:dyDescent="0.25">
      <c r="A2888" s="11" t="s">
        <v>7587</v>
      </c>
      <c r="B2888" s="11" t="s">
        <v>7588</v>
      </c>
      <c r="C2888" s="11" t="s">
        <v>95</v>
      </c>
      <c r="D2888" s="4" t="s">
        <v>1406</v>
      </c>
      <c r="E2888" t="s">
        <v>101</v>
      </c>
      <c r="F2888" s="9">
        <f t="shared" ref="F2888:F2951" si="186">IFERROR(VLOOKUP(A2888,condi,8,0),0)</f>
        <v>0</v>
      </c>
      <c r="G2888" s="9">
        <f t="shared" ref="G2888:G2951" si="187">IFERROR(VLOOKUP(A2888,maqui,8,0),0)</f>
        <v>0</v>
      </c>
      <c r="H2888" s="9">
        <f t="shared" ref="H2888:H2951" si="188">IFERROR(VLOOKUP(A2888,ascint,8,0),0)</f>
        <v>0</v>
      </c>
      <c r="I2888" s="10">
        <f t="shared" ref="I2888:I2951" si="189">+F2888+G2888+H2888</f>
        <v>0</v>
      </c>
    </row>
    <row r="2889" spans="1:9" x14ac:dyDescent="0.25">
      <c r="A2889" s="11" t="s">
        <v>7589</v>
      </c>
      <c r="B2889" s="11" t="s">
        <v>7590</v>
      </c>
      <c r="C2889" s="11" t="s">
        <v>95</v>
      </c>
      <c r="D2889" s="4" t="s">
        <v>1406</v>
      </c>
      <c r="E2889" t="s">
        <v>101</v>
      </c>
      <c r="F2889" s="9">
        <f t="shared" si="186"/>
        <v>0</v>
      </c>
      <c r="G2889" s="9">
        <f t="shared" si="187"/>
        <v>0</v>
      </c>
      <c r="H2889" s="9">
        <f t="shared" si="188"/>
        <v>0</v>
      </c>
      <c r="I2889" s="10">
        <f t="shared" si="189"/>
        <v>0</v>
      </c>
    </row>
    <row r="2890" spans="1:9" x14ac:dyDescent="0.25">
      <c r="A2890" s="11" t="s">
        <v>7591</v>
      </c>
      <c r="B2890" s="11" t="s">
        <v>7592</v>
      </c>
      <c r="C2890" s="11" t="s">
        <v>95</v>
      </c>
      <c r="D2890" s="4" t="s">
        <v>1406</v>
      </c>
      <c r="E2890" t="s">
        <v>101</v>
      </c>
      <c r="F2890" s="9">
        <f t="shared" si="186"/>
        <v>0</v>
      </c>
      <c r="G2890" s="9">
        <f t="shared" si="187"/>
        <v>0</v>
      </c>
      <c r="H2890" s="9">
        <f t="shared" si="188"/>
        <v>0</v>
      </c>
      <c r="I2890" s="10">
        <f t="shared" si="189"/>
        <v>0</v>
      </c>
    </row>
    <row r="2891" spans="1:9" x14ac:dyDescent="0.25">
      <c r="A2891" s="11" t="s">
        <v>7593</v>
      </c>
      <c r="B2891" s="11" t="s">
        <v>7594</v>
      </c>
      <c r="C2891" s="11" t="s">
        <v>95</v>
      </c>
      <c r="D2891" s="4" t="s">
        <v>1406</v>
      </c>
      <c r="E2891" t="s">
        <v>101</v>
      </c>
      <c r="F2891" s="9">
        <f t="shared" si="186"/>
        <v>0</v>
      </c>
      <c r="G2891" s="9">
        <f t="shared" si="187"/>
        <v>0</v>
      </c>
      <c r="H2891" s="9">
        <f t="shared" si="188"/>
        <v>0</v>
      </c>
      <c r="I2891" s="10">
        <f t="shared" si="189"/>
        <v>0</v>
      </c>
    </row>
    <row r="2892" spans="1:9" x14ac:dyDescent="0.25">
      <c r="A2892" s="11" t="s">
        <v>7595</v>
      </c>
      <c r="B2892" s="11" t="s">
        <v>7596</v>
      </c>
      <c r="C2892" s="11" t="s">
        <v>95</v>
      </c>
      <c r="D2892" s="4" t="s">
        <v>1406</v>
      </c>
      <c r="E2892" t="s">
        <v>30</v>
      </c>
      <c r="F2892" s="9">
        <f t="shared" si="186"/>
        <v>0</v>
      </c>
      <c r="G2892" s="9">
        <f t="shared" si="187"/>
        <v>0</v>
      </c>
      <c r="H2892" s="9">
        <f t="shared" si="188"/>
        <v>0</v>
      </c>
      <c r="I2892" s="10">
        <f t="shared" si="189"/>
        <v>0</v>
      </c>
    </row>
    <row r="2893" spans="1:9" x14ac:dyDescent="0.25">
      <c r="A2893" s="11" t="s">
        <v>7597</v>
      </c>
      <c r="B2893" s="11" t="s">
        <v>7598</v>
      </c>
      <c r="C2893" s="11" t="s">
        <v>95</v>
      </c>
      <c r="D2893" s="4" t="s">
        <v>1406</v>
      </c>
      <c r="E2893" t="s">
        <v>30</v>
      </c>
      <c r="F2893" s="9">
        <f t="shared" si="186"/>
        <v>0</v>
      </c>
      <c r="G2893" s="9">
        <f t="shared" si="187"/>
        <v>0</v>
      </c>
      <c r="H2893" s="9">
        <f t="shared" si="188"/>
        <v>0</v>
      </c>
      <c r="I2893" s="10">
        <f t="shared" si="189"/>
        <v>0</v>
      </c>
    </row>
    <row r="2894" spans="1:9" x14ac:dyDescent="0.25">
      <c r="A2894" s="11" t="s">
        <v>7599</v>
      </c>
      <c r="B2894" s="11" t="s">
        <v>7600</v>
      </c>
      <c r="C2894" s="11" t="s">
        <v>95</v>
      </c>
      <c r="D2894" s="4" t="s">
        <v>1406</v>
      </c>
      <c r="E2894" t="s">
        <v>30</v>
      </c>
      <c r="F2894" s="9">
        <f t="shared" si="186"/>
        <v>0</v>
      </c>
      <c r="G2894" s="9">
        <f t="shared" si="187"/>
        <v>0</v>
      </c>
      <c r="H2894" s="9">
        <f t="shared" si="188"/>
        <v>0</v>
      </c>
      <c r="I2894" s="10">
        <f t="shared" si="189"/>
        <v>0</v>
      </c>
    </row>
    <row r="2895" spans="1:9" x14ac:dyDescent="0.25">
      <c r="A2895" s="11" t="s">
        <v>7601</v>
      </c>
      <c r="B2895" s="11" t="s">
        <v>7602</v>
      </c>
      <c r="C2895" s="11" t="s">
        <v>95</v>
      </c>
      <c r="D2895" s="4" t="s">
        <v>1406</v>
      </c>
      <c r="E2895" t="s">
        <v>30</v>
      </c>
      <c r="F2895" s="9">
        <f t="shared" si="186"/>
        <v>0</v>
      </c>
      <c r="G2895" s="9">
        <f t="shared" si="187"/>
        <v>0</v>
      </c>
      <c r="H2895" s="9">
        <f t="shared" si="188"/>
        <v>0</v>
      </c>
      <c r="I2895" s="10">
        <f t="shared" si="189"/>
        <v>0</v>
      </c>
    </row>
    <row r="2896" spans="1:9" x14ac:dyDescent="0.25">
      <c r="A2896" s="11" t="s">
        <v>7603</v>
      </c>
      <c r="B2896" s="11" t="s">
        <v>7604</v>
      </c>
      <c r="C2896" s="11" t="s">
        <v>95</v>
      </c>
      <c r="D2896" s="4" t="s">
        <v>1406</v>
      </c>
      <c r="E2896" t="s">
        <v>30</v>
      </c>
      <c r="F2896" s="9">
        <f t="shared" si="186"/>
        <v>0</v>
      </c>
      <c r="G2896" s="9">
        <f t="shared" si="187"/>
        <v>0</v>
      </c>
      <c r="H2896" s="9">
        <f t="shared" si="188"/>
        <v>0</v>
      </c>
      <c r="I2896" s="10">
        <f t="shared" si="189"/>
        <v>0</v>
      </c>
    </row>
    <row r="2897" spans="1:9" x14ac:dyDescent="0.25">
      <c r="A2897" s="11" t="s">
        <v>7605</v>
      </c>
      <c r="B2897" s="11" t="s">
        <v>7606</v>
      </c>
      <c r="C2897" s="11" t="s">
        <v>95</v>
      </c>
      <c r="D2897" s="4" t="s">
        <v>1406</v>
      </c>
      <c r="E2897" t="s">
        <v>30</v>
      </c>
      <c r="F2897" s="9">
        <f t="shared" si="186"/>
        <v>0</v>
      </c>
      <c r="G2897" s="9">
        <f t="shared" si="187"/>
        <v>0</v>
      </c>
      <c r="H2897" s="9">
        <f t="shared" si="188"/>
        <v>0</v>
      </c>
      <c r="I2897" s="10">
        <f t="shared" si="189"/>
        <v>0</v>
      </c>
    </row>
    <row r="2898" spans="1:9" x14ac:dyDescent="0.25">
      <c r="A2898" s="11" t="s">
        <v>7607</v>
      </c>
      <c r="B2898" s="11" t="s">
        <v>7608</v>
      </c>
      <c r="C2898" s="11" t="s">
        <v>95</v>
      </c>
      <c r="D2898" s="4" t="s">
        <v>1406</v>
      </c>
      <c r="E2898" t="s">
        <v>30</v>
      </c>
      <c r="F2898" s="9">
        <f t="shared" si="186"/>
        <v>0</v>
      </c>
      <c r="G2898" s="9">
        <f t="shared" si="187"/>
        <v>0</v>
      </c>
      <c r="H2898" s="9">
        <f t="shared" si="188"/>
        <v>0</v>
      </c>
      <c r="I2898" s="10">
        <f t="shared" si="189"/>
        <v>0</v>
      </c>
    </row>
    <row r="2899" spans="1:9" x14ac:dyDescent="0.25">
      <c r="A2899" s="11" t="s">
        <v>7609</v>
      </c>
      <c r="B2899" s="11" t="s">
        <v>7610</v>
      </c>
      <c r="C2899" s="11" t="s">
        <v>95</v>
      </c>
      <c r="D2899" s="4" t="s">
        <v>1406</v>
      </c>
      <c r="E2899" t="s">
        <v>30</v>
      </c>
      <c r="F2899" s="9">
        <f t="shared" si="186"/>
        <v>0</v>
      </c>
      <c r="G2899" s="9">
        <f t="shared" si="187"/>
        <v>0</v>
      </c>
      <c r="H2899" s="9">
        <f t="shared" si="188"/>
        <v>0</v>
      </c>
      <c r="I2899" s="10">
        <f t="shared" si="189"/>
        <v>0</v>
      </c>
    </row>
    <row r="2900" spans="1:9" x14ac:dyDescent="0.25">
      <c r="A2900" s="11" t="s">
        <v>7611</v>
      </c>
      <c r="B2900" s="11" t="s">
        <v>7612</v>
      </c>
      <c r="C2900" s="11" t="s">
        <v>95</v>
      </c>
      <c r="D2900" s="4" t="s">
        <v>1406</v>
      </c>
      <c r="E2900" t="s">
        <v>30</v>
      </c>
      <c r="F2900" s="9">
        <f t="shared" si="186"/>
        <v>0</v>
      </c>
      <c r="G2900" s="9">
        <f t="shared" si="187"/>
        <v>0</v>
      </c>
      <c r="H2900" s="9">
        <f t="shared" si="188"/>
        <v>0</v>
      </c>
      <c r="I2900" s="10">
        <f t="shared" si="189"/>
        <v>0</v>
      </c>
    </row>
    <row r="2901" spans="1:9" x14ac:dyDescent="0.25">
      <c r="A2901" s="11" t="s">
        <v>7613</v>
      </c>
      <c r="B2901" s="11" t="s">
        <v>7614</v>
      </c>
      <c r="C2901" s="11" t="s">
        <v>95</v>
      </c>
      <c r="D2901" s="4" t="s">
        <v>1406</v>
      </c>
      <c r="E2901" t="s">
        <v>30</v>
      </c>
      <c r="F2901" s="9">
        <f t="shared" si="186"/>
        <v>0</v>
      </c>
      <c r="G2901" s="9">
        <f t="shared" si="187"/>
        <v>0</v>
      </c>
      <c r="H2901" s="9">
        <f t="shared" si="188"/>
        <v>0</v>
      </c>
      <c r="I2901" s="10">
        <f t="shared" si="189"/>
        <v>0</v>
      </c>
    </row>
    <row r="2902" spans="1:9" x14ac:dyDescent="0.25">
      <c r="A2902" s="11" t="s">
        <v>7615</v>
      </c>
      <c r="B2902" s="11" t="s">
        <v>7616</v>
      </c>
      <c r="C2902" s="11" t="s">
        <v>95</v>
      </c>
      <c r="D2902" s="4" t="s">
        <v>1406</v>
      </c>
      <c r="E2902" t="s">
        <v>30</v>
      </c>
      <c r="F2902" s="9">
        <f t="shared" si="186"/>
        <v>0</v>
      </c>
      <c r="G2902" s="9">
        <f t="shared" si="187"/>
        <v>0</v>
      </c>
      <c r="H2902" s="9">
        <f t="shared" si="188"/>
        <v>0</v>
      </c>
      <c r="I2902" s="10">
        <f t="shared" si="189"/>
        <v>0</v>
      </c>
    </row>
    <row r="2903" spans="1:9" x14ac:dyDescent="0.25">
      <c r="A2903" s="11" t="s">
        <v>7617</v>
      </c>
      <c r="B2903" s="11" t="s">
        <v>7618</v>
      </c>
      <c r="C2903" s="11" t="s">
        <v>95</v>
      </c>
      <c r="D2903" s="4" t="s">
        <v>1406</v>
      </c>
      <c r="E2903" t="s">
        <v>30</v>
      </c>
      <c r="F2903" s="9">
        <f t="shared" si="186"/>
        <v>0</v>
      </c>
      <c r="G2903" s="9">
        <f t="shared" si="187"/>
        <v>0</v>
      </c>
      <c r="H2903" s="9">
        <f t="shared" si="188"/>
        <v>0</v>
      </c>
      <c r="I2903" s="10">
        <f t="shared" si="189"/>
        <v>0</v>
      </c>
    </row>
    <row r="2904" spans="1:9" x14ac:dyDescent="0.25">
      <c r="A2904" s="11" t="s">
        <v>7619</v>
      </c>
      <c r="B2904" s="11" t="s">
        <v>7620</v>
      </c>
      <c r="C2904" s="11" t="s">
        <v>95</v>
      </c>
      <c r="D2904" s="4" t="s">
        <v>1406</v>
      </c>
      <c r="E2904" t="s">
        <v>30</v>
      </c>
      <c r="F2904" s="9">
        <f t="shared" si="186"/>
        <v>0</v>
      </c>
      <c r="G2904" s="9">
        <f t="shared" si="187"/>
        <v>0</v>
      </c>
      <c r="H2904" s="9">
        <f t="shared" si="188"/>
        <v>0</v>
      </c>
      <c r="I2904" s="10">
        <f t="shared" si="189"/>
        <v>0</v>
      </c>
    </row>
    <row r="2905" spans="1:9" x14ac:dyDescent="0.25">
      <c r="A2905" s="11" t="s">
        <v>7621</v>
      </c>
      <c r="B2905" s="11" t="s">
        <v>7622</v>
      </c>
      <c r="C2905" s="11" t="s">
        <v>95</v>
      </c>
      <c r="D2905" s="4" t="s">
        <v>1406</v>
      </c>
      <c r="E2905" t="s">
        <v>30</v>
      </c>
      <c r="F2905" s="9">
        <f t="shared" si="186"/>
        <v>0</v>
      </c>
      <c r="G2905" s="9">
        <f t="shared" si="187"/>
        <v>0</v>
      </c>
      <c r="H2905" s="9">
        <f t="shared" si="188"/>
        <v>0</v>
      </c>
      <c r="I2905" s="10">
        <f t="shared" si="189"/>
        <v>0</v>
      </c>
    </row>
    <row r="2906" spans="1:9" x14ac:dyDescent="0.25">
      <c r="A2906" s="11" t="s">
        <v>7623</v>
      </c>
      <c r="B2906" s="11" t="s">
        <v>7624</v>
      </c>
      <c r="C2906" s="11" t="s">
        <v>95</v>
      </c>
      <c r="D2906" s="4" t="s">
        <v>1406</v>
      </c>
      <c r="E2906" t="s">
        <v>30</v>
      </c>
      <c r="F2906" s="9">
        <f t="shared" si="186"/>
        <v>0</v>
      </c>
      <c r="G2906" s="9">
        <f t="shared" si="187"/>
        <v>0</v>
      </c>
      <c r="H2906" s="9">
        <f t="shared" si="188"/>
        <v>0</v>
      </c>
      <c r="I2906" s="10">
        <f t="shared" si="189"/>
        <v>0</v>
      </c>
    </row>
    <row r="2907" spans="1:9" x14ac:dyDescent="0.25">
      <c r="A2907" s="11" t="s">
        <v>7625</v>
      </c>
      <c r="B2907" s="11" t="s">
        <v>7626</v>
      </c>
      <c r="C2907" s="11" t="s">
        <v>95</v>
      </c>
      <c r="D2907" s="4" t="s">
        <v>1406</v>
      </c>
      <c r="E2907" t="s">
        <v>30</v>
      </c>
      <c r="F2907" s="9">
        <f t="shared" si="186"/>
        <v>0</v>
      </c>
      <c r="G2907" s="9">
        <f t="shared" si="187"/>
        <v>0</v>
      </c>
      <c r="H2907" s="9">
        <f t="shared" si="188"/>
        <v>0</v>
      </c>
      <c r="I2907" s="10">
        <f t="shared" si="189"/>
        <v>0</v>
      </c>
    </row>
    <row r="2908" spans="1:9" x14ac:dyDescent="0.25">
      <c r="A2908" s="11" t="s">
        <v>7627</v>
      </c>
      <c r="B2908" s="11" t="s">
        <v>7628</v>
      </c>
      <c r="C2908" s="11" t="s">
        <v>95</v>
      </c>
      <c r="D2908" s="4" t="s">
        <v>1406</v>
      </c>
      <c r="E2908" t="s">
        <v>30</v>
      </c>
      <c r="F2908" s="9">
        <f t="shared" si="186"/>
        <v>0</v>
      </c>
      <c r="G2908" s="9">
        <f t="shared" si="187"/>
        <v>0</v>
      </c>
      <c r="H2908" s="9">
        <f t="shared" si="188"/>
        <v>0</v>
      </c>
      <c r="I2908" s="10">
        <f t="shared" si="189"/>
        <v>0</v>
      </c>
    </row>
    <row r="2909" spans="1:9" x14ac:dyDescent="0.25">
      <c r="A2909" s="11" t="s">
        <v>7629</v>
      </c>
      <c r="B2909" s="11" t="s">
        <v>7630</v>
      </c>
      <c r="C2909" s="11" t="s">
        <v>95</v>
      </c>
      <c r="D2909" s="4" t="s">
        <v>1406</v>
      </c>
      <c r="E2909" t="s">
        <v>30</v>
      </c>
      <c r="F2909" s="9">
        <f t="shared" si="186"/>
        <v>0</v>
      </c>
      <c r="G2909" s="9">
        <f t="shared" si="187"/>
        <v>0</v>
      </c>
      <c r="H2909" s="9">
        <f t="shared" si="188"/>
        <v>0</v>
      </c>
      <c r="I2909" s="10">
        <f t="shared" si="189"/>
        <v>0</v>
      </c>
    </row>
    <row r="2910" spans="1:9" x14ac:dyDescent="0.25">
      <c r="A2910" s="11" t="s">
        <v>7631</v>
      </c>
      <c r="B2910" s="11" t="s">
        <v>7632</v>
      </c>
      <c r="C2910" s="11" t="s">
        <v>95</v>
      </c>
      <c r="D2910" s="4" t="s">
        <v>1406</v>
      </c>
      <c r="E2910" t="s">
        <v>30</v>
      </c>
      <c r="F2910" s="9">
        <f t="shared" si="186"/>
        <v>0</v>
      </c>
      <c r="G2910" s="9">
        <f t="shared" si="187"/>
        <v>0</v>
      </c>
      <c r="H2910" s="9">
        <f t="shared" si="188"/>
        <v>0</v>
      </c>
      <c r="I2910" s="10">
        <f t="shared" si="189"/>
        <v>0</v>
      </c>
    </row>
    <row r="2911" spans="1:9" x14ac:dyDescent="0.25">
      <c r="A2911" s="11" t="s">
        <v>7633</v>
      </c>
      <c r="B2911" s="11" t="s">
        <v>7634</v>
      </c>
      <c r="C2911" s="11" t="s">
        <v>95</v>
      </c>
      <c r="D2911" s="4" t="s">
        <v>1406</v>
      </c>
      <c r="E2911" t="s">
        <v>30</v>
      </c>
      <c r="F2911" s="9">
        <f t="shared" si="186"/>
        <v>0</v>
      </c>
      <c r="G2911" s="9">
        <f t="shared" si="187"/>
        <v>0</v>
      </c>
      <c r="H2911" s="9">
        <f t="shared" si="188"/>
        <v>0</v>
      </c>
      <c r="I2911" s="10">
        <f t="shared" si="189"/>
        <v>0</v>
      </c>
    </row>
    <row r="2912" spans="1:9" x14ac:dyDescent="0.25">
      <c r="A2912" s="11" t="s">
        <v>7635</v>
      </c>
      <c r="B2912" s="11" t="s">
        <v>7636</v>
      </c>
      <c r="C2912" s="11" t="s">
        <v>95</v>
      </c>
      <c r="D2912" s="4" t="s">
        <v>1406</v>
      </c>
      <c r="E2912" t="s">
        <v>30</v>
      </c>
      <c r="F2912" s="9">
        <f t="shared" si="186"/>
        <v>0</v>
      </c>
      <c r="G2912" s="9">
        <f t="shared" si="187"/>
        <v>0</v>
      </c>
      <c r="H2912" s="9">
        <f t="shared" si="188"/>
        <v>0</v>
      </c>
      <c r="I2912" s="10">
        <f t="shared" si="189"/>
        <v>0</v>
      </c>
    </row>
    <row r="2913" spans="1:9" x14ac:dyDescent="0.25">
      <c r="A2913" s="11" t="s">
        <v>7637</v>
      </c>
      <c r="B2913" s="11" t="s">
        <v>7638</v>
      </c>
      <c r="C2913" s="11" t="s">
        <v>95</v>
      </c>
      <c r="D2913" s="4" t="s">
        <v>1406</v>
      </c>
      <c r="E2913" t="s">
        <v>30</v>
      </c>
      <c r="F2913" s="9">
        <f t="shared" si="186"/>
        <v>0</v>
      </c>
      <c r="G2913" s="9">
        <f t="shared" si="187"/>
        <v>0</v>
      </c>
      <c r="H2913" s="9">
        <f t="shared" si="188"/>
        <v>0</v>
      </c>
      <c r="I2913" s="10">
        <f t="shared" si="189"/>
        <v>0</v>
      </c>
    </row>
    <row r="2914" spans="1:9" x14ac:dyDescent="0.25">
      <c r="A2914" s="11" t="s">
        <v>7639</v>
      </c>
      <c r="B2914" s="11" t="s">
        <v>7640</v>
      </c>
      <c r="C2914" s="11" t="s">
        <v>95</v>
      </c>
      <c r="D2914" s="4" t="s">
        <v>1406</v>
      </c>
      <c r="E2914" t="s">
        <v>30</v>
      </c>
      <c r="F2914" s="9">
        <f t="shared" si="186"/>
        <v>0</v>
      </c>
      <c r="G2914" s="9">
        <f t="shared" si="187"/>
        <v>0</v>
      </c>
      <c r="H2914" s="9">
        <f t="shared" si="188"/>
        <v>0</v>
      </c>
      <c r="I2914" s="10">
        <f t="shared" si="189"/>
        <v>0</v>
      </c>
    </row>
    <row r="2915" spans="1:9" x14ac:dyDescent="0.25">
      <c r="A2915" s="11" t="s">
        <v>7641</v>
      </c>
      <c r="B2915" s="11" t="s">
        <v>7642</v>
      </c>
      <c r="C2915" s="11" t="s">
        <v>95</v>
      </c>
      <c r="D2915" s="4" t="s">
        <v>1406</v>
      </c>
      <c r="E2915" t="s">
        <v>30</v>
      </c>
      <c r="F2915" s="9">
        <f t="shared" si="186"/>
        <v>0</v>
      </c>
      <c r="G2915" s="9">
        <f t="shared" si="187"/>
        <v>0</v>
      </c>
      <c r="H2915" s="9">
        <f t="shared" si="188"/>
        <v>0</v>
      </c>
      <c r="I2915" s="10">
        <f t="shared" si="189"/>
        <v>0</v>
      </c>
    </row>
    <row r="2916" spans="1:9" x14ac:dyDescent="0.25">
      <c r="A2916" s="11" t="s">
        <v>7643</v>
      </c>
      <c r="B2916" s="11" t="s">
        <v>7644</v>
      </c>
      <c r="C2916" s="11" t="s">
        <v>95</v>
      </c>
      <c r="D2916" s="4" t="s">
        <v>1406</v>
      </c>
      <c r="E2916" t="s">
        <v>30</v>
      </c>
      <c r="F2916" s="9">
        <f t="shared" si="186"/>
        <v>0</v>
      </c>
      <c r="G2916" s="9">
        <f t="shared" si="187"/>
        <v>0</v>
      </c>
      <c r="H2916" s="9">
        <f t="shared" si="188"/>
        <v>0</v>
      </c>
      <c r="I2916" s="10">
        <f t="shared" si="189"/>
        <v>0</v>
      </c>
    </row>
    <row r="2917" spans="1:9" x14ac:dyDescent="0.25">
      <c r="A2917" s="11" t="s">
        <v>7645</v>
      </c>
      <c r="B2917" s="11" t="s">
        <v>7646</v>
      </c>
      <c r="C2917" s="11" t="s">
        <v>95</v>
      </c>
      <c r="D2917" s="4" t="s">
        <v>1406</v>
      </c>
      <c r="E2917" t="s">
        <v>30</v>
      </c>
      <c r="F2917" s="9">
        <f t="shared" si="186"/>
        <v>0</v>
      </c>
      <c r="G2917" s="9">
        <f t="shared" si="187"/>
        <v>0</v>
      </c>
      <c r="H2917" s="9">
        <f t="shared" si="188"/>
        <v>0</v>
      </c>
      <c r="I2917" s="10">
        <f t="shared" si="189"/>
        <v>0</v>
      </c>
    </row>
    <row r="2918" spans="1:9" x14ac:dyDescent="0.25">
      <c r="A2918" s="11" t="s">
        <v>7647</v>
      </c>
      <c r="B2918" s="11" t="s">
        <v>7648</v>
      </c>
      <c r="C2918" s="11" t="s">
        <v>95</v>
      </c>
      <c r="D2918" s="4" t="s">
        <v>1406</v>
      </c>
      <c r="E2918" t="s">
        <v>30</v>
      </c>
      <c r="F2918" s="9">
        <f t="shared" si="186"/>
        <v>0</v>
      </c>
      <c r="G2918" s="9">
        <f t="shared" si="187"/>
        <v>0</v>
      </c>
      <c r="H2918" s="9">
        <f t="shared" si="188"/>
        <v>0</v>
      </c>
      <c r="I2918" s="10">
        <f t="shared" si="189"/>
        <v>0</v>
      </c>
    </row>
    <row r="2919" spans="1:9" x14ac:dyDescent="0.25">
      <c r="A2919" s="11" t="s">
        <v>7649</v>
      </c>
      <c r="B2919" s="11" t="s">
        <v>7650</v>
      </c>
      <c r="C2919" s="11" t="s">
        <v>95</v>
      </c>
      <c r="D2919" s="4" t="s">
        <v>1406</v>
      </c>
      <c r="E2919" t="s">
        <v>30</v>
      </c>
      <c r="F2919" s="9">
        <f t="shared" si="186"/>
        <v>0</v>
      </c>
      <c r="G2919" s="9">
        <f t="shared" si="187"/>
        <v>0</v>
      </c>
      <c r="H2919" s="9">
        <f t="shared" si="188"/>
        <v>0</v>
      </c>
      <c r="I2919" s="10">
        <f t="shared" si="189"/>
        <v>0</v>
      </c>
    </row>
    <row r="2920" spans="1:9" x14ac:dyDescent="0.25">
      <c r="A2920" s="11" t="s">
        <v>7651</v>
      </c>
      <c r="B2920" s="11" t="s">
        <v>7652</v>
      </c>
      <c r="C2920" s="11" t="s">
        <v>95</v>
      </c>
      <c r="D2920" s="4" t="s">
        <v>1406</v>
      </c>
      <c r="E2920" t="s">
        <v>30</v>
      </c>
      <c r="F2920" s="9">
        <f t="shared" si="186"/>
        <v>0</v>
      </c>
      <c r="G2920" s="9">
        <f t="shared" si="187"/>
        <v>0</v>
      </c>
      <c r="H2920" s="9">
        <f t="shared" si="188"/>
        <v>0</v>
      </c>
      <c r="I2920" s="10">
        <f t="shared" si="189"/>
        <v>0</v>
      </c>
    </row>
    <row r="2921" spans="1:9" x14ac:dyDescent="0.25">
      <c r="A2921" s="11" t="s">
        <v>7653</v>
      </c>
      <c r="B2921" s="11" t="s">
        <v>7654</v>
      </c>
      <c r="C2921" s="11" t="s">
        <v>95</v>
      </c>
      <c r="D2921" s="4" t="s">
        <v>1406</v>
      </c>
      <c r="E2921" t="s">
        <v>30</v>
      </c>
      <c r="F2921" s="9">
        <f t="shared" si="186"/>
        <v>0</v>
      </c>
      <c r="G2921" s="9">
        <f t="shared" si="187"/>
        <v>0</v>
      </c>
      <c r="H2921" s="9">
        <f t="shared" si="188"/>
        <v>0</v>
      </c>
      <c r="I2921" s="10">
        <f t="shared" si="189"/>
        <v>0</v>
      </c>
    </row>
    <row r="2922" spans="1:9" x14ac:dyDescent="0.25">
      <c r="A2922" s="11" t="s">
        <v>7655</v>
      </c>
      <c r="B2922" s="11" t="s">
        <v>7656</v>
      </c>
      <c r="C2922" s="11" t="s">
        <v>95</v>
      </c>
      <c r="D2922" s="4" t="s">
        <v>1406</v>
      </c>
      <c r="E2922" t="s">
        <v>30</v>
      </c>
      <c r="F2922" s="9">
        <f t="shared" si="186"/>
        <v>0</v>
      </c>
      <c r="G2922" s="9">
        <f t="shared" si="187"/>
        <v>0</v>
      </c>
      <c r="H2922" s="9">
        <f t="shared" si="188"/>
        <v>0</v>
      </c>
      <c r="I2922" s="10">
        <f t="shared" si="189"/>
        <v>0</v>
      </c>
    </row>
    <row r="2923" spans="1:9" x14ac:dyDescent="0.25">
      <c r="A2923" s="11" t="s">
        <v>7657</v>
      </c>
      <c r="B2923" s="11" t="s">
        <v>7658</v>
      </c>
      <c r="C2923" s="11" t="s">
        <v>95</v>
      </c>
      <c r="D2923" s="4" t="s">
        <v>1406</v>
      </c>
      <c r="E2923" t="s">
        <v>30</v>
      </c>
      <c r="F2923" s="9">
        <f t="shared" si="186"/>
        <v>0</v>
      </c>
      <c r="G2923" s="9">
        <f t="shared" si="187"/>
        <v>0</v>
      </c>
      <c r="H2923" s="9">
        <f t="shared" si="188"/>
        <v>0</v>
      </c>
      <c r="I2923" s="10">
        <f t="shared" si="189"/>
        <v>0</v>
      </c>
    </row>
    <row r="2924" spans="1:9" x14ac:dyDescent="0.25">
      <c r="A2924" s="11" t="s">
        <v>114</v>
      </c>
      <c r="B2924" s="11" t="s">
        <v>113</v>
      </c>
      <c r="C2924" s="11" t="s">
        <v>95</v>
      </c>
      <c r="D2924" s="4" t="s">
        <v>1406</v>
      </c>
      <c r="E2924" t="s">
        <v>30</v>
      </c>
      <c r="F2924" s="9">
        <f t="shared" si="186"/>
        <v>0</v>
      </c>
      <c r="G2924" s="9">
        <f t="shared" si="187"/>
        <v>0</v>
      </c>
      <c r="H2924" s="9">
        <f t="shared" si="188"/>
        <v>0</v>
      </c>
      <c r="I2924" s="10">
        <f t="shared" si="189"/>
        <v>0</v>
      </c>
    </row>
    <row r="2925" spans="1:9" x14ac:dyDescent="0.25">
      <c r="A2925" s="11" t="s">
        <v>7659</v>
      </c>
      <c r="B2925" s="11" t="s">
        <v>7660</v>
      </c>
      <c r="C2925" s="11" t="s">
        <v>95</v>
      </c>
      <c r="D2925" s="4" t="s">
        <v>1406</v>
      </c>
      <c r="E2925" t="s">
        <v>30</v>
      </c>
      <c r="F2925" s="9">
        <f t="shared" si="186"/>
        <v>0</v>
      </c>
      <c r="G2925" s="9">
        <f t="shared" si="187"/>
        <v>0</v>
      </c>
      <c r="H2925" s="9">
        <f t="shared" si="188"/>
        <v>0</v>
      </c>
      <c r="I2925" s="10">
        <f t="shared" si="189"/>
        <v>0</v>
      </c>
    </row>
    <row r="2926" spans="1:9" x14ac:dyDescent="0.25">
      <c r="A2926" s="11" t="s">
        <v>7661</v>
      </c>
      <c r="B2926" s="11" t="s">
        <v>7662</v>
      </c>
      <c r="C2926" s="11" t="s">
        <v>3114</v>
      </c>
      <c r="D2926" s="4" t="s">
        <v>1406</v>
      </c>
      <c r="E2926" t="s">
        <v>101</v>
      </c>
      <c r="F2926" s="9">
        <f t="shared" si="186"/>
        <v>0</v>
      </c>
      <c r="G2926" s="9">
        <f t="shared" si="187"/>
        <v>0</v>
      </c>
      <c r="H2926" s="9">
        <f t="shared" si="188"/>
        <v>0</v>
      </c>
      <c r="I2926" s="10">
        <f t="shared" si="189"/>
        <v>0</v>
      </c>
    </row>
    <row r="2927" spans="1:9" x14ac:dyDescent="0.25">
      <c r="A2927" s="11" t="s">
        <v>7663</v>
      </c>
      <c r="B2927" s="11" t="s">
        <v>7664</v>
      </c>
      <c r="C2927" s="11" t="s">
        <v>3114</v>
      </c>
      <c r="D2927" s="4" t="s">
        <v>1406</v>
      </c>
      <c r="E2927" t="s">
        <v>101</v>
      </c>
      <c r="F2927" s="9">
        <f t="shared" si="186"/>
        <v>0</v>
      </c>
      <c r="G2927" s="9">
        <f t="shared" si="187"/>
        <v>0</v>
      </c>
      <c r="H2927" s="9">
        <f t="shared" si="188"/>
        <v>0</v>
      </c>
      <c r="I2927" s="10">
        <f t="shared" si="189"/>
        <v>0</v>
      </c>
    </row>
    <row r="2928" spans="1:9" x14ac:dyDescent="0.25">
      <c r="A2928" s="11" t="s">
        <v>7665</v>
      </c>
      <c r="B2928" s="11" t="s">
        <v>7666</v>
      </c>
      <c r="C2928" s="11" t="s">
        <v>3114</v>
      </c>
      <c r="D2928" s="4" t="s">
        <v>1406</v>
      </c>
      <c r="E2928" t="s">
        <v>101</v>
      </c>
      <c r="F2928" s="9">
        <f t="shared" si="186"/>
        <v>0</v>
      </c>
      <c r="G2928" s="9">
        <f t="shared" si="187"/>
        <v>0</v>
      </c>
      <c r="H2928" s="9">
        <f t="shared" si="188"/>
        <v>0</v>
      </c>
      <c r="I2928" s="10">
        <f t="shared" si="189"/>
        <v>0</v>
      </c>
    </row>
    <row r="2929" spans="1:9" x14ac:dyDescent="0.25">
      <c r="A2929" s="11" t="s">
        <v>7667</v>
      </c>
      <c r="B2929" s="11" t="s">
        <v>7668</v>
      </c>
      <c r="C2929" s="11" t="s">
        <v>3114</v>
      </c>
      <c r="D2929" s="4" t="s">
        <v>1406</v>
      </c>
      <c r="E2929" t="s">
        <v>101</v>
      </c>
      <c r="F2929" s="9">
        <f t="shared" si="186"/>
        <v>0</v>
      </c>
      <c r="G2929" s="9">
        <f t="shared" si="187"/>
        <v>0</v>
      </c>
      <c r="H2929" s="9">
        <f t="shared" si="188"/>
        <v>0</v>
      </c>
      <c r="I2929" s="10">
        <f t="shared" si="189"/>
        <v>0</v>
      </c>
    </row>
    <row r="2930" spans="1:9" x14ac:dyDescent="0.25">
      <c r="A2930" s="11" t="s">
        <v>7669</v>
      </c>
      <c r="B2930" s="11" t="s">
        <v>7670</v>
      </c>
      <c r="C2930" s="11" t="s">
        <v>3114</v>
      </c>
      <c r="D2930" s="4" t="s">
        <v>1406</v>
      </c>
      <c r="E2930" t="s">
        <v>101</v>
      </c>
      <c r="F2930" s="9">
        <f t="shared" si="186"/>
        <v>0</v>
      </c>
      <c r="G2930" s="9">
        <f t="shared" si="187"/>
        <v>0</v>
      </c>
      <c r="H2930" s="9">
        <f t="shared" si="188"/>
        <v>0</v>
      </c>
      <c r="I2930" s="10">
        <f t="shared" si="189"/>
        <v>0</v>
      </c>
    </row>
    <row r="2931" spans="1:9" x14ac:dyDescent="0.25">
      <c r="A2931" s="11" t="s">
        <v>7671</v>
      </c>
      <c r="B2931" s="11" t="s">
        <v>7672</v>
      </c>
      <c r="C2931" s="11" t="s">
        <v>3114</v>
      </c>
      <c r="D2931" s="4" t="s">
        <v>1406</v>
      </c>
      <c r="E2931" t="s">
        <v>104</v>
      </c>
      <c r="F2931" s="9">
        <f t="shared" si="186"/>
        <v>0</v>
      </c>
      <c r="G2931" s="9">
        <f t="shared" si="187"/>
        <v>0</v>
      </c>
      <c r="H2931" s="9">
        <f t="shared" si="188"/>
        <v>0</v>
      </c>
      <c r="I2931" s="10">
        <f t="shared" si="189"/>
        <v>0</v>
      </c>
    </row>
    <row r="2932" spans="1:9" x14ac:dyDescent="0.25">
      <c r="A2932" s="11" t="s">
        <v>7673</v>
      </c>
      <c r="B2932" s="11" t="s">
        <v>7674</v>
      </c>
      <c r="C2932" s="11" t="s">
        <v>3114</v>
      </c>
      <c r="D2932" s="4" t="s">
        <v>1406</v>
      </c>
      <c r="E2932" t="s">
        <v>101</v>
      </c>
      <c r="F2932" s="9">
        <f t="shared" si="186"/>
        <v>0</v>
      </c>
      <c r="G2932" s="9">
        <f t="shared" si="187"/>
        <v>0</v>
      </c>
      <c r="H2932" s="9">
        <f t="shared" si="188"/>
        <v>0</v>
      </c>
      <c r="I2932" s="10">
        <f t="shared" si="189"/>
        <v>0</v>
      </c>
    </row>
    <row r="2933" spans="1:9" x14ac:dyDescent="0.25">
      <c r="A2933" s="11" t="s">
        <v>7675</v>
      </c>
      <c r="B2933" s="11" t="s">
        <v>7676</v>
      </c>
      <c r="C2933" s="11" t="s">
        <v>3114</v>
      </c>
      <c r="D2933" s="4" t="s">
        <v>1406</v>
      </c>
      <c r="E2933" t="s">
        <v>101</v>
      </c>
      <c r="F2933" s="9">
        <f t="shared" si="186"/>
        <v>0</v>
      </c>
      <c r="G2933" s="9">
        <f t="shared" si="187"/>
        <v>0</v>
      </c>
      <c r="H2933" s="9">
        <f t="shared" si="188"/>
        <v>0</v>
      </c>
      <c r="I2933" s="10">
        <f t="shared" si="189"/>
        <v>0</v>
      </c>
    </row>
    <row r="2934" spans="1:9" x14ac:dyDescent="0.25">
      <c r="A2934" s="11" t="s">
        <v>161</v>
      </c>
      <c r="B2934" s="11" t="s">
        <v>160</v>
      </c>
      <c r="C2934" s="11" t="s">
        <v>3114</v>
      </c>
      <c r="D2934" s="4" t="s">
        <v>1406</v>
      </c>
      <c r="E2934" t="s">
        <v>101</v>
      </c>
      <c r="F2934" s="9">
        <f t="shared" si="186"/>
        <v>0</v>
      </c>
      <c r="G2934" s="9">
        <f t="shared" si="187"/>
        <v>0</v>
      </c>
      <c r="H2934" s="9">
        <f t="shared" si="188"/>
        <v>0</v>
      </c>
      <c r="I2934" s="10">
        <f t="shared" si="189"/>
        <v>0</v>
      </c>
    </row>
    <row r="2935" spans="1:9" x14ac:dyDescent="0.25">
      <c r="A2935" s="11" t="s">
        <v>7677</v>
      </c>
      <c r="B2935" s="11" t="s">
        <v>7678</v>
      </c>
      <c r="C2935" s="11" t="s">
        <v>3114</v>
      </c>
      <c r="D2935" s="4" t="s">
        <v>1406</v>
      </c>
      <c r="E2935" t="s">
        <v>104</v>
      </c>
      <c r="F2935" s="9">
        <f t="shared" si="186"/>
        <v>0</v>
      </c>
      <c r="G2935" s="9">
        <f t="shared" si="187"/>
        <v>0</v>
      </c>
      <c r="H2935" s="9">
        <f t="shared" si="188"/>
        <v>0</v>
      </c>
      <c r="I2935" s="10">
        <f t="shared" si="189"/>
        <v>0</v>
      </c>
    </row>
    <row r="2936" spans="1:9" x14ac:dyDescent="0.25">
      <c r="A2936" s="11" t="s">
        <v>7679</v>
      </c>
      <c r="B2936" s="11" t="s">
        <v>7680</v>
      </c>
      <c r="C2936" s="11" t="s">
        <v>3114</v>
      </c>
      <c r="D2936" s="4" t="s">
        <v>1406</v>
      </c>
      <c r="E2936" t="s">
        <v>104</v>
      </c>
      <c r="F2936" s="9">
        <f t="shared" si="186"/>
        <v>0</v>
      </c>
      <c r="G2936" s="9">
        <f t="shared" si="187"/>
        <v>0</v>
      </c>
      <c r="H2936" s="9">
        <f t="shared" si="188"/>
        <v>0</v>
      </c>
      <c r="I2936" s="10">
        <f t="shared" si="189"/>
        <v>0</v>
      </c>
    </row>
    <row r="2937" spans="1:9" x14ac:dyDescent="0.25">
      <c r="A2937" s="11" t="s">
        <v>7681</v>
      </c>
      <c r="B2937" s="11" t="s">
        <v>7682</v>
      </c>
      <c r="C2937" s="11" t="s">
        <v>3114</v>
      </c>
      <c r="D2937" s="4" t="s">
        <v>1406</v>
      </c>
      <c r="E2937" t="s">
        <v>104</v>
      </c>
      <c r="F2937" s="9">
        <f t="shared" si="186"/>
        <v>0</v>
      </c>
      <c r="G2937" s="9">
        <f t="shared" si="187"/>
        <v>0</v>
      </c>
      <c r="H2937" s="9">
        <f t="shared" si="188"/>
        <v>0</v>
      </c>
      <c r="I2937" s="10">
        <f t="shared" si="189"/>
        <v>0</v>
      </c>
    </row>
    <row r="2938" spans="1:9" x14ac:dyDescent="0.25">
      <c r="A2938" s="11" t="s">
        <v>7683</v>
      </c>
      <c r="B2938" s="11" t="s">
        <v>7684</v>
      </c>
      <c r="C2938" s="11" t="s">
        <v>3114</v>
      </c>
      <c r="D2938" s="4" t="s">
        <v>1406</v>
      </c>
      <c r="E2938" t="s">
        <v>101</v>
      </c>
      <c r="F2938" s="9">
        <f t="shared" si="186"/>
        <v>0</v>
      </c>
      <c r="G2938" s="9">
        <f t="shared" si="187"/>
        <v>0</v>
      </c>
      <c r="H2938" s="9">
        <f t="shared" si="188"/>
        <v>0</v>
      </c>
      <c r="I2938" s="10">
        <f t="shared" si="189"/>
        <v>0</v>
      </c>
    </row>
    <row r="2939" spans="1:9" x14ac:dyDescent="0.25">
      <c r="A2939" s="11" t="s">
        <v>7685</v>
      </c>
      <c r="B2939" s="11" t="s">
        <v>7686</v>
      </c>
      <c r="C2939" s="11" t="s">
        <v>3114</v>
      </c>
      <c r="D2939" s="4" t="s">
        <v>1406</v>
      </c>
      <c r="E2939" t="s">
        <v>101</v>
      </c>
      <c r="F2939" s="9">
        <f t="shared" si="186"/>
        <v>0</v>
      </c>
      <c r="G2939" s="9">
        <f t="shared" si="187"/>
        <v>0</v>
      </c>
      <c r="H2939" s="9">
        <f t="shared" si="188"/>
        <v>0</v>
      </c>
      <c r="I2939" s="10">
        <f t="shared" si="189"/>
        <v>0</v>
      </c>
    </row>
    <row r="2940" spans="1:9" x14ac:dyDescent="0.25">
      <c r="A2940" s="11" t="s">
        <v>7687</v>
      </c>
      <c r="B2940" s="11" t="s">
        <v>7688</v>
      </c>
      <c r="C2940" s="11" t="s">
        <v>3114</v>
      </c>
      <c r="D2940" s="4" t="s">
        <v>1406</v>
      </c>
      <c r="E2940" t="s">
        <v>101</v>
      </c>
      <c r="F2940" s="9">
        <f t="shared" si="186"/>
        <v>0</v>
      </c>
      <c r="G2940" s="9">
        <f t="shared" si="187"/>
        <v>0</v>
      </c>
      <c r="H2940" s="9">
        <f t="shared" si="188"/>
        <v>0</v>
      </c>
      <c r="I2940" s="10">
        <f t="shared" si="189"/>
        <v>0</v>
      </c>
    </row>
    <row r="2941" spans="1:9" x14ac:dyDescent="0.25">
      <c r="A2941" s="11" t="s">
        <v>7689</v>
      </c>
      <c r="B2941" s="11" t="s">
        <v>7690</v>
      </c>
      <c r="C2941" s="11" t="s">
        <v>3114</v>
      </c>
      <c r="D2941" s="4" t="s">
        <v>1406</v>
      </c>
      <c r="E2941" t="s">
        <v>101</v>
      </c>
      <c r="F2941" s="9">
        <f t="shared" si="186"/>
        <v>0</v>
      </c>
      <c r="G2941" s="9">
        <f t="shared" si="187"/>
        <v>0</v>
      </c>
      <c r="H2941" s="9">
        <f t="shared" si="188"/>
        <v>0</v>
      </c>
      <c r="I2941" s="10">
        <f t="shared" si="189"/>
        <v>0</v>
      </c>
    </row>
    <row r="2942" spans="1:9" x14ac:dyDescent="0.25">
      <c r="A2942" s="11" t="s">
        <v>7691</v>
      </c>
      <c r="B2942" s="11" t="s">
        <v>7692</v>
      </c>
      <c r="C2942" s="11" t="s">
        <v>3114</v>
      </c>
      <c r="D2942" s="4" t="s">
        <v>1406</v>
      </c>
      <c r="E2942" t="s">
        <v>101</v>
      </c>
      <c r="F2942" s="9">
        <f t="shared" si="186"/>
        <v>0</v>
      </c>
      <c r="G2942" s="9">
        <f t="shared" si="187"/>
        <v>0</v>
      </c>
      <c r="H2942" s="9">
        <f t="shared" si="188"/>
        <v>0</v>
      </c>
      <c r="I2942" s="10">
        <f t="shared" si="189"/>
        <v>0</v>
      </c>
    </row>
    <row r="2943" spans="1:9" x14ac:dyDescent="0.25">
      <c r="A2943" s="11" t="s">
        <v>7693</v>
      </c>
      <c r="B2943" s="11" t="s">
        <v>7694</v>
      </c>
      <c r="C2943" s="11" t="s">
        <v>3114</v>
      </c>
      <c r="D2943" s="4" t="s">
        <v>1406</v>
      </c>
      <c r="E2943" t="s">
        <v>489</v>
      </c>
      <c r="F2943" s="9">
        <f t="shared" si="186"/>
        <v>0</v>
      </c>
      <c r="G2943" s="9">
        <f t="shared" si="187"/>
        <v>0</v>
      </c>
      <c r="H2943" s="9">
        <f t="shared" si="188"/>
        <v>0</v>
      </c>
      <c r="I2943" s="10">
        <f t="shared" si="189"/>
        <v>0</v>
      </c>
    </row>
    <row r="2944" spans="1:9" x14ac:dyDescent="0.25">
      <c r="A2944" s="11" t="s">
        <v>7695</v>
      </c>
      <c r="B2944" s="11" t="s">
        <v>7696</v>
      </c>
      <c r="C2944" s="11" t="s">
        <v>3114</v>
      </c>
      <c r="D2944" s="4" t="s">
        <v>1406</v>
      </c>
      <c r="E2944" t="s">
        <v>101</v>
      </c>
      <c r="F2944" s="9">
        <f t="shared" si="186"/>
        <v>0</v>
      </c>
      <c r="G2944" s="9">
        <f t="shared" si="187"/>
        <v>0</v>
      </c>
      <c r="H2944" s="9">
        <f t="shared" si="188"/>
        <v>0</v>
      </c>
      <c r="I2944" s="10">
        <f t="shared" si="189"/>
        <v>0</v>
      </c>
    </row>
    <row r="2945" spans="1:9" x14ac:dyDescent="0.25">
      <c r="A2945" s="11" t="s">
        <v>7697</v>
      </c>
      <c r="B2945" s="11" t="s">
        <v>7698</v>
      </c>
      <c r="C2945" s="11" t="s">
        <v>3114</v>
      </c>
      <c r="D2945" s="4" t="s">
        <v>1406</v>
      </c>
      <c r="E2945" t="s">
        <v>489</v>
      </c>
      <c r="F2945" s="9">
        <f t="shared" si="186"/>
        <v>0</v>
      </c>
      <c r="G2945" s="9">
        <f t="shared" si="187"/>
        <v>0</v>
      </c>
      <c r="H2945" s="9">
        <f t="shared" si="188"/>
        <v>0</v>
      </c>
      <c r="I2945" s="10">
        <f t="shared" si="189"/>
        <v>0</v>
      </c>
    </row>
    <row r="2946" spans="1:9" x14ac:dyDescent="0.25">
      <c r="A2946" s="11" t="s">
        <v>7699</v>
      </c>
      <c r="B2946" s="11" t="s">
        <v>7700</v>
      </c>
      <c r="C2946" s="11" t="s">
        <v>3114</v>
      </c>
      <c r="D2946" s="4" t="s">
        <v>1406</v>
      </c>
      <c r="E2946" t="s">
        <v>101</v>
      </c>
      <c r="F2946" s="9">
        <f t="shared" si="186"/>
        <v>0</v>
      </c>
      <c r="G2946" s="9">
        <f t="shared" si="187"/>
        <v>0</v>
      </c>
      <c r="H2946" s="9">
        <f t="shared" si="188"/>
        <v>0</v>
      </c>
      <c r="I2946" s="10">
        <f t="shared" si="189"/>
        <v>0</v>
      </c>
    </row>
    <row r="2947" spans="1:9" x14ac:dyDescent="0.25">
      <c r="A2947" s="11" t="s">
        <v>7701</v>
      </c>
      <c r="B2947" s="11" t="s">
        <v>7702</v>
      </c>
      <c r="C2947" s="11" t="s">
        <v>3114</v>
      </c>
      <c r="D2947" s="4" t="s">
        <v>1406</v>
      </c>
      <c r="E2947" t="s">
        <v>101</v>
      </c>
      <c r="F2947" s="9">
        <f t="shared" si="186"/>
        <v>0</v>
      </c>
      <c r="G2947" s="9">
        <f t="shared" si="187"/>
        <v>0</v>
      </c>
      <c r="H2947" s="9">
        <f t="shared" si="188"/>
        <v>0</v>
      </c>
      <c r="I2947" s="10">
        <f t="shared" si="189"/>
        <v>0</v>
      </c>
    </row>
    <row r="2948" spans="1:9" x14ac:dyDescent="0.25">
      <c r="A2948" s="11" t="s">
        <v>7703</v>
      </c>
      <c r="B2948" s="11" t="s">
        <v>7704</v>
      </c>
      <c r="C2948" s="11" t="s">
        <v>3114</v>
      </c>
      <c r="D2948" s="4" t="s">
        <v>1406</v>
      </c>
      <c r="E2948" t="s">
        <v>101</v>
      </c>
      <c r="F2948" s="9">
        <f t="shared" si="186"/>
        <v>0</v>
      </c>
      <c r="G2948" s="9">
        <f t="shared" si="187"/>
        <v>0</v>
      </c>
      <c r="H2948" s="9">
        <f t="shared" si="188"/>
        <v>0</v>
      </c>
      <c r="I2948" s="10">
        <f t="shared" si="189"/>
        <v>0</v>
      </c>
    </row>
    <row r="2949" spans="1:9" x14ac:dyDescent="0.25">
      <c r="A2949" s="11" t="s">
        <v>7705</v>
      </c>
      <c r="B2949" s="11" t="s">
        <v>7706</v>
      </c>
      <c r="C2949" s="11" t="s">
        <v>3114</v>
      </c>
      <c r="D2949" s="4" t="s">
        <v>1406</v>
      </c>
      <c r="E2949" t="s">
        <v>101</v>
      </c>
      <c r="F2949" s="9">
        <f t="shared" si="186"/>
        <v>0</v>
      </c>
      <c r="G2949" s="9">
        <f t="shared" si="187"/>
        <v>0</v>
      </c>
      <c r="H2949" s="9">
        <f t="shared" si="188"/>
        <v>0</v>
      </c>
      <c r="I2949" s="10">
        <f t="shared" si="189"/>
        <v>0</v>
      </c>
    </row>
    <row r="2950" spans="1:9" x14ac:dyDescent="0.25">
      <c r="A2950" s="11" t="s">
        <v>7707</v>
      </c>
      <c r="B2950" s="11" t="s">
        <v>7708</v>
      </c>
      <c r="C2950" s="11" t="s">
        <v>3114</v>
      </c>
      <c r="D2950" s="4" t="s">
        <v>1406</v>
      </c>
      <c r="E2950" t="s">
        <v>101</v>
      </c>
      <c r="F2950" s="9">
        <f t="shared" si="186"/>
        <v>0</v>
      </c>
      <c r="G2950" s="9">
        <f t="shared" si="187"/>
        <v>0</v>
      </c>
      <c r="H2950" s="9">
        <f t="shared" si="188"/>
        <v>0</v>
      </c>
      <c r="I2950" s="10">
        <f t="shared" si="189"/>
        <v>0</v>
      </c>
    </row>
    <row r="2951" spans="1:9" x14ac:dyDescent="0.25">
      <c r="A2951" s="11" t="s">
        <v>7709</v>
      </c>
      <c r="B2951" s="11" t="s">
        <v>7710</v>
      </c>
      <c r="C2951" s="11" t="s">
        <v>3114</v>
      </c>
      <c r="D2951" s="4" t="s">
        <v>1406</v>
      </c>
      <c r="E2951" t="s">
        <v>101</v>
      </c>
      <c r="F2951" s="9">
        <f t="shared" si="186"/>
        <v>0</v>
      </c>
      <c r="G2951" s="9">
        <f t="shared" si="187"/>
        <v>0</v>
      </c>
      <c r="H2951" s="9">
        <f t="shared" si="188"/>
        <v>0</v>
      </c>
      <c r="I2951" s="10">
        <f t="shared" si="189"/>
        <v>0</v>
      </c>
    </row>
    <row r="2952" spans="1:9" x14ac:dyDescent="0.25">
      <c r="A2952" s="11" t="s">
        <v>7711</v>
      </c>
      <c r="B2952" s="11" t="s">
        <v>7712</v>
      </c>
      <c r="C2952" s="11" t="s">
        <v>3114</v>
      </c>
      <c r="D2952" s="4" t="s">
        <v>1406</v>
      </c>
      <c r="E2952" t="s">
        <v>101</v>
      </c>
      <c r="F2952" s="9">
        <f t="shared" ref="F2952:F3015" si="190">IFERROR(VLOOKUP(A2952,condi,8,0),0)</f>
        <v>0</v>
      </c>
      <c r="G2952" s="9">
        <f t="shared" ref="G2952:G3015" si="191">IFERROR(VLOOKUP(A2952,maqui,8,0),0)</f>
        <v>0</v>
      </c>
      <c r="H2952" s="9">
        <f t="shared" ref="H2952:H3015" si="192">IFERROR(VLOOKUP(A2952,ascint,8,0),0)</f>
        <v>0</v>
      </c>
      <c r="I2952" s="10">
        <f t="shared" ref="I2952:I3015" si="193">+F2952+G2952+H2952</f>
        <v>0</v>
      </c>
    </row>
    <row r="2953" spans="1:9" x14ac:dyDescent="0.25">
      <c r="A2953" s="11" t="s">
        <v>7713</v>
      </c>
      <c r="B2953" s="11" t="s">
        <v>7714</v>
      </c>
      <c r="C2953" s="11" t="s">
        <v>3114</v>
      </c>
      <c r="D2953" s="4" t="s">
        <v>1406</v>
      </c>
      <c r="E2953" t="s">
        <v>101</v>
      </c>
      <c r="F2953" s="9">
        <f t="shared" si="190"/>
        <v>0</v>
      </c>
      <c r="G2953" s="9">
        <f t="shared" si="191"/>
        <v>0</v>
      </c>
      <c r="H2953" s="9">
        <f t="shared" si="192"/>
        <v>0</v>
      </c>
      <c r="I2953" s="10">
        <f t="shared" si="193"/>
        <v>0</v>
      </c>
    </row>
    <row r="2954" spans="1:9" x14ac:dyDescent="0.25">
      <c r="A2954" s="11" t="s">
        <v>7715</v>
      </c>
      <c r="B2954" s="11" t="s">
        <v>7716</v>
      </c>
      <c r="C2954" s="11" t="s">
        <v>3114</v>
      </c>
      <c r="D2954" s="4" t="s">
        <v>1406</v>
      </c>
      <c r="E2954" t="s">
        <v>101</v>
      </c>
      <c r="F2954" s="9">
        <f t="shared" si="190"/>
        <v>0</v>
      </c>
      <c r="G2954" s="9">
        <f t="shared" si="191"/>
        <v>0</v>
      </c>
      <c r="H2954" s="9">
        <f t="shared" si="192"/>
        <v>0</v>
      </c>
      <c r="I2954" s="10">
        <f t="shared" si="193"/>
        <v>0</v>
      </c>
    </row>
    <row r="2955" spans="1:9" x14ac:dyDescent="0.25">
      <c r="A2955" s="11" t="s">
        <v>7717</v>
      </c>
      <c r="B2955" s="11" t="s">
        <v>7718</v>
      </c>
      <c r="C2955" s="11" t="s">
        <v>3114</v>
      </c>
      <c r="D2955" s="4" t="s">
        <v>1406</v>
      </c>
      <c r="E2955" t="s">
        <v>101</v>
      </c>
      <c r="F2955" s="9">
        <f t="shared" si="190"/>
        <v>0</v>
      </c>
      <c r="G2955" s="9">
        <f t="shared" si="191"/>
        <v>0</v>
      </c>
      <c r="H2955" s="9">
        <f t="shared" si="192"/>
        <v>0</v>
      </c>
      <c r="I2955" s="10">
        <f t="shared" si="193"/>
        <v>0</v>
      </c>
    </row>
    <row r="2956" spans="1:9" x14ac:dyDescent="0.25">
      <c r="A2956" s="11" t="s">
        <v>7719</v>
      </c>
      <c r="B2956" s="11" t="s">
        <v>7720</v>
      </c>
      <c r="C2956" s="11" t="s">
        <v>3114</v>
      </c>
      <c r="D2956" s="4" t="s">
        <v>1406</v>
      </c>
      <c r="E2956" t="s">
        <v>101</v>
      </c>
      <c r="F2956" s="9">
        <f t="shared" si="190"/>
        <v>0</v>
      </c>
      <c r="G2956" s="9">
        <f t="shared" si="191"/>
        <v>0</v>
      </c>
      <c r="H2956" s="9">
        <f t="shared" si="192"/>
        <v>0</v>
      </c>
      <c r="I2956" s="10">
        <f t="shared" si="193"/>
        <v>0</v>
      </c>
    </row>
    <row r="2957" spans="1:9" x14ac:dyDescent="0.25">
      <c r="A2957" s="11" t="s">
        <v>7721</v>
      </c>
      <c r="B2957" s="11" t="s">
        <v>7722</v>
      </c>
      <c r="C2957" s="11" t="s">
        <v>3114</v>
      </c>
      <c r="D2957" s="4" t="s">
        <v>1406</v>
      </c>
      <c r="E2957" t="s">
        <v>30</v>
      </c>
      <c r="F2957" s="9">
        <f t="shared" si="190"/>
        <v>0</v>
      </c>
      <c r="G2957" s="9">
        <f t="shared" si="191"/>
        <v>0</v>
      </c>
      <c r="H2957" s="9">
        <f t="shared" si="192"/>
        <v>0</v>
      </c>
      <c r="I2957" s="10">
        <f t="shared" si="193"/>
        <v>0</v>
      </c>
    </row>
    <row r="2958" spans="1:9" x14ac:dyDescent="0.25">
      <c r="A2958" s="11" t="s">
        <v>7723</v>
      </c>
      <c r="B2958" s="11" t="s">
        <v>7724</v>
      </c>
      <c r="C2958" s="11" t="s">
        <v>3114</v>
      </c>
      <c r="D2958" s="4" t="s">
        <v>1406</v>
      </c>
      <c r="E2958" t="s">
        <v>30</v>
      </c>
      <c r="F2958" s="9">
        <f t="shared" si="190"/>
        <v>0</v>
      </c>
      <c r="G2958" s="9">
        <f t="shared" si="191"/>
        <v>0</v>
      </c>
      <c r="H2958" s="9">
        <f t="shared" si="192"/>
        <v>0</v>
      </c>
      <c r="I2958" s="10">
        <f t="shared" si="193"/>
        <v>0</v>
      </c>
    </row>
    <row r="2959" spans="1:9" x14ac:dyDescent="0.25">
      <c r="A2959" s="11" t="s">
        <v>7725</v>
      </c>
      <c r="B2959" s="11" t="s">
        <v>7726</v>
      </c>
      <c r="C2959" s="11" t="s">
        <v>3114</v>
      </c>
      <c r="D2959" s="4" t="s">
        <v>1406</v>
      </c>
      <c r="E2959" t="s">
        <v>30</v>
      </c>
      <c r="F2959" s="9">
        <f t="shared" si="190"/>
        <v>0</v>
      </c>
      <c r="G2959" s="9">
        <f t="shared" si="191"/>
        <v>0</v>
      </c>
      <c r="H2959" s="9">
        <f t="shared" si="192"/>
        <v>0</v>
      </c>
      <c r="I2959" s="10">
        <f t="shared" si="193"/>
        <v>0</v>
      </c>
    </row>
    <row r="2960" spans="1:9" x14ac:dyDescent="0.25">
      <c r="A2960" s="11" t="s">
        <v>7727</v>
      </c>
      <c r="B2960" s="11" t="s">
        <v>7728</v>
      </c>
      <c r="C2960" s="11" t="s">
        <v>3114</v>
      </c>
      <c r="D2960" s="4" t="s">
        <v>1406</v>
      </c>
      <c r="E2960" t="s">
        <v>30</v>
      </c>
      <c r="F2960" s="9">
        <f t="shared" si="190"/>
        <v>0</v>
      </c>
      <c r="G2960" s="9">
        <f t="shared" si="191"/>
        <v>0</v>
      </c>
      <c r="H2960" s="9">
        <f t="shared" si="192"/>
        <v>0</v>
      </c>
      <c r="I2960" s="10">
        <f t="shared" si="193"/>
        <v>0</v>
      </c>
    </row>
    <row r="2961" spans="1:9" x14ac:dyDescent="0.25">
      <c r="A2961" s="11" t="s">
        <v>7729</v>
      </c>
      <c r="B2961" s="11" t="s">
        <v>7730</v>
      </c>
      <c r="C2961" s="11" t="s">
        <v>3114</v>
      </c>
      <c r="D2961" s="4" t="s">
        <v>1406</v>
      </c>
      <c r="E2961" t="s">
        <v>30</v>
      </c>
      <c r="F2961" s="9">
        <f t="shared" si="190"/>
        <v>0</v>
      </c>
      <c r="G2961" s="9">
        <f t="shared" si="191"/>
        <v>0</v>
      </c>
      <c r="H2961" s="9">
        <f t="shared" si="192"/>
        <v>0</v>
      </c>
      <c r="I2961" s="10">
        <f t="shared" si="193"/>
        <v>0</v>
      </c>
    </row>
    <row r="2962" spans="1:9" x14ac:dyDescent="0.25">
      <c r="A2962" s="11" t="s">
        <v>7731</v>
      </c>
      <c r="B2962" s="11" t="s">
        <v>7732</v>
      </c>
      <c r="C2962" s="11" t="s">
        <v>232</v>
      </c>
      <c r="D2962" s="4" t="s">
        <v>1406</v>
      </c>
      <c r="E2962" t="s">
        <v>30</v>
      </c>
      <c r="F2962" s="9">
        <f t="shared" si="190"/>
        <v>0</v>
      </c>
      <c r="G2962" s="9">
        <f t="shared" si="191"/>
        <v>0</v>
      </c>
      <c r="H2962" s="9">
        <f t="shared" si="192"/>
        <v>0</v>
      </c>
      <c r="I2962" s="10">
        <f t="shared" si="193"/>
        <v>0</v>
      </c>
    </row>
    <row r="2963" spans="1:9" x14ac:dyDescent="0.25">
      <c r="A2963" s="11" t="s">
        <v>7733</v>
      </c>
      <c r="B2963" s="11" t="s">
        <v>7734</v>
      </c>
      <c r="C2963" s="11" t="s">
        <v>232</v>
      </c>
      <c r="D2963" s="4" t="s">
        <v>1406</v>
      </c>
      <c r="E2963" t="s">
        <v>30</v>
      </c>
      <c r="F2963" s="9">
        <f t="shared" si="190"/>
        <v>0</v>
      </c>
      <c r="G2963" s="9">
        <f t="shared" si="191"/>
        <v>0</v>
      </c>
      <c r="H2963" s="9">
        <f t="shared" si="192"/>
        <v>0</v>
      </c>
      <c r="I2963" s="10">
        <f t="shared" si="193"/>
        <v>0</v>
      </c>
    </row>
    <row r="2964" spans="1:9" x14ac:dyDescent="0.25">
      <c r="A2964" s="11" t="s">
        <v>7735</v>
      </c>
      <c r="B2964" s="11" t="s">
        <v>7736</v>
      </c>
      <c r="C2964" s="11" t="s">
        <v>232</v>
      </c>
      <c r="D2964" s="4" t="s">
        <v>1406</v>
      </c>
      <c r="E2964" t="s">
        <v>30</v>
      </c>
      <c r="F2964" s="9">
        <f t="shared" si="190"/>
        <v>0</v>
      </c>
      <c r="G2964" s="9">
        <f t="shared" si="191"/>
        <v>0</v>
      </c>
      <c r="H2964" s="9">
        <f t="shared" si="192"/>
        <v>0</v>
      </c>
      <c r="I2964" s="10">
        <f t="shared" si="193"/>
        <v>0</v>
      </c>
    </row>
    <row r="2965" spans="1:9" x14ac:dyDescent="0.25">
      <c r="A2965" s="11" t="s">
        <v>7737</v>
      </c>
      <c r="B2965" s="11" t="s">
        <v>7738</v>
      </c>
      <c r="C2965" s="11" t="s">
        <v>232</v>
      </c>
      <c r="D2965" s="4" t="s">
        <v>1406</v>
      </c>
      <c r="E2965" t="s">
        <v>30</v>
      </c>
      <c r="F2965" s="9">
        <f t="shared" si="190"/>
        <v>0</v>
      </c>
      <c r="G2965" s="9">
        <f t="shared" si="191"/>
        <v>0</v>
      </c>
      <c r="H2965" s="9">
        <f t="shared" si="192"/>
        <v>0</v>
      </c>
      <c r="I2965" s="10">
        <f t="shared" si="193"/>
        <v>0</v>
      </c>
    </row>
    <row r="2966" spans="1:9" x14ac:dyDescent="0.25">
      <c r="A2966" s="11" t="s">
        <v>7739</v>
      </c>
      <c r="B2966" s="11" t="s">
        <v>7740</v>
      </c>
      <c r="C2966" s="11" t="s">
        <v>232</v>
      </c>
      <c r="D2966" s="4" t="s">
        <v>1406</v>
      </c>
      <c r="E2966" t="s">
        <v>30</v>
      </c>
      <c r="F2966" s="9">
        <f t="shared" si="190"/>
        <v>0</v>
      </c>
      <c r="G2966" s="9">
        <f t="shared" si="191"/>
        <v>0</v>
      </c>
      <c r="H2966" s="9">
        <f t="shared" si="192"/>
        <v>0</v>
      </c>
      <c r="I2966" s="10">
        <f t="shared" si="193"/>
        <v>0</v>
      </c>
    </row>
    <row r="2967" spans="1:9" x14ac:dyDescent="0.25">
      <c r="A2967" s="11" t="s">
        <v>7741</v>
      </c>
      <c r="B2967" s="11" t="s">
        <v>7742</v>
      </c>
      <c r="C2967" s="11" t="s">
        <v>232</v>
      </c>
      <c r="D2967" s="4" t="s">
        <v>1406</v>
      </c>
      <c r="E2967" t="s">
        <v>30</v>
      </c>
      <c r="F2967" s="9">
        <f t="shared" si="190"/>
        <v>0</v>
      </c>
      <c r="G2967" s="9">
        <f t="shared" si="191"/>
        <v>0</v>
      </c>
      <c r="H2967" s="9">
        <f t="shared" si="192"/>
        <v>0</v>
      </c>
      <c r="I2967" s="10">
        <f t="shared" si="193"/>
        <v>0</v>
      </c>
    </row>
    <row r="2968" spans="1:9" x14ac:dyDescent="0.25">
      <c r="A2968" s="11" t="s">
        <v>7743</v>
      </c>
      <c r="B2968" s="11" t="s">
        <v>7744</v>
      </c>
      <c r="C2968" s="11" t="s">
        <v>232</v>
      </c>
      <c r="D2968" s="4" t="s">
        <v>1406</v>
      </c>
      <c r="E2968" t="s">
        <v>30</v>
      </c>
      <c r="F2968" s="9">
        <f t="shared" si="190"/>
        <v>0</v>
      </c>
      <c r="G2968" s="9">
        <f t="shared" si="191"/>
        <v>0</v>
      </c>
      <c r="H2968" s="9">
        <f t="shared" si="192"/>
        <v>0</v>
      </c>
      <c r="I2968" s="10">
        <f t="shared" si="193"/>
        <v>0</v>
      </c>
    </row>
    <row r="2969" spans="1:9" x14ac:dyDescent="0.25">
      <c r="A2969" s="11" t="s">
        <v>7745</v>
      </c>
      <c r="B2969" s="11" t="s">
        <v>7746</v>
      </c>
      <c r="C2969" s="11" t="s">
        <v>232</v>
      </c>
      <c r="D2969" s="4" t="s">
        <v>1406</v>
      </c>
      <c r="E2969" t="s">
        <v>30</v>
      </c>
      <c r="F2969" s="9">
        <f t="shared" si="190"/>
        <v>0</v>
      </c>
      <c r="G2969" s="9">
        <f t="shared" si="191"/>
        <v>0</v>
      </c>
      <c r="H2969" s="9">
        <f t="shared" si="192"/>
        <v>0</v>
      </c>
      <c r="I2969" s="10">
        <f t="shared" si="193"/>
        <v>0</v>
      </c>
    </row>
    <row r="2970" spans="1:9" x14ac:dyDescent="0.25">
      <c r="A2970" s="11" t="s">
        <v>7747</v>
      </c>
      <c r="B2970" s="11" t="s">
        <v>7748</v>
      </c>
      <c r="C2970" s="11" t="s">
        <v>232</v>
      </c>
      <c r="D2970" s="4" t="s">
        <v>1406</v>
      </c>
      <c r="E2970" t="s">
        <v>30</v>
      </c>
      <c r="F2970" s="9">
        <f t="shared" si="190"/>
        <v>0</v>
      </c>
      <c r="G2970" s="9">
        <f t="shared" si="191"/>
        <v>0</v>
      </c>
      <c r="H2970" s="9">
        <f t="shared" si="192"/>
        <v>0</v>
      </c>
      <c r="I2970" s="10">
        <f t="shared" si="193"/>
        <v>0</v>
      </c>
    </row>
    <row r="2971" spans="1:9" x14ac:dyDescent="0.25">
      <c r="A2971" s="11" t="s">
        <v>7749</v>
      </c>
      <c r="B2971" s="11" t="s">
        <v>7750</v>
      </c>
      <c r="C2971" s="11" t="s">
        <v>232</v>
      </c>
      <c r="D2971" s="4" t="s">
        <v>1406</v>
      </c>
      <c r="E2971" t="s">
        <v>30</v>
      </c>
      <c r="F2971" s="9">
        <f t="shared" si="190"/>
        <v>0</v>
      </c>
      <c r="G2971" s="9">
        <f t="shared" si="191"/>
        <v>0</v>
      </c>
      <c r="H2971" s="9">
        <f t="shared" si="192"/>
        <v>0</v>
      </c>
      <c r="I2971" s="10">
        <f t="shared" si="193"/>
        <v>0</v>
      </c>
    </row>
    <row r="2972" spans="1:9" x14ac:dyDescent="0.25">
      <c r="A2972" s="11" t="s">
        <v>7751</v>
      </c>
      <c r="B2972" s="11" t="s">
        <v>7752</v>
      </c>
      <c r="C2972" s="11" t="s">
        <v>232</v>
      </c>
      <c r="D2972" s="4" t="s">
        <v>1406</v>
      </c>
      <c r="E2972" t="s">
        <v>30</v>
      </c>
      <c r="F2972" s="9">
        <f t="shared" si="190"/>
        <v>0</v>
      </c>
      <c r="G2972" s="9">
        <f t="shared" si="191"/>
        <v>0</v>
      </c>
      <c r="H2972" s="9">
        <f t="shared" si="192"/>
        <v>0</v>
      </c>
      <c r="I2972" s="10">
        <f t="shared" si="193"/>
        <v>0</v>
      </c>
    </row>
    <row r="2973" spans="1:9" x14ac:dyDescent="0.25">
      <c r="A2973" s="11" t="s">
        <v>7753</v>
      </c>
      <c r="B2973" s="11" t="s">
        <v>7754</v>
      </c>
      <c r="C2973" s="11" t="s">
        <v>232</v>
      </c>
      <c r="D2973" s="4" t="s">
        <v>1406</v>
      </c>
      <c r="E2973" t="s">
        <v>30</v>
      </c>
      <c r="F2973" s="9">
        <f t="shared" si="190"/>
        <v>0</v>
      </c>
      <c r="G2973" s="9">
        <f t="shared" si="191"/>
        <v>0</v>
      </c>
      <c r="H2973" s="9">
        <f t="shared" si="192"/>
        <v>0</v>
      </c>
      <c r="I2973" s="10">
        <f t="shared" si="193"/>
        <v>0</v>
      </c>
    </row>
    <row r="2974" spans="1:9" x14ac:dyDescent="0.25">
      <c r="A2974" s="11" t="s">
        <v>7755</v>
      </c>
      <c r="B2974" s="11" t="s">
        <v>7756</v>
      </c>
      <c r="C2974" s="11" t="s">
        <v>232</v>
      </c>
      <c r="D2974" s="4" t="s">
        <v>1406</v>
      </c>
      <c r="E2974" t="s">
        <v>30</v>
      </c>
      <c r="F2974" s="9">
        <f t="shared" si="190"/>
        <v>0</v>
      </c>
      <c r="G2974" s="9">
        <f t="shared" si="191"/>
        <v>0</v>
      </c>
      <c r="H2974" s="9">
        <f t="shared" si="192"/>
        <v>0</v>
      </c>
      <c r="I2974" s="10">
        <f t="shared" si="193"/>
        <v>0</v>
      </c>
    </row>
    <row r="2975" spans="1:9" x14ac:dyDescent="0.25">
      <c r="A2975" s="11" t="s">
        <v>7757</v>
      </c>
      <c r="B2975" s="11" t="s">
        <v>7758</v>
      </c>
      <c r="C2975" s="11" t="s">
        <v>232</v>
      </c>
      <c r="D2975" s="4" t="s">
        <v>1406</v>
      </c>
      <c r="E2975" t="s">
        <v>30</v>
      </c>
      <c r="F2975" s="9">
        <f t="shared" si="190"/>
        <v>0</v>
      </c>
      <c r="G2975" s="9">
        <f t="shared" si="191"/>
        <v>0</v>
      </c>
      <c r="H2975" s="9">
        <f t="shared" si="192"/>
        <v>0</v>
      </c>
      <c r="I2975" s="10">
        <f t="shared" si="193"/>
        <v>0</v>
      </c>
    </row>
    <row r="2976" spans="1:9" x14ac:dyDescent="0.25">
      <c r="A2976" s="11" t="s">
        <v>7759</v>
      </c>
      <c r="B2976" s="11" t="s">
        <v>7760</v>
      </c>
      <c r="C2976" s="11" t="s">
        <v>232</v>
      </c>
      <c r="D2976" s="4" t="s">
        <v>1406</v>
      </c>
      <c r="E2976" t="s">
        <v>30</v>
      </c>
      <c r="F2976" s="9">
        <f t="shared" si="190"/>
        <v>0</v>
      </c>
      <c r="G2976" s="9">
        <f t="shared" si="191"/>
        <v>0</v>
      </c>
      <c r="H2976" s="9">
        <f t="shared" si="192"/>
        <v>0</v>
      </c>
      <c r="I2976" s="10">
        <f t="shared" si="193"/>
        <v>0</v>
      </c>
    </row>
    <row r="2977" spans="1:9" x14ac:dyDescent="0.25">
      <c r="A2977" s="11" t="s">
        <v>7761</v>
      </c>
      <c r="B2977" s="11" t="s">
        <v>7762</v>
      </c>
      <c r="C2977" s="11" t="s">
        <v>232</v>
      </c>
      <c r="D2977" s="4" t="s">
        <v>1406</v>
      </c>
      <c r="E2977" t="s">
        <v>30</v>
      </c>
      <c r="F2977" s="9">
        <f t="shared" si="190"/>
        <v>0</v>
      </c>
      <c r="G2977" s="9">
        <f t="shared" si="191"/>
        <v>0</v>
      </c>
      <c r="H2977" s="9">
        <f t="shared" si="192"/>
        <v>0</v>
      </c>
      <c r="I2977" s="10">
        <f t="shared" si="193"/>
        <v>0</v>
      </c>
    </row>
    <row r="2978" spans="1:9" x14ac:dyDescent="0.25">
      <c r="A2978" s="11" t="s">
        <v>7763</v>
      </c>
      <c r="B2978" s="11" t="s">
        <v>7764</v>
      </c>
      <c r="C2978" s="11" t="s">
        <v>232</v>
      </c>
      <c r="D2978" s="4" t="s">
        <v>1406</v>
      </c>
      <c r="E2978" t="s">
        <v>30</v>
      </c>
      <c r="F2978" s="9">
        <f t="shared" si="190"/>
        <v>0</v>
      </c>
      <c r="G2978" s="9">
        <f t="shared" si="191"/>
        <v>0</v>
      </c>
      <c r="H2978" s="9">
        <f t="shared" si="192"/>
        <v>0</v>
      </c>
      <c r="I2978" s="10">
        <f t="shared" si="193"/>
        <v>0</v>
      </c>
    </row>
    <row r="2979" spans="1:9" x14ac:dyDescent="0.25">
      <c r="A2979" s="11" t="s">
        <v>7765</v>
      </c>
      <c r="B2979" s="11" t="s">
        <v>7766</v>
      </c>
      <c r="C2979" s="11" t="s">
        <v>232</v>
      </c>
      <c r="D2979" s="4" t="s">
        <v>1406</v>
      </c>
      <c r="E2979" t="s">
        <v>30</v>
      </c>
      <c r="F2979" s="9">
        <f t="shared" si="190"/>
        <v>0</v>
      </c>
      <c r="G2979" s="9">
        <f t="shared" si="191"/>
        <v>0</v>
      </c>
      <c r="H2979" s="9">
        <f t="shared" si="192"/>
        <v>0</v>
      </c>
      <c r="I2979" s="10">
        <f t="shared" si="193"/>
        <v>0</v>
      </c>
    </row>
    <row r="2980" spans="1:9" x14ac:dyDescent="0.25">
      <c r="A2980" s="11" t="s">
        <v>7767</v>
      </c>
      <c r="B2980" s="11" t="s">
        <v>7768</v>
      </c>
      <c r="C2980" s="11" t="s">
        <v>232</v>
      </c>
      <c r="D2980" s="4" t="s">
        <v>1406</v>
      </c>
      <c r="E2980" t="s">
        <v>30</v>
      </c>
      <c r="F2980" s="9">
        <f t="shared" si="190"/>
        <v>0</v>
      </c>
      <c r="G2980" s="9">
        <f t="shared" si="191"/>
        <v>0</v>
      </c>
      <c r="H2980" s="9">
        <f t="shared" si="192"/>
        <v>0</v>
      </c>
      <c r="I2980" s="10">
        <f t="shared" si="193"/>
        <v>0</v>
      </c>
    </row>
    <row r="2981" spans="1:9" x14ac:dyDescent="0.25">
      <c r="A2981" s="11" t="s">
        <v>7769</v>
      </c>
      <c r="B2981" s="11" t="s">
        <v>7770</v>
      </c>
      <c r="C2981" s="11" t="s">
        <v>232</v>
      </c>
      <c r="D2981" s="4" t="s">
        <v>1406</v>
      </c>
      <c r="E2981" t="s">
        <v>30</v>
      </c>
      <c r="F2981" s="9">
        <f t="shared" si="190"/>
        <v>0</v>
      </c>
      <c r="G2981" s="9">
        <f t="shared" si="191"/>
        <v>0</v>
      </c>
      <c r="H2981" s="9">
        <f t="shared" si="192"/>
        <v>0</v>
      </c>
      <c r="I2981" s="10">
        <f t="shared" si="193"/>
        <v>0</v>
      </c>
    </row>
    <row r="2982" spans="1:9" x14ac:dyDescent="0.25">
      <c r="A2982" s="11" t="s">
        <v>7771</v>
      </c>
      <c r="B2982" s="11" t="s">
        <v>1916</v>
      </c>
      <c r="C2982" s="11" t="s">
        <v>232</v>
      </c>
      <c r="D2982" s="4" t="s">
        <v>1406</v>
      </c>
      <c r="E2982" t="s">
        <v>30</v>
      </c>
      <c r="F2982" s="9">
        <f t="shared" si="190"/>
        <v>0</v>
      </c>
      <c r="G2982" s="9">
        <f t="shared" si="191"/>
        <v>0</v>
      </c>
      <c r="H2982" s="9">
        <f t="shared" si="192"/>
        <v>0</v>
      </c>
      <c r="I2982" s="10">
        <f t="shared" si="193"/>
        <v>0</v>
      </c>
    </row>
    <row r="2983" spans="1:9" x14ac:dyDescent="0.25">
      <c r="A2983" s="11" t="s">
        <v>7772</v>
      </c>
      <c r="B2983" s="11" t="s">
        <v>7773</v>
      </c>
      <c r="C2983" s="11" t="s">
        <v>232</v>
      </c>
      <c r="D2983" s="4" t="s">
        <v>1406</v>
      </c>
      <c r="E2983" t="s">
        <v>30</v>
      </c>
      <c r="F2983" s="9">
        <f t="shared" si="190"/>
        <v>0</v>
      </c>
      <c r="G2983" s="9">
        <f t="shared" si="191"/>
        <v>0</v>
      </c>
      <c r="H2983" s="9">
        <f t="shared" si="192"/>
        <v>0</v>
      </c>
      <c r="I2983" s="10">
        <f t="shared" si="193"/>
        <v>0</v>
      </c>
    </row>
    <row r="2984" spans="1:9" x14ac:dyDescent="0.25">
      <c r="A2984" s="11" t="s">
        <v>7774</v>
      </c>
      <c r="B2984" s="11" t="s">
        <v>7775</v>
      </c>
      <c r="C2984" s="11" t="s">
        <v>232</v>
      </c>
      <c r="D2984" s="4" t="s">
        <v>1406</v>
      </c>
      <c r="E2984" t="s">
        <v>30</v>
      </c>
      <c r="F2984" s="9">
        <f t="shared" si="190"/>
        <v>0</v>
      </c>
      <c r="G2984" s="9">
        <f t="shared" si="191"/>
        <v>0</v>
      </c>
      <c r="H2984" s="9">
        <f t="shared" si="192"/>
        <v>0</v>
      </c>
      <c r="I2984" s="10">
        <f t="shared" si="193"/>
        <v>0</v>
      </c>
    </row>
    <row r="2985" spans="1:9" x14ac:dyDescent="0.25">
      <c r="A2985" s="11" t="s">
        <v>7776</v>
      </c>
      <c r="B2985" s="11" t="s">
        <v>7777</v>
      </c>
      <c r="C2985" s="11" t="s">
        <v>232</v>
      </c>
      <c r="D2985" s="4" t="s">
        <v>1406</v>
      </c>
      <c r="E2985" t="s">
        <v>30</v>
      </c>
      <c r="F2985" s="9">
        <f t="shared" si="190"/>
        <v>0</v>
      </c>
      <c r="G2985" s="9">
        <f t="shared" si="191"/>
        <v>0</v>
      </c>
      <c r="H2985" s="9">
        <f t="shared" si="192"/>
        <v>0</v>
      </c>
      <c r="I2985" s="10">
        <f t="shared" si="193"/>
        <v>0</v>
      </c>
    </row>
    <row r="2986" spans="1:9" x14ac:dyDescent="0.25">
      <c r="A2986" s="11" t="s">
        <v>7778</v>
      </c>
      <c r="B2986" s="11" t="s">
        <v>7779</v>
      </c>
      <c r="C2986" s="11" t="s">
        <v>232</v>
      </c>
      <c r="D2986" s="4" t="s">
        <v>1406</v>
      </c>
      <c r="E2986" t="s">
        <v>30</v>
      </c>
      <c r="F2986" s="9">
        <f t="shared" si="190"/>
        <v>0</v>
      </c>
      <c r="G2986" s="9">
        <f t="shared" si="191"/>
        <v>0</v>
      </c>
      <c r="H2986" s="9">
        <f t="shared" si="192"/>
        <v>0</v>
      </c>
      <c r="I2986" s="10">
        <f t="shared" si="193"/>
        <v>0</v>
      </c>
    </row>
    <row r="2987" spans="1:9" x14ac:dyDescent="0.25">
      <c r="A2987" s="11" t="s">
        <v>7780</v>
      </c>
      <c r="B2987" s="11" t="s">
        <v>7781</v>
      </c>
      <c r="C2987" s="11" t="s">
        <v>232</v>
      </c>
      <c r="D2987" s="4" t="s">
        <v>1406</v>
      </c>
      <c r="E2987" t="s">
        <v>30</v>
      </c>
      <c r="F2987" s="9">
        <f t="shared" si="190"/>
        <v>0</v>
      </c>
      <c r="G2987" s="9">
        <f t="shared" si="191"/>
        <v>0</v>
      </c>
      <c r="H2987" s="9">
        <f t="shared" si="192"/>
        <v>0</v>
      </c>
      <c r="I2987" s="10">
        <f t="shared" si="193"/>
        <v>0</v>
      </c>
    </row>
    <row r="2988" spans="1:9" x14ac:dyDescent="0.25">
      <c r="A2988" s="11" t="s">
        <v>7782</v>
      </c>
      <c r="B2988" s="11" t="s">
        <v>7783</v>
      </c>
      <c r="C2988" s="11" t="s">
        <v>232</v>
      </c>
      <c r="D2988" s="4" t="s">
        <v>1406</v>
      </c>
      <c r="E2988" t="s">
        <v>30</v>
      </c>
      <c r="F2988" s="9">
        <f t="shared" si="190"/>
        <v>0</v>
      </c>
      <c r="G2988" s="9">
        <f t="shared" si="191"/>
        <v>0</v>
      </c>
      <c r="H2988" s="9">
        <f t="shared" si="192"/>
        <v>0</v>
      </c>
      <c r="I2988" s="10">
        <f t="shared" si="193"/>
        <v>0</v>
      </c>
    </row>
    <row r="2989" spans="1:9" x14ac:dyDescent="0.25">
      <c r="A2989" s="11" t="s">
        <v>252</v>
      </c>
      <c r="B2989" s="11" t="s">
        <v>251</v>
      </c>
      <c r="C2989" s="11" t="s">
        <v>232</v>
      </c>
      <c r="D2989" s="4" t="s">
        <v>1406</v>
      </c>
      <c r="E2989" t="s">
        <v>30</v>
      </c>
      <c r="F2989" s="9">
        <f t="shared" si="190"/>
        <v>0</v>
      </c>
      <c r="G2989" s="9">
        <f t="shared" si="191"/>
        <v>0</v>
      </c>
      <c r="H2989" s="9">
        <f t="shared" si="192"/>
        <v>0</v>
      </c>
      <c r="I2989" s="10">
        <f t="shared" si="193"/>
        <v>0</v>
      </c>
    </row>
    <row r="2990" spans="1:9" x14ac:dyDescent="0.25">
      <c r="A2990" s="11" t="s">
        <v>7784</v>
      </c>
      <c r="B2990" s="11" t="s">
        <v>7785</v>
      </c>
      <c r="C2990" s="11" t="s">
        <v>232</v>
      </c>
      <c r="D2990" s="4" t="s">
        <v>1406</v>
      </c>
      <c r="E2990" t="s">
        <v>30</v>
      </c>
      <c r="F2990" s="9">
        <f t="shared" si="190"/>
        <v>0</v>
      </c>
      <c r="G2990" s="9">
        <f t="shared" si="191"/>
        <v>0</v>
      </c>
      <c r="H2990" s="9">
        <f t="shared" si="192"/>
        <v>0</v>
      </c>
      <c r="I2990" s="10">
        <f t="shared" si="193"/>
        <v>0</v>
      </c>
    </row>
    <row r="2991" spans="1:9" x14ac:dyDescent="0.25">
      <c r="A2991" s="11" t="s">
        <v>7786</v>
      </c>
      <c r="B2991" s="11" t="s">
        <v>7787</v>
      </c>
      <c r="C2991" s="11" t="s">
        <v>232</v>
      </c>
      <c r="D2991" s="4" t="s">
        <v>1406</v>
      </c>
      <c r="E2991" t="s">
        <v>30</v>
      </c>
      <c r="F2991" s="9">
        <f t="shared" si="190"/>
        <v>0</v>
      </c>
      <c r="G2991" s="9">
        <f t="shared" si="191"/>
        <v>0</v>
      </c>
      <c r="H2991" s="9">
        <f t="shared" si="192"/>
        <v>0</v>
      </c>
      <c r="I2991" s="10">
        <f t="shared" si="193"/>
        <v>0</v>
      </c>
    </row>
    <row r="2992" spans="1:9" x14ac:dyDescent="0.25">
      <c r="A2992" s="11" t="s">
        <v>7788</v>
      </c>
      <c r="B2992" s="11" t="s">
        <v>7789</v>
      </c>
      <c r="C2992" s="11" t="s">
        <v>232</v>
      </c>
      <c r="D2992" s="4" t="s">
        <v>1406</v>
      </c>
      <c r="E2992" t="s">
        <v>30</v>
      </c>
      <c r="F2992" s="9">
        <f t="shared" si="190"/>
        <v>0</v>
      </c>
      <c r="G2992" s="9">
        <f t="shared" si="191"/>
        <v>0</v>
      </c>
      <c r="H2992" s="9">
        <f t="shared" si="192"/>
        <v>0</v>
      </c>
      <c r="I2992" s="10">
        <f t="shared" si="193"/>
        <v>0</v>
      </c>
    </row>
    <row r="2993" spans="1:9" x14ac:dyDescent="0.25">
      <c r="A2993" s="11" t="s">
        <v>7790</v>
      </c>
      <c r="B2993" s="11" t="s">
        <v>7791</v>
      </c>
      <c r="C2993" s="11" t="s">
        <v>232</v>
      </c>
      <c r="D2993" s="4" t="s">
        <v>1406</v>
      </c>
      <c r="E2993" t="s">
        <v>30</v>
      </c>
      <c r="F2993" s="9">
        <f t="shared" si="190"/>
        <v>0</v>
      </c>
      <c r="G2993" s="9">
        <f t="shared" si="191"/>
        <v>0</v>
      </c>
      <c r="H2993" s="9">
        <f t="shared" si="192"/>
        <v>0</v>
      </c>
      <c r="I2993" s="10">
        <f t="shared" si="193"/>
        <v>0</v>
      </c>
    </row>
    <row r="2994" spans="1:9" x14ac:dyDescent="0.25">
      <c r="A2994" s="11" t="s">
        <v>7792</v>
      </c>
      <c r="B2994" s="11" t="s">
        <v>7793</v>
      </c>
      <c r="C2994" s="11" t="s">
        <v>232</v>
      </c>
      <c r="D2994" s="4" t="s">
        <v>1406</v>
      </c>
      <c r="E2994" t="s">
        <v>30</v>
      </c>
      <c r="F2994" s="9">
        <f t="shared" si="190"/>
        <v>0</v>
      </c>
      <c r="G2994" s="9">
        <f t="shared" si="191"/>
        <v>0</v>
      </c>
      <c r="H2994" s="9">
        <f t="shared" si="192"/>
        <v>0</v>
      </c>
      <c r="I2994" s="10">
        <f t="shared" si="193"/>
        <v>0</v>
      </c>
    </row>
    <row r="2995" spans="1:9" x14ac:dyDescent="0.25">
      <c r="A2995" s="11" t="s">
        <v>7794</v>
      </c>
      <c r="B2995" s="11" t="s">
        <v>7795</v>
      </c>
      <c r="C2995" s="11" t="s">
        <v>232</v>
      </c>
      <c r="D2995" s="4" t="s">
        <v>1406</v>
      </c>
      <c r="E2995" t="s">
        <v>30</v>
      </c>
      <c r="F2995" s="9">
        <f t="shared" si="190"/>
        <v>0</v>
      </c>
      <c r="G2995" s="9">
        <f t="shared" si="191"/>
        <v>0</v>
      </c>
      <c r="H2995" s="9">
        <f t="shared" si="192"/>
        <v>0</v>
      </c>
      <c r="I2995" s="10">
        <f t="shared" si="193"/>
        <v>0</v>
      </c>
    </row>
    <row r="2996" spans="1:9" x14ac:dyDescent="0.25">
      <c r="A2996" s="11" t="s">
        <v>7796</v>
      </c>
      <c r="B2996" s="11" t="s">
        <v>7797</v>
      </c>
      <c r="C2996" s="11" t="s">
        <v>232</v>
      </c>
      <c r="D2996" s="4" t="s">
        <v>1406</v>
      </c>
      <c r="E2996" t="s">
        <v>30</v>
      </c>
      <c r="F2996" s="9">
        <f t="shared" si="190"/>
        <v>0</v>
      </c>
      <c r="G2996" s="9">
        <f t="shared" si="191"/>
        <v>0</v>
      </c>
      <c r="H2996" s="9">
        <f t="shared" si="192"/>
        <v>0</v>
      </c>
      <c r="I2996" s="10">
        <f t="shared" si="193"/>
        <v>0</v>
      </c>
    </row>
    <row r="2997" spans="1:9" x14ac:dyDescent="0.25">
      <c r="A2997" s="11" t="s">
        <v>7798</v>
      </c>
      <c r="B2997" s="11" t="s">
        <v>7799</v>
      </c>
      <c r="C2997" s="11" t="s">
        <v>232</v>
      </c>
      <c r="D2997" s="4" t="s">
        <v>1406</v>
      </c>
      <c r="E2997" t="s">
        <v>30</v>
      </c>
      <c r="F2997" s="9">
        <f t="shared" si="190"/>
        <v>0</v>
      </c>
      <c r="G2997" s="9">
        <f t="shared" si="191"/>
        <v>0</v>
      </c>
      <c r="H2997" s="9">
        <f t="shared" si="192"/>
        <v>0</v>
      </c>
      <c r="I2997" s="10">
        <f t="shared" si="193"/>
        <v>0</v>
      </c>
    </row>
    <row r="2998" spans="1:9" x14ac:dyDescent="0.25">
      <c r="A2998" s="11" t="s">
        <v>7800</v>
      </c>
      <c r="B2998" s="11" t="s">
        <v>7801</v>
      </c>
      <c r="C2998" s="11" t="s">
        <v>232</v>
      </c>
      <c r="D2998" s="4" t="s">
        <v>1406</v>
      </c>
      <c r="E2998" t="s">
        <v>30</v>
      </c>
      <c r="F2998" s="9">
        <f t="shared" si="190"/>
        <v>0</v>
      </c>
      <c r="G2998" s="9">
        <f t="shared" si="191"/>
        <v>0</v>
      </c>
      <c r="H2998" s="9">
        <f t="shared" si="192"/>
        <v>0</v>
      </c>
      <c r="I2998" s="10">
        <f t="shared" si="193"/>
        <v>0</v>
      </c>
    </row>
    <row r="2999" spans="1:9" x14ac:dyDescent="0.25">
      <c r="A2999" s="11" t="s">
        <v>7802</v>
      </c>
      <c r="B2999" s="11" t="s">
        <v>7803</v>
      </c>
      <c r="C2999" s="11" t="s">
        <v>232</v>
      </c>
      <c r="D2999" s="4" t="s">
        <v>1406</v>
      </c>
      <c r="E2999" t="s">
        <v>30</v>
      </c>
      <c r="F2999" s="9">
        <f t="shared" si="190"/>
        <v>0</v>
      </c>
      <c r="G2999" s="9">
        <f t="shared" si="191"/>
        <v>0</v>
      </c>
      <c r="H2999" s="9">
        <f t="shared" si="192"/>
        <v>0</v>
      </c>
      <c r="I2999" s="10">
        <f t="shared" si="193"/>
        <v>0</v>
      </c>
    </row>
    <row r="3000" spans="1:9" x14ac:dyDescent="0.25">
      <c r="A3000" s="11" t="s">
        <v>7804</v>
      </c>
      <c r="B3000" s="11" t="s">
        <v>7805</v>
      </c>
      <c r="C3000" s="11" t="s">
        <v>232</v>
      </c>
      <c r="D3000" s="4" t="s">
        <v>1406</v>
      </c>
      <c r="E3000" t="s">
        <v>30</v>
      </c>
      <c r="F3000" s="9">
        <f t="shared" si="190"/>
        <v>0</v>
      </c>
      <c r="G3000" s="9">
        <f t="shared" si="191"/>
        <v>0</v>
      </c>
      <c r="H3000" s="9">
        <f t="shared" si="192"/>
        <v>0</v>
      </c>
      <c r="I3000" s="10">
        <f t="shared" si="193"/>
        <v>0</v>
      </c>
    </row>
    <row r="3001" spans="1:9" x14ac:dyDescent="0.25">
      <c r="A3001" s="11" t="s">
        <v>7807</v>
      </c>
      <c r="B3001" s="11" t="s">
        <v>7808</v>
      </c>
      <c r="C3001" s="11" t="s">
        <v>232</v>
      </c>
      <c r="D3001" s="4" t="s">
        <v>1406</v>
      </c>
      <c r="E3001" t="s">
        <v>30</v>
      </c>
      <c r="F3001" s="9">
        <f t="shared" si="190"/>
        <v>0</v>
      </c>
      <c r="G3001" s="9">
        <f t="shared" si="191"/>
        <v>0</v>
      </c>
      <c r="H3001" s="9">
        <f t="shared" si="192"/>
        <v>0</v>
      </c>
      <c r="I3001" s="10">
        <f t="shared" si="193"/>
        <v>0</v>
      </c>
    </row>
    <row r="3002" spans="1:9" x14ac:dyDescent="0.25">
      <c r="A3002" s="11" t="s">
        <v>7809</v>
      </c>
      <c r="B3002" s="11" t="s">
        <v>7810</v>
      </c>
      <c r="C3002" s="11" t="s">
        <v>232</v>
      </c>
      <c r="D3002" s="4" t="s">
        <v>1406</v>
      </c>
      <c r="E3002" t="s">
        <v>30</v>
      </c>
      <c r="F3002" s="9">
        <f t="shared" si="190"/>
        <v>0</v>
      </c>
      <c r="G3002" s="9">
        <f t="shared" si="191"/>
        <v>0</v>
      </c>
      <c r="H3002" s="9">
        <f t="shared" si="192"/>
        <v>0</v>
      </c>
      <c r="I3002" s="10">
        <f t="shared" si="193"/>
        <v>0</v>
      </c>
    </row>
    <row r="3003" spans="1:9" x14ac:dyDescent="0.25">
      <c r="A3003" s="11" t="s">
        <v>284</v>
      </c>
      <c r="B3003" s="11" t="s">
        <v>283</v>
      </c>
      <c r="C3003" s="11" t="s">
        <v>232</v>
      </c>
      <c r="D3003" s="4" t="s">
        <v>1406</v>
      </c>
      <c r="E3003" t="s">
        <v>30</v>
      </c>
      <c r="F3003" s="9">
        <f t="shared" si="190"/>
        <v>0</v>
      </c>
      <c r="G3003" s="9">
        <f t="shared" si="191"/>
        <v>0</v>
      </c>
      <c r="H3003" s="9">
        <f t="shared" si="192"/>
        <v>0</v>
      </c>
      <c r="I3003" s="10">
        <f t="shared" si="193"/>
        <v>0</v>
      </c>
    </row>
    <row r="3004" spans="1:9" x14ac:dyDescent="0.25">
      <c r="A3004" s="11" t="s">
        <v>7811</v>
      </c>
      <c r="B3004" s="11" t="s">
        <v>7812</v>
      </c>
      <c r="C3004" s="11" t="s">
        <v>232</v>
      </c>
      <c r="D3004" s="4" t="s">
        <v>1406</v>
      </c>
      <c r="E3004" t="s">
        <v>30</v>
      </c>
      <c r="F3004" s="9">
        <f t="shared" si="190"/>
        <v>0</v>
      </c>
      <c r="G3004" s="9">
        <f t="shared" si="191"/>
        <v>0</v>
      </c>
      <c r="H3004" s="9">
        <f t="shared" si="192"/>
        <v>0</v>
      </c>
      <c r="I3004" s="10">
        <f t="shared" si="193"/>
        <v>0</v>
      </c>
    </row>
    <row r="3005" spans="1:9" x14ac:dyDescent="0.25">
      <c r="A3005" s="11" t="s">
        <v>7813</v>
      </c>
      <c r="B3005" s="11" t="s">
        <v>7814</v>
      </c>
      <c r="C3005" s="11" t="s">
        <v>232</v>
      </c>
      <c r="D3005" s="4" t="s">
        <v>1406</v>
      </c>
      <c r="E3005" t="s">
        <v>30</v>
      </c>
      <c r="F3005" s="9">
        <f t="shared" si="190"/>
        <v>0</v>
      </c>
      <c r="G3005" s="9">
        <f t="shared" si="191"/>
        <v>0</v>
      </c>
      <c r="H3005" s="9">
        <f t="shared" si="192"/>
        <v>0</v>
      </c>
      <c r="I3005" s="10">
        <f t="shared" si="193"/>
        <v>0</v>
      </c>
    </row>
    <row r="3006" spans="1:9" x14ac:dyDescent="0.25">
      <c r="A3006" s="11" t="s">
        <v>7815</v>
      </c>
      <c r="B3006" s="11" t="s">
        <v>7816</v>
      </c>
      <c r="C3006" s="11" t="s">
        <v>232</v>
      </c>
      <c r="D3006" s="4" t="s">
        <v>1406</v>
      </c>
      <c r="E3006" t="s">
        <v>30</v>
      </c>
      <c r="F3006" s="9">
        <f t="shared" si="190"/>
        <v>0</v>
      </c>
      <c r="G3006" s="9">
        <f t="shared" si="191"/>
        <v>0</v>
      </c>
      <c r="H3006" s="9">
        <f t="shared" si="192"/>
        <v>0</v>
      </c>
      <c r="I3006" s="10">
        <f t="shared" si="193"/>
        <v>0</v>
      </c>
    </row>
    <row r="3007" spans="1:9" x14ac:dyDescent="0.25">
      <c r="A3007" s="11" t="s">
        <v>7817</v>
      </c>
      <c r="B3007" s="11" t="s">
        <v>7818</v>
      </c>
      <c r="C3007" s="11" t="s">
        <v>232</v>
      </c>
      <c r="D3007" s="4" t="s">
        <v>1406</v>
      </c>
      <c r="E3007" t="s">
        <v>30</v>
      </c>
      <c r="F3007" s="9">
        <f t="shared" si="190"/>
        <v>0</v>
      </c>
      <c r="G3007" s="9">
        <f t="shared" si="191"/>
        <v>0</v>
      </c>
      <c r="H3007" s="9">
        <f t="shared" si="192"/>
        <v>0</v>
      </c>
      <c r="I3007" s="10">
        <f t="shared" si="193"/>
        <v>0</v>
      </c>
    </row>
    <row r="3008" spans="1:9" x14ac:dyDescent="0.25">
      <c r="A3008" s="11" t="s">
        <v>7819</v>
      </c>
      <c r="B3008" s="11" t="s">
        <v>7820</v>
      </c>
      <c r="C3008" s="11" t="s">
        <v>232</v>
      </c>
      <c r="D3008" s="4" t="s">
        <v>1406</v>
      </c>
      <c r="E3008" t="s">
        <v>30</v>
      </c>
      <c r="F3008" s="9">
        <f t="shared" si="190"/>
        <v>0</v>
      </c>
      <c r="G3008" s="9">
        <f t="shared" si="191"/>
        <v>0</v>
      </c>
      <c r="H3008" s="9">
        <f t="shared" si="192"/>
        <v>0</v>
      </c>
      <c r="I3008" s="10">
        <f t="shared" si="193"/>
        <v>0</v>
      </c>
    </row>
    <row r="3009" spans="1:9" x14ac:dyDescent="0.25">
      <c r="A3009" s="11" t="s">
        <v>310</v>
      </c>
      <c r="B3009" s="11" t="s">
        <v>309</v>
      </c>
      <c r="C3009" s="11" t="s">
        <v>232</v>
      </c>
      <c r="D3009" s="4" t="s">
        <v>1406</v>
      </c>
      <c r="E3009" t="s">
        <v>30</v>
      </c>
      <c r="F3009" s="9">
        <f t="shared" si="190"/>
        <v>0</v>
      </c>
      <c r="G3009" s="9">
        <f t="shared" si="191"/>
        <v>0</v>
      </c>
      <c r="H3009" s="9">
        <f t="shared" si="192"/>
        <v>0</v>
      </c>
      <c r="I3009" s="10">
        <f t="shared" si="193"/>
        <v>0</v>
      </c>
    </row>
    <row r="3010" spans="1:9" x14ac:dyDescent="0.25">
      <c r="A3010" s="11" t="s">
        <v>7821</v>
      </c>
      <c r="B3010" s="11" t="s">
        <v>7822</v>
      </c>
      <c r="C3010" s="11" t="s">
        <v>232</v>
      </c>
      <c r="D3010" s="4" t="s">
        <v>1406</v>
      </c>
      <c r="E3010" t="s">
        <v>30</v>
      </c>
      <c r="F3010" s="9">
        <f t="shared" si="190"/>
        <v>0</v>
      </c>
      <c r="G3010" s="9">
        <f t="shared" si="191"/>
        <v>0</v>
      </c>
      <c r="H3010" s="9">
        <f t="shared" si="192"/>
        <v>0</v>
      </c>
      <c r="I3010" s="10">
        <f t="shared" si="193"/>
        <v>0</v>
      </c>
    </row>
    <row r="3011" spans="1:9" x14ac:dyDescent="0.25">
      <c r="A3011" s="11" t="s">
        <v>7823</v>
      </c>
      <c r="B3011" s="11" t="s">
        <v>7824</v>
      </c>
      <c r="C3011" s="11" t="s">
        <v>232</v>
      </c>
      <c r="D3011" s="4" t="s">
        <v>1406</v>
      </c>
      <c r="E3011" t="s">
        <v>30</v>
      </c>
      <c r="F3011" s="9">
        <f t="shared" si="190"/>
        <v>0</v>
      </c>
      <c r="G3011" s="9">
        <f t="shared" si="191"/>
        <v>0</v>
      </c>
      <c r="H3011" s="9">
        <f t="shared" si="192"/>
        <v>0</v>
      </c>
      <c r="I3011" s="10">
        <f t="shared" si="193"/>
        <v>0</v>
      </c>
    </row>
    <row r="3012" spans="1:9" x14ac:dyDescent="0.25">
      <c r="A3012" s="11" t="s">
        <v>7825</v>
      </c>
      <c r="B3012" s="11" t="s">
        <v>7826</v>
      </c>
      <c r="C3012" s="11" t="s">
        <v>232</v>
      </c>
      <c r="D3012" s="4" t="s">
        <v>1406</v>
      </c>
      <c r="E3012" t="s">
        <v>30</v>
      </c>
      <c r="F3012" s="9">
        <f t="shared" si="190"/>
        <v>0</v>
      </c>
      <c r="G3012" s="9">
        <f t="shared" si="191"/>
        <v>0</v>
      </c>
      <c r="H3012" s="9">
        <f t="shared" si="192"/>
        <v>0</v>
      </c>
      <c r="I3012" s="10">
        <f t="shared" si="193"/>
        <v>0</v>
      </c>
    </row>
    <row r="3013" spans="1:9" x14ac:dyDescent="0.25">
      <c r="A3013" s="11" t="s">
        <v>7827</v>
      </c>
      <c r="B3013" s="11" t="s">
        <v>7828</v>
      </c>
      <c r="C3013" s="11" t="s">
        <v>232</v>
      </c>
      <c r="D3013" s="4" t="s">
        <v>1406</v>
      </c>
      <c r="E3013" t="s">
        <v>30</v>
      </c>
      <c r="F3013" s="9">
        <f t="shared" si="190"/>
        <v>0</v>
      </c>
      <c r="G3013" s="9">
        <f t="shared" si="191"/>
        <v>0</v>
      </c>
      <c r="H3013" s="9">
        <f t="shared" si="192"/>
        <v>0</v>
      </c>
      <c r="I3013" s="10">
        <f t="shared" si="193"/>
        <v>0</v>
      </c>
    </row>
    <row r="3014" spans="1:9" x14ac:dyDescent="0.25">
      <c r="A3014" s="11" t="s">
        <v>7829</v>
      </c>
      <c r="B3014" s="11" t="s">
        <v>7830</v>
      </c>
      <c r="C3014" s="11" t="s">
        <v>232</v>
      </c>
      <c r="D3014" s="4" t="s">
        <v>1406</v>
      </c>
      <c r="E3014" t="s">
        <v>30</v>
      </c>
      <c r="F3014" s="9">
        <f t="shared" si="190"/>
        <v>0</v>
      </c>
      <c r="G3014" s="9">
        <f t="shared" si="191"/>
        <v>0</v>
      </c>
      <c r="H3014" s="9">
        <f t="shared" si="192"/>
        <v>0</v>
      </c>
      <c r="I3014" s="10">
        <f t="shared" si="193"/>
        <v>0</v>
      </c>
    </row>
    <row r="3015" spans="1:9" x14ac:dyDescent="0.25">
      <c r="A3015" s="11" t="s">
        <v>4624</v>
      </c>
      <c r="B3015" s="11" t="s">
        <v>331</v>
      </c>
      <c r="C3015" s="11" t="s">
        <v>232</v>
      </c>
      <c r="D3015" s="4" t="s">
        <v>1406</v>
      </c>
      <c r="E3015" t="s">
        <v>30</v>
      </c>
      <c r="F3015" s="9">
        <f t="shared" si="190"/>
        <v>0</v>
      </c>
      <c r="G3015" s="9">
        <f t="shared" si="191"/>
        <v>0</v>
      </c>
      <c r="H3015" s="9">
        <f t="shared" si="192"/>
        <v>0</v>
      </c>
      <c r="I3015" s="10">
        <f t="shared" si="193"/>
        <v>0</v>
      </c>
    </row>
    <row r="3016" spans="1:9" x14ac:dyDescent="0.25">
      <c r="A3016" s="11" t="s">
        <v>7831</v>
      </c>
      <c r="B3016" s="11" t="s">
        <v>7832</v>
      </c>
      <c r="C3016" s="11" t="s">
        <v>232</v>
      </c>
      <c r="D3016" s="4" t="s">
        <v>1406</v>
      </c>
      <c r="E3016" t="s">
        <v>30</v>
      </c>
      <c r="F3016" s="9">
        <f t="shared" ref="F3016:F3079" si="194">IFERROR(VLOOKUP(A3016,condi,8,0),0)</f>
        <v>0</v>
      </c>
      <c r="G3016" s="9">
        <f t="shared" ref="G3016:G3079" si="195">IFERROR(VLOOKUP(A3016,maqui,8,0),0)</f>
        <v>0</v>
      </c>
      <c r="H3016" s="9">
        <f t="shared" ref="H3016:H3079" si="196">IFERROR(VLOOKUP(A3016,ascint,8,0),0)</f>
        <v>0</v>
      </c>
      <c r="I3016" s="10">
        <f t="shared" ref="I3016:I3079" si="197">+F3016+G3016+H3016</f>
        <v>0</v>
      </c>
    </row>
    <row r="3017" spans="1:9" x14ac:dyDescent="0.25">
      <c r="A3017" s="11" t="s">
        <v>7833</v>
      </c>
      <c r="B3017" s="11" t="s">
        <v>7834</v>
      </c>
      <c r="C3017" s="11" t="s">
        <v>232</v>
      </c>
      <c r="D3017" s="4" t="s">
        <v>1406</v>
      </c>
      <c r="E3017" t="s">
        <v>30</v>
      </c>
      <c r="F3017" s="9">
        <f t="shared" si="194"/>
        <v>0</v>
      </c>
      <c r="G3017" s="9">
        <f t="shared" si="195"/>
        <v>0</v>
      </c>
      <c r="H3017" s="9">
        <f t="shared" si="196"/>
        <v>0</v>
      </c>
      <c r="I3017" s="10">
        <f t="shared" si="197"/>
        <v>0</v>
      </c>
    </row>
    <row r="3018" spans="1:9" x14ac:dyDescent="0.25">
      <c r="A3018" s="11" t="s">
        <v>7835</v>
      </c>
      <c r="B3018" s="11" t="s">
        <v>7836</v>
      </c>
      <c r="C3018" s="11" t="s">
        <v>232</v>
      </c>
      <c r="D3018" s="4" t="s">
        <v>1406</v>
      </c>
      <c r="E3018" t="s">
        <v>30</v>
      </c>
      <c r="F3018" s="9">
        <f t="shared" si="194"/>
        <v>0</v>
      </c>
      <c r="G3018" s="9">
        <f t="shared" si="195"/>
        <v>0</v>
      </c>
      <c r="H3018" s="9">
        <f t="shared" si="196"/>
        <v>0</v>
      </c>
      <c r="I3018" s="10">
        <f t="shared" si="197"/>
        <v>0</v>
      </c>
    </row>
    <row r="3019" spans="1:9" x14ac:dyDescent="0.25">
      <c r="A3019" s="11" t="s">
        <v>7837</v>
      </c>
      <c r="B3019" s="11" t="s">
        <v>7838</v>
      </c>
      <c r="C3019" s="11" t="s">
        <v>232</v>
      </c>
      <c r="D3019" s="4" t="s">
        <v>1406</v>
      </c>
      <c r="E3019" t="s">
        <v>30</v>
      </c>
      <c r="F3019" s="9">
        <f t="shared" si="194"/>
        <v>0</v>
      </c>
      <c r="G3019" s="9">
        <f t="shared" si="195"/>
        <v>0</v>
      </c>
      <c r="H3019" s="9">
        <f t="shared" si="196"/>
        <v>0</v>
      </c>
      <c r="I3019" s="10">
        <f t="shared" si="197"/>
        <v>0</v>
      </c>
    </row>
    <row r="3020" spans="1:9" x14ac:dyDescent="0.25">
      <c r="A3020" s="11" t="s">
        <v>7839</v>
      </c>
      <c r="B3020" s="11" t="s">
        <v>7840</v>
      </c>
      <c r="C3020" s="11" t="s">
        <v>232</v>
      </c>
      <c r="D3020" s="4" t="s">
        <v>1406</v>
      </c>
      <c r="E3020" t="s">
        <v>30</v>
      </c>
      <c r="F3020" s="9">
        <f t="shared" si="194"/>
        <v>0</v>
      </c>
      <c r="G3020" s="9">
        <f t="shared" si="195"/>
        <v>0</v>
      </c>
      <c r="H3020" s="9">
        <f t="shared" si="196"/>
        <v>0</v>
      </c>
      <c r="I3020" s="10">
        <f t="shared" si="197"/>
        <v>0</v>
      </c>
    </row>
    <row r="3021" spans="1:9" x14ac:dyDescent="0.25">
      <c r="A3021" s="11" t="s">
        <v>7841</v>
      </c>
      <c r="B3021" s="11" t="s">
        <v>7842</v>
      </c>
      <c r="C3021" s="11" t="s">
        <v>232</v>
      </c>
      <c r="D3021" s="4" t="s">
        <v>1406</v>
      </c>
      <c r="E3021" t="s">
        <v>30</v>
      </c>
      <c r="F3021" s="9">
        <f t="shared" si="194"/>
        <v>0</v>
      </c>
      <c r="G3021" s="9">
        <f t="shared" si="195"/>
        <v>0</v>
      </c>
      <c r="H3021" s="9">
        <f t="shared" si="196"/>
        <v>0</v>
      </c>
      <c r="I3021" s="10">
        <f t="shared" si="197"/>
        <v>0</v>
      </c>
    </row>
    <row r="3022" spans="1:9" x14ac:dyDescent="0.25">
      <c r="A3022" s="11" t="s">
        <v>7843</v>
      </c>
      <c r="B3022" s="11" t="s">
        <v>7844</v>
      </c>
      <c r="C3022" s="11" t="s">
        <v>232</v>
      </c>
      <c r="D3022" s="4" t="s">
        <v>1406</v>
      </c>
      <c r="E3022" t="s">
        <v>30</v>
      </c>
      <c r="F3022" s="9">
        <f t="shared" si="194"/>
        <v>0</v>
      </c>
      <c r="G3022" s="9">
        <f t="shared" si="195"/>
        <v>0</v>
      </c>
      <c r="H3022" s="9">
        <f t="shared" si="196"/>
        <v>0</v>
      </c>
      <c r="I3022" s="10">
        <f t="shared" si="197"/>
        <v>0</v>
      </c>
    </row>
    <row r="3023" spans="1:9" x14ac:dyDescent="0.25">
      <c r="A3023" s="11" t="s">
        <v>7845</v>
      </c>
      <c r="B3023" s="11" t="s">
        <v>7846</v>
      </c>
      <c r="C3023" s="11" t="s">
        <v>232</v>
      </c>
      <c r="D3023" s="4" t="s">
        <v>1406</v>
      </c>
      <c r="E3023" t="s">
        <v>30</v>
      </c>
      <c r="F3023" s="9">
        <f t="shared" si="194"/>
        <v>0</v>
      </c>
      <c r="G3023" s="9">
        <f t="shared" si="195"/>
        <v>0</v>
      </c>
      <c r="H3023" s="9">
        <f t="shared" si="196"/>
        <v>0</v>
      </c>
      <c r="I3023" s="10">
        <f t="shared" si="197"/>
        <v>0</v>
      </c>
    </row>
    <row r="3024" spans="1:9" x14ac:dyDescent="0.25">
      <c r="A3024" s="11" t="s">
        <v>7847</v>
      </c>
      <c r="B3024" s="11" t="s">
        <v>7848</v>
      </c>
      <c r="C3024" s="11" t="s">
        <v>232</v>
      </c>
      <c r="D3024" s="4" t="s">
        <v>1406</v>
      </c>
      <c r="E3024" t="s">
        <v>30</v>
      </c>
      <c r="F3024" s="9">
        <f t="shared" si="194"/>
        <v>0</v>
      </c>
      <c r="G3024" s="9">
        <f t="shared" si="195"/>
        <v>0</v>
      </c>
      <c r="H3024" s="9">
        <f t="shared" si="196"/>
        <v>0</v>
      </c>
      <c r="I3024" s="10">
        <f t="shared" si="197"/>
        <v>0</v>
      </c>
    </row>
    <row r="3025" spans="1:9" x14ac:dyDescent="0.25">
      <c r="A3025" s="11" t="s">
        <v>7849</v>
      </c>
      <c r="B3025" s="11" t="s">
        <v>7850</v>
      </c>
      <c r="C3025" s="11" t="s">
        <v>232</v>
      </c>
      <c r="D3025" s="4" t="s">
        <v>1406</v>
      </c>
      <c r="E3025" t="s">
        <v>30</v>
      </c>
      <c r="F3025" s="9">
        <f t="shared" si="194"/>
        <v>0</v>
      </c>
      <c r="G3025" s="9">
        <f t="shared" si="195"/>
        <v>0</v>
      </c>
      <c r="H3025" s="9">
        <f t="shared" si="196"/>
        <v>0</v>
      </c>
      <c r="I3025" s="10">
        <f t="shared" si="197"/>
        <v>0</v>
      </c>
    </row>
    <row r="3026" spans="1:9" x14ac:dyDescent="0.25">
      <c r="A3026" s="11" t="s">
        <v>7851</v>
      </c>
      <c r="B3026" s="11" t="s">
        <v>7852</v>
      </c>
      <c r="C3026" s="11" t="s">
        <v>232</v>
      </c>
      <c r="D3026" s="4" t="s">
        <v>1406</v>
      </c>
      <c r="E3026" t="s">
        <v>30</v>
      </c>
      <c r="F3026" s="9">
        <f t="shared" si="194"/>
        <v>0</v>
      </c>
      <c r="G3026" s="9">
        <f t="shared" si="195"/>
        <v>0</v>
      </c>
      <c r="H3026" s="9">
        <f t="shared" si="196"/>
        <v>0</v>
      </c>
      <c r="I3026" s="10">
        <f t="shared" si="197"/>
        <v>0</v>
      </c>
    </row>
    <row r="3027" spans="1:9" x14ac:dyDescent="0.25">
      <c r="A3027" s="11" t="s">
        <v>7853</v>
      </c>
      <c r="B3027" s="11" t="s">
        <v>7854</v>
      </c>
      <c r="C3027" s="11" t="s">
        <v>232</v>
      </c>
      <c r="D3027" s="4" t="s">
        <v>1406</v>
      </c>
      <c r="E3027" t="s">
        <v>30</v>
      </c>
      <c r="F3027" s="9">
        <f t="shared" si="194"/>
        <v>0</v>
      </c>
      <c r="G3027" s="9">
        <f t="shared" si="195"/>
        <v>0</v>
      </c>
      <c r="H3027" s="9">
        <f t="shared" si="196"/>
        <v>0</v>
      </c>
      <c r="I3027" s="10">
        <f t="shared" si="197"/>
        <v>0</v>
      </c>
    </row>
    <row r="3028" spans="1:9" x14ac:dyDescent="0.25">
      <c r="A3028" s="11" t="s">
        <v>7855</v>
      </c>
      <c r="B3028" s="11" t="s">
        <v>7856</v>
      </c>
      <c r="C3028" s="11" t="s">
        <v>232</v>
      </c>
      <c r="D3028" s="4" t="s">
        <v>1406</v>
      </c>
      <c r="E3028" t="s">
        <v>30</v>
      </c>
      <c r="F3028" s="9">
        <f t="shared" si="194"/>
        <v>0</v>
      </c>
      <c r="G3028" s="9">
        <f t="shared" si="195"/>
        <v>0</v>
      </c>
      <c r="H3028" s="9">
        <f t="shared" si="196"/>
        <v>0</v>
      </c>
      <c r="I3028" s="10">
        <f t="shared" si="197"/>
        <v>0</v>
      </c>
    </row>
    <row r="3029" spans="1:9" x14ac:dyDescent="0.25">
      <c r="A3029" s="11" t="s">
        <v>7857</v>
      </c>
      <c r="B3029" s="11" t="s">
        <v>7858</v>
      </c>
      <c r="C3029" s="11" t="s">
        <v>232</v>
      </c>
      <c r="D3029" s="4" t="s">
        <v>1406</v>
      </c>
      <c r="E3029" t="s">
        <v>30</v>
      </c>
      <c r="F3029" s="9">
        <f t="shared" si="194"/>
        <v>0</v>
      </c>
      <c r="G3029" s="9">
        <f t="shared" si="195"/>
        <v>0</v>
      </c>
      <c r="H3029" s="9">
        <f t="shared" si="196"/>
        <v>0</v>
      </c>
      <c r="I3029" s="10">
        <f t="shared" si="197"/>
        <v>0</v>
      </c>
    </row>
    <row r="3030" spans="1:9" x14ac:dyDescent="0.25">
      <c r="A3030" s="11" t="s">
        <v>7859</v>
      </c>
      <c r="B3030" s="11" t="s">
        <v>7860</v>
      </c>
      <c r="C3030" s="11" t="s">
        <v>232</v>
      </c>
      <c r="D3030" s="4" t="s">
        <v>1406</v>
      </c>
      <c r="E3030" t="s">
        <v>30</v>
      </c>
      <c r="F3030" s="9">
        <f t="shared" si="194"/>
        <v>0</v>
      </c>
      <c r="G3030" s="9">
        <f t="shared" si="195"/>
        <v>0</v>
      </c>
      <c r="H3030" s="9">
        <f t="shared" si="196"/>
        <v>0</v>
      </c>
      <c r="I3030" s="10">
        <f t="shared" si="197"/>
        <v>0</v>
      </c>
    </row>
    <row r="3031" spans="1:9" x14ac:dyDescent="0.25">
      <c r="A3031" s="11" t="s">
        <v>7861</v>
      </c>
      <c r="B3031" s="11" t="s">
        <v>7862</v>
      </c>
      <c r="C3031" s="11" t="s">
        <v>232</v>
      </c>
      <c r="D3031" s="4" t="s">
        <v>1406</v>
      </c>
      <c r="E3031" t="s">
        <v>30</v>
      </c>
      <c r="F3031" s="9">
        <f t="shared" si="194"/>
        <v>0</v>
      </c>
      <c r="G3031" s="9">
        <f t="shared" si="195"/>
        <v>0</v>
      </c>
      <c r="H3031" s="9">
        <f t="shared" si="196"/>
        <v>0</v>
      </c>
      <c r="I3031" s="10">
        <f t="shared" si="197"/>
        <v>0</v>
      </c>
    </row>
    <row r="3032" spans="1:9" x14ac:dyDescent="0.25">
      <c r="A3032" s="11" t="s">
        <v>7863</v>
      </c>
      <c r="B3032" s="11" t="s">
        <v>7864</v>
      </c>
      <c r="C3032" s="11" t="s">
        <v>232</v>
      </c>
      <c r="D3032" s="4" t="s">
        <v>1406</v>
      </c>
      <c r="E3032" t="s">
        <v>30</v>
      </c>
      <c r="F3032" s="9">
        <f t="shared" si="194"/>
        <v>0</v>
      </c>
      <c r="G3032" s="9">
        <f t="shared" si="195"/>
        <v>0</v>
      </c>
      <c r="H3032" s="9">
        <f t="shared" si="196"/>
        <v>0</v>
      </c>
      <c r="I3032" s="10">
        <f t="shared" si="197"/>
        <v>0</v>
      </c>
    </row>
    <row r="3033" spans="1:9" x14ac:dyDescent="0.25">
      <c r="A3033" s="11" t="s">
        <v>7865</v>
      </c>
      <c r="B3033" s="11" t="s">
        <v>7866</v>
      </c>
      <c r="C3033" s="11" t="s">
        <v>232</v>
      </c>
      <c r="D3033" s="4" t="s">
        <v>1406</v>
      </c>
      <c r="E3033" t="s">
        <v>30</v>
      </c>
      <c r="F3033" s="9">
        <f t="shared" si="194"/>
        <v>0</v>
      </c>
      <c r="G3033" s="9">
        <f t="shared" si="195"/>
        <v>0</v>
      </c>
      <c r="H3033" s="9">
        <f t="shared" si="196"/>
        <v>0</v>
      </c>
      <c r="I3033" s="10">
        <f t="shared" si="197"/>
        <v>0</v>
      </c>
    </row>
    <row r="3034" spans="1:9" x14ac:dyDescent="0.25">
      <c r="A3034" s="11" t="s">
        <v>7867</v>
      </c>
      <c r="B3034" s="11" t="s">
        <v>7868</v>
      </c>
      <c r="C3034" s="11" t="s">
        <v>232</v>
      </c>
      <c r="D3034" s="4" t="s">
        <v>1406</v>
      </c>
      <c r="E3034" t="s">
        <v>30</v>
      </c>
      <c r="F3034" s="9">
        <f t="shared" si="194"/>
        <v>0</v>
      </c>
      <c r="G3034" s="9">
        <f t="shared" si="195"/>
        <v>0</v>
      </c>
      <c r="H3034" s="9">
        <f t="shared" si="196"/>
        <v>0</v>
      </c>
      <c r="I3034" s="10">
        <f t="shared" si="197"/>
        <v>0</v>
      </c>
    </row>
    <row r="3035" spans="1:9" x14ac:dyDescent="0.25">
      <c r="A3035" s="11" t="s">
        <v>7869</v>
      </c>
      <c r="B3035" s="11" t="s">
        <v>7870</v>
      </c>
      <c r="C3035" s="11" t="s">
        <v>232</v>
      </c>
      <c r="D3035" s="4" t="s">
        <v>1406</v>
      </c>
      <c r="E3035" t="s">
        <v>30</v>
      </c>
      <c r="F3035" s="9">
        <f t="shared" si="194"/>
        <v>0</v>
      </c>
      <c r="G3035" s="9">
        <f t="shared" si="195"/>
        <v>0</v>
      </c>
      <c r="H3035" s="9">
        <f t="shared" si="196"/>
        <v>0</v>
      </c>
      <c r="I3035" s="10">
        <f t="shared" si="197"/>
        <v>0</v>
      </c>
    </row>
    <row r="3036" spans="1:9" x14ac:dyDescent="0.25">
      <c r="A3036" s="11" t="s">
        <v>7871</v>
      </c>
      <c r="B3036" s="11" t="s">
        <v>7872</v>
      </c>
      <c r="C3036" s="11" t="s">
        <v>232</v>
      </c>
      <c r="D3036" s="4" t="s">
        <v>1406</v>
      </c>
      <c r="E3036" t="s">
        <v>30</v>
      </c>
      <c r="F3036" s="9">
        <f t="shared" si="194"/>
        <v>0</v>
      </c>
      <c r="G3036" s="9">
        <f t="shared" si="195"/>
        <v>0</v>
      </c>
      <c r="H3036" s="9">
        <f t="shared" si="196"/>
        <v>0</v>
      </c>
      <c r="I3036" s="10">
        <f t="shared" si="197"/>
        <v>0</v>
      </c>
    </row>
    <row r="3037" spans="1:9" x14ac:dyDescent="0.25">
      <c r="A3037" s="11" t="s">
        <v>7873</v>
      </c>
      <c r="B3037" s="11" t="s">
        <v>7874</v>
      </c>
      <c r="C3037" s="11" t="s">
        <v>232</v>
      </c>
      <c r="D3037" s="4" t="s">
        <v>1406</v>
      </c>
      <c r="E3037" t="s">
        <v>30</v>
      </c>
      <c r="F3037" s="9">
        <f t="shared" si="194"/>
        <v>0</v>
      </c>
      <c r="G3037" s="9">
        <f t="shared" si="195"/>
        <v>0</v>
      </c>
      <c r="H3037" s="9">
        <f t="shared" si="196"/>
        <v>0</v>
      </c>
      <c r="I3037" s="10">
        <f t="shared" si="197"/>
        <v>0</v>
      </c>
    </row>
    <row r="3038" spans="1:9" x14ac:dyDescent="0.25">
      <c r="A3038" s="11" t="s">
        <v>7875</v>
      </c>
      <c r="B3038" s="11" t="s">
        <v>7876</v>
      </c>
      <c r="C3038" s="11" t="s">
        <v>232</v>
      </c>
      <c r="D3038" s="4" t="s">
        <v>1406</v>
      </c>
      <c r="E3038" t="s">
        <v>30</v>
      </c>
      <c r="F3038" s="9">
        <f t="shared" si="194"/>
        <v>0</v>
      </c>
      <c r="G3038" s="9">
        <f t="shared" si="195"/>
        <v>0</v>
      </c>
      <c r="H3038" s="9">
        <f t="shared" si="196"/>
        <v>0</v>
      </c>
      <c r="I3038" s="10">
        <f t="shared" si="197"/>
        <v>0</v>
      </c>
    </row>
    <row r="3039" spans="1:9" x14ac:dyDescent="0.25">
      <c r="A3039" s="11" t="s">
        <v>7877</v>
      </c>
      <c r="B3039" s="11" t="s">
        <v>7878</v>
      </c>
      <c r="C3039" s="11" t="s">
        <v>232</v>
      </c>
      <c r="D3039" s="4" t="s">
        <v>1406</v>
      </c>
      <c r="E3039" t="s">
        <v>30</v>
      </c>
      <c r="F3039" s="9">
        <f t="shared" si="194"/>
        <v>0</v>
      </c>
      <c r="G3039" s="9">
        <f t="shared" si="195"/>
        <v>0</v>
      </c>
      <c r="H3039" s="9">
        <f t="shared" si="196"/>
        <v>0</v>
      </c>
      <c r="I3039" s="10">
        <f t="shared" si="197"/>
        <v>0</v>
      </c>
    </row>
    <row r="3040" spans="1:9" x14ac:dyDescent="0.25">
      <c r="A3040" s="11" t="s">
        <v>434</v>
      </c>
      <c r="B3040" s="11" t="s">
        <v>433</v>
      </c>
      <c r="C3040" s="11" t="s">
        <v>232</v>
      </c>
      <c r="D3040" s="4" t="s">
        <v>1406</v>
      </c>
      <c r="E3040" t="s">
        <v>30</v>
      </c>
      <c r="F3040" s="9">
        <f t="shared" si="194"/>
        <v>0</v>
      </c>
      <c r="G3040" s="9">
        <f t="shared" si="195"/>
        <v>0</v>
      </c>
      <c r="H3040" s="9">
        <f t="shared" si="196"/>
        <v>0</v>
      </c>
      <c r="I3040" s="10">
        <f t="shared" si="197"/>
        <v>0</v>
      </c>
    </row>
    <row r="3041" spans="1:9" x14ac:dyDescent="0.25">
      <c r="A3041" s="11" t="s">
        <v>7879</v>
      </c>
      <c r="B3041" s="11" t="s">
        <v>7880</v>
      </c>
      <c r="C3041" s="11" t="s">
        <v>232</v>
      </c>
      <c r="D3041" s="4" t="s">
        <v>1406</v>
      </c>
      <c r="E3041" t="s">
        <v>30</v>
      </c>
      <c r="F3041" s="9">
        <f t="shared" si="194"/>
        <v>0</v>
      </c>
      <c r="G3041" s="9">
        <f t="shared" si="195"/>
        <v>0</v>
      </c>
      <c r="H3041" s="9">
        <f t="shared" si="196"/>
        <v>0</v>
      </c>
      <c r="I3041" s="10">
        <f t="shared" si="197"/>
        <v>0</v>
      </c>
    </row>
    <row r="3042" spans="1:9" x14ac:dyDescent="0.25">
      <c r="A3042" s="11" t="s">
        <v>7881</v>
      </c>
      <c r="B3042" s="11" t="s">
        <v>7882</v>
      </c>
      <c r="C3042" s="11" t="s">
        <v>232</v>
      </c>
      <c r="D3042" s="4" t="s">
        <v>1406</v>
      </c>
      <c r="E3042" t="s">
        <v>30</v>
      </c>
      <c r="F3042" s="9">
        <f t="shared" si="194"/>
        <v>0</v>
      </c>
      <c r="G3042" s="9">
        <f t="shared" si="195"/>
        <v>0</v>
      </c>
      <c r="H3042" s="9">
        <f t="shared" si="196"/>
        <v>0</v>
      </c>
      <c r="I3042" s="10">
        <f t="shared" si="197"/>
        <v>0</v>
      </c>
    </row>
    <row r="3043" spans="1:9" x14ac:dyDescent="0.25">
      <c r="A3043" s="11" t="s">
        <v>7883</v>
      </c>
      <c r="B3043" s="11" t="s">
        <v>7884</v>
      </c>
      <c r="C3043" s="11" t="s">
        <v>232</v>
      </c>
      <c r="D3043" s="4" t="s">
        <v>1406</v>
      </c>
      <c r="E3043" t="s">
        <v>30</v>
      </c>
      <c r="F3043" s="9">
        <f t="shared" si="194"/>
        <v>0</v>
      </c>
      <c r="G3043" s="9">
        <f t="shared" si="195"/>
        <v>0</v>
      </c>
      <c r="H3043" s="9">
        <f t="shared" si="196"/>
        <v>0</v>
      </c>
      <c r="I3043" s="10">
        <f t="shared" si="197"/>
        <v>0</v>
      </c>
    </row>
    <row r="3044" spans="1:9" x14ac:dyDescent="0.25">
      <c r="A3044" s="11" t="s">
        <v>4666</v>
      </c>
      <c r="B3044" s="11" t="s">
        <v>4665</v>
      </c>
      <c r="C3044" s="11" t="s">
        <v>232</v>
      </c>
      <c r="D3044" s="4" t="s">
        <v>1406</v>
      </c>
      <c r="E3044" t="s">
        <v>30</v>
      </c>
      <c r="F3044" s="9">
        <f t="shared" si="194"/>
        <v>0</v>
      </c>
      <c r="G3044" s="9">
        <f t="shared" si="195"/>
        <v>0</v>
      </c>
      <c r="H3044" s="9">
        <f t="shared" si="196"/>
        <v>0</v>
      </c>
      <c r="I3044" s="10">
        <f t="shared" si="197"/>
        <v>0</v>
      </c>
    </row>
    <row r="3045" spans="1:9" x14ac:dyDescent="0.25">
      <c r="A3045" s="11" t="s">
        <v>7885</v>
      </c>
      <c r="B3045" s="11" t="s">
        <v>7886</v>
      </c>
      <c r="C3045" s="11" t="s">
        <v>232</v>
      </c>
      <c r="D3045" s="4" t="s">
        <v>1406</v>
      </c>
      <c r="E3045" t="s">
        <v>30</v>
      </c>
      <c r="F3045" s="9">
        <f t="shared" si="194"/>
        <v>0</v>
      </c>
      <c r="G3045" s="9">
        <f t="shared" si="195"/>
        <v>0</v>
      </c>
      <c r="H3045" s="9">
        <f t="shared" si="196"/>
        <v>0</v>
      </c>
      <c r="I3045" s="10">
        <f t="shared" si="197"/>
        <v>0</v>
      </c>
    </row>
    <row r="3046" spans="1:9" x14ac:dyDescent="0.25">
      <c r="A3046" s="11" t="s">
        <v>7887</v>
      </c>
      <c r="B3046" s="11" t="s">
        <v>7888</v>
      </c>
      <c r="C3046" s="11" t="s">
        <v>232</v>
      </c>
      <c r="D3046" s="4" t="s">
        <v>1406</v>
      </c>
      <c r="E3046" t="s">
        <v>30</v>
      </c>
      <c r="F3046" s="9">
        <f t="shared" si="194"/>
        <v>0</v>
      </c>
      <c r="G3046" s="9">
        <f t="shared" si="195"/>
        <v>0</v>
      </c>
      <c r="H3046" s="9">
        <f t="shared" si="196"/>
        <v>0</v>
      </c>
      <c r="I3046" s="10">
        <f t="shared" si="197"/>
        <v>0</v>
      </c>
    </row>
    <row r="3047" spans="1:9" x14ac:dyDescent="0.25">
      <c r="A3047" s="11" t="s">
        <v>7889</v>
      </c>
      <c r="B3047" s="11" t="s">
        <v>7890</v>
      </c>
      <c r="C3047" s="11" t="s">
        <v>232</v>
      </c>
      <c r="D3047" s="4" t="s">
        <v>1406</v>
      </c>
      <c r="E3047" t="s">
        <v>30</v>
      </c>
      <c r="F3047" s="9">
        <f t="shared" si="194"/>
        <v>0</v>
      </c>
      <c r="G3047" s="9">
        <f t="shared" si="195"/>
        <v>0</v>
      </c>
      <c r="H3047" s="9">
        <f t="shared" si="196"/>
        <v>0</v>
      </c>
      <c r="I3047" s="10">
        <f t="shared" si="197"/>
        <v>0</v>
      </c>
    </row>
    <row r="3048" spans="1:9" x14ac:dyDescent="0.25">
      <c r="A3048" s="11" t="s">
        <v>7891</v>
      </c>
      <c r="B3048" s="11" t="s">
        <v>7892</v>
      </c>
      <c r="C3048" s="11" t="s">
        <v>232</v>
      </c>
      <c r="D3048" s="4" t="s">
        <v>1406</v>
      </c>
      <c r="E3048" t="s">
        <v>30</v>
      </c>
      <c r="F3048" s="9">
        <f t="shared" si="194"/>
        <v>0</v>
      </c>
      <c r="G3048" s="9">
        <f t="shared" si="195"/>
        <v>0</v>
      </c>
      <c r="H3048" s="9">
        <f t="shared" si="196"/>
        <v>0</v>
      </c>
      <c r="I3048" s="10">
        <f t="shared" si="197"/>
        <v>0</v>
      </c>
    </row>
    <row r="3049" spans="1:9" x14ac:dyDescent="0.25">
      <c r="A3049" s="11" t="s">
        <v>7893</v>
      </c>
      <c r="B3049" s="11" t="s">
        <v>7894</v>
      </c>
      <c r="C3049" s="11" t="s">
        <v>232</v>
      </c>
      <c r="D3049" s="4" t="s">
        <v>1406</v>
      </c>
      <c r="E3049" t="s">
        <v>30</v>
      </c>
      <c r="F3049" s="9">
        <f t="shared" si="194"/>
        <v>0</v>
      </c>
      <c r="G3049" s="9">
        <f t="shared" si="195"/>
        <v>0</v>
      </c>
      <c r="H3049" s="9">
        <f t="shared" si="196"/>
        <v>0</v>
      </c>
      <c r="I3049" s="10">
        <f t="shared" si="197"/>
        <v>0</v>
      </c>
    </row>
    <row r="3050" spans="1:9" x14ac:dyDescent="0.25">
      <c r="A3050" s="11" t="s">
        <v>7895</v>
      </c>
      <c r="B3050" s="11" t="s">
        <v>7896</v>
      </c>
      <c r="C3050" s="11" t="s">
        <v>232</v>
      </c>
      <c r="D3050" s="4" t="s">
        <v>1406</v>
      </c>
      <c r="E3050" t="s">
        <v>30</v>
      </c>
      <c r="F3050" s="9">
        <f t="shared" si="194"/>
        <v>0</v>
      </c>
      <c r="G3050" s="9">
        <f t="shared" si="195"/>
        <v>0</v>
      </c>
      <c r="H3050" s="9">
        <f t="shared" si="196"/>
        <v>0</v>
      </c>
      <c r="I3050" s="10">
        <f t="shared" si="197"/>
        <v>0</v>
      </c>
    </row>
    <row r="3051" spans="1:9" x14ac:dyDescent="0.25">
      <c r="A3051" s="11" t="s">
        <v>7897</v>
      </c>
      <c r="B3051" s="11" t="s">
        <v>7898</v>
      </c>
      <c r="C3051" s="11" t="s">
        <v>232</v>
      </c>
      <c r="D3051" s="4" t="s">
        <v>1406</v>
      </c>
      <c r="E3051" t="s">
        <v>30</v>
      </c>
      <c r="F3051" s="9">
        <f t="shared" si="194"/>
        <v>0</v>
      </c>
      <c r="G3051" s="9">
        <f t="shared" si="195"/>
        <v>0</v>
      </c>
      <c r="H3051" s="9">
        <f t="shared" si="196"/>
        <v>0</v>
      </c>
      <c r="I3051" s="10">
        <f t="shared" si="197"/>
        <v>0</v>
      </c>
    </row>
    <row r="3052" spans="1:9" x14ac:dyDescent="0.25">
      <c r="A3052" s="11" t="s">
        <v>7899</v>
      </c>
      <c r="B3052" s="11" t="s">
        <v>7900</v>
      </c>
      <c r="C3052" s="11" t="s">
        <v>232</v>
      </c>
      <c r="D3052" s="4" t="s">
        <v>1406</v>
      </c>
      <c r="E3052" t="s">
        <v>30</v>
      </c>
      <c r="F3052" s="9">
        <f t="shared" si="194"/>
        <v>0</v>
      </c>
      <c r="G3052" s="9">
        <f t="shared" si="195"/>
        <v>0</v>
      </c>
      <c r="H3052" s="9">
        <f t="shared" si="196"/>
        <v>0</v>
      </c>
      <c r="I3052" s="10">
        <f t="shared" si="197"/>
        <v>0</v>
      </c>
    </row>
    <row r="3053" spans="1:9" x14ac:dyDescent="0.25">
      <c r="A3053" s="11" t="s">
        <v>7901</v>
      </c>
      <c r="B3053" s="11" t="s">
        <v>7902</v>
      </c>
      <c r="C3053" s="11" t="s">
        <v>232</v>
      </c>
      <c r="D3053" s="4" t="s">
        <v>1406</v>
      </c>
      <c r="E3053" t="s">
        <v>30</v>
      </c>
      <c r="F3053" s="9">
        <f t="shared" si="194"/>
        <v>0</v>
      </c>
      <c r="G3053" s="9">
        <f t="shared" si="195"/>
        <v>0</v>
      </c>
      <c r="H3053" s="9">
        <f t="shared" si="196"/>
        <v>0</v>
      </c>
      <c r="I3053" s="10">
        <f t="shared" si="197"/>
        <v>0</v>
      </c>
    </row>
    <row r="3054" spans="1:9" x14ac:dyDescent="0.25">
      <c r="A3054" s="11" t="s">
        <v>7903</v>
      </c>
      <c r="B3054" s="11" t="s">
        <v>7904</v>
      </c>
      <c r="C3054" s="11" t="s">
        <v>232</v>
      </c>
      <c r="D3054" s="4" t="s">
        <v>1406</v>
      </c>
      <c r="E3054" t="s">
        <v>30</v>
      </c>
      <c r="F3054" s="9">
        <f t="shared" si="194"/>
        <v>0</v>
      </c>
      <c r="G3054" s="9">
        <f t="shared" si="195"/>
        <v>0</v>
      </c>
      <c r="H3054" s="9">
        <f t="shared" si="196"/>
        <v>0</v>
      </c>
      <c r="I3054" s="10">
        <f t="shared" si="197"/>
        <v>0</v>
      </c>
    </row>
    <row r="3055" spans="1:9" x14ac:dyDescent="0.25">
      <c r="A3055" s="11" t="s">
        <v>7905</v>
      </c>
      <c r="B3055" s="11" t="s">
        <v>7906</v>
      </c>
      <c r="C3055" s="11" t="s">
        <v>232</v>
      </c>
      <c r="D3055" s="4" t="s">
        <v>1406</v>
      </c>
      <c r="E3055" t="s">
        <v>30</v>
      </c>
      <c r="F3055" s="9">
        <f t="shared" si="194"/>
        <v>0</v>
      </c>
      <c r="G3055" s="9">
        <f t="shared" si="195"/>
        <v>0</v>
      </c>
      <c r="H3055" s="9">
        <f t="shared" si="196"/>
        <v>0</v>
      </c>
      <c r="I3055" s="10">
        <f t="shared" si="197"/>
        <v>0</v>
      </c>
    </row>
    <row r="3056" spans="1:9" x14ac:dyDescent="0.25">
      <c r="A3056" s="11" t="s">
        <v>7907</v>
      </c>
      <c r="B3056" s="11" t="s">
        <v>7908</v>
      </c>
      <c r="C3056" s="11" t="s">
        <v>232</v>
      </c>
      <c r="D3056" s="4" t="s">
        <v>1406</v>
      </c>
      <c r="E3056" t="s">
        <v>30</v>
      </c>
      <c r="F3056" s="9">
        <f t="shared" si="194"/>
        <v>0</v>
      </c>
      <c r="G3056" s="9">
        <f t="shared" si="195"/>
        <v>0</v>
      </c>
      <c r="H3056" s="9">
        <f t="shared" si="196"/>
        <v>0</v>
      </c>
      <c r="I3056" s="10">
        <f t="shared" si="197"/>
        <v>0</v>
      </c>
    </row>
    <row r="3057" spans="1:9" x14ac:dyDescent="0.25">
      <c r="A3057" s="11" t="s">
        <v>7909</v>
      </c>
      <c r="B3057" s="11" t="s">
        <v>7910</v>
      </c>
      <c r="C3057" s="11" t="s">
        <v>232</v>
      </c>
      <c r="D3057" s="4" t="s">
        <v>1406</v>
      </c>
      <c r="E3057" t="s">
        <v>30</v>
      </c>
      <c r="F3057" s="9">
        <f t="shared" si="194"/>
        <v>0</v>
      </c>
      <c r="G3057" s="9">
        <f t="shared" si="195"/>
        <v>0</v>
      </c>
      <c r="H3057" s="9">
        <f t="shared" si="196"/>
        <v>0</v>
      </c>
      <c r="I3057" s="10">
        <f t="shared" si="197"/>
        <v>0</v>
      </c>
    </row>
    <row r="3058" spans="1:9" x14ac:dyDescent="0.25">
      <c r="A3058" s="11" t="s">
        <v>7911</v>
      </c>
      <c r="B3058" s="11" t="s">
        <v>7912</v>
      </c>
      <c r="C3058" s="11" t="s">
        <v>232</v>
      </c>
      <c r="D3058" s="4" t="s">
        <v>1406</v>
      </c>
      <c r="E3058" t="s">
        <v>30</v>
      </c>
      <c r="F3058" s="9">
        <f t="shared" si="194"/>
        <v>0</v>
      </c>
      <c r="G3058" s="9">
        <f t="shared" si="195"/>
        <v>0</v>
      </c>
      <c r="H3058" s="9">
        <f t="shared" si="196"/>
        <v>0</v>
      </c>
      <c r="I3058" s="10">
        <f t="shared" si="197"/>
        <v>0</v>
      </c>
    </row>
    <row r="3059" spans="1:9" x14ac:dyDescent="0.25">
      <c r="A3059" s="11" t="s">
        <v>7913</v>
      </c>
      <c r="B3059" s="11" t="s">
        <v>7914</v>
      </c>
      <c r="C3059" s="11" t="s">
        <v>232</v>
      </c>
      <c r="D3059" s="4" t="s">
        <v>1406</v>
      </c>
      <c r="E3059" t="s">
        <v>30</v>
      </c>
      <c r="F3059" s="9">
        <f t="shared" si="194"/>
        <v>0</v>
      </c>
      <c r="G3059" s="9">
        <f t="shared" si="195"/>
        <v>0</v>
      </c>
      <c r="H3059" s="9">
        <f t="shared" si="196"/>
        <v>0</v>
      </c>
      <c r="I3059" s="10">
        <f t="shared" si="197"/>
        <v>0</v>
      </c>
    </row>
    <row r="3060" spans="1:9" x14ac:dyDescent="0.25">
      <c r="A3060" s="11" t="s">
        <v>7915</v>
      </c>
      <c r="B3060" s="11" t="s">
        <v>7916</v>
      </c>
      <c r="C3060" s="11" t="s">
        <v>3231</v>
      </c>
      <c r="D3060" s="4" t="s">
        <v>1406</v>
      </c>
      <c r="E3060" t="s">
        <v>30</v>
      </c>
      <c r="F3060" s="9">
        <f t="shared" si="194"/>
        <v>0</v>
      </c>
      <c r="G3060" s="9">
        <f t="shared" si="195"/>
        <v>0</v>
      </c>
      <c r="H3060" s="9">
        <f t="shared" si="196"/>
        <v>0</v>
      </c>
      <c r="I3060" s="10">
        <f t="shared" si="197"/>
        <v>0</v>
      </c>
    </row>
    <row r="3061" spans="1:9" x14ac:dyDescent="0.25">
      <c r="A3061" s="11" t="s">
        <v>7917</v>
      </c>
      <c r="B3061" s="11" t="s">
        <v>7918</v>
      </c>
      <c r="C3061" s="11" t="s">
        <v>3231</v>
      </c>
      <c r="D3061" s="4" t="s">
        <v>1406</v>
      </c>
      <c r="E3061" t="s">
        <v>30</v>
      </c>
      <c r="F3061" s="9">
        <f t="shared" si="194"/>
        <v>0</v>
      </c>
      <c r="G3061" s="9">
        <f t="shared" si="195"/>
        <v>0</v>
      </c>
      <c r="H3061" s="9">
        <f t="shared" si="196"/>
        <v>0</v>
      </c>
      <c r="I3061" s="10">
        <f t="shared" si="197"/>
        <v>0</v>
      </c>
    </row>
    <row r="3062" spans="1:9" x14ac:dyDescent="0.25">
      <c r="A3062" s="11" t="s">
        <v>7919</v>
      </c>
      <c r="B3062" s="11" t="s">
        <v>7920</v>
      </c>
      <c r="C3062" s="11" t="s">
        <v>3231</v>
      </c>
      <c r="D3062" s="4" t="s">
        <v>1406</v>
      </c>
      <c r="E3062" t="s">
        <v>30</v>
      </c>
      <c r="F3062" s="9">
        <f t="shared" si="194"/>
        <v>0</v>
      </c>
      <c r="G3062" s="9">
        <f t="shared" si="195"/>
        <v>0</v>
      </c>
      <c r="H3062" s="9">
        <f t="shared" si="196"/>
        <v>0</v>
      </c>
      <c r="I3062" s="10">
        <f t="shared" si="197"/>
        <v>0</v>
      </c>
    </row>
    <row r="3063" spans="1:9" x14ac:dyDescent="0.25">
      <c r="A3063" s="11" t="s">
        <v>7921</v>
      </c>
      <c r="B3063" s="11" t="s">
        <v>7922</v>
      </c>
      <c r="C3063" s="11" t="s">
        <v>3231</v>
      </c>
      <c r="D3063" s="4" t="s">
        <v>1406</v>
      </c>
      <c r="E3063" t="s">
        <v>30</v>
      </c>
      <c r="F3063" s="9">
        <f t="shared" si="194"/>
        <v>0</v>
      </c>
      <c r="G3063" s="9">
        <f t="shared" si="195"/>
        <v>0</v>
      </c>
      <c r="H3063" s="9">
        <f t="shared" si="196"/>
        <v>0</v>
      </c>
      <c r="I3063" s="10">
        <f t="shared" si="197"/>
        <v>0</v>
      </c>
    </row>
    <row r="3064" spans="1:9" x14ac:dyDescent="0.25">
      <c r="A3064" s="11" t="s">
        <v>7923</v>
      </c>
      <c r="B3064" s="11" t="s">
        <v>7924</v>
      </c>
      <c r="C3064" s="11" t="s">
        <v>3231</v>
      </c>
      <c r="D3064" s="4" t="s">
        <v>1406</v>
      </c>
      <c r="E3064" t="s">
        <v>678</v>
      </c>
      <c r="F3064" s="9">
        <f t="shared" si="194"/>
        <v>0</v>
      </c>
      <c r="G3064" s="9">
        <f t="shared" si="195"/>
        <v>0</v>
      </c>
      <c r="H3064" s="9">
        <f t="shared" si="196"/>
        <v>0</v>
      </c>
      <c r="I3064" s="10">
        <f t="shared" si="197"/>
        <v>0</v>
      </c>
    </row>
    <row r="3065" spans="1:9" x14ac:dyDescent="0.25">
      <c r="A3065" s="11" t="s">
        <v>4687</v>
      </c>
      <c r="B3065" s="11" t="s">
        <v>4686</v>
      </c>
      <c r="C3065" s="11" t="s">
        <v>3231</v>
      </c>
      <c r="D3065" s="4" t="s">
        <v>1406</v>
      </c>
      <c r="E3065" t="s">
        <v>678</v>
      </c>
      <c r="F3065" s="9">
        <f t="shared" si="194"/>
        <v>0</v>
      </c>
      <c r="G3065" s="9">
        <f t="shared" si="195"/>
        <v>0</v>
      </c>
      <c r="H3065" s="9">
        <f t="shared" si="196"/>
        <v>0</v>
      </c>
      <c r="I3065" s="10">
        <f t="shared" si="197"/>
        <v>0</v>
      </c>
    </row>
    <row r="3066" spans="1:9" x14ac:dyDescent="0.25">
      <c r="A3066" s="11" t="s">
        <v>677</v>
      </c>
      <c r="B3066" s="11" t="s">
        <v>676</v>
      </c>
      <c r="C3066" s="11" t="s">
        <v>3231</v>
      </c>
      <c r="D3066" s="4" t="s">
        <v>1406</v>
      </c>
      <c r="E3066" t="s">
        <v>678</v>
      </c>
      <c r="F3066" s="9">
        <f t="shared" si="194"/>
        <v>0</v>
      </c>
      <c r="G3066" s="9">
        <f t="shared" si="195"/>
        <v>0</v>
      </c>
      <c r="H3066" s="9">
        <f t="shared" si="196"/>
        <v>0</v>
      </c>
      <c r="I3066" s="10">
        <f t="shared" si="197"/>
        <v>0</v>
      </c>
    </row>
    <row r="3067" spans="1:9" x14ac:dyDescent="0.25">
      <c r="A3067" s="11" t="s">
        <v>682</v>
      </c>
      <c r="B3067" s="11" t="s">
        <v>681</v>
      </c>
      <c r="C3067" s="11" t="s">
        <v>3231</v>
      </c>
      <c r="D3067" s="4" t="s">
        <v>1406</v>
      </c>
      <c r="E3067" t="s">
        <v>678</v>
      </c>
      <c r="F3067" s="9">
        <f t="shared" si="194"/>
        <v>0</v>
      </c>
      <c r="G3067" s="9">
        <f t="shared" si="195"/>
        <v>0</v>
      </c>
      <c r="H3067" s="9">
        <f t="shared" si="196"/>
        <v>0</v>
      </c>
      <c r="I3067" s="10">
        <f t="shared" si="197"/>
        <v>0</v>
      </c>
    </row>
    <row r="3068" spans="1:9" x14ac:dyDescent="0.25">
      <c r="A3068" s="11" t="s">
        <v>7925</v>
      </c>
      <c r="B3068" s="11" t="s">
        <v>7926</v>
      </c>
      <c r="C3068" s="11" t="s">
        <v>3231</v>
      </c>
      <c r="D3068" s="4" t="s">
        <v>1406</v>
      </c>
      <c r="E3068" t="s">
        <v>678</v>
      </c>
      <c r="F3068" s="9">
        <f t="shared" si="194"/>
        <v>0</v>
      </c>
      <c r="G3068" s="9">
        <f t="shared" si="195"/>
        <v>0</v>
      </c>
      <c r="H3068" s="9">
        <f t="shared" si="196"/>
        <v>0</v>
      </c>
      <c r="I3068" s="10">
        <f t="shared" si="197"/>
        <v>0</v>
      </c>
    </row>
    <row r="3069" spans="1:9" x14ac:dyDescent="0.25">
      <c r="A3069" s="11" t="s">
        <v>4150</v>
      </c>
      <c r="B3069" s="11" t="s">
        <v>4149</v>
      </c>
      <c r="C3069" s="11" t="s">
        <v>3231</v>
      </c>
      <c r="D3069" s="4" t="s">
        <v>1406</v>
      </c>
      <c r="E3069" t="s">
        <v>678</v>
      </c>
      <c r="F3069" s="9">
        <f t="shared" si="194"/>
        <v>0</v>
      </c>
      <c r="G3069" s="9">
        <f t="shared" si="195"/>
        <v>0</v>
      </c>
      <c r="H3069" s="9">
        <f t="shared" si="196"/>
        <v>0</v>
      </c>
      <c r="I3069" s="10">
        <f t="shared" si="197"/>
        <v>0</v>
      </c>
    </row>
    <row r="3070" spans="1:9" x14ac:dyDescent="0.25">
      <c r="A3070" s="11" t="s">
        <v>7927</v>
      </c>
      <c r="B3070" s="11" t="s">
        <v>7928</v>
      </c>
      <c r="C3070" s="11" t="s">
        <v>3231</v>
      </c>
      <c r="D3070" s="4" t="s">
        <v>1406</v>
      </c>
      <c r="E3070" t="s">
        <v>678</v>
      </c>
      <c r="F3070" s="9">
        <f t="shared" si="194"/>
        <v>0</v>
      </c>
      <c r="G3070" s="9">
        <f t="shared" si="195"/>
        <v>0</v>
      </c>
      <c r="H3070" s="9">
        <f t="shared" si="196"/>
        <v>0</v>
      </c>
      <c r="I3070" s="10">
        <f t="shared" si="197"/>
        <v>0</v>
      </c>
    </row>
    <row r="3071" spans="1:9" x14ac:dyDescent="0.25">
      <c r="A3071" s="11" t="s">
        <v>7929</v>
      </c>
      <c r="B3071" s="11" t="s">
        <v>7930</v>
      </c>
      <c r="C3071" s="11" t="s">
        <v>3231</v>
      </c>
      <c r="D3071" s="4" t="s">
        <v>1406</v>
      </c>
      <c r="E3071" t="s">
        <v>678</v>
      </c>
      <c r="F3071" s="9">
        <f t="shared" si="194"/>
        <v>0</v>
      </c>
      <c r="G3071" s="9">
        <f t="shared" si="195"/>
        <v>0</v>
      </c>
      <c r="H3071" s="9">
        <f t="shared" si="196"/>
        <v>0</v>
      </c>
      <c r="I3071" s="10">
        <f t="shared" si="197"/>
        <v>0</v>
      </c>
    </row>
    <row r="3072" spans="1:9" x14ac:dyDescent="0.25">
      <c r="A3072" s="11" t="s">
        <v>7931</v>
      </c>
      <c r="B3072" s="11" t="s">
        <v>7932</v>
      </c>
      <c r="C3072" s="11" t="s">
        <v>3231</v>
      </c>
      <c r="D3072" s="4" t="s">
        <v>1406</v>
      </c>
      <c r="E3072" t="s">
        <v>30</v>
      </c>
      <c r="F3072" s="9">
        <f t="shared" si="194"/>
        <v>0</v>
      </c>
      <c r="G3072" s="9">
        <f t="shared" si="195"/>
        <v>0</v>
      </c>
      <c r="H3072" s="9">
        <f t="shared" si="196"/>
        <v>0</v>
      </c>
      <c r="I3072" s="10">
        <f t="shared" si="197"/>
        <v>0</v>
      </c>
    </row>
    <row r="3073" spans="1:9" x14ac:dyDescent="0.25">
      <c r="A3073" s="11" t="s">
        <v>7933</v>
      </c>
      <c r="B3073" s="11" t="s">
        <v>7934</v>
      </c>
      <c r="C3073" s="11" t="s">
        <v>3231</v>
      </c>
      <c r="D3073" s="4" t="s">
        <v>1406</v>
      </c>
      <c r="E3073" t="s">
        <v>30</v>
      </c>
      <c r="F3073" s="9">
        <f t="shared" si="194"/>
        <v>0</v>
      </c>
      <c r="G3073" s="9">
        <f t="shared" si="195"/>
        <v>0</v>
      </c>
      <c r="H3073" s="9">
        <f t="shared" si="196"/>
        <v>0</v>
      </c>
      <c r="I3073" s="10">
        <f t="shared" si="197"/>
        <v>0</v>
      </c>
    </row>
    <row r="3074" spans="1:9" x14ac:dyDescent="0.25">
      <c r="A3074" s="11" t="s">
        <v>7935</v>
      </c>
      <c r="B3074" s="11" t="s">
        <v>7936</v>
      </c>
      <c r="C3074" s="11" t="s">
        <v>3231</v>
      </c>
      <c r="D3074" s="4" t="s">
        <v>1406</v>
      </c>
      <c r="E3074" t="s">
        <v>30</v>
      </c>
      <c r="F3074" s="9">
        <f t="shared" si="194"/>
        <v>0</v>
      </c>
      <c r="G3074" s="9">
        <f t="shared" si="195"/>
        <v>0</v>
      </c>
      <c r="H3074" s="9">
        <f t="shared" si="196"/>
        <v>0</v>
      </c>
      <c r="I3074" s="10">
        <f t="shared" si="197"/>
        <v>0</v>
      </c>
    </row>
    <row r="3075" spans="1:9" x14ac:dyDescent="0.25">
      <c r="A3075" s="11" t="s">
        <v>7937</v>
      </c>
      <c r="B3075" s="11" t="s">
        <v>7938</v>
      </c>
      <c r="C3075" s="11" t="s">
        <v>3231</v>
      </c>
      <c r="D3075" s="4" t="s">
        <v>1406</v>
      </c>
      <c r="E3075" t="s">
        <v>30</v>
      </c>
      <c r="F3075" s="9">
        <f t="shared" si="194"/>
        <v>0</v>
      </c>
      <c r="G3075" s="9">
        <f t="shared" si="195"/>
        <v>0</v>
      </c>
      <c r="H3075" s="9">
        <f t="shared" si="196"/>
        <v>0</v>
      </c>
      <c r="I3075" s="10">
        <f t="shared" si="197"/>
        <v>0</v>
      </c>
    </row>
    <row r="3076" spans="1:9" x14ac:dyDescent="0.25">
      <c r="A3076" s="11" t="s">
        <v>7939</v>
      </c>
      <c r="B3076" s="11" t="s">
        <v>7940</v>
      </c>
      <c r="C3076" s="11" t="s">
        <v>3231</v>
      </c>
      <c r="D3076" s="4" t="s">
        <v>1406</v>
      </c>
      <c r="E3076" t="s">
        <v>30</v>
      </c>
      <c r="F3076" s="9">
        <f t="shared" si="194"/>
        <v>0</v>
      </c>
      <c r="G3076" s="9">
        <f t="shared" si="195"/>
        <v>0</v>
      </c>
      <c r="H3076" s="9">
        <f t="shared" si="196"/>
        <v>0</v>
      </c>
      <c r="I3076" s="10">
        <f t="shared" si="197"/>
        <v>0</v>
      </c>
    </row>
    <row r="3077" spans="1:9" x14ac:dyDescent="0.25">
      <c r="A3077" s="11" t="s">
        <v>7941</v>
      </c>
      <c r="B3077" s="11" t="s">
        <v>2094</v>
      </c>
      <c r="C3077" s="11" t="s">
        <v>3231</v>
      </c>
      <c r="D3077" s="4" t="s">
        <v>1406</v>
      </c>
      <c r="E3077" t="s">
        <v>2095</v>
      </c>
      <c r="F3077" s="9">
        <f t="shared" si="194"/>
        <v>0</v>
      </c>
      <c r="G3077" s="9">
        <f t="shared" si="195"/>
        <v>0</v>
      </c>
      <c r="H3077" s="9">
        <f t="shared" si="196"/>
        <v>0</v>
      </c>
      <c r="I3077" s="10">
        <f t="shared" si="197"/>
        <v>0</v>
      </c>
    </row>
    <row r="3078" spans="1:9" x14ac:dyDescent="0.25">
      <c r="A3078" s="11" t="s">
        <v>7942</v>
      </c>
      <c r="B3078" s="11" t="s">
        <v>7943</v>
      </c>
      <c r="C3078" s="11" t="s">
        <v>3231</v>
      </c>
      <c r="D3078" s="4" t="s">
        <v>1406</v>
      </c>
      <c r="E3078" t="s">
        <v>2095</v>
      </c>
      <c r="F3078" s="9">
        <f t="shared" si="194"/>
        <v>0</v>
      </c>
      <c r="G3078" s="9">
        <f t="shared" si="195"/>
        <v>0</v>
      </c>
      <c r="H3078" s="9">
        <f t="shared" si="196"/>
        <v>0</v>
      </c>
      <c r="I3078" s="10">
        <f t="shared" si="197"/>
        <v>0</v>
      </c>
    </row>
    <row r="3079" spans="1:9" x14ac:dyDescent="0.25">
      <c r="A3079" s="11" t="s">
        <v>7944</v>
      </c>
      <c r="B3079" s="11" t="s">
        <v>7945</v>
      </c>
      <c r="C3079" s="11" t="s">
        <v>3231</v>
      </c>
      <c r="D3079" s="4" t="s">
        <v>1406</v>
      </c>
      <c r="E3079" t="s">
        <v>101</v>
      </c>
      <c r="F3079" s="9">
        <f t="shared" si="194"/>
        <v>0</v>
      </c>
      <c r="G3079" s="9">
        <f t="shared" si="195"/>
        <v>0</v>
      </c>
      <c r="H3079" s="9">
        <f t="shared" si="196"/>
        <v>0</v>
      </c>
      <c r="I3079" s="10">
        <f t="shared" si="197"/>
        <v>0</v>
      </c>
    </row>
    <row r="3080" spans="1:9" x14ac:dyDescent="0.25">
      <c r="A3080" s="11" t="s">
        <v>7946</v>
      </c>
      <c r="B3080" s="11" t="s">
        <v>7947</v>
      </c>
      <c r="C3080" s="11" t="s">
        <v>3231</v>
      </c>
      <c r="D3080" s="4" t="s">
        <v>1406</v>
      </c>
      <c r="E3080" t="s">
        <v>101</v>
      </c>
      <c r="F3080" s="9">
        <f t="shared" ref="F3080:F3139" si="198">IFERROR(VLOOKUP(A3080,condi,8,0),0)</f>
        <v>0</v>
      </c>
      <c r="G3080" s="9">
        <f t="shared" ref="G3080:G3139" si="199">IFERROR(VLOOKUP(A3080,maqui,8,0),0)</f>
        <v>0</v>
      </c>
      <c r="H3080" s="9">
        <f t="shared" ref="H3080:H3139" si="200">IFERROR(VLOOKUP(A3080,ascint,8,0),0)</f>
        <v>0</v>
      </c>
      <c r="I3080" s="10">
        <f t="shared" ref="I3080:I3139" si="201">+F3080+G3080+H3080</f>
        <v>0</v>
      </c>
    </row>
    <row r="3081" spans="1:9" x14ac:dyDescent="0.25">
      <c r="A3081" s="11" t="s">
        <v>7948</v>
      </c>
      <c r="B3081" s="11" t="s">
        <v>7949</v>
      </c>
      <c r="C3081" s="11" t="s">
        <v>3231</v>
      </c>
      <c r="D3081" s="4" t="s">
        <v>1406</v>
      </c>
      <c r="E3081" t="s">
        <v>30</v>
      </c>
      <c r="F3081" s="9">
        <f t="shared" si="198"/>
        <v>0</v>
      </c>
      <c r="G3081" s="9">
        <f t="shared" si="199"/>
        <v>0</v>
      </c>
      <c r="H3081" s="9">
        <f t="shared" si="200"/>
        <v>0</v>
      </c>
      <c r="I3081" s="10">
        <f t="shared" si="201"/>
        <v>0</v>
      </c>
    </row>
    <row r="3082" spans="1:9" x14ac:dyDescent="0.25">
      <c r="A3082" s="11" t="s">
        <v>7950</v>
      </c>
      <c r="B3082" s="11" t="s">
        <v>7951</v>
      </c>
      <c r="C3082" s="11" t="s">
        <v>3231</v>
      </c>
      <c r="D3082" s="4" t="s">
        <v>1406</v>
      </c>
      <c r="E3082" t="s">
        <v>2095</v>
      </c>
      <c r="F3082" s="9">
        <f t="shared" si="198"/>
        <v>0</v>
      </c>
      <c r="G3082" s="9">
        <f t="shared" si="199"/>
        <v>0</v>
      </c>
      <c r="H3082" s="9">
        <f t="shared" si="200"/>
        <v>0</v>
      </c>
      <c r="I3082" s="10">
        <f t="shared" si="201"/>
        <v>0</v>
      </c>
    </row>
    <row r="3083" spans="1:9" x14ac:dyDescent="0.25">
      <c r="A3083" s="11" t="s">
        <v>7952</v>
      </c>
      <c r="B3083" s="11" t="s">
        <v>7953</v>
      </c>
      <c r="C3083" s="11" t="s">
        <v>3231</v>
      </c>
      <c r="D3083" s="4" t="s">
        <v>1406</v>
      </c>
      <c r="E3083" t="s">
        <v>30</v>
      </c>
      <c r="F3083" s="9">
        <f t="shared" si="198"/>
        <v>0</v>
      </c>
      <c r="G3083" s="9">
        <f t="shared" si="199"/>
        <v>0</v>
      </c>
      <c r="H3083" s="9">
        <f t="shared" si="200"/>
        <v>0</v>
      </c>
      <c r="I3083" s="10">
        <f t="shared" si="201"/>
        <v>0</v>
      </c>
    </row>
    <row r="3084" spans="1:9" x14ac:dyDescent="0.25">
      <c r="A3084" s="11" t="s">
        <v>7954</v>
      </c>
      <c r="B3084" s="11" t="s">
        <v>7955</v>
      </c>
      <c r="C3084" s="11" t="s">
        <v>3231</v>
      </c>
      <c r="D3084" s="4" t="s">
        <v>1406</v>
      </c>
      <c r="E3084" t="s">
        <v>30</v>
      </c>
      <c r="F3084" s="9">
        <f t="shared" si="198"/>
        <v>0</v>
      </c>
      <c r="G3084" s="9">
        <f t="shared" si="199"/>
        <v>0</v>
      </c>
      <c r="H3084" s="9">
        <f t="shared" si="200"/>
        <v>0</v>
      </c>
      <c r="I3084" s="10">
        <f t="shared" si="201"/>
        <v>0</v>
      </c>
    </row>
    <row r="3085" spans="1:9" x14ac:dyDescent="0.25">
      <c r="A3085" s="11" t="s">
        <v>7956</v>
      </c>
      <c r="B3085" s="11" t="s">
        <v>7957</v>
      </c>
      <c r="C3085" s="11" t="s">
        <v>3231</v>
      </c>
      <c r="D3085" s="4" t="s">
        <v>1406</v>
      </c>
      <c r="E3085" t="s">
        <v>30</v>
      </c>
      <c r="F3085" s="9">
        <f t="shared" si="198"/>
        <v>0</v>
      </c>
      <c r="G3085" s="9">
        <f t="shared" si="199"/>
        <v>0</v>
      </c>
      <c r="H3085" s="9">
        <f t="shared" si="200"/>
        <v>0</v>
      </c>
      <c r="I3085" s="10">
        <f t="shared" si="201"/>
        <v>0</v>
      </c>
    </row>
    <row r="3086" spans="1:9" x14ac:dyDescent="0.25">
      <c r="A3086" s="11" t="s">
        <v>7958</v>
      </c>
      <c r="B3086" s="11" t="s">
        <v>7959</v>
      </c>
      <c r="C3086" s="11" t="s">
        <v>3231</v>
      </c>
      <c r="D3086" s="4" t="s">
        <v>1406</v>
      </c>
      <c r="E3086" t="s">
        <v>30</v>
      </c>
      <c r="F3086" s="9">
        <f t="shared" si="198"/>
        <v>0</v>
      </c>
      <c r="G3086" s="9">
        <f t="shared" si="199"/>
        <v>0</v>
      </c>
      <c r="H3086" s="9">
        <f t="shared" si="200"/>
        <v>0</v>
      </c>
      <c r="I3086" s="10">
        <f t="shared" si="201"/>
        <v>0</v>
      </c>
    </row>
    <row r="3087" spans="1:9" x14ac:dyDescent="0.25">
      <c r="A3087" s="11" t="s">
        <v>7960</v>
      </c>
      <c r="B3087" s="11" t="s">
        <v>7961</v>
      </c>
      <c r="C3087" s="11" t="s">
        <v>3231</v>
      </c>
      <c r="D3087" s="4" t="s">
        <v>1406</v>
      </c>
      <c r="E3087" t="s">
        <v>30</v>
      </c>
      <c r="F3087" s="9">
        <f t="shared" si="198"/>
        <v>0</v>
      </c>
      <c r="G3087" s="9">
        <f t="shared" si="199"/>
        <v>0</v>
      </c>
      <c r="H3087" s="9">
        <f t="shared" si="200"/>
        <v>0</v>
      </c>
      <c r="I3087" s="10">
        <f t="shared" si="201"/>
        <v>0</v>
      </c>
    </row>
    <row r="3088" spans="1:9" x14ac:dyDescent="0.25">
      <c r="A3088" s="11" t="s">
        <v>7962</v>
      </c>
      <c r="B3088" s="11" t="s">
        <v>7963</v>
      </c>
      <c r="C3088" s="11" t="s">
        <v>3231</v>
      </c>
      <c r="D3088" s="4" t="s">
        <v>1406</v>
      </c>
      <c r="E3088" t="s">
        <v>30</v>
      </c>
      <c r="F3088" s="9">
        <f t="shared" si="198"/>
        <v>0</v>
      </c>
      <c r="G3088" s="9">
        <f t="shared" si="199"/>
        <v>0</v>
      </c>
      <c r="H3088" s="9">
        <f t="shared" si="200"/>
        <v>0</v>
      </c>
      <c r="I3088" s="10">
        <f t="shared" si="201"/>
        <v>0</v>
      </c>
    </row>
    <row r="3089" spans="1:9" x14ac:dyDescent="0.25">
      <c r="A3089" s="11" t="s">
        <v>7964</v>
      </c>
      <c r="B3089" s="11" t="s">
        <v>7965</v>
      </c>
      <c r="C3089" s="11" t="s">
        <v>3231</v>
      </c>
      <c r="D3089" s="4" t="s">
        <v>1406</v>
      </c>
      <c r="E3089" t="s">
        <v>30</v>
      </c>
      <c r="F3089" s="9">
        <f t="shared" si="198"/>
        <v>0</v>
      </c>
      <c r="G3089" s="9">
        <f t="shared" si="199"/>
        <v>0</v>
      </c>
      <c r="H3089" s="9">
        <f t="shared" si="200"/>
        <v>0</v>
      </c>
      <c r="I3089" s="10">
        <f t="shared" si="201"/>
        <v>0</v>
      </c>
    </row>
    <row r="3090" spans="1:9" x14ac:dyDescent="0.25">
      <c r="A3090" s="11" t="s">
        <v>7966</v>
      </c>
      <c r="B3090" s="11" t="s">
        <v>7967</v>
      </c>
      <c r="C3090" s="11" t="s">
        <v>3231</v>
      </c>
      <c r="D3090" s="4" t="s">
        <v>1406</v>
      </c>
      <c r="E3090" t="s">
        <v>30</v>
      </c>
      <c r="F3090" s="9">
        <f t="shared" si="198"/>
        <v>0</v>
      </c>
      <c r="G3090" s="9">
        <f t="shared" si="199"/>
        <v>0</v>
      </c>
      <c r="H3090" s="9">
        <f t="shared" si="200"/>
        <v>0</v>
      </c>
      <c r="I3090" s="10">
        <f t="shared" si="201"/>
        <v>0</v>
      </c>
    </row>
    <row r="3091" spans="1:9" x14ac:dyDescent="0.25">
      <c r="A3091" s="11" t="s">
        <v>7968</v>
      </c>
      <c r="B3091" s="11" t="s">
        <v>7969</v>
      </c>
      <c r="C3091" s="11" t="s">
        <v>3231</v>
      </c>
      <c r="D3091" s="4" t="s">
        <v>1406</v>
      </c>
      <c r="E3091" t="s">
        <v>30</v>
      </c>
      <c r="F3091" s="9">
        <f t="shared" si="198"/>
        <v>0</v>
      </c>
      <c r="G3091" s="9">
        <f t="shared" si="199"/>
        <v>0</v>
      </c>
      <c r="H3091" s="9">
        <f t="shared" si="200"/>
        <v>0</v>
      </c>
      <c r="I3091" s="10">
        <f t="shared" si="201"/>
        <v>0</v>
      </c>
    </row>
    <row r="3092" spans="1:9" x14ac:dyDescent="0.25">
      <c r="A3092" s="11" t="s">
        <v>7970</v>
      </c>
      <c r="B3092" s="11" t="s">
        <v>7971</v>
      </c>
      <c r="C3092" s="11" t="s">
        <v>3231</v>
      </c>
      <c r="D3092" s="4" t="s">
        <v>1406</v>
      </c>
      <c r="E3092" t="s">
        <v>30</v>
      </c>
      <c r="F3092" s="9">
        <f t="shared" si="198"/>
        <v>0</v>
      </c>
      <c r="G3092" s="9">
        <f t="shared" si="199"/>
        <v>0</v>
      </c>
      <c r="H3092" s="9">
        <f t="shared" si="200"/>
        <v>0</v>
      </c>
      <c r="I3092" s="10">
        <f t="shared" si="201"/>
        <v>0</v>
      </c>
    </row>
    <row r="3093" spans="1:9" x14ac:dyDescent="0.25">
      <c r="A3093" s="11" t="s">
        <v>7972</v>
      </c>
      <c r="B3093" s="11" t="s">
        <v>7973</v>
      </c>
      <c r="C3093" s="11" t="s">
        <v>3231</v>
      </c>
      <c r="D3093" s="4" t="s">
        <v>1406</v>
      </c>
      <c r="E3093" t="s">
        <v>30</v>
      </c>
      <c r="F3093" s="9">
        <f t="shared" si="198"/>
        <v>0</v>
      </c>
      <c r="G3093" s="9">
        <f t="shared" si="199"/>
        <v>0</v>
      </c>
      <c r="H3093" s="9">
        <f t="shared" si="200"/>
        <v>0</v>
      </c>
      <c r="I3093" s="10">
        <f t="shared" si="201"/>
        <v>0</v>
      </c>
    </row>
    <row r="3094" spans="1:9" x14ac:dyDescent="0.25">
      <c r="A3094" s="11" t="s">
        <v>7974</v>
      </c>
      <c r="B3094" s="11" t="s">
        <v>7975</v>
      </c>
      <c r="C3094" s="11" t="s">
        <v>3231</v>
      </c>
      <c r="D3094" s="4" t="s">
        <v>1406</v>
      </c>
      <c r="E3094" t="s">
        <v>30</v>
      </c>
      <c r="F3094" s="9">
        <f t="shared" si="198"/>
        <v>0</v>
      </c>
      <c r="G3094" s="9">
        <f t="shared" si="199"/>
        <v>0</v>
      </c>
      <c r="H3094" s="9">
        <f t="shared" si="200"/>
        <v>0</v>
      </c>
      <c r="I3094" s="10">
        <f t="shared" si="201"/>
        <v>0</v>
      </c>
    </row>
    <row r="3095" spans="1:9" x14ac:dyDescent="0.25">
      <c r="A3095" s="11" t="s">
        <v>7976</v>
      </c>
      <c r="B3095" s="11" t="s">
        <v>7977</v>
      </c>
      <c r="C3095" s="11" t="s">
        <v>3231</v>
      </c>
      <c r="D3095" s="4" t="s">
        <v>1406</v>
      </c>
      <c r="E3095" t="s">
        <v>30</v>
      </c>
      <c r="F3095" s="9">
        <f t="shared" si="198"/>
        <v>0</v>
      </c>
      <c r="G3095" s="9">
        <f t="shared" si="199"/>
        <v>0</v>
      </c>
      <c r="H3095" s="9">
        <f t="shared" si="200"/>
        <v>0</v>
      </c>
      <c r="I3095" s="10">
        <f t="shared" si="201"/>
        <v>0</v>
      </c>
    </row>
    <row r="3096" spans="1:9" x14ac:dyDescent="0.25">
      <c r="A3096" s="11" t="s">
        <v>7978</v>
      </c>
      <c r="B3096" s="11" t="s">
        <v>7979</v>
      </c>
      <c r="C3096" s="11" t="s">
        <v>3231</v>
      </c>
      <c r="D3096" s="4" t="s">
        <v>1406</v>
      </c>
      <c r="E3096" t="s">
        <v>30</v>
      </c>
      <c r="F3096" s="9">
        <f t="shared" si="198"/>
        <v>0</v>
      </c>
      <c r="G3096" s="9">
        <f t="shared" si="199"/>
        <v>0</v>
      </c>
      <c r="H3096" s="9">
        <f t="shared" si="200"/>
        <v>0</v>
      </c>
      <c r="I3096" s="10">
        <f t="shared" si="201"/>
        <v>0</v>
      </c>
    </row>
    <row r="3097" spans="1:9" x14ac:dyDescent="0.25">
      <c r="A3097" s="11" t="s">
        <v>7980</v>
      </c>
      <c r="B3097" s="11" t="s">
        <v>7981</v>
      </c>
      <c r="C3097" s="11" t="s">
        <v>3231</v>
      </c>
      <c r="D3097" s="4" t="s">
        <v>1406</v>
      </c>
      <c r="E3097" t="s">
        <v>30</v>
      </c>
      <c r="F3097" s="9">
        <f t="shared" si="198"/>
        <v>0</v>
      </c>
      <c r="G3097" s="9">
        <f t="shared" si="199"/>
        <v>0</v>
      </c>
      <c r="H3097" s="9">
        <f t="shared" si="200"/>
        <v>0</v>
      </c>
      <c r="I3097" s="10">
        <f t="shared" si="201"/>
        <v>0</v>
      </c>
    </row>
    <row r="3098" spans="1:9" x14ac:dyDescent="0.25">
      <c r="A3098" s="11" t="s">
        <v>7982</v>
      </c>
      <c r="B3098" s="11" t="s">
        <v>7983</v>
      </c>
      <c r="C3098" s="11" t="s">
        <v>3231</v>
      </c>
      <c r="D3098" s="4" t="s">
        <v>1406</v>
      </c>
      <c r="E3098" t="s">
        <v>30</v>
      </c>
      <c r="F3098" s="9">
        <f t="shared" si="198"/>
        <v>0</v>
      </c>
      <c r="G3098" s="9">
        <f t="shared" si="199"/>
        <v>0</v>
      </c>
      <c r="H3098" s="9">
        <f t="shared" si="200"/>
        <v>0</v>
      </c>
      <c r="I3098" s="10">
        <f t="shared" si="201"/>
        <v>0</v>
      </c>
    </row>
    <row r="3099" spans="1:9" x14ac:dyDescent="0.25">
      <c r="A3099" s="11" t="s">
        <v>7984</v>
      </c>
      <c r="B3099" s="11" t="s">
        <v>7985</v>
      </c>
      <c r="C3099" s="11" t="s">
        <v>3231</v>
      </c>
      <c r="D3099" s="4" t="s">
        <v>1406</v>
      </c>
      <c r="E3099" t="s">
        <v>30</v>
      </c>
      <c r="F3099" s="9">
        <f t="shared" si="198"/>
        <v>0</v>
      </c>
      <c r="G3099" s="9">
        <f t="shared" si="199"/>
        <v>0</v>
      </c>
      <c r="H3099" s="9">
        <f t="shared" si="200"/>
        <v>0</v>
      </c>
      <c r="I3099" s="10">
        <f t="shared" si="201"/>
        <v>0</v>
      </c>
    </row>
    <row r="3100" spans="1:9" x14ac:dyDescent="0.25">
      <c r="A3100" s="11" t="s">
        <v>7986</v>
      </c>
      <c r="B3100" s="11" t="s">
        <v>7987</v>
      </c>
      <c r="C3100" s="11" t="s">
        <v>3231</v>
      </c>
      <c r="D3100" s="4" t="s">
        <v>1406</v>
      </c>
      <c r="E3100" t="s">
        <v>30</v>
      </c>
      <c r="F3100" s="9">
        <f t="shared" si="198"/>
        <v>0</v>
      </c>
      <c r="G3100" s="9">
        <f t="shared" si="199"/>
        <v>0</v>
      </c>
      <c r="H3100" s="9">
        <f t="shared" si="200"/>
        <v>0</v>
      </c>
      <c r="I3100" s="10">
        <f t="shared" si="201"/>
        <v>0</v>
      </c>
    </row>
    <row r="3101" spans="1:9" x14ac:dyDescent="0.25">
      <c r="A3101" s="11" t="s">
        <v>7988</v>
      </c>
      <c r="B3101" s="11" t="s">
        <v>7989</v>
      </c>
      <c r="C3101" s="11" t="s">
        <v>3231</v>
      </c>
      <c r="D3101" s="4" t="s">
        <v>1406</v>
      </c>
      <c r="E3101" t="s">
        <v>30</v>
      </c>
      <c r="F3101" s="9">
        <f t="shared" si="198"/>
        <v>0</v>
      </c>
      <c r="G3101" s="9">
        <f t="shared" si="199"/>
        <v>0</v>
      </c>
      <c r="H3101" s="9">
        <f t="shared" si="200"/>
        <v>0</v>
      </c>
      <c r="I3101" s="10">
        <f t="shared" si="201"/>
        <v>0</v>
      </c>
    </row>
    <row r="3102" spans="1:9" x14ac:dyDescent="0.25">
      <c r="A3102" s="11" t="s">
        <v>7990</v>
      </c>
      <c r="B3102" s="11" t="s">
        <v>7991</v>
      </c>
      <c r="C3102" s="11" t="s">
        <v>3231</v>
      </c>
      <c r="D3102" s="4" t="s">
        <v>1406</v>
      </c>
      <c r="E3102" t="s">
        <v>30</v>
      </c>
      <c r="F3102" s="9">
        <f t="shared" si="198"/>
        <v>0</v>
      </c>
      <c r="G3102" s="9">
        <f t="shared" si="199"/>
        <v>0</v>
      </c>
      <c r="H3102" s="9">
        <f t="shared" si="200"/>
        <v>0</v>
      </c>
      <c r="I3102" s="10">
        <f t="shared" si="201"/>
        <v>0</v>
      </c>
    </row>
    <row r="3103" spans="1:9" x14ac:dyDescent="0.25">
      <c r="A3103" s="11" t="s">
        <v>7992</v>
      </c>
      <c r="B3103" s="11" t="s">
        <v>7993</v>
      </c>
      <c r="C3103" s="11" t="s">
        <v>3231</v>
      </c>
      <c r="D3103" s="4" t="s">
        <v>1406</v>
      </c>
      <c r="E3103" t="s">
        <v>30</v>
      </c>
      <c r="F3103" s="9">
        <f t="shared" si="198"/>
        <v>0</v>
      </c>
      <c r="G3103" s="9">
        <f t="shared" si="199"/>
        <v>0</v>
      </c>
      <c r="H3103" s="9">
        <f t="shared" si="200"/>
        <v>0</v>
      </c>
      <c r="I3103" s="10">
        <f t="shared" si="201"/>
        <v>0</v>
      </c>
    </row>
    <row r="3104" spans="1:9" x14ac:dyDescent="0.25">
      <c r="A3104" s="11" t="s">
        <v>7994</v>
      </c>
      <c r="B3104" s="11" t="s">
        <v>7995</v>
      </c>
      <c r="C3104" s="11" t="s">
        <v>3231</v>
      </c>
      <c r="D3104" s="4" t="s">
        <v>1406</v>
      </c>
      <c r="E3104" t="s">
        <v>30</v>
      </c>
      <c r="F3104" s="9">
        <f t="shared" si="198"/>
        <v>0</v>
      </c>
      <c r="G3104" s="9">
        <f t="shared" si="199"/>
        <v>0</v>
      </c>
      <c r="H3104" s="9">
        <f t="shared" si="200"/>
        <v>0</v>
      </c>
      <c r="I3104" s="10">
        <f t="shared" si="201"/>
        <v>0</v>
      </c>
    </row>
    <row r="3105" spans="1:9" x14ac:dyDescent="0.25">
      <c r="A3105" s="11" t="s">
        <v>7996</v>
      </c>
      <c r="B3105" s="11" t="s">
        <v>7997</v>
      </c>
      <c r="C3105" s="11" t="s">
        <v>3231</v>
      </c>
      <c r="D3105" s="4" t="s">
        <v>1406</v>
      </c>
      <c r="E3105" t="s">
        <v>30</v>
      </c>
      <c r="F3105" s="9">
        <f t="shared" si="198"/>
        <v>0</v>
      </c>
      <c r="G3105" s="9">
        <f t="shared" si="199"/>
        <v>0</v>
      </c>
      <c r="H3105" s="9">
        <f t="shared" si="200"/>
        <v>0</v>
      </c>
      <c r="I3105" s="10">
        <f t="shared" si="201"/>
        <v>0</v>
      </c>
    </row>
    <row r="3106" spans="1:9" x14ac:dyDescent="0.25">
      <c r="A3106" s="11" t="s">
        <v>7998</v>
      </c>
      <c r="B3106" s="11" t="s">
        <v>7999</v>
      </c>
      <c r="C3106" s="11" t="s">
        <v>3231</v>
      </c>
      <c r="D3106" s="4" t="s">
        <v>1406</v>
      </c>
      <c r="E3106" t="s">
        <v>30</v>
      </c>
      <c r="F3106" s="9">
        <f t="shared" si="198"/>
        <v>0</v>
      </c>
      <c r="G3106" s="9">
        <f t="shared" si="199"/>
        <v>0</v>
      </c>
      <c r="H3106" s="9">
        <f t="shared" si="200"/>
        <v>0</v>
      </c>
      <c r="I3106" s="10">
        <f t="shared" si="201"/>
        <v>0</v>
      </c>
    </row>
    <row r="3107" spans="1:9" x14ac:dyDescent="0.25">
      <c r="A3107" s="11" t="s">
        <v>8000</v>
      </c>
      <c r="B3107" s="11" t="s">
        <v>8001</v>
      </c>
      <c r="C3107" s="11" t="s">
        <v>3231</v>
      </c>
      <c r="D3107" s="4" t="s">
        <v>1406</v>
      </c>
      <c r="E3107" t="s">
        <v>30</v>
      </c>
      <c r="F3107" s="9">
        <f t="shared" si="198"/>
        <v>0</v>
      </c>
      <c r="G3107" s="9">
        <f t="shared" si="199"/>
        <v>0</v>
      </c>
      <c r="H3107" s="9">
        <f t="shared" si="200"/>
        <v>0</v>
      </c>
      <c r="I3107" s="10">
        <f t="shared" si="201"/>
        <v>0</v>
      </c>
    </row>
    <row r="3108" spans="1:9" x14ac:dyDescent="0.25">
      <c r="A3108" s="11" t="s">
        <v>8002</v>
      </c>
      <c r="B3108" s="11" t="s">
        <v>8003</v>
      </c>
      <c r="C3108" s="11" t="s">
        <v>3231</v>
      </c>
      <c r="D3108" s="4" t="s">
        <v>1406</v>
      </c>
      <c r="E3108" t="s">
        <v>30</v>
      </c>
      <c r="F3108" s="9">
        <f t="shared" si="198"/>
        <v>0</v>
      </c>
      <c r="G3108" s="9">
        <f t="shared" si="199"/>
        <v>0</v>
      </c>
      <c r="H3108" s="9">
        <f t="shared" si="200"/>
        <v>0</v>
      </c>
      <c r="I3108" s="10">
        <f t="shared" si="201"/>
        <v>0</v>
      </c>
    </row>
    <row r="3109" spans="1:9" x14ac:dyDescent="0.25">
      <c r="A3109" s="11" t="s">
        <v>8004</v>
      </c>
      <c r="B3109" s="11" t="s">
        <v>8005</v>
      </c>
      <c r="C3109" s="11" t="s">
        <v>480</v>
      </c>
      <c r="D3109" s="4" t="s">
        <v>1406</v>
      </c>
      <c r="E3109" t="s">
        <v>30</v>
      </c>
      <c r="F3109" s="9">
        <f t="shared" si="198"/>
        <v>0</v>
      </c>
      <c r="G3109" s="9">
        <f t="shared" si="199"/>
        <v>0</v>
      </c>
      <c r="H3109" s="9">
        <f t="shared" si="200"/>
        <v>0</v>
      </c>
      <c r="I3109" s="10">
        <f t="shared" si="201"/>
        <v>0</v>
      </c>
    </row>
    <row r="3110" spans="1:9" x14ac:dyDescent="0.25">
      <c r="A3110" s="11" t="s">
        <v>8006</v>
      </c>
      <c r="B3110" s="11" t="s">
        <v>8007</v>
      </c>
      <c r="C3110" s="11" t="s">
        <v>480</v>
      </c>
      <c r="D3110" s="4" t="s">
        <v>1406</v>
      </c>
      <c r="E3110" t="s">
        <v>489</v>
      </c>
      <c r="F3110" s="9">
        <f t="shared" si="198"/>
        <v>0</v>
      </c>
      <c r="G3110" s="9">
        <f t="shared" si="199"/>
        <v>0</v>
      </c>
      <c r="H3110" s="9">
        <f t="shared" si="200"/>
        <v>0</v>
      </c>
      <c r="I3110" s="10">
        <f t="shared" si="201"/>
        <v>0</v>
      </c>
    </row>
    <row r="3111" spans="1:9" x14ac:dyDescent="0.25">
      <c r="A3111" s="11" t="s">
        <v>8008</v>
      </c>
      <c r="B3111" s="11" t="s">
        <v>8009</v>
      </c>
      <c r="C3111" s="11" t="s">
        <v>480</v>
      </c>
      <c r="D3111" s="4" t="s">
        <v>1406</v>
      </c>
      <c r="E3111" t="s">
        <v>82</v>
      </c>
      <c r="F3111" s="9">
        <f t="shared" si="198"/>
        <v>0</v>
      </c>
      <c r="G3111" s="9">
        <f t="shared" si="199"/>
        <v>0</v>
      </c>
      <c r="H3111" s="9">
        <f t="shared" si="200"/>
        <v>0</v>
      </c>
      <c r="I3111" s="10">
        <f t="shared" si="201"/>
        <v>0</v>
      </c>
    </row>
    <row r="3112" spans="1:9" x14ac:dyDescent="0.25">
      <c r="A3112" s="11" t="s">
        <v>8010</v>
      </c>
      <c r="B3112" s="11" t="s">
        <v>8011</v>
      </c>
      <c r="C3112" s="11" t="s">
        <v>480</v>
      </c>
      <c r="D3112" s="4" t="s">
        <v>1406</v>
      </c>
      <c r="E3112" t="s">
        <v>82</v>
      </c>
      <c r="F3112" s="9">
        <f t="shared" si="198"/>
        <v>0</v>
      </c>
      <c r="G3112" s="9">
        <f t="shared" si="199"/>
        <v>0</v>
      </c>
      <c r="H3112" s="9">
        <f t="shared" si="200"/>
        <v>0</v>
      </c>
      <c r="I3112" s="10">
        <f t="shared" si="201"/>
        <v>0</v>
      </c>
    </row>
    <row r="3113" spans="1:9" x14ac:dyDescent="0.25">
      <c r="A3113" s="11" t="s">
        <v>8012</v>
      </c>
      <c r="B3113" s="11" t="s">
        <v>8013</v>
      </c>
      <c r="C3113" s="11" t="s">
        <v>480</v>
      </c>
      <c r="D3113" s="4" t="s">
        <v>1406</v>
      </c>
      <c r="E3113" t="s">
        <v>82</v>
      </c>
      <c r="F3113" s="9">
        <f t="shared" si="198"/>
        <v>0</v>
      </c>
      <c r="G3113" s="9">
        <f t="shared" si="199"/>
        <v>0</v>
      </c>
      <c r="H3113" s="9">
        <f t="shared" si="200"/>
        <v>0</v>
      </c>
      <c r="I3113" s="10">
        <f t="shared" si="201"/>
        <v>0</v>
      </c>
    </row>
    <row r="3114" spans="1:9" x14ac:dyDescent="0.25">
      <c r="A3114" s="11" t="s">
        <v>8014</v>
      </c>
      <c r="B3114" s="11" t="s">
        <v>8015</v>
      </c>
      <c r="C3114" s="11" t="s">
        <v>480</v>
      </c>
      <c r="D3114" s="4" t="s">
        <v>1406</v>
      </c>
      <c r="E3114" t="s">
        <v>82</v>
      </c>
      <c r="F3114" s="9">
        <f t="shared" si="198"/>
        <v>0</v>
      </c>
      <c r="G3114" s="9">
        <f t="shared" si="199"/>
        <v>0</v>
      </c>
      <c r="H3114" s="9">
        <f t="shared" si="200"/>
        <v>0</v>
      </c>
      <c r="I3114" s="10">
        <f t="shared" si="201"/>
        <v>0</v>
      </c>
    </row>
    <row r="3115" spans="1:9" x14ac:dyDescent="0.25">
      <c r="A3115" s="11" t="s">
        <v>8016</v>
      </c>
      <c r="B3115" s="11" t="s">
        <v>8017</v>
      </c>
      <c r="C3115" s="11" t="s">
        <v>480</v>
      </c>
      <c r="D3115" s="4" t="s">
        <v>1406</v>
      </c>
      <c r="E3115" t="s">
        <v>82</v>
      </c>
      <c r="F3115" s="9">
        <f t="shared" si="198"/>
        <v>0</v>
      </c>
      <c r="G3115" s="9">
        <f t="shared" si="199"/>
        <v>0</v>
      </c>
      <c r="H3115" s="9">
        <f t="shared" si="200"/>
        <v>0</v>
      </c>
      <c r="I3115" s="10">
        <f t="shared" si="201"/>
        <v>0</v>
      </c>
    </row>
    <row r="3116" spans="1:9" x14ac:dyDescent="0.25">
      <c r="A3116" s="11" t="s">
        <v>8018</v>
      </c>
      <c r="B3116" s="11" t="s">
        <v>8019</v>
      </c>
      <c r="C3116" s="11" t="s">
        <v>480</v>
      </c>
      <c r="D3116" s="4" t="s">
        <v>1406</v>
      </c>
      <c r="E3116" t="s">
        <v>82</v>
      </c>
      <c r="F3116" s="9">
        <f t="shared" si="198"/>
        <v>0</v>
      </c>
      <c r="G3116" s="9">
        <f t="shared" si="199"/>
        <v>0</v>
      </c>
      <c r="H3116" s="9">
        <f t="shared" si="200"/>
        <v>0</v>
      </c>
      <c r="I3116" s="10">
        <f t="shared" si="201"/>
        <v>0</v>
      </c>
    </row>
    <row r="3117" spans="1:9" x14ac:dyDescent="0.25">
      <c r="A3117" s="11" t="s">
        <v>8020</v>
      </c>
      <c r="B3117" s="11" t="s">
        <v>8021</v>
      </c>
      <c r="C3117" s="11" t="s">
        <v>480</v>
      </c>
      <c r="D3117" s="4" t="s">
        <v>1406</v>
      </c>
      <c r="E3117" t="s">
        <v>82</v>
      </c>
      <c r="F3117" s="9">
        <f t="shared" si="198"/>
        <v>0</v>
      </c>
      <c r="G3117" s="9">
        <f t="shared" si="199"/>
        <v>0</v>
      </c>
      <c r="H3117" s="9">
        <f t="shared" si="200"/>
        <v>0</v>
      </c>
      <c r="I3117" s="10">
        <f t="shared" si="201"/>
        <v>0</v>
      </c>
    </row>
    <row r="3118" spans="1:9" x14ac:dyDescent="0.25">
      <c r="A3118" s="11" t="s">
        <v>8022</v>
      </c>
      <c r="B3118" s="11" t="s">
        <v>8023</v>
      </c>
      <c r="C3118" s="11" t="s">
        <v>480</v>
      </c>
      <c r="D3118" s="4" t="s">
        <v>1406</v>
      </c>
      <c r="E3118" t="s">
        <v>82</v>
      </c>
      <c r="F3118" s="9">
        <f t="shared" si="198"/>
        <v>0</v>
      </c>
      <c r="G3118" s="9">
        <f t="shared" si="199"/>
        <v>0</v>
      </c>
      <c r="H3118" s="9">
        <f t="shared" si="200"/>
        <v>0</v>
      </c>
      <c r="I3118" s="10">
        <f t="shared" si="201"/>
        <v>0</v>
      </c>
    </row>
    <row r="3119" spans="1:9" x14ac:dyDescent="0.25">
      <c r="A3119" s="11" t="s">
        <v>8024</v>
      </c>
      <c r="B3119" s="11" t="s">
        <v>8025</v>
      </c>
      <c r="C3119" s="11" t="s">
        <v>480</v>
      </c>
      <c r="D3119" s="4" t="s">
        <v>1406</v>
      </c>
      <c r="E3119" t="s">
        <v>82</v>
      </c>
      <c r="F3119" s="9">
        <f t="shared" si="198"/>
        <v>0</v>
      </c>
      <c r="G3119" s="9">
        <f t="shared" si="199"/>
        <v>0</v>
      </c>
      <c r="H3119" s="9">
        <f t="shared" si="200"/>
        <v>0</v>
      </c>
      <c r="I3119" s="10">
        <f t="shared" si="201"/>
        <v>0</v>
      </c>
    </row>
    <row r="3120" spans="1:9" x14ac:dyDescent="0.25">
      <c r="A3120" s="11" t="s">
        <v>8026</v>
      </c>
      <c r="B3120" s="11" t="s">
        <v>8027</v>
      </c>
      <c r="C3120" s="11" t="s">
        <v>480</v>
      </c>
      <c r="D3120" s="4" t="s">
        <v>1406</v>
      </c>
      <c r="E3120" t="s">
        <v>82</v>
      </c>
      <c r="F3120" s="9">
        <f t="shared" si="198"/>
        <v>0</v>
      </c>
      <c r="G3120" s="9">
        <f t="shared" si="199"/>
        <v>0</v>
      </c>
      <c r="H3120" s="9">
        <f t="shared" si="200"/>
        <v>0</v>
      </c>
      <c r="I3120" s="10">
        <f t="shared" si="201"/>
        <v>0</v>
      </c>
    </row>
    <row r="3121" spans="1:9" x14ac:dyDescent="0.25">
      <c r="A3121" s="11" t="s">
        <v>8028</v>
      </c>
      <c r="B3121" s="11" t="s">
        <v>492</v>
      </c>
      <c r="C3121" s="11" t="s">
        <v>480</v>
      </c>
      <c r="D3121" s="4" t="s">
        <v>1406</v>
      </c>
      <c r="E3121" t="s">
        <v>82</v>
      </c>
      <c r="F3121" s="9">
        <f t="shared" si="198"/>
        <v>0</v>
      </c>
      <c r="G3121" s="9">
        <f t="shared" si="199"/>
        <v>0</v>
      </c>
      <c r="H3121" s="9">
        <f t="shared" si="200"/>
        <v>0</v>
      </c>
      <c r="I3121" s="10">
        <f t="shared" si="201"/>
        <v>0</v>
      </c>
    </row>
    <row r="3122" spans="1:9" x14ac:dyDescent="0.25">
      <c r="A3122" s="11" t="s">
        <v>8029</v>
      </c>
      <c r="B3122" s="11" t="s">
        <v>8030</v>
      </c>
      <c r="C3122" s="11" t="s">
        <v>480</v>
      </c>
      <c r="D3122" s="4" t="s">
        <v>1406</v>
      </c>
      <c r="E3122" t="s">
        <v>30</v>
      </c>
      <c r="F3122" s="9">
        <f t="shared" si="198"/>
        <v>0</v>
      </c>
      <c r="G3122" s="9">
        <f t="shared" si="199"/>
        <v>0</v>
      </c>
      <c r="H3122" s="9">
        <f t="shared" si="200"/>
        <v>0</v>
      </c>
      <c r="I3122" s="10">
        <f t="shared" si="201"/>
        <v>0</v>
      </c>
    </row>
    <row r="3123" spans="1:9" x14ac:dyDescent="0.25">
      <c r="A3123" s="11" t="s">
        <v>8031</v>
      </c>
      <c r="B3123" s="11" t="s">
        <v>8032</v>
      </c>
      <c r="C3123" s="11" t="s">
        <v>480</v>
      </c>
      <c r="D3123" s="4" t="s">
        <v>1406</v>
      </c>
      <c r="E3123" t="s">
        <v>489</v>
      </c>
      <c r="F3123" s="9">
        <f t="shared" si="198"/>
        <v>0</v>
      </c>
      <c r="G3123" s="9">
        <f t="shared" si="199"/>
        <v>0</v>
      </c>
      <c r="H3123" s="9">
        <f t="shared" si="200"/>
        <v>0</v>
      </c>
      <c r="I3123" s="10">
        <f t="shared" si="201"/>
        <v>0</v>
      </c>
    </row>
    <row r="3124" spans="1:9" x14ac:dyDescent="0.25">
      <c r="A3124" s="11" t="s">
        <v>8033</v>
      </c>
      <c r="B3124" s="11" t="s">
        <v>8034</v>
      </c>
      <c r="C3124" s="11" t="s">
        <v>480</v>
      </c>
      <c r="D3124" s="4" t="s">
        <v>1406</v>
      </c>
      <c r="E3124" t="s">
        <v>82</v>
      </c>
      <c r="F3124" s="9">
        <f t="shared" si="198"/>
        <v>0</v>
      </c>
      <c r="G3124" s="9">
        <f t="shared" si="199"/>
        <v>0</v>
      </c>
      <c r="H3124" s="9">
        <f t="shared" si="200"/>
        <v>0</v>
      </c>
      <c r="I3124" s="10">
        <f t="shared" si="201"/>
        <v>0</v>
      </c>
    </row>
    <row r="3125" spans="1:9" x14ac:dyDescent="0.25">
      <c r="A3125" s="11" t="s">
        <v>8035</v>
      </c>
      <c r="B3125" s="11" t="s">
        <v>8036</v>
      </c>
      <c r="C3125" s="11" t="s">
        <v>480</v>
      </c>
      <c r="D3125" s="4" t="s">
        <v>1406</v>
      </c>
      <c r="E3125" t="s">
        <v>82</v>
      </c>
      <c r="F3125" s="9">
        <f t="shared" si="198"/>
        <v>0</v>
      </c>
      <c r="G3125" s="9">
        <f t="shared" si="199"/>
        <v>0</v>
      </c>
      <c r="H3125" s="9">
        <f t="shared" si="200"/>
        <v>0</v>
      </c>
      <c r="I3125" s="10">
        <f t="shared" si="201"/>
        <v>0</v>
      </c>
    </row>
    <row r="3126" spans="1:9" x14ac:dyDescent="0.25">
      <c r="A3126" s="11" t="s">
        <v>8037</v>
      </c>
      <c r="B3126" s="11" t="s">
        <v>8038</v>
      </c>
      <c r="C3126" s="11" t="s">
        <v>3330</v>
      </c>
      <c r="D3126" s="4" t="s">
        <v>1406</v>
      </c>
      <c r="E3126" t="s">
        <v>30</v>
      </c>
      <c r="F3126" s="9">
        <f t="shared" si="198"/>
        <v>0</v>
      </c>
      <c r="G3126" s="9">
        <f t="shared" si="199"/>
        <v>0</v>
      </c>
      <c r="H3126" s="9">
        <f t="shared" si="200"/>
        <v>0</v>
      </c>
      <c r="I3126" s="10">
        <f t="shared" si="201"/>
        <v>0</v>
      </c>
    </row>
    <row r="3127" spans="1:9" x14ac:dyDescent="0.25">
      <c r="A3127" s="11" t="s">
        <v>8039</v>
      </c>
      <c r="B3127" s="11" t="s">
        <v>8040</v>
      </c>
      <c r="C3127" s="11" t="s">
        <v>3330</v>
      </c>
      <c r="D3127" s="4" t="s">
        <v>1406</v>
      </c>
      <c r="E3127" t="s">
        <v>30</v>
      </c>
      <c r="F3127" s="9">
        <f t="shared" si="198"/>
        <v>0</v>
      </c>
      <c r="G3127" s="9">
        <f t="shared" si="199"/>
        <v>0</v>
      </c>
      <c r="H3127" s="9">
        <f t="shared" si="200"/>
        <v>0</v>
      </c>
      <c r="I3127" s="10">
        <f t="shared" si="201"/>
        <v>0</v>
      </c>
    </row>
    <row r="3128" spans="1:9" x14ac:dyDescent="0.25">
      <c r="A3128" s="11" t="s">
        <v>8041</v>
      </c>
      <c r="B3128" s="11" t="s">
        <v>8042</v>
      </c>
      <c r="C3128" s="11" t="s">
        <v>3330</v>
      </c>
      <c r="D3128" s="4" t="s">
        <v>1406</v>
      </c>
      <c r="E3128" t="s">
        <v>30</v>
      </c>
      <c r="F3128" s="9">
        <f t="shared" si="198"/>
        <v>0</v>
      </c>
      <c r="G3128" s="9">
        <f t="shared" si="199"/>
        <v>0</v>
      </c>
      <c r="H3128" s="9">
        <f t="shared" si="200"/>
        <v>0</v>
      </c>
      <c r="I3128" s="10">
        <f t="shared" si="201"/>
        <v>0</v>
      </c>
    </row>
    <row r="3129" spans="1:9" x14ac:dyDescent="0.25">
      <c r="A3129" s="11" t="s">
        <v>8043</v>
      </c>
      <c r="B3129" s="11" t="s">
        <v>8044</v>
      </c>
      <c r="C3129" s="11" t="s">
        <v>2241</v>
      </c>
      <c r="D3129" s="4" t="s">
        <v>1406</v>
      </c>
      <c r="E3129" t="s">
        <v>30</v>
      </c>
      <c r="F3129" s="9">
        <f t="shared" si="198"/>
        <v>0</v>
      </c>
      <c r="G3129" s="9">
        <f t="shared" si="199"/>
        <v>0</v>
      </c>
      <c r="H3129" s="9">
        <f t="shared" si="200"/>
        <v>0</v>
      </c>
      <c r="I3129" s="10">
        <f t="shared" si="201"/>
        <v>0</v>
      </c>
    </row>
    <row r="3130" spans="1:9" x14ac:dyDescent="0.25">
      <c r="A3130" s="11" t="s">
        <v>8045</v>
      </c>
      <c r="B3130" s="11" t="s">
        <v>8046</v>
      </c>
      <c r="C3130" s="11" t="s">
        <v>2241</v>
      </c>
      <c r="D3130" s="4" t="s">
        <v>1406</v>
      </c>
      <c r="E3130" t="s">
        <v>30</v>
      </c>
      <c r="F3130" s="9">
        <f t="shared" si="198"/>
        <v>0</v>
      </c>
      <c r="G3130" s="9">
        <f t="shared" si="199"/>
        <v>0</v>
      </c>
      <c r="H3130" s="9">
        <f t="shared" si="200"/>
        <v>0</v>
      </c>
      <c r="I3130" s="10">
        <f t="shared" si="201"/>
        <v>0</v>
      </c>
    </row>
    <row r="3131" spans="1:9" x14ac:dyDescent="0.25">
      <c r="A3131" s="11" t="s">
        <v>8047</v>
      </c>
      <c r="B3131" s="11" t="s">
        <v>8048</v>
      </c>
      <c r="C3131" s="11" t="s">
        <v>2241</v>
      </c>
      <c r="D3131" s="4" t="s">
        <v>1406</v>
      </c>
      <c r="E3131" t="s">
        <v>30</v>
      </c>
      <c r="F3131" s="9">
        <f t="shared" si="198"/>
        <v>0</v>
      </c>
      <c r="G3131" s="9">
        <f t="shared" si="199"/>
        <v>0</v>
      </c>
      <c r="H3131" s="9">
        <f t="shared" si="200"/>
        <v>0</v>
      </c>
      <c r="I3131" s="10">
        <f t="shared" si="201"/>
        <v>0</v>
      </c>
    </row>
    <row r="3132" spans="1:9" x14ac:dyDescent="0.25">
      <c r="A3132" s="11" t="s">
        <v>8049</v>
      </c>
      <c r="B3132" s="11" t="s">
        <v>8050</v>
      </c>
      <c r="C3132" s="11" t="s">
        <v>2241</v>
      </c>
      <c r="D3132" s="4" t="s">
        <v>1406</v>
      </c>
      <c r="E3132" t="s">
        <v>30</v>
      </c>
      <c r="F3132" s="9">
        <f t="shared" si="198"/>
        <v>0</v>
      </c>
      <c r="G3132" s="9">
        <f t="shared" si="199"/>
        <v>0</v>
      </c>
      <c r="H3132" s="9">
        <f t="shared" si="200"/>
        <v>0</v>
      </c>
      <c r="I3132" s="10">
        <f t="shared" si="201"/>
        <v>0</v>
      </c>
    </row>
    <row r="3133" spans="1:9" x14ac:dyDescent="0.25">
      <c r="A3133" s="11" t="s">
        <v>8051</v>
      </c>
      <c r="B3133" s="11" t="s">
        <v>8052</v>
      </c>
      <c r="C3133" s="11" t="s">
        <v>2241</v>
      </c>
      <c r="D3133" s="4" t="s">
        <v>1406</v>
      </c>
      <c r="E3133" t="s">
        <v>30</v>
      </c>
      <c r="F3133" s="9">
        <f t="shared" si="198"/>
        <v>0</v>
      </c>
      <c r="G3133" s="9">
        <f t="shared" si="199"/>
        <v>0</v>
      </c>
      <c r="H3133" s="9">
        <f t="shared" si="200"/>
        <v>0</v>
      </c>
      <c r="I3133" s="10">
        <f t="shared" si="201"/>
        <v>0</v>
      </c>
    </row>
    <row r="3134" spans="1:9" x14ac:dyDescent="0.25">
      <c r="A3134" s="11" t="s">
        <v>8053</v>
      </c>
      <c r="B3134" s="11" t="s">
        <v>8054</v>
      </c>
      <c r="C3134" s="11" t="s">
        <v>2241</v>
      </c>
      <c r="D3134" s="4" t="s">
        <v>1406</v>
      </c>
      <c r="E3134" t="s">
        <v>30</v>
      </c>
      <c r="F3134" s="9">
        <f t="shared" si="198"/>
        <v>0</v>
      </c>
      <c r="G3134" s="9">
        <f t="shared" si="199"/>
        <v>0</v>
      </c>
      <c r="H3134" s="9">
        <f t="shared" si="200"/>
        <v>0</v>
      </c>
      <c r="I3134" s="10">
        <f t="shared" si="201"/>
        <v>0</v>
      </c>
    </row>
    <row r="3135" spans="1:9" x14ac:dyDescent="0.25">
      <c r="A3135" s="11" t="s">
        <v>8055</v>
      </c>
      <c r="B3135" s="11" t="s">
        <v>8056</v>
      </c>
      <c r="C3135" s="11" t="s">
        <v>2241</v>
      </c>
      <c r="D3135" s="4" t="s">
        <v>1406</v>
      </c>
      <c r="E3135" t="s">
        <v>30</v>
      </c>
      <c r="F3135" s="9">
        <f t="shared" si="198"/>
        <v>0</v>
      </c>
      <c r="G3135" s="9">
        <f t="shared" si="199"/>
        <v>0</v>
      </c>
      <c r="H3135" s="9">
        <f t="shared" si="200"/>
        <v>0</v>
      </c>
      <c r="I3135" s="10">
        <f t="shared" si="201"/>
        <v>0</v>
      </c>
    </row>
    <row r="3136" spans="1:9" x14ac:dyDescent="0.25">
      <c r="A3136" s="11" t="s">
        <v>8057</v>
      </c>
      <c r="B3136" s="11" t="s">
        <v>8058</v>
      </c>
      <c r="C3136" s="11" t="s">
        <v>2241</v>
      </c>
      <c r="D3136" s="4" t="s">
        <v>1406</v>
      </c>
      <c r="E3136" t="s">
        <v>30</v>
      </c>
      <c r="F3136" s="9">
        <f t="shared" si="198"/>
        <v>0</v>
      </c>
      <c r="G3136" s="9">
        <f t="shared" si="199"/>
        <v>0</v>
      </c>
      <c r="H3136" s="9">
        <f t="shared" si="200"/>
        <v>0</v>
      </c>
      <c r="I3136" s="10">
        <f t="shared" si="201"/>
        <v>0</v>
      </c>
    </row>
    <row r="3137" spans="1:9" x14ac:dyDescent="0.25">
      <c r="A3137" s="11" t="s">
        <v>8059</v>
      </c>
      <c r="B3137" s="11" t="s">
        <v>8060</v>
      </c>
      <c r="C3137" s="11" t="s">
        <v>2241</v>
      </c>
      <c r="D3137" s="4" t="s">
        <v>1406</v>
      </c>
      <c r="E3137" t="s">
        <v>30</v>
      </c>
      <c r="F3137" s="9">
        <f t="shared" si="198"/>
        <v>0</v>
      </c>
      <c r="G3137" s="9">
        <f t="shared" si="199"/>
        <v>0</v>
      </c>
      <c r="H3137" s="9">
        <f t="shared" si="200"/>
        <v>0</v>
      </c>
      <c r="I3137" s="10">
        <f t="shared" si="201"/>
        <v>0</v>
      </c>
    </row>
    <row r="3138" spans="1:9" x14ac:dyDescent="0.25">
      <c r="A3138" s="11" t="s">
        <v>8061</v>
      </c>
      <c r="B3138" s="11" t="s">
        <v>8062</v>
      </c>
      <c r="C3138" s="11" t="s">
        <v>2241</v>
      </c>
      <c r="D3138" s="4" t="s">
        <v>1406</v>
      </c>
      <c r="E3138" t="s">
        <v>30</v>
      </c>
      <c r="F3138" s="9">
        <f t="shared" si="198"/>
        <v>0</v>
      </c>
      <c r="G3138" s="9">
        <f t="shared" si="199"/>
        <v>0</v>
      </c>
      <c r="H3138" s="9">
        <f t="shared" si="200"/>
        <v>0</v>
      </c>
      <c r="I3138" s="10">
        <f t="shared" si="201"/>
        <v>0</v>
      </c>
    </row>
    <row r="3139" spans="1:9" x14ac:dyDescent="0.25">
      <c r="A3139" s="11" t="s">
        <v>8063</v>
      </c>
      <c r="B3139" s="11" t="s">
        <v>8064</v>
      </c>
      <c r="C3139" s="11" t="s">
        <v>1069</v>
      </c>
      <c r="D3139" s="4" t="s">
        <v>1406</v>
      </c>
      <c r="E3139" t="s">
        <v>30</v>
      </c>
      <c r="F3139" s="9">
        <f t="shared" si="198"/>
        <v>0</v>
      </c>
      <c r="G3139" s="9">
        <f t="shared" si="199"/>
        <v>0</v>
      </c>
      <c r="H3139" s="9">
        <f t="shared" si="200"/>
        <v>0</v>
      </c>
      <c r="I3139" s="10">
        <f t="shared" si="201"/>
        <v>0</v>
      </c>
    </row>
    <row r="3140" spans="1:9" x14ac:dyDescent="0.25">
      <c r="A3140" s="11" t="s">
        <v>8065</v>
      </c>
      <c r="B3140" s="11" t="s">
        <v>8066</v>
      </c>
      <c r="C3140" s="11" t="s">
        <v>1069</v>
      </c>
      <c r="D3140" s="4" t="s">
        <v>1406</v>
      </c>
      <c r="E3140" t="s">
        <v>30</v>
      </c>
      <c r="F3140" s="9">
        <f t="shared" ref="F3140:F3203" si="202">IFERROR(VLOOKUP(A3140,condi,8,0),0)</f>
        <v>0</v>
      </c>
      <c r="G3140" s="9">
        <f t="shared" ref="G3140:G3203" si="203">IFERROR(VLOOKUP(A3140,maqui,8,0),0)</f>
        <v>12</v>
      </c>
      <c r="H3140" s="9">
        <f t="shared" ref="H3140:H3203" si="204">IFERROR(VLOOKUP(A3140,ascint,8,0),0)</f>
        <v>0</v>
      </c>
      <c r="I3140" s="10">
        <f t="shared" ref="I3140:I3203" si="205">+F3140+G3140+H3140</f>
        <v>12</v>
      </c>
    </row>
    <row r="3141" spans="1:9" x14ac:dyDescent="0.25">
      <c r="A3141" s="11" t="s">
        <v>8067</v>
      </c>
      <c r="B3141" s="11" t="s">
        <v>8068</v>
      </c>
      <c r="C3141" s="11" t="s">
        <v>1069</v>
      </c>
      <c r="D3141" s="4" t="s">
        <v>1406</v>
      </c>
      <c r="E3141" t="s">
        <v>30</v>
      </c>
      <c r="F3141" s="9">
        <f t="shared" si="202"/>
        <v>0</v>
      </c>
      <c r="G3141" s="9">
        <f t="shared" si="203"/>
        <v>0</v>
      </c>
      <c r="H3141" s="9">
        <f t="shared" si="204"/>
        <v>0</v>
      </c>
      <c r="I3141" s="10">
        <f t="shared" si="205"/>
        <v>0</v>
      </c>
    </row>
    <row r="3142" spans="1:9" x14ac:dyDescent="0.25">
      <c r="A3142" s="11" t="s">
        <v>8069</v>
      </c>
      <c r="B3142" s="11" t="s">
        <v>8070</v>
      </c>
      <c r="C3142" s="11" t="s">
        <v>1069</v>
      </c>
      <c r="D3142" s="4" t="s">
        <v>1406</v>
      </c>
      <c r="E3142" t="s">
        <v>30</v>
      </c>
      <c r="F3142" s="9">
        <f t="shared" si="202"/>
        <v>0</v>
      </c>
      <c r="G3142" s="9">
        <f t="shared" si="203"/>
        <v>0</v>
      </c>
      <c r="H3142" s="9">
        <f t="shared" si="204"/>
        <v>0</v>
      </c>
      <c r="I3142" s="10">
        <f t="shared" si="205"/>
        <v>0</v>
      </c>
    </row>
    <row r="3143" spans="1:9" x14ac:dyDescent="0.25">
      <c r="A3143" s="11" t="s">
        <v>8071</v>
      </c>
      <c r="B3143" s="11" t="s">
        <v>8072</v>
      </c>
      <c r="C3143" s="11" t="s">
        <v>1069</v>
      </c>
      <c r="D3143" s="4" t="s">
        <v>1406</v>
      </c>
      <c r="E3143" t="s">
        <v>30</v>
      </c>
      <c r="F3143" s="9">
        <f t="shared" si="202"/>
        <v>0</v>
      </c>
      <c r="G3143" s="9">
        <f t="shared" si="203"/>
        <v>0</v>
      </c>
      <c r="H3143" s="9">
        <f t="shared" si="204"/>
        <v>0</v>
      </c>
      <c r="I3143" s="10">
        <f t="shared" si="205"/>
        <v>0</v>
      </c>
    </row>
    <row r="3144" spans="1:9" x14ac:dyDescent="0.25">
      <c r="A3144" s="11" t="s">
        <v>8073</v>
      </c>
      <c r="B3144" s="11" t="s">
        <v>8074</v>
      </c>
      <c r="C3144" s="11" t="s">
        <v>1069</v>
      </c>
      <c r="D3144" s="4" t="s">
        <v>1406</v>
      </c>
      <c r="E3144" t="s">
        <v>30</v>
      </c>
      <c r="F3144" s="9">
        <f t="shared" si="202"/>
        <v>0</v>
      </c>
      <c r="G3144" s="9">
        <f t="shared" si="203"/>
        <v>0</v>
      </c>
      <c r="H3144" s="9">
        <f t="shared" si="204"/>
        <v>0</v>
      </c>
      <c r="I3144" s="10">
        <f t="shared" si="205"/>
        <v>0</v>
      </c>
    </row>
    <row r="3145" spans="1:9" x14ac:dyDescent="0.25">
      <c r="A3145" s="11" t="s">
        <v>8075</v>
      </c>
      <c r="B3145" s="11" t="s">
        <v>8076</v>
      </c>
      <c r="C3145" s="11" t="s">
        <v>1069</v>
      </c>
      <c r="D3145" s="4" t="s">
        <v>1406</v>
      </c>
      <c r="E3145" t="s">
        <v>30</v>
      </c>
      <c r="F3145" s="9">
        <f t="shared" si="202"/>
        <v>0</v>
      </c>
      <c r="G3145" s="9">
        <f t="shared" si="203"/>
        <v>0</v>
      </c>
      <c r="H3145" s="9">
        <f t="shared" si="204"/>
        <v>0</v>
      </c>
      <c r="I3145" s="10">
        <f t="shared" si="205"/>
        <v>0</v>
      </c>
    </row>
    <row r="3146" spans="1:9" x14ac:dyDescent="0.25">
      <c r="A3146" s="11" t="s">
        <v>8077</v>
      </c>
      <c r="B3146" s="11" t="s">
        <v>8078</v>
      </c>
      <c r="C3146" s="11" t="s">
        <v>1069</v>
      </c>
      <c r="D3146" s="4" t="s">
        <v>1406</v>
      </c>
      <c r="E3146" t="s">
        <v>30</v>
      </c>
      <c r="F3146" s="9">
        <f t="shared" si="202"/>
        <v>0</v>
      </c>
      <c r="G3146" s="9">
        <f t="shared" si="203"/>
        <v>0</v>
      </c>
      <c r="H3146" s="9">
        <f t="shared" si="204"/>
        <v>0</v>
      </c>
      <c r="I3146" s="10">
        <f t="shared" si="205"/>
        <v>0</v>
      </c>
    </row>
    <row r="3147" spans="1:9" x14ac:dyDescent="0.25">
      <c r="A3147" s="11" t="s">
        <v>8079</v>
      </c>
      <c r="B3147" s="11" t="s">
        <v>8080</v>
      </c>
      <c r="C3147" s="11" t="s">
        <v>1069</v>
      </c>
      <c r="D3147" s="4" t="s">
        <v>1406</v>
      </c>
      <c r="E3147" t="s">
        <v>30</v>
      </c>
      <c r="F3147" s="9">
        <f t="shared" si="202"/>
        <v>0</v>
      </c>
      <c r="G3147" s="9">
        <f t="shared" si="203"/>
        <v>0</v>
      </c>
      <c r="H3147" s="9">
        <f t="shared" si="204"/>
        <v>0</v>
      </c>
      <c r="I3147" s="10">
        <f t="shared" si="205"/>
        <v>0</v>
      </c>
    </row>
    <row r="3148" spans="1:9" x14ac:dyDescent="0.25">
      <c r="A3148" s="11" t="s">
        <v>8081</v>
      </c>
      <c r="B3148" s="11" t="s">
        <v>8082</v>
      </c>
      <c r="C3148" s="11" t="s">
        <v>1069</v>
      </c>
      <c r="D3148" s="4" t="s">
        <v>1406</v>
      </c>
      <c r="E3148" t="s">
        <v>30</v>
      </c>
      <c r="F3148" s="9">
        <f t="shared" si="202"/>
        <v>0</v>
      </c>
      <c r="G3148" s="9">
        <f t="shared" si="203"/>
        <v>0</v>
      </c>
      <c r="H3148" s="9">
        <f t="shared" si="204"/>
        <v>0</v>
      </c>
      <c r="I3148" s="10">
        <f t="shared" si="205"/>
        <v>0</v>
      </c>
    </row>
    <row r="3149" spans="1:9" x14ac:dyDescent="0.25">
      <c r="A3149" s="11" t="s">
        <v>8083</v>
      </c>
      <c r="B3149" s="11" t="s">
        <v>8084</v>
      </c>
      <c r="C3149" s="11" t="s">
        <v>1069</v>
      </c>
      <c r="D3149" s="4" t="s">
        <v>1406</v>
      </c>
      <c r="E3149" t="s">
        <v>30</v>
      </c>
      <c r="F3149" s="9">
        <f t="shared" si="202"/>
        <v>0</v>
      </c>
      <c r="G3149" s="9">
        <f t="shared" si="203"/>
        <v>0</v>
      </c>
      <c r="H3149" s="9">
        <f t="shared" si="204"/>
        <v>0</v>
      </c>
      <c r="I3149" s="10">
        <f t="shared" si="205"/>
        <v>0</v>
      </c>
    </row>
    <row r="3150" spans="1:9" x14ac:dyDescent="0.25">
      <c r="A3150" s="11" t="s">
        <v>8085</v>
      </c>
      <c r="B3150" s="11" t="s">
        <v>8086</v>
      </c>
      <c r="C3150" s="11" t="s">
        <v>1069</v>
      </c>
      <c r="D3150" s="4" t="s">
        <v>1406</v>
      </c>
      <c r="E3150" t="s">
        <v>30</v>
      </c>
      <c r="F3150" s="9">
        <f t="shared" si="202"/>
        <v>0</v>
      </c>
      <c r="G3150" s="9">
        <f t="shared" si="203"/>
        <v>0</v>
      </c>
      <c r="H3150" s="9">
        <f t="shared" si="204"/>
        <v>0</v>
      </c>
      <c r="I3150" s="10">
        <f t="shared" si="205"/>
        <v>0</v>
      </c>
    </row>
    <row r="3151" spans="1:9" x14ac:dyDescent="0.25">
      <c r="A3151" s="11" t="s">
        <v>8087</v>
      </c>
      <c r="B3151" s="11" t="s">
        <v>8088</v>
      </c>
      <c r="C3151" s="11" t="s">
        <v>1069</v>
      </c>
      <c r="D3151" s="4" t="s">
        <v>1406</v>
      </c>
      <c r="E3151" t="s">
        <v>30</v>
      </c>
      <c r="F3151" s="9">
        <f t="shared" si="202"/>
        <v>0</v>
      </c>
      <c r="G3151" s="9">
        <f t="shared" si="203"/>
        <v>0</v>
      </c>
      <c r="H3151" s="9">
        <f t="shared" si="204"/>
        <v>0</v>
      </c>
      <c r="I3151" s="10">
        <f t="shared" si="205"/>
        <v>0</v>
      </c>
    </row>
    <row r="3152" spans="1:9" x14ac:dyDescent="0.25">
      <c r="A3152" s="11" t="s">
        <v>8089</v>
      </c>
      <c r="B3152" s="11" t="s">
        <v>8090</v>
      </c>
      <c r="C3152" s="11" t="s">
        <v>1069</v>
      </c>
      <c r="D3152" s="4" t="s">
        <v>1406</v>
      </c>
      <c r="E3152" t="s">
        <v>30</v>
      </c>
      <c r="F3152" s="9">
        <f t="shared" si="202"/>
        <v>0</v>
      </c>
      <c r="G3152" s="9">
        <f t="shared" si="203"/>
        <v>0</v>
      </c>
      <c r="H3152" s="9">
        <f t="shared" si="204"/>
        <v>0</v>
      </c>
      <c r="I3152" s="10">
        <f t="shared" si="205"/>
        <v>0</v>
      </c>
    </row>
    <row r="3153" spans="1:9" x14ac:dyDescent="0.25">
      <c r="A3153" s="11" t="s">
        <v>8091</v>
      </c>
      <c r="B3153" s="11" t="s">
        <v>8092</v>
      </c>
      <c r="C3153" s="11" t="s">
        <v>1069</v>
      </c>
      <c r="D3153" s="4" t="s">
        <v>1406</v>
      </c>
      <c r="E3153" t="s">
        <v>30</v>
      </c>
      <c r="F3153" s="9">
        <f t="shared" si="202"/>
        <v>0</v>
      </c>
      <c r="G3153" s="9">
        <f t="shared" si="203"/>
        <v>0</v>
      </c>
      <c r="H3153" s="9">
        <f t="shared" si="204"/>
        <v>0</v>
      </c>
      <c r="I3153" s="10">
        <f t="shared" si="205"/>
        <v>0</v>
      </c>
    </row>
    <row r="3154" spans="1:9" x14ac:dyDescent="0.25">
      <c r="A3154" s="11" t="s">
        <v>8093</v>
      </c>
      <c r="B3154" s="11" t="s">
        <v>8094</v>
      </c>
      <c r="C3154" s="11" t="s">
        <v>1069</v>
      </c>
      <c r="D3154" s="4" t="s">
        <v>1406</v>
      </c>
      <c r="E3154" t="s">
        <v>30</v>
      </c>
      <c r="F3154" s="9">
        <f t="shared" si="202"/>
        <v>0</v>
      </c>
      <c r="G3154" s="9">
        <f t="shared" si="203"/>
        <v>0</v>
      </c>
      <c r="H3154" s="9">
        <f t="shared" si="204"/>
        <v>0</v>
      </c>
      <c r="I3154" s="10">
        <f t="shared" si="205"/>
        <v>0</v>
      </c>
    </row>
    <row r="3155" spans="1:9" x14ac:dyDescent="0.25">
      <c r="A3155" s="11" t="s">
        <v>8095</v>
      </c>
      <c r="B3155" s="11" t="s">
        <v>8096</v>
      </c>
      <c r="C3155" s="11" t="s">
        <v>1069</v>
      </c>
      <c r="D3155" s="4" t="s">
        <v>1406</v>
      </c>
      <c r="E3155" t="s">
        <v>30</v>
      </c>
      <c r="F3155" s="9">
        <f t="shared" si="202"/>
        <v>0</v>
      </c>
      <c r="G3155" s="9">
        <f t="shared" si="203"/>
        <v>0</v>
      </c>
      <c r="H3155" s="9">
        <f t="shared" si="204"/>
        <v>0</v>
      </c>
      <c r="I3155" s="10">
        <f t="shared" si="205"/>
        <v>0</v>
      </c>
    </row>
    <row r="3156" spans="1:9" x14ac:dyDescent="0.25">
      <c r="A3156" s="11" t="s">
        <v>8097</v>
      </c>
      <c r="B3156" s="11" t="s">
        <v>8098</v>
      </c>
      <c r="C3156" s="11" t="s">
        <v>1069</v>
      </c>
      <c r="D3156" s="4" t="s">
        <v>1406</v>
      </c>
      <c r="E3156" t="s">
        <v>30</v>
      </c>
      <c r="F3156" s="9">
        <f t="shared" si="202"/>
        <v>0</v>
      </c>
      <c r="G3156" s="9">
        <f t="shared" si="203"/>
        <v>0</v>
      </c>
      <c r="H3156" s="9">
        <f t="shared" si="204"/>
        <v>0</v>
      </c>
      <c r="I3156" s="10">
        <f t="shared" si="205"/>
        <v>0</v>
      </c>
    </row>
    <row r="3157" spans="1:9" x14ac:dyDescent="0.25">
      <c r="A3157" s="11" t="s">
        <v>8099</v>
      </c>
      <c r="B3157" s="11" t="s">
        <v>1194</v>
      </c>
      <c r="C3157" s="11" t="s">
        <v>1069</v>
      </c>
      <c r="D3157" s="4" t="s">
        <v>1406</v>
      </c>
      <c r="E3157" t="s">
        <v>30</v>
      </c>
      <c r="F3157" s="9">
        <f t="shared" si="202"/>
        <v>0</v>
      </c>
      <c r="G3157" s="9">
        <f t="shared" si="203"/>
        <v>0</v>
      </c>
      <c r="H3157" s="9">
        <f t="shared" si="204"/>
        <v>0</v>
      </c>
      <c r="I3157" s="10">
        <f t="shared" si="205"/>
        <v>0</v>
      </c>
    </row>
    <row r="3158" spans="1:9" x14ac:dyDescent="0.25">
      <c r="A3158" s="11" t="s">
        <v>8100</v>
      </c>
      <c r="B3158" s="11" t="s">
        <v>8101</v>
      </c>
      <c r="C3158" s="11" t="s">
        <v>1069</v>
      </c>
      <c r="D3158" s="4" t="s">
        <v>1406</v>
      </c>
      <c r="E3158" t="s">
        <v>30</v>
      </c>
      <c r="F3158" s="9">
        <f t="shared" si="202"/>
        <v>0</v>
      </c>
      <c r="G3158" s="9">
        <f t="shared" si="203"/>
        <v>0</v>
      </c>
      <c r="H3158" s="9">
        <f t="shared" si="204"/>
        <v>0</v>
      </c>
      <c r="I3158" s="10">
        <f t="shared" si="205"/>
        <v>0</v>
      </c>
    </row>
    <row r="3159" spans="1:9" x14ac:dyDescent="0.25">
      <c r="A3159" s="11" t="s">
        <v>8102</v>
      </c>
      <c r="B3159" s="11" t="s">
        <v>8103</v>
      </c>
      <c r="C3159" s="11" t="s">
        <v>1069</v>
      </c>
      <c r="D3159" s="4" t="s">
        <v>1406</v>
      </c>
      <c r="E3159" t="s">
        <v>30</v>
      </c>
      <c r="F3159" s="9">
        <f t="shared" si="202"/>
        <v>0</v>
      </c>
      <c r="G3159" s="9">
        <f t="shared" si="203"/>
        <v>0</v>
      </c>
      <c r="H3159" s="9">
        <f t="shared" si="204"/>
        <v>0</v>
      </c>
      <c r="I3159" s="10">
        <f t="shared" si="205"/>
        <v>0</v>
      </c>
    </row>
    <row r="3160" spans="1:9" x14ac:dyDescent="0.25">
      <c r="A3160" s="11" t="s">
        <v>8104</v>
      </c>
      <c r="B3160" s="11" t="s">
        <v>8105</v>
      </c>
      <c r="C3160" s="11" t="s">
        <v>1069</v>
      </c>
      <c r="D3160" s="4" t="s">
        <v>1406</v>
      </c>
      <c r="E3160" t="s">
        <v>30</v>
      </c>
      <c r="F3160" s="9">
        <f t="shared" si="202"/>
        <v>0</v>
      </c>
      <c r="G3160" s="9">
        <f t="shared" si="203"/>
        <v>0</v>
      </c>
      <c r="H3160" s="9">
        <f t="shared" si="204"/>
        <v>0</v>
      </c>
      <c r="I3160" s="10">
        <f t="shared" si="205"/>
        <v>0</v>
      </c>
    </row>
    <row r="3161" spans="1:9" x14ac:dyDescent="0.25">
      <c r="A3161" s="11" t="s">
        <v>8106</v>
      </c>
      <c r="B3161" s="11" t="s">
        <v>2367</v>
      </c>
      <c r="C3161" s="11" t="s">
        <v>1069</v>
      </c>
      <c r="D3161" s="4" t="s">
        <v>1406</v>
      </c>
      <c r="E3161" t="s">
        <v>30</v>
      </c>
      <c r="F3161" s="9">
        <f t="shared" si="202"/>
        <v>0</v>
      </c>
      <c r="G3161" s="9">
        <f t="shared" si="203"/>
        <v>0</v>
      </c>
      <c r="H3161" s="9">
        <f t="shared" si="204"/>
        <v>0</v>
      </c>
      <c r="I3161" s="10">
        <f t="shared" si="205"/>
        <v>0</v>
      </c>
    </row>
    <row r="3162" spans="1:9" x14ac:dyDescent="0.25">
      <c r="A3162" s="11" t="s">
        <v>8107</v>
      </c>
      <c r="B3162" s="11" t="s">
        <v>8108</v>
      </c>
      <c r="C3162" s="11" t="s">
        <v>1069</v>
      </c>
      <c r="D3162" s="4" t="s">
        <v>1406</v>
      </c>
      <c r="E3162" t="s">
        <v>30</v>
      </c>
      <c r="F3162" s="9">
        <f t="shared" si="202"/>
        <v>0</v>
      </c>
      <c r="G3162" s="9">
        <f t="shared" si="203"/>
        <v>0</v>
      </c>
      <c r="H3162" s="9">
        <f t="shared" si="204"/>
        <v>0</v>
      </c>
      <c r="I3162" s="10">
        <f t="shared" si="205"/>
        <v>0</v>
      </c>
    </row>
    <row r="3163" spans="1:9" x14ac:dyDescent="0.25">
      <c r="A3163" s="11" t="s">
        <v>8109</v>
      </c>
      <c r="B3163" s="11" t="s">
        <v>8110</v>
      </c>
      <c r="C3163" s="11" t="s">
        <v>1069</v>
      </c>
      <c r="D3163" s="4" t="s">
        <v>1406</v>
      </c>
      <c r="E3163" t="s">
        <v>30</v>
      </c>
      <c r="F3163" s="9">
        <f t="shared" si="202"/>
        <v>0</v>
      </c>
      <c r="G3163" s="9">
        <f t="shared" si="203"/>
        <v>0</v>
      </c>
      <c r="H3163" s="9">
        <f t="shared" si="204"/>
        <v>0</v>
      </c>
      <c r="I3163" s="10">
        <f t="shared" si="205"/>
        <v>0</v>
      </c>
    </row>
    <row r="3164" spans="1:9" x14ac:dyDescent="0.25">
      <c r="A3164" s="11" t="s">
        <v>8111</v>
      </c>
      <c r="B3164" s="11" t="s">
        <v>8112</v>
      </c>
      <c r="C3164" s="11" t="s">
        <v>1069</v>
      </c>
      <c r="D3164" s="4" t="s">
        <v>1406</v>
      </c>
      <c r="E3164" t="s">
        <v>30</v>
      </c>
      <c r="F3164" s="9">
        <f t="shared" si="202"/>
        <v>0</v>
      </c>
      <c r="G3164" s="9">
        <f t="shared" si="203"/>
        <v>0</v>
      </c>
      <c r="H3164" s="9">
        <f t="shared" si="204"/>
        <v>0</v>
      </c>
      <c r="I3164" s="10">
        <f t="shared" si="205"/>
        <v>0</v>
      </c>
    </row>
    <row r="3165" spans="1:9" x14ac:dyDescent="0.25">
      <c r="A3165" s="11" t="s">
        <v>8113</v>
      </c>
      <c r="B3165" s="11" t="s">
        <v>8114</v>
      </c>
      <c r="C3165" s="11" t="s">
        <v>1069</v>
      </c>
      <c r="D3165" s="4" t="s">
        <v>1406</v>
      </c>
      <c r="E3165" t="s">
        <v>30</v>
      </c>
      <c r="F3165" s="9">
        <f t="shared" si="202"/>
        <v>0</v>
      </c>
      <c r="G3165" s="9">
        <f t="shared" si="203"/>
        <v>0</v>
      </c>
      <c r="H3165" s="9">
        <f t="shared" si="204"/>
        <v>0</v>
      </c>
      <c r="I3165" s="10">
        <f t="shared" si="205"/>
        <v>0</v>
      </c>
    </row>
    <row r="3166" spans="1:9" x14ac:dyDescent="0.25">
      <c r="A3166" s="11" t="s">
        <v>8115</v>
      </c>
      <c r="B3166" s="11" t="s">
        <v>8116</v>
      </c>
      <c r="C3166" s="11" t="s">
        <v>1069</v>
      </c>
      <c r="D3166" s="4" t="s">
        <v>1406</v>
      </c>
      <c r="E3166" t="s">
        <v>30</v>
      </c>
      <c r="F3166" s="9">
        <f t="shared" si="202"/>
        <v>0</v>
      </c>
      <c r="G3166" s="9">
        <f t="shared" si="203"/>
        <v>0</v>
      </c>
      <c r="H3166" s="9">
        <f t="shared" si="204"/>
        <v>0</v>
      </c>
      <c r="I3166" s="10">
        <f t="shared" si="205"/>
        <v>0</v>
      </c>
    </row>
    <row r="3167" spans="1:9" x14ac:dyDescent="0.25">
      <c r="A3167" s="11" t="s">
        <v>8117</v>
      </c>
      <c r="B3167" s="11" t="s">
        <v>8118</v>
      </c>
      <c r="C3167" s="11" t="s">
        <v>1069</v>
      </c>
      <c r="D3167" s="4" t="s">
        <v>1406</v>
      </c>
      <c r="E3167" t="s">
        <v>30</v>
      </c>
      <c r="F3167" s="9">
        <f t="shared" si="202"/>
        <v>0</v>
      </c>
      <c r="G3167" s="9">
        <f t="shared" si="203"/>
        <v>0</v>
      </c>
      <c r="H3167" s="9">
        <f t="shared" si="204"/>
        <v>0</v>
      </c>
      <c r="I3167" s="10">
        <f t="shared" si="205"/>
        <v>0</v>
      </c>
    </row>
    <row r="3168" spans="1:9" x14ac:dyDescent="0.25">
      <c r="A3168" s="11" t="s">
        <v>8119</v>
      </c>
      <c r="B3168" s="11" t="s">
        <v>8120</v>
      </c>
      <c r="C3168" s="11" t="s">
        <v>1069</v>
      </c>
      <c r="D3168" s="4" t="s">
        <v>1406</v>
      </c>
      <c r="E3168" t="s">
        <v>30</v>
      </c>
      <c r="F3168" s="9">
        <f t="shared" si="202"/>
        <v>0</v>
      </c>
      <c r="G3168" s="9">
        <f t="shared" si="203"/>
        <v>0</v>
      </c>
      <c r="H3168" s="9">
        <f t="shared" si="204"/>
        <v>0</v>
      </c>
      <c r="I3168" s="10">
        <f t="shared" si="205"/>
        <v>0</v>
      </c>
    </row>
    <row r="3169" spans="1:9" x14ac:dyDescent="0.25">
      <c r="A3169" s="11" t="s">
        <v>8121</v>
      </c>
      <c r="B3169" s="11" t="s">
        <v>8122</v>
      </c>
      <c r="C3169" s="11" t="s">
        <v>1069</v>
      </c>
      <c r="D3169" s="4" t="s">
        <v>1406</v>
      </c>
      <c r="E3169" t="s">
        <v>30</v>
      </c>
      <c r="F3169" s="9">
        <f t="shared" si="202"/>
        <v>0</v>
      </c>
      <c r="G3169" s="9">
        <f t="shared" si="203"/>
        <v>0</v>
      </c>
      <c r="H3169" s="9">
        <f t="shared" si="204"/>
        <v>0</v>
      </c>
      <c r="I3169" s="10">
        <f t="shared" si="205"/>
        <v>0</v>
      </c>
    </row>
    <row r="3170" spans="1:9" x14ac:dyDescent="0.25">
      <c r="A3170" s="11" t="s">
        <v>8123</v>
      </c>
      <c r="B3170" s="11" t="s">
        <v>8124</v>
      </c>
      <c r="C3170" s="11" t="s">
        <v>1069</v>
      </c>
      <c r="D3170" s="4" t="s">
        <v>1406</v>
      </c>
      <c r="E3170" t="s">
        <v>30</v>
      </c>
      <c r="F3170" s="9">
        <f t="shared" si="202"/>
        <v>0</v>
      </c>
      <c r="G3170" s="9">
        <f t="shared" si="203"/>
        <v>0</v>
      </c>
      <c r="H3170" s="9">
        <f t="shared" si="204"/>
        <v>0</v>
      </c>
      <c r="I3170" s="10">
        <f t="shared" si="205"/>
        <v>0</v>
      </c>
    </row>
    <row r="3171" spans="1:9" x14ac:dyDescent="0.25">
      <c r="A3171" s="11" t="s">
        <v>8125</v>
      </c>
      <c r="B3171" s="11" t="s">
        <v>8126</v>
      </c>
      <c r="C3171" s="11" t="s">
        <v>1069</v>
      </c>
      <c r="D3171" s="4" t="s">
        <v>1406</v>
      </c>
      <c r="E3171" t="s">
        <v>30</v>
      </c>
      <c r="F3171" s="9">
        <f t="shared" si="202"/>
        <v>0</v>
      </c>
      <c r="G3171" s="9">
        <f t="shared" si="203"/>
        <v>0</v>
      </c>
      <c r="H3171" s="9">
        <f t="shared" si="204"/>
        <v>0</v>
      </c>
      <c r="I3171" s="10">
        <f t="shared" si="205"/>
        <v>0</v>
      </c>
    </row>
    <row r="3172" spans="1:9" x14ac:dyDescent="0.25">
      <c r="A3172" s="11" t="s">
        <v>8127</v>
      </c>
      <c r="B3172" s="11" t="s">
        <v>8128</v>
      </c>
      <c r="C3172" s="11" t="s">
        <v>1069</v>
      </c>
      <c r="D3172" s="4" t="s">
        <v>1406</v>
      </c>
      <c r="E3172" t="s">
        <v>30</v>
      </c>
      <c r="F3172" s="9">
        <f t="shared" si="202"/>
        <v>0</v>
      </c>
      <c r="G3172" s="9">
        <f t="shared" si="203"/>
        <v>0</v>
      </c>
      <c r="H3172" s="9">
        <f t="shared" si="204"/>
        <v>0</v>
      </c>
      <c r="I3172" s="10">
        <f t="shared" si="205"/>
        <v>0</v>
      </c>
    </row>
    <row r="3173" spans="1:9" x14ac:dyDescent="0.25">
      <c r="A3173" s="11" t="s">
        <v>8129</v>
      </c>
      <c r="B3173" s="11" t="s">
        <v>8130</v>
      </c>
      <c r="C3173" s="11" t="s">
        <v>1069</v>
      </c>
      <c r="D3173" s="4" t="s">
        <v>1406</v>
      </c>
      <c r="E3173" t="s">
        <v>104</v>
      </c>
      <c r="F3173" s="9">
        <f t="shared" si="202"/>
        <v>0</v>
      </c>
      <c r="G3173" s="9">
        <f t="shared" si="203"/>
        <v>0</v>
      </c>
      <c r="H3173" s="9">
        <f t="shared" si="204"/>
        <v>0</v>
      </c>
      <c r="I3173" s="10">
        <f t="shared" si="205"/>
        <v>0</v>
      </c>
    </row>
    <row r="3174" spans="1:9" x14ac:dyDescent="0.25">
      <c r="A3174" s="11" t="s">
        <v>8131</v>
      </c>
      <c r="B3174" s="11" t="s">
        <v>8132</v>
      </c>
      <c r="C3174" s="11" t="s">
        <v>1069</v>
      </c>
      <c r="D3174" s="4" t="s">
        <v>1406</v>
      </c>
      <c r="E3174" t="s">
        <v>104</v>
      </c>
      <c r="F3174" s="9">
        <f t="shared" si="202"/>
        <v>0</v>
      </c>
      <c r="G3174" s="9">
        <f t="shared" si="203"/>
        <v>0</v>
      </c>
      <c r="H3174" s="9">
        <f t="shared" si="204"/>
        <v>0</v>
      </c>
      <c r="I3174" s="10">
        <f t="shared" si="205"/>
        <v>0</v>
      </c>
    </row>
    <row r="3175" spans="1:9" x14ac:dyDescent="0.25">
      <c r="A3175" s="11" t="s">
        <v>8133</v>
      </c>
      <c r="B3175" s="11" t="s">
        <v>8134</v>
      </c>
      <c r="C3175" s="11" t="s">
        <v>1069</v>
      </c>
      <c r="D3175" s="4" t="s">
        <v>1406</v>
      </c>
      <c r="E3175" t="s">
        <v>30</v>
      </c>
      <c r="F3175" s="9">
        <f t="shared" si="202"/>
        <v>0</v>
      </c>
      <c r="G3175" s="9">
        <f t="shared" si="203"/>
        <v>0</v>
      </c>
      <c r="H3175" s="9">
        <f t="shared" si="204"/>
        <v>0</v>
      </c>
      <c r="I3175" s="10">
        <f t="shared" si="205"/>
        <v>0</v>
      </c>
    </row>
    <row r="3176" spans="1:9" x14ac:dyDescent="0.25">
      <c r="A3176" s="11" t="s">
        <v>8135</v>
      </c>
      <c r="B3176" s="11" t="s">
        <v>8136</v>
      </c>
      <c r="C3176" s="11" t="s">
        <v>1069</v>
      </c>
      <c r="D3176" s="4" t="s">
        <v>1406</v>
      </c>
      <c r="E3176" t="s">
        <v>104</v>
      </c>
      <c r="F3176" s="9">
        <f t="shared" si="202"/>
        <v>0</v>
      </c>
      <c r="G3176" s="9">
        <f t="shared" si="203"/>
        <v>0</v>
      </c>
      <c r="H3176" s="9">
        <f t="shared" si="204"/>
        <v>0</v>
      </c>
      <c r="I3176" s="10">
        <f t="shared" si="205"/>
        <v>0</v>
      </c>
    </row>
    <row r="3177" spans="1:9" x14ac:dyDescent="0.25">
      <c r="A3177" s="11" t="s">
        <v>8137</v>
      </c>
      <c r="B3177" s="11" t="s">
        <v>8138</v>
      </c>
      <c r="C3177" s="11" t="s">
        <v>1069</v>
      </c>
      <c r="D3177" s="4" t="s">
        <v>1406</v>
      </c>
      <c r="E3177" t="s">
        <v>30</v>
      </c>
      <c r="F3177" s="9">
        <f t="shared" si="202"/>
        <v>0</v>
      </c>
      <c r="G3177" s="9">
        <f t="shared" si="203"/>
        <v>0</v>
      </c>
      <c r="H3177" s="9">
        <f t="shared" si="204"/>
        <v>0</v>
      </c>
      <c r="I3177" s="10">
        <f t="shared" si="205"/>
        <v>0</v>
      </c>
    </row>
    <row r="3178" spans="1:9" x14ac:dyDescent="0.25">
      <c r="A3178" s="11" t="s">
        <v>8139</v>
      </c>
      <c r="B3178" s="11" t="s">
        <v>8140</v>
      </c>
      <c r="C3178" s="11" t="s">
        <v>1069</v>
      </c>
      <c r="D3178" s="4" t="s">
        <v>1406</v>
      </c>
      <c r="E3178" t="s">
        <v>30</v>
      </c>
      <c r="F3178" s="9">
        <f t="shared" si="202"/>
        <v>0</v>
      </c>
      <c r="G3178" s="9">
        <f t="shared" si="203"/>
        <v>0</v>
      </c>
      <c r="H3178" s="9">
        <f t="shared" si="204"/>
        <v>0</v>
      </c>
      <c r="I3178" s="10">
        <f t="shared" si="205"/>
        <v>0</v>
      </c>
    </row>
    <row r="3179" spans="1:9" x14ac:dyDescent="0.25">
      <c r="A3179" s="11" t="s">
        <v>8141</v>
      </c>
      <c r="B3179" s="11" t="s">
        <v>8142</v>
      </c>
      <c r="C3179" s="11" t="s">
        <v>1069</v>
      </c>
      <c r="D3179" s="4" t="s">
        <v>1406</v>
      </c>
      <c r="E3179" t="s">
        <v>30</v>
      </c>
      <c r="F3179" s="9">
        <f t="shared" si="202"/>
        <v>0</v>
      </c>
      <c r="G3179" s="9">
        <f t="shared" si="203"/>
        <v>0</v>
      </c>
      <c r="H3179" s="9">
        <f t="shared" si="204"/>
        <v>0</v>
      </c>
      <c r="I3179" s="10">
        <f t="shared" si="205"/>
        <v>0</v>
      </c>
    </row>
    <row r="3180" spans="1:9" x14ac:dyDescent="0.25">
      <c r="A3180" s="11" t="s">
        <v>8143</v>
      </c>
      <c r="B3180" s="11" t="s">
        <v>8144</v>
      </c>
      <c r="C3180" s="11" t="s">
        <v>1069</v>
      </c>
      <c r="D3180" s="4" t="s">
        <v>1406</v>
      </c>
      <c r="E3180" t="s">
        <v>30</v>
      </c>
      <c r="F3180" s="9">
        <f t="shared" si="202"/>
        <v>0</v>
      </c>
      <c r="G3180" s="9">
        <f t="shared" si="203"/>
        <v>0</v>
      </c>
      <c r="H3180" s="9">
        <f t="shared" si="204"/>
        <v>0</v>
      </c>
      <c r="I3180" s="10">
        <f t="shared" si="205"/>
        <v>0</v>
      </c>
    </row>
    <row r="3181" spans="1:9" x14ac:dyDescent="0.25">
      <c r="A3181" s="11" t="s">
        <v>8145</v>
      </c>
      <c r="B3181" s="11" t="s">
        <v>8146</v>
      </c>
      <c r="C3181" s="11" t="s">
        <v>1069</v>
      </c>
      <c r="D3181" s="4" t="s">
        <v>1406</v>
      </c>
      <c r="E3181" t="s">
        <v>30</v>
      </c>
      <c r="F3181" s="9">
        <f t="shared" si="202"/>
        <v>0</v>
      </c>
      <c r="G3181" s="9">
        <f t="shared" si="203"/>
        <v>0</v>
      </c>
      <c r="H3181" s="9">
        <f t="shared" si="204"/>
        <v>0</v>
      </c>
      <c r="I3181" s="10">
        <f t="shared" si="205"/>
        <v>0</v>
      </c>
    </row>
    <row r="3182" spans="1:9" x14ac:dyDescent="0.25">
      <c r="A3182" s="11" t="s">
        <v>8147</v>
      </c>
      <c r="B3182" s="11" t="s">
        <v>8148</v>
      </c>
      <c r="C3182" s="11" t="s">
        <v>1069</v>
      </c>
      <c r="D3182" s="4" t="s">
        <v>1406</v>
      </c>
      <c r="E3182" t="s">
        <v>30</v>
      </c>
      <c r="F3182" s="9">
        <f t="shared" si="202"/>
        <v>0</v>
      </c>
      <c r="G3182" s="9">
        <f t="shared" si="203"/>
        <v>0</v>
      </c>
      <c r="H3182" s="9">
        <f t="shared" si="204"/>
        <v>0</v>
      </c>
      <c r="I3182" s="10">
        <f t="shared" si="205"/>
        <v>0</v>
      </c>
    </row>
    <row r="3183" spans="1:9" x14ac:dyDescent="0.25">
      <c r="A3183" s="11" t="s">
        <v>8149</v>
      </c>
      <c r="B3183" s="11" t="s">
        <v>1374</v>
      </c>
      <c r="C3183" s="11" t="s">
        <v>1069</v>
      </c>
      <c r="D3183" s="4" t="s">
        <v>1406</v>
      </c>
      <c r="E3183" t="s">
        <v>30</v>
      </c>
      <c r="F3183" s="9">
        <f t="shared" si="202"/>
        <v>0</v>
      </c>
      <c r="G3183" s="9">
        <f t="shared" si="203"/>
        <v>0</v>
      </c>
      <c r="H3183" s="9">
        <f t="shared" si="204"/>
        <v>0</v>
      </c>
      <c r="I3183" s="10">
        <f t="shared" si="205"/>
        <v>0</v>
      </c>
    </row>
    <row r="3184" spans="1:9" x14ac:dyDescent="0.25">
      <c r="A3184" s="11" t="s">
        <v>8150</v>
      </c>
      <c r="B3184" s="11" t="s">
        <v>8151</v>
      </c>
      <c r="C3184" s="11" t="s">
        <v>28</v>
      </c>
      <c r="D3184" s="4" t="s">
        <v>1406</v>
      </c>
      <c r="E3184" t="s">
        <v>30</v>
      </c>
      <c r="F3184" s="9">
        <f t="shared" si="202"/>
        <v>0</v>
      </c>
      <c r="G3184" s="9">
        <f t="shared" si="203"/>
        <v>0</v>
      </c>
      <c r="H3184" s="9">
        <f t="shared" si="204"/>
        <v>0</v>
      </c>
      <c r="I3184" s="10">
        <f t="shared" si="205"/>
        <v>0</v>
      </c>
    </row>
    <row r="3185" spans="1:9" x14ac:dyDescent="0.25">
      <c r="A3185" s="11" t="s">
        <v>8152</v>
      </c>
      <c r="B3185" s="11" t="s">
        <v>8153</v>
      </c>
      <c r="C3185" s="11" t="s">
        <v>28</v>
      </c>
      <c r="D3185" s="4" t="s">
        <v>1406</v>
      </c>
      <c r="E3185" t="s">
        <v>30</v>
      </c>
      <c r="F3185" s="9">
        <f t="shared" si="202"/>
        <v>0</v>
      </c>
      <c r="G3185" s="9">
        <f t="shared" si="203"/>
        <v>0</v>
      </c>
      <c r="H3185" s="9">
        <f t="shared" si="204"/>
        <v>0</v>
      </c>
      <c r="I3185" s="10">
        <f t="shared" si="205"/>
        <v>0</v>
      </c>
    </row>
    <row r="3186" spans="1:9" x14ac:dyDescent="0.25">
      <c r="A3186" s="11" t="s">
        <v>8154</v>
      </c>
      <c r="B3186" s="11" t="s">
        <v>8155</v>
      </c>
      <c r="C3186" s="11" t="s">
        <v>28</v>
      </c>
      <c r="D3186" s="4" t="s">
        <v>1406</v>
      </c>
      <c r="E3186" t="s">
        <v>30</v>
      </c>
      <c r="F3186" s="9">
        <f t="shared" si="202"/>
        <v>0</v>
      </c>
      <c r="G3186" s="9">
        <f t="shared" si="203"/>
        <v>0</v>
      </c>
      <c r="H3186" s="9">
        <f t="shared" si="204"/>
        <v>0</v>
      </c>
      <c r="I3186" s="10">
        <f t="shared" si="205"/>
        <v>0</v>
      </c>
    </row>
    <row r="3187" spans="1:9" x14ac:dyDescent="0.25">
      <c r="A3187" s="11" t="s">
        <v>8156</v>
      </c>
      <c r="B3187" s="11" t="s">
        <v>8157</v>
      </c>
      <c r="C3187" s="11" t="s">
        <v>28</v>
      </c>
      <c r="D3187" s="4" t="s">
        <v>1406</v>
      </c>
      <c r="E3187" t="s">
        <v>30</v>
      </c>
      <c r="F3187" s="9">
        <f t="shared" si="202"/>
        <v>0</v>
      </c>
      <c r="G3187" s="9">
        <f t="shared" si="203"/>
        <v>0</v>
      </c>
      <c r="H3187" s="9">
        <f t="shared" si="204"/>
        <v>0</v>
      </c>
      <c r="I3187" s="10">
        <f t="shared" si="205"/>
        <v>0</v>
      </c>
    </row>
    <row r="3188" spans="1:9" x14ac:dyDescent="0.25">
      <c r="A3188" s="11" t="s">
        <v>8158</v>
      </c>
      <c r="B3188" s="11" t="s">
        <v>8159</v>
      </c>
      <c r="C3188" s="11" t="s">
        <v>28</v>
      </c>
      <c r="D3188" s="4" t="s">
        <v>1406</v>
      </c>
      <c r="E3188" t="s">
        <v>30</v>
      </c>
      <c r="F3188" s="9">
        <f t="shared" si="202"/>
        <v>0</v>
      </c>
      <c r="G3188" s="9">
        <f t="shared" si="203"/>
        <v>0</v>
      </c>
      <c r="H3188" s="9">
        <f t="shared" si="204"/>
        <v>0</v>
      </c>
      <c r="I3188" s="10">
        <f t="shared" si="205"/>
        <v>0</v>
      </c>
    </row>
    <row r="3189" spans="1:9" x14ac:dyDescent="0.25">
      <c r="A3189" s="11" t="s">
        <v>8160</v>
      </c>
      <c r="B3189" s="11" t="s">
        <v>8161</v>
      </c>
      <c r="C3189" s="11" t="s">
        <v>28</v>
      </c>
      <c r="D3189" s="4" t="s">
        <v>1406</v>
      </c>
      <c r="E3189" t="s">
        <v>30</v>
      </c>
      <c r="F3189" s="9">
        <f t="shared" si="202"/>
        <v>0</v>
      </c>
      <c r="G3189" s="9">
        <f t="shared" si="203"/>
        <v>0</v>
      </c>
      <c r="H3189" s="9">
        <f t="shared" si="204"/>
        <v>0</v>
      </c>
      <c r="I3189" s="10">
        <f t="shared" si="205"/>
        <v>0</v>
      </c>
    </row>
    <row r="3190" spans="1:9" x14ac:dyDescent="0.25">
      <c r="A3190" s="11" t="s">
        <v>8162</v>
      </c>
      <c r="B3190" s="11" t="s">
        <v>8163</v>
      </c>
      <c r="C3190" s="11" t="s">
        <v>28</v>
      </c>
      <c r="D3190" s="4" t="s">
        <v>1406</v>
      </c>
      <c r="E3190" t="s">
        <v>30</v>
      </c>
      <c r="F3190" s="9">
        <f t="shared" si="202"/>
        <v>0</v>
      </c>
      <c r="G3190" s="9">
        <f t="shared" si="203"/>
        <v>0</v>
      </c>
      <c r="H3190" s="9">
        <f t="shared" si="204"/>
        <v>0</v>
      </c>
      <c r="I3190" s="10">
        <f t="shared" si="205"/>
        <v>0</v>
      </c>
    </row>
    <row r="3191" spans="1:9" x14ac:dyDescent="0.25">
      <c r="A3191" s="11" t="s">
        <v>8164</v>
      </c>
      <c r="B3191" s="11" t="s">
        <v>8165</v>
      </c>
      <c r="C3191" s="11" t="s">
        <v>28</v>
      </c>
      <c r="D3191" s="4" t="s">
        <v>1406</v>
      </c>
      <c r="E3191" t="s">
        <v>30</v>
      </c>
      <c r="F3191" s="9">
        <f t="shared" si="202"/>
        <v>0</v>
      </c>
      <c r="G3191" s="9">
        <f t="shared" si="203"/>
        <v>0</v>
      </c>
      <c r="H3191" s="9">
        <f t="shared" si="204"/>
        <v>0</v>
      </c>
      <c r="I3191" s="10">
        <f t="shared" si="205"/>
        <v>0</v>
      </c>
    </row>
    <row r="3192" spans="1:9" x14ac:dyDescent="0.25">
      <c r="A3192" s="11" t="s">
        <v>8166</v>
      </c>
      <c r="B3192" s="11" t="s">
        <v>8167</v>
      </c>
      <c r="C3192" s="11" t="s">
        <v>28</v>
      </c>
      <c r="D3192" s="4" t="s">
        <v>1406</v>
      </c>
      <c r="E3192" t="s">
        <v>30</v>
      </c>
      <c r="F3192" s="9">
        <f t="shared" si="202"/>
        <v>0</v>
      </c>
      <c r="G3192" s="9">
        <f t="shared" si="203"/>
        <v>0</v>
      </c>
      <c r="H3192" s="9">
        <f t="shared" si="204"/>
        <v>0</v>
      </c>
      <c r="I3192" s="10">
        <f t="shared" si="205"/>
        <v>0</v>
      </c>
    </row>
    <row r="3193" spans="1:9" x14ac:dyDescent="0.25">
      <c r="A3193" s="11" t="s">
        <v>8168</v>
      </c>
      <c r="B3193" s="11" t="s">
        <v>8169</v>
      </c>
      <c r="C3193" s="11" t="s">
        <v>28</v>
      </c>
      <c r="D3193" s="4" t="s">
        <v>1406</v>
      </c>
      <c r="E3193" t="s">
        <v>30</v>
      </c>
      <c r="F3193" s="9">
        <f t="shared" si="202"/>
        <v>0</v>
      </c>
      <c r="G3193" s="9">
        <f t="shared" si="203"/>
        <v>0</v>
      </c>
      <c r="H3193" s="9">
        <f t="shared" si="204"/>
        <v>0</v>
      </c>
      <c r="I3193" s="10">
        <f t="shared" si="205"/>
        <v>0</v>
      </c>
    </row>
    <row r="3194" spans="1:9" x14ac:dyDescent="0.25">
      <c r="A3194" s="11" t="s">
        <v>8170</v>
      </c>
      <c r="B3194" s="11" t="s">
        <v>8171</v>
      </c>
      <c r="C3194" s="11" t="s">
        <v>28</v>
      </c>
      <c r="D3194" s="4" t="s">
        <v>1406</v>
      </c>
      <c r="E3194" t="s">
        <v>30</v>
      </c>
      <c r="F3194" s="9">
        <f t="shared" si="202"/>
        <v>0</v>
      </c>
      <c r="G3194" s="9">
        <f t="shared" si="203"/>
        <v>0</v>
      </c>
      <c r="H3194" s="9">
        <f t="shared" si="204"/>
        <v>0</v>
      </c>
      <c r="I3194" s="10">
        <f t="shared" si="205"/>
        <v>0</v>
      </c>
    </row>
    <row r="3195" spans="1:9" x14ac:dyDescent="0.25">
      <c r="A3195" s="11" t="s">
        <v>8172</v>
      </c>
      <c r="B3195" s="11" t="s">
        <v>8173</v>
      </c>
      <c r="C3195" s="11" t="s">
        <v>28</v>
      </c>
      <c r="D3195" s="4" t="s">
        <v>1406</v>
      </c>
      <c r="E3195" t="s">
        <v>30</v>
      </c>
      <c r="F3195" s="9">
        <f t="shared" si="202"/>
        <v>0</v>
      </c>
      <c r="G3195" s="9">
        <f t="shared" si="203"/>
        <v>0</v>
      </c>
      <c r="H3195" s="9">
        <f t="shared" si="204"/>
        <v>0</v>
      </c>
      <c r="I3195" s="10">
        <f t="shared" si="205"/>
        <v>0</v>
      </c>
    </row>
    <row r="3196" spans="1:9" x14ac:dyDescent="0.25">
      <c r="A3196" s="11" t="s">
        <v>8174</v>
      </c>
      <c r="B3196" s="11" t="s">
        <v>8175</v>
      </c>
      <c r="C3196" s="11" t="s">
        <v>28</v>
      </c>
      <c r="D3196" s="4" t="s">
        <v>1406</v>
      </c>
      <c r="E3196" t="s">
        <v>30</v>
      </c>
      <c r="F3196" s="9">
        <f t="shared" si="202"/>
        <v>0</v>
      </c>
      <c r="G3196" s="9">
        <f t="shared" si="203"/>
        <v>0</v>
      </c>
      <c r="H3196" s="9">
        <f t="shared" si="204"/>
        <v>0</v>
      </c>
      <c r="I3196" s="10">
        <f t="shared" si="205"/>
        <v>0</v>
      </c>
    </row>
    <row r="3197" spans="1:9" x14ac:dyDescent="0.25">
      <c r="A3197" s="11" t="s">
        <v>8176</v>
      </c>
      <c r="B3197" s="11" t="s">
        <v>8177</v>
      </c>
      <c r="C3197" s="11" t="s">
        <v>28</v>
      </c>
      <c r="D3197" s="4" t="s">
        <v>1406</v>
      </c>
      <c r="E3197" t="s">
        <v>30</v>
      </c>
      <c r="F3197" s="9">
        <f t="shared" si="202"/>
        <v>0</v>
      </c>
      <c r="G3197" s="9">
        <f t="shared" si="203"/>
        <v>0</v>
      </c>
      <c r="H3197" s="9">
        <f t="shared" si="204"/>
        <v>0</v>
      </c>
      <c r="I3197" s="10">
        <f t="shared" si="205"/>
        <v>0</v>
      </c>
    </row>
    <row r="3198" spans="1:9" x14ac:dyDescent="0.25">
      <c r="A3198" s="11" t="s">
        <v>8178</v>
      </c>
      <c r="B3198" s="11" t="s">
        <v>8179</v>
      </c>
      <c r="C3198" s="11" t="s">
        <v>28</v>
      </c>
      <c r="D3198" s="4" t="s">
        <v>1406</v>
      </c>
      <c r="E3198" t="s">
        <v>30</v>
      </c>
      <c r="F3198" s="9">
        <f t="shared" si="202"/>
        <v>0</v>
      </c>
      <c r="G3198" s="9">
        <f t="shared" si="203"/>
        <v>0</v>
      </c>
      <c r="H3198" s="9">
        <f t="shared" si="204"/>
        <v>0</v>
      </c>
      <c r="I3198" s="10">
        <f t="shared" si="205"/>
        <v>0</v>
      </c>
    </row>
    <row r="3199" spans="1:9" x14ac:dyDescent="0.25">
      <c r="A3199" s="11" t="s">
        <v>8180</v>
      </c>
      <c r="B3199" s="11" t="s">
        <v>8181</v>
      </c>
      <c r="C3199" s="11" t="s">
        <v>28</v>
      </c>
      <c r="D3199" s="4" t="s">
        <v>1406</v>
      </c>
      <c r="E3199" t="s">
        <v>30</v>
      </c>
      <c r="F3199" s="9">
        <f t="shared" si="202"/>
        <v>0</v>
      </c>
      <c r="G3199" s="9">
        <f t="shared" si="203"/>
        <v>0</v>
      </c>
      <c r="H3199" s="9">
        <f t="shared" si="204"/>
        <v>0</v>
      </c>
      <c r="I3199" s="10">
        <f t="shared" si="205"/>
        <v>0</v>
      </c>
    </row>
    <row r="3200" spans="1:9" x14ac:dyDescent="0.25">
      <c r="A3200" s="11" t="s">
        <v>8182</v>
      </c>
      <c r="B3200" s="11" t="s">
        <v>8183</v>
      </c>
      <c r="C3200" s="11" t="s">
        <v>28</v>
      </c>
      <c r="D3200" s="4" t="s">
        <v>1406</v>
      </c>
      <c r="E3200" t="s">
        <v>30</v>
      </c>
      <c r="F3200" s="9">
        <f t="shared" si="202"/>
        <v>7</v>
      </c>
      <c r="G3200" s="9">
        <f t="shared" si="203"/>
        <v>0</v>
      </c>
      <c r="H3200" s="9">
        <f t="shared" si="204"/>
        <v>0</v>
      </c>
      <c r="I3200" s="10">
        <f t="shared" si="205"/>
        <v>7</v>
      </c>
    </row>
    <row r="3201" spans="1:9" x14ac:dyDescent="0.25">
      <c r="A3201" s="11" t="s">
        <v>8184</v>
      </c>
      <c r="B3201" s="11" t="s">
        <v>8185</v>
      </c>
      <c r="C3201" s="11" t="s">
        <v>28</v>
      </c>
      <c r="D3201" s="4" t="s">
        <v>1406</v>
      </c>
      <c r="E3201" t="s">
        <v>30</v>
      </c>
      <c r="F3201" s="9">
        <f t="shared" si="202"/>
        <v>6</v>
      </c>
      <c r="G3201" s="9">
        <f t="shared" si="203"/>
        <v>0</v>
      </c>
      <c r="H3201" s="9">
        <f t="shared" si="204"/>
        <v>0</v>
      </c>
      <c r="I3201" s="10">
        <f t="shared" si="205"/>
        <v>6</v>
      </c>
    </row>
    <row r="3202" spans="1:9" x14ac:dyDescent="0.25">
      <c r="A3202" s="11" t="s">
        <v>8186</v>
      </c>
      <c r="B3202" s="11" t="s">
        <v>8187</v>
      </c>
      <c r="C3202" s="11" t="s">
        <v>28</v>
      </c>
      <c r="D3202" s="4" t="s">
        <v>1406</v>
      </c>
      <c r="E3202" t="s">
        <v>30</v>
      </c>
      <c r="F3202" s="9">
        <f t="shared" si="202"/>
        <v>0</v>
      </c>
      <c r="G3202" s="9">
        <f t="shared" si="203"/>
        <v>0</v>
      </c>
      <c r="H3202" s="9">
        <f t="shared" si="204"/>
        <v>0</v>
      </c>
      <c r="I3202" s="10">
        <f t="shared" si="205"/>
        <v>0</v>
      </c>
    </row>
    <row r="3203" spans="1:9" x14ac:dyDescent="0.25">
      <c r="A3203" s="11" t="s">
        <v>8188</v>
      </c>
      <c r="B3203" s="11" t="s">
        <v>8189</v>
      </c>
      <c r="C3203" s="11" t="s">
        <v>28</v>
      </c>
      <c r="D3203" s="4" t="s">
        <v>1406</v>
      </c>
      <c r="E3203" t="s">
        <v>30</v>
      </c>
      <c r="F3203" s="9">
        <f t="shared" si="202"/>
        <v>0</v>
      </c>
      <c r="G3203" s="9">
        <f t="shared" si="203"/>
        <v>0</v>
      </c>
      <c r="H3203" s="9">
        <f t="shared" si="204"/>
        <v>0</v>
      </c>
      <c r="I3203" s="10">
        <f t="shared" si="205"/>
        <v>0</v>
      </c>
    </row>
    <row r="3204" spans="1:9" x14ac:dyDescent="0.25">
      <c r="A3204" s="11" t="s">
        <v>8190</v>
      </c>
      <c r="B3204" s="11" t="s">
        <v>8191</v>
      </c>
      <c r="C3204" s="11" t="s">
        <v>28</v>
      </c>
      <c r="D3204" s="4" t="s">
        <v>1406</v>
      </c>
      <c r="E3204" t="s">
        <v>30</v>
      </c>
      <c r="F3204" s="9">
        <f t="shared" ref="F3204:F3267" si="206">IFERROR(VLOOKUP(A3204,condi,8,0),0)</f>
        <v>0</v>
      </c>
      <c r="G3204" s="9">
        <f t="shared" ref="G3204:G3267" si="207">IFERROR(VLOOKUP(A3204,maqui,8,0),0)</f>
        <v>0</v>
      </c>
      <c r="H3204" s="9">
        <f t="shared" ref="H3204:H3267" si="208">IFERROR(VLOOKUP(A3204,ascint,8,0),0)</f>
        <v>0</v>
      </c>
      <c r="I3204" s="10">
        <f t="shared" ref="I3204:I3267" si="209">+F3204+G3204+H3204</f>
        <v>0</v>
      </c>
    </row>
    <row r="3205" spans="1:9" x14ac:dyDescent="0.25">
      <c r="A3205" s="11" t="s">
        <v>8192</v>
      </c>
      <c r="B3205" s="11" t="s">
        <v>8193</v>
      </c>
      <c r="C3205" s="11" t="s">
        <v>28</v>
      </c>
      <c r="D3205" s="4" t="s">
        <v>1406</v>
      </c>
      <c r="E3205" t="s">
        <v>30</v>
      </c>
      <c r="F3205" s="9">
        <f t="shared" si="206"/>
        <v>2</v>
      </c>
      <c r="G3205" s="9">
        <f t="shared" si="207"/>
        <v>0</v>
      </c>
      <c r="H3205" s="9">
        <f t="shared" si="208"/>
        <v>0</v>
      </c>
      <c r="I3205" s="10">
        <f t="shared" si="209"/>
        <v>2</v>
      </c>
    </row>
    <row r="3206" spans="1:9" x14ac:dyDescent="0.25">
      <c r="A3206" s="11" t="s">
        <v>8194</v>
      </c>
      <c r="B3206" s="11" t="s">
        <v>8195</v>
      </c>
      <c r="C3206" s="11" t="s">
        <v>28</v>
      </c>
      <c r="D3206" s="4" t="s">
        <v>1406</v>
      </c>
      <c r="E3206" t="s">
        <v>30</v>
      </c>
      <c r="F3206" s="9">
        <f t="shared" si="206"/>
        <v>0</v>
      </c>
      <c r="G3206" s="9">
        <f t="shared" si="207"/>
        <v>0</v>
      </c>
      <c r="H3206" s="9">
        <f t="shared" si="208"/>
        <v>0</v>
      </c>
      <c r="I3206" s="10">
        <f t="shared" si="209"/>
        <v>0</v>
      </c>
    </row>
    <row r="3207" spans="1:9" x14ac:dyDescent="0.25">
      <c r="A3207" s="11" t="s">
        <v>8196</v>
      </c>
      <c r="B3207" s="11" t="s">
        <v>8197</v>
      </c>
      <c r="C3207" s="11" t="s">
        <v>28</v>
      </c>
      <c r="D3207" s="4" t="s">
        <v>1406</v>
      </c>
      <c r="E3207" t="s">
        <v>30</v>
      </c>
      <c r="F3207" s="9">
        <f t="shared" si="206"/>
        <v>0</v>
      </c>
      <c r="G3207" s="9">
        <f t="shared" si="207"/>
        <v>0</v>
      </c>
      <c r="H3207" s="9">
        <f t="shared" si="208"/>
        <v>0</v>
      </c>
      <c r="I3207" s="10">
        <f t="shared" si="209"/>
        <v>0</v>
      </c>
    </row>
    <row r="3208" spans="1:9" x14ac:dyDescent="0.25">
      <c r="A3208" s="11" t="s">
        <v>8198</v>
      </c>
      <c r="B3208" s="11" t="s">
        <v>8199</v>
      </c>
      <c r="C3208" s="11" t="s">
        <v>28</v>
      </c>
      <c r="D3208" s="4" t="s">
        <v>1406</v>
      </c>
      <c r="E3208" t="s">
        <v>30</v>
      </c>
      <c r="F3208" s="9">
        <f t="shared" si="206"/>
        <v>0</v>
      </c>
      <c r="G3208" s="9">
        <f t="shared" si="207"/>
        <v>0</v>
      </c>
      <c r="H3208" s="9">
        <f t="shared" si="208"/>
        <v>0</v>
      </c>
      <c r="I3208" s="10">
        <f t="shared" si="209"/>
        <v>0</v>
      </c>
    </row>
    <row r="3209" spans="1:9" x14ac:dyDescent="0.25">
      <c r="A3209" s="11" t="s">
        <v>8200</v>
      </c>
      <c r="B3209" s="11" t="s">
        <v>8201</v>
      </c>
      <c r="C3209" s="11" t="s">
        <v>28</v>
      </c>
      <c r="D3209" s="4" t="s">
        <v>1406</v>
      </c>
      <c r="E3209" t="s">
        <v>30</v>
      </c>
      <c r="F3209" s="9">
        <f t="shared" si="206"/>
        <v>0</v>
      </c>
      <c r="G3209" s="9">
        <f t="shared" si="207"/>
        <v>0</v>
      </c>
      <c r="H3209" s="9">
        <f t="shared" si="208"/>
        <v>0</v>
      </c>
      <c r="I3209" s="10">
        <f t="shared" si="209"/>
        <v>0</v>
      </c>
    </row>
    <row r="3210" spans="1:9" x14ac:dyDescent="0.25">
      <c r="A3210" s="11" t="s">
        <v>8202</v>
      </c>
      <c r="B3210" s="11" t="s">
        <v>8203</v>
      </c>
      <c r="C3210" s="11" t="s">
        <v>28</v>
      </c>
      <c r="D3210" s="4" t="s">
        <v>1406</v>
      </c>
      <c r="E3210" t="s">
        <v>30</v>
      </c>
      <c r="F3210" s="9">
        <f t="shared" si="206"/>
        <v>0</v>
      </c>
      <c r="G3210" s="9">
        <f t="shared" si="207"/>
        <v>0</v>
      </c>
      <c r="H3210" s="9">
        <f t="shared" si="208"/>
        <v>0</v>
      </c>
      <c r="I3210" s="10">
        <f t="shared" si="209"/>
        <v>0</v>
      </c>
    </row>
    <row r="3211" spans="1:9" x14ac:dyDescent="0.25">
      <c r="A3211" s="11" t="s">
        <v>8204</v>
      </c>
      <c r="B3211" s="11" t="s">
        <v>8205</v>
      </c>
      <c r="C3211" s="11" t="s">
        <v>28</v>
      </c>
      <c r="D3211" s="4" t="s">
        <v>1406</v>
      </c>
      <c r="E3211" t="s">
        <v>30</v>
      </c>
      <c r="F3211" s="9">
        <f t="shared" si="206"/>
        <v>2</v>
      </c>
      <c r="G3211" s="9">
        <f t="shared" si="207"/>
        <v>0</v>
      </c>
      <c r="H3211" s="9">
        <f t="shared" si="208"/>
        <v>0</v>
      </c>
      <c r="I3211" s="10">
        <f t="shared" si="209"/>
        <v>2</v>
      </c>
    </row>
    <row r="3212" spans="1:9" x14ac:dyDescent="0.25">
      <c r="A3212" s="11" t="s">
        <v>8206</v>
      </c>
      <c r="B3212" s="11" t="s">
        <v>8207</v>
      </c>
      <c r="C3212" s="11" t="s">
        <v>28</v>
      </c>
      <c r="D3212" s="4" t="s">
        <v>1406</v>
      </c>
      <c r="E3212" t="s">
        <v>30</v>
      </c>
      <c r="F3212" s="9">
        <f t="shared" si="206"/>
        <v>0</v>
      </c>
      <c r="G3212" s="9">
        <f t="shared" si="207"/>
        <v>0</v>
      </c>
      <c r="H3212" s="9">
        <f t="shared" si="208"/>
        <v>0</v>
      </c>
      <c r="I3212" s="10">
        <f t="shared" si="209"/>
        <v>0</v>
      </c>
    </row>
    <row r="3213" spans="1:9" x14ac:dyDescent="0.25">
      <c r="A3213" s="11" t="s">
        <v>8208</v>
      </c>
      <c r="B3213" s="11" t="s">
        <v>8209</v>
      </c>
      <c r="C3213" s="11" t="s">
        <v>28</v>
      </c>
      <c r="D3213" s="4" t="s">
        <v>1406</v>
      </c>
      <c r="E3213" t="s">
        <v>30</v>
      </c>
      <c r="F3213" s="9">
        <f t="shared" si="206"/>
        <v>0</v>
      </c>
      <c r="G3213" s="9">
        <f t="shared" si="207"/>
        <v>0</v>
      </c>
      <c r="H3213" s="9">
        <f t="shared" si="208"/>
        <v>0</v>
      </c>
      <c r="I3213" s="10">
        <f t="shared" si="209"/>
        <v>0</v>
      </c>
    </row>
    <row r="3214" spans="1:9" x14ac:dyDescent="0.25">
      <c r="A3214" s="11" t="s">
        <v>8210</v>
      </c>
      <c r="B3214" s="11" t="s">
        <v>8211</v>
      </c>
      <c r="C3214" s="11" t="s">
        <v>28</v>
      </c>
      <c r="D3214" s="4" t="s">
        <v>1406</v>
      </c>
      <c r="E3214" t="s">
        <v>30</v>
      </c>
      <c r="F3214" s="9">
        <f t="shared" si="206"/>
        <v>0</v>
      </c>
      <c r="G3214" s="9">
        <f t="shared" si="207"/>
        <v>0</v>
      </c>
      <c r="H3214" s="9">
        <f t="shared" si="208"/>
        <v>0</v>
      </c>
      <c r="I3214" s="10">
        <f t="shared" si="209"/>
        <v>0</v>
      </c>
    </row>
    <row r="3215" spans="1:9" x14ac:dyDescent="0.25">
      <c r="A3215" s="11" t="s">
        <v>8212</v>
      </c>
      <c r="B3215" s="11" t="s">
        <v>8213</v>
      </c>
      <c r="C3215" s="11" t="s">
        <v>28</v>
      </c>
      <c r="D3215" s="4" t="s">
        <v>1406</v>
      </c>
      <c r="E3215" t="s">
        <v>30</v>
      </c>
      <c r="F3215" s="9">
        <f t="shared" si="206"/>
        <v>0</v>
      </c>
      <c r="G3215" s="9">
        <f t="shared" si="207"/>
        <v>0</v>
      </c>
      <c r="H3215" s="9">
        <f t="shared" si="208"/>
        <v>0</v>
      </c>
      <c r="I3215" s="10">
        <f t="shared" si="209"/>
        <v>0</v>
      </c>
    </row>
    <row r="3216" spans="1:9" x14ac:dyDescent="0.25">
      <c r="A3216" s="11" t="s">
        <v>8214</v>
      </c>
      <c r="B3216" s="11" t="s">
        <v>8215</v>
      </c>
      <c r="C3216" s="11" t="s">
        <v>28</v>
      </c>
      <c r="D3216" s="4" t="s">
        <v>1406</v>
      </c>
      <c r="E3216" t="s">
        <v>30</v>
      </c>
      <c r="F3216" s="9">
        <f t="shared" si="206"/>
        <v>0</v>
      </c>
      <c r="G3216" s="9">
        <f t="shared" si="207"/>
        <v>0</v>
      </c>
      <c r="H3216" s="9">
        <f t="shared" si="208"/>
        <v>0</v>
      </c>
      <c r="I3216" s="10">
        <f t="shared" si="209"/>
        <v>0</v>
      </c>
    </row>
    <row r="3217" spans="1:9" x14ac:dyDescent="0.25">
      <c r="A3217" s="11" t="s">
        <v>8216</v>
      </c>
      <c r="B3217" s="11" t="s">
        <v>8217</v>
      </c>
      <c r="C3217" s="11" t="s">
        <v>28</v>
      </c>
      <c r="D3217" s="4" t="s">
        <v>1406</v>
      </c>
      <c r="E3217" t="s">
        <v>30</v>
      </c>
      <c r="F3217" s="9">
        <f t="shared" si="206"/>
        <v>0</v>
      </c>
      <c r="G3217" s="9">
        <f t="shared" si="207"/>
        <v>0</v>
      </c>
      <c r="H3217" s="9">
        <f t="shared" si="208"/>
        <v>0</v>
      </c>
      <c r="I3217" s="10">
        <f t="shared" si="209"/>
        <v>0</v>
      </c>
    </row>
    <row r="3218" spans="1:9" x14ac:dyDescent="0.25">
      <c r="A3218" s="11" t="s">
        <v>8218</v>
      </c>
      <c r="B3218" s="11" t="s">
        <v>8219</v>
      </c>
      <c r="C3218" s="11" t="s">
        <v>28</v>
      </c>
      <c r="D3218" s="4" t="s">
        <v>1406</v>
      </c>
      <c r="E3218" t="s">
        <v>30</v>
      </c>
      <c r="F3218" s="9">
        <f t="shared" si="206"/>
        <v>0</v>
      </c>
      <c r="G3218" s="9">
        <f t="shared" si="207"/>
        <v>0</v>
      </c>
      <c r="H3218" s="9">
        <f t="shared" si="208"/>
        <v>0</v>
      </c>
      <c r="I3218" s="10">
        <f t="shared" si="209"/>
        <v>0</v>
      </c>
    </row>
    <row r="3219" spans="1:9" x14ac:dyDescent="0.25">
      <c r="A3219" s="11" t="s">
        <v>8220</v>
      </c>
      <c r="B3219" s="11" t="s">
        <v>8221</v>
      </c>
      <c r="C3219" s="11" t="s">
        <v>28</v>
      </c>
      <c r="D3219" s="4" t="s">
        <v>1406</v>
      </c>
      <c r="E3219" t="s">
        <v>30</v>
      </c>
      <c r="F3219" s="9">
        <f t="shared" si="206"/>
        <v>0</v>
      </c>
      <c r="G3219" s="9">
        <f t="shared" si="207"/>
        <v>0</v>
      </c>
      <c r="H3219" s="9">
        <f t="shared" si="208"/>
        <v>0</v>
      </c>
      <c r="I3219" s="10">
        <f t="shared" si="209"/>
        <v>0</v>
      </c>
    </row>
    <row r="3220" spans="1:9" x14ac:dyDescent="0.25">
      <c r="A3220" s="11" t="s">
        <v>8222</v>
      </c>
      <c r="B3220" s="11" t="s">
        <v>8223</v>
      </c>
      <c r="C3220" s="11" t="s">
        <v>28</v>
      </c>
      <c r="D3220" s="4" t="s">
        <v>1406</v>
      </c>
      <c r="E3220" t="s">
        <v>30</v>
      </c>
      <c r="F3220" s="9">
        <f t="shared" si="206"/>
        <v>0</v>
      </c>
      <c r="G3220" s="9">
        <f t="shared" si="207"/>
        <v>0</v>
      </c>
      <c r="H3220" s="9">
        <f t="shared" si="208"/>
        <v>0</v>
      </c>
      <c r="I3220" s="10">
        <f t="shared" si="209"/>
        <v>0</v>
      </c>
    </row>
    <row r="3221" spans="1:9" x14ac:dyDescent="0.25">
      <c r="A3221" s="11" t="s">
        <v>8224</v>
      </c>
      <c r="B3221" s="11" t="s">
        <v>8225</v>
      </c>
      <c r="C3221" s="11" t="s">
        <v>28</v>
      </c>
      <c r="D3221" s="4" t="s">
        <v>1406</v>
      </c>
      <c r="E3221" t="s">
        <v>30</v>
      </c>
      <c r="F3221" s="9">
        <f t="shared" si="206"/>
        <v>0</v>
      </c>
      <c r="G3221" s="9">
        <f t="shared" si="207"/>
        <v>0</v>
      </c>
      <c r="H3221" s="9">
        <f t="shared" si="208"/>
        <v>0</v>
      </c>
      <c r="I3221" s="10">
        <f t="shared" si="209"/>
        <v>0</v>
      </c>
    </row>
    <row r="3222" spans="1:9" x14ac:dyDescent="0.25">
      <c r="A3222" s="11" t="s">
        <v>8226</v>
      </c>
      <c r="B3222" s="11" t="s">
        <v>8227</v>
      </c>
      <c r="C3222" s="11" t="s">
        <v>28</v>
      </c>
      <c r="D3222" s="4" t="s">
        <v>1406</v>
      </c>
      <c r="E3222" t="s">
        <v>30</v>
      </c>
      <c r="F3222" s="9">
        <f t="shared" si="206"/>
        <v>0</v>
      </c>
      <c r="G3222" s="9">
        <f t="shared" si="207"/>
        <v>0</v>
      </c>
      <c r="H3222" s="9">
        <f t="shared" si="208"/>
        <v>0</v>
      </c>
      <c r="I3222" s="10">
        <f t="shared" si="209"/>
        <v>0</v>
      </c>
    </row>
    <row r="3223" spans="1:9" x14ac:dyDescent="0.25">
      <c r="A3223" s="11" t="s">
        <v>8228</v>
      </c>
      <c r="B3223" s="11" t="s">
        <v>8229</v>
      </c>
      <c r="C3223" s="11" t="s">
        <v>28</v>
      </c>
      <c r="D3223" s="4" t="s">
        <v>1406</v>
      </c>
      <c r="E3223" t="s">
        <v>30</v>
      </c>
      <c r="F3223" s="9">
        <f t="shared" si="206"/>
        <v>0</v>
      </c>
      <c r="G3223" s="9">
        <f t="shared" si="207"/>
        <v>0</v>
      </c>
      <c r="H3223" s="9">
        <f t="shared" si="208"/>
        <v>0</v>
      </c>
      <c r="I3223" s="10">
        <f t="shared" si="209"/>
        <v>0</v>
      </c>
    </row>
    <row r="3224" spans="1:9" x14ac:dyDescent="0.25">
      <c r="A3224" s="11" t="s">
        <v>8230</v>
      </c>
      <c r="B3224" s="11" t="s">
        <v>8231</v>
      </c>
      <c r="C3224" s="11" t="s">
        <v>28</v>
      </c>
      <c r="D3224" s="4" t="s">
        <v>1406</v>
      </c>
      <c r="E3224" t="s">
        <v>30</v>
      </c>
      <c r="F3224" s="9">
        <f t="shared" si="206"/>
        <v>0</v>
      </c>
      <c r="G3224" s="9">
        <f t="shared" si="207"/>
        <v>0</v>
      </c>
      <c r="H3224" s="9">
        <f t="shared" si="208"/>
        <v>0</v>
      </c>
      <c r="I3224" s="10">
        <f t="shared" si="209"/>
        <v>0</v>
      </c>
    </row>
    <row r="3225" spans="1:9" x14ac:dyDescent="0.25">
      <c r="A3225" s="11" t="s">
        <v>8232</v>
      </c>
      <c r="B3225" s="11" t="s">
        <v>8233</v>
      </c>
      <c r="C3225" s="11" t="s">
        <v>28</v>
      </c>
      <c r="D3225" s="4" t="s">
        <v>1406</v>
      </c>
      <c r="E3225" t="s">
        <v>30</v>
      </c>
      <c r="F3225" s="9">
        <f t="shared" si="206"/>
        <v>0</v>
      </c>
      <c r="G3225" s="9">
        <f t="shared" si="207"/>
        <v>0</v>
      </c>
      <c r="H3225" s="9">
        <f t="shared" si="208"/>
        <v>0</v>
      </c>
      <c r="I3225" s="10">
        <f t="shared" si="209"/>
        <v>0</v>
      </c>
    </row>
    <row r="3226" spans="1:9" x14ac:dyDescent="0.25">
      <c r="A3226" s="11" t="s">
        <v>8234</v>
      </c>
      <c r="B3226" s="11" t="s">
        <v>8235</v>
      </c>
      <c r="C3226" s="11" t="s">
        <v>28</v>
      </c>
      <c r="D3226" s="4" t="s">
        <v>1406</v>
      </c>
      <c r="E3226" t="s">
        <v>30</v>
      </c>
      <c r="F3226" s="9">
        <f t="shared" si="206"/>
        <v>0</v>
      </c>
      <c r="G3226" s="9">
        <f t="shared" si="207"/>
        <v>0</v>
      </c>
      <c r="H3226" s="9">
        <f t="shared" si="208"/>
        <v>0</v>
      </c>
      <c r="I3226" s="10">
        <f t="shared" si="209"/>
        <v>0</v>
      </c>
    </row>
    <row r="3227" spans="1:9" x14ac:dyDescent="0.25">
      <c r="A3227" s="11" t="s">
        <v>8236</v>
      </c>
      <c r="B3227" s="11" t="s">
        <v>8237</v>
      </c>
      <c r="C3227" s="11" t="s">
        <v>28</v>
      </c>
      <c r="D3227" s="4" t="s">
        <v>1406</v>
      </c>
      <c r="E3227" t="s">
        <v>30</v>
      </c>
      <c r="F3227" s="9">
        <f t="shared" si="206"/>
        <v>0</v>
      </c>
      <c r="G3227" s="9">
        <f t="shared" si="207"/>
        <v>0</v>
      </c>
      <c r="H3227" s="9">
        <f t="shared" si="208"/>
        <v>0</v>
      </c>
      <c r="I3227" s="10">
        <f t="shared" si="209"/>
        <v>0</v>
      </c>
    </row>
    <row r="3228" spans="1:9" x14ac:dyDescent="0.25">
      <c r="A3228" s="11" t="s">
        <v>8238</v>
      </c>
      <c r="B3228" s="11" t="s">
        <v>8239</v>
      </c>
      <c r="C3228" s="11" t="s">
        <v>28</v>
      </c>
      <c r="D3228" s="4" t="s">
        <v>1406</v>
      </c>
      <c r="E3228" t="s">
        <v>30</v>
      </c>
      <c r="F3228" s="9">
        <f t="shared" si="206"/>
        <v>0</v>
      </c>
      <c r="G3228" s="9">
        <f t="shared" si="207"/>
        <v>0</v>
      </c>
      <c r="H3228" s="9">
        <f t="shared" si="208"/>
        <v>0</v>
      </c>
      <c r="I3228" s="10">
        <f t="shared" si="209"/>
        <v>0</v>
      </c>
    </row>
    <row r="3229" spans="1:9" x14ac:dyDescent="0.25">
      <c r="A3229" s="11" t="s">
        <v>8240</v>
      </c>
      <c r="B3229" s="11" t="s">
        <v>8241</v>
      </c>
      <c r="C3229" s="11" t="s">
        <v>28</v>
      </c>
      <c r="D3229" s="4" t="s">
        <v>1406</v>
      </c>
      <c r="E3229" t="s">
        <v>30</v>
      </c>
      <c r="F3229" s="9">
        <f t="shared" si="206"/>
        <v>0</v>
      </c>
      <c r="G3229" s="9">
        <f t="shared" si="207"/>
        <v>0</v>
      </c>
      <c r="H3229" s="9">
        <f t="shared" si="208"/>
        <v>0</v>
      </c>
      <c r="I3229" s="10">
        <f t="shared" si="209"/>
        <v>0</v>
      </c>
    </row>
    <row r="3230" spans="1:9" x14ac:dyDescent="0.25">
      <c r="A3230" s="11" t="s">
        <v>8242</v>
      </c>
      <c r="B3230" s="11" t="s">
        <v>8243</v>
      </c>
      <c r="C3230" s="11" t="s">
        <v>28</v>
      </c>
      <c r="D3230" s="4" t="s">
        <v>1406</v>
      </c>
      <c r="E3230" t="s">
        <v>30</v>
      </c>
      <c r="F3230" s="9">
        <f t="shared" si="206"/>
        <v>0</v>
      </c>
      <c r="G3230" s="9">
        <f t="shared" si="207"/>
        <v>0</v>
      </c>
      <c r="H3230" s="9">
        <f t="shared" si="208"/>
        <v>0</v>
      </c>
      <c r="I3230" s="10">
        <f t="shared" si="209"/>
        <v>0</v>
      </c>
    </row>
    <row r="3231" spans="1:9" x14ac:dyDescent="0.25">
      <c r="A3231" s="11" t="s">
        <v>8244</v>
      </c>
      <c r="B3231" s="11" t="s">
        <v>8245</v>
      </c>
      <c r="C3231" s="11" t="s">
        <v>28</v>
      </c>
      <c r="D3231" s="4" t="s">
        <v>1406</v>
      </c>
      <c r="E3231" t="s">
        <v>30</v>
      </c>
      <c r="F3231" s="9">
        <f t="shared" si="206"/>
        <v>0</v>
      </c>
      <c r="G3231" s="9">
        <f t="shared" si="207"/>
        <v>0</v>
      </c>
      <c r="H3231" s="9">
        <f t="shared" si="208"/>
        <v>0</v>
      </c>
      <c r="I3231" s="10">
        <f t="shared" si="209"/>
        <v>0</v>
      </c>
    </row>
    <row r="3232" spans="1:9" x14ac:dyDescent="0.25">
      <c r="A3232" s="11" t="s">
        <v>8246</v>
      </c>
      <c r="B3232" s="11" t="s">
        <v>8247</v>
      </c>
      <c r="C3232" s="11" t="s">
        <v>28</v>
      </c>
      <c r="D3232" s="4" t="s">
        <v>1406</v>
      </c>
      <c r="E3232" t="s">
        <v>30</v>
      </c>
      <c r="F3232" s="9">
        <f t="shared" si="206"/>
        <v>0</v>
      </c>
      <c r="G3232" s="9">
        <f t="shared" si="207"/>
        <v>0</v>
      </c>
      <c r="H3232" s="9">
        <f t="shared" si="208"/>
        <v>0</v>
      </c>
      <c r="I3232" s="10">
        <f t="shared" si="209"/>
        <v>0</v>
      </c>
    </row>
    <row r="3233" spans="1:9" x14ac:dyDescent="0.25">
      <c r="A3233" s="11" t="s">
        <v>8248</v>
      </c>
      <c r="B3233" s="11" t="s">
        <v>8249</v>
      </c>
      <c r="C3233" s="11" t="s">
        <v>28</v>
      </c>
      <c r="D3233" s="4" t="s">
        <v>1406</v>
      </c>
      <c r="E3233" t="s">
        <v>30</v>
      </c>
      <c r="F3233" s="9">
        <f t="shared" si="206"/>
        <v>0</v>
      </c>
      <c r="G3233" s="9">
        <f t="shared" si="207"/>
        <v>0</v>
      </c>
      <c r="H3233" s="9">
        <f t="shared" si="208"/>
        <v>0</v>
      </c>
      <c r="I3233" s="10">
        <f t="shared" si="209"/>
        <v>0</v>
      </c>
    </row>
    <row r="3234" spans="1:9" x14ac:dyDescent="0.25">
      <c r="A3234" s="11" t="s">
        <v>8250</v>
      </c>
      <c r="B3234" s="11" t="s">
        <v>8251</v>
      </c>
      <c r="C3234" s="11" t="s">
        <v>28</v>
      </c>
      <c r="D3234" s="4" t="s">
        <v>1406</v>
      </c>
      <c r="E3234" t="s">
        <v>30</v>
      </c>
      <c r="F3234" s="9">
        <f t="shared" si="206"/>
        <v>0</v>
      </c>
      <c r="G3234" s="9">
        <f t="shared" si="207"/>
        <v>0</v>
      </c>
      <c r="H3234" s="9">
        <f t="shared" si="208"/>
        <v>0</v>
      </c>
      <c r="I3234" s="10">
        <f t="shared" si="209"/>
        <v>0</v>
      </c>
    </row>
    <row r="3235" spans="1:9" x14ac:dyDescent="0.25">
      <c r="A3235" s="11" t="s">
        <v>8252</v>
      </c>
      <c r="B3235" s="11" t="s">
        <v>8253</v>
      </c>
      <c r="C3235" s="11" t="s">
        <v>28</v>
      </c>
      <c r="D3235" s="4" t="s">
        <v>1406</v>
      </c>
      <c r="E3235" t="s">
        <v>30</v>
      </c>
      <c r="F3235" s="9">
        <f t="shared" si="206"/>
        <v>0</v>
      </c>
      <c r="G3235" s="9">
        <f t="shared" si="207"/>
        <v>0</v>
      </c>
      <c r="H3235" s="9">
        <f t="shared" si="208"/>
        <v>0</v>
      </c>
      <c r="I3235" s="10">
        <f t="shared" si="209"/>
        <v>0</v>
      </c>
    </row>
    <row r="3236" spans="1:9" x14ac:dyDescent="0.25">
      <c r="A3236" s="11" t="s">
        <v>8254</v>
      </c>
      <c r="B3236" s="11" t="s">
        <v>8255</v>
      </c>
      <c r="C3236" s="11" t="s">
        <v>28</v>
      </c>
      <c r="D3236" s="4" t="s">
        <v>1406</v>
      </c>
      <c r="E3236" t="s">
        <v>30</v>
      </c>
      <c r="F3236" s="9">
        <f t="shared" si="206"/>
        <v>0</v>
      </c>
      <c r="G3236" s="9">
        <f t="shared" si="207"/>
        <v>0</v>
      </c>
      <c r="H3236" s="9">
        <f t="shared" si="208"/>
        <v>0</v>
      </c>
      <c r="I3236" s="10">
        <f t="shared" si="209"/>
        <v>0</v>
      </c>
    </row>
    <row r="3237" spans="1:9" x14ac:dyDescent="0.25">
      <c r="A3237" s="11" t="s">
        <v>8256</v>
      </c>
      <c r="B3237" s="11" t="s">
        <v>8257</v>
      </c>
      <c r="C3237" s="11" t="s">
        <v>28</v>
      </c>
      <c r="D3237" s="4" t="s">
        <v>1406</v>
      </c>
      <c r="E3237" t="s">
        <v>30</v>
      </c>
      <c r="F3237" s="9">
        <f t="shared" si="206"/>
        <v>0</v>
      </c>
      <c r="G3237" s="9">
        <f t="shared" si="207"/>
        <v>0</v>
      </c>
      <c r="H3237" s="9">
        <f t="shared" si="208"/>
        <v>0</v>
      </c>
      <c r="I3237" s="10">
        <f t="shared" si="209"/>
        <v>0</v>
      </c>
    </row>
    <row r="3238" spans="1:9" x14ac:dyDescent="0.25">
      <c r="A3238" s="11" t="s">
        <v>8258</v>
      </c>
      <c r="B3238" s="11" t="s">
        <v>8259</v>
      </c>
      <c r="C3238" s="11" t="s">
        <v>28</v>
      </c>
      <c r="D3238" s="4" t="s">
        <v>1406</v>
      </c>
      <c r="E3238" t="s">
        <v>30</v>
      </c>
      <c r="F3238" s="9">
        <f t="shared" si="206"/>
        <v>0</v>
      </c>
      <c r="G3238" s="9">
        <f t="shared" si="207"/>
        <v>0</v>
      </c>
      <c r="H3238" s="9">
        <f t="shared" si="208"/>
        <v>0</v>
      </c>
      <c r="I3238" s="10">
        <f t="shared" si="209"/>
        <v>0</v>
      </c>
    </row>
    <row r="3239" spans="1:9" x14ac:dyDescent="0.25">
      <c r="A3239" s="11" t="s">
        <v>8260</v>
      </c>
      <c r="B3239" s="11" t="s">
        <v>8261</v>
      </c>
      <c r="C3239" s="11" t="s">
        <v>28</v>
      </c>
      <c r="D3239" s="4" t="s">
        <v>1406</v>
      </c>
      <c r="E3239" t="s">
        <v>30</v>
      </c>
      <c r="F3239" s="9">
        <f t="shared" si="206"/>
        <v>0</v>
      </c>
      <c r="G3239" s="9">
        <f t="shared" si="207"/>
        <v>0</v>
      </c>
      <c r="H3239" s="9">
        <f t="shared" si="208"/>
        <v>0</v>
      </c>
      <c r="I3239" s="10">
        <f t="shared" si="209"/>
        <v>0</v>
      </c>
    </row>
    <row r="3240" spans="1:9" x14ac:dyDescent="0.25">
      <c r="A3240" s="11" t="s">
        <v>8262</v>
      </c>
      <c r="B3240" s="11" t="s">
        <v>8263</v>
      </c>
      <c r="C3240" s="11" t="s">
        <v>28</v>
      </c>
      <c r="D3240" s="4" t="s">
        <v>1406</v>
      </c>
      <c r="E3240" t="s">
        <v>30</v>
      </c>
      <c r="F3240" s="9">
        <f t="shared" si="206"/>
        <v>0</v>
      </c>
      <c r="G3240" s="9">
        <f t="shared" si="207"/>
        <v>0</v>
      </c>
      <c r="H3240" s="9">
        <f t="shared" si="208"/>
        <v>0</v>
      </c>
      <c r="I3240" s="10">
        <f t="shared" si="209"/>
        <v>0</v>
      </c>
    </row>
    <row r="3241" spans="1:9" x14ac:dyDescent="0.25">
      <c r="A3241" s="11" t="s">
        <v>8264</v>
      </c>
      <c r="B3241" s="11" t="s">
        <v>8265</v>
      </c>
      <c r="C3241" s="11" t="s">
        <v>28</v>
      </c>
      <c r="D3241" s="4" t="s">
        <v>1406</v>
      </c>
      <c r="E3241" t="s">
        <v>30</v>
      </c>
      <c r="F3241" s="9">
        <f t="shared" si="206"/>
        <v>0</v>
      </c>
      <c r="G3241" s="9">
        <f t="shared" si="207"/>
        <v>0</v>
      </c>
      <c r="H3241" s="9">
        <f t="shared" si="208"/>
        <v>0</v>
      </c>
      <c r="I3241" s="10">
        <f t="shared" si="209"/>
        <v>0</v>
      </c>
    </row>
    <row r="3242" spans="1:9" x14ac:dyDescent="0.25">
      <c r="A3242" s="11" t="s">
        <v>8266</v>
      </c>
      <c r="B3242" s="11" t="s">
        <v>8267</v>
      </c>
      <c r="C3242" s="11" t="s">
        <v>28</v>
      </c>
      <c r="D3242" s="4" t="s">
        <v>1406</v>
      </c>
      <c r="E3242" t="s">
        <v>30</v>
      </c>
      <c r="F3242" s="9">
        <f t="shared" si="206"/>
        <v>0</v>
      </c>
      <c r="G3242" s="9">
        <f t="shared" si="207"/>
        <v>0</v>
      </c>
      <c r="H3242" s="9">
        <f t="shared" si="208"/>
        <v>0</v>
      </c>
      <c r="I3242" s="10">
        <f t="shared" si="209"/>
        <v>0</v>
      </c>
    </row>
    <row r="3243" spans="1:9" x14ac:dyDescent="0.25">
      <c r="A3243" s="11" t="s">
        <v>8268</v>
      </c>
      <c r="B3243" s="11" t="s">
        <v>8269</v>
      </c>
      <c r="C3243" s="11" t="s">
        <v>28</v>
      </c>
      <c r="D3243" s="4" t="s">
        <v>1406</v>
      </c>
      <c r="E3243" t="s">
        <v>30</v>
      </c>
      <c r="F3243" s="9">
        <f t="shared" si="206"/>
        <v>0</v>
      </c>
      <c r="G3243" s="9">
        <f t="shared" si="207"/>
        <v>0</v>
      </c>
      <c r="H3243" s="9">
        <f t="shared" si="208"/>
        <v>0</v>
      </c>
      <c r="I3243" s="10">
        <f t="shared" si="209"/>
        <v>0</v>
      </c>
    </row>
    <row r="3244" spans="1:9" x14ac:dyDescent="0.25">
      <c r="A3244" s="11" t="s">
        <v>8270</v>
      </c>
      <c r="B3244" s="11" t="s">
        <v>8271</v>
      </c>
      <c r="C3244" s="11" t="s">
        <v>28</v>
      </c>
      <c r="D3244" s="4" t="s">
        <v>1406</v>
      </c>
      <c r="E3244" t="s">
        <v>30</v>
      </c>
      <c r="F3244" s="9">
        <f t="shared" si="206"/>
        <v>0</v>
      </c>
      <c r="G3244" s="9">
        <f t="shared" si="207"/>
        <v>0</v>
      </c>
      <c r="H3244" s="9">
        <f t="shared" si="208"/>
        <v>0</v>
      </c>
      <c r="I3244" s="10">
        <f t="shared" si="209"/>
        <v>0</v>
      </c>
    </row>
    <row r="3245" spans="1:9" x14ac:dyDescent="0.25">
      <c r="A3245" s="11" t="s">
        <v>8272</v>
      </c>
      <c r="B3245" s="11" t="s">
        <v>8273</v>
      </c>
      <c r="C3245" s="11" t="s">
        <v>28</v>
      </c>
      <c r="D3245" s="4" t="s">
        <v>1406</v>
      </c>
      <c r="E3245" t="s">
        <v>30</v>
      </c>
      <c r="F3245" s="9">
        <f t="shared" si="206"/>
        <v>0</v>
      </c>
      <c r="G3245" s="9">
        <f t="shared" si="207"/>
        <v>0</v>
      </c>
      <c r="H3245" s="9">
        <f t="shared" si="208"/>
        <v>0</v>
      </c>
      <c r="I3245" s="10">
        <f t="shared" si="209"/>
        <v>0</v>
      </c>
    </row>
    <row r="3246" spans="1:9" x14ac:dyDescent="0.25">
      <c r="A3246" s="11" t="s">
        <v>8274</v>
      </c>
      <c r="B3246" s="11" t="s">
        <v>8275</v>
      </c>
      <c r="C3246" s="11" t="s">
        <v>28</v>
      </c>
      <c r="D3246" s="4" t="s">
        <v>1406</v>
      </c>
      <c r="E3246" t="s">
        <v>30</v>
      </c>
      <c r="F3246" s="9">
        <f t="shared" si="206"/>
        <v>0</v>
      </c>
      <c r="G3246" s="9">
        <f t="shared" si="207"/>
        <v>0</v>
      </c>
      <c r="H3246" s="9">
        <f t="shared" si="208"/>
        <v>0</v>
      </c>
      <c r="I3246" s="10">
        <f t="shared" si="209"/>
        <v>0</v>
      </c>
    </row>
    <row r="3247" spans="1:9" x14ac:dyDescent="0.25">
      <c r="A3247" s="11" t="s">
        <v>8276</v>
      </c>
      <c r="B3247" s="11" t="s">
        <v>8277</v>
      </c>
      <c r="C3247" s="11" t="s">
        <v>3550</v>
      </c>
      <c r="D3247" s="4" t="s">
        <v>1406</v>
      </c>
      <c r="E3247" t="s">
        <v>82</v>
      </c>
      <c r="F3247" s="9">
        <f t="shared" si="206"/>
        <v>0</v>
      </c>
      <c r="G3247" s="9">
        <f t="shared" si="207"/>
        <v>0</v>
      </c>
      <c r="H3247" s="9">
        <f t="shared" si="208"/>
        <v>0</v>
      </c>
      <c r="I3247" s="10">
        <f t="shared" si="209"/>
        <v>0</v>
      </c>
    </row>
    <row r="3248" spans="1:9" x14ac:dyDescent="0.25">
      <c r="A3248" s="11" t="s">
        <v>8278</v>
      </c>
      <c r="B3248" s="11" t="s">
        <v>8279</v>
      </c>
      <c r="C3248" s="11" t="s">
        <v>3550</v>
      </c>
      <c r="D3248" s="4" t="s">
        <v>1406</v>
      </c>
      <c r="E3248" t="s">
        <v>489</v>
      </c>
      <c r="F3248" s="9">
        <f t="shared" si="206"/>
        <v>0</v>
      </c>
      <c r="G3248" s="9">
        <f t="shared" si="207"/>
        <v>0</v>
      </c>
      <c r="H3248" s="9">
        <f t="shared" si="208"/>
        <v>0</v>
      </c>
      <c r="I3248" s="10">
        <f t="shared" si="209"/>
        <v>0</v>
      </c>
    </row>
    <row r="3249" spans="1:9" x14ac:dyDescent="0.25">
      <c r="A3249" s="11" t="s">
        <v>8280</v>
      </c>
      <c r="B3249" s="11" t="s">
        <v>8281</v>
      </c>
      <c r="C3249" s="11" t="s">
        <v>3550</v>
      </c>
      <c r="D3249" s="4" t="s">
        <v>1406</v>
      </c>
      <c r="E3249" t="s">
        <v>82</v>
      </c>
      <c r="F3249" s="9">
        <f t="shared" si="206"/>
        <v>0</v>
      </c>
      <c r="G3249" s="9">
        <f t="shared" si="207"/>
        <v>0</v>
      </c>
      <c r="H3249" s="9">
        <f t="shared" si="208"/>
        <v>0</v>
      </c>
      <c r="I3249" s="10">
        <f t="shared" si="209"/>
        <v>0</v>
      </c>
    </row>
    <row r="3250" spans="1:9" x14ac:dyDescent="0.25">
      <c r="A3250" s="11" t="s">
        <v>8282</v>
      </c>
      <c r="B3250" s="11" t="s">
        <v>8283</v>
      </c>
      <c r="C3250" s="11" t="s">
        <v>3550</v>
      </c>
      <c r="D3250" s="4" t="s">
        <v>1406</v>
      </c>
      <c r="E3250" t="s">
        <v>30</v>
      </c>
      <c r="F3250" s="9">
        <f t="shared" si="206"/>
        <v>0</v>
      </c>
      <c r="G3250" s="9">
        <f t="shared" si="207"/>
        <v>0</v>
      </c>
      <c r="H3250" s="9">
        <f t="shared" si="208"/>
        <v>0</v>
      </c>
      <c r="I3250" s="10">
        <f t="shared" si="209"/>
        <v>0</v>
      </c>
    </row>
    <row r="3251" spans="1:9" x14ac:dyDescent="0.25">
      <c r="A3251" s="11" t="s">
        <v>8284</v>
      </c>
      <c r="B3251" s="11" t="s">
        <v>8285</v>
      </c>
      <c r="C3251" s="11" t="s">
        <v>3550</v>
      </c>
      <c r="D3251" s="4" t="s">
        <v>1406</v>
      </c>
      <c r="E3251" t="s">
        <v>30</v>
      </c>
      <c r="F3251" s="9">
        <f t="shared" si="206"/>
        <v>0</v>
      </c>
      <c r="G3251" s="9">
        <f t="shared" si="207"/>
        <v>0</v>
      </c>
      <c r="H3251" s="9">
        <f t="shared" si="208"/>
        <v>0</v>
      </c>
      <c r="I3251" s="10">
        <f t="shared" si="209"/>
        <v>0</v>
      </c>
    </row>
    <row r="3252" spans="1:9" x14ac:dyDescent="0.25">
      <c r="A3252" s="11" t="s">
        <v>8286</v>
      </c>
      <c r="B3252" s="11" t="s">
        <v>8287</v>
      </c>
      <c r="C3252" s="11" t="s">
        <v>3550</v>
      </c>
      <c r="D3252" s="4" t="s">
        <v>1406</v>
      </c>
      <c r="E3252" t="s">
        <v>30</v>
      </c>
      <c r="F3252" s="9">
        <f t="shared" si="206"/>
        <v>0</v>
      </c>
      <c r="G3252" s="9">
        <f t="shared" si="207"/>
        <v>0</v>
      </c>
      <c r="H3252" s="9">
        <f t="shared" si="208"/>
        <v>0</v>
      </c>
      <c r="I3252" s="10">
        <f t="shared" si="209"/>
        <v>0</v>
      </c>
    </row>
    <row r="3253" spans="1:9" x14ac:dyDescent="0.25">
      <c r="A3253" s="11" t="s">
        <v>8288</v>
      </c>
      <c r="B3253" s="11" t="s">
        <v>8289</v>
      </c>
      <c r="C3253" s="11" t="s">
        <v>3550</v>
      </c>
      <c r="D3253" s="4" t="s">
        <v>1406</v>
      </c>
      <c r="E3253" t="s">
        <v>30</v>
      </c>
      <c r="F3253" s="9">
        <f t="shared" si="206"/>
        <v>0</v>
      </c>
      <c r="G3253" s="9">
        <f t="shared" si="207"/>
        <v>0</v>
      </c>
      <c r="H3253" s="9">
        <f t="shared" si="208"/>
        <v>0</v>
      </c>
      <c r="I3253" s="10">
        <f t="shared" si="209"/>
        <v>0</v>
      </c>
    </row>
    <row r="3254" spans="1:9" x14ac:dyDescent="0.25">
      <c r="A3254" s="11" t="s">
        <v>8290</v>
      </c>
      <c r="B3254" s="11" t="s">
        <v>8291</v>
      </c>
      <c r="C3254" s="11" t="s">
        <v>3550</v>
      </c>
      <c r="D3254" s="4" t="s">
        <v>1406</v>
      </c>
      <c r="E3254" t="s">
        <v>30</v>
      </c>
      <c r="F3254" s="9">
        <f t="shared" si="206"/>
        <v>0</v>
      </c>
      <c r="G3254" s="9">
        <f t="shared" si="207"/>
        <v>0</v>
      </c>
      <c r="H3254" s="9">
        <f t="shared" si="208"/>
        <v>0</v>
      </c>
      <c r="I3254" s="10">
        <f t="shared" si="209"/>
        <v>0</v>
      </c>
    </row>
    <row r="3255" spans="1:9" x14ac:dyDescent="0.25">
      <c r="A3255" s="11" t="s">
        <v>8292</v>
      </c>
      <c r="B3255" s="11" t="s">
        <v>8293</v>
      </c>
      <c r="C3255" s="11" t="s">
        <v>3550</v>
      </c>
      <c r="D3255" s="4" t="s">
        <v>1406</v>
      </c>
      <c r="E3255" t="s">
        <v>30</v>
      </c>
      <c r="F3255" s="9">
        <f t="shared" si="206"/>
        <v>0</v>
      </c>
      <c r="G3255" s="9">
        <f t="shared" si="207"/>
        <v>0</v>
      </c>
      <c r="H3255" s="9">
        <f t="shared" si="208"/>
        <v>0</v>
      </c>
      <c r="I3255" s="10">
        <f t="shared" si="209"/>
        <v>0</v>
      </c>
    </row>
    <row r="3256" spans="1:9" x14ac:dyDescent="0.25">
      <c r="A3256" s="11" t="s">
        <v>8294</v>
      </c>
      <c r="B3256" s="11" t="s">
        <v>8295</v>
      </c>
      <c r="C3256" s="11" t="s">
        <v>3550</v>
      </c>
      <c r="D3256" s="4" t="s">
        <v>1406</v>
      </c>
      <c r="E3256" t="s">
        <v>30</v>
      </c>
      <c r="F3256" s="9">
        <f t="shared" si="206"/>
        <v>0</v>
      </c>
      <c r="G3256" s="9">
        <f t="shared" si="207"/>
        <v>0</v>
      </c>
      <c r="H3256" s="9">
        <f t="shared" si="208"/>
        <v>0</v>
      </c>
      <c r="I3256" s="10">
        <f t="shared" si="209"/>
        <v>0</v>
      </c>
    </row>
    <row r="3257" spans="1:9" x14ac:dyDescent="0.25">
      <c r="A3257" s="11" t="s">
        <v>8296</v>
      </c>
      <c r="B3257" s="11" t="s">
        <v>8297</v>
      </c>
      <c r="C3257" s="11" t="s">
        <v>3550</v>
      </c>
      <c r="D3257" s="4" t="s">
        <v>1406</v>
      </c>
      <c r="E3257" t="s">
        <v>30</v>
      </c>
      <c r="F3257" s="9">
        <f t="shared" si="206"/>
        <v>0</v>
      </c>
      <c r="G3257" s="9">
        <f t="shared" si="207"/>
        <v>0</v>
      </c>
      <c r="H3257" s="9">
        <f t="shared" si="208"/>
        <v>0</v>
      </c>
      <c r="I3257" s="10">
        <f t="shared" si="209"/>
        <v>0</v>
      </c>
    </row>
    <row r="3258" spans="1:9" x14ac:dyDescent="0.25">
      <c r="A3258" s="11" t="s">
        <v>8298</v>
      </c>
      <c r="B3258" s="11" t="s">
        <v>8299</v>
      </c>
      <c r="C3258" s="11" t="s">
        <v>3550</v>
      </c>
      <c r="D3258" s="4" t="s">
        <v>1406</v>
      </c>
      <c r="E3258" t="s">
        <v>489</v>
      </c>
      <c r="F3258" s="9">
        <f t="shared" si="206"/>
        <v>0</v>
      </c>
      <c r="G3258" s="9">
        <f t="shared" si="207"/>
        <v>0</v>
      </c>
      <c r="H3258" s="9">
        <f t="shared" si="208"/>
        <v>0</v>
      </c>
      <c r="I3258" s="10">
        <f t="shared" si="209"/>
        <v>0</v>
      </c>
    </row>
    <row r="3259" spans="1:9" x14ac:dyDescent="0.25">
      <c r="A3259" s="11" t="s">
        <v>8300</v>
      </c>
      <c r="B3259" s="11" t="s">
        <v>8301</v>
      </c>
      <c r="C3259" s="11" t="s">
        <v>3550</v>
      </c>
      <c r="D3259" s="4" t="s">
        <v>1406</v>
      </c>
      <c r="E3259" t="s">
        <v>489</v>
      </c>
      <c r="F3259" s="9">
        <f t="shared" si="206"/>
        <v>0</v>
      </c>
      <c r="G3259" s="9">
        <f t="shared" si="207"/>
        <v>0</v>
      </c>
      <c r="H3259" s="9">
        <f t="shared" si="208"/>
        <v>0</v>
      </c>
      <c r="I3259" s="10">
        <f t="shared" si="209"/>
        <v>0</v>
      </c>
    </row>
    <row r="3260" spans="1:9" x14ac:dyDescent="0.25">
      <c r="A3260" s="11" t="s">
        <v>8302</v>
      </c>
      <c r="B3260" s="11" t="s">
        <v>8303</v>
      </c>
      <c r="C3260" s="11" t="s">
        <v>3550</v>
      </c>
      <c r="D3260" s="4" t="s">
        <v>1406</v>
      </c>
      <c r="E3260" t="s">
        <v>489</v>
      </c>
      <c r="F3260" s="9">
        <f t="shared" si="206"/>
        <v>0</v>
      </c>
      <c r="G3260" s="9">
        <f t="shared" si="207"/>
        <v>0</v>
      </c>
      <c r="H3260" s="9">
        <f t="shared" si="208"/>
        <v>0</v>
      </c>
      <c r="I3260" s="10">
        <f t="shared" si="209"/>
        <v>0</v>
      </c>
    </row>
    <row r="3261" spans="1:9" x14ac:dyDescent="0.25">
      <c r="A3261" s="11" t="s">
        <v>8304</v>
      </c>
      <c r="B3261" s="11" t="s">
        <v>8305</v>
      </c>
      <c r="C3261" s="11" t="s">
        <v>3550</v>
      </c>
      <c r="D3261" s="4" t="s">
        <v>1406</v>
      </c>
      <c r="E3261" t="s">
        <v>489</v>
      </c>
      <c r="F3261" s="9">
        <f t="shared" si="206"/>
        <v>0</v>
      </c>
      <c r="G3261" s="9">
        <f t="shared" si="207"/>
        <v>0</v>
      </c>
      <c r="H3261" s="9">
        <f t="shared" si="208"/>
        <v>0</v>
      </c>
      <c r="I3261" s="10">
        <f t="shared" si="209"/>
        <v>0</v>
      </c>
    </row>
    <row r="3262" spans="1:9" x14ac:dyDescent="0.25">
      <c r="A3262" s="11" t="s">
        <v>8306</v>
      </c>
      <c r="B3262" s="11" t="s">
        <v>8307</v>
      </c>
      <c r="C3262" s="11" t="s">
        <v>3550</v>
      </c>
      <c r="D3262" s="4" t="s">
        <v>1406</v>
      </c>
      <c r="E3262" t="s">
        <v>30</v>
      </c>
      <c r="F3262" s="9">
        <f t="shared" si="206"/>
        <v>0</v>
      </c>
      <c r="G3262" s="9">
        <f t="shared" si="207"/>
        <v>0</v>
      </c>
      <c r="H3262" s="9">
        <f t="shared" si="208"/>
        <v>0</v>
      </c>
      <c r="I3262" s="10">
        <f t="shared" si="209"/>
        <v>0</v>
      </c>
    </row>
    <row r="3263" spans="1:9" x14ac:dyDescent="0.25">
      <c r="A3263" s="11" t="s">
        <v>8308</v>
      </c>
      <c r="B3263" s="11" t="s">
        <v>8309</v>
      </c>
      <c r="C3263" s="11" t="s">
        <v>3550</v>
      </c>
      <c r="D3263" s="4" t="s">
        <v>1406</v>
      </c>
      <c r="E3263" t="s">
        <v>489</v>
      </c>
      <c r="F3263" s="9">
        <f t="shared" si="206"/>
        <v>0</v>
      </c>
      <c r="G3263" s="9">
        <f t="shared" si="207"/>
        <v>0</v>
      </c>
      <c r="H3263" s="9">
        <f t="shared" si="208"/>
        <v>0</v>
      </c>
      <c r="I3263" s="10">
        <f t="shared" si="209"/>
        <v>0</v>
      </c>
    </row>
    <row r="3264" spans="1:9" x14ac:dyDescent="0.25">
      <c r="A3264" s="11" t="s">
        <v>8310</v>
      </c>
      <c r="B3264" s="11" t="s">
        <v>8311</v>
      </c>
      <c r="C3264" s="11" t="s">
        <v>3550</v>
      </c>
      <c r="D3264" s="4" t="s">
        <v>1406</v>
      </c>
      <c r="E3264" t="s">
        <v>489</v>
      </c>
      <c r="F3264" s="9">
        <f t="shared" si="206"/>
        <v>0</v>
      </c>
      <c r="G3264" s="9">
        <f t="shared" si="207"/>
        <v>0</v>
      </c>
      <c r="H3264" s="9">
        <f t="shared" si="208"/>
        <v>0</v>
      </c>
      <c r="I3264" s="10">
        <f t="shared" si="209"/>
        <v>0</v>
      </c>
    </row>
    <row r="3265" spans="1:9" x14ac:dyDescent="0.25">
      <c r="A3265" s="11" t="s">
        <v>8312</v>
      </c>
      <c r="B3265" s="11" t="s">
        <v>8313</v>
      </c>
      <c r="C3265" s="11" t="s">
        <v>3550</v>
      </c>
      <c r="D3265" s="4" t="s">
        <v>1406</v>
      </c>
      <c r="E3265" t="s">
        <v>489</v>
      </c>
      <c r="F3265" s="9">
        <f t="shared" si="206"/>
        <v>0</v>
      </c>
      <c r="G3265" s="9">
        <f t="shared" si="207"/>
        <v>0</v>
      </c>
      <c r="H3265" s="9">
        <f t="shared" si="208"/>
        <v>0</v>
      </c>
      <c r="I3265" s="10">
        <f t="shared" si="209"/>
        <v>0</v>
      </c>
    </row>
    <row r="3266" spans="1:9" x14ac:dyDescent="0.25">
      <c r="A3266" s="11" t="s">
        <v>8314</v>
      </c>
      <c r="B3266" s="11" t="s">
        <v>8315</v>
      </c>
      <c r="C3266" s="11" t="s">
        <v>3550</v>
      </c>
      <c r="D3266" s="4" t="s">
        <v>1406</v>
      </c>
      <c r="E3266" t="s">
        <v>489</v>
      </c>
      <c r="F3266" s="9">
        <f t="shared" si="206"/>
        <v>0</v>
      </c>
      <c r="G3266" s="9">
        <f t="shared" si="207"/>
        <v>0</v>
      </c>
      <c r="H3266" s="9">
        <f t="shared" si="208"/>
        <v>0</v>
      </c>
      <c r="I3266" s="10">
        <f t="shared" si="209"/>
        <v>0</v>
      </c>
    </row>
    <row r="3267" spans="1:9" x14ac:dyDescent="0.25">
      <c r="A3267" s="11" t="s">
        <v>8316</v>
      </c>
      <c r="B3267" s="11" t="s">
        <v>8317</v>
      </c>
      <c r="C3267" s="11" t="s">
        <v>3550</v>
      </c>
      <c r="D3267" s="4" t="s">
        <v>1406</v>
      </c>
      <c r="E3267" t="s">
        <v>489</v>
      </c>
      <c r="F3267" s="9">
        <f t="shared" si="206"/>
        <v>0</v>
      </c>
      <c r="G3267" s="9">
        <f t="shared" si="207"/>
        <v>0</v>
      </c>
      <c r="H3267" s="9">
        <f t="shared" si="208"/>
        <v>0</v>
      </c>
      <c r="I3267" s="10">
        <f t="shared" si="209"/>
        <v>0</v>
      </c>
    </row>
    <row r="3268" spans="1:9" x14ac:dyDescent="0.25">
      <c r="A3268" s="11" t="s">
        <v>8318</v>
      </c>
      <c r="B3268" s="11" t="s">
        <v>8319</v>
      </c>
      <c r="C3268" s="11" t="s">
        <v>3550</v>
      </c>
      <c r="D3268" s="4" t="s">
        <v>1406</v>
      </c>
      <c r="E3268" t="s">
        <v>489</v>
      </c>
      <c r="F3268" s="9">
        <f t="shared" ref="F3268:F3330" si="210">IFERROR(VLOOKUP(A3268,condi,8,0),0)</f>
        <v>0</v>
      </c>
      <c r="G3268" s="9">
        <f t="shared" ref="G3268:G3330" si="211">IFERROR(VLOOKUP(A3268,maqui,8,0),0)</f>
        <v>0</v>
      </c>
      <c r="H3268" s="9">
        <f t="shared" ref="H3268:H3330" si="212">IFERROR(VLOOKUP(A3268,ascint,8,0),0)</f>
        <v>0</v>
      </c>
      <c r="I3268" s="10">
        <f t="shared" ref="I3268:I3330" si="213">+F3268+G3268+H3268</f>
        <v>0</v>
      </c>
    </row>
    <row r="3269" spans="1:9" x14ac:dyDescent="0.25">
      <c r="A3269" s="11" t="s">
        <v>8320</v>
      </c>
      <c r="B3269" s="11" t="s">
        <v>8321</v>
      </c>
      <c r="C3269" s="11" t="s">
        <v>3550</v>
      </c>
      <c r="D3269" s="4" t="s">
        <v>1406</v>
      </c>
      <c r="E3269" t="s">
        <v>489</v>
      </c>
      <c r="F3269" s="9">
        <f t="shared" si="210"/>
        <v>0</v>
      </c>
      <c r="G3269" s="9">
        <f t="shared" si="211"/>
        <v>0</v>
      </c>
      <c r="H3269" s="9">
        <f t="shared" si="212"/>
        <v>0</v>
      </c>
      <c r="I3269" s="10">
        <f t="shared" si="213"/>
        <v>0</v>
      </c>
    </row>
    <row r="3270" spans="1:9" x14ac:dyDescent="0.25">
      <c r="A3270" s="11" t="s">
        <v>8322</v>
      </c>
      <c r="B3270" s="11" t="s">
        <v>8323</v>
      </c>
      <c r="C3270" s="11" t="s">
        <v>3550</v>
      </c>
      <c r="D3270" s="4" t="s">
        <v>1406</v>
      </c>
      <c r="E3270" t="s">
        <v>489</v>
      </c>
      <c r="F3270" s="9">
        <f t="shared" si="210"/>
        <v>0</v>
      </c>
      <c r="G3270" s="9">
        <f t="shared" si="211"/>
        <v>0</v>
      </c>
      <c r="H3270" s="9">
        <f t="shared" si="212"/>
        <v>0</v>
      </c>
      <c r="I3270" s="10">
        <f t="shared" si="213"/>
        <v>0</v>
      </c>
    </row>
    <row r="3271" spans="1:9" x14ac:dyDescent="0.25">
      <c r="A3271" s="11" t="s">
        <v>8324</v>
      </c>
      <c r="B3271" s="11" t="s">
        <v>8325</v>
      </c>
      <c r="C3271" s="11" t="s">
        <v>3550</v>
      </c>
      <c r="D3271" s="4" t="s">
        <v>1406</v>
      </c>
      <c r="E3271" t="s">
        <v>489</v>
      </c>
      <c r="F3271" s="9">
        <f t="shared" si="210"/>
        <v>0</v>
      </c>
      <c r="G3271" s="9">
        <f t="shared" si="211"/>
        <v>0</v>
      </c>
      <c r="H3271" s="9">
        <f t="shared" si="212"/>
        <v>0</v>
      </c>
      <c r="I3271" s="10">
        <f t="shared" si="213"/>
        <v>0</v>
      </c>
    </row>
    <row r="3272" spans="1:9" x14ac:dyDescent="0.25">
      <c r="A3272" s="11" t="s">
        <v>8326</v>
      </c>
      <c r="B3272" s="11" t="s">
        <v>8327</v>
      </c>
      <c r="C3272" s="11" t="s">
        <v>3550</v>
      </c>
      <c r="D3272" s="4" t="s">
        <v>1406</v>
      </c>
      <c r="E3272" t="s">
        <v>489</v>
      </c>
      <c r="F3272" s="9">
        <f t="shared" si="210"/>
        <v>0</v>
      </c>
      <c r="G3272" s="9">
        <f t="shared" si="211"/>
        <v>0</v>
      </c>
      <c r="H3272" s="9">
        <f t="shared" si="212"/>
        <v>0</v>
      </c>
      <c r="I3272" s="10">
        <f t="shared" si="213"/>
        <v>0</v>
      </c>
    </row>
    <row r="3273" spans="1:9" x14ac:dyDescent="0.25">
      <c r="A3273" s="11" t="s">
        <v>8328</v>
      </c>
      <c r="B3273" s="11" t="s">
        <v>8329</v>
      </c>
      <c r="C3273" s="11" t="s">
        <v>3550</v>
      </c>
      <c r="D3273" s="4" t="s">
        <v>1406</v>
      </c>
      <c r="E3273" t="s">
        <v>489</v>
      </c>
      <c r="F3273" s="9">
        <f t="shared" si="210"/>
        <v>0</v>
      </c>
      <c r="G3273" s="9">
        <f t="shared" si="211"/>
        <v>0</v>
      </c>
      <c r="H3273" s="9">
        <f t="shared" si="212"/>
        <v>0</v>
      </c>
      <c r="I3273" s="10">
        <f t="shared" si="213"/>
        <v>0</v>
      </c>
    </row>
    <row r="3274" spans="1:9" x14ac:dyDescent="0.25">
      <c r="A3274" s="11" t="s">
        <v>8330</v>
      </c>
      <c r="B3274" s="11" t="s">
        <v>8331</v>
      </c>
      <c r="C3274" s="11" t="s">
        <v>3550</v>
      </c>
      <c r="D3274" s="4" t="s">
        <v>1406</v>
      </c>
      <c r="E3274" t="s">
        <v>489</v>
      </c>
      <c r="F3274" s="9">
        <f t="shared" si="210"/>
        <v>0</v>
      </c>
      <c r="G3274" s="9">
        <f t="shared" si="211"/>
        <v>0</v>
      </c>
      <c r="H3274" s="9">
        <f t="shared" si="212"/>
        <v>0</v>
      </c>
      <c r="I3274" s="10">
        <f t="shared" si="213"/>
        <v>0</v>
      </c>
    </row>
    <row r="3275" spans="1:9" x14ac:dyDescent="0.25">
      <c r="A3275" s="11" t="s">
        <v>8332</v>
      </c>
      <c r="B3275" s="11" t="s">
        <v>8333</v>
      </c>
      <c r="C3275" s="11" t="s">
        <v>3550</v>
      </c>
      <c r="D3275" s="4" t="s">
        <v>1406</v>
      </c>
      <c r="E3275" t="s">
        <v>489</v>
      </c>
      <c r="F3275" s="9">
        <f t="shared" si="210"/>
        <v>0</v>
      </c>
      <c r="G3275" s="9">
        <f t="shared" si="211"/>
        <v>0</v>
      </c>
      <c r="H3275" s="9">
        <f t="shared" si="212"/>
        <v>0</v>
      </c>
      <c r="I3275" s="10">
        <f t="shared" si="213"/>
        <v>0</v>
      </c>
    </row>
    <row r="3276" spans="1:9" x14ac:dyDescent="0.25">
      <c r="A3276" s="11" t="s">
        <v>8334</v>
      </c>
      <c r="B3276" s="11" t="s">
        <v>8335</v>
      </c>
      <c r="C3276" s="11" t="s">
        <v>3550</v>
      </c>
      <c r="D3276" s="4" t="s">
        <v>1406</v>
      </c>
      <c r="E3276" t="s">
        <v>489</v>
      </c>
      <c r="F3276" s="9">
        <f t="shared" si="210"/>
        <v>0</v>
      </c>
      <c r="G3276" s="9">
        <f t="shared" si="211"/>
        <v>0</v>
      </c>
      <c r="H3276" s="9">
        <f t="shared" si="212"/>
        <v>0</v>
      </c>
      <c r="I3276" s="10">
        <f t="shared" si="213"/>
        <v>0</v>
      </c>
    </row>
    <row r="3277" spans="1:9" x14ac:dyDescent="0.25">
      <c r="A3277" s="11" t="s">
        <v>8336</v>
      </c>
      <c r="B3277" s="11" t="s">
        <v>8337</v>
      </c>
      <c r="C3277" s="11" t="s">
        <v>3550</v>
      </c>
      <c r="D3277" s="4" t="s">
        <v>1406</v>
      </c>
      <c r="E3277" t="s">
        <v>489</v>
      </c>
      <c r="F3277" s="9">
        <f t="shared" si="210"/>
        <v>0</v>
      </c>
      <c r="G3277" s="9">
        <f t="shared" si="211"/>
        <v>0</v>
      </c>
      <c r="H3277" s="9">
        <f t="shared" si="212"/>
        <v>0</v>
      </c>
      <c r="I3277" s="10">
        <f t="shared" si="213"/>
        <v>0</v>
      </c>
    </row>
    <row r="3278" spans="1:9" x14ac:dyDescent="0.25">
      <c r="A3278" s="11" t="s">
        <v>8338</v>
      </c>
      <c r="B3278" s="11" t="s">
        <v>8339</v>
      </c>
      <c r="C3278" s="11" t="s">
        <v>3550</v>
      </c>
      <c r="D3278" s="4" t="s">
        <v>1406</v>
      </c>
      <c r="E3278" t="s">
        <v>489</v>
      </c>
      <c r="F3278" s="9">
        <f t="shared" si="210"/>
        <v>0</v>
      </c>
      <c r="G3278" s="9">
        <f t="shared" si="211"/>
        <v>0</v>
      </c>
      <c r="H3278" s="9">
        <f t="shared" si="212"/>
        <v>0</v>
      </c>
      <c r="I3278" s="10">
        <f t="shared" si="213"/>
        <v>0</v>
      </c>
    </row>
    <row r="3279" spans="1:9" x14ac:dyDescent="0.25">
      <c r="A3279" s="11" t="s">
        <v>8340</v>
      </c>
      <c r="B3279" s="11" t="s">
        <v>8341</v>
      </c>
      <c r="C3279" s="11" t="s">
        <v>3550</v>
      </c>
      <c r="D3279" s="4" t="s">
        <v>1406</v>
      </c>
      <c r="E3279" t="s">
        <v>489</v>
      </c>
      <c r="F3279" s="9">
        <f t="shared" si="210"/>
        <v>0</v>
      </c>
      <c r="G3279" s="9">
        <f t="shared" si="211"/>
        <v>0</v>
      </c>
      <c r="H3279" s="9">
        <f t="shared" si="212"/>
        <v>0</v>
      </c>
      <c r="I3279" s="10">
        <f t="shared" si="213"/>
        <v>0</v>
      </c>
    </row>
    <row r="3280" spans="1:9" x14ac:dyDescent="0.25">
      <c r="A3280" s="11" t="s">
        <v>8342</v>
      </c>
      <c r="B3280" s="11" t="s">
        <v>8343</v>
      </c>
      <c r="C3280" s="11" t="s">
        <v>3550</v>
      </c>
      <c r="D3280" s="4" t="s">
        <v>1406</v>
      </c>
      <c r="E3280" t="s">
        <v>489</v>
      </c>
      <c r="F3280" s="9">
        <f t="shared" si="210"/>
        <v>0</v>
      </c>
      <c r="G3280" s="9">
        <f t="shared" si="211"/>
        <v>0</v>
      </c>
      <c r="H3280" s="9">
        <f t="shared" si="212"/>
        <v>0</v>
      </c>
      <c r="I3280" s="10">
        <f t="shared" si="213"/>
        <v>0</v>
      </c>
    </row>
    <row r="3281" spans="1:9" x14ac:dyDescent="0.25">
      <c r="A3281" s="11" t="s">
        <v>8344</v>
      </c>
      <c r="B3281" s="11" t="s">
        <v>8345</v>
      </c>
      <c r="C3281" s="11" t="s">
        <v>3550</v>
      </c>
      <c r="D3281" s="4" t="s">
        <v>1406</v>
      </c>
      <c r="E3281" t="s">
        <v>489</v>
      </c>
      <c r="F3281" s="9">
        <f t="shared" si="210"/>
        <v>0</v>
      </c>
      <c r="G3281" s="9">
        <f t="shared" si="211"/>
        <v>0</v>
      </c>
      <c r="H3281" s="9">
        <f t="shared" si="212"/>
        <v>0</v>
      </c>
      <c r="I3281" s="10">
        <f t="shared" si="213"/>
        <v>0</v>
      </c>
    </row>
    <row r="3282" spans="1:9" x14ac:dyDescent="0.25">
      <c r="A3282" s="11" t="s">
        <v>8346</v>
      </c>
      <c r="B3282" s="11" t="s">
        <v>8347</v>
      </c>
      <c r="C3282" s="11" t="s">
        <v>3550</v>
      </c>
      <c r="D3282" s="4" t="s">
        <v>1406</v>
      </c>
      <c r="E3282" t="s">
        <v>489</v>
      </c>
      <c r="F3282" s="9">
        <f t="shared" si="210"/>
        <v>0</v>
      </c>
      <c r="G3282" s="9">
        <f t="shared" si="211"/>
        <v>0</v>
      </c>
      <c r="H3282" s="9">
        <f t="shared" si="212"/>
        <v>0</v>
      </c>
      <c r="I3282" s="10">
        <f t="shared" si="213"/>
        <v>0</v>
      </c>
    </row>
    <row r="3283" spans="1:9" x14ac:dyDescent="0.25">
      <c r="A3283" s="11" t="s">
        <v>8348</v>
      </c>
      <c r="B3283" s="11" t="s">
        <v>8349</v>
      </c>
      <c r="C3283" s="11" t="s">
        <v>3550</v>
      </c>
      <c r="D3283" s="4" t="s">
        <v>1406</v>
      </c>
      <c r="E3283" t="s">
        <v>489</v>
      </c>
      <c r="F3283" s="9">
        <f t="shared" si="210"/>
        <v>0</v>
      </c>
      <c r="G3283" s="9">
        <f t="shared" si="211"/>
        <v>0</v>
      </c>
      <c r="H3283" s="9">
        <f t="shared" si="212"/>
        <v>0</v>
      </c>
      <c r="I3283" s="10">
        <f t="shared" si="213"/>
        <v>0</v>
      </c>
    </row>
    <row r="3284" spans="1:9" x14ac:dyDescent="0.25">
      <c r="A3284" s="11" t="s">
        <v>8350</v>
      </c>
      <c r="B3284" s="11" t="s">
        <v>8351</v>
      </c>
      <c r="C3284" s="11" t="s">
        <v>3550</v>
      </c>
      <c r="D3284" s="4" t="s">
        <v>1406</v>
      </c>
      <c r="E3284" t="s">
        <v>489</v>
      </c>
      <c r="F3284" s="9">
        <f t="shared" si="210"/>
        <v>0</v>
      </c>
      <c r="G3284" s="9">
        <f t="shared" si="211"/>
        <v>0</v>
      </c>
      <c r="H3284" s="9">
        <f t="shared" si="212"/>
        <v>0</v>
      </c>
      <c r="I3284" s="10">
        <f t="shared" si="213"/>
        <v>0</v>
      </c>
    </row>
    <row r="3285" spans="1:9" x14ac:dyDescent="0.25">
      <c r="A3285" s="11" t="s">
        <v>8352</v>
      </c>
      <c r="B3285" s="11" t="s">
        <v>8353</v>
      </c>
      <c r="C3285" s="11" t="s">
        <v>3550</v>
      </c>
      <c r="D3285" s="4" t="s">
        <v>1406</v>
      </c>
      <c r="E3285" t="s">
        <v>489</v>
      </c>
      <c r="F3285" s="9">
        <f t="shared" si="210"/>
        <v>0</v>
      </c>
      <c r="G3285" s="9">
        <f t="shared" si="211"/>
        <v>0</v>
      </c>
      <c r="H3285" s="9">
        <f t="shared" si="212"/>
        <v>0</v>
      </c>
      <c r="I3285" s="10">
        <f t="shared" si="213"/>
        <v>0</v>
      </c>
    </row>
    <row r="3286" spans="1:9" x14ac:dyDescent="0.25">
      <c r="A3286" s="11" t="s">
        <v>8354</v>
      </c>
      <c r="B3286" s="11" t="s">
        <v>8355</v>
      </c>
      <c r="C3286" s="11" t="s">
        <v>3550</v>
      </c>
      <c r="D3286" s="4" t="s">
        <v>1406</v>
      </c>
      <c r="E3286" t="s">
        <v>489</v>
      </c>
      <c r="F3286" s="9">
        <f t="shared" si="210"/>
        <v>0</v>
      </c>
      <c r="G3286" s="9">
        <f t="shared" si="211"/>
        <v>0</v>
      </c>
      <c r="H3286" s="9">
        <f t="shared" si="212"/>
        <v>0</v>
      </c>
      <c r="I3286" s="10">
        <f t="shared" si="213"/>
        <v>0</v>
      </c>
    </row>
    <row r="3287" spans="1:9" x14ac:dyDescent="0.25">
      <c r="A3287" s="11" t="s">
        <v>8356</v>
      </c>
      <c r="B3287" s="11" t="s">
        <v>8357</v>
      </c>
      <c r="C3287" s="11" t="s">
        <v>3550</v>
      </c>
      <c r="D3287" s="4" t="s">
        <v>1406</v>
      </c>
      <c r="E3287" t="s">
        <v>489</v>
      </c>
      <c r="F3287" s="9">
        <f t="shared" si="210"/>
        <v>0</v>
      </c>
      <c r="G3287" s="9">
        <f t="shared" si="211"/>
        <v>0</v>
      </c>
      <c r="H3287" s="9">
        <f t="shared" si="212"/>
        <v>0</v>
      </c>
      <c r="I3287" s="10">
        <f t="shared" si="213"/>
        <v>0</v>
      </c>
    </row>
    <row r="3288" spans="1:9" x14ac:dyDescent="0.25">
      <c r="A3288" s="11" t="s">
        <v>8358</v>
      </c>
      <c r="B3288" s="11" t="s">
        <v>8359</v>
      </c>
      <c r="C3288" s="11" t="s">
        <v>3550</v>
      </c>
      <c r="D3288" s="4" t="s">
        <v>1406</v>
      </c>
      <c r="E3288" t="s">
        <v>489</v>
      </c>
      <c r="F3288" s="9">
        <f t="shared" si="210"/>
        <v>0</v>
      </c>
      <c r="G3288" s="9">
        <f t="shared" si="211"/>
        <v>0</v>
      </c>
      <c r="H3288" s="9">
        <f t="shared" si="212"/>
        <v>0</v>
      </c>
      <c r="I3288" s="10">
        <f t="shared" si="213"/>
        <v>0</v>
      </c>
    </row>
    <row r="3289" spans="1:9" x14ac:dyDescent="0.25">
      <c r="A3289" s="11" t="s">
        <v>8360</v>
      </c>
      <c r="B3289" s="11" t="s">
        <v>8361</v>
      </c>
      <c r="C3289" s="11" t="s">
        <v>3550</v>
      </c>
      <c r="D3289" s="4" t="s">
        <v>1406</v>
      </c>
      <c r="E3289" t="s">
        <v>489</v>
      </c>
      <c r="F3289" s="9">
        <f t="shared" si="210"/>
        <v>0</v>
      </c>
      <c r="G3289" s="9">
        <f t="shared" si="211"/>
        <v>0</v>
      </c>
      <c r="H3289" s="9">
        <f t="shared" si="212"/>
        <v>0</v>
      </c>
      <c r="I3289" s="10">
        <f t="shared" si="213"/>
        <v>0</v>
      </c>
    </row>
    <row r="3290" spans="1:9" x14ac:dyDescent="0.25">
      <c r="A3290" s="11" t="s">
        <v>8362</v>
      </c>
      <c r="B3290" s="11" t="s">
        <v>8363</v>
      </c>
      <c r="C3290" s="11" t="s">
        <v>3550</v>
      </c>
      <c r="D3290" s="4" t="s">
        <v>1406</v>
      </c>
      <c r="E3290" t="s">
        <v>489</v>
      </c>
      <c r="F3290" s="9">
        <f t="shared" si="210"/>
        <v>0</v>
      </c>
      <c r="G3290" s="9">
        <f t="shared" si="211"/>
        <v>0</v>
      </c>
      <c r="H3290" s="9">
        <f t="shared" si="212"/>
        <v>0</v>
      </c>
      <c r="I3290" s="10">
        <f t="shared" si="213"/>
        <v>0</v>
      </c>
    </row>
    <row r="3291" spans="1:9" x14ac:dyDescent="0.25">
      <c r="A3291" s="11" t="s">
        <v>8364</v>
      </c>
      <c r="B3291" s="11" t="s">
        <v>8365</v>
      </c>
      <c r="C3291" s="11" t="s">
        <v>3550</v>
      </c>
      <c r="D3291" s="4" t="s">
        <v>1406</v>
      </c>
      <c r="E3291" t="s">
        <v>489</v>
      </c>
      <c r="F3291" s="9">
        <f t="shared" si="210"/>
        <v>0</v>
      </c>
      <c r="G3291" s="9">
        <f t="shared" si="211"/>
        <v>0</v>
      </c>
      <c r="H3291" s="9">
        <f t="shared" si="212"/>
        <v>0</v>
      </c>
      <c r="I3291" s="10">
        <f t="shared" si="213"/>
        <v>0</v>
      </c>
    </row>
    <row r="3292" spans="1:9" x14ac:dyDescent="0.25">
      <c r="A3292" s="11" t="s">
        <v>8366</v>
      </c>
      <c r="B3292" s="11" t="s">
        <v>8367</v>
      </c>
      <c r="C3292" s="11" t="s">
        <v>3550</v>
      </c>
      <c r="D3292" s="4" t="s">
        <v>1406</v>
      </c>
      <c r="E3292" t="s">
        <v>489</v>
      </c>
      <c r="F3292" s="9">
        <f t="shared" si="210"/>
        <v>0</v>
      </c>
      <c r="G3292" s="9">
        <f t="shared" si="211"/>
        <v>0</v>
      </c>
      <c r="H3292" s="9">
        <f t="shared" si="212"/>
        <v>0</v>
      </c>
      <c r="I3292" s="10">
        <f t="shared" si="213"/>
        <v>0</v>
      </c>
    </row>
    <row r="3293" spans="1:9" x14ac:dyDescent="0.25">
      <c r="A3293" s="11" t="s">
        <v>8368</v>
      </c>
      <c r="B3293" s="11" t="s">
        <v>8369</v>
      </c>
      <c r="C3293" s="11" t="s">
        <v>3550</v>
      </c>
      <c r="D3293" s="4" t="s">
        <v>1406</v>
      </c>
      <c r="E3293" t="s">
        <v>489</v>
      </c>
      <c r="F3293" s="9">
        <f t="shared" si="210"/>
        <v>0</v>
      </c>
      <c r="G3293" s="9">
        <f t="shared" si="211"/>
        <v>0</v>
      </c>
      <c r="H3293" s="9">
        <f t="shared" si="212"/>
        <v>0</v>
      </c>
      <c r="I3293" s="10">
        <f t="shared" si="213"/>
        <v>0</v>
      </c>
    </row>
    <row r="3294" spans="1:9" x14ac:dyDescent="0.25">
      <c r="A3294" s="11" t="s">
        <v>8370</v>
      </c>
      <c r="B3294" s="11" t="s">
        <v>8371</v>
      </c>
      <c r="C3294" s="11" t="s">
        <v>3550</v>
      </c>
      <c r="D3294" s="4" t="s">
        <v>1406</v>
      </c>
      <c r="E3294" t="s">
        <v>489</v>
      </c>
      <c r="F3294" s="9">
        <f t="shared" si="210"/>
        <v>0</v>
      </c>
      <c r="G3294" s="9">
        <f t="shared" si="211"/>
        <v>0</v>
      </c>
      <c r="H3294" s="9">
        <f t="shared" si="212"/>
        <v>0</v>
      </c>
      <c r="I3294" s="10">
        <f t="shared" si="213"/>
        <v>0</v>
      </c>
    </row>
    <row r="3295" spans="1:9" x14ac:dyDescent="0.25">
      <c r="A3295" s="11" t="s">
        <v>8372</v>
      </c>
      <c r="B3295" s="11" t="s">
        <v>8373</v>
      </c>
      <c r="C3295" s="11" t="s">
        <v>3550</v>
      </c>
      <c r="D3295" s="4" t="s">
        <v>1406</v>
      </c>
      <c r="E3295" t="s">
        <v>30</v>
      </c>
      <c r="F3295" s="9">
        <f t="shared" si="210"/>
        <v>0</v>
      </c>
      <c r="G3295" s="9">
        <f t="shared" si="211"/>
        <v>0</v>
      </c>
      <c r="H3295" s="9">
        <f t="shared" si="212"/>
        <v>0</v>
      </c>
      <c r="I3295" s="10">
        <f t="shared" si="213"/>
        <v>0</v>
      </c>
    </row>
    <row r="3296" spans="1:9" x14ac:dyDescent="0.25">
      <c r="A3296" s="11" t="s">
        <v>8374</v>
      </c>
      <c r="B3296" s="11" t="s">
        <v>8375</v>
      </c>
      <c r="C3296" s="11" t="s">
        <v>3550</v>
      </c>
      <c r="D3296" s="4" t="s">
        <v>1406</v>
      </c>
      <c r="E3296" t="s">
        <v>30</v>
      </c>
      <c r="F3296" s="9">
        <f t="shared" si="210"/>
        <v>0</v>
      </c>
      <c r="G3296" s="9">
        <f t="shared" si="211"/>
        <v>0</v>
      </c>
      <c r="H3296" s="9">
        <f t="shared" si="212"/>
        <v>0</v>
      </c>
      <c r="I3296" s="10">
        <f t="shared" si="213"/>
        <v>0</v>
      </c>
    </row>
    <row r="3297" spans="1:9" x14ac:dyDescent="0.25">
      <c r="A3297" s="11" t="s">
        <v>8376</v>
      </c>
      <c r="B3297" s="11" t="s">
        <v>8377</v>
      </c>
      <c r="C3297" s="11" t="s">
        <v>3550</v>
      </c>
      <c r="D3297" s="4" t="s">
        <v>1406</v>
      </c>
      <c r="E3297" t="s">
        <v>30</v>
      </c>
      <c r="F3297" s="9">
        <f t="shared" si="210"/>
        <v>0</v>
      </c>
      <c r="G3297" s="9">
        <f t="shared" si="211"/>
        <v>0</v>
      </c>
      <c r="H3297" s="9">
        <f t="shared" si="212"/>
        <v>0</v>
      </c>
      <c r="I3297" s="10">
        <f t="shared" si="213"/>
        <v>0</v>
      </c>
    </row>
    <row r="3298" spans="1:9" x14ac:dyDescent="0.25">
      <c r="A3298" s="11" t="s">
        <v>8378</v>
      </c>
      <c r="B3298" s="11" t="s">
        <v>8379</v>
      </c>
      <c r="C3298" s="11" t="s">
        <v>3550</v>
      </c>
      <c r="D3298" s="4" t="s">
        <v>1406</v>
      </c>
      <c r="E3298" t="s">
        <v>30</v>
      </c>
      <c r="F3298" s="9">
        <f t="shared" si="210"/>
        <v>0</v>
      </c>
      <c r="G3298" s="9">
        <f t="shared" si="211"/>
        <v>0</v>
      </c>
      <c r="H3298" s="9">
        <f t="shared" si="212"/>
        <v>0</v>
      </c>
      <c r="I3298" s="10">
        <f t="shared" si="213"/>
        <v>0</v>
      </c>
    </row>
    <row r="3299" spans="1:9" x14ac:dyDescent="0.25">
      <c r="A3299" s="11" t="s">
        <v>8380</v>
      </c>
      <c r="B3299" s="11" t="s">
        <v>8381</v>
      </c>
      <c r="C3299" s="11" t="s">
        <v>3550</v>
      </c>
      <c r="D3299" s="4" t="s">
        <v>1406</v>
      </c>
      <c r="E3299" t="s">
        <v>30</v>
      </c>
      <c r="F3299" s="9">
        <f t="shared" si="210"/>
        <v>0</v>
      </c>
      <c r="G3299" s="9">
        <f t="shared" si="211"/>
        <v>0</v>
      </c>
      <c r="H3299" s="9">
        <f t="shared" si="212"/>
        <v>0</v>
      </c>
      <c r="I3299" s="10">
        <f t="shared" si="213"/>
        <v>0</v>
      </c>
    </row>
    <row r="3300" spans="1:9" x14ac:dyDescent="0.25">
      <c r="A3300" s="11" t="s">
        <v>8382</v>
      </c>
      <c r="B3300" s="11" t="s">
        <v>8383</v>
      </c>
      <c r="C3300" s="11" t="s">
        <v>3550</v>
      </c>
      <c r="D3300" s="4" t="s">
        <v>1406</v>
      </c>
      <c r="E3300" t="s">
        <v>3011</v>
      </c>
      <c r="F3300" s="9">
        <f t="shared" si="210"/>
        <v>0</v>
      </c>
      <c r="G3300" s="9">
        <f t="shared" si="211"/>
        <v>0</v>
      </c>
      <c r="H3300" s="9">
        <f t="shared" si="212"/>
        <v>0</v>
      </c>
      <c r="I3300" s="10">
        <f t="shared" si="213"/>
        <v>0</v>
      </c>
    </row>
    <row r="3301" spans="1:9" x14ac:dyDescent="0.25">
      <c r="A3301" s="11" t="s">
        <v>8384</v>
      </c>
      <c r="B3301" s="11" t="s">
        <v>8385</v>
      </c>
      <c r="C3301" s="11" t="s">
        <v>3550</v>
      </c>
      <c r="D3301" s="4" t="s">
        <v>1406</v>
      </c>
      <c r="E3301" t="s">
        <v>30</v>
      </c>
      <c r="F3301" s="9">
        <f t="shared" si="210"/>
        <v>0</v>
      </c>
      <c r="G3301" s="9">
        <f t="shared" si="211"/>
        <v>0</v>
      </c>
      <c r="H3301" s="9">
        <f t="shared" si="212"/>
        <v>0</v>
      </c>
      <c r="I3301" s="10">
        <f t="shared" si="213"/>
        <v>0</v>
      </c>
    </row>
    <row r="3302" spans="1:9" x14ac:dyDescent="0.25">
      <c r="A3302" s="11" t="s">
        <v>8386</v>
      </c>
      <c r="B3302" s="11" t="s">
        <v>8387</v>
      </c>
      <c r="C3302" s="11" t="s">
        <v>3550</v>
      </c>
      <c r="D3302" s="4" t="s">
        <v>1406</v>
      </c>
      <c r="E3302" t="s">
        <v>3011</v>
      </c>
      <c r="F3302" s="9">
        <f t="shared" si="210"/>
        <v>0</v>
      </c>
      <c r="G3302" s="9">
        <f t="shared" si="211"/>
        <v>0</v>
      </c>
      <c r="H3302" s="9">
        <f t="shared" si="212"/>
        <v>0</v>
      </c>
      <c r="I3302" s="10">
        <f t="shared" si="213"/>
        <v>0</v>
      </c>
    </row>
    <row r="3303" spans="1:9" x14ac:dyDescent="0.25">
      <c r="A3303" s="11" t="s">
        <v>4504</v>
      </c>
      <c r="B3303" s="11" t="s">
        <v>4503</v>
      </c>
      <c r="C3303" s="11" t="s">
        <v>3550</v>
      </c>
      <c r="D3303" s="4" t="s">
        <v>1406</v>
      </c>
      <c r="E3303" t="s">
        <v>3011</v>
      </c>
      <c r="F3303" s="9">
        <f t="shared" si="210"/>
        <v>0</v>
      </c>
      <c r="G3303" s="9">
        <f t="shared" si="211"/>
        <v>0</v>
      </c>
      <c r="H3303" s="9">
        <f t="shared" si="212"/>
        <v>0</v>
      </c>
      <c r="I3303" s="10">
        <f t="shared" si="213"/>
        <v>0</v>
      </c>
    </row>
    <row r="3304" spans="1:9" x14ac:dyDescent="0.25">
      <c r="A3304" s="11" t="s">
        <v>8388</v>
      </c>
      <c r="B3304" s="11" t="s">
        <v>8389</v>
      </c>
      <c r="C3304" s="11" t="s">
        <v>3550</v>
      </c>
      <c r="D3304" s="4" t="s">
        <v>1406</v>
      </c>
      <c r="E3304" t="s">
        <v>82</v>
      </c>
      <c r="F3304" s="9">
        <f t="shared" si="210"/>
        <v>0</v>
      </c>
      <c r="G3304" s="9">
        <f t="shared" si="211"/>
        <v>0</v>
      </c>
      <c r="H3304" s="9">
        <f t="shared" si="212"/>
        <v>0</v>
      </c>
      <c r="I3304" s="10">
        <f t="shared" si="213"/>
        <v>0</v>
      </c>
    </row>
    <row r="3305" spans="1:9" x14ac:dyDescent="0.25">
      <c r="A3305" s="11" t="s">
        <v>8391</v>
      </c>
      <c r="B3305" s="11" t="s">
        <v>8392</v>
      </c>
      <c r="C3305" s="11" t="s">
        <v>8390</v>
      </c>
      <c r="D3305" s="4" t="s">
        <v>1406</v>
      </c>
      <c r="E3305" t="s">
        <v>489</v>
      </c>
      <c r="F3305" s="9">
        <f t="shared" si="210"/>
        <v>0</v>
      </c>
      <c r="G3305" s="9">
        <f t="shared" si="211"/>
        <v>0</v>
      </c>
      <c r="H3305" s="9">
        <f t="shared" si="212"/>
        <v>0</v>
      </c>
      <c r="I3305" s="10">
        <f t="shared" si="213"/>
        <v>0</v>
      </c>
    </row>
    <row r="3306" spans="1:9" x14ac:dyDescent="0.25">
      <c r="A3306" s="11" t="s">
        <v>8393</v>
      </c>
      <c r="B3306" s="11" t="s">
        <v>8394</v>
      </c>
      <c r="C3306" s="11" t="s">
        <v>2488</v>
      </c>
      <c r="D3306" s="4" t="s">
        <v>1406</v>
      </c>
      <c r="E3306" t="s">
        <v>489</v>
      </c>
      <c r="F3306" s="9">
        <f t="shared" si="210"/>
        <v>0</v>
      </c>
      <c r="G3306" s="9">
        <f t="shared" si="211"/>
        <v>0</v>
      </c>
      <c r="H3306" s="9">
        <f t="shared" si="212"/>
        <v>0</v>
      </c>
      <c r="I3306" s="10">
        <f t="shared" si="213"/>
        <v>0</v>
      </c>
    </row>
    <row r="3307" spans="1:9" x14ac:dyDescent="0.25">
      <c r="A3307" s="11" t="s">
        <v>8395</v>
      </c>
      <c r="B3307" s="11" t="s">
        <v>8396</v>
      </c>
      <c r="C3307" s="11" t="s">
        <v>2488</v>
      </c>
      <c r="D3307" s="4" t="s">
        <v>1406</v>
      </c>
      <c r="E3307" t="s">
        <v>3011</v>
      </c>
      <c r="F3307" s="9">
        <f t="shared" si="210"/>
        <v>0</v>
      </c>
      <c r="G3307" s="9">
        <f t="shared" si="211"/>
        <v>0</v>
      </c>
      <c r="H3307" s="9">
        <f t="shared" si="212"/>
        <v>0</v>
      </c>
      <c r="I3307" s="10">
        <f t="shared" si="213"/>
        <v>0</v>
      </c>
    </row>
    <row r="3308" spans="1:9" x14ac:dyDescent="0.25">
      <c r="A3308" s="11" t="s">
        <v>8397</v>
      </c>
      <c r="B3308" s="11" t="s">
        <v>8398</v>
      </c>
      <c r="C3308" s="11" t="s">
        <v>2488</v>
      </c>
      <c r="D3308" s="4" t="s">
        <v>1406</v>
      </c>
      <c r="E3308" t="s">
        <v>30</v>
      </c>
      <c r="F3308" s="9">
        <f t="shared" si="210"/>
        <v>0</v>
      </c>
      <c r="G3308" s="9">
        <f t="shared" si="211"/>
        <v>0</v>
      </c>
      <c r="H3308" s="9">
        <f t="shared" si="212"/>
        <v>0</v>
      </c>
      <c r="I3308" s="10">
        <f t="shared" si="213"/>
        <v>0</v>
      </c>
    </row>
    <row r="3309" spans="1:9" x14ac:dyDescent="0.25">
      <c r="A3309" s="11" t="s">
        <v>8399</v>
      </c>
      <c r="B3309" s="11" t="s">
        <v>8400</v>
      </c>
      <c r="C3309" s="11" t="s">
        <v>2488</v>
      </c>
      <c r="D3309" s="4" t="s">
        <v>1406</v>
      </c>
      <c r="E3309" t="s">
        <v>30</v>
      </c>
      <c r="F3309" s="9">
        <f t="shared" si="210"/>
        <v>0</v>
      </c>
      <c r="G3309" s="9">
        <f t="shared" si="211"/>
        <v>0</v>
      </c>
      <c r="H3309" s="9">
        <f t="shared" si="212"/>
        <v>0</v>
      </c>
      <c r="I3309" s="10">
        <f t="shared" si="213"/>
        <v>0</v>
      </c>
    </row>
    <row r="3310" spans="1:9" x14ac:dyDescent="0.25">
      <c r="A3310" s="11" t="s">
        <v>8401</v>
      </c>
      <c r="B3310" s="11" t="s">
        <v>8402</v>
      </c>
      <c r="C3310" s="11" t="s">
        <v>2488</v>
      </c>
      <c r="D3310" s="4" t="s">
        <v>1406</v>
      </c>
      <c r="E3310" t="s">
        <v>30</v>
      </c>
      <c r="F3310" s="9">
        <f t="shared" si="210"/>
        <v>0</v>
      </c>
      <c r="G3310" s="9">
        <f t="shared" si="211"/>
        <v>0</v>
      </c>
      <c r="H3310" s="9">
        <f t="shared" si="212"/>
        <v>0</v>
      </c>
      <c r="I3310" s="10">
        <f t="shared" si="213"/>
        <v>0</v>
      </c>
    </row>
    <row r="3311" spans="1:9" x14ac:dyDescent="0.25">
      <c r="A3311" s="11" t="s">
        <v>8403</v>
      </c>
      <c r="B3311" s="11" t="s">
        <v>8404</v>
      </c>
      <c r="C3311" s="11" t="s">
        <v>759</v>
      </c>
      <c r="D3311" s="4" t="s">
        <v>1406</v>
      </c>
      <c r="E3311" t="s">
        <v>30</v>
      </c>
      <c r="F3311" s="9">
        <f t="shared" si="210"/>
        <v>0</v>
      </c>
      <c r="G3311" s="9">
        <f t="shared" si="211"/>
        <v>0</v>
      </c>
      <c r="H3311" s="9">
        <f t="shared" si="212"/>
        <v>0</v>
      </c>
      <c r="I3311" s="10">
        <f t="shared" si="213"/>
        <v>0</v>
      </c>
    </row>
    <row r="3312" spans="1:9" x14ac:dyDescent="0.25">
      <c r="A3312" s="11" t="s">
        <v>8405</v>
      </c>
      <c r="B3312" s="11" t="s">
        <v>8406</v>
      </c>
      <c r="C3312" s="11" t="s">
        <v>759</v>
      </c>
      <c r="D3312" s="4" t="s">
        <v>1406</v>
      </c>
      <c r="E3312" t="s">
        <v>489</v>
      </c>
      <c r="F3312" s="9">
        <f t="shared" si="210"/>
        <v>0</v>
      </c>
      <c r="G3312" s="9">
        <f t="shared" si="211"/>
        <v>0</v>
      </c>
      <c r="H3312" s="9">
        <f t="shared" si="212"/>
        <v>0</v>
      </c>
      <c r="I3312" s="10">
        <f t="shared" si="213"/>
        <v>0</v>
      </c>
    </row>
    <row r="3313" spans="1:9" x14ac:dyDescent="0.25">
      <c r="A3313" s="11" t="s">
        <v>8407</v>
      </c>
      <c r="B3313" s="11" t="s">
        <v>1520</v>
      </c>
      <c r="C3313" s="11" t="s">
        <v>759</v>
      </c>
      <c r="D3313" s="4" t="s">
        <v>1406</v>
      </c>
      <c r="E3313" t="s">
        <v>82</v>
      </c>
      <c r="F3313" s="9">
        <f t="shared" si="210"/>
        <v>0</v>
      </c>
      <c r="G3313" s="9">
        <f t="shared" si="211"/>
        <v>0</v>
      </c>
      <c r="H3313" s="9">
        <f t="shared" si="212"/>
        <v>0</v>
      </c>
      <c r="I3313" s="10">
        <f t="shared" si="213"/>
        <v>0</v>
      </c>
    </row>
    <row r="3314" spans="1:9" x14ac:dyDescent="0.25">
      <c r="A3314" s="11" t="s">
        <v>8408</v>
      </c>
      <c r="B3314" s="11" t="s">
        <v>8409</v>
      </c>
      <c r="C3314" s="11" t="s">
        <v>759</v>
      </c>
      <c r="D3314" s="4" t="s">
        <v>1406</v>
      </c>
      <c r="E3314" t="s">
        <v>82</v>
      </c>
      <c r="F3314" s="9">
        <f t="shared" si="210"/>
        <v>0</v>
      </c>
      <c r="G3314" s="9">
        <f t="shared" si="211"/>
        <v>0</v>
      </c>
      <c r="H3314" s="9">
        <f t="shared" si="212"/>
        <v>0</v>
      </c>
      <c r="I3314" s="10">
        <f t="shared" si="213"/>
        <v>0</v>
      </c>
    </row>
    <row r="3315" spans="1:9" x14ac:dyDescent="0.25">
      <c r="A3315" s="11" t="s">
        <v>8410</v>
      </c>
      <c r="B3315" s="11" t="s">
        <v>8411</v>
      </c>
      <c r="C3315" s="11" t="s">
        <v>759</v>
      </c>
      <c r="D3315" s="4" t="s">
        <v>1406</v>
      </c>
      <c r="E3315" t="s">
        <v>82</v>
      </c>
      <c r="F3315" s="9">
        <f t="shared" si="210"/>
        <v>0</v>
      </c>
      <c r="G3315" s="9">
        <f t="shared" si="211"/>
        <v>0</v>
      </c>
      <c r="H3315" s="9">
        <f t="shared" si="212"/>
        <v>0</v>
      </c>
      <c r="I3315" s="10">
        <f t="shared" si="213"/>
        <v>0</v>
      </c>
    </row>
    <row r="3316" spans="1:9" x14ac:dyDescent="0.25">
      <c r="A3316" s="11" t="s">
        <v>8412</v>
      </c>
      <c r="B3316" s="11" t="s">
        <v>8413</v>
      </c>
      <c r="C3316" s="11" t="s">
        <v>759</v>
      </c>
      <c r="D3316" s="4" t="s">
        <v>1406</v>
      </c>
      <c r="E3316" t="s">
        <v>82</v>
      </c>
      <c r="F3316" s="9">
        <f t="shared" si="210"/>
        <v>0</v>
      </c>
      <c r="G3316" s="9">
        <f t="shared" si="211"/>
        <v>0</v>
      </c>
      <c r="H3316" s="9">
        <f t="shared" si="212"/>
        <v>0</v>
      </c>
      <c r="I3316" s="10">
        <f t="shared" si="213"/>
        <v>0</v>
      </c>
    </row>
    <row r="3317" spans="1:9" x14ac:dyDescent="0.25">
      <c r="A3317" s="11" t="s">
        <v>8414</v>
      </c>
      <c r="B3317" s="11" t="s">
        <v>8415</v>
      </c>
      <c r="C3317" s="11" t="s">
        <v>759</v>
      </c>
      <c r="D3317" s="4" t="s">
        <v>1406</v>
      </c>
      <c r="E3317" t="s">
        <v>82</v>
      </c>
      <c r="F3317" s="9">
        <f t="shared" si="210"/>
        <v>0</v>
      </c>
      <c r="G3317" s="9">
        <f t="shared" si="211"/>
        <v>0</v>
      </c>
      <c r="H3317" s="9">
        <f t="shared" si="212"/>
        <v>0</v>
      </c>
      <c r="I3317" s="10">
        <f t="shared" si="213"/>
        <v>0</v>
      </c>
    </row>
    <row r="3318" spans="1:9" x14ac:dyDescent="0.25">
      <c r="A3318" s="11" t="s">
        <v>8416</v>
      </c>
      <c r="B3318" s="11" t="s">
        <v>8417</v>
      </c>
      <c r="C3318" s="11" t="s">
        <v>759</v>
      </c>
      <c r="D3318" s="4" t="s">
        <v>1406</v>
      </c>
      <c r="E3318" t="s">
        <v>82</v>
      </c>
      <c r="F3318" s="9">
        <f t="shared" si="210"/>
        <v>0</v>
      </c>
      <c r="G3318" s="9">
        <f t="shared" si="211"/>
        <v>0</v>
      </c>
      <c r="H3318" s="9">
        <f t="shared" si="212"/>
        <v>0</v>
      </c>
      <c r="I3318" s="10">
        <f t="shared" si="213"/>
        <v>0</v>
      </c>
    </row>
    <row r="3319" spans="1:9" x14ac:dyDescent="0.25">
      <c r="A3319" s="11" t="s">
        <v>8418</v>
      </c>
      <c r="B3319" s="11" t="s">
        <v>8419</v>
      </c>
      <c r="C3319" s="11" t="s">
        <v>759</v>
      </c>
      <c r="D3319" s="4" t="s">
        <v>1406</v>
      </c>
      <c r="E3319" t="s">
        <v>489</v>
      </c>
      <c r="F3319" s="9">
        <f t="shared" si="210"/>
        <v>0</v>
      </c>
      <c r="G3319" s="9">
        <f t="shared" si="211"/>
        <v>0</v>
      </c>
      <c r="H3319" s="9">
        <f t="shared" si="212"/>
        <v>0</v>
      </c>
      <c r="I3319" s="10">
        <f t="shared" si="213"/>
        <v>0</v>
      </c>
    </row>
    <row r="3320" spans="1:9" x14ac:dyDescent="0.25">
      <c r="A3320" s="11" t="s">
        <v>8420</v>
      </c>
      <c r="B3320" s="11" t="s">
        <v>8421</v>
      </c>
      <c r="C3320" s="11" t="s">
        <v>759</v>
      </c>
      <c r="D3320" s="4" t="s">
        <v>1406</v>
      </c>
      <c r="E3320" t="s">
        <v>489</v>
      </c>
      <c r="F3320" s="9">
        <f t="shared" si="210"/>
        <v>0</v>
      </c>
      <c r="G3320" s="9">
        <f t="shared" si="211"/>
        <v>0</v>
      </c>
      <c r="H3320" s="9">
        <f t="shared" si="212"/>
        <v>0</v>
      </c>
      <c r="I3320" s="10">
        <f t="shared" si="213"/>
        <v>0</v>
      </c>
    </row>
    <row r="3321" spans="1:9" x14ac:dyDescent="0.25">
      <c r="A3321" s="11" t="s">
        <v>8422</v>
      </c>
      <c r="B3321" s="11" t="s">
        <v>8423</v>
      </c>
      <c r="C3321" s="11" t="s">
        <v>784</v>
      </c>
      <c r="D3321" s="4" t="s">
        <v>1406</v>
      </c>
      <c r="E3321" t="s">
        <v>30</v>
      </c>
      <c r="F3321" s="9">
        <f t="shared" si="210"/>
        <v>0</v>
      </c>
      <c r="G3321" s="9">
        <f t="shared" si="211"/>
        <v>0</v>
      </c>
      <c r="H3321" s="9">
        <f t="shared" si="212"/>
        <v>0</v>
      </c>
      <c r="I3321" s="10">
        <f t="shared" si="213"/>
        <v>0</v>
      </c>
    </row>
    <row r="3322" spans="1:9" x14ac:dyDescent="0.25">
      <c r="A3322" s="11" t="s">
        <v>8424</v>
      </c>
      <c r="B3322" s="11" t="s">
        <v>8425</v>
      </c>
      <c r="C3322" s="11" t="s">
        <v>784</v>
      </c>
      <c r="D3322" s="4" t="s">
        <v>1406</v>
      </c>
      <c r="E3322" t="s">
        <v>30</v>
      </c>
      <c r="F3322" s="9">
        <f t="shared" si="210"/>
        <v>0</v>
      </c>
      <c r="G3322" s="9">
        <f t="shared" si="211"/>
        <v>0</v>
      </c>
      <c r="H3322" s="9">
        <f t="shared" si="212"/>
        <v>0</v>
      </c>
      <c r="I3322" s="10">
        <f t="shared" si="213"/>
        <v>0</v>
      </c>
    </row>
    <row r="3323" spans="1:9" x14ac:dyDescent="0.25">
      <c r="A3323" s="11" t="s">
        <v>8426</v>
      </c>
      <c r="B3323" s="11" t="s">
        <v>8427</v>
      </c>
      <c r="C3323" s="11" t="s">
        <v>784</v>
      </c>
      <c r="D3323" s="4" t="s">
        <v>1406</v>
      </c>
      <c r="E3323" t="s">
        <v>30</v>
      </c>
      <c r="F3323" s="9">
        <f t="shared" si="210"/>
        <v>0</v>
      </c>
      <c r="G3323" s="9">
        <f t="shared" si="211"/>
        <v>0</v>
      </c>
      <c r="H3323" s="9">
        <f t="shared" si="212"/>
        <v>0</v>
      </c>
      <c r="I3323" s="10">
        <f t="shared" si="213"/>
        <v>0</v>
      </c>
    </row>
    <row r="3324" spans="1:9" x14ac:dyDescent="0.25">
      <c r="A3324" s="11" t="s">
        <v>8428</v>
      </c>
      <c r="B3324" s="11" t="s">
        <v>8429</v>
      </c>
      <c r="C3324" s="11" t="s">
        <v>784</v>
      </c>
      <c r="D3324" s="4" t="s">
        <v>1406</v>
      </c>
      <c r="E3324" t="s">
        <v>30</v>
      </c>
      <c r="F3324" s="9">
        <f t="shared" si="210"/>
        <v>0</v>
      </c>
      <c r="G3324" s="9">
        <f t="shared" si="211"/>
        <v>0</v>
      </c>
      <c r="H3324" s="9">
        <f t="shared" si="212"/>
        <v>0</v>
      </c>
      <c r="I3324" s="10">
        <f t="shared" si="213"/>
        <v>0</v>
      </c>
    </row>
    <row r="3325" spans="1:9" x14ac:dyDescent="0.25">
      <c r="A3325" s="11" t="s">
        <v>8430</v>
      </c>
      <c r="B3325" s="11" t="s">
        <v>8431</v>
      </c>
      <c r="C3325" s="11" t="s">
        <v>784</v>
      </c>
      <c r="D3325" s="4" t="s">
        <v>1406</v>
      </c>
      <c r="E3325" t="s">
        <v>30</v>
      </c>
      <c r="F3325" s="9">
        <f t="shared" si="210"/>
        <v>0</v>
      </c>
      <c r="G3325" s="9">
        <f t="shared" si="211"/>
        <v>0</v>
      </c>
      <c r="H3325" s="9">
        <f t="shared" si="212"/>
        <v>0</v>
      </c>
      <c r="I3325" s="10">
        <f t="shared" si="213"/>
        <v>0</v>
      </c>
    </row>
    <row r="3326" spans="1:9" x14ac:dyDescent="0.25">
      <c r="A3326" s="11" t="s">
        <v>8432</v>
      </c>
      <c r="B3326" s="11" t="s">
        <v>8433</v>
      </c>
      <c r="C3326" s="11" t="s">
        <v>784</v>
      </c>
      <c r="D3326" s="4" t="s">
        <v>1406</v>
      </c>
      <c r="E3326" t="s">
        <v>30</v>
      </c>
      <c r="F3326" s="9">
        <f t="shared" si="210"/>
        <v>0</v>
      </c>
      <c r="G3326" s="9">
        <f t="shared" si="211"/>
        <v>0</v>
      </c>
      <c r="H3326" s="9">
        <f t="shared" si="212"/>
        <v>0</v>
      </c>
      <c r="I3326" s="10">
        <f t="shared" si="213"/>
        <v>0</v>
      </c>
    </row>
    <row r="3327" spans="1:9" x14ac:dyDescent="0.25">
      <c r="A3327" s="11" t="s">
        <v>8434</v>
      </c>
      <c r="B3327" s="11" t="s">
        <v>8435</v>
      </c>
      <c r="C3327" s="11" t="s">
        <v>784</v>
      </c>
      <c r="D3327" s="4" t="s">
        <v>1406</v>
      </c>
      <c r="E3327" t="s">
        <v>30</v>
      </c>
      <c r="F3327" s="9">
        <f t="shared" si="210"/>
        <v>0</v>
      </c>
      <c r="G3327" s="9">
        <f t="shared" si="211"/>
        <v>0</v>
      </c>
      <c r="H3327" s="9">
        <f t="shared" si="212"/>
        <v>0</v>
      </c>
      <c r="I3327" s="10">
        <f t="shared" si="213"/>
        <v>0</v>
      </c>
    </row>
    <row r="3328" spans="1:9" x14ac:dyDescent="0.25">
      <c r="A3328" s="11" t="s">
        <v>8436</v>
      </c>
      <c r="B3328" s="11" t="s">
        <v>8437</v>
      </c>
      <c r="C3328" s="11" t="s">
        <v>784</v>
      </c>
      <c r="D3328" s="4" t="s">
        <v>1406</v>
      </c>
      <c r="E3328" t="s">
        <v>30</v>
      </c>
      <c r="F3328" s="9">
        <f t="shared" si="210"/>
        <v>0</v>
      </c>
      <c r="G3328" s="9">
        <f t="shared" si="211"/>
        <v>0</v>
      </c>
      <c r="H3328" s="9">
        <f t="shared" si="212"/>
        <v>0</v>
      </c>
      <c r="I3328" s="10">
        <f t="shared" si="213"/>
        <v>0</v>
      </c>
    </row>
    <row r="3329" spans="1:9" x14ac:dyDescent="0.25">
      <c r="A3329" s="11" t="s">
        <v>8438</v>
      </c>
      <c r="B3329" s="11" t="s">
        <v>8439</v>
      </c>
      <c r="C3329" s="11" t="s">
        <v>784</v>
      </c>
      <c r="D3329" s="4" t="s">
        <v>1406</v>
      </c>
      <c r="E3329" t="s">
        <v>30</v>
      </c>
      <c r="F3329" s="9">
        <f t="shared" si="210"/>
        <v>0</v>
      </c>
      <c r="G3329" s="9">
        <f t="shared" si="211"/>
        <v>0</v>
      </c>
      <c r="H3329" s="9">
        <f t="shared" si="212"/>
        <v>0</v>
      </c>
      <c r="I3329" s="10">
        <f t="shared" si="213"/>
        <v>0</v>
      </c>
    </row>
    <row r="3330" spans="1:9" x14ac:dyDescent="0.25">
      <c r="A3330" s="11" t="s">
        <v>8440</v>
      </c>
      <c r="B3330" s="11" t="s">
        <v>8441</v>
      </c>
      <c r="C3330" s="11" t="s">
        <v>784</v>
      </c>
      <c r="D3330" s="4" t="s">
        <v>1406</v>
      </c>
      <c r="E3330" t="s">
        <v>30</v>
      </c>
      <c r="F3330" s="9">
        <f t="shared" si="210"/>
        <v>0</v>
      </c>
      <c r="G3330" s="9">
        <f t="shared" si="211"/>
        <v>0</v>
      </c>
      <c r="H3330" s="9">
        <f t="shared" si="212"/>
        <v>0</v>
      </c>
      <c r="I3330" s="10">
        <f t="shared" si="213"/>
        <v>0</v>
      </c>
    </row>
    <row r="3331" spans="1:9" x14ac:dyDescent="0.25">
      <c r="A3331" s="11" t="s">
        <v>8442</v>
      </c>
      <c r="B3331" s="11" t="s">
        <v>8443</v>
      </c>
      <c r="C3331" s="11" t="s">
        <v>784</v>
      </c>
      <c r="D3331" s="4" t="s">
        <v>1406</v>
      </c>
      <c r="E3331" t="s">
        <v>30</v>
      </c>
      <c r="F3331" s="9">
        <f t="shared" ref="F3331:F3394" si="214">IFERROR(VLOOKUP(A3331,condi,8,0),0)</f>
        <v>0</v>
      </c>
      <c r="G3331" s="9">
        <f t="shared" ref="G3331:G3394" si="215">IFERROR(VLOOKUP(A3331,maqui,8,0),0)</f>
        <v>0</v>
      </c>
      <c r="H3331" s="9">
        <f t="shared" ref="H3331:H3394" si="216">IFERROR(VLOOKUP(A3331,ascint,8,0),0)</f>
        <v>0</v>
      </c>
      <c r="I3331" s="10">
        <f t="shared" ref="I3331:I3394" si="217">+F3331+G3331+H3331</f>
        <v>0</v>
      </c>
    </row>
    <row r="3332" spans="1:9" x14ac:dyDescent="0.25">
      <c r="A3332" s="11" t="s">
        <v>8444</v>
      </c>
      <c r="B3332" s="11" t="s">
        <v>8445</v>
      </c>
      <c r="C3332" s="11" t="s">
        <v>784</v>
      </c>
      <c r="D3332" s="4" t="s">
        <v>1406</v>
      </c>
      <c r="E3332" t="s">
        <v>30</v>
      </c>
      <c r="F3332" s="9">
        <f t="shared" si="214"/>
        <v>0</v>
      </c>
      <c r="G3332" s="9">
        <f t="shared" si="215"/>
        <v>0</v>
      </c>
      <c r="H3332" s="9">
        <f t="shared" si="216"/>
        <v>0</v>
      </c>
      <c r="I3332" s="10">
        <f t="shared" si="217"/>
        <v>0</v>
      </c>
    </row>
    <row r="3333" spans="1:9" x14ac:dyDescent="0.25">
      <c r="A3333" s="11" t="s">
        <v>8446</v>
      </c>
      <c r="B3333" s="11" t="s">
        <v>8447</v>
      </c>
      <c r="C3333" s="11" t="s">
        <v>784</v>
      </c>
      <c r="D3333" s="4" t="s">
        <v>1406</v>
      </c>
      <c r="E3333" t="s">
        <v>30</v>
      </c>
      <c r="F3333" s="9">
        <f t="shared" si="214"/>
        <v>0</v>
      </c>
      <c r="G3333" s="9">
        <f t="shared" si="215"/>
        <v>0</v>
      </c>
      <c r="H3333" s="9">
        <f t="shared" si="216"/>
        <v>0</v>
      </c>
      <c r="I3333" s="10">
        <f t="shared" si="217"/>
        <v>0</v>
      </c>
    </row>
    <row r="3334" spans="1:9" x14ac:dyDescent="0.25">
      <c r="A3334" s="11" t="s">
        <v>8448</v>
      </c>
      <c r="B3334" s="11" t="s">
        <v>8449</v>
      </c>
      <c r="C3334" s="11" t="s">
        <v>784</v>
      </c>
      <c r="D3334" s="4" t="s">
        <v>1406</v>
      </c>
      <c r="E3334" t="s">
        <v>30</v>
      </c>
      <c r="F3334" s="9">
        <f t="shared" si="214"/>
        <v>0</v>
      </c>
      <c r="G3334" s="9">
        <f t="shared" si="215"/>
        <v>0</v>
      </c>
      <c r="H3334" s="9">
        <f t="shared" si="216"/>
        <v>0</v>
      </c>
      <c r="I3334" s="10">
        <f t="shared" si="217"/>
        <v>0</v>
      </c>
    </row>
    <row r="3335" spans="1:9" x14ac:dyDescent="0.25">
      <c r="A3335" s="11" t="s">
        <v>8450</v>
      </c>
      <c r="B3335" s="11" t="s">
        <v>8451</v>
      </c>
      <c r="C3335" s="11" t="s">
        <v>784</v>
      </c>
      <c r="D3335" s="4" t="s">
        <v>1406</v>
      </c>
      <c r="E3335" t="s">
        <v>30</v>
      </c>
      <c r="F3335" s="9">
        <f t="shared" si="214"/>
        <v>0</v>
      </c>
      <c r="G3335" s="9">
        <f t="shared" si="215"/>
        <v>0</v>
      </c>
      <c r="H3335" s="9">
        <f t="shared" si="216"/>
        <v>0</v>
      </c>
      <c r="I3335" s="10">
        <f t="shared" si="217"/>
        <v>0</v>
      </c>
    </row>
    <row r="3336" spans="1:9" x14ac:dyDescent="0.25">
      <c r="A3336" s="11" t="s">
        <v>8452</v>
      </c>
      <c r="B3336" s="11" t="s">
        <v>8453</v>
      </c>
      <c r="C3336" s="11" t="s">
        <v>784</v>
      </c>
      <c r="D3336" s="4" t="s">
        <v>1406</v>
      </c>
      <c r="E3336" t="s">
        <v>30</v>
      </c>
      <c r="F3336" s="9">
        <f t="shared" si="214"/>
        <v>0</v>
      </c>
      <c r="G3336" s="9">
        <f t="shared" si="215"/>
        <v>0</v>
      </c>
      <c r="H3336" s="9">
        <f t="shared" si="216"/>
        <v>0</v>
      </c>
      <c r="I3336" s="10">
        <f t="shared" si="217"/>
        <v>0</v>
      </c>
    </row>
    <row r="3337" spans="1:9" x14ac:dyDescent="0.25">
      <c r="A3337" s="11" t="s">
        <v>8454</v>
      </c>
      <c r="B3337" s="11" t="s">
        <v>8455</v>
      </c>
      <c r="C3337" s="11" t="s">
        <v>784</v>
      </c>
      <c r="D3337" s="4" t="s">
        <v>1406</v>
      </c>
      <c r="E3337" t="s">
        <v>30</v>
      </c>
      <c r="F3337" s="9">
        <f t="shared" si="214"/>
        <v>0</v>
      </c>
      <c r="G3337" s="9">
        <f t="shared" si="215"/>
        <v>0</v>
      </c>
      <c r="H3337" s="9">
        <f t="shared" si="216"/>
        <v>0</v>
      </c>
      <c r="I3337" s="10">
        <f t="shared" si="217"/>
        <v>0</v>
      </c>
    </row>
    <row r="3338" spans="1:9" x14ac:dyDescent="0.25">
      <c r="A3338" s="11" t="s">
        <v>8456</v>
      </c>
      <c r="B3338" s="11" t="s">
        <v>8457</v>
      </c>
      <c r="C3338" s="11" t="s">
        <v>784</v>
      </c>
      <c r="D3338" s="4" t="s">
        <v>1406</v>
      </c>
      <c r="E3338" t="s">
        <v>30</v>
      </c>
      <c r="F3338" s="9">
        <f t="shared" si="214"/>
        <v>0</v>
      </c>
      <c r="G3338" s="9">
        <f t="shared" si="215"/>
        <v>0</v>
      </c>
      <c r="H3338" s="9">
        <f t="shared" si="216"/>
        <v>0</v>
      </c>
      <c r="I3338" s="10">
        <f t="shared" si="217"/>
        <v>0</v>
      </c>
    </row>
    <row r="3339" spans="1:9" x14ac:dyDescent="0.25">
      <c r="A3339" s="11" t="s">
        <v>8458</v>
      </c>
      <c r="B3339" s="11" t="s">
        <v>8459</v>
      </c>
      <c r="C3339" s="11" t="s">
        <v>784</v>
      </c>
      <c r="D3339" s="4" t="s">
        <v>1406</v>
      </c>
      <c r="E3339" t="s">
        <v>30</v>
      </c>
      <c r="F3339" s="9">
        <f t="shared" si="214"/>
        <v>0</v>
      </c>
      <c r="G3339" s="9">
        <f t="shared" si="215"/>
        <v>0</v>
      </c>
      <c r="H3339" s="9">
        <f t="shared" si="216"/>
        <v>0</v>
      </c>
      <c r="I3339" s="10">
        <f t="shared" si="217"/>
        <v>0</v>
      </c>
    </row>
    <row r="3340" spans="1:9" x14ac:dyDescent="0.25">
      <c r="A3340" s="11" t="s">
        <v>8460</v>
      </c>
      <c r="B3340" s="11" t="s">
        <v>8461</v>
      </c>
      <c r="C3340" s="11" t="s">
        <v>784</v>
      </c>
      <c r="D3340" s="4" t="s">
        <v>1406</v>
      </c>
      <c r="E3340" t="s">
        <v>30</v>
      </c>
      <c r="F3340" s="9">
        <f t="shared" si="214"/>
        <v>0</v>
      </c>
      <c r="G3340" s="9">
        <f t="shared" si="215"/>
        <v>0</v>
      </c>
      <c r="H3340" s="9">
        <f t="shared" si="216"/>
        <v>0</v>
      </c>
      <c r="I3340" s="10">
        <f t="shared" si="217"/>
        <v>0</v>
      </c>
    </row>
    <row r="3341" spans="1:9" x14ac:dyDescent="0.25">
      <c r="A3341" s="11" t="s">
        <v>8462</v>
      </c>
      <c r="B3341" s="11" t="s">
        <v>8463</v>
      </c>
      <c r="C3341" s="11" t="s">
        <v>784</v>
      </c>
      <c r="D3341" s="4" t="s">
        <v>1406</v>
      </c>
      <c r="E3341" t="s">
        <v>30</v>
      </c>
      <c r="F3341" s="9">
        <f t="shared" si="214"/>
        <v>0</v>
      </c>
      <c r="G3341" s="9">
        <f t="shared" si="215"/>
        <v>0</v>
      </c>
      <c r="H3341" s="9">
        <f t="shared" si="216"/>
        <v>0</v>
      </c>
      <c r="I3341" s="10">
        <f t="shared" si="217"/>
        <v>0</v>
      </c>
    </row>
    <row r="3342" spans="1:9" x14ac:dyDescent="0.25">
      <c r="A3342" s="11" t="s">
        <v>8464</v>
      </c>
      <c r="B3342" s="11" t="s">
        <v>8465</v>
      </c>
      <c r="C3342" s="11" t="s">
        <v>784</v>
      </c>
      <c r="D3342" s="4" t="s">
        <v>1406</v>
      </c>
      <c r="E3342" t="s">
        <v>30</v>
      </c>
      <c r="F3342" s="9">
        <f t="shared" si="214"/>
        <v>0</v>
      </c>
      <c r="G3342" s="9">
        <f t="shared" si="215"/>
        <v>0</v>
      </c>
      <c r="H3342" s="9">
        <f t="shared" si="216"/>
        <v>0</v>
      </c>
      <c r="I3342" s="10">
        <f t="shared" si="217"/>
        <v>0</v>
      </c>
    </row>
    <row r="3343" spans="1:9" x14ac:dyDescent="0.25">
      <c r="A3343" s="11" t="s">
        <v>8466</v>
      </c>
      <c r="B3343" s="11" t="s">
        <v>8467</v>
      </c>
      <c r="C3343" s="11" t="s">
        <v>784</v>
      </c>
      <c r="D3343" s="4" t="s">
        <v>1406</v>
      </c>
      <c r="E3343" t="s">
        <v>30</v>
      </c>
      <c r="F3343" s="9">
        <f t="shared" si="214"/>
        <v>0</v>
      </c>
      <c r="G3343" s="9">
        <f t="shared" si="215"/>
        <v>0</v>
      </c>
      <c r="H3343" s="9">
        <f t="shared" si="216"/>
        <v>0</v>
      </c>
      <c r="I3343" s="10">
        <f t="shared" si="217"/>
        <v>0</v>
      </c>
    </row>
    <row r="3344" spans="1:9" x14ac:dyDescent="0.25">
      <c r="A3344" s="11" t="s">
        <v>8468</v>
      </c>
      <c r="B3344" s="11" t="s">
        <v>8469</v>
      </c>
      <c r="C3344" s="11" t="s">
        <v>784</v>
      </c>
      <c r="D3344" s="4" t="s">
        <v>1406</v>
      </c>
      <c r="E3344" t="s">
        <v>30</v>
      </c>
      <c r="F3344" s="9">
        <f t="shared" si="214"/>
        <v>0</v>
      </c>
      <c r="G3344" s="9">
        <f t="shared" si="215"/>
        <v>0</v>
      </c>
      <c r="H3344" s="9">
        <f t="shared" si="216"/>
        <v>0</v>
      </c>
      <c r="I3344" s="10">
        <f t="shared" si="217"/>
        <v>0</v>
      </c>
    </row>
    <row r="3345" spans="1:9" x14ac:dyDescent="0.25">
      <c r="A3345" s="11" t="s">
        <v>8470</v>
      </c>
      <c r="B3345" s="11" t="s">
        <v>8471</v>
      </c>
      <c r="C3345" s="11" t="s">
        <v>784</v>
      </c>
      <c r="D3345" s="4" t="s">
        <v>1406</v>
      </c>
      <c r="E3345" t="s">
        <v>30</v>
      </c>
      <c r="F3345" s="9">
        <f t="shared" si="214"/>
        <v>0</v>
      </c>
      <c r="G3345" s="9">
        <f t="shared" si="215"/>
        <v>0</v>
      </c>
      <c r="H3345" s="9">
        <f t="shared" si="216"/>
        <v>0</v>
      </c>
      <c r="I3345" s="10">
        <f t="shared" si="217"/>
        <v>0</v>
      </c>
    </row>
    <row r="3346" spans="1:9" x14ac:dyDescent="0.25">
      <c r="A3346" s="11" t="s">
        <v>8472</v>
      </c>
      <c r="B3346" s="11" t="s">
        <v>8473</v>
      </c>
      <c r="C3346" s="11" t="s">
        <v>784</v>
      </c>
      <c r="D3346" s="4" t="s">
        <v>1406</v>
      </c>
      <c r="E3346" t="s">
        <v>30</v>
      </c>
      <c r="F3346" s="9">
        <f t="shared" si="214"/>
        <v>0</v>
      </c>
      <c r="G3346" s="9">
        <f t="shared" si="215"/>
        <v>0</v>
      </c>
      <c r="H3346" s="9">
        <f t="shared" si="216"/>
        <v>0</v>
      </c>
      <c r="I3346" s="10">
        <f t="shared" si="217"/>
        <v>0</v>
      </c>
    </row>
    <row r="3347" spans="1:9" x14ac:dyDescent="0.25">
      <c r="A3347" s="11" t="s">
        <v>8474</v>
      </c>
      <c r="B3347" s="11" t="s">
        <v>8475</v>
      </c>
      <c r="C3347" s="11" t="s">
        <v>784</v>
      </c>
      <c r="D3347" s="4" t="s">
        <v>1406</v>
      </c>
      <c r="E3347" t="s">
        <v>30</v>
      </c>
      <c r="F3347" s="9">
        <f t="shared" si="214"/>
        <v>0</v>
      </c>
      <c r="G3347" s="9">
        <f t="shared" si="215"/>
        <v>0</v>
      </c>
      <c r="H3347" s="9">
        <f t="shared" si="216"/>
        <v>0</v>
      </c>
      <c r="I3347" s="10">
        <f t="shared" si="217"/>
        <v>0</v>
      </c>
    </row>
    <row r="3348" spans="1:9" x14ac:dyDescent="0.25">
      <c r="A3348" s="11" t="s">
        <v>8476</v>
      </c>
      <c r="B3348" s="11" t="s">
        <v>8477</v>
      </c>
      <c r="C3348" s="11" t="s">
        <v>784</v>
      </c>
      <c r="D3348" s="4" t="s">
        <v>1406</v>
      </c>
      <c r="E3348" t="s">
        <v>30</v>
      </c>
      <c r="F3348" s="9">
        <f t="shared" si="214"/>
        <v>0</v>
      </c>
      <c r="G3348" s="9">
        <f t="shared" si="215"/>
        <v>0</v>
      </c>
      <c r="H3348" s="9">
        <f t="shared" si="216"/>
        <v>0</v>
      </c>
      <c r="I3348" s="10">
        <f t="shared" si="217"/>
        <v>0</v>
      </c>
    </row>
    <row r="3349" spans="1:9" x14ac:dyDescent="0.25">
      <c r="A3349" s="11" t="s">
        <v>8478</v>
      </c>
      <c r="B3349" s="11" t="s">
        <v>8479</v>
      </c>
      <c r="C3349" s="11" t="s">
        <v>784</v>
      </c>
      <c r="D3349" s="4" t="s">
        <v>1406</v>
      </c>
      <c r="E3349" t="s">
        <v>30</v>
      </c>
      <c r="F3349" s="9">
        <f t="shared" si="214"/>
        <v>0</v>
      </c>
      <c r="G3349" s="9">
        <f t="shared" si="215"/>
        <v>0</v>
      </c>
      <c r="H3349" s="9">
        <f t="shared" si="216"/>
        <v>0</v>
      </c>
      <c r="I3349" s="10">
        <f t="shared" si="217"/>
        <v>0</v>
      </c>
    </row>
    <row r="3350" spans="1:9" x14ac:dyDescent="0.25">
      <c r="A3350" s="11" t="s">
        <v>8480</v>
      </c>
      <c r="B3350" s="11" t="s">
        <v>8481</v>
      </c>
      <c r="C3350" s="11" t="s">
        <v>784</v>
      </c>
      <c r="D3350" s="4" t="s">
        <v>1406</v>
      </c>
      <c r="E3350" t="s">
        <v>30</v>
      </c>
      <c r="F3350" s="9">
        <f t="shared" si="214"/>
        <v>0</v>
      </c>
      <c r="G3350" s="9">
        <f t="shared" si="215"/>
        <v>0</v>
      </c>
      <c r="H3350" s="9">
        <f t="shared" si="216"/>
        <v>0</v>
      </c>
      <c r="I3350" s="10">
        <f t="shared" si="217"/>
        <v>0</v>
      </c>
    </row>
    <row r="3351" spans="1:9" x14ac:dyDescent="0.25">
      <c r="A3351" s="11" t="s">
        <v>8482</v>
      </c>
      <c r="B3351" s="11" t="s">
        <v>8483</v>
      </c>
      <c r="C3351" s="11" t="s">
        <v>784</v>
      </c>
      <c r="D3351" s="4" t="s">
        <v>1406</v>
      </c>
      <c r="E3351" t="s">
        <v>30</v>
      </c>
      <c r="F3351" s="9">
        <f t="shared" si="214"/>
        <v>0</v>
      </c>
      <c r="G3351" s="9">
        <f t="shared" si="215"/>
        <v>0</v>
      </c>
      <c r="H3351" s="9">
        <f t="shared" si="216"/>
        <v>0</v>
      </c>
      <c r="I3351" s="10">
        <f t="shared" si="217"/>
        <v>0</v>
      </c>
    </row>
    <row r="3352" spans="1:9" x14ac:dyDescent="0.25">
      <c r="A3352" s="11" t="s">
        <v>8484</v>
      </c>
      <c r="B3352" s="11" t="s">
        <v>8485</v>
      </c>
      <c r="C3352" s="11" t="s">
        <v>784</v>
      </c>
      <c r="D3352" s="4" t="s">
        <v>1406</v>
      </c>
      <c r="E3352" t="s">
        <v>30</v>
      </c>
      <c r="F3352" s="9">
        <f t="shared" si="214"/>
        <v>0</v>
      </c>
      <c r="G3352" s="9">
        <f t="shared" si="215"/>
        <v>0</v>
      </c>
      <c r="H3352" s="9">
        <f t="shared" si="216"/>
        <v>0</v>
      </c>
      <c r="I3352" s="10">
        <f t="shared" si="217"/>
        <v>0</v>
      </c>
    </row>
    <row r="3353" spans="1:9" x14ac:dyDescent="0.25">
      <c r="A3353" s="11" t="s">
        <v>8486</v>
      </c>
      <c r="B3353" s="11" t="s">
        <v>8487</v>
      </c>
      <c r="C3353" s="11" t="s">
        <v>784</v>
      </c>
      <c r="D3353" s="4" t="s">
        <v>1406</v>
      </c>
      <c r="E3353" t="s">
        <v>30</v>
      </c>
      <c r="F3353" s="9">
        <f t="shared" si="214"/>
        <v>0</v>
      </c>
      <c r="G3353" s="9">
        <f t="shared" si="215"/>
        <v>0</v>
      </c>
      <c r="H3353" s="9">
        <f t="shared" si="216"/>
        <v>0</v>
      </c>
      <c r="I3353" s="10">
        <f t="shared" si="217"/>
        <v>0</v>
      </c>
    </row>
    <row r="3354" spans="1:9" x14ac:dyDescent="0.25">
      <c r="A3354" s="11" t="s">
        <v>8488</v>
      </c>
      <c r="B3354" s="11" t="s">
        <v>8489</v>
      </c>
      <c r="C3354" s="11" t="s">
        <v>784</v>
      </c>
      <c r="D3354" s="4" t="s">
        <v>1406</v>
      </c>
      <c r="E3354" t="s">
        <v>30</v>
      </c>
      <c r="F3354" s="9">
        <f t="shared" si="214"/>
        <v>0</v>
      </c>
      <c r="G3354" s="9">
        <f t="shared" si="215"/>
        <v>0</v>
      </c>
      <c r="H3354" s="9">
        <f t="shared" si="216"/>
        <v>0</v>
      </c>
      <c r="I3354" s="10">
        <f t="shared" si="217"/>
        <v>0</v>
      </c>
    </row>
    <row r="3355" spans="1:9" x14ac:dyDescent="0.25">
      <c r="A3355" s="11" t="s">
        <v>8490</v>
      </c>
      <c r="B3355" s="11" t="s">
        <v>8491</v>
      </c>
      <c r="C3355" s="11" t="s">
        <v>784</v>
      </c>
      <c r="D3355" s="4" t="s">
        <v>1406</v>
      </c>
      <c r="E3355" t="s">
        <v>30</v>
      </c>
      <c r="F3355" s="9">
        <f t="shared" si="214"/>
        <v>0</v>
      </c>
      <c r="G3355" s="9">
        <f t="shared" si="215"/>
        <v>0</v>
      </c>
      <c r="H3355" s="9">
        <f t="shared" si="216"/>
        <v>0</v>
      </c>
      <c r="I3355" s="10">
        <f t="shared" si="217"/>
        <v>0</v>
      </c>
    </row>
    <row r="3356" spans="1:9" x14ac:dyDescent="0.25">
      <c r="A3356" s="11" t="s">
        <v>8492</v>
      </c>
      <c r="B3356" s="11" t="s">
        <v>8493</v>
      </c>
      <c r="C3356" s="11" t="s">
        <v>784</v>
      </c>
      <c r="D3356" s="4" t="s">
        <v>1406</v>
      </c>
      <c r="E3356" t="s">
        <v>30</v>
      </c>
      <c r="F3356" s="9">
        <f t="shared" si="214"/>
        <v>0</v>
      </c>
      <c r="G3356" s="9">
        <f t="shared" si="215"/>
        <v>0</v>
      </c>
      <c r="H3356" s="9">
        <f t="shared" si="216"/>
        <v>0</v>
      </c>
      <c r="I3356" s="10">
        <f t="shared" si="217"/>
        <v>0</v>
      </c>
    </row>
    <row r="3357" spans="1:9" x14ac:dyDescent="0.25">
      <c r="A3357" s="11" t="s">
        <v>8494</v>
      </c>
      <c r="B3357" s="11" t="s">
        <v>8495</v>
      </c>
      <c r="C3357" s="11" t="s">
        <v>784</v>
      </c>
      <c r="D3357" s="4" t="s">
        <v>1406</v>
      </c>
      <c r="E3357" t="s">
        <v>30</v>
      </c>
      <c r="F3357" s="9">
        <f t="shared" si="214"/>
        <v>0</v>
      </c>
      <c r="G3357" s="9">
        <f t="shared" si="215"/>
        <v>0</v>
      </c>
      <c r="H3357" s="9">
        <f t="shared" si="216"/>
        <v>0</v>
      </c>
      <c r="I3357" s="10">
        <f t="shared" si="217"/>
        <v>0</v>
      </c>
    </row>
    <row r="3358" spans="1:9" x14ac:dyDescent="0.25">
      <c r="A3358" s="11" t="s">
        <v>8496</v>
      </c>
      <c r="B3358" s="11" t="s">
        <v>8497</v>
      </c>
      <c r="C3358" s="11" t="s">
        <v>784</v>
      </c>
      <c r="D3358" s="4" t="s">
        <v>1406</v>
      </c>
      <c r="E3358" t="s">
        <v>30</v>
      </c>
      <c r="F3358" s="9">
        <f t="shared" si="214"/>
        <v>0</v>
      </c>
      <c r="G3358" s="9">
        <f t="shared" si="215"/>
        <v>0</v>
      </c>
      <c r="H3358" s="9">
        <f t="shared" si="216"/>
        <v>0</v>
      </c>
      <c r="I3358" s="10">
        <f t="shared" si="217"/>
        <v>0</v>
      </c>
    </row>
    <row r="3359" spans="1:9" x14ac:dyDescent="0.25">
      <c r="A3359" s="11" t="s">
        <v>8498</v>
      </c>
      <c r="B3359" s="11" t="s">
        <v>8499</v>
      </c>
      <c r="C3359" s="11" t="s">
        <v>784</v>
      </c>
      <c r="D3359" s="4" t="s">
        <v>1406</v>
      </c>
      <c r="E3359" t="s">
        <v>30</v>
      </c>
      <c r="F3359" s="9">
        <f t="shared" si="214"/>
        <v>0</v>
      </c>
      <c r="G3359" s="9">
        <f t="shared" si="215"/>
        <v>0</v>
      </c>
      <c r="H3359" s="9">
        <f t="shared" si="216"/>
        <v>0</v>
      </c>
      <c r="I3359" s="10">
        <f t="shared" si="217"/>
        <v>0</v>
      </c>
    </row>
    <row r="3360" spans="1:9" x14ac:dyDescent="0.25">
      <c r="A3360" s="11" t="s">
        <v>8500</v>
      </c>
      <c r="B3360" s="11" t="s">
        <v>8501</v>
      </c>
      <c r="C3360" s="11" t="s">
        <v>784</v>
      </c>
      <c r="D3360" s="4" t="s">
        <v>1406</v>
      </c>
      <c r="E3360" t="s">
        <v>30</v>
      </c>
      <c r="F3360" s="9">
        <f t="shared" si="214"/>
        <v>0</v>
      </c>
      <c r="G3360" s="9">
        <f t="shared" si="215"/>
        <v>0</v>
      </c>
      <c r="H3360" s="9">
        <f t="shared" si="216"/>
        <v>0</v>
      </c>
      <c r="I3360" s="10">
        <f t="shared" si="217"/>
        <v>0</v>
      </c>
    </row>
    <row r="3361" spans="1:9" x14ac:dyDescent="0.25">
      <c r="A3361" s="11" t="s">
        <v>8502</v>
      </c>
      <c r="B3361" s="11" t="s">
        <v>8503</v>
      </c>
      <c r="C3361" s="11" t="s">
        <v>784</v>
      </c>
      <c r="D3361" s="4" t="s">
        <v>1406</v>
      </c>
      <c r="E3361" t="s">
        <v>30</v>
      </c>
      <c r="F3361" s="9">
        <f t="shared" si="214"/>
        <v>0</v>
      </c>
      <c r="G3361" s="9">
        <f t="shared" si="215"/>
        <v>0</v>
      </c>
      <c r="H3361" s="9">
        <f t="shared" si="216"/>
        <v>0</v>
      </c>
      <c r="I3361" s="10">
        <f t="shared" si="217"/>
        <v>0</v>
      </c>
    </row>
    <row r="3362" spans="1:9" x14ac:dyDescent="0.25">
      <c r="A3362" s="11" t="s">
        <v>8504</v>
      </c>
      <c r="B3362" s="11" t="s">
        <v>8505</v>
      </c>
      <c r="C3362" s="11" t="s">
        <v>784</v>
      </c>
      <c r="D3362" s="4" t="s">
        <v>1406</v>
      </c>
      <c r="E3362" t="s">
        <v>30</v>
      </c>
      <c r="F3362" s="9">
        <f t="shared" si="214"/>
        <v>0</v>
      </c>
      <c r="G3362" s="9">
        <f t="shared" si="215"/>
        <v>0</v>
      </c>
      <c r="H3362" s="9">
        <f t="shared" si="216"/>
        <v>0</v>
      </c>
      <c r="I3362" s="10">
        <f t="shared" si="217"/>
        <v>0</v>
      </c>
    </row>
    <row r="3363" spans="1:9" x14ac:dyDescent="0.25">
      <c r="A3363" s="11" t="s">
        <v>8506</v>
      </c>
      <c r="B3363" s="11" t="s">
        <v>8507</v>
      </c>
      <c r="C3363" s="11" t="s">
        <v>784</v>
      </c>
      <c r="D3363" s="4" t="s">
        <v>1406</v>
      </c>
      <c r="E3363" t="s">
        <v>30</v>
      </c>
      <c r="F3363" s="9">
        <f t="shared" si="214"/>
        <v>0</v>
      </c>
      <c r="G3363" s="9">
        <f t="shared" si="215"/>
        <v>0</v>
      </c>
      <c r="H3363" s="9">
        <f t="shared" si="216"/>
        <v>0</v>
      </c>
      <c r="I3363" s="10">
        <f t="shared" si="217"/>
        <v>0</v>
      </c>
    </row>
    <row r="3364" spans="1:9" x14ac:dyDescent="0.25">
      <c r="A3364" s="11" t="s">
        <v>8508</v>
      </c>
      <c r="B3364" s="11" t="s">
        <v>8509</v>
      </c>
      <c r="C3364" s="11" t="s">
        <v>784</v>
      </c>
      <c r="D3364" s="4" t="s">
        <v>1406</v>
      </c>
      <c r="E3364" t="s">
        <v>30</v>
      </c>
      <c r="F3364" s="9">
        <f t="shared" si="214"/>
        <v>0</v>
      </c>
      <c r="G3364" s="9">
        <f t="shared" si="215"/>
        <v>0</v>
      </c>
      <c r="H3364" s="9">
        <f t="shared" si="216"/>
        <v>0</v>
      </c>
      <c r="I3364" s="10">
        <f t="shared" si="217"/>
        <v>0</v>
      </c>
    </row>
    <row r="3365" spans="1:9" x14ac:dyDescent="0.25">
      <c r="A3365" s="11" t="s">
        <v>8510</v>
      </c>
      <c r="B3365" s="11" t="s">
        <v>8511</v>
      </c>
      <c r="C3365" s="11" t="s">
        <v>784</v>
      </c>
      <c r="D3365" s="4" t="s">
        <v>1406</v>
      </c>
      <c r="E3365" t="s">
        <v>30</v>
      </c>
      <c r="F3365" s="9">
        <f t="shared" si="214"/>
        <v>0</v>
      </c>
      <c r="G3365" s="9">
        <f t="shared" si="215"/>
        <v>0</v>
      </c>
      <c r="H3365" s="9">
        <f t="shared" si="216"/>
        <v>0</v>
      </c>
      <c r="I3365" s="10">
        <f t="shared" si="217"/>
        <v>0</v>
      </c>
    </row>
    <row r="3366" spans="1:9" x14ac:dyDescent="0.25">
      <c r="A3366" s="11" t="s">
        <v>8512</v>
      </c>
      <c r="B3366" s="11" t="s">
        <v>8513</v>
      </c>
      <c r="C3366" s="11" t="s">
        <v>784</v>
      </c>
      <c r="D3366" s="4" t="s">
        <v>1406</v>
      </c>
      <c r="E3366" t="s">
        <v>30</v>
      </c>
      <c r="F3366" s="9">
        <f t="shared" si="214"/>
        <v>0</v>
      </c>
      <c r="G3366" s="9">
        <f t="shared" si="215"/>
        <v>0</v>
      </c>
      <c r="H3366" s="9">
        <f t="shared" si="216"/>
        <v>0</v>
      </c>
      <c r="I3366" s="10">
        <f t="shared" si="217"/>
        <v>0</v>
      </c>
    </row>
    <row r="3367" spans="1:9" x14ac:dyDescent="0.25">
      <c r="A3367" s="11" t="s">
        <v>8514</v>
      </c>
      <c r="B3367" s="11" t="s">
        <v>8515</v>
      </c>
      <c r="C3367" s="11" t="s">
        <v>784</v>
      </c>
      <c r="D3367" s="4" t="s">
        <v>1406</v>
      </c>
      <c r="E3367" t="s">
        <v>30</v>
      </c>
      <c r="F3367" s="9">
        <f t="shared" si="214"/>
        <v>0</v>
      </c>
      <c r="G3367" s="9">
        <f t="shared" si="215"/>
        <v>0</v>
      </c>
      <c r="H3367" s="9">
        <f t="shared" si="216"/>
        <v>0</v>
      </c>
      <c r="I3367" s="10">
        <f t="shared" si="217"/>
        <v>0</v>
      </c>
    </row>
    <row r="3368" spans="1:9" x14ac:dyDescent="0.25">
      <c r="A3368" s="11" t="s">
        <v>8516</v>
      </c>
      <c r="B3368" s="11" t="s">
        <v>8517</v>
      </c>
      <c r="C3368" s="11" t="s">
        <v>784</v>
      </c>
      <c r="D3368" s="4" t="s">
        <v>1406</v>
      </c>
      <c r="E3368" t="s">
        <v>30</v>
      </c>
      <c r="F3368" s="9">
        <f t="shared" si="214"/>
        <v>0</v>
      </c>
      <c r="G3368" s="9">
        <f t="shared" si="215"/>
        <v>0</v>
      </c>
      <c r="H3368" s="9">
        <f t="shared" si="216"/>
        <v>0</v>
      </c>
      <c r="I3368" s="10">
        <f t="shared" si="217"/>
        <v>0</v>
      </c>
    </row>
    <row r="3369" spans="1:9" x14ac:dyDescent="0.25">
      <c r="A3369" s="11" t="s">
        <v>8518</v>
      </c>
      <c r="B3369" s="11" t="s">
        <v>8519</v>
      </c>
      <c r="C3369" s="11" t="s">
        <v>784</v>
      </c>
      <c r="D3369" s="4" t="s">
        <v>1406</v>
      </c>
      <c r="E3369" t="s">
        <v>30</v>
      </c>
      <c r="F3369" s="9">
        <f t="shared" si="214"/>
        <v>0</v>
      </c>
      <c r="G3369" s="9">
        <f t="shared" si="215"/>
        <v>0</v>
      </c>
      <c r="H3369" s="9">
        <f t="shared" si="216"/>
        <v>0</v>
      </c>
      <c r="I3369" s="10">
        <f t="shared" si="217"/>
        <v>0</v>
      </c>
    </row>
    <row r="3370" spans="1:9" x14ac:dyDescent="0.25">
      <c r="A3370" s="11" t="s">
        <v>8520</v>
      </c>
      <c r="B3370" s="11" t="s">
        <v>8521</v>
      </c>
      <c r="C3370" s="11" t="s">
        <v>784</v>
      </c>
      <c r="D3370" s="4" t="s">
        <v>1406</v>
      </c>
      <c r="E3370" t="s">
        <v>30</v>
      </c>
      <c r="F3370" s="9">
        <f t="shared" si="214"/>
        <v>0</v>
      </c>
      <c r="G3370" s="9">
        <f t="shared" si="215"/>
        <v>0</v>
      </c>
      <c r="H3370" s="9">
        <f t="shared" si="216"/>
        <v>0</v>
      </c>
      <c r="I3370" s="10">
        <f t="shared" si="217"/>
        <v>0</v>
      </c>
    </row>
    <row r="3371" spans="1:9" x14ac:dyDescent="0.25">
      <c r="A3371" s="11" t="s">
        <v>8522</v>
      </c>
      <c r="B3371" s="11" t="s">
        <v>8523</v>
      </c>
      <c r="C3371" s="11" t="s">
        <v>784</v>
      </c>
      <c r="D3371" s="4" t="s">
        <v>1406</v>
      </c>
      <c r="E3371" t="s">
        <v>30</v>
      </c>
      <c r="F3371" s="9">
        <f t="shared" si="214"/>
        <v>0</v>
      </c>
      <c r="G3371" s="9">
        <f t="shared" si="215"/>
        <v>0</v>
      </c>
      <c r="H3371" s="9">
        <f t="shared" si="216"/>
        <v>0</v>
      </c>
      <c r="I3371" s="10">
        <f t="shared" si="217"/>
        <v>0</v>
      </c>
    </row>
    <row r="3372" spans="1:9" x14ac:dyDescent="0.25">
      <c r="A3372" s="11" t="s">
        <v>8524</v>
      </c>
      <c r="B3372" s="11" t="s">
        <v>8525</v>
      </c>
      <c r="C3372" s="11" t="s">
        <v>784</v>
      </c>
      <c r="D3372" s="4" t="s">
        <v>1406</v>
      </c>
      <c r="E3372" t="s">
        <v>30</v>
      </c>
      <c r="F3372" s="9">
        <f t="shared" si="214"/>
        <v>0</v>
      </c>
      <c r="G3372" s="9">
        <f t="shared" si="215"/>
        <v>0</v>
      </c>
      <c r="H3372" s="9">
        <f t="shared" si="216"/>
        <v>0</v>
      </c>
      <c r="I3372" s="10">
        <f t="shared" si="217"/>
        <v>0</v>
      </c>
    </row>
    <row r="3373" spans="1:9" x14ac:dyDescent="0.25">
      <c r="A3373" s="11" t="s">
        <v>8526</v>
      </c>
      <c r="B3373" s="11" t="s">
        <v>8527</v>
      </c>
      <c r="C3373" s="11" t="s">
        <v>784</v>
      </c>
      <c r="D3373" s="4" t="s">
        <v>1406</v>
      </c>
      <c r="E3373" t="s">
        <v>30</v>
      </c>
      <c r="F3373" s="9">
        <f t="shared" si="214"/>
        <v>0</v>
      </c>
      <c r="G3373" s="9">
        <f t="shared" si="215"/>
        <v>0</v>
      </c>
      <c r="H3373" s="9">
        <f t="shared" si="216"/>
        <v>0</v>
      </c>
      <c r="I3373" s="10">
        <f t="shared" si="217"/>
        <v>0</v>
      </c>
    </row>
    <row r="3374" spans="1:9" x14ac:dyDescent="0.25">
      <c r="A3374" s="11" t="s">
        <v>8528</v>
      </c>
      <c r="B3374" s="11" t="s">
        <v>8529</v>
      </c>
      <c r="C3374" s="11" t="s">
        <v>784</v>
      </c>
      <c r="D3374" s="4" t="s">
        <v>1406</v>
      </c>
      <c r="E3374" t="s">
        <v>30</v>
      </c>
      <c r="F3374" s="9">
        <f t="shared" si="214"/>
        <v>0</v>
      </c>
      <c r="G3374" s="9">
        <f t="shared" si="215"/>
        <v>0</v>
      </c>
      <c r="H3374" s="9">
        <f t="shared" si="216"/>
        <v>0</v>
      </c>
      <c r="I3374" s="10">
        <f t="shared" si="217"/>
        <v>0</v>
      </c>
    </row>
    <row r="3375" spans="1:9" x14ac:dyDescent="0.25">
      <c r="A3375" s="11" t="s">
        <v>8530</v>
      </c>
      <c r="B3375" s="11" t="s">
        <v>8531</v>
      </c>
      <c r="C3375" s="11" t="s">
        <v>784</v>
      </c>
      <c r="D3375" s="4" t="s">
        <v>1406</v>
      </c>
      <c r="E3375" t="s">
        <v>30</v>
      </c>
      <c r="F3375" s="9">
        <f t="shared" si="214"/>
        <v>0</v>
      </c>
      <c r="G3375" s="9">
        <f t="shared" si="215"/>
        <v>0</v>
      </c>
      <c r="H3375" s="9">
        <f t="shared" si="216"/>
        <v>0</v>
      </c>
      <c r="I3375" s="10">
        <f t="shared" si="217"/>
        <v>0</v>
      </c>
    </row>
    <row r="3376" spans="1:9" x14ac:dyDescent="0.25">
      <c r="A3376" s="11" t="s">
        <v>8532</v>
      </c>
      <c r="B3376" s="11" t="s">
        <v>8533</v>
      </c>
      <c r="C3376" s="11" t="s">
        <v>784</v>
      </c>
      <c r="D3376" s="4" t="s">
        <v>1406</v>
      </c>
      <c r="E3376" t="s">
        <v>30</v>
      </c>
      <c r="F3376" s="9">
        <f t="shared" si="214"/>
        <v>0</v>
      </c>
      <c r="G3376" s="9">
        <f t="shared" si="215"/>
        <v>0</v>
      </c>
      <c r="H3376" s="9">
        <f t="shared" si="216"/>
        <v>0</v>
      </c>
      <c r="I3376" s="10">
        <f t="shared" si="217"/>
        <v>0</v>
      </c>
    </row>
    <row r="3377" spans="1:9" x14ac:dyDescent="0.25">
      <c r="A3377" s="11" t="s">
        <v>8534</v>
      </c>
      <c r="B3377" s="11" t="s">
        <v>8535</v>
      </c>
      <c r="C3377" s="11" t="s">
        <v>784</v>
      </c>
      <c r="D3377" s="4" t="s">
        <v>1406</v>
      </c>
      <c r="E3377" t="s">
        <v>30</v>
      </c>
      <c r="F3377" s="9">
        <f t="shared" si="214"/>
        <v>0</v>
      </c>
      <c r="G3377" s="9">
        <f t="shared" si="215"/>
        <v>0</v>
      </c>
      <c r="H3377" s="9">
        <f t="shared" si="216"/>
        <v>0</v>
      </c>
      <c r="I3377" s="10">
        <f t="shared" si="217"/>
        <v>0</v>
      </c>
    </row>
    <row r="3378" spans="1:9" x14ac:dyDescent="0.25">
      <c r="A3378" s="11" t="s">
        <v>8536</v>
      </c>
      <c r="B3378" s="11" t="s">
        <v>8537</v>
      </c>
      <c r="C3378" s="11" t="s">
        <v>784</v>
      </c>
      <c r="D3378" s="4" t="s">
        <v>1406</v>
      </c>
      <c r="E3378" t="s">
        <v>30</v>
      </c>
      <c r="F3378" s="9">
        <f t="shared" si="214"/>
        <v>0</v>
      </c>
      <c r="G3378" s="9">
        <f t="shared" si="215"/>
        <v>0</v>
      </c>
      <c r="H3378" s="9">
        <f t="shared" si="216"/>
        <v>0</v>
      </c>
      <c r="I3378" s="10">
        <f t="shared" si="217"/>
        <v>0</v>
      </c>
    </row>
    <row r="3379" spans="1:9" x14ac:dyDescent="0.25">
      <c r="A3379" s="11" t="s">
        <v>8538</v>
      </c>
      <c r="B3379" s="11" t="s">
        <v>8539</v>
      </c>
      <c r="C3379" s="11" t="s">
        <v>784</v>
      </c>
      <c r="D3379" s="4" t="s">
        <v>1406</v>
      </c>
      <c r="E3379" t="s">
        <v>30</v>
      </c>
      <c r="F3379" s="9">
        <f t="shared" si="214"/>
        <v>0</v>
      </c>
      <c r="G3379" s="9">
        <f t="shared" si="215"/>
        <v>0</v>
      </c>
      <c r="H3379" s="9">
        <f t="shared" si="216"/>
        <v>0</v>
      </c>
      <c r="I3379" s="10">
        <f t="shared" si="217"/>
        <v>0</v>
      </c>
    </row>
    <row r="3380" spans="1:9" x14ac:dyDescent="0.25">
      <c r="A3380" s="11" t="s">
        <v>8540</v>
      </c>
      <c r="B3380" s="11" t="s">
        <v>8541</v>
      </c>
      <c r="C3380" s="11" t="s">
        <v>784</v>
      </c>
      <c r="D3380" s="4" t="s">
        <v>1406</v>
      </c>
      <c r="E3380" t="s">
        <v>30</v>
      </c>
      <c r="F3380" s="9">
        <f t="shared" si="214"/>
        <v>0</v>
      </c>
      <c r="G3380" s="9">
        <f t="shared" si="215"/>
        <v>0</v>
      </c>
      <c r="H3380" s="9">
        <f t="shared" si="216"/>
        <v>0</v>
      </c>
      <c r="I3380" s="10">
        <f t="shared" si="217"/>
        <v>0</v>
      </c>
    </row>
    <row r="3381" spans="1:9" x14ac:dyDescent="0.25">
      <c r="A3381" s="11" t="s">
        <v>8542</v>
      </c>
      <c r="B3381" s="11" t="s">
        <v>8543</v>
      </c>
      <c r="C3381" s="11" t="s">
        <v>784</v>
      </c>
      <c r="D3381" s="4" t="s">
        <v>1406</v>
      </c>
      <c r="E3381" t="s">
        <v>30</v>
      </c>
      <c r="F3381" s="9">
        <f t="shared" si="214"/>
        <v>0</v>
      </c>
      <c r="G3381" s="9">
        <f t="shared" si="215"/>
        <v>0</v>
      </c>
      <c r="H3381" s="9">
        <f t="shared" si="216"/>
        <v>0</v>
      </c>
      <c r="I3381" s="10">
        <f t="shared" si="217"/>
        <v>0</v>
      </c>
    </row>
    <row r="3382" spans="1:9" x14ac:dyDescent="0.25">
      <c r="A3382" s="11" t="s">
        <v>8544</v>
      </c>
      <c r="B3382" s="11" t="s">
        <v>8545</v>
      </c>
      <c r="C3382" s="11" t="s">
        <v>784</v>
      </c>
      <c r="D3382" s="4" t="s">
        <v>1406</v>
      </c>
      <c r="E3382" t="s">
        <v>30</v>
      </c>
      <c r="F3382" s="9">
        <f t="shared" si="214"/>
        <v>0</v>
      </c>
      <c r="G3382" s="9">
        <f t="shared" si="215"/>
        <v>0</v>
      </c>
      <c r="H3382" s="9">
        <f t="shared" si="216"/>
        <v>0</v>
      </c>
      <c r="I3382" s="10">
        <f t="shared" si="217"/>
        <v>0</v>
      </c>
    </row>
    <row r="3383" spans="1:9" x14ac:dyDescent="0.25">
      <c r="A3383" s="11" t="s">
        <v>8546</v>
      </c>
      <c r="B3383" s="11" t="s">
        <v>8547</v>
      </c>
      <c r="C3383" s="11" t="s">
        <v>784</v>
      </c>
      <c r="D3383" s="4" t="s">
        <v>1406</v>
      </c>
      <c r="E3383" t="s">
        <v>30</v>
      </c>
      <c r="F3383" s="9">
        <f t="shared" si="214"/>
        <v>0</v>
      </c>
      <c r="G3383" s="9">
        <f t="shared" si="215"/>
        <v>0</v>
      </c>
      <c r="H3383" s="9">
        <f t="shared" si="216"/>
        <v>0</v>
      </c>
      <c r="I3383" s="10">
        <f t="shared" si="217"/>
        <v>0</v>
      </c>
    </row>
    <row r="3384" spans="1:9" x14ac:dyDescent="0.25">
      <c r="A3384" s="11" t="s">
        <v>8548</v>
      </c>
      <c r="B3384" s="11" t="s">
        <v>8549</v>
      </c>
      <c r="C3384" s="11" t="s">
        <v>784</v>
      </c>
      <c r="D3384" s="4" t="s">
        <v>1406</v>
      </c>
      <c r="E3384" t="s">
        <v>30</v>
      </c>
      <c r="F3384" s="9">
        <f t="shared" si="214"/>
        <v>0</v>
      </c>
      <c r="G3384" s="9">
        <f t="shared" si="215"/>
        <v>0</v>
      </c>
      <c r="H3384" s="9">
        <f t="shared" si="216"/>
        <v>0</v>
      </c>
      <c r="I3384" s="10">
        <f t="shared" si="217"/>
        <v>0</v>
      </c>
    </row>
    <row r="3385" spans="1:9" x14ac:dyDescent="0.25">
      <c r="A3385" s="11" t="s">
        <v>8550</v>
      </c>
      <c r="B3385" s="11" t="s">
        <v>8551</v>
      </c>
      <c r="C3385" s="11" t="s">
        <v>784</v>
      </c>
      <c r="D3385" s="4" t="s">
        <v>1406</v>
      </c>
      <c r="E3385" t="s">
        <v>30</v>
      </c>
      <c r="F3385" s="9">
        <f t="shared" si="214"/>
        <v>0</v>
      </c>
      <c r="G3385" s="9">
        <f t="shared" si="215"/>
        <v>0</v>
      </c>
      <c r="H3385" s="9">
        <f t="shared" si="216"/>
        <v>0</v>
      </c>
      <c r="I3385" s="10">
        <f t="shared" si="217"/>
        <v>0</v>
      </c>
    </row>
    <row r="3386" spans="1:9" x14ac:dyDescent="0.25">
      <c r="A3386" s="11" t="s">
        <v>8552</v>
      </c>
      <c r="B3386" s="11" t="s">
        <v>8553</v>
      </c>
      <c r="C3386" s="11" t="s">
        <v>784</v>
      </c>
      <c r="D3386" s="4" t="s">
        <v>1406</v>
      </c>
      <c r="E3386" t="s">
        <v>30</v>
      </c>
      <c r="F3386" s="9">
        <f t="shared" si="214"/>
        <v>0</v>
      </c>
      <c r="G3386" s="9">
        <f t="shared" si="215"/>
        <v>0</v>
      </c>
      <c r="H3386" s="9">
        <f t="shared" si="216"/>
        <v>0</v>
      </c>
      <c r="I3386" s="10">
        <f t="shared" si="217"/>
        <v>0</v>
      </c>
    </row>
    <row r="3387" spans="1:9" x14ac:dyDescent="0.25">
      <c r="A3387" s="11" t="s">
        <v>8554</v>
      </c>
      <c r="B3387" s="11" t="s">
        <v>8555</v>
      </c>
      <c r="C3387" s="11" t="s">
        <v>784</v>
      </c>
      <c r="D3387" s="4" t="s">
        <v>1406</v>
      </c>
      <c r="E3387" t="s">
        <v>30</v>
      </c>
      <c r="F3387" s="9">
        <f t="shared" si="214"/>
        <v>0</v>
      </c>
      <c r="G3387" s="9">
        <f t="shared" si="215"/>
        <v>0</v>
      </c>
      <c r="H3387" s="9">
        <f t="shared" si="216"/>
        <v>0</v>
      </c>
      <c r="I3387" s="10">
        <f t="shared" si="217"/>
        <v>0</v>
      </c>
    </row>
    <row r="3388" spans="1:9" x14ac:dyDescent="0.25">
      <c r="A3388" s="11" t="s">
        <v>8556</v>
      </c>
      <c r="B3388" s="11" t="s">
        <v>8557</v>
      </c>
      <c r="C3388" s="11" t="s">
        <v>784</v>
      </c>
      <c r="D3388" s="4" t="s">
        <v>1406</v>
      </c>
      <c r="E3388" t="s">
        <v>30</v>
      </c>
      <c r="F3388" s="9">
        <f t="shared" si="214"/>
        <v>0</v>
      </c>
      <c r="G3388" s="9">
        <f t="shared" si="215"/>
        <v>0</v>
      </c>
      <c r="H3388" s="9">
        <f t="shared" si="216"/>
        <v>0</v>
      </c>
      <c r="I3388" s="10">
        <f t="shared" si="217"/>
        <v>0</v>
      </c>
    </row>
    <row r="3389" spans="1:9" x14ac:dyDescent="0.25">
      <c r="A3389" s="11" t="s">
        <v>8558</v>
      </c>
      <c r="B3389" s="11" t="s">
        <v>8559</v>
      </c>
      <c r="C3389" s="11" t="s">
        <v>784</v>
      </c>
      <c r="D3389" s="4" t="s">
        <v>1406</v>
      </c>
      <c r="E3389" t="s">
        <v>30</v>
      </c>
      <c r="F3389" s="9">
        <f t="shared" si="214"/>
        <v>0</v>
      </c>
      <c r="G3389" s="9">
        <f t="shared" si="215"/>
        <v>0</v>
      </c>
      <c r="H3389" s="9">
        <f t="shared" si="216"/>
        <v>0</v>
      </c>
      <c r="I3389" s="10">
        <f t="shared" si="217"/>
        <v>0</v>
      </c>
    </row>
    <row r="3390" spans="1:9" x14ac:dyDescent="0.25">
      <c r="A3390" s="11" t="s">
        <v>8560</v>
      </c>
      <c r="B3390" s="11" t="s">
        <v>8561</v>
      </c>
      <c r="C3390" s="11" t="s">
        <v>784</v>
      </c>
      <c r="D3390" s="4" t="s">
        <v>1406</v>
      </c>
      <c r="E3390" t="s">
        <v>30</v>
      </c>
      <c r="F3390" s="9">
        <f t="shared" si="214"/>
        <v>0</v>
      </c>
      <c r="G3390" s="9">
        <f t="shared" si="215"/>
        <v>0</v>
      </c>
      <c r="H3390" s="9">
        <f t="shared" si="216"/>
        <v>0</v>
      </c>
      <c r="I3390" s="10">
        <f t="shared" si="217"/>
        <v>0</v>
      </c>
    </row>
    <row r="3391" spans="1:9" x14ac:dyDescent="0.25">
      <c r="A3391" s="11" t="s">
        <v>8562</v>
      </c>
      <c r="B3391" s="11" t="s">
        <v>8563</v>
      </c>
      <c r="C3391" s="11" t="s">
        <v>784</v>
      </c>
      <c r="D3391" s="4" t="s">
        <v>1406</v>
      </c>
      <c r="E3391" t="s">
        <v>30</v>
      </c>
      <c r="F3391" s="9">
        <f t="shared" si="214"/>
        <v>0</v>
      </c>
      <c r="G3391" s="9">
        <f t="shared" si="215"/>
        <v>0</v>
      </c>
      <c r="H3391" s="9">
        <f t="shared" si="216"/>
        <v>0</v>
      </c>
      <c r="I3391" s="10">
        <f t="shared" si="217"/>
        <v>0</v>
      </c>
    </row>
    <row r="3392" spans="1:9" x14ac:dyDescent="0.25">
      <c r="A3392" s="11" t="s">
        <v>8564</v>
      </c>
      <c r="B3392" s="11" t="s">
        <v>8565</v>
      </c>
      <c r="C3392" s="11" t="s">
        <v>784</v>
      </c>
      <c r="D3392" s="4" t="s">
        <v>1406</v>
      </c>
      <c r="E3392" t="s">
        <v>30</v>
      </c>
      <c r="F3392" s="9">
        <f t="shared" si="214"/>
        <v>0</v>
      </c>
      <c r="G3392" s="9">
        <f t="shared" si="215"/>
        <v>0</v>
      </c>
      <c r="H3392" s="9">
        <f t="shared" si="216"/>
        <v>0</v>
      </c>
      <c r="I3392" s="10">
        <f t="shared" si="217"/>
        <v>0</v>
      </c>
    </row>
    <row r="3393" spans="1:9" x14ac:dyDescent="0.25">
      <c r="A3393" s="11" t="s">
        <v>8566</v>
      </c>
      <c r="B3393" s="11" t="s">
        <v>8567</v>
      </c>
      <c r="C3393" s="11" t="s">
        <v>784</v>
      </c>
      <c r="D3393" s="4" t="s">
        <v>1406</v>
      </c>
      <c r="E3393" t="s">
        <v>30</v>
      </c>
      <c r="F3393" s="9">
        <f t="shared" si="214"/>
        <v>0</v>
      </c>
      <c r="G3393" s="9">
        <f t="shared" si="215"/>
        <v>0</v>
      </c>
      <c r="H3393" s="9">
        <f t="shared" si="216"/>
        <v>0</v>
      </c>
      <c r="I3393" s="10">
        <f t="shared" si="217"/>
        <v>0</v>
      </c>
    </row>
    <row r="3394" spans="1:9" x14ac:dyDescent="0.25">
      <c r="A3394" s="11" t="s">
        <v>8568</v>
      </c>
      <c r="B3394" s="11" t="s">
        <v>8569</v>
      </c>
      <c r="C3394" s="11" t="s">
        <v>784</v>
      </c>
      <c r="D3394" s="4" t="s">
        <v>1406</v>
      </c>
      <c r="E3394" t="s">
        <v>30</v>
      </c>
      <c r="F3394" s="9">
        <f t="shared" si="214"/>
        <v>0</v>
      </c>
      <c r="G3394" s="9">
        <f t="shared" si="215"/>
        <v>0</v>
      </c>
      <c r="H3394" s="9">
        <f t="shared" si="216"/>
        <v>0</v>
      </c>
      <c r="I3394" s="10">
        <f t="shared" si="217"/>
        <v>0</v>
      </c>
    </row>
    <row r="3395" spans="1:9" x14ac:dyDescent="0.25">
      <c r="A3395" s="11" t="s">
        <v>8570</v>
      </c>
      <c r="B3395" s="11" t="s">
        <v>8571</v>
      </c>
      <c r="C3395" s="11" t="s">
        <v>784</v>
      </c>
      <c r="D3395" s="4" t="s">
        <v>1406</v>
      </c>
      <c r="E3395" t="s">
        <v>30</v>
      </c>
      <c r="F3395" s="9">
        <f t="shared" ref="F3395:F3458" si="218">IFERROR(VLOOKUP(A3395,condi,8,0),0)</f>
        <v>0</v>
      </c>
      <c r="G3395" s="9">
        <f t="shared" ref="G3395:G3458" si="219">IFERROR(VLOOKUP(A3395,maqui,8,0),0)</f>
        <v>0</v>
      </c>
      <c r="H3395" s="9">
        <f t="shared" ref="H3395:H3458" si="220">IFERROR(VLOOKUP(A3395,ascint,8,0),0)</f>
        <v>0</v>
      </c>
      <c r="I3395" s="10">
        <f t="shared" ref="I3395:I3458" si="221">+F3395+G3395+H3395</f>
        <v>0</v>
      </c>
    </row>
    <row r="3396" spans="1:9" x14ac:dyDescent="0.25">
      <c r="A3396" s="11" t="s">
        <v>8572</v>
      </c>
      <c r="B3396" s="11" t="s">
        <v>8573</v>
      </c>
      <c r="C3396" s="11" t="s">
        <v>784</v>
      </c>
      <c r="D3396" s="4" t="s">
        <v>1406</v>
      </c>
      <c r="E3396" t="s">
        <v>30</v>
      </c>
      <c r="F3396" s="9">
        <f t="shared" si="218"/>
        <v>0</v>
      </c>
      <c r="G3396" s="9">
        <f t="shared" si="219"/>
        <v>0</v>
      </c>
      <c r="H3396" s="9">
        <f t="shared" si="220"/>
        <v>0</v>
      </c>
      <c r="I3396" s="10">
        <f t="shared" si="221"/>
        <v>0</v>
      </c>
    </row>
    <row r="3397" spans="1:9" x14ac:dyDescent="0.25">
      <c r="A3397" s="11" t="s">
        <v>8574</v>
      </c>
      <c r="B3397" s="11" t="s">
        <v>8575</v>
      </c>
      <c r="C3397" s="11" t="s">
        <v>784</v>
      </c>
      <c r="D3397" s="4" t="s">
        <v>1406</v>
      </c>
      <c r="E3397" t="s">
        <v>30</v>
      </c>
      <c r="F3397" s="9">
        <f t="shared" si="218"/>
        <v>0</v>
      </c>
      <c r="G3397" s="9">
        <f t="shared" si="219"/>
        <v>0</v>
      </c>
      <c r="H3397" s="9">
        <f t="shared" si="220"/>
        <v>0</v>
      </c>
      <c r="I3397" s="10">
        <f t="shared" si="221"/>
        <v>0</v>
      </c>
    </row>
    <row r="3398" spans="1:9" x14ac:dyDescent="0.25">
      <c r="A3398" s="11" t="s">
        <v>8576</v>
      </c>
      <c r="B3398" s="11" t="s">
        <v>8577</v>
      </c>
      <c r="C3398" s="11" t="s">
        <v>784</v>
      </c>
      <c r="D3398" s="4" t="s">
        <v>1406</v>
      </c>
      <c r="E3398" t="s">
        <v>7806</v>
      </c>
      <c r="F3398" s="9">
        <f t="shared" si="218"/>
        <v>0</v>
      </c>
      <c r="G3398" s="9">
        <f t="shared" si="219"/>
        <v>0</v>
      </c>
      <c r="H3398" s="9">
        <f t="shared" si="220"/>
        <v>0</v>
      </c>
      <c r="I3398" s="10">
        <f t="shared" si="221"/>
        <v>0</v>
      </c>
    </row>
    <row r="3399" spans="1:9" x14ac:dyDescent="0.25">
      <c r="A3399" s="11" t="s">
        <v>8578</v>
      </c>
      <c r="B3399" s="11" t="s">
        <v>8579</v>
      </c>
      <c r="C3399" s="11" t="s">
        <v>784</v>
      </c>
      <c r="D3399" s="4" t="s">
        <v>1406</v>
      </c>
      <c r="E3399" t="s">
        <v>30</v>
      </c>
      <c r="F3399" s="9">
        <f t="shared" si="218"/>
        <v>0</v>
      </c>
      <c r="G3399" s="9">
        <f t="shared" si="219"/>
        <v>0</v>
      </c>
      <c r="H3399" s="9">
        <f t="shared" si="220"/>
        <v>0</v>
      </c>
      <c r="I3399" s="10">
        <f t="shared" si="221"/>
        <v>0</v>
      </c>
    </row>
    <row r="3400" spans="1:9" x14ac:dyDescent="0.25">
      <c r="A3400" s="11" t="s">
        <v>8580</v>
      </c>
      <c r="B3400" s="11" t="s">
        <v>8581</v>
      </c>
      <c r="C3400" s="11" t="s">
        <v>784</v>
      </c>
      <c r="D3400" s="4" t="s">
        <v>1406</v>
      </c>
      <c r="E3400" t="s">
        <v>30</v>
      </c>
      <c r="F3400" s="9">
        <f t="shared" si="218"/>
        <v>0</v>
      </c>
      <c r="G3400" s="9">
        <f t="shared" si="219"/>
        <v>0</v>
      </c>
      <c r="H3400" s="9">
        <f t="shared" si="220"/>
        <v>0</v>
      </c>
      <c r="I3400" s="10">
        <f t="shared" si="221"/>
        <v>0</v>
      </c>
    </row>
    <row r="3401" spans="1:9" x14ac:dyDescent="0.25">
      <c r="A3401" s="11" t="s">
        <v>8582</v>
      </c>
      <c r="B3401" s="11" t="s">
        <v>8583</v>
      </c>
      <c r="C3401" s="11" t="s">
        <v>784</v>
      </c>
      <c r="D3401" s="4" t="s">
        <v>1406</v>
      </c>
      <c r="E3401" t="s">
        <v>30</v>
      </c>
      <c r="F3401" s="9">
        <f t="shared" si="218"/>
        <v>0</v>
      </c>
      <c r="G3401" s="9">
        <f t="shared" si="219"/>
        <v>0</v>
      </c>
      <c r="H3401" s="9">
        <f t="shared" si="220"/>
        <v>0</v>
      </c>
      <c r="I3401" s="10">
        <f t="shared" si="221"/>
        <v>0</v>
      </c>
    </row>
    <row r="3402" spans="1:9" x14ac:dyDescent="0.25">
      <c r="A3402" s="11" t="s">
        <v>8584</v>
      </c>
      <c r="B3402" s="11" t="s">
        <v>8585</v>
      </c>
      <c r="C3402" s="11" t="s">
        <v>784</v>
      </c>
      <c r="D3402" s="4" t="s">
        <v>1406</v>
      </c>
      <c r="E3402" t="s">
        <v>30</v>
      </c>
      <c r="F3402" s="9">
        <f t="shared" si="218"/>
        <v>0</v>
      </c>
      <c r="G3402" s="9">
        <f t="shared" si="219"/>
        <v>0</v>
      </c>
      <c r="H3402" s="9">
        <f t="shared" si="220"/>
        <v>0</v>
      </c>
      <c r="I3402" s="10">
        <f t="shared" si="221"/>
        <v>0</v>
      </c>
    </row>
    <row r="3403" spans="1:9" x14ac:dyDescent="0.25">
      <c r="A3403" s="11" t="s">
        <v>8586</v>
      </c>
      <c r="B3403" s="11" t="s">
        <v>8587</v>
      </c>
      <c r="C3403" s="11" t="s">
        <v>784</v>
      </c>
      <c r="D3403" s="4" t="s">
        <v>1406</v>
      </c>
      <c r="E3403" t="s">
        <v>30</v>
      </c>
      <c r="F3403" s="9">
        <f t="shared" si="218"/>
        <v>0</v>
      </c>
      <c r="G3403" s="9">
        <f t="shared" si="219"/>
        <v>0</v>
      </c>
      <c r="H3403" s="9">
        <f t="shared" si="220"/>
        <v>0</v>
      </c>
      <c r="I3403" s="10">
        <f t="shared" si="221"/>
        <v>0</v>
      </c>
    </row>
    <row r="3404" spans="1:9" x14ac:dyDescent="0.25">
      <c r="A3404" s="11" t="s">
        <v>8588</v>
      </c>
      <c r="B3404" s="11" t="s">
        <v>8589</v>
      </c>
      <c r="C3404" s="11" t="s">
        <v>784</v>
      </c>
      <c r="D3404" s="4" t="s">
        <v>1406</v>
      </c>
      <c r="E3404" t="s">
        <v>30</v>
      </c>
      <c r="F3404" s="9">
        <f t="shared" si="218"/>
        <v>0</v>
      </c>
      <c r="G3404" s="9">
        <f t="shared" si="219"/>
        <v>0</v>
      </c>
      <c r="H3404" s="9">
        <f t="shared" si="220"/>
        <v>0</v>
      </c>
      <c r="I3404" s="10">
        <f t="shared" si="221"/>
        <v>0</v>
      </c>
    </row>
    <row r="3405" spans="1:9" x14ac:dyDescent="0.25">
      <c r="A3405" s="11" t="s">
        <v>8590</v>
      </c>
      <c r="B3405" s="11" t="s">
        <v>8591</v>
      </c>
      <c r="C3405" s="11" t="s">
        <v>784</v>
      </c>
      <c r="D3405" s="4" t="s">
        <v>1406</v>
      </c>
      <c r="E3405" t="s">
        <v>30</v>
      </c>
      <c r="F3405" s="9">
        <f t="shared" si="218"/>
        <v>0</v>
      </c>
      <c r="G3405" s="9">
        <f t="shared" si="219"/>
        <v>0</v>
      </c>
      <c r="H3405" s="9">
        <f t="shared" si="220"/>
        <v>0</v>
      </c>
      <c r="I3405" s="10">
        <f t="shared" si="221"/>
        <v>0</v>
      </c>
    </row>
    <row r="3406" spans="1:9" x14ac:dyDescent="0.25">
      <c r="A3406" s="11" t="s">
        <v>8592</v>
      </c>
      <c r="B3406" s="11" t="s">
        <v>8593</v>
      </c>
      <c r="C3406" s="11" t="s">
        <v>784</v>
      </c>
      <c r="D3406" s="4" t="s">
        <v>1406</v>
      </c>
      <c r="E3406" t="s">
        <v>30</v>
      </c>
      <c r="F3406" s="9">
        <f t="shared" si="218"/>
        <v>0</v>
      </c>
      <c r="G3406" s="9">
        <f t="shared" si="219"/>
        <v>0</v>
      </c>
      <c r="H3406" s="9">
        <f t="shared" si="220"/>
        <v>0</v>
      </c>
      <c r="I3406" s="10">
        <f t="shared" si="221"/>
        <v>0</v>
      </c>
    </row>
    <row r="3407" spans="1:9" x14ac:dyDescent="0.25">
      <c r="A3407" s="11" t="s">
        <v>8594</v>
      </c>
      <c r="B3407" s="11" t="s">
        <v>8595</v>
      </c>
      <c r="C3407" s="11" t="s">
        <v>784</v>
      </c>
      <c r="D3407" s="4" t="s">
        <v>1406</v>
      </c>
      <c r="E3407" t="s">
        <v>30</v>
      </c>
      <c r="F3407" s="9">
        <f t="shared" si="218"/>
        <v>0</v>
      </c>
      <c r="G3407" s="9">
        <f t="shared" si="219"/>
        <v>0</v>
      </c>
      <c r="H3407" s="9">
        <f t="shared" si="220"/>
        <v>0</v>
      </c>
      <c r="I3407" s="10">
        <f t="shared" si="221"/>
        <v>0</v>
      </c>
    </row>
    <row r="3408" spans="1:9" x14ac:dyDescent="0.25">
      <c r="A3408" s="11" t="s">
        <v>8596</v>
      </c>
      <c r="B3408" s="11" t="s">
        <v>8597</v>
      </c>
      <c r="C3408" s="11" t="s">
        <v>784</v>
      </c>
      <c r="D3408" s="4" t="s">
        <v>1406</v>
      </c>
      <c r="E3408" t="s">
        <v>30</v>
      </c>
      <c r="F3408" s="9">
        <f t="shared" si="218"/>
        <v>0</v>
      </c>
      <c r="G3408" s="9">
        <f t="shared" si="219"/>
        <v>0</v>
      </c>
      <c r="H3408" s="9">
        <f t="shared" si="220"/>
        <v>0</v>
      </c>
      <c r="I3408" s="10">
        <f t="shared" si="221"/>
        <v>0</v>
      </c>
    </row>
    <row r="3409" spans="1:9" x14ac:dyDescent="0.25">
      <c r="A3409" s="11" t="s">
        <v>8598</v>
      </c>
      <c r="B3409" s="11" t="s">
        <v>8599</v>
      </c>
      <c r="C3409" s="11" t="s">
        <v>784</v>
      </c>
      <c r="D3409" s="4" t="s">
        <v>1406</v>
      </c>
      <c r="E3409" t="s">
        <v>30</v>
      </c>
      <c r="F3409" s="9">
        <f t="shared" si="218"/>
        <v>0</v>
      </c>
      <c r="G3409" s="9">
        <f t="shared" si="219"/>
        <v>0</v>
      </c>
      <c r="H3409" s="9">
        <f t="shared" si="220"/>
        <v>0</v>
      </c>
      <c r="I3409" s="10">
        <f t="shared" si="221"/>
        <v>0</v>
      </c>
    </row>
    <row r="3410" spans="1:9" x14ac:dyDescent="0.25">
      <c r="A3410" s="11" t="s">
        <v>8600</v>
      </c>
      <c r="B3410" s="11" t="s">
        <v>8601</v>
      </c>
      <c r="C3410" s="11" t="s">
        <v>784</v>
      </c>
      <c r="D3410" s="4" t="s">
        <v>1406</v>
      </c>
      <c r="E3410" t="s">
        <v>30</v>
      </c>
      <c r="F3410" s="9">
        <f t="shared" si="218"/>
        <v>0</v>
      </c>
      <c r="G3410" s="9">
        <f t="shared" si="219"/>
        <v>0</v>
      </c>
      <c r="H3410" s="9">
        <f t="shared" si="220"/>
        <v>0</v>
      </c>
      <c r="I3410" s="10">
        <f t="shared" si="221"/>
        <v>0</v>
      </c>
    </row>
    <row r="3411" spans="1:9" x14ac:dyDescent="0.25">
      <c r="A3411" s="11" t="s">
        <v>8602</v>
      </c>
      <c r="B3411" s="11" t="s">
        <v>8603</v>
      </c>
      <c r="C3411" s="11" t="s">
        <v>784</v>
      </c>
      <c r="D3411" s="4" t="s">
        <v>1406</v>
      </c>
      <c r="E3411" t="s">
        <v>30</v>
      </c>
      <c r="F3411" s="9">
        <f t="shared" si="218"/>
        <v>0</v>
      </c>
      <c r="G3411" s="9">
        <f t="shared" si="219"/>
        <v>0</v>
      </c>
      <c r="H3411" s="9">
        <f t="shared" si="220"/>
        <v>0</v>
      </c>
      <c r="I3411" s="10">
        <f t="shared" si="221"/>
        <v>0</v>
      </c>
    </row>
    <row r="3412" spans="1:9" x14ac:dyDescent="0.25">
      <c r="A3412" s="11" t="s">
        <v>8604</v>
      </c>
      <c r="B3412" s="11" t="s">
        <v>8605</v>
      </c>
      <c r="C3412" s="11" t="s">
        <v>784</v>
      </c>
      <c r="D3412" s="4" t="s">
        <v>1406</v>
      </c>
      <c r="E3412" t="s">
        <v>30</v>
      </c>
      <c r="F3412" s="9">
        <f t="shared" si="218"/>
        <v>0</v>
      </c>
      <c r="G3412" s="9">
        <f t="shared" si="219"/>
        <v>0</v>
      </c>
      <c r="H3412" s="9">
        <f t="shared" si="220"/>
        <v>0</v>
      </c>
      <c r="I3412" s="10">
        <f t="shared" si="221"/>
        <v>0</v>
      </c>
    </row>
    <row r="3413" spans="1:9" x14ac:dyDescent="0.25">
      <c r="A3413" s="11" t="s">
        <v>8606</v>
      </c>
      <c r="B3413" s="11" t="s">
        <v>8607</v>
      </c>
      <c r="C3413" s="11" t="s">
        <v>784</v>
      </c>
      <c r="D3413" s="4" t="s">
        <v>1406</v>
      </c>
      <c r="E3413" t="s">
        <v>30</v>
      </c>
      <c r="F3413" s="9">
        <f t="shared" si="218"/>
        <v>0</v>
      </c>
      <c r="G3413" s="9">
        <f t="shared" si="219"/>
        <v>0</v>
      </c>
      <c r="H3413" s="9">
        <f t="shared" si="220"/>
        <v>0</v>
      </c>
      <c r="I3413" s="10">
        <f t="shared" si="221"/>
        <v>0</v>
      </c>
    </row>
    <row r="3414" spans="1:9" x14ac:dyDescent="0.25">
      <c r="A3414" s="11" t="s">
        <v>8608</v>
      </c>
      <c r="B3414" s="11" t="s">
        <v>8609</v>
      </c>
      <c r="C3414" s="11" t="s">
        <v>784</v>
      </c>
      <c r="D3414" s="4" t="s">
        <v>1406</v>
      </c>
      <c r="E3414" t="s">
        <v>30</v>
      </c>
      <c r="F3414" s="9">
        <f t="shared" si="218"/>
        <v>0</v>
      </c>
      <c r="G3414" s="9">
        <f t="shared" si="219"/>
        <v>0</v>
      </c>
      <c r="H3414" s="9">
        <f t="shared" si="220"/>
        <v>0</v>
      </c>
      <c r="I3414" s="10">
        <f t="shared" si="221"/>
        <v>0</v>
      </c>
    </row>
    <row r="3415" spans="1:9" x14ac:dyDescent="0.25">
      <c r="A3415" s="11" t="s">
        <v>8610</v>
      </c>
      <c r="B3415" s="11" t="s">
        <v>8611</v>
      </c>
      <c r="C3415" s="11" t="s">
        <v>784</v>
      </c>
      <c r="D3415" s="4" t="s">
        <v>1406</v>
      </c>
      <c r="E3415" t="s">
        <v>30</v>
      </c>
      <c r="F3415" s="9">
        <f t="shared" si="218"/>
        <v>0</v>
      </c>
      <c r="G3415" s="9">
        <f t="shared" si="219"/>
        <v>0</v>
      </c>
      <c r="H3415" s="9">
        <f t="shared" si="220"/>
        <v>0</v>
      </c>
      <c r="I3415" s="10">
        <f t="shared" si="221"/>
        <v>0</v>
      </c>
    </row>
    <row r="3416" spans="1:9" x14ac:dyDescent="0.25">
      <c r="A3416" s="11" t="s">
        <v>8612</v>
      </c>
      <c r="B3416" s="11" t="s">
        <v>8613</v>
      </c>
      <c r="C3416" s="11" t="s">
        <v>784</v>
      </c>
      <c r="D3416" s="4" t="s">
        <v>1406</v>
      </c>
      <c r="E3416" t="s">
        <v>30</v>
      </c>
      <c r="F3416" s="9">
        <f t="shared" si="218"/>
        <v>0</v>
      </c>
      <c r="G3416" s="9">
        <f t="shared" si="219"/>
        <v>0</v>
      </c>
      <c r="H3416" s="9">
        <f t="shared" si="220"/>
        <v>0</v>
      </c>
      <c r="I3416" s="10">
        <f t="shared" si="221"/>
        <v>0</v>
      </c>
    </row>
    <row r="3417" spans="1:9" x14ac:dyDescent="0.25">
      <c r="A3417" s="11" t="s">
        <v>8614</v>
      </c>
      <c r="B3417" s="11" t="s">
        <v>8615</v>
      </c>
      <c r="C3417" s="11" t="s">
        <v>784</v>
      </c>
      <c r="D3417" s="4" t="s">
        <v>1406</v>
      </c>
      <c r="E3417" t="s">
        <v>30</v>
      </c>
      <c r="F3417" s="9">
        <f t="shared" si="218"/>
        <v>0</v>
      </c>
      <c r="G3417" s="9">
        <f t="shared" si="219"/>
        <v>0</v>
      </c>
      <c r="H3417" s="9">
        <f t="shared" si="220"/>
        <v>0</v>
      </c>
      <c r="I3417" s="10">
        <f t="shared" si="221"/>
        <v>0</v>
      </c>
    </row>
    <row r="3418" spans="1:9" x14ac:dyDescent="0.25">
      <c r="A3418" s="11" t="s">
        <v>8616</v>
      </c>
      <c r="B3418" s="11" t="s">
        <v>8617</v>
      </c>
      <c r="C3418" s="11" t="s">
        <v>784</v>
      </c>
      <c r="D3418" s="4" t="s">
        <v>1406</v>
      </c>
      <c r="E3418" t="s">
        <v>30</v>
      </c>
      <c r="F3418" s="9">
        <f t="shared" si="218"/>
        <v>0</v>
      </c>
      <c r="G3418" s="9">
        <f t="shared" si="219"/>
        <v>0</v>
      </c>
      <c r="H3418" s="9">
        <f t="shared" si="220"/>
        <v>0</v>
      </c>
      <c r="I3418" s="10">
        <f t="shared" si="221"/>
        <v>0</v>
      </c>
    </row>
    <row r="3419" spans="1:9" x14ac:dyDescent="0.25">
      <c r="A3419" s="11" t="s">
        <v>8618</v>
      </c>
      <c r="B3419" s="11" t="s">
        <v>8619</v>
      </c>
      <c r="C3419" s="11" t="s">
        <v>784</v>
      </c>
      <c r="D3419" s="4" t="s">
        <v>1406</v>
      </c>
      <c r="E3419" t="s">
        <v>30</v>
      </c>
      <c r="F3419" s="9">
        <f t="shared" si="218"/>
        <v>0</v>
      </c>
      <c r="G3419" s="9">
        <f t="shared" si="219"/>
        <v>0</v>
      </c>
      <c r="H3419" s="9">
        <f t="shared" si="220"/>
        <v>0</v>
      </c>
      <c r="I3419" s="10">
        <f t="shared" si="221"/>
        <v>0</v>
      </c>
    </row>
    <row r="3420" spans="1:9" x14ac:dyDescent="0.25">
      <c r="A3420" s="11" t="s">
        <v>8620</v>
      </c>
      <c r="B3420" s="11" t="s">
        <v>8621</v>
      </c>
      <c r="C3420" s="11" t="s">
        <v>784</v>
      </c>
      <c r="D3420" s="4" t="s">
        <v>1406</v>
      </c>
      <c r="E3420" t="s">
        <v>30</v>
      </c>
      <c r="F3420" s="9">
        <f t="shared" si="218"/>
        <v>0</v>
      </c>
      <c r="G3420" s="9">
        <f t="shared" si="219"/>
        <v>0</v>
      </c>
      <c r="H3420" s="9">
        <f t="shared" si="220"/>
        <v>0</v>
      </c>
      <c r="I3420" s="10">
        <f t="shared" si="221"/>
        <v>0</v>
      </c>
    </row>
    <row r="3421" spans="1:9" x14ac:dyDescent="0.25">
      <c r="A3421" s="11" t="s">
        <v>8622</v>
      </c>
      <c r="B3421" s="11" t="s">
        <v>8623</v>
      </c>
      <c r="C3421" s="11" t="s">
        <v>784</v>
      </c>
      <c r="D3421" s="4" t="s">
        <v>1406</v>
      </c>
      <c r="E3421" t="s">
        <v>30</v>
      </c>
      <c r="F3421" s="9">
        <f t="shared" si="218"/>
        <v>0</v>
      </c>
      <c r="G3421" s="9">
        <f t="shared" si="219"/>
        <v>0</v>
      </c>
      <c r="H3421" s="9">
        <f t="shared" si="220"/>
        <v>0</v>
      </c>
      <c r="I3421" s="10">
        <f t="shared" si="221"/>
        <v>0</v>
      </c>
    </row>
    <row r="3422" spans="1:9" x14ac:dyDescent="0.25">
      <c r="A3422" s="11" t="s">
        <v>8624</v>
      </c>
      <c r="B3422" s="11" t="s">
        <v>8625</v>
      </c>
      <c r="C3422" s="11" t="s">
        <v>784</v>
      </c>
      <c r="D3422" s="4" t="s">
        <v>1406</v>
      </c>
      <c r="E3422" t="s">
        <v>30</v>
      </c>
      <c r="F3422" s="9">
        <f t="shared" si="218"/>
        <v>0</v>
      </c>
      <c r="G3422" s="9">
        <f t="shared" si="219"/>
        <v>0</v>
      </c>
      <c r="H3422" s="9">
        <f t="shared" si="220"/>
        <v>0</v>
      </c>
      <c r="I3422" s="10">
        <f t="shared" si="221"/>
        <v>0</v>
      </c>
    </row>
    <row r="3423" spans="1:9" x14ac:dyDescent="0.25">
      <c r="A3423" s="11" t="s">
        <v>8626</v>
      </c>
      <c r="B3423" s="11" t="s">
        <v>8627</v>
      </c>
      <c r="C3423" s="11" t="s">
        <v>784</v>
      </c>
      <c r="D3423" s="4" t="s">
        <v>1406</v>
      </c>
      <c r="E3423" t="s">
        <v>30</v>
      </c>
      <c r="F3423" s="9">
        <f t="shared" si="218"/>
        <v>0</v>
      </c>
      <c r="G3423" s="9">
        <f t="shared" si="219"/>
        <v>0</v>
      </c>
      <c r="H3423" s="9">
        <f t="shared" si="220"/>
        <v>0</v>
      </c>
      <c r="I3423" s="10">
        <f t="shared" si="221"/>
        <v>0</v>
      </c>
    </row>
    <row r="3424" spans="1:9" x14ac:dyDescent="0.25">
      <c r="A3424" s="11" t="s">
        <v>8628</v>
      </c>
      <c r="B3424" s="11" t="s">
        <v>8629</v>
      </c>
      <c r="C3424" s="11" t="s">
        <v>784</v>
      </c>
      <c r="D3424" s="4" t="s">
        <v>1406</v>
      </c>
      <c r="E3424" t="s">
        <v>30</v>
      </c>
      <c r="F3424" s="9">
        <f t="shared" si="218"/>
        <v>0</v>
      </c>
      <c r="G3424" s="9">
        <f t="shared" si="219"/>
        <v>0</v>
      </c>
      <c r="H3424" s="9">
        <f t="shared" si="220"/>
        <v>0</v>
      </c>
      <c r="I3424" s="10">
        <f t="shared" si="221"/>
        <v>0</v>
      </c>
    </row>
    <row r="3425" spans="1:9" x14ac:dyDescent="0.25">
      <c r="A3425" s="11" t="s">
        <v>8630</v>
      </c>
      <c r="B3425" s="11" t="s">
        <v>8631</v>
      </c>
      <c r="C3425" s="11" t="s">
        <v>784</v>
      </c>
      <c r="D3425" s="4" t="s">
        <v>1406</v>
      </c>
      <c r="E3425" t="s">
        <v>30</v>
      </c>
      <c r="F3425" s="9">
        <f t="shared" si="218"/>
        <v>0</v>
      </c>
      <c r="G3425" s="9">
        <f t="shared" si="219"/>
        <v>0</v>
      </c>
      <c r="H3425" s="9">
        <f t="shared" si="220"/>
        <v>0</v>
      </c>
      <c r="I3425" s="10">
        <f t="shared" si="221"/>
        <v>0</v>
      </c>
    </row>
    <row r="3426" spans="1:9" x14ac:dyDescent="0.25">
      <c r="A3426" s="11" t="s">
        <v>8632</v>
      </c>
      <c r="B3426" s="11" t="s">
        <v>8633</v>
      </c>
      <c r="C3426" s="11" t="s">
        <v>784</v>
      </c>
      <c r="D3426" s="4" t="s">
        <v>1406</v>
      </c>
      <c r="E3426" t="s">
        <v>30</v>
      </c>
      <c r="F3426" s="9">
        <f t="shared" si="218"/>
        <v>0</v>
      </c>
      <c r="G3426" s="9">
        <f t="shared" si="219"/>
        <v>0</v>
      </c>
      <c r="H3426" s="9">
        <f t="shared" si="220"/>
        <v>0</v>
      </c>
      <c r="I3426" s="10">
        <f t="shared" si="221"/>
        <v>0</v>
      </c>
    </row>
    <row r="3427" spans="1:9" x14ac:dyDescent="0.25">
      <c r="A3427" s="11" t="s">
        <v>8634</v>
      </c>
      <c r="B3427" s="11" t="s">
        <v>8635</v>
      </c>
      <c r="C3427" s="11" t="s">
        <v>784</v>
      </c>
      <c r="D3427" s="4" t="s">
        <v>1406</v>
      </c>
      <c r="E3427" t="s">
        <v>30</v>
      </c>
      <c r="F3427" s="9">
        <f t="shared" si="218"/>
        <v>0</v>
      </c>
      <c r="G3427" s="9">
        <f t="shared" si="219"/>
        <v>0</v>
      </c>
      <c r="H3427" s="9">
        <f t="shared" si="220"/>
        <v>0</v>
      </c>
      <c r="I3427" s="10">
        <f t="shared" si="221"/>
        <v>0</v>
      </c>
    </row>
    <row r="3428" spans="1:9" x14ac:dyDescent="0.25">
      <c r="A3428" s="11" t="s">
        <v>8636</v>
      </c>
      <c r="B3428" s="11" t="s">
        <v>8637</v>
      </c>
      <c r="C3428" s="11" t="s">
        <v>784</v>
      </c>
      <c r="D3428" s="4" t="s">
        <v>1406</v>
      </c>
      <c r="E3428" t="s">
        <v>30</v>
      </c>
      <c r="F3428" s="9">
        <f t="shared" si="218"/>
        <v>0</v>
      </c>
      <c r="G3428" s="9">
        <f t="shared" si="219"/>
        <v>0</v>
      </c>
      <c r="H3428" s="9">
        <f t="shared" si="220"/>
        <v>0</v>
      </c>
      <c r="I3428" s="10">
        <f t="shared" si="221"/>
        <v>0</v>
      </c>
    </row>
    <row r="3429" spans="1:9" x14ac:dyDescent="0.25">
      <c r="A3429" s="11" t="s">
        <v>8638</v>
      </c>
      <c r="B3429" s="11" t="s">
        <v>8639</v>
      </c>
      <c r="C3429" s="11" t="s">
        <v>784</v>
      </c>
      <c r="D3429" s="4" t="s">
        <v>1406</v>
      </c>
      <c r="E3429" t="s">
        <v>30</v>
      </c>
      <c r="F3429" s="9">
        <f t="shared" si="218"/>
        <v>0</v>
      </c>
      <c r="G3429" s="9">
        <f t="shared" si="219"/>
        <v>0</v>
      </c>
      <c r="H3429" s="9">
        <f t="shared" si="220"/>
        <v>0</v>
      </c>
      <c r="I3429" s="10">
        <f t="shared" si="221"/>
        <v>0</v>
      </c>
    </row>
    <row r="3430" spans="1:9" x14ac:dyDescent="0.25">
      <c r="A3430" s="11" t="s">
        <v>8640</v>
      </c>
      <c r="B3430" s="11" t="s">
        <v>8641</v>
      </c>
      <c r="C3430" s="11" t="s">
        <v>784</v>
      </c>
      <c r="D3430" s="4" t="s">
        <v>1406</v>
      </c>
      <c r="E3430" t="s">
        <v>30</v>
      </c>
      <c r="F3430" s="9">
        <f t="shared" si="218"/>
        <v>0</v>
      </c>
      <c r="G3430" s="9">
        <f t="shared" si="219"/>
        <v>0</v>
      </c>
      <c r="H3430" s="9">
        <f t="shared" si="220"/>
        <v>0</v>
      </c>
      <c r="I3430" s="10">
        <f t="shared" si="221"/>
        <v>0</v>
      </c>
    </row>
    <row r="3431" spans="1:9" x14ac:dyDescent="0.25">
      <c r="A3431" s="11" t="s">
        <v>8642</v>
      </c>
      <c r="B3431" s="11" t="s">
        <v>8643</v>
      </c>
      <c r="C3431" s="11" t="s">
        <v>784</v>
      </c>
      <c r="D3431" s="4" t="s">
        <v>1406</v>
      </c>
      <c r="E3431" t="s">
        <v>30</v>
      </c>
      <c r="F3431" s="9">
        <f t="shared" si="218"/>
        <v>0</v>
      </c>
      <c r="G3431" s="9">
        <f t="shared" si="219"/>
        <v>0</v>
      </c>
      <c r="H3431" s="9">
        <f t="shared" si="220"/>
        <v>0</v>
      </c>
      <c r="I3431" s="10">
        <f t="shared" si="221"/>
        <v>0</v>
      </c>
    </row>
    <row r="3432" spans="1:9" x14ac:dyDescent="0.25">
      <c r="A3432" s="11" t="s">
        <v>8644</v>
      </c>
      <c r="B3432" s="11" t="s">
        <v>8645</v>
      </c>
      <c r="C3432" s="11" t="s">
        <v>784</v>
      </c>
      <c r="D3432" s="4" t="s">
        <v>1406</v>
      </c>
      <c r="E3432" t="s">
        <v>30</v>
      </c>
      <c r="F3432" s="9">
        <f t="shared" si="218"/>
        <v>0</v>
      </c>
      <c r="G3432" s="9">
        <f t="shared" si="219"/>
        <v>0</v>
      </c>
      <c r="H3432" s="9">
        <f t="shared" si="220"/>
        <v>0</v>
      </c>
      <c r="I3432" s="10">
        <f t="shared" si="221"/>
        <v>0</v>
      </c>
    </row>
    <row r="3433" spans="1:9" x14ac:dyDescent="0.25">
      <c r="A3433" s="11" t="s">
        <v>8646</v>
      </c>
      <c r="B3433" s="11" t="s">
        <v>8647</v>
      </c>
      <c r="C3433" s="11" t="s">
        <v>784</v>
      </c>
      <c r="D3433" s="4" t="s">
        <v>1406</v>
      </c>
      <c r="E3433" t="s">
        <v>30</v>
      </c>
      <c r="F3433" s="9">
        <f t="shared" si="218"/>
        <v>0</v>
      </c>
      <c r="G3433" s="9">
        <f t="shared" si="219"/>
        <v>0</v>
      </c>
      <c r="H3433" s="9">
        <f t="shared" si="220"/>
        <v>0</v>
      </c>
      <c r="I3433" s="10">
        <f t="shared" si="221"/>
        <v>0</v>
      </c>
    </row>
    <row r="3434" spans="1:9" x14ac:dyDescent="0.25">
      <c r="A3434" s="11" t="s">
        <v>8648</v>
      </c>
      <c r="B3434" s="11" t="s">
        <v>8649</v>
      </c>
      <c r="C3434" s="11" t="s">
        <v>784</v>
      </c>
      <c r="D3434" s="4" t="s">
        <v>1406</v>
      </c>
      <c r="E3434" t="s">
        <v>30</v>
      </c>
      <c r="F3434" s="9">
        <f t="shared" si="218"/>
        <v>0</v>
      </c>
      <c r="G3434" s="9">
        <f t="shared" si="219"/>
        <v>0</v>
      </c>
      <c r="H3434" s="9">
        <f t="shared" si="220"/>
        <v>0</v>
      </c>
      <c r="I3434" s="10">
        <f t="shared" si="221"/>
        <v>0</v>
      </c>
    </row>
    <row r="3435" spans="1:9" x14ac:dyDescent="0.25">
      <c r="A3435" s="11" t="s">
        <v>8650</v>
      </c>
      <c r="B3435" s="11" t="s">
        <v>8651</v>
      </c>
      <c r="C3435" s="11" t="s">
        <v>784</v>
      </c>
      <c r="D3435" s="4" t="s">
        <v>1406</v>
      </c>
      <c r="E3435" t="s">
        <v>30</v>
      </c>
      <c r="F3435" s="9">
        <f t="shared" si="218"/>
        <v>0</v>
      </c>
      <c r="G3435" s="9">
        <f t="shared" si="219"/>
        <v>0</v>
      </c>
      <c r="H3435" s="9">
        <f t="shared" si="220"/>
        <v>0</v>
      </c>
      <c r="I3435" s="10">
        <f t="shared" si="221"/>
        <v>0</v>
      </c>
    </row>
    <row r="3436" spans="1:9" x14ac:dyDescent="0.25">
      <c r="A3436" s="11" t="s">
        <v>8652</v>
      </c>
      <c r="B3436" s="11" t="s">
        <v>8653</v>
      </c>
      <c r="C3436" s="11" t="s">
        <v>784</v>
      </c>
      <c r="D3436" s="4" t="s">
        <v>1406</v>
      </c>
      <c r="E3436" t="s">
        <v>30</v>
      </c>
      <c r="F3436" s="9">
        <f t="shared" si="218"/>
        <v>0</v>
      </c>
      <c r="G3436" s="9">
        <f t="shared" si="219"/>
        <v>0</v>
      </c>
      <c r="H3436" s="9">
        <f t="shared" si="220"/>
        <v>0</v>
      </c>
      <c r="I3436" s="10">
        <f t="shared" si="221"/>
        <v>0</v>
      </c>
    </row>
    <row r="3437" spans="1:9" x14ac:dyDescent="0.25">
      <c r="A3437" s="11" t="s">
        <v>8654</v>
      </c>
      <c r="B3437" s="11" t="s">
        <v>8655</v>
      </c>
      <c r="C3437" s="11" t="s">
        <v>784</v>
      </c>
      <c r="D3437" s="4" t="s">
        <v>1406</v>
      </c>
      <c r="E3437" t="s">
        <v>30</v>
      </c>
      <c r="F3437" s="9">
        <f t="shared" si="218"/>
        <v>0</v>
      </c>
      <c r="G3437" s="9">
        <f t="shared" si="219"/>
        <v>0</v>
      </c>
      <c r="H3437" s="9">
        <f t="shared" si="220"/>
        <v>0</v>
      </c>
      <c r="I3437" s="10">
        <f t="shared" si="221"/>
        <v>0</v>
      </c>
    </row>
    <row r="3438" spans="1:9" x14ac:dyDescent="0.25">
      <c r="A3438" s="11" t="s">
        <v>8656</v>
      </c>
      <c r="B3438" s="11" t="s">
        <v>8657</v>
      </c>
      <c r="C3438" s="11" t="s">
        <v>784</v>
      </c>
      <c r="D3438" s="4" t="s">
        <v>1406</v>
      </c>
      <c r="E3438" t="s">
        <v>30</v>
      </c>
      <c r="F3438" s="9">
        <f t="shared" si="218"/>
        <v>0</v>
      </c>
      <c r="G3438" s="9">
        <f t="shared" si="219"/>
        <v>0</v>
      </c>
      <c r="H3438" s="9">
        <f t="shared" si="220"/>
        <v>0</v>
      </c>
      <c r="I3438" s="10">
        <f t="shared" si="221"/>
        <v>0</v>
      </c>
    </row>
    <row r="3439" spans="1:9" x14ac:dyDescent="0.25">
      <c r="A3439" s="11" t="s">
        <v>8658</v>
      </c>
      <c r="B3439" s="11" t="s">
        <v>8659</v>
      </c>
      <c r="C3439" s="11" t="s">
        <v>784</v>
      </c>
      <c r="D3439" s="4" t="s">
        <v>1406</v>
      </c>
      <c r="E3439" t="s">
        <v>30</v>
      </c>
      <c r="F3439" s="9">
        <f t="shared" si="218"/>
        <v>0</v>
      </c>
      <c r="G3439" s="9">
        <f t="shared" si="219"/>
        <v>0</v>
      </c>
      <c r="H3439" s="9">
        <f t="shared" si="220"/>
        <v>0</v>
      </c>
      <c r="I3439" s="10">
        <f t="shared" si="221"/>
        <v>0</v>
      </c>
    </row>
    <row r="3440" spans="1:9" x14ac:dyDescent="0.25">
      <c r="A3440" s="11" t="s">
        <v>8660</v>
      </c>
      <c r="B3440" s="11" t="s">
        <v>8661</v>
      </c>
      <c r="C3440" s="11" t="s">
        <v>784</v>
      </c>
      <c r="D3440" s="4" t="s">
        <v>1406</v>
      </c>
      <c r="E3440" t="s">
        <v>30</v>
      </c>
      <c r="F3440" s="9">
        <f t="shared" si="218"/>
        <v>0</v>
      </c>
      <c r="G3440" s="9">
        <f t="shared" si="219"/>
        <v>0</v>
      </c>
      <c r="H3440" s="9">
        <f t="shared" si="220"/>
        <v>0</v>
      </c>
      <c r="I3440" s="10">
        <f t="shared" si="221"/>
        <v>0</v>
      </c>
    </row>
    <row r="3441" spans="1:9" x14ac:dyDescent="0.25">
      <c r="A3441" s="11" t="s">
        <v>8662</v>
      </c>
      <c r="B3441" s="11" t="s">
        <v>8663</v>
      </c>
      <c r="C3441" s="11" t="s">
        <v>784</v>
      </c>
      <c r="D3441" s="4" t="s">
        <v>1406</v>
      </c>
      <c r="E3441" t="s">
        <v>30</v>
      </c>
      <c r="F3441" s="9">
        <f t="shared" si="218"/>
        <v>0</v>
      </c>
      <c r="G3441" s="9">
        <f t="shared" si="219"/>
        <v>0</v>
      </c>
      <c r="H3441" s="9">
        <f t="shared" si="220"/>
        <v>0</v>
      </c>
      <c r="I3441" s="10">
        <f t="shared" si="221"/>
        <v>0</v>
      </c>
    </row>
    <row r="3442" spans="1:9" x14ac:dyDescent="0.25">
      <c r="A3442" s="11" t="s">
        <v>8664</v>
      </c>
      <c r="B3442" s="11" t="s">
        <v>8665</v>
      </c>
      <c r="C3442" s="11" t="s">
        <v>784</v>
      </c>
      <c r="D3442" s="4" t="s">
        <v>1406</v>
      </c>
      <c r="E3442" t="s">
        <v>30</v>
      </c>
      <c r="F3442" s="9">
        <f t="shared" si="218"/>
        <v>0</v>
      </c>
      <c r="G3442" s="9">
        <f t="shared" si="219"/>
        <v>0</v>
      </c>
      <c r="H3442" s="9">
        <f t="shared" si="220"/>
        <v>0</v>
      </c>
      <c r="I3442" s="10">
        <f t="shared" si="221"/>
        <v>0</v>
      </c>
    </row>
    <row r="3443" spans="1:9" x14ac:dyDescent="0.25">
      <c r="A3443" s="11" t="s">
        <v>8666</v>
      </c>
      <c r="B3443" s="11" t="s">
        <v>8667</v>
      </c>
      <c r="C3443" s="11" t="s">
        <v>784</v>
      </c>
      <c r="D3443" s="4" t="s">
        <v>1406</v>
      </c>
      <c r="E3443" t="s">
        <v>30</v>
      </c>
      <c r="F3443" s="9">
        <f t="shared" si="218"/>
        <v>0</v>
      </c>
      <c r="G3443" s="9">
        <f t="shared" si="219"/>
        <v>0</v>
      </c>
      <c r="H3443" s="9">
        <f t="shared" si="220"/>
        <v>0</v>
      </c>
      <c r="I3443" s="10">
        <f t="shared" si="221"/>
        <v>0</v>
      </c>
    </row>
    <row r="3444" spans="1:9" x14ac:dyDescent="0.25">
      <c r="A3444" s="11" t="s">
        <v>8668</v>
      </c>
      <c r="B3444" s="11" t="s">
        <v>2664</v>
      </c>
      <c r="C3444" s="11" t="s">
        <v>784</v>
      </c>
      <c r="D3444" s="4" t="s">
        <v>1406</v>
      </c>
      <c r="E3444" t="s">
        <v>30</v>
      </c>
      <c r="F3444" s="9">
        <f t="shared" si="218"/>
        <v>0</v>
      </c>
      <c r="G3444" s="9">
        <f t="shared" si="219"/>
        <v>0</v>
      </c>
      <c r="H3444" s="9">
        <f t="shared" si="220"/>
        <v>0</v>
      </c>
      <c r="I3444" s="10">
        <f t="shared" si="221"/>
        <v>0</v>
      </c>
    </row>
    <row r="3445" spans="1:9" x14ac:dyDescent="0.25">
      <c r="A3445" s="11" t="s">
        <v>8669</v>
      </c>
      <c r="B3445" s="11" t="s">
        <v>8670</v>
      </c>
      <c r="C3445" s="11" t="s">
        <v>784</v>
      </c>
      <c r="D3445" s="4" t="s">
        <v>1406</v>
      </c>
      <c r="E3445" t="s">
        <v>30</v>
      </c>
      <c r="F3445" s="9">
        <f t="shared" si="218"/>
        <v>0</v>
      </c>
      <c r="G3445" s="9">
        <f t="shared" si="219"/>
        <v>0</v>
      </c>
      <c r="H3445" s="9">
        <f t="shared" si="220"/>
        <v>0</v>
      </c>
      <c r="I3445" s="10">
        <f t="shared" si="221"/>
        <v>0</v>
      </c>
    </row>
    <row r="3446" spans="1:9" x14ac:dyDescent="0.25">
      <c r="A3446" s="11" t="s">
        <v>8671</v>
      </c>
      <c r="B3446" s="11" t="s">
        <v>8672</v>
      </c>
      <c r="C3446" s="11" t="s">
        <v>784</v>
      </c>
      <c r="D3446" s="4" t="s">
        <v>1406</v>
      </c>
      <c r="E3446" t="s">
        <v>30</v>
      </c>
      <c r="F3446" s="9">
        <f t="shared" si="218"/>
        <v>0</v>
      </c>
      <c r="G3446" s="9">
        <f t="shared" si="219"/>
        <v>0</v>
      </c>
      <c r="H3446" s="9">
        <f t="shared" si="220"/>
        <v>0</v>
      </c>
      <c r="I3446" s="10">
        <f t="shared" si="221"/>
        <v>0</v>
      </c>
    </row>
    <row r="3447" spans="1:9" x14ac:dyDescent="0.25">
      <c r="A3447" s="11" t="s">
        <v>8673</v>
      </c>
      <c r="B3447" s="11" t="s">
        <v>8674</v>
      </c>
      <c r="C3447" s="11" t="s">
        <v>784</v>
      </c>
      <c r="D3447" s="4" t="s">
        <v>1406</v>
      </c>
      <c r="E3447" t="s">
        <v>30</v>
      </c>
      <c r="F3447" s="9">
        <f t="shared" si="218"/>
        <v>0</v>
      </c>
      <c r="G3447" s="9">
        <f t="shared" si="219"/>
        <v>0</v>
      </c>
      <c r="H3447" s="9">
        <f t="shared" si="220"/>
        <v>0</v>
      </c>
      <c r="I3447" s="10">
        <f t="shared" si="221"/>
        <v>0</v>
      </c>
    </row>
    <row r="3448" spans="1:9" x14ac:dyDescent="0.25">
      <c r="A3448" s="11" t="s">
        <v>8675</v>
      </c>
      <c r="B3448" s="11" t="s">
        <v>8676</v>
      </c>
      <c r="C3448" s="11" t="s">
        <v>784</v>
      </c>
      <c r="D3448" s="4" t="s">
        <v>1406</v>
      </c>
      <c r="E3448" t="s">
        <v>30</v>
      </c>
      <c r="F3448" s="9">
        <f t="shared" si="218"/>
        <v>0</v>
      </c>
      <c r="G3448" s="9">
        <f t="shared" si="219"/>
        <v>0</v>
      </c>
      <c r="H3448" s="9">
        <f t="shared" si="220"/>
        <v>0</v>
      </c>
      <c r="I3448" s="10">
        <f t="shared" si="221"/>
        <v>0</v>
      </c>
    </row>
    <row r="3449" spans="1:9" x14ac:dyDescent="0.25">
      <c r="A3449" s="11" t="s">
        <v>8677</v>
      </c>
      <c r="B3449" s="11" t="s">
        <v>8678</v>
      </c>
      <c r="C3449" s="11" t="s">
        <v>784</v>
      </c>
      <c r="D3449" s="4" t="s">
        <v>1406</v>
      </c>
      <c r="E3449" t="s">
        <v>30</v>
      </c>
      <c r="F3449" s="9">
        <f t="shared" si="218"/>
        <v>0</v>
      </c>
      <c r="G3449" s="9">
        <f t="shared" si="219"/>
        <v>0</v>
      </c>
      <c r="H3449" s="9">
        <f t="shared" si="220"/>
        <v>0</v>
      </c>
      <c r="I3449" s="10">
        <f t="shared" si="221"/>
        <v>0</v>
      </c>
    </row>
    <row r="3450" spans="1:9" x14ac:dyDescent="0.25">
      <c r="A3450" s="11" t="s">
        <v>8679</v>
      </c>
      <c r="B3450" s="11" t="s">
        <v>8680</v>
      </c>
      <c r="C3450" s="11" t="s">
        <v>784</v>
      </c>
      <c r="D3450" s="4" t="s">
        <v>1406</v>
      </c>
      <c r="E3450" t="s">
        <v>30</v>
      </c>
      <c r="F3450" s="9">
        <f t="shared" si="218"/>
        <v>0</v>
      </c>
      <c r="G3450" s="9">
        <f t="shared" si="219"/>
        <v>0</v>
      </c>
      <c r="H3450" s="9">
        <f t="shared" si="220"/>
        <v>0</v>
      </c>
      <c r="I3450" s="10">
        <f t="shared" si="221"/>
        <v>0</v>
      </c>
    </row>
    <row r="3451" spans="1:9" x14ac:dyDescent="0.25">
      <c r="A3451" s="11" t="s">
        <v>8681</v>
      </c>
      <c r="B3451" s="11" t="s">
        <v>8682</v>
      </c>
      <c r="C3451" s="11" t="s">
        <v>784</v>
      </c>
      <c r="D3451" s="4" t="s">
        <v>1406</v>
      </c>
      <c r="E3451" t="s">
        <v>30</v>
      </c>
      <c r="F3451" s="9">
        <f t="shared" si="218"/>
        <v>0</v>
      </c>
      <c r="G3451" s="9">
        <f t="shared" si="219"/>
        <v>0</v>
      </c>
      <c r="H3451" s="9">
        <f t="shared" si="220"/>
        <v>0</v>
      </c>
      <c r="I3451" s="10">
        <f t="shared" si="221"/>
        <v>0</v>
      </c>
    </row>
    <row r="3452" spans="1:9" x14ac:dyDescent="0.25">
      <c r="A3452" s="11" t="s">
        <v>8683</v>
      </c>
      <c r="B3452" s="11" t="s">
        <v>8684</v>
      </c>
      <c r="C3452" s="11" t="s">
        <v>784</v>
      </c>
      <c r="D3452" s="4" t="s">
        <v>1406</v>
      </c>
      <c r="E3452" t="s">
        <v>30</v>
      </c>
      <c r="F3452" s="9">
        <f t="shared" si="218"/>
        <v>0</v>
      </c>
      <c r="G3452" s="9">
        <f t="shared" si="219"/>
        <v>0</v>
      </c>
      <c r="H3452" s="9">
        <f t="shared" si="220"/>
        <v>0</v>
      </c>
      <c r="I3452" s="10">
        <f t="shared" si="221"/>
        <v>0</v>
      </c>
    </row>
    <row r="3453" spans="1:9" x14ac:dyDescent="0.25">
      <c r="A3453" s="11" t="s">
        <v>8685</v>
      </c>
      <c r="B3453" s="11" t="s">
        <v>8686</v>
      </c>
      <c r="C3453" s="11" t="s">
        <v>784</v>
      </c>
      <c r="D3453" s="4" t="s">
        <v>1406</v>
      </c>
      <c r="E3453" t="s">
        <v>30</v>
      </c>
      <c r="F3453" s="9">
        <f t="shared" si="218"/>
        <v>0</v>
      </c>
      <c r="G3453" s="9">
        <f t="shared" si="219"/>
        <v>0</v>
      </c>
      <c r="H3453" s="9">
        <f t="shared" si="220"/>
        <v>0</v>
      </c>
      <c r="I3453" s="10">
        <f t="shared" si="221"/>
        <v>0</v>
      </c>
    </row>
    <row r="3454" spans="1:9" x14ac:dyDescent="0.25">
      <c r="A3454" s="11" t="s">
        <v>8687</v>
      </c>
      <c r="B3454" s="11" t="s">
        <v>8688</v>
      </c>
      <c r="C3454" s="11" t="s">
        <v>784</v>
      </c>
      <c r="D3454" s="4" t="s">
        <v>1406</v>
      </c>
      <c r="E3454" t="s">
        <v>30</v>
      </c>
      <c r="F3454" s="9">
        <f t="shared" si="218"/>
        <v>0</v>
      </c>
      <c r="G3454" s="9">
        <f t="shared" si="219"/>
        <v>0</v>
      </c>
      <c r="H3454" s="9">
        <f t="shared" si="220"/>
        <v>0</v>
      </c>
      <c r="I3454" s="10">
        <f t="shared" si="221"/>
        <v>0</v>
      </c>
    </row>
    <row r="3455" spans="1:9" x14ac:dyDescent="0.25">
      <c r="A3455" s="11" t="s">
        <v>8689</v>
      </c>
      <c r="B3455" s="11" t="s">
        <v>8690</v>
      </c>
      <c r="C3455" s="11" t="s">
        <v>784</v>
      </c>
      <c r="D3455" s="4" t="s">
        <v>1406</v>
      </c>
      <c r="E3455" t="s">
        <v>30</v>
      </c>
      <c r="F3455" s="9">
        <f t="shared" si="218"/>
        <v>0</v>
      </c>
      <c r="G3455" s="9">
        <f t="shared" si="219"/>
        <v>0</v>
      </c>
      <c r="H3455" s="9">
        <f t="shared" si="220"/>
        <v>0</v>
      </c>
      <c r="I3455" s="10">
        <f t="shared" si="221"/>
        <v>0</v>
      </c>
    </row>
    <row r="3456" spans="1:9" x14ac:dyDescent="0.25">
      <c r="A3456" s="11" t="s">
        <v>8691</v>
      </c>
      <c r="B3456" s="11" t="s">
        <v>8692</v>
      </c>
      <c r="C3456" s="11" t="s">
        <v>784</v>
      </c>
      <c r="D3456" s="4" t="s">
        <v>1406</v>
      </c>
      <c r="E3456" t="s">
        <v>30</v>
      </c>
      <c r="F3456" s="9">
        <f t="shared" si="218"/>
        <v>0</v>
      </c>
      <c r="G3456" s="9">
        <f t="shared" si="219"/>
        <v>0</v>
      </c>
      <c r="H3456" s="9">
        <f t="shared" si="220"/>
        <v>0</v>
      </c>
      <c r="I3456" s="10">
        <f t="shared" si="221"/>
        <v>0</v>
      </c>
    </row>
    <row r="3457" spans="1:9" x14ac:dyDescent="0.25">
      <c r="A3457" s="11" t="s">
        <v>8693</v>
      </c>
      <c r="B3457" s="11" t="s">
        <v>8694</v>
      </c>
      <c r="C3457" s="11" t="s">
        <v>784</v>
      </c>
      <c r="D3457" s="4" t="s">
        <v>1406</v>
      </c>
      <c r="E3457" t="s">
        <v>30</v>
      </c>
      <c r="F3457" s="9">
        <f t="shared" si="218"/>
        <v>0</v>
      </c>
      <c r="G3457" s="9">
        <f t="shared" si="219"/>
        <v>0</v>
      </c>
      <c r="H3457" s="9">
        <f t="shared" si="220"/>
        <v>0</v>
      </c>
      <c r="I3457" s="10">
        <f t="shared" si="221"/>
        <v>0</v>
      </c>
    </row>
    <row r="3458" spans="1:9" x14ac:dyDescent="0.25">
      <c r="A3458" s="11" t="s">
        <v>8695</v>
      </c>
      <c r="B3458" s="11" t="s">
        <v>8696</v>
      </c>
      <c r="C3458" s="11" t="s">
        <v>784</v>
      </c>
      <c r="D3458" s="4" t="s">
        <v>1406</v>
      </c>
      <c r="E3458" t="s">
        <v>30</v>
      </c>
      <c r="F3458" s="9">
        <f t="shared" si="218"/>
        <v>0</v>
      </c>
      <c r="G3458" s="9">
        <f t="shared" si="219"/>
        <v>0</v>
      </c>
      <c r="H3458" s="9">
        <f t="shared" si="220"/>
        <v>0</v>
      </c>
      <c r="I3458" s="10">
        <f t="shared" si="221"/>
        <v>0</v>
      </c>
    </row>
    <row r="3459" spans="1:9" x14ac:dyDescent="0.25">
      <c r="A3459" s="11" t="s">
        <v>8697</v>
      </c>
      <c r="B3459" s="11" t="s">
        <v>8698</v>
      </c>
      <c r="C3459" s="11" t="s">
        <v>784</v>
      </c>
      <c r="D3459" s="4" t="s">
        <v>1406</v>
      </c>
      <c r="E3459" t="s">
        <v>30</v>
      </c>
      <c r="F3459" s="9">
        <f t="shared" ref="F3459:F3522" si="222">IFERROR(VLOOKUP(A3459,condi,8,0),0)</f>
        <v>0</v>
      </c>
      <c r="G3459" s="9">
        <f t="shared" ref="G3459:G3522" si="223">IFERROR(VLOOKUP(A3459,maqui,8,0),0)</f>
        <v>0</v>
      </c>
      <c r="H3459" s="9">
        <f t="shared" ref="H3459:H3522" si="224">IFERROR(VLOOKUP(A3459,ascint,8,0),0)</f>
        <v>0</v>
      </c>
      <c r="I3459" s="10">
        <f t="shared" ref="I3459:I3522" si="225">+F3459+G3459+H3459</f>
        <v>0</v>
      </c>
    </row>
    <row r="3460" spans="1:9" x14ac:dyDescent="0.25">
      <c r="A3460" s="11" t="s">
        <v>8699</v>
      </c>
      <c r="B3460" s="11" t="s">
        <v>2764</v>
      </c>
      <c r="C3460" s="11" t="s">
        <v>784</v>
      </c>
      <c r="D3460" s="4" t="s">
        <v>1406</v>
      </c>
      <c r="E3460" t="s">
        <v>30</v>
      </c>
      <c r="F3460" s="9">
        <f t="shared" si="222"/>
        <v>0</v>
      </c>
      <c r="G3460" s="9">
        <f t="shared" si="223"/>
        <v>0</v>
      </c>
      <c r="H3460" s="9">
        <f t="shared" si="224"/>
        <v>0</v>
      </c>
      <c r="I3460" s="10">
        <f t="shared" si="225"/>
        <v>0</v>
      </c>
    </row>
    <row r="3461" spans="1:9" x14ac:dyDescent="0.25">
      <c r="A3461" s="11" t="s">
        <v>8700</v>
      </c>
      <c r="B3461" s="11" t="s">
        <v>2772</v>
      </c>
      <c r="C3461" s="11" t="s">
        <v>784</v>
      </c>
      <c r="D3461" s="4" t="s">
        <v>1406</v>
      </c>
      <c r="E3461" t="s">
        <v>30</v>
      </c>
      <c r="F3461" s="9">
        <f t="shared" si="222"/>
        <v>0</v>
      </c>
      <c r="G3461" s="9">
        <f t="shared" si="223"/>
        <v>0</v>
      </c>
      <c r="H3461" s="9">
        <f t="shared" si="224"/>
        <v>0</v>
      </c>
      <c r="I3461" s="10">
        <f t="shared" si="225"/>
        <v>0</v>
      </c>
    </row>
    <row r="3462" spans="1:9" x14ac:dyDescent="0.25">
      <c r="A3462" s="11" t="s">
        <v>8701</v>
      </c>
      <c r="B3462" s="11" t="s">
        <v>8702</v>
      </c>
      <c r="C3462" s="11" t="s">
        <v>784</v>
      </c>
      <c r="D3462" s="4" t="s">
        <v>1406</v>
      </c>
      <c r="E3462" t="s">
        <v>30</v>
      </c>
      <c r="F3462" s="9">
        <f t="shared" si="222"/>
        <v>0</v>
      </c>
      <c r="G3462" s="9">
        <f t="shared" si="223"/>
        <v>0</v>
      </c>
      <c r="H3462" s="9">
        <f t="shared" si="224"/>
        <v>0</v>
      </c>
      <c r="I3462" s="10">
        <f t="shared" si="225"/>
        <v>0</v>
      </c>
    </row>
    <row r="3463" spans="1:9" x14ac:dyDescent="0.25">
      <c r="A3463" s="11" t="s">
        <v>8703</v>
      </c>
      <c r="B3463" s="11" t="s">
        <v>8704</v>
      </c>
      <c r="C3463" s="11" t="s">
        <v>784</v>
      </c>
      <c r="D3463" s="4" t="s">
        <v>1406</v>
      </c>
      <c r="E3463" t="s">
        <v>30</v>
      </c>
      <c r="F3463" s="9">
        <f t="shared" si="222"/>
        <v>0</v>
      </c>
      <c r="G3463" s="9">
        <f t="shared" si="223"/>
        <v>0</v>
      </c>
      <c r="H3463" s="9">
        <f t="shared" si="224"/>
        <v>0</v>
      </c>
      <c r="I3463" s="10">
        <f t="shared" si="225"/>
        <v>0</v>
      </c>
    </row>
    <row r="3464" spans="1:9" x14ac:dyDescent="0.25">
      <c r="A3464" s="11" t="s">
        <v>8705</v>
      </c>
      <c r="B3464" s="11" t="s">
        <v>8706</v>
      </c>
      <c r="C3464" s="11" t="s">
        <v>784</v>
      </c>
      <c r="D3464" s="4" t="s">
        <v>1406</v>
      </c>
      <c r="E3464" t="s">
        <v>30</v>
      </c>
      <c r="F3464" s="9">
        <f t="shared" si="222"/>
        <v>0</v>
      </c>
      <c r="G3464" s="9">
        <f t="shared" si="223"/>
        <v>0</v>
      </c>
      <c r="H3464" s="9">
        <f t="shared" si="224"/>
        <v>0</v>
      </c>
      <c r="I3464" s="10">
        <f t="shared" si="225"/>
        <v>0</v>
      </c>
    </row>
    <row r="3465" spans="1:9" x14ac:dyDescent="0.25">
      <c r="A3465" s="11" t="s">
        <v>8707</v>
      </c>
      <c r="B3465" s="11" t="s">
        <v>8708</v>
      </c>
      <c r="C3465" s="11" t="s">
        <v>784</v>
      </c>
      <c r="D3465" s="4" t="s">
        <v>1406</v>
      </c>
      <c r="E3465" t="s">
        <v>30</v>
      </c>
      <c r="F3465" s="9">
        <f t="shared" si="222"/>
        <v>0</v>
      </c>
      <c r="G3465" s="9">
        <f t="shared" si="223"/>
        <v>0</v>
      </c>
      <c r="H3465" s="9">
        <f t="shared" si="224"/>
        <v>0</v>
      </c>
      <c r="I3465" s="10">
        <f t="shared" si="225"/>
        <v>0</v>
      </c>
    </row>
    <row r="3466" spans="1:9" x14ac:dyDescent="0.25">
      <c r="A3466" s="11" t="s">
        <v>8709</v>
      </c>
      <c r="B3466" s="11" t="s">
        <v>8710</v>
      </c>
      <c r="C3466" s="11" t="s">
        <v>784</v>
      </c>
      <c r="D3466" s="4" t="s">
        <v>1406</v>
      </c>
      <c r="E3466" t="s">
        <v>30</v>
      </c>
      <c r="F3466" s="9">
        <f t="shared" si="222"/>
        <v>0</v>
      </c>
      <c r="G3466" s="9">
        <f t="shared" si="223"/>
        <v>0</v>
      </c>
      <c r="H3466" s="9">
        <f t="shared" si="224"/>
        <v>0</v>
      </c>
      <c r="I3466" s="10">
        <f t="shared" si="225"/>
        <v>0</v>
      </c>
    </row>
    <row r="3467" spans="1:9" x14ac:dyDescent="0.25">
      <c r="A3467" s="11" t="s">
        <v>8711</v>
      </c>
      <c r="B3467" s="11" t="s">
        <v>789</v>
      </c>
      <c r="C3467" s="11" t="s">
        <v>791</v>
      </c>
      <c r="D3467" s="4" t="s">
        <v>1406</v>
      </c>
      <c r="E3467" t="s">
        <v>30</v>
      </c>
      <c r="F3467" s="9">
        <f t="shared" si="222"/>
        <v>0</v>
      </c>
      <c r="G3467" s="9">
        <f t="shared" si="223"/>
        <v>0</v>
      </c>
      <c r="H3467" s="9">
        <f t="shared" si="224"/>
        <v>0</v>
      </c>
      <c r="I3467" s="10">
        <f t="shared" si="225"/>
        <v>0</v>
      </c>
    </row>
    <row r="3468" spans="1:9" x14ac:dyDescent="0.25">
      <c r="A3468" s="11" t="s">
        <v>8712</v>
      </c>
      <c r="B3468" s="11" t="s">
        <v>8713</v>
      </c>
      <c r="C3468" s="11" t="s">
        <v>791</v>
      </c>
      <c r="D3468" s="4" t="s">
        <v>1406</v>
      </c>
      <c r="E3468" t="s">
        <v>30</v>
      </c>
      <c r="F3468" s="9">
        <f t="shared" si="222"/>
        <v>0</v>
      </c>
      <c r="G3468" s="9">
        <f t="shared" si="223"/>
        <v>0</v>
      </c>
      <c r="H3468" s="9">
        <f t="shared" si="224"/>
        <v>0</v>
      </c>
      <c r="I3468" s="10">
        <f t="shared" si="225"/>
        <v>0</v>
      </c>
    </row>
    <row r="3469" spans="1:9" x14ac:dyDescent="0.25">
      <c r="A3469" s="11" t="s">
        <v>8714</v>
      </c>
      <c r="B3469" s="11" t="s">
        <v>8715</v>
      </c>
      <c r="C3469" s="11" t="s">
        <v>791</v>
      </c>
      <c r="D3469" s="4" t="s">
        <v>1406</v>
      </c>
      <c r="E3469" t="s">
        <v>30</v>
      </c>
      <c r="F3469" s="9">
        <f t="shared" si="222"/>
        <v>0</v>
      </c>
      <c r="G3469" s="9">
        <f t="shared" si="223"/>
        <v>0</v>
      </c>
      <c r="H3469" s="9">
        <f t="shared" si="224"/>
        <v>0</v>
      </c>
      <c r="I3469" s="10">
        <f t="shared" si="225"/>
        <v>0</v>
      </c>
    </row>
    <row r="3470" spans="1:9" x14ac:dyDescent="0.25">
      <c r="A3470" s="11" t="s">
        <v>8716</v>
      </c>
      <c r="B3470" s="11" t="s">
        <v>8717</v>
      </c>
      <c r="C3470" s="11" t="s">
        <v>791</v>
      </c>
      <c r="D3470" s="4" t="s">
        <v>1406</v>
      </c>
      <c r="E3470" t="s">
        <v>30</v>
      </c>
      <c r="F3470" s="9">
        <f t="shared" si="222"/>
        <v>0</v>
      </c>
      <c r="G3470" s="9">
        <f t="shared" si="223"/>
        <v>0</v>
      </c>
      <c r="H3470" s="9">
        <f t="shared" si="224"/>
        <v>0</v>
      </c>
      <c r="I3470" s="10">
        <f t="shared" si="225"/>
        <v>0</v>
      </c>
    </row>
    <row r="3471" spans="1:9" x14ac:dyDescent="0.25">
      <c r="A3471" s="11" t="s">
        <v>8718</v>
      </c>
      <c r="B3471" s="11" t="s">
        <v>8719</v>
      </c>
      <c r="C3471" s="11" t="s">
        <v>791</v>
      </c>
      <c r="D3471" s="4" t="s">
        <v>1406</v>
      </c>
      <c r="E3471" t="s">
        <v>30</v>
      </c>
      <c r="F3471" s="9">
        <f t="shared" si="222"/>
        <v>0</v>
      </c>
      <c r="G3471" s="9">
        <f t="shared" si="223"/>
        <v>0</v>
      </c>
      <c r="H3471" s="9">
        <f t="shared" si="224"/>
        <v>0</v>
      </c>
      <c r="I3471" s="10">
        <f t="shared" si="225"/>
        <v>0</v>
      </c>
    </row>
    <row r="3472" spans="1:9" x14ac:dyDescent="0.25">
      <c r="A3472" s="11" t="s">
        <v>8720</v>
      </c>
      <c r="B3472" s="11" t="s">
        <v>8721</v>
      </c>
      <c r="C3472" s="11" t="s">
        <v>791</v>
      </c>
      <c r="D3472" s="4" t="s">
        <v>1406</v>
      </c>
      <c r="E3472" t="s">
        <v>30</v>
      </c>
      <c r="F3472" s="9">
        <f t="shared" si="222"/>
        <v>0</v>
      </c>
      <c r="G3472" s="9">
        <f t="shared" si="223"/>
        <v>0</v>
      </c>
      <c r="H3472" s="9">
        <f t="shared" si="224"/>
        <v>0</v>
      </c>
      <c r="I3472" s="10">
        <f t="shared" si="225"/>
        <v>0</v>
      </c>
    </row>
    <row r="3473" spans="1:9" x14ac:dyDescent="0.25">
      <c r="A3473" s="11" t="s">
        <v>8722</v>
      </c>
      <c r="B3473" s="11" t="s">
        <v>8723</v>
      </c>
      <c r="C3473" s="11" t="s">
        <v>791</v>
      </c>
      <c r="D3473" s="4" t="s">
        <v>1406</v>
      </c>
      <c r="E3473" t="s">
        <v>30</v>
      </c>
      <c r="F3473" s="9">
        <f t="shared" si="222"/>
        <v>0</v>
      </c>
      <c r="G3473" s="9">
        <f t="shared" si="223"/>
        <v>0</v>
      </c>
      <c r="H3473" s="9">
        <f t="shared" si="224"/>
        <v>0</v>
      </c>
      <c r="I3473" s="10">
        <f t="shared" si="225"/>
        <v>0</v>
      </c>
    </row>
    <row r="3474" spans="1:9" x14ac:dyDescent="0.25">
      <c r="A3474" s="11" t="s">
        <v>8724</v>
      </c>
      <c r="B3474" s="11" t="s">
        <v>8725</v>
      </c>
      <c r="C3474" s="11" t="s">
        <v>791</v>
      </c>
      <c r="D3474" s="4" t="s">
        <v>1406</v>
      </c>
      <c r="E3474" t="s">
        <v>30</v>
      </c>
      <c r="F3474" s="9">
        <f t="shared" si="222"/>
        <v>0</v>
      </c>
      <c r="G3474" s="9">
        <f t="shared" si="223"/>
        <v>0</v>
      </c>
      <c r="H3474" s="9">
        <f t="shared" si="224"/>
        <v>0</v>
      </c>
      <c r="I3474" s="10">
        <f t="shared" si="225"/>
        <v>0</v>
      </c>
    </row>
    <row r="3475" spans="1:9" x14ac:dyDescent="0.25">
      <c r="A3475" s="11" t="s">
        <v>8726</v>
      </c>
      <c r="B3475" s="11" t="s">
        <v>8727</v>
      </c>
      <c r="C3475" s="11" t="s">
        <v>791</v>
      </c>
      <c r="D3475" s="4" t="s">
        <v>1406</v>
      </c>
      <c r="E3475" t="s">
        <v>30</v>
      </c>
      <c r="F3475" s="9">
        <f t="shared" si="222"/>
        <v>0</v>
      </c>
      <c r="G3475" s="9">
        <f t="shared" si="223"/>
        <v>0</v>
      </c>
      <c r="H3475" s="9">
        <f t="shared" si="224"/>
        <v>0</v>
      </c>
      <c r="I3475" s="10">
        <f t="shared" si="225"/>
        <v>0</v>
      </c>
    </row>
    <row r="3476" spans="1:9" x14ac:dyDescent="0.25">
      <c r="A3476" s="11" t="s">
        <v>8728</v>
      </c>
      <c r="B3476" s="11" t="s">
        <v>8729</v>
      </c>
      <c r="C3476" s="11" t="s">
        <v>791</v>
      </c>
      <c r="D3476" s="4" t="s">
        <v>1406</v>
      </c>
      <c r="E3476" t="s">
        <v>30</v>
      </c>
      <c r="F3476" s="9">
        <f t="shared" si="222"/>
        <v>0</v>
      </c>
      <c r="G3476" s="9">
        <f t="shared" si="223"/>
        <v>0</v>
      </c>
      <c r="H3476" s="9">
        <f t="shared" si="224"/>
        <v>0</v>
      </c>
      <c r="I3476" s="10">
        <f t="shared" si="225"/>
        <v>0</v>
      </c>
    </row>
    <row r="3477" spans="1:9" x14ac:dyDescent="0.25">
      <c r="A3477" s="11" t="s">
        <v>8730</v>
      </c>
      <c r="B3477" s="11" t="s">
        <v>8731</v>
      </c>
      <c r="C3477" s="11" t="s">
        <v>791</v>
      </c>
      <c r="D3477" s="4" t="s">
        <v>1406</v>
      </c>
      <c r="E3477" t="s">
        <v>30</v>
      </c>
      <c r="F3477" s="9">
        <f t="shared" si="222"/>
        <v>0</v>
      </c>
      <c r="G3477" s="9">
        <f t="shared" si="223"/>
        <v>0</v>
      </c>
      <c r="H3477" s="9">
        <f t="shared" si="224"/>
        <v>0</v>
      </c>
      <c r="I3477" s="10">
        <f t="shared" si="225"/>
        <v>0</v>
      </c>
    </row>
    <row r="3478" spans="1:9" x14ac:dyDescent="0.25">
      <c r="A3478" s="11" t="s">
        <v>895</v>
      </c>
      <c r="B3478" s="11" t="s">
        <v>894</v>
      </c>
      <c r="C3478" s="11" t="s">
        <v>791</v>
      </c>
      <c r="D3478" s="4" t="s">
        <v>1406</v>
      </c>
      <c r="E3478" t="s">
        <v>30</v>
      </c>
      <c r="F3478" s="9">
        <f t="shared" si="222"/>
        <v>0</v>
      </c>
      <c r="G3478" s="9">
        <f t="shared" si="223"/>
        <v>0</v>
      </c>
      <c r="H3478" s="9">
        <f t="shared" si="224"/>
        <v>0</v>
      </c>
      <c r="I3478" s="10">
        <f t="shared" si="225"/>
        <v>0</v>
      </c>
    </row>
    <row r="3479" spans="1:9" x14ac:dyDescent="0.25">
      <c r="A3479" s="11" t="s">
        <v>8732</v>
      </c>
      <c r="B3479" s="11" t="s">
        <v>8733</v>
      </c>
      <c r="C3479" s="11" t="s">
        <v>791</v>
      </c>
      <c r="D3479" s="4" t="s">
        <v>1406</v>
      </c>
      <c r="E3479" t="s">
        <v>30</v>
      </c>
      <c r="F3479" s="9">
        <f t="shared" si="222"/>
        <v>0</v>
      </c>
      <c r="G3479" s="9">
        <f t="shared" si="223"/>
        <v>0</v>
      </c>
      <c r="H3479" s="9">
        <f t="shared" si="224"/>
        <v>0</v>
      </c>
      <c r="I3479" s="10">
        <f t="shared" si="225"/>
        <v>0</v>
      </c>
    </row>
    <row r="3480" spans="1:9" x14ac:dyDescent="0.25">
      <c r="A3480" s="11" t="s">
        <v>4862</v>
      </c>
      <c r="B3480" s="11" t="s">
        <v>4861</v>
      </c>
      <c r="C3480" s="11" t="s">
        <v>791</v>
      </c>
      <c r="D3480" s="4" t="s">
        <v>1406</v>
      </c>
      <c r="E3480" t="s">
        <v>30</v>
      </c>
      <c r="F3480" s="9">
        <f t="shared" si="222"/>
        <v>0</v>
      </c>
      <c r="G3480" s="9">
        <f t="shared" si="223"/>
        <v>0</v>
      </c>
      <c r="H3480" s="9">
        <f t="shared" si="224"/>
        <v>0</v>
      </c>
      <c r="I3480" s="10">
        <f t="shared" si="225"/>
        <v>0</v>
      </c>
    </row>
    <row r="3481" spans="1:9" x14ac:dyDescent="0.25">
      <c r="A3481" s="11" t="s">
        <v>8734</v>
      </c>
      <c r="B3481" s="11" t="s">
        <v>8735</v>
      </c>
      <c r="C3481" s="11" t="s">
        <v>791</v>
      </c>
      <c r="D3481" s="4" t="s">
        <v>1406</v>
      </c>
      <c r="E3481" t="s">
        <v>30</v>
      </c>
      <c r="F3481" s="9">
        <f t="shared" si="222"/>
        <v>0</v>
      </c>
      <c r="G3481" s="9">
        <f t="shared" si="223"/>
        <v>0</v>
      </c>
      <c r="H3481" s="9">
        <f t="shared" si="224"/>
        <v>0</v>
      </c>
      <c r="I3481" s="10">
        <f t="shared" si="225"/>
        <v>0</v>
      </c>
    </row>
    <row r="3482" spans="1:9" x14ac:dyDescent="0.25">
      <c r="A3482" s="11" t="s">
        <v>8736</v>
      </c>
      <c r="B3482" s="11" t="s">
        <v>8737</v>
      </c>
      <c r="C3482" s="11" t="s">
        <v>791</v>
      </c>
      <c r="D3482" s="4" t="s">
        <v>1406</v>
      </c>
      <c r="E3482" t="s">
        <v>30</v>
      </c>
      <c r="F3482" s="9">
        <f t="shared" si="222"/>
        <v>0</v>
      </c>
      <c r="G3482" s="9">
        <f t="shared" si="223"/>
        <v>0</v>
      </c>
      <c r="H3482" s="9">
        <f t="shared" si="224"/>
        <v>0</v>
      </c>
      <c r="I3482" s="10">
        <f t="shared" si="225"/>
        <v>0</v>
      </c>
    </row>
    <row r="3483" spans="1:9" x14ac:dyDescent="0.25">
      <c r="A3483" s="11" t="s">
        <v>8738</v>
      </c>
      <c r="B3483" s="11" t="s">
        <v>8739</v>
      </c>
      <c r="C3483" s="11" t="s">
        <v>791</v>
      </c>
      <c r="D3483" s="4" t="s">
        <v>1406</v>
      </c>
      <c r="E3483" t="s">
        <v>30</v>
      </c>
      <c r="F3483" s="9">
        <f t="shared" si="222"/>
        <v>0</v>
      </c>
      <c r="G3483" s="9">
        <f t="shared" si="223"/>
        <v>0</v>
      </c>
      <c r="H3483" s="9">
        <f t="shared" si="224"/>
        <v>0</v>
      </c>
      <c r="I3483" s="10">
        <f t="shared" si="225"/>
        <v>0</v>
      </c>
    </row>
    <row r="3484" spans="1:9" x14ac:dyDescent="0.25">
      <c r="A3484" s="11" t="s">
        <v>8740</v>
      </c>
      <c r="B3484" s="11" t="s">
        <v>8741</v>
      </c>
      <c r="C3484" s="11" t="s">
        <v>791</v>
      </c>
      <c r="D3484" s="4" t="s">
        <v>1406</v>
      </c>
      <c r="E3484" t="s">
        <v>30</v>
      </c>
      <c r="F3484" s="9">
        <f t="shared" si="222"/>
        <v>0</v>
      </c>
      <c r="G3484" s="9">
        <f t="shared" si="223"/>
        <v>0</v>
      </c>
      <c r="H3484" s="9">
        <f t="shared" si="224"/>
        <v>0</v>
      </c>
      <c r="I3484" s="10">
        <f t="shared" si="225"/>
        <v>0</v>
      </c>
    </row>
    <row r="3485" spans="1:9" x14ac:dyDescent="0.25">
      <c r="A3485" s="11" t="s">
        <v>8742</v>
      </c>
      <c r="B3485" s="11" t="s">
        <v>8743</v>
      </c>
      <c r="C3485" s="11" t="s">
        <v>791</v>
      </c>
      <c r="D3485" s="4" t="s">
        <v>1406</v>
      </c>
      <c r="E3485" t="s">
        <v>30</v>
      </c>
      <c r="F3485" s="9">
        <f t="shared" si="222"/>
        <v>0</v>
      </c>
      <c r="G3485" s="9">
        <f t="shared" si="223"/>
        <v>0</v>
      </c>
      <c r="H3485" s="9">
        <f t="shared" si="224"/>
        <v>0</v>
      </c>
      <c r="I3485" s="10">
        <f t="shared" si="225"/>
        <v>0</v>
      </c>
    </row>
    <row r="3486" spans="1:9" x14ac:dyDescent="0.25">
      <c r="A3486" s="11" t="s">
        <v>8744</v>
      </c>
      <c r="B3486" s="11" t="s">
        <v>8745</v>
      </c>
      <c r="C3486" s="11" t="s">
        <v>791</v>
      </c>
      <c r="D3486" s="4" t="s">
        <v>1406</v>
      </c>
      <c r="E3486" t="s">
        <v>30</v>
      </c>
      <c r="F3486" s="9">
        <f t="shared" si="222"/>
        <v>0</v>
      </c>
      <c r="G3486" s="9">
        <f t="shared" si="223"/>
        <v>0</v>
      </c>
      <c r="H3486" s="9">
        <f t="shared" si="224"/>
        <v>0</v>
      </c>
      <c r="I3486" s="10">
        <f t="shared" si="225"/>
        <v>0</v>
      </c>
    </row>
    <row r="3487" spans="1:9" x14ac:dyDescent="0.25">
      <c r="A3487" s="11" t="s">
        <v>8746</v>
      </c>
      <c r="B3487" s="11" t="s">
        <v>8747</v>
      </c>
      <c r="C3487" s="11" t="s">
        <v>791</v>
      </c>
      <c r="D3487" s="4" t="s">
        <v>1406</v>
      </c>
      <c r="E3487" t="s">
        <v>30</v>
      </c>
      <c r="F3487" s="9">
        <f t="shared" si="222"/>
        <v>0</v>
      </c>
      <c r="G3487" s="9">
        <f t="shared" si="223"/>
        <v>0</v>
      </c>
      <c r="H3487" s="9">
        <f t="shared" si="224"/>
        <v>0</v>
      </c>
      <c r="I3487" s="10">
        <f t="shared" si="225"/>
        <v>0</v>
      </c>
    </row>
    <row r="3488" spans="1:9" x14ac:dyDescent="0.25">
      <c r="A3488" s="11" t="s">
        <v>8748</v>
      </c>
      <c r="B3488" s="11" t="s">
        <v>8749</v>
      </c>
      <c r="C3488" s="11" t="s">
        <v>791</v>
      </c>
      <c r="D3488" s="4" t="s">
        <v>1406</v>
      </c>
      <c r="E3488" t="s">
        <v>30</v>
      </c>
      <c r="F3488" s="9">
        <f t="shared" si="222"/>
        <v>0</v>
      </c>
      <c r="G3488" s="9">
        <f t="shared" si="223"/>
        <v>0</v>
      </c>
      <c r="H3488" s="9">
        <f t="shared" si="224"/>
        <v>0</v>
      </c>
      <c r="I3488" s="10">
        <f t="shared" si="225"/>
        <v>0</v>
      </c>
    </row>
    <row r="3489" spans="1:9" x14ac:dyDescent="0.25">
      <c r="A3489" s="11" t="s">
        <v>8750</v>
      </c>
      <c r="B3489" s="11" t="s">
        <v>8751</v>
      </c>
      <c r="C3489" s="11" t="s">
        <v>791</v>
      </c>
      <c r="D3489" s="4" t="s">
        <v>1406</v>
      </c>
      <c r="E3489" t="s">
        <v>30</v>
      </c>
      <c r="F3489" s="9">
        <f t="shared" si="222"/>
        <v>0</v>
      </c>
      <c r="G3489" s="9">
        <f t="shared" si="223"/>
        <v>0</v>
      </c>
      <c r="H3489" s="9">
        <f t="shared" si="224"/>
        <v>0</v>
      </c>
      <c r="I3489" s="10">
        <f t="shared" si="225"/>
        <v>0</v>
      </c>
    </row>
    <row r="3490" spans="1:9" x14ac:dyDescent="0.25">
      <c r="A3490" s="11" t="s">
        <v>8752</v>
      </c>
      <c r="B3490" s="11" t="s">
        <v>8753</v>
      </c>
      <c r="C3490" s="11" t="s">
        <v>791</v>
      </c>
      <c r="D3490" s="4" t="s">
        <v>1406</v>
      </c>
      <c r="E3490" t="s">
        <v>30</v>
      </c>
      <c r="F3490" s="9">
        <f t="shared" si="222"/>
        <v>0</v>
      </c>
      <c r="G3490" s="9">
        <f t="shared" si="223"/>
        <v>0</v>
      </c>
      <c r="H3490" s="9">
        <f t="shared" si="224"/>
        <v>0</v>
      </c>
      <c r="I3490" s="10">
        <f t="shared" si="225"/>
        <v>0</v>
      </c>
    </row>
    <row r="3491" spans="1:9" x14ac:dyDescent="0.25">
      <c r="A3491" s="11" t="s">
        <v>8754</v>
      </c>
      <c r="B3491" s="11" t="s">
        <v>8755</v>
      </c>
      <c r="C3491" s="11" t="s">
        <v>791</v>
      </c>
      <c r="D3491" s="4" t="s">
        <v>1406</v>
      </c>
      <c r="E3491" t="s">
        <v>30</v>
      </c>
      <c r="F3491" s="9">
        <f t="shared" si="222"/>
        <v>0</v>
      </c>
      <c r="G3491" s="9">
        <f t="shared" si="223"/>
        <v>0</v>
      </c>
      <c r="H3491" s="9">
        <f t="shared" si="224"/>
        <v>0</v>
      </c>
      <c r="I3491" s="10">
        <f t="shared" si="225"/>
        <v>0</v>
      </c>
    </row>
    <row r="3492" spans="1:9" x14ac:dyDescent="0.25">
      <c r="A3492" s="11" t="s">
        <v>8756</v>
      </c>
      <c r="B3492" s="11" t="s">
        <v>8757</v>
      </c>
      <c r="C3492" s="11" t="s">
        <v>791</v>
      </c>
      <c r="D3492" s="4" t="s">
        <v>1406</v>
      </c>
      <c r="E3492" t="s">
        <v>30</v>
      </c>
      <c r="F3492" s="9">
        <f t="shared" si="222"/>
        <v>0</v>
      </c>
      <c r="G3492" s="9">
        <f t="shared" si="223"/>
        <v>0</v>
      </c>
      <c r="H3492" s="9">
        <f t="shared" si="224"/>
        <v>0</v>
      </c>
      <c r="I3492" s="10">
        <f t="shared" si="225"/>
        <v>0</v>
      </c>
    </row>
    <row r="3493" spans="1:9" x14ac:dyDescent="0.25">
      <c r="A3493" s="11" t="s">
        <v>8758</v>
      </c>
      <c r="B3493" s="11" t="s">
        <v>8759</v>
      </c>
      <c r="C3493" s="11" t="s">
        <v>791</v>
      </c>
      <c r="D3493" s="4" t="s">
        <v>1406</v>
      </c>
      <c r="E3493" t="s">
        <v>30</v>
      </c>
      <c r="F3493" s="9">
        <f t="shared" si="222"/>
        <v>0</v>
      </c>
      <c r="G3493" s="9">
        <f t="shared" si="223"/>
        <v>0</v>
      </c>
      <c r="H3493" s="9">
        <f t="shared" si="224"/>
        <v>0</v>
      </c>
      <c r="I3493" s="10">
        <f t="shared" si="225"/>
        <v>0</v>
      </c>
    </row>
    <row r="3494" spans="1:9" x14ac:dyDescent="0.25">
      <c r="A3494" s="11" t="s">
        <v>8760</v>
      </c>
      <c r="B3494" s="11" t="s">
        <v>8761</v>
      </c>
      <c r="C3494" s="11" t="s">
        <v>791</v>
      </c>
      <c r="D3494" s="4" t="s">
        <v>1406</v>
      </c>
      <c r="E3494" t="s">
        <v>30</v>
      </c>
      <c r="F3494" s="9">
        <f t="shared" si="222"/>
        <v>0</v>
      </c>
      <c r="G3494" s="9">
        <f t="shared" si="223"/>
        <v>0</v>
      </c>
      <c r="H3494" s="9">
        <f t="shared" si="224"/>
        <v>0</v>
      </c>
      <c r="I3494" s="10">
        <f t="shared" si="225"/>
        <v>0</v>
      </c>
    </row>
    <row r="3495" spans="1:9" x14ac:dyDescent="0.25">
      <c r="A3495" s="11" t="s">
        <v>8762</v>
      </c>
      <c r="B3495" s="11" t="s">
        <v>8763</v>
      </c>
      <c r="C3495" s="11" t="s">
        <v>791</v>
      </c>
      <c r="D3495" s="4" t="s">
        <v>1406</v>
      </c>
      <c r="E3495" t="s">
        <v>30</v>
      </c>
      <c r="F3495" s="9">
        <f t="shared" si="222"/>
        <v>0</v>
      </c>
      <c r="G3495" s="9">
        <f t="shared" si="223"/>
        <v>0</v>
      </c>
      <c r="H3495" s="9">
        <f t="shared" si="224"/>
        <v>0</v>
      </c>
      <c r="I3495" s="10">
        <f t="shared" si="225"/>
        <v>0</v>
      </c>
    </row>
    <row r="3496" spans="1:9" x14ac:dyDescent="0.25">
      <c r="A3496" s="11" t="s">
        <v>8764</v>
      </c>
      <c r="B3496" s="11" t="s">
        <v>8765</v>
      </c>
      <c r="C3496" s="11" t="s">
        <v>791</v>
      </c>
      <c r="D3496" s="4" t="s">
        <v>1406</v>
      </c>
      <c r="E3496" t="s">
        <v>30</v>
      </c>
      <c r="F3496" s="9">
        <f t="shared" si="222"/>
        <v>0</v>
      </c>
      <c r="G3496" s="9">
        <f t="shared" si="223"/>
        <v>0</v>
      </c>
      <c r="H3496" s="9">
        <f t="shared" si="224"/>
        <v>0</v>
      </c>
      <c r="I3496" s="10">
        <f t="shared" si="225"/>
        <v>0</v>
      </c>
    </row>
    <row r="3497" spans="1:9" x14ac:dyDescent="0.25">
      <c r="A3497" s="11" t="s">
        <v>8766</v>
      </c>
      <c r="B3497" s="11" t="s">
        <v>8767</v>
      </c>
      <c r="C3497" s="11" t="s">
        <v>791</v>
      </c>
      <c r="D3497" s="4" t="s">
        <v>1406</v>
      </c>
      <c r="E3497" t="s">
        <v>30</v>
      </c>
      <c r="F3497" s="9">
        <f t="shared" si="222"/>
        <v>0</v>
      </c>
      <c r="G3497" s="9">
        <f t="shared" si="223"/>
        <v>0</v>
      </c>
      <c r="H3497" s="9">
        <f t="shared" si="224"/>
        <v>0</v>
      </c>
      <c r="I3497" s="10">
        <f t="shared" si="225"/>
        <v>0</v>
      </c>
    </row>
    <row r="3498" spans="1:9" x14ac:dyDescent="0.25">
      <c r="A3498" s="11" t="s">
        <v>8768</v>
      </c>
      <c r="B3498" s="11" t="s">
        <v>8769</v>
      </c>
      <c r="C3498" s="11" t="s">
        <v>791</v>
      </c>
      <c r="D3498" s="4" t="s">
        <v>1406</v>
      </c>
      <c r="E3498" t="s">
        <v>30</v>
      </c>
      <c r="F3498" s="9">
        <f t="shared" si="222"/>
        <v>0</v>
      </c>
      <c r="G3498" s="9">
        <f t="shared" si="223"/>
        <v>0</v>
      </c>
      <c r="H3498" s="9">
        <f t="shared" si="224"/>
        <v>0</v>
      </c>
      <c r="I3498" s="10">
        <f t="shared" si="225"/>
        <v>0</v>
      </c>
    </row>
    <row r="3499" spans="1:9" x14ac:dyDescent="0.25">
      <c r="A3499" s="11" t="s">
        <v>8770</v>
      </c>
      <c r="B3499" s="11" t="s">
        <v>8771</v>
      </c>
      <c r="C3499" s="11" t="s">
        <v>791</v>
      </c>
      <c r="D3499" s="4" t="s">
        <v>1406</v>
      </c>
      <c r="E3499" t="s">
        <v>30</v>
      </c>
      <c r="F3499" s="9">
        <f t="shared" si="222"/>
        <v>0</v>
      </c>
      <c r="G3499" s="9">
        <f t="shared" si="223"/>
        <v>0</v>
      </c>
      <c r="H3499" s="9">
        <f t="shared" si="224"/>
        <v>0</v>
      </c>
      <c r="I3499" s="10">
        <f t="shared" si="225"/>
        <v>0</v>
      </c>
    </row>
    <row r="3500" spans="1:9" x14ac:dyDescent="0.25">
      <c r="A3500" s="11" t="s">
        <v>8772</v>
      </c>
      <c r="B3500" s="11" t="s">
        <v>8773</v>
      </c>
      <c r="C3500" s="11" t="s">
        <v>791</v>
      </c>
      <c r="D3500" s="4" t="s">
        <v>1406</v>
      </c>
      <c r="E3500" t="s">
        <v>30</v>
      </c>
      <c r="F3500" s="9">
        <f t="shared" si="222"/>
        <v>0</v>
      </c>
      <c r="G3500" s="9">
        <f t="shared" si="223"/>
        <v>0</v>
      </c>
      <c r="H3500" s="9">
        <f t="shared" si="224"/>
        <v>0</v>
      </c>
      <c r="I3500" s="10">
        <f t="shared" si="225"/>
        <v>0</v>
      </c>
    </row>
    <row r="3501" spans="1:9" x14ac:dyDescent="0.25">
      <c r="A3501" s="11" t="s">
        <v>8774</v>
      </c>
      <c r="B3501" s="11" t="s">
        <v>8775</v>
      </c>
      <c r="C3501" s="11" t="s">
        <v>791</v>
      </c>
      <c r="D3501" s="4" t="s">
        <v>1406</v>
      </c>
      <c r="E3501" t="s">
        <v>30</v>
      </c>
      <c r="F3501" s="9">
        <f t="shared" si="222"/>
        <v>0</v>
      </c>
      <c r="G3501" s="9">
        <f t="shared" si="223"/>
        <v>0</v>
      </c>
      <c r="H3501" s="9">
        <f t="shared" si="224"/>
        <v>0</v>
      </c>
      <c r="I3501" s="10">
        <f t="shared" si="225"/>
        <v>0</v>
      </c>
    </row>
    <row r="3502" spans="1:9" x14ac:dyDescent="0.25">
      <c r="A3502" s="11" t="s">
        <v>8776</v>
      </c>
      <c r="B3502" s="11" t="s">
        <v>8777</v>
      </c>
      <c r="C3502" s="11" t="s">
        <v>791</v>
      </c>
      <c r="D3502" s="4" t="s">
        <v>1406</v>
      </c>
      <c r="E3502" t="s">
        <v>30</v>
      </c>
      <c r="F3502" s="9">
        <f t="shared" si="222"/>
        <v>0</v>
      </c>
      <c r="G3502" s="9">
        <f t="shared" si="223"/>
        <v>0</v>
      </c>
      <c r="H3502" s="9">
        <f t="shared" si="224"/>
        <v>0</v>
      </c>
      <c r="I3502" s="10">
        <f t="shared" si="225"/>
        <v>0</v>
      </c>
    </row>
    <row r="3503" spans="1:9" x14ac:dyDescent="0.25">
      <c r="A3503" s="11" t="s">
        <v>8778</v>
      </c>
      <c r="B3503" s="11" t="s">
        <v>8779</v>
      </c>
      <c r="C3503" s="11" t="s">
        <v>791</v>
      </c>
      <c r="D3503" s="4" t="s">
        <v>1406</v>
      </c>
      <c r="E3503" t="s">
        <v>30</v>
      </c>
      <c r="F3503" s="9">
        <f t="shared" si="222"/>
        <v>0</v>
      </c>
      <c r="G3503" s="9">
        <f t="shared" si="223"/>
        <v>0</v>
      </c>
      <c r="H3503" s="9">
        <f t="shared" si="224"/>
        <v>0</v>
      </c>
      <c r="I3503" s="10">
        <f t="shared" si="225"/>
        <v>0</v>
      </c>
    </row>
    <row r="3504" spans="1:9" x14ac:dyDescent="0.25">
      <c r="A3504" s="11" t="s">
        <v>8780</v>
      </c>
      <c r="B3504" s="11" t="s">
        <v>8781</v>
      </c>
      <c r="C3504" s="11" t="s">
        <v>791</v>
      </c>
      <c r="D3504" s="4" t="s">
        <v>1406</v>
      </c>
      <c r="E3504" t="s">
        <v>30</v>
      </c>
      <c r="F3504" s="9">
        <f t="shared" si="222"/>
        <v>0</v>
      </c>
      <c r="G3504" s="9">
        <f t="shared" si="223"/>
        <v>0</v>
      </c>
      <c r="H3504" s="9">
        <f t="shared" si="224"/>
        <v>0</v>
      </c>
      <c r="I3504" s="10">
        <f t="shared" si="225"/>
        <v>0</v>
      </c>
    </row>
    <row r="3505" spans="1:9" x14ac:dyDescent="0.25">
      <c r="A3505" s="11" t="s">
        <v>8782</v>
      </c>
      <c r="B3505" s="11" t="s">
        <v>8783</v>
      </c>
      <c r="C3505" s="11" t="s">
        <v>791</v>
      </c>
      <c r="D3505" s="4" t="s">
        <v>1406</v>
      </c>
      <c r="E3505" t="s">
        <v>30</v>
      </c>
      <c r="F3505" s="9">
        <f t="shared" si="222"/>
        <v>0</v>
      </c>
      <c r="G3505" s="9">
        <f t="shared" si="223"/>
        <v>0</v>
      </c>
      <c r="H3505" s="9">
        <f t="shared" si="224"/>
        <v>0</v>
      </c>
      <c r="I3505" s="10">
        <f t="shared" si="225"/>
        <v>0</v>
      </c>
    </row>
    <row r="3506" spans="1:9" x14ac:dyDescent="0.25">
      <c r="A3506" s="11" t="s">
        <v>8784</v>
      </c>
      <c r="B3506" s="11" t="s">
        <v>8785</v>
      </c>
      <c r="C3506" s="11" t="s">
        <v>791</v>
      </c>
      <c r="D3506" s="4" t="s">
        <v>1406</v>
      </c>
      <c r="E3506" t="s">
        <v>30</v>
      </c>
      <c r="F3506" s="9">
        <f t="shared" si="222"/>
        <v>0</v>
      </c>
      <c r="G3506" s="9">
        <f t="shared" si="223"/>
        <v>0</v>
      </c>
      <c r="H3506" s="9">
        <f t="shared" si="224"/>
        <v>0</v>
      </c>
      <c r="I3506" s="10">
        <f t="shared" si="225"/>
        <v>0</v>
      </c>
    </row>
    <row r="3507" spans="1:9" x14ac:dyDescent="0.25">
      <c r="A3507" s="11" t="s">
        <v>8786</v>
      </c>
      <c r="B3507" s="11" t="s">
        <v>8787</v>
      </c>
      <c r="C3507" s="11" t="s">
        <v>791</v>
      </c>
      <c r="D3507" s="4" t="s">
        <v>1406</v>
      </c>
      <c r="E3507" t="s">
        <v>30</v>
      </c>
      <c r="F3507" s="9">
        <f t="shared" si="222"/>
        <v>0</v>
      </c>
      <c r="G3507" s="9">
        <f t="shared" si="223"/>
        <v>0</v>
      </c>
      <c r="H3507" s="9">
        <f t="shared" si="224"/>
        <v>0</v>
      </c>
      <c r="I3507" s="10">
        <f t="shared" si="225"/>
        <v>0</v>
      </c>
    </row>
    <row r="3508" spans="1:9" x14ac:dyDescent="0.25">
      <c r="A3508" s="11" t="s">
        <v>8788</v>
      </c>
      <c r="B3508" s="11" t="s">
        <v>8789</v>
      </c>
      <c r="C3508" s="11" t="s">
        <v>791</v>
      </c>
      <c r="D3508" s="4" t="s">
        <v>1406</v>
      </c>
      <c r="E3508" t="s">
        <v>30</v>
      </c>
      <c r="F3508" s="9">
        <f t="shared" si="222"/>
        <v>0</v>
      </c>
      <c r="G3508" s="9">
        <f t="shared" si="223"/>
        <v>0</v>
      </c>
      <c r="H3508" s="9">
        <f t="shared" si="224"/>
        <v>0</v>
      </c>
      <c r="I3508" s="10">
        <f t="shared" si="225"/>
        <v>0</v>
      </c>
    </row>
    <row r="3509" spans="1:9" x14ac:dyDescent="0.25">
      <c r="A3509" s="11" t="s">
        <v>8790</v>
      </c>
      <c r="B3509" s="11" t="s">
        <v>8791</v>
      </c>
      <c r="C3509" s="11" t="s">
        <v>791</v>
      </c>
      <c r="D3509" s="4" t="s">
        <v>1406</v>
      </c>
      <c r="E3509" t="s">
        <v>30</v>
      </c>
      <c r="F3509" s="9">
        <f t="shared" si="222"/>
        <v>0</v>
      </c>
      <c r="G3509" s="9">
        <f t="shared" si="223"/>
        <v>0</v>
      </c>
      <c r="H3509" s="9">
        <f t="shared" si="224"/>
        <v>0</v>
      </c>
      <c r="I3509" s="10">
        <f t="shared" si="225"/>
        <v>0</v>
      </c>
    </row>
    <row r="3510" spans="1:9" x14ac:dyDescent="0.25">
      <c r="A3510" s="11" t="s">
        <v>8792</v>
      </c>
      <c r="B3510" s="11" t="s">
        <v>8793</v>
      </c>
      <c r="C3510" s="11" t="s">
        <v>791</v>
      </c>
      <c r="D3510" s="4" t="s">
        <v>1406</v>
      </c>
      <c r="E3510" t="s">
        <v>30</v>
      </c>
      <c r="F3510" s="9">
        <f t="shared" si="222"/>
        <v>0</v>
      </c>
      <c r="G3510" s="9">
        <f t="shared" si="223"/>
        <v>0</v>
      </c>
      <c r="H3510" s="9">
        <f t="shared" si="224"/>
        <v>0</v>
      </c>
      <c r="I3510" s="10">
        <f t="shared" si="225"/>
        <v>0</v>
      </c>
    </row>
    <row r="3511" spans="1:9" x14ac:dyDescent="0.25">
      <c r="A3511" s="11" t="s">
        <v>987</v>
      </c>
      <c r="B3511" s="11" t="s">
        <v>986</v>
      </c>
      <c r="C3511" s="11" t="s">
        <v>791</v>
      </c>
      <c r="D3511" s="4" t="s">
        <v>1406</v>
      </c>
      <c r="E3511" t="s">
        <v>30</v>
      </c>
      <c r="F3511" s="9">
        <f t="shared" si="222"/>
        <v>0</v>
      </c>
      <c r="G3511" s="9">
        <f t="shared" si="223"/>
        <v>0</v>
      </c>
      <c r="H3511" s="9">
        <f t="shared" si="224"/>
        <v>0</v>
      </c>
      <c r="I3511" s="10">
        <f t="shared" si="225"/>
        <v>0</v>
      </c>
    </row>
    <row r="3512" spans="1:9" x14ac:dyDescent="0.25">
      <c r="A3512" s="11" t="s">
        <v>8794</v>
      </c>
      <c r="B3512" s="11" t="s">
        <v>8795</v>
      </c>
      <c r="C3512" s="11" t="s">
        <v>791</v>
      </c>
      <c r="D3512" s="4" t="s">
        <v>1406</v>
      </c>
      <c r="E3512" t="s">
        <v>30</v>
      </c>
      <c r="F3512" s="9">
        <f t="shared" si="222"/>
        <v>0</v>
      </c>
      <c r="G3512" s="9">
        <f t="shared" si="223"/>
        <v>0</v>
      </c>
      <c r="H3512" s="9">
        <f t="shared" si="224"/>
        <v>0</v>
      </c>
      <c r="I3512" s="10">
        <f t="shared" si="225"/>
        <v>0</v>
      </c>
    </row>
    <row r="3513" spans="1:9" x14ac:dyDescent="0.25">
      <c r="A3513" s="11" t="s">
        <v>8796</v>
      </c>
      <c r="B3513" s="11" t="s">
        <v>8797</v>
      </c>
      <c r="C3513" s="11" t="s">
        <v>791</v>
      </c>
      <c r="D3513" s="4" t="s">
        <v>1406</v>
      </c>
      <c r="E3513" t="s">
        <v>30</v>
      </c>
      <c r="F3513" s="9">
        <f t="shared" si="222"/>
        <v>0</v>
      </c>
      <c r="G3513" s="9">
        <f t="shared" si="223"/>
        <v>0</v>
      </c>
      <c r="H3513" s="9">
        <f t="shared" si="224"/>
        <v>0</v>
      </c>
      <c r="I3513" s="10">
        <f t="shared" si="225"/>
        <v>0</v>
      </c>
    </row>
    <row r="3514" spans="1:9" x14ac:dyDescent="0.25">
      <c r="A3514" s="11" t="s">
        <v>8798</v>
      </c>
      <c r="B3514" s="11" t="s">
        <v>8799</v>
      </c>
      <c r="C3514" s="11" t="s">
        <v>791</v>
      </c>
      <c r="D3514" s="4" t="s">
        <v>1406</v>
      </c>
      <c r="E3514" t="s">
        <v>30</v>
      </c>
      <c r="F3514" s="9">
        <f t="shared" si="222"/>
        <v>0</v>
      </c>
      <c r="G3514" s="9">
        <f t="shared" si="223"/>
        <v>0</v>
      </c>
      <c r="H3514" s="9">
        <f t="shared" si="224"/>
        <v>0</v>
      </c>
      <c r="I3514" s="10">
        <f t="shared" si="225"/>
        <v>0</v>
      </c>
    </row>
    <row r="3515" spans="1:9" x14ac:dyDescent="0.25">
      <c r="A3515" s="11" t="s">
        <v>999</v>
      </c>
      <c r="B3515" s="11" t="s">
        <v>998</v>
      </c>
      <c r="C3515" s="11" t="s">
        <v>791</v>
      </c>
      <c r="D3515" s="4" t="s">
        <v>1406</v>
      </c>
      <c r="E3515" t="s">
        <v>30</v>
      </c>
      <c r="F3515" s="9">
        <f t="shared" si="222"/>
        <v>0</v>
      </c>
      <c r="G3515" s="9">
        <f t="shared" si="223"/>
        <v>0</v>
      </c>
      <c r="H3515" s="9">
        <f t="shared" si="224"/>
        <v>0</v>
      </c>
      <c r="I3515" s="10">
        <f t="shared" si="225"/>
        <v>0</v>
      </c>
    </row>
    <row r="3516" spans="1:9" x14ac:dyDescent="0.25">
      <c r="A3516" s="11" t="s">
        <v>8800</v>
      </c>
      <c r="B3516" s="11" t="s">
        <v>8801</v>
      </c>
      <c r="C3516" s="11" t="s">
        <v>791</v>
      </c>
      <c r="D3516" s="4" t="s">
        <v>1406</v>
      </c>
      <c r="E3516" t="s">
        <v>30</v>
      </c>
      <c r="F3516" s="9">
        <f t="shared" si="222"/>
        <v>0</v>
      </c>
      <c r="G3516" s="9">
        <f t="shared" si="223"/>
        <v>0</v>
      </c>
      <c r="H3516" s="9">
        <f t="shared" si="224"/>
        <v>0</v>
      </c>
      <c r="I3516" s="10">
        <f t="shared" si="225"/>
        <v>0</v>
      </c>
    </row>
    <row r="3517" spans="1:9" x14ac:dyDescent="0.25">
      <c r="A3517" s="11" t="s">
        <v>8802</v>
      </c>
      <c r="B3517" s="11" t="s">
        <v>8803</v>
      </c>
      <c r="C3517" s="11" t="s">
        <v>791</v>
      </c>
      <c r="D3517" s="4" t="s">
        <v>1406</v>
      </c>
      <c r="E3517" t="s">
        <v>30</v>
      </c>
      <c r="F3517" s="9">
        <f t="shared" si="222"/>
        <v>0</v>
      </c>
      <c r="G3517" s="9">
        <f t="shared" si="223"/>
        <v>0</v>
      </c>
      <c r="H3517" s="9">
        <f t="shared" si="224"/>
        <v>0</v>
      </c>
      <c r="I3517" s="10">
        <f t="shared" si="225"/>
        <v>0</v>
      </c>
    </row>
    <row r="3518" spans="1:9" x14ac:dyDescent="0.25">
      <c r="A3518" s="11" t="s">
        <v>8804</v>
      </c>
      <c r="B3518" s="11" t="s">
        <v>8805</v>
      </c>
      <c r="C3518" s="11" t="s">
        <v>791</v>
      </c>
      <c r="D3518" s="4" t="s">
        <v>1406</v>
      </c>
      <c r="E3518" t="s">
        <v>30</v>
      </c>
      <c r="F3518" s="9">
        <f t="shared" si="222"/>
        <v>0</v>
      </c>
      <c r="G3518" s="9">
        <f t="shared" si="223"/>
        <v>0</v>
      </c>
      <c r="H3518" s="9">
        <f t="shared" si="224"/>
        <v>0</v>
      </c>
      <c r="I3518" s="10">
        <f t="shared" si="225"/>
        <v>0</v>
      </c>
    </row>
    <row r="3519" spans="1:9" x14ac:dyDescent="0.25">
      <c r="A3519" s="11" t="s">
        <v>8806</v>
      </c>
      <c r="B3519" s="11" t="s">
        <v>8807</v>
      </c>
      <c r="C3519" s="11" t="s">
        <v>791</v>
      </c>
      <c r="D3519" s="4" t="s">
        <v>1406</v>
      </c>
      <c r="E3519" t="s">
        <v>30</v>
      </c>
      <c r="F3519" s="9">
        <f t="shared" si="222"/>
        <v>0</v>
      </c>
      <c r="G3519" s="9">
        <f t="shared" si="223"/>
        <v>0</v>
      </c>
      <c r="H3519" s="9">
        <f t="shared" si="224"/>
        <v>0</v>
      </c>
      <c r="I3519" s="10">
        <f t="shared" si="225"/>
        <v>0</v>
      </c>
    </row>
    <row r="3520" spans="1:9" x14ac:dyDescent="0.25">
      <c r="A3520" s="11" t="s">
        <v>8808</v>
      </c>
      <c r="B3520" s="11" t="s">
        <v>8809</v>
      </c>
      <c r="C3520" s="11" t="s">
        <v>791</v>
      </c>
      <c r="D3520" s="4" t="s">
        <v>1406</v>
      </c>
      <c r="E3520" t="s">
        <v>30</v>
      </c>
      <c r="F3520" s="9">
        <f t="shared" si="222"/>
        <v>0</v>
      </c>
      <c r="G3520" s="9">
        <f t="shared" si="223"/>
        <v>0</v>
      </c>
      <c r="H3520" s="9">
        <f t="shared" si="224"/>
        <v>0</v>
      </c>
      <c r="I3520" s="10">
        <f t="shared" si="225"/>
        <v>0</v>
      </c>
    </row>
    <row r="3521" spans="1:9" x14ac:dyDescent="0.25">
      <c r="A3521" s="11" t="s">
        <v>8810</v>
      </c>
      <c r="B3521" s="11" t="s">
        <v>8811</v>
      </c>
      <c r="C3521" s="11" t="s">
        <v>791</v>
      </c>
      <c r="D3521" s="4" t="s">
        <v>1406</v>
      </c>
      <c r="E3521" t="s">
        <v>30</v>
      </c>
      <c r="F3521" s="9">
        <f t="shared" si="222"/>
        <v>0</v>
      </c>
      <c r="G3521" s="9">
        <f t="shared" si="223"/>
        <v>0</v>
      </c>
      <c r="H3521" s="9">
        <f t="shared" si="224"/>
        <v>0</v>
      </c>
      <c r="I3521" s="10">
        <f t="shared" si="225"/>
        <v>0</v>
      </c>
    </row>
    <row r="3522" spans="1:9" x14ac:dyDescent="0.25">
      <c r="A3522" s="11" t="s">
        <v>8812</v>
      </c>
      <c r="B3522" s="11" t="s">
        <v>8813</v>
      </c>
      <c r="C3522" s="11" t="s">
        <v>791</v>
      </c>
      <c r="D3522" s="4" t="s">
        <v>1406</v>
      </c>
      <c r="E3522" t="s">
        <v>30</v>
      </c>
      <c r="F3522" s="9">
        <f t="shared" si="222"/>
        <v>0</v>
      </c>
      <c r="G3522" s="9">
        <f t="shared" si="223"/>
        <v>0</v>
      </c>
      <c r="H3522" s="9">
        <f t="shared" si="224"/>
        <v>0</v>
      </c>
      <c r="I3522" s="10">
        <f t="shared" si="225"/>
        <v>0</v>
      </c>
    </row>
    <row r="3523" spans="1:9" x14ac:dyDescent="0.25">
      <c r="A3523" s="11" t="s">
        <v>8814</v>
      </c>
      <c r="B3523" s="11" t="s">
        <v>8815</v>
      </c>
      <c r="C3523" s="11" t="s">
        <v>791</v>
      </c>
      <c r="D3523" s="4" t="s">
        <v>1406</v>
      </c>
      <c r="E3523" t="s">
        <v>30</v>
      </c>
      <c r="F3523" s="9">
        <f t="shared" ref="F3523:F3585" si="226">IFERROR(VLOOKUP(A3523,condi,8,0),0)</f>
        <v>0</v>
      </c>
      <c r="G3523" s="9">
        <f t="shared" ref="G3523:G3585" si="227">IFERROR(VLOOKUP(A3523,maqui,8,0),0)</f>
        <v>0</v>
      </c>
      <c r="H3523" s="9">
        <f t="shared" ref="H3523:H3585" si="228">IFERROR(VLOOKUP(A3523,ascint,8,0),0)</f>
        <v>0</v>
      </c>
      <c r="I3523" s="10">
        <f t="shared" ref="I3523:I3585" si="229">+F3523+G3523+H3523</f>
        <v>0</v>
      </c>
    </row>
    <row r="3524" spans="1:9" x14ac:dyDescent="0.25">
      <c r="A3524" s="11" t="s">
        <v>8816</v>
      </c>
      <c r="B3524" s="11" t="s">
        <v>8817</v>
      </c>
      <c r="C3524" s="11" t="s">
        <v>791</v>
      </c>
      <c r="D3524" s="4" t="s">
        <v>1406</v>
      </c>
      <c r="E3524" t="s">
        <v>30</v>
      </c>
      <c r="F3524" s="9">
        <f t="shared" si="226"/>
        <v>0</v>
      </c>
      <c r="G3524" s="9">
        <f t="shared" si="227"/>
        <v>0</v>
      </c>
      <c r="H3524" s="9">
        <f t="shared" si="228"/>
        <v>0</v>
      </c>
      <c r="I3524" s="10">
        <f t="shared" si="229"/>
        <v>0</v>
      </c>
    </row>
    <row r="3525" spans="1:9" x14ac:dyDescent="0.25">
      <c r="A3525" s="11" t="s">
        <v>8818</v>
      </c>
      <c r="B3525" s="11" t="s">
        <v>8819</v>
      </c>
      <c r="C3525" s="11" t="s">
        <v>791</v>
      </c>
      <c r="D3525" s="4" t="s">
        <v>1406</v>
      </c>
      <c r="E3525" t="s">
        <v>30</v>
      </c>
      <c r="F3525" s="9">
        <f t="shared" si="226"/>
        <v>0</v>
      </c>
      <c r="G3525" s="9">
        <f t="shared" si="227"/>
        <v>0</v>
      </c>
      <c r="H3525" s="9">
        <f t="shared" si="228"/>
        <v>0</v>
      </c>
      <c r="I3525" s="10">
        <f t="shared" si="229"/>
        <v>0</v>
      </c>
    </row>
    <row r="3526" spans="1:9" x14ac:dyDescent="0.25">
      <c r="A3526" s="11" t="s">
        <v>8820</v>
      </c>
      <c r="B3526" s="11" t="s">
        <v>8821</v>
      </c>
      <c r="C3526" s="11" t="s">
        <v>791</v>
      </c>
      <c r="D3526" s="4" t="s">
        <v>1406</v>
      </c>
      <c r="E3526" t="s">
        <v>30</v>
      </c>
      <c r="F3526" s="9">
        <f t="shared" si="226"/>
        <v>0</v>
      </c>
      <c r="G3526" s="9">
        <f t="shared" si="227"/>
        <v>0</v>
      </c>
      <c r="H3526" s="9">
        <f t="shared" si="228"/>
        <v>0</v>
      </c>
      <c r="I3526" s="10">
        <f t="shared" si="229"/>
        <v>0</v>
      </c>
    </row>
    <row r="3527" spans="1:9" x14ac:dyDescent="0.25">
      <c r="A3527" s="11" t="s">
        <v>8822</v>
      </c>
      <c r="B3527" s="11" t="s">
        <v>8823</v>
      </c>
      <c r="C3527" s="11" t="s">
        <v>791</v>
      </c>
      <c r="D3527" s="4" t="s">
        <v>1406</v>
      </c>
      <c r="E3527" t="s">
        <v>30</v>
      </c>
      <c r="F3527" s="9">
        <f t="shared" si="226"/>
        <v>0</v>
      </c>
      <c r="G3527" s="9">
        <f t="shared" si="227"/>
        <v>0</v>
      </c>
      <c r="H3527" s="9">
        <f t="shared" si="228"/>
        <v>0</v>
      </c>
      <c r="I3527" s="10">
        <f t="shared" si="229"/>
        <v>0</v>
      </c>
    </row>
    <row r="3528" spans="1:9" x14ac:dyDescent="0.25">
      <c r="A3528" s="11" t="s">
        <v>8824</v>
      </c>
      <c r="B3528" s="11" t="s">
        <v>8825</v>
      </c>
      <c r="C3528" s="11" t="s">
        <v>791</v>
      </c>
      <c r="D3528" s="4" t="s">
        <v>1406</v>
      </c>
      <c r="E3528" t="s">
        <v>30</v>
      </c>
      <c r="F3528" s="9">
        <f t="shared" si="226"/>
        <v>0</v>
      </c>
      <c r="G3528" s="9">
        <f t="shared" si="227"/>
        <v>0</v>
      </c>
      <c r="H3528" s="9">
        <f t="shared" si="228"/>
        <v>0</v>
      </c>
      <c r="I3528" s="10">
        <f t="shared" si="229"/>
        <v>0</v>
      </c>
    </row>
    <row r="3529" spans="1:9" x14ac:dyDescent="0.25">
      <c r="A3529" s="11" t="s">
        <v>8826</v>
      </c>
      <c r="B3529" s="11" t="s">
        <v>8827</v>
      </c>
      <c r="C3529" s="11" t="s">
        <v>791</v>
      </c>
      <c r="D3529" s="4" t="s">
        <v>1406</v>
      </c>
      <c r="E3529" t="s">
        <v>30</v>
      </c>
      <c r="F3529" s="9">
        <f t="shared" si="226"/>
        <v>0</v>
      </c>
      <c r="G3529" s="9">
        <f t="shared" si="227"/>
        <v>0</v>
      </c>
      <c r="H3529" s="9">
        <f t="shared" si="228"/>
        <v>0</v>
      </c>
      <c r="I3529" s="10">
        <f t="shared" si="229"/>
        <v>0</v>
      </c>
    </row>
    <row r="3530" spans="1:9" x14ac:dyDescent="0.25">
      <c r="A3530" s="11" t="s">
        <v>8828</v>
      </c>
      <c r="B3530" s="11" t="s">
        <v>8829</v>
      </c>
      <c r="C3530" s="11" t="s">
        <v>791</v>
      </c>
      <c r="D3530" s="4" t="s">
        <v>1406</v>
      </c>
      <c r="E3530" t="s">
        <v>30</v>
      </c>
      <c r="F3530" s="9">
        <f t="shared" si="226"/>
        <v>0</v>
      </c>
      <c r="G3530" s="9">
        <f t="shared" si="227"/>
        <v>0</v>
      </c>
      <c r="H3530" s="9">
        <f t="shared" si="228"/>
        <v>0</v>
      </c>
      <c r="I3530" s="10">
        <f t="shared" si="229"/>
        <v>0</v>
      </c>
    </row>
    <row r="3531" spans="1:9" x14ac:dyDescent="0.25">
      <c r="A3531" s="11" t="s">
        <v>8830</v>
      </c>
      <c r="B3531" s="11" t="s">
        <v>8831</v>
      </c>
      <c r="C3531" s="11" t="s">
        <v>791</v>
      </c>
      <c r="D3531" s="4" t="s">
        <v>1406</v>
      </c>
      <c r="E3531" t="s">
        <v>30</v>
      </c>
      <c r="F3531" s="9">
        <f t="shared" si="226"/>
        <v>0</v>
      </c>
      <c r="G3531" s="9">
        <f t="shared" si="227"/>
        <v>0</v>
      </c>
      <c r="H3531" s="9">
        <f t="shared" si="228"/>
        <v>0</v>
      </c>
      <c r="I3531" s="10">
        <f t="shared" si="229"/>
        <v>0</v>
      </c>
    </row>
    <row r="3532" spans="1:9" x14ac:dyDescent="0.25">
      <c r="A3532" s="11" t="s">
        <v>8832</v>
      </c>
      <c r="B3532" s="11" t="s">
        <v>8833</v>
      </c>
      <c r="C3532" s="11" t="s">
        <v>791</v>
      </c>
      <c r="D3532" s="4" t="s">
        <v>1406</v>
      </c>
      <c r="E3532" t="s">
        <v>30</v>
      </c>
      <c r="F3532" s="9">
        <f t="shared" si="226"/>
        <v>0</v>
      </c>
      <c r="G3532" s="9">
        <f t="shared" si="227"/>
        <v>0</v>
      </c>
      <c r="H3532" s="9">
        <f t="shared" si="228"/>
        <v>0</v>
      </c>
      <c r="I3532" s="10">
        <f t="shared" si="229"/>
        <v>0</v>
      </c>
    </row>
    <row r="3533" spans="1:9" x14ac:dyDescent="0.25">
      <c r="A3533" s="11" t="s">
        <v>8834</v>
      </c>
      <c r="B3533" s="11" t="s">
        <v>8835</v>
      </c>
      <c r="C3533" s="11" t="s">
        <v>791</v>
      </c>
      <c r="D3533" s="4" t="s">
        <v>1406</v>
      </c>
      <c r="E3533" t="s">
        <v>30</v>
      </c>
      <c r="F3533" s="9">
        <f t="shared" si="226"/>
        <v>0</v>
      </c>
      <c r="G3533" s="9">
        <f t="shared" si="227"/>
        <v>0</v>
      </c>
      <c r="H3533" s="9">
        <f t="shared" si="228"/>
        <v>0</v>
      </c>
      <c r="I3533" s="10">
        <f t="shared" si="229"/>
        <v>0</v>
      </c>
    </row>
    <row r="3534" spans="1:9" x14ac:dyDescent="0.25">
      <c r="A3534" s="11" t="s">
        <v>8836</v>
      </c>
      <c r="B3534" s="11" t="s">
        <v>8837</v>
      </c>
      <c r="C3534" s="11" t="s">
        <v>791</v>
      </c>
      <c r="D3534" s="4" t="s">
        <v>1406</v>
      </c>
      <c r="E3534" t="s">
        <v>30</v>
      </c>
      <c r="F3534" s="9">
        <f t="shared" si="226"/>
        <v>0</v>
      </c>
      <c r="G3534" s="9">
        <f t="shared" si="227"/>
        <v>0</v>
      </c>
      <c r="H3534" s="9">
        <f t="shared" si="228"/>
        <v>0</v>
      </c>
      <c r="I3534" s="10">
        <f t="shared" si="229"/>
        <v>0</v>
      </c>
    </row>
    <row r="3535" spans="1:9" x14ac:dyDescent="0.25">
      <c r="A3535" s="11" t="s">
        <v>8838</v>
      </c>
      <c r="B3535" s="11" t="s">
        <v>8839</v>
      </c>
      <c r="C3535" s="11" t="s">
        <v>791</v>
      </c>
      <c r="D3535" s="4" t="s">
        <v>1406</v>
      </c>
      <c r="E3535" t="s">
        <v>30</v>
      </c>
      <c r="F3535" s="9">
        <f t="shared" si="226"/>
        <v>0</v>
      </c>
      <c r="G3535" s="9">
        <f t="shared" si="227"/>
        <v>0</v>
      </c>
      <c r="H3535" s="9">
        <f t="shared" si="228"/>
        <v>0</v>
      </c>
      <c r="I3535" s="10">
        <f t="shared" si="229"/>
        <v>0</v>
      </c>
    </row>
    <row r="3536" spans="1:9" x14ac:dyDescent="0.25">
      <c r="A3536" s="11" t="s">
        <v>8840</v>
      </c>
      <c r="B3536" s="11" t="s">
        <v>8841</v>
      </c>
      <c r="C3536" s="11" t="s">
        <v>791</v>
      </c>
      <c r="D3536" s="4" t="s">
        <v>1406</v>
      </c>
      <c r="E3536" t="s">
        <v>30</v>
      </c>
      <c r="F3536" s="9">
        <f t="shared" si="226"/>
        <v>0</v>
      </c>
      <c r="G3536" s="9">
        <f t="shared" si="227"/>
        <v>0</v>
      </c>
      <c r="H3536" s="9">
        <f t="shared" si="228"/>
        <v>0</v>
      </c>
      <c r="I3536" s="10">
        <f t="shared" si="229"/>
        <v>0</v>
      </c>
    </row>
    <row r="3537" spans="1:9" x14ac:dyDescent="0.25">
      <c r="A3537" s="11" t="s">
        <v>8842</v>
      </c>
      <c r="B3537" s="11" t="s">
        <v>8843</v>
      </c>
      <c r="C3537" s="11" t="s">
        <v>791</v>
      </c>
      <c r="D3537" s="4" t="s">
        <v>1406</v>
      </c>
      <c r="E3537" t="s">
        <v>30</v>
      </c>
      <c r="F3537" s="9">
        <f t="shared" si="226"/>
        <v>0</v>
      </c>
      <c r="G3537" s="9">
        <f t="shared" si="227"/>
        <v>0</v>
      </c>
      <c r="H3537" s="9">
        <f t="shared" si="228"/>
        <v>0</v>
      </c>
      <c r="I3537" s="10">
        <f t="shared" si="229"/>
        <v>0</v>
      </c>
    </row>
    <row r="3538" spans="1:9" x14ac:dyDescent="0.25">
      <c r="A3538" s="11" t="s">
        <v>8844</v>
      </c>
      <c r="B3538" s="11" t="s">
        <v>8845</v>
      </c>
      <c r="C3538" s="11" t="s">
        <v>791</v>
      </c>
      <c r="D3538" s="4" t="s">
        <v>1406</v>
      </c>
      <c r="E3538" t="s">
        <v>30</v>
      </c>
      <c r="F3538" s="9">
        <f t="shared" si="226"/>
        <v>0</v>
      </c>
      <c r="G3538" s="9">
        <f t="shared" si="227"/>
        <v>0</v>
      </c>
      <c r="H3538" s="9">
        <f t="shared" si="228"/>
        <v>0</v>
      </c>
      <c r="I3538" s="10">
        <f t="shared" si="229"/>
        <v>0</v>
      </c>
    </row>
    <row r="3539" spans="1:9" x14ac:dyDescent="0.25">
      <c r="A3539" s="11" t="s">
        <v>8846</v>
      </c>
      <c r="B3539" s="11" t="s">
        <v>8847</v>
      </c>
      <c r="C3539" s="11" t="s">
        <v>791</v>
      </c>
      <c r="D3539" s="4" t="s">
        <v>1406</v>
      </c>
      <c r="E3539" t="s">
        <v>30</v>
      </c>
      <c r="F3539" s="9">
        <f t="shared" si="226"/>
        <v>0</v>
      </c>
      <c r="G3539" s="9">
        <f t="shared" si="227"/>
        <v>0</v>
      </c>
      <c r="H3539" s="9">
        <f t="shared" si="228"/>
        <v>0</v>
      </c>
      <c r="I3539" s="10">
        <f t="shared" si="229"/>
        <v>0</v>
      </c>
    </row>
    <row r="3540" spans="1:9" x14ac:dyDescent="0.25">
      <c r="A3540" s="11" t="s">
        <v>8848</v>
      </c>
      <c r="B3540" s="11" t="s">
        <v>8849</v>
      </c>
      <c r="C3540" s="11" t="s">
        <v>791</v>
      </c>
      <c r="D3540" s="4" t="s">
        <v>1406</v>
      </c>
      <c r="E3540" t="s">
        <v>30</v>
      </c>
      <c r="F3540" s="9">
        <f t="shared" si="226"/>
        <v>0</v>
      </c>
      <c r="G3540" s="9">
        <f t="shared" si="227"/>
        <v>0</v>
      </c>
      <c r="H3540" s="9">
        <f t="shared" si="228"/>
        <v>0</v>
      </c>
      <c r="I3540" s="10">
        <f t="shared" si="229"/>
        <v>0</v>
      </c>
    </row>
    <row r="3541" spans="1:9" x14ac:dyDescent="0.25">
      <c r="A3541" s="11" t="s">
        <v>8850</v>
      </c>
      <c r="B3541" s="11" t="s">
        <v>8851</v>
      </c>
      <c r="C3541" s="11" t="s">
        <v>791</v>
      </c>
      <c r="D3541" s="4" t="s">
        <v>1406</v>
      </c>
      <c r="E3541" t="s">
        <v>30</v>
      </c>
      <c r="F3541" s="9">
        <f t="shared" si="226"/>
        <v>0</v>
      </c>
      <c r="G3541" s="9">
        <f t="shared" si="227"/>
        <v>0</v>
      </c>
      <c r="H3541" s="9">
        <f t="shared" si="228"/>
        <v>0</v>
      </c>
      <c r="I3541" s="10">
        <f t="shared" si="229"/>
        <v>0</v>
      </c>
    </row>
    <row r="3542" spans="1:9" x14ac:dyDescent="0.25">
      <c r="A3542" s="11" t="s">
        <v>8852</v>
      </c>
      <c r="B3542" s="11" t="s">
        <v>8853</v>
      </c>
      <c r="C3542" s="11" t="s">
        <v>791</v>
      </c>
      <c r="D3542" s="4" t="s">
        <v>1406</v>
      </c>
      <c r="E3542" t="s">
        <v>30</v>
      </c>
      <c r="F3542" s="9">
        <f t="shared" si="226"/>
        <v>0</v>
      </c>
      <c r="G3542" s="9">
        <f t="shared" si="227"/>
        <v>0</v>
      </c>
      <c r="H3542" s="9">
        <f t="shared" si="228"/>
        <v>0</v>
      </c>
      <c r="I3542" s="10">
        <f t="shared" si="229"/>
        <v>0</v>
      </c>
    </row>
    <row r="3543" spans="1:9" x14ac:dyDescent="0.25">
      <c r="A3543" s="11" t="s">
        <v>8854</v>
      </c>
      <c r="B3543" s="11" t="s">
        <v>8855</v>
      </c>
      <c r="C3543" s="11" t="s">
        <v>791</v>
      </c>
      <c r="D3543" s="4" t="s">
        <v>1406</v>
      </c>
      <c r="E3543" t="s">
        <v>30</v>
      </c>
      <c r="F3543" s="9">
        <f t="shared" si="226"/>
        <v>0</v>
      </c>
      <c r="G3543" s="9">
        <f t="shared" si="227"/>
        <v>0</v>
      </c>
      <c r="H3543" s="9">
        <f t="shared" si="228"/>
        <v>0</v>
      </c>
      <c r="I3543" s="10">
        <f t="shared" si="229"/>
        <v>0</v>
      </c>
    </row>
    <row r="3544" spans="1:9" x14ac:dyDescent="0.25">
      <c r="A3544" s="11" t="s">
        <v>8856</v>
      </c>
      <c r="B3544" s="11" t="s">
        <v>8857</v>
      </c>
      <c r="C3544" s="11" t="s">
        <v>791</v>
      </c>
      <c r="D3544" s="4" t="s">
        <v>1406</v>
      </c>
      <c r="E3544" t="s">
        <v>30</v>
      </c>
      <c r="F3544" s="9">
        <f t="shared" si="226"/>
        <v>0</v>
      </c>
      <c r="G3544" s="9">
        <f t="shared" si="227"/>
        <v>0</v>
      </c>
      <c r="H3544" s="9">
        <f t="shared" si="228"/>
        <v>0</v>
      </c>
      <c r="I3544" s="10">
        <f t="shared" si="229"/>
        <v>0</v>
      </c>
    </row>
    <row r="3545" spans="1:9" x14ac:dyDescent="0.25">
      <c r="A3545" s="11" t="s">
        <v>8858</v>
      </c>
      <c r="B3545" s="11" t="s">
        <v>8859</v>
      </c>
      <c r="C3545" s="11" t="s">
        <v>791</v>
      </c>
      <c r="D3545" s="4" t="s">
        <v>1406</v>
      </c>
      <c r="E3545" t="s">
        <v>30</v>
      </c>
      <c r="F3545" s="9">
        <f t="shared" si="226"/>
        <v>0</v>
      </c>
      <c r="G3545" s="9">
        <f t="shared" si="227"/>
        <v>0</v>
      </c>
      <c r="H3545" s="9">
        <f t="shared" si="228"/>
        <v>0</v>
      </c>
      <c r="I3545" s="10">
        <f t="shared" si="229"/>
        <v>0</v>
      </c>
    </row>
    <row r="3546" spans="1:9" x14ac:dyDescent="0.25">
      <c r="A3546" s="11" t="s">
        <v>8860</v>
      </c>
      <c r="B3546" s="11" t="s">
        <v>8861</v>
      </c>
      <c r="C3546" s="11" t="s">
        <v>791</v>
      </c>
      <c r="D3546" s="4" t="s">
        <v>1406</v>
      </c>
      <c r="E3546" t="s">
        <v>30</v>
      </c>
      <c r="F3546" s="9">
        <f t="shared" si="226"/>
        <v>0</v>
      </c>
      <c r="G3546" s="9">
        <f t="shared" si="227"/>
        <v>0</v>
      </c>
      <c r="H3546" s="9">
        <f t="shared" si="228"/>
        <v>0</v>
      </c>
      <c r="I3546" s="10">
        <f t="shared" si="229"/>
        <v>0</v>
      </c>
    </row>
    <row r="3547" spans="1:9" x14ac:dyDescent="0.25">
      <c r="A3547" s="11" t="s">
        <v>8862</v>
      </c>
      <c r="B3547" s="11" t="s">
        <v>8863</v>
      </c>
      <c r="C3547" s="11" t="s">
        <v>791</v>
      </c>
      <c r="D3547" s="4" t="s">
        <v>1406</v>
      </c>
      <c r="E3547" t="s">
        <v>30</v>
      </c>
      <c r="F3547" s="9">
        <f t="shared" si="226"/>
        <v>0</v>
      </c>
      <c r="G3547" s="9">
        <f t="shared" si="227"/>
        <v>0</v>
      </c>
      <c r="H3547" s="9">
        <f t="shared" si="228"/>
        <v>0</v>
      </c>
      <c r="I3547" s="10">
        <f t="shared" si="229"/>
        <v>0</v>
      </c>
    </row>
    <row r="3548" spans="1:9" x14ac:dyDescent="0.25">
      <c r="A3548" s="11" t="s">
        <v>8864</v>
      </c>
      <c r="B3548" s="11" t="s">
        <v>8865</v>
      </c>
      <c r="C3548" s="11" t="s">
        <v>791</v>
      </c>
      <c r="D3548" s="4" t="s">
        <v>1406</v>
      </c>
      <c r="E3548" t="s">
        <v>30</v>
      </c>
      <c r="F3548" s="9">
        <f t="shared" si="226"/>
        <v>0</v>
      </c>
      <c r="G3548" s="9">
        <f t="shared" si="227"/>
        <v>0</v>
      </c>
      <c r="H3548" s="9">
        <f t="shared" si="228"/>
        <v>0</v>
      </c>
      <c r="I3548" s="10">
        <f t="shared" si="229"/>
        <v>0</v>
      </c>
    </row>
    <row r="3549" spans="1:9" x14ac:dyDescent="0.25">
      <c r="A3549" s="11" t="s">
        <v>8866</v>
      </c>
      <c r="B3549" s="11" t="s">
        <v>8867</v>
      </c>
      <c r="C3549" s="11" t="s">
        <v>791</v>
      </c>
      <c r="D3549" s="4" t="s">
        <v>1406</v>
      </c>
      <c r="E3549" t="s">
        <v>30</v>
      </c>
      <c r="F3549" s="9">
        <f t="shared" si="226"/>
        <v>0</v>
      </c>
      <c r="G3549" s="9">
        <f t="shared" si="227"/>
        <v>0</v>
      </c>
      <c r="H3549" s="9">
        <f t="shared" si="228"/>
        <v>0</v>
      </c>
      <c r="I3549" s="10">
        <f t="shared" si="229"/>
        <v>0</v>
      </c>
    </row>
    <row r="3550" spans="1:9" x14ac:dyDescent="0.25">
      <c r="A3550" s="11" t="s">
        <v>8868</v>
      </c>
      <c r="B3550" s="11" t="s">
        <v>8869</v>
      </c>
      <c r="C3550" s="11" t="s">
        <v>791</v>
      </c>
      <c r="D3550" s="4" t="s">
        <v>1406</v>
      </c>
      <c r="E3550" t="s">
        <v>30</v>
      </c>
      <c r="F3550" s="9">
        <f t="shared" si="226"/>
        <v>0</v>
      </c>
      <c r="G3550" s="9">
        <f t="shared" si="227"/>
        <v>0</v>
      </c>
      <c r="H3550" s="9">
        <f t="shared" si="228"/>
        <v>0</v>
      </c>
      <c r="I3550" s="10">
        <f t="shared" si="229"/>
        <v>0</v>
      </c>
    </row>
    <row r="3551" spans="1:9" x14ac:dyDescent="0.25">
      <c r="A3551" s="11" t="s">
        <v>8870</v>
      </c>
      <c r="B3551" s="11" t="s">
        <v>8871</v>
      </c>
      <c r="C3551" s="11" t="s">
        <v>791</v>
      </c>
      <c r="D3551" s="4" t="s">
        <v>1406</v>
      </c>
      <c r="E3551" t="s">
        <v>30</v>
      </c>
      <c r="F3551" s="9">
        <f t="shared" si="226"/>
        <v>0</v>
      </c>
      <c r="G3551" s="9">
        <f t="shared" si="227"/>
        <v>0</v>
      </c>
      <c r="H3551" s="9">
        <f t="shared" si="228"/>
        <v>0</v>
      </c>
      <c r="I3551" s="10">
        <f t="shared" si="229"/>
        <v>0</v>
      </c>
    </row>
    <row r="3552" spans="1:9" x14ac:dyDescent="0.25">
      <c r="A3552" s="11" t="s">
        <v>8872</v>
      </c>
      <c r="B3552" s="11" t="s">
        <v>8873</v>
      </c>
      <c r="C3552" s="11" t="s">
        <v>791</v>
      </c>
      <c r="D3552" s="4" t="s">
        <v>1406</v>
      </c>
      <c r="E3552" t="s">
        <v>30</v>
      </c>
      <c r="F3552" s="9">
        <f t="shared" si="226"/>
        <v>0</v>
      </c>
      <c r="G3552" s="9">
        <f t="shared" si="227"/>
        <v>0</v>
      </c>
      <c r="H3552" s="9">
        <f t="shared" si="228"/>
        <v>0</v>
      </c>
      <c r="I3552" s="10">
        <f t="shared" si="229"/>
        <v>0</v>
      </c>
    </row>
    <row r="3553" spans="1:9" x14ac:dyDescent="0.25">
      <c r="A3553" s="11" t="s">
        <v>8874</v>
      </c>
      <c r="B3553" s="11" t="s">
        <v>8875</v>
      </c>
      <c r="C3553" s="11" t="s">
        <v>791</v>
      </c>
      <c r="D3553" s="4" t="s">
        <v>1406</v>
      </c>
      <c r="E3553" t="s">
        <v>30</v>
      </c>
      <c r="F3553" s="9">
        <f t="shared" si="226"/>
        <v>0</v>
      </c>
      <c r="G3553" s="9">
        <f t="shared" si="227"/>
        <v>0</v>
      </c>
      <c r="H3553" s="9">
        <f t="shared" si="228"/>
        <v>0</v>
      </c>
      <c r="I3553" s="10">
        <f t="shared" si="229"/>
        <v>0</v>
      </c>
    </row>
    <row r="3554" spans="1:9" x14ac:dyDescent="0.25">
      <c r="A3554" s="11" t="s">
        <v>8876</v>
      </c>
      <c r="B3554" s="11" t="s">
        <v>8877</v>
      </c>
      <c r="C3554" s="11" t="s">
        <v>791</v>
      </c>
      <c r="D3554" s="4" t="s">
        <v>1406</v>
      </c>
      <c r="E3554" t="s">
        <v>30</v>
      </c>
      <c r="F3554" s="9">
        <f t="shared" si="226"/>
        <v>0</v>
      </c>
      <c r="G3554" s="9">
        <f t="shared" si="227"/>
        <v>0</v>
      </c>
      <c r="H3554" s="9">
        <f t="shared" si="228"/>
        <v>0</v>
      </c>
      <c r="I3554" s="10">
        <f t="shared" si="229"/>
        <v>0</v>
      </c>
    </row>
    <row r="3555" spans="1:9" x14ac:dyDescent="0.25">
      <c r="A3555" s="11" t="s">
        <v>8878</v>
      </c>
      <c r="B3555" s="11" t="s">
        <v>8879</v>
      </c>
      <c r="C3555" s="11" t="s">
        <v>1030</v>
      </c>
      <c r="D3555" s="4" t="s">
        <v>1406</v>
      </c>
      <c r="E3555" t="s">
        <v>1031</v>
      </c>
      <c r="F3555" s="9">
        <f t="shared" si="226"/>
        <v>0</v>
      </c>
      <c r="G3555" s="9">
        <f t="shared" si="227"/>
        <v>0</v>
      </c>
      <c r="H3555" s="9">
        <f t="shared" si="228"/>
        <v>0</v>
      </c>
      <c r="I3555" s="10">
        <f t="shared" si="229"/>
        <v>0</v>
      </c>
    </row>
    <row r="3556" spans="1:9" x14ac:dyDescent="0.25">
      <c r="A3556" s="11" t="s">
        <v>8880</v>
      </c>
      <c r="B3556" s="11" t="s">
        <v>8881</v>
      </c>
      <c r="C3556" s="11" t="s">
        <v>1030</v>
      </c>
      <c r="D3556" s="4" t="s">
        <v>1406</v>
      </c>
      <c r="E3556" t="s">
        <v>1031</v>
      </c>
      <c r="F3556" s="9">
        <f t="shared" si="226"/>
        <v>0</v>
      </c>
      <c r="G3556" s="9">
        <f t="shared" si="227"/>
        <v>0</v>
      </c>
      <c r="H3556" s="9">
        <f t="shared" si="228"/>
        <v>0</v>
      </c>
      <c r="I3556" s="10">
        <f t="shared" si="229"/>
        <v>0</v>
      </c>
    </row>
    <row r="3557" spans="1:9" x14ac:dyDescent="0.25">
      <c r="A3557" s="11" t="s">
        <v>8882</v>
      </c>
      <c r="B3557" s="11" t="s">
        <v>8883</v>
      </c>
      <c r="C3557" s="11" t="s">
        <v>2901</v>
      </c>
      <c r="D3557" s="4" t="s">
        <v>1406</v>
      </c>
      <c r="E3557" t="s">
        <v>30</v>
      </c>
      <c r="F3557" s="9">
        <f t="shared" si="226"/>
        <v>0</v>
      </c>
      <c r="G3557" s="9">
        <f t="shared" si="227"/>
        <v>0</v>
      </c>
      <c r="H3557" s="9">
        <f t="shared" si="228"/>
        <v>0</v>
      </c>
      <c r="I3557" s="10">
        <f t="shared" si="229"/>
        <v>0</v>
      </c>
    </row>
    <row r="3558" spans="1:9" x14ac:dyDescent="0.25">
      <c r="A3558" s="11" t="s">
        <v>8884</v>
      </c>
      <c r="B3558" s="11" t="s">
        <v>8885</v>
      </c>
      <c r="C3558" s="11" t="s">
        <v>2901</v>
      </c>
      <c r="D3558" s="4" t="s">
        <v>1406</v>
      </c>
      <c r="E3558" t="s">
        <v>30</v>
      </c>
      <c r="F3558" s="9">
        <f t="shared" si="226"/>
        <v>0</v>
      </c>
      <c r="G3558" s="9">
        <f t="shared" si="227"/>
        <v>0</v>
      </c>
      <c r="H3558" s="9">
        <f t="shared" si="228"/>
        <v>0</v>
      </c>
      <c r="I3558" s="10">
        <f t="shared" si="229"/>
        <v>0</v>
      </c>
    </row>
    <row r="3559" spans="1:9" x14ac:dyDescent="0.25">
      <c r="A3559" s="11" t="s">
        <v>8886</v>
      </c>
      <c r="B3559" s="11" t="s">
        <v>8887</v>
      </c>
      <c r="C3559" s="11" t="s">
        <v>2901</v>
      </c>
      <c r="D3559" s="4" t="s">
        <v>1406</v>
      </c>
      <c r="E3559" t="s">
        <v>30</v>
      </c>
      <c r="F3559" s="9">
        <f t="shared" si="226"/>
        <v>0</v>
      </c>
      <c r="G3559" s="9">
        <f t="shared" si="227"/>
        <v>0</v>
      </c>
      <c r="H3559" s="9">
        <f t="shared" si="228"/>
        <v>0</v>
      </c>
      <c r="I3559" s="10">
        <f t="shared" si="229"/>
        <v>0</v>
      </c>
    </row>
    <row r="3560" spans="1:9" x14ac:dyDescent="0.25">
      <c r="A3560" s="11" t="s">
        <v>8888</v>
      </c>
      <c r="B3560" s="11" t="s">
        <v>8889</v>
      </c>
      <c r="C3560" s="11" t="s">
        <v>2901</v>
      </c>
      <c r="D3560" s="4" t="s">
        <v>1406</v>
      </c>
      <c r="E3560" t="s">
        <v>30</v>
      </c>
      <c r="F3560" s="9">
        <f t="shared" si="226"/>
        <v>0</v>
      </c>
      <c r="G3560" s="9">
        <f t="shared" si="227"/>
        <v>0</v>
      </c>
      <c r="H3560" s="9">
        <f t="shared" si="228"/>
        <v>0</v>
      </c>
      <c r="I3560" s="10">
        <f t="shared" si="229"/>
        <v>0</v>
      </c>
    </row>
    <row r="3561" spans="1:9" x14ac:dyDescent="0.25">
      <c r="A3561" s="11" t="s">
        <v>8890</v>
      </c>
      <c r="B3561" s="11" t="s">
        <v>8891</v>
      </c>
      <c r="C3561" s="11" t="s">
        <v>2901</v>
      </c>
      <c r="D3561" s="4" t="s">
        <v>1406</v>
      </c>
      <c r="E3561" t="s">
        <v>30</v>
      </c>
      <c r="F3561" s="9">
        <f t="shared" si="226"/>
        <v>0</v>
      </c>
      <c r="G3561" s="9">
        <f t="shared" si="227"/>
        <v>0</v>
      </c>
      <c r="H3561" s="9">
        <f t="shared" si="228"/>
        <v>0</v>
      </c>
      <c r="I3561" s="10">
        <f t="shared" si="229"/>
        <v>0</v>
      </c>
    </row>
    <row r="3562" spans="1:9" x14ac:dyDescent="0.25">
      <c r="A3562" s="11" t="s">
        <v>8892</v>
      </c>
      <c r="B3562" s="11" t="s">
        <v>8893</v>
      </c>
      <c r="C3562" s="11" t="s">
        <v>2901</v>
      </c>
      <c r="D3562" s="4" t="s">
        <v>1406</v>
      </c>
      <c r="E3562" t="s">
        <v>30</v>
      </c>
      <c r="F3562" s="9">
        <f t="shared" si="226"/>
        <v>0</v>
      </c>
      <c r="G3562" s="9">
        <f t="shared" si="227"/>
        <v>0</v>
      </c>
      <c r="H3562" s="9">
        <f t="shared" si="228"/>
        <v>0</v>
      </c>
      <c r="I3562" s="10">
        <f t="shared" si="229"/>
        <v>0</v>
      </c>
    </row>
    <row r="3563" spans="1:9" x14ac:dyDescent="0.25">
      <c r="A3563" s="11" t="s">
        <v>8894</v>
      </c>
      <c r="B3563" s="11" t="s">
        <v>8895</v>
      </c>
      <c r="C3563" s="11" t="s">
        <v>2901</v>
      </c>
      <c r="D3563" s="4" t="s">
        <v>1406</v>
      </c>
      <c r="E3563" t="s">
        <v>30</v>
      </c>
      <c r="F3563" s="9">
        <f t="shared" si="226"/>
        <v>0</v>
      </c>
      <c r="G3563" s="9">
        <f t="shared" si="227"/>
        <v>0</v>
      </c>
      <c r="H3563" s="9">
        <f t="shared" si="228"/>
        <v>0</v>
      </c>
      <c r="I3563" s="10">
        <f t="shared" si="229"/>
        <v>0</v>
      </c>
    </row>
    <row r="3564" spans="1:9" x14ac:dyDescent="0.25">
      <c r="A3564" s="11" t="s">
        <v>8896</v>
      </c>
      <c r="B3564" s="11" t="s">
        <v>8897</v>
      </c>
      <c r="C3564" s="11" t="s">
        <v>2901</v>
      </c>
      <c r="D3564" s="4" t="s">
        <v>1406</v>
      </c>
      <c r="E3564" t="s">
        <v>30</v>
      </c>
      <c r="F3564" s="9">
        <f t="shared" si="226"/>
        <v>0</v>
      </c>
      <c r="G3564" s="9">
        <f t="shared" si="227"/>
        <v>0</v>
      </c>
      <c r="H3564" s="9">
        <f t="shared" si="228"/>
        <v>0</v>
      </c>
      <c r="I3564" s="10">
        <f t="shared" si="229"/>
        <v>0</v>
      </c>
    </row>
    <row r="3565" spans="1:9" x14ac:dyDescent="0.25">
      <c r="A3565" s="11" t="s">
        <v>8898</v>
      </c>
      <c r="B3565" s="11" t="s">
        <v>8899</v>
      </c>
      <c r="C3565" s="11" t="s">
        <v>2901</v>
      </c>
      <c r="D3565" s="4" t="s">
        <v>1406</v>
      </c>
      <c r="E3565" t="s">
        <v>30</v>
      </c>
      <c r="F3565" s="9">
        <f t="shared" si="226"/>
        <v>0</v>
      </c>
      <c r="G3565" s="9">
        <f t="shared" si="227"/>
        <v>0</v>
      </c>
      <c r="H3565" s="9">
        <f t="shared" si="228"/>
        <v>0</v>
      </c>
      <c r="I3565" s="10">
        <f t="shared" si="229"/>
        <v>0</v>
      </c>
    </row>
    <row r="3566" spans="1:9" x14ac:dyDescent="0.25">
      <c r="A3566" s="11" t="s">
        <v>8900</v>
      </c>
      <c r="B3566" s="11" t="s">
        <v>8901</v>
      </c>
      <c r="C3566" s="11" t="s">
        <v>2901</v>
      </c>
      <c r="D3566" s="4" t="s">
        <v>1406</v>
      </c>
      <c r="E3566" t="s">
        <v>30</v>
      </c>
      <c r="F3566" s="9">
        <f t="shared" si="226"/>
        <v>0</v>
      </c>
      <c r="G3566" s="9">
        <f t="shared" si="227"/>
        <v>0</v>
      </c>
      <c r="H3566" s="9">
        <f t="shared" si="228"/>
        <v>0</v>
      </c>
      <c r="I3566" s="10">
        <f t="shared" si="229"/>
        <v>0</v>
      </c>
    </row>
    <row r="3567" spans="1:9" x14ac:dyDescent="0.25">
      <c r="A3567" s="11" t="s">
        <v>8902</v>
      </c>
      <c r="B3567" s="11" t="s">
        <v>8903</v>
      </c>
      <c r="C3567" s="11" t="s">
        <v>2901</v>
      </c>
      <c r="D3567" s="4" t="s">
        <v>1406</v>
      </c>
      <c r="E3567" t="s">
        <v>30</v>
      </c>
      <c r="F3567" s="9">
        <f t="shared" si="226"/>
        <v>0</v>
      </c>
      <c r="G3567" s="9">
        <f t="shared" si="227"/>
        <v>0</v>
      </c>
      <c r="H3567" s="9">
        <f t="shared" si="228"/>
        <v>0</v>
      </c>
      <c r="I3567" s="10">
        <f t="shared" si="229"/>
        <v>0</v>
      </c>
    </row>
    <row r="3568" spans="1:9" x14ac:dyDescent="0.25">
      <c r="A3568" s="11" t="s">
        <v>8904</v>
      </c>
      <c r="B3568" s="11" t="s">
        <v>8905</v>
      </c>
      <c r="C3568" s="11" t="s">
        <v>2901</v>
      </c>
      <c r="D3568" s="4" t="s">
        <v>1406</v>
      </c>
      <c r="E3568" t="s">
        <v>30</v>
      </c>
      <c r="F3568" s="9">
        <f t="shared" si="226"/>
        <v>0</v>
      </c>
      <c r="G3568" s="9">
        <f t="shared" si="227"/>
        <v>0</v>
      </c>
      <c r="H3568" s="9">
        <f t="shared" si="228"/>
        <v>0</v>
      </c>
      <c r="I3568" s="10">
        <f t="shared" si="229"/>
        <v>0</v>
      </c>
    </row>
    <row r="3569" spans="1:9" x14ac:dyDescent="0.25">
      <c r="A3569" s="11" t="s">
        <v>8906</v>
      </c>
      <c r="B3569" s="11" t="s">
        <v>8907</v>
      </c>
      <c r="C3569" s="11" t="s">
        <v>2901</v>
      </c>
      <c r="D3569" s="4" t="s">
        <v>1406</v>
      </c>
      <c r="E3569" t="s">
        <v>30</v>
      </c>
      <c r="F3569" s="9">
        <f t="shared" si="226"/>
        <v>0</v>
      </c>
      <c r="G3569" s="9">
        <f t="shared" si="227"/>
        <v>0</v>
      </c>
      <c r="H3569" s="9">
        <f t="shared" si="228"/>
        <v>0</v>
      </c>
      <c r="I3569" s="10">
        <f t="shared" si="229"/>
        <v>0</v>
      </c>
    </row>
    <row r="3570" spans="1:9" x14ac:dyDescent="0.25">
      <c r="A3570" s="11" t="s">
        <v>8908</v>
      </c>
      <c r="B3570" s="11" t="s">
        <v>8909</v>
      </c>
      <c r="C3570" s="11" t="s">
        <v>2901</v>
      </c>
      <c r="D3570" s="4" t="s">
        <v>1406</v>
      </c>
      <c r="E3570" t="s">
        <v>30</v>
      </c>
      <c r="F3570" s="9">
        <f t="shared" si="226"/>
        <v>0</v>
      </c>
      <c r="G3570" s="9">
        <f t="shared" si="227"/>
        <v>0</v>
      </c>
      <c r="H3570" s="9">
        <f t="shared" si="228"/>
        <v>0</v>
      </c>
      <c r="I3570" s="10">
        <f t="shared" si="229"/>
        <v>0</v>
      </c>
    </row>
    <row r="3571" spans="1:9" x14ac:dyDescent="0.25">
      <c r="A3571" s="11" t="s">
        <v>8910</v>
      </c>
      <c r="B3571" s="11" t="s">
        <v>8911</v>
      </c>
      <c r="C3571" s="11" t="s">
        <v>2901</v>
      </c>
      <c r="D3571" s="4" t="s">
        <v>1406</v>
      </c>
      <c r="E3571" t="s">
        <v>30</v>
      </c>
      <c r="F3571" s="9">
        <f t="shared" si="226"/>
        <v>0</v>
      </c>
      <c r="G3571" s="9">
        <f t="shared" si="227"/>
        <v>0</v>
      </c>
      <c r="H3571" s="9">
        <f t="shared" si="228"/>
        <v>0</v>
      </c>
      <c r="I3571" s="10">
        <f t="shared" si="229"/>
        <v>0</v>
      </c>
    </row>
    <row r="3572" spans="1:9" x14ac:dyDescent="0.25">
      <c r="A3572" s="11" t="s">
        <v>8912</v>
      </c>
      <c r="B3572" s="11" t="s">
        <v>8913</v>
      </c>
      <c r="C3572" s="11" t="s">
        <v>2901</v>
      </c>
      <c r="D3572" s="4" t="s">
        <v>1406</v>
      </c>
      <c r="E3572" t="s">
        <v>30</v>
      </c>
      <c r="F3572" s="9">
        <f t="shared" si="226"/>
        <v>0</v>
      </c>
      <c r="G3572" s="9">
        <f t="shared" si="227"/>
        <v>0</v>
      </c>
      <c r="H3572" s="9">
        <f t="shared" si="228"/>
        <v>0</v>
      </c>
      <c r="I3572" s="10">
        <f t="shared" si="229"/>
        <v>0</v>
      </c>
    </row>
    <row r="3573" spans="1:9" x14ac:dyDescent="0.25">
      <c r="A3573" s="11" t="s">
        <v>8914</v>
      </c>
      <c r="B3573" s="11" t="s">
        <v>8915</v>
      </c>
      <c r="C3573" s="11" t="s">
        <v>2901</v>
      </c>
      <c r="D3573" s="4" t="s">
        <v>1406</v>
      </c>
      <c r="E3573" t="s">
        <v>30</v>
      </c>
      <c r="F3573" s="9">
        <f t="shared" si="226"/>
        <v>0</v>
      </c>
      <c r="G3573" s="9">
        <f t="shared" si="227"/>
        <v>0</v>
      </c>
      <c r="H3573" s="9">
        <f t="shared" si="228"/>
        <v>0</v>
      </c>
      <c r="I3573" s="10">
        <f t="shared" si="229"/>
        <v>0</v>
      </c>
    </row>
    <row r="3574" spans="1:9" x14ac:dyDescent="0.25">
      <c r="A3574" s="11" t="s">
        <v>8916</v>
      </c>
      <c r="B3574" s="11" t="s">
        <v>8917</v>
      </c>
      <c r="C3574" s="11" t="s">
        <v>2901</v>
      </c>
      <c r="D3574" s="4" t="s">
        <v>1406</v>
      </c>
      <c r="E3574" t="s">
        <v>30</v>
      </c>
      <c r="F3574" s="9">
        <f t="shared" si="226"/>
        <v>0</v>
      </c>
      <c r="G3574" s="9">
        <f t="shared" si="227"/>
        <v>0</v>
      </c>
      <c r="H3574" s="9">
        <f t="shared" si="228"/>
        <v>0</v>
      </c>
      <c r="I3574" s="10">
        <f t="shared" si="229"/>
        <v>0</v>
      </c>
    </row>
    <row r="3575" spans="1:9" x14ac:dyDescent="0.25">
      <c r="A3575" s="11" t="s">
        <v>8918</v>
      </c>
      <c r="B3575" s="11" t="s">
        <v>8919</v>
      </c>
      <c r="C3575" s="11" t="s">
        <v>2901</v>
      </c>
      <c r="D3575" s="4" t="s">
        <v>1406</v>
      </c>
      <c r="E3575" t="s">
        <v>30</v>
      </c>
      <c r="F3575" s="9">
        <f t="shared" si="226"/>
        <v>0</v>
      </c>
      <c r="G3575" s="9">
        <f t="shared" si="227"/>
        <v>0</v>
      </c>
      <c r="H3575" s="9">
        <f t="shared" si="228"/>
        <v>0</v>
      </c>
      <c r="I3575" s="10">
        <f t="shared" si="229"/>
        <v>0</v>
      </c>
    </row>
    <row r="3576" spans="1:9" x14ac:dyDescent="0.25">
      <c r="A3576" s="11" t="s">
        <v>8920</v>
      </c>
      <c r="B3576" s="11" t="s">
        <v>8921</v>
      </c>
      <c r="C3576" s="11" t="s">
        <v>2901</v>
      </c>
      <c r="D3576" s="4" t="s">
        <v>1406</v>
      </c>
      <c r="E3576" t="s">
        <v>30</v>
      </c>
      <c r="F3576" s="9">
        <f t="shared" si="226"/>
        <v>0</v>
      </c>
      <c r="G3576" s="9">
        <f t="shared" si="227"/>
        <v>0</v>
      </c>
      <c r="H3576" s="9">
        <f t="shared" si="228"/>
        <v>0</v>
      </c>
      <c r="I3576" s="10">
        <f t="shared" si="229"/>
        <v>0</v>
      </c>
    </row>
    <row r="3577" spans="1:9" x14ac:dyDescent="0.25">
      <c r="A3577" s="11" t="s">
        <v>8922</v>
      </c>
      <c r="B3577" s="11" t="s">
        <v>8923</v>
      </c>
      <c r="C3577" s="11" t="s">
        <v>2901</v>
      </c>
      <c r="D3577" s="4" t="s">
        <v>1406</v>
      </c>
      <c r="E3577" t="s">
        <v>30</v>
      </c>
      <c r="F3577" s="9">
        <f t="shared" si="226"/>
        <v>0</v>
      </c>
      <c r="G3577" s="9">
        <f t="shared" si="227"/>
        <v>0</v>
      </c>
      <c r="H3577" s="9">
        <f t="shared" si="228"/>
        <v>0</v>
      </c>
      <c r="I3577" s="10">
        <f t="shared" si="229"/>
        <v>0</v>
      </c>
    </row>
    <row r="3578" spans="1:9" x14ac:dyDescent="0.25">
      <c r="A3578" s="11" t="s">
        <v>8924</v>
      </c>
      <c r="B3578" s="11" t="s">
        <v>8925</v>
      </c>
      <c r="C3578" s="11" t="s">
        <v>2901</v>
      </c>
      <c r="D3578" s="4" t="s">
        <v>1406</v>
      </c>
      <c r="E3578" t="s">
        <v>30</v>
      </c>
      <c r="F3578" s="9">
        <f t="shared" si="226"/>
        <v>0</v>
      </c>
      <c r="G3578" s="9">
        <f t="shared" si="227"/>
        <v>0</v>
      </c>
      <c r="H3578" s="9">
        <f t="shared" si="228"/>
        <v>0</v>
      </c>
      <c r="I3578" s="10">
        <f t="shared" si="229"/>
        <v>0</v>
      </c>
    </row>
    <row r="3579" spans="1:9" x14ac:dyDescent="0.25">
      <c r="A3579" s="11" t="s">
        <v>8926</v>
      </c>
      <c r="B3579" s="11" t="s">
        <v>8927</v>
      </c>
      <c r="C3579" s="11" t="s">
        <v>2901</v>
      </c>
      <c r="D3579" s="4" t="s">
        <v>1406</v>
      </c>
      <c r="E3579" t="s">
        <v>30</v>
      </c>
      <c r="F3579" s="9">
        <f t="shared" si="226"/>
        <v>0</v>
      </c>
      <c r="G3579" s="9">
        <f t="shared" si="227"/>
        <v>0</v>
      </c>
      <c r="H3579" s="9">
        <f t="shared" si="228"/>
        <v>0</v>
      </c>
      <c r="I3579" s="10">
        <f t="shared" si="229"/>
        <v>0</v>
      </c>
    </row>
    <row r="3580" spans="1:9" x14ac:dyDescent="0.25">
      <c r="A3580" s="11" t="s">
        <v>8928</v>
      </c>
      <c r="B3580" s="11" t="s">
        <v>8929</v>
      </c>
      <c r="C3580" s="11" t="s">
        <v>2901</v>
      </c>
      <c r="D3580" s="4" t="s">
        <v>1406</v>
      </c>
      <c r="E3580" t="s">
        <v>30</v>
      </c>
      <c r="F3580" s="9">
        <f t="shared" si="226"/>
        <v>0</v>
      </c>
      <c r="G3580" s="9">
        <f t="shared" si="227"/>
        <v>0</v>
      </c>
      <c r="H3580" s="9">
        <f t="shared" si="228"/>
        <v>0</v>
      </c>
      <c r="I3580" s="10">
        <f t="shared" si="229"/>
        <v>0</v>
      </c>
    </row>
    <row r="3581" spans="1:9" x14ac:dyDescent="0.25">
      <c r="A3581" s="11" t="s">
        <v>8930</v>
      </c>
      <c r="B3581" s="11" t="s">
        <v>8931</v>
      </c>
      <c r="C3581" s="11" t="s">
        <v>2901</v>
      </c>
      <c r="D3581" s="4" t="s">
        <v>1406</v>
      </c>
      <c r="E3581" t="s">
        <v>30</v>
      </c>
      <c r="F3581" s="9">
        <f t="shared" si="226"/>
        <v>0</v>
      </c>
      <c r="G3581" s="9">
        <f t="shared" si="227"/>
        <v>0</v>
      </c>
      <c r="H3581" s="9">
        <f t="shared" si="228"/>
        <v>0</v>
      </c>
      <c r="I3581" s="10">
        <f t="shared" si="229"/>
        <v>0</v>
      </c>
    </row>
    <row r="3582" spans="1:9" x14ac:dyDescent="0.25">
      <c r="A3582" s="11" t="s">
        <v>8932</v>
      </c>
      <c r="B3582" s="11" t="s">
        <v>8933</v>
      </c>
      <c r="C3582" s="11" t="s">
        <v>2901</v>
      </c>
      <c r="D3582" s="4" t="s">
        <v>1406</v>
      </c>
      <c r="E3582" t="s">
        <v>30</v>
      </c>
      <c r="F3582" s="9">
        <f t="shared" si="226"/>
        <v>0</v>
      </c>
      <c r="G3582" s="9">
        <f t="shared" si="227"/>
        <v>0</v>
      </c>
      <c r="H3582" s="9">
        <f t="shared" si="228"/>
        <v>0</v>
      </c>
      <c r="I3582" s="10">
        <f t="shared" si="229"/>
        <v>0</v>
      </c>
    </row>
    <row r="3583" spans="1:9" x14ac:dyDescent="0.25">
      <c r="A3583" s="11" t="s">
        <v>8934</v>
      </c>
      <c r="B3583" s="11" t="s">
        <v>8935</v>
      </c>
      <c r="C3583" s="11" t="s">
        <v>2901</v>
      </c>
      <c r="D3583" s="4" t="s">
        <v>1406</v>
      </c>
      <c r="E3583" t="s">
        <v>30</v>
      </c>
      <c r="F3583" s="9">
        <f t="shared" si="226"/>
        <v>0</v>
      </c>
      <c r="G3583" s="9">
        <f t="shared" si="227"/>
        <v>0</v>
      </c>
      <c r="H3583" s="9">
        <f t="shared" si="228"/>
        <v>0</v>
      </c>
      <c r="I3583" s="10">
        <f t="shared" si="229"/>
        <v>0</v>
      </c>
    </row>
    <row r="3584" spans="1:9" x14ac:dyDescent="0.25">
      <c r="A3584" s="11" t="s">
        <v>8936</v>
      </c>
      <c r="B3584" s="11" t="s">
        <v>8937</v>
      </c>
      <c r="C3584" s="11" t="s">
        <v>2901</v>
      </c>
      <c r="D3584" s="4" t="s">
        <v>1406</v>
      </c>
      <c r="E3584" t="s">
        <v>30</v>
      </c>
      <c r="F3584" s="9">
        <f t="shared" si="226"/>
        <v>0</v>
      </c>
      <c r="G3584" s="9">
        <f t="shared" si="227"/>
        <v>0</v>
      </c>
      <c r="H3584" s="9">
        <f t="shared" si="228"/>
        <v>0</v>
      </c>
      <c r="I3584" s="10">
        <f t="shared" si="229"/>
        <v>0</v>
      </c>
    </row>
    <row r="3585" spans="1:9" x14ac:dyDescent="0.25">
      <c r="A3585" s="11" t="s">
        <v>8938</v>
      </c>
      <c r="B3585" s="11" t="s">
        <v>8939</v>
      </c>
      <c r="C3585" s="11" t="s">
        <v>2901</v>
      </c>
      <c r="D3585" s="4" t="s">
        <v>1406</v>
      </c>
      <c r="E3585" t="s">
        <v>30</v>
      </c>
      <c r="F3585" s="9">
        <f t="shared" si="226"/>
        <v>0</v>
      </c>
      <c r="G3585" s="9">
        <f t="shared" si="227"/>
        <v>0</v>
      </c>
      <c r="H3585" s="9">
        <f t="shared" si="228"/>
        <v>0</v>
      </c>
      <c r="I3585" s="10">
        <f t="shared" si="229"/>
        <v>0</v>
      </c>
    </row>
    <row r="3586" spans="1:9" x14ac:dyDescent="0.25">
      <c r="A3586" s="11" t="s">
        <v>8940</v>
      </c>
      <c r="B3586" s="11" t="s">
        <v>8941</v>
      </c>
      <c r="C3586" s="11" t="s">
        <v>2901</v>
      </c>
      <c r="D3586" s="4" t="s">
        <v>1406</v>
      </c>
      <c r="E3586" t="s">
        <v>30</v>
      </c>
      <c r="F3586" s="9">
        <f t="shared" ref="F3586:F3649" si="230">IFERROR(VLOOKUP(A3586,condi,8,0),0)</f>
        <v>0</v>
      </c>
      <c r="G3586" s="9">
        <f t="shared" ref="G3586:G3649" si="231">IFERROR(VLOOKUP(A3586,maqui,8,0),0)</f>
        <v>0</v>
      </c>
      <c r="H3586" s="9">
        <f t="shared" ref="H3586:H3649" si="232">IFERROR(VLOOKUP(A3586,ascint,8,0),0)</f>
        <v>0</v>
      </c>
      <c r="I3586" s="10">
        <f t="shared" ref="I3586:I3649" si="233">+F3586+G3586+H3586</f>
        <v>0</v>
      </c>
    </row>
    <row r="3587" spans="1:9" x14ac:dyDescent="0.25">
      <c r="A3587" s="11" t="s">
        <v>8942</v>
      </c>
      <c r="B3587" s="11" t="s">
        <v>8943</v>
      </c>
      <c r="C3587" s="11" t="s">
        <v>2901</v>
      </c>
      <c r="D3587" s="4" t="s">
        <v>1406</v>
      </c>
      <c r="E3587" t="s">
        <v>30</v>
      </c>
      <c r="F3587" s="9">
        <f t="shared" si="230"/>
        <v>0</v>
      </c>
      <c r="G3587" s="9">
        <f t="shared" si="231"/>
        <v>0</v>
      </c>
      <c r="H3587" s="9">
        <f t="shared" si="232"/>
        <v>0</v>
      </c>
      <c r="I3587" s="10">
        <f t="shared" si="233"/>
        <v>0</v>
      </c>
    </row>
    <row r="3588" spans="1:9" x14ac:dyDescent="0.25">
      <c r="A3588" s="11" t="s">
        <v>8944</v>
      </c>
      <c r="B3588" s="11" t="s">
        <v>8945</v>
      </c>
      <c r="C3588" s="11" t="s">
        <v>2901</v>
      </c>
      <c r="D3588" s="4" t="s">
        <v>1406</v>
      </c>
      <c r="E3588" t="s">
        <v>30</v>
      </c>
      <c r="F3588" s="9">
        <f t="shared" si="230"/>
        <v>0</v>
      </c>
      <c r="G3588" s="9">
        <f t="shared" si="231"/>
        <v>0</v>
      </c>
      <c r="H3588" s="9">
        <f t="shared" si="232"/>
        <v>0</v>
      </c>
      <c r="I3588" s="10">
        <f t="shared" si="233"/>
        <v>0</v>
      </c>
    </row>
    <row r="3589" spans="1:9" x14ac:dyDescent="0.25">
      <c r="A3589" s="11" t="s">
        <v>8946</v>
      </c>
      <c r="B3589" s="11" t="s">
        <v>8947</v>
      </c>
      <c r="C3589" s="11" t="s">
        <v>2901</v>
      </c>
      <c r="D3589" s="4" t="s">
        <v>1406</v>
      </c>
      <c r="E3589" t="s">
        <v>30</v>
      </c>
      <c r="F3589" s="9">
        <f t="shared" si="230"/>
        <v>0</v>
      </c>
      <c r="G3589" s="9">
        <f t="shared" si="231"/>
        <v>0</v>
      </c>
      <c r="H3589" s="9">
        <f t="shared" si="232"/>
        <v>0</v>
      </c>
      <c r="I3589" s="10">
        <f t="shared" si="233"/>
        <v>0</v>
      </c>
    </row>
    <row r="3590" spans="1:9" x14ac:dyDescent="0.25">
      <c r="A3590" s="11" t="s">
        <v>8948</v>
      </c>
      <c r="B3590" s="11" t="s">
        <v>8949</v>
      </c>
      <c r="C3590" s="11" t="s">
        <v>2901</v>
      </c>
      <c r="D3590" s="4" t="s">
        <v>1406</v>
      </c>
      <c r="E3590" t="s">
        <v>30</v>
      </c>
      <c r="F3590" s="9">
        <f t="shared" si="230"/>
        <v>0</v>
      </c>
      <c r="G3590" s="9">
        <f t="shared" si="231"/>
        <v>0</v>
      </c>
      <c r="H3590" s="9">
        <f t="shared" si="232"/>
        <v>0</v>
      </c>
      <c r="I3590" s="10">
        <f t="shared" si="233"/>
        <v>0</v>
      </c>
    </row>
    <row r="3591" spans="1:9" x14ac:dyDescent="0.25">
      <c r="A3591" s="11" t="s">
        <v>8950</v>
      </c>
      <c r="B3591" s="11" t="s">
        <v>8951</v>
      </c>
      <c r="C3591" s="11" t="s">
        <v>2901</v>
      </c>
      <c r="D3591" s="4" t="s">
        <v>1406</v>
      </c>
      <c r="E3591" t="s">
        <v>30</v>
      </c>
      <c r="F3591" s="9">
        <f t="shared" si="230"/>
        <v>0</v>
      </c>
      <c r="G3591" s="9">
        <f t="shared" si="231"/>
        <v>0</v>
      </c>
      <c r="H3591" s="9">
        <f t="shared" si="232"/>
        <v>0</v>
      </c>
      <c r="I3591" s="10">
        <f t="shared" si="233"/>
        <v>0</v>
      </c>
    </row>
    <row r="3592" spans="1:9" x14ac:dyDescent="0.25">
      <c r="A3592" s="11" t="s">
        <v>8952</v>
      </c>
      <c r="B3592" s="11" t="s">
        <v>8953</v>
      </c>
      <c r="C3592" s="11" t="s">
        <v>2901</v>
      </c>
      <c r="D3592" s="4" t="s">
        <v>1406</v>
      </c>
      <c r="E3592" t="s">
        <v>30</v>
      </c>
      <c r="F3592" s="9">
        <f t="shared" si="230"/>
        <v>0</v>
      </c>
      <c r="G3592" s="9">
        <f t="shared" si="231"/>
        <v>0</v>
      </c>
      <c r="H3592" s="9">
        <f t="shared" si="232"/>
        <v>0</v>
      </c>
      <c r="I3592" s="10">
        <f t="shared" si="233"/>
        <v>0</v>
      </c>
    </row>
    <row r="3593" spans="1:9" x14ac:dyDescent="0.25">
      <c r="A3593" s="11" t="s">
        <v>8954</v>
      </c>
      <c r="B3593" s="11" t="s">
        <v>8955</v>
      </c>
      <c r="C3593" s="11" t="s">
        <v>2901</v>
      </c>
      <c r="D3593" s="4" t="s">
        <v>1406</v>
      </c>
      <c r="E3593" t="s">
        <v>30</v>
      </c>
      <c r="F3593" s="9">
        <f t="shared" si="230"/>
        <v>0</v>
      </c>
      <c r="G3593" s="9">
        <f t="shared" si="231"/>
        <v>0</v>
      </c>
      <c r="H3593" s="9">
        <f t="shared" si="232"/>
        <v>0</v>
      </c>
      <c r="I3593" s="10">
        <f t="shared" si="233"/>
        <v>0</v>
      </c>
    </row>
    <row r="3594" spans="1:9" x14ac:dyDescent="0.25">
      <c r="A3594" s="11" t="s">
        <v>8956</v>
      </c>
      <c r="B3594" s="11" t="s">
        <v>8957</v>
      </c>
      <c r="C3594" s="11" t="s">
        <v>2901</v>
      </c>
      <c r="D3594" s="4" t="s">
        <v>1406</v>
      </c>
      <c r="E3594" t="s">
        <v>30</v>
      </c>
      <c r="F3594" s="9">
        <f t="shared" si="230"/>
        <v>0</v>
      </c>
      <c r="G3594" s="9">
        <f t="shared" si="231"/>
        <v>0</v>
      </c>
      <c r="H3594" s="9">
        <f t="shared" si="232"/>
        <v>0</v>
      </c>
      <c r="I3594" s="10">
        <f t="shared" si="233"/>
        <v>0</v>
      </c>
    </row>
    <row r="3595" spans="1:9" x14ac:dyDescent="0.25">
      <c r="A3595" s="11" t="s">
        <v>8958</v>
      </c>
      <c r="B3595" s="11" t="s">
        <v>8959</v>
      </c>
      <c r="C3595" s="11" t="s">
        <v>2901</v>
      </c>
      <c r="D3595" s="4" t="s">
        <v>1406</v>
      </c>
      <c r="E3595" t="s">
        <v>30</v>
      </c>
      <c r="F3595" s="9">
        <f t="shared" si="230"/>
        <v>0</v>
      </c>
      <c r="G3595" s="9">
        <f t="shared" si="231"/>
        <v>0</v>
      </c>
      <c r="H3595" s="9">
        <f t="shared" si="232"/>
        <v>0</v>
      </c>
      <c r="I3595" s="10">
        <f t="shared" si="233"/>
        <v>0</v>
      </c>
    </row>
    <row r="3596" spans="1:9" x14ac:dyDescent="0.25">
      <c r="A3596" s="11" t="s">
        <v>8960</v>
      </c>
      <c r="B3596" s="11" t="s">
        <v>8961</v>
      </c>
      <c r="C3596" s="11" t="s">
        <v>2901</v>
      </c>
      <c r="D3596" s="4" t="s">
        <v>1406</v>
      </c>
      <c r="E3596" t="s">
        <v>30</v>
      </c>
      <c r="F3596" s="9">
        <f t="shared" si="230"/>
        <v>0</v>
      </c>
      <c r="G3596" s="9">
        <f t="shared" si="231"/>
        <v>0</v>
      </c>
      <c r="H3596" s="9">
        <f t="shared" si="232"/>
        <v>0</v>
      </c>
      <c r="I3596" s="10">
        <f t="shared" si="233"/>
        <v>0</v>
      </c>
    </row>
    <row r="3597" spans="1:9" x14ac:dyDescent="0.25">
      <c r="A3597" s="11" t="s">
        <v>8962</v>
      </c>
      <c r="B3597" s="11" t="s">
        <v>8963</v>
      </c>
      <c r="C3597" s="11" t="s">
        <v>2901</v>
      </c>
      <c r="D3597" s="4" t="s">
        <v>1406</v>
      </c>
      <c r="E3597" t="s">
        <v>30</v>
      </c>
      <c r="F3597" s="9">
        <f t="shared" si="230"/>
        <v>0</v>
      </c>
      <c r="G3597" s="9">
        <f t="shared" si="231"/>
        <v>0</v>
      </c>
      <c r="H3597" s="9">
        <f t="shared" si="232"/>
        <v>0</v>
      </c>
      <c r="I3597" s="10">
        <f t="shared" si="233"/>
        <v>0</v>
      </c>
    </row>
    <row r="3598" spans="1:9" x14ac:dyDescent="0.25">
      <c r="A3598" s="11" t="s">
        <v>8964</v>
      </c>
      <c r="B3598" s="11" t="s">
        <v>8965</v>
      </c>
      <c r="C3598" s="11" t="s">
        <v>2901</v>
      </c>
      <c r="D3598" s="4" t="s">
        <v>1406</v>
      </c>
      <c r="E3598" t="s">
        <v>30</v>
      </c>
      <c r="F3598" s="9">
        <f t="shared" si="230"/>
        <v>0</v>
      </c>
      <c r="G3598" s="9">
        <f t="shared" si="231"/>
        <v>0</v>
      </c>
      <c r="H3598" s="9">
        <f t="shared" si="232"/>
        <v>0</v>
      </c>
      <c r="I3598" s="10">
        <f t="shared" si="233"/>
        <v>0</v>
      </c>
    </row>
    <row r="3599" spans="1:9" x14ac:dyDescent="0.25">
      <c r="A3599" s="11" t="s">
        <v>8966</v>
      </c>
      <c r="B3599" s="11" t="s">
        <v>8967</v>
      </c>
      <c r="C3599" s="11" t="s">
        <v>2901</v>
      </c>
      <c r="D3599" s="4" t="s">
        <v>1406</v>
      </c>
      <c r="E3599" t="s">
        <v>30</v>
      </c>
      <c r="F3599" s="9">
        <f t="shared" si="230"/>
        <v>0</v>
      </c>
      <c r="G3599" s="9">
        <f t="shared" si="231"/>
        <v>0</v>
      </c>
      <c r="H3599" s="9">
        <f t="shared" si="232"/>
        <v>0</v>
      </c>
      <c r="I3599" s="10">
        <f t="shared" si="233"/>
        <v>0</v>
      </c>
    </row>
    <row r="3600" spans="1:9" x14ac:dyDescent="0.25">
      <c r="A3600" s="11" t="s">
        <v>8968</v>
      </c>
      <c r="B3600" s="11" t="s">
        <v>8969</v>
      </c>
      <c r="C3600" s="11" t="s">
        <v>2901</v>
      </c>
      <c r="D3600" s="4" t="s">
        <v>1406</v>
      </c>
      <c r="E3600" t="s">
        <v>30</v>
      </c>
      <c r="F3600" s="9">
        <f t="shared" si="230"/>
        <v>0</v>
      </c>
      <c r="G3600" s="9">
        <f t="shared" si="231"/>
        <v>0</v>
      </c>
      <c r="H3600" s="9">
        <f t="shared" si="232"/>
        <v>0</v>
      </c>
      <c r="I3600" s="10">
        <f t="shared" si="233"/>
        <v>0</v>
      </c>
    </row>
    <row r="3601" spans="1:9" x14ac:dyDescent="0.25">
      <c r="A3601" s="11" t="s">
        <v>8970</v>
      </c>
      <c r="B3601" s="11" t="s">
        <v>8971</v>
      </c>
      <c r="C3601" s="11" t="s">
        <v>2901</v>
      </c>
      <c r="D3601" s="4" t="s">
        <v>1406</v>
      </c>
      <c r="E3601" t="s">
        <v>30</v>
      </c>
      <c r="F3601" s="9">
        <f t="shared" si="230"/>
        <v>0</v>
      </c>
      <c r="G3601" s="9">
        <f t="shared" si="231"/>
        <v>0</v>
      </c>
      <c r="H3601" s="9">
        <f t="shared" si="232"/>
        <v>0</v>
      </c>
      <c r="I3601" s="10">
        <f t="shared" si="233"/>
        <v>0</v>
      </c>
    </row>
    <row r="3602" spans="1:9" x14ac:dyDescent="0.25">
      <c r="A3602" s="11" t="s">
        <v>8972</v>
      </c>
      <c r="B3602" s="11" t="s">
        <v>8973</v>
      </c>
      <c r="C3602" s="11" t="s">
        <v>2901</v>
      </c>
      <c r="D3602" s="4" t="s">
        <v>1406</v>
      </c>
      <c r="E3602" t="s">
        <v>30</v>
      </c>
      <c r="F3602" s="9">
        <f t="shared" si="230"/>
        <v>0</v>
      </c>
      <c r="G3602" s="9">
        <f t="shared" si="231"/>
        <v>0</v>
      </c>
      <c r="H3602" s="9">
        <f t="shared" si="232"/>
        <v>0</v>
      </c>
      <c r="I3602" s="10">
        <f t="shared" si="233"/>
        <v>0</v>
      </c>
    </row>
    <row r="3603" spans="1:9" x14ac:dyDescent="0.25">
      <c r="A3603" s="11" t="s">
        <v>8974</v>
      </c>
      <c r="B3603" s="11" t="s">
        <v>8975</v>
      </c>
      <c r="C3603" s="11" t="s">
        <v>2901</v>
      </c>
      <c r="D3603" s="4" t="s">
        <v>1406</v>
      </c>
      <c r="E3603" t="s">
        <v>30</v>
      </c>
      <c r="F3603" s="9">
        <f t="shared" si="230"/>
        <v>0</v>
      </c>
      <c r="G3603" s="9">
        <f t="shared" si="231"/>
        <v>0</v>
      </c>
      <c r="H3603" s="9">
        <f t="shared" si="232"/>
        <v>0</v>
      </c>
      <c r="I3603" s="10">
        <f t="shared" si="233"/>
        <v>0</v>
      </c>
    </row>
    <row r="3604" spans="1:9" x14ac:dyDescent="0.25">
      <c r="A3604" s="11" t="s">
        <v>8976</v>
      </c>
      <c r="B3604" s="11" t="s">
        <v>8977</v>
      </c>
      <c r="C3604" s="11" t="s">
        <v>2901</v>
      </c>
      <c r="D3604" s="4" t="s">
        <v>1406</v>
      </c>
      <c r="E3604" t="s">
        <v>30</v>
      </c>
      <c r="F3604" s="9">
        <f t="shared" si="230"/>
        <v>0</v>
      </c>
      <c r="G3604" s="9">
        <f t="shared" si="231"/>
        <v>0</v>
      </c>
      <c r="H3604" s="9">
        <f t="shared" si="232"/>
        <v>0</v>
      </c>
      <c r="I3604" s="10">
        <f t="shared" si="233"/>
        <v>0</v>
      </c>
    </row>
    <row r="3605" spans="1:9" x14ac:dyDescent="0.25">
      <c r="A3605" s="11" t="s">
        <v>8978</v>
      </c>
      <c r="B3605" s="11" t="s">
        <v>8979</v>
      </c>
      <c r="C3605" s="11" t="s">
        <v>2901</v>
      </c>
      <c r="D3605" s="4" t="s">
        <v>1406</v>
      </c>
      <c r="E3605" t="s">
        <v>30</v>
      </c>
      <c r="F3605" s="9">
        <f t="shared" si="230"/>
        <v>0</v>
      </c>
      <c r="G3605" s="9">
        <f t="shared" si="231"/>
        <v>0</v>
      </c>
      <c r="H3605" s="9">
        <f t="shared" si="232"/>
        <v>0</v>
      </c>
      <c r="I3605" s="10">
        <f t="shared" si="233"/>
        <v>0</v>
      </c>
    </row>
    <row r="3606" spans="1:9" x14ac:dyDescent="0.25">
      <c r="A3606" s="11" t="s">
        <v>8980</v>
      </c>
      <c r="B3606" s="11" t="s">
        <v>8981</v>
      </c>
      <c r="C3606" s="11" t="s">
        <v>2901</v>
      </c>
      <c r="D3606" s="4" t="s">
        <v>1406</v>
      </c>
      <c r="E3606" t="s">
        <v>30</v>
      </c>
      <c r="F3606" s="9">
        <f t="shared" si="230"/>
        <v>0</v>
      </c>
      <c r="G3606" s="9">
        <f t="shared" si="231"/>
        <v>0</v>
      </c>
      <c r="H3606" s="9">
        <f t="shared" si="232"/>
        <v>0</v>
      </c>
      <c r="I3606" s="10">
        <f t="shared" si="233"/>
        <v>0</v>
      </c>
    </row>
    <row r="3607" spans="1:9" x14ac:dyDescent="0.25">
      <c r="A3607" s="11" t="s">
        <v>8982</v>
      </c>
      <c r="B3607" s="11" t="s">
        <v>8983</v>
      </c>
      <c r="C3607" s="11" t="s">
        <v>2901</v>
      </c>
      <c r="D3607" s="4" t="s">
        <v>1406</v>
      </c>
      <c r="E3607" t="s">
        <v>2095</v>
      </c>
      <c r="F3607" s="9">
        <f t="shared" si="230"/>
        <v>0</v>
      </c>
      <c r="G3607" s="9">
        <f t="shared" si="231"/>
        <v>0</v>
      </c>
      <c r="H3607" s="9">
        <f t="shared" si="232"/>
        <v>0</v>
      </c>
      <c r="I3607" s="10">
        <f t="shared" si="233"/>
        <v>0</v>
      </c>
    </row>
    <row r="3608" spans="1:9" x14ac:dyDescent="0.25">
      <c r="A3608" s="11" t="s">
        <v>8984</v>
      </c>
      <c r="B3608" s="11" t="s">
        <v>8985</v>
      </c>
      <c r="C3608" s="11" t="s">
        <v>2901</v>
      </c>
      <c r="D3608" s="4" t="s">
        <v>1406</v>
      </c>
      <c r="E3608" t="s">
        <v>30</v>
      </c>
      <c r="F3608" s="9">
        <f t="shared" si="230"/>
        <v>0</v>
      </c>
      <c r="G3608" s="9">
        <f t="shared" si="231"/>
        <v>0</v>
      </c>
      <c r="H3608" s="9">
        <f t="shared" si="232"/>
        <v>0</v>
      </c>
      <c r="I3608" s="10">
        <f t="shared" si="233"/>
        <v>0</v>
      </c>
    </row>
    <row r="3609" spans="1:9" x14ac:dyDescent="0.25">
      <c r="A3609" s="11" t="s">
        <v>8986</v>
      </c>
      <c r="B3609" s="11" t="s">
        <v>8987</v>
      </c>
      <c r="C3609" s="11" t="s">
        <v>2901</v>
      </c>
      <c r="D3609" s="4" t="s">
        <v>1406</v>
      </c>
      <c r="E3609" t="s">
        <v>30</v>
      </c>
      <c r="F3609" s="9">
        <f t="shared" si="230"/>
        <v>0</v>
      </c>
      <c r="G3609" s="9">
        <f t="shared" si="231"/>
        <v>0</v>
      </c>
      <c r="H3609" s="9">
        <f t="shared" si="232"/>
        <v>0</v>
      </c>
      <c r="I3609" s="10">
        <f t="shared" si="233"/>
        <v>0</v>
      </c>
    </row>
    <row r="3610" spans="1:9" x14ac:dyDescent="0.25">
      <c r="A3610" s="11" t="s">
        <v>8988</v>
      </c>
      <c r="B3610" s="11" t="s">
        <v>8989</v>
      </c>
      <c r="C3610" s="11" t="s">
        <v>2901</v>
      </c>
      <c r="D3610" s="4" t="s">
        <v>1406</v>
      </c>
      <c r="E3610" t="s">
        <v>30</v>
      </c>
      <c r="F3610" s="9">
        <f t="shared" si="230"/>
        <v>0</v>
      </c>
      <c r="G3610" s="9">
        <f t="shared" si="231"/>
        <v>0</v>
      </c>
      <c r="H3610" s="9">
        <f t="shared" si="232"/>
        <v>0</v>
      </c>
      <c r="I3610" s="10">
        <f t="shared" si="233"/>
        <v>0</v>
      </c>
    </row>
    <row r="3611" spans="1:9" x14ac:dyDescent="0.25">
      <c r="A3611" s="11" t="s">
        <v>8990</v>
      </c>
      <c r="B3611" s="11" t="s">
        <v>8991</v>
      </c>
      <c r="C3611" s="11" t="s">
        <v>2901</v>
      </c>
      <c r="D3611" s="4" t="s">
        <v>1406</v>
      </c>
      <c r="E3611" t="s">
        <v>30</v>
      </c>
      <c r="F3611" s="9">
        <f t="shared" si="230"/>
        <v>0</v>
      </c>
      <c r="G3611" s="9">
        <f t="shared" si="231"/>
        <v>0</v>
      </c>
      <c r="H3611" s="9">
        <f t="shared" si="232"/>
        <v>0</v>
      </c>
      <c r="I3611" s="10">
        <f t="shared" si="233"/>
        <v>0</v>
      </c>
    </row>
    <row r="3612" spans="1:9" x14ac:dyDescent="0.25">
      <c r="A3612" s="11" t="s">
        <v>8992</v>
      </c>
      <c r="B3612" s="11" t="s">
        <v>8993</v>
      </c>
      <c r="C3612" s="11" t="s">
        <v>2901</v>
      </c>
      <c r="D3612" s="4" t="s">
        <v>1406</v>
      </c>
      <c r="E3612" t="s">
        <v>30</v>
      </c>
      <c r="F3612" s="9">
        <f t="shared" si="230"/>
        <v>0</v>
      </c>
      <c r="G3612" s="9">
        <f t="shared" si="231"/>
        <v>0</v>
      </c>
      <c r="H3612" s="9">
        <f t="shared" si="232"/>
        <v>0</v>
      </c>
      <c r="I3612" s="10">
        <f t="shared" si="233"/>
        <v>0</v>
      </c>
    </row>
    <row r="3613" spans="1:9" x14ac:dyDescent="0.25">
      <c r="A3613" s="11" t="s">
        <v>8994</v>
      </c>
      <c r="B3613" s="11" t="s">
        <v>8995</v>
      </c>
      <c r="C3613" s="11" t="s">
        <v>2901</v>
      </c>
      <c r="D3613" s="4" t="s">
        <v>1406</v>
      </c>
      <c r="E3613" t="s">
        <v>30</v>
      </c>
      <c r="F3613" s="9">
        <f t="shared" si="230"/>
        <v>0</v>
      </c>
      <c r="G3613" s="9">
        <f t="shared" si="231"/>
        <v>0</v>
      </c>
      <c r="H3613" s="9">
        <f t="shared" si="232"/>
        <v>0</v>
      </c>
      <c r="I3613" s="10">
        <f t="shared" si="233"/>
        <v>0</v>
      </c>
    </row>
    <row r="3614" spans="1:9" x14ac:dyDescent="0.25">
      <c r="A3614" s="11" t="s">
        <v>8996</v>
      </c>
      <c r="B3614" s="11" t="s">
        <v>8997</v>
      </c>
      <c r="C3614" s="11" t="s">
        <v>2901</v>
      </c>
      <c r="D3614" s="4" t="s">
        <v>1406</v>
      </c>
      <c r="E3614" t="s">
        <v>30</v>
      </c>
      <c r="F3614" s="9">
        <f t="shared" si="230"/>
        <v>0</v>
      </c>
      <c r="G3614" s="9">
        <f t="shared" si="231"/>
        <v>0</v>
      </c>
      <c r="H3614" s="9">
        <f t="shared" si="232"/>
        <v>0</v>
      </c>
      <c r="I3614" s="10">
        <f t="shared" si="233"/>
        <v>0</v>
      </c>
    </row>
    <row r="3615" spans="1:9" x14ac:dyDescent="0.25">
      <c r="A3615" s="11" t="s">
        <v>8998</v>
      </c>
      <c r="B3615" s="11" t="s">
        <v>8999</v>
      </c>
      <c r="C3615" s="11" t="s">
        <v>2901</v>
      </c>
      <c r="D3615" s="4" t="s">
        <v>1406</v>
      </c>
      <c r="E3615" t="s">
        <v>30</v>
      </c>
      <c r="F3615" s="9">
        <f t="shared" si="230"/>
        <v>0</v>
      </c>
      <c r="G3615" s="9">
        <f t="shared" si="231"/>
        <v>0</v>
      </c>
      <c r="H3615" s="9">
        <f t="shared" si="232"/>
        <v>0</v>
      </c>
      <c r="I3615" s="10">
        <f t="shared" si="233"/>
        <v>0</v>
      </c>
    </row>
    <row r="3616" spans="1:9" x14ac:dyDescent="0.25">
      <c r="A3616" s="11" t="s">
        <v>9000</v>
      </c>
      <c r="B3616" s="11" t="s">
        <v>9001</v>
      </c>
      <c r="C3616" s="11" t="s">
        <v>2901</v>
      </c>
      <c r="D3616" s="4" t="s">
        <v>1406</v>
      </c>
      <c r="E3616" t="s">
        <v>30</v>
      </c>
      <c r="F3616" s="9">
        <f t="shared" si="230"/>
        <v>0</v>
      </c>
      <c r="G3616" s="9">
        <f t="shared" si="231"/>
        <v>0</v>
      </c>
      <c r="H3616" s="9">
        <f t="shared" si="232"/>
        <v>0</v>
      </c>
      <c r="I3616" s="10">
        <f t="shared" si="233"/>
        <v>0</v>
      </c>
    </row>
    <row r="3617" spans="1:9" x14ac:dyDescent="0.25">
      <c r="A3617" s="11" t="s">
        <v>9002</v>
      </c>
      <c r="B3617" s="11" t="s">
        <v>9003</v>
      </c>
      <c r="C3617" s="11" t="s">
        <v>2901</v>
      </c>
      <c r="D3617" s="4" t="s">
        <v>1406</v>
      </c>
      <c r="E3617" t="s">
        <v>30</v>
      </c>
      <c r="F3617" s="9">
        <f t="shared" si="230"/>
        <v>0</v>
      </c>
      <c r="G3617" s="9">
        <f t="shared" si="231"/>
        <v>0</v>
      </c>
      <c r="H3617" s="9">
        <f t="shared" si="232"/>
        <v>0</v>
      </c>
      <c r="I3617" s="10">
        <f t="shared" si="233"/>
        <v>0</v>
      </c>
    </row>
    <row r="3618" spans="1:9" x14ac:dyDescent="0.25">
      <c r="A3618" s="11" t="s">
        <v>9004</v>
      </c>
      <c r="B3618" s="11" t="s">
        <v>9005</v>
      </c>
      <c r="C3618" s="11" t="s">
        <v>2901</v>
      </c>
      <c r="D3618" s="4" t="s">
        <v>1406</v>
      </c>
      <c r="E3618" t="s">
        <v>30</v>
      </c>
      <c r="F3618" s="9">
        <f t="shared" si="230"/>
        <v>0</v>
      </c>
      <c r="G3618" s="9">
        <f t="shared" si="231"/>
        <v>0</v>
      </c>
      <c r="H3618" s="9">
        <f t="shared" si="232"/>
        <v>0</v>
      </c>
      <c r="I3618" s="10">
        <f t="shared" si="233"/>
        <v>0</v>
      </c>
    </row>
    <row r="3619" spans="1:9" x14ac:dyDescent="0.25">
      <c r="A3619" s="11" t="s">
        <v>9006</v>
      </c>
      <c r="B3619" s="11" t="s">
        <v>9007</v>
      </c>
      <c r="C3619" s="11" t="s">
        <v>2901</v>
      </c>
      <c r="D3619" s="4" t="s">
        <v>1406</v>
      </c>
      <c r="E3619" t="s">
        <v>30</v>
      </c>
      <c r="F3619" s="9">
        <f t="shared" si="230"/>
        <v>0</v>
      </c>
      <c r="G3619" s="9">
        <f t="shared" si="231"/>
        <v>0</v>
      </c>
      <c r="H3619" s="9">
        <f t="shared" si="232"/>
        <v>0</v>
      </c>
      <c r="I3619" s="10">
        <f t="shared" si="233"/>
        <v>0</v>
      </c>
    </row>
    <row r="3620" spans="1:9" x14ac:dyDescent="0.25">
      <c r="A3620" s="11" t="s">
        <v>9008</v>
      </c>
      <c r="B3620" s="11" t="s">
        <v>9009</v>
      </c>
      <c r="C3620" s="11" t="s">
        <v>2901</v>
      </c>
      <c r="D3620" s="4" t="s">
        <v>1406</v>
      </c>
      <c r="E3620" t="s">
        <v>30</v>
      </c>
      <c r="F3620" s="9">
        <f t="shared" si="230"/>
        <v>0</v>
      </c>
      <c r="G3620" s="9">
        <f t="shared" si="231"/>
        <v>0</v>
      </c>
      <c r="H3620" s="9">
        <f t="shared" si="232"/>
        <v>0</v>
      </c>
      <c r="I3620" s="10">
        <f t="shared" si="233"/>
        <v>0</v>
      </c>
    </row>
    <row r="3621" spans="1:9" x14ac:dyDescent="0.25">
      <c r="A3621" s="11" t="s">
        <v>9010</v>
      </c>
      <c r="B3621" s="11" t="s">
        <v>9011</v>
      </c>
      <c r="C3621" s="11" t="s">
        <v>2901</v>
      </c>
      <c r="D3621" s="4" t="s">
        <v>1406</v>
      </c>
      <c r="E3621" t="s">
        <v>30</v>
      </c>
      <c r="F3621" s="9">
        <f t="shared" si="230"/>
        <v>0</v>
      </c>
      <c r="G3621" s="9">
        <f t="shared" si="231"/>
        <v>0</v>
      </c>
      <c r="H3621" s="9">
        <f t="shared" si="232"/>
        <v>0</v>
      </c>
      <c r="I3621" s="10">
        <f t="shared" si="233"/>
        <v>0</v>
      </c>
    </row>
    <row r="3622" spans="1:9" x14ac:dyDescent="0.25">
      <c r="A3622" s="11" t="s">
        <v>9012</v>
      </c>
      <c r="B3622" s="11" t="s">
        <v>9013</v>
      </c>
      <c r="C3622" s="11" t="s">
        <v>2901</v>
      </c>
      <c r="D3622" s="4" t="s">
        <v>1406</v>
      </c>
      <c r="E3622" t="s">
        <v>30</v>
      </c>
      <c r="F3622" s="9">
        <f t="shared" si="230"/>
        <v>0</v>
      </c>
      <c r="G3622" s="9">
        <f t="shared" si="231"/>
        <v>0</v>
      </c>
      <c r="H3622" s="9">
        <f t="shared" si="232"/>
        <v>0</v>
      </c>
      <c r="I3622" s="10">
        <f t="shared" si="233"/>
        <v>0</v>
      </c>
    </row>
    <row r="3623" spans="1:9" x14ac:dyDescent="0.25">
      <c r="A3623" s="11" t="s">
        <v>9014</v>
      </c>
      <c r="B3623" s="11" t="s">
        <v>9015</v>
      </c>
      <c r="C3623" s="11" t="s">
        <v>2901</v>
      </c>
      <c r="D3623" s="4" t="s">
        <v>1406</v>
      </c>
      <c r="E3623" t="s">
        <v>30</v>
      </c>
      <c r="F3623" s="9">
        <f t="shared" si="230"/>
        <v>0</v>
      </c>
      <c r="G3623" s="9">
        <f t="shared" si="231"/>
        <v>0</v>
      </c>
      <c r="H3623" s="9">
        <f t="shared" si="232"/>
        <v>0</v>
      </c>
      <c r="I3623" s="10">
        <f t="shared" si="233"/>
        <v>0</v>
      </c>
    </row>
    <row r="3624" spans="1:9" x14ac:dyDescent="0.25">
      <c r="A3624" s="11" t="s">
        <v>9016</v>
      </c>
      <c r="B3624" s="11" t="s">
        <v>9017</v>
      </c>
      <c r="C3624" s="11" t="s">
        <v>2901</v>
      </c>
      <c r="D3624" s="4" t="s">
        <v>1406</v>
      </c>
      <c r="E3624" t="s">
        <v>30</v>
      </c>
      <c r="F3624" s="9">
        <f t="shared" si="230"/>
        <v>0</v>
      </c>
      <c r="G3624" s="9">
        <f t="shared" si="231"/>
        <v>0</v>
      </c>
      <c r="H3624" s="9">
        <f t="shared" si="232"/>
        <v>0</v>
      </c>
      <c r="I3624" s="10">
        <f t="shared" si="233"/>
        <v>0</v>
      </c>
    </row>
    <row r="3625" spans="1:9" x14ac:dyDescent="0.25">
      <c r="A3625" s="11" t="s">
        <v>9018</v>
      </c>
      <c r="B3625" s="11" t="s">
        <v>9019</v>
      </c>
      <c r="C3625" s="11" t="s">
        <v>2901</v>
      </c>
      <c r="D3625" s="4" t="s">
        <v>1406</v>
      </c>
      <c r="E3625" t="s">
        <v>30</v>
      </c>
      <c r="F3625" s="9">
        <f t="shared" si="230"/>
        <v>0</v>
      </c>
      <c r="G3625" s="9">
        <f t="shared" si="231"/>
        <v>0</v>
      </c>
      <c r="H3625" s="9">
        <f t="shared" si="232"/>
        <v>0</v>
      </c>
      <c r="I3625" s="10">
        <f t="shared" si="233"/>
        <v>0</v>
      </c>
    </row>
    <row r="3626" spans="1:9" x14ac:dyDescent="0.25">
      <c r="A3626" s="11" t="s">
        <v>9020</v>
      </c>
      <c r="B3626" s="11" t="s">
        <v>9021</v>
      </c>
      <c r="C3626" s="11" t="s">
        <v>2901</v>
      </c>
      <c r="D3626" s="4" t="s">
        <v>1406</v>
      </c>
      <c r="E3626" t="s">
        <v>30</v>
      </c>
      <c r="F3626" s="9">
        <f t="shared" si="230"/>
        <v>0</v>
      </c>
      <c r="G3626" s="9">
        <f t="shared" si="231"/>
        <v>0</v>
      </c>
      <c r="H3626" s="9">
        <f t="shared" si="232"/>
        <v>0</v>
      </c>
      <c r="I3626" s="10">
        <f t="shared" si="233"/>
        <v>0</v>
      </c>
    </row>
    <row r="3627" spans="1:9" x14ac:dyDescent="0.25">
      <c r="A3627" s="11" t="s">
        <v>9022</v>
      </c>
      <c r="B3627" s="11" t="s">
        <v>9023</v>
      </c>
      <c r="C3627" s="11" t="s">
        <v>2901</v>
      </c>
      <c r="D3627" s="4" t="s">
        <v>1406</v>
      </c>
      <c r="E3627" t="s">
        <v>30</v>
      </c>
      <c r="F3627" s="9">
        <f t="shared" si="230"/>
        <v>0</v>
      </c>
      <c r="G3627" s="9">
        <f t="shared" si="231"/>
        <v>0</v>
      </c>
      <c r="H3627" s="9">
        <f t="shared" si="232"/>
        <v>0</v>
      </c>
      <c r="I3627" s="10">
        <f t="shared" si="233"/>
        <v>0</v>
      </c>
    </row>
    <row r="3628" spans="1:9" x14ac:dyDescent="0.25">
      <c r="A3628" s="11" t="s">
        <v>9024</v>
      </c>
      <c r="B3628" s="11" t="s">
        <v>9025</v>
      </c>
      <c r="C3628" s="11" t="s">
        <v>2901</v>
      </c>
      <c r="D3628" s="4" t="s">
        <v>1406</v>
      </c>
      <c r="E3628" t="s">
        <v>30</v>
      </c>
      <c r="F3628" s="9">
        <f t="shared" si="230"/>
        <v>0</v>
      </c>
      <c r="G3628" s="9">
        <f t="shared" si="231"/>
        <v>0</v>
      </c>
      <c r="H3628" s="9">
        <f t="shared" si="232"/>
        <v>0</v>
      </c>
      <c r="I3628" s="10">
        <f t="shared" si="233"/>
        <v>0</v>
      </c>
    </row>
    <row r="3629" spans="1:9" x14ac:dyDescent="0.25">
      <c r="A3629" s="11" t="s">
        <v>9026</v>
      </c>
      <c r="B3629" s="11" t="s">
        <v>9027</v>
      </c>
      <c r="C3629" s="11" t="s">
        <v>2901</v>
      </c>
      <c r="D3629" s="4" t="s">
        <v>1406</v>
      </c>
      <c r="E3629" t="s">
        <v>30</v>
      </c>
      <c r="F3629" s="9">
        <f t="shared" si="230"/>
        <v>0</v>
      </c>
      <c r="G3629" s="9">
        <f t="shared" si="231"/>
        <v>0</v>
      </c>
      <c r="H3629" s="9">
        <f t="shared" si="232"/>
        <v>0</v>
      </c>
      <c r="I3629" s="10">
        <f t="shared" si="233"/>
        <v>0</v>
      </c>
    </row>
    <row r="3630" spans="1:9" x14ac:dyDescent="0.25">
      <c r="A3630" s="11" t="s">
        <v>9028</v>
      </c>
      <c r="B3630" s="11" t="s">
        <v>9029</v>
      </c>
      <c r="C3630" s="11" t="s">
        <v>2901</v>
      </c>
      <c r="D3630" s="4" t="s">
        <v>1406</v>
      </c>
      <c r="E3630" t="s">
        <v>30</v>
      </c>
      <c r="F3630" s="9">
        <f t="shared" si="230"/>
        <v>0</v>
      </c>
      <c r="G3630" s="9">
        <f t="shared" si="231"/>
        <v>0</v>
      </c>
      <c r="H3630" s="9">
        <f t="shared" si="232"/>
        <v>0</v>
      </c>
      <c r="I3630" s="10">
        <f t="shared" si="233"/>
        <v>0</v>
      </c>
    </row>
    <row r="3631" spans="1:9" x14ac:dyDescent="0.25">
      <c r="A3631" s="11" t="s">
        <v>9030</v>
      </c>
      <c r="B3631" s="11" t="s">
        <v>9031</v>
      </c>
      <c r="C3631" s="11" t="s">
        <v>2901</v>
      </c>
      <c r="D3631" s="4" t="s">
        <v>1406</v>
      </c>
      <c r="E3631" t="s">
        <v>30</v>
      </c>
      <c r="F3631" s="9">
        <f t="shared" si="230"/>
        <v>0</v>
      </c>
      <c r="G3631" s="9">
        <f t="shared" si="231"/>
        <v>0</v>
      </c>
      <c r="H3631" s="9">
        <f t="shared" si="232"/>
        <v>0</v>
      </c>
      <c r="I3631" s="10">
        <f t="shared" si="233"/>
        <v>0</v>
      </c>
    </row>
    <row r="3632" spans="1:9" x14ac:dyDescent="0.25">
      <c r="A3632" s="11" t="s">
        <v>9032</v>
      </c>
      <c r="B3632" s="11" t="s">
        <v>9033</v>
      </c>
      <c r="C3632" s="11" t="s">
        <v>2901</v>
      </c>
      <c r="D3632" s="4" t="s">
        <v>1406</v>
      </c>
      <c r="E3632" t="s">
        <v>30</v>
      </c>
      <c r="F3632" s="9">
        <f t="shared" si="230"/>
        <v>0</v>
      </c>
      <c r="G3632" s="9">
        <f t="shared" si="231"/>
        <v>0</v>
      </c>
      <c r="H3632" s="9">
        <f t="shared" si="232"/>
        <v>0</v>
      </c>
      <c r="I3632" s="10">
        <f t="shared" si="233"/>
        <v>0</v>
      </c>
    </row>
    <row r="3633" spans="1:9" x14ac:dyDescent="0.25">
      <c r="A3633" s="11" t="s">
        <v>9034</v>
      </c>
      <c r="B3633" s="11" t="s">
        <v>9035</v>
      </c>
      <c r="C3633" s="11" t="s">
        <v>2901</v>
      </c>
      <c r="D3633" s="4" t="s">
        <v>1406</v>
      </c>
      <c r="E3633" t="s">
        <v>30</v>
      </c>
      <c r="F3633" s="9">
        <f t="shared" si="230"/>
        <v>0</v>
      </c>
      <c r="G3633" s="9">
        <f t="shared" si="231"/>
        <v>0</v>
      </c>
      <c r="H3633" s="9">
        <f t="shared" si="232"/>
        <v>0</v>
      </c>
      <c r="I3633" s="10">
        <f t="shared" si="233"/>
        <v>0</v>
      </c>
    </row>
    <row r="3634" spans="1:9" x14ac:dyDescent="0.25">
      <c r="A3634" s="11" t="s">
        <v>9036</v>
      </c>
      <c r="B3634" s="11" t="s">
        <v>9037</v>
      </c>
      <c r="C3634" s="11" t="s">
        <v>2901</v>
      </c>
      <c r="D3634" s="4" t="s">
        <v>1406</v>
      </c>
      <c r="E3634" t="s">
        <v>30</v>
      </c>
      <c r="F3634" s="9">
        <f t="shared" si="230"/>
        <v>0</v>
      </c>
      <c r="G3634" s="9">
        <f t="shared" si="231"/>
        <v>0</v>
      </c>
      <c r="H3634" s="9">
        <f t="shared" si="232"/>
        <v>0</v>
      </c>
      <c r="I3634" s="10">
        <f t="shared" si="233"/>
        <v>0</v>
      </c>
    </row>
    <row r="3635" spans="1:9" x14ac:dyDescent="0.25">
      <c r="A3635" s="11" t="s">
        <v>9038</v>
      </c>
      <c r="B3635" s="11" t="s">
        <v>9039</v>
      </c>
      <c r="C3635" s="11" t="s">
        <v>2901</v>
      </c>
      <c r="D3635" s="4" t="s">
        <v>1406</v>
      </c>
      <c r="E3635" t="s">
        <v>30</v>
      </c>
      <c r="F3635" s="9">
        <f t="shared" si="230"/>
        <v>0</v>
      </c>
      <c r="G3635" s="9">
        <f t="shared" si="231"/>
        <v>0</v>
      </c>
      <c r="H3635" s="9">
        <f t="shared" si="232"/>
        <v>0</v>
      </c>
      <c r="I3635" s="10">
        <f t="shared" si="233"/>
        <v>0</v>
      </c>
    </row>
    <row r="3636" spans="1:9" x14ac:dyDescent="0.25">
      <c r="A3636" s="11" t="s">
        <v>9040</v>
      </c>
      <c r="B3636" s="11" t="s">
        <v>9041</v>
      </c>
      <c r="C3636" s="11" t="s">
        <v>2901</v>
      </c>
      <c r="D3636" s="4" t="s">
        <v>1406</v>
      </c>
      <c r="E3636" t="s">
        <v>30</v>
      </c>
      <c r="F3636" s="9">
        <f t="shared" si="230"/>
        <v>0</v>
      </c>
      <c r="G3636" s="9">
        <f t="shared" si="231"/>
        <v>0</v>
      </c>
      <c r="H3636" s="9">
        <f t="shared" si="232"/>
        <v>0</v>
      </c>
      <c r="I3636" s="10">
        <f t="shared" si="233"/>
        <v>0</v>
      </c>
    </row>
    <row r="3637" spans="1:9" x14ac:dyDescent="0.25">
      <c r="A3637" s="11" t="s">
        <v>9042</v>
      </c>
      <c r="B3637" s="11" t="s">
        <v>9043</v>
      </c>
      <c r="C3637" s="11" t="s">
        <v>2901</v>
      </c>
      <c r="D3637" s="4" t="s">
        <v>1406</v>
      </c>
      <c r="E3637" t="s">
        <v>30</v>
      </c>
      <c r="F3637" s="9">
        <f t="shared" si="230"/>
        <v>0</v>
      </c>
      <c r="G3637" s="9">
        <f t="shared" si="231"/>
        <v>0</v>
      </c>
      <c r="H3637" s="9">
        <f t="shared" si="232"/>
        <v>0</v>
      </c>
      <c r="I3637" s="10">
        <f t="shared" si="233"/>
        <v>0</v>
      </c>
    </row>
    <row r="3638" spans="1:9" x14ac:dyDescent="0.25">
      <c r="A3638" s="11" t="s">
        <v>9044</v>
      </c>
      <c r="B3638" s="11" t="s">
        <v>9045</v>
      </c>
      <c r="C3638" s="11" t="s">
        <v>2901</v>
      </c>
      <c r="D3638" s="4" t="s">
        <v>1406</v>
      </c>
      <c r="E3638" t="s">
        <v>30</v>
      </c>
      <c r="F3638" s="9">
        <f t="shared" si="230"/>
        <v>0</v>
      </c>
      <c r="G3638" s="9">
        <f t="shared" si="231"/>
        <v>0</v>
      </c>
      <c r="H3638" s="9">
        <f t="shared" si="232"/>
        <v>0</v>
      </c>
      <c r="I3638" s="10">
        <f t="shared" si="233"/>
        <v>0</v>
      </c>
    </row>
    <row r="3639" spans="1:9" x14ac:dyDescent="0.25">
      <c r="A3639" s="11" t="s">
        <v>9046</v>
      </c>
      <c r="B3639" s="11" t="s">
        <v>9047</v>
      </c>
      <c r="C3639" s="11" t="s">
        <v>2901</v>
      </c>
      <c r="D3639" s="4" t="s">
        <v>1406</v>
      </c>
      <c r="E3639" t="s">
        <v>30</v>
      </c>
      <c r="F3639" s="9">
        <f t="shared" si="230"/>
        <v>0</v>
      </c>
      <c r="G3639" s="9">
        <f t="shared" si="231"/>
        <v>0</v>
      </c>
      <c r="H3639" s="9">
        <f t="shared" si="232"/>
        <v>0</v>
      </c>
      <c r="I3639" s="10">
        <f t="shared" si="233"/>
        <v>0</v>
      </c>
    </row>
    <row r="3640" spans="1:9" x14ac:dyDescent="0.25">
      <c r="A3640" s="11" t="s">
        <v>9048</v>
      </c>
      <c r="B3640" s="11" t="s">
        <v>9049</v>
      </c>
      <c r="C3640" s="11" t="s">
        <v>2901</v>
      </c>
      <c r="D3640" s="4" t="s">
        <v>1406</v>
      </c>
      <c r="E3640" t="s">
        <v>30</v>
      </c>
      <c r="F3640" s="9">
        <f t="shared" si="230"/>
        <v>0</v>
      </c>
      <c r="G3640" s="9">
        <f t="shared" si="231"/>
        <v>0</v>
      </c>
      <c r="H3640" s="9">
        <f t="shared" si="232"/>
        <v>0</v>
      </c>
      <c r="I3640" s="10">
        <f t="shared" si="233"/>
        <v>0</v>
      </c>
    </row>
    <row r="3641" spans="1:9" x14ac:dyDescent="0.25">
      <c r="A3641" s="11" t="s">
        <v>9050</v>
      </c>
      <c r="B3641" s="11" t="s">
        <v>9051</v>
      </c>
      <c r="C3641" s="11" t="s">
        <v>2901</v>
      </c>
      <c r="D3641" s="4" t="s">
        <v>1406</v>
      </c>
      <c r="E3641" t="s">
        <v>30</v>
      </c>
      <c r="F3641" s="9">
        <f t="shared" si="230"/>
        <v>0</v>
      </c>
      <c r="G3641" s="9">
        <f t="shared" si="231"/>
        <v>0</v>
      </c>
      <c r="H3641" s="9">
        <f t="shared" si="232"/>
        <v>0</v>
      </c>
      <c r="I3641" s="10">
        <f t="shared" si="233"/>
        <v>0</v>
      </c>
    </row>
    <row r="3642" spans="1:9" x14ac:dyDescent="0.25">
      <c r="A3642" s="11" t="s">
        <v>9052</v>
      </c>
      <c r="B3642" s="11" t="s">
        <v>9053</v>
      </c>
      <c r="C3642" s="11" t="s">
        <v>2901</v>
      </c>
      <c r="D3642" s="4" t="s">
        <v>1406</v>
      </c>
      <c r="E3642" t="s">
        <v>30</v>
      </c>
      <c r="F3642" s="9">
        <f t="shared" si="230"/>
        <v>0</v>
      </c>
      <c r="G3642" s="9">
        <f t="shared" si="231"/>
        <v>0</v>
      </c>
      <c r="H3642" s="9">
        <f t="shared" si="232"/>
        <v>0</v>
      </c>
      <c r="I3642" s="10">
        <f t="shared" si="233"/>
        <v>0</v>
      </c>
    </row>
    <row r="3643" spans="1:9" x14ac:dyDescent="0.25">
      <c r="A3643" s="11" t="s">
        <v>9054</v>
      </c>
      <c r="B3643" s="11" t="s">
        <v>9055</v>
      </c>
      <c r="C3643" s="11" t="s">
        <v>2901</v>
      </c>
      <c r="D3643" s="4" t="s">
        <v>1406</v>
      </c>
      <c r="E3643" t="s">
        <v>30</v>
      </c>
      <c r="F3643" s="9">
        <f t="shared" si="230"/>
        <v>0</v>
      </c>
      <c r="G3643" s="9">
        <f t="shared" si="231"/>
        <v>0</v>
      </c>
      <c r="H3643" s="9">
        <f t="shared" si="232"/>
        <v>0</v>
      </c>
      <c r="I3643" s="10">
        <f t="shared" si="233"/>
        <v>0</v>
      </c>
    </row>
    <row r="3644" spans="1:9" x14ac:dyDescent="0.25">
      <c r="A3644" s="11" t="s">
        <v>9056</v>
      </c>
      <c r="B3644" s="11" t="s">
        <v>9057</v>
      </c>
      <c r="C3644" s="11" t="s">
        <v>2901</v>
      </c>
      <c r="D3644" s="4" t="s">
        <v>1406</v>
      </c>
      <c r="E3644" t="s">
        <v>30</v>
      </c>
      <c r="F3644" s="9">
        <f t="shared" si="230"/>
        <v>0</v>
      </c>
      <c r="G3644" s="9">
        <f t="shared" si="231"/>
        <v>0</v>
      </c>
      <c r="H3644" s="9">
        <f t="shared" si="232"/>
        <v>0</v>
      </c>
      <c r="I3644" s="10">
        <f t="shared" si="233"/>
        <v>0</v>
      </c>
    </row>
    <row r="3645" spans="1:9" x14ac:dyDescent="0.25">
      <c r="A3645" s="11" t="s">
        <v>9058</v>
      </c>
      <c r="B3645" s="11" t="s">
        <v>9059</v>
      </c>
      <c r="C3645" s="11" t="s">
        <v>2901</v>
      </c>
      <c r="D3645" s="4" t="s">
        <v>1406</v>
      </c>
      <c r="E3645" t="s">
        <v>30</v>
      </c>
      <c r="F3645" s="9">
        <f t="shared" si="230"/>
        <v>0</v>
      </c>
      <c r="G3645" s="9">
        <f t="shared" si="231"/>
        <v>0</v>
      </c>
      <c r="H3645" s="9">
        <f t="shared" si="232"/>
        <v>0</v>
      </c>
      <c r="I3645" s="10">
        <f t="shared" si="233"/>
        <v>0</v>
      </c>
    </row>
    <row r="3646" spans="1:9" x14ac:dyDescent="0.25">
      <c r="A3646" s="11" t="s">
        <v>9060</v>
      </c>
      <c r="B3646" s="11" t="s">
        <v>9061</v>
      </c>
      <c r="C3646" s="11" t="s">
        <v>2901</v>
      </c>
      <c r="D3646" s="4" t="s">
        <v>1406</v>
      </c>
      <c r="E3646" t="s">
        <v>30</v>
      </c>
      <c r="F3646" s="9">
        <f t="shared" si="230"/>
        <v>0</v>
      </c>
      <c r="G3646" s="9">
        <f t="shared" si="231"/>
        <v>0</v>
      </c>
      <c r="H3646" s="9">
        <f t="shared" si="232"/>
        <v>0</v>
      </c>
      <c r="I3646" s="10">
        <f t="shared" si="233"/>
        <v>0</v>
      </c>
    </row>
    <row r="3647" spans="1:9" x14ac:dyDescent="0.25">
      <c r="A3647" s="11" t="s">
        <v>9062</v>
      </c>
      <c r="B3647" s="11" t="s">
        <v>9063</v>
      </c>
      <c r="C3647" s="11" t="s">
        <v>2901</v>
      </c>
      <c r="D3647" s="4" t="s">
        <v>1406</v>
      </c>
      <c r="E3647" t="s">
        <v>30</v>
      </c>
      <c r="F3647" s="9">
        <f t="shared" si="230"/>
        <v>0</v>
      </c>
      <c r="G3647" s="9">
        <f t="shared" si="231"/>
        <v>0</v>
      </c>
      <c r="H3647" s="9">
        <f t="shared" si="232"/>
        <v>0</v>
      </c>
      <c r="I3647" s="10">
        <f t="shared" si="233"/>
        <v>0</v>
      </c>
    </row>
    <row r="3648" spans="1:9" x14ac:dyDescent="0.25">
      <c r="A3648" s="11" t="s">
        <v>9064</v>
      </c>
      <c r="B3648" s="11" t="s">
        <v>9065</v>
      </c>
      <c r="C3648" s="11" t="s">
        <v>2901</v>
      </c>
      <c r="D3648" s="4" t="s">
        <v>1406</v>
      </c>
      <c r="E3648" t="s">
        <v>30</v>
      </c>
      <c r="F3648" s="9">
        <f t="shared" si="230"/>
        <v>0</v>
      </c>
      <c r="G3648" s="9">
        <f t="shared" si="231"/>
        <v>0</v>
      </c>
      <c r="H3648" s="9">
        <f t="shared" si="232"/>
        <v>0</v>
      </c>
      <c r="I3648" s="10">
        <f t="shared" si="233"/>
        <v>0</v>
      </c>
    </row>
    <row r="3649" spans="1:9" x14ac:dyDescent="0.25">
      <c r="A3649" s="11" t="s">
        <v>9066</v>
      </c>
      <c r="B3649" s="11" t="s">
        <v>9067</v>
      </c>
      <c r="C3649" s="11" t="s">
        <v>2901</v>
      </c>
      <c r="D3649" s="4" t="s">
        <v>1406</v>
      </c>
      <c r="E3649" t="s">
        <v>30</v>
      </c>
      <c r="F3649" s="9">
        <f t="shared" si="230"/>
        <v>0</v>
      </c>
      <c r="G3649" s="9">
        <f t="shared" si="231"/>
        <v>0</v>
      </c>
      <c r="H3649" s="9">
        <f t="shared" si="232"/>
        <v>0</v>
      </c>
      <c r="I3649" s="10">
        <f t="shared" si="233"/>
        <v>0</v>
      </c>
    </row>
    <row r="3650" spans="1:9" x14ac:dyDescent="0.25">
      <c r="A3650" s="11" t="s">
        <v>4989</v>
      </c>
      <c r="B3650" s="11" t="s">
        <v>4988</v>
      </c>
      <c r="C3650" s="11" t="s">
        <v>2901</v>
      </c>
      <c r="D3650" s="4" t="s">
        <v>1406</v>
      </c>
      <c r="E3650" t="s">
        <v>30</v>
      </c>
      <c r="F3650" s="9">
        <f t="shared" ref="F3650:F3700" si="234">IFERROR(VLOOKUP(A3650,condi,8,0),0)</f>
        <v>0</v>
      </c>
      <c r="G3650" s="9">
        <f t="shared" ref="G3650:G3700" si="235">IFERROR(VLOOKUP(A3650,maqui,8,0),0)</f>
        <v>0</v>
      </c>
      <c r="H3650" s="9">
        <f t="shared" ref="H3650:H3700" si="236">IFERROR(VLOOKUP(A3650,ascint,8,0),0)</f>
        <v>0</v>
      </c>
      <c r="I3650" s="10">
        <f t="shared" ref="I3650:I3700" si="237">+F3650+G3650+H3650</f>
        <v>0</v>
      </c>
    </row>
    <row r="3651" spans="1:9" x14ac:dyDescent="0.25">
      <c r="A3651" s="11" t="s">
        <v>9068</v>
      </c>
      <c r="B3651" s="11" t="s">
        <v>9069</v>
      </c>
      <c r="C3651" s="11" t="s">
        <v>2901</v>
      </c>
      <c r="D3651" s="4" t="s">
        <v>1406</v>
      </c>
      <c r="E3651" t="s">
        <v>30</v>
      </c>
      <c r="F3651" s="9">
        <f t="shared" si="234"/>
        <v>0</v>
      </c>
      <c r="G3651" s="9">
        <f t="shared" si="235"/>
        <v>0</v>
      </c>
      <c r="H3651" s="9">
        <f t="shared" si="236"/>
        <v>0</v>
      </c>
      <c r="I3651" s="10">
        <f t="shared" si="237"/>
        <v>0</v>
      </c>
    </row>
    <row r="3652" spans="1:9" x14ac:dyDescent="0.25">
      <c r="A3652" s="11" t="s">
        <v>9070</v>
      </c>
      <c r="B3652" s="11" t="s">
        <v>9071</v>
      </c>
      <c r="C3652" s="11" t="s">
        <v>2901</v>
      </c>
      <c r="D3652" s="4" t="s">
        <v>1406</v>
      </c>
      <c r="E3652" t="s">
        <v>30</v>
      </c>
      <c r="F3652" s="9">
        <f t="shared" si="234"/>
        <v>0</v>
      </c>
      <c r="G3652" s="9">
        <f t="shared" si="235"/>
        <v>0</v>
      </c>
      <c r="H3652" s="9">
        <f t="shared" si="236"/>
        <v>0</v>
      </c>
      <c r="I3652" s="10">
        <f t="shared" si="237"/>
        <v>0</v>
      </c>
    </row>
    <row r="3653" spans="1:9" x14ac:dyDescent="0.25">
      <c r="A3653" s="11" t="s">
        <v>9072</v>
      </c>
      <c r="B3653" s="11" t="s">
        <v>9073</v>
      </c>
      <c r="C3653" s="11" t="s">
        <v>2922</v>
      </c>
      <c r="D3653" s="4" t="s">
        <v>1406</v>
      </c>
      <c r="E3653" t="s">
        <v>30</v>
      </c>
      <c r="F3653" s="9">
        <f t="shared" si="234"/>
        <v>0</v>
      </c>
      <c r="G3653" s="9">
        <f t="shared" si="235"/>
        <v>0</v>
      </c>
      <c r="H3653" s="9">
        <f t="shared" si="236"/>
        <v>0</v>
      </c>
      <c r="I3653" s="10">
        <f t="shared" si="237"/>
        <v>0</v>
      </c>
    </row>
    <row r="3654" spans="1:9" x14ac:dyDescent="0.25">
      <c r="A3654" s="11" t="s">
        <v>9074</v>
      </c>
      <c r="B3654" s="11" t="s">
        <v>9075</v>
      </c>
      <c r="C3654" s="11" t="s">
        <v>2922</v>
      </c>
      <c r="D3654" s="4" t="s">
        <v>1406</v>
      </c>
      <c r="E3654" t="s">
        <v>30</v>
      </c>
      <c r="F3654" s="9">
        <f t="shared" si="234"/>
        <v>0</v>
      </c>
      <c r="G3654" s="9">
        <f t="shared" si="235"/>
        <v>0</v>
      </c>
      <c r="H3654" s="9">
        <f t="shared" si="236"/>
        <v>0</v>
      </c>
      <c r="I3654" s="10">
        <f t="shared" si="237"/>
        <v>0</v>
      </c>
    </row>
    <row r="3655" spans="1:9" x14ac:dyDescent="0.25">
      <c r="A3655" s="11" t="s">
        <v>9076</v>
      </c>
      <c r="B3655" s="11" t="s">
        <v>9077</v>
      </c>
      <c r="C3655" s="11" t="s">
        <v>2922</v>
      </c>
      <c r="D3655" s="4" t="s">
        <v>1406</v>
      </c>
      <c r="E3655" t="s">
        <v>30</v>
      </c>
      <c r="F3655" s="9">
        <f t="shared" si="234"/>
        <v>0</v>
      </c>
      <c r="G3655" s="9">
        <f t="shared" si="235"/>
        <v>0</v>
      </c>
      <c r="H3655" s="9">
        <f t="shared" si="236"/>
        <v>0</v>
      </c>
      <c r="I3655" s="10">
        <f t="shared" si="237"/>
        <v>0</v>
      </c>
    </row>
    <row r="3656" spans="1:9" x14ac:dyDescent="0.25">
      <c r="A3656" s="11" t="s">
        <v>9078</v>
      </c>
      <c r="B3656" s="11" t="s">
        <v>9079</v>
      </c>
      <c r="C3656" s="11" t="s">
        <v>2922</v>
      </c>
      <c r="D3656" s="4" t="s">
        <v>1406</v>
      </c>
      <c r="E3656" t="s">
        <v>30</v>
      </c>
      <c r="F3656" s="9">
        <f t="shared" si="234"/>
        <v>0</v>
      </c>
      <c r="G3656" s="9">
        <f t="shared" si="235"/>
        <v>0</v>
      </c>
      <c r="H3656" s="9">
        <f t="shared" si="236"/>
        <v>0</v>
      </c>
      <c r="I3656" s="10">
        <f t="shared" si="237"/>
        <v>0</v>
      </c>
    </row>
    <row r="3657" spans="1:9" x14ac:dyDescent="0.25">
      <c r="A3657" s="11" t="s">
        <v>9080</v>
      </c>
      <c r="B3657" s="11" t="s">
        <v>9081</v>
      </c>
      <c r="C3657" s="11" t="s">
        <v>2922</v>
      </c>
      <c r="D3657" s="4" t="s">
        <v>1406</v>
      </c>
      <c r="E3657" t="s">
        <v>30</v>
      </c>
      <c r="F3657" s="9">
        <f t="shared" si="234"/>
        <v>0</v>
      </c>
      <c r="G3657" s="9">
        <f t="shared" si="235"/>
        <v>0</v>
      </c>
      <c r="H3657" s="9">
        <f t="shared" si="236"/>
        <v>0</v>
      </c>
      <c r="I3657" s="10">
        <f t="shared" si="237"/>
        <v>0</v>
      </c>
    </row>
    <row r="3658" spans="1:9" x14ac:dyDescent="0.25">
      <c r="A3658" s="11" t="s">
        <v>9082</v>
      </c>
      <c r="B3658" s="11" t="s">
        <v>9083</v>
      </c>
      <c r="C3658" s="11" t="s">
        <v>2922</v>
      </c>
      <c r="D3658" s="4" t="s">
        <v>1406</v>
      </c>
      <c r="E3658" t="s">
        <v>30</v>
      </c>
      <c r="F3658" s="9">
        <f t="shared" si="234"/>
        <v>0</v>
      </c>
      <c r="G3658" s="9">
        <f t="shared" si="235"/>
        <v>0</v>
      </c>
      <c r="H3658" s="9">
        <f t="shared" si="236"/>
        <v>0</v>
      </c>
      <c r="I3658" s="10">
        <f t="shared" si="237"/>
        <v>0</v>
      </c>
    </row>
    <row r="3659" spans="1:9" x14ac:dyDescent="0.25">
      <c r="A3659" s="11" t="s">
        <v>9084</v>
      </c>
      <c r="B3659" s="11" t="s">
        <v>9085</v>
      </c>
      <c r="C3659" s="11" t="s">
        <v>2922</v>
      </c>
      <c r="D3659" s="4" t="s">
        <v>1406</v>
      </c>
      <c r="E3659" t="s">
        <v>30</v>
      </c>
      <c r="F3659" s="9">
        <f t="shared" si="234"/>
        <v>0</v>
      </c>
      <c r="G3659" s="9">
        <f t="shared" si="235"/>
        <v>0</v>
      </c>
      <c r="H3659" s="9">
        <f t="shared" si="236"/>
        <v>0</v>
      </c>
      <c r="I3659" s="10">
        <f t="shared" si="237"/>
        <v>0</v>
      </c>
    </row>
    <row r="3660" spans="1:9" x14ac:dyDescent="0.25">
      <c r="A3660" s="11" t="s">
        <v>9086</v>
      </c>
      <c r="B3660" s="11" t="s">
        <v>9087</v>
      </c>
      <c r="C3660" s="11" t="s">
        <v>2922</v>
      </c>
      <c r="D3660" s="4" t="s">
        <v>1406</v>
      </c>
      <c r="E3660" t="s">
        <v>30</v>
      </c>
      <c r="F3660" s="9">
        <f t="shared" si="234"/>
        <v>0</v>
      </c>
      <c r="G3660" s="9">
        <f t="shared" si="235"/>
        <v>0</v>
      </c>
      <c r="H3660" s="9">
        <f t="shared" si="236"/>
        <v>0</v>
      </c>
      <c r="I3660" s="10">
        <f t="shared" si="237"/>
        <v>0</v>
      </c>
    </row>
    <row r="3661" spans="1:9" x14ac:dyDescent="0.25">
      <c r="A3661" s="11" t="s">
        <v>9088</v>
      </c>
      <c r="B3661" s="11" t="s">
        <v>9089</v>
      </c>
      <c r="C3661" s="11" t="s">
        <v>2922</v>
      </c>
      <c r="D3661" s="4" t="s">
        <v>1406</v>
      </c>
      <c r="E3661" t="s">
        <v>30</v>
      </c>
      <c r="F3661" s="9">
        <f t="shared" si="234"/>
        <v>0</v>
      </c>
      <c r="G3661" s="9">
        <f t="shared" si="235"/>
        <v>0</v>
      </c>
      <c r="H3661" s="9">
        <f t="shared" si="236"/>
        <v>0</v>
      </c>
      <c r="I3661" s="10">
        <f t="shared" si="237"/>
        <v>0</v>
      </c>
    </row>
    <row r="3662" spans="1:9" x14ac:dyDescent="0.25">
      <c r="A3662" s="11" t="s">
        <v>9090</v>
      </c>
      <c r="B3662" s="11" t="s">
        <v>9091</v>
      </c>
      <c r="C3662" s="11" t="s">
        <v>2922</v>
      </c>
      <c r="D3662" s="4" t="s">
        <v>1406</v>
      </c>
      <c r="E3662" t="s">
        <v>30</v>
      </c>
      <c r="F3662" s="9">
        <f t="shared" si="234"/>
        <v>0</v>
      </c>
      <c r="G3662" s="9">
        <f t="shared" si="235"/>
        <v>0</v>
      </c>
      <c r="H3662" s="9">
        <f t="shared" si="236"/>
        <v>0</v>
      </c>
      <c r="I3662" s="10">
        <f t="shared" si="237"/>
        <v>0</v>
      </c>
    </row>
    <row r="3663" spans="1:9" x14ac:dyDescent="0.25">
      <c r="A3663" s="11" t="s">
        <v>9092</v>
      </c>
      <c r="B3663" s="11" t="s">
        <v>9093</v>
      </c>
      <c r="C3663" s="11" t="s">
        <v>2922</v>
      </c>
      <c r="D3663" s="4" t="s">
        <v>1406</v>
      </c>
      <c r="E3663" t="s">
        <v>30</v>
      </c>
      <c r="F3663" s="9">
        <f t="shared" si="234"/>
        <v>0</v>
      </c>
      <c r="G3663" s="9">
        <f t="shared" si="235"/>
        <v>0</v>
      </c>
      <c r="H3663" s="9">
        <f t="shared" si="236"/>
        <v>0</v>
      </c>
      <c r="I3663" s="10">
        <f t="shared" si="237"/>
        <v>0</v>
      </c>
    </row>
    <row r="3664" spans="1:9" x14ac:dyDescent="0.25">
      <c r="A3664" s="11" t="s">
        <v>9094</v>
      </c>
      <c r="B3664" s="11" t="s">
        <v>9095</v>
      </c>
      <c r="C3664" s="11" t="s">
        <v>2922</v>
      </c>
      <c r="D3664" s="4" t="s">
        <v>1406</v>
      </c>
      <c r="E3664" t="s">
        <v>30</v>
      </c>
      <c r="F3664" s="9">
        <f t="shared" si="234"/>
        <v>0</v>
      </c>
      <c r="G3664" s="9">
        <f t="shared" si="235"/>
        <v>0</v>
      </c>
      <c r="H3664" s="9">
        <f t="shared" si="236"/>
        <v>0</v>
      </c>
      <c r="I3664" s="10">
        <f t="shared" si="237"/>
        <v>0</v>
      </c>
    </row>
    <row r="3665" spans="1:9" x14ac:dyDescent="0.25">
      <c r="A3665" s="11" t="s">
        <v>9096</v>
      </c>
      <c r="B3665" s="11" t="s">
        <v>9097</v>
      </c>
      <c r="C3665" s="11" t="s">
        <v>2922</v>
      </c>
      <c r="D3665" s="4" t="s">
        <v>1406</v>
      </c>
      <c r="E3665" t="s">
        <v>30</v>
      </c>
      <c r="F3665" s="9">
        <f t="shared" si="234"/>
        <v>0</v>
      </c>
      <c r="G3665" s="9">
        <f t="shared" si="235"/>
        <v>0</v>
      </c>
      <c r="H3665" s="9">
        <f t="shared" si="236"/>
        <v>0</v>
      </c>
      <c r="I3665" s="10">
        <f t="shared" si="237"/>
        <v>0</v>
      </c>
    </row>
    <row r="3666" spans="1:9" x14ac:dyDescent="0.25">
      <c r="A3666" s="11" t="s">
        <v>9098</v>
      </c>
      <c r="B3666" s="11" t="s">
        <v>9099</v>
      </c>
      <c r="C3666" s="11" t="s">
        <v>2922</v>
      </c>
      <c r="D3666" s="4" t="s">
        <v>1406</v>
      </c>
      <c r="E3666" t="s">
        <v>30</v>
      </c>
      <c r="F3666" s="9">
        <f t="shared" si="234"/>
        <v>0</v>
      </c>
      <c r="G3666" s="9">
        <f t="shared" si="235"/>
        <v>0</v>
      </c>
      <c r="H3666" s="9">
        <f t="shared" si="236"/>
        <v>0</v>
      </c>
      <c r="I3666" s="10">
        <f t="shared" si="237"/>
        <v>0</v>
      </c>
    </row>
    <row r="3667" spans="1:9" x14ac:dyDescent="0.25">
      <c r="A3667" s="11" t="s">
        <v>9100</v>
      </c>
      <c r="B3667" s="11" t="s">
        <v>9101</v>
      </c>
      <c r="C3667" s="11" t="s">
        <v>2922</v>
      </c>
      <c r="D3667" s="4" t="s">
        <v>1406</v>
      </c>
      <c r="E3667" t="s">
        <v>30</v>
      </c>
      <c r="F3667" s="9">
        <f t="shared" si="234"/>
        <v>0</v>
      </c>
      <c r="G3667" s="9">
        <f t="shared" si="235"/>
        <v>0</v>
      </c>
      <c r="H3667" s="9">
        <f t="shared" si="236"/>
        <v>0</v>
      </c>
      <c r="I3667" s="10">
        <f t="shared" si="237"/>
        <v>0</v>
      </c>
    </row>
    <row r="3668" spans="1:9" x14ac:dyDescent="0.25">
      <c r="A3668" s="11" t="s">
        <v>9102</v>
      </c>
      <c r="B3668" s="11" t="s">
        <v>9103</v>
      </c>
      <c r="C3668" s="11" t="s">
        <v>2922</v>
      </c>
      <c r="D3668" s="4" t="s">
        <v>1406</v>
      </c>
      <c r="E3668" t="s">
        <v>30</v>
      </c>
      <c r="F3668" s="9">
        <f t="shared" si="234"/>
        <v>0</v>
      </c>
      <c r="G3668" s="9">
        <f t="shared" si="235"/>
        <v>0</v>
      </c>
      <c r="H3668" s="9">
        <f t="shared" si="236"/>
        <v>0</v>
      </c>
      <c r="I3668" s="10">
        <f t="shared" si="237"/>
        <v>0</v>
      </c>
    </row>
    <row r="3669" spans="1:9" x14ac:dyDescent="0.25">
      <c r="A3669" s="11" t="s">
        <v>9104</v>
      </c>
      <c r="B3669" s="11" t="s">
        <v>9105</v>
      </c>
      <c r="C3669" s="11" t="s">
        <v>2922</v>
      </c>
      <c r="D3669" s="4" t="s">
        <v>1406</v>
      </c>
      <c r="E3669" t="s">
        <v>30</v>
      </c>
      <c r="F3669" s="9">
        <f t="shared" si="234"/>
        <v>0</v>
      </c>
      <c r="G3669" s="9">
        <f t="shared" si="235"/>
        <v>0</v>
      </c>
      <c r="H3669" s="9">
        <f t="shared" si="236"/>
        <v>0</v>
      </c>
      <c r="I3669" s="10">
        <f t="shared" si="237"/>
        <v>0</v>
      </c>
    </row>
    <row r="3670" spans="1:9" x14ac:dyDescent="0.25">
      <c r="A3670" s="11" t="s">
        <v>9106</v>
      </c>
      <c r="B3670" s="11" t="s">
        <v>9107</v>
      </c>
      <c r="C3670" s="11" t="s">
        <v>2922</v>
      </c>
      <c r="D3670" s="4" t="s">
        <v>1406</v>
      </c>
      <c r="E3670" t="s">
        <v>30</v>
      </c>
      <c r="F3670" s="9">
        <f t="shared" si="234"/>
        <v>0</v>
      </c>
      <c r="G3670" s="9">
        <f t="shared" si="235"/>
        <v>0</v>
      </c>
      <c r="H3670" s="9">
        <f t="shared" si="236"/>
        <v>0</v>
      </c>
      <c r="I3670" s="10">
        <f t="shared" si="237"/>
        <v>0</v>
      </c>
    </row>
    <row r="3671" spans="1:9" x14ac:dyDescent="0.25">
      <c r="A3671" s="11" t="s">
        <v>9108</v>
      </c>
      <c r="B3671" s="11" t="s">
        <v>9109</v>
      </c>
      <c r="C3671" s="11" t="s">
        <v>2922</v>
      </c>
      <c r="D3671" s="4" t="s">
        <v>1406</v>
      </c>
      <c r="E3671" t="s">
        <v>30</v>
      </c>
      <c r="F3671" s="9">
        <f t="shared" si="234"/>
        <v>0</v>
      </c>
      <c r="G3671" s="9">
        <f t="shared" si="235"/>
        <v>0</v>
      </c>
      <c r="H3671" s="9">
        <f t="shared" si="236"/>
        <v>0</v>
      </c>
      <c r="I3671" s="10">
        <f t="shared" si="237"/>
        <v>0</v>
      </c>
    </row>
    <row r="3672" spans="1:9" x14ac:dyDescent="0.25">
      <c r="A3672" s="11" t="s">
        <v>9110</v>
      </c>
      <c r="B3672" s="11" t="s">
        <v>9111</v>
      </c>
      <c r="C3672" s="11" t="s">
        <v>2922</v>
      </c>
      <c r="D3672" s="4" t="s">
        <v>1406</v>
      </c>
      <c r="E3672" t="s">
        <v>30</v>
      </c>
      <c r="F3672" s="9">
        <f t="shared" si="234"/>
        <v>0</v>
      </c>
      <c r="G3672" s="9">
        <f t="shared" si="235"/>
        <v>0</v>
      </c>
      <c r="H3672" s="9">
        <f t="shared" si="236"/>
        <v>0</v>
      </c>
      <c r="I3672" s="10">
        <f t="shared" si="237"/>
        <v>0</v>
      </c>
    </row>
    <row r="3673" spans="1:9" x14ac:dyDescent="0.25">
      <c r="A3673" s="11" t="s">
        <v>9112</v>
      </c>
      <c r="B3673" s="11" t="s">
        <v>9113</v>
      </c>
      <c r="C3673" s="11" t="s">
        <v>2922</v>
      </c>
      <c r="D3673" s="4" t="s">
        <v>1406</v>
      </c>
      <c r="E3673" t="s">
        <v>30</v>
      </c>
      <c r="F3673" s="9">
        <f t="shared" si="234"/>
        <v>0</v>
      </c>
      <c r="G3673" s="9">
        <f t="shared" si="235"/>
        <v>0</v>
      </c>
      <c r="H3673" s="9">
        <f t="shared" si="236"/>
        <v>0</v>
      </c>
      <c r="I3673" s="10">
        <f t="shared" si="237"/>
        <v>0</v>
      </c>
    </row>
    <row r="3674" spans="1:9" x14ac:dyDescent="0.25">
      <c r="A3674" s="11" t="s">
        <v>9114</v>
      </c>
      <c r="B3674" s="11" t="s">
        <v>9115</v>
      </c>
      <c r="C3674" s="11" t="s">
        <v>2922</v>
      </c>
      <c r="D3674" s="4" t="s">
        <v>1406</v>
      </c>
      <c r="E3674" t="s">
        <v>30</v>
      </c>
      <c r="F3674" s="9">
        <f t="shared" si="234"/>
        <v>0</v>
      </c>
      <c r="G3674" s="9">
        <f t="shared" si="235"/>
        <v>0</v>
      </c>
      <c r="H3674" s="9">
        <f t="shared" si="236"/>
        <v>0</v>
      </c>
      <c r="I3674" s="10">
        <f t="shared" si="237"/>
        <v>0</v>
      </c>
    </row>
    <row r="3675" spans="1:9" x14ac:dyDescent="0.25">
      <c r="A3675" s="11" t="s">
        <v>9116</v>
      </c>
      <c r="B3675" s="11" t="s">
        <v>9117</v>
      </c>
      <c r="C3675" s="11" t="s">
        <v>2922</v>
      </c>
      <c r="D3675" s="4" t="s">
        <v>1406</v>
      </c>
      <c r="E3675" t="s">
        <v>30</v>
      </c>
      <c r="F3675" s="9">
        <f t="shared" si="234"/>
        <v>0</v>
      </c>
      <c r="G3675" s="9">
        <f t="shared" si="235"/>
        <v>0</v>
      </c>
      <c r="H3675" s="9">
        <f t="shared" si="236"/>
        <v>0</v>
      </c>
      <c r="I3675" s="10">
        <f t="shared" si="237"/>
        <v>0</v>
      </c>
    </row>
    <row r="3676" spans="1:9" x14ac:dyDescent="0.25">
      <c r="A3676" s="11" t="s">
        <v>9118</v>
      </c>
      <c r="B3676" s="11" t="s">
        <v>9119</v>
      </c>
      <c r="C3676" s="11" t="s">
        <v>2922</v>
      </c>
      <c r="D3676" s="4" t="s">
        <v>1406</v>
      </c>
      <c r="E3676" t="s">
        <v>30</v>
      </c>
      <c r="F3676" s="9">
        <f t="shared" si="234"/>
        <v>0</v>
      </c>
      <c r="G3676" s="9">
        <f t="shared" si="235"/>
        <v>0</v>
      </c>
      <c r="H3676" s="9">
        <f t="shared" si="236"/>
        <v>0</v>
      </c>
      <c r="I3676" s="10">
        <f t="shared" si="237"/>
        <v>0</v>
      </c>
    </row>
    <row r="3677" spans="1:9" x14ac:dyDescent="0.25">
      <c r="A3677" s="11" t="s">
        <v>9120</v>
      </c>
      <c r="B3677" s="11" t="s">
        <v>9121</v>
      </c>
      <c r="C3677" s="11" t="s">
        <v>2922</v>
      </c>
      <c r="D3677" s="4" t="s">
        <v>1406</v>
      </c>
      <c r="E3677" t="s">
        <v>30</v>
      </c>
      <c r="F3677" s="9">
        <f t="shared" si="234"/>
        <v>0</v>
      </c>
      <c r="G3677" s="9">
        <f t="shared" si="235"/>
        <v>0</v>
      </c>
      <c r="H3677" s="9">
        <f t="shared" si="236"/>
        <v>0</v>
      </c>
      <c r="I3677" s="10">
        <f t="shared" si="237"/>
        <v>0</v>
      </c>
    </row>
    <row r="3678" spans="1:9" x14ac:dyDescent="0.25">
      <c r="A3678" s="11" t="s">
        <v>9122</v>
      </c>
      <c r="B3678" s="11" t="s">
        <v>9123</v>
      </c>
      <c r="C3678" s="11" t="s">
        <v>2922</v>
      </c>
      <c r="D3678" s="4" t="s">
        <v>1406</v>
      </c>
      <c r="E3678" t="s">
        <v>30</v>
      </c>
      <c r="F3678" s="9">
        <f t="shared" si="234"/>
        <v>0</v>
      </c>
      <c r="G3678" s="9">
        <f t="shared" si="235"/>
        <v>0</v>
      </c>
      <c r="H3678" s="9">
        <f t="shared" si="236"/>
        <v>0</v>
      </c>
      <c r="I3678" s="10">
        <f t="shared" si="237"/>
        <v>0</v>
      </c>
    </row>
    <row r="3679" spans="1:9" x14ac:dyDescent="0.25">
      <c r="A3679" s="11" t="s">
        <v>9124</v>
      </c>
      <c r="B3679" s="11" t="s">
        <v>9125</v>
      </c>
      <c r="C3679" s="11" t="s">
        <v>2922</v>
      </c>
      <c r="D3679" s="4" t="s">
        <v>1406</v>
      </c>
      <c r="E3679" t="s">
        <v>30</v>
      </c>
      <c r="F3679" s="9">
        <f t="shared" si="234"/>
        <v>0</v>
      </c>
      <c r="G3679" s="9">
        <f t="shared" si="235"/>
        <v>0</v>
      </c>
      <c r="H3679" s="9">
        <f t="shared" si="236"/>
        <v>0</v>
      </c>
      <c r="I3679" s="10">
        <f t="shared" si="237"/>
        <v>0</v>
      </c>
    </row>
    <row r="3680" spans="1:9" x14ac:dyDescent="0.25">
      <c r="A3680" s="11" t="s">
        <v>9126</v>
      </c>
      <c r="B3680" s="11" t="s">
        <v>9127</v>
      </c>
      <c r="C3680" s="11" t="s">
        <v>2922</v>
      </c>
      <c r="D3680" s="4" t="s">
        <v>1406</v>
      </c>
      <c r="E3680" t="s">
        <v>30</v>
      </c>
      <c r="F3680" s="9">
        <f t="shared" si="234"/>
        <v>0</v>
      </c>
      <c r="G3680" s="9">
        <f t="shared" si="235"/>
        <v>0</v>
      </c>
      <c r="H3680" s="9">
        <f t="shared" si="236"/>
        <v>0</v>
      </c>
      <c r="I3680" s="10">
        <f t="shared" si="237"/>
        <v>0</v>
      </c>
    </row>
    <row r="3681" spans="1:9" x14ac:dyDescent="0.25">
      <c r="A3681" s="11" t="s">
        <v>9128</v>
      </c>
      <c r="B3681" s="11" t="s">
        <v>9129</v>
      </c>
      <c r="C3681" s="11" t="s">
        <v>2922</v>
      </c>
      <c r="D3681" s="4" t="s">
        <v>1406</v>
      </c>
      <c r="E3681" t="s">
        <v>30</v>
      </c>
      <c r="F3681" s="9">
        <f t="shared" si="234"/>
        <v>0</v>
      </c>
      <c r="G3681" s="9">
        <f t="shared" si="235"/>
        <v>0</v>
      </c>
      <c r="H3681" s="9">
        <f t="shared" si="236"/>
        <v>0</v>
      </c>
      <c r="I3681" s="10">
        <f t="shared" si="237"/>
        <v>0</v>
      </c>
    </row>
    <row r="3682" spans="1:9" x14ac:dyDescent="0.25">
      <c r="A3682" s="11" t="s">
        <v>9130</v>
      </c>
      <c r="B3682" s="11" t="s">
        <v>9131</v>
      </c>
      <c r="C3682" s="11" t="s">
        <v>2922</v>
      </c>
      <c r="D3682" s="4" t="s">
        <v>1406</v>
      </c>
      <c r="E3682" t="s">
        <v>30</v>
      </c>
      <c r="F3682" s="9">
        <f t="shared" si="234"/>
        <v>0</v>
      </c>
      <c r="G3682" s="9">
        <f t="shared" si="235"/>
        <v>0</v>
      </c>
      <c r="H3682" s="9">
        <f t="shared" si="236"/>
        <v>0</v>
      </c>
      <c r="I3682" s="10">
        <f t="shared" si="237"/>
        <v>0</v>
      </c>
    </row>
    <row r="3683" spans="1:9" x14ac:dyDescent="0.25">
      <c r="A3683" s="11" t="s">
        <v>9132</v>
      </c>
      <c r="B3683" s="11" t="s">
        <v>9133</v>
      </c>
      <c r="C3683" s="11" t="s">
        <v>2922</v>
      </c>
      <c r="D3683" s="4" t="s">
        <v>1406</v>
      </c>
      <c r="E3683" t="s">
        <v>30</v>
      </c>
      <c r="F3683" s="9">
        <f t="shared" si="234"/>
        <v>0</v>
      </c>
      <c r="G3683" s="9">
        <f t="shared" si="235"/>
        <v>0</v>
      </c>
      <c r="H3683" s="9">
        <f t="shared" si="236"/>
        <v>0</v>
      </c>
      <c r="I3683" s="10">
        <f t="shared" si="237"/>
        <v>0</v>
      </c>
    </row>
    <row r="3684" spans="1:9" x14ac:dyDescent="0.25">
      <c r="A3684" s="11" t="s">
        <v>9134</v>
      </c>
      <c r="B3684" s="11" t="s">
        <v>9135</v>
      </c>
      <c r="C3684" s="11" t="s">
        <v>2922</v>
      </c>
      <c r="D3684" s="4" t="s">
        <v>1406</v>
      </c>
      <c r="E3684" t="s">
        <v>30</v>
      </c>
      <c r="F3684" s="9">
        <f t="shared" si="234"/>
        <v>0</v>
      </c>
      <c r="G3684" s="9">
        <f t="shared" si="235"/>
        <v>0</v>
      </c>
      <c r="H3684" s="9">
        <f t="shared" si="236"/>
        <v>0</v>
      </c>
      <c r="I3684" s="10">
        <f t="shared" si="237"/>
        <v>0</v>
      </c>
    </row>
    <row r="3685" spans="1:9" x14ac:dyDescent="0.25">
      <c r="A3685" s="11" t="s">
        <v>9136</v>
      </c>
      <c r="B3685" s="11" t="s">
        <v>9137</v>
      </c>
      <c r="C3685" s="11" t="s">
        <v>2922</v>
      </c>
      <c r="D3685" s="4" t="s">
        <v>1406</v>
      </c>
      <c r="E3685" t="s">
        <v>30</v>
      </c>
      <c r="F3685" s="9">
        <f t="shared" si="234"/>
        <v>0</v>
      </c>
      <c r="G3685" s="9">
        <f t="shared" si="235"/>
        <v>0</v>
      </c>
      <c r="H3685" s="9">
        <f t="shared" si="236"/>
        <v>0</v>
      </c>
      <c r="I3685" s="10">
        <f t="shared" si="237"/>
        <v>0</v>
      </c>
    </row>
    <row r="3686" spans="1:9" x14ac:dyDescent="0.25">
      <c r="A3686" s="11" t="s">
        <v>9138</v>
      </c>
      <c r="B3686" s="11" t="s">
        <v>9139</v>
      </c>
      <c r="C3686" s="11" t="s">
        <v>2922</v>
      </c>
      <c r="D3686" s="4" t="s">
        <v>1406</v>
      </c>
      <c r="E3686" t="s">
        <v>30</v>
      </c>
      <c r="F3686" s="9">
        <f t="shared" si="234"/>
        <v>0</v>
      </c>
      <c r="G3686" s="9">
        <f t="shared" si="235"/>
        <v>0</v>
      </c>
      <c r="H3686" s="9">
        <f t="shared" si="236"/>
        <v>0</v>
      </c>
      <c r="I3686" s="10">
        <f t="shared" si="237"/>
        <v>0</v>
      </c>
    </row>
    <row r="3687" spans="1:9" x14ac:dyDescent="0.25">
      <c r="A3687" s="11" t="s">
        <v>9140</v>
      </c>
      <c r="B3687" s="11" t="s">
        <v>9141</v>
      </c>
      <c r="C3687" s="11" t="s">
        <v>2922</v>
      </c>
      <c r="D3687" s="4" t="s">
        <v>1406</v>
      </c>
      <c r="E3687" t="s">
        <v>30</v>
      </c>
      <c r="F3687" s="9">
        <f t="shared" si="234"/>
        <v>0</v>
      </c>
      <c r="G3687" s="9">
        <f t="shared" si="235"/>
        <v>0</v>
      </c>
      <c r="H3687" s="9">
        <f t="shared" si="236"/>
        <v>0</v>
      </c>
      <c r="I3687" s="10">
        <f t="shared" si="237"/>
        <v>0</v>
      </c>
    </row>
    <row r="3688" spans="1:9" x14ac:dyDescent="0.25">
      <c r="A3688" s="11" t="s">
        <v>9142</v>
      </c>
      <c r="B3688" s="11" t="s">
        <v>9143</v>
      </c>
      <c r="C3688" s="11" t="s">
        <v>2922</v>
      </c>
      <c r="D3688" s="4" t="s">
        <v>1406</v>
      </c>
      <c r="E3688" t="s">
        <v>30</v>
      </c>
      <c r="F3688" s="9">
        <f t="shared" si="234"/>
        <v>0</v>
      </c>
      <c r="G3688" s="9">
        <f t="shared" si="235"/>
        <v>0</v>
      </c>
      <c r="H3688" s="9">
        <f t="shared" si="236"/>
        <v>0</v>
      </c>
      <c r="I3688" s="10">
        <f t="shared" si="237"/>
        <v>0</v>
      </c>
    </row>
    <row r="3689" spans="1:9" x14ac:dyDescent="0.25">
      <c r="A3689" s="11" t="s">
        <v>9144</v>
      </c>
      <c r="B3689" s="11" t="s">
        <v>9145</v>
      </c>
      <c r="C3689" s="11" t="s">
        <v>2922</v>
      </c>
      <c r="D3689" s="4" t="s">
        <v>1406</v>
      </c>
      <c r="E3689" t="s">
        <v>30</v>
      </c>
      <c r="F3689" s="9">
        <f t="shared" si="234"/>
        <v>0</v>
      </c>
      <c r="G3689" s="9">
        <f t="shared" si="235"/>
        <v>0</v>
      </c>
      <c r="H3689" s="9">
        <f t="shared" si="236"/>
        <v>0</v>
      </c>
      <c r="I3689" s="10">
        <f t="shared" si="237"/>
        <v>0</v>
      </c>
    </row>
    <row r="3690" spans="1:9" x14ac:dyDescent="0.25">
      <c r="A3690" s="11" t="s">
        <v>9146</v>
      </c>
      <c r="B3690" s="11" t="s">
        <v>9147</v>
      </c>
      <c r="C3690" s="11" t="s">
        <v>2922</v>
      </c>
      <c r="D3690" s="4" t="s">
        <v>1406</v>
      </c>
      <c r="E3690" t="s">
        <v>30</v>
      </c>
      <c r="F3690" s="9">
        <f t="shared" si="234"/>
        <v>0</v>
      </c>
      <c r="G3690" s="9">
        <f t="shared" si="235"/>
        <v>0</v>
      </c>
      <c r="H3690" s="9">
        <f t="shared" si="236"/>
        <v>0</v>
      </c>
      <c r="I3690" s="10">
        <f t="shared" si="237"/>
        <v>0</v>
      </c>
    </row>
    <row r="3691" spans="1:9" x14ac:dyDescent="0.25">
      <c r="A3691" s="11" t="s">
        <v>9148</v>
      </c>
      <c r="B3691" s="11" t="s">
        <v>9149</v>
      </c>
      <c r="C3691" s="11" t="s">
        <v>2922</v>
      </c>
      <c r="D3691" s="4" t="s">
        <v>1406</v>
      </c>
      <c r="E3691" t="s">
        <v>30</v>
      </c>
      <c r="F3691" s="9">
        <f t="shared" si="234"/>
        <v>0</v>
      </c>
      <c r="G3691" s="9">
        <f t="shared" si="235"/>
        <v>0</v>
      </c>
      <c r="H3691" s="9">
        <f t="shared" si="236"/>
        <v>0</v>
      </c>
      <c r="I3691" s="10">
        <f t="shared" si="237"/>
        <v>0</v>
      </c>
    </row>
    <row r="3692" spans="1:9" x14ac:dyDescent="0.25">
      <c r="A3692" s="11" t="s">
        <v>9150</v>
      </c>
      <c r="B3692" s="11" t="s">
        <v>9151</v>
      </c>
      <c r="C3692" s="11" t="s">
        <v>2922</v>
      </c>
      <c r="D3692" s="4" t="s">
        <v>1406</v>
      </c>
      <c r="E3692" t="s">
        <v>30</v>
      </c>
      <c r="F3692" s="9">
        <f t="shared" si="234"/>
        <v>0</v>
      </c>
      <c r="G3692" s="9">
        <f t="shared" si="235"/>
        <v>0</v>
      </c>
      <c r="H3692" s="9">
        <f t="shared" si="236"/>
        <v>0</v>
      </c>
      <c r="I3692" s="10">
        <f t="shared" si="237"/>
        <v>0</v>
      </c>
    </row>
    <row r="3693" spans="1:9" x14ac:dyDescent="0.25">
      <c r="A3693" s="11" t="s">
        <v>9152</v>
      </c>
      <c r="B3693" s="11" t="s">
        <v>9153</v>
      </c>
      <c r="C3693" s="11" t="s">
        <v>2922</v>
      </c>
      <c r="D3693" s="4" t="s">
        <v>1406</v>
      </c>
      <c r="E3693" t="s">
        <v>30</v>
      </c>
      <c r="F3693" s="9">
        <f t="shared" si="234"/>
        <v>0</v>
      </c>
      <c r="G3693" s="9">
        <f t="shared" si="235"/>
        <v>0</v>
      </c>
      <c r="H3693" s="9">
        <f t="shared" si="236"/>
        <v>0</v>
      </c>
      <c r="I3693" s="10">
        <f t="shared" si="237"/>
        <v>0</v>
      </c>
    </row>
    <row r="3694" spans="1:9" x14ac:dyDescent="0.25">
      <c r="A3694" s="11" t="s">
        <v>9154</v>
      </c>
      <c r="B3694" s="11" t="s">
        <v>9155</v>
      </c>
      <c r="C3694" s="11" t="s">
        <v>2922</v>
      </c>
      <c r="D3694" s="4" t="s">
        <v>1406</v>
      </c>
      <c r="E3694" t="s">
        <v>30</v>
      </c>
      <c r="F3694" s="9">
        <f t="shared" si="234"/>
        <v>0</v>
      </c>
      <c r="G3694" s="9">
        <f t="shared" si="235"/>
        <v>0</v>
      </c>
      <c r="H3694" s="9">
        <f t="shared" si="236"/>
        <v>0</v>
      </c>
      <c r="I3694" s="10">
        <f t="shared" si="237"/>
        <v>0</v>
      </c>
    </row>
    <row r="3695" spans="1:9" x14ac:dyDescent="0.25">
      <c r="A3695" s="11" t="s">
        <v>9156</v>
      </c>
      <c r="B3695" s="11" t="s">
        <v>9157</v>
      </c>
      <c r="C3695" s="11" t="s">
        <v>2922</v>
      </c>
      <c r="D3695" s="4" t="s">
        <v>1406</v>
      </c>
      <c r="E3695" t="s">
        <v>30</v>
      </c>
      <c r="F3695" s="9">
        <f t="shared" si="234"/>
        <v>0</v>
      </c>
      <c r="G3695" s="9">
        <f t="shared" si="235"/>
        <v>0</v>
      </c>
      <c r="H3695" s="9">
        <f t="shared" si="236"/>
        <v>0</v>
      </c>
      <c r="I3695" s="10">
        <f t="shared" si="237"/>
        <v>0</v>
      </c>
    </row>
    <row r="3696" spans="1:9" x14ac:dyDescent="0.25">
      <c r="A3696" s="11" t="s">
        <v>9158</v>
      </c>
      <c r="B3696" s="11" t="s">
        <v>9159</v>
      </c>
      <c r="C3696" s="11" t="s">
        <v>2922</v>
      </c>
      <c r="D3696" s="4" t="s">
        <v>1406</v>
      </c>
      <c r="E3696" t="s">
        <v>30</v>
      </c>
      <c r="F3696" s="9">
        <f t="shared" si="234"/>
        <v>0</v>
      </c>
      <c r="G3696" s="9">
        <f t="shared" si="235"/>
        <v>0</v>
      </c>
      <c r="H3696" s="9">
        <f t="shared" si="236"/>
        <v>0</v>
      </c>
      <c r="I3696" s="10">
        <f t="shared" si="237"/>
        <v>0</v>
      </c>
    </row>
    <row r="3697" spans="1:9" x14ac:dyDescent="0.25">
      <c r="A3697" s="11" t="s">
        <v>9160</v>
      </c>
      <c r="B3697" s="11" t="s">
        <v>9161</v>
      </c>
      <c r="C3697" s="11" t="s">
        <v>2922</v>
      </c>
      <c r="D3697" s="4" t="s">
        <v>1406</v>
      </c>
      <c r="E3697" t="s">
        <v>30</v>
      </c>
      <c r="F3697" s="9">
        <f t="shared" si="234"/>
        <v>0</v>
      </c>
      <c r="G3697" s="9">
        <f t="shared" si="235"/>
        <v>0</v>
      </c>
      <c r="H3697" s="9">
        <f t="shared" si="236"/>
        <v>0</v>
      </c>
      <c r="I3697" s="10">
        <f t="shared" si="237"/>
        <v>0</v>
      </c>
    </row>
    <row r="3698" spans="1:9" x14ac:dyDescent="0.25">
      <c r="A3698" s="11" t="s">
        <v>9162</v>
      </c>
      <c r="B3698" s="11" t="s">
        <v>9163</v>
      </c>
      <c r="C3698" s="11" t="s">
        <v>2922</v>
      </c>
      <c r="D3698" s="4" t="s">
        <v>1406</v>
      </c>
      <c r="E3698" t="s">
        <v>30</v>
      </c>
      <c r="F3698" s="9">
        <f t="shared" si="234"/>
        <v>0</v>
      </c>
      <c r="G3698" s="9">
        <f t="shared" si="235"/>
        <v>0</v>
      </c>
      <c r="H3698" s="9">
        <f t="shared" si="236"/>
        <v>0</v>
      </c>
      <c r="I3698" s="10">
        <f t="shared" si="237"/>
        <v>0</v>
      </c>
    </row>
    <row r="3699" spans="1:9" x14ac:dyDescent="0.25">
      <c r="A3699" s="11" t="s">
        <v>9164</v>
      </c>
      <c r="B3699" s="11" t="s">
        <v>9165</v>
      </c>
      <c r="C3699" s="11" t="s">
        <v>2922</v>
      </c>
      <c r="D3699" s="4" t="s">
        <v>1406</v>
      </c>
      <c r="E3699" t="s">
        <v>30</v>
      </c>
      <c r="F3699" s="9">
        <f t="shared" si="234"/>
        <v>0</v>
      </c>
      <c r="G3699" s="9">
        <f t="shared" si="235"/>
        <v>0</v>
      </c>
      <c r="H3699" s="9">
        <f t="shared" si="236"/>
        <v>0</v>
      </c>
      <c r="I3699" s="10">
        <f t="shared" si="237"/>
        <v>0</v>
      </c>
    </row>
    <row r="3700" spans="1:9" x14ac:dyDescent="0.25">
      <c r="A3700" s="11" t="s">
        <v>9166</v>
      </c>
      <c r="B3700" s="11" t="s">
        <v>9167</v>
      </c>
      <c r="C3700" s="11" t="s">
        <v>2922</v>
      </c>
      <c r="D3700" s="4" t="s">
        <v>1406</v>
      </c>
      <c r="E3700" t="s">
        <v>30</v>
      </c>
      <c r="F3700" s="9">
        <f t="shared" si="234"/>
        <v>0</v>
      </c>
      <c r="G3700" s="9">
        <f t="shared" si="235"/>
        <v>0</v>
      </c>
      <c r="H3700" s="9">
        <f t="shared" si="236"/>
        <v>0</v>
      </c>
      <c r="I3700" s="10">
        <f t="shared" si="237"/>
        <v>0</v>
      </c>
    </row>
    <row r="3701" spans="1:9" x14ac:dyDescent="0.25">
      <c r="A3701" s="11" t="s">
        <v>9168</v>
      </c>
      <c r="B3701" s="11" t="s">
        <v>9169</v>
      </c>
      <c r="C3701" s="11" t="s">
        <v>2922</v>
      </c>
      <c r="D3701" s="4" t="s">
        <v>1406</v>
      </c>
      <c r="E3701" t="s">
        <v>30</v>
      </c>
      <c r="F3701" s="9">
        <f t="shared" ref="F3701:F3759" si="238">IFERROR(VLOOKUP(A3701,condi,8,0),0)</f>
        <v>0</v>
      </c>
      <c r="G3701" s="9">
        <f t="shared" ref="G3701:G3759" si="239">IFERROR(VLOOKUP(A3701,maqui,8,0),0)</f>
        <v>0</v>
      </c>
      <c r="H3701" s="9">
        <f t="shared" ref="H3701:H3759" si="240">IFERROR(VLOOKUP(A3701,ascint,8,0),0)</f>
        <v>0</v>
      </c>
      <c r="I3701" s="10">
        <f t="shared" ref="I3701:I3759" si="241">+F3701+G3701+H3701</f>
        <v>0</v>
      </c>
    </row>
    <row r="3702" spans="1:9" x14ac:dyDescent="0.25">
      <c r="A3702" s="11" t="s">
        <v>9170</v>
      </c>
      <c r="B3702" s="11" t="s">
        <v>9171</v>
      </c>
      <c r="C3702" s="11" t="s">
        <v>2922</v>
      </c>
      <c r="D3702" s="4" t="s">
        <v>1406</v>
      </c>
      <c r="E3702" t="s">
        <v>30</v>
      </c>
      <c r="F3702" s="9">
        <f t="shared" si="238"/>
        <v>0</v>
      </c>
      <c r="G3702" s="9">
        <f t="shared" si="239"/>
        <v>0</v>
      </c>
      <c r="H3702" s="9">
        <f t="shared" si="240"/>
        <v>0</v>
      </c>
      <c r="I3702" s="10">
        <f t="shared" si="241"/>
        <v>0</v>
      </c>
    </row>
    <row r="3703" spans="1:9" x14ac:dyDescent="0.25">
      <c r="A3703" s="11" t="s">
        <v>9172</v>
      </c>
      <c r="B3703" s="11" t="s">
        <v>9173</v>
      </c>
      <c r="C3703" s="11" t="s">
        <v>2922</v>
      </c>
      <c r="D3703" s="4" t="s">
        <v>1406</v>
      </c>
      <c r="E3703" t="s">
        <v>30</v>
      </c>
      <c r="F3703" s="9">
        <f t="shared" si="238"/>
        <v>0</v>
      </c>
      <c r="G3703" s="9">
        <f t="shared" si="239"/>
        <v>0</v>
      </c>
      <c r="H3703" s="9">
        <f t="shared" si="240"/>
        <v>0</v>
      </c>
      <c r="I3703" s="10">
        <f t="shared" si="241"/>
        <v>0</v>
      </c>
    </row>
    <row r="3704" spans="1:9" x14ac:dyDescent="0.25">
      <c r="A3704" s="11" t="s">
        <v>9174</v>
      </c>
      <c r="B3704" s="11" t="s">
        <v>9175</v>
      </c>
      <c r="C3704" s="11" t="s">
        <v>2922</v>
      </c>
      <c r="D3704" s="4" t="s">
        <v>1406</v>
      </c>
      <c r="E3704" t="s">
        <v>30</v>
      </c>
      <c r="F3704" s="9">
        <f t="shared" si="238"/>
        <v>0</v>
      </c>
      <c r="G3704" s="9">
        <f t="shared" si="239"/>
        <v>0</v>
      </c>
      <c r="H3704" s="9">
        <f t="shared" si="240"/>
        <v>0</v>
      </c>
      <c r="I3704" s="10">
        <f t="shared" si="241"/>
        <v>0</v>
      </c>
    </row>
    <row r="3705" spans="1:9" x14ac:dyDescent="0.25">
      <c r="A3705" s="11" t="s">
        <v>9176</v>
      </c>
      <c r="B3705" s="11" t="s">
        <v>9177</v>
      </c>
      <c r="C3705" s="11" t="s">
        <v>2922</v>
      </c>
      <c r="D3705" s="4" t="s">
        <v>1406</v>
      </c>
      <c r="E3705" t="s">
        <v>30</v>
      </c>
      <c r="F3705" s="9">
        <f t="shared" si="238"/>
        <v>0</v>
      </c>
      <c r="G3705" s="9">
        <f t="shared" si="239"/>
        <v>0</v>
      </c>
      <c r="H3705" s="9">
        <f t="shared" si="240"/>
        <v>0</v>
      </c>
      <c r="I3705" s="10">
        <f t="shared" si="241"/>
        <v>0</v>
      </c>
    </row>
    <row r="3706" spans="1:9" x14ac:dyDescent="0.25">
      <c r="A3706" s="11" t="s">
        <v>9178</v>
      </c>
      <c r="B3706" s="11" t="s">
        <v>9179</v>
      </c>
      <c r="C3706" s="11" t="s">
        <v>2922</v>
      </c>
      <c r="D3706" s="4" t="s">
        <v>1406</v>
      </c>
      <c r="E3706" t="s">
        <v>30</v>
      </c>
      <c r="F3706" s="9">
        <f t="shared" si="238"/>
        <v>0</v>
      </c>
      <c r="G3706" s="9">
        <f t="shared" si="239"/>
        <v>0</v>
      </c>
      <c r="H3706" s="9">
        <f t="shared" si="240"/>
        <v>0</v>
      </c>
      <c r="I3706" s="10">
        <f t="shared" si="241"/>
        <v>0</v>
      </c>
    </row>
    <row r="3707" spans="1:9" x14ac:dyDescent="0.25">
      <c r="A3707" s="11" t="s">
        <v>9180</v>
      </c>
      <c r="B3707" s="11" t="s">
        <v>9181</v>
      </c>
      <c r="C3707" s="11" t="s">
        <v>2922</v>
      </c>
      <c r="D3707" s="4" t="s">
        <v>1406</v>
      </c>
      <c r="E3707" t="s">
        <v>30</v>
      </c>
      <c r="F3707" s="9">
        <f t="shared" si="238"/>
        <v>0</v>
      </c>
      <c r="G3707" s="9">
        <f t="shared" si="239"/>
        <v>0</v>
      </c>
      <c r="H3707" s="9">
        <f t="shared" si="240"/>
        <v>0</v>
      </c>
      <c r="I3707" s="10">
        <f t="shared" si="241"/>
        <v>0</v>
      </c>
    </row>
    <row r="3708" spans="1:9" x14ac:dyDescent="0.25">
      <c r="A3708" s="11" t="s">
        <v>9182</v>
      </c>
      <c r="B3708" s="11" t="s">
        <v>9183</v>
      </c>
      <c r="C3708" s="11" t="s">
        <v>2922</v>
      </c>
      <c r="D3708" s="4" t="s">
        <v>1406</v>
      </c>
      <c r="E3708" t="s">
        <v>30</v>
      </c>
      <c r="F3708" s="9">
        <f t="shared" si="238"/>
        <v>0</v>
      </c>
      <c r="G3708" s="9">
        <f t="shared" si="239"/>
        <v>0</v>
      </c>
      <c r="H3708" s="9">
        <f t="shared" si="240"/>
        <v>0</v>
      </c>
      <c r="I3708" s="10">
        <f t="shared" si="241"/>
        <v>0</v>
      </c>
    </row>
    <row r="3709" spans="1:9" x14ac:dyDescent="0.25">
      <c r="A3709" s="11" t="s">
        <v>9184</v>
      </c>
      <c r="B3709" s="11" t="s">
        <v>9185</v>
      </c>
      <c r="C3709" s="11" t="s">
        <v>2922</v>
      </c>
      <c r="D3709" s="4" t="s">
        <v>1406</v>
      </c>
      <c r="E3709" t="s">
        <v>30</v>
      </c>
      <c r="F3709" s="9">
        <f t="shared" si="238"/>
        <v>0</v>
      </c>
      <c r="G3709" s="9">
        <f t="shared" si="239"/>
        <v>0</v>
      </c>
      <c r="H3709" s="9">
        <f t="shared" si="240"/>
        <v>0</v>
      </c>
      <c r="I3709" s="10">
        <f t="shared" si="241"/>
        <v>0</v>
      </c>
    </row>
    <row r="3710" spans="1:9" x14ac:dyDescent="0.25">
      <c r="A3710" s="11" t="s">
        <v>9186</v>
      </c>
      <c r="B3710" s="11" t="s">
        <v>9187</v>
      </c>
      <c r="C3710" s="11" t="s">
        <v>2922</v>
      </c>
      <c r="D3710" s="4" t="s">
        <v>1406</v>
      </c>
      <c r="E3710" t="s">
        <v>30</v>
      </c>
      <c r="F3710" s="9">
        <f t="shared" si="238"/>
        <v>0</v>
      </c>
      <c r="G3710" s="9">
        <f t="shared" si="239"/>
        <v>0</v>
      </c>
      <c r="H3710" s="9">
        <f t="shared" si="240"/>
        <v>0</v>
      </c>
      <c r="I3710" s="10">
        <f t="shared" si="241"/>
        <v>0</v>
      </c>
    </row>
    <row r="3711" spans="1:9" x14ac:dyDescent="0.25">
      <c r="A3711" s="11" t="s">
        <v>9188</v>
      </c>
      <c r="B3711" s="11" t="s">
        <v>9189</v>
      </c>
      <c r="C3711" s="11" t="s">
        <v>2922</v>
      </c>
      <c r="D3711" s="4" t="s">
        <v>1406</v>
      </c>
      <c r="E3711" t="s">
        <v>30</v>
      </c>
      <c r="F3711" s="9">
        <f t="shared" si="238"/>
        <v>0</v>
      </c>
      <c r="G3711" s="9">
        <f t="shared" si="239"/>
        <v>0</v>
      </c>
      <c r="H3711" s="9">
        <f t="shared" si="240"/>
        <v>0</v>
      </c>
      <c r="I3711" s="10">
        <f t="shared" si="241"/>
        <v>0</v>
      </c>
    </row>
    <row r="3712" spans="1:9" x14ac:dyDescent="0.25">
      <c r="A3712" s="11" t="s">
        <v>9190</v>
      </c>
      <c r="B3712" s="11" t="s">
        <v>5815</v>
      </c>
      <c r="C3712" s="11" t="s">
        <v>81</v>
      </c>
      <c r="D3712" s="4" t="s">
        <v>1406</v>
      </c>
      <c r="E3712" t="s">
        <v>82</v>
      </c>
      <c r="F3712" s="9">
        <f t="shared" si="238"/>
        <v>0</v>
      </c>
      <c r="G3712" s="9">
        <f t="shared" si="239"/>
        <v>0</v>
      </c>
      <c r="H3712" s="9">
        <f t="shared" si="240"/>
        <v>0</v>
      </c>
      <c r="I3712" s="10">
        <f t="shared" si="241"/>
        <v>0</v>
      </c>
    </row>
    <row r="3713" spans="1:9" x14ac:dyDescent="0.25">
      <c r="A3713" s="11" t="s">
        <v>9191</v>
      </c>
      <c r="B3713" s="11" t="s">
        <v>9192</v>
      </c>
      <c r="C3713" s="11" t="s">
        <v>81</v>
      </c>
      <c r="D3713" s="4" t="s">
        <v>1406</v>
      </c>
      <c r="E3713" t="s">
        <v>489</v>
      </c>
      <c r="F3713" s="9">
        <f t="shared" si="238"/>
        <v>0</v>
      </c>
      <c r="G3713" s="9">
        <f t="shared" si="239"/>
        <v>0</v>
      </c>
      <c r="H3713" s="9">
        <f t="shared" si="240"/>
        <v>0</v>
      </c>
      <c r="I3713" s="10">
        <f t="shared" si="241"/>
        <v>0</v>
      </c>
    </row>
    <row r="3714" spans="1:9" x14ac:dyDescent="0.25">
      <c r="A3714" s="11" t="s">
        <v>9193</v>
      </c>
      <c r="B3714" s="11" t="s">
        <v>9194</v>
      </c>
      <c r="C3714" s="11" t="s">
        <v>81</v>
      </c>
      <c r="D3714" s="4" t="s">
        <v>1406</v>
      </c>
      <c r="E3714" t="s">
        <v>82</v>
      </c>
      <c r="F3714" s="9">
        <f t="shared" si="238"/>
        <v>0</v>
      </c>
      <c r="G3714" s="9">
        <f t="shared" si="239"/>
        <v>0</v>
      </c>
      <c r="H3714" s="9">
        <f t="shared" si="240"/>
        <v>0</v>
      </c>
      <c r="I3714" s="10">
        <f t="shared" si="241"/>
        <v>0</v>
      </c>
    </row>
    <row r="3715" spans="1:9" x14ac:dyDescent="0.25">
      <c r="A3715" s="11" t="s">
        <v>9195</v>
      </c>
      <c r="B3715" s="11" t="s">
        <v>5614</v>
      </c>
      <c r="C3715" s="11" t="s">
        <v>81</v>
      </c>
      <c r="D3715" s="4" t="s">
        <v>1406</v>
      </c>
      <c r="E3715" t="s">
        <v>82</v>
      </c>
      <c r="F3715" s="9">
        <f t="shared" si="238"/>
        <v>0</v>
      </c>
      <c r="G3715" s="9">
        <f t="shared" si="239"/>
        <v>0</v>
      </c>
      <c r="H3715" s="9">
        <f t="shared" si="240"/>
        <v>0</v>
      </c>
      <c r="I3715" s="10">
        <f t="shared" si="241"/>
        <v>0</v>
      </c>
    </row>
    <row r="3716" spans="1:9" x14ac:dyDescent="0.25">
      <c r="A3716" s="11" t="s">
        <v>9196</v>
      </c>
      <c r="B3716" s="11" t="s">
        <v>9197</v>
      </c>
      <c r="C3716" s="11" t="s">
        <v>81</v>
      </c>
      <c r="D3716" s="4" t="s">
        <v>1406</v>
      </c>
      <c r="E3716" t="s">
        <v>489</v>
      </c>
      <c r="F3716" s="9">
        <f t="shared" si="238"/>
        <v>0</v>
      </c>
      <c r="G3716" s="9">
        <f t="shared" si="239"/>
        <v>0</v>
      </c>
      <c r="H3716" s="9">
        <f t="shared" si="240"/>
        <v>0</v>
      </c>
      <c r="I3716" s="10">
        <f t="shared" si="241"/>
        <v>0</v>
      </c>
    </row>
    <row r="3717" spans="1:9" x14ac:dyDescent="0.25">
      <c r="A3717" s="11" t="s">
        <v>9198</v>
      </c>
      <c r="B3717" s="11" t="s">
        <v>9199</v>
      </c>
      <c r="C3717" s="11" t="s">
        <v>81</v>
      </c>
      <c r="D3717" s="4" t="s">
        <v>1406</v>
      </c>
      <c r="E3717" t="s">
        <v>82</v>
      </c>
      <c r="F3717" s="9">
        <f t="shared" si="238"/>
        <v>0</v>
      </c>
      <c r="G3717" s="9">
        <f t="shared" si="239"/>
        <v>0</v>
      </c>
      <c r="H3717" s="9">
        <f t="shared" si="240"/>
        <v>0</v>
      </c>
      <c r="I3717" s="10">
        <f t="shared" si="241"/>
        <v>0</v>
      </c>
    </row>
    <row r="3718" spans="1:9" x14ac:dyDescent="0.25">
      <c r="A3718" s="11" t="s">
        <v>9200</v>
      </c>
      <c r="B3718" s="11" t="s">
        <v>9201</v>
      </c>
      <c r="C3718" s="11" t="s">
        <v>81</v>
      </c>
      <c r="D3718" s="4" t="s">
        <v>1406</v>
      </c>
      <c r="E3718" t="s">
        <v>82</v>
      </c>
      <c r="F3718" s="9">
        <f t="shared" si="238"/>
        <v>0</v>
      </c>
      <c r="G3718" s="9">
        <f t="shared" si="239"/>
        <v>0</v>
      </c>
      <c r="H3718" s="9">
        <f t="shared" si="240"/>
        <v>0</v>
      </c>
      <c r="I3718" s="10">
        <f t="shared" si="241"/>
        <v>0</v>
      </c>
    </row>
    <row r="3719" spans="1:9" x14ac:dyDescent="0.25">
      <c r="A3719" s="11" t="s">
        <v>9202</v>
      </c>
      <c r="B3719" s="11" t="s">
        <v>9203</v>
      </c>
      <c r="C3719" s="11" t="s">
        <v>81</v>
      </c>
      <c r="D3719" s="4" t="s">
        <v>1406</v>
      </c>
      <c r="E3719" t="s">
        <v>82</v>
      </c>
      <c r="F3719" s="9">
        <f t="shared" si="238"/>
        <v>0</v>
      </c>
      <c r="G3719" s="9">
        <f t="shared" si="239"/>
        <v>0</v>
      </c>
      <c r="H3719" s="9">
        <f t="shared" si="240"/>
        <v>0</v>
      </c>
      <c r="I3719" s="10">
        <f t="shared" si="241"/>
        <v>0</v>
      </c>
    </row>
    <row r="3720" spans="1:9" x14ac:dyDescent="0.25">
      <c r="A3720" s="11" t="s">
        <v>9204</v>
      </c>
      <c r="B3720" s="11" t="s">
        <v>9205</v>
      </c>
      <c r="C3720" s="11" t="s">
        <v>81</v>
      </c>
      <c r="D3720" s="4" t="s">
        <v>1406</v>
      </c>
      <c r="E3720" t="s">
        <v>82</v>
      </c>
      <c r="F3720" s="9">
        <f t="shared" si="238"/>
        <v>0</v>
      </c>
      <c r="G3720" s="9">
        <f t="shared" si="239"/>
        <v>0</v>
      </c>
      <c r="H3720" s="9">
        <f t="shared" si="240"/>
        <v>0</v>
      </c>
      <c r="I3720" s="10">
        <f t="shared" si="241"/>
        <v>0</v>
      </c>
    </row>
    <row r="3721" spans="1:9" x14ac:dyDescent="0.25">
      <c r="A3721" s="11" t="s">
        <v>9206</v>
      </c>
      <c r="B3721" s="11" t="s">
        <v>9207</v>
      </c>
      <c r="C3721" s="11" t="s">
        <v>81</v>
      </c>
      <c r="D3721" s="4" t="s">
        <v>1406</v>
      </c>
      <c r="E3721" t="s">
        <v>82</v>
      </c>
      <c r="F3721" s="9">
        <f t="shared" si="238"/>
        <v>0</v>
      </c>
      <c r="G3721" s="9">
        <f t="shared" si="239"/>
        <v>0</v>
      </c>
      <c r="H3721" s="9">
        <f t="shared" si="240"/>
        <v>0</v>
      </c>
      <c r="I3721" s="10">
        <f t="shared" si="241"/>
        <v>0</v>
      </c>
    </row>
    <row r="3722" spans="1:9" x14ac:dyDescent="0.25">
      <c r="A3722" s="11" t="s">
        <v>9208</v>
      </c>
      <c r="B3722" s="11" t="s">
        <v>5877</v>
      </c>
      <c r="C3722" s="11" t="s">
        <v>81</v>
      </c>
      <c r="D3722" s="4" t="s">
        <v>1406</v>
      </c>
      <c r="E3722" t="s">
        <v>489</v>
      </c>
      <c r="F3722" s="9">
        <f t="shared" si="238"/>
        <v>0</v>
      </c>
      <c r="G3722" s="9">
        <f t="shared" si="239"/>
        <v>0</v>
      </c>
      <c r="H3722" s="9">
        <f t="shared" si="240"/>
        <v>0</v>
      </c>
      <c r="I3722" s="10">
        <f t="shared" si="241"/>
        <v>0</v>
      </c>
    </row>
    <row r="3723" spans="1:9" x14ac:dyDescent="0.25">
      <c r="A3723" s="11" t="s">
        <v>9209</v>
      </c>
      <c r="B3723" s="11" t="s">
        <v>9210</v>
      </c>
      <c r="C3723" s="11" t="s">
        <v>81</v>
      </c>
      <c r="D3723" s="4" t="s">
        <v>1406</v>
      </c>
      <c r="E3723" t="s">
        <v>489</v>
      </c>
      <c r="F3723" s="9">
        <f t="shared" si="238"/>
        <v>0</v>
      </c>
      <c r="G3723" s="9">
        <f t="shared" si="239"/>
        <v>0</v>
      </c>
      <c r="H3723" s="9">
        <f t="shared" si="240"/>
        <v>0</v>
      </c>
      <c r="I3723" s="10">
        <f t="shared" si="241"/>
        <v>0</v>
      </c>
    </row>
    <row r="3724" spans="1:9" x14ac:dyDescent="0.25">
      <c r="A3724" s="11" t="s">
        <v>9211</v>
      </c>
      <c r="B3724" s="11" t="s">
        <v>9212</v>
      </c>
      <c r="C3724" s="11" t="s">
        <v>81</v>
      </c>
      <c r="D3724" s="4" t="s">
        <v>1406</v>
      </c>
      <c r="E3724" t="s">
        <v>82</v>
      </c>
      <c r="F3724" s="9">
        <f t="shared" si="238"/>
        <v>0</v>
      </c>
      <c r="G3724" s="9">
        <f t="shared" si="239"/>
        <v>0</v>
      </c>
      <c r="H3724" s="9">
        <f t="shared" si="240"/>
        <v>0</v>
      </c>
      <c r="I3724" s="10">
        <f t="shared" si="241"/>
        <v>0</v>
      </c>
    </row>
    <row r="3725" spans="1:9" x14ac:dyDescent="0.25">
      <c r="A3725" s="11" t="s">
        <v>9213</v>
      </c>
      <c r="B3725" s="11" t="s">
        <v>9214</v>
      </c>
      <c r="C3725" s="11" t="s">
        <v>81</v>
      </c>
      <c r="D3725" s="4" t="s">
        <v>1406</v>
      </c>
      <c r="E3725" t="s">
        <v>82</v>
      </c>
      <c r="F3725" s="9">
        <f t="shared" si="238"/>
        <v>0</v>
      </c>
      <c r="G3725" s="9">
        <f t="shared" si="239"/>
        <v>0</v>
      </c>
      <c r="H3725" s="9">
        <f t="shared" si="240"/>
        <v>0</v>
      </c>
      <c r="I3725" s="10">
        <f t="shared" si="241"/>
        <v>0</v>
      </c>
    </row>
    <row r="3726" spans="1:9" x14ac:dyDescent="0.25">
      <c r="A3726" s="11" t="s">
        <v>9215</v>
      </c>
      <c r="B3726" s="11" t="s">
        <v>5914</v>
      </c>
      <c r="C3726" s="11" t="s">
        <v>81</v>
      </c>
      <c r="D3726" s="4" t="s">
        <v>1406</v>
      </c>
      <c r="E3726" t="s">
        <v>82</v>
      </c>
      <c r="F3726" s="9">
        <f t="shared" si="238"/>
        <v>0</v>
      </c>
      <c r="G3726" s="9">
        <f t="shared" si="239"/>
        <v>0</v>
      </c>
      <c r="H3726" s="9">
        <f t="shared" si="240"/>
        <v>0</v>
      </c>
      <c r="I3726" s="10">
        <f t="shared" si="241"/>
        <v>0</v>
      </c>
    </row>
    <row r="3727" spans="1:9" x14ac:dyDescent="0.25">
      <c r="A3727" s="11" t="s">
        <v>9216</v>
      </c>
      <c r="B3727" s="11" t="s">
        <v>5920</v>
      </c>
      <c r="C3727" s="11" t="s">
        <v>81</v>
      </c>
      <c r="D3727" s="4" t="s">
        <v>1406</v>
      </c>
      <c r="E3727" t="s">
        <v>489</v>
      </c>
      <c r="F3727" s="9">
        <f t="shared" si="238"/>
        <v>0</v>
      </c>
      <c r="G3727" s="9">
        <f t="shared" si="239"/>
        <v>0</v>
      </c>
      <c r="H3727" s="9">
        <f t="shared" si="240"/>
        <v>0</v>
      </c>
      <c r="I3727" s="10">
        <f t="shared" si="241"/>
        <v>0</v>
      </c>
    </row>
    <row r="3728" spans="1:9" x14ac:dyDescent="0.25">
      <c r="A3728" s="11" t="s">
        <v>9217</v>
      </c>
      <c r="B3728" s="11" t="s">
        <v>5926</v>
      </c>
      <c r="C3728" s="11" t="s">
        <v>81</v>
      </c>
      <c r="D3728" s="4" t="s">
        <v>1406</v>
      </c>
      <c r="E3728" t="s">
        <v>489</v>
      </c>
      <c r="F3728" s="9">
        <f t="shared" si="238"/>
        <v>0</v>
      </c>
      <c r="G3728" s="9">
        <f t="shared" si="239"/>
        <v>0</v>
      </c>
      <c r="H3728" s="9">
        <f t="shared" si="240"/>
        <v>0</v>
      </c>
      <c r="I3728" s="10">
        <f t="shared" si="241"/>
        <v>0</v>
      </c>
    </row>
    <row r="3729" spans="1:9" x14ac:dyDescent="0.25">
      <c r="A3729" s="11" t="s">
        <v>9218</v>
      </c>
      <c r="B3729" s="11" t="s">
        <v>9219</v>
      </c>
      <c r="C3729" s="11" t="s">
        <v>81</v>
      </c>
      <c r="D3729" s="4" t="s">
        <v>1406</v>
      </c>
      <c r="E3729" t="s">
        <v>489</v>
      </c>
      <c r="F3729" s="9">
        <f t="shared" si="238"/>
        <v>0</v>
      </c>
      <c r="G3729" s="9">
        <f t="shared" si="239"/>
        <v>0</v>
      </c>
      <c r="H3729" s="9">
        <f t="shared" si="240"/>
        <v>0</v>
      </c>
      <c r="I3729" s="10">
        <f t="shared" si="241"/>
        <v>0</v>
      </c>
    </row>
    <row r="3730" spans="1:9" x14ac:dyDescent="0.25">
      <c r="A3730" s="11" t="s">
        <v>9220</v>
      </c>
      <c r="B3730" s="11" t="s">
        <v>9221</v>
      </c>
      <c r="C3730" s="11" t="s">
        <v>81</v>
      </c>
      <c r="D3730" s="4" t="s">
        <v>1406</v>
      </c>
      <c r="E3730" t="s">
        <v>489</v>
      </c>
      <c r="F3730" s="9">
        <f t="shared" si="238"/>
        <v>0</v>
      </c>
      <c r="G3730" s="9">
        <f t="shared" si="239"/>
        <v>0</v>
      </c>
      <c r="H3730" s="9">
        <f t="shared" si="240"/>
        <v>0</v>
      </c>
      <c r="I3730" s="10">
        <f t="shared" si="241"/>
        <v>0</v>
      </c>
    </row>
    <row r="3731" spans="1:9" x14ac:dyDescent="0.25">
      <c r="A3731" s="11" t="s">
        <v>9222</v>
      </c>
      <c r="B3731" s="11" t="s">
        <v>5942</v>
      </c>
      <c r="C3731" s="11" t="s">
        <v>81</v>
      </c>
      <c r="D3731" s="4" t="s">
        <v>1406</v>
      </c>
      <c r="E3731" t="s">
        <v>489</v>
      </c>
      <c r="F3731" s="9">
        <f t="shared" si="238"/>
        <v>0</v>
      </c>
      <c r="G3731" s="9">
        <f t="shared" si="239"/>
        <v>0</v>
      </c>
      <c r="H3731" s="9">
        <f t="shared" si="240"/>
        <v>0</v>
      </c>
      <c r="I3731" s="10">
        <f t="shared" si="241"/>
        <v>0</v>
      </c>
    </row>
    <row r="3732" spans="1:9" x14ac:dyDescent="0.25">
      <c r="A3732" s="11" t="s">
        <v>9223</v>
      </c>
      <c r="B3732" s="11" t="s">
        <v>5950</v>
      </c>
      <c r="C3732" s="11" t="s">
        <v>81</v>
      </c>
      <c r="D3732" s="4" t="s">
        <v>1406</v>
      </c>
      <c r="E3732" t="s">
        <v>82</v>
      </c>
      <c r="F3732" s="9">
        <f t="shared" si="238"/>
        <v>0</v>
      </c>
      <c r="G3732" s="9">
        <f t="shared" si="239"/>
        <v>0</v>
      </c>
      <c r="H3732" s="9">
        <f t="shared" si="240"/>
        <v>0</v>
      </c>
      <c r="I3732" s="10">
        <f t="shared" si="241"/>
        <v>0</v>
      </c>
    </row>
    <row r="3733" spans="1:9" x14ac:dyDescent="0.25">
      <c r="A3733" s="11" t="s">
        <v>9224</v>
      </c>
      <c r="B3733" s="11" t="s">
        <v>5952</v>
      </c>
      <c r="C3733" s="11" t="s">
        <v>81</v>
      </c>
      <c r="D3733" s="4" t="s">
        <v>1406</v>
      </c>
      <c r="E3733" t="s">
        <v>82</v>
      </c>
      <c r="F3733" s="9">
        <f t="shared" si="238"/>
        <v>0</v>
      </c>
      <c r="G3733" s="9">
        <f t="shared" si="239"/>
        <v>0</v>
      </c>
      <c r="H3733" s="9">
        <f t="shared" si="240"/>
        <v>0</v>
      </c>
      <c r="I3733" s="10">
        <f t="shared" si="241"/>
        <v>0</v>
      </c>
    </row>
    <row r="3734" spans="1:9" x14ac:dyDescent="0.25">
      <c r="A3734" s="11" t="s">
        <v>9225</v>
      </c>
      <c r="B3734" s="11" t="s">
        <v>9226</v>
      </c>
      <c r="C3734" s="11" t="s">
        <v>81</v>
      </c>
      <c r="D3734" s="4" t="s">
        <v>1406</v>
      </c>
      <c r="E3734" t="s">
        <v>82</v>
      </c>
      <c r="F3734" s="9">
        <f t="shared" si="238"/>
        <v>0</v>
      </c>
      <c r="G3734" s="9">
        <f t="shared" si="239"/>
        <v>0</v>
      </c>
      <c r="H3734" s="9">
        <f t="shared" si="240"/>
        <v>0</v>
      </c>
      <c r="I3734" s="10">
        <f t="shared" si="241"/>
        <v>0</v>
      </c>
    </row>
    <row r="3735" spans="1:9" x14ac:dyDescent="0.25">
      <c r="A3735" s="11" t="s">
        <v>9227</v>
      </c>
      <c r="B3735" s="11" t="s">
        <v>9228</v>
      </c>
      <c r="C3735" s="11" t="s">
        <v>81</v>
      </c>
      <c r="D3735" s="4" t="s">
        <v>1406</v>
      </c>
      <c r="E3735" t="s">
        <v>489</v>
      </c>
      <c r="F3735" s="9">
        <f t="shared" si="238"/>
        <v>0</v>
      </c>
      <c r="G3735" s="9">
        <f t="shared" si="239"/>
        <v>0</v>
      </c>
      <c r="H3735" s="9">
        <f t="shared" si="240"/>
        <v>0</v>
      </c>
      <c r="I3735" s="10">
        <f t="shared" si="241"/>
        <v>0</v>
      </c>
    </row>
    <row r="3736" spans="1:9" x14ac:dyDescent="0.25">
      <c r="A3736" s="11" t="s">
        <v>9229</v>
      </c>
      <c r="B3736" s="11" t="s">
        <v>9230</v>
      </c>
      <c r="C3736" s="11" t="s">
        <v>81</v>
      </c>
      <c r="D3736" s="4" t="s">
        <v>1406</v>
      </c>
      <c r="E3736" t="s">
        <v>489</v>
      </c>
      <c r="F3736" s="9">
        <f t="shared" si="238"/>
        <v>0</v>
      </c>
      <c r="G3736" s="9">
        <f t="shared" si="239"/>
        <v>0</v>
      </c>
      <c r="H3736" s="9">
        <f t="shared" si="240"/>
        <v>0</v>
      </c>
      <c r="I3736" s="10">
        <f t="shared" si="241"/>
        <v>0</v>
      </c>
    </row>
    <row r="3737" spans="1:9" x14ac:dyDescent="0.25">
      <c r="A3737" s="11" t="s">
        <v>9231</v>
      </c>
      <c r="B3737" s="11" t="s">
        <v>9232</v>
      </c>
      <c r="C3737" s="11" t="s">
        <v>81</v>
      </c>
      <c r="D3737" s="4" t="s">
        <v>1406</v>
      </c>
      <c r="E3737" t="s">
        <v>82</v>
      </c>
      <c r="F3737" s="9">
        <f t="shared" si="238"/>
        <v>0</v>
      </c>
      <c r="G3737" s="9">
        <f t="shared" si="239"/>
        <v>0</v>
      </c>
      <c r="H3737" s="9">
        <f t="shared" si="240"/>
        <v>0</v>
      </c>
      <c r="I3737" s="10">
        <f t="shared" si="241"/>
        <v>0</v>
      </c>
    </row>
    <row r="3738" spans="1:9" x14ac:dyDescent="0.25">
      <c r="A3738" s="11" t="s">
        <v>9233</v>
      </c>
      <c r="B3738" s="11" t="s">
        <v>9234</v>
      </c>
      <c r="C3738" s="11" t="s">
        <v>81</v>
      </c>
      <c r="D3738" s="4" t="s">
        <v>1406</v>
      </c>
      <c r="E3738" t="s">
        <v>489</v>
      </c>
      <c r="F3738" s="9">
        <f t="shared" si="238"/>
        <v>0</v>
      </c>
      <c r="G3738" s="9">
        <f t="shared" si="239"/>
        <v>0</v>
      </c>
      <c r="H3738" s="9">
        <f t="shared" si="240"/>
        <v>0</v>
      </c>
      <c r="I3738" s="10">
        <f t="shared" si="241"/>
        <v>0</v>
      </c>
    </row>
    <row r="3739" spans="1:9" x14ac:dyDescent="0.25">
      <c r="A3739" s="11" t="s">
        <v>9235</v>
      </c>
      <c r="B3739" s="11" t="s">
        <v>9236</v>
      </c>
      <c r="C3739" s="11" t="s">
        <v>81</v>
      </c>
      <c r="D3739" s="4" t="s">
        <v>1406</v>
      </c>
      <c r="E3739" t="s">
        <v>489</v>
      </c>
      <c r="F3739" s="9">
        <f t="shared" si="238"/>
        <v>0</v>
      </c>
      <c r="G3739" s="9">
        <f t="shared" si="239"/>
        <v>0</v>
      </c>
      <c r="H3739" s="9">
        <f t="shared" si="240"/>
        <v>0</v>
      </c>
      <c r="I3739" s="10">
        <f t="shared" si="241"/>
        <v>0</v>
      </c>
    </row>
    <row r="3740" spans="1:9" x14ac:dyDescent="0.25">
      <c r="A3740" s="11" t="s">
        <v>9237</v>
      </c>
      <c r="B3740" s="11" t="s">
        <v>9238</v>
      </c>
      <c r="C3740" s="11" t="s">
        <v>81</v>
      </c>
      <c r="D3740" s="4" t="s">
        <v>1406</v>
      </c>
      <c r="E3740" t="s">
        <v>489</v>
      </c>
      <c r="F3740" s="9">
        <f t="shared" si="238"/>
        <v>0</v>
      </c>
      <c r="G3740" s="9">
        <f t="shared" si="239"/>
        <v>0</v>
      </c>
      <c r="H3740" s="9">
        <f t="shared" si="240"/>
        <v>0</v>
      </c>
      <c r="I3740" s="10">
        <f t="shared" si="241"/>
        <v>0</v>
      </c>
    </row>
    <row r="3741" spans="1:9" x14ac:dyDescent="0.25">
      <c r="A3741" s="11" t="s">
        <v>9239</v>
      </c>
      <c r="B3741" s="11" t="s">
        <v>9240</v>
      </c>
      <c r="C3741" s="11" t="s">
        <v>81</v>
      </c>
      <c r="D3741" s="4" t="s">
        <v>1406</v>
      </c>
      <c r="E3741" t="s">
        <v>489</v>
      </c>
      <c r="F3741" s="9">
        <f t="shared" si="238"/>
        <v>0</v>
      </c>
      <c r="G3741" s="9">
        <f t="shared" si="239"/>
        <v>0</v>
      </c>
      <c r="H3741" s="9">
        <f t="shared" si="240"/>
        <v>0</v>
      </c>
      <c r="I3741" s="10">
        <f t="shared" si="241"/>
        <v>0</v>
      </c>
    </row>
    <row r="3742" spans="1:9" x14ac:dyDescent="0.25">
      <c r="A3742" s="11" t="s">
        <v>9241</v>
      </c>
      <c r="B3742" s="11" t="s">
        <v>5988</v>
      </c>
      <c r="C3742" s="11" t="s">
        <v>81</v>
      </c>
      <c r="D3742" s="4" t="s">
        <v>1406</v>
      </c>
      <c r="E3742" t="s">
        <v>82</v>
      </c>
      <c r="F3742" s="9">
        <f t="shared" si="238"/>
        <v>0</v>
      </c>
      <c r="G3742" s="9">
        <f t="shared" si="239"/>
        <v>0</v>
      </c>
      <c r="H3742" s="9">
        <f t="shared" si="240"/>
        <v>0</v>
      </c>
      <c r="I3742" s="10">
        <f t="shared" si="241"/>
        <v>0</v>
      </c>
    </row>
    <row r="3743" spans="1:9" x14ac:dyDescent="0.25">
      <c r="A3743" s="11" t="s">
        <v>9242</v>
      </c>
      <c r="B3743" s="11" t="s">
        <v>9243</v>
      </c>
      <c r="C3743" s="11" t="s">
        <v>81</v>
      </c>
      <c r="D3743" s="4" t="s">
        <v>1406</v>
      </c>
      <c r="E3743" t="s">
        <v>82</v>
      </c>
      <c r="F3743" s="9">
        <f t="shared" si="238"/>
        <v>0</v>
      </c>
      <c r="G3743" s="9">
        <f t="shared" si="239"/>
        <v>0</v>
      </c>
      <c r="H3743" s="9">
        <f t="shared" si="240"/>
        <v>0</v>
      </c>
      <c r="I3743" s="10">
        <f t="shared" si="241"/>
        <v>0</v>
      </c>
    </row>
    <row r="3744" spans="1:9" x14ac:dyDescent="0.25">
      <c r="A3744" s="11" t="s">
        <v>9244</v>
      </c>
      <c r="B3744" s="11" t="s">
        <v>6012</v>
      </c>
      <c r="C3744" s="11" t="s">
        <v>81</v>
      </c>
      <c r="D3744" s="4" t="s">
        <v>1406</v>
      </c>
      <c r="E3744" t="s">
        <v>489</v>
      </c>
      <c r="F3744" s="9">
        <f t="shared" si="238"/>
        <v>0</v>
      </c>
      <c r="G3744" s="9">
        <f t="shared" si="239"/>
        <v>0</v>
      </c>
      <c r="H3744" s="9">
        <f t="shared" si="240"/>
        <v>0</v>
      </c>
      <c r="I3744" s="10">
        <f t="shared" si="241"/>
        <v>0</v>
      </c>
    </row>
    <row r="3745" spans="1:9" x14ac:dyDescent="0.25">
      <c r="A3745" s="11" t="s">
        <v>9245</v>
      </c>
      <c r="B3745" s="11" t="s">
        <v>9246</v>
      </c>
      <c r="C3745" s="11" t="s">
        <v>81</v>
      </c>
      <c r="D3745" s="4" t="s">
        <v>1406</v>
      </c>
      <c r="E3745" t="s">
        <v>82</v>
      </c>
      <c r="F3745" s="9">
        <f t="shared" si="238"/>
        <v>0</v>
      </c>
      <c r="G3745" s="9">
        <f t="shared" si="239"/>
        <v>0</v>
      </c>
      <c r="H3745" s="9">
        <f t="shared" si="240"/>
        <v>0</v>
      </c>
      <c r="I3745" s="10">
        <f t="shared" si="241"/>
        <v>0</v>
      </c>
    </row>
    <row r="3746" spans="1:9" x14ac:dyDescent="0.25">
      <c r="A3746" s="11" t="s">
        <v>9247</v>
      </c>
      <c r="B3746" s="11" t="s">
        <v>9248</v>
      </c>
      <c r="C3746" s="11" t="s">
        <v>81</v>
      </c>
      <c r="D3746" s="4" t="s">
        <v>1406</v>
      </c>
      <c r="E3746" t="s">
        <v>489</v>
      </c>
      <c r="F3746" s="9">
        <f t="shared" si="238"/>
        <v>0</v>
      </c>
      <c r="G3746" s="9">
        <f t="shared" si="239"/>
        <v>0</v>
      </c>
      <c r="H3746" s="9">
        <f t="shared" si="240"/>
        <v>0</v>
      </c>
      <c r="I3746" s="10">
        <f t="shared" si="241"/>
        <v>0</v>
      </c>
    </row>
    <row r="3747" spans="1:9" x14ac:dyDescent="0.25">
      <c r="A3747" s="11" t="s">
        <v>9249</v>
      </c>
      <c r="B3747" s="11" t="s">
        <v>9250</v>
      </c>
      <c r="C3747" s="11" t="s">
        <v>81</v>
      </c>
      <c r="D3747" s="4" t="s">
        <v>1406</v>
      </c>
      <c r="E3747" t="s">
        <v>489</v>
      </c>
      <c r="F3747" s="9">
        <f t="shared" si="238"/>
        <v>0</v>
      </c>
      <c r="G3747" s="9">
        <f t="shared" si="239"/>
        <v>0</v>
      </c>
      <c r="H3747" s="9">
        <f t="shared" si="240"/>
        <v>0</v>
      </c>
      <c r="I3747" s="10">
        <f t="shared" si="241"/>
        <v>0</v>
      </c>
    </row>
    <row r="3748" spans="1:9" x14ac:dyDescent="0.25">
      <c r="A3748" s="11" t="s">
        <v>9251</v>
      </c>
      <c r="B3748" s="11" t="s">
        <v>6038</v>
      </c>
      <c r="C3748" s="11" t="s">
        <v>81</v>
      </c>
      <c r="D3748" s="4" t="s">
        <v>1406</v>
      </c>
      <c r="E3748" t="s">
        <v>489</v>
      </c>
      <c r="F3748" s="9">
        <f t="shared" si="238"/>
        <v>0</v>
      </c>
      <c r="G3748" s="9">
        <f t="shared" si="239"/>
        <v>0</v>
      </c>
      <c r="H3748" s="9">
        <f t="shared" si="240"/>
        <v>0</v>
      </c>
      <c r="I3748" s="10">
        <f t="shared" si="241"/>
        <v>0</v>
      </c>
    </row>
    <row r="3749" spans="1:9" x14ac:dyDescent="0.25">
      <c r="A3749" s="11" t="s">
        <v>9252</v>
      </c>
      <c r="B3749" s="11" t="s">
        <v>9253</v>
      </c>
      <c r="C3749" s="11" t="s">
        <v>81</v>
      </c>
      <c r="D3749" s="4" t="s">
        <v>1406</v>
      </c>
      <c r="E3749" t="s">
        <v>489</v>
      </c>
      <c r="F3749" s="9">
        <f t="shared" si="238"/>
        <v>0</v>
      </c>
      <c r="G3749" s="9">
        <f t="shared" si="239"/>
        <v>0</v>
      </c>
      <c r="H3749" s="9">
        <f t="shared" si="240"/>
        <v>0</v>
      </c>
      <c r="I3749" s="10">
        <f t="shared" si="241"/>
        <v>0</v>
      </c>
    </row>
    <row r="3750" spans="1:9" x14ac:dyDescent="0.25">
      <c r="A3750" s="11" t="s">
        <v>9254</v>
      </c>
      <c r="B3750" s="11" t="s">
        <v>9255</v>
      </c>
      <c r="C3750" s="11" t="s">
        <v>81</v>
      </c>
      <c r="D3750" s="4" t="s">
        <v>1406</v>
      </c>
      <c r="E3750" t="s">
        <v>489</v>
      </c>
      <c r="F3750" s="9">
        <f t="shared" si="238"/>
        <v>0</v>
      </c>
      <c r="G3750" s="9">
        <f t="shared" si="239"/>
        <v>0</v>
      </c>
      <c r="H3750" s="9">
        <f t="shared" si="240"/>
        <v>0</v>
      </c>
      <c r="I3750" s="10">
        <f t="shared" si="241"/>
        <v>0</v>
      </c>
    </row>
    <row r="3751" spans="1:9" x14ac:dyDescent="0.25">
      <c r="A3751" s="11" t="s">
        <v>9256</v>
      </c>
      <c r="B3751" s="11" t="s">
        <v>9257</v>
      </c>
      <c r="C3751" s="11" t="s">
        <v>81</v>
      </c>
      <c r="D3751" s="4" t="s">
        <v>1406</v>
      </c>
      <c r="E3751" t="s">
        <v>82</v>
      </c>
      <c r="F3751" s="9">
        <f t="shared" si="238"/>
        <v>0</v>
      </c>
      <c r="G3751" s="9">
        <f t="shared" si="239"/>
        <v>0</v>
      </c>
      <c r="H3751" s="9">
        <f t="shared" si="240"/>
        <v>0</v>
      </c>
      <c r="I3751" s="10">
        <f t="shared" si="241"/>
        <v>0</v>
      </c>
    </row>
    <row r="3752" spans="1:9" x14ac:dyDescent="0.25">
      <c r="A3752" s="11" t="s">
        <v>9258</v>
      </c>
      <c r="B3752" s="11" t="s">
        <v>9259</v>
      </c>
      <c r="C3752" s="11" t="s">
        <v>81</v>
      </c>
      <c r="D3752" s="4" t="s">
        <v>1406</v>
      </c>
      <c r="E3752" t="s">
        <v>82</v>
      </c>
      <c r="F3752" s="9">
        <f t="shared" si="238"/>
        <v>0</v>
      </c>
      <c r="G3752" s="9">
        <f t="shared" si="239"/>
        <v>0</v>
      </c>
      <c r="H3752" s="9">
        <f t="shared" si="240"/>
        <v>0</v>
      </c>
      <c r="I3752" s="10">
        <f t="shared" si="241"/>
        <v>0</v>
      </c>
    </row>
    <row r="3753" spans="1:9" x14ac:dyDescent="0.25">
      <c r="A3753" s="11" t="s">
        <v>9260</v>
      </c>
      <c r="B3753" s="11" t="s">
        <v>9261</v>
      </c>
      <c r="C3753" s="11" t="s">
        <v>81</v>
      </c>
      <c r="D3753" s="4" t="s">
        <v>1406</v>
      </c>
      <c r="E3753" t="s">
        <v>82</v>
      </c>
      <c r="F3753" s="9">
        <f t="shared" si="238"/>
        <v>0</v>
      </c>
      <c r="G3753" s="9">
        <f t="shared" si="239"/>
        <v>0</v>
      </c>
      <c r="H3753" s="9">
        <f t="shared" si="240"/>
        <v>0</v>
      </c>
      <c r="I3753" s="10">
        <f t="shared" si="241"/>
        <v>0</v>
      </c>
    </row>
    <row r="3754" spans="1:9" x14ac:dyDescent="0.25">
      <c r="A3754" s="11" t="s">
        <v>9262</v>
      </c>
      <c r="B3754" s="11" t="s">
        <v>9263</v>
      </c>
      <c r="C3754" s="11" t="s">
        <v>81</v>
      </c>
      <c r="D3754" s="4" t="s">
        <v>1406</v>
      </c>
      <c r="E3754" t="s">
        <v>489</v>
      </c>
      <c r="F3754" s="9">
        <f t="shared" si="238"/>
        <v>0</v>
      </c>
      <c r="G3754" s="9">
        <f t="shared" si="239"/>
        <v>0</v>
      </c>
      <c r="H3754" s="9">
        <f t="shared" si="240"/>
        <v>0</v>
      </c>
      <c r="I3754" s="10">
        <f t="shared" si="241"/>
        <v>0</v>
      </c>
    </row>
    <row r="3755" spans="1:9" x14ac:dyDescent="0.25">
      <c r="A3755" s="11" t="s">
        <v>9264</v>
      </c>
      <c r="B3755" s="11" t="s">
        <v>6078</v>
      </c>
      <c r="C3755" s="11" t="s">
        <v>81</v>
      </c>
      <c r="D3755" s="4" t="s">
        <v>1406</v>
      </c>
      <c r="E3755" t="s">
        <v>82</v>
      </c>
      <c r="F3755" s="9">
        <f t="shared" si="238"/>
        <v>0</v>
      </c>
      <c r="G3755" s="9">
        <f t="shared" si="239"/>
        <v>0</v>
      </c>
      <c r="H3755" s="9">
        <f t="shared" si="240"/>
        <v>0</v>
      </c>
      <c r="I3755" s="10">
        <f t="shared" si="241"/>
        <v>0</v>
      </c>
    </row>
    <row r="3756" spans="1:9" x14ac:dyDescent="0.25">
      <c r="A3756" s="11" t="s">
        <v>9265</v>
      </c>
      <c r="B3756" s="11" t="s">
        <v>6088</v>
      </c>
      <c r="C3756" s="11" t="s">
        <v>81</v>
      </c>
      <c r="D3756" s="4" t="s">
        <v>1406</v>
      </c>
      <c r="E3756" t="s">
        <v>82</v>
      </c>
      <c r="F3756" s="9">
        <f t="shared" si="238"/>
        <v>0</v>
      </c>
      <c r="G3756" s="9">
        <f t="shared" si="239"/>
        <v>0</v>
      </c>
      <c r="H3756" s="9">
        <f t="shared" si="240"/>
        <v>0</v>
      </c>
      <c r="I3756" s="10">
        <f t="shared" si="241"/>
        <v>0</v>
      </c>
    </row>
    <row r="3757" spans="1:9" x14ac:dyDescent="0.25">
      <c r="A3757" s="11" t="s">
        <v>9266</v>
      </c>
      <c r="B3757" s="11" t="s">
        <v>6092</v>
      </c>
      <c r="C3757" s="11" t="s">
        <v>81</v>
      </c>
      <c r="D3757" s="4" t="s">
        <v>1406</v>
      </c>
      <c r="E3757" t="s">
        <v>489</v>
      </c>
      <c r="F3757" s="9">
        <f t="shared" si="238"/>
        <v>0</v>
      </c>
      <c r="G3757" s="9">
        <f t="shared" si="239"/>
        <v>0</v>
      </c>
      <c r="H3757" s="9">
        <f t="shared" si="240"/>
        <v>0</v>
      </c>
      <c r="I3757" s="10">
        <f t="shared" si="241"/>
        <v>0</v>
      </c>
    </row>
    <row r="3758" spans="1:9" x14ac:dyDescent="0.25">
      <c r="A3758" s="11" t="s">
        <v>9267</v>
      </c>
      <c r="B3758" s="11" t="s">
        <v>6094</v>
      </c>
      <c r="C3758" s="11" t="s">
        <v>81</v>
      </c>
      <c r="D3758" s="4" t="s">
        <v>1406</v>
      </c>
      <c r="E3758" t="s">
        <v>82</v>
      </c>
      <c r="F3758" s="9">
        <f t="shared" si="238"/>
        <v>0</v>
      </c>
      <c r="G3758" s="9">
        <f t="shared" si="239"/>
        <v>0</v>
      </c>
      <c r="H3758" s="9">
        <f t="shared" si="240"/>
        <v>0</v>
      </c>
      <c r="I3758" s="10">
        <f t="shared" si="241"/>
        <v>0</v>
      </c>
    </row>
    <row r="3759" spans="1:9" x14ac:dyDescent="0.25">
      <c r="A3759" s="11" t="s">
        <v>9268</v>
      </c>
      <c r="B3759" s="11" t="s">
        <v>9269</v>
      </c>
      <c r="C3759" s="11" t="s">
        <v>81</v>
      </c>
      <c r="D3759" s="4" t="s">
        <v>1406</v>
      </c>
      <c r="E3759" t="s">
        <v>489</v>
      </c>
      <c r="F3759" s="9">
        <f t="shared" si="238"/>
        <v>0</v>
      </c>
      <c r="G3759" s="9">
        <f t="shared" si="239"/>
        <v>0</v>
      </c>
      <c r="H3759" s="9">
        <f t="shared" si="240"/>
        <v>0</v>
      </c>
      <c r="I3759" s="10">
        <f t="shared" si="241"/>
        <v>0</v>
      </c>
    </row>
    <row r="3760" spans="1:9" x14ac:dyDescent="0.25">
      <c r="A3760" s="11" t="s">
        <v>9270</v>
      </c>
      <c r="B3760" s="11" t="s">
        <v>9271</v>
      </c>
      <c r="C3760" s="11" t="s">
        <v>81</v>
      </c>
      <c r="D3760" s="4" t="s">
        <v>1406</v>
      </c>
      <c r="E3760" t="s">
        <v>489</v>
      </c>
      <c r="F3760" s="9">
        <f t="shared" ref="F3760:F3823" si="242">IFERROR(VLOOKUP(A3760,condi,8,0),0)</f>
        <v>0</v>
      </c>
      <c r="G3760" s="9">
        <f t="shared" ref="G3760:G3823" si="243">IFERROR(VLOOKUP(A3760,maqui,8,0),0)</f>
        <v>0</v>
      </c>
      <c r="H3760" s="9">
        <f t="shared" ref="H3760:H3823" si="244">IFERROR(VLOOKUP(A3760,ascint,8,0),0)</f>
        <v>0</v>
      </c>
      <c r="I3760" s="10">
        <f t="shared" ref="I3760:I3823" si="245">+F3760+G3760+H3760</f>
        <v>0</v>
      </c>
    </row>
    <row r="3761" spans="1:9" x14ac:dyDescent="0.25">
      <c r="A3761" s="11" t="s">
        <v>9272</v>
      </c>
      <c r="B3761" s="11" t="s">
        <v>9273</v>
      </c>
      <c r="C3761" s="11" t="s">
        <v>81</v>
      </c>
      <c r="D3761" s="4" t="s">
        <v>1406</v>
      </c>
      <c r="E3761" t="s">
        <v>82</v>
      </c>
      <c r="F3761" s="9">
        <f t="shared" si="242"/>
        <v>0</v>
      </c>
      <c r="G3761" s="9">
        <f t="shared" si="243"/>
        <v>0</v>
      </c>
      <c r="H3761" s="9">
        <f t="shared" si="244"/>
        <v>0</v>
      </c>
      <c r="I3761" s="10">
        <f t="shared" si="245"/>
        <v>0</v>
      </c>
    </row>
    <row r="3762" spans="1:9" x14ac:dyDescent="0.25">
      <c r="A3762" s="11" t="s">
        <v>9274</v>
      </c>
      <c r="B3762" s="11" t="s">
        <v>9275</v>
      </c>
      <c r="C3762" s="11" t="s">
        <v>81</v>
      </c>
      <c r="D3762" s="4" t="s">
        <v>1406</v>
      </c>
      <c r="E3762" t="s">
        <v>489</v>
      </c>
      <c r="F3762" s="9">
        <f t="shared" si="242"/>
        <v>0</v>
      </c>
      <c r="G3762" s="9">
        <f t="shared" si="243"/>
        <v>0</v>
      </c>
      <c r="H3762" s="9">
        <f t="shared" si="244"/>
        <v>0</v>
      </c>
      <c r="I3762" s="10">
        <f t="shared" si="245"/>
        <v>0</v>
      </c>
    </row>
    <row r="3763" spans="1:9" x14ac:dyDescent="0.25">
      <c r="A3763" s="11" t="s">
        <v>9276</v>
      </c>
      <c r="B3763" s="11" t="s">
        <v>9277</v>
      </c>
      <c r="C3763" s="11" t="s">
        <v>81</v>
      </c>
      <c r="D3763" s="4" t="s">
        <v>1406</v>
      </c>
      <c r="E3763" t="s">
        <v>489</v>
      </c>
      <c r="F3763" s="9">
        <f t="shared" si="242"/>
        <v>0</v>
      </c>
      <c r="G3763" s="9">
        <f t="shared" si="243"/>
        <v>0</v>
      </c>
      <c r="H3763" s="9">
        <f t="shared" si="244"/>
        <v>0</v>
      </c>
      <c r="I3763" s="10">
        <f t="shared" si="245"/>
        <v>0</v>
      </c>
    </row>
    <row r="3764" spans="1:9" x14ac:dyDescent="0.25">
      <c r="A3764" s="11" t="s">
        <v>9278</v>
      </c>
      <c r="B3764" s="11" t="s">
        <v>9279</v>
      </c>
      <c r="C3764" s="11" t="s">
        <v>81</v>
      </c>
      <c r="D3764" s="4" t="s">
        <v>1406</v>
      </c>
      <c r="E3764" t="s">
        <v>82</v>
      </c>
      <c r="F3764" s="9">
        <f t="shared" si="242"/>
        <v>0</v>
      </c>
      <c r="G3764" s="9">
        <f t="shared" si="243"/>
        <v>0</v>
      </c>
      <c r="H3764" s="9">
        <f t="shared" si="244"/>
        <v>0</v>
      </c>
      <c r="I3764" s="10">
        <f t="shared" si="245"/>
        <v>0</v>
      </c>
    </row>
    <row r="3765" spans="1:9" x14ac:dyDescent="0.25">
      <c r="A3765" s="11" t="s">
        <v>9280</v>
      </c>
      <c r="B3765" s="11" t="s">
        <v>9281</v>
      </c>
      <c r="C3765" s="11" t="s">
        <v>81</v>
      </c>
      <c r="D3765" s="4" t="s">
        <v>1406</v>
      </c>
      <c r="E3765" t="s">
        <v>489</v>
      </c>
      <c r="F3765" s="9">
        <f t="shared" si="242"/>
        <v>0</v>
      </c>
      <c r="G3765" s="9">
        <f t="shared" si="243"/>
        <v>0</v>
      </c>
      <c r="H3765" s="9">
        <f t="shared" si="244"/>
        <v>0</v>
      </c>
      <c r="I3765" s="10">
        <f t="shared" si="245"/>
        <v>0</v>
      </c>
    </row>
    <row r="3766" spans="1:9" x14ac:dyDescent="0.25">
      <c r="A3766" s="11" t="s">
        <v>9282</v>
      </c>
      <c r="B3766" s="11" t="s">
        <v>9283</v>
      </c>
      <c r="C3766" s="11" t="s">
        <v>81</v>
      </c>
      <c r="D3766" s="4" t="s">
        <v>1406</v>
      </c>
      <c r="E3766" t="s">
        <v>82</v>
      </c>
      <c r="F3766" s="9">
        <f t="shared" si="242"/>
        <v>0</v>
      </c>
      <c r="G3766" s="9">
        <f t="shared" si="243"/>
        <v>0</v>
      </c>
      <c r="H3766" s="9">
        <f t="shared" si="244"/>
        <v>0</v>
      </c>
      <c r="I3766" s="10">
        <f t="shared" si="245"/>
        <v>0</v>
      </c>
    </row>
    <row r="3767" spans="1:9" x14ac:dyDescent="0.25">
      <c r="A3767" s="11" t="s">
        <v>9284</v>
      </c>
      <c r="B3767" s="11" t="s">
        <v>9285</v>
      </c>
      <c r="C3767" s="11" t="s">
        <v>81</v>
      </c>
      <c r="D3767" s="4" t="s">
        <v>1406</v>
      </c>
      <c r="E3767" t="s">
        <v>489</v>
      </c>
      <c r="F3767" s="9">
        <f t="shared" si="242"/>
        <v>0</v>
      </c>
      <c r="G3767" s="9">
        <f t="shared" si="243"/>
        <v>0</v>
      </c>
      <c r="H3767" s="9">
        <f t="shared" si="244"/>
        <v>0</v>
      </c>
      <c r="I3767" s="10">
        <f t="shared" si="245"/>
        <v>0</v>
      </c>
    </row>
    <row r="3768" spans="1:9" x14ac:dyDescent="0.25">
      <c r="A3768" s="11" t="s">
        <v>9286</v>
      </c>
      <c r="B3768" s="11" t="s">
        <v>9287</v>
      </c>
      <c r="C3768" s="11" t="s">
        <v>81</v>
      </c>
      <c r="D3768" s="4" t="s">
        <v>1406</v>
      </c>
      <c r="E3768" t="s">
        <v>82</v>
      </c>
      <c r="F3768" s="9">
        <f t="shared" si="242"/>
        <v>0</v>
      </c>
      <c r="G3768" s="9">
        <f t="shared" si="243"/>
        <v>0</v>
      </c>
      <c r="H3768" s="9">
        <f t="shared" si="244"/>
        <v>0</v>
      </c>
      <c r="I3768" s="10">
        <f t="shared" si="245"/>
        <v>0</v>
      </c>
    </row>
    <row r="3769" spans="1:9" x14ac:dyDescent="0.25">
      <c r="A3769" s="11" t="s">
        <v>9288</v>
      </c>
      <c r="B3769" s="11" t="s">
        <v>9289</v>
      </c>
      <c r="C3769" s="11" t="s">
        <v>81</v>
      </c>
      <c r="D3769" s="4" t="s">
        <v>1406</v>
      </c>
      <c r="E3769" t="s">
        <v>489</v>
      </c>
      <c r="F3769" s="9">
        <f t="shared" si="242"/>
        <v>0</v>
      </c>
      <c r="G3769" s="9">
        <f t="shared" si="243"/>
        <v>0</v>
      </c>
      <c r="H3769" s="9">
        <f t="shared" si="244"/>
        <v>0</v>
      </c>
      <c r="I3769" s="10">
        <f t="shared" si="245"/>
        <v>0</v>
      </c>
    </row>
    <row r="3770" spans="1:9" x14ac:dyDescent="0.25">
      <c r="A3770" s="11" t="s">
        <v>9290</v>
      </c>
      <c r="B3770" s="11" t="s">
        <v>9291</v>
      </c>
      <c r="C3770" s="11" t="s">
        <v>81</v>
      </c>
      <c r="D3770" s="4" t="s">
        <v>1406</v>
      </c>
      <c r="E3770" t="s">
        <v>82</v>
      </c>
      <c r="F3770" s="9">
        <f t="shared" si="242"/>
        <v>0</v>
      </c>
      <c r="G3770" s="9">
        <f t="shared" si="243"/>
        <v>0</v>
      </c>
      <c r="H3770" s="9">
        <f t="shared" si="244"/>
        <v>0</v>
      </c>
      <c r="I3770" s="10">
        <f t="shared" si="245"/>
        <v>0</v>
      </c>
    </row>
    <row r="3771" spans="1:9" x14ac:dyDescent="0.25">
      <c r="A3771" s="11" t="s">
        <v>9292</v>
      </c>
      <c r="B3771" s="11" t="s">
        <v>9293</v>
      </c>
      <c r="C3771" s="11" t="s">
        <v>81</v>
      </c>
      <c r="D3771" s="4" t="s">
        <v>1406</v>
      </c>
      <c r="E3771" t="s">
        <v>489</v>
      </c>
      <c r="F3771" s="9">
        <f t="shared" si="242"/>
        <v>0</v>
      </c>
      <c r="G3771" s="9">
        <f t="shared" si="243"/>
        <v>0</v>
      </c>
      <c r="H3771" s="9">
        <f t="shared" si="244"/>
        <v>0</v>
      </c>
      <c r="I3771" s="10">
        <f t="shared" si="245"/>
        <v>0</v>
      </c>
    </row>
    <row r="3772" spans="1:9" x14ac:dyDescent="0.25">
      <c r="A3772" s="11" t="s">
        <v>9294</v>
      </c>
      <c r="B3772" s="11" t="s">
        <v>9295</v>
      </c>
      <c r="C3772" s="11" t="s">
        <v>81</v>
      </c>
      <c r="D3772" s="4" t="s">
        <v>1406</v>
      </c>
      <c r="E3772" t="s">
        <v>489</v>
      </c>
      <c r="F3772" s="9">
        <f t="shared" si="242"/>
        <v>0</v>
      </c>
      <c r="G3772" s="9">
        <f t="shared" si="243"/>
        <v>0</v>
      </c>
      <c r="H3772" s="9">
        <f t="shared" si="244"/>
        <v>0</v>
      </c>
      <c r="I3772" s="10">
        <f t="shared" si="245"/>
        <v>0</v>
      </c>
    </row>
    <row r="3773" spans="1:9" x14ac:dyDescent="0.25">
      <c r="A3773" s="11" t="s">
        <v>9296</v>
      </c>
      <c r="B3773" s="11" t="s">
        <v>9297</v>
      </c>
      <c r="C3773" s="11" t="s">
        <v>81</v>
      </c>
      <c r="D3773" s="4" t="s">
        <v>1406</v>
      </c>
      <c r="E3773" t="s">
        <v>82</v>
      </c>
      <c r="F3773" s="9">
        <f t="shared" si="242"/>
        <v>0</v>
      </c>
      <c r="G3773" s="9">
        <f t="shared" si="243"/>
        <v>0</v>
      </c>
      <c r="H3773" s="9">
        <f t="shared" si="244"/>
        <v>0</v>
      </c>
      <c r="I3773" s="10">
        <f t="shared" si="245"/>
        <v>0</v>
      </c>
    </row>
    <row r="3774" spans="1:9" x14ac:dyDescent="0.25">
      <c r="A3774" s="11" t="s">
        <v>9298</v>
      </c>
      <c r="B3774" s="11" t="s">
        <v>9299</v>
      </c>
      <c r="C3774" s="11" t="s">
        <v>81</v>
      </c>
      <c r="D3774" s="4" t="s">
        <v>1406</v>
      </c>
      <c r="E3774" t="s">
        <v>82</v>
      </c>
      <c r="F3774" s="9">
        <f t="shared" si="242"/>
        <v>0</v>
      </c>
      <c r="G3774" s="9">
        <f t="shared" si="243"/>
        <v>0</v>
      </c>
      <c r="H3774" s="9">
        <f t="shared" si="244"/>
        <v>0</v>
      </c>
      <c r="I3774" s="10">
        <f t="shared" si="245"/>
        <v>0</v>
      </c>
    </row>
    <row r="3775" spans="1:9" x14ac:dyDescent="0.25">
      <c r="A3775" s="11" t="s">
        <v>9300</v>
      </c>
      <c r="B3775" s="11" t="s">
        <v>9301</v>
      </c>
      <c r="C3775" s="11" t="s">
        <v>81</v>
      </c>
      <c r="D3775" s="4" t="s">
        <v>1406</v>
      </c>
      <c r="E3775" t="s">
        <v>82</v>
      </c>
      <c r="F3775" s="9">
        <f t="shared" si="242"/>
        <v>0</v>
      </c>
      <c r="G3775" s="9">
        <f t="shared" si="243"/>
        <v>0</v>
      </c>
      <c r="H3775" s="9">
        <f t="shared" si="244"/>
        <v>0</v>
      </c>
      <c r="I3775" s="10">
        <f t="shared" si="245"/>
        <v>0</v>
      </c>
    </row>
    <row r="3776" spans="1:9" x14ac:dyDescent="0.25">
      <c r="A3776" s="11" t="s">
        <v>9302</v>
      </c>
      <c r="B3776" s="11" t="s">
        <v>9303</v>
      </c>
      <c r="C3776" s="11" t="s">
        <v>81</v>
      </c>
      <c r="D3776" s="4" t="s">
        <v>1406</v>
      </c>
      <c r="E3776" t="s">
        <v>82</v>
      </c>
      <c r="F3776" s="9">
        <f t="shared" si="242"/>
        <v>0</v>
      </c>
      <c r="G3776" s="9">
        <f t="shared" si="243"/>
        <v>0</v>
      </c>
      <c r="H3776" s="9">
        <f t="shared" si="244"/>
        <v>0</v>
      </c>
      <c r="I3776" s="10">
        <f t="shared" si="245"/>
        <v>0</v>
      </c>
    </row>
    <row r="3777" spans="1:9" x14ac:dyDescent="0.25">
      <c r="A3777" s="11" t="s">
        <v>9304</v>
      </c>
      <c r="B3777" s="11" t="s">
        <v>6140</v>
      </c>
      <c r="C3777" s="11" t="s">
        <v>81</v>
      </c>
      <c r="D3777" s="4" t="s">
        <v>1406</v>
      </c>
      <c r="E3777" t="s">
        <v>489</v>
      </c>
      <c r="F3777" s="9">
        <f t="shared" si="242"/>
        <v>0</v>
      </c>
      <c r="G3777" s="9">
        <f t="shared" si="243"/>
        <v>0</v>
      </c>
      <c r="H3777" s="9">
        <f t="shared" si="244"/>
        <v>0</v>
      </c>
      <c r="I3777" s="10">
        <f t="shared" si="245"/>
        <v>0</v>
      </c>
    </row>
    <row r="3778" spans="1:9" x14ac:dyDescent="0.25">
      <c r="A3778" s="11" t="s">
        <v>9305</v>
      </c>
      <c r="B3778" s="11" t="s">
        <v>9306</v>
      </c>
      <c r="C3778" s="11" t="s">
        <v>81</v>
      </c>
      <c r="D3778" s="4" t="s">
        <v>1406</v>
      </c>
      <c r="E3778" t="s">
        <v>489</v>
      </c>
      <c r="F3778" s="9">
        <f t="shared" si="242"/>
        <v>0</v>
      </c>
      <c r="G3778" s="9">
        <f t="shared" si="243"/>
        <v>0</v>
      </c>
      <c r="H3778" s="9">
        <f t="shared" si="244"/>
        <v>0</v>
      </c>
      <c r="I3778" s="10">
        <f t="shared" si="245"/>
        <v>0</v>
      </c>
    </row>
    <row r="3779" spans="1:9" x14ac:dyDescent="0.25">
      <c r="A3779" s="11" t="s">
        <v>9307</v>
      </c>
      <c r="B3779" s="11" t="s">
        <v>6144</v>
      </c>
      <c r="C3779" s="11" t="s">
        <v>81</v>
      </c>
      <c r="D3779" s="4" t="s">
        <v>1406</v>
      </c>
      <c r="E3779" t="s">
        <v>489</v>
      </c>
      <c r="F3779" s="9">
        <f t="shared" si="242"/>
        <v>0</v>
      </c>
      <c r="G3779" s="9">
        <f t="shared" si="243"/>
        <v>0</v>
      </c>
      <c r="H3779" s="9">
        <f t="shared" si="244"/>
        <v>0</v>
      </c>
      <c r="I3779" s="10">
        <f t="shared" si="245"/>
        <v>0</v>
      </c>
    </row>
    <row r="3780" spans="1:9" x14ac:dyDescent="0.25">
      <c r="A3780" s="11" t="s">
        <v>9308</v>
      </c>
      <c r="B3780" s="11" t="s">
        <v>9309</v>
      </c>
      <c r="C3780" s="11" t="s">
        <v>81</v>
      </c>
      <c r="D3780" s="4" t="s">
        <v>1406</v>
      </c>
      <c r="E3780" t="s">
        <v>489</v>
      </c>
      <c r="F3780" s="9">
        <f t="shared" si="242"/>
        <v>0</v>
      </c>
      <c r="G3780" s="9">
        <f t="shared" si="243"/>
        <v>0</v>
      </c>
      <c r="H3780" s="9">
        <f t="shared" si="244"/>
        <v>0</v>
      </c>
      <c r="I3780" s="10">
        <f t="shared" si="245"/>
        <v>0</v>
      </c>
    </row>
    <row r="3781" spans="1:9" x14ac:dyDescent="0.25">
      <c r="A3781" s="11" t="s">
        <v>9310</v>
      </c>
      <c r="B3781" s="11" t="s">
        <v>9311</v>
      </c>
      <c r="C3781" s="11" t="s">
        <v>81</v>
      </c>
      <c r="D3781" s="4" t="s">
        <v>1406</v>
      </c>
      <c r="E3781" t="s">
        <v>82</v>
      </c>
      <c r="F3781" s="9">
        <f t="shared" si="242"/>
        <v>0</v>
      </c>
      <c r="G3781" s="9">
        <f t="shared" si="243"/>
        <v>0</v>
      </c>
      <c r="H3781" s="9">
        <f t="shared" si="244"/>
        <v>0</v>
      </c>
      <c r="I3781" s="10">
        <f t="shared" si="245"/>
        <v>0</v>
      </c>
    </row>
    <row r="3782" spans="1:9" x14ac:dyDescent="0.25">
      <c r="A3782" s="11" t="s">
        <v>9312</v>
      </c>
      <c r="B3782" s="11" t="s">
        <v>9313</v>
      </c>
      <c r="C3782" s="11" t="s">
        <v>81</v>
      </c>
      <c r="D3782" s="4" t="s">
        <v>1406</v>
      </c>
      <c r="E3782" t="s">
        <v>489</v>
      </c>
      <c r="F3782" s="9">
        <f t="shared" si="242"/>
        <v>0</v>
      </c>
      <c r="G3782" s="9">
        <f t="shared" si="243"/>
        <v>0</v>
      </c>
      <c r="H3782" s="9">
        <f t="shared" si="244"/>
        <v>0</v>
      </c>
      <c r="I3782" s="10">
        <f t="shared" si="245"/>
        <v>0</v>
      </c>
    </row>
    <row r="3783" spans="1:9" x14ac:dyDescent="0.25">
      <c r="A3783" s="11" t="s">
        <v>9314</v>
      </c>
      <c r="B3783" s="11" t="s">
        <v>9315</v>
      </c>
      <c r="C3783" s="11" t="s">
        <v>81</v>
      </c>
      <c r="D3783" s="4" t="s">
        <v>1406</v>
      </c>
      <c r="E3783" t="s">
        <v>489</v>
      </c>
      <c r="F3783" s="9">
        <f t="shared" si="242"/>
        <v>0</v>
      </c>
      <c r="G3783" s="9">
        <f t="shared" si="243"/>
        <v>0</v>
      </c>
      <c r="H3783" s="9">
        <f t="shared" si="244"/>
        <v>0</v>
      </c>
      <c r="I3783" s="10">
        <f t="shared" si="245"/>
        <v>0</v>
      </c>
    </row>
    <row r="3784" spans="1:9" x14ac:dyDescent="0.25">
      <c r="A3784" s="11" t="s">
        <v>9316</v>
      </c>
      <c r="B3784" s="11" t="s">
        <v>9317</v>
      </c>
      <c r="C3784" s="11" t="s">
        <v>81</v>
      </c>
      <c r="D3784" s="4" t="s">
        <v>1406</v>
      </c>
      <c r="E3784" t="s">
        <v>489</v>
      </c>
      <c r="F3784" s="9">
        <f t="shared" si="242"/>
        <v>0</v>
      </c>
      <c r="G3784" s="9">
        <f t="shared" si="243"/>
        <v>0</v>
      </c>
      <c r="H3784" s="9">
        <f t="shared" si="244"/>
        <v>0</v>
      </c>
      <c r="I3784" s="10">
        <f t="shared" si="245"/>
        <v>0</v>
      </c>
    </row>
    <row r="3785" spans="1:9" x14ac:dyDescent="0.25">
      <c r="A3785" s="11" t="s">
        <v>9318</v>
      </c>
      <c r="B3785" s="11" t="s">
        <v>9319</v>
      </c>
      <c r="C3785" s="11" t="s">
        <v>81</v>
      </c>
      <c r="D3785" s="4" t="s">
        <v>1406</v>
      </c>
      <c r="E3785" t="s">
        <v>489</v>
      </c>
      <c r="F3785" s="9">
        <f t="shared" si="242"/>
        <v>0</v>
      </c>
      <c r="G3785" s="9">
        <f t="shared" si="243"/>
        <v>0</v>
      </c>
      <c r="H3785" s="9">
        <f t="shared" si="244"/>
        <v>0</v>
      </c>
      <c r="I3785" s="10">
        <f t="shared" si="245"/>
        <v>0</v>
      </c>
    </row>
    <row r="3786" spans="1:9" x14ac:dyDescent="0.25">
      <c r="A3786" s="11" t="s">
        <v>9320</v>
      </c>
      <c r="B3786" s="11" t="s">
        <v>9321</v>
      </c>
      <c r="C3786" s="11" t="s">
        <v>81</v>
      </c>
      <c r="D3786" s="4" t="s">
        <v>1406</v>
      </c>
      <c r="E3786" t="s">
        <v>82</v>
      </c>
      <c r="F3786" s="9">
        <f t="shared" si="242"/>
        <v>0</v>
      </c>
      <c r="G3786" s="9">
        <f t="shared" si="243"/>
        <v>0</v>
      </c>
      <c r="H3786" s="9">
        <f t="shared" si="244"/>
        <v>0</v>
      </c>
      <c r="I3786" s="10">
        <f t="shared" si="245"/>
        <v>0</v>
      </c>
    </row>
    <row r="3787" spans="1:9" x14ac:dyDescent="0.25">
      <c r="A3787" s="11" t="s">
        <v>9322</v>
      </c>
      <c r="B3787" s="11" t="s">
        <v>9323</v>
      </c>
      <c r="C3787" s="11" t="s">
        <v>81</v>
      </c>
      <c r="D3787" s="4" t="s">
        <v>1406</v>
      </c>
      <c r="E3787" t="s">
        <v>82</v>
      </c>
      <c r="F3787" s="9">
        <f t="shared" si="242"/>
        <v>0</v>
      </c>
      <c r="G3787" s="9">
        <f t="shared" si="243"/>
        <v>0</v>
      </c>
      <c r="H3787" s="9">
        <f t="shared" si="244"/>
        <v>0</v>
      </c>
      <c r="I3787" s="10">
        <f t="shared" si="245"/>
        <v>0</v>
      </c>
    </row>
    <row r="3788" spans="1:9" x14ac:dyDescent="0.25">
      <c r="A3788" s="11" t="s">
        <v>9324</v>
      </c>
      <c r="B3788" s="11" t="s">
        <v>9325</v>
      </c>
      <c r="C3788" s="11" t="s">
        <v>81</v>
      </c>
      <c r="D3788" s="4" t="s">
        <v>1406</v>
      </c>
      <c r="E3788" t="s">
        <v>489</v>
      </c>
      <c r="F3788" s="9">
        <f t="shared" si="242"/>
        <v>0</v>
      </c>
      <c r="G3788" s="9">
        <f t="shared" si="243"/>
        <v>0</v>
      </c>
      <c r="H3788" s="9">
        <f t="shared" si="244"/>
        <v>0</v>
      </c>
      <c r="I3788" s="10">
        <f t="shared" si="245"/>
        <v>0</v>
      </c>
    </row>
    <row r="3789" spans="1:9" x14ac:dyDescent="0.25">
      <c r="A3789" s="11" t="s">
        <v>9326</v>
      </c>
      <c r="B3789" s="11" t="s">
        <v>6164</v>
      </c>
      <c r="C3789" s="11" t="s">
        <v>81</v>
      </c>
      <c r="D3789" s="4" t="s">
        <v>1406</v>
      </c>
      <c r="E3789" t="s">
        <v>82</v>
      </c>
      <c r="F3789" s="9">
        <f t="shared" si="242"/>
        <v>0</v>
      </c>
      <c r="G3789" s="9">
        <f t="shared" si="243"/>
        <v>0</v>
      </c>
      <c r="H3789" s="9">
        <f t="shared" si="244"/>
        <v>0</v>
      </c>
      <c r="I3789" s="10">
        <f t="shared" si="245"/>
        <v>0</v>
      </c>
    </row>
    <row r="3790" spans="1:9" x14ac:dyDescent="0.25">
      <c r="A3790" s="11" t="s">
        <v>9327</v>
      </c>
      <c r="B3790" s="11" t="s">
        <v>9328</v>
      </c>
      <c r="C3790" s="11" t="s">
        <v>81</v>
      </c>
      <c r="D3790" s="4" t="s">
        <v>1406</v>
      </c>
      <c r="E3790" t="s">
        <v>489</v>
      </c>
      <c r="F3790" s="9">
        <f t="shared" si="242"/>
        <v>0</v>
      </c>
      <c r="G3790" s="9">
        <f t="shared" si="243"/>
        <v>0</v>
      </c>
      <c r="H3790" s="9">
        <f t="shared" si="244"/>
        <v>0</v>
      </c>
      <c r="I3790" s="10">
        <f t="shared" si="245"/>
        <v>0</v>
      </c>
    </row>
    <row r="3791" spans="1:9" x14ac:dyDescent="0.25">
      <c r="A3791" s="11" t="s">
        <v>9329</v>
      </c>
      <c r="B3791" s="11" t="s">
        <v>6180</v>
      </c>
      <c r="C3791" s="11" t="s">
        <v>81</v>
      </c>
      <c r="D3791" s="4" t="s">
        <v>1406</v>
      </c>
      <c r="E3791" t="s">
        <v>82</v>
      </c>
      <c r="F3791" s="9">
        <f t="shared" si="242"/>
        <v>0</v>
      </c>
      <c r="G3791" s="9">
        <f t="shared" si="243"/>
        <v>0</v>
      </c>
      <c r="H3791" s="9">
        <f t="shared" si="244"/>
        <v>0</v>
      </c>
      <c r="I3791" s="10">
        <f t="shared" si="245"/>
        <v>0</v>
      </c>
    </row>
    <row r="3792" spans="1:9" x14ac:dyDescent="0.25">
      <c r="A3792" s="11" t="s">
        <v>9330</v>
      </c>
      <c r="B3792" s="11" t="s">
        <v>9331</v>
      </c>
      <c r="C3792" s="11" t="s">
        <v>81</v>
      </c>
      <c r="D3792" s="4" t="s">
        <v>1406</v>
      </c>
      <c r="E3792" t="s">
        <v>489</v>
      </c>
      <c r="F3792" s="9">
        <f t="shared" si="242"/>
        <v>0</v>
      </c>
      <c r="G3792" s="9">
        <f t="shared" si="243"/>
        <v>0</v>
      </c>
      <c r="H3792" s="9">
        <f t="shared" si="244"/>
        <v>0</v>
      </c>
      <c r="I3792" s="10">
        <f t="shared" si="245"/>
        <v>0</v>
      </c>
    </row>
    <row r="3793" spans="1:9" x14ac:dyDescent="0.25">
      <c r="A3793" s="11" t="s">
        <v>9332</v>
      </c>
      <c r="B3793" s="11" t="s">
        <v>6188</v>
      </c>
      <c r="C3793" s="11" t="s">
        <v>81</v>
      </c>
      <c r="D3793" s="4" t="s">
        <v>1406</v>
      </c>
      <c r="E3793" t="s">
        <v>82</v>
      </c>
      <c r="F3793" s="9">
        <f t="shared" si="242"/>
        <v>0</v>
      </c>
      <c r="G3793" s="9">
        <f t="shared" si="243"/>
        <v>0</v>
      </c>
      <c r="H3793" s="9">
        <f t="shared" si="244"/>
        <v>0</v>
      </c>
      <c r="I3793" s="10">
        <f t="shared" si="245"/>
        <v>0</v>
      </c>
    </row>
    <row r="3794" spans="1:9" x14ac:dyDescent="0.25">
      <c r="A3794" s="11" t="s">
        <v>9333</v>
      </c>
      <c r="B3794" s="11" t="s">
        <v>9334</v>
      </c>
      <c r="C3794" s="11" t="s">
        <v>81</v>
      </c>
      <c r="D3794" s="4" t="s">
        <v>1406</v>
      </c>
      <c r="E3794" t="s">
        <v>489</v>
      </c>
      <c r="F3794" s="9">
        <f t="shared" si="242"/>
        <v>0</v>
      </c>
      <c r="G3794" s="9">
        <f t="shared" si="243"/>
        <v>0</v>
      </c>
      <c r="H3794" s="9">
        <f t="shared" si="244"/>
        <v>0</v>
      </c>
      <c r="I3794" s="10">
        <f t="shared" si="245"/>
        <v>0</v>
      </c>
    </row>
    <row r="3795" spans="1:9" x14ac:dyDescent="0.25">
      <c r="A3795" s="11" t="s">
        <v>9335</v>
      </c>
      <c r="B3795" s="11" t="s">
        <v>9336</v>
      </c>
      <c r="C3795" s="11" t="s">
        <v>81</v>
      </c>
      <c r="D3795" s="4" t="s">
        <v>1406</v>
      </c>
      <c r="E3795" t="s">
        <v>82</v>
      </c>
      <c r="F3795" s="9">
        <f t="shared" si="242"/>
        <v>0</v>
      </c>
      <c r="G3795" s="9">
        <f t="shared" si="243"/>
        <v>0</v>
      </c>
      <c r="H3795" s="9">
        <f t="shared" si="244"/>
        <v>0</v>
      </c>
      <c r="I3795" s="10">
        <f t="shared" si="245"/>
        <v>0</v>
      </c>
    </row>
    <row r="3796" spans="1:9" x14ac:dyDescent="0.25">
      <c r="A3796" s="11" t="s">
        <v>9337</v>
      </c>
      <c r="B3796" s="11" t="s">
        <v>9338</v>
      </c>
      <c r="C3796" s="11" t="s">
        <v>81</v>
      </c>
      <c r="D3796" s="4" t="s">
        <v>1406</v>
      </c>
      <c r="E3796" t="s">
        <v>489</v>
      </c>
      <c r="F3796" s="9">
        <f t="shared" si="242"/>
        <v>0</v>
      </c>
      <c r="G3796" s="9">
        <f t="shared" si="243"/>
        <v>0</v>
      </c>
      <c r="H3796" s="9">
        <f t="shared" si="244"/>
        <v>0</v>
      </c>
      <c r="I3796" s="10">
        <f t="shared" si="245"/>
        <v>0</v>
      </c>
    </row>
    <row r="3797" spans="1:9" x14ac:dyDescent="0.25">
      <c r="A3797" s="11" t="s">
        <v>9339</v>
      </c>
      <c r="B3797" s="11" t="s">
        <v>9340</v>
      </c>
      <c r="C3797" s="11" t="s">
        <v>81</v>
      </c>
      <c r="D3797" s="4" t="s">
        <v>1406</v>
      </c>
      <c r="E3797" t="s">
        <v>82</v>
      </c>
      <c r="F3797" s="9">
        <f t="shared" si="242"/>
        <v>0</v>
      </c>
      <c r="G3797" s="9">
        <f t="shared" si="243"/>
        <v>0</v>
      </c>
      <c r="H3797" s="9">
        <f t="shared" si="244"/>
        <v>0</v>
      </c>
      <c r="I3797" s="10">
        <f t="shared" si="245"/>
        <v>0</v>
      </c>
    </row>
    <row r="3798" spans="1:9" x14ac:dyDescent="0.25">
      <c r="A3798" s="11" t="s">
        <v>9341</v>
      </c>
      <c r="B3798" s="11" t="s">
        <v>9342</v>
      </c>
      <c r="C3798" s="11" t="s">
        <v>81</v>
      </c>
      <c r="D3798" s="4" t="s">
        <v>1406</v>
      </c>
      <c r="E3798" t="s">
        <v>489</v>
      </c>
      <c r="F3798" s="9">
        <f t="shared" si="242"/>
        <v>0</v>
      </c>
      <c r="G3798" s="9">
        <f t="shared" si="243"/>
        <v>0</v>
      </c>
      <c r="H3798" s="9">
        <f t="shared" si="244"/>
        <v>0</v>
      </c>
      <c r="I3798" s="10">
        <f t="shared" si="245"/>
        <v>0</v>
      </c>
    </row>
    <row r="3799" spans="1:9" x14ac:dyDescent="0.25">
      <c r="A3799" s="11" t="s">
        <v>9343</v>
      </c>
      <c r="B3799" s="11" t="s">
        <v>6192</v>
      </c>
      <c r="C3799" s="11" t="s">
        <v>81</v>
      </c>
      <c r="D3799" s="4" t="s">
        <v>1406</v>
      </c>
      <c r="E3799" t="s">
        <v>82</v>
      </c>
      <c r="F3799" s="9">
        <f t="shared" si="242"/>
        <v>0</v>
      </c>
      <c r="G3799" s="9">
        <f t="shared" si="243"/>
        <v>0</v>
      </c>
      <c r="H3799" s="9">
        <f t="shared" si="244"/>
        <v>0</v>
      </c>
      <c r="I3799" s="10">
        <f t="shared" si="245"/>
        <v>0</v>
      </c>
    </row>
    <row r="3800" spans="1:9" x14ac:dyDescent="0.25">
      <c r="A3800" s="11" t="s">
        <v>9344</v>
      </c>
      <c r="B3800" s="11" t="s">
        <v>9345</v>
      </c>
      <c r="C3800" s="11" t="s">
        <v>81</v>
      </c>
      <c r="D3800" s="4" t="s">
        <v>1406</v>
      </c>
      <c r="E3800" t="s">
        <v>489</v>
      </c>
      <c r="F3800" s="9">
        <f t="shared" si="242"/>
        <v>0</v>
      </c>
      <c r="G3800" s="9">
        <f t="shared" si="243"/>
        <v>0</v>
      </c>
      <c r="H3800" s="9">
        <f t="shared" si="244"/>
        <v>0</v>
      </c>
      <c r="I3800" s="10">
        <f t="shared" si="245"/>
        <v>0</v>
      </c>
    </row>
    <row r="3801" spans="1:9" x14ac:dyDescent="0.25">
      <c r="A3801" s="11" t="s">
        <v>9346</v>
      </c>
      <c r="B3801" s="11" t="s">
        <v>9347</v>
      </c>
      <c r="C3801" s="11" t="s">
        <v>81</v>
      </c>
      <c r="D3801" s="4" t="s">
        <v>1406</v>
      </c>
      <c r="E3801" t="s">
        <v>489</v>
      </c>
      <c r="F3801" s="9">
        <f t="shared" si="242"/>
        <v>0</v>
      </c>
      <c r="G3801" s="9">
        <f t="shared" si="243"/>
        <v>0</v>
      </c>
      <c r="H3801" s="9">
        <f t="shared" si="244"/>
        <v>0</v>
      </c>
      <c r="I3801" s="10">
        <f t="shared" si="245"/>
        <v>0</v>
      </c>
    </row>
    <row r="3802" spans="1:9" x14ac:dyDescent="0.25">
      <c r="A3802" s="11" t="s">
        <v>9348</v>
      </c>
      <c r="B3802" s="11" t="s">
        <v>9349</v>
      </c>
      <c r="C3802" s="11" t="s">
        <v>81</v>
      </c>
      <c r="D3802" s="4" t="s">
        <v>1406</v>
      </c>
      <c r="E3802" t="s">
        <v>82</v>
      </c>
      <c r="F3802" s="9">
        <f t="shared" si="242"/>
        <v>0</v>
      </c>
      <c r="G3802" s="9">
        <f t="shared" si="243"/>
        <v>0</v>
      </c>
      <c r="H3802" s="9">
        <f t="shared" si="244"/>
        <v>0</v>
      </c>
      <c r="I3802" s="10">
        <f t="shared" si="245"/>
        <v>0</v>
      </c>
    </row>
    <row r="3803" spans="1:9" x14ac:dyDescent="0.25">
      <c r="A3803" s="11" t="s">
        <v>9350</v>
      </c>
      <c r="B3803" s="11" t="s">
        <v>9351</v>
      </c>
      <c r="C3803" s="11" t="s">
        <v>81</v>
      </c>
      <c r="D3803" s="4" t="s">
        <v>1406</v>
      </c>
      <c r="E3803" t="s">
        <v>82</v>
      </c>
      <c r="F3803" s="9">
        <f t="shared" si="242"/>
        <v>0</v>
      </c>
      <c r="G3803" s="9">
        <f t="shared" si="243"/>
        <v>0</v>
      </c>
      <c r="H3803" s="9">
        <f t="shared" si="244"/>
        <v>0</v>
      </c>
      <c r="I3803" s="10">
        <f t="shared" si="245"/>
        <v>0</v>
      </c>
    </row>
    <row r="3804" spans="1:9" x14ac:dyDescent="0.25">
      <c r="A3804" s="11" t="s">
        <v>9352</v>
      </c>
      <c r="B3804" s="11" t="s">
        <v>9353</v>
      </c>
      <c r="C3804" s="11" t="s">
        <v>81</v>
      </c>
      <c r="D3804" s="4" t="s">
        <v>1406</v>
      </c>
      <c r="E3804" t="s">
        <v>82</v>
      </c>
      <c r="F3804" s="9">
        <f t="shared" si="242"/>
        <v>0</v>
      </c>
      <c r="G3804" s="9">
        <f t="shared" si="243"/>
        <v>0</v>
      </c>
      <c r="H3804" s="9">
        <f t="shared" si="244"/>
        <v>0</v>
      </c>
      <c r="I3804" s="10">
        <f t="shared" si="245"/>
        <v>0</v>
      </c>
    </row>
    <row r="3805" spans="1:9" x14ac:dyDescent="0.25">
      <c r="A3805" s="11" t="s">
        <v>9354</v>
      </c>
      <c r="B3805" s="11" t="s">
        <v>6216</v>
      </c>
      <c r="C3805" s="11" t="s">
        <v>81</v>
      </c>
      <c r="D3805" s="4" t="s">
        <v>1406</v>
      </c>
      <c r="E3805" t="s">
        <v>489</v>
      </c>
      <c r="F3805" s="9">
        <f t="shared" si="242"/>
        <v>0</v>
      </c>
      <c r="G3805" s="9">
        <f t="shared" si="243"/>
        <v>0</v>
      </c>
      <c r="H3805" s="9">
        <f t="shared" si="244"/>
        <v>0</v>
      </c>
      <c r="I3805" s="10">
        <f t="shared" si="245"/>
        <v>0</v>
      </c>
    </row>
    <row r="3806" spans="1:9" x14ac:dyDescent="0.25">
      <c r="A3806" s="11" t="s">
        <v>9355</v>
      </c>
      <c r="B3806" s="11" t="s">
        <v>9356</v>
      </c>
      <c r="C3806" s="11" t="s">
        <v>81</v>
      </c>
      <c r="D3806" s="4" t="s">
        <v>1406</v>
      </c>
      <c r="E3806" t="s">
        <v>82</v>
      </c>
      <c r="F3806" s="9">
        <f t="shared" si="242"/>
        <v>0</v>
      </c>
      <c r="G3806" s="9">
        <f t="shared" si="243"/>
        <v>0</v>
      </c>
      <c r="H3806" s="9">
        <f t="shared" si="244"/>
        <v>0</v>
      </c>
      <c r="I3806" s="10">
        <f t="shared" si="245"/>
        <v>0</v>
      </c>
    </row>
    <row r="3807" spans="1:9" x14ac:dyDescent="0.25">
      <c r="A3807" s="11" t="s">
        <v>9357</v>
      </c>
      <c r="B3807" s="11" t="s">
        <v>6230</v>
      </c>
      <c r="C3807" s="11" t="s">
        <v>81</v>
      </c>
      <c r="D3807" s="4" t="s">
        <v>1406</v>
      </c>
      <c r="E3807" t="s">
        <v>489</v>
      </c>
      <c r="F3807" s="9">
        <f t="shared" si="242"/>
        <v>0</v>
      </c>
      <c r="G3807" s="9">
        <f t="shared" si="243"/>
        <v>0</v>
      </c>
      <c r="H3807" s="9">
        <f t="shared" si="244"/>
        <v>0</v>
      </c>
      <c r="I3807" s="10">
        <f t="shared" si="245"/>
        <v>0</v>
      </c>
    </row>
    <row r="3808" spans="1:9" x14ac:dyDescent="0.25">
      <c r="A3808" s="11" t="s">
        <v>9358</v>
      </c>
      <c r="B3808" s="11" t="s">
        <v>6238</v>
      </c>
      <c r="C3808" s="11" t="s">
        <v>81</v>
      </c>
      <c r="D3808" s="4" t="s">
        <v>1406</v>
      </c>
      <c r="E3808" t="s">
        <v>489</v>
      </c>
      <c r="F3808" s="9">
        <f t="shared" si="242"/>
        <v>0</v>
      </c>
      <c r="G3808" s="9">
        <f t="shared" si="243"/>
        <v>0</v>
      </c>
      <c r="H3808" s="9">
        <f t="shared" si="244"/>
        <v>0</v>
      </c>
      <c r="I3808" s="10">
        <f t="shared" si="245"/>
        <v>0</v>
      </c>
    </row>
    <row r="3809" spans="1:9" x14ac:dyDescent="0.25">
      <c r="A3809" s="11" t="s">
        <v>9359</v>
      </c>
      <c r="B3809" s="11" t="s">
        <v>9360</v>
      </c>
      <c r="C3809" s="11" t="s">
        <v>81</v>
      </c>
      <c r="D3809" s="4" t="s">
        <v>1406</v>
      </c>
      <c r="E3809" t="s">
        <v>489</v>
      </c>
      <c r="F3809" s="9">
        <f t="shared" si="242"/>
        <v>0</v>
      </c>
      <c r="G3809" s="9">
        <f t="shared" si="243"/>
        <v>0</v>
      </c>
      <c r="H3809" s="9">
        <f t="shared" si="244"/>
        <v>0</v>
      </c>
      <c r="I3809" s="10">
        <f t="shared" si="245"/>
        <v>0</v>
      </c>
    </row>
    <row r="3810" spans="1:9" x14ac:dyDescent="0.25">
      <c r="A3810" s="11" t="s">
        <v>9361</v>
      </c>
      <c r="B3810" s="11" t="s">
        <v>6248</v>
      </c>
      <c r="C3810" s="11" t="s">
        <v>81</v>
      </c>
      <c r="D3810" s="4" t="s">
        <v>1406</v>
      </c>
      <c r="E3810" t="s">
        <v>489</v>
      </c>
      <c r="F3810" s="9">
        <f t="shared" si="242"/>
        <v>0</v>
      </c>
      <c r="G3810" s="9">
        <f t="shared" si="243"/>
        <v>0</v>
      </c>
      <c r="H3810" s="9">
        <f t="shared" si="244"/>
        <v>0</v>
      </c>
      <c r="I3810" s="10">
        <f t="shared" si="245"/>
        <v>0</v>
      </c>
    </row>
    <row r="3811" spans="1:9" x14ac:dyDescent="0.25">
      <c r="A3811" s="11" t="s">
        <v>9362</v>
      </c>
      <c r="B3811" s="11" t="s">
        <v>9363</v>
      </c>
      <c r="C3811" s="11" t="s">
        <v>81</v>
      </c>
      <c r="D3811" s="4" t="s">
        <v>1406</v>
      </c>
      <c r="E3811" t="s">
        <v>489</v>
      </c>
      <c r="F3811" s="9">
        <f t="shared" si="242"/>
        <v>0</v>
      </c>
      <c r="G3811" s="9">
        <f t="shared" si="243"/>
        <v>0</v>
      </c>
      <c r="H3811" s="9">
        <f t="shared" si="244"/>
        <v>0</v>
      </c>
      <c r="I3811" s="10">
        <f t="shared" si="245"/>
        <v>0</v>
      </c>
    </row>
    <row r="3812" spans="1:9" x14ac:dyDescent="0.25">
      <c r="A3812" s="11" t="s">
        <v>9364</v>
      </c>
      <c r="B3812" s="11" t="s">
        <v>9365</v>
      </c>
      <c r="C3812" s="11" t="s">
        <v>81</v>
      </c>
      <c r="D3812" s="4" t="s">
        <v>1406</v>
      </c>
      <c r="E3812" t="s">
        <v>82</v>
      </c>
      <c r="F3812" s="9">
        <f t="shared" si="242"/>
        <v>0</v>
      </c>
      <c r="G3812" s="9">
        <f t="shared" si="243"/>
        <v>0</v>
      </c>
      <c r="H3812" s="9">
        <f t="shared" si="244"/>
        <v>0</v>
      </c>
      <c r="I3812" s="10">
        <f t="shared" si="245"/>
        <v>0</v>
      </c>
    </row>
    <row r="3813" spans="1:9" x14ac:dyDescent="0.25">
      <c r="A3813" s="11" t="s">
        <v>9366</v>
      </c>
      <c r="B3813" s="11" t="s">
        <v>9367</v>
      </c>
      <c r="C3813" s="11" t="s">
        <v>81</v>
      </c>
      <c r="D3813" s="4" t="s">
        <v>1406</v>
      </c>
      <c r="E3813" t="s">
        <v>489</v>
      </c>
      <c r="F3813" s="9">
        <f t="shared" si="242"/>
        <v>0</v>
      </c>
      <c r="G3813" s="9">
        <f t="shared" si="243"/>
        <v>0</v>
      </c>
      <c r="H3813" s="9">
        <f t="shared" si="244"/>
        <v>0</v>
      </c>
      <c r="I3813" s="10">
        <f t="shared" si="245"/>
        <v>0</v>
      </c>
    </row>
    <row r="3814" spans="1:9" x14ac:dyDescent="0.25">
      <c r="A3814" s="11" t="s">
        <v>9368</v>
      </c>
      <c r="B3814" s="11" t="s">
        <v>9369</v>
      </c>
      <c r="C3814" s="11" t="s">
        <v>81</v>
      </c>
      <c r="D3814" s="4" t="s">
        <v>1406</v>
      </c>
      <c r="E3814" t="s">
        <v>489</v>
      </c>
      <c r="F3814" s="9">
        <f t="shared" si="242"/>
        <v>0</v>
      </c>
      <c r="G3814" s="9">
        <f t="shared" si="243"/>
        <v>0</v>
      </c>
      <c r="H3814" s="9">
        <f t="shared" si="244"/>
        <v>0</v>
      </c>
      <c r="I3814" s="10">
        <f t="shared" si="245"/>
        <v>0</v>
      </c>
    </row>
    <row r="3815" spans="1:9" x14ac:dyDescent="0.25">
      <c r="A3815" s="11" t="s">
        <v>9370</v>
      </c>
      <c r="B3815" s="11" t="s">
        <v>9371</v>
      </c>
      <c r="C3815" s="11" t="s">
        <v>81</v>
      </c>
      <c r="D3815" s="4" t="s">
        <v>1406</v>
      </c>
      <c r="E3815" t="s">
        <v>489</v>
      </c>
      <c r="F3815" s="9">
        <f t="shared" si="242"/>
        <v>0</v>
      </c>
      <c r="G3815" s="9">
        <f t="shared" si="243"/>
        <v>0</v>
      </c>
      <c r="H3815" s="9">
        <f t="shared" si="244"/>
        <v>0</v>
      </c>
      <c r="I3815" s="10">
        <f t="shared" si="245"/>
        <v>0</v>
      </c>
    </row>
    <row r="3816" spans="1:9" x14ac:dyDescent="0.25">
      <c r="A3816" s="11" t="s">
        <v>9372</v>
      </c>
      <c r="B3816" s="11" t="s">
        <v>9373</v>
      </c>
      <c r="C3816" s="11" t="s">
        <v>81</v>
      </c>
      <c r="D3816" s="4" t="s">
        <v>1406</v>
      </c>
      <c r="E3816" t="s">
        <v>489</v>
      </c>
      <c r="F3816" s="9">
        <f t="shared" si="242"/>
        <v>0</v>
      </c>
      <c r="G3816" s="9">
        <f t="shared" si="243"/>
        <v>0</v>
      </c>
      <c r="H3816" s="9">
        <f t="shared" si="244"/>
        <v>0</v>
      </c>
      <c r="I3816" s="10">
        <f t="shared" si="245"/>
        <v>0</v>
      </c>
    </row>
    <row r="3817" spans="1:9" x14ac:dyDescent="0.25">
      <c r="A3817" s="11" t="s">
        <v>9374</v>
      </c>
      <c r="B3817" s="11" t="s">
        <v>6266</v>
      </c>
      <c r="C3817" s="11" t="s">
        <v>81</v>
      </c>
      <c r="D3817" s="4" t="s">
        <v>1406</v>
      </c>
      <c r="E3817" t="s">
        <v>489</v>
      </c>
      <c r="F3817" s="9">
        <f t="shared" si="242"/>
        <v>0</v>
      </c>
      <c r="G3817" s="9">
        <f t="shared" si="243"/>
        <v>0</v>
      </c>
      <c r="H3817" s="9">
        <f t="shared" si="244"/>
        <v>0</v>
      </c>
      <c r="I3817" s="10">
        <f t="shared" si="245"/>
        <v>0</v>
      </c>
    </row>
    <row r="3818" spans="1:9" x14ac:dyDescent="0.25">
      <c r="A3818" s="11" t="s">
        <v>9375</v>
      </c>
      <c r="B3818" s="11" t="s">
        <v>6272</v>
      </c>
      <c r="C3818" s="11" t="s">
        <v>81</v>
      </c>
      <c r="D3818" s="4" t="s">
        <v>1406</v>
      </c>
      <c r="E3818" t="s">
        <v>489</v>
      </c>
      <c r="F3818" s="9">
        <f t="shared" si="242"/>
        <v>0</v>
      </c>
      <c r="G3818" s="9">
        <f t="shared" si="243"/>
        <v>0</v>
      </c>
      <c r="H3818" s="9">
        <f t="shared" si="244"/>
        <v>0</v>
      </c>
      <c r="I3818" s="10">
        <f t="shared" si="245"/>
        <v>0</v>
      </c>
    </row>
    <row r="3819" spans="1:9" x14ac:dyDescent="0.25">
      <c r="A3819" s="11" t="s">
        <v>9376</v>
      </c>
      <c r="B3819" s="11" t="s">
        <v>5628</v>
      </c>
      <c r="C3819" s="11" t="s">
        <v>81</v>
      </c>
      <c r="D3819" s="4" t="s">
        <v>1406</v>
      </c>
      <c r="E3819" t="s">
        <v>489</v>
      </c>
      <c r="F3819" s="9">
        <f t="shared" si="242"/>
        <v>0</v>
      </c>
      <c r="G3819" s="9">
        <f t="shared" si="243"/>
        <v>0</v>
      </c>
      <c r="H3819" s="9">
        <f t="shared" si="244"/>
        <v>0</v>
      </c>
      <c r="I3819" s="10">
        <f t="shared" si="245"/>
        <v>0</v>
      </c>
    </row>
    <row r="3820" spans="1:9" x14ac:dyDescent="0.25">
      <c r="A3820" s="11" t="s">
        <v>9377</v>
      </c>
      <c r="B3820" s="11" t="s">
        <v>9378</v>
      </c>
      <c r="C3820" s="11" t="s">
        <v>81</v>
      </c>
      <c r="D3820" s="4" t="s">
        <v>1406</v>
      </c>
      <c r="E3820" t="s">
        <v>489</v>
      </c>
      <c r="F3820" s="9">
        <f t="shared" si="242"/>
        <v>0</v>
      </c>
      <c r="G3820" s="9">
        <f t="shared" si="243"/>
        <v>0</v>
      </c>
      <c r="H3820" s="9">
        <f t="shared" si="244"/>
        <v>0</v>
      </c>
      <c r="I3820" s="10">
        <f t="shared" si="245"/>
        <v>0</v>
      </c>
    </row>
    <row r="3821" spans="1:9" x14ac:dyDescent="0.25">
      <c r="A3821" s="11" t="s">
        <v>9379</v>
      </c>
      <c r="B3821" s="11" t="s">
        <v>9380</v>
      </c>
      <c r="C3821" s="11" t="s">
        <v>81</v>
      </c>
      <c r="D3821" s="4" t="s">
        <v>1406</v>
      </c>
      <c r="E3821" t="s">
        <v>82</v>
      </c>
      <c r="F3821" s="9">
        <f t="shared" si="242"/>
        <v>0</v>
      </c>
      <c r="G3821" s="9">
        <f t="shared" si="243"/>
        <v>0</v>
      </c>
      <c r="H3821" s="9">
        <f t="shared" si="244"/>
        <v>0</v>
      </c>
      <c r="I3821" s="10">
        <f t="shared" si="245"/>
        <v>0</v>
      </c>
    </row>
    <row r="3822" spans="1:9" x14ac:dyDescent="0.25">
      <c r="A3822" s="11" t="s">
        <v>9381</v>
      </c>
      <c r="B3822" s="11" t="s">
        <v>6280</v>
      </c>
      <c r="C3822" s="11" t="s">
        <v>81</v>
      </c>
      <c r="D3822" s="4" t="s">
        <v>1406</v>
      </c>
      <c r="E3822" t="s">
        <v>489</v>
      </c>
      <c r="F3822" s="9">
        <f t="shared" si="242"/>
        <v>0</v>
      </c>
      <c r="G3822" s="9">
        <f t="shared" si="243"/>
        <v>0</v>
      </c>
      <c r="H3822" s="9">
        <f t="shared" si="244"/>
        <v>0</v>
      </c>
      <c r="I3822" s="10">
        <f t="shared" si="245"/>
        <v>0</v>
      </c>
    </row>
    <row r="3823" spans="1:9" x14ac:dyDescent="0.25">
      <c r="A3823" s="11" t="s">
        <v>9382</v>
      </c>
      <c r="B3823" s="11" t="s">
        <v>9383</v>
      </c>
      <c r="C3823" s="11" t="s">
        <v>81</v>
      </c>
      <c r="D3823" s="4" t="s">
        <v>1406</v>
      </c>
      <c r="E3823" t="s">
        <v>82</v>
      </c>
      <c r="F3823" s="9">
        <f t="shared" si="242"/>
        <v>0</v>
      </c>
      <c r="G3823" s="9">
        <f t="shared" si="243"/>
        <v>0</v>
      </c>
      <c r="H3823" s="9">
        <f t="shared" si="244"/>
        <v>0</v>
      </c>
      <c r="I3823" s="10">
        <f t="shared" si="245"/>
        <v>0</v>
      </c>
    </row>
    <row r="3824" spans="1:9" x14ac:dyDescent="0.25">
      <c r="A3824" s="11" t="s">
        <v>9384</v>
      </c>
      <c r="B3824" s="11" t="s">
        <v>9385</v>
      </c>
      <c r="C3824" s="11" t="s">
        <v>81</v>
      </c>
      <c r="D3824" s="4" t="s">
        <v>1406</v>
      </c>
      <c r="E3824" t="s">
        <v>82</v>
      </c>
      <c r="F3824" s="9">
        <f t="shared" ref="F3824:F3887" si="246">IFERROR(VLOOKUP(A3824,condi,8,0),0)</f>
        <v>0</v>
      </c>
      <c r="G3824" s="9">
        <f t="shared" ref="G3824:G3887" si="247">IFERROR(VLOOKUP(A3824,maqui,8,0),0)</f>
        <v>0</v>
      </c>
      <c r="H3824" s="9">
        <f t="shared" ref="H3824:H3887" si="248">IFERROR(VLOOKUP(A3824,ascint,8,0),0)</f>
        <v>0</v>
      </c>
      <c r="I3824" s="10">
        <f t="shared" ref="I3824:I3887" si="249">+F3824+G3824+H3824</f>
        <v>0</v>
      </c>
    </row>
    <row r="3825" spans="1:9" x14ac:dyDescent="0.25">
      <c r="A3825" s="11" t="s">
        <v>5036</v>
      </c>
      <c r="B3825" s="11" t="s">
        <v>5035</v>
      </c>
      <c r="C3825" s="11" t="s">
        <v>81</v>
      </c>
      <c r="D3825" s="4" t="s">
        <v>1406</v>
      </c>
      <c r="E3825" t="s">
        <v>489</v>
      </c>
      <c r="F3825" s="9">
        <f t="shared" si="246"/>
        <v>0</v>
      </c>
      <c r="G3825" s="9">
        <f t="shared" si="247"/>
        <v>0</v>
      </c>
      <c r="H3825" s="9">
        <f t="shared" si="248"/>
        <v>0</v>
      </c>
      <c r="I3825" s="10">
        <f t="shared" si="249"/>
        <v>0</v>
      </c>
    </row>
    <row r="3826" spans="1:9" x14ac:dyDescent="0.25">
      <c r="A3826" s="11" t="s">
        <v>9386</v>
      </c>
      <c r="B3826" s="11" t="s">
        <v>9387</v>
      </c>
      <c r="C3826" s="11" t="s">
        <v>81</v>
      </c>
      <c r="D3826" s="4" t="s">
        <v>1406</v>
      </c>
      <c r="E3826" t="s">
        <v>489</v>
      </c>
      <c r="F3826" s="9">
        <f t="shared" si="246"/>
        <v>0</v>
      </c>
      <c r="G3826" s="9">
        <f t="shared" si="247"/>
        <v>0</v>
      </c>
      <c r="H3826" s="9">
        <f t="shared" si="248"/>
        <v>0</v>
      </c>
      <c r="I3826" s="10">
        <f t="shared" si="249"/>
        <v>0</v>
      </c>
    </row>
    <row r="3827" spans="1:9" x14ac:dyDescent="0.25">
      <c r="A3827" s="11" t="s">
        <v>9388</v>
      </c>
      <c r="B3827" s="11" t="s">
        <v>9389</v>
      </c>
      <c r="C3827" s="11" t="s">
        <v>81</v>
      </c>
      <c r="D3827" s="4" t="s">
        <v>1406</v>
      </c>
      <c r="E3827" t="s">
        <v>489</v>
      </c>
      <c r="F3827" s="9">
        <f t="shared" si="246"/>
        <v>0</v>
      </c>
      <c r="G3827" s="9">
        <f t="shared" si="247"/>
        <v>0</v>
      </c>
      <c r="H3827" s="9">
        <f t="shared" si="248"/>
        <v>0</v>
      </c>
      <c r="I3827" s="10">
        <f t="shared" si="249"/>
        <v>0</v>
      </c>
    </row>
    <row r="3828" spans="1:9" x14ac:dyDescent="0.25">
      <c r="A3828" s="11" t="s">
        <v>9390</v>
      </c>
      <c r="B3828" s="11" t="s">
        <v>9391</v>
      </c>
      <c r="C3828" s="11" t="s">
        <v>81</v>
      </c>
      <c r="D3828" s="4" t="s">
        <v>1406</v>
      </c>
      <c r="E3828" t="s">
        <v>489</v>
      </c>
      <c r="F3828" s="9">
        <f t="shared" si="246"/>
        <v>0</v>
      </c>
      <c r="G3828" s="9">
        <f t="shared" si="247"/>
        <v>0</v>
      </c>
      <c r="H3828" s="9">
        <f t="shared" si="248"/>
        <v>0</v>
      </c>
      <c r="I3828" s="10">
        <f t="shared" si="249"/>
        <v>0</v>
      </c>
    </row>
    <row r="3829" spans="1:9" x14ac:dyDescent="0.25">
      <c r="A3829" s="11" t="s">
        <v>9392</v>
      </c>
      <c r="B3829" s="11" t="s">
        <v>6302</v>
      </c>
      <c r="C3829" s="11" t="s">
        <v>81</v>
      </c>
      <c r="D3829" s="4" t="s">
        <v>1406</v>
      </c>
      <c r="E3829" t="s">
        <v>489</v>
      </c>
      <c r="F3829" s="9">
        <f t="shared" si="246"/>
        <v>0</v>
      </c>
      <c r="G3829" s="9">
        <f t="shared" si="247"/>
        <v>0</v>
      </c>
      <c r="H3829" s="9">
        <f t="shared" si="248"/>
        <v>0</v>
      </c>
      <c r="I3829" s="10">
        <f t="shared" si="249"/>
        <v>0</v>
      </c>
    </row>
    <row r="3830" spans="1:9" x14ac:dyDescent="0.25">
      <c r="A3830" s="11" t="s">
        <v>9393</v>
      </c>
      <c r="B3830" s="11" t="s">
        <v>9394</v>
      </c>
      <c r="C3830" s="11" t="s">
        <v>81</v>
      </c>
      <c r="D3830" s="4" t="s">
        <v>1406</v>
      </c>
      <c r="E3830" t="s">
        <v>489</v>
      </c>
      <c r="F3830" s="9">
        <f t="shared" si="246"/>
        <v>0</v>
      </c>
      <c r="G3830" s="9">
        <f t="shared" si="247"/>
        <v>0</v>
      </c>
      <c r="H3830" s="9">
        <f t="shared" si="248"/>
        <v>0</v>
      </c>
      <c r="I3830" s="10">
        <f t="shared" si="249"/>
        <v>0</v>
      </c>
    </row>
    <row r="3831" spans="1:9" x14ac:dyDescent="0.25">
      <c r="A3831" s="11" t="s">
        <v>9395</v>
      </c>
      <c r="B3831" s="11" t="s">
        <v>6310</v>
      </c>
      <c r="C3831" s="11" t="s">
        <v>81</v>
      </c>
      <c r="D3831" s="4" t="s">
        <v>1406</v>
      </c>
      <c r="E3831" t="s">
        <v>489</v>
      </c>
      <c r="F3831" s="9">
        <f t="shared" si="246"/>
        <v>0</v>
      </c>
      <c r="G3831" s="9">
        <f t="shared" si="247"/>
        <v>0</v>
      </c>
      <c r="H3831" s="9">
        <f t="shared" si="248"/>
        <v>0</v>
      </c>
      <c r="I3831" s="10">
        <f t="shared" si="249"/>
        <v>0</v>
      </c>
    </row>
    <row r="3832" spans="1:9" x14ac:dyDescent="0.25">
      <c r="A3832" s="11" t="s">
        <v>9396</v>
      </c>
      <c r="B3832" s="11" t="s">
        <v>6326</v>
      </c>
      <c r="C3832" s="11" t="s">
        <v>81</v>
      </c>
      <c r="D3832" s="4" t="s">
        <v>1406</v>
      </c>
      <c r="E3832" t="s">
        <v>489</v>
      </c>
      <c r="F3832" s="9">
        <f t="shared" si="246"/>
        <v>0</v>
      </c>
      <c r="G3832" s="9">
        <f t="shared" si="247"/>
        <v>0</v>
      </c>
      <c r="H3832" s="9">
        <f t="shared" si="248"/>
        <v>0</v>
      </c>
      <c r="I3832" s="10">
        <f t="shared" si="249"/>
        <v>0</v>
      </c>
    </row>
    <row r="3833" spans="1:9" x14ac:dyDescent="0.25">
      <c r="A3833" s="11" t="s">
        <v>9397</v>
      </c>
      <c r="B3833" s="11" t="s">
        <v>9398</v>
      </c>
      <c r="C3833" s="11" t="s">
        <v>81</v>
      </c>
      <c r="D3833" s="4" t="s">
        <v>1406</v>
      </c>
      <c r="E3833" t="s">
        <v>82</v>
      </c>
      <c r="F3833" s="9">
        <f t="shared" si="246"/>
        <v>0</v>
      </c>
      <c r="G3833" s="9">
        <f t="shared" si="247"/>
        <v>0</v>
      </c>
      <c r="H3833" s="9">
        <f t="shared" si="248"/>
        <v>0</v>
      </c>
      <c r="I3833" s="10">
        <f t="shared" si="249"/>
        <v>0</v>
      </c>
    </row>
    <row r="3834" spans="1:9" x14ac:dyDescent="0.25">
      <c r="A3834" s="11" t="s">
        <v>9399</v>
      </c>
      <c r="B3834" s="11" t="s">
        <v>6350</v>
      </c>
      <c r="C3834" s="11" t="s">
        <v>81</v>
      </c>
      <c r="D3834" s="4" t="s">
        <v>1406</v>
      </c>
      <c r="E3834" t="s">
        <v>489</v>
      </c>
      <c r="F3834" s="9">
        <f t="shared" si="246"/>
        <v>0</v>
      </c>
      <c r="G3834" s="9">
        <f t="shared" si="247"/>
        <v>0</v>
      </c>
      <c r="H3834" s="9">
        <f t="shared" si="248"/>
        <v>0</v>
      </c>
      <c r="I3834" s="10">
        <f t="shared" si="249"/>
        <v>0</v>
      </c>
    </row>
    <row r="3835" spans="1:9" x14ac:dyDescent="0.25">
      <c r="A3835" s="11" t="s">
        <v>9400</v>
      </c>
      <c r="B3835" s="11" t="s">
        <v>9401</v>
      </c>
      <c r="C3835" s="11" t="s">
        <v>81</v>
      </c>
      <c r="D3835" s="4" t="s">
        <v>1406</v>
      </c>
      <c r="E3835" t="s">
        <v>82</v>
      </c>
      <c r="F3835" s="9">
        <f t="shared" si="246"/>
        <v>0</v>
      </c>
      <c r="G3835" s="9">
        <f t="shared" si="247"/>
        <v>0</v>
      </c>
      <c r="H3835" s="9">
        <f t="shared" si="248"/>
        <v>0</v>
      </c>
      <c r="I3835" s="10">
        <f t="shared" si="249"/>
        <v>0</v>
      </c>
    </row>
    <row r="3836" spans="1:9" x14ac:dyDescent="0.25">
      <c r="A3836" s="11" t="s">
        <v>9402</v>
      </c>
      <c r="B3836" s="11" t="s">
        <v>9403</v>
      </c>
      <c r="C3836" s="11" t="s">
        <v>81</v>
      </c>
      <c r="D3836" s="4" t="s">
        <v>1406</v>
      </c>
      <c r="E3836" t="s">
        <v>489</v>
      </c>
      <c r="F3836" s="9">
        <f t="shared" si="246"/>
        <v>0</v>
      </c>
      <c r="G3836" s="9">
        <f t="shared" si="247"/>
        <v>0</v>
      </c>
      <c r="H3836" s="9">
        <f t="shared" si="248"/>
        <v>0</v>
      </c>
      <c r="I3836" s="10">
        <f t="shared" si="249"/>
        <v>0</v>
      </c>
    </row>
    <row r="3837" spans="1:9" x14ac:dyDescent="0.25">
      <c r="A3837" s="11" t="s">
        <v>9404</v>
      </c>
      <c r="B3837" s="11" t="s">
        <v>9405</v>
      </c>
      <c r="C3837" s="11" t="s">
        <v>81</v>
      </c>
      <c r="D3837" s="4" t="s">
        <v>1406</v>
      </c>
      <c r="E3837" t="s">
        <v>489</v>
      </c>
      <c r="F3837" s="9">
        <f t="shared" si="246"/>
        <v>0</v>
      </c>
      <c r="G3837" s="9">
        <f t="shared" si="247"/>
        <v>0</v>
      </c>
      <c r="H3837" s="9">
        <f t="shared" si="248"/>
        <v>0</v>
      </c>
      <c r="I3837" s="10">
        <f t="shared" si="249"/>
        <v>0</v>
      </c>
    </row>
    <row r="3838" spans="1:9" x14ac:dyDescent="0.25">
      <c r="A3838" s="11" t="s">
        <v>9406</v>
      </c>
      <c r="B3838" s="11" t="s">
        <v>6418</v>
      </c>
      <c r="C3838" s="11" t="s">
        <v>81</v>
      </c>
      <c r="D3838" s="4" t="s">
        <v>1406</v>
      </c>
      <c r="E3838" t="s">
        <v>489</v>
      </c>
      <c r="F3838" s="9">
        <f t="shared" si="246"/>
        <v>0</v>
      </c>
      <c r="G3838" s="9">
        <f t="shared" si="247"/>
        <v>0</v>
      </c>
      <c r="H3838" s="9">
        <f t="shared" si="248"/>
        <v>0</v>
      </c>
      <c r="I3838" s="10">
        <f t="shared" si="249"/>
        <v>0</v>
      </c>
    </row>
    <row r="3839" spans="1:9" x14ac:dyDescent="0.25">
      <c r="A3839" s="11" t="s">
        <v>9407</v>
      </c>
      <c r="B3839" s="11" t="s">
        <v>6428</v>
      </c>
      <c r="C3839" s="11" t="s">
        <v>81</v>
      </c>
      <c r="D3839" s="4" t="s">
        <v>1406</v>
      </c>
      <c r="E3839" t="s">
        <v>82</v>
      </c>
      <c r="F3839" s="9">
        <f t="shared" si="246"/>
        <v>0</v>
      </c>
      <c r="G3839" s="9">
        <f t="shared" si="247"/>
        <v>0</v>
      </c>
      <c r="H3839" s="9">
        <f t="shared" si="248"/>
        <v>0</v>
      </c>
      <c r="I3839" s="10">
        <f t="shared" si="249"/>
        <v>0</v>
      </c>
    </row>
    <row r="3840" spans="1:9" x14ac:dyDescent="0.25">
      <c r="A3840" s="11" t="s">
        <v>9408</v>
      </c>
      <c r="B3840" s="11" t="s">
        <v>9409</v>
      </c>
      <c r="C3840" s="11" t="s">
        <v>81</v>
      </c>
      <c r="D3840" s="4" t="s">
        <v>1406</v>
      </c>
      <c r="E3840" t="s">
        <v>82</v>
      </c>
      <c r="F3840" s="9">
        <f t="shared" si="246"/>
        <v>0</v>
      </c>
      <c r="G3840" s="9">
        <f t="shared" si="247"/>
        <v>0</v>
      </c>
      <c r="H3840" s="9">
        <f t="shared" si="248"/>
        <v>0</v>
      </c>
      <c r="I3840" s="10">
        <f t="shared" si="249"/>
        <v>0</v>
      </c>
    </row>
    <row r="3841" spans="1:9" x14ac:dyDescent="0.25">
      <c r="A3841" s="11" t="s">
        <v>9410</v>
      </c>
      <c r="B3841" s="11" t="s">
        <v>9411</v>
      </c>
      <c r="C3841" s="11" t="s">
        <v>81</v>
      </c>
      <c r="D3841" s="4" t="s">
        <v>1406</v>
      </c>
      <c r="E3841" t="s">
        <v>82</v>
      </c>
      <c r="F3841" s="9">
        <f t="shared" si="246"/>
        <v>0</v>
      </c>
      <c r="G3841" s="9">
        <f t="shared" si="247"/>
        <v>0</v>
      </c>
      <c r="H3841" s="9">
        <f t="shared" si="248"/>
        <v>0</v>
      </c>
      <c r="I3841" s="10">
        <f t="shared" si="249"/>
        <v>0</v>
      </c>
    </row>
    <row r="3842" spans="1:9" x14ac:dyDescent="0.25">
      <c r="A3842" s="11" t="s">
        <v>9412</v>
      </c>
      <c r="B3842" s="11" t="s">
        <v>6458</v>
      </c>
      <c r="C3842" s="11" t="s">
        <v>81</v>
      </c>
      <c r="D3842" s="4" t="s">
        <v>1406</v>
      </c>
      <c r="E3842" t="s">
        <v>82</v>
      </c>
      <c r="F3842" s="9">
        <f t="shared" si="246"/>
        <v>0</v>
      </c>
      <c r="G3842" s="9">
        <f t="shared" si="247"/>
        <v>0</v>
      </c>
      <c r="H3842" s="9">
        <f t="shared" si="248"/>
        <v>0</v>
      </c>
      <c r="I3842" s="10">
        <f t="shared" si="249"/>
        <v>0</v>
      </c>
    </row>
    <row r="3843" spans="1:9" x14ac:dyDescent="0.25">
      <c r="A3843" s="11" t="s">
        <v>9413</v>
      </c>
      <c r="B3843" s="11" t="s">
        <v>9414</v>
      </c>
      <c r="C3843" s="11" t="s">
        <v>81</v>
      </c>
      <c r="D3843" s="4" t="s">
        <v>1406</v>
      </c>
      <c r="E3843" t="s">
        <v>82</v>
      </c>
      <c r="F3843" s="9">
        <f t="shared" si="246"/>
        <v>0</v>
      </c>
      <c r="G3843" s="9">
        <f t="shared" si="247"/>
        <v>0</v>
      </c>
      <c r="H3843" s="9">
        <f t="shared" si="248"/>
        <v>0</v>
      </c>
      <c r="I3843" s="10">
        <f t="shared" si="249"/>
        <v>0</v>
      </c>
    </row>
    <row r="3844" spans="1:9" x14ac:dyDescent="0.25">
      <c r="A3844" s="11" t="s">
        <v>9415</v>
      </c>
      <c r="B3844" s="11" t="s">
        <v>9416</v>
      </c>
      <c r="C3844" s="11" t="s">
        <v>81</v>
      </c>
      <c r="D3844" s="4" t="s">
        <v>1406</v>
      </c>
      <c r="E3844" t="s">
        <v>489</v>
      </c>
      <c r="F3844" s="9">
        <f t="shared" si="246"/>
        <v>0</v>
      </c>
      <c r="G3844" s="9">
        <f t="shared" si="247"/>
        <v>0</v>
      </c>
      <c r="H3844" s="9">
        <f t="shared" si="248"/>
        <v>0</v>
      </c>
      <c r="I3844" s="10">
        <f t="shared" si="249"/>
        <v>0</v>
      </c>
    </row>
    <row r="3845" spans="1:9" x14ac:dyDescent="0.25">
      <c r="A3845" s="11" t="s">
        <v>9417</v>
      </c>
      <c r="B3845" s="11" t="s">
        <v>9418</v>
      </c>
      <c r="C3845" s="11" t="s">
        <v>81</v>
      </c>
      <c r="D3845" s="4" t="s">
        <v>1406</v>
      </c>
      <c r="E3845" t="s">
        <v>489</v>
      </c>
      <c r="F3845" s="9">
        <f t="shared" si="246"/>
        <v>0</v>
      </c>
      <c r="G3845" s="9">
        <f t="shared" si="247"/>
        <v>0</v>
      </c>
      <c r="H3845" s="9">
        <f t="shared" si="248"/>
        <v>0</v>
      </c>
      <c r="I3845" s="10">
        <f t="shared" si="249"/>
        <v>0</v>
      </c>
    </row>
    <row r="3846" spans="1:9" x14ac:dyDescent="0.25">
      <c r="A3846" s="11" t="s">
        <v>9419</v>
      </c>
      <c r="B3846" s="11" t="s">
        <v>6480</v>
      </c>
      <c r="C3846" s="11" t="s">
        <v>81</v>
      </c>
      <c r="D3846" s="4" t="s">
        <v>1406</v>
      </c>
      <c r="E3846" t="s">
        <v>489</v>
      </c>
      <c r="F3846" s="9">
        <f t="shared" si="246"/>
        <v>0</v>
      </c>
      <c r="G3846" s="9">
        <f t="shared" si="247"/>
        <v>0</v>
      </c>
      <c r="H3846" s="9">
        <f t="shared" si="248"/>
        <v>0</v>
      </c>
      <c r="I3846" s="10">
        <f t="shared" si="249"/>
        <v>0</v>
      </c>
    </row>
    <row r="3847" spans="1:9" x14ac:dyDescent="0.25">
      <c r="A3847" s="11" t="s">
        <v>9420</v>
      </c>
      <c r="B3847" s="11" t="s">
        <v>9421</v>
      </c>
      <c r="C3847" s="11" t="s">
        <v>81</v>
      </c>
      <c r="D3847" s="4" t="s">
        <v>1406</v>
      </c>
      <c r="E3847" t="s">
        <v>82</v>
      </c>
      <c r="F3847" s="9">
        <f t="shared" si="246"/>
        <v>0</v>
      </c>
      <c r="G3847" s="9">
        <f t="shared" si="247"/>
        <v>0</v>
      </c>
      <c r="H3847" s="9">
        <f t="shared" si="248"/>
        <v>0</v>
      </c>
      <c r="I3847" s="10">
        <f t="shared" si="249"/>
        <v>0</v>
      </c>
    </row>
    <row r="3848" spans="1:9" x14ac:dyDescent="0.25">
      <c r="A3848" s="11" t="s">
        <v>9422</v>
      </c>
      <c r="B3848" s="11" t="s">
        <v>6504</v>
      </c>
      <c r="C3848" s="11" t="s">
        <v>81</v>
      </c>
      <c r="D3848" s="4" t="s">
        <v>1406</v>
      </c>
      <c r="E3848" t="s">
        <v>489</v>
      </c>
      <c r="F3848" s="9">
        <f t="shared" si="246"/>
        <v>0</v>
      </c>
      <c r="G3848" s="9">
        <f t="shared" si="247"/>
        <v>0</v>
      </c>
      <c r="H3848" s="9">
        <f t="shared" si="248"/>
        <v>0</v>
      </c>
      <c r="I3848" s="10">
        <f t="shared" si="249"/>
        <v>0</v>
      </c>
    </row>
    <row r="3849" spans="1:9" x14ac:dyDescent="0.25">
      <c r="A3849" s="11" t="s">
        <v>9423</v>
      </c>
      <c r="B3849" s="11" t="s">
        <v>6508</v>
      </c>
      <c r="C3849" s="11" t="s">
        <v>81</v>
      </c>
      <c r="D3849" s="4" t="s">
        <v>1406</v>
      </c>
      <c r="E3849" t="s">
        <v>30</v>
      </c>
      <c r="F3849" s="9">
        <f t="shared" si="246"/>
        <v>0</v>
      </c>
      <c r="G3849" s="9">
        <f t="shared" si="247"/>
        <v>0</v>
      </c>
      <c r="H3849" s="9">
        <f t="shared" si="248"/>
        <v>0</v>
      </c>
      <c r="I3849" s="10">
        <f t="shared" si="249"/>
        <v>0</v>
      </c>
    </row>
    <row r="3850" spans="1:9" x14ac:dyDescent="0.25">
      <c r="A3850" s="11" t="s">
        <v>9424</v>
      </c>
      <c r="B3850" s="11" t="s">
        <v>9425</v>
      </c>
      <c r="C3850" s="11" t="s">
        <v>81</v>
      </c>
      <c r="D3850" s="4" t="s">
        <v>1406</v>
      </c>
      <c r="E3850" t="s">
        <v>489</v>
      </c>
      <c r="F3850" s="9">
        <f t="shared" si="246"/>
        <v>0</v>
      </c>
      <c r="G3850" s="9">
        <f t="shared" si="247"/>
        <v>0</v>
      </c>
      <c r="H3850" s="9">
        <f t="shared" si="248"/>
        <v>0</v>
      </c>
      <c r="I3850" s="10">
        <f t="shared" si="249"/>
        <v>0</v>
      </c>
    </row>
    <row r="3851" spans="1:9" x14ac:dyDescent="0.25">
      <c r="A3851" s="11" t="s">
        <v>9426</v>
      </c>
      <c r="B3851" s="11" t="s">
        <v>6532</v>
      </c>
      <c r="C3851" s="11" t="s">
        <v>81</v>
      </c>
      <c r="D3851" s="4" t="s">
        <v>1406</v>
      </c>
      <c r="E3851" t="s">
        <v>489</v>
      </c>
      <c r="F3851" s="9">
        <f t="shared" si="246"/>
        <v>0</v>
      </c>
      <c r="G3851" s="9">
        <f t="shared" si="247"/>
        <v>0</v>
      </c>
      <c r="H3851" s="9">
        <f t="shared" si="248"/>
        <v>0</v>
      </c>
      <c r="I3851" s="10">
        <f t="shared" si="249"/>
        <v>0</v>
      </c>
    </row>
    <row r="3852" spans="1:9" x14ac:dyDescent="0.25">
      <c r="A3852" s="11" t="s">
        <v>9427</v>
      </c>
      <c r="B3852" s="11" t="s">
        <v>6546</v>
      </c>
      <c r="C3852" s="11" t="s">
        <v>81</v>
      </c>
      <c r="D3852" s="4" t="s">
        <v>1406</v>
      </c>
      <c r="E3852" t="s">
        <v>489</v>
      </c>
      <c r="F3852" s="9">
        <f t="shared" si="246"/>
        <v>0</v>
      </c>
      <c r="G3852" s="9">
        <f t="shared" si="247"/>
        <v>0</v>
      </c>
      <c r="H3852" s="9">
        <f t="shared" si="248"/>
        <v>0</v>
      </c>
      <c r="I3852" s="10">
        <f t="shared" si="249"/>
        <v>0</v>
      </c>
    </row>
    <row r="3853" spans="1:9" x14ac:dyDescent="0.25">
      <c r="A3853" s="11" t="s">
        <v>9428</v>
      </c>
      <c r="B3853" s="11" t="s">
        <v>6556</v>
      </c>
      <c r="C3853" s="11" t="s">
        <v>81</v>
      </c>
      <c r="D3853" s="4" t="s">
        <v>1406</v>
      </c>
      <c r="E3853" t="s">
        <v>489</v>
      </c>
      <c r="F3853" s="9">
        <f t="shared" si="246"/>
        <v>0</v>
      </c>
      <c r="G3853" s="9">
        <f t="shared" si="247"/>
        <v>0</v>
      </c>
      <c r="H3853" s="9">
        <f t="shared" si="248"/>
        <v>0</v>
      </c>
      <c r="I3853" s="10">
        <f t="shared" si="249"/>
        <v>0</v>
      </c>
    </row>
    <row r="3854" spans="1:9" x14ac:dyDescent="0.25">
      <c r="A3854" s="11" t="s">
        <v>9429</v>
      </c>
      <c r="B3854" s="11" t="s">
        <v>9430</v>
      </c>
      <c r="C3854" s="11" t="s">
        <v>81</v>
      </c>
      <c r="D3854" s="4" t="s">
        <v>1406</v>
      </c>
      <c r="E3854" t="s">
        <v>82</v>
      </c>
      <c r="F3854" s="9">
        <f t="shared" si="246"/>
        <v>0</v>
      </c>
      <c r="G3854" s="9">
        <f t="shared" si="247"/>
        <v>0</v>
      </c>
      <c r="H3854" s="9">
        <f t="shared" si="248"/>
        <v>0</v>
      </c>
      <c r="I3854" s="10">
        <f t="shared" si="249"/>
        <v>0</v>
      </c>
    </row>
    <row r="3855" spans="1:9" x14ac:dyDescent="0.25">
      <c r="A3855" s="11" t="s">
        <v>9431</v>
      </c>
      <c r="B3855" s="11" t="s">
        <v>6572</v>
      </c>
      <c r="C3855" s="11" t="s">
        <v>81</v>
      </c>
      <c r="D3855" s="4" t="s">
        <v>1406</v>
      </c>
      <c r="E3855" t="s">
        <v>82</v>
      </c>
      <c r="F3855" s="9">
        <f t="shared" si="246"/>
        <v>0</v>
      </c>
      <c r="G3855" s="9">
        <f t="shared" si="247"/>
        <v>0</v>
      </c>
      <c r="H3855" s="9">
        <f t="shared" si="248"/>
        <v>0</v>
      </c>
      <c r="I3855" s="10">
        <f t="shared" si="249"/>
        <v>0</v>
      </c>
    </row>
    <row r="3856" spans="1:9" x14ac:dyDescent="0.25">
      <c r="A3856" s="11" t="s">
        <v>9432</v>
      </c>
      <c r="B3856" s="11" t="s">
        <v>9433</v>
      </c>
      <c r="C3856" s="11" t="s">
        <v>81</v>
      </c>
      <c r="D3856" s="4" t="s">
        <v>1406</v>
      </c>
      <c r="E3856" t="s">
        <v>489</v>
      </c>
      <c r="F3856" s="9">
        <f t="shared" si="246"/>
        <v>0</v>
      </c>
      <c r="G3856" s="9">
        <f t="shared" si="247"/>
        <v>0</v>
      </c>
      <c r="H3856" s="9">
        <f t="shared" si="248"/>
        <v>0</v>
      </c>
      <c r="I3856" s="10">
        <f t="shared" si="249"/>
        <v>0</v>
      </c>
    </row>
    <row r="3857" spans="1:9" x14ac:dyDescent="0.25">
      <c r="A3857" s="11" t="s">
        <v>5039</v>
      </c>
      <c r="B3857" s="11" t="s">
        <v>5038</v>
      </c>
      <c r="C3857" s="11" t="s">
        <v>81</v>
      </c>
      <c r="D3857" s="4" t="s">
        <v>1406</v>
      </c>
      <c r="E3857" t="s">
        <v>489</v>
      </c>
      <c r="F3857" s="9">
        <f t="shared" si="246"/>
        <v>0</v>
      </c>
      <c r="G3857" s="9">
        <f t="shared" si="247"/>
        <v>0</v>
      </c>
      <c r="H3857" s="9">
        <f t="shared" si="248"/>
        <v>0</v>
      </c>
      <c r="I3857" s="10">
        <f t="shared" si="249"/>
        <v>0</v>
      </c>
    </row>
    <row r="3858" spans="1:9" x14ac:dyDescent="0.25">
      <c r="A3858" s="11" t="s">
        <v>9434</v>
      </c>
      <c r="B3858" s="11" t="s">
        <v>9435</v>
      </c>
      <c r="C3858" s="11" t="s">
        <v>81</v>
      </c>
      <c r="D3858" s="4" t="s">
        <v>1406</v>
      </c>
      <c r="E3858" t="s">
        <v>489</v>
      </c>
      <c r="F3858" s="9">
        <f t="shared" si="246"/>
        <v>0</v>
      </c>
      <c r="G3858" s="9">
        <f t="shared" si="247"/>
        <v>0</v>
      </c>
      <c r="H3858" s="9">
        <f t="shared" si="248"/>
        <v>0</v>
      </c>
      <c r="I3858" s="10">
        <f t="shared" si="249"/>
        <v>0</v>
      </c>
    </row>
    <row r="3859" spans="1:9" x14ac:dyDescent="0.25">
      <c r="A3859" s="11" t="s">
        <v>9436</v>
      </c>
      <c r="B3859" s="11" t="s">
        <v>6584</v>
      </c>
      <c r="C3859" s="11" t="s">
        <v>81</v>
      </c>
      <c r="D3859" s="4" t="s">
        <v>1406</v>
      </c>
      <c r="E3859" t="s">
        <v>489</v>
      </c>
      <c r="F3859" s="9">
        <f t="shared" si="246"/>
        <v>0</v>
      </c>
      <c r="G3859" s="9">
        <f t="shared" si="247"/>
        <v>0</v>
      </c>
      <c r="H3859" s="9">
        <f t="shared" si="248"/>
        <v>0</v>
      </c>
      <c r="I3859" s="10">
        <f t="shared" si="249"/>
        <v>0</v>
      </c>
    </row>
    <row r="3860" spans="1:9" x14ac:dyDescent="0.25">
      <c r="A3860" s="11" t="s">
        <v>9437</v>
      </c>
      <c r="B3860" s="11" t="s">
        <v>9438</v>
      </c>
      <c r="C3860" s="11" t="s">
        <v>81</v>
      </c>
      <c r="D3860" s="4" t="s">
        <v>1406</v>
      </c>
      <c r="E3860" t="s">
        <v>82</v>
      </c>
      <c r="F3860" s="9">
        <f t="shared" si="246"/>
        <v>0</v>
      </c>
      <c r="G3860" s="9">
        <f t="shared" si="247"/>
        <v>0</v>
      </c>
      <c r="H3860" s="9">
        <f t="shared" si="248"/>
        <v>0</v>
      </c>
      <c r="I3860" s="10">
        <f t="shared" si="249"/>
        <v>0</v>
      </c>
    </row>
    <row r="3861" spans="1:9" x14ac:dyDescent="0.25">
      <c r="A3861" s="11" t="s">
        <v>9439</v>
      </c>
      <c r="B3861" s="11" t="s">
        <v>9440</v>
      </c>
      <c r="C3861" s="11" t="s">
        <v>81</v>
      </c>
      <c r="D3861" s="4" t="s">
        <v>1406</v>
      </c>
      <c r="E3861" t="s">
        <v>82</v>
      </c>
      <c r="F3861" s="9">
        <f t="shared" si="246"/>
        <v>0</v>
      </c>
      <c r="G3861" s="9">
        <f t="shared" si="247"/>
        <v>0</v>
      </c>
      <c r="H3861" s="9">
        <f t="shared" si="248"/>
        <v>0</v>
      </c>
      <c r="I3861" s="10">
        <f t="shared" si="249"/>
        <v>0</v>
      </c>
    </row>
    <row r="3862" spans="1:9" x14ac:dyDescent="0.25">
      <c r="A3862" s="11" t="s">
        <v>9441</v>
      </c>
      <c r="B3862" s="11" t="s">
        <v>6598</v>
      </c>
      <c r="C3862" s="11" t="s">
        <v>81</v>
      </c>
      <c r="D3862" s="4" t="s">
        <v>1406</v>
      </c>
      <c r="E3862" t="s">
        <v>82</v>
      </c>
      <c r="F3862" s="9">
        <f t="shared" si="246"/>
        <v>0</v>
      </c>
      <c r="G3862" s="9">
        <f t="shared" si="247"/>
        <v>0</v>
      </c>
      <c r="H3862" s="9">
        <f t="shared" si="248"/>
        <v>0</v>
      </c>
      <c r="I3862" s="10">
        <f t="shared" si="249"/>
        <v>0</v>
      </c>
    </row>
    <row r="3863" spans="1:9" x14ac:dyDescent="0.25">
      <c r="A3863" s="11" t="s">
        <v>9442</v>
      </c>
      <c r="B3863" s="11" t="s">
        <v>6600</v>
      </c>
      <c r="C3863" s="11" t="s">
        <v>81</v>
      </c>
      <c r="D3863" s="4" t="s">
        <v>1406</v>
      </c>
      <c r="E3863" t="s">
        <v>82</v>
      </c>
      <c r="F3863" s="9">
        <f t="shared" si="246"/>
        <v>0</v>
      </c>
      <c r="G3863" s="9">
        <f t="shared" si="247"/>
        <v>0</v>
      </c>
      <c r="H3863" s="9">
        <f t="shared" si="248"/>
        <v>0</v>
      </c>
      <c r="I3863" s="10">
        <f t="shared" si="249"/>
        <v>0</v>
      </c>
    </row>
    <row r="3864" spans="1:9" x14ac:dyDescent="0.25">
      <c r="A3864" s="11" t="s">
        <v>9443</v>
      </c>
      <c r="B3864" s="11" t="s">
        <v>6602</v>
      </c>
      <c r="C3864" s="11" t="s">
        <v>81</v>
      </c>
      <c r="D3864" s="4" t="s">
        <v>1406</v>
      </c>
      <c r="E3864" t="s">
        <v>82</v>
      </c>
      <c r="F3864" s="9">
        <f t="shared" si="246"/>
        <v>0</v>
      </c>
      <c r="G3864" s="9">
        <f t="shared" si="247"/>
        <v>0</v>
      </c>
      <c r="H3864" s="9">
        <f t="shared" si="248"/>
        <v>0</v>
      </c>
      <c r="I3864" s="10">
        <f t="shared" si="249"/>
        <v>0</v>
      </c>
    </row>
    <row r="3865" spans="1:9" x14ac:dyDescent="0.25">
      <c r="A3865" s="11" t="s">
        <v>9444</v>
      </c>
      <c r="B3865" s="11" t="s">
        <v>6612</v>
      </c>
      <c r="C3865" s="11" t="s">
        <v>81</v>
      </c>
      <c r="D3865" s="4" t="s">
        <v>1406</v>
      </c>
      <c r="E3865" t="s">
        <v>82</v>
      </c>
      <c r="F3865" s="9">
        <f t="shared" si="246"/>
        <v>0</v>
      </c>
      <c r="G3865" s="9">
        <f t="shared" si="247"/>
        <v>0</v>
      </c>
      <c r="H3865" s="9">
        <f t="shared" si="248"/>
        <v>0</v>
      </c>
      <c r="I3865" s="10">
        <f t="shared" si="249"/>
        <v>0</v>
      </c>
    </row>
    <row r="3866" spans="1:9" x14ac:dyDescent="0.25">
      <c r="A3866" s="11" t="s">
        <v>9445</v>
      </c>
      <c r="B3866" s="11" t="s">
        <v>9446</v>
      </c>
      <c r="C3866" s="11" t="s">
        <v>81</v>
      </c>
      <c r="D3866" s="4" t="s">
        <v>1406</v>
      </c>
      <c r="E3866" t="s">
        <v>489</v>
      </c>
      <c r="F3866" s="9">
        <f t="shared" si="246"/>
        <v>0</v>
      </c>
      <c r="G3866" s="9">
        <f t="shared" si="247"/>
        <v>0</v>
      </c>
      <c r="H3866" s="9">
        <f t="shared" si="248"/>
        <v>0</v>
      </c>
      <c r="I3866" s="10">
        <f t="shared" si="249"/>
        <v>0</v>
      </c>
    </row>
    <row r="3867" spans="1:9" x14ac:dyDescent="0.25">
      <c r="A3867" s="11" t="s">
        <v>9447</v>
      </c>
      <c r="B3867" s="11" t="s">
        <v>6650</v>
      </c>
      <c r="C3867" s="11" t="s">
        <v>81</v>
      </c>
      <c r="D3867" s="4" t="s">
        <v>1406</v>
      </c>
      <c r="E3867" t="s">
        <v>82</v>
      </c>
      <c r="F3867" s="9">
        <f t="shared" si="246"/>
        <v>0</v>
      </c>
      <c r="G3867" s="9">
        <f t="shared" si="247"/>
        <v>0</v>
      </c>
      <c r="H3867" s="9">
        <f t="shared" si="248"/>
        <v>0</v>
      </c>
      <c r="I3867" s="10">
        <f t="shared" si="249"/>
        <v>0</v>
      </c>
    </row>
    <row r="3868" spans="1:9" x14ac:dyDescent="0.25">
      <c r="A3868" s="11" t="s">
        <v>9448</v>
      </c>
      <c r="B3868" s="11" t="s">
        <v>9449</v>
      </c>
      <c r="C3868" s="11" t="s">
        <v>81</v>
      </c>
      <c r="D3868" s="4" t="s">
        <v>1406</v>
      </c>
      <c r="E3868" t="s">
        <v>489</v>
      </c>
      <c r="F3868" s="9">
        <f t="shared" si="246"/>
        <v>0</v>
      </c>
      <c r="G3868" s="9">
        <f t="shared" si="247"/>
        <v>0</v>
      </c>
      <c r="H3868" s="9">
        <f t="shared" si="248"/>
        <v>0</v>
      </c>
      <c r="I3868" s="10">
        <f t="shared" si="249"/>
        <v>0</v>
      </c>
    </row>
    <row r="3869" spans="1:9" x14ac:dyDescent="0.25">
      <c r="A3869" s="11" t="s">
        <v>9450</v>
      </c>
      <c r="B3869" s="11" t="s">
        <v>9451</v>
      </c>
      <c r="C3869" s="11" t="s">
        <v>81</v>
      </c>
      <c r="D3869" s="4" t="s">
        <v>1406</v>
      </c>
      <c r="E3869" t="s">
        <v>82</v>
      </c>
      <c r="F3869" s="9">
        <f t="shared" si="246"/>
        <v>0</v>
      </c>
      <c r="G3869" s="9">
        <f t="shared" si="247"/>
        <v>0</v>
      </c>
      <c r="H3869" s="9">
        <f t="shared" si="248"/>
        <v>0</v>
      </c>
      <c r="I3869" s="10">
        <f t="shared" si="249"/>
        <v>0</v>
      </c>
    </row>
    <row r="3870" spans="1:9" x14ac:dyDescent="0.25">
      <c r="A3870" s="11" t="s">
        <v>9452</v>
      </c>
      <c r="B3870" s="11" t="s">
        <v>6680</v>
      </c>
      <c r="C3870" s="11" t="s">
        <v>81</v>
      </c>
      <c r="D3870" s="4" t="s">
        <v>1406</v>
      </c>
      <c r="E3870" t="s">
        <v>82</v>
      </c>
      <c r="F3870" s="9">
        <f t="shared" si="246"/>
        <v>0</v>
      </c>
      <c r="G3870" s="9">
        <f t="shared" si="247"/>
        <v>0</v>
      </c>
      <c r="H3870" s="9">
        <f t="shared" si="248"/>
        <v>0</v>
      </c>
      <c r="I3870" s="10">
        <f t="shared" si="249"/>
        <v>0</v>
      </c>
    </row>
    <row r="3871" spans="1:9" x14ac:dyDescent="0.25">
      <c r="A3871" s="11" t="s">
        <v>9453</v>
      </c>
      <c r="B3871" s="11" t="s">
        <v>9454</v>
      </c>
      <c r="C3871" s="11" t="s">
        <v>81</v>
      </c>
      <c r="D3871" s="4" t="s">
        <v>1406</v>
      </c>
      <c r="E3871" t="s">
        <v>82</v>
      </c>
      <c r="F3871" s="9">
        <f t="shared" si="246"/>
        <v>0</v>
      </c>
      <c r="G3871" s="9">
        <f t="shared" si="247"/>
        <v>0</v>
      </c>
      <c r="H3871" s="9">
        <f t="shared" si="248"/>
        <v>0</v>
      </c>
      <c r="I3871" s="10">
        <f t="shared" si="249"/>
        <v>0</v>
      </c>
    </row>
    <row r="3872" spans="1:9" x14ac:dyDescent="0.25">
      <c r="A3872" s="11" t="s">
        <v>9455</v>
      </c>
      <c r="B3872" s="11" t="s">
        <v>9456</v>
      </c>
      <c r="C3872" s="11" t="s">
        <v>81</v>
      </c>
      <c r="D3872" s="4" t="s">
        <v>1406</v>
      </c>
      <c r="E3872" t="s">
        <v>82</v>
      </c>
      <c r="F3872" s="9">
        <f t="shared" si="246"/>
        <v>0</v>
      </c>
      <c r="G3872" s="9">
        <f t="shared" si="247"/>
        <v>0</v>
      </c>
      <c r="H3872" s="9">
        <f t="shared" si="248"/>
        <v>0</v>
      </c>
      <c r="I3872" s="10">
        <f t="shared" si="249"/>
        <v>0</v>
      </c>
    </row>
    <row r="3873" spans="1:9" x14ac:dyDescent="0.25">
      <c r="A3873" s="11" t="s">
        <v>9457</v>
      </c>
      <c r="B3873" s="11" t="s">
        <v>6700</v>
      </c>
      <c r="C3873" s="11" t="s">
        <v>81</v>
      </c>
      <c r="D3873" s="4" t="s">
        <v>1406</v>
      </c>
      <c r="E3873" t="s">
        <v>489</v>
      </c>
      <c r="F3873" s="9">
        <f t="shared" si="246"/>
        <v>0</v>
      </c>
      <c r="G3873" s="9">
        <f t="shared" si="247"/>
        <v>0</v>
      </c>
      <c r="H3873" s="9">
        <f t="shared" si="248"/>
        <v>0</v>
      </c>
      <c r="I3873" s="10">
        <f t="shared" si="249"/>
        <v>0</v>
      </c>
    </row>
    <row r="3874" spans="1:9" x14ac:dyDescent="0.25">
      <c r="A3874" s="11" t="s">
        <v>9458</v>
      </c>
      <c r="B3874" s="11" t="s">
        <v>9459</v>
      </c>
      <c r="C3874" s="11" t="s">
        <v>81</v>
      </c>
      <c r="D3874" s="4" t="s">
        <v>1406</v>
      </c>
      <c r="E3874" t="s">
        <v>82</v>
      </c>
      <c r="F3874" s="9">
        <f t="shared" si="246"/>
        <v>0</v>
      </c>
      <c r="G3874" s="9">
        <f t="shared" si="247"/>
        <v>0</v>
      </c>
      <c r="H3874" s="9">
        <f t="shared" si="248"/>
        <v>0</v>
      </c>
      <c r="I3874" s="10">
        <f t="shared" si="249"/>
        <v>0</v>
      </c>
    </row>
    <row r="3875" spans="1:9" x14ac:dyDescent="0.25">
      <c r="A3875" s="11" t="s">
        <v>9460</v>
      </c>
      <c r="B3875" s="11" t="s">
        <v>6718</v>
      </c>
      <c r="C3875" s="11" t="s">
        <v>81</v>
      </c>
      <c r="D3875" s="4" t="s">
        <v>1406</v>
      </c>
      <c r="E3875" t="s">
        <v>489</v>
      </c>
      <c r="F3875" s="9">
        <f t="shared" si="246"/>
        <v>0</v>
      </c>
      <c r="G3875" s="9">
        <f t="shared" si="247"/>
        <v>0</v>
      </c>
      <c r="H3875" s="9">
        <f t="shared" si="248"/>
        <v>0</v>
      </c>
      <c r="I3875" s="10">
        <f t="shared" si="249"/>
        <v>0</v>
      </c>
    </row>
    <row r="3876" spans="1:9" x14ac:dyDescent="0.25">
      <c r="A3876" s="11" t="s">
        <v>9461</v>
      </c>
      <c r="B3876" s="11" t="s">
        <v>6724</v>
      </c>
      <c r="C3876" s="11" t="s">
        <v>81</v>
      </c>
      <c r="D3876" s="4" t="s">
        <v>1406</v>
      </c>
      <c r="E3876" t="s">
        <v>489</v>
      </c>
      <c r="F3876" s="9">
        <f t="shared" si="246"/>
        <v>0</v>
      </c>
      <c r="G3876" s="9">
        <f t="shared" si="247"/>
        <v>0</v>
      </c>
      <c r="H3876" s="9">
        <f t="shared" si="248"/>
        <v>0</v>
      </c>
      <c r="I3876" s="10">
        <f t="shared" si="249"/>
        <v>0</v>
      </c>
    </row>
    <row r="3877" spans="1:9" x14ac:dyDescent="0.25">
      <c r="A3877" s="11" t="s">
        <v>9462</v>
      </c>
      <c r="B3877" s="11" t="s">
        <v>9463</v>
      </c>
      <c r="C3877" s="11" t="s">
        <v>81</v>
      </c>
      <c r="D3877" s="4" t="s">
        <v>1406</v>
      </c>
      <c r="E3877" t="s">
        <v>82</v>
      </c>
      <c r="F3877" s="9">
        <f t="shared" si="246"/>
        <v>0</v>
      </c>
      <c r="G3877" s="9">
        <f t="shared" si="247"/>
        <v>0</v>
      </c>
      <c r="H3877" s="9">
        <f t="shared" si="248"/>
        <v>0</v>
      </c>
      <c r="I3877" s="10">
        <f t="shared" si="249"/>
        <v>0</v>
      </c>
    </row>
    <row r="3878" spans="1:9" x14ac:dyDescent="0.25">
      <c r="A3878" s="11" t="s">
        <v>9464</v>
      </c>
      <c r="B3878" s="11" t="s">
        <v>6730</v>
      </c>
      <c r="C3878" s="11" t="s">
        <v>81</v>
      </c>
      <c r="D3878" s="4" t="s">
        <v>1406</v>
      </c>
      <c r="E3878" t="s">
        <v>82</v>
      </c>
      <c r="F3878" s="9">
        <f t="shared" si="246"/>
        <v>0</v>
      </c>
      <c r="G3878" s="9">
        <f t="shared" si="247"/>
        <v>0</v>
      </c>
      <c r="H3878" s="9">
        <f t="shared" si="248"/>
        <v>0</v>
      </c>
      <c r="I3878" s="10">
        <f t="shared" si="249"/>
        <v>0</v>
      </c>
    </row>
    <row r="3879" spans="1:9" x14ac:dyDescent="0.25">
      <c r="A3879" s="11" t="s">
        <v>9465</v>
      </c>
      <c r="B3879" s="11" t="s">
        <v>9466</v>
      </c>
      <c r="C3879" s="11" t="s">
        <v>81</v>
      </c>
      <c r="D3879" s="4" t="s">
        <v>1406</v>
      </c>
      <c r="E3879" t="s">
        <v>82</v>
      </c>
      <c r="F3879" s="9">
        <f t="shared" si="246"/>
        <v>0</v>
      </c>
      <c r="G3879" s="9">
        <f t="shared" si="247"/>
        <v>0</v>
      </c>
      <c r="H3879" s="9">
        <f t="shared" si="248"/>
        <v>0</v>
      </c>
      <c r="I3879" s="10">
        <f t="shared" si="249"/>
        <v>0</v>
      </c>
    </row>
    <row r="3880" spans="1:9" x14ac:dyDescent="0.25">
      <c r="A3880" s="11" t="s">
        <v>9467</v>
      </c>
      <c r="B3880" s="11" t="s">
        <v>9468</v>
      </c>
      <c r="C3880" s="11" t="s">
        <v>81</v>
      </c>
      <c r="D3880" s="4" t="s">
        <v>1406</v>
      </c>
      <c r="E3880" t="s">
        <v>82</v>
      </c>
      <c r="F3880" s="9">
        <f t="shared" si="246"/>
        <v>0</v>
      </c>
      <c r="G3880" s="9">
        <f t="shared" si="247"/>
        <v>0</v>
      </c>
      <c r="H3880" s="9">
        <f t="shared" si="248"/>
        <v>0</v>
      </c>
      <c r="I3880" s="10">
        <f t="shared" si="249"/>
        <v>0</v>
      </c>
    </row>
    <row r="3881" spans="1:9" x14ac:dyDescent="0.25">
      <c r="A3881" s="11" t="s">
        <v>5042</v>
      </c>
      <c r="B3881" s="11" t="s">
        <v>5041</v>
      </c>
      <c r="C3881" s="11" t="s">
        <v>81</v>
      </c>
      <c r="D3881" s="4" t="s">
        <v>1406</v>
      </c>
      <c r="E3881" t="s">
        <v>489</v>
      </c>
      <c r="F3881" s="9">
        <f t="shared" si="246"/>
        <v>0</v>
      </c>
      <c r="G3881" s="9">
        <f t="shared" si="247"/>
        <v>0</v>
      </c>
      <c r="H3881" s="9">
        <f t="shared" si="248"/>
        <v>0</v>
      </c>
      <c r="I3881" s="10">
        <f t="shared" si="249"/>
        <v>0</v>
      </c>
    </row>
    <row r="3882" spans="1:9" x14ac:dyDescent="0.25">
      <c r="A3882" s="11" t="s">
        <v>9469</v>
      </c>
      <c r="B3882" s="11" t="s">
        <v>9470</v>
      </c>
      <c r="C3882" s="11" t="s">
        <v>81</v>
      </c>
      <c r="D3882" s="4" t="s">
        <v>1406</v>
      </c>
      <c r="E3882" t="s">
        <v>82</v>
      </c>
      <c r="F3882" s="9">
        <f t="shared" si="246"/>
        <v>0</v>
      </c>
      <c r="G3882" s="9">
        <f t="shared" si="247"/>
        <v>0</v>
      </c>
      <c r="H3882" s="9">
        <f t="shared" si="248"/>
        <v>0</v>
      </c>
      <c r="I3882" s="10">
        <f t="shared" si="249"/>
        <v>0</v>
      </c>
    </row>
    <row r="3883" spans="1:9" x14ac:dyDescent="0.25">
      <c r="A3883" s="11" t="s">
        <v>9471</v>
      </c>
      <c r="B3883" s="11" t="s">
        <v>6748</v>
      </c>
      <c r="C3883" s="11" t="s">
        <v>81</v>
      </c>
      <c r="D3883" s="4" t="s">
        <v>1406</v>
      </c>
      <c r="E3883" t="s">
        <v>82</v>
      </c>
      <c r="F3883" s="9">
        <f t="shared" si="246"/>
        <v>0</v>
      </c>
      <c r="G3883" s="9">
        <f t="shared" si="247"/>
        <v>0</v>
      </c>
      <c r="H3883" s="9">
        <f t="shared" si="248"/>
        <v>0</v>
      </c>
      <c r="I3883" s="10">
        <f t="shared" si="249"/>
        <v>0</v>
      </c>
    </row>
    <row r="3884" spans="1:9" x14ac:dyDescent="0.25">
      <c r="A3884" s="11" t="s">
        <v>9472</v>
      </c>
      <c r="B3884" s="11" t="s">
        <v>6762</v>
      </c>
      <c r="C3884" s="11" t="s">
        <v>81</v>
      </c>
      <c r="D3884" s="4" t="s">
        <v>1406</v>
      </c>
      <c r="E3884" t="s">
        <v>82</v>
      </c>
      <c r="F3884" s="9">
        <f t="shared" si="246"/>
        <v>0</v>
      </c>
      <c r="G3884" s="9">
        <f t="shared" si="247"/>
        <v>0</v>
      </c>
      <c r="H3884" s="9">
        <f t="shared" si="248"/>
        <v>0</v>
      </c>
      <c r="I3884" s="10">
        <f t="shared" si="249"/>
        <v>0</v>
      </c>
    </row>
    <row r="3885" spans="1:9" x14ac:dyDescent="0.25">
      <c r="A3885" s="11" t="s">
        <v>9473</v>
      </c>
      <c r="B3885" s="11" t="s">
        <v>6764</v>
      </c>
      <c r="C3885" s="11" t="s">
        <v>81</v>
      </c>
      <c r="D3885" s="4" t="s">
        <v>1406</v>
      </c>
      <c r="E3885" t="s">
        <v>82</v>
      </c>
      <c r="F3885" s="9">
        <f t="shared" si="246"/>
        <v>0</v>
      </c>
      <c r="G3885" s="9">
        <f t="shared" si="247"/>
        <v>0</v>
      </c>
      <c r="H3885" s="9">
        <f t="shared" si="248"/>
        <v>0</v>
      </c>
      <c r="I3885" s="10">
        <f t="shared" si="249"/>
        <v>0</v>
      </c>
    </row>
    <row r="3886" spans="1:9" x14ac:dyDescent="0.25">
      <c r="A3886" s="11" t="s">
        <v>9474</v>
      </c>
      <c r="B3886" s="11" t="s">
        <v>9475</v>
      </c>
      <c r="C3886" s="11" t="s">
        <v>81</v>
      </c>
      <c r="D3886" s="4" t="s">
        <v>1406</v>
      </c>
      <c r="E3886" t="s">
        <v>82</v>
      </c>
      <c r="F3886" s="9">
        <f t="shared" si="246"/>
        <v>0</v>
      </c>
      <c r="G3886" s="9">
        <f t="shared" si="247"/>
        <v>0</v>
      </c>
      <c r="H3886" s="9">
        <f t="shared" si="248"/>
        <v>0</v>
      </c>
      <c r="I3886" s="10">
        <f t="shared" si="249"/>
        <v>0</v>
      </c>
    </row>
    <row r="3887" spans="1:9" x14ac:dyDescent="0.25">
      <c r="A3887" s="11" t="s">
        <v>9476</v>
      </c>
      <c r="B3887" s="11" t="s">
        <v>6784</v>
      </c>
      <c r="C3887" s="11" t="s">
        <v>81</v>
      </c>
      <c r="D3887" s="4" t="s">
        <v>1406</v>
      </c>
      <c r="E3887" t="s">
        <v>82</v>
      </c>
      <c r="F3887" s="9">
        <f t="shared" si="246"/>
        <v>0</v>
      </c>
      <c r="G3887" s="9">
        <f t="shared" si="247"/>
        <v>0</v>
      </c>
      <c r="H3887" s="9">
        <f t="shared" si="248"/>
        <v>0</v>
      </c>
      <c r="I3887" s="10">
        <f t="shared" si="249"/>
        <v>0</v>
      </c>
    </row>
    <row r="3888" spans="1:9" x14ac:dyDescent="0.25">
      <c r="A3888" s="11" t="s">
        <v>9477</v>
      </c>
      <c r="B3888" s="11" t="s">
        <v>9478</v>
      </c>
      <c r="C3888" s="11" t="s">
        <v>81</v>
      </c>
      <c r="D3888" s="4" t="s">
        <v>1406</v>
      </c>
      <c r="E3888" t="s">
        <v>489</v>
      </c>
      <c r="F3888" s="9">
        <f t="shared" ref="F3888:F3951" si="250">IFERROR(VLOOKUP(A3888,condi,8,0),0)</f>
        <v>0</v>
      </c>
      <c r="G3888" s="9">
        <f t="shared" ref="G3888:G3951" si="251">IFERROR(VLOOKUP(A3888,maqui,8,0),0)</f>
        <v>0</v>
      </c>
      <c r="H3888" s="9">
        <f t="shared" ref="H3888:H3951" si="252">IFERROR(VLOOKUP(A3888,ascint,8,0),0)</f>
        <v>0</v>
      </c>
      <c r="I3888" s="10">
        <f t="shared" ref="I3888:I3951" si="253">+F3888+G3888+H3888</f>
        <v>0</v>
      </c>
    </row>
    <row r="3889" spans="1:9" x14ac:dyDescent="0.25">
      <c r="A3889" s="11" t="s">
        <v>9479</v>
      </c>
      <c r="B3889" s="11" t="s">
        <v>9480</v>
      </c>
      <c r="C3889" s="11" t="s">
        <v>81</v>
      </c>
      <c r="D3889" s="4" t="s">
        <v>1406</v>
      </c>
      <c r="E3889" t="s">
        <v>82</v>
      </c>
      <c r="F3889" s="9">
        <f t="shared" si="250"/>
        <v>0</v>
      </c>
      <c r="G3889" s="9">
        <f t="shared" si="251"/>
        <v>0</v>
      </c>
      <c r="H3889" s="9">
        <f t="shared" si="252"/>
        <v>0</v>
      </c>
      <c r="I3889" s="10">
        <f t="shared" si="253"/>
        <v>0</v>
      </c>
    </row>
    <row r="3890" spans="1:9" x14ac:dyDescent="0.25">
      <c r="A3890" s="11" t="s">
        <v>9481</v>
      </c>
      <c r="B3890" s="11" t="s">
        <v>9482</v>
      </c>
      <c r="C3890" s="11" t="s">
        <v>81</v>
      </c>
      <c r="D3890" s="4" t="s">
        <v>1406</v>
      </c>
      <c r="E3890" t="s">
        <v>489</v>
      </c>
      <c r="F3890" s="9">
        <f t="shared" si="250"/>
        <v>0</v>
      </c>
      <c r="G3890" s="9">
        <f t="shared" si="251"/>
        <v>0</v>
      </c>
      <c r="H3890" s="9">
        <f t="shared" si="252"/>
        <v>0</v>
      </c>
      <c r="I3890" s="10">
        <f t="shared" si="253"/>
        <v>0</v>
      </c>
    </row>
    <row r="3891" spans="1:9" x14ac:dyDescent="0.25">
      <c r="A3891" s="11" t="s">
        <v>9483</v>
      </c>
      <c r="B3891" s="11" t="s">
        <v>9484</v>
      </c>
      <c r="C3891" s="11" t="s">
        <v>81</v>
      </c>
      <c r="D3891" s="4" t="s">
        <v>1406</v>
      </c>
      <c r="E3891" t="s">
        <v>489</v>
      </c>
      <c r="F3891" s="9">
        <f t="shared" si="250"/>
        <v>0</v>
      </c>
      <c r="G3891" s="9">
        <f t="shared" si="251"/>
        <v>0</v>
      </c>
      <c r="H3891" s="9">
        <f t="shared" si="252"/>
        <v>0</v>
      </c>
      <c r="I3891" s="10">
        <f t="shared" si="253"/>
        <v>0</v>
      </c>
    </row>
    <row r="3892" spans="1:9" x14ac:dyDescent="0.25">
      <c r="A3892" s="11" t="s">
        <v>9485</v>
      </c>
      <c r="B3892" s="11" t="s">
        <v>9486</v>
      </c>
      <c r="C3892" s="11" t="s">
        <v>81</v>
      </c>
      <c r="D3892" s="4" t="s">
        <v>1406</v>
      </c>
      <c r="E3892" t="s">
        <v>82</v>
      </c>
      <c r="F3892" s="9">
        <f t="shared" si="250"/>
        <v>0</v>
      </c>
      <c r="G3892" s="9">
        <f t="shared" si="251"/>
        <v>0</v>
      </c>
      <c r="H3892" s="9">
        <f t="shared" si="252"/>
        <v>0</v>
      </c>
      <c r="I3892" s="10">
        <f t="shared" si="253"/>
        <v>0</v>
      </c>
    </row>
    <row r="3893" spans="1:9" x14ac:dyDescent="0.25">
      <c r="A3893" s="11" t="s">
        <v>9487</v>
      </c>
      <c r="B3893" s="11" t="s">
        <v>9488</v>
      </c>
      <c r="C3893" s="11" t="s">
        <v>81</v>
      </c>
      <c r="D3893" s="4" t="s">
        <v>1406</v>
      </c>
      <c r="E3893" t="s">
        <v>82</v>
      </c>
      <c r="F3893" s="9">
        <f t="shared" si="250"/>
        <v>0</v>
      </c>
      <c r="G3893" s="9">
        <f t="shared" si="251"/>
        <v>0</v>
      </c>
      <c r="H3893" s="9">
        <f t="shared" si="252"/>
        <v>0</v>
      </c>
      <c r="I3893" s="10">
        <f t="shared" si="253"/>
        <v>0</v>
      </c>
    </row>
    <row r="3894" spans="1:9" x14ac:dyDescent="0.25">
      <c r="A3894" s="11" t="s">
        <v>9489</v>
      </c>
      <c r="B3894" s="11" t="s">
        <v>9490</v>
      </c>
      <c r="C3894" s="11" t="s">
        <v>81</v>
      </c>
      <c r="D3894" s="4" t="s">
        <v>1406</v>
      </c>
      <c r="E3894" t="s">
        <v>82</v>
      </c>
      <c r="F3894" s="9">
        <f t="shared" si="250"/>
        <v>0</v>
      </c>
      <c r="G3894" s="9">
        <f t="shared" si="251"/>
        <v>0</v>
      </c>
      <c r="H3894" s="9">
        <f t="shared" si="252"/>
        <v>0</v>
      </c>
      <c r="I3894" s="10">
        <f t="shared" si="253"/>
        <v>0</v>
      </c>
    </row>
    <row r="3895" spans="1:9" x14ac:dyDescent="0.25">
      <c r="A3895" s="11" t="s">
        <v>9491</v>
      </c>
      <c r="B3895" s="11" t="s">
        <v>9492</v>
      </c>
      <c r="C3895" s="11" t="s">
        <v>81</v>
      </c>
      <c r="D3895" s="4" t="s">
        <v>1406</v>
      </c>
      <c r="E3895" t="s">
        <v>82</v>
      </c>
      <c r="F3895" s="9">
        <f t="shared" si="250"/>
        <v>0</v>
      </c>
      <c r="G3895" s="9">
        <f t="shared" si="251"/>
        <v>0</v>
      </c>
      <c r="H3895" s="9">
        <f t="shared" si="252"/>
        <v>0</v>
      </c>
      <c r="I3895" s="10">
        <f t="shared" si="253"/>
        <v>0</v>
      </c>
    </row>
    <row r="3896" spans="1:9" x14ac:dyDescent="0.25">
      <c r="A3896" s="11" t="s">
        <v>9493</v>
      </c>
      <c r="B3896" s="11" t="s">
        <v>9494</v>
      </c>
      <c r="C3896" s="11" t="s">
        <v>81</v>
      </c>
      <c r="D3896" s="4" t="s">
        <v>1406</v>
      </c>
      <c r="E3896" t="s">
        <v>82</v>
      </c>
      <c r="F3896" s="9">
        <f t="shared" si="250"/>
        <v>0</v>
      </c>
      <c r="G3896" s="9">
        <f t="shared" si="251"/>
        <v>0</v>
      </c>
      <c r="H3896" s="9">
        <f t="shared" si="252"/>
        <v>0</v>
      </c>
      <c r="I3896" s="10">
        <f t="shared" si="253"/>
        <v>0</v>
      </c>
    </row>
    <row r="3897" spans="1:9" x14ac:dyDescent="0.25">
      <c r="A3897" s="11" t="s">
        <v>9495</v>
      </c>
      <c r="B3897" s="11" t="s">
        <v>9496</v>
      </c>
      <c r="C3897" s="11" t="s">
        <v>81</v>
      </c>
      <c r="D3897" s="4" t="s">
        <v>1406</v>
      </c>
      <c r="E3897" t="s">
        <v>82</v>
      </c>
      <c r="F3897" s="9">
        <f t="shared" si="250"/>
        <v>0</v>
      </c>
      <c r="G3897" s="9">
        <f t="shared" si="251"/>
        <v>0</v>
      </c>
      <c r="H3897" s="9">
        <f t="shared" si="252"/>
        <v>0</v>
      </c>
      <c r="I3897" s="10">
        <f t="shared" si="253"/>
        <v>0</v>
      </c>
    </row>
    <row r="3898" spans="1:9" x14ac:dyDescent="0.25">
      <c r="A3898" s="11" t="s">
        <v>9497</v>
      </c>
      <c r="B3898" s="11" t="s">
        <v>9498</v>
      </c>
      <c r="C3898" s="11" t="s">
        <v>81</v>
      </c>
      <c r="D3898" s="4" t="s">
        <v>1406</v>
      </c>
      <c r="E3898" t="s">
        <v>489</v>
      </c>
      <c r="F3898" s="9">
        <f t="shared" si="250"/>
        <v>0</v>
      </c>
      <c r="G3898" s="9">
        <f t="shared" si="251"/>
        <v>0</v>
      </c>
      <c r="H3898" s="9">
        <f t="shared" si="252"/>
        <v>0</v>
      </c>
      <c r="I3898" s="10">
        <f t="shared" si="253"/>
        <v>0</v>
      </c>
    </row>
    <row r="3899" spans="1:9" x14ac:dyDescent="0.25">
      <c r="A3899" s="11" t="s">
        <v>9499</v>
      </c>
      <c r="B3899" s="11" t="s">
        <v>6811</v>
      </c>
      <c r="C3899" s="11" t="s">
        <v>81</v>
      </c>
      <c r="D3899" s="4" t="s">
        <v>1406</v>
      </c>
      <c r="E3899" t="s">
        <v>82</v>
      </c>
      <c r="F3899" s="9">
        <f t="shared" si="250"/>
        <v>0</v>
      </c>
      <c r="G3899" s="9">
        <f t="shared" si="251"/>
        <v>0</v>
      </c>
      <c r="H3899" s="9">
        <f t="shared" si="252"/>
        <v>0</v>
      </c>
      <c r="I3899" s="10">
        <f t="shared" si="253"/>
        <v>0</v>
      </c>
    </row>
    <row r="3900" spans="1:9" x14ac:dyDescent="0.25">
      <c r="A3900" s="11" t="s">
        <v>9500</v>
      </c>
      <c r="B3900" s="11" t="s">
        <v>9501</v>
      </c>
      <c r="C3900" s="11" t="s">
        <v>81</v>
      </c>
      <c r="D3900" s="4" t="s">
        <v>1406</v>
      </c>
      <c r="E3900" t="s">
        <v>82</v>
      </c>
      <c r="F3900" s="9">
        <f t="shared" si="250"/>
        <v>0</v>
      </c>
      <c r="G3900" s="9">
        <f t="shared" si="251"/>
        <v>0</v>
      </c>
      <c r="H3900" s="9">
        <f t="shared" si="252"/>
        <v>0</v>
      </c>
      <c r="I3900" s="10">
        <f t="shared" si="253"/>
        <v>0</v>
      </c>
    </row>
    <row r="3901" spans="1:9" x14ac:dyDescent="0.25">
      <c r="A3901" s="11" t="s">
        <v>9502</v>
      </c>
      <c r="B3901" s="11" t="s">
        <v>6821</v>
      </c>
      <c r="C3901" s="11" t="s">
        <v>81</v>
      </c>
      <c r="D3901" s="4" t="s">
        <v>1406</v>
      </c>
      <c r="E3901" t="s">
        <v>489</v>
      </c>
      <c r="F3901" s="9">
        <f t="shared" si="250"/>
        <v>0</v>
      </c>
      <c r="G3901" s="9">
        <f t="shared" si="251"/>
        <v>0</v>
      </c>
      <c r="H3901" s="9">
        <f t="shared" si="252"/>
        <v>0</v>
      </c>
      <c r="I3901" s="10">
        <f t="shared" si="253"/>
        <v>0</v>
      </c>
    </row>
    <row r="3902" spans="1:9" x14ac:dyDescent="0.25">
      <c r="A3902" s="11" t="s">
        <v>9503</v>
      </c>
      <c r="B3902" s="11" t="s">
        <v>6825</v>
      </c>
      <c r="C3902" s="11" t="s">
        <v>81</v>
      </c>
      <c r="D3902" s="4" t="s">
        <v>1406</v>
      </c>
      <c r="E3902" t="s">
        <v>489</v>
      </c>
      <c r="F3902" s="9">
        <f t="shared" si="250"/>
        <v>0</v>
      </c>
      <c r="G3902" s="9">
        <f t="shared" si="251"/>
        <v>0</v>
      </c>
      <c r="H3902" s="9">
        <f t="shared" si="252"/>
        <v>0</v>
      </c>
      <c r="I3902" s="10">
        <f t="shared" si="253"/>
        <v>0</v>
      </c>
    </row>
    <row r="3903" spans="1:9" x14ac:dyDescent="0.25">
      <c r="A3903" s="11" t="s">
        <v>9504</v>
      </c>
      <c r="B3903" s="11" t="s">
        <v>9505</v>
      </c>
      <c r="C3903" s="11" t="s">
        <v>81</v>
      </c>
      <c r="D3903" s="4" t="s">
        <v>1406</v>
      </c>
      <c r="E3903" t="s">
        <v>82</v>
      </c>
      <c r="F3903" s="9">
        <f t="shared" si="250"/>
        <v>0</v>
      </c>
      <c r="G3903" s="9">
        <f t="shared" si="251"/>
        <v>0</v>
      </c>
      <c r="H3903" s="9">
        <f t="shared" si="252"/>
        <v>0</v>
      </c>
      <c r="I3903" s="10">
        <f t="shared" si="253"/>
        <v>0</v>
      </c>
    </row>
    <row r="3904" spans="1:9" x14ac:dyDescent="0.25">
      <c r="A3904" s="11" t="s">
        <v>9506</v>
      </c>
      <c r="B3904" s="11" t="s">
        <v>9507</v>
      </c>
      <c r="C3904" s="11" t="s">
        <v>81</v>
      </c>
      <c r="D3904" s="4" t="s">
        <v>1406</v>
      </c>
      <c r="E3904" t="s">
        <v>82</v>
      </c>
      <c r="F3904" s="9">
        <f t="shared" si="250"/>
        <v>0</v>
      </c>
      <c r="G3904" s="9">
        <f t="shared" si="251"/>
        <v>0</v>
      </c>
      <c r="H3904" s="9">
        <f t="shared" si="252"/>
        <v>0</v>
      </c>
      <c r="I3904" s="10">
        <f t="shared" si="253"/>
        <v>0</v>
      </c>
    </row>
    <row r="3905" spans="1:9" x14ac:dyDescent="0.25">
      <c r="A3905" s="11" t="s">
        <v>9508</v>
      </c>
      <c r="B3905" s="11" t="s">
        <v>9509</v>
      </c>
      <c r="C3905" s="11" t="s">
        <v>81</v>
      </c>
      <c r="D3905" s="4" t="s">
        <v>1406</v>
      </c>
      <c r="E3905" t="s">
        <v>489</v>
      </c>
      <c r="F3905" s="9">
        <f t="shared" si="250"/>
        <v>0</v>
      </c>
      <c r="G3905" s="9">
        <f t="shared" si="251"/>
        <v>0</v>
      </c>
      <c r="H3905" s="9">
        <f t="shared" si="252"/>
        <v>0</v>
      </c>
      <c r="I3905" s="10">
        <f t="shared" si="253"/>
        <v>0</v>
      </c>
    </row>
    <row r="3906" spans="1:9" x14ac:dyDescent="0.25">
      <c r="A3906" s="11" t="s">
        <v>9510</v>
      </c>
      <c r="B3906" s="11" t="s">
        <v>9511</v>
      </c>
      <c r="C3906" s="11" t="s">
        <v>81</v>
      </c>
      <c r="D3906" s="4" t="s">
        <v>1406</v>
      </c>
      <c r="E3906" t="s">
        <v>489</v>
      </c>
      <c r="F3906" s="9">
        <f t="shared" si="250"/>
        <v>0</v>
      </c>
      <c r="G3906" s="9">
        <f t="shared" si="251"/>
        <v>0</v>
      </c>
      <c r="H3906" s="9">
        <f t="shared" si="252"/>
        <v>0</v>
      </c>
      <c r="I3906" s="10">
        <f t="shared" si="253"/>
        <v>0</v>
      </c>
    </row>
    <row r="3907" spans="1:9" x14ac:dyDescent="0.25">
      <c r="A3907" s="11" t="s">
        <v>9512</v>
      </c>
      <c r="B3907" s="11" t="s">
        <v>6841</v>
      </c>
      <c r="C3907" s="11" t="s">
        <v>81</v>
      </c>
      <c r="D3907" s="4" t="s">
        <v>1406</v>
      </c>
      <c r="E3907" t="s">
        <v>82</v>
      </c>
      <c r="F3907" s="9">
        <f t="shared" si="250"/>
        <v>0</v>
      </c>
      <c r="G3907" s="9">
        <f t="shared" si="251"/>
        <v>0</v>
      </c>
      <c r="H3907" s="9">
        <f t="shared" si="252"/>
        <v>0</v>
      </c>
      <c r="I3907" s="10">
        <f t="shared" si="253"/>
        <v>0</v>
      </c>
    </row>
    <row r="3908" spans="1:9" x14ac:dyDescent="0.25">
      <c r="A3908" s="11" t="s">
        <v>9513</v>
      </c>
      <c r="B3908" s="11" t="s">
        <v>6843</v>
      </c>
      <c r="C3908" s="11" t="s">
        <v>81</v>
      </c>
      <c r="D3908" s="4" t="s">
        <v>1406</v>
      </c>
      <c r="E3908" t="s">
        <v>489</v>
      </c>
      <c r="F3908" s="9">
        <f t="shared" si="250"/>
        <v>0</v>
      </c>
      <c r="G3908" s="9">
        <f t="shared" si="251"/>
        <v>0</v>
      </c>
      <c r="H3908" s="9">
        <f t="shared" si="252"/>
        <v>0</v>
      </c>
      <c r="I3908" s="10">
        <f t="shared" si="253"/>
        <v>0</v>
      </c>
    </row>
    <row r="3909" spans="1:9" x14ac:dyDescent="0.25">
      <c r="A3909" s="11" t="s">
        <v>9514</v>
      </c>
      <c r="B3909" s="11" t="s">
        <v>9515</v>
      </c>
      <c r="C3909" s="11" t="s">
        <v>81</v>
      </c>
      <c r="D3909" s="4" t="s">
        <v>1406</v>
      </c>
      <c r="E3909" t="s">
        <v>82</v>
      </c>
      <c r="F3909" s="9">
        <f t="shared" si="250"/>
        <v>0</v>
      </c>
      <c r="G3909" s="9">
        <f t="shared" si="251"/>
        <v>0</v>
      </c>
      <c r="H3909" s="9">
        <f t="shared" si="252"/>
        <v>0</v>
      </c>
      <c r="I3909" s="10">
        <f t="shared" si="253"/>
        <v>0</v>
      </c>
    </row>
    <row r="3910" spans="1:9" x14ac:dyDescent="0.25">
      <c r="A3910" s="11" t="s">
        <v>9516</v>
      </c>
      <c r="B3910" s="11" t="s">
        <v>9517</v>
      </c>
      <c r="C3910" s="11" t="s">
        <v>81</v>
      </c>
      <c r="D3910" s="4" t="s">
        <v>1406</v>
      </c>
      <c r="E3910" t="s">
        <v>82</v>
      </c>
      <c r="F3910" s="9">
        <f t="shared" si="250"/>
        <v>0</v>
      </c>
      <c r="G3910" s="9">
        <f t="shared" si="251"/>
        <v>0</v>
      </c>
      <c r="H3910" s="9">
        <f t="shared" si="252"/>
        <v>0</v>
      </c>
      <c r="I3910" s="10">
        <f t="shared" si="253"/>
        <v>0</v>
      </c>
    </row>
    <row r="3911" spans="1:9" x14ac:dyDescent="0.25">
      <c r="A3911" s="11" t="s">
        <v>9518</v>
      </c>
      <c r="B3911" s="11" t="s">
        <v>9519</v>
      </c>
      <c r="C3911" s="11" t="s">
        <v>81</v>
      </c>
      <c r="D3911" s="4" t="s">
        <v>1406</v>
      </c>
      <c r="E3911" t="s">
        <v>82</v>
      </c>
      <c r="F3911" s="9">
        <f t="shared" si="250"/>
        <v>0</v>
      </c>
      <c r="G3911" s="9">
        <f t="shared" si="251"/>
        <v>0</v>
      </c>
      <c r="H3911" s="9">
        <f t="shared" si="252"/>
        <v>0</v>
      </c>
      <c r="I3911" s="10">
        <f t="shared" si="253"/>
        <v>0</v>
      </c>
    </row>
    <row r="3912" spans="1:9" x14ac:dyDescent="0.25">
      <c r="A3912" s="11" t="s">
        <v>9520</v>
      </c>
      <c r="B3912" s="11" t="s">
        <v>6867</v>
      </c>
      <c r="C3912" s="11" t="s">
        <v>81</v>
      </c>
      <c r="D3912" s="4" t="s">
        <v>1406</v>
      </c>
      <c r="E3912" t="s">
        <v>82</v>
      </c>
      <c r="F3912" s="9">
        <f t="shared" si="250"/>
        <v>0</v>
      </c>
      <c r="G3912" s="9">
        <f t="shared" si="251"/>
        <v>0</v>
      </c>
      <c r="H3912" s="9">
        <f t="shared" si="252"/>
        <v>0</v>
      </c>
      <c r="I3912" s="10">
        <f t="shared" si="253"/>
        <v>0</v>
      </c>
    </row>
    <row r="3913" spans="1:9" x14ac:dyDescent="0.25">
      <c r="A3913" s="11" t="s">
        <v>9521</v>
      </c>
      <c r="B3913" s="11" t="s">
        <v>6869</v>
      </c>
      <c r="C3913" s="11" t="s">
        <v>81</v>
      </c>
      <c r="D3913" s="4" t="s">
        <v>1406</v>
      </c>
      <c r="E3913" t="s">
        <v>82</v>
      </c>
      <c r="F3913" s="9">
        <f t="shared" si="250"/>
        <v>0</v>
      </c>
      <c r="G3913" s="9">
        <f t="shared" si="251"/>
        <v>0</v>
      </c>
      <c r="H3913" s="9">
        <f t="shared" si="252"/>
        <v>0</v>
      </c>
      <c r="I3913" s="10">
        <f t="shared" si="253"/>
        <v>0</v>
      </c>
    </row>
    <row r="3914" spans="1:9" x14ac:dyDescent="0.25">
      <c r="A3914" s="11" t="s">
        <v>9522</v>
      </c>
      <c r="B3914" s="11" t="s">
        <v>6871</v>
      </c>
      <c r="C3914" s="11" t="s">
        <v>81</v>
      </c>
      <c r="D3914" s="4" t="s">
        <v>1406</v>
      </c>
      <c r="E3914" t="s">
        <v>82</v>
      </c>
      <c r="F3914" s="9">
        <f t="shared" si="250"/>
        <v>0</v>
      </c>
      <c r="G3914" s="9">
        <f t="shared" si="251"/>
        <v>0</v>
      </c>
      <c r="H3914" s="9">
        <f t="shared" si="252"/>
        <v>0</v>
      </c>
      <c r="I3914" s="10">
        <f t="shared" si="253"/>
        <v>0</v>
      </c>
    </row>
    <row r="3915" spans="1:9" x14ac:dyDescent="0.25">
      <c r="A3915" s="11" t="s">
        <v>9523</v>
      </c>
      <c r="B3915" s="11" t="s">
        <v>6873</v>
      </c>
      <c r="C3915" s="11" t="s">
        <v>81</v>
      </c>
      <c r="D3915" s="4" t="s">
        <v>1406</v>
      </c>
      <c r="E3915" t="s">
        <v>82</v>
      </c>
      <c r="F3915" s="9">
        <f t="shared" si="250"/>
        <v>0</v>
      </c>
      <c r="G3915" s="9">
        <f t="shared" si="251"/>
        <v>0</v>
      </c>
      <c r="H3915" s="9">
        <f t="shared" si="252"/>
        <v>0</v>
      </c>
      <c r="I3915" s="10">
        <f t="shared" si="253"/>
        <v>0</v>
      </c>
    </row>
    <row r="3916" spans="1:9" x14ac:dyDescent="0.25">
      <c r="A3916" s="11" t="s">
        <v>9524</v>
      </c>
      <c r="B3916" s="11" t="s">
        <v>9525</v>
      </c>
      <c r="C3916" s="11" t="s">
        <v>81</v>
      </c>
      <c r="D3916" s="4" t="s">
        <v>1406</v>
      </c>
      <c r="E3916" t="s">
        <v>82</v>
      </c>
      <c r="F3916" s="9">
        <f t="shared" si="250"/>
        <v>0</v>
      </c>
      <c r="G3916" s="9">
        <f t="shared" si="251"/>
        <v>0</v>
      </c>
      <c r="H3916" s="9">
        <f t="shared" si="252"/>
        <v>0</v>
      </c>
      <c r="I3916" s="10">
        <f t="shared" si="253"/>
        <v>0</v>
      </c>
    </row>
    <row r="3917" spans="1:9" x14ac:dyDescent="0.25">
      <c r="A3917" s="11" t="s">
        <v>9526</v>
      </c>
      <c r="B3917" s="11" t="s">
        <v>6885</v>
      </c>
      <c r="C3917" s="11" t="s">
        <v>81</v>
      </c>
      <c r="D3917" s="4" t="s">
        <v>1406</v>
      </c>
      <c r="E3917" t="s">
        <v>489</v>
      </c>
      <c r="F3917" s="9">
        <f t="shared" si="250"/>
        <v>0</v>
      </c>
      <c r="G3917" s="9">
        <f t="shared" si="251"/>
        <v>0</v>
      </c>
      <c r="H3917" s="9">
        <f t="shared" si="252"/>
        <v>0</v>
      </c>
      <c r="I3917" s="10">
        <f t="shared" si="253"/>
        <v>0</v>
      </c>
    </row>
    <row r="3918" spans="1:9" x14ac:dyDescent="0.25">
      <c r="A3918" s="11" t="s">
        <v>9527</v>
      </c>
      <c r="B3918" s="11" t="s">
        <v>9528</v>
      </c>
      <c r="C3918" s="11" t="s">
        <v>81</v>
      </c>
      <c r="D3918" s="4" t="s">
        <v>1406</v>
      </c>
      <c r="E3918" t="s">
        <v>82</v>
      </c>
      <c r="F3918" s="9">
        <f t="shared" si="250"/>
        <v>0</v>
      </c>
      <c r="G3918" s="9">
        <f t="shared" si="251"/>
        <v>0</v>
      </c>
      <c r="H3918" s="9">
        <f t="shared" si="252"/>
        <v>0</v>
      </c>
      <c r="I3918" s="10">
        <f t="shared" si="253"/>
        <v>0</v>
      </c>
    </row>
    <row r="3919" spans="1:9" x14ac:dyDescent="0.25">
      <c r="A3919" s="11" t="s">
        <v>9529</v>
      </c>
      <c r="B3919" s="11" t="s">
        <v>6893</v>
      </c>
      <c r="C3919" s="11" t="s">
        <v>81</v>
      </c>
      <c r="D3919" s="4" t="s">
        <v>1406</v>
      </c>
      <c r="E3919" t="s">
        <v>82</v>
      </c>
      <c r="F3919" s="9">
        <f t="shared" si="250"/>
        <v>0</v>
      </c>
      <c r="G3919" s="9">
        <f t="shared" si="251"/>
        <v>0</v>
      </c>
      <c r="H3919" s="9">
        <f t="shared" si="252"/>
        <v>0</v>
      </c>
      <c r="I3919" s="10">
        <f t="shared" si="253"/>
        <v>0</v>
      </c>
    </row>
    <row r="3920" spans="1:9" x14ac:dyDescent="0.25">
      <c r="A3920" s="11" t="s">
        <v>9530</v>
      </c>
      <c r="B3920" s="11" t="s">
        <v>6895</v>
      </c>
      <c r="C3920" s="11" t="s">
        <v>81</v>
      </c>
      <c r="D3920" s="4" t="s">
        <v>1406</v>
      </c>
      <c r="E3920" t="s">
        <v>489</v>
      </c>
      <c r="F3920" s="9">
        <f t="shared" si="250"/>
        <v>0</v>
      </c>
      <c r="G3920" s="9">
        <f t="shared" si="251"/>
        <v>0</v>
      </c>
      <c r="H3920" s="9">
        <f t="shared" si="252"/>
        <v>0</v>
      </c>
      <c r="I3920" s="10">
        <f t="shared" si="253"/>
        <v>0</v>
      </c>
    </row>
    <row r="3921" spans="1:9" x14ac:dyDescent="0.25">
      <c r="A3921" s="11" t="s">
        <v>9531</v>
      </c>
      <c r="B3921" s="11" t="s">
        <v>6903</v>
      </c>
      <c r="C3921" s="11" t="s">
        <v>81</v>
      </c>
      <c r="D3921" s="4" t="s">
        <v>1406</v>
      </c>
      <c r="E3921" t="s">
        <v>489</v>
      </c>
      <c r="F3921" s="9">
        <f t="shared" si="250"/>
        <v>0</v>
      </c>
      <c r="G3921" s="9">
        <f t="shared" si="251"/>
        <v>0</v>
      </c>
      <c r="H3921" s="9">
        <f t="shared" si="252"/>
        <v>0</v>
      </c>
      <c r="I3921" s="10">
        <f t="shared" si="253"/>
        <v>0</v>
      </c>
    </row>
    <row r="3922" spans="1:9" x14ac:dyDescent="0.25">
      <c r="A3922" s="11" t="s">
        <v>9532</v>
      </c>
      <c r="B3922" s="11" t="s">
        <v>6907</v>
      </c>
      <c r="C3922" s="11" t="s">
        <v>81</v>
      </c>
      <c r="D3922" s="4" t="s">
        <v>1406</v>
      </c>
      <c r="E3922" t="s">
        <v>489</v>
      </c>
      <c r="F3922" s="9">
        <f t="shared" si="250"/>
        <v>0</v>
      </c>
      <c r="G3922" s="9">
        <f t="shared" si="251"/>
        <v>0</v>
      </c>
      <c r="H3922" s="9">
        <f t="shared" si="252"/>
        <v>0</v>
      </c>
      <c r="I3922" s="10">
        <f t="shared" si="253"/>
        <v>0</v>
      </c>
    </row>
    <row r="3923" spans="1:9" x14ac:dyDescent="0.25">
      <c r="A3923" s="11" t="s">
        <v>9533</v>
      </c>
      <c r="B3923" s="11" t="s">
        <v>6913</v>
      </c>
      <c r="C3923" s="11" t="s">
        <v>81</v>
      </c>
      <c r="D3923" s="4" t="s">
        <v>1406</v>
      </c>
      <c r="E3923" t="s">
        <v>489</v>
      </c>
      <c r="F3923" s="9">
        <f t="shared" si="250"/>
        <v>0</v>
      </c>
      <c r="G3923" s="9">
        <f t="shared" si="251"/>
        <v>0</v>
      </c>
      <c r="H3923" s="9">
        <f t="shared" si="252"/>
        <v>0</v>
      </c>
      <c r="I3923" s="10">
        <f t="shared" si="253"/>
        <v>0</v>
      </c>
    </row>
    <row r="3924" spans="1:9" x14ac:dyDescent="0.25">
      <c r="A3924" s="11" t="s">
        <v>9534</v>
      </c>
      <c r="B3924" s="11" t="s">
        <v>6917</v>
      </c>
      <c r="C3924" s="11" t="s">
        <v>81</v>
      </c>
      <c r="D3924" s="4" t="s">
        <v>1406</v>
      </c>
      <c r="E3924" t="s">
        <v>489</v>
      </c>
      <c r="F3924" s="9">
        <f t="shared" si="250"/>
        <v>0</v>
      </c>
      <c r="G3924" s="9">
        <f t="shared" si="251"/>
        <v>0</v>
      </c>
      <c r="H3924" s="9">
        <f t="shared" si="252"/>
        <v>0</v>
      </c>
      <c r="I3924" s="10">
        <f t="shared" si="253"/>
        <v>0</v>
      </c>
    </row>
    <row r="3925" spans="1:9" x14ac:dyDescent="0.25">
      <c r="A3925" s="11" t="s">
        <v>9535</v>
      </c>
      <c r="B3925" s="11" t="s">
        <v>9536</v>
      </c>
      <c r="C3925" s="11" t="s">
        <v>81</v>
      </c>
      <c r="D3925" s="4" t="s">
        <v>1406</v>
      </c>
      <c r="E3925" t="s">
        <v>489</v>
      </c>
      <c r="F3925" s="9">
        <f t="shared" si="250"/>
        <v>0</v>
      </c>
      <c r="G3925" s="9">
        <f t="shared" si="251"/>
        <v>0</v>
      </c>
      <c r="H3925" s="9">
        <f t="shared" si="252"/>
        <v>0</v>
      </c>
      <c r="I3925" s="10">
        <f t="shared" si="253"/>
        <v>0</v>
      </c>
    </row>
    <row r="3926" spans="1:9" x14ac:dyDescent="0.25">
      <c r="A3926" s="11" t="s">
        <v>9537</v>
      </c>
      <c r="B3926" s="11" t="s">
        <v>6927</v>
      </c>
      <c r="C3926" s="11" t="s">
        <v>81</v>
      </c>
      <c r="D3926" s="4" t="s">
        <v>1406</v>
      </c>
      <c r="E3926" t="s">
        <v>489</v>
      </c>
      <c r="F3926" s="9">
        <f t="shared" si="250"/>
        <v>0</v>
      </c>
      <c r="G3926" s="9">
        <f t="shared" si="251"/>
        <v>0</v>
      </c>
      <c r="H3926" s="9">
        <f t="shared" si="252"/>
        <v>0</v>
      </c>
      <c r="I3926" s="10">
        <f t="shared" si="253"/>
        <v>0</v>
      </c>
    </row>
    <row r="3927" spans="1:9" x14ac:dyDescent="0.25">
      <c r="A3927" s="11" t="s">
        <v>9538</v>
      </c>
      <c r="B3927" s="11" t="s">
        <v>6953</v>
      </c>
      <c r="C3927" s="11" t="s">
        <v>81</v>
      </c>
      <c r="D3927" s="4" t="s">
        <v>1406</v>
      </c>
      <c r="E3927" t="s">
        <v>82</v>
      </c>
      <c r="F3927" s="9">
        <f t="shared" si="250"/>
        <v>0</v>
      </c>
      <c r="G3927" s="9">
        <f t="shared" si="251"/>
        <v>0</v>
      </c>
      <c r="H3927" s="9">
        <f t="shared" si="252"/>
        <v>0</v>
      </c>
      <c r="I3927" s="10">
        <f t="shared" si="253"/>
        <v>0</v>
      </c>
    </row>
    <row r="3928" spans="1:9" x14ac:dyDescent="0.25">
      <c r="A3928" s="11" t="s">
        <v>9539</v>
      </c>
      <c r="B3928" s="11" t="s">
        <v>9540</v>
      </c>
      <c r="C3928" s="11" t="s">
        <v>81</v>
      </c>
      <c r="D3928" s="4" t="s">
        <v>1406</v>
      </c>
      <c r="E3928" t="s">
        <v>82</v>
      </c>
      <c r="F3928" s="9">
        <f t="shared" si="250"/>
        <v>0</v>
      </c>
      <c r="G3928" s="9">
        <f t="shared" si="251"/>
        <v>0</v>
      </c>
      <c r="H3928" s="9">
        <f t="shared" si="252"/>
        <v>0</v>
      </c>
      <c r="I3928" s="10">
        <f t="shared" si="253"/>
        <v>0</v>
      </c>
    </row>
    <row r="3929" spans="1:9" x14ac:dyDescent="0.25">
      <c r="A3929" s="11" t="s">
        <v>9541</v>
      </c>
      <c r="B3929" s="11" t="s">
        <v>6965</v>
      </c>
      <c r="C3929" s="11" t="s">
        <v>81</v>
      </c>
      <c r="D3929" s="4" t="s">
        <v>1406</v>
      </c>
      <c r="E3929" t="s">
        <v>489</v>
      </c>
      <c r="F3929" s="9">
        <f t="shared" si="250"/>
        <v>0</v>
      </c>
      <c r="G3929" s="9">
        <f t="shared" si="251"/>
        <v>0</v>
      </c>
      <c r="H3929" s="9">
        <f t="shared" si="252"/>
        <v>0</v>
      </c>
      <c r="I3929" s="10">
        <f t="shared" si="253"/>
        <v>0</v>
      </c>
    </row>
    <row r="3930" spans="1:9" x14ac:dyDescent="0.25">
      <c r="A3930" s="11" t="s">
        <v>9542</v>
      </c>
      <c r="B3930" s="11" t="s">
        <v>6969</v>
      </c>
      <c r="C3930" s="11" t="s">
        <v>81</v>
      </c>
      <c r="D3930" s="4" t="s">
        <v>1406</v>
      </c>
      <c r="E3930" t="s">
        <v>489</v>
      </c>
      <c r="F3930" s="9">
        <f t="shared" si="250"/>
        <v>0</v>
      </c>
      <c r="G3930" s="9">
        <f t="shared" si="251"/>
        <v>0</v>
      </c>
      <c r="H3930" s="9">
        <f t="shared" si="252"/>
        <v>0</v>
      </c>
      <c r="I3930" s="10">
        <f t="shared" si="253"/>
        <v>0</v>
      </c>
    </row>
    <row r="3931" spans="1:9" x14ac:dyDescent="0.25">
      <c r="A3931" s="11" t="s">
        <v>9543</v>
      </c>
      <c r="B3931" s="11" t="s">
        <v>9544</v>
      </c>
      <c r="C3931" s="11" t="s">
        <v>81</v>
      </c>
      <c r="D3931" s="4" t="s">
        <v>1406</v>
      </c>
      <c r="E3931" t="s">
        <v>82</v>
      </c>
      <c r="F3931" s="9">
        <f t="shared" si="250"/>
        <v>0</v>
      </c>
      <c r="G3931" s="9">
        <f t="shared" si="251"/>
        <v>0</v>
      </c>
      <c r="H3931" s="9">
        <f t="shared" si="252"/>
        <v>0</v>
      </c>
      <c r="I3931" s="10">
        <f t="shared" si="253"/>
        <v>0</v>
      </c>
    </row>
    <row r="3932" spans="1:9" x14ac:dyDescent="0.25">
      <c r="A3932" s="11" t="s">
        <v>9545</v>
      </c>
      <c r="B3932" s="11" t="s">
        <v>6971</v>
      </c>
      <c r="C3932" s="11" t="s">
        <v>81</v>
      </c>
      <c r="D3932" s="4" t="s">
        <v>1406</v>
      </c>
      <c r="E3932" t="s">
        <v>82</v>
      </c>
      <c r="F3932" s="9">
        <f t="shared" si="250"/>
        <v>0</v>
      </c>
      <c r="G3932" s="9">
        <f t="shared" si="251"/>
        <v>0</v>
      </c>
      <c r="H3932" s="9">
        <f t="shared" si="252"/>
        <v>0</v>
      </c>
      <c r="I3932" s="10">
        <f t="shared" si="253"/>
        <v>0</v>
      </c>
    </row>
    <row r="3933" spans="1:9" x14ac:dyDescent="0.25">
      <c r="A3933" s="11" t="s">
        <v>9546</v>
      </c>
      <c r="B3933" s="11" t="s">
        <v>6979</v>
      </c>
      <c r="C3933" s="11" t="s">
        <v>81</v>
      </c>
      <c r="D3933" s="4" t="s">
        <v>1406</v>
      </c>
      <c r="E3933" t="s">
        <v>489</v>
      </c>
      <c r="F3933" s="9">
        <f t="shared" si="250"/>
        <v>0</v>
      </c>
      <c r="G3933" s="9">
        <f t="shared" si="251"/>
        <v>0</v>
      </c>
      <c r="H3933" s="9">
        <f t="shared" si="252"/>
        <v>0</v>
      </c>
      <c r="I3933" s="10">
        <f t="shared" si="253"/>
        <v>0</v>
      </c>
    </row>
    <row r="3934" spans="1:9" x14ac:dyDescent="0.25">
      <c r="A3934" s="11" t="s">
        <v>9547</v>
      </c>
      <c r="B3934" s="11" t="s">
        <v>6981</v>
      </c>
      <c r="C3934" s="11" t="s">
        <v>81</v>
      </c>
      <c r="D3934" s="4" t="s">
        <v>1406</v>
      </c>
      <c r="E3934" t="s">
        <v>489</v>
      </c>
      <c r="F3934" s="9">
        <f t="shared" si="250"/>
        <v>0</v>
      </c>
      <c r="G3934" s="9">
        <f t="shared" si="251"/>
        <v>0</v>
      </c>
      <c r="H3934" s="9">
        <f t="shared" si="252"/>
        <v>0</v>
      </c>
      <c r="I3934" s="10">
        <f t="shared" si="253"/>
        <v>0</v>
      </c>
    </row>
    <row r="3935" spans="1:9" x14ac:dyDescent="0.25">
      <c r="A3935" s="11" t="s">
        <v>9548</v>
      </c>
      <c r="B3935" s="11" t="s">
        <v>9549</v>
      </c>
      <c r="C3935" s="11" t="s">
        <v>81</v>
      </c>
      <c r="D3935" s="4" t="s">
        <v>1406</v>
      </c>
      <c r="E3935" t="s">
        <v>82</v>
      </c>
      <c r="F3935" s="9">
        <f t="shared" si="250"/>
        <v>0</v>
      </c>
      <c r="G3935" s="9">
        <f t="shared" si="251"/>
        <v>0</v>
      </c>
      <c r="H3935" s="9">
        <f t="shared" si="252"/>
        <v>0</v>
      </c>
      <c r="I3935" s="10">
        <f t="shared" si="253"/>
        <v>0</v>
      </c>
    </row>
    <row r="3936" spans="1:9" x14ac:dyDescent="0.25">
      <c r="A3936" s="11" t="s">
        <v>9550</v>
      </c>
      <c r="B3936" s="11" t="s">
        <v>6993</v>
      </c>
      <c r="C3936" s="11" t="s">
        <v>81</v>
      </c>
      <c r="D3936" s="4" t="s">
        <v>1406</v>
      </c>
      <c r="E3936" t="s">
        <v>489</v>
      </c>
      <c r="F3936" s="9">
        <f t="shared" si="250"/>
        <v>0</v>
      </c>
      <c r="G3936" s="9">
        <f t="shared" si="251"/>
        <v>0</v>
      </c>
      <c r="H3936" s="9">
        <f t="shared" si="252"/>
        <v>0</v>
      </c>
      <c r="I3936" s="10">
        <f t="shared" si="253"/>
        <v>0</v>
      </c>
    </row>
    <row r="3937" spans="1:9" x14ac:dyDescent="0.25">
      <c r="A3937" s="11" t="s">
        <v>9551</v>
      </c>
      <c r="B3937" s="11" t="s">
        <v>6997</v>
      </c>
      <c r="C3937" s="11" t="s">
        <v>81</v>
      </c>
      <c r="D3937" s="4" t="s">
        <v>1406</v>
      </c>
      <c r="E3937" t="s">
        <v>82</v>
      </c>
      <c r="F3937" s="9">
        <f t="shared" si="250"/>
        <v>0</v>
      </c>
      <c r="G3937" s="9">
        <f t="shared" si="251"/>
        <v>0</v>
      </c>
      <c r="H3937" s="9">
        <f t="shared" si="252"/>
        <v>0</v>
      </c>
      <c r="I3937" s="10">
        <f t="shared" si="253"/>
        <v>0</v>
      </c>
    </row>
    <row r="3938" spans="1:9" x14ac:dyDescent="0.25">
      <c r="A3938" s="11" t="s">
        <v>9552</v>
      </c>
      <c r="B3938" s="11" t="s">
        <v>9553</v>
      </c>
      <c r="C3938" s="11" t="s">
        <v>81</v>
      </c>
      <c r="D3938" s="4" t="s">
        <v>1406</v>
      </c>
      <c r="E3938" t="s">
        <v>489</v>
      </c>
      <c r="F3938" s="9">
        <f t="shared" si="250"/>
        <v>0</v>
      </c>
      <c r="G3938" s="9">
        <f t="shared" si="251"/>
        <v>0</v>
      </c>
      <c r="H3938" s="9">
        <f t="shared" si="252"/>
        <v>0</v>
      </c>
      <c r="I3938" s="10">
        <f t="shared" si="253"/>
        <v>0</v>
      </c>
    </row>
    <row r="3939" spans="1:9" x14ac:dyDescent="0.25">
      <c r="A3939" s="11" t="s">
        <v>9554</v>
      </c>
      <c r="B3939" s="11" t="s">
        <v>9555</v>
      </c>
      <c r="C3939" s="11" t="s">
        <v>81</v>
      </c>
      <c r="D3939" s="4" t="s">
        <v>1406</v>
      </c>
      <c r="E3939" t="s">
        <v>489</v>
      </c>
      <c r="F3939" s="9">
        <f t="shared" si="250"/>
        <v>0</v>
      </c>
      <c r="G3939" s="9">
        <f t="shared" si="251"/>
        <v>0</v>
      </c>
      <c r="H3939" s="9">
        <f t="shared" si="252"/>
        <v>0</v>
      </c>
      <c r="I3939" s="10">
        <f t="shared" si="253"/>
        <v>0</v>
      </c>
    </row>
    <row r="3940" spans="1:9" x14ac:dyDescent="0.25">
      <c r="A3940" s="11" t="s">
        <v>9556</v>
      </c>
      <c r="B3940" s="11" t="s">
        <v>7017</v>
      </c>
      <c r="C3940" s="11" t="s">
        <v>81</v>
      </c>
      <c r="D3940" s="4" t="s">
        <v>1406</v>
      </c>
      <c r="E3940" t="s">
        <v>489</v>
      </c>
      <c r="F3940" s="9">
        <f t="shared" si="250"/>
        <v>0</v>
      </c>
      <c r="G3940" s="9">
        <f t="shared" si="251"/>
        <v>0</v>
      </c>
      <c r="H3940" s="9">
        <f t="shared" si="252"/>
        <v>0</v>
      </c>
      <c r="I3940" s="10">
        <f t="shared" si="253"/>
        <v>0</v>
      </c>
    </row>
    <row r="3941" spans="1:9" x14ac:dyDescent="0.25">
      <c r="A3941" s="11" t="s">
        <v>9557</v>
      </c>
      <c r="B3941" s="11" t="s">
        <v>7019</v>
      </c>
      <c r="C3941" s="11" t="s">
        <v>81</v>
      </c>
      <c r="D3941" s="4" t="s">
        <v>1406</v>
      </c>
      <c r="E3941" t="s">
        <v>82</v>
      </c>
      <c r="F3941" s="9">
        <f t="shared" si="250"/>
        <v>0</v>
      </c>
      <c r="G3941" s="9">
        <f t="shared" si="251"/>
        <v>0</v>
      </c>
      <c r="H3941" s="9">
        <f t="shared" si="252"/>
        <v>0</v>
      </c>
      <c r="I3941" s="10">
        <f t="shared" si="253"/>
        <v>0</v>
      </c>
    </row>
    <row r="3942" spans="1:9" x14ac:dyDescent="0.25">
      <c r="A3942" s="11" t="s">
        <v>9558</v>
      </c>
      <c r="B3942" s="11" t="s">
        <v>9559</v>
      </c>
      <c r="C3942" s="11" t="s">
        <v>81</v>
      </c>
      <c r="D3942" s="4" t="s">
        <v>1406</v>
      </c>
      <c r="E3942" t="s">
        <v>82</v>
      </c>
      <c r="F3942" s="9">
        <f t="shared" si="250"/>
        <v>0</v>
      </c>
      <c r="G3942" s="9">
        <f t="shared" si="251"/>
        <v>0</v>
      </c>
      <c r="H3942" s="9">
        <f t="shared" si="252"/>
        <v>0</v>
      </c>
      <c r="I3942" s="10">
        <f t="shared" si="253"/>
        <v>0</v>
      </c>
    </row>
    <row r="3943" spans="1:9" x14ac:dyDescent="0.25">
      <c r="A3943" s="11" t="s">
        <v>9560</v>
      </c>
      <c r="B3943" s="11" t="s">
        <v>9561</v>
      </c>
      <c r="C3943" s="11" t="s">
        <v>81</v>
      </c>
      <c r="D3943" s="4" t="s">
        <v>1406</v>
      </c>
      <c r="E3943" t="s">
        <v>82</v>
      </c>
      <c r="F3943" s="9">
        <f t="shared" si="250"/>
        <v>0</v>
      </c>
      <c r="G3943" s="9">
        <f t="shared" si="251"/>
        <v>0</v>
      </c>
      <c r="H3943" s="9">
        <f t="shared" si="252"/>
        <v>0</v>
      </c>
      <c r="I3943" s="10">
        <f t="shared" si="253"/>
        <v>0</v>
      </c>
    </row>
    <row r="3944" spans="1:9" x14ac:dyDescent="0.25">
      <c r="A3944" s="11" t="s">
        <v>9562</v>
      </c>
      <c r="B3944" s="11" t="s">
        <v>9563</v>
      </c>
      <c r="C3944" s="11" t="s">
        <v>81</v>
      </c>
      <c r="D3944" s="4" t="s">
        <v>1406</v>
      </c>
      <c r="E3944" t="s">
        <v>489</v>
      </c>
      <c r="F3944" s="9">
        <f t="shared" si="250"/>
        <v>0</v>
      </c>
      <c r="G3944" s="9">
        <f t="shared" si="251"/>
        <v>0</v>
      </c>
      <c r="H3944" s="9">
        <f t="shared" si="252"/>
        <v>0</v>
      </c>
      <c r="I3944" s="10">
        <f t="shared" si="253"/>
        <v>0</v>
      </c>
    </row>
    <row r="3945" spans="1:9" x14ac:dyDescent="0.25">
      <c r="A3945" s="11" t="s">
        <v>9564</v>
      </c>
      <c r="B3945" s="11" t="s">
        <v>9565</v>
      </c>
      <c r="C3945" s="11" t="s">
        <v>81</v>
      </c>
      <c r="D3945" s="4" t="s">
        <v>1406</v>
      </c>
      <c r="E3945" t="s">
        <v>82</v>
      </c>
      <c r="F3945" s="9">
        <f t="shared" si="250"/>
        <v>0</v>
      </c>
      <c r="G3945" s="9">
        <f t="shared" si="251"/>
        <v>0</v>
      </c>
      <c r="H3945" s="9">
        <f t="shared" si="252"/>
        <v>0</v>
      </c>
      <c r="I3945" s="10">
        <f t="shared" si="253"/>
        <v>0</v>
      </c>
    </row>
    <row r="3946" spans="1:9" x14ac:dyDescent="0.25">
      <c r="A3946" s="11" t="s">
        <v>9566</v>
      </c>
      <c r="B3946" s="11" t="s">
        <v>7086</v>
      </c>
      <c r="C3946" s="11" t="s">
        <v>81</v>
      </c>
      <c r="D3946" s="4" t="s">
        <v>1406</v>
      </c>
      <c r="E3946" t="s">
        <v>82</v>
      </c>
      <c r="F3946" s="9">
        <f t="shared" si="250"/>
        <v>0</v>
      </c>
      <c r="G3946" s="9">
        <f t="shared" si="251"/>
        <v>0</v>
      </c>
      <c r="H3946" s="9">
        <f t="shared" si="252"/>
        <v>0</v>
      </c>
      <c r="I3946" s="10">
        <f t="shared" si="253"/>
        <v>0</v>
      </c>
    </row>
    <row r="3947" spans="1:9" x14ac:dyDescent="0.25">
      <c r="A3947" s="11" t="s">
        <v>9567</v>
      </c>
      <c r="B3947" s="11" t="s">
        <v>9568</v>
      </c>
      <c r="C3947" s="11" t="s">
        <v>81</v>
      </c>
      <c r="D3947" s="4" t="s">
        <v>1406</v>
      </c>
      <c r="E3947" t="s">
        <v>82</v>
      </c>
      <c r="F3947" s="9">
        <f t="shared" si="250"/>
        <v>0</v>
      </c>
      <c r="G3947" s="9">
        <f t="shared" si="251"/>
        <v>0</v>
      </c>
      <c r="H3947" s="9">
        <f t="shared" si="252"/>
        <v>0</v>
      </c>
      <c r="I3947" s="10">
        <f t="shared" si="253"/>
        <v>0</v>
      </c>
    </row>
    <row r="3948" spans="1:9" x14ac:dyDescent="0.25">
      <c r="A3948" s="11" t="s">
        <v>9569</v>
      </c>
      <c r="B3948" s="11" t="s">
        <v>9570</v>
      </c>
      <c r="C3948" s="11" t="s">
        <v>81</v>
      </c>
      <c r="D3948" s="4" t="s">
        <v>1406</v>
      </c>
      <c r="E3948" t="s">
        <v>82</v>
      </c>
      <c r="F3948" s="9">
        <f t="shared" si="250"/>
        <v>0</v>
      </c>
      <c r="G3948" s="9">
        <f t="shared" si="251"/>
        <v>0</v>
      </c>
      <c r="H3948" s="9">
        <f t="shared" si="252"/>
        <v>0</v>
      </c>
      <c r="I3948" s="10">
        <f t="shared" si="253"/>
        <v>0</v>
      </c>
    </row>
    <row r="3949" spans="1:9" x14ac:dyDescent="0.25">
      <c r="A3949" s="11" t="s">
        <v>9571</v>
      </c>
      <c r="B3949" s="11" t="s">
        <v>9572</v>
      </c>
      <c r="C3949" s="11" t="s">
        <v>81</v>
      </c>
      <c r="D3949" s="4" t="s">
        <v>1406</v>
      </c>
      <c r="E3949" t="s">
        <v>82</v>
      </c>
      <c r="F3949" s="9">
        <f t="shared" si="250"/>
        <v>0</v>
      </c>
      <c r="G3949" s="9">
        <f t="shared" si="251"/>
        <v>0</v>
      </c>
      <c r="H3949" s="9">
        <f t="shared" si="252"/>
        <v>0</v>
      </c>
      <c r="I3949" s="10">
        <f t="shared" si="253"/>
        <v>0</v>
      </c>
    </row>
    <row r="3950" spans="1:9" x14ac:dyDescent="0.25">
      <c r="A3950" s="11" t="s">
        <v>9573</v>
      </c>
      <c r="B3950" s="11" t="s">
        <v>7102</v>
      </c>
      <c r="C3950" s="11" t="s">
        <v>81</v>
      </c>
      <c r="D3950" s="4" t="s">
        <v>1406</v>
      </c>
      <c r="E3950" t="s">
        <v>489</v>
      </c>
      <c r="F3950" s="9">
        <f t="shared" si="250"/>
        <v>0</v>
      </c>
      <c r="G3950" s="9">
        <f t="shared" si="251"/>
        <v>0</v>
      </c>
      <c r="H3950" s="9">
        <f t="shared" si="252"/>
        <v>0</v>
      </c>
      <c r="I3950" s="10">
        <f t="shared" si="253"/>
        <v>0</v>
      </c>
    </row>
    <row r="3951" spans="1:9" x14ac:dyDescent="0.25">
      <c r="A3951" s="11" t="s">
        <v>9574</v>
      </c>
      <c r="B3951" s="11" t="s">
        <v>7112</v>
      </c>
      <c r="C3951" s="11" t="s">
        <v>81</v>
      </c>
      <c r="D3951" s="4" t="s">
        <v>1406</v>
      </c>
      <c r="E3951" t="s">
        <v>489</v>
      </c>
      <c r="F3951" s="9">
        <f t="shared" si="250"/>
        <v>0</v>
      </c>
      <c r="G3951" s="9">
        <f t="shared" si="251"/>
        <v>0</v>
      </c>
      <c r="H3951" s="9">
        <f t="shared" si="252"/>
        <v>0</v>
      </c>
      <c r="I3951" s="10">
        <f t="shared" si="253"/>
        <v>0</v>
      </c>
    </row>
    <row r="3952" spans="1:9" x14ac:dyDescent="0.25">
      <c r="A3952" s="11" t="s">
        <v>9575</v>
      </c>
      <c r="B3952" s="11" t="s">
        <v>7122</v>
      </c>
      <c r="C3952" s="11" t="s">
        <v>81</v>
      </c>
      <c r="D3952" s="4" t="s">
        <v>1406</v>
      </c>
      <c r="E3952" t="s">
        <v>82</v>
      </c>
      <c r="F3952" s="9">
        <f t="shared" ref="F3952:F4015" si="254">IFERROR(VLOOKUP(A3952,condi,8,0),0)</f>
        <v>0</v>
      </c>
      <c r="G3952" s="9">
        <f t="shared" ref="G3952:G4015" si="255">IFERROR(VLOOKUP(A3952,maqui,8,0),0)</f>
        <v>0</v>
      </c>
      <c r="H3952" s="9">
        <f t="shared" ref="H3952:H4015" si="256">IFERROR(VLOOKUP(A3952,ascint,8,0),0)</f>
        <v>0</v>
      </c>
      <c r="I3952" s="10">
        <f t="shared" ref="I3952:I4015" si="257">+F3952+G3952+H3952</f>
        <v>0</v>
      </c>
    </row>
    <row r="3953" spans="1:9" x14ac:dyDescent="0.25">
      <c r="A3953" s="11" t="s">
        <v>9576</v>
      </c>
      <c r="B3953" s="11" t="s">
        <v>9577</v>
      </c>
      <c r="C3953" s="11" t="s">
        <v>81</v>
      </c>
      <c r="D3953" s="4" t="s">
        <v>1406</v>
      </c>
      <c r="E3953" t="s">
        <v>82</v>
      </c>
      <c r="F3953" s="9">
        <f t="shared" si="254"/>
        <v>0</v>
      </c>
      <c r="G3953" s="9">
        <f t="shared" si="255"/>
        <v>0</v>
      </c>
      <c r="H3953" s="9">
        <f t="shared" si="256"/>
        <v>0</v>
      </c>
      <c r="I3953" s="10">
        <f t="shared" si="257"/>
        <v>0</v>
      </c>
    </row>
    <row r="3954" spans="1:9" x14ac:dyDescent="0.25">
      <c r="A3954" s="11" t="s">
        <v>9578</v>
      </c>
      <c r="B3954" s="11" t="s">
        <v>7134</v>
      </c>
      <c r="C3954" s="11" t="s">
        <v>81</v>
      </c>
      <c r="D3954" s="4" t="s">
        <v>1406</v>
      </c>
      <c r="E3954" t="s">
        <v>82</v>
      </c>
      <c r="F3954" s="9">
        <f t="shared" si="254"/>
        <v>0</v>
      </c>
      <c r="G3954" s="9">
        <f t="shared" si="255"/>
        <v>0</v>
      </c>
      <c r="H3954" s="9">
        <f t="shared" si="256"/>
        <v>0</v>
      </c>
      <c r="I3954" s="10">
        <f t="shared" si="257"/>
        <v>0</v>
      </c>
    </row>
    <row r="3955" spans="1:9" x14ac:dyDescent="0.25">
      <c r="A3955" s="11" t="s">
        <v>9579</v>
      </c>
      <c r="B3955" s="11" t="s">
        <v>7138</v>
      </c>
      <c r="C3955" s="11" t="s">
        <v>81</v>
      </c>
      <c r="D3955" s="4" t="s">
        <v>1406</v>
      </c>
      <c r="E3955" t="s">
        <v>489</v>
      </c>
      <c r="F3955" s="9">
        <f t="shared" si="254"/>
        <v>0</v>
      </c>
      <c r="G3955" s="9">
        <f t="shared" si="255"/>
        <v>0</v>
      </c>
      <c r="H3955" s="9">
        <f t="shared" si="256"/>
        <v>0</v>
      </c>
      <c r="I3955" s="10">
        <f t="shared" si="257"/>
        <v>0</v>
      </c>
    </row>
    <row r="3956" spans="1:9" x14ac:dyDescent="0.25">
      <c r="A3956" s="11" t="s">
        <v>9580</v>
      </c>
      <c r="B3956" s="11" t="s">
        <v>9581</v>
      </c>
      <c r="C3956" s="11" t="s">
        <v>81</v>
      </c>
      <c r="D3956" s="4" t="s">
        <v>1406</v>
      </c>
      <c r="E3956" t="s">
        <v>82</v>
      </c>
      <c r="F3956" s="9">
        <f t="shared" si="254"/>
        <v>0</v>
      </c>
      <c r="G3956" s="9">
        <f t="shared" si="255"/>
        <v>0</v>
      </c>
      <c r="H3956" s="9">
        <f t="shared" si="256"/>
        <v>0</v>
      </c>
      <c r="I3956" s="10">
        <f t="shared" si="257"/>
        <v>0</v>
      </c>
    </row>
    <row r="3957" spans="1:9" x14ac:dyDescent="0.25">
      <c r="A3957" s="11" t="s">
        <v>9582</v>
      </c>
      <c r="B3957" s="11" t="s">
        <v>7150</v>
      </c>
      <c r="C3957" s="11" t="s">
        <v>81</v>
      </c>
      <c r="D3957" s="4" t="s">
        <v>1406</v>
      </c>
      <c r="E3957" t="s">
        <v>82</v>
      </c>
      <c r="F3957" s="9">
        <f t="shared" si="254"/>
        <v>0</v>
      </c>
      <c r="G3957" s="9">
        <f t="shared" si="255"/>
        <v>0</v>
      </c>
      <c r="H3957" s="9">
        <f t="shared" si="256"/>
        <v>0</v>
      </c>
      <c r="I3957" s="10">
        <f t="shared" si="257"/>
        <v>0</v>
      </c>
    </row>
    <row r="3958" spans="1:9" x14ac:dyDescent="0.25">
      <c r="A3958" s="11" t="s">
        <v>9583</v>
      </c>
      <c r="B3958" s="11" t="s">
        <v>7152</v>
      </c>
      <c r="C3958" s="11" t="s">
        <v>81</v>
      </c>
      <c r="D3958" s="4" t="s">
        <v>1406</v>
      </c>
      <c r="E3958" t="s">
        <v>489</v>
      </c>
      <c r="F3958" s="9">
        <f t="shared" si="254"/>
        <v>0</v>
      </c>
      <c r="G3958" s="9">
        <f t="shared" si="255"/>
        <v>0</v>
      </c>
      <c r="H3958" s="9">
        <f t="shared" si="256"/>
        <v>0</v>
      </c>
      <c r="I3958" s="10">
        <f t="shared" si="257"/>
        <v>0</v>
      </c>
    </row>
    <row r="3959" spans="1:9" x14ac:dyDescent="0.25">
      <c r="A3959" s="11" t="s">
        <v>9584</v>
      </c>
      <c r="B3959" s="11" t="s">
        <v>7154</v>
      </c>
      <c r="C3959" s="11" t="s">
        <v>81</v>
      </c>
      <c r="D3959" s="4" t="s">
        <v>1406</v>
      </c>
      <c r="E3959" t="s">
        <v>489</v>
      </c>
      <c r="F3959" s="9">
        <f t="shared" si="254"/>
        <v>0</v>
      </c>
      <c r="G3959" s="9">
        <f t="shared" si="255"/>
        <v>0</v>
      </c>
      <c r="H3959" s="9">
        <f t="shared" si="256"/>
        <v>0</v>
      </c>
      <c r="I3959" s="10">
        <f t="shared" si="257"/>
        <v>0</v>
      </c>
    </row>
    <row r="3960" spans="1:9" x14ac:dyDescent="0.25">
      <c r="A3960" s="11" t="s">
        <v>9585</v>
      </c>
      <c r="B3960" s="11" t="s">
        <v>7160</v>
      </c>
      <c r="C3960" s="11" t="s">
        <v>81</v>
      </c>
      <c r="D3960" s="4" t="s">
        <v>1406</v>
      </c>
      <c r="E3960" t="s">
        <v>489</v>
      </c>
      <c r="F3960" s="9">
        <f t="shared" si="254"/>
        <v>0</v>
      </c>
      <c r="G3960" s="9">
        <f t="shared" si="255"/>
        <v>0</v>
      </c>
      <c r="H3960" s="9">
        <f t="shared" si="256"/>
        <v>0</v>
      </c>
      <c r="I3960" s="10">
        <f t="shared" si="257"/>
        <v>0</v>
      </c>
    </row>
    <row r="3961" spans="1:9" x14ac:dyDescent="0.25">
      <c r="A3961" s="11" t="s">
        <v>9586</v>
      </c>
      <c r="B3961" s="11" t="s">
        <v>9587</v>
      </c>
      <c r="C3961" s="11" t="s">
        <v>81</v>
      </c>
      <c r="D3961" s="4" t="s">
        <v>1406</v>
      </c>
      <c r="E3961" t="s">
        <v>489</v>
      </c>
      <c r="F3961" s="9">
        <f t="shared" si="254"/>
        <v>0</v>
      </c>
      <c r="G3961" s="9">
        <f t="shared" si="255"/>
        <v>0</v>
      </c>
      <c r="H3961" s="9">
        <f t="shared" si="256"/>
        <v>0</v>
      </c>
      <c r="I3961" s="10">
        <f t="shared" si="257"/>
        <v>0</v>
      </c>
    </row>
    <row r="3962" spans="1:9" x14ac:dyDescent="0.25">
      <c r="A3962" s="11" t="s">
        <v>9588</v>
      </c>
      <c r="B3962" s="11" t="s">
        <v>9589</v>
      </c>
      <c r="C3962" s="11" t="s">
        <v>81</v>
      </c>
      <c r="D3962" s="4" t="s">
        <v>1406</v>
      </c>
      <c r="E3962" t="s">
        <v>82</v>
      </c>
      <c r="F3962" s="9">
        <f t="shared" si="254"/>
        <v>0</v>
      </c>
      <c r="G3962" s="9">
        <f t="shared" si="255"/>
        <v>0</v>
      </c>
      <c r="H3962" s="9">
        <f t="shared" si="256"/>
        <v>0</v>
      </c>
      <c r="I3962" s="10">
        <f t="shared" si="257"/>
        <v>0</v>
      </c>
    </row>
    <row r="3963" spans="1:9" x14ac:dyDescent="0.25">
      <c r="A3963" s="11" t="s">
        <v>9590</v>
      </c>
      <c r="B3963" s="11" t="s">
        <v>9591</v>
      </c>
      <c r="C3963" s="11" t="s">
        <v>81</v>
      </c>
      <c r="D3963" s="4" t="s">
        <v>1406</v>
      </c>
      <c r="E3963" t="s">
        <v>82</v>
      </c>
      <c r="F3963" s="9">
        <f t="shared" si="254"/>
        <v>0</v>
      </c>
      <c r="G3963" s="9">
        <f t="shared" si="255"/>
        <v>0</v>
      </c>
      <c r="H3963" s="9">
        <f t="shared" si="256"/>
        <v>0</v>
      </c>
      <c r="I3963" s="10">
        <f t="shared" si="257"/>
        <v>0</v>
      </c>
    </row>
    <row r="3964" spans="1:9" x14ac:dyDescent="0.25">
      <c r="A3964" s="11" t="s">
        <v>9592</v>
      </c>
      <c r="B3964" s="11" t="s">
        <v>7170</v>
      </c>
      <c r="C3964" s="11" t="s">
        <v>81</v>
      </c>
      <c r="D3964" s="4" t="s">
        <v>1406</v>
      </c>
      <c r="E3964" t="s">
        <v>82</v>
      </c>
      <c r="F3964" s="9">
        <f t="shared" si="254"/>
        <v>0</v>
      </c>
      <c r="G3964" s="9">
        <f t="shared" si="255"/>
        <v>0</v>
      </c>
      <c r="H3964" s="9">
        <f t="shared" si="256"/>
        <v>0</v>
      </c>
      <c r="I3964" s="10">
        <f t="shared" si="257"/>
        <v>0</v>
      </c>
    </row>
    <row r="3965" spans="1:9" x14ac:dyDescent="0.25">
      <c r="A3965" s="11" t="s">
        <v>9593</v>
      </c>
      <c r="B3965" s="11" t="s">
        <v>9594</v>
      </c>
      <c r="C3965" s="11" t="s">
        <v>81</v>
      </c>
      <c r="D3965" s="4" t="s">
        <v>1406</v>
      </c>
      <c r="E3965" t="s">
        <v>489</v>
      </c>
      <c r="F3965" s="9">
        <f t="shared" si="254"/>
        <v>0</v>
      </c>
      <c r="G3965" s="9">
        <f t="shared" si="255"/>
        <v>0</v>
      </c>
      <c r="H3965" s="9">
        <f t="shared" si="256"/>
        <v>0</v>
      </c>
      <c r="I3965" s="10">
        <f t="shared" si="257"/>
        <v>0</v>
      </c>
    </row>
    <row r="3966" spans="1:9" x14ac:dyDescent="0.25">
      <c r="A3966" s="11" t="s">
        <v>9595</v>
      </c>
      <c r="B3966" s="11" t="s">
        <v>7182</v>
      </c>
      <c r="C3966" s="11" t="s">
        <v>81</v>
      </c>
      <c r="D3966" s="4" t="s">
        <v>1406</v>
      </c>
      <c r="E3966" t="s">
        <v>82</v>
      </c>
      <c r="F3966" s="9">
        <f t="shared" si="254"/>
        <v>0</v>
      </c>
      <c r="G3966" s="9">
        <f t="shared" si="255"/>
        <v>0</v>
      </c>
      <c r="H3966" s="9">
        <f t="shared" si="256"/>
        <v>0</v>
      </c>
      <c r="I3966" s="10">
        <f t="shared" si="257"/>
        <v>0</v>
      </c>
    </row>
    <row r="3967" spans="1:9" x14ac:dyDescent="0.25">
      <c r="A3967" s="11" t="s">
        <v>9596</v>
      </c>
      <c r="B3967" s="11" t="s">
        <v>7188</v>
      </c>
      <c r="C3967" s="11" t="s">
        <v>81</v>
      </c>
      <c r="D3967" s="4" t="s">
        <v>1406</v>
      </c>
      <c r="E3967" t="s">
        <v>489</v>
      </c>
      <c r="F3967" s="9">
        <f t="shared" si="254"/>
        <v>0</v>
      </c>
      <c r="G3967" s="9">
        <f t="shared" si="255"/>
        <v>0</v>
      </c>
      <c r="H3967" s="9">
        <f t="shared" si="256"/>
        <v>0</v>
      </c>
      <c r="I3967" s="10">
        <f t="shared" si="257"/>
        <v>0</v>
      </c>
    </row>
    <row r="3968" spans="1:9" x14ac:dyDescent="0.25">
      <c r="A3968" s="11" t="s">
        <v>9597</v>
      </c>
      <c r="B3968" s="11" t="s">
        <v>7196</v>
      </c>
      <c r="C3968" s="11" t="s">
        <v>81</v>
      </c>
      <c r="D3968" s="4" t="s">
        <v>1406</v>
      </c>
      <c r="E3968" t="s">
        <v>82</v>
      </c>
      <c r="F3968" s="9">
        <f t="shared" si="254"/>
        <v>0</v>
      </c>
      <c r="G3968" s="9">
        <f t="shared" si="255"/>
        <v>0</v>
      </c>
      <c r="H3968" s="9">
        <f t="shared" si="256"/>
        <v>0</v>
      </c>
      <c r="I3968" s="10">
        <f t="shared" si="257"/>
        <v>0</v>
      </c>
    </row>
    <row r="3969" spans="1:9" x14ac:dyDescent="0.25">
      <c r="A3969" s="11" t="s">
        <v>9598</v>
      </c>
      <c r="B3969" s="11" t="s">
        <v>9599</v>
      </c>
      <c r="C3969" s="11" t="s">
        <v>81</v>
      </c>
      <c r="D3969" s="4" t="s">
        <v>1406</v>
      </c>
      <c r="E3969" t="s">
        <v>489</v>
      </c>
      <c r="F3969" s="9">
        <f t="shared" si="254"/>
        <v>0</v>
      </c>
      <c r="G3969" s="9">
        <f t="shared" si="255"/>
        <v>0</v>
      </c>
      <c r="H3969" s="9">
        <f t="shared" si="256"/>
        <v>0</v>
      </c>
      <c r="I3969" s="10">
        <f t="shared" si="257"/>
        <v>0</v>
      </c>
    </row>
    <row r="3970" spans="1:9" x14ac:dyDescent="0.25">
      <c r="A3970" s="11" t="s">
        <v>9600</v>
      </c>
      <c r="B3970" s="11" t="s">
        <v>7212</v>
      </c>
      <c r="C3970" s="11" t="s">
        <v>81</v>
      </c>
      <c r="D3970" s="4" t="s">
        <v>1406</v>
      </c>
      <c r="E3970" t="s">
        <v>489</v>
      </c>
      <c r="F3970" s="9">
        <f t="shared" si="254"/>
        <v>0</v>
      </c>
      <c r="G3970" s="9">
        <f t="shared" si="255"/>
        <v>0</v>
      </c>
      <c r="H3970" s="9">
        <f t="shared" si="256"/>
        <v>0</v>
      </c>
      <c r="I3970" s="10">
        <f t="shared" si="257"/>
        <v>0</v>
      </c>
    </row>
    <row r="3971" spans="1:9" x14ac:dyDescent="0.25">
      <c r="A3971" s="11" t="s">
        <v>9601</v>
      </c>
      <c r="B3971" s="11" t="s">
        <v>9602</v>
      </c>
      <c r="C3971" s="11" t="s">
        <v>81</v>
      </c>
      <c r="D3971" s="4" t="s">
        <v>1406</v>
      </c>
      <c r="E3971" t="s">
        <v>489</v>
      </c>
      <c r="F3971" s="9">
        <f t="shared" si="254"/>
        <v>0</v>
      </c>
      <c r="G3971" s="9">
        <f t="shared" si="255"/>
        <v>2</v>
      </c>
      <c r="H3971" s="9">
        <f t="shared" si="256"/>
        <v>0</v>
      </c>
      <c r="I3971" s="10">
        <f t="shared" si="257"/>
        <v>2</v>
      </c>
    </row>
    <row r="3972" spans="1:9" x14ac:dyDescent="0.25">
      <c r="A3972" s="11" t="s">
        <v>9603</v>
      </c>
      <c r="B3972" s="11" t="s">
        <v>9604</v>
      </c>
      <c r="C3972" s="11" t="s">
        <v>81</v>
      </c>
      <c r="D3972" s="4" t="s">
        <v>1406</v>
      </c>
      <c r="E3972" t="s">
        <v>489</v>
      </c>
      <c r="F3972" s="9">
        <f t="shared" si="254"/>
        <v>0</v>
      </c>
      <c r="G3972" s="9">
        <f t="shared" si="255"/>
        <v>0</v>
      </c>
      <c r="H3972" s="9">
        <f t="shared" si="256"/>
        <v>0</v>
      </c>
      <c r="I3972" s="10">
        <f t="shared" si="257"/>
        <v>0</v>
      </c>
    </row>
    <row r="3973" spans="1:9" x14ac:dyDescent="0.25">
      <c r="A3973" s="11" t="s">
        <v>9605</v>
      </c>
      <c r="B3973" s="11" t="s">
        <v>9606</v>
      </c>
      <c r="C3973" s="11" t="s">
        <v>81</v>
      </c>
      <c r="D3973" s="4" t="s">
        <v>1406</v>
      </c>
      <c r="E3973" t="s">
        <v>489</v>
      </c>
      <c r="F3973" s="9">
        <f t="shared" si="254"/>
        <v>0</v>
      </c>
      <c r="G3973" s="9">
        <f t="shared" si="255"/>
        <v>0</v>
      </c>
      <c r="H3973" s="9">
        <f t="shared" si="256"/>
        <v>0</v>
      </c>
      <c r="I3973" s="10">
        <f t="shared" si="257"/>
        <v>0</v>
      </c>
    </row>
    <row r="3974" spans="1:9" x14ac:dyDescent="0.25">
      <c r="A3974" s="11" t="s">
        <v>9607</v>
      </c>
      <c r="B3974" s="11" t="s">
        <v>7230</v>
      </c>
      <c r="C3974" s="11" t="s">
        <v>81</v>
      </c>
      <c r="D3974" s="4" t="s">
        <v>1406</v>
      </c>
      <c r="E3974" t="s">
        <v>489</v>
      </c>
      <c r="F3974" s="9">
        <f t="shared" si="254"/>
        <v>0</v>
      </c>
      <c r="G3974" s="9">
        <f t="shared" si="255"/>
        <v>0</v>
      </c>
      <c r="H3974" s="9">
        <f t="shared" si="256"/>
        <v>0</v>
      </c>
      <c r="I3974" s="10">
        <f t="shared" si="257"/>
        <v>0</v>
      </c>
    </row>
    <row r="3975" spans="1:9" x14ac:dyDescent="0.25">
      <c r="A3975" s="11" t="s">
        <v>9608</v>
      </c>
      <c r="B3975" s="11" t="s">
        <v>9609</v>
      </c>
      <c r="C3975" s="11" t="s">
        <v>81</v>
      </c>
      <c r="D3975" s="4" t="s">
        <v>1406</v>
      </c>
      <c r="E3975" t="s">
        <v>82</v>
      </c>
      <c r="F3975" s="9">
        <f t="shared" si="254"/>
        <v>0</v>
      </c>
      <c r="G3975" s="9">
        <f t="shared" si="255"/>
        <v>0</v>
      </c>
      <c r="H3975" s="9">
        <f t="shared" si="256"/>
        <v>0</v>
      </c>
      <c r="I3975" s="10">
        <f t="shared" si="257"/>
        <v>0</v>
      </c>
    </row>
    <row r="3976" spans="1:9" x14ac:dyDescent="0.25">
      <c r="A3976" s="11" t="s">
        <v>9610</v>
      </c>
      <c r="B3976" s="11" t="s">
        <v>9611</v>
      </c>
      <c r="C3976" s="11" t="s">
        <v>81</v>
      </c>
      <c r="D3976" s="4" t="s">
        <v>1406</v>
      </c>
      <c r="E3976" t="s">
        <v>82</v>
      </c>
      <c r="F3976" s="9">
        <f t="shared" si="254"/>
        <v>0</v>
      </c>
      <c r="G3976" s="9">
        <f t="shared" si="255"/>
        <v>0</v>
      </c>
      <c r="H3976" s="9">
        <f t="shared" si="256"/>
        <v>0</v>
      </c>
      <c r="I3976" s="10">
        <f t="shared" si="257"/>
        <v>0</v>
      </c>
    </row>
    <row r="3977" spans="1:9" x14ac:dyDescent="0.25">
      <c r="A3977" s="11" t="s">
        <v>9612</v>
      </c>
      <c r="B3977" s="11" t="s">
        <v>9613</v>
      </c>
      <c r="C3977" s="11" t="s">
        <v>81</v>
      </c>
      <c r="D3977" s="4" t="s">
        <v>1406</v>
      </c>
      <c r="E3977" t="s">
        <v>82</v>
      </c>
      <c r="F3977" s="9">
        <f t="shared" si="254"/>
        <v>0</v>
      </c>
      <c r="G3977" s="9">
        <f t="shared" si="255"/>
        <v>0</v>
      </c>
      <c r="H3977" s="9">
        <f t="shared" si="256"/>
        <v>0</v>
      </c>
      <c r="I3977" s="10">
        <f t="shared" si="257"/>
        <v>0</v>
      </c>
    </row>
    <row r="3978" spans="1:9" x14ac:dyDescent="0.25">
      <c r="A3978" s="11" t="s">
        <v>9614</v>
      </c>
      <c r="B3978" s="11" t="s">
        <v>7248</v>
      </c>
      <c r="C3978" s="11" t="s">
        <v>81</v>
      </c>
      <c r="D3978" s="4" t="s">
        <v>1406</v>
      </c>
      <c r="E3978" t="s">
        <v>82</v>
      </c>
      <c r="F3978" s="9">
        <f t="shared" si="254"/>
        <v>0</v>
      </c>
      <c r="G3978" s="9">
        <f t="shared" si="255"/>
        <v>0</v>
      </c>
      <c r="H3978" s="9">
        <f t="shared" si="256"/>
        <v>0</v>
      </c>
      <c r="I3978" s="10">
        <f t="shared" si="257"/>
        <v>0</v>
      </c>
    </row>
    <row r="3979" spans="1:9" x14ac:dyDescent="0.25">
      <c r="A3979" s="11" t="s">
        <v>9615</v>
      </c>
      <c r="B3979" s="11" t="s">
        <v>7258</v>
      </c>
      <c r="C3979" s="11" t="s">
        <v>81</v>
      </c>
      <c r="D3979" s="4" t="s">
        <v>1406</v>
      </c>
      <c r="E3979" t="s">
        <v>82</v>
      </c>
      <c r="F3979" s="9">
        <f t="shared" si="254"/>
        <v>0</v>
      </c>
      <c r="G3979" s="9">
        <f t="shared" si="255"/>
        <v>0</v>
      </c>
      <c r="H3979" s="9">
        <f t="shared" si="256"/>
        <v>0</v>
      </c>
      <c r="I3979" s="10">
        <f t="shared" si="257"/>
        <v>0</v>
      </c>
    </row>
    <row r="3980" spans="1:9" x14ac:dyDescent="0.25">
      <c r="A3980" s="11" t="s">
        <v>9616</v>
      </c>
      <c r="B3980" s="11" t="s">
        <v>7260</v>
      </c>
      <c r="C3980" s="11" t="s">
        <v>81</v>
      </c>
      <c r="D3980" s="4" t="s">
        <v>1406</v>
      </c>
      <c r="E3980" t="s">
        <v>82</v>
      </c>
      <c r="F3980" s="9">
        <f t="shared" si="254"/>
        <v>0</v>
      </c>
      <c r="G3980" s="9">
        <f t="shared" si="255"/>
        <v>0</v>
      </c>
      <c r="H3980" s="9">
        <f t="shared" si="256"/>
        <v>0</v>
      </c>
      <c r="I3980" s="10">
        <f t="shared" si="257"/>
        <v>0</v>
      </c>
    </row>
    <row r="3981" spans="1:9" x14ac:dyDescent="0.25">
      <c r="A3981" s="11" t="s">
        <v>9617</v>
      </c>
      <c r="B3981" s="11" t="s">
        <v>9618</v>
      </c>
      <c r="C3981" s="11" t="s">
        <v>81</v>
      </c>
      <c r="D3981" s="4" t="s">
        <v>1406</v>
      </c>
      <c r="E3981" t="s">
        <v>489</v>
      </c>
      <c r="F3981" s="9">
        <f t="shared" si="254"/>
        <v>0</v>
      </c>
      <c r="G3981" s="9">
        <f t="shared" si="255"/>
        <v>0</v>
      </c>
      <c r="H3981" s="9">
        <f t="shared" si="256"/>
        <v>0</v>
      </c>
      <c r="I3981" s="10">
        <f t="shared" si="257"/>
        <v>0</v>
      </c>
    </row>
    <row r="3982" spans="1:9" x14ac:dyDescent="0.25">
      <c r="A3982" s="11" t="s">
        <v>9619</v>
      </c>
      <c r="B3982" s="11" t="s">
        <v>9620</v>
      </c>
      <c r="C3982" s="11" t="s">
        <v>81</v>
      </c>
      <c r="D3982" s="4" t="s">
        <v>1406</v>
      </c>
      <c r="E3982" t="s">
        <v>82</v>
      </c>
      <c r="F3982" s="9">
        <f t="shared" si="254"/>
        <v>0</v>
      </c>
      <c r="G3982" s="9">
        <f t="shared" si="255"/>
        <v>0</v>
      </c>
      <c r="H3982" s="9">
        <f t="shared" si="256"/>
        <v>0</v>
      </c>
      <c r="I3982" s="10">
        <f t="shared" si="257"/>
        <v>0</v>
      </c>
    </row>
    <row r="3983" spans="1:9" x14ac:dyDescent="0.25">
      <c r="A3983" s="11" t="s">
        <v>9621</v>
      </c>
      <c r="B3983" s="11" t="s">
        <v>9622</v>
      </c>
      <c r="C3983" s="11" t="s">
        <v>81</v>
      </c>
      <c r="D3983" s="4" t="s">
        <v>1406</v>
      </c>
      <c r="E3983" t="s">
        <v>82</v>
      </c>
      <c r="F3983" s="9">
        <f t="shared" si="254"/>
        <v>0</v>
      </c>
      <c r="G3983" s="9">
        <f t="shared" si="255"/>
        <v>0</v>
      </c>
      <c r="H3983" s="9">
        <f t="shared" si="256"/>
        <v>0</v>
      </c>
      <c r="I3983" s="10">
        <f t="shared" si="257"/>
        <v>0</v>
      </c>
    </row>
    <row r="3984" spans="1:9" x14ac:dyDescent="0.25">
      <c r="A3984" s="11" t="s">
        <v>9623</v>
      </c>
      <c r="B3984" s="11" t="s">
        <v>9624</v>
      </c>
      <c r="C3984" s="11" t="s">
        <v>81</v>
      </c>
      <c r="D3984" s="4" t="s">
        <v>1406</v>
      </c>
      <c r="E3984" t="s">
        <v>82</v>
      </c>
      <c r="F3984" s="9">
        <f t="shared" si="254"/>
        <v>0</v>
      </c>
      <c r="G3984" s="9">
        <f t="shared" si="255"/>
        <v>0</v>
      </c>
      <c r="H3984" s="9">
        <f t="shared" si="256"/>
        <v>0</v>
      </c>
      <c r="I3984" s="10">
        <f t="shared" si="257"/>
        <v>0</v>
      </c>
    </row>
    <row r="3985" spans="1:9" x14ac:dyDescent="0.25">
      <c r="A3985" s="11" t="s">
        <v>9625</v>
      </c>
      <c r="B3985" s="11" t="s">
        <v>9626</v>
      </c>
      <c r="C3985" s="11" t="s">
        <v>81</v>
      </c>
      <c r="D3985" s="4" t="s">
        <v>1406</v>
      </c>
      <c r="E3985" t="s">
        <v>3011</v>
      </c>
      <c r="F3985" s="9">
        <f t="shared" si="254"/>
        <v>0</v>
      </c>
      <c r="G3985" s="9">
        <f t="shared" si="255"/>
        <v>0</v>
      </c>
      <c r="H3985" s="9">
        <f t="shared" si="256"/>
        <v>0</v>
      </c>
      <c r="I3985" s="10">
        <f t="shared" si="257"/>
        <v>0</v>
      </c>
    </row>
    <row r="3986" spans="1:9" x14ac:dyDescent="0.25">
      <c r="A3986" s="11" t="s">
        <v>9627</v>
      </c>
      <c r="B3986" s="11" t="s">
        <v>9628</v>
      </c>
      <c r="C3986" s="11" t="s">
        <v>81</v>
      </c>
      <c r="D3986" s="4" t="s">
        <v>1406</v>
      </c>
      <c r="E3986" t="s">
        <v>3011</v>
      </c>
      <c r="F3986" s="9">
        <f t="shared" si="254"/>
        <v>0</v>
      </c>
      <c r="G3986" s="9">
        <f t="shared" si="255"/>
        <v>0</v>
      </c>
      <c r="H3986" s="9">
        <f t="shared" si="256"/>
        <v>0</v>
      </c>
      <c r="I3986" s="10">
        <f t="shared" si="257"/>
        <v>0</v>
      </c>
    </row>
    <row r="3987" spans="1:9" x14ac:dyDescent="0.25">
      <c r="A3987" s="11" t="s">
        <v>9629</v>
      </c>
      <c r="B3987" s="11" t="s">
        <v>9630</v>
      </c>
      <c r="C3987" s="11" t="s">
        <v>81</v>
      </c>
      <c r="D3987" s="4" t="s">
        <v>1406</v>
      </c>
      <c r="E3987" t="s">
        <v>3011</v>
      </c>
      <c r="F3987" s="9">
        <f t="shared" si="254"/>
        <v>0</v>
      </c>
      <c r="G3987" s="9">
        <f t="shared" si="255"/>
        <v>0</v>
      </c>
      <c r="H3987" s="9">
        <f t="shared" si="256"/>
        <v>0</v>
      </c>
      <c r="I3987" s="10">
        <f t="shared" si="257"/>
        <v>0</v>
      </c>
    </row>
    <row r="3988" spans="1:9" x14ac:dyDescent="0.25">
      <c r="A3988" s="11" t="s">
        <v>9631</v>
      </c>
      <c r="B3988" s="11" t="s">
        <v>9632</v>
      </c>
      <c r="C3988" s="11" t="s">
        <v>81</v>
      </c>
      <c r="D3988" s="4" t="s">
        <v>1406</v>
      </c>
      <c r="E3988" t="s">
        <v>3011</v>
      </c>
      <c r="F3988" s="9">
        <f t="shared" si="254"/>
        <v>0</v>
      </c>
      <c r="G3988" s="9">
        <f t="shared" si="255"/>
        <v>0</v>
      </c>
      <c r="H3988" s="9">
        <f t="shared" si="256"/>
        <v>0</v>
      </c>
      <c r="I3988" s="10">
        <f t="shared" si="257"/>
        <v>0</v>
      </c>
    </row>
    <row r="3989" spans="1:9" x14ac:dyDescent="0.25">
      <c r="A3989" s="11" t="s">
        <v>9633</v>
      </c>
      <c r="B3989" s="11" t="s">
        <v>9634</v>
      </c>
      <c r="C3989" s="11" t="s">
        <v>81</v>
      </c>
      <c r="D3989" s="4" t="s">
        <v>1406</v>
      </c>
      <c r="E3989" t="s">
        <v>3011</v>
      </c>
      <c r="F3989" s="9">
        <f t="shared" si="254"/>
        <v>0</v>
      </c>
      <c r="G3989" s="9">
        <f t="shared" si="255"/>
        <v>0</v>
      </c>
      <c r="H3989" s="9">
        <f t="shared" si="256"/>
        <v>0</v>
      </c>
      <c r="I3989" s="10">
        <f t="shared" si="257"/>
        <v>0</v>
      </c>
    </row>
    <row r="3990" spans="1:9" x14ac:dyDescent="0.25">
      <c r="A3990" s="11" t="s">
        <v>9635</v>
      </c>
      <c r="B3990" s="11" t="s">
        <v>7392</v>
      </c>
      <c r="C3990" s="11" t="s">
        <v>81</v>
      </c>
      <c r="D3990" s="4" t="s">
        <v>1406</v>
      </c>
      <c r="E3990" t="s">
        <v>3011</v>
      </c>
      <c r="F3990" s="9">
        <f t="shared" si="254"/>
        <v>0</v>
      </c>
      <c r="G3990" s="9">
        <f t="shared" si="255"/>
        <v>0</v>
      </c>
      <c r="H3990" s="9">
        <f t="shared" si="256"/>
        <v>0</v>
      </c>
      <c r="I3990" s="10">
        <f t="shared" si="257"/>
        <v>0</v>
      </c>
    </row>
    <row r="3991" spans="1:9" x14ac:dyDescent="0.25">
      <c r="A3991" s="11" t="s">
        <v>9636</v>
      </c>
      <c r="B3991" s="11" t="s">
        <v>7394</v>
      </c>
      <c r="C3991" s="11" t="s">
        <v>81</v>
      </c>
      <c r="D3991" s="4" t="s">
        <v>1406</v>
      </c>
      <c r="E3991" t="s">
        <v>3011</v>
      </c>
      <c r="F3991" s="9">
        <f t="shared" si="254"/>
        <v>0</v>
      </c>
      <c r="G3991" s="9">
        <f t="shared" si="255"/>
        <v>0</v>
      </c>
      <c r="H3991" s="9">
        <f t="shared" si="256"/>
        <v>0</v>
      </c>
      <c r="I3991" s="10">
        <f t="shared" si="257"/>
        <v>0</v>
      </c>
    </row>
    <row r="3992" spans="1:9" x14ac:dyDescent="0.25">
      <c r="A3992" s="11" t="s">
        <v>9637</v>
      </c>
      <c r="B3992" s="11" t="s">
        <v>7396</v>
      </c>
      <c r="C3992" s="11" t="s">
        <v>81</v>
      </c>
      <c r="D3992" s="4" t="s">
        <v>1406</v>
      </c>
      <c r="E3992" t="s">
        <v>3011</v>
      </c>
      <c r="F3992" s="9">
        <f t="shared" si="254"/>
        <v>0</v>
      </c>
      <c r="G3992" s="9">
        <f t="shared" si="255"/>
        <v>0</v>
      </c>
      <c r="H3992" s="9">
        <f t="shared" si="256"/>
        <v>0</v>
      </c>
      <c r="I3992" s="10">
        <f t="shared" si="257"/>
        <v>0</v>
      </c>
    </row>
    <row r="3993" spans="1:9" x14ac:dyDescent="0.25">
      <c r="A3993" s="11" t="s">
        <v>9638</v>
      </c>
      <c r="B3993" s="11" t="s">
        <v>9639</v>
      </c>
      <c r="C3993" s="11" t="s">
        <v>1046</v>
      </c>
      <c r="D3993" s="4" t="s">
        <v>1406</v>
      </c>
      <c r="E3993" t="s">
        <v>101</v>
      </c>
      <c r="F3993" s="9">
        <f t="shared" si="254"/>
        <v>0</v>
      </c>
      <c r="G3993" s="9">
        <f t="shared" si="255"/>
        <v>0</v>
      </c>
      <c r="H3993" s="9">
        <f t="shared" si="256"/>
        <v>0</v>
      </c>
      <c r="I3993" s="10">
        <f t="shared" si="257"/>
        <v>0</v>
      </c>
    </row>
    <row r="3994" spans="1:9" x14ac:dyDescent="0.25">
      <c r="A3994" s="11" t="s">
        <v>1064</v>
      </c>
      <c r="B3994" s="11" t="s">
        <v>1063</v>
      </c>
      <c r="C3994" s="11" t="s">
        <v>1046</v>
      </c>
      <c r="D3994" s="4" t="s">
        <v>1406</v>
      </c>
      <c r="E3994" t="s">
        <v>101</v>
      </c>
      <c r="F3994" s="9">
        <f t="shared" si="254"/>
        <v>0</v>
      </c>
      <c r="G3994" s="9">
        <f t="shared" si="255"/>
        <v>0</v>
      </c>
      <c r="H3994" s="9">
        <f t="shared" si="256"/>
        <v>0</v>
      </c>
      <c r="I3994" s="10">
        <f t="shared" si="257"/>
        <v>0</v>
      </c>
    </row>
    <row r="3995" spans="1:9" x14ac:dyDescent="0.25">
      <c r="A3995" s="11" t="s">
        <v>9640</v>
      </c>
      <c r="B3995" s="11" t="s">
        <v>9641</v>
      </c>
      <c r="C3995" s="11" t="s">
        <v>95</v>
      </c>
      <c r="D3995" s="4" t="s">
        <v>1406</v>
      </c>
      <c r="E3995" t="s">
        <v>30</v>
      </c>
      <c r="F3995" s="9">
        <f t="shared" si="254"/>
        <v>0</v>
      </c>
      <c r="G3995" s="9">
        <f t="shared" si="255"/>
        <v>0</v>
      </c>
      <c r="H3995" s="9">
        <f t="shared" si="256"/>
        <v>0</v>
      </c>
      <c r="I3995" s="10">
        <f t="shared" si="257"/>
        <v>0</v>
      </c>
    </row>
    <row r="3996" spans="1:9" x14ac:dyDescent="0.25">
      <c r="A3996" s="11" t="s">
        <v>9642</v>
      </c>
      <c r="B3996" s="11" t="s">
        <v>9643</v>
      </c>
      <c r="C3996" s="11" t="s">
        <v>95</v>
      </c>
      <c r="D3996" s="4" t="s">
        <v>1406</v>
      </c>
      <c r="E3996" t="s">
        <v>30</v>
      </c>
      <c r="F3996" s="9">
        <f t="shared" si="254"/>
        <v>0</v>
      </c>
      <c r="G3996" s="9">
        <f t="shared" si="255"/>
        <v>0</v>
      </c>
      <c r="H3996" s="9">
        <f t="shared" si="256"/>
        <v>0</v>
      </c>
      <c r="I3996" s="10">
        <f t="shared" si="257"/>
        <v>0</v>
      </c>
    </row>
    <row r="3997" spans="1:9" x14ac:dyDescent="0.25">
      <c r="A3997" s="11" t="s">
        <v>9644</v>
      </c>
      <c r="B3997" s="11" t="s">
        <v>9645</v>
      </c>
      <c r="C3997" s="11" t="s">
        <v>95</v>
      </c>
      <c r="D3997" s="4" t="s">
        <v>1406</v>
      </c>
      <c r="E3997" t="s">
        <v>82</v>
      </c>
      <c r="F3997" s="9">
        <f t="shared" si="254"/>
        <v>0</v>
      </c>
      <c r="G3997" s="9">
        <f t="shared" si="255"/>
        <v>0</v>
      </c>
      <c r="H3997" s="9">
        <f t="shared" si="256"/>
        <v>0</v>
      </c>
      <c r="I3997" s="10">
        <f t="shared" si="257"/>
        <v>0</v>
      </c>
    </row>
    <row r="3998" spans="1:9" x14ac:dyDescent="0.25">
      <c r="A3998" s="11" t="s">
        <v>9646</v>
      </c>
      <c r="B3998" s="11" t="s">
        <v>9647</v>
      </c>
      <c r="C3998" s="11" t="s">
        <v>95</v>
      </c>
      <c r="D3998" s="4" t="s">
        <v>1406</v>
      </c>
      <c r="E3998" t="s">
        <v>101</v>
      </c>
      <c r="F3998" s="9">
        <f t="shared" si="254"/>
        <v>0</v>
      </c>
      <c r="G3998" s="9">
        <f t="shared" si="255"/>
        <v>0</v>
      </c>
      <c r="H3998" s="9">
        <f t="shared" si="256"/>
        <v>0</v>
      </c>
      <c r="I3998" s="10">
        <f t="shared" si="257"/>
        <v>0</v>
      </c>
    </row>
    <row r="3999" spans="1:9" x14ac:dyDescent="0.25">
      <c r="A3999" s="11" t="s">
        <v>9648</v>
      </c>
      <c r="B3999" s="11" t="s">
        <v>9649</v>
      </c>
      <c r="C3999" s="11" t="s">
        <v>95</v>
      </c>
      <c r="D3999" s="4" t="s">
        <v>1406</v>
      </c>
      <c r="E3999" t="s">
        <v>101</v>
      </c>
      <c r="F3999" s="9">
        <f t="shared" si="254"/>
        <v>0</v>
      </c>
      <c r="G3999" s="9">
        <f t="shared" si="255"/>
        <v>0</v>
      </c>
      <c r="H3999" s="9">
        <f t="shared" si="256"/>
        <v>0</v>
      </c>
      <c r="I3999" s="10">
        <f t="shared" si="257"/>
        <v>0</v>
      </c>
    </row>
    <row r="4000" spans="1:9" x14ac:dyDescent="0.25">
      <c r="A4000" s="11" t="s">
        <v>9650</v>
      </c>
      <c r="B4000" s="11" t="s">
        <v>9651</v>
      </c>
      <c r="C4000" s="11" t="s">
        <v>95</v>
      </c>
      <c r="D4000" s="4" t="s">
        <v>1406</v>
      </c>
      <c r="E4000" t="s">
        <v>101</v>
      </c>
      <c r="F4000" s="9">
        <f t="shared" si="254"/>
        <v>0</v>
      </c>
      <c r="G4000" s="9">
        <f t="shared" si="255"/>
        <v>0</v>
      </c>
      <c r="H4000" s="9">
        <f t="shared" si="256"/>
        <v>0</v>
      </c>
      <c r="I4000" s="10">
        <f t="shared" si="257"/>
        <v>0</v>
      </c>
    </row>
    <row r="4001" spans="1:9" x14ac:dyDescent="0.25">
      <c r="A4001" s="11" t="s">
        <v>9652</v>
      </c>
      <c r="B4001" s="11" t="s">
        <v>7568</v>
      </c>
      <c r="C4001" s="11" t="s">
        <v>95</v>
      </c>
      <c r="D4001" s="4" t="s">
        <v>1406</v>
      </c>
      <c r="E4001" t="s">
        <v>101</v>
      </c>
      <c r="F4001" s="9">
        <f t="shared" si="254"/>
        <v>0</v>
      </c>
      <c r="G4001" s="9">
        <f t="shared" si="255"/>
        <v>0</v>
      </c>
      <c r="H4001" s="9">
        <f t="shared" si="256"/>
        <v>0</v>
      </c>
      <c r="I4001" s="10">
        <f t="shared" si="257"/>
        <v>0</v>
      </c>
    </row>
    <row r="4002" spans="1:9" x14ac:dyDescent="0.25">
      <c r="A4002" s="11" t="s">
        <v>9653</v>
      </c>
      <c r="B4002" s="11" t="s">
        <v>9654</v>
      </c>
      <c r="C4002" s="11" t="s">
        <v>95</v>
      </c>
      <c r="D4002" s="4" t="s">
        <v>1406</v>
      </c>
      <c r="E4002" t="s">
        <v>101</v>
      </c>
      <c r="F4002" s="9">
        <f t="shared" si="254"/>
        <v>0</v>
      </c>
      <c r="G4002" s="9">
        <f t="shared" si="255"/>
        <v>0</v>
      </c>
      <c r="H4002" s="9">
        <f t="shared" si="256"/>
        <v>0</v>
      </c>
      <c r="I4002" s="10">
        <f t="shared" si="257"/>
        <v>0</v>
      </c>
    </row>
    <row r="4003" spans="1:9" x14ac:dyDescent="0.25">
      <c r="A4003" s="11" t="s">
        <v>9655</v>
      </c>
      <c r="B4003" s="11" t="s">
        <v>7582</v>
      </c>
      <c r="C4003" s="11" t="s">
        <v>95</v>
      </c>
      <c r="D4003" s="4" t="s">
        <v>1406</v>
      </c>
      <c r="E4003" t="s">
        <v>101</v>
      </c>
      <c r="F4003" s="9">
        <f t="shared" si="254"/>
        <v>0</v>
      </c>
      <c r="G4003" s="9">
        <f t="shared" si="255"/>
        <v>0</v>
      </c>
      <c r="H4003" s="9">
        <f t="shared" si="256"/>
        <v>0</v>
      </c>
      <c r="I4003" s="10">
        <f t="shared" si="257"/>
        <v>0</v>
      </c>
    </row>
    <row r="4004" spans="1:9" x14ac:dyDescent="0.25">
      <c r="A4004" s="11" t="s">
        <v>9656</v>
      </c>
      <c r="B4004" s="11" t="s">
        <v>9657</v>
      </c>
      <c r="C4004" s="11" t="s">
        <v>95</v>
      </c>
      <c r="D4004" s="4" t="s">
        <v>1406</v>
      </c>
      <c r="E4004" t="s">
        <v>101</v>
      </c>
      <c r="F4004" s="9">
        <f t="shared" si="254"/>
        <v>0</v>
      </c>
      <c r="G4004" s="9">
        <f t="shared" si="255"/>
        <v>0</v>
      </c>
      <c r="H4004" s="9">
        <f t="shared" si="256"/>
        <v>0</v>
      </c>
      <c r="I4004" s="10">
        <f t="shared" si="257"/>
        <v>0</v>
      </c>
    </row>
    <row r="4005" spans="1:9" x14ac:dyDescent="0.25">
      <c r="A4005" s="11" t="s">
        <v>9658</v>
      </c>
      <c r="B4005" s="11" t="s">
        <v>9659</v>
      </c>
      <c r="C4005" s="11" t="s">
        <v>95</v>
      </c>
      <c r="D4005" s="4" t="s">
        <v>1406</v>
      </c>
      <c r="E4005" t="s">
        <v>101</v>
      </c>
      <c r="F4005" s="9">
        <f t="shared" si="254"/>
        <v>0</v>
      </c>
      <c r="G4005" s="9">
        <f t="shared" si="255"/>
        <v>0</v>
      </c>
      <c r="H4005" s="9">
        <f t="shared" si="256"/>
        <v>0</v>
      </c>
      <c r="I4005" s="10">
        <f t="shared" si="257"/>
        <v>0</v>
      </c>
    </row>
    <row r="4006" spans="1:9" x14ac:dyDescent="0.25">
      <c r="A4006" s="11" t="s">
        <v>9660</v>
      </c>
      <c r="B4006" s="11" t="s">
        <v>9661</v>
      </c>
      <c r="C4006" s="11" t="s">
        <v>95</v>
      </c>
      <c r="D4006" s="4" t="s">
        <v>1406</v>
      </c>
      <c r="E4006" t="s">
        <v>101</v>
      </c>
      <c r="F4006" s="9">
        <f t="shared" si="254"/>
        <v>0</v>
      </c>
      <c r="G4006" s="9">
        <f t="shared" si="255"/>
        <v>0</v>
      </c>
      <c r="H4006" s="9">
        <f t="shared" si="256"/>
        <v>0</v>
      </c>
      <c r="I4006" s="10">
        <f t="shared" si="257"/>
        <v>0</v>
      </c>
    </row>
    <row r="4007" spans="1:9" x14ac:dyDescent="0.25">
      <c r="A4007" s="11" t="s">
        <v>9662</v>
      </c>
      <c r="B4007" s="11" t="s">
        <v>9663</v>
      </c>
      <c r="C4007" s="11" t="s">
        <v>95</v>
      </c>
      <c r="D4007" s="4" t="s">
        <v>1406</v>
      </c>
      <c r="E4007" t="s">
        <v>30</v>
      </c>
      <c r="F4007" s="9">
        <f t="shared" si="254"/>
        <v>0</v>
      </c>
      <c r="G4007" s="9">
        <f t="shared" si="255"/>
        <v>0</v>
      </c>
      <c r="H4007" s="9">
        <f t="shared" si="256"/>
        <v>0</v>
      </c>
      <c r="I4007" s="10">
        <f t="shared" si="257"/>
        <v>0</v>
      </c>
    </row>
    <row r="4008" spans="1:9" x14ac:dyDescent="0.25">
      <c r="A4008" s="11" t="s">
        <v>9664</v>
      </c>
      <c r="B4008" s="11" t="s">
        <v>9665</v>
      </c>
      <c r="C4008" s="11" t="s">
        <v>95</v>
      </c>
      <c r="D4008" s="4" t="s">
        <v>1406</v>
      </c>
      <c r="E4008" t="s">
        <v>30</v>
      </c>
      <c r="F4008" s="9">
        <f t="shared" si="254"/>
        <v>0</v>
      </c>
      <c r="G4008" s="9">
        <f t="shared" si="255"/>
        <v>0</v>
      </c>
      <c r="H4008" s="9">
        <f t="shared" si="256"/>
        <v>0</v>
      </c>
      <c r="I4008" s="10">
        <f t="shared" si="257"/>
        <v>0</v>
      </c>
    </row>
    <row r="4009" spans="1:9" x14ac:dyDescent="0.25">
      <c r="A4009" s="11" t="s">
        <v>9666</v>
      </c>
      <c r="B4009" s="11" t="s">
        <v>9667</v>
      </c>
      <c r="C4009" s="11" t="s">
        <v>168</v>
      </c>
      <c r="D4009" s="4" t="s">
        <v>1406</v>
      </c>
      <c r="E4009" t="s">
        <v>101</v>
      </c>
      <c r="F4009" s="9">
        <f t="shared" si="254"/>
        <v>0</v>
      </c>
      <c r="G4009" s="9">
        <f t="shared" si="255"/>
        <v>0</v>
      </c>
      <c r="H4009" s="9">
        <f t="shared" si="256"/>
        <v>0</v>
      </c>
      <c r="I4009" s="10">
        <f t="shared" si="257"/>
        <v>0</v>
      </c>
    </row>
    <row r="4010" spans="1:9" x14ac:dyDescent="0.25">
      <c r="A4010" s="11" t="s">
        <v>9668</v>
      </c>
      <c r="B4010" s="11" t="s">
        <v>7714</v>
      </c>
      <c r="C4010" s="11" t="s">
        <v>168</v>
      </c>
      <c r="D4010" s="4" t="s">
        <v>1406</v>
      </c>
      <c r="E4010" t="s">
        <v>101</v>
      </c>
      <c r="F4010" s="9">
        <f t="shared" si="254"/>
        <v>0</v>
      </c>
      <c r="G4010" s="9">
        <f t="shared" si="255"/>
        <v>0</v>
      </c>
      <c r="H4010" s="9">
        <f t="shared" si="256"/>
        <v>0</v>
      </c>
      <c r="I4010" s="10">
        <f t="shared" si="257"/>
        <v>0</v>
      </c>
    </row>
    <row r="4011" spans="1:9" x14ac:dyDescent="0.25">
      <c r="A4011" s="11" t="s">
        <v>9669</v>
      </c>
      <c r="B4011" s="11" t="s">
        <v>9670</v>
      </c>
      <c r="C4011" s="11" t="s">
        <v>121</v>
      </c>
      <c r="D4011" s="4" t="s">
        <v>1406</v>
      </c>
      <c r="E4011" t="s">
        <v>104</v>
      </c>
      <c r="F4011" s="9">
        <f t="shared" si="254"/>
        <v>0</v>
      </c>
      <c r="G4011" s="9">
        <f t="shared" si="255"/>
        <v>0</v>
      </c>
      <c r="H4011" s="9">
        <f t="shared" si="256"/>
        <v>0</v>
      </c>
      <c r="I4011" s="10">
        <f t="shared" si="257"/>
        <v>0</v>
      </c>
    </row>
    <row r="4012" spans="1:9" x14ac:dyDescent="0.25">
      <c r="A4012" s="11" t="s">
        <v>9671</v>
      </c>
      <c r="B4012" s="11" t="s">
        <v>9672</v>
      </c>
      <c r="C4012" s="11" t="s">
        <v>121</v>
      </c>
      <c r="D4012" s="4" t="s">
        <v>1406</v>
      </c>
      <c r="E4012" t="s">
        <v>101</v>
      </c>
      <c r="F4012" s="9">
        <f t="shared" si="254"/>
        <v>0</v>
      </c>
      <c r="G4012" s="9">
        <f t="shared" si="255"/>
        <v>0</v>
      </c>
      <c r="H4012" s="9">
        <f t="shared" si="256"/>
        <v>0</v>
      </c>
      <c r="I4012" s="10">
        <f t="shared" si="257"/>
        <v>0</v>
      </c>
    </row>
    <row r="4013" spans="1:9" x14ac:dyDescent="0.25">
      <c r="A4013" s="11" t="s">
        <v>9673</v>
      </c>
      <c r="B4013" s="11" t="s">
        <v>9674</v>
      </c>
      <c r="C4013" s="11" t="s">
        <v>121</v>
      </c>
      <c r="D4013" s="4" t="s">
        <v>1406</v>
      </c>
      <c r="E4013" t="s">
        <v>104</v>
      </c>
      <c r="F4013" s="9">
        <f t="shared" si="254"/>
        <v>0</v>
      </c>
      <c r="G4013" s="9">
        <f t="shared" si="255"/>
        <v>0</v>
      </c>
      <c r="H4013" s="9">
        <f t="shared" si="256"/>
        <v>0</v>
      </c>
      <c r="I4013" s="10">
        <f t="shared" si="257"/>
        <v>0</v>
      </c>
    </row>
    <row r="4014" spans="1:9" x14ac:dyDescent="0.25">
      <c r="A4014" s="11" t="s">
        <v>9675</v>
      </c>
      <c r="B4014" s="11" t="s">
        <v>9676</v>
      </c>
      <c r="C4014" s="11" t="s">
        <v>121</v>
      </c>
      <c r="D4014" s="4" t="s">
        <v>1406</v>
      </c>
      <c r="E4014" t="s">
        <v>104</v>
      </c>
      <c r="F4014" s="9">
        <f t="shared" si="254"/>
        <v>0</v>
      </c>
      <c r="G4014" s="9">
        <f t="shared" si="255"/>
        <v>0</v>
      </c>
      <c r="H4014" s="9">
        <f t="shared" si="256"/>
        <v>0</v>
      </c>
      <c r="I4014" s="10">
        <f t="shared" si="257"/>
        <v>0</v>
      </c>
    </row>
    <row r="4015" spans="1:9" x14ac:dyDescent="0.25">
      <c r="A4015" s="11" t="s">
        <v>9677</v>
      </c>
      <c r="B4015" s="11" t="s">
        <v>9678</v>
      </c>
      <c r="C4015" s="11" t="s">
        <v>121</v>
      </c>
      <c r="D4015" s="4" t="s">
        <v>1406</v>
      </c>
      <c r="E4015" t="s">
        <v>104</v>
      </c>
      <c r="F4015" s="9">
        <f t="shared" si="254"/>
        <v>0</v>
      </c>
      <c r="G4015" s="9">
        <f t="shared" si="255"/>
        <v>0</v>
      </c>
      <c r="H4015" s="9">
        <f t="shared" si="256"/>
        <v>0</v>
      </c>
      <c r="I4015" s="10">
        <f t="shared" si="257"/>
        <v>0</v>
      </c>
    </row>
    <row r="4016" spans="1:9" x14ac:dyDescent="0.25">
      <c r="A4016" s="11" t="s">
        <v>9679</v>
      </c>
      <c r="B4016" s="11" t="s">
        <v>9680</v>
      </c>
      <c r="C4016" s="11" t="s">
        <v>121</v>
      </c>
      <c r="D4016" s="4" t="s">
        <v>1406</v>
      </c>
      <c r="E4016" t="s">
        <v>101</v>
      </c>
      <c r="F4016" s="9">
        <f t="shared" ref="F4016:F4078" si="258">IFERROR(VLOOKUP(A4016,condi,8,0),0)</f>
        <v>0</v>
      </c>
      <c r="G4016" s="9">
        <f t="shared" ref="G4016:G4078" si="259">IFERROR(VLOOKUP(A4016,maqui,8,0),0)</f>
        <v>0</v>
      </c>
      <c r="H4016" s="9">
        <f t="shared" ref="H4016:H4078" si="260">IFERROR(VLOOKUP(A4016,ascint,8,0),0)</f>
        <v>0</v>
      </c>
      <c r="I4016" s="10">
        <f t="shared" ref="I4016:I4078" si="261">+F4016+G4016+H4016</f>
        <v>0</v>
      </c>
    </row>
    <row r="4017" spans="1:9" x14ac:dyDescent="0.25">
      <c r="A4017" s="11" t="s">
        <v>9681</v>
      </c>
      <c r="B4017" s="11" t="s">
        <v>9682</v>
      </c>
      <c r="C4017" s="11" t="s">
        <v>232</v>
      </c>
      <c r="D4017" s="4" t="s">
        <v>1406</v>
      </c>
      <c r="E4017" t="s">
        <v>30</v>
      </c>
      <c r="F4017" s="9">
        <f t="shared" si="258"/>
        <v>0</v>
      </c>
      <c r="G4017" s="9">
        <f t="shared" si="259"/>
        <v>0</v>
      </c>
      <c r="H4017" s="9">
        <f t="shared" si="260"/>
        <v>0</v>
      </c>
      <c r="I4017" s="10">
        <f t="shared" si="261"/>
        <v>0</v>
      </c>
    </row>
    <row r="4018" spans="1:9" x14ac:dyDescent="0.25">
      <c r="A4018" s="11" t="s">
        <v>9683</v>
      </c>
      <c r="B4018" s="11" t="s">
        <v>9684</v>
      </c>
      <c r="C4018" s="11" t="s">
        <v>232</v>
      </c>
      <c r="D4018" s="4" t="s">
        <v>1406</v>
      </c>
      <c r="E4018" t="s">
        <v>30</v>
      </c>
      <c r="F4018" s="9">
        <f t="shared" si="258"/>
        <v>0</v>
      </c>
      <c r="G4018" s="9">
        <f t="shared" si="259"/>
        <v>0</v>
      </c>
      <c r="H4018" s="9">
        <f t="shared" si="260"/>
        <v>0</v>
      </c>
      <c r="I4018" s="10">
        <f t="shared" si="261"/>
        <v>0</v>
      </c>
    </row>
    <row r="4019" spans="1:9" x14ac:dyDescent="0.25">
      <c r="A4019" s="11" t="s">
        <v>9685</v>
      </c>
      <c r="B4019" s="11" t="s">
        <v>9686</v>
      </c>
      <c r="C4019" s="11" t="s">
        <v>232</v>
      </c>
      <c r="D4019" s="4" t="s">
        <v>1406</v>
      </c>
      <c r="E4019" t="s">
        <v>30</v>
      </c>
      <c r="F4019" s="9">
        <f t="shared" si="258"/>
        <v>0</v>
      </c>
      <c r="G4019" s="9">
        <f t="shared" si="259"/>
        <v>0</v>
      </c>
      <c r="H4019" s="9">
        <f t="shared" si="260"/>
        <v>0</v>
      </c>
      <c r="I4019" s="10">
        <f t="shared" si="261"/>
        <v>0</v>
      </c>
    </row>
    <row r="4020" spans="1:9" x14ac:dyDescent="0.25">
      <c r="A4020" s="11" t="s">
        <v>9687</v>
      </c>
      <c r="B4020" s="11" t="s">
        <v>9688</v>
      </c>
      <c r="C4020" s="11" t="s">
        <v>232</v>
      </c>
      <c r="D4020" s="4" t="s">
        <v>1406</v>
      </c>
      <c r="E4020" t="s">
        <v>30</v>
      </c>
      <c r="F4020" s="9">
        <f t="shared" si="258"/>
        <v>0</v>
      </c>
      <c r="G4020" s="9">
        <f t="shared" si="259"/>
        <v>0</v>
      </c>
      <c r="H4020" s="9">
        <f t="shared" si="260"/>
        <v>0</v>
      </c>
      <c r="I4020" s="10">
        <f t="shared" si="261"/>
        <v>0</v>
      </c>
    </row>
    <row r="4021" spans="1:9" x14ac:dyDescent="0.25">
      <c r="A4021" s="11" t="s">
        <v>9689</v>
      </c>
      <c r="B4021" s="11" t="s">
        <v>9690</v>
      </c>
      <c r="C4021" s="11" t="s">
        <v>232</v>
      </c>
      <c r="D4021" s="4" t="s">
        <v>1406</v>
      </c>
      <c r="E4021" t="s">
        <v>30</v>
      </c>
      <c r="F4021" s="9">
        <f t="shared" si="258"/>
        <v>0</v>
      </c>
      <c r="G4021" s="9">
        <f t="shared" si="259"/>
        <v>0</v>
      </c>
      <c r="H4021" s="9">
        <f t="shared" si="260"/>
        <v>0</v>
      </c>
      <c r="I4021" s="10">
        <f t="shared" si="261"/>
        <v>0</v>
      </c>
    </row>
    <row r="4022" spans="1:9" x14ac:dyDescent="0.25">
      <c r="A4022" s="11" t="s">
        <v>9691</v>
      </c>
      <c r="B4022" s="11" t="s">
        <v>9692</v>
      </c>
      <c r="C4022" s="11" t="s">
        <v>232</v>
      </c>
      <c r="D4022" s="4" t="s">
        <v>1406</v>
      </c>
      <c r="E4022" t="s">
        <v>30</v>
      </c>
      <c r="F4022" s="9">
        <f t="shared" si="258"/>
        <v>0</v>
      </c>
      <c r="G4022" s="9">
        <f t="shared" si="259"/>
        <v>0</v>
      </c>
      <c r="H4022" s="9">
        <f t="shared" si="260"/>
        <v>0</v>
      </c>
      <c r="I4022" s="10">
        <f t="shared" si="261"/>
        <v>0</v>
      </c>
    </row>
    <row r="4023" spans="1:9" x14ac:dyDescent="0.25">
      <c r="A4023" s="11" t="s">
        <v>9693</v>
      </c>
      <c r="B4023" s="11" t="s">
        <v>9694</v>
      </c>
      <c r="C4023" s="11" t="s">
        <v>232</v>
      </c>
      <c r="D4023" s="4" t="s">
        <v>1406</v>
      </c>
      <c r="E4023" t="s">
        <v>30</v>
      </c>
      <c r="F4023" s="9">
        <f t="shared" si="258"/>
        <v>0</v>
      </c>
      <c r="G4023" s="9">
        <f t="shared" si="259"/>
        <v>0</v>
      </c>
      <c r="H4023" s="9">
        <f t="shared" si="260"/>
        <v>0</v>
      </c>
      <c r="I4023" s="10">
        <f t="shared" si="261"/>
        <v>0</v>
      </c>
    </row>
    <row r="4024" spans="1:9" x14ac:dyDescent="0.25">
      <c r="A4024" s="11" t="s">
        <v>9695</v>
      </c>
      <c r="B4024" s="11" t="s">
        <v>9696</v>
      </c>
      <c r="C4024" s="11" t="s">
        <v>232</v>
      </c>
      <c r="D4024" s="4" t="s">
        <v>1406</v>
      </c>
      <c r="E4024" t="s">
        <v>30</v>
      </c>
      <c r="F4024" s="9">
        <f t="shared" si="258"/>
        <v>0</v>
      </c>
      <c r="G4024" s="9">
        <f t="shared" si="259"/>
        <v>0</v>
      </c>
      <c r="H4024" s="9">
        <f t="shared" si="260"/>
        <v>0</v>
      </c>
      <c r="I4024" s="10">
        <f t="shared" si="261"/>
        <v>0</v>
      </c>
    </row>
    <row r="4025" spans="1:9" x14ac:dyDescent="0.25">
      <c r="A4025" s="11" t="s">
        <v>9697</v>
      </c>
      <c r="B4025" s="11" t="s">
        <v>9698</v>
      </c>
      <c r="C4025" s="11" t="s">
        <v>232</v>
      </c>
      <c r="D4025" s="4" t="s">
        <v>1406</v>
      </c>
      <c r="E4025" t="s">
        <v>30</v>
      </c>
      <c r="F4025" s="9">
        <f t="shared" si="258"/>
        <v>0</v>
      </c>
      <c r="G4025" s="9">
        <f t="shared" si="259"/>
        <v>0</v>
      </c>
      <c r="H4025" s="9">
        <f t="shared" si="260"/>
        <v>0</v>
      </c>
      <c r="I4025" s="10">
        <f t="shared" si="261"/>
        <v>0</v>
      </c>
    </row>
    <row r="4026" spans="1:9" x14ac:dyDescent="0.25">
      <c r="A4026" s="11" t="s">
        <v>9699</v>
      </c>
      <c r="B4026" s="11" t="s">
        <v>9700</v>
      </c>
      <c r="C4026" s="11" t="s">
        <v>232</v>
      </c>
      <c r="D4026" s="4" t="s">
        <v>1406</v>
      </c>
      <c r="E4026" t="s">
        <v>30</v>
      </c>
      <c r="F4026" s="9">
        <f t="shared" si="258"/>
        <v>0</v>
      </c>
      <c r="G4026" s="9">
        <f t="shared" si="259"/>
        <v>0</v>
      </c>
      <c r="H4026" s="9">
        <f t="shared" si="260"/>
        <v>0</v>
      </c>
      <c r="I4026" s="10">
        <f t="shared" si="261"/>
        <v>0</v>
      </c>
    </row>
    <row r="4027" spans="1:9" x14ac:dyDescent="0.25">
      <c r="A4027" s="11" t="s">
        <v>9701</v>
      </c>
      <c r="B4027" s="11" t="s">
        <v>9702</v>
      </c>
      <c r="C4027" s="11" t="s">
        <v>232</v>
      </c>
      <c r="D4027" s="4" t="s">
        <v>1406</v>
      </c>
      <c r="E4027" t="s">
        <v>30</v>
      </c>
      <c r="F4027" s="9">
        <f t="shared" si="258"/>
        <v>0</v>
      </c>
      <c r="G4027" s="9">
        <f t="shared" si="259"/>
        <v>0</v>
      </c>
      <c r="H4027" s="9">
        <f t="shared" si="260"/>
        <v>0</v>
      </c>
      <c r="I4027" s="10">
        <f t="shared" si="261"/>
        <v>0</v>
      </c>
    </row>
    <row r="4028" spans="1:9" x14ac:dyDescent="0.25">
      <c r="A4028" s="11" t="s">
        <v>9703</v>
      </c>
      <c r="B4028" s="11" t="s">
        <v>9704</v>
      </c>
      <c r="C4028" s="11" t="s">
        <v>232</v>
      </c>
      <c r="D4028" s="4" t="s">
        <v>1406</v>
      </c>
      <c r="E4028" t="s">
        <v>30</v>
      </c>
      <c r="F4028" s="9">
        <f t="shared" si="258"/>
        <v>0</v>
      </c>
      <c r="G4028" s="9">
        <f t="shared" si="259"/>
        <v>0</v>
      </c>
      <c r="H4028" s="9">
        <f t="shared" si="260"/>
        <v>0</v>
      </c>
      <c r="I4028" s="10">
        <f t="shared" si="261"/>
        <v>0</v>
      </c>
    </row>
    <row r="4029" spans="1:9" x14ac:dyDescent="0.25">
      <c r="A4029" s="11" t="s">
        <v>9705</v>
      </c>
      <c r="B4029" s="11" t="s">
        <v>9706</v>
      </c>
      <c r="C4029" s="11" t="s">
        <v>232</v>
      </c>
      <c r="D4029" s="4" t="s">
        <v>1406</v>
      </c>
      <c r="E4029" t="s">
        <v>30</v>
      </c>
      <c r="F4029" s="9">
        <f t="shared" si="258"/>
        <v>0</v>
      </c>
      <c r="G4029" s="9">
        <f t="shared" si="259"/>
        <v>0</v>
      </c>
      <c r="H4029" s="9">
        <f t="shared" si="260"/>
        <v>0</v>
      </c>
      <c r="I4029" s="10">
        <f t="shared" si="261"/>
        <v>0</v>
      </c>
    </row>
    <row r="4030" spans="1:9" x14ac:dyDescent="0.25">
      <c r="A4030" s="11" t="s">
        <v>9707</v>
      </c>
      <c r="B4030" s="11" t="s">
        <v>9708</v>
      </c>
      <c r="C4030" s="11" t="s">
        <v>232</v>
      </c>
      <c r="D4030" s="4" t="s">
        <v>1406</v>
      </c>
      <c r="E4030" t="s">
        <v>30</v>
      </c>
      <c r="F4030" s="9">
        <f t="shared" si="258"/>
        <v>0</v>
      </c>
      <c r="G4030" s="9">
        <f t="shared" si="259"/>
        <v>0</v>
      </c>
      <c r="H4030" s="9">
        <f t="shared" si="260"/>
        <v>0</v>
      </c>
      <c r="I4030" s="10">
        <f t="shared" si="261"/>
        <v>0</v>
      </c>
    </row>
    <row r="4031" spans="1:9" x14ac:dyDescent="0.25">
      <c r="A4031" s="11" t="s">
        <v>9709</v>
      </c>
      <c r="B4031" s="11" t="s">
        <v>9710</v>
      </c>
      <c r="C4031" s="11" t="s">
        <v>232</v>
      </c>
      <c r="D4031" s="4" t="s">
        <v>1406</v>
      </c>
      <c r="E4031" t="s">
        <v>30</v>
      </c>
      <c r="F4031" s="9">
        <f t="shared" si="258"/>
        <v>0</v>
      </c>
      <c r="G4031" s="9">
        <f t="shared" si="259"/>
        <v>0</v>
      </c>
      <c r="H4031" s="9">
        <f t="shared" si="260"/>
        <v>0</v>
      </c>
      <c r="I4031" s="10">
        <f t="shared" si="261"/>
        <v>0</v>
      </c>
    </row>
    <row r="4032" spans="1:9" x14ac:dyDescent="0.25">
      <c r="A4032" s="11" t="s">
        <v>9711</v>
      </c>
      <c r="B4032" s="11" t="s">
        <v>9712</v>
      </c>
      <c r="C4032" s="11" t="s">
        <v>232</v>
      </c>
      <c r="D4032" s="4" t="s">
        <v>1406</v>
      </c>
      <c r="E4032" t="s">
        <v>30</v>
      </c>
      <c r="F4032" s="9">
        <f t="shared" si="258"/>
        <v>0</v>
      </c>
      <c r="G4032" s="9">
        <f t="shared" si="259"/>
        <v>0</v>
      </c>
      <c r="H4032" s="9">
        <f t="shared" si="260"/>
        <v>0</v>
      </c>
      <c r="I4032" s="10">
        <f t="shared" si="261"/>
        <v>0</v>
      </c>
    </row>
    <row r="4033" spans="1:9" x14ac:dyDescent="0.25">
      <c r="A4033" s="11" t="s">
        <v>9713</v>
      </c>
      <c r="B4033" s="11" t="s">
        <v>9714</v>
      </c>
      <c r="C4033" s="11" t="s">
        <v>232</v>
      </c>
      <c r="D4033" s="4" t="s">
        <v>1406</v>
      </c>
      <c r="E4033" t="s">
        <v>30</v>
      </c>
      <c r="F4033" s="9">
        <f t="shared" si="258"/>
        <v>0</v>
      </c>
      <c r="G4033" s="9">
        <f t="shared" si="259"/>
        <v>0</v>
      </c>
      <c r="H4033" s="9">
        <f t="shared" si="260"/>
        <v>0</v>
      </c>
      <c r="I4033" s="10">
        <f t="shared" si="261"/>
        <v>0</v>
      </c>
    </row>
    <row r="4034" spans="1:9" x14ac:dyDescent="0.25">
      <c r="A4034" s="11" t="s">
        <v>9715</v>
      </c>
      <c r="B4034" s="11" t="s">
        <v>9716</v>
      </c>
      <c r="C4034" s="11" t="s">
        <v>232</v>
      </c>
      <c r="D4034" s="4" t="s">
        <v>1406</v>
      </c>
      <c r="E4034" t="s">
        <v>30</v>
      </c>
      <c r="F4034" s="9">
        <f t="shared" si="258"/>
        <v>0</v>
      </c>
      <c r="G4034" s="9">
        <f t="shared" si="259"/>
        <v>0</v>
      </c>
      <c r="H4034" s="9">
        <f t="shared" si="260"/>
        <v>0</v>
      </c>
      <c r="I4034" s="10">
        <f t="shared" si="261"/>
        <v>0</v>
      </c>
    </row>
    <row r="4035" spans="1:9" x14ac:dyDescent="0.25">
      <c r="A4035" s="11" t="s">
        <v>9717</v>
      </c>
      <c r="B4035" s="11" t="s">
        <v>9718</v>
      </c>
      <c r="C4035" s="11" t="s">
        <v>232</v>
      </c>
      <c r="D4035" s="4" t="s">
        <v>1406</v>
      </c>
      <c r="E4035" t="s">
        <v>30</v>
      </c>
      <c r="F4035" s="9">
        <f t="shared" si="258"/>
        <v>0</v>
      </c>
      <c r="G4035" s="9">
        <f t="shared" si="259"/>
        <v>0</v>
      </c>
      <c r="H4035" s="9">
        <f t="shared" si="260"/>
        <v>0</v>
      </c>
      <c r="I4035" s="10">
        <f t="shared" si="261"/>
        <v>0</v>
      </c>
    </row>
    <row r="4036" spans="1:9" x14ac:dyDescent="0.25">
      <c r="A4036" s="11" t="s">
        <v>9719</v>
      </c>
      <c r="B4036" s="11" t="s">
        <v>9720</v>
      </c>
      <c r="C4036" s="11" t="s">
        <v>232</v>
      </c>
      <c r="D4036" s="4" t="s">
        <v>1406</v>
      </c>
      <c r="E4036" t="s">
        <v>30</v>
      </c>
      <c r="F4036" s="9">
        <f t="shared" si="258"/>
        <v>0</v>
      </c>
      <c r="G4036" s="9">
        <f t="shared" si="259"/>
        <v>0</v>
      </c>
      <c r="H4036" s="9">
        <f t="shared" si="260"/>
        <v>0</v>
      </c>
      <c r="I4036" s="10">
        <f t="shared" si="261"/>
        <v>0</v>
      </c>
    </row>
    <row r="4037" spans="1:9" x14ac:dyDescent="0.25">
      <c r="A4037" s="11" t="s">
        <v>9721</v>
      </c>
      <c r="B4037" s="11" t="s">
        <v>9722</v>
      </c>
      <c r="C4037" s="11" t="s">
        <v>232</v>
      </c>
      <c r="D4037" s="4" t="s">
        <v>1406</v>
      </c>
      <c r="E4037" t="s">
        <v>30</v>
      </c>
      <c r="F4037" s="9">
        <f t="shared" si="258"/>
        <v>0</v>
      </c>
      <c r="G4037" s="9">
        <f t="shared" si="259"/>
        <v>0</v>
      </c>
      <c r="H4037" s="9">
        <f t="shared" si="260"/>
        <v>0</v>
      </c>
      <c r="I4037" s="10">
        <f t="shared" si="261"/>
        <v>0</v>
      </c>
    </row>
    <row r="4038" spans="1:9" x14ac:dyDescent="0.25">
      <c r="A4038" s="11" t="s">
        <v>9723</v>
      </c>
      <c r="B4038" s="11" t="s">
        <v>3210</v>
      </c>
      <c r="C4038" s="11" t="s">
        <v>232</v>
      </c>
      <c r="D4038" s="4" t="s">
        <v>1406</v>
      </c>
      <c r="E4038" t="s">
        <v>30</v>
      </c>
      <c r="F4038" s="9">
        <f t="shared" si="258"/>
        <v>0</v>
      </c>
      <c r="G4038" s="9">
        <f t="shared" si="259"/>
        <v>0</v>
      </c>
      <c r="H4038" s="9">
        <f t="shared" si="260"/>
        <v>0</v>
      </c>
      <c r="I4038" s="10">
        <f t="shared" si="261"/>
        <v>0</v>
      </c>
    </row>
    <row r="4039" spans="1:9" x14ac:dyDescent="0.25">
      <c r="A4039" s="11" t="s">
        <v>9724</v>
      </c>
      <c r="B4039" s="11" t="s">
        <v>7902</v>
      </c>
      <c r="C4039" s="11" t="s">
        <v>232</v>
      </c>
      <c r="D4039" s="4" t="s">
        <v>1406</v>
      </c>
      <c r="E4039" t="s">
        <v>30</v>
      </c>
      <c r="F4039" s="9">
        <f t="shared" si="258"/>
        <v>0</v>
      </c>
      <c r="G4039" s="9">
        <f t="shared" si="259"/>
        <v>0</v>
      </c>
      <c r="H4039" s="9">
        <f t="shared" si="260"/>
        <v>0</v>
      </c>
      <c r="I4039" s="10">
        <f t="shared" si="261"/>
        <v>0</v>
      </c>
    </row>
    <row r="4040" spans="1:9" x14ac:dyDescent="0.25">
      <c r="A4040" s="11" t="s">
        <v>9725</v>
      </c>
      <c r="B4040" s="11" t="s">
        <v>9726</v>
      </c>
      <c r="C4040" s="11" t="s">
        <v>232</v>
      </c>
      <c r="D4040" s="4" t="s">
        <v>1406</v>
      </c>
      <c r="E4040" t="s">
        <v>30</v>
      </c>
      <c r="F4040" s="9">
        <f t="shared" si="258"/>
        <v>0</v>
      </c>
      <c r="G4040" s="9">
        <f t="shared" si="259"/>
        <v>0</v>
      </c>
      <c r="H4040" s="9">
        <f t="shared" si="260"/>
        <v>0</v>
      </c>
      <c r="I4040" s="10">
        <f t="shared" si="261"/>
        <v>0</v>
      </c>
    </row>
    <row r="4041" spans="1:9" x14ac:dyDescent="0.25">
      <c r="A4041" s="11" t="s">
        <v>9727</v>
      </c>
      <c r="B4041" s="11" t="s">
        <v>9728</v>
      </c>
      <c r="C4041" s="11" t="s">
        <v>669</v>
      </c>
      <c r="D4041" s="4" t="s">
        <v>1406</v>
      </c>
      <c r="E4041" t="s">
        <v>30</v>
      </c>
      <c r="F4041" s="9">
        <f t="shared" si="258"/>
        <v>0</v>
      </c>
      <c r="G4041" s="9">
        <f t="shared" si="259"/>
        <v>0</v>
      </c>
      <c r="H4041" s="9">
        <f t="shared" si="260"/>
        <v>0</v>
      </c>
      <c r="I4041" s="10">
        <f t="shared" si="261"/>
        <v>0</v>
      </c>
    </row>
    <row r="4042" spans="1:9" x14ac:dyDescent="0.25">
      <c r="A4042" s="11" t="s">
        <v>9729</v>
      </c>
      <c r="B4042" s="11" t="s">
        <v>9730</v>
      </c>
      <c r="C4042" s="11" t="s">
        <v>669</v>
      </c>
      <c r="D4042" s="4" t="s">
        <v>1406</v>
      </c>
      <c r="E4042" t="s">
        <v>30</v>
      </c>
      <c r="F4042" s="9">
        <f t="shared" si="258"/>
        <v>0</v>
      </c>
      <c r="G4042" s="9">
        <f t="shared" si="259"/>
        <v>0</v>
      </c>
      <c r="H4042" s="9">
        <f t="shared" si="260"/>
        <v>0</v>
      </c>
      <c r="I4042" s="10">
        <f t="shared" si="261"/>
        <v>0</v>
      </c>
    </row>
    <row r="4043" spans="1:9" x14ac:dyDescent="0.25">
      <c r="A4043" s="11" t="s">
        <v>9731</v>
      </c>
      <c r="B4043" s="11" t="s">
        <v>9732</v>
      </c>
      <c r="C4043" s="11" t="s">
        <v>669</v>
      </c>
      <c r="D4043" s="4" t="s">
        <v>1406</v>
      </c>
      <c r="E4043" t="s">
        <v>30</v>
      </c>
      <c r="F4043" s="9">
        <f t="shared" si="258"/>
        <v>0</v>
      </c>
      <c r="G4043" s="9">
        <f t="shared" si="259"/>
        <v>0</v>
      </c>
      <c r="H4043" s="9">
        <f t="shared" si="260"/>
        <v>0</v>
      </c>
      <c r="I4043" s="10">
        <f t="shared" si="261"/>
        <v>0</v>
      </c>
    </row>
    <row r="4044" spans="1:9" x14ac:dyDescent="0.25">
      <c r="A4044" s="11" t="s">
        <v>9733</v>
      </c>
      <c r="B4044" s="11" t="s">
        <v>3237</v>
      </c>
      <c r="C4044" s="11" t="s">
        <v>669</v>
      </c>
      <c r="D4044" s="4" t="s">
        <v>1406</v>
      </c>
      <c r="E4044" t="s">
        <v>30</v>
      </c>
      <c r="F4044" s="9">
        <f t="shared" si="258"/>
        <v>0</v>
      </c>
      <c r="G4044" s="9">
        <f t="shared" si="259"/>
        <v>0</v>
      </c>
      <c r="H4044" s="9">
        <f t="shared" si="260"/>
        <v>0</v>
      </c>
      <c r="I4044" s="10">
        <f t="shared" si="261"/>
        <v>0</v>
      </c>
    </row>
    <row r="4045" spans="1:9" x14ac:dyDescent="0.25">
      <c r="A4045" s="11" t="s">
        <v>9734</v>
      </c>
      <c r="B4045" s="11" t="s">
        <v>9735</v>
      </c>
      <c r="C4045" s="11" t="s">
        <v>669</v>
      </c>
      <c r="D4045" s="4" t="s">
        <v>1406</v>
      </c>
      <c r="E4045" t="s">
        <v>2095</v>
      </c>
      <c r="F4045" s="9">
        <f t="shared" si="258"/>
        <v>0</v>
      </c>
      <c r="G4045" s="9">
        <f t="shared" si="259"/>
        <v>0</v>
      </c>
      <c r="H4045" s="9">
        <f t="shared" si="260"/>
        <v>0</v>
      </c>
      <c r="I4045" s="10">
        <f t="shared" si="261"/>
        <v>0</v>
      </c>
    </row>
    <row r="4046" spans="1:9" x14ac:dyDescent="0.25">
      <c r="A4046" s="11" t="s">
        <v>9736</v>
      </c>
      <c r="B4046" s="11" t="s">
        <v>7930</v>
      </c>
      <c r="C4046" s="11" t="s">
        <v>669</v>
      </c>
      <c r="D4046" s="4" t="s">
        <v>1406</v>
      </c>
      <c r="E4046" t="s">
        <v>678</v>
      </c>
      <c r="F4046" s="9">
        <f t="shared" si="258"/>
        <v>0</v>
      </c>
      <c r="G4046" s="9">
        <f t="shared" si="259"/>
        <v>0</v>
      </c>
      <c r="H4046" s="9">
        <f t="shared" si="260"/>
        <v>0</v>
      </c>
      <c r="I4046" s="10">
        <f t="shared" si="261"/>
        <v>0</v>
      </c>
    </row>
    <row r="4047" spans="1:9" x14ac:dyDescent="0.25">
      <c r="A4047" s="11" t="s">
        <v>9737</v>
      </c>
      <c r="B4047" s="11" t="s">
        <v>3255</v>
      </c>
      <c r="C4047" s="11" t="s">
        <v>669</v>
      </c>
      <c r="D4047" s="4" t="s">
        <v>1406</v>
      </c>
      <c r="E4047" t="s">
        <v>30</v>
      </c>
      <c r="F4047" s="9">
        <f t="shared" si="258"/>
        <v>0</v>
      </c>
      <c r="G4047" s="9">
        <f t="shared" si="259"/>
        <v>0</v>
      </c>
      <c r="H4047" s="9">
        <f t="shared" si="260"/>
        <v>0</v>
      </c>
      <c r="I4047" s="10">
        <f t="shared" si="261"/>
        <v>0</v>
      </c>
    </row>
    <row r="4048" spans="1:9" x14ac:dyDescent="0.25">
      <c r="A4048" s="11" t="s">
        <v>9738</v>
      </c>
      <c r="B4048" s="11" t="s">
        <v>9739</v>
      </c>
      <c r="C4048" s="11" t="s">
        <v>669</v>
      </c>
      <c r="D4048" s="4" t="s">
        <v>1406</v>
      </c>
      <c r="E4048" t="s">
        <v>30</v>
      </c>
      <c r="F4048" s="9">
        <f t="shared" si="258"/>
        <v>0</v>
      </c>
      <c r="G4048" s="9">
        <f t="shared" si="259"/>
        <v>0</v>
      </c>
      <c r="H4048" s="9">
        <f t="shared" si="260"/>
        <v>0</v>
      </c>
      <c r="I4048" s="10">
        <f t="shared" si="261"/>
        <v>0</v>
      </c>
    </row>
    <row r="4049" spans="1:9" x14ac:dyDescent="0.25">
      <c r="A4049" s="11" t="s">
        <v>9740</v>
      </c>
      <c r="B4049" s="11" t="s">
        <v>9741</v>
      </c>
      <c r="C4049" s="11" t="s">
        <v>669</v>
      </c>
      <c r="D4049" s="4" t="s">
        <v>1406</v>
      </c>
      <c r="E4049" t="s">
        <v>30</v>
      </c>
      <c r="F4049" s="9">
        <f t="shared" si="258"/>
        <v>0</v>
      </c>
      <c r="G4049" s="9">
        <f t="shared" si="259"/>
        <v>0</v>
      </c>
      <c r="H4049" s="9">
        <f t="shared" si="260"/>
        <v>0</v>
      </c>
      <c r="I4049" s="10">
        <f t="shared" si="261"/>
        <v>0</v>
      </c>
    </row>
    <row r="4050" spans="1:9" x14ac:dyDescent="0.25">
      <c r="A4050" s="11" t="s">
        <v>9742</v>
      </c>
      <c r="B4050" s="11" t="s">
        <v>7979</v>
      </c>
      <c r="C4050" s="11" t="s">
        <v>669</v>
      </c>
      <c r="D4050" s="4" t="s">
        <v>1406</v>
      </c>
      <c r="E4050" t="s">
        <v>30</v>
      </c>
      <c r="F4050" s="9">
        <f t="shared" si="258"/>
        <v>0</v>
      </c>
      <c r="G4050" s="9">
        <f t="shared" si="259"/>
        <v>0</v>
      </c>
      <c r="H4050" s="9">
        <f t="shared" si="260"/>
        <v>0</v>
      </c>
      <c r="I4050" s="10">
        <f t="shared" si="261"/>
        <v>0</v>
      </c>
    </row>
    <row r="4051" spans="1:9" x14ac:dyDescent="0.25">
      <c r="A4051" s="11" t="s">
        <v>9743</v>
      </c>
      <c r="B4051" s="11" t="s">
        <v>9744</v>
      </c>
      <c r="C4051" s="11" t="s">
        <v>669</v>
      </c>
      <c r="D4051" s="4" t="s">
        <v>1406</v>
      </c>
      <c r="E4051" t="s">
        <v>30</v>
      </c>
      <c r="F4051" s="9">
        <f t="shared" si="258"/>
        <v>0</v>
      </c>
      <c r="G4051" s="9">
        <f t="shared" si="259"/>
        <v>0</v>
      </c>
      <c r="H4051" s="9">
        <f t="shared" si="260"/>
        <v>0</v>
      </c>
      <c r="I4051" s="10">
        <f t="shared" si="261"/>
        <v>0</v>
      </c>
    </row>
    <row r="4052" spans="1:9" x14ac:dyDescent="0.25">
      <c r="A4052" s="11" t="s">
        <v>9745</v>
      </c>
      <c r="B4052" s="11" t="s">
        <v>9746</v>
      </c>
      <c r="C4052" s="11" t="s">
        <v>669</v>
      </c>
      <c r="D4052" s="4" t="s">
        <v>1406</v>
      </c>
      <c r="E4052" t="s">
        <v>30</v>
      </c>
      <c r="F4052" s="9">
        <f t="shared" si="258"/>
        <v>0</v>
      </c>
      <c r="G4052" s="9">
        <f t="shared" si="259"/>
        <v>0</v>
      </c>
      <c r="H4052" s="9">
        <f t="shared" si="260"/>
        <v>0</v>
      </c>
      <c r="I4052" s="10">
        <f t="shared" si="261"/>
        <v>0</v>
      </c>
    </row>
    <row r="4053" spans="1:9" x14ac:dyDescent="0.25">
      <c r="A4053" s="11" t="s">
        <v>9747</v>
      </c>
      <c r="B4053" s="11" t="s">
        <v>9748</v>
      </c>
      <c r="C4053" s="11" t="s">
        <v>480</v>
      </c>
      <c r="D4053" s="4" t="s">
        <v>1406</v>
      </c>
      <c r="E4053" t="s">
        <v>82</v>
      </c>
      <c r="F4053" s="9">
        <f t="shared" si="258"/>
        <v>0</v>
      </c>
      <c r="G4053" s="9">
        <f t="shared" si="259"/>
        <v>0</v>
      </c>
      <c r="H4053" s="9">
        <f t="shared" si="260"/>
        <v>0</v>
      </c>
      <c r="I4053" s="10">
        <f t="shared" si="261"/>
        <v>0</v>
      </c>
    </row>
    <row r="4054" spans="1:9" x14ac:dyDescent="0.25">
      <c r="A4054" s="11" t="s">
        <v>9749</v>
      </c>
      <c r="B4054" s="11" t="s">
        <v>9750</v>
      </c>
      <c r="C4054" s="11" t="s">
        <v>480</v>
      </c>
      <c r="D4054" s="4" t="s">
        <v>1406</v>
      </c>
      <c r="E4054" t="s">
        <v>489</v>
      </c>
      <c r="F4054" s="9">
        <f t="shared" si="258"/>
        <v>0</v>
      </c>
      <c r="G4054" s="9">
        <f t="shared" si="259"/>
        <v>0</v>
      </c>
      <c r="H4054" s="9">
        <f t="shared" si="260"/>
        <v>0</v>
      </c>
      <c r="I4054" s="10">
        <f t="shared" si="261"/>
        <v>0</v>
      </c>
    </row>
    <row r="4055" spans="1:9" x14ac:dyDescent="0.25">
      <c r="A4055" s="11" t="s">
        <v>9751</v>
      </c>
      <c r="B4055" s="11" t="s">
        <v>9752</v>
      </c>
      <c r="C4055" s="11" t="s">
        <v>2241</v>
      </c>
      <c r="D4055" s="4" t="s">
        <v>1406</v>
      </c>
      <c r="E4055" t="s">
        <v>30</v>
      </c>
      <c r="F4055" s="9">
        <f t="shared" si="258"/>
        <v>0</v>
      </c>
      <c r="G4055" s="9">
        <f t="shared" si="259"/>
        <v>0</v>
      </c>
      <c r="H4055" s="9">
        <f t="shared" si="260"/>
        <v>0</v>
      </c>
      <c r="I4055" s="10">
        <f t="shared" si="261"/>
        <v>0</v>
      </c>
    </row>
    <row r="4056" spans="1:9" x14ac:dyDescent="0.25">
      <c r="A4056" s="11" t="s">
        <v>9753</v>
      </c>
      <c r="B4056" s="11" t="s">
        <v>9754</v>
      </c>
      <c r="C4056" s="11" t="s">
        <v>2241</v>
      </c>
      <c r="D4056" s="4" t="s">
        <v>1406</v>
      </c>
      <c r="E4056" t="s">
        <v>30</v>
      </c>
      <c r="F4056" s="9">
        <f t="shared" si="258"/>
        <v>0</v>
      </c>
      <c r="G4056" s="9">
        <f t="shared" si="259"/>
        <v>0</v>
      </c>
      <c r="H4056" s="9">
        <f t="shared" si="260"/>
        <v>0</v>
      </c>
      <c r="I4056" s="10">
        <f t="shared" si="261"/>
        <v>0</v>
      </c>
    </row>
    <row r="4057" spans="1:9" x14ac:dyDescent="0.25">
      <c r="A4057" s="11" t="s">
        <v>9755</v>
      </c>
      <c r="B4057" s="11" t="s">
        <v>9756</v>
      </c>
      <c r="C4057" s="11" t="s">
        <v>2241</v>
      </c>
      <c r="D4057" s="4" t="s">
        <v>1406</v>
      </c>
      <c r="E4057" t="s">
        <v>30</v>
      </c>
      <c r="F4057" s="9">
        <f t="shared" si="258"/>
        <v>0</v>
      </c>
      <c r="G4057" s="9">
        <f t="shared" si="259"/>
        <v>0</v>
      </c>
      <c r="H4057" s="9">
        <f t="shared" si="260"/>
        <v>0</v>
      </c>
      <c r="I4057" s="10">
        <f t="shared" si="261"/>
        <v>0</v>
      </c>
    </row>
    <row r="4058" spans="1:9" x14ac:dyDescent="0.25">
      <c r="A4058" s="11" t="s">
        <v>9757</v>
      </c>
      <c r="B4058" s="11" t="s">
        <v>9758</v>
      </c>
      <c r="C4058" s="11" t="s">
        <v>1069</v>
      </c>
      <c r="D4058" s="4" t="s">
        <v>1406</v>
      </c>
      <c r="E4058" t="s">
        <v>30</v>
      </c>
      <c r="F4058" s="9">
        <f t="shared" si="258"/>
        <v>0</v>
      </c>
      <c r="G4058" s="9">
        <f t="shared" si="259"/>
        <v>0</v>
      </c>
      <c r="H4058" s="9">
        <f t="shared" si="260"/>
        <v>0</v>
      </c>
      <c r="I4058" s="10">
        <f t="shared" si="261"/>
        <v>0</v>
      </c>
    </row>
    <row r="4059" spans="1:9" x14ac:dyDescent="0.25">
      <c r="A4059" s="11" t="s">
        <v>9759</v>
      </c>
      <c r="B4059" s="11" t="s">
        <v>9760</v>
      </c>
      <c r="C4059" s="11" t="s">
        <v>1069</v>
      </c>
      <c r="D4059" s="4" t="s">
        <v>1406</v>
      </c>
      <c r="E4059" t="s">
        <v>30</v>
      </c>
      <c r="F4059" s="9">
        <f t="shared" si="258"/>
        <v>0</v>
      </c>
      <c r="G4059" s="9">
        <f t="shared" si="259"/>
        <v>0</v>
      </c>
      <c r="H4059" s="9">
        <f t="shared" si="260"/>
        <v>0</v>
      </c>
      <c r="I4059" s="10">
        <f t="shared" si="261"/>
        <v>0</v>
      </c>
    </row>
    <row r="4060" spans="1:9" x14ac:dyDescent="0.25">
      <c r="A4060" s="11" t="s">
        <v>9761</v>
      </c>
      <c r="B4060" s="11" t="s">
        <v>9762</v>
      </c>
      <c r="C4060" s="11" t="s">
        <v>1069</v>
      </c>
      <c r="D4060" s="4" t="s">
        <v>1406</v>
      </c>
      <c r="E4060" t="s">
        <v>30</v>
      </c>
      <c r="F4060" s="9">
        <f t="shared" si="258"/>
        <v>0</v>
      </c>
      <c r="G4060" s="9">
        <f t="shared" si="259"/>
        <v>0</v>
      </c>
      <c r="H4060" s="9">
        <f t="shared" si="260"/>
        <v>0</v>
      </c>
      <c r="I4060" s="10">
        <f t="shared" si="261"/>
        <v>0</v>
      </c>
    </row>
    <row r="4061" spans="1:9" x14ac:dyDescent="0.25">
      <c r="A4061" s="11" t="s">
        <v>9763</v>
      </c>
      <c r="B4061" s="11" t="s">
        <v>9764</v>
      </c>
      <c r="C4061" s="11" t="s">
        <v>1069</v>
      </c>
      <c r="D4061" s="4" t="s">
        <v>1406</v>
      </c>
      <c r="E4061" t="s">
        <v>30</v>
      </c>
      <c r="F4061" s="9">
        <f t="shared" si="258"/>
        <v>0</v>
      </c>
      <c r="G4061" s="9">
        <f t="shared" si="259"/>
        <v>0</v>
      </c>
      <c r="H4061" s="9">
        <f t="shared" si="260"/>
        <v>0</v>
      </c>
      <c r="I4061" s="10">
        <f t="shared" si="261"/>
        <v>0</v>
      </c>
    </row>
    <row r="4062" spans="1:9" x14ac:dyDescent="0.25">
      <c r="A4062" s="11" t="s">
        <v>9765</v>
      </c>
      <c r="B4062" s="11" t="s">
        <v>9766</v>
      </c>
      <c r="C4062" s="11" t="s">
        <v>1069</v>
      </c>
      <c r="D4062" s="4" t="s">
        <v>1406</v>
      </c>
      <c r="E4062" t="s">
        <v>30</v>
      </c>
      <c r="F4062" s="9">
        <f t="shared" si="258"/>
        <v>0</v>
      </c>
      <c r="G4062" s="9">
        <f t="shared" si="259"/>
        <v>0</v>
      </c>
      <c r="H4062" s="9">
        <f t="shared" si="260"/>
        <v>0</v>
      </c>
      <c r="I4062" s="10">
        <f t="shared" si="261"/>
        <v>0</v>
      </c>
    </row>
    <row r="4063" spans="1:9" x14ac:dyDescent="0.25">
      <c r="A4063" s="11" t="s">
        <v>9767</v>
      </c>
      <c r="B4063" s="11" t="s">
        <v>9768</v>
      </c>
      <c r="C4063" s="11" t="s">
        <v>1069</v>
      </c>
      <c r="D4063" s="4" t="s">
        <v>1406</v>
      </c>
      <c r="E4063" t="s">
        <v>30</v>
      </c>
      <c r="F4063" s="9">
        <f t="shared" si="258"/>
        <v>0</v>
      </c>
      <c r="G4063" s="9">
        <f t="shared" si="259"/>
        <v>0</v>
      </c>
      <c r="H4063" s="9">
        <f t="shared" si="260"/>
        <v>0</v>
      </c>
      <c r="I4063" s="10">
        <f t="shared" si="261"/>
        <v>0</v>
      </c>
    </row>
    <row r="4064" spans="1:9" x14ac:dyDescent="0.25">
      <c r="A4064" s="11" t="s">
        <v>9769</v>
      </c>
      <c r="B4064" s="11" t="s">
        <v>9770</v>
      </c>
      <c r="C4064" s="11" t="s">
        <v>1069</v>
      </c>
      <c r="D4064" s="4" t="s">
        <v>1406</v>
      </c>
      <c r="E4064" t="s">
        <v>30</v>
      </c>
      <c r="F4064" s="9">
        <f t="shared" si="258"/>
        <v>0</v>
      </c>
      <c r="G4064" s="9">
        <f t="shared" si="259"/>
        <v>46</v>
      </c>
      <c r="H4064" s="9">
        <f t="shared" si="260"/>
        <v>0</v>
      </c>
      <c r="I4064" s="10">
        <f t="shared" si="261"/>
        <v>46</v>
      </c>
    </row>
    <row r="4065" spans="1:9" x14ac:dyDescent="0.25">
      <c r="A4065" s="11" t="s">
        <v>9771</v>
      </c>
      <c r="B4065" s="11" t="s">
        <v>9772</v>
      </c>
      <c r="C4065" s="11" t="s">
        <v>1069</v>
      </c>
      <c r="D4065" s="4" t="s">
        <v>1406</v>
      </c>
      <c r="E4065" t="s">
        <v>30</v>
      </c>
      <c r="F4065" s="9">
        <f t="shared" si="258"/>
        <v>0</v>
      </c>
      <c r="G4065" s="9">
        <f t="shared" si="259"/>
        <v>0</v>
      </c>
      <c r="H4065" s="9">
        <f t="shared" si="260"/>
        <v>0</v>
      </c>
      <c r="I4065" s="10">
        <f t="shared" si="261"/>
        <v>0</v>
      </c>
    </row>
    <row r="4066" spans="1:9" x14ac:dyDescent="0.25">
      <c r="A4066" s="11" t="s">
        <v>9773</v>
      </c>
      <c r="B4066" s="11" t="s">
        <v>9774</v>
      </c>
      <c r="C4066" s="11" t="s">
        <v>1069</v>
      </c>
      <c r="D4066" s="4" t="s">
        <v>1406</v>
      </c>
      <c r="E4066" t="s">
        <v>30</v>
      </c>
      <c r="F4066" s="9">
        <f t="shared" si="258"/>
        <v>0</v>
      </c>
      <c r="G4066" s="9">
        <f t="shared" si="259"/>
        <v>0</v>
      </c>
      <c r="H4066" s="9">
        <f t="shared" si="260"/>
        <v>0</v>
      </c>
      <c r="I4066" s="10">
        <f t="shared" si="261"/>
        <v>0</v>
      </c>
    </row>
    <row r="4067" spans="1:9" x14ac:dyDescent="0.25">
      <c r="A4067" s="11" t="s">
        <v>9775</v>
      </c>
      <c r="B4067" s="11" t="s">
        <v>9776</v>
      </c>
      <c r="C4067" s="11" t="s">
        <v>1069</v>
      </c>
      <c r="D4067" s="4" t="s">
        <v>1406</v>
      </c>
      <c r="E4067" t="s">
        <v>30</v>
      </c>
      <c r="F4067" s="9">
        <f t="shared" si="258"/>
        <v>0</v>
      </c>
      <c r="G4067" s="9">
        <f t="shared" si="259"/>
        <v>0</v>
      </c>
      <c r="H4067" s="9">
        <f t="shared" si="260"/>
        <v>0</v>
      </c>
      <c r="I4067" s="10">
        <f t="shared" si="261"/>
        <v>0</v>
      </c>
    </row>
    <row r="4068" spans="1:9" x14ac:dyDescent="0.25">
      <c r="A4068" s="11" t="s">
        <v>9777</v>
      </c>
      <c r="B4068" s="11" t="s">
        <v>9778</v>
      </c>
      <c r="C4068" s="11" t="s">
        <v>1069</v>
      </c>
      <c r="D4068" s="4" t="s">
        <v>1406</v>
      </c>
      <c r="E4068" t="s">
        <v>30</v>
      </c>
      <c r="F4068" s="9">
        <f t="shared" si="258"/>
        <v>0</v>
      </c>
      <c r="G4068" s="9">
        <f t="shared" si="259"/>
        <v>0</v>
      </c>
      <c r="H4068" s="9">
        <f t="shared" si="260"/>
        <v>0</v>
      </c>
      <c r="I4068" s="10">
        <f t="shared" si="261"/>
        <v>0</v>
      </c>
    </row>
    <row r="4069" spans="1:9" x14ac:dyDescent="0.25">
      <c r="A4069" s="11" t="s">
        <v>9779</v>
      </c>
      <c r="B4069" s="11" t="s">
        <v>9780</v>
      </c>
      <c r="C4069" s="11" t="s">
        <v>1069</v>
      </c>
      <c r="D4069" s="4" t="s">
        <v>1406</v>
      </c>
      <c r="E4069" t="s">
        <v>30</v>
      </c>
      <c r="F4069" s="9">
        <f t="shared" si="258"/>
        <v>0</v>
      </c>
      <c r="G4069" s="9">
        <f t="shared" si="259"/>
        <v>0</v>
      </c>
      <c r="H4069" s="9">
        <f t="shared" si="260"/>
        <v>0</v>
      </c>
      <c r="I4069" s="10">
        <f t="shared" si="261"/>
        <v>0</v>
      </c>
    </row>
    <row r="4070" spans="1:9" x14ac:dyDescent="0.25">
      <c r="A4070" s="11" t="s">
        <v>9781</v>
      </c>
      <c r="B4070" s="11" t="s">
        <v>9782</v>
      </c>
      <c r="C4070" s="11" t="s">
        <v>1069</v>
      </c>
      <c r="D4070" s="4" t="s">
        <v>1406</v>
      </c>
      <c r="E4070" t="s">
        <v>30</v>
      </c>
      <c r="F4070" s="9">
        <f t="shared" si="258"/>
        <v>0</v>
      </c>
      <c r="G4070" s="9">
        <f t="shared" si="259"/>
        <v>0</v>
      </c>
      <c r="H4070" s="9">
        <f t="shared" si="260"/>
        <v>0</v>
      </c>
      <c r="I4070" s="10">
        <f t="shared" si="261"/>
        <v>0</v>
      </c>
    </row>
    <row r="4071" spans="1:9" x14ac:dyDescent="0.25">
      <c r="A4071" s="11" t="s">
        <v>9783</v>
      </c>
      <c r="B4071" s="11" t="s">
        <v>9784</v>
      </c>
      <c r="C4071" s="11" t="s">
        <v>1069</v>
      </c>
      <c r="D4071" s="4" t="s">
        <v>1406</v>
      </c>
      <c r="E4071" t="s">
        <v>30</v>
      </c>
      <c r="F4071" s="9">
        <f t="shared" si="258"/>
        <v>0</v>
      </c>
      <c r="G4071" s="9">
        <f t="shared" si="259"/>
        <v>0</v>
      </c>
      <c r="H4071" s="9">
        <f t="shared" si="260"/>
        <v>0</v>
      </c>
      <c r="I4071" s="10">
        <f t="shared" si="261"/>
        <v>0</v>
      </c>
    </row>
    <row r="4072" spans="1:9" x14ac:dyDescent="0.25">
      <c r="A4072" s="11" t="s">
        <v>9785</v>
      </c>
      <c r="B4072" s="11" t="s">
        <v>9786</v>
      </c>
      <c r="C4072" s="11" t="s">
        <v>1069</v>
      </c>
      <c r="D4072" s="4" t="s">
        <v>1406</v>
      </c>
      <c r="E4072" t="s">
        <v>30</v>
      </c>
      <c r="F4072" s="9">
        <f t="shared" si="258"/>
        <v>0</v>
      </c>
      <c r="G4072" s="9">
        <f t="shared" si="259"/>
        <v>0</v>
      </c>
      <c r="H4072" s="9">
        <f t="shared" si="260"/>
        <v>0</v>
      </c>
      <c r="I4072" s="10">
        <f t="shared" si="261"/>
        <v>0</v>
      </c>
    </row>
    <row r="4073" spans="1:9" x14ac:dyDescent="0.25">
      <c r="A4073" s="11" t="s">
        <v>9787</v>
      </c>
      <c r="B4073" s="11" t="s">
        <v>9788</v>
      </c>
      <c r="C4073" s="11" t="s">
        <v>1069</v>
      </c>
      <c r="D4073" s="4" t="s">
        <v>1406</v>
      </c>
      <c r="E4073" t="s">
        <v>30</v>
      </c>
      <c r="F4073" s="9">
        <f t="shared" si="258"/>
        <v>0</v>
      </c>
      <c r="G4073" s="9">
        <f t="shared" si="259"/>
        <v>0</v>
      </c>
      <c r="H4073" s="9">
        <f t="shared" si="260"/>
        <v>0</v>
      </c>
      <c r="I4073" s="10">
        <f t="shared" si="261"/>
        <v>0</v>
      </c>
    </row>
    <row r="4074" spans="1:9" x14ac:dyDescent="0.25">
      <c r="A4074" s="11" t="s">
        <v>9789</v>
      </c>
      <c r="B4074" s="11" t="s">
        <v>9790</v>
      </c>
      <c r="C4074" s="11" t="s">
        <v>1069</v>
      </c>
      <c r="D4074" s="4" t="s">
        <v>1406</v>
      </c>
      <c r="E4074" t="s">
        <v>30</v>
      </c>
      <c r="F4074" s="9">
        <f t="shared" si="258"/>
        <v>0</v>
      </c>
      <c r="G4074" s="9">
        <f t="shared" si="259"/>
        <v>0</v>
      </c>
      <c r="H4074" s="9">
        <f t="shared" si="260"/>
        <v>0</v>
      </c>
      <c r="I4074" s="10">
        <f t="shared" si="261"/>
        <v>0</v>
      </c>
    </row>
    <row r="4075" spans="1:9" x14ac:dyDescent="0.25">
      <c r="A4075" s="11" t="s">
        <v>9791</v>
      </c>
      <c r="B4075" s="11" t="s">
        <v>9792</v>
      </c>
      <c r="C4075" s="11" t="s">
        <v>1069</v>
      </c>
      <c r="D4075" s="4" t="s">
        <v>1406</v>
      </c>
      <c r="E4075" t="s">
        <v>30</v>
      </c>
      <c r="F4075" s="9">
        <f t="shared" si="258"/>
        <v>0</v>
      </c>
      <c r="G4075" s="9">
        <f t="shared" si="259"/>
        <v>0</v>
      </c>
      <c r="H4075" s="9">
        <f t="shared" si="260"/>
        <v>0</v>
      </c>
      <c r="I4075" s="10">
        <f t="shared" si="261"/>
        <v>0</v>
      </c>
    </row>
    <row r="4076" spans="1:9" x14ac:dyDescent="0.25">
      <c r="A4076" s="11" t="s">
        <v>9793</v>
      </c>
      <c r="B4076" s="11" t="s">
        <v>9794</v>
      </c>
      <c r="C4076" s="11" t="s">
        <v>1069</v>
      </c>
      <c r="D4076" s="4" t="s">
        <v>1406</v>
      </c>
      <c r="E4076" t="s">
        <v>30</v>
      </c>
      <c r="F4076" s="9">
        <f t="shared" si="258"/>
        <v>0</v>
      </c>
      <c r="G4076" s="9">
        <f t="shared" si="259"/>
        <v>0</v>
      </c>
      <c r="H4076" s="9">
        <f t="shared" si="260"/>
        <v>0</v>
      </c>
      <c r="I4076" s="10">
        <f t="shared" si="261"/>
        <v>0</v>
      </c>
    </row>
    <row r="4077" spans="1:9" x14ac:dyDescent="0.25">
      <c r="A4077" s="11" t="s">
        <v>9795</v>
      </c>
      <c r="B4077" s="11" t="s">
        <v>9796</v>
      </c>
      <c r="C4077" s="11" t="s">
        <v>1069</v>
      </c>
      <c r="D4077" s="4" t="s">
        <v>1406</v>
      </c>
      <c r="E4077" t="s">
        <v>30</v>
      </c>
      <c r="F4077" s="9">
        <f t="shared" si="258"/>
        <v>0</v>
      </c>
      <c r="G4077" s="9">
        <f t="shared" si="259"/>
        <v>0</v>
      </c>
      <c r="H4077" s="9">
        <f t="shared" si="260"/>
        <v>0</v>
      </c>
      <c r="I4077" s="10">
        <f t="shared" si="261"/>
        <v>0</v>
      </c>
    </row>
    <row r="4078" spans="1:9" x14ac:dyDescent="0.25">
      <c r="A4078" s="11" t="s">
        <v>9797</v>
      </c>
      <c r="B4078" s="11" t="s">
        <v>9798</v>
      </c>
      <c r="C4078" s="11" t="s">
        <v>1069</v>
      </c>
      <c r="D4078" s="4" t="s">
        <v>1406</v>
      </c>
      <c r="E4078" t="s">
        <v>30</v>
      </c>
      <c r="F4078" s="9">
        <f t="shared" si="258"/>
        <v>0</v>
      </c>
      <c r="G4078" s="9">
        <f t="shared" si="259"/>
        <v>0</v>
      </c>
      <c r="H4078" s="9">
        <f t="shared" si="260"/>
        <v>0</v>
      </c>
      <c r="I4078" s="10">
        <f t="shared" si="261"/>
        <v>0</v>
      </c>
    </row>
    <row r="4079" spans="1:9" x14ac:dyDescent="0.25">
      <c r="A4079" s="11" t="s">
        <v>9799</v>
      </c>
      <c r="B4079" s="11" t="s">
        <v>9800</v>
      </c>
      <c r="C4079" s="11" t="s">
        <v>1069</v>
      </c>
      <c r="D4079" s="4" t="s">
        <v>1406</v>
      </c>
      <c r="E4079" t="s">
        <v>30</v>
      </c>
      <c r="F4079" s="9">
        <f t="shared" ref="F4079:F4142" si="262">IFERROR(VLOOKUP(A4079,condi,8,0),0)</f>
        <v>0</v>
      </c>
      <c r="G4079" s="9">
        <f t="shared" ref="G4079:G4142" si="263">IFERROR(VLOOKUP(A4079,maqui,8,0),0)</f>
        <v>0</v>
      </c>
      <c r="H4079" s="9">
        <f t="shared" ref="H4079:H4142" si="264">IFERROR(VLOOKUP(A4079,ascint,8,0),0)</f>
        <v>0</v>
      </c>
      <c r="I4079" s="10">
        <f t="shared" ref="I4079:I4142" si="265">+F4079+G4079+H4079</f>
        <v>0</v>
      </c>
    </row>
    <row r="4080" spans="1:9" x14ac:dyDescent="0.25">
      <c r="A4080" s="11" t="s">
        <v>9801</v>
      </c>
      <c r="B4080" s="11" t="s">
        <v>9802</v>
      </c>
      <c r="C4080" s="11" t="s">
        <v>1069</v>
      </c>
      <c r="D4080" s="4" t="s">
        <v>1406</v>
      </c>
      <c r="E4080" t="s">
        <v>30</v>
      </c>
      <c r="F4080" s="9">
        <f t="shared" si="262"/>
        <v>0</v>
      </c>
      <c r="G4080" s="9">
        <f t="shared" si="263"/>
        <v>0</v>
      </c>
      <c r="H4080" s="9">
        <f t="shared" si="264"/>
        <v>0</v>
      </c>
      <c r="I4080" s="10">
        <f t="shared" si="265"/>
        <v>0</v>
      </c>
    </row>
    <row r="4081" spans="1:9" x14ac:dyDescent="0.25">
      <c r="A4081" s="11" t="s">
        <v>9803</v>
      </c>
      <c r="B4081" s="11" t="s">
        <v>9804</v>
      </c>
      <c r="C4081" s="11" t="s">
        <v>1069</v>
      </c>
      <c r="D4081" s="4" t="s">
        <v>1406</v>
      </c>
      <c r="E4081" t="s">
        <v>30</v>
      </c>
      <c r="F4081" s="9">
        <f t="shared" si="262"/>
        <v>0</v>
      </c>
      <c r="G4081" s="9">
        <f t="shared" si="263"/>
        <v>0</v>
      </c>
      <c r="H4081" s="9">
        <f t="shared" si="264"/>
        <v>0</v>
      </c>
      <c r="I4081" s="10">
        <f t="shared" si="265"/>
        <v>0</v>
      </c>
    </row>
    <row r="4082" spans="1:9" x14ac:dyDescent="0.25">
      <c r="A4082" s="11" t="s">
        <v>9805</v>
      </c>
      <c r="B4082" s="11" t="s">
        <v>9806</v>
      </c>
      <c r="C4082" s="11" t="s">
        <v>1069</v>
      </c>
      <c r="D4082" s="4" t="s">
        <v>1406</v>
      </c>
      <c r="E4082" t="s">
        <v>30</v>
      </c>
      <c r="F4082" s="9">
        <f t="shared" si="262"/>
        <v>0</v>
      </c>
      <c r="G4082" s="9">
        <f t="shared" si="263"/>
        <v>0</v>
      </c>
      <c r="H4082" s="9">
        <f t="shared" si="264"/>
        <v>0</v>
      </c>
      <c r="I4082" s="10">
        <f t="shared" si="265"/>
        <v>0</v>
      </c>
    </row>
    <row r="4083" spans="1:9" x14ac:dyDescent="0.25">
      <c r="A4083" s="11" t="s">
        <v>9807</v>
      </c>
      <c r="B4083" s="11" t="s">
        <v>9808</v>
      </c>
      <c r="C4083" s="11" t="s">
        <v>1069</v>
      </c>
      <c r="D4083" s="4" t="s">
        <v>1406</v>
      </c>
      <c r="E4083" t="s">
        <v>30</v>
      </c>
      <c r="F4083" s="9">
        <f t="shared" si="262"/>
        <v>0</v>
      </c>
      <c r="G4083" s="9">
        <f t="shared" si="263"/>
        <v>93</v>
      </c>
      <c r="H4083" s="9">
        <f t="shared" si="264"/>
        <v>0</v>
      </c>
      <c r="I4083" s="10">
        <f t="shared" si="265"/>
        <v>93</v>
      </c>
    </row>
    <row r="4084" spans="1:9" x14ac:dyDescent="0.25">
      <c r="A4084" s="11" t="s">
        <v>9809</v>
      </c>
      <c r="B4084" s="11" t="s">
        <v>9810</v>
      </c>
      <c r="C4084" s="11" t="s">
        <v>1069</v>
      </c>
      <c r="D4084" s="4" t="s">
        <v>1406</v>
      </c>
      <c r="E4084" t="s">
        <v>30</v>
      </c>
      <c r="F4084" s="9">
        <f t="shared" si="262"/>
        <v>0</v>
      </c>
      <c r="G4084" s="9">
        <f t="shared" si="263"/>
        <v>350</v>
      </c>
      <c r="H4084" s="9">
        <f t="shared" si="264"/>
        <v>0</v>
      </c>
      <c r="I4084" s="10">
        <f t="shared" si="265"/>
        <v>350</v>
      </c>
    </row>
    <row r="4085" spans="1:9" x14ac:dyDescent="0.25">
      <c r="A4085" s="11" t="s">
        <v>9811</v>
      </c>
      <c r="B4085" s="11" t="s">
        <v>9812</v>
      </c>
      <c r="C4085" s="11" t="s">
        <v>1069</v>
      </c>
      <c r="D4085" s="4" t="s">
        <v>1406</v>
      </c>
      <c r="E4085" t="s">
        <v>30</v>
      </c>
      <c r="F4085" s="9">
        <f t="shared" si="262"/>
        <v>0</v>
      </c>
      <c r="G4085" s="9">
        <f t="shared" si="263"/>
        <v>0</v>
      </c>
      <c r="H4085" s="9">
        <f t="shared" si="264"/>
        <v>0</v>
      </c>
      <c r="I4085" s="10">
        <f t="shared" si="265"/>
        <v>0</v>
      </c>
    </row>
    <row r="4086" spans="1:9" x14ac:dyDescent="0.25">
      <c r="A4086" s="11" t="s">
        <v>9813</v>
      </c>
      <c r="B4086" s="11" t="s">
        <v>9814</v>
      </c>
      <c r="C4086" s="11" t="s">
        <v>1069</v>
      </c>
      <c r="D4086" s="4" t="s">
        <v>1406</v>
      </c>
      <c r="E4086" t="s">
        <v>30</v>
      </c>
      <c r="F4086" s="9">
        <f t="shared" si="262"/>
        <v>0</v>
      </c>
      <c r="G4086" s="9">
        <f t="shared" si="263"/>
        <v>0</v>
      </c>
      <c r="H4086" s="9">
        <f t="shared" si="264"/>
        <v>0</v>
      </c>
      <c r="I4086" s="10">
        <f t="shared" si="265"/>
        <v>0</v>
      </c>
    </row>
    <row r="4087" spans="1:9" x14ac:dyDescent="0.25">
      <c r="A4087" s="11" t="s">
        <v>9815</v>
      </c>
      <c r="B4087" s="11" t="s">
        <v>9816</v>
      </c>
      <c r="C4087" s="11" t="s">
        <v>1069</v>
      </c>
      <c r="D4087" s="4" t="s">
        <v>1406</v>
      </c>
      <c r="E4087" t="s">
        <v>30</v>
      </c>
      <c r="F4087" s="9">
        <f t="shared" si="262"/>
        <v>0</v>
      </c>
      <c r="G4087" s="9">
        <f t="shared" si="263"/>
        <v>0</v>
      </c>
      <c r="H4087" s="9">
        <f t="shared" si="264"/>
        <v>0</v>
      </c>
      <c r="I4087" s="10">
        <f t="shared" si="265"/>
        <v>0</v>
      </c>
    </row>
    <row r="4088" spans="1:9" x14ac:dyDescent="0.25">
      <c r="A4088" s="11" t="s">
        <v>9817</v>
      </c>
      <c r="B4088" s="11" t="s">
        <v>9818</v>
      </c>
      <c r="C4088" s="11" t="s">
        <v>1069</v>
      </c>
      <c r="D4088" s="4" t="s">
        <v>1406</v>
      </c>
      <c r="E4088" t="s">
        <v>30</v>
      </c>
      <c r="F4088" s="9">
        <f t="shared" si="262"/>
        <v>0</v>
      </c>
      <c r="G4088" s="9">
        <f t="shared" si="263"/>
        <v>0</v>
      </c>
      <c r="H4088" s="9">
        <f t="shared" si="264"/>
        <v>0</v>
      </c>
      <c r="I4088" s="10">
        <f t="shared" si="265"/>
        <v>0</v>
      </c>
    </row>
    <row r="4089" spans="1:9" x14ac:dyDescent="0.25">
      <c r="A4089" s="11" t="s">
        <v>9819</v>
      </c>
      <c r="B4089" s="11" t="s">
        <v>9820</v>
      </c>
      <c r="C4089" s="11" t="s">
        <v>1069</v>
      </c>
      <c r="D4089" s="4" t="s">
        <v>1406</v>
      </c>
      <c r="E4089" t="s">
        <v>30</v>
      </c>
      <c r="F4089" s="9">
        <f t="shared" si="262"/>
        <v>0</v>
      </c>
      <c r="G4089" s="9">
        <f t="shared" si="263"/>
        <v>0</v>
      </c>
      <c r="H4089" s="9">
        <f t="shared" si="264"/>
        <v>0</v>
      </c>
      <c r="I4089" s="10">
        <f t="shared" si="265"/>
        <v>0</v>
      </c>
    </row>
    <row r="4090" spans="1:9" x14ac:dyDescent="0.25">
      <c r="A4090" s="11" t="s">
        <v>9821</v>
      </c>
      <c r="B4090" s="11" t="s">
        <v>9822</v>
      </c>
      <c r="C4090" s="11" t="s">
        <v>1069</v>
      </c>
      <c r="D4090" s="4" t="s">
        <v>1406</v>
      </c>
      <c r="E4090" t="s">
        <v>30</v>
      </c>
      <c r="F4090" s="9">
        <f t="shared" si="262"/>
        <v>0</v>
      </c>
      <c r="G4090" s="9">
        <f t="shared" si="263"/>
        <v>0</v>
      </c>
      <c r="H4090" s="9">
        <f t="shared" si="264"/>
        <v>0</v>
      </c>
      <c r="I4090" s="10">
        <f t="shared" si="265"/>
        <v>0</v>
      </c>
    </row>
    <row r="4091" spans="1:9" x14ac:dyDescent="0.25">
      <c r="A4091" s="11" t="s">
        <v>9823</v>
      </c>
      <c r="B4091" s="11" t="s">
        <v>9824</v>
      </c>
      <c r="C4091" s="11" t="s">
        <v>1069</v>
      </c>
      <c r="D4091" s="4" t="s">
        <v>1406</v>
      </c>
      <c r="E4091" t="s">
        <v>30</v>
      </c>
      <c r="F4091" s="9">
        <f t="shared" si="262"/>
        <v>0</v>
      </c>
      <c r="G4091" s="9">
        <f t="shared" si="263"/>
        <v>0</v>
      </c>
      <c r="H4091" s="9">
        <f t="shared" si="264"/>
        <v>0</v>
      </c>
      <c r="I4091" s="10">
        <f t="shared" si="265"/>
        <v>0</v>
      </c>
    </row>
    <row r="4092" spans="1:9" x14ac:dyDescent="0.25">
      <c r="A4092" s="11" t="s">
        <v>9825</v>
      </c>
      <c r="B4092" s="11" t="s">
        <v>9826</v>
      </c>
      <c r="C4092" s="11" t="s">
        <v>1069</v>
      </c>
      <c r="D4092" s="4" t="s">
        <v>1406</v>
      </c>
      <c r="E4092" t="s">
        <v>30</v>
      </c>
      <c r="F4092" s="9">
        <f t="shared" si="262"/>
        <v>0</v>
      </c>
      <c r="G4092" s="9">
        <f t="shared" si="263"/>
        <v>0</v>
      </c>
      <c r="H4092" s="9">
        <f t="shared" si="264"/>
        <v>0</v>
      </c>
      <c r="I4092" s="10">
        <f t="shared" si="265"/>
        <v>0</v>
      </c>
    </row>
    <row r="4093" spans="1:9" x14ac:dyDescent="0.25">
      <c r="A4093" s="11" t="s">
        <v>9827</v>
      </c>
      <c r="B4093" s="11" t="s">
        <v>9828</v>
      </c>
      <c r="C4093" s="11" t="s">
        <v>1069</v>
      </c>
      <c r="D4093" s="4" t="s">
        <v>1406</v>
      </c>
      <c r="E4093" t="s">
        <v>30</v>
      </c>
      <c r="F4093" s="9">
        <f t="shared" si="262"/>
        <v>0</v>
      </c>
      <c r="G4093" s="9">
        <f t="shared" si="263"/>
        <v>0</v>
      </c>
      <c r="H4093" s="9">
        <f t="shared" si="264"/>
        <v>0</v>
      </c>
      <c r="I4093" s="10">
        <f t="shared" si="265"/>
        <v>0</v>
      </c>
    </row>
    <row r="4094" spans="1:9" x14ac:dyDescent="0.25">
      <c r="A4094" s="11" t="s">
        <v>9829</v>
      </c>
      <c r="B4094" s="11" t="s">
        <v>9830</v>
      </c>
      <c r="C4094" s="11" t="s">
        <v>1069</v>
      </c>
      <c r="D4094" s="4" t="s">
        <v>1406</v>
      </c>
      <c r="E4094" t="s">
        <v>30</v>
      </c>
      <c r="F4094" s="9">
        <f t="shared" si="262"/>
        <v>0</v>
      </c>
      <c r="G4094" s="9">
        <f t="shared" si="263"/>
        <v>0</v>
      </c>
      <c r="H4094" s="9">
        <f t="shared" si="264"/>
        <v>0</v>
      </c>
      <c r="I4094" s="10">
        <f t="shared" si="265"/>
        <v>0</v>
      </c>
    </row>
    <row r="4095" spans="1:9" x14ac:dyDescent="0.25">
      <c r="A4095" s="11" t="s">
        <v>9831</v>
      </c>
      <c r="B4095" s="11" t="s">
        <v>9832</v>
      </c>
      <c r="C4095" s="11" t="s">
        <v>1069</v>
      </c>
      <c r="D4095" s="4" t="s">
        <v>1406</v>
      </c>
      <c r="E4095" t="s">
        <v>30</v>
      </c>
      <c r="F4095" s="9">
        <f t="shared" si="262"/>
        <v>0</v>
      </c>
      <c r="G4095" s="9">
        <f t="shared" si="263"/>
        <v>0</v>
      </c>
      <c r="H4095" s="9">
        <f t="shared" si="264"/>
        <v>0</v>
      </c>
      <c r="I4095" s="10">
        <f t="shared" si="265"/>
        <v>0</v>
      </c>
    </row>
    <row r="4096" spans="1:9" x14ac:dyDescent="0.25">
      <c r="A4096" s="11" t="s">
        <v>9833</v>
      </c>
      <c r="B4096" s="11" t="s">
        <v>9834</v>
      </c>
      <c r="C4096" s="11" t="s">
        <v>1069</v>
      </c>
      <c r="D4096" s="4" t="s">
        <v>1406</v>
      </c>
      <c r="E4096" t="s">
        <v>30</v>
      </c>
      <c r="F4096" s="9">
        <f t="shared" si="262"/>
        <v>0</v>
      </c>
      <c r="G4096" s="9">
        <f t="shared" si="263"/>
        <v>0</v>
      </c>
      <c r="H4096" s="9">
        <f t="shared" si="264"/>
        <v>0</v>
      </c>
      <c r="I4096" s="10">
        <f t="shared" si="265"/>
        <v>0</v>
      </c>
    </row>
    <row r="4097" spans="1:9" x14ac:dyDescent="0.25">
      <c r="A4097" s="11" t="s">
        <v>9835</v>
      </c>
      <c r="B4097" s="11" t="s">
        <v>9836</v>
      </c>
      <c r="C4097" s="11" t="s">
        <v>1069</v>
      </c>
      <c r="D4097" s="4" t="s">
        <v>1406</v>
      </c>
      <c r="E4097" t="s">
        <v>30</v>
      </c>
      <c r="F4097" s="9">
        <f t="shared" si="262"/>
        <v>0</v>
      </c>
      <c r="G4097" s="9">
        <f t="shared" si="263"/>
        <v>0</v>
      </c>
      <c r="H4097" s="9">
        <f t="shared" si="264"/>
        <v>0</v>
      </c>
      <c r="I4097" s="10">
        <f t="shared" si="265"/>
        <v>0</v>
      </c>
    </row>
    <row r="4098" spans="1:9" x14ac:dyDescent="0.25">
      <c r="A4098" s="11" t="s">
        <v>9837</v>
      </c>
      <c r="B4098" s="11" t="s">
        <v>9838</v>
      </c>
      <c r="C4098" s="11" t="s">
        <v>1069</v>
      </c>
      <c r="D4098" s="4" t="s">
        <v>1406</v>
      </c>
      <c r="E4098" t="s">
        <v>30</v>
      </c>
      <c r="F4098" s="9">
        <f t="shared" si="262"/>
        <v>0</v>
      </c>
      <c r="G4098" s="9">
        <f t="shared" si="263"/>
        <v>0</v>
      </c>
      <c r="H4098" s="9">
        <f t="shared" si="264"/>
        <v>0</v>
      </c>
      <c r="I4098" s="10">
        <f t="shared" si="265"/>
        <v>0</v>
      </c>
    </row>
    <row r="4099" spans="1:9" x14ac:dyDescent="0.25">
      <c r="A4099" s="11" t="s">
        <v>9839</v>
      </c>
      <c r="B4099" s="11" t="s">
        <v>9840</v>
      </c>
      <c r="C4099" s="11" t="s">
        <v>1069</v>
      </c>
      <c r="D4099" s="4" t="s">
        <v>1406</v>
      </c>
      <c r="E4099" t="s">
        <v>30</v>
      </c>
      <c r="F4099" s="9">
        <f t="shared" si="262"/>
        <v>0</v>
      </c>
      <c r="G4099" s="9">
        <f t="shared" si="263"/>
        <v>0</v>
      </c>
      <c r="H4099" s="9">
        <f t="shared" si="264"/>
        <v>0</v>
      </c>
      <c r="I4099" s="10">
        <f t="shared" si="265"/>
        <v>0</v>
      </c>
    </row>
    <row r="4100" spans="1:9" x14ac:dyDescent="0.25">
      <c r="A4100" s="11" t="s">
        <v>9841</v>
      </c>
      <c r="B4100" s="11" t="s">
        <v>9842</v>
      </c>
      <c r="C4100" s="11" t="s">
        <v>1069</v>
      </c>
      <c r="D4100" s="4" t="s">
        <v>1406</v>
      </c>
      <c r="E4100" t="s">
        <v>30</v>
      </c>
      <c r="F4100" s="9">
        <f t="shared" si="262"/>
        <v>0</v>
      </c>
      <c r="G4100" s="9">
        <f t="shared" si="263"/>
        <v>0</v>
      </c>
      <c r="H4100" s="9">
        <f t="shared" si="264"/>
        <v>0</v>
      </c>
      <c r="I4100" s="10">
        <f t="shared" si="265"/>
        <v>0</v>
      </c>
    </row>
    <row r="4101" spans="1:9" x14ac:dyDescent="0.25">
      <c r="A4101" s="11" t="s">
        <v>9843</v>
      </c>
      <c r="B4101" s="11" t="s">
        <v>9844</v>
      </c>
      <c r="C4101" s="11" t="s">
        <v>1069</v>
      </c>
      <c r="D4101" s="4" t="s">
        <v>1406</v>
      </c>
      <c r="E4101" t="s">
        <v>30</v>
      </c>
      <c r="F4101" s="9">
        <f t="shared" si="262"/>
        <v>0</v>
      </c>
      <c r="G4101" s="9">
        <f t="shared" si="263"/>
        <v>0</v>
      </c>
      <c r="H4101" s="9">
        <f t="shared" si="264"/>
        <v>0</v>
      </c>
      <c r="I4101" s="10">
        <f t="shared" si="265"/>
        <v>0</v>
      </c>
    </row>
    <row r="4102" spans="1:9" x14ac:dyDescent="0.25">
      <c r="A4102" s="11" t="s">
        <v>9845</v>
      </c>
      <c r="B4102" s="11" t="s">
        <v>9846</v>
      </c>
      <c r="C4102" s="11" t="s">
        <v>1069</v>
      </c>
      <c r="D4102" s="4" t="s">
        <v>1406</v>
      </c>
      <c r="E4102" t="s">
        <v>30</v>
      </c>
      <c r="F4102" s="9">
        <f t="shared" si="262"/>
        <v>0</v>
      </c>
      <c r="G4102" s="9">
        <f t="shared" si="263"/>
        <v>0</v>
      </c>
      <c r="H4102" s="9">
        <f t="shared" si="264"/>
        <v>0</v>
      </c>
      <c r="I4102" s="10">
        <f t="shared" si="265"/>
        <v>0</v>
      </c>
    </row>
    <row r="4103" spans="1:9" x14ac:dyDescent="0.25">
      <c r="A4103" s="11" t="s">
        <v>9847</v>
      </c>
      <c r="B4103" s="11" t="s">
        <v>9848</v>
      </c>
      <c r="C4103" s="11" t="s">
        <v>1069</v>
      </c>
      <c r="D4103" s="4" t="s">
        <v>1406</v>
      </c>
      <c r="E4103" t="s">
        <v>30</v>
      </c>
      <c r="F4103" s="9">
        <f t="shared" si="262"/>
        <v>0</v>
      </c>
      <c r="G4103" s="9">
        <f t="shared" si="263"/>
        <v>0</v>
      </c>
      <c r="H4103" s="9">
        <f t="shared" si="264"/>
        <v>0</v>
      </c>
      <c r="I4103" s="10">
        <f t="shared" si="265"/>
        <v>0</v>
      </c>
    </row>
    <row r="4104" spans="1:9" x14ac:dyDescent="0.25">
      <c r="A4104" s="11" t="s">
        <v>9849</v>
      </c>
      <c r="B4104" s="11" t="s">
        <v>9850</v>
      </c>
      <c r="C4104" s="11" t="s">
        <v>1069</v>
      </c>
      <c r="D4104" s="4" t="s">
        <v>1406</v>
      </c>
      <c r="E4104" t="s">
        <v>30</v>
      </c>
      <c r="F4104" s="9">
        <f t="shared" si="262"/>
        <v>0</v>
      </c>
      <c r="G4104" s="9">
        <f t="shared" si="263"/>
        <v>0</v>
      </c>
      <c r="H4104" s="9">
        <f t="shared" si="264"/>
        <v>0</v>
      </c>
      <c r="I4104" s="10">
        <f t="shared" si="265"/>
        <v>0</v>
      </c>
    </row>
    <row r="4105" spans="1:9" x14ac:dyDescent="0.25">
      <c r="A4105" s="11" t="s">
        <v>9851</v>
      </c>
      <c r="B4105" s="11" t="s">
        <v>9852</v>
      </c>
      <c r="C4105" s="11" t="s">
        <v>1069</v>
      </c>
      <c r="D4105" s="4" t="s">
        <v>1406</v>
      </c>
      <c r="E4105" t="s">
        <v>30</v>
      </c>
      <c r="F4105" s="9">
        <f t="shared" si="262"/>
        <v>0</v>
      </c>
      <c r="G4105" s="9">
        <f t="shared" si="263"/>
        <v>0</v>
      </c>
      <c r="H4105" s="9">
        <f t="shared" si="264"/>
        <v>0</v>
      </c>
      <c r="I4105" s="10">
        <f t="shared" si="265"/>
        <v>0</v>
      </c>
    </row>
    <row r="4106" spans="1:9" x14ac:dyDescent="0.25">
      <c r="A4106" s="11" t="s">
        <v>9853</v>
      </c>
      <c r="B4106" s="11" t="s">
        <v>9854</v>
      </c>
      <c r="C4106" s="11" t="s">
        <v>1069</v>
      </c>
      <c r="D4106" s="4" t="s">
        <v>1406</v>
      </c>
      <c r="E4106" t="s">
        <v>30</v>
      </c>
      <c r="F4106" s="9">
        <f t="shared" si="262"/>
        <v>0</v>
      </c>
      <c r="G4106" s="9">
        <f t="shared" si="263"/>
        <v>0</v>
      </c>
      <c r="H4106" s="9">
        <f t="shared" si="264"/>
        <v>0</v>
      </c>
      <c r="I4106" s="10">
        <f t="shared" si="265"/>
        <v>0</v>
      </c>
    </row>
    <row r="4107" spans="1:9" x14ac:dyDescent="0.25">
      <c r="A4107" s="11" t="s">
        <v>9855</v>
      </c>
      <c r="B4107" s="11" t="s">
        <v>9856</v>
      </c>
      <c r="C4107" s="11" t="s">
        <v>1069</v>
      </c>
      <c r="D4107" s="4" t="s">
        <v>1406</v>
      </c>
      <c r="E4107" t="s">
        <v>30</v>
      </c>
      <c r="F4107" s="9">
        <f t="shared" si="262"/>
        <v>0</v>
      </c>
      <c r="G4107" s="9">
        <f t="shared" si="263"/>
        <v>0</v>
      </c>
      <c r="H4107" s="9">
        <f t="shared" si="264"/>
        <v>0</v>
      </c>
      <c r="I4107" s="10">
        <f t="shared" si="265"/>
        <v>0</v>
      </c>
    </row>
    <row r="4108" spans="1:9" x14ac:dyDescent="0.25">
      <c r="A4108" s="11" t="s">
        <v>9857</v>
      </c>
      <c r="B4108" s="11" t="s">
        <v>9858</v>
      </c>
      <c r="C4108" s="11" t="s">
        <v>1069</v>
      </c>
      <c r="D4108" s="4" t="s">
        <v>1406</v>
      </c>
      <c r="E4108" t="s">
        <v>30</v>
      </c>
      <c r="F4108" s="9">
        <f t="shared" si="262"/>
        <v>0</v>
      </c>
      <c r="G4108" s="9">
        <f t="shared" si="263"/>
        <v>0</v>
      </c>
      <c r="H4108" s="9">
        <f t="shared" si="264"/>
        <v>0</v>
      </c>
      <c r="I4108" s="10">
        <f t="shared" si="265"/>
        <v>0</v>
      </c>
    </row>
    <row r="4109" spans="1:9" x14ac:dyDescent="0.25">
      <c r="A4109" s="11" t="s">
        <v>9859</v>
      </c>
      <c r="B4109" s="11" t="s">
        <v>9860</v>
      </c>
      <c r="C4109" s="11" t="s">
        <v>1069</v>
      </c>
      <c r="D4109" s="4" t="s">
        <v>1406</v>
      </c>
      <c r="E4109" t="s">
        <v>30</v>
      </c>
      <c r="F4109" s="9">
        <f t="shared" si="262"/>
        <v>0</v>
      </c>
      <c r="G4109" s="9">
        <f t="shared" si="263"/>
        <v>0</v>
      </c>
      <c r="H4109" s="9">
        <f t="shared" si="264"/>
        <v>0</v>
      </c>
      <c r="I4109" s="10">
        <f t="shared" si="265"/>
        <v>0</v>
      </c>
    </row>
    <row r="4110" spans="1:9" x14ac:dyDescent="0.25">
      <c r="A4110" s="11" t="s">
        <v>9861</v>
      </c>
      <c r="B4110" s="11" t="s">
        <v>9862</v>
      </c>
      <c r="C4110" s="11" t="s">
        <v>1069</v>
      </c>
      <c r="D4110" s="4" t="s">
        <v>1406</v>
      </c>
      <c r="E4110" t="s">
        <v>30</v>
      </c>
      <c r="F4110" s="9">
        <f t="shared" si="262"/>
        <v>0</v>
      </c>
      <c r="G4110" s="9">
        <f t="shared" si="263"/>
        <v>0</v>
      </c>
      <c r="H4110" s="9">
        <f t="shared" si="264"/>
        <v>0</v>
      </c>
      <c r="I4110" s="10">
        <f t="shared" si="265"/>
        <v>0</v>
      </c>
    </row>
    <row r="4111" spans="1:9" x14ac:dyDescent="0.25">
      <c r="A4111" s="11" t="s">
        <v>9863</v>
      </c>
      <c r="B4111" s="11" t="s">
        <v>9864</v>
      </c>
      <c r="C4111" s="11" t="s">
        <v>1069</v>
      </c>
      <c r="D4111" s="4" t="s">
        <v>1406</v>
      </c>
      <c r="E4111" t="s">
        <v>30</v>
      </c>
      <c r="F4111" s="9">
        <f t="shared" si="262"/>
        <v>0</v>
      </c>
      <c r="G4111" s="9">
        <f t="shared" si="263"/>
        <v>0</v>
      </c>
      <c r="H4111" s="9">
        <f t="shared" si="264"/>
        <v>0</v>
      </c>
      <c r="I4111" s="10">
        <f t="shared" si="265"/>
        <v>0</v>
      </c>
    </row>
    <row r="4112" spans="1:9" x14ac:dyDescent="0.25">
      <c r="A4112" s="11" t="s">
        <v>9865</v>
      </c>
      <c r="B4112" s="11" t="s">
        <v>9866</v>
      </c>
      <c r="C4112" s="11" t="s">
        <v>1069</v>
      </c>
      <c r="D4112" s="4" t="s">
        <v>1406</v>
      </c>
      <c r="E4112" t="s">
        <v>30</v>
      </c>
      <c r="F4112" s="9">
        <f t="shared" si="262"/>
        <v>0</v>
      </c>
      <c r="G4112" s="9">
        <f t="shared" si="263"/>
        <v>0</v>
      </c>
      <c r="H4112" s="9">
        <f t="shared" si="264"/>
        <v>0</v>
      </c>
      <c r="I4112" s="10">
        <f t="shared" si="265"/>
        <v>0</v>
      </c>
    </row>
    <row r="4113" spans="1:9" x14ac:dyDescent="0.25">
      <c r="A4113" s="11" t="s">
        <v>9867</v>
      </c>
      <c r="B4113" s="11" t="s">
        <v>9868</v>
      </c>
      <c r="C4113" s="11" t="s">
        <v>1069</v>
      </c>
      <c r="D4113" s="4" t="s">
        <v>1406</v>
      </c>
      <c r="E4113" t="s">
        <v>30</v>
      </c>
      <c r="F4113" s="9">
        <f t="shared" si="262"/>
        <v>0</v>
      </c>
      <c r="G4113" s="9">
        <f t="shared" si="263"/>
        <v>0</v>
      </c>
      <c r="H4113" s="9">
        <f t="shared" si="264"/>
        <v>0</v>
      </c>
      <c r="I4113" s="10">
        <f t="shared" si="265"/>
        <v>0</v>
      </c>
    </row>
    <row r="4114" spans="1:9" x14ac:dyDescent="0.25">
      <c r="A4114" s="11" t="s">
        <v>9869</v>
      </c>
      <c r="B4114" s="11" t="s">
        <v>9870</v>
      </c>
      <c r="C4114" s="11" t="s">
        <v>1069</v>
      </c>
      <c r="D4114" s="4" t="s">
        <v>1406</v>
      </c>
      <c r="E4114" t="s">
        <v>30</v>
      </c>
      <c r="F4114" s="9">
        <f t="shared" si="262"/>
        <v>0</v>
      </c>
      <c r="G4114" s="9">
        <f t="shared" si="263"/>
        <v>0</v>
      </c>
      <c r="H4114" s="9">
        <f t="shared" si="264"/>
        <v>0</v>
      </c>
      <c r="I4114" s="10">
        <f t="shared" si="265"/>
        <v>0</v>
      </c>
    </row>
    <row r="4115" spans="1:9" x14ac:dyDescent="0.25">
      <c r="A4115" s="11" t="s">
        <v>9871</v>
      </c>
      <c r="B4115" s="11" t="s">
        <v>9872</v>
      </c>
      <c r="C4115" s="11" t="s">
        <v>1069</v>
      </c>
      <c r="D4115" s="4" t="s">
        <v>1406</v>
      </c>
      <c r="E4115" t="s">
        <v>30</v>
      </c>
      <c r="F4115" s="9">
        <f t="shared" si="262"/>
        <v>0</v>
      </c>
      <c r="G4115" s="9">
        <f t="shared" si="263"/>
        <v>0</v>
      </c>
      <c r="H4115" s="9">
        <f t="shared" si="264"/>
        <v>0</v>
      </c>
      <c r="I4115" s="10">
        <f t="shared" si="265"/>
        <v>0</v>
      </c>
    </row>
    <row r="4116" spans="1:9" x14ac:dyDescent="0.25">
      <c r="A4116" s="11" t="s">
        <v>9873</v>
      </c>
      <c r="B4116" s="11" t="s">
        <v>9874</v>
      </c>
      <c r="C4116" s="11" t="s">
        <v>1069</v>
      </c>
      <c r="D4116" s="4" t="s">
        <v>1406</v>
      </c>
      <c r="E4116" t="s">
        <v>30</v>
      </c>
      <c r="F4116" s="9">
        <f t="shared" si="262"/>
        <v>0</v>
      </c>
      <c r="G4116" s="9">
        <f t="shared" si="263"/>
        <v>0</v>
      </c>
      <c r="H4116" s="9">
        <f t="shared" si="264"/>
        <v>0</v>
      </c>
      <c r="I4116" s="10">
        <f t="shared" si="265"/>
        <v>0</v>
      </c>
    </row>
    <row r="4117" spans="1:9" x14ac:dyDescent="0.25">
      <c r="A4117" s="11" t="s">
        <v>9875</v>
      </c>
      <c r="B4117" s="11" t="s">
        <v>9876</v>
      </c>
      <c r="C4117" s="11" t="s">
        <v>1069</v>
      </c>
      <c r="D4117" s="4" t="s">
        <v>1406</v>
      </c>
      <c r="E4117" t="s">
        <v>30</v>
      </c>
      <c r="F4117" s="9">
        <f t="shared" si="262"/>
        <v>0</v>
      </c>
      <c r="G4117" s="9">
        <f t="shared" si="263"/>
        <v>0</v>
      </c>
      <c r="H4117" s="9">
        <f t="shared" si="264"/>
        <v>0</v>
      </c>
      <c r="I4117" s="10">
        <f t="shared" si="265"/>
        <v>0</v>
      </c>
    </row>
    <row r="4118" spans="1:9" x14ac:dyDescent="0.25">
      <c r="A4118" s="11" t="s">
        <v>9877</v>
      </c>
      <c r="B4118" s="11" t="s">
        <v>9878</v>
      </c>
      <c r="C4118" s="11" t="s">
        <v>1069</v>
      </c>
      <c r="D4118" s="4" t="s">
        <v>1406</v>
      </c>
      <c r="E4118" t="s">
        <v>30</v>
      </c>
      <c r="F4118" s="9">
        <f t="shared" si="262"/>
        <v>0</v>
      </c>
      <c r="G4118" s="9">
        <f t="shared" si="263"/>
        <v>0</v>
      </c>
      <c r="H4118" s="9">
        <f t="shared" si="264"/>
        <v>0</v>
      </c>
      <c r="I4118" s="10">
        <f t="shared" si="265"/>
        <v>0</v>
      </c>
    </row>
    <row r="4119" spans="1:9" x14ac:dyDescent="0.25">
      <c r="A4119" s="11" t="s">
        <v>9879</v>
      </c>
      <c r="B4119" s="11" t="s">
        <v>9880</v>
      </c>
      <c r="C4119" s="11" t="s">
        <v>1069</v>
      </c>
      <c r="D4119" s="4" t="s">
        <v>1406</v>
      </c>
      <c r="E4119" t="s">
        <v>30</v>
      </c>
      <c r="F4119" s="9">
        <f t="shared" si="262"/>
        <v>0</v>
      </c>
      <c r="G4119" s="9">
        <f t="shared" si="263"/>
        <v>0</v>
      </c>
      <c r="H4119" s="9">
        <f t="shared" si="264"/>
        <v>0</v>
      </c>
      <c r="I4119" s="10">
        <f t="shared" si="265"/>
        <v>0</v>
      </c>
    </row>
    <row r="4120" spans="1:9" x14ac:dyDescent="0.25">
      <c r="A4120" s="11" t="s">
        <v>9881</v>
      </c>
      <c r="B4120" s="11" t="s">
        <v>9882</v>
      </c>
      <c r="C4120" s="11" t="s">
        <v>1069</v>
      </c>
      <c r="D4120" s="4" t="s">
        <v>1406</v>
      </c>
      <c r="E4120" t="s">
        <v>30</v>
      </c>
      <c r="F4120" s="9">
        <f t="shared" si="262"/>
        <v>0</v>
      </c>
      <c r="G4120" s="9">
        <f t="shared" si="263"/>
        <v>0</v>
      </c>
      <c r="H4120" s="9">
        <f t="shared" si="264"/>
        <v>0</v>
      </c>
      <c r="I4120" s="10">
        <f t="shared" si="265"/>
        <v>0</v>
      </c>
    </row>
    <row r="4121" spans="1:9" x14ac:dyDescent="0.25">
      <c r="A4121" s="11" t="s">
        <v>9883</v>
      </c>
      <c r="B4121" s="11" t="s">
        <v>9884</v>
      </c>
      <c r="C4121" s="11" t="s">
        <v>1069</v>
      </c>
      <c r="D4121" s="4" t="s">
        <v>1406</v>
      </c>
      <c r="E4121" t="s">
        <v>30</v>
      </c>
      <c r="F4121" s="9">
        <f t="shared" si="262"/>
        <v>0</v>
      </c>
      <c r="G4121" s="9">
        <f t="shared" si="263"/>
        <v>0</v>
      </c>
      <c r="H4121" s="9">
        <f t="shared" si="264"/>
        <v>0</v>
      </c>
      <c r="I4121" s="10">
        <f t="shared" si="265"/>
        <v>0</v>
      </c>
    </row>
    <row r="4122" spans="1:9" x14ac:dyDescent="0.25">
      <c r="A4122" s="11" t="s">
        <v>9885</v>
      </c>
      <c r="B4122" s="11" t="s">
        <v>9886</v>
      </c>
      <c r="C4122" s="11" t="s">
        <v>1069</v>
      </c>
      <c r="D4122" s="4" t="s">
        <v>1406</v>
      </c>
      <c r="E4122" t="s">
        <v>30</v>
      </c>
      <c r="F4122" s="9">
        <f t="shared" si="262"/>
        <v>0</v>
      </c>
      <c r="G4122" s="9">
        <f t="shared" si="263"/>
        <v>0</v>
      </c>
      <c r="H4122" s="9">
        <f t="shared" si="264"/>
        <v>0</v>
      </c>
      <c r="I4122" s="10">
        <f t="shared" si="265"/>
        <v>0</v>
      </c>
    </row>
    <row r="4123" spans="1:9" x14ac:dyDescent="0.25">
      <c r="A4123" s="11" t="s">
        <v>9887</v>
      </c>
      <c r="B4123" s="11" t="s">
        <v>9888</v>
      </c>
      <c r="C4123" s="11" t="s">
        <v>1069</v>
      </c>
      <c r="D4123" s="4" t="s">
        <v>1406</v>
      </c>
      <c r="E4123" t="s">
        <v>30</v>
      </c>
      <c r="F4123" s="9">
        <f t="shared" si="262"/>
        <v>0</v>
      </c>
      <c r="G4123" s="9">
        <f t="shared" si="263"/>
        <v>0</v>
      </c>
      <c r="H4123" s="9">
        <f t="shared" si="264"/>
        <v>0</v>
      </c>
      <c r="I4123" s="10">
        <f t="shared" si="265"/>
        <v>0</v>
      </c>
    </row>
    <row r="4124" spans="1:9" x14ac:dyDescent="0.25">
      <c r="A4124" s="11" t="s">
        <v>9889</v>
      </c>
      <c r="B4124" s="11" t="s">
        <v>9890</v>
      </c>
      <c r="C4124" s="11" t="s">
        <v>1069</v>
      </c>
      <c r="D4124" s="4" t="s">
        <v>1406</v>
      </c>
      <c r="E4124" t="s">
        <v>30</v>
      </c>
      <c r="F4124" s="9">
        <f t="shared" si="262"/>
        <v>0</v>
      </c>
      <c r="G4124" s="9">
        <f t="shared" si="263"/>
        <v>0</v>
      </c>
      <c r="H4124" s="9">
        <f t="shared" si="264"/>
        <v>0</v>
      </c>
      <c r="I4124" s="10">
        <f t="shared" si="265"/>
        <v>0</v>
      </c>
    </row>
    <row r="4125" spans="1:9" x14ac:dyDescent="0.25">
      <c r="A4125" s="11" t="s">
        <v>9891</v>
      </c>
      <c r="B4125" s="11" t="s">
        <v>9892</v>
      </c>
      <c r="C4125" s="11" t="s">
        <v>1069</v>
      </c>
      <c r="D4125" s="4" t="s">
        <v>1406</v>
      </c>
      <c r="E4125" t="s">
        <v>30</v>
      </c>
      <c r="F4125" s="9">
        <f t="shared" si="262"/>
        <v>0</v>
      </c>
      <c r="G4125" s="9">
        <f t="shared" si="263"/>
        <v>0</v>
      </c>
      <c r="H4125" s="9">
        <f t="shared" si="264"/>
        <v>0</v>
      </c>
      <c r="I4125" s="10">
        <f t="shared" si="265"/>
        <v>0</v>
      </c>
    </row>
    <row r="4126" spans="1:9" x14ac:dyDescent="0.25">
      <c r="A4126" s="11" t="s">
        <v>9893</v>
      </c>
      <c r="B4126" s="11" t="s">
        <v>9894</v>
      </c>
      <c r="C4126" s="11" t="s">
        <v>1069</v>
      </c>
      <c r="D4126" s="4" t="s">
        <v>1406</v>
      </c>
      <c r="E4126" t="s">
        <v>30</v>
      </c>
      <c r="F4126" s="9">
        <f t="shared" si="262"/>
        <v>0</v>
      </c>
      <c r="G4126" s="9">
        <f t="shared" si="263"/>
        <v>0</v>
      </c>
      <c r="H4126" s="9">
        <f t="shared" si="264"/>
        <v>0</v>
      </c>
      <c r="I4126" s="10">
        <f t="shared" si="265"/>
        <v>0</v>
      </c>
    </row>
    <row r="4127" spans="1:9" x14ac:dyDescent="0.25">
      <c r="A4127" s="11" t="s">
        <v>9895</v>
      </c>
      <c r="B4127" s="11" t="s">
        <v>9896</v>
      </c>
      <c r="C4127" s="11" t="s">
        <v>1069</v>
      </c>
      <c r="D4127" s="4" t="s">
        <v>1406</v>
      </c>
      <c r="E4127" t="s">
        <v>30</v>
      </c>
      <c r="F4127" s="9">
        <f t="shared" si="262"/>
        <v>0</v>
      </c>
      <c r="G4127" s="9">
        <f t="shared" si="263"/>
        <v>0</v>
      </c>
      <c r="H4127" s="9">
        <f t="shared" si="264"/>
        <v>0</v>
      </c>
      <c r="I4127" s="10">
        <f t="shared" si="265"/>
        <v>0</v>
      </c>
    </row>
    <row r="4128" spans="1:9" x14ac:dyDescent="0.25">
      <c r="A4128" s="11" t="s">
        <v>9897</v>
      </c>
      <c r="B4128" s="11" t="s">
        <v>9898</v>
      </c>
      <c r="C4128" s="11" t="s">
        <v>28</v>
      </c>
      <c r="D4128" s="4" t="s">
        <v>1406</v>
      </c>
      <c r="E4128" t="s">
        <v>30</v>
      </c>
      <c r="F4128" s="9">
        <f t="shared" si="262"/>
        <v>0</v>
      </c>
      <c r="G4128" s="9">
        <f t="shared" si="263"/>
        <v>0</v>
      </c>
      <c r="H4128" s="9">
        <f t="shared" si="264"/>
        <v>0</v>
      </c>
      <c r="I4128" s="10">
        <f t="shared" si="265"/>
        <v>0</v>
      </c>
    </row>
    <row r="4129" spans="1:9" x14ac:dyDescent="0.25">
      <c r="A4129" s="11" t="s">
        <v>9899</v>
      </c>
      <c r="B4129" s="11" t="s">
        <v>9900</v>
      </c>
      <c r="C4129" s="11" t="s">
        <v>28</v>
      </c>
      <c r="D4129" s="4" t="s">
        <v>1406</v>
      </c>
      <c r="E4129" t="s">
        <v>30</v>
      </c>
      <c r="F4129" s="9">
        <f t="shared" si="262"/>
        <v>0</v>
      </c>
      <c r="G4129" s="9">
        <f t="shared" si="263"/>
        <v>0</v>
      </c>
      <c r="H4129" s="9">
        <f t="shared" si="264"/>
        <v>0</v>
      </c>
      <c r="I4129" s="10">
        <f t="shared" si="265"/>
        <v>0</v>
      </c>
    </row>
    <row r="4130" spans="1:9" x14ac:dyDescent="0.25">
      <c r="A4130" s="11" t="s">
        <v>9901</v>
      </c>
      <c r="B4130" s="11" t="s">
        <v>9902</v>
      </c>
      <c r="C4130" s="11" t="s">
        <v>28</v>
      </c>
      <c r="D4130" s="4" t="s">
        <v>1406</v>
      </c>
      <c r="E4130" t="s">
        <v>30</v>
      </c>
      <c r="F4130" s="9">
        <f t="shared" si="262"/>
        <v>0</v>
      </c>
      <c r="G4130" s="9">
        <f t="shared" si="263"/>
        <v>0</v>
      </c>
      <c r="H4130" s="9">
        <f t="shared" si="264"/>
        <v>0</v>
      </c>
      <c r="I4130" s="10">
        <f t="shared" si="265"/>
        <v>0</v>
      </c>
    </row>
    <row r="4131" spans="1:9" x14ac:dyDescent="0.25">
      <c r="A4131" s="11" t="s">
        <v>9903</v>
      </c>
      <c r="B4131" s="11" t="s">
        <v>9904</v>
      </c>
      <c r="C4131" s="11" t="s">
        <v>28</v>
      </c>
      <c r="D4131" s="4" t="s">
        <v>1406</v>
      </c>
      <c r="E4131" t="s">
        <v>30</v>
      </c>
      <c r="F4131" s="9">
        <f t="shared" si="262"/>
        <v>0</v>
      </c>
      <c r="G4131" s="9">
        <f t="shared" si="263"/>
        <v>0</v>
      </c>
      <c r="H4131" s="9">
        <f t="shared" si="264"/>
        <v>0</v>
      </c>
      <c r="I4131" s="10">
        <f t="shared" si="265"/>
        <v>0</v>
      </c>
    </row>
    <row r="4132" spans="1:9" x14ac:dyDescent="0.25">
      <c r="A4132" s="11" t="s">
        <v>9905</v>
      </c>
      <c r="B4132" s="11" t="s">
        <v>9906</v>
      </c>
      <c r="C4132" s="11" t="s">
        <v>28</v>
      </c>
      <c r="D4132" s="4" t="s">
        <v>1406</v>
      </c>
      <c r="E4132" t="s">
        <v>30</v>
      </c>
      <c r="F4132" s="9">
        <f t="shared" si="262"/>
        <v>0</v>
      </c>
      <c r="G4132" s="9">
        <f t="shared" si="263"/>
        <v>0</v>
      </c>
      <c r="H4132" s="9">
        <f t="shared" si="264"/>
        <v>0</v>
      </c>
      <c r="I4132" s="10">
        <f t="shared" si="265"/>
        <v>0</v>
      </c>
    </row>
    <row r="4133" spans="1:9" x14ac:dyDescent="0.25">
      <c r="A4133" s="11" t="s">
        <v>9907</v>
      </c>
      <c r="B4133" s="11" t="s">
        <v>9908</v>
      </c>
      <c r="C4133" s="11" t="s">
        <v>28</v>
      </c>
      <c r="D4133" s="4" t="s">
        <v>1406</v>
      </c>
      <c r="E4133" t="s">
        <v>30</v>
      </c>
      <c r="F4133" s="9">
        <f t="shared" si="262"/>
        <v>0</v>
      </c>
      <c r="G4133" s="9">
        <f t="shared" si="263"/>
        <v>0</v>
      </c>
      <c r="H4133" s="9">
        <f t="shared" si="264"/>
        <v>0</v>
      </c>
      <c r="I4133" s="10">
        <f t="shared" si="265"/>
        <v>0</v>
      </c>
    </row>
    <row r="4134" spans="1:9" x14ac:dyDescent="0.25">
      <c r="A4134" s="11" t="s">
        <v>9909</v>
      </c>
      <c r="B4134" s="11" t="s">
        <v>3454</v>
      </c>
      <c r="C4134" s="11" t="s">
        <v>28</v>
      </c>
      <c r="D4134" s="4" t="s">
        <v>1406</v>
      </c>
      <c r="E4134" t="s">
        <v>30</v>
      </c>
      <c r="F4134" s="9">
        <f t="shared" si="262"/>
        <v>0</v>
      </c>
      <c r="G4134" s="9">
        <f t="shared" si="263"/>
        <v>0</v>
      </c>
      <c r="H4134" s="9">
        <f t="shared" si="264"/>
        <v>0</v>
      </c>
      <c r="I4134" s="10">
        <f t="shared" si="265"/>
        <v>0</v>
      </c>
    </row>
    <row r="4135" spans="1:9" x14ac:dyDescent="0.25">
      <c r="A4135" s="11" t="s">
        <v>9910</v>
      </c>
      <c r="B4135" s="11" t="s">
        <v>9911</v>
      </c>
      <c r="C4135" s="11" t="s">
        <v>28</v>
      </c>
      <c r="D4135" s="4" t="s">
        <v>1406</v>
      </c>
      <c r="E4135" t="s">
        <v>30</v>
      </c>
      <c r="F4135" s="9">
        <f t="shared" si="262"/>
        <v>0</v>
      </c>
      <c r="G4135" s="9">
        <f t="shared" si="263"/>
        <v>0</v>
      </c>
      <c r="H4135" s="9">
        <f t="shared" si="264"/>
        <v>0</v>
      </c>
      <c r="I4135" s="10">
        <f t="shared" si="265"/>
        <v>0</v>
      </c>
    </row>
    <row r="4136" spans="1:9" x14ac:dyDescent="0.25">
      <c r="A4136" s="11" t="s">
        <v>9912</v>
      </c>
      <c r="B4136" s="11" t="s">
        <v>9913</v>
      </c>
      <c r="C4136" s="11" t="s">
        <v>28</v>
      </c>
      <c r="D4136" s="4" t="s">
        <v>1406</v>
      </c>
      <c r="E4136" t="s">
        <v>30</v>
      </c>
      <c r="F4136" s="9">
        <f t="shared" si="262"/>
        <v>0</v>
      </c>
      <c r="G4136" s="9">
        <f t="shared" si="263"/>
        <v>0</v>
      </c>
      <c r="H4136" s="9">
        <f t="shared" si="264"/>
        <v>0</v>
      </c>
      <c r="I4136" s="10">
        <f t="shared" si="265"/>
        <v>0</v>
      </c>
    </row>
    <row r="4137" spans="1:9" x14ac:dyDescent="0.25">
      <c r="A4137" s="11" t="s">
        <v>9914</v>
      </c>
      <c r="B4137" s="11" t="s">
        <v>9915</v>
      </c>
      <c r="C4137" s="11" t="s">
        <v>28</v>
      </c>
      <c r="D4137" s="4" t="s">
        <v>1406</v>
      </c>
      <c r="E4137" t="s">
        <v>30</v>
      </c>
      <c r="F4137" s="9">
        <f t="shared" si="262"/>
        <v>0</v>
      </c>
      <c r="G4137" s="9">
        <f t="shared" si="263"/>
        <v>0</v>
      </c>
      <c r="H4137" s="9">
        <f t="shared" si="264"/>
        <v>0</v>
      </c>
      <c r="I4137" s="10">
        <f t="shared" si="265"/>
        <v>0</v>
      </c>
    </row>
    <row r="4138" spans="1:9" x14ac:dyDescent="0.25">
      <c r="A4138" s="11" t="s">
        <v>9916</v>
      </c>
      <c r="B4138" s="11" t="s">
        <v>9917</v>
      </c>
      <c r="C4138" s="11" t="s">
        <v>28</v>
      </c>
      <c r="D4138" s="4" t="s">
        <v>1406</v>
      </c>
      <c r="E4138" t="s">
        <v>30</v>
      </c>
      <c r="F4138" s="9">
        <f t="shared" si="262"/>
        <v>0</v>
      </c>
      <c r="G4138" s="9">
        <f t="shared" si="263"/>
        <v>0</v>
      </c>
      <c r="H4138" s="9">
        <f t="shared" si="264"/>
        <v>0</v>
      </c>
      <c r="I4138" s="10">
        <f t="shared" si="265"/>
        <v>0</v>
      </c>
    </row>
    <row r="4139" spans="1:9" x14ac:dyDescent="0.25">
      <c r="A4139" s="11" t="s">
        <v>9918</v>
      </c>
      <c r="B4139" s="11" t="s">
        <v>9919</v>
      </c>
      <c r="C4139" s="11" t="s">
        <v>28</v>
      </c>
      <c r="D4139" s="4" t="s">
        <v>1406</v>
      </c>
      <c r="E4139" t="s">
        <v>30</v>
      </c>
      <c r="F4139" s="9">
        <f t="shared" si="262"/>
        <v>0</v>
      </c>
      <c r="G4139" s="9">
        <f t="shared" si="263"/>
        <v>0</v>
      </c>
      <c r="H4139" s="9">
        <f t="shared" si="264"/>
        <v>0</v>
      </c>
      <c r="I4139" s="10">
        <f t="shared" si="265"/>
        <v>0</v>
      </c>
    </row>
    <row r="4140" spans="1:9" x14ac:dyDescent="0.25">
      <c r="A4140" s="11" t="s">
        <v>9920</v>
      </c>
      <c r="B4140" s="11" t="s">
        <v>9921</v>
      </c>
      <c r="C4140" s="11" t="s">
        <v>28</v>
      </c>
      <c r="D4140" s="4" t="s">
        <v>1406</v>
      </c>
      <c r="E4140" t="s">
        <v>30</v>
      </c>
      <c r="F4140" s="9">
        <f t="shared" si="262"/>
        <v>0</v>
      </c>
      <c r="G4140" s="9">
        <f t="shared" si="263"/>
        <v>0</v>
      </c>
      <c r="H4140" s="9">
        <f t="shared" si="264"/>
        <v>0</v>
      </c>
      <c r="I4140" s="10">
        <f t="shared" si="265"/>
        <v>0</v>
      </c>
    </row>
    <row r="4141" spans="1:9" x14ac:dyDescent="0.25">
      <c r="A4141" s="11" t="s">
        <v>9922</v>
      </c>
      <c r="B4141" s="11" t="s">
        <v>9923</v>
      </c>
      <c r="C4141" s="11" t="s">
        <v>28</v>
      </c>
      <c r="D4141" s="4" t="s">
        <v>1406</v>
      </c>
      <c r="E4141" t="s">
        <v>30</v>
      </c>
      <c r="F4141" s="9">
        <f t="shared" si="262"/>
        <v>0</v>
      </c>
      <c r="G4141" s="9">
        <f t="shared" si="263"/>
        <v>0</v>
      </c>
      <c r="H4141" s="9">
        <f t="shared" si="264"/>
        <v>0</v>
      </c>
      <c r="I4141" s="10">
        <f t="shared" si="265"/>
        <v>0</v>
      </c>
    </row>
    <row r="4142" spans="1:9" x14ac:dyDescent="0.25">
      <c r="A4142" s="11" t="s">
        <v>9924</v>
      </c>
      <c r="B4142" s="11" t="s">
        <v>9925</v>
      </c>
      <c r="C4142" s="11" t="s">
        <v>28</v>
      </c>
      <c r="D4142" s="4" t="s">
        <v>1406</v>
      </c>
      <c r="E4142" t="s">
        <v>30</v>
      </c>
      <c r="F4142" s="9">
        <f t="shared" si="262"/>
        <v>0</v>
      </c>
      <c r="G4142" s="9">
        <f t="shared" si="263"/>
        <v>0</v>
      </c>
      <c r="H4142" s="9">
        <f t="shared" si="264"/>
        <v>0</v>
      </c>
      <c r="I4142" s="10">
        <f t="shared" si="265"/>
        <v>0</v>
      </c>
    </row>
    <row r="4143" spans="1:9" x14ac:dyDescent="0.25">
      <c r="A4143" s="11" t="s">
        <v>9926</v>
      </c>
      <c r="B4143" s="11" t="s">
        <v>9927</v>
      </c>
      <c r="C4143" s="11" t="s">
        <v>28</v>
      </c>
      <c r="D4143" s="4" t="s">
        <v>1406</v>
      </c>
      <c r="E4143" t="s">
        <v>30</v>
      </c>
      <c r="F4143" s="9">
        <f t="shared" ref="F4143:F4206" si="266">IFERROR(VLOOKUP(A4143,condi,8,0),0)</f>
        <v>0</v>
      </c>
      <c r="G4143" s="9">
        <f t="shared" ref="G4143:G4206" si="267">IFERROR(VLOOKUP(A4143,maqui,8,0),0)</f>
        <v>0</v>
      </c>
      <c r="H4143" s="9">
        <f t="shared" ref="H4143:H4206" si="268">IFERROR(VLOOKUP(A4143,ascint,8,0),0)</f>
        <v>0</v>
      </c>
      <c r="I4143" s="10">
        <f t="shared" ref="I4143:I4206" si="269">+F4143+G4143+H4143</f>
        <v>0</v>
      </c>
    </row>
    <row r="4144" spans="1:9" x14ac:dyDescent="0.25">
      <c r="A4144" s="11" t="s">
        <v>9928</v>
      </c>
      <c r="B4144" s="11" t="s">
        <v>9929</v>
      </c>
      <c r="C4144" s="11" t="s">
        <v>28</v>
      </c>
      <c r="D4144" s="4" t="s">
        <v>1406</v>
      </c>
      <c r="E4144" t="s">
        <v>30</v>
      </c>
      <c r="F4144" s="9">
        <f t="shared" si="266"/>
        <v>0</v>
      </c>
      <c r="G4144" s="9">
        <f t="shared" si="267"/>
        <v>0</v>
      </c>
      <c r="H4144" s="9">
        <f t="shared" si="268"/>
        <v>0</v>
      </c>
      <c r="I4144" s="10">
        <f t="shared" si="269"/>
        <v>0</v>
      </c>
    </row>
    <row r="4145" spans="1:9" x14ac:dyDescent="0.25">
      <c r="A4145" s="11" t="s">
        <v>9930</v>
      </c>
      <c r="B4145" s="11" t="s">
        <v>9931</v>
      </c>
      <c r="C4145" s="11" t="s">
        <v>28</v>
      </c>
      <c r="D4145" s="4" t="s">
        <v>1406</v>
      </c>
      <c r="E4145" t="s">
        <v>30</v>
      </c>
      <c r="F4145" s="9">
        <f t="shared" si="266"/>
        <v>0</v>
      </c>
      <c r="G4145" s="9">
        <f t="shared" si="267"/>
        <v>0</v>
      </c>
      <c r="H4145" s="9">
        <f t="shared" si="268"/>
        <v>0</v>
      </c>
      <c r="I4145" s="10">
        <f t="shared" si="269"/>
        <v>0</v>
      </c>
    </row>
    <row r="4146" spans="1:9" x14ac:dyDescent="0.25">
      <c r="A4146" s="11" t="s">
        <v>9932</v>
      </c>
      <c r="B4146" s="11" t="s">
        <v>9933</v>
      </c>
      <c r="C4146" s="11" t="s">
        <v>28</v>
      </c>
      <c r="D4146" s="4" t="s">
        <v>1406</v>
      </c>
      <c r="E4146" t="s">
        <v>30</v>
      </c>
      <c r="F4146" s="9">
        <f t="shared" si="266"/>
        <v>0</v>
      </c>
      <c r="G4146" s="9">
        <f t="shared" si="267"/>
        <v>0</v>
      </c>
      <c r="H4146" s="9">
        <f t="shared" si="268"/>
        <v>0</v>
      </c>
      <c r="I4146" s="10">
        <f t="shared" si="269"/>
        <v>0</v>
      </c>
    </row>
    <row r="4147" spans="1:9" x14ac:dyDescent="0.25">
      <c r="A4147" s="11" t="s">
        <v>9934</v>
      </c>
      <c r="B4147" s="11" t="s">
        <v>9935</v>
      </c>
      <c r="C4147" s="11" t="s">
        <v>28</v>
      </c>
      <c r="D4147" s="4" t="s">
        <v>1406</v>
      </c>
      <c r="E4147" t="s">
        <v>30</v>
      </c>
      <c r="F4147" s="9">
        <f t="shared" si="266"/>
        <v>0</v>
      </c>
      <c r="G4147" s="9">
        <f t="shared" si="267"/>
        <v>0</v>
      </c>
      <c r="H4147" s="9">
        <f t="shared" si="268"/>
        <v>0</v>
      </c>
      <c r="I4147" s="10">
        <f t="shared" si="269"/>
        <v>0</v>
      </c>
    </row>
    <row r="4148" spans="1:9" x14ac:dyDescent="0.25">
      <c r="A4148" s="11" t="s">
        <v>9936</v>
      </c>
      <c r="B4148" s="11" t="s">
        <v>9937</v>
      </c>
      <c r="C4148" s="11" t="s">
        <v>28</v>
      </c>
      <c r="D4148" s="4" t="s">
        <v>1406</v>
      </c>
      <c r="E4148" t="s">
        <v>30</v>
      </c>
      <c r="F4148" s="9">
        <f t="shared" si="266"/>
        <v>0</v>
      </c>
      <c r="G4148" s="9">
        <f t="shared" si="267"/>
        <v>0</v>
      </c>
      <c r="H4148" s="9">
        <f t="shared" si="268"/>
        <v>0</v>
      </c>
      <c r="I4148" s="10">
        <f t="shared" si="269"/>
        <v>0</v>
      </c>
    </row>
    <row r="4149" spans="1:9" x14ac:dyDescent="0.25">
      <c r="A4149" s="11" t="s">
        <v>9938</v>
      </c>
      <c r="B4149" s="11" t="s">
        <v>9939</v>
      </c>
      <c r="C4149" s="11" t="s">
        <v>28</v>
      </c>
      <c r="D4149" s="4" t="s">
        <v>1406</v>
      </c>
      <c r="E4149" t="s">
        <v>30</v>
      </c>
      <c r="F4149" s="9">
        <f t="shared" si="266"/>
        <v>0</v>
      </c>
      <c r="G4149" s="9">
        <f t="shared" si="267"/>
        <v>0</v>
      </c>
      <c r="H4149" s="9">
        <f t="shared" si="268"/>
        <v>0</v>
      </c>
      <c r="I4149" s="10">
        <f t="shared" si="269"/>
        <v>0</v>
      </c>
    </row>
    <row r="4150" spans="1:9" x14ac:dyDescent="0.25">
      <c r="A4150" s="11" t="s">
        <v>9940</v>
      </c>
      <c r="B4150" s="11" t="s">
        <v>9941</v>
      </c>
      <c r="C4150" s="11" t="s">
        <v>28</v>
      </c>
      <c r="D4150" s="4" t="s">
        <v>1406</v>
      </c>
      <c r="E4150" t="s">
        <v>30</v>
      </c>
      <c r="F4150" s="9">
        <f t="shared" si="266"/>
        <v>0</v>
      </c>
      <c r="G4150" s="9">
        <f t="shared" si="267"/>
        <v>0</v>
      </c>
      <c r="H4150" s="9">
        <f t="shared" si="268"/>
        <v>0</v>
      </c>
      <c r="I4150" s="10">
        <f t="shared" si="269"/>
        <v>0</v>
      </c>
    </row>
    <row r="4151" spans="1:9" x14ac:dyDescent="0.25">
      <c r="A4151" s="11" t="s">
        <v>9942</v>
      </c>
      <c r="B4151" s="11" t="s">
        <v>9943</v>
      </c>
      <c r="C4151" s="11" t="s">
        <v>28</v>
      </c>
      <c r="D4151" s="4" t="s">
        <v>1406</v>
      </c>
      <c r="E4151" t="s">
        <v>30</v>
      </c>
      <c r="F4151" s="9">
        <f t="shared" si="266"/>
        <v>0</v>
      </c>
      <c r="G4151" s="9">
        <f t="shared" si="267"/>
        <v>0</v>
      </c>
      <c r="H4151" s="9">
        <f t="shared" si="268"/>
        <v>0</v>
      </c>
      <c r="I4151" s="10">
        <f t="shared" si="269"/>
        <v>0</v>
      </c>
    </row>
    <row r="4152" spans="1:9" x14ac:dyDescent="0.25">
      <c r="A4152" s="11" t="s">
        <v>9944</v>
      </c>
      <c r="B4152" s="11" t="s">
        <v>9945</v>
      </c>
      <c r="C4152" s="11" t="s">
        <v>28</v>
      </c>
      <c r="D4152" s="4" t="s">
        <v>1406</v>
      </c>
      <c r="E4152" t="s">
        <v>30</v>
      </c>
      <c r="F4152" s="9">
        <f t="shared" si="266"/>
        <v>0</v>
      </c>
      <c r="G4152" s="9">
        <f t="shared" si="267"/>
        <v>0</v>
      </c>
      <c r="H4152" s="9">
        <f t="shared" si="268"/>
        <v>0</v>
      </c>
      <c r="I4152" s="10">
        <f t="shared" si="269"/>
        <v>0</v>
      </c>
    </row>
    <row r="4153" spans="1:9" x14ac:dyDescent="0.25">
      <c r="A4153" s="11" t="s">
        <v>9946</v>
      </c>
      <c r="B4153" s="11" t="s">
        <v>9947</v>
      </c>
      <c r="C4153" s="11" t="s">
        <v>28</v>
      </c>
      <c r="D4153" s="4" t="s">
        <v>1406</v>
      </c>
      <c r="E4153" t="s">
        <v>30</v>
      </c>
      <c r="F4153" s="9">
        <f t="shared" si="266"/>
        <v>0</v>
      </c>
      <c r="G4153" s="9">
        <f t="shared" si="267"/>
        <v>0</v>
      </c>
      <c r="H4153" s="9">
        <f t="shared" si="268"/>
        <v>0</v>
      </c>
      <c r="I4153" s="10">
        <f t="shared" si="269"/>
        <v>0</v>
      </c>
    </row>
    <row r="4154" spans="1:9" x14ac:dyDescent="0.25">
      <c r="A4154" s="11" t="s">
        <v>9948</v>
      </c>
      <c r="B4154" s="11" t="s">
        <v>9949</v>
      </c>
      <c r="C4154" s="11" t="s">
        <v>28</v>
      </c>
      <c r="D4154" s="4" t="s">
        <v>1406</v>
      </c>
      <c r="E4154" t="s">
        <v>30</v>
      </c>
      <c r="F4154" s="9">
        <f t="shared" si="266"/>
        <v>0</v>
      </c>
      <c r="G4154" s="9">
        <f t="shared" si="267"/>
        <v>0</v>
      </c>
      <c r="H4154" s="9">
        <f t="shared" si="268"/>
        <v>0</v>
      </c>
      <c r="I4154" s="10">
        <f t="shared" si="269"/>
        <v>0</v>
      </c>
    </row>
    <row r="4155" spans="1:9" x14ac:dyDescent="0.25">
      <c r="A4155" s="11" t="s">
        <v>9950</v>
      </c>
      <c r="B4155" s="11" t="s">
        <v>9951</v>
      </c>
      <c r="C4155" s="11" t="s">
        <v>28</v>
      </c>
      <c r="D4155" s="4" t="s">
        <v>1406</v>
      </c>
      <c r="E4155" t="s">
        <v>30</v>
      </c>
      <c r="F4155" s="9">
        <f t="shared" si="266"/>
        <v>0</v>
      </c>
      <c r="G4155" s="9">
        <f t="shared" si="267"/>
        <v>0</v>
      </c>
      <c r="H4155" s="9">
        <f t="shared" si="268"/>
        <v>0</v>
      </c>
      <c r="I4155" s="10">
        <f t="shared" si="269"/>
        <v>0</v>
      </c>
    </row>
    <row r="4156" spans="1:9" x14ac:dyDescent="0.25">
      <c r="A4156" s="11" t="s">
        <v>9952</v>
      </c>
      <c r="B4156" s="11" t="s">
        <v>9953</v>
      </c>
      <c r="C4156" s="11" t="s">
        <v>28</v>
      </c>
      <c r="D4156" s="4" t="s">
        <v>1406</v>
      </c>
      <c r="E4156" t="s">
        <v>30</v>
      </c>
      <c r="F4156" s="9">
        <f t="shared" si="266"/>
        <v>0</v>
      </c>
      <c r="G4156" s="9">
        <f t="shared" si="267"/>
        <v>0</v>
      </c>
      <c r="H4156" s="9">
        <f t="shared" si="268"/>
        <v>0</v>
      </c>
      <c r="I4156" s="10">
        <f t="shared" si="269"/>
        <v>0</v>
      </c>
    </row>
    <row r="4157" spans="1:9" x14ac:dyDescent="0.25">
      <c r="A4157" s="11" t="s">
        <v>9954</v>
      </c>
      <c r="B4157" s="11" t="s">
        <v>9955</v>
      </c>
      <c r="C4157" s="11" t="s">
        <v>28</v>
      </c>
      <c r="D4157" s="4" t="s">
        <v>1406</v>
      </c>
      <c r="E4157" t="s">
        <v>30</v>
      </c>
      <c r="F4157" s="9">
        <f t="shared" si="266"/>
        <v>0</v>
      </c>
      <c r="G4157" s="9">
        <f t="shared" si="267"/>
        <v>0</v>
      </c>
      <c r="H4157" s="9">
        <f t="shared" si="268"/>
        <v>0</v>
      </c>
      <c r="I4157" s="10">
        <f t="shared" si="269"/>
        <v>0</v>
      </c>
    </row>
    <row r="4158" spans="1:9" x14ac:dyDescent="0.25">
      <c r="A4158" s="11" t="s">
        <v>9956</v>
      </c>
      <c r="B4158" s="11" t="s">
        <v>9957</v>
      </c>
      <c r="C4158" s="11" t="s">
        <v>28</v>
      </c>
      <c r="D4158" s="4" t="s">
        <v>1406</v>
      </c>
      <c r="E4158" t="s">
        <v>30</v>
      </c>
      <c r="F4158" s="9">
        <f t="shared" si="266"/>
        <v>0</v>
      </c>
      <c r="G4158" s="9">
        <f t="shared" si="267"/>
        <v>0</v>
      </c>
      <c r="H4158" s="9">
        <f t="shared" si="268"/>
        <v>0</v>
      </c>
      <c r="I4158" s="10">
        <f t="shared" si="269"/>
        <v>0</v>
      </c>
    </row>
    <row r="4159" spans="1:9" x14ac:dyDescent="0.25">
      <c r="A4159" s="11" t="s">
        <v>9958</v>
      </c>
      <c r="B4159" s="11" t="s">
        <v>9959</v>
      </c>
      <c r="C4159" s="11" t="s">
        <v>28</v>
      </c>
      <c r="D4159" s="4" t="s">
        <v>1406</v>
      </c>
      <c r="E4159" t="s">
        <v>30</v>
      </c>
      <c r="F4159" s="9">
        <f t="shared" si="266"/>
        <v>0</v>
      </c>
      <c r="G4159" s="9">
        <f t="shared" si="267"/>
        <v>0</v>
      </c>
      <c r="H4159" s="9">
        <f t="shared" si="268"/>
        <v>0</v>
      </c>
      <c r="I4159" s="10">
        <f t="shared" si="269"/>
        <v>0</v>
      </c>
    </row>
    <row r="4160" spans="1:9" x14ac:dyDescent="0.25">
      <c r="A4160" s="11" t="s">
        <v>9960</v>
      </c>
      <c r="B4160" s="11" t="s">
        <v>9961</v>
      </c>
      <c r="C4160" s="11" t="s">
        <v>28</v>
      </c>
      <c r="D4160" s="4" t="s">
        <v>1406</v>
      </c>
      <c r="E4160" t="s">
        <v>30</v>
      </c>
      <c r="F4160" s="9">
        <f t="shared" si="266"/>
        <v>0</v>
      </c>
      <c r="G4160" s="9">
        <f t="shared" si="267"/>
        <v>0</v>
      </c>
      <c r="H4160" s="9">
        <f t="shared" si="268"/>
        <v>0</v>
      </c>
      <c r="I4160" s="10">
        <f t="shared" si="269"/>
        <v>0</v>
      </c>
    </row>
    <row r="4161" spans="1:9" x14ac:dyDescent="0.25">
      <c r="A4161" s="11" t="s">
        <v>9962</v>
      </c>
      <c r="B4161" s="11" t="s">
        <v>9963</v>
      </c>
      <c r="C4161" s="11" t="s">
        <v>28</v>
      </c>
      <c r="D4161" s="4" t="s">
        <v>1406</v>
      </c>
      <c r="E4161" t="s">
        <v>30</v>
      </c>
      <c r="F4161" s="9">
        <f t="shared" si="266"/>
        <v>0</v>
      </c>
      <c r="G4161" s="9">
        <f t="shared" si="267"/>
        <v>0</v>
      </c>
      <c r="H4161" s="9">
        <f t="shared" si="268"/>
        <v>0</v>
      </c>
      <c r="I4161" s="10">
        <f t="shared" si="269"/>
        <v>0</v>
      </c>
    </row>
    <row r="4162" spans="1:9" x14ac:dyDescent="0.25">
      <c r="A4162" s="11" t="s">
        <v>9964</v>
      </c>
      <c r="B4162" s="11" t="s">
        <v>9965</v>
      </c>
      <c r="C4162" s="11" t="s">
        <v>28</v>
      </c>
      <c r="D4162" s="4" t="s">
        <v>1406</v>
      </c>
      <c r="E4162" t="s">
        <v>30</v>
      </c>
      <c r="F4162" s="9">
        <f t="shared" si="266"/>
        <v>0</v>
      </c>
      <c r="G4162" s="9">
        <f t="shared" si="267"/>
        <v>0</v>
      </c>
      <c r="H4162" s="9">
        <f t="shared" si="268"/>
        <v>0</v>
      </c>
      <c r="I4162" s="10">
        <f t="shared" si="269"/>
        <v>0</v>
      </c>
    </row>
    <row r="4163" spans="1:9" x14ac:dyDescent="0.25">
      <c r="A4163" s="11" t="s">
        <v>9966</v>
      </c>
      <c r="B4163" s="11" t="s">
        <v>9967</v>
      </c>
      <c r="C4163" s="11" t="s">
        <v>28</v>
      </c>
      <c r="D4163" s="4" t="s">
        <v>1406</v>
      </c>
      <c r="E4163" t="s">
        <v>30</v>
      </c>
      <c r="F4163" s="9">
        <f t="shared" si="266"/>
        <v>0</v>
      </c>
      <c r="G4163" s="9">
        <f t="shared" si="267"/>
        <v>0</v>
      </c>
      <c r="H4163" s="9">
        <f t="shared" si="268"/>
        <v>0</v>
      </c>
      <c r="I4163" s="10">
        <f t="shared" si="269"/>
        <v>0</v>
      </c>
    </row>
    <row r="4164" spans="1:9" x14ac:dyDescent="0.25">
      <c r="A4164" s="11" t="s">
        <v>9968</v>
      </c>
      <c r="B4164" s="11" t="s">
        <v>9969</v>
      </c>
      <c r="C4164" s="11" t="s">
        <v>28</v>
      </c>
      <c r="D4164" s="4" t="s">
        <v>1406</v>
      </c>
      <c r="E4164" t="s">
        <v>30</v>
      </c>
      <c r="F4164" s="9">
        <f t="shared" si="266"/>
        <v>0</v>
      </c>
      <c r="G4164" s="9">
        <f t="shared" si="267"/>
        <v>0</v>
      </c>
      <c r="H4164" s="9">
        <f t="shared" si="268"/>
        <v>0</v>
      </c>
      <c r="I4164" s="10">
        <f t="shared" si="269"/>
        <v>0</v>
      </c>
    </row>
    <row r="4165" spans="1:9" x14ac:dyDescent="0.25">
      <c r="A4165" s="11" t="s">
        <v>9970</v>
      </c>
      <c r="B4165" s="11" t="s">
        <v>9971</v>
      </c>
      <c r="C4165" s="11" t="s">
        <v>28</v>
      </c>
      <c r="D4165" s="4" t="s">
        <v>1406</v>
      </c>
      <c r="E4165" t="s">
        <v>30</v>
      </c>
      <c r="F4165" s="9">
        <f t="shared" si="266"/>
        <v>0</v>
      </c>
      <c r="G4165" s="9">
        <f t="shared" si="267"/>
        <v>0</v>
      </c>
      <c r="H4165" s="9">
        <f t="shared" si="268"/>
        <v>0</v>
      </c>
      <c r="I4165" s="10">
        <f t="shared" si="269"/>
        <v>0</v>
      </c>
    </row>
    <row r="4166" spans="1:9" x14ac:dyDescent="0.25">
      <c r="A4166" s="11" t="s">
        <v>9972</v>
      </c>
      <c r="B4166" s="11" t="s">
        <v>9973</v>
      </c>
      <c r="C4166" s="11" t="s">
        <v>28</v>
      </c>
      <c r="D4166" s="4" t="s">
        <v>1406</v>
      </c>
      <c r="E4166" t="s">
        <v>30</v>
      </c>
      <c r="F4166" s="9">
        <f t="shared" si="266"/>
        <v>0</v>
      </c>
      <c r="G4166" s="9">
        <f t="shared" si="267"/>
        <v>0</v>
      </c>
      <c r="H4166" s="9">
        <f t="shared" si="268"/>
        <v>0</v>
      </c>
      <c r="I4166" s="10">
        <f t="shared" si="269"/>
        <v>0</v>
      </c>
    </row>
    <row r="4167" spans="1:9" x14ac:dyDescent="0.25">
      <c r="A4167" s="11" t="s">
        <v>9974</v>
      </c>
      <c r="B4167" s="11" t="s">
        <v>9975</v>
      </c>
      <c r="C4167" s="11" t="s">
        <v>28</v>
      </c>
      <c r="D4167" s="4" t="s">
        <v>1406</v>
      </c>
      <c r="E4167" t="s">
        <v>30</v>
      </c>
      <c r="F4167" s="9">
        <f t="shared" si="266"/>
        <v>0</v>
      </c>
      <c r="G4167" s="9">
        <f t="shared" si="267"/>
        <v>0</v>
      </c>
      <c r="H4167" s="9">
        <f t="shared" si="268"/>
        <v>0</v>
      </c>
      <c r="I4167" s="10">
        <f t="shared" si="269"/>
        <v>0</v>
      </c>
    </row>
    <row r="4168" spans="1:9" x14ac:dyDescent="0.25">
      <c r="A4168" s="11" t="s">
        <v>9976</v>
      </c>
      <c r="B4168" s="11" t="s">
        <v>9977</v>
      </c>
      <c r="C4168" s="11" t="s">
        <v>28</v>
      </c>
      <c r="D4168" s="4" t="s">
        <v>1406</v>
      </c>
      <c r="E4168" t="s">
        <v>30</v>
      </c>
      <c r="F4168" s="9">
        <f t="shared" si="266"/>
        <v>0</v>
      </c>
      <c r="G4168" s="9">
        <f t="shared" si="267"/>
        <v>0</v>
      </c>
      <c r="H4168" s="9">
        <f t="shared" si="268"/>
        <v>0</v>
      </c>
      <c r="I4168" s="10">
        <f t="shared" si="269"/>
        <v>0</v>
      </c>
    </row>
    <row r="4169" spans="1:9" x14ac:dyDescent="0.25">
      <c r="A4169" s="11" t="s">
        <v>9978</v>
      </c>
      <c r="B4169" s="11" t="s">
        <v>9979</v>
      </c>
      <c r="C4169" s="11" t="s">
        <v>28</v>
      </c>
      <c r="D4169" s="4" t="s">
        <v>1406</v>
      </c>
      <c r="E4169" t="s">
        <v>30</v>
      </c>
      <c r="F4169" s="9">
        <f t="shared" si="266"/>
        <v>0</v>
      </c>
      <c r="G4169" s="9">
        <f t="shared" si="267"/>
        <v>0</v>
      </c>
      <c r="H4169" s="9">
        <f t="shared" si="268"/>
        <v>0</v>
      </c>
      <c r="I4169" s="10">
        <f t="shared" si="269"/>
        <v>0</v>
      </c>
    </row>
    <row r="4170" spans="1:9" x14ac:dyDescent="0.25">
      <c r="A4170" s="11" t="s">
        <v>9980</v>
      </c>
      <c r="B4170" s="11" t="s">
        <v>9981</v>
      </c>
      <c r="C4170" s="11" t="s">
        <v>28</v>
      </c>
      <c r="D4170" s="4" t="s">
        <v>1406</v>
      </c>
      <c r="E4170" t="s">
        <v>30</v>
      </c>
      <c r="F4170" s="9">
        <f t="shared" si="266"/>
        <v>0</v>
      </c>
      <c r="G4170" s="9">
        <f t="shared" si="267"/>
        <v>0</v>
      </c>
      <c r="H4170" s="9">
        <f t="shared" si="268"/>
        <v>0</v>
      </c>
      <c r="I4170" s="10">
        <f t="shared" si="269"/>
        <v>0</v>
      </c>
    </row>
    <row r="4171" spans="1:9" x14ac:dyDescent="0.25">
      <c r="A4171" s="11" t="s">
        <v>9982</v>
      </c>
      <c r="B4171" s="11" t="s">
        <v>9983</v>
      </c>
      <c r="C4171" s="11" t="s">
        <v>28</v>
      </c>
      <c r="D4171" s="4" t="s">
        <v>1406</v>
      </c>
      <c r="E4171" t="s">
        <v>30</v>
      </c>
      <c r="F4171" s="9">
        <f t="shared" si="266"/>
        <v>0</v>
      </c>
      <c r="G4171" s="9">
        <f t="shared" si="267"/>
        <v>0</v>
      </c>
      <c r="H4171" s="9">
        <f t="shared" si="268"/>
        <v>0</v>
      </c>
      <c r="I4171" s="10">
        <f t="shared" si="269"/>
        <v>0</v>
      </c>
    </row>
    <row r="4172" spans="1:9" x14ac:dyDescent="0.25">
      <c r="A4172" s="11" t="s">
        <v>9984</v>
      </c>
      <c r="B4172" s="11" t="s">
        <v>9985</v>
      </c>
      <c r="C4172" s="11" t="s">
        <v>28</v>
      </c>
      <c r="D4172" s="4" t="s">
        <v>1406</v>
      </c>
      <c r="E4172" t="s">
        <v>30</v>
      </c>
      <c r="F4172" s="9">
        <f t="shared" si="266"/>
        <v>0</v>
      </c>
      <c r="G4172" s="9">
        <f t="shared" si="267"/>
        <v>0</v>
      </c>
      <c r="H4172" s="9">
        <f t="shared" si="268"/>
        <v>0</v>
      </c>
      <c r="I4172" s="10">
        <f t="shared" si="269"/>
        <v>0</v>
      </c>
    </row>
    <row r="4173" spans="1:9" x14ac:dyDescent="0.25">
      <c r="A4173" s="11" t="s">
        <v>9986</v>
      </c>
      <c r="B4173" s="11" t="s">
        <v>9987</v>
      </c>
      <c r="C4173" s="11" t="s">
        <v>28</v>
      </c>
      <c r="D4173" s="4" t="s">
        <v>1406</v>
      </c>
      <c r="E4173" t="s">
        <v>30</v>
      </c>
      <c r="F4173" s="9">
        <f t="shared" si="266"/>
        <v>0</v>
      </c>
      <c r="G4173" s="9">
        <f t="shared" si="267"/>
        <v>0</v>
      </c>
      <c r="H4173" s="9">
        <f t="shared" si="268"/>
        <v>0</v>
      </c>
      <c r="I4173" s="10">
        <f t="shared" si="269"/>
        <v>0</v>
      </c>
    </row>
    <row r="4174" spans="1:9" x14ac:dyDescent="0.25">
      <c r="A4174" s="11" t="s">
        <v>9988</v>
      </c>
      <c r="B4174" s="11" t="s">
        <v>9989</v>
      </c>
      <c r="C4174" s="11" t="s">
        <v>28</v>
      </c>
      <c r="D4174" s="4" t="s">
        <v>1406</v>
      </c>
      <c r="E4174" t="s">
        <v>30</v>
      </c>
      <c r="F4174" s="9">
        <f t="shared" si="266"/>
        <v>0</v>
      </c>
      <c r="G4174" s="9">
        <f t="shared" si="267"/>
        <v>0</v>
      </c>
      <c r="H4174" s="9">
        <f t="shared" si="268"/>
        <v>0</v>
      </c>
      <c r="I4174" s="10">
        <f t="shared" si="269"/>
        <v>0</v>
      </c>
    </row>
    <row r="4175" spans="1:9" x14ac:dyDescent="0.25">
      <c r="A4175" s="11" t="s">
        <v>9990</v>
      </c>
      <c r="B4175" s="11" t="s">
        <v>9991</v>
      </c>
      <c r="C4175" s="11" t="s">
        <v>28</v>
      </c>
      <c r="D4175" s="4" t="s">
        <v>1406</v>
      </c>
      <c r="E4175" t="s">
        <v>30</v>
      </c>
      <c r="F4175" s="9">
        <f t="shared" si="266"/>
        <v>0</v>
      </c>
      <c r="G4175" s="9">
        <f t="shared" si="267"/>
        <v>0</v>
      </c>
      <c r="H4175" s="9">
        <f t="shared" si="268"/>
        <v>0</v>
      </c>
      <c r="I4175" s="10">
        <f t="shared" si="269"/>
        <v>0</v>
      </c>
    </row>
    <row r="4176" spans="1:9" x14ac:dyDescent="0.25">
      <c r="A4176" s="11" t="s">
        <v>9992</v>
      </c>
      <c r="B4176" s="11" t="s">
        <v>9993</v>
      </c>
      <c r="C4176" s="11" t="s">
        <v>28</v>
      </c>
      <c r="D4176" s="4" t="s">
        <v>1406</v>
      </c>
      <c r="E4176" t="s">
        <v>30</v>
      </c>
      <c r="F4176" s="9">
        <f t="shared" si="266"/>
        <v>0</v>
      </c>
      <c r="G4176" s="9">
        <f t="shared" si="267"/>
        <v>0</v>
      </c>
      <c r="H4176" s="9">
        <f t="shared" si="268"/>
        <v>0</v>
      </c>
      <c r="I4176" s="10">
        <f t="shared" si="269"/>
        <v>0</v>
      </c>
    </row>
    <row r="4177" spans="1:9" x14ac:dyDescent="0.25">
      <c r="A4177" s="11" t="s">
        <v>9994</v>
      </c>
      <c r="B4177" s="11" t="s">
        <v>9995</v>
      </c>
      <c r="C4177" s="11" t="s">
        <v>28</v>
      </c>
      <c r="D4177" s="4" t="s">
        <v>1406</v>
      </c>
      <c r="E4177" t="s">
        <v>30</v>
      </c>
      <c r="F4177" s="9">
        <f t="shared" si="266"/>
        <v>0</v>
      </c>
      <c r="G4177" s="9">
        <f t="shared" si="267"/>
        <v>0</v>
      </c>
      <c r="H4177" s="9">
        <f t="shared" si="268"/>
        <v>0</v>
      </c>
      <c r="I4177" s="10">
        <f t="shared" si="269"/>
        <v>0</v>
      </c>
    </row>
    <row r="4178" spans="1:9" x14ac:dyDescent="0.25">
      <c r="A4178" s="11" t="s">
        <v>9996</v>
      </c>
      <c r="B4178" s="11" t="s">
        <v>9997</v>
      </c>
      <c r="C4178" s="11" t="s">
        <v>28</v>
      </c>
      <c r="D4178" s="4" t="s">
        <v>1406</v>
      </c>
      <c r="E4178" t="s">
        <v>30</v>
      </c>
      <c r="F4178" s="9">
        <f t="shared" si="266"/>
        <v>0</v>
      </c>
      <c r="G4178" s="9">
        <f t="shared" si="267"/>
        <v>0</v>
      </c>
      <c r="H4178" s="9">
        <f t="shared" si="268"/>
        <v>0</v>
      </c>
      <c r="I4178" s="10">
        <f t="shared" si="269"/>
        <v>0</v>
      </c>
    </row>
    <row r="4179" spans="1:9" x14ac:dyDescent="0.25">
      <c r="A4179" s="11" t="s">
        <v>9998</v>
      </c>
      <c r="B4179" s="11" t="s">
        <v>9999</v>
      </c>
      <c r="C4179" s="11" t="s">
        <v>28</v>
      </c>
      <c r="D4179" s="4" t="s">
        <v>1406</v>
      </c>
      <c r="E4179" t="s">
        <v>30</v>
      </c>
      <c r="F4179" s="9">
        <f t="shared" si="266"/>
        <v>0</v>
      </c>
      <c r="G4179" s="9">
        <f t="shared" si="267"/>
        <v>0</v>
      </c>
      <c r="H4179" s="9">
        <f t="shared" si="268"/>
        <v>0</v>
      </c>
      <c r="I4179" s="10">
        <f t="shared" si="269"/>
        <v>0</v>
      </c>
    </row>
    <row r="4180" spans="1:9" x14ac:dyDescent="0.25">
      <c r="A4180" s="11" t="s">
        <v>10000</v>
      </c>
      <c r="B4180" s="11" t="s">
        <v>10001</v>
      </c>
      <c r="C4180" s="11" t="s">
        <v>28</v>
      </c>
      <c r="D4180" s="4" t="s">
        <v>1406</v>
      </c>
      <c r="E4180" t="s">
        <v>30</v>
      </c>
      <c r="F4180" s="9">
        <f t="shared" si="266"/>
        <v>0</v>
      </c>
      <c r="G4180" s="9">
        <f t="shared" si="267"/>
        <v>0</v>
      </c>
      <c r="H4180" s="9">
        <f t="shared" si="268"/>
        <v>0</v>
      </c>
      <c r="I4180" s="10">
        <f t="shared" si="269"/>
        <v>0</v>
      </c>
    </row>
    <row r="4181" spans="1:9" x14ac:dyDescent="0.25">
      <c r="A4181" s="11" t="s">
        <v>10002</v>
      </c>
      <c r="B4181" s="11" t="s">
        <v>10003</v>
      </c>
      <c r="C4181" s="11" t="s">
        <v>28</v>
      </c>
      <c r="D4181" s="4" t="s">
        <v>1406</v>
      </c>
      <c r="E4181" t="s">
        <v>30</v>
      </c>
      <c r="F4181" s="9">
        <f t="shared" si="266"/>
        <v>0</v>
      </c>
      <c r="G4181" s="9">
        <f t="shared" si="267"/>
        <v>0</v>
      </c>
      <c r="H4181" s="9">
        <f t="shared" si="268"/>
        <v>0</v>
      </c>
      <c r="I4181" s="10">
        <f t="shared" si="269"/>
        <v>0</v>
      </c>
    </row>
    <row r="4182" spans="1:9" x14ac:dyDescent="0.25">
      <c r="A4182" s="11" t="s">
        <v>10004</v>
      </c>
      <c r="B4182" s="11" t="s">
        <v>10005</v>
      </c>
      <c r="C4182" s="11" t="s">
        <v>28</v>
      </c>
      <c r="D4182" s="4" t="s">
        <v>1406</v>
      </c>
      <c r="E4182" t="s">
        <v>30</v>
      </c>
      <c r="F4182" s="9">
        <f t="shared" si="266"/>
        <v>0</v>
      </c>
      <c r="G4182" s="9">
        <f t="shared" si="267"/>
        <v>0</v>
      </c>
      <c r="H4182" s="9">
        <f t="shared" si="268"/>
        <v>0</v>
      </c>
      <c r="I4182" s="10">
        <f t="shared" si="269"/>
        <v>0</v>
      </c>
    </row>
    <row r="4183" spans="1:9" x14ac:dyDescent="0.25">
      <c r="A4183" s="11" t="s">
        <v>10006</v>
      </c>
      <c r="B4183" s="11" t="s">
        <v>10007</v>
      </c>
      <c r="C4183" s="11" t="s">
        <v>28</v>
      </c>
      <c r="D4183" s="4" t="s">
        <v>1406</v>
      </c>
      <c r="E4183" t="s">
        <v>30</v>
      </c>
      <c r="F4183" s="9">
        <f t="shared" si="266"/>
        <v>0</v>
      </c>
      <c r="G4183" s="9">
        <f t="shared" si="267"/>
        <v>0</v>
      </c>
      <c r="H4183" s="9">
        <f t="shared" si="268"/>
        <v>0</v>
      </c>
      <c r="I4183" s="10">
        <f t="shared" si="269"/>
        <v>0</v>
      </c>
    </row>
    <row r="4184" spans="1:9" x14ac:dyDescent="0.25">
      <c r="A4184" s="11" t="s">
        <v>10008</v>
      </c>
      <c r="B4184" s="11" t="s">
        <v>10009</v>
      </c>
      <c r="C4184" s="11" t="s">
        <v>28</v>
      </c>
      <c r="D4184" s="4" t="s">
        <v>1406</v>
      </c>
      <c r="E4184" t="s">
        <v>30</v>
      </c>
      <c r="F4184" s="9">
        <f t="shared" si="266"/>
        <v>0</v>
      </c>
      <c r="G4184" s="9">
        <f t="shared" si="267"/>
        <v>0</v>
      </c>
      <c r="H4184" s="9">
        <f t="shared" si="268"/>
        <v>0</v>
      </c>
      <c r="I4184" s="10">
        <f t="shared" si="269"/>
        <v>0</v>
      </c>
    </row>
    <row r="4185" spans="1:9" x14ac:dyDescent="0.25">
      <c r="A4185" s="11" t="s">
        <v>10010</v>
      </c>
      <c r="B4185" s="11" t="s">
        <v>10011</v>
      </c>
      <c r="C4185" s="11" t="s">
        <v>28</v>
      </c>
      <c r="D4185" s="4" t="s">
        <v>1406</v>
      </c>
      <c r="E4185" t="s">
        <v>30</v>
      </c>
      <c r="F4185" s="9">
        <f t="shared" si="266"/>
        <v>0</v>
      </c>
      <c r="G4185" s="9">
        <f t="shared" si="267"/>
        <v>0</v>
      </c>
      <c r="H4185" s="9">
        <f t="shared" si="268"/>
        <v>0</v>
      </c>
      <c r="I4185" s="10">
        <f t="shared" si="269"/>
        <v>0</v>
      </c>
    </row>
    <row r="4186" spans="1:9" x14ac:dyDescent="0.25">
      <c r="A4186" s="11" t="s">
        <v>10012</v>
      </c>
      <c r="B4186" s="11" t="s">
        <v>10013</v>
      </c>
      <c r="C4186" s="11" t="s">
        <v>28</v>
      </c>
      <c r="D4186" s="4" t="s">
        <v>1406</v>
      </c>
      <c r="E4186" t="s">
        <v>30</v>
      </c>
      <c r="F4186" s="9">
        <f t="shared" si="266"/>
        <v>0</v>
      </c>
      <c r="G4186" s="9">
        <f t="shared" si="267"/>
        <v>0</v>
      </c>
      <c r="H4186" s="9">
        <f t="shared" si="268"/>
        <v>0</v>
      </c>
      <c r="I4186" s="10">
        <f t="shared" si="269"/>
        <v>0</v>
      </c>
    </row>
    <row r="4187" spans="1:9" x14ac:dyDescent="0.25">
      <c r="A4187" s="11" t="s">
        <v>10014</v>
      </c>
      <c r="B4187" s="11" t="s">
        <v>10015</v>
      </c>
      <c r="C4187" s="11" t="s">
        <v>28</v>
      </c>
      <c r="D4187" s="4" t="s">
        <v>1406</v>
      </c>
      <c r="E4187" t="s">
        <v>30</v>
      </c>
      <c r="F4187" s="9">
        <f t="shared" si="266"/>
        <v>0</v>
      </c>
      <c r="G4187" s="9">
        <f t="shared" si="267"/>
        <v>0</v>
      </c>
      <c r="H4187" s="9">
        <f t="shared" si="268"/>
        <v>0</v>
      </c>
      <c r="I4187" s="10">
        <f t="shared" si="269"/>
        <v>0</v>
      </c>
    </row>
    <row r="4188" spans="1:9" x14ac:dyDescent="0.25">
      <c r="A4188" s="11" t="s">
        <v>10016</v>
      </c>
      <c r="B4188" s="11" t="s">
        <v>10017</v>
      </c>
      <c r="C4188" s="11" t="s">
        <v>28</v>
      </c>
      <c r="D4188" s="4" t="s">
        <v>1406</v>
      </c>
      <c r="E4188" t="s">
        <v>30</v>
      </c>
      <c r="F4188" s="9">
        <f t="shared" si="266"/>
        <v>0</v>
      </c>
      <c r="G4188" s="9">
        <f t="shared" si="267"/>
        <v>0</v>
      </c>
      <c r="H4188" s="9">
        <f t="shared" si="268"/>
        <v>0</v>
      </c>
      <c r="I4188" s="10">
        <f t="shared" si="269"/>
        <v>0</v>
      </c>
    </row>
    <row r="4189" spans="1:9" x14ac:dyDescent="0.25">
      <c r="A4189" s="11" t="s">
        <v>10018</v>
      </c>
      <c r="B4189" s="11" t="s">
        <v>10019</v>
      </c>
      <c r="C4189" s="11" t="s">
        <v>28</v>
      </c>
      <c r="D4189" s="4" t="s">
        <v>1406</v>
      </c>
      <c r="E4189" t="s">
        <v>30</v>
      </c>
      <c r="F4189" s="9">
        <f t="shared" si="266"/>
        <v>0</v>
      </c>
      <c r="G4189" s="9">
        <f t="shared" si="267"/>
        <v>0</v>
      </c>
      <c r="H4189" s="9">
        <f t="shared" si="268"/>
        <v>0</v>
      </c>
      <c r="I4189" s="10">
        <f t="shared" si="269"/>
        <v>0</v>
      </c>
    </row>
    <row r="4190" spans="1:9" x14ac:dyDescent="0.25">
      <c r="A4190" s="11" t="s">
        <v>10020</v>
      </c>
      <c r="B4190" s="11" t="s">
        <v>10021</v>
      </c>
      <c r="C4190" s="11" t="s">
        <v>28</v>
      </c>
      <c r="D4190" s="4" t="s">
        <v>1406</v>
      </c>
      <c r="E4190" t="s">
        <v>30</v>
      </c>
      <c r="F4190" s="9">
        <f t="shared" si="266"/>
        <v>0</v>
      </c>
      <c r="G4190" s="9">
        <f t="shared" si="267"/>
        <v>0</v>
      </c>
      <c r="H4190" s="9">
        <f t="shared" si="268"/>
        <v>0</v>
      </c>
      <c r="I4190" s="10">
        <f t="shared" si="269"/>
        <v>0</v>
      </c>
    </row>
    <row r="4191" spans="1:9" x14ac:dyDescent="0.25">
      <c r="A4191" s="11" t="s">
        <v>10022</v>
      </c>
      <c r="B4191" s="11" t="s">
        <v>10023</v>
      </c>
      <c r="C4191" s="11" t="s">
        <v>28</v>
      </c>
      <c r="D4191" s="4" t="s">
        <v>1406</v>
      </c>
      <c r="E4191" t="s">
        <v>30</v>
      </c>
      <c r="F4191" s="9">
        <f t="shared" si="266"/>
        <v>0</v>
      </c>
      <c r="G4191" s="9">
        <f t="shared" si="267"/>
        <v>0</v>
      </c>
      <c r="H4191" s="9">
        <f t="shared" si="268"/>
        <v>0</v>
      </c>
      <c r="I4191" s="10">
        <f t="shared" si="269"/>
        <v>0</v>
      </c>
    </row>
    <row r="4192" spans="1:9" x14ac:dyDescent="0.25">
      <c r="A4192" s="11" t="s">
        <v>10024</v>
      </c>
      <c r="B4192" s="11" t="s">
        <v>10025</v>
      </c>
      <c r="C4192" s="11" t="s">
        <v>28</v>
      </c>
      <c r="D4192" s="4" t="s">
        <v>1406</v>
      </c>
      <c r="E4192" t="s">
        <v>30</v>
      </c>
      <c r="F4192" s="9">
        <f t="shared" si="266"/>
        <v>0</v>
      </c>
      <c r="G4192" s="9">
        <f t="shared" si="267"/>
        <v>0</v>
      </c>
      <c r="H4192" s="9">
        <f t="shared" si="268"/>
        <v>0</v>
      </c>
      <c r="I4192" s="10">
        <f t="shared" si="269"/>
        <v>0</v>
      </c>
    </row>
    <row r="4193" spans="1:9" x14ac:dyDescent="0.25">
      <c r="A4193" s="11" t="s">
        <v>10026</v>
      </c>
      <c r="B4193" s="11" t="s">
        <v>10027</v>
      </c>
      <c r="C4193" s="11" t="s">
        <v>3550</v>
      </c>
      <c r="D4193" s="4" t="s">
        <v>1406</v>
      </c>
      <c r="E4193" t="s">
        <v>30</v>
      </c>
      <c r="F4193" s="9">
        <f t="shared" si="266"/>
        <v>0</v>
      </c>
      <c r="G4193" s="9">
        <f t="shared" si="267"/>
        <v>0</v>
      </c>
      <c r="H4193" s="9">
        <f t="shared" si="268"/>
        <v>0</v>
      </c>
      <c r="I4193" s="10">
        <f t="shared" si="269"/>
        <v>0</v>
      </c>
    </row>
    <row r="4194" spans="1:9" x14ac:dyDescent="0.25">
      <c r="A4194" s="11" t="s">
        <v>10028</v>
      </c>
      <c r="B4194" s="11" t="s">
        <v>8277</v>
      </c>
      <c r="C4194" s="11" t="s">
        <v>3550</v>
      </c>
      <c r="D4194" s="4" t="s">
        <v>1406</v>
      </c>
      <c r="E4194" t="s">
        <v>82</v>
      </c>
      <c r="F4194" s="9">
        <f t="shared" si="266"/>
        <v>0</v>
      </c>
      <c r="G4194" s="9">
        <f t="shared" si="267"/>
        <v>0</v>
      </c>
      <c r="H4194" s="9">
        <f t="shared" si="268"/>
        <v>0</v>
      </c>
      <c r="I4194" s="10">
        <f t="shared" si="269"/>
        <v>0</v>
      </c>
    </row>
    <row r="4195" spans="1:9" x14ac:dyDescent="0.25">
      <c r="A4195" s="11" t="s">
        <v>10029</v>
      </c>
      <c r="B4195" s="11" t="s">
        <v>10030</v>
      </c>
      <c r="C4195" s="11" t="s">
        <v>3550</v>
      </c>
      <c r="D4195" s="4" t="s">
        <v>1406</v>
      </c>
      <c r="E4195" t="s">
        <v>30</v>
      </c>
      <c r="F4195" s="9">
        <f t="shared" si="266"/>
        <v>0</v>
      </c>
      <c r="G4195" s="9">
        <f t="shared" si="267"/>
        <v>0</v>
      </c>
      <c r="H4195" s="9">
        <f t="shared" si="268"/>
        <v>0</v>
      </c>
      <c r="I4195" s="10">
        <f t="shared" si="269"/>
        <v>0</v>
      </c>
    </row>
    <row r="4196" spans="1:9" x14ac:dyDescent="0.25">
      <c r="A4196" s="11" t="s">
        <v>10031</v>
      </c>
      <c r="B4196" s="11" t="s">
        <v>10032</v>
      </c>
      <c r="C4196" s="11" t="s">
        <v>3550</v>
      </c>
      <c r="D4196" s="4" t="s">
        <v>1406</v>
      </c>
      <c r="E4196" t="s">
        <v>30</v>
      </c>
      <c r="F4196" s="9">
        <f t="shared" si="266"/>
        <v>0</v>
      </c>
      <c r="G4196" s="9">
        <f t="shared" si="267"/>
        <v>0</v>
      </c>
      <c r="H4196" s="9">
        <f t="shared" si="268"/>
        <v>0</v>
      </c>
      <c r="I4196" s="10">
        <f t="shared" si="269"/>
        <v>0</v>
      </c>
    </row>
    <row r="4197" spans="1:9" x14ac:dyDescent="0.25">
      <c r="A4197" s="11" t="s">
        <v>10033</v>
      </c>
      <c r="B4197" s="11" t="s">
        <v>10034</v>
      </c>
      <c r="C4197" s="11" t="s">
        <v>3550</v>
      </c>
      <c r="D4197" s="4" t="s">
        <v>1406</v>
      </c>
      <c r="E4197" t="s">
        <v>489</v>
      </c>
      <c r="F4197" s="9">
        <f t="shared" si="266"/>
        <v>0</v>
      </c>
      <c r="G4197" s="9">
        <f t="shared" si="267"/>
        <v>0</v>
      </c>
      <c r="H4197" s="9">
        <f t="shared" si="268"/>
        <v>0</v>
      </c>
      <c r="I4197" s="10">
        <f t="shared" si="269"/>
        <v>0</v>
      </c>
    </row>
    <row r="4198" spans="1:9" x14ac:dyDescent="0.25">
      <c r="A4198" s="11" t="s">
        <v>10035</v>
      </c>
      <c r="B4198" s="11" t="s">
        <v>10036</v>
      </c>
      <c r="C4198" s="11" t="s">
        <v>3550</v>
      </c>
      <c r="D4198" s="4" t="s">
        <v>1406</v>
      </c>
      <c r="E4198" t="s">
        <v>30</v>
      </c>
      <c r="F4198" s="9">
        <f t="shared" si="266"/>
        <v>0</v>
      </c>
      <c r="G4198" s="9">
        <f t="shared" si="267"/>
        <v>0</v>
      </c>
      <c r="H4198" s="9">
        <f t="shared" si="268"/>
        <v>0</v>
      </c>
      <c r="I4198" s="10">
        <f t="shared" si="269"/>
        <v>0</v>
      </c>
    </row>
    <row r="4199" spans="1:9" x14ac:dyDescent="0.25">
      <c r="A4199" s="11" t="s">
        <v>10037</v>
      </c>
      <c r="B4199" s="11" t="s">
        <v>10038</v>
      </c>
      <c r="C4199" s="11" t="s">
        <v>3550</v>
      </c>
      <c r="D4199" s="4" t="s">
        <v>1406</v>
      </c>
      <c r="E4199" t="s">
        <v>30</v>
      </c>
      <c r="F4199" s="9">
        <f t="shared" si="266"/>
        <v>0</v>
      </c>
      <c r="G4199" s="9">
        <f t="shared" si="267"/>
        <v>0</v>
      </c>
      <c r="H4199" s="9">
        <f t="shared" si="268"/>
        <v>0</v>
      </c>
      <c r="I4199" s="10">
        <f t="shared" si="269"/>
        <v>0</v>
      </c>
    </row>
    <row r="4200" spans="1:9" x14ac:dyDescent="0.25">
      <c r="A4200" s="11" t="s">
        <v>10039</v>
      </c>
      <c r="B4200" s="11" t="s">
        <v>10040</v>
      </c>
      <c r="C4200" s="11" t="s">
        <v>3550</v>
      </c>
      <c r="D4200" s="4" t="s">
        <v>1406</v>
      </c>
      <c r="E4200" t="s">
        <v>30</v>
      </c>
      <c r="F4200" s="9">
        <f t="shared" si="266"/>
        <v>0</v>
      </c>
      <c r="G4200" s="9">
        <f t="shared" si="267"/>
        <v>0</v>
      </c>
      <c r="H4200" s="9">
        <f t="shared" si="268"/>
        <v>0</v>
      </c>
      <c r="I4200" s="10">
        <f t="shared" si="269"/>
        <v>0</v>
      </c>
    </row>
    <row r="4201" spans="1:9" x14ac:dyDescent="0.25">
      <c r="A4201" s="11" t="s">
        <v>10041</v>
      </c>
      <c r="B4201" s="11" t="s">
        <v>10042</v>
      </c>
      <c r="C4201" s="11" t="s">
        <v>3550</v>
      </c>
      <c r="D4201" s="4" t="s">
        <v>1406</v>
      </c>
      <c r="E4201" t="s">
        <v>30</v>
      </c>
      <c r="F4201" s="9">
        <f t="shared" si="266"/>
        <v>0</v>
      </c>
      <c r="G4201" s="9">
        <f t="shared" si="267"/>
        <v>0</v>
      </c>
      <c r="H4201" s="9">
        <f t="shared" si="268"/>
        <v>0</v>
      </c>
      <c r="I4201" s="10">
        <f t="shared" si="269"/>
        <v>0</v>
      </c>
    </row>
    <row r="4202" spans="1:9" x14ac:dyDescent="0.25">
      <c r="A4202" s="11" t="s">
        <v>10043</v>
      </c>
      <c r="B4202" s="11" t="s">
        <v>10044</v>
      </c>
      <c r="C4202" s="11" t="s">
        <v>3550</v>
      </c>
      <c r="D4202" s="4" t="s">
        <v>1406</v>
      </c>
      <c r="E4202" t="s">
        <v>30</v>
      </c>
      <c r="F4202" s="9">
        <f t="shared" si="266"/>
        <v>0</v>
      </c>
      <c r="G4202" s="9">
        <f t="shared" si="267"/>
        <v>0</v>
      </c>
      <c r="H4202" s="9">
        <f t="shared" si="268"/>
        <v>0</v>
      </c>
      <c r="I4202" s="10">
        <f t="shared" si="269"/>
        <v>0</v>
      </c>
    </row>
    <row r="4203" spans="1:9" x14ac:dyDescent="0.25">
      <c r="A4203" s="11" t="s">
        <v>10045</v>
      </c>
      <c r="B4203" s="11" t="s">
        <v>10046</v>
      </c>
      <c r="C4203" s="11" t="s">
        <v>3550</v>
      </c>
      <c r="D4203" s="4" t="s">
        <v>1406</v>
      </c>
      <c r="E4203" t="s">
        <v>30</v>
      </c>
      <c r="F4203" s="9">
        <f t="shared" si="266"/>
        <v>0</v>
      </c>
      <c r="G4203" s="9">
        <f t="shared" si="267"/>
        <v>0</v>
      </c>
      <c r="H4203" s="9">
        <f t="shared" si="268"/>
        <v>0</v>
      </c>
      <c r="I4203" s="10">
        <f t="shared" si="269"/>
        <v>0</v>
      </c>
    </row>
    <row r="4204" spans="1:9" x14ac:dyDescent="0.25">
      <c r="A4204" s="11" t="s">
        <v>10047</v>
      </c>
      <c r="B4204" s="11" t="s">
        <v>10048</v>
      </c>
      <c r="C4204" s="11" t="s">
        <v>2488</v>
      </c>
      <c r="D4204" s="4" t="s">
        <v>1406</v>
      </c>
      <c r="E4204" t="s">
        <v>30</v>
      </c>
      <c r="F4204" s="9">
        <f t="shared" si="266"/>
        <v>0</v>
      </c>
      <c r="G4204" s="9">
        <f t="shared" si="267"/>
        <v>0</v>
      </c>
      <c r="H4204" s="9">
        <f t="shared" si="268"/>
        <v>0</v>
      </c>
      <c r="I4204" s="10">
        <f t="shared" si="269"/>
        <v>0</v>
      </c>
    </row>
    <row r="4205" spans="1:9" x14ac:dyDescent="0.25">
      <c r="A4205" s="11" t="s">
        <v>10049</v>
      </c>
      <c r="B4205" s="11" t="s">
        <v>10050</v>
      </c>
      <c r="C4205" s="11" t="s">
        <v>2488</v>
      </c>
      <c r="D4205" s="4" t="s">
        <v>1406</v>
      </c>
      <c r="E4205" t="s">
        <v>30</v>
      </c>
      <c r="F4205" s="9">
        <f t="shared" si="266"/>
        <v>0</v>
      </c>
      <c r="G4205" s="9">
        <f t="shared" si="267"/>
        <v>0</v>
      </c>
      <c r="H4205" s="9">
        <f t="shared" si="268"/>
        <v>0</v>
      </c>
      <c r="I4205" s="10">
        <f t="shared" si="269"/>
        <v>0</v>
      </c>
    </row>
    <row r="4206" spans="1:9" x14ac:dyDescent="0.25">
      <c r="A4206" s="11" t="s">
        <v>10051</v>
      </c>
      <c r="B4206" s="11" t="s">
        <v>10052</v>
      </c>
      <c r="C4206" s="11" t="s">
        <v>2488</v>
      </c>
      <c r="D4206" s="4" t="s">
        <v>1406</v>
      </c>
      <c r="E4206" t="s">
        <v>30</v>
      </c>
      <c r="F4206" s="9">
        <f t="shared" si="266"/>
        <v>0</v>
      </c>
      <c r="G4206" s="9">
        <f t="shared" si="267"/>
        <v>0</v>
      </c>
      <c r="H4206" s="9">
        <f t="shared" si="268"/>
        <v>0</v>
      </c>
      <c r="I4206" s="10">
        <f t="shared" si="269"/>
        <v>0</v>
      </c>
    </row>
    <row r="4207" spans="1:9" x14ac:dyDescent="0.25">
      <c r="A4207" s="11" t="s">
        <v>10053</v>
      </c>
      <c r="B4207" s="11" t="s">
        <v>10054</v>
      </c>
      <c r="C4207" s="11" t="s">
        <v>2488</v>
      </c>
      <c r="D4207" s="4" t="s">
        <v>1406</v>
      </c>
      <c r="E4207" t="s">
        <v>30</v>
      </c>
      <c r="F4207" s="9">
        <f t="shared" ref="F4207:F4263" si="270">IFERROR(VLOOKUP(A4207,condi,8,0),0)</f>
        <v>0</v>
      </c>
      <c r="G4207" s="9">
        <f t="shared" ref="G4207:G4263" si="271">IFERROR(VLOOKUP(A4207,maqui,8,0),0)</f>
        <v>0</v>
      </c>
      <c r="H4207" s="9">
        <f t="shared" ref="H4207:H4263" si="272">IFERROR(VLOOKUP(A4207,ascint,8,0),0)</f>
        <v>0</v>
      </c>
      <c r="I4207" s="10">
        <f t="shared" ref="I4207:I4263" si="273">+F4207+G4207+H4207</f>
        <v>0</v>
      </c>
    </row>
    <row r="4208" spans="1:9" x14ac:dyDescent="0.25">
      <c r="A4208" s="11" t="s">
        <v>10055</v>
      </c>
      <c r="B4208" s="11" t="s">
        <v>10056</v>
      </c>
      <c r="C4208" s="11" t="s">
        <v>2488</v>
      </c>
      <c r="D4208" s="4" t="s">
        <v>1406</v>
      </c>
      <c r="E4208" t="s">
        <v>30</v>
      </c>
      <c r="F4208" s="9">
        <f t="shared" si="270"/>
        <v>0</v>
      </c>
      <c r="G4208" s="9">
        <f t="shared" si="271"/>
        <v>0</v>
      </c>
      <c r="H4208" s="9">
        <f t="shared" si="272"/>
        <v>0</v>
      </c>
      <c r="I4208" s="10">
        <f t="shared" si="273"/>
        <v>0</v>
      </c>
    </row>
    <row r="4209" spans="1:9" x14ac:dyDescent="0.25">
      <c r="A4209" s="11" t="s">
        <v>10057</v>
      </c>
      <c r="B4209" s="11" t="s">
        <v>10058</v>
      </c>
      <c r="C4209" s="11" t="s">
        <v>2488</v>
      </c>
      <c r="D4209" s="4" t="s">
        <v>1406</v>
      </c>
      <c r="E4209" t="s">
        <v>30</v>
      </c>
      <c r="F4209" s="9">
        <f t="shared" si="270"/>
        <v>0</v>
      </c>
      <c r="G4209" s="9">
        <f t="shared" si="271"/>
        <v>0</v>
      </c>
      <c r="H4209" s="9">
        <f t="shared" si="272"/>
        <v>0</v>
      </c>
      <c r="I4209" s="10">
        <f t="shared" si="273"/>
        <v>0</v>
      </c>
    </row>
    <row r="4210" spans="1:9" x14ac:dyDescent="0.25">
      <c r="A4210" s="11" t="s">
        <v>10059</v>
      </c>
      <c r="B4210" s="11" t="s">
        <v>10060</v>
      </c>
      <c r="C4210" s="11" t="s">
        <v>2488</v>
      </c>
      <c r="D4210" s="4" t="s">
        <v>1406</v>
      </c>
      <c r="E4210" t="s">
        <v>30</v>
      </c>
      <c r="F4210" s="9">
        <f t="shared" si="270"/>
        <v>0</v>
      </c>
      <c r="G4210" s="9">
        <f t="shared" si="271"/>
        <v>0</v>
      </c>
      <c r="H4210" s="9">
        <f t="shared" si="272"/>
        <v>0</v>
      </c>
      <c r="I4210" s="10">
        <f t="shared" si="273"/>
        <v>0</v>
      </c>
    </row>
    <row r="4211" spans="1:9" x14ac:dyDescent="0.25">
      <c r="A4211" s="11" t="s">
        <v>10061</v>
      </c>
      <c r="B4211" s="11" t="s">
        <v>10062</v>
      </c>
      <c r="C4211" s="11" t="s">
        <v>759</v>
      </c>
      <c r="D4211" s="4" t="s">
        <v>1406</v>
      </c>
      <c r="E4211" t="s">
        <v>82</v>
      </c>
      <c r="F4211" s="9">
        <f t="shared" si="270"/>
        <v>0</v>
      </c>
      <c r="G4211" s="9">
        <f t="shared" si="271"/>
        <v>0</v>
      </c>
      <c r="H4211" s="9">
        <f t="shared" si="272"/>
        <v>0</v>
      </c>
      <c r="I4211" s="10">
        <f t="shared" si="273"/>
        <v>0</v>
      </c>
    </row>
    <row r="4212" spans="1:9" x14ac:dyDescent="0.25">
      <c r="A4212" s="11" t="s">
        <v>10063</v>
      </c>
      <c r="B4212" s="11" t="s">
        <v>10064</v>
      </c>
      <c r="C4212" s="11" t="s">
        <v>759</v>
      </c>
      <c r="D4212" s="4" t="s">
        <v>1406</v>
      </c>
      <c r="E4212" t="s">
        <v>82</v>
      </c>
      <c r="F4212" s="9">
        <f t="shared" si="270"/>
        <v>0</v>
      </c>
      <c r="G4212" s="9">
        <f t="shared" si="271"/>
        <v>0</v>
      </c>
      <c r="H4212" s="9">
        <f t="shared" si="272"/>
        <v>0</v>
      </c>
      <c r="I4212" s="10">
        <f t="shared" si="273"/>
        <v>0</v>
      </c>
    </row>
    <row r="4213" spans="1:9" x14ac:dyDescent="0.25">
      <c r="A4213" s="11" t="s">
        <v>10065</v>
      </c>
      <c r="B4213" s="11" t="s">
        <v>10066</v>
      </c>
      <c r="C4213" s="11" t="s">
        <v>784</v>
      </c>
      <c r="D4213" s="4" t="s">
        <v>1406</v>
      </c>
      <c r="E4213" t="s">
        <v>30</v>
      </c>
      <c r="F4213" s="9">
        <f t="shared" si="270"/>
        <v>0</v>
      </c>
      <c r="G4213" s="9">
        <f t="shared" si="271"/>
        <v>0</v>
      </c>
      <c r="H4213" s="9">
        <f t="shared" si="272"/>
        <v>0</v>
      </c>
      <c r="I4213" s="10">
        <f t="shared" si="273"/>
        <v>0</v>
      </c>
    </row>
    <row r="4214" spans="1:9" x14ac:dyDescent="0.25">
      <c r="A4214" s="11" t="s">
        <v>10067</v>
      </c>
      <c r="B4214" s="11" t="s">
        <v>10068</v>
      </c>
      <c r="C4214" s="11" t="s">
        <v>784</v>
      </c>
      <c r="D4214" s="4" t="s">
        <v>1406</v>
      </c>
      <c r="E4214" t="s">
        <v>30</v>
      </c>
      <c r="F4214" s="9">
        <f t="shared" si="270"/>
        <v>0</v>
      </c>
      <c r="G4214" s="9">
        <f t="shared" si="271"/>
        <v>0</v>
      </c>
      <c r="H4214" s="9">
        <f t="shared" si="272"/>
        <v>0</v>
      </c>
      <c r="I4214" s="10">
        <f t="shared" si="273"/>
        <v>0</v>
      </c>
    </row>
    <row r="4215" spans="1:9" x14ac:dyDescent="0.25">
      <c r="A4215" s="11" t="s">
        <v>10069</v>
      </c>
      <c r="B4215" s="11" t="s">
        <v>10070</v>
      </c>
      <c r="C4215" s="11" t="s">
        <v>784</v>
      </c>
      <c r="D4215" s="4" t="s">
        <v>1406</v>
      </c>
      <c r="E4215" t="s">
        <v>30</v>
      </c>
      <c r="F4215" s="9">
        <f t="shared" si="270"/>
        <v>0</v>
      </c>
      <c r="G4215" s="9">
        <f t="shared" si="271"/>
        <v>0</v>
      </c>
      <c r="H4215" s="9">
        <f t="shared" si="272"/>
        <v>0</v>
      </c>
      <c r="I4215" s="10">
        <f t="shared" si="273"/>
        <v>0</v>
      </c>
    </row>
    <row r="4216" spans="1:9" x14ac:dyDescent="0.25">
      <c r="A4216" s="11" t="s">
        <v>10071</v>
      </c>
      <c r="B4216" s="11" t="s">
        <v>10072</v>
      </c>
      <c r="C4216" s="11" t="s">
        <v>784</v>
      </c>
      <c r="D4216" s="4" t="s">
        <v>1406</v>
      </c>
      <c r="E4216" t="s">
        <v>30</v>
      </c>
      <c r="F4216" s="9">
        <f t="shared" si="270"/>
        <v>0</v>
      </c>
      <c r="G4216" s="9">
        <f t="shared" si="271"/>
        <v>0</v>
      </c>
      <c r="H4216" s="9">
        <f t="shared" si="272"/>
        <v>0</v>
      </c>
      <c r="I4216" s="10">
        <f t="shared" si="273"/>
        <v>0</v>
      </c>
    </row>
    <row r="4217" spans="1:9" x14ac:dyDescent="0.25">
      <c r="A4217" s="11" t="s">
        <v>10073</v>
      </c>
      <c r="B4217" s="11" t="s">
        <v>10074</v>
      </c>
      <c r="C4217" s="11" t="s">
        <v>784</v>
      </c>
      <c r="D4217" s="4" t="s">
        <v>1406</v>
      </c>
      <c r="E4217" t="s">
        <v>30</v>
      </c>
      <c r="F4217" s="9">
        <f t="shared" si="270"/>
        <v>0</v>
      </c>
      <c r="G4217" s="9">
        <f t="shared" si="271"/>
        <v>0</v>
      </c>
      <c r="H4217" s="9">
        <f t="shared" si="272"/>
        <v>0</v>
      </c>
      <c r="I4217" s="10">
        <f t="shared" si="273"/>
        <v>0</v>
      </c>
    </row>
    <row r="4218" spans="1:9" x14ac:dyDescent="0.25">
      <c r="A4218" s="11" t="s">
        <v>10075</v>
      </c>
      <c r="B4218" s="11" t="s">
        <v>10076</v>
      </c>
      <c r="C4218" s="11" t="s">
        <v>784</v>
      </c>
      <c r="D4218" s="4" t="s">
        <v>1406</v>
      </c>
      <c r="E4218" t="s">
        <v>30</v>
      </c>
      <c r="F4218" s="9">
        <f t="shared" si="270"/>
        <v>0</v>
      </c>
      <c r="G4218" s="9">
        <f t="shared" si="271"/>
        <v>0</v>
      </c>
      <c r="H4218" s="9">
        <f t="shared" si="272"/>
        <v>0</v>
      </c>
      <c r="I4218" s="10">
        <f t="shared" si="273"/>
        <v>0</v>
      </c>
    </row>
    <row r="4219" spans="1:9" x14ac:dyDescent="0.25">
      <c r="A4219" s="11" t="s">
        <v>10077</v>
      </c>
      <c r="B4219" s="11" t="s">
        <v>8473</v>
      </c>
      <c r="C4219" s="11" t="s">
        <v>784</v>
      </c>
      <c r="D4219" s="4" t="s">
        <v>1406</v>
      </c>
      <c r="E4219" t="s">
        <v>30</v>
      </c>
      <c r="F4219" s="9">
        <f t="shared" si="270"/>
        <v>0</v>
      </c>
      <c r="G4219" s="9">
        <f t="shared" si="271"/>
        <v>0</v>
      </c>
      <c r="H4219" s="9">
        <f t="shared" si="272"/>
        <v>0</v>
      </c>
      <c r="I4219" s="10">
        <f t="shared" si="273"/>
        <v>0</v>
      </c>
    </row>
    <row r="4220" spans="1:9" x14ac:dyDescent="0.25">
      <c r="A4220" s="11" t="s">
        <v>10078</v>
      </c>
      <c r="B4220" s="11" t="s">
        <v>10079</v>
      </c>
      <c r="C4220" s="11" t="s">
        <v>784</v>
      </c>
      <c r="D4220" s="4" t="s">
        <v>1406</v>
      </c>
      <c r="E4220" t="s">
        <v>30</v>
      </c>
      <c r="F4220" s="9">
        <f t="shared" si="270"/>
        <v>0</v>
      </c>
      <c r="G4220" s="9">
        <f t="shared" si="271"/>
        <v>0</v>
      </c>
      <c r="H4220" s="9">
        <f t="shared" si="272"/>
        <v>0</v>
      </c>
      <c r="I4220" s="10">
        <f t="shared" si="273"/>
        <v>0</v>
      </c>
    </row>
    <row r="4221" spans="1:9" x14ac:dyDescent="0.25">
      <c r="A4221" s="11" t="s">
        <v>10080</v>
      </c>
      <c r="B4221" s="11" t="s">
        <v>10081</v>
      </c>
      <c r="C4221" s="11" t="s">
        <v>784</v>
      </c>
      <c r="D4221" s="4" t="s">
        <v>1406</v>
      </c>
      <c r="E4221" t="s">
        <v>30</v>
      </c>
      <c r="F4221" s="9">
        <f t="shared" si="270"/>
        <v>0</v>
      </c>
      <c r="G4221" s="9">
        <f t="shared" si="271"/>
        <v>0</v>
      </c>
      <c r="H4221" s="9">
        <f t="shared" si="272"/>
        <v>0</v>
      </c>
      <c r="I4221" s="10">
        <f t="shared" si="273"/>
        <v>0</v>
      </c>
    </row>
    <row r="4222" spans="1:9" x14ac:dyDescent="0.25">
      <c r="A4222" s="11" t="s">
        <v>10082</v>
      </c>
      <c r="B4222" s="11" t="s">
        <v>10083</v>
      </c>
      <c r="C4222" s="11" t="s">
        <v>784</v>
      </c>
      <c r="D4222" s="4" t="s">
        <v>1406</v>
      </c>
      <c r="E4222" t="s">
        <v>30</v>
      </c>
      <c r="F4222" s="9">
        <f t="shared" si="270"/>
        <v>0</v>
      </c>
      <c r="G4222" s="9">
        <f t="shared" si="271"/>
        <v>0</v>
      </c>
      <c r="H4222" s="9">
        <f t="shared" si="272"/>
        <v>0</v>
      </c>
      <c r="I4222" s="10">
        <f t="shared" si="273"/>
        <v>0</v>
      </c>
    </row>
    <row r="4223" spans="1:9" x14ac:dyDescent="0.25">
      <c r="A4223" s="11" t="s">
        <v>10084</v>
      </c>
      <c r="B4223" s="11" t="s">
        <v>10085</v>
      </c>
      <c r="C4223" s="11" t="s">
        <v>784</v>
      </c>
      <c r="D4223" s="4" t="s">
        <v>1406</v>
      </c>
      <c r="E4223" t="s">
        <v>30</v>
      </c>
      <c r="F4223" s="9">
        <f t="shared" si="270"/>
        <v>0</v>
      </c>
      <c r="G4223" s="9">
        <f t="shared" si="271"/>
        <v>0</v>
      </c>
      <c r="H4223" s="9">
        <f t="shared" si="272"/>
        <v>0</v>
      </c>
      <c r="I4223" s="10">
        <f t="shared" si="273"/>
        <v>0</v>
      </c>
    </row>
    <row r="4224" spans="1:9" x14ac:dyDescent="0.25">
      <c r="A4224" s="11" t="s">
        <v>10086</v>
      </c>
      <c r="B4224" s="11" t="s">
        <v>10087</v>
      </c>
      <c r="C4224" s="11" t="s">
        <v>784</v>
      </c>
      <c r="D4224" s="4" t="s">
        <v>1406</v>
      </c>
      <c r="E4224" t="s">
        <v>30</v>
      </c>
      <c r="F4224" s="9">
        <f t="shared" si="270"/>
        <v>0</v>
      </c>
      <c r="G4224" s="9">
        <f t="shared" si="271"/>
        <v>0</v>
      </c>
      <c r="H4224" s="9">
        <f t="shared" si="272"/>
        <v>0</v>
      </c>
      <c r="I4224" s="10">
        <f t="shared" si="273"/>
        <v>0</v>
      </c>
    </row>
    <row r="4225" spans="1:9" x14ac:dyDescent="0.25">
      <c r="A4225" s="11" t="s">
        <v>10088</v>
      </c>
      <c r="B4225" s="11" t="s">
        <v>10089</v>
      </c>
      <c r="C4225" s="11" t="s">
        <v>784</v>
      </c>
      <c r="D4225" s="4" t="s">
        <v>1406</v>
      </c>
      <c r="E4225" t="s">
        <v>30</v>
      </c>
      <c r="F4225" s="9">
        <f t="shared" si="270"/>
        <v>0</v>
      </c>
      <c r="G4225" s="9">
        <f t="shared" si="271"/>
        <v>0</v>
      </c>
      <c r="H4225" s="9">
        <f t="shared" si="272"/>
        <v>0</v>
      </c>
      <c r="I4225" s="10">
        <f t="shared" si="273"/>
        <v>0</v>
      </c>
    </row>
    <row r="4226" spans="1:9" x14ac:dyDescent="0.25">
      <c r="A4226" s="11" t="s">
        <v>10090</v>
      </c>
      <c r="B4226" s="11" t="s">
        <v>10091</v>
      </c>
      <c r="C4226" s="11" t="s">
        <v>784</v>
      </c>
      <c r="D4226" s="4" t="s">
        <v>1406</v>
      </c>
      <c r="E4226" t="s">
        <v>30</v>
      </c>
      <c r="F4226" s="9">
        <f t="shared" si="270"/>
        <v>0</v>
      </c>
      <c r="G4226" s="9">
        <f t="shared" si="271"/>
        <v>0</v>
      </c>
      <c r="H4226" s="9">
        <f t="shared" si="272"/>
        <v>0</v>
      </c>
      <c r="I4226" s="10">
        <f t="shared" si="273"/>
        <v>0</v>
      </c>
    </row>
    <row r="4227" spans="1:9" x14ac:dyDescent="0.25">
      <c r="A4227" s="11" t="s">
        <v>10092</v>
      </c>
      <c r="B4227" s="11" t="s">
        <v>10093</v>
      </c>
      <c r="C4227" s="11" t="s">
        <v>784</v>
      </c>
      <c r="D4227" s="4" t="s">
        <v>1406</v>
      </c>
      <c r="E4227" t="s">
        <v>30</v>
      </c>
      <c r="F4227" s="9">
        <f t="shared" si="270"/>
        <v>0</v>
      </c>
      <c r="G4227" s="9">
        <f t="shared" si="271"/>
        <v>0</v>
      </c>
      <c r="H4227" s="9">
        <f t="shared" si="272"/>
        <v>0</v>
      </c>
      <c r="I4227" s="10">
        <f t="shared" si="273"/>
        <v>0</v>
      </c>
    </row>
    <row r="4228" spans="1:9" x14ac:dyDescent="0.25">
      <c r="A4228" s="11" t="s">
        <v>10094</v>
      </c>
      <c r="B4228" s="11" t="s">
        <v>10095</v>
      </c>
      <c r="C4228" s="11" t="s">
        <v>784</v>
      </c>
      <c r="D4228" s="4" t="s">
        <v>1406</v>
      </c>
      <c r="E4228" t="s">
        <v>30</v>
      </c>
      <c r="F4228" s="9">
        <f t="shared" si="270"/>
        <v>0</v>
      </c>
      <c r="G4228" s="9">
        <f t="shared" si="271"/>
        <v>0</v>
      </c>
      <c r="H4228" s="9">
        <f t="shared" si="272"/>
        <v>0</v>
      </c>
      <c r="I4228" s="10">
        <f t="shared" si="273"/>
        <v>0</v>
      </c>
    </row>
    <row r="4229" spans="1:9" x14ac:dyDescent="0.25">
      <c r="A4229" s="11" t="s">
        <v>10096</v>
      </c>
      <c r="B4229" s="11" t="s">
        <v>8559</v>
      </c>
      <c r="C4229" s="11" t="s">
        <v>784</v>
      </c>
      <c r="D4229" s="4" t="s">
        <v>1406</v>
      </c>
      <c r="E4229" t="s">
        <v>30</v>
      </c>
      <c r="F4229" s="9">
        <f t="shared" si="270"/>
        <v>0</v>
      </c>
      <c r="G4229" s="9">
        <f t="shared" si="271"/>
        <v>0</v>
      </c>
      <c r="H4229" s="9">
        <f t="shared" si="272"/>
        <v>0</v>
      </c>
      <c r="I4229" s="10">
        <f t="shared" si="273"/>
        <v>0</v>
      </c>
    </row>
    <row r="4230" spans="1:9" x14ac:dyDescent="0.25">
      <c r="A4230" s="11" t="s">
        <v>10097</v>
      </c>
      <c r="B4230" s="11" t="s">
        <v>10098</v>
      </c>
      <c r="C4230" s="11" t="s">
        <v>784</v>
      </c>
      <c r="D4230" s="4" t="s">
        <v>1406</v>
      </c>
      <c r="E4230" t="s">
        <v>30</v>
      </c>
      <c r="F4230" s="9">
        <f t="shared" si="270"/>
        <v>0</v>
      </c>
      <c r="G4230" s="9">
        <f t="shared" si="271"/>
        <v>0</v>
      </c>
      <c r="H4230" s="9">
        <f t="shared" si="272"/>
        <v>0</v>
      </c>
      <c r="I4230" s="10">
        <f t="shared" si="273"/>
        <v>0</v>
      </c>
    </row>
    <row r="4231" spans="1:9" x14ac:dyDescent="0.25">
      <c r="A4231" s="11" t="s">
        <v>10099</v>
      </c>
      <c r="B4231" s="11" t="s">
        <v>10100</v>
      </c>
      <c r="C4231" s="11" t="s">
        <v>784</v>
      </c>
      <c r="D4231" s="4" t="s">
        <v>1406</v>
      </c>
      <c r="E4231" t="s">
        <v>30</v>
      </c>
      <c r="F4231" s="9">
        <f t="shared" si="270"/>
        <v>0</v>
      </c>
      <c r="G4231" s="9">
        <f t="shared" si="271"/>
        <v>0</v>
      </c>
      <c r="H4231" s="9">
        <f t="shared" si="272"/>
        <v>0</v>
      </c>
      <c r="I4231" s="10">
        <f t="shared" si="273"/>
        <v>0</v>
      </c>
    </row>
    <row r="4232" spans="1:9" x14ac:dyDescent="0.25">
      <c r="A4232" s="11" t="s">
        <v>10101</v>
      </c>
      <c r="B4232" s="11" t="s">
        <v>10102</v>
      </c>
      <c r="C4232" s="11" t="s">
        <v>784</v>
      </c>
      <c r="D4232" s="4" t="s">
        <v>1406</v>
      </c>
      <c r="E4232" t="s">
        <v>30</v>
      </c>
      <c r="F4232" s="9">
        <f t="shared" si="270"/>
        <v>0</v>
      </c>
      <c r="G4232" s="9">
        <f t="shared" si="271"/>
        <v>0</v>
      </c>
      <c r="H4232" s="9">
        <f t="shared" si="272"/>
        <v>0</v>
      </c>
      <c r="I4232" s="10">
        <f t="shared" si="273"/>
        <v>0</v>
      </c>
    </row>
    <row r="4233" spans="1:9" x14ac:dyDescent="0.25">
      <c r="A4233" s="11" t="s">
        <v>10103</v>
      </c>
      <c r="B4233" s="11" t="s">
        <v>10104</v>
      </c>
      <c r="C4233" s="11" t="s">
        <v>784</v>
      </c>
      <c r="D4233" s="4" t="s">
        <v>1406</v>
      </c>
      <c r="E4233" t="s">
        <v>30</v>
      </c>
      <c r="F4233" s="9">
        <f t="shared" si="270"/>
        <v>0</v>
      </c>
      <c r="G4233" s="9">
        <f t="shared" si="271"/>
        <v>0</v>
      </c>
      <c r="H4233" s="9">
        <f t="shared" si="272"/>
        <v>0</v>
      </c>
      <c r="I4233" s="10">
        <f t="shared" si="273"/>
        <v>0</v>
      </c>
    </row>
    <row r="4234" spans="1:9" x14ac:dyDescent="0.25">
      <c r="A4234" s="11" t="s">
        <v>10105</v>
      </c>
      <c r="B4234" s="11" t="s">
        <v>10106</v>
      </c>
      <c r="C4234" s="11" t="s">
        <v>791</v>
      </c>
      <c r="D4234" s="4" t="s">
        <v>1406</v>
      </c>
      <c r="E4234" t="s">
        <v>30</v>
      </c>
      <c r="F4234" s="9">
        <f t="shared" si="270"/>
        <v>0</v>
      </c>
      <c r="G4234" s="9">
        <f t="shared" si="271"/>
        <v>0</v>
      </c>
      <c r="H4234" s="9">
        <f t="shared" si="272"/>
        <v>0</v>
      </c>
      <c r="I4234" s="10">
        <f t="shared" si="273"/>
        <v>0</v>
      </c>
    </row>
    <row r="4235" spans="1:9" x14ac:dyDescent="0.25">
      <c r="A4235" s="11" t="s">
        <v>10107</v>
      </c>
      <c r="B4235" s="11" t="s">
        <v>8737</v>
      </c>
      <c r="C4235" s="11" t="s">
        <v>791</v>
      </c>
      <c r="D4235" s="4" t="s">
        <v>1406</v>
      </c>
      <c r="E4235" t="s">
        <v>30</v>
      </c>
      <c r="F4235" s="9">
        <f t="shared" si="270"/>
        <v>0</v>
      </c>
      <c r="G4235" s="9">
        <f t="shared" si="271"/>
        <v>0</v>
      </c>
      <c r="H4235" s="9">
        <f t="shared" si="272"/>
        <v>0</v>
      </c>
      <c r="I4235" s="10">
        <f t="shared" si="273"/>
        <v>0</v>
      </c>
    </row>
    <row r="4236" spans="1:9" x14ac:dyDescent="0.25">
      <c r="A4236" s="11" t="s">
        <v>10108</v>
      </c>
      <c r="B4236" s="11" t="s">
        <v>8831</v>
      </c>
      <c r="C4236" s="11" t="s">
        <v>791</v>
      </c>
      <c r="D4236" s="4" t="s">
        <v>1406</v>
      </c>
      <c r="E4236" t="s">
        <v>30</v>
      </c>
      <c r="F4236" s="9">
        <f t="shared" si="270"/>
        <v>0</v>
      </c>
      <c r="G4236" s="9">
        <f t="shared" si="271"/>
        <v>0</v>
      </c>
      <c r="H4236" s="9">
        <f t="shared" si="272"/>
        <v>0</v>
      </c>
      <c r="I4236" s="10">
        <f t="shared" si="273"/>
        <v>0</v>
      </c>
    </row>
    <row r="4237" spans="1:9" x14ac:dyDescent="0.25">
      <c r="A4237" s="11" t="s">
        <v>10109</v>
      </c>
      <c r="B4237" s="11" t="s">
        <v>8849</v>
      </c>
      <c r="C4237" s="11" t="s">
        <v>791</v>
      </c>
      <c r="D4237" s="4" t="s">
        <v>1406</v>
      </c>
      <c r="E4237" t="s">
        <v>30</v>
      </c>
      <c r="F4237" s="9">
        <f t="shared" si="270"/>
        <v>0</v>
      </c>
      <c r="G4237" s="9">
        <f t="shared" si="271"/>
        <v>0</v>
      </c>
      <c r="H4237" s="9">
        <f t="shared" si="272"/>
        <v>0</v>
      </c>
      <c r="I4237" s="10">
        <f t="shared" si="273"/>
        <v>0</v>
      </c>
    </row>
    <row r="4238" spans="1:9" x14ac:dyDescent="0.25">
      <c r="A4238" s="11" t="s">
        <v>10110</v>
      </c>
      <c r="B4238" s="11" t="s">
        <v>10111</v>
      </c>
      <c r="C4238" s="11" t="s">
        <v>2901</v>
      </c>
      <c r="D4238" s="4" t="s">
        <v>1406</v>
      </c>
      <c r="E4238" t="s">
        <v>30</v>
      </c>
      <c r="F4238" s="9">
        <f t="shared" si="270"/>
        <v>0</v>
      </c>
      <c r="G4238" s="9">
        <f t="shared" si="271"/>
        <v>0</v>
      </c>
      <c r="H4238" s="9">
        <f t="shared" si="272"/>
        <v>0</v>
      </c>
      <c r="I4238" s="10">
        <f t="shared" si="273"/>
        <v>0</v>
      </c>
    </row>
    <row r="4239" spans="1:9" x14ac:dyDescent="0.25">
      <c r="A4239" s="11" t="s">
        <v>10112</v>
      </c>
      <c r="B4239" s="11" t="s">
        <v>10113</v>
      </c>
      <c r="C4239" s="11" t="s">
        <v>2901</v>
      </c>
      <c r="D4239" s="4" t="s">
        <v>1406</v>
      </c>
      <c r="E4239" t="s">
        <v>30</v>
      </c>
      <c r="F4239" s="9">
        <f t="shared" si="270"/>
        <v>0</v>
      </c>
      <c r="G4239" s="9">
        <f t="shared" si="271"/>
        <v>0</v>
      </c>
      <c r="H4239" s="9">
        <f t="shared" si="272"/>
        <v>0</v>
      </c>
      <c r="I4239" s="10">
        <f t="shared" si="273"/>
        <v>0</v>
      </c>
    </row>
    <row r="4240" spans="1:9" x14ac:dyDescent="0.25">
      <c r="A4240" s="11" t="s">
        <v>10114</v>
      </c>
      <c r="B4240" s="11" t="s">
        <v>10115</v>
      </c>
      <c r="C4240" s="11" t="s">
        <v>2901</v>
      </c>
      <c r="D4240" s="4" t="s">
        <v>1406</v>
      </c>
      <c r="E4240" t="s">
        <v>30</v>
      </c>
      <c r="F4240" s="9">
        <f t="shared" si="270"/>
        <v>0</v>
      </c>
      <c r="G4240" s="9">
        <f t="shared" si="271"/>
        <v>0</v>
      </c>
      <c r="H4240" s="9">
        <f t="shared" si="272"/>
        <v>0</v>
      </c>
      <c r="I4240" s="10">
        <f t="shared" si="273"/>
        <v>0</v>
      </c>
    </row>
    <row r="4241" spans="1:9" x14ac:dyDescent="0.25">
      <c r="A4241" s="11" t="s">
        <v>10116</v>
      </c>
      <c r="B4241" s="11" t="s">
        <v>3840</v>
      </c>
      <c r="C4241" s="11" t="s">
        <v>2901</v>
      </c>
      <c r="D4241" s="4" t="s">
        <v>1406</v>
      </c>
      <c r="E4241" t="s">
        <v>30</v>
      </c>
      <c r="F4241" s="9">
        <f t="shared" si="270"/>
        <v>0</v>
      </c>
      <c r="G4241" s="9">
        <f t="shared" si="271"/>
        <v>0</v>
      </c>
      <c r="H4241" s="9">
        <f t="shared" si="272"/>
        <v>0</v>
      </c>
      <c r="I4241" s="10">
        <f t="shared" si="273"/>
        <v>0</v>
      </c>
    </row>
    <row r="4242" spans="1:9" x14ac:dyDescent="0.25">
      <c r="A4242" s="11" t="s">
        <v>10117</v>
      </c>
      <c r="B4242" s="11" t="s">
        <v>10118</v>
      </c>
      <c r="C4242" s="11" t="s">
        <v>2901</v>
      </c>
      <c r="D4242" s="4" t="s">
        <v>1406</v>
      </c>
      <c r="E4242" t="s">
        <v>30</v>
      </c>
      <c r="F4242" s="9">
        <f t="shared" si="270"/>
        <v>0</v>
      </c>
      <c r="G4242" s="9">
        <f t="shared" si="271"/>
        <v>0</v>
      </c>
      <c r="H4242" s="9">
        <f t="shared" si="272"/>
        <v>0</v>
      </c>
      <c r="I4242" s="10">
        <f t="shared" si="273"/>
        <v>0</v>
      </c>
    </row>
    <row r="4243" spans="1:9" x14ac:dyDescent="0.25">
      <c r="A4243" s="11" t="s">
        <v>10119</v>
      </c>
      <c r="B4243" s="11" t="s">
        <v>10120</v>
      </c>
      <c r="C4243" s="11" t="s">
        <v>2901</v>
      </c>
      <c r="D4243" s="4" t="s">
        <v>1406</v>
      </c>
      <c r="E4243" t="s">
        <v>30</v>
      </c>
      <c r="F4243" s="9">
        <f t="shared" si="270"/>
        <v>0</v>
      </c>
      <c r="G4243" s="9">
        <f t="shared" si="271"/>
        <v>0</v>
      </c>
      <c r="H4243" s="9">
        <f t="shared" si="272"/>
        <v>0</v>
      </c>
      <c r="I4243" s="10">
        <f t="shared" si="273"/>
        <v>0</v>
      </c>
    </row>
    <row r="4244" spans="1:9" x14ac:dyDescent="0.25">
      <c r="A4244" s="11" t="s">
        <v>10121</v>
      </c>
      <c r="B4244" s="11" t="s">
        <v>9035</v>
      </c>
      <c r="C4244" s="11" t="s">
        <v>2901</v>
      </c>
      <c r="D4244" s="4" t="s">
        <v>1406</v>
      </c>
      <c r="E4244" t="s">
        <v>30</v>
      </c>
      <c r="F4244" s="9">
        <f t="shared" si="270"/>
        <v>0</v>
      </c>
      <c r="G4244" s="9">
        <f t="shared" si="271"/>
        <v>0</v>
      </c>
      <c r="H4244" s="9">
        <f t="shared" si="272"/>
        <v>0</v>
      </c>
      <c r="I4244" s="10">
        <f t="shared" si="273"/>
        <v>0</v>
      </c>
    </row>
    <row r="4245" spans="1:9" x14ac:dyDescent="0.25">
      <c r="A4245" s="11" t="s">
        <v>10122</v>
      </c>
      <c r="B4245" s="11" t="s">
        <v>10123</v>
      </c>
      <c r="C4245" s="11" t="s">
        <v>2901</v>
      </c>
      <c r="D4245" s="4" t="s">
        <v>1406</v>
      </c>
      <c r="E4245" t="s">
        <v>30</v>
      </c>
      <c r="F4245" s="9">
        <f t="shared" si="270"/>
        <v>0</v>
      </c>
      <c r="G4245" s="9">
        <f t="shared" si="271"/>
        <v>0</v>
      </c>
      <c r="H4245" s="9">
        <f t="shared" si="272"/>
        <v>0</v>
      </c>
      <c r="I4245" s="10">
        <f t="shared" si="273"/>
        <v>0</v>
      </c>
    </row>
    <row r="4246" spans="1:9" x14ac:dyDescent="0.25">
      <c r="A4246" s="11" t="s">
        <v>10124</v>
      </c>
      <c r="B4246" s="11" t="s">
        <v>10125</v>
      </c>
      <c r="C4246" s="11" t="s">
        <v>2901</v>
      </c>
      <c r="D4246" s="4" t="s">
        <v>1406</v>
      </c>
      <c r="E4246" t="s">
        <v>30</v>
      </c>
      <c r="F4246" s="9">
        <f t="shared" si="270"/>
        <v>0</v>
      </c>
      <c r="G4246" s="9">
        <f t="shared" si="271"/>
        <v>0</v>
      </c>
      <c r="H4246" s="9">
        <f t="shared" si="272"/>
        <v>0</v>
      </c>
      <c r="I4246" s="10">
        <f t="shared" si="273"/>
        <v>0</v>
      </c>
    </row>
    <row r="4247" spans="1:9" x14ac:dyDescent="0.25">
      <c r="A4247" s="11" t="s">
        <v>10126</v>
      </c>
      <c r="B4247" s="11" t="s">
        <v>10127</v>
      </c>
      <c r="C4247" s="11" t="s">
        <v>2901</v>
      </c>
      <c r="D4247" s="4" t="s">
        <v>1406</v>
      </c>
      <c r="E4247" t="s">
        <v>30</v>
      </c>
      <c r="F4247" s="9">
        <f t="shared" si="270"/>
        <v>0</v>
      </c>
      <c r="G4247" s="9">
        <f t="shared" si="271"/>
        <v>0</v>
      </c>
      <c r="H4247" s="9">
        <f t="shared" si="272"/>
        <v>0</v>
      </c>
      <c r="I4247" s="10">
        <f t="shared" si="273"/>
        <v>0</v>
      </c>
    </row>
    <row r="4248" spans="1:9" x14ac:dyDescent="0.25">
      <c r="A4248" s="11" t="s">
        <v>10128</v>
      </c>
      <c r="B4248" s="11" t="s">
        <v>10129</v>
      </c>
      <c r="C4248" s="11" t="s">
        <v>2922</v>
      </c>
      <c r="D4248" s="4" t="s">
        <v>1406</v>
      </c>
      <c r="E4248" t="s">
        <v>30</v>
      </c>
      <c r="F4248" s="9">
        <f t="shared" si="270"/>
        <v>0</v>
      </c>
      <c r="G4248" s="9">
        <f t="shared" si="271"/>
        <v>0</v>
      </c>
      <c r="H4248" s="9">
        <f t="shared" si="272"/>
        <v>0</v>
      </c>
      <c r="I4248" s="10">
        <f t="shared" si="273"/>
        <v>0</v>
      </c>
    </row>
    <row r="4249" spans="1:9" x14ac:dyDescent="0.25">
      <c r="A4249" s="11" t="s">
        <v>10130</v>
      </c>
      <c r="B4249" s="11" t="s">
        <v>10131</v>
      </c>
      <c r="C4249" s="11" t="s">
        <v>2922</v>
      </c>
      <c r="D4249" s="4" t="s">
        <v>1406</v>
      </c>
      <c r="E4249" t="s">
        <v>30</v>
      </c>
      <c r="F4249" s="9">
        <f t="shared" si="270"/>
        <v>0</v>
      </c>
      <c r="G4249" s="9">
        <f t="shared" si="271"/>
        <v>0</v>
      </c>
      <c r="H4249" s="9">
        <f t="shared" si="272"/>
        <v>0</v>
      </c>
      <c r="I4249" s="10">
        <f t="shared" si="273"/>
        <v>0</v>
      </c>
    </row>
    <row r="4250" spans="1:9" x14ac:dyDescent="0.25">
      <c r="A4250" s="11" t="s">
        <v>10132</v>
      </c>
      <c r="B4250" s="11" t="s">
        <v>10133</v>
      </c>
      <c r="C4250" s="11" t="s">
        <v>2922</v>
      </c>
      <c r="D4250" s="4" t="s">
        <v>1406</v>
      </c>
      <c r="E4250" t="s">
        <v>30</v>
      </c>
      <c r="F4250" s="9">
        <f t="shared" si="270"/>
        <v>0</v>
      </c>
      <c r="G4250" s="9">
        <f t="shared" si="271"/>
        <v>0</v>
      </c>
      <c r="H4250" s="9">
        <f t="shared" si="272"/>
        <v>0</v>
      </c>
      <c r="I4250" s="10">
        <f t="shared" si="273"/>
        <v>0</v>
      </c>
    </row>
    <row r="4251" spans="1:9" x14ac:dyDescent="0.25">
      <c r="A4251" s="11" t="s">
        <v>10134</v>
      </c>
      <c r="B4251" s="11" t="s">
        <v>10135</v>
      </c>
      <c r="C4251" s="11" t="s">
        <v>2922</v>
      </c>
      <c r="D4251" s="4" t="s">
        <v>1406</v>
      </c>
      <c r="E4251" t="s">
        <v>30</v>
      </c>
      <c r="F4251" s="9">
        <f t="shared" si="270"/>
        <v>0</v>
      </c>
      <c r="G4251" s="9">
        <f t="shared" si="271"/>
        <v>0</v>
      </c>
      <c r="H4251" s="9">
        <f t="shared" si="272"/>
        <v>0</v>
      </c>
      <c r="I4251" s="10">
        <f t="shared" si="273"/>
        <v>0</v>
      </c>
    </row>
    <row r="4252" spans="1:9" x14ac:dyDescent="0.25">
      <c r="A4252" s="11" t="s">
        <v>10136</v>
      </c>
      <c r="B4252" s="11" t="s">
        <v>10137</v>
      </c>
      <c r="C4252" s="11" t="s">
        <v>2922</v>
      </c>
      <c r="D4252" s="4" t="s">
        <v>1406</v>
      </c>
      <c r="E4252" t="s">
        <v>30</v>
      </c>
      <c r="F4252" s="9">
        <f t="shared" si="270"/>
        <v>0</v>
      </c>
      <c r="G4252" s="9">
        <f t="shared" si="271"/>
        <v>0</v>
      </c>
      <c r="H4252" s="9">
        <f t="shared" si="272"/>
        <v>0</v>
      </c>
      <c r="I4252" s="10">
        <f t="shared" si="273"/>
        <v>0</v>
      </c>
    </row>
    <row r="4253" spans="1:9" x14ac:dyDescent="0.25">
      <c r="A4253" s="11" t="s">
        <v>10138</v>
      </c>
      <c r="B4253" s="11" t="s">
        <v>10139</v>
      </c>
      <c r="C4253" s="11" t="s">
        <v>2922</v>
      </c>
      <c r="D4253" s="4" t="s">
        <v>1406</v>
      </c>
      <c r="E4253" t="s">
        <v>30</v>
      </c>
      <c r="F4253" s="9">
        <f t="shared" si="270"/>
        <v>0</v>
      </c>
      <c r="G4253" s="9">
        <f t="shared" si="271"/>
        <v>0</v>
      </c>
      <c r="H4253" s="9">
        <f t="shared" si="272"/>
        <v>0</v>
      </c>
      <c r="I4253" s="10">
        <f t="shared" si="273"/>
        <v>0</v>
      </c>
    </row>
    <row r="4254" spans="1:9" x14ac:dyDescent="0.25">
      <c r="A4254" s="11" t="s">
        <v>10140</v>
      </c>
      <c r="B4254" s="11" t="s">
        <v>10141</v>
      </c>
      <c r="C4254" s="11" t="s">
        <v>2922</v>
      </c>
      <c r="D4254" s="4" t="s">
        <v>1406</v>
      </c>
      <c r="E4254" t="s">
        <v>30</v>
      </c>
      <c r="F4254" s="9">
        <f t="shared" si="270"/>
        <v>0</v>
      </c>
      <c r="G4254" s="9">
        <f t="shared" si="271"/>
        <v>0</v>
      </c>
      <c r="H4254" s="9">
        <f t="shared" si="272"/>
        <v>0</v>
      </c>
      <c r="I4254" s="10">
        <f t="shared" si="273"/>
        <v>0</v>
      </c>
    </row>
    <row r="4255" spans="1:9" x14ac:dyDescent="0.25">
      <c r="A4255" s="11" t="s">
        <v>10142</v>
      </c>
      <c r="B4255" s="11" t="s">
        <v>10143</v>
      </c>
      <c r="C4255" s="11" t="s">
        <v>2922</v>
      </c>
      <c r="D4255" s="4" t="s">
        <v>1406</v>
      </c>
      <c r="E4255" t="s">
        <v>30</v>
      </c>
      <c r="F4255" s="9">
        <f t="shared" si="270"/>
        <v>0</v>
      </c>
      <c r="G4255" s="9">
        <f t="shared" si="271"/>
        <v>0</v>
      </c>
      <c r="H4255" s="9">
        <f t="shared" si="272"/>
        <v>0</v>
      </c>
      <c r="I4255" s="10">
        <f t="shared" si="273"/>
        <v>0</v>
      </c>
    </row>
    <row r="4256" spans="1:9" x14ac:dyDescent="0.25">
      <c r="A4256" s="11" t="s">
        <v>10144</v>
      </c>
      <c r="B4256" s="11" t="s">
        <v>10145</v>
      </c>
      <c r="C4256" s="11" t="s">
        <v>2922</v>
      </c>
      <c r="D4256" s="4" t="s">
        <v>1406</v>
      </c>
      <c r="E4256" t="s">
        <v>30</v>
      </c>
      <c r="F4256" s="9">
        <f t="shared" si="270"/>
        <v>0</v>
      </c>
      <c r="G4256" s="9">
        <f t="shared" si="271"/>
        <v>0</v>
      </c>
      <c r="H4256" s="9">
        <f t="shared" si="272"/>
        <v>0</v>
      </c>
      <c r="I4256" s="10">
        <f t="shared" si="273"/>
        <v>0</v>
      </c>
    </row>
    <row r="4257" spans="1:9" x14ac:dyDescent="0.25">
      <c r="A4257" s="11" t="s">
        <v>10146</v>
      </c>
      <c r="B4257" s="11" t="s">
        <v>10147</v>
      </c>
      <c r="C4257" s="11" t="s">
        <v>2922</v>
      </c>
      <c r="D4257" s="4" t="s">
        <v>1406</v>
      </c>
      <c r="E4257" t="s">
        <v>30</v>
      </c>
      <c r="F4257" s="9">
        <f t="shared" si="270"/>
        <v>0</v>
      </c>
      <c r="G4257" s="9">
        <f t="shared" si="271"/>
        <v>0</v>
      </c>
      <c r="H4257" s="9">
        <f t="shared" si="272"/>
        <v>0</v>
      </c>
      <c r="I4257" s="10">
        <f t="shared" si="273"/>
        <v>0</v>
      </c>
    </row>
    <row r="4258" spans="1:9" x14ac:dyDescent="0.25">
      <c r="A4258" s="11" t="s">
        <v>10148</v>
      </c>
      <c r="B4258" s="11" t="s">
        <v>10149</v>
      </c>
      <c r="C4258" s="11" t="s">
        <v>2922</v>
      </c>
      <c r="D4258" s="4" t="s">
        <v>1406</v>
      </c>
      <c r="E4258" t="s">
        <v>30</v>
      </c>
      <c r="F4258" s="9">
        <f t="shared" si="270"/>
        <v>0</v>
      </c>
      <c r="G4258" s="9">
        <f t="shared" si="271"/>
        <v>0</v>
      </c>
      <c r="H4258" s="9">
        <f t="shared" si="272"/>
        <v>0</v>
      </c>
      <c r="I4258" s="10">
        <f t="shared" si="273"/>
        <v>0</v>
      </c>
    </row>
    <row r="4259" spans="1:9" x14ac:dyDescent="0.25">
      <c r="A4259" s="11" t="s">
        <v>10150</v>
      </c>
      <c r="B4259" s="11" t="s">
        <v>10151</v>
      </c>
      <c r="C4259" s="11" t="s">
        <v>2922</v>
      </c>
      <c r="D4259" s="4" t="s">
        <v>1406</v>
      </c>
      <c r="E4259" t="s">
        <v>30</v>
      </c>
      <c r="F4259" s="9">
        <f t="shared" si="270"/>
        <v>0</v>
      </c>
      <c r="G4259" s="9">
        <f t="shared" si="271"/>
        <v>0</v>
      </c>
      <c r="H4259" s="9">
        <f t="shared" si="272"/>
        <v>0</v>
      </c>
      <c r="I4259" s="10">
        <f t="shared" si="273"/>
        <v>0</v>
      </c>
    </row>
    <row r="4260" spans="1:9" x14ac:dyDescent="0.25">
      <c r="A4260" s="11" t="s">
        <v>10152</v>
      </c>
      <c r="B4260" s="11" t="s">
        <v>10153</v>
      </c>
      <c r="C4260" s="11" t="s">
        <v>2922</v>
      </c>
      <c r="D4260" s="4" t="s">
        <v>1406</v>
      </c>
      <c r="E4260" t="s">
        <v>30</v>
      </c>
      <c r="F4260" s="9">
        <f t="shared" si="270"/>
        <v>0</v>
      </c>
      <c r="G4260" s="9">
        <f t="shared" si="271"/>
        <v>0</v>
      </c>
      <c r="H4260" s="9">
        <f t="shared" si="272"/>
        <v>0</v>
      </c>
      <c r="I4260" s="10">
        <f t="shared" si="273"/>
        <v>0</v>
      </c>
    </row>
    <row r="4261" spans="1:9" x14ac:dyDescent="0.25">
      <c r="A4261" s="11" t="s">
        <v>10154</v>
      </c>
      <c r="B4261" s="11" t="s">
        <v>10155</v>
      </c>
      <c r="C4261" s="11" t="s">
        <v>2922</v>
      </c>
      <c r="D4261" s="4" t="s">
        <v>1406</v>
      </c>
      <c r="E4261" t="s">
        <v>30</v>
      </c>
      <c r="F4261" s="9">
        <f t="shared" si="270"/>
        <v>0</v>
      </c>
      <c r="G4261" s="9">
        <f t="shared" si="271"/>
        <v>0</v>
      </c>
      <c r="H4261" s="9">
        <f t="shared" si="272"/>
        <v>0</v>
      </c>
      <c r="I4261" s="10">
        <f t="shared" si="273"/>
        <v>0</v>
      </c>
    </row>
    <row r="4262" spans="1:9" x14ac:dyDescent="0.25">
      <c r="A4262" s="11" t="s">
        <v>10156</v>
      </c>
      <c r="B4262" s="11" t="s">
        <v>10157</v>
      </c>
      <c r="C4262" s="11" t="s">
        <v>2922</v>
      </c>
      <c r="D4262" s="4" t="s">
        <v>1406</v>
      </c>
      <c r="E4262" t="s">
        <v>30</v>
      </c>
      <c r="F4262" s="9">
        <f t="shared" si="270"/>
        <v>0</v>
      </c>
      <c r="G4262" s="9">
        <f t="shared" si="271"/>
        <v>0</v>
      </c>
      <c r="H4262" s="9">
        <f t="shared" si="272"/>
        <v>0</v>
      </c>
      <c r="I4262" s="10">
        <f t="shared" si="273"/>
        <v>0</v>
      </c>
    </row>
    <row r="4263" spans="1:9" x14ac:dyDescent="0.25">
      <c r="A4263" s="11" t="s">
        <v>10158</v>
      </c>
      <c r="B4263" s="11" t="s">
        <v>10159</v>
      </c>
      <c r="C4263" s="11" t="s">
        <v>2922</v>
      </c>
      <c r="D4263" s="4" t="s">
        <v>1406</v>
      </c>
      <c r="E4263" t="s">
        <v>30</v>
      </c>
      <c r="F4263" s="9">
        <f t="shared" si="270"/>
        <v>0</v>
      </c>
      <c r="G4263" s="9">
        <f t="shared" si="271"/>
        <v>0</v>
      </c>
      <c r="H4263" s="9">
        <f t="shared" si="272"/>
        <v>0</v>
      </c>
      <c r="I4263" s="10">
        <f t="shared" si="273"/>
        <v>0</v>
      </c>
    </row>
    <row r="4264" spans="1:9" x14ac:dyDescent="0.25">
      <c r="A4264" s="11" t="s">
        <v>10160</v>
      </c>
      <c r="B4264" s="11" t="s">
        <v>9103</v>
      </c>
      <c r="C4264" s="11" t="s">
        <v>2922</v>
      </c>
      <c r="D4264" s="4" t="s">
        <v>1406</v>
      </c>
      <c r="E4264" t="s">
        <v>30</v>
      </c>
      <c r="F4264" s="9">
        <f t="shared" ref="F4264:F4287" si="274">IFERROR(VLOOKUP(A4264,condi,8,0),0)</f>
        <v>0</v>
      </c>
      <c r="G4264" s="9">
        <f t="shared" ref="G4264:G4287" si="275">IFERROR(VLOOKUP(A4264,maqui,8,0),0)</f>
        <v>0</v>
      </c>
      <c r="H4264" s="9">
        <f t="shared" ref="H4264:H4287" si="276">IFERROR(VLOOKUP(A4264,ascint,8,0),0)</f>
        <v>0</v>
      </c>
      <c r="I4264" s="10">
        <f t="shared" ref="I4264:I4287" si="277">+F4264+G4264+H4264</f>
        <v>0</v>
      </c>
    </row>
    <row r="4265" spans="1:9" x14ac:dyDescent="0.25">
      <c r="A4265" s="11" t="s">
        <v>10161</v>
      </c>
      <c r="B4265" s="11" t="s">
        <v>10162</v>
      </c>
      <c r="C4265" s="11" t="s">
        <v>2922</v>
      </c>
      <c r="D4265" s="4" t="s">
        <v>1406</v>
      </c>
      <c r="E4265" t="s">
        <v>30</v>
      </c>
      <c r="F4265" s="9">
        <f t="shared" si="274"/>
        <v>0</v>
      </c>
      <c r="G4265" s="9">
        <f t="shared" si="275"/>
        <v>0</v>
      </c>
      <c r="H4265" s="9">
        <f t="shared" si="276"/>
        <v>0</v>
      </c>
      <c r="I4265" s="10">
        <f t="shared" si="277"/>
        <v>0</v>
      </c>
    </row>
    <row r="4266" spans="1:9" x14ac:dyDescent="0.25">
      <c r="A4266" s="11" t="s">
        <v>10163</v>
      </c>
      <c r="B4266" s="11" t="s">
        <v>10164</v>
      </c>
      <c r="C4266" s="11" t="s">
        <v>2922</v>
      </c>
      <c r="D4266" s="4" t="s">
        <v>1406</v>
      </c>
      <c r="E4266" t="s">
        <v>30</v>
      </c>
      <c r="F4266" s="9">
        <f t="shared" si="274"/>
        <v>0</v>
      </c>
      <c r="G4266" s="9">
        <f t="shared" si="275"/>
        <v>0</v>
      </c>
      <c r="H4266" s="9">
        <f t="shared" si="276"/>
        <v>0</v>
      </c>
      <c r="I4266" s="10">
        <f t="shared" si="277"/>
        <v>0</v>
      </c>
    </row>
    <row r="4267" spans="1:9" x14ac:dyDescent="0.25">
      <c r="A4267" s="11" t="s">
        <v>10165</v>
      </c>
      <c r="B4267" s="11" t="s">
        <v>10166</v>
      </c>
      <c r="C4267" s="11" t="s">
        <v>2922</v>
      </c>
      <c r="D4267" s="4" t="s">
        <v>1406</v>
      </c>
      <c r="E4267" t="s">
        <v>30</v>
      </c>
      <c r="F4267" s="9">
        <f t="shared" si="274"/>
        <v>0</v>
      </c>
      <c r="G4267" s="9">
        <f t="shared" si="275"/>
        <v>0</v>
      </c>
      <c r="H4267" s="9">
        <f t="shared" si="276"/>
        <v>0</v>
      </c>
      <c r="I4267" s="10">
        <f t="shared" si="277"/>
        <v>0</v>
      </c>
    </row>
    <row r="4268" spans="1:9" x14ac:dyDescent="0.25">
      <c r="A4268" s="11" t="s">
        <v>10167</v>
      </c>
      <c r="B4268" s="11" t="s">
        <v>10168</v>
      </c>
      <c r="C4268" s="11" t="s">
        <v>2922</v>
      </c>
      <c r="D4268" s="4" t="s">
        <v>1406</v>
      </c>
      <c r="E4268" t="s">
        <v>30</v>
      </c>
      <c r="F4268" s="9">
        <f t="shared" si="274"/>
        <v>0</v>
      </c>
      <c r="G4268" s="9">
        <f t="shared" si="275"/>
        <v>0</v>
      </c>
      <c r="H4268" s="9">
        <f t="shared" si="276"/>
        <v>0</v>
      </c>
      <c r="I4268" s="10">
        <f t="shared" si="277"/>
        <v>0</v>
      </c>
    </row>
    <row r="4269" spans="1:9" x14ac:dyDescent="0.25">
      <c r="A4269" s="11" t="s">
        <v>10169</v>
      </c>
      <c r="B4269" s="11" t="s">
        <v>10170</v>
      </c>
      <c r="C4269" s="11" t="s">
        <v>2922</v>
      </c>
      <c r="D4269" s="4" t="s">
        <v>1406</v>
      </c>
      <c r="E4269" t="s">
        <v>30</v>
      </c>
      <c r="F4269" s="9">
        <f t="shared" si="274"/>
        <v>0</v>
      </c>
      <c r="G4269" s="9">
        <f t="shared" si="275"/>
        <v>0</v>
      </c>
      <c r="H4269" s="9">
        <f t="shared" si="276"/>
        <v>0</v>
      </c>
      <c r="I4269" s="10">
        <f t="shared" si="277"/>
        <v>0</v>
      </c>
    </row>
    <row r="4270" spans="1:9" x14ac:dyDescent="0.25">
      <c r="A4270" s="11" t="s">
        <v>10171</v>
      </c>
      <c r="B4270" s="11" t="s">
        <v>10172</v>
      </c>
      <c r="C4270" s="11" t="s">
        <v>2922</v>
      </c>
      <c r="D4270" s="4" t="s">
        <v>1406</v>
      </c>
      <c r="E4270" t="s">
        <v>30</v>
      </c>
      <c r="F4270" s="9">
        <f t="shared" si="274"/>
        <v>0</v>
      </c>
      <c r="G4270" s="9">
        <f t="shared" si="275"/>
        <v>0</v>
      </c>
      <c r="H4270" s="9">
        <f t="shared" si="276"/>
        <v>0</v>
      </c>
      <c r="I4270" s="10">
        <f t="shared" si="277"/>
        <v>0</v>
      </c>
    </row>
    <row r="4271" spans="1:9" x14ac:dyDescent="0.25">
      <c r="A4271" s="11" t="s">
        <v>10173</v>
      </c>
      <c r="B4271" s="11" t="s">
        <v>10174</v>
      </c>
      <c r="C4271" s="11" t="s">
        <v>2922</v>
      </c>
      <c r="D4271" s="4" t="s">
        <v>1406</v>
      </c>
      <c r="E4271" t="s">
        <v>30</v>
      </c>
      <c r="F4271" s="9">
        <f t="shared" si="274"/>
        <v>0</v>
      </c>
      <c r="G4271" s="9">
        <f t="shared" si="275"/>
        <v>0</v>
      </c>
      <c r="H4271" s="9">
        <f t="shared" si="276"/>
        <v>0</v>
      </c>
      <c r="I4271" s="10">
        <f t="shared" si="277"/>
        <v>0</v>
      </c>
    </row>
    <row r="4272" spans="1:9" x14ac:dyDescent="0.25">
      <c r="A4272" s="11" t="s">
        <v>10175</v>
      </c>
      <c r="B4272" s="11" t="s">
        <v>10176</v>
      </c>
      <c r="C4272" s="11" t="s">
        <v>2922</v>
      </c>
      <c r="D4272" s="4" t="s">
        <v>1406</v>
      </c>
      <c r="E4272" t="s">
        <v>30</v>
      </c>
      <c r="F4272" s="9">
        <f t="shared" si="274"/>
        <v>0</v>
      </c>
      <c r="G4272" s="9">
        <f t="shared" si="275"/>
        <v>0</v>
      </c>
      <c r="H4272" s="9">
        <f t="shared" si="276"/>
        <v>0</v>
      </c>
      <c r="I4272" s="10">
        <f t="shared" si="277"/>
        <v>0</v>
      </c>
    </row>
    <row r="4273" spans="1:9" x14ac:dyDescent="0.25">
      <c r="A4273" s="11" t="s">
        <v>10177</v>
      </c>
      <c r="B4273" s="11" t="s">
        <v>10178</v>
      </c>
      <c r="C4273" s="11" t="s">
        <v>2922</v>
      </c>
      <c r="D4273" s="4" t="s">
        <v>1406</v>
      </c>
      <c r="E4273" t="s">
        <v>30</v>
      </c>
      <c r="F4273" s="9">
        <f t="shared" si="274"/>
        <v>0</v>
      </c>
      <c r="G4273" s="9">
        <f t="shared" si="275"/>
        <v>0</v>
      </c>
      <c r="H4273" s="9">
        <f t="shared" si="276"/>
        <v>0</v>
      </c>
      <c r="I4273" s="10">
        <f t="shared" si="277"/>
        <v>0</v>
      </c>
    </row>
    <row r="4274" spans="1:9" x14ac:dyDescent="0.25">
      <c r="A4274" s="11" t="s">
        <v>10179</v>
      </c>
      <c r="B4274" s="11" t="s">
        <v>10180</v>
      </c>
      <c r="C4274" s="11" t="s">
        <v>2922</v>
      </c>
      <c r="D4274" s="4" t="s">
        <v>1406</v>
      </c>
      <c r="E4274" t="s">
        <v>30</v>
      </c>
      <c r="F4274" s="9">
        <f t="shared" si="274"/>
        <v>0</v>
      </c>
      <c r="G4274" s="9">
        <f t="shared" si="275"/>
        <v>0</v>
      </c>
      <c r="H4274" s="9">
        <f t="shared" si="276"/>
        <v>0</v>
      </c>
      <c r="I4274" s="10">
        <f t="shared" si="277"/>
        <v>0</v>
      </c>
    </row>
    <row r="4275" spans="1:9" x14ac:dyDescent="0.25">
      <c r="A4275" s="11" t="s">
        <v>10181</v>
      </c>
      <c r="B4275" s="11" t="s">
        <v>9161</v>
      </c>
      <c r="C4275" s="11" t="s">
        <v>2922</v>
      </c>
      <c r="D4275" s="4" t="s">
        <v>1406</v>
      </c>
      <c r="E4275" t="s">
        <v>30</v>
      </c>
      <c r="F4275" s="9">
        <f t="shared" si="274"/>
        <v>0</v>
      </c>
      <c r="G4275" s="9">
        <f t="shared" si="275"/>
        <v>0</v>
      </c>
      <c r="H4275" s="9">
        <f t="shared" si="276"/>
        <v>0</v>
      </c>
      <c r="I4275" s="10">
        <f t="shared" si="277"/>
        <v>0</v>
      </c>
    </row>
    <row r="4276" spans="1:9" x14ac:dyDescent="0.25">
      <c r="A4276" s="11" t="s">
        <v>10182</v>
      </c>
      <c r="B4276" s="11" t="s">
        <v>10183</v>
      </c>
      <c r="C4276" s="11" t="s">
        <v>2922</v>
      </c>
      <c r="D4276" s="4" t="s">
        <v>1406</v>
      </c>
      <c r="E4276" t="s">
        <v>30</v>
      </c>
      <c r="F4276" s="9">
        <f t="shared" si="274"/>
        <v>0</v>
      </c>
      <c r="G4276" s="9">
        <f t="shared" si="275"/>
        <v>0</v>
      </c>
      <c r="H4276" s="9">
        <f t="shared" si="276"/>
        <v>0</v>
      </c>
      <c r="I4276" s="10">
        <f t="shared" si="277"/>
        <v>0</v>
      </c>
    </row>
    <row r="4277" spans="1:9" x14ac:dyDescent="0.25">
      <c r="A4277" s="11" t="s">
        <v>10184</v>
      </c>
      <c r="B4277" s="11" t="s">
        <v>10185</v>
      </c>
      <c r="C4277" s="11" t="s">
        <v>2922</v>
      </c>
      <c r="D4277" s="4" t="s">
        <v>1406</v>
      </c>
      <c r="E4277" t="s">
        <v>30</v>
      </c>
      <c r="F4277" s="9">
        <f t="shared" si="274"/>
        <v>0</v>
      </c>
      <c r="G4277" s="9">
        <f t="shared" si="275"/>
        <v>0</v>
      </c>
      <c r="H4277" s="9">
        <f t="shared" si="276"/>
        <v>0</v>
      </c>
      <c r="I4277" s="10">
        <f t="shared" si="277"/>
        <v>0</v>
      </c>
    </row>
    <row r="4278" spans="1:9" x14ac:dyDescent="0.25">
      <c r="A4278" s="11" t="s">
        <v>10186</v>
      </c>
      <c r="B4278" s="11" t="s">
        <v>10187</v>
      </c>
      <c r="C4278" s="11" t="s">
        <v>2922</v>
      </c>
      <c r="D4278" s="4" t="s">
        <v>1406</v>
      </c>
      <c r="E4278" t="s">
        <v>30</v>
      </c>
      <c r="F4278" s="9">
        <f t="shared" si="274"/>
        <v>0</v>
      </c>
      <c r="G4278" s="9">
        <f t="shared" si="275"/>
        <v>0</v>
      </c>
      <c r="H4278" s="9">
        <f t="shared" si="276"/>
        <v>0</v>
      </c>
      <c r="I4278" s="10">
        <f t="shared" si="277"/>
        <v>0</v>
      </c>
    </row>
    <row r="4279" spans="1:9" x14ac:dyDescent="0.25">
      <c r="A4279" s="11" t="s">
        <v>10188</v>
      </c>
      <c r="B4279" s="11" t="s">
        <v>10189</v>
      </c>
      <c r="C4279" s="11" t="s">
        <v>2922</v>
      </c>
      <c r="D4279" s="4" t="s">
        <v>1406</v>
      </c>
      <c r="E4279" t="s">
        <v>30</v>
      </c>
      <c r="F4279" s="9">
        <f t="shared" si="274"/>
        <v>0</v>
      </c>
      <c r="G4279" s="9">
        <f t="shared" si="275"/>
        <v>0</v>
      </c>
      <c r="H4279" s="9">
        <f t="shared" si="276"/>
        <v>0</v>
      </c>
      <c r="I4279" s="10">
        <f t="shared" si="277"/>
        <v>0</v>
      </c>
    </row>
    <row r="4280" spans="1:9" x14ac:dyDescent="0.25">
      <c r="A4280" s="11" t="s">
        <v>10190</v>
      </c>
      <c r="B4280" s="11" t="s">
        <v>10191</v>
      </c>
      <c r="C4280" s="11" t="s">
        <v>2922</v>
      </c>
      <c r="D4280" s="4" t="s">
        <v>1406</v>
      </c>
      <c r="E4280" t="s">
        <v>30</v>
      </c>
      <c r="F4280" s="9">
        <f t="shared" si="274"/>
        <v>0</v>
      </c>
      <c r="G4280" s="9">
        <f t="shared" si="275"/>
        <v>0</v>
      </c>
      <c r="H4280" s="9">
        <f t="shared" si="276"/>
        <v>0</v>
      </c>
      <c r="I4280" s="10">
        <f t="shared" si="277"/>
        <v>0</v>
      </c>
    </row>
    <row r="4281" spans="1:9" x14ac:dyDescent="0.25">
      <c r="A4281" s="11" t="s">
        <v>10192</v>
      </c>
      <c r="B4281" s="11" t="s">
        <v>10193</v>
      </c>
      <c r="C4281" s="11" t="s">
        <v>2922</v>
      </c>
      <c r="D4281" s="4" t="s">
        <v>1406</v>
      </c>
      <c r="E4281" t="s">
        <v>30</v>
      </c>
      <c r="F4281" s="9">
        <f t="shared" si="274"/>
        <v>0</v>
      </c>
      <c r="G4281" s="9">
        <f t="shared" si="275"/>
        <v>0</v>
      </c>
      <c r="H4281" s="9">
        <f t="shared" si="276"/>
        <v>0</v>
      </c>
      <c r="I4281" s="10">
        <f t="shared" si="277"/>
        <v>0</v>
      </c>
    </row>
    <row r="4282" spans="1:9" x14ac:dyDescent="0.25">
      <c r="A4282" s="11" t="s">
        <v>10194</v>
      </c>
      <c r="B4282" s="11" t="s">
        <v>10195</v>
      </c>
      <c r="C4282" s="11" t="s">
        <v>2922</v>
      </c>
      <c r="D4282" s="4" t="s">
        <v>1406</v>
      </c>
      <c r="E4282" t="s">
        <v>30</v>
      </c>
      <c r="F4282" s="9">
        <f t="shared" si="274"/>
        <v>0</v>
      </c>
      <c r="G4282" s="9">
        <f t="shared" si="275"/>
        <v>0</v>
      </c>
      <c r="H4282" s="9">
        <f t="shared" si="276"/>
        <v>0</v>
      </c>
      <c r="I4282" s="10">
        <f t="shared" si="277"/>
        <v>0</v>
      </c>
    </row>
    <row r="4283" spans="1:9" x14ac:dyDescent="0.25">
      <c r="A4283" s="11" t="s">
        <v>10196</v>
      </c>
      <c r="B4283" s="11" t="s">
        <v>10197</v>
      </c>
      <c r="C4283" s="11" t="s">
        <v>2922</v>
      </c>
      <c r="D4283" s="4" t="s">
        <v>1406</v>
      </c>
      <c r="E4283" t="s">
        <v>30</v>
      </c>
      <c r="F4283" s="9">
        <f t="shared" si="274"/>
        <v>0</v>
      </c>
      <c r="G4283" s="9">
        <f t="shared" si="275"/>
        <v>0</v>
      </c>
      <c r="H4283" s="9">
        <f t="shared" si="276"/>
        <v>0</v>
      </c>
      <c r="I4283" s="10">
        <f t="shared" si="277"/>
        <v>0</v>
      </c>
    </row>
    <row r="4284" spans="1:9" x14ac:dyDescent="0.25">
      <c r="A4284" s="11" t="s">
        <v>10198</v>
      </c>
      <c r="B4284" s="11" t="s">
        <v>10199</v>
      </c>
      <c r="C4284" s="11" t="s">
        <v>2922</v>
      </c>
      <c r="D4284" s="4" t="s">
        <v>1406</v>
      </c>
      <c r="E4284" t="s">
        <v>30</v>
      </c>
      <c r="F4284" s="9">
        <f t="shared" si="274"/>
        <v>0</v>
      </c>
      <c r="G4284" s="9">
        <f t="shared" si="275"/>
        <v>0</v>
      </c>
      <c r="H4284" s="9">
        <f t="shared" si="276"/>
        <v>0</v>
      </c>
      <c r="I4284" s="10">
        <f t="shared" si="277"/>
        <v>0</v>
      </c>
    </row>
    <row r="4285" spans="1:9" x14ac:dyDescent="0.25">
      <c r="A4285" s="11" t="s">
        <v>10200</v>
      </c>
      <c r="B4285" s="11" t="s">
        <v>10201</v>
      </c>
      <c r="C4285" s="11" t="s">
        <v>2922</v>
      </c>
      <c r="D4285" s="4" t="s">
        <v>1406</v>
      </c>
      <c r="E4285" t="s">
        <v>30</v>
      </c>
      <c r="F4285" s="9">
        <f t="shared" si="274"/>
        <v>0</v>
      </c>
      <c r="G4285" s="9">
        <f t="shared" si="275"/>
        <v>0</v>
      </c>
      <c r="H4285" s="9">
        <f t="shared" si="276"/>
        <v>0</v>
      </c>
      <c r="I4285" s="10">
        <f t="shared" si="277"/>
        <v>0</v>
      </c>
    </row>
    <row r="4286" spans="1:9" x14ac:dyDescent="0.25">
      <c r="A4286" s="11" t="s">
        <v>10202</v>
      </c>
      <c r="B4286" s="11" t="s">
        <v>10203</v>
      </c>
      <c r="C4286" s="11" t="s">
        <v>2922</v>
      </c>
      <c r="D4286" s="4" t="s">
        <v>1406</v>
      </c>
      <c r="E4286" t="s">
        <v>30</v>
      </c>
      <c r="F4286" s="9">
        <f t="shared" si="274"/>
        <v>0</v>
      </c>
      <c r="G4286" s="9">
        <f t="shared" si="275"/>
        <v>0</v>
      </c>
      <c r="H4286" s="9">
        <f t="shared" si="276"/>
        <v>0</v>
      </c>
      <c r="I4286" s="10">
        <f t="shared" si="277"/>
        <v>0</v>
      </c>
    </row>
    <row r="4287" spans="1:9" x14ac:dyDescent="0.25">
      <c r="A4287" s="11" t="s">
        <v>10204</v>
      </c>
      <c r="B4287" s="11" t="s">
        <v>10205</v>
      </c>
      <c r="C4287" s="11" t="s">
        <v>2922</v>
      </c>
      <c r="D4287" s="4" t="s">
        <v>1406</v>
      </c>
      <c r="E4287" t="s">
        <v>30</v>
      </c>
      <c r="F4287" s="9">
        <f t="shared" si="274"/>
        <v>0</v>
      </c>
      <c r="G4287" s="9">
        <f t="shared" si="275"/>
        <v>0</v>
      </c>
      <c r="H4287" s="9">
        <f t="shared" si="276"/>
        <v>0</v>
      </c>
      <c r="I4287" s="10">
        <f t="shared" si="277"/>
        <v>0</v>
      </c>
    </row>
    <row r="4288" spans="1:9" x14ac:dyDescent="0.25">
      <c r="A4288" t="s">
        <v>10245</v>
      </c>
      <c r="B4288" t="s">
        <v>10244</v>
      </c>
      <c r="C4288" t="s">
        <v>81</v>
      </c>
      <c r="D4288" s="4" t="s">
        <v>1406</v>
      </c>
      <c r="E4288" t="s">
        <v>489</v>
      </c>
      <c r="F4288" s="9">
        <f t="shared" ref="F4288:F4303" si="278">IFERROR(VLOOKUP(A4288,condi,8,0),0)</f>
        <v>0</v>
      </c>
      <c r="G4288" s="9">
        <f t="shared" ref="G4288:G4303" si="279">IFERROR(VLOOKUP(A4288,maqui,8,0),0)</f>
        <v>0</v>
      </c>
      <c r="H4288" s="9">
        <f t="shared" ref="H4288:H4303" si="280">IFERROR(VLOOKUP(A4288,ascint,8,0),0)</f>
        <v>0</v>
      </c>
      <c r="I4288" s="10">
        <f t="shared" ref="I4288:I4303" si="281">+F4288+G4288+H4288</f>
        <v>0</v>
      </c>
    </row>
    <row r="4289" spans="1:9" x14ac:dyDescent="0.25">
      <c r="A4289" t="s">
        <v>10248</v>
      </c>
      <c r="B4289" t="s">
        <v>10247</v>
      </c>
      <c r="C4289" t="s">
        <v>81</v>
      </c>
      <c r="D4289" s="4" t="s">
        <v>1406</v>
      </c>
      <c r="E4289" t="s">
        <v>489</v>
      </c>
      <c r="F4289" s="9">
        <f t="shared" si="278"/>
        <v>0</v>
      </c>
      <c r="G4289" s="9">
        <f t="shared" si="279"/>
        <v>0</v>
      </c>
      <c r="H4289" s="9">
        <f t="shared" si="280"/>
        <v>0</v>
      </c>
      <c r="I4289" s="10">
        <f t="shared" si="281"/>
        <v>0</v>
      </c>
    </row>
    <row r="4290" spans="1:9" x14ac:dyDescent="0.25">
      <c r="A4290" t="s">
        <v>10251</v>
      </c>
      <c r="B4290" t="s">
        <v>10250</v>
      </c>
      <c r="C4290" t="s">
        <v>81</v>
      </c>
      <c r="D4290" s="4" t="s">
        <v>1406</v>
      </c>
      <c r="E4290" t="s">
        <v>489</v>
      </c>
      <c r="F4290" s="9">
        <f t="shared" si="278"/>
        <v>0</v>
      </c>
      <c r="G4290" s="9">
        <f t="shared" si="279"/>
        <v>0</v>
      </c>
      <c r="H4290" s="9">
        <f t="shared" si="280"/>
        <v>0</v>
      </c>
      <c r="I4290" s="10">
        <f t="shared" si="281"/>
        <v>0</v>
      </c>
    </row>
    <row r="4291" spans="1:9" x14ac:dyDescent="0.25">
      <c r="A4291" t="s">
        <v>10288</v>
      </c>
      <c r="B4291" t="s">
        <v>6008</v>
      </c>
      <c r="C4291" t="s">
        <v>81</v>
      </c>
      <c r="D4291" s="4" t="s">
        <v>1406</v>
      </c>
      <c r="E4291" t="s">
        <v>489</v>
      </c>
      <c r="F4291" s="9">
        <f t="shared" si="278"/>
        <v>0</v>
      </c>
      <c r="G4291" s="9">
        <f t="shared" si="279"/>
        <v>0</v>
      </c>
      <c r="H4291" s="9">
        <f t="shared" si="280"/>
        <v>0</v>
      </c>
      <c r="I4291" s="10">
        <f t="shared" si="281"/>
        <v>0</v>
      </c>
    </row>
    <row r="4292" spans="1:9" x14ac:dyDescent="0.25">
      <c r="A4292" t="s">
        <v>10290</v>
      </c>
      <c r="B4292" t="s">
        <v>10289</v>
      </c>
      <c r="C4292" t="s">
        <v>81</v>
      </c>
      <c r="D4292" s="4" t="s">
        <v>1406</v>
      </c>
      <c r="E4292" t="s">
        <v>489</v>
      </c>
      <c r="F4292" s="9">
        <f t="shared" si="278"/>
        <v>0</v>
      </c>
      <c r="G4292" s="9">
        <f t="shared" si="279"/>
        <v>0</v>
      </c>
      <c r="H4292" s="9">
        <f t="shared" si="280"/>
        <v>0</v>
      </c>
      <c r="I4292" s="10">
        <f t="shared" si="281"/>
        <v>0</v>
      </c>
    </row>
    <row r="4293" spans="1:9" x14ac:dyDescent="0.25">
      <c r="A4293" t="s">
        <v>10292</v>
      </c>
      <c r="B4293" t="s">
        <v>10291</v>
      </c>
      <c r="C4293" t="s">
        <v>81</v>
      </c>
      <c r="D4293" s="4" t="s">
        <v>1406</v>
      </c>
      <c r="E4293" t="s">
        <v>489</v>
      </c>
      <c r="F4293" s="9">
        <f t="shared" si="278"/>
        <v>0</v>
      </c>
      <c r="G4293" s="9">
        <f t="shared" si="279"/>
        <v>0</v>
      </c>
      <c r="H4293" s="9">
        <f t="shared" si="280"/>
        <v>0</v>
      </c>
      <c r="I4293" s="10">
        <f t="shared" si="281"/>
        <v>0</v>
      </c>
    </row>
    <row r="4294" spans="1:9" x14ac:dyDescent="0.25">
      <c r="A4294" t="s">
        <v>10294</v>
      </c>
      <c r="B4294" t="s">
        <v>10293</v>
      </c>
      <c r="C4294" t="s">
        <v>81</v>
      </c>
      <c r="D4294" s="4" t="s">
        <v>1406</v>
      </c>
      <c r="E4294" t="s">
        <v>489</v>
      </c>
      <c r="F4294" s="9">
        <f t="shared" si="278"/>
        <v>0</v>
      </c>
      <c r="G4294" s="9">
        <f t="shared" si="279"/>
        <v>0</v>
      </c>
      <c r="H4294" s="9">
        <f t="shared" si="280"/>
        <v>0</v>
      </c>
      <c r="I4294" s="10">
        <f t="shared" si="281"/>
        <v>0</v>
      </c>
    </row>
    <row r="4295" spans="1:9" x14ac:dyDescent="0.25">
      <c r="A4295" t="s">
        <v>10254</v>
      </c>
      <c r="B4295" t="s">
        <v>10253</v>
      </c>
      <c r="C4295" t="s">
        <v>81</v>
      </c>
      <c r="D4295" s="4" t="s">
        <v>1406</v>
      </c>
      <c r="E4295" t="s">
        <v>489</v>
      </c>
      <c r="F4295" s="9">
        <f t="shared" si="278"/>
        <v>0</v>
      </c>
      <c r="G4295" s="9">
        <f t="shared" si="279"/>
        <v>0</v>
      </c>
      <c r="H4295" s="9">
        <f t="shared" si="280"/>
        <v>0</v>
      </c>
      <c r="I4295" s="10">
        <f t="shared" si="281"/>
        <v>0</v>
      </c>
    </row>
    <row r="4296" spans="1:9" x14ac:dyDescent="0.25">
      <c r="A4296" t="s">
        <v>10259</v>
      </c>
      <c r="B4296" t="s">
        <v>10258</v>
      </c>
      <c r="C4296" t="s">
        <v>81</v>
      </c>
      <c r="D4296" s="4" t="s">
        <v>1406</v>
      </c>
      <c r="E4296" t="s">
        <v>489</v>
      </c>
      <c r="F4296" s="9">
        <f t="shared" si="278"/>
        <v>0</v>
      </c>
      <c r="G4296" s="9">
        <f t="shared" si="279"/>
        <v>0</v>
      </c>
      <c r="H4296" s="9">
        <f t="shared" si="280"/>
        <v>0</v>
      </c>
      <c r="I4296" s="10">
        <f t="shared" si="281"/>
        <v>0</v>
      </c>
    </row>
    <row r="4297" spans="1:9" x14ac:dyDescent="0.25">
      <c r="A4297" t="s">
        <v>10296</v>
      </c>
      <c r="B4297" t="s">
        <v>10295</v>
      </c>
      <c r="C4297" t="s">
        <v>81</v>
      </c>
      <c r="D4297" s="4" t="s">
        <v>1406</v>
      </c>
      <c r="E4297" t="s">
        <v>489</v>
      </c>
      <c r="F4297" s="9">
        <f t="shared" si="278"/>
        <v>0</v>
      </c>
      <c r="G4297" s="9">
        <f t="shared" si="279"/>
        <v>0</v>
      </c>
      <c r="H4297" s="9">
        <f t="shared" si="280"/>
        <v>0</v>
      </c>
      <c r="I4297" s="10">
        <f t="shared" si="281"/>
        <v>0</v>
      </c>
    </row>
    <row r="4298" spans="1:9" x14ac:dyDescent="0.25">
      <c r="A4298" t="s">
        <v>10262</v>
      </c>
      <c r="B4298" t="s">
        <v>10261</v>
      </c>
      <c r="C4298" t="s">
        <v>81</v>
      </c>
      <c r="D4298" s="4" t="s">
        <v>1406</v>
      </c>
      <c r="E4298" t="s">
        <v>489</v>
      </c>
      <c r="F4298" s="9">
        <f t="shared" si="278"/>
        <v>0</v>
      </c>
      <c r="G4298" s="9">
        <f t="shared" si="279"/>
        <v>0</v>
      </c>
      <c r="H4298" s="9">
        <f t="shared" si="280"/>
        <v>0</v>
      </c>
      <c r="I4298" s="10">
        <f t="shared" si="281"/>
        <v>0</v>
      </c>
    </row>
    <row r="4299" spans="1:9" x14ac:dyDescent="0.25">
      <c r="A4299" t="s">
        <v>10213</v>
      </c>
      <c r="B4299" t="s">
        <v>10212</v>
      </c>
      <c r="C4299" t="s">
        <v>81</v>
      </c>
      <c r="D4299" s="4" t="s">
        <v>1406</v>
      </c>
      <c r="E4299" t="s">
        <v>489</v>
      </c>
      <c r="F4299" s="9">
        <f t="shared" si="278"/>
        <v>0</v>
      </c>
      <c r="G4299" s="9">
        <f t="shared" si="279"/>
        <v>0</v>
      </c>
      <c r="H4299" s="9">
        <f t="shared" si="280"/>
        <v>0</v>
      </c>
      <c r="I4299" s="10">
        <f t="shared" si="281"/>
        <v>0</v>
      </c>
    </row>
    <row r="4300" spans="1:9" x14ac:dyDescent="0.25">
      <c r="A4300" t="s">
        <v>10216</v>
      </c>
      <c r="B4300" t="s">
        <v>10215</v>
      </c>
      <c r="C4300" t="s">
        <v>81</v>
      </c>
      <c r="D4300" s="4" t="s">
        <v>1406</v>
      </c>
      <c r="E4300" t="s">
        <v>489</v>
      </c>
      <c r="F4300" s="9">
        <f t="shared" si="278"/>
        <v>0</v>
      </c>
      <c r="G4300" s="9">
        <f t="shared" si="279"/>
        <v>0</v>
      </c>
      <c r="H4300" s="9">
        <f t="shared" si="280"/>
        <v>0</v>
      </c>
      <c r="I4300" s="10">
        <f t="shared" si="281"/>
        <v>0</v>
      </c>
    </row>
    <row r="4301" spans="1:9" x14ac:dyDescent="0.25">
      <c r="A4301" t="s">
        <v>10304</v>
      </c>
      <c r="B4301" t="s">
        <v>10303</v>
      </c>
      <c r="C4301" t="s">
        <v>1069</v>
      </c>
      <c r="D4301" s="4" t="s">
        <v>1406</v>
      </c>
      <c r="E4301" t="s">
        <v>30</v>
      </c>
      <c r="F4301" s="9">
        <f t="shared" si="278"/>
        <v>0</v>
      </c>
      <c r="G4301" s="9">
        <f t="shared" si="279"/>
        <v>0</v>
      </c>
      <c r="H4301" s="9">
        <f t="shared" si="280"/>
        <v>0</v>
      </c>
      <c r="I4301" s="10">
        <f t="shared" si="281"/>
        <v>0</v>
      </c>
    </row>
    <row r="4302" spans="1:9" x14ac:dyDescent="0.25">
      <c r="A4302" t="s">
        <v>10238</v>
      </c>
      <c r="B4302" t="s">
        <v>10237</v>
      </c>
      <c r="C4302" t="s">
        <v>791</v>
      </c>
      <c r="D4302" s="4" t="s">
        <v>1406</v>
      </c>
      <c r="E4302" t="s">
        <v>30</v>
      </c>
      <c r="F4302" s="9">
        <f t="shared" si="278"/>
        <v>0</v>
      </c>
      <c r="G4302" s="9">
        <f t="shared" si="279"/>
        <v>0</v>
      </c>
      <c r="H4302" s="9">
        <f t="shared" si="280"/>
        <v>0</v>
      </c>
      <c r="I4302" s="10">
        <f t="shared" si="281"/>
        <v>0</v>
      </c>
    </row>
    <row r="4303" spans="1:9" x14ac:dyDescent="0.25">
      <c r="A4303" t="s">
        <v>10226</v>
      </c>
      <c r="B4303" t="s">
        <v>10225</v>
      </c>
      <c r="C4303" t="s">
        <v>232</v>
      </c>
      <c r="D4303" s="4" t="s">
        <v>1406</v>
      </c>
      <c r="E4303" t="s">
        <v>30</v>
      </c>
      <c r="F4303" s="9">
        <f t="shared" si="278"/>
        <v>0</v>
      </c>
      <c r="G4303" s="9">
        <f t="shared" si="279"/>
        <v>0</v>
      </c>
      <c r="H4303" s="9">
        <f t="shared" si="280"/>
        <v>0</v>
      </c>
      <c r="I4303" s="10">
        <f t="shared" si="281"/>
        <v>0</v>
      </c>
    </row>
  </sheetData>
  <autoFilter ref="A2:I4303" xr:uid="{00000000-0001-0000-0400-000000000000}"/>
  <mergeCells count="1">
    <mergeCell ref="A1:E1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20AF6-A21C-41D2-A2FE-98D048D7D022}">
  <dimension ref="A1:C4"/>
  <sheetViews>
    <sheetView workbookViewId="0">
      <selection activeCell="B4" sqref="B4"/>
    </sheetView>
  </sheetViews>
  <sheetFormatPr baseColWidth="10" defaultRowHeight="15" x14ac:dyDescent="0.25"/>
  <cols>
    <col min="2" max="2" width="25.140625" customWidth="1"/>
    <col min="3" max="3" width="17.5703125" bestFit="1" customWidth="1"/>
  </cols>
  <sheetData>
    <row r="1" spans="1:3" x14ac:dyDescent="0.25">
      <c r="A1" s="5" t="s">
        <v>10361</v>
      </c>
      <c r="B1" s="5" t="s">
        <v>10362</v>
      </c>
      <c r="C1" s="5" t="s">
        <v>10363</v>
      </c>
    </row>
    <row r="2" spans="1:3" x14ac:dyDescent="0.25">
      <c r="A2">
        <v>1</v>
      </c>
      <c r="B2" t="s">
        <v>10364</v>
      </c>
      <c r="C2" s="6">
        <v>46004</v>
      </c>
    </row>
    <row r="3" spans="1:3" x14ac:dyDescent="0.25">
      <c r="A3">
        <v>2</v>
      </c>
      <c r="B3" t="s">
        <v>10365</v>
      </c>
      <c r="C3" s="6">
        <v>46004</v>
      </c>
    </row>
    <row r="4" spans="1:3" x14ac:dyDescent="0.25">
      <c r="C4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CONDI</vt:lpstr>
      <vt:lpstr>MAQUI</vt:lpstr>
      <vt:lpstr>ASCINTEC</vt:lpstr>
      <vt:lpstr>PRODUCTOS</vt:lpstr>
      <vt:lpstr>EQUIPOS</vt:lpstr>
      <vt:lpstr>ascint</vt:lpstr>
      <vt:lpstr>condi</vt:lpstr>
      <vt:lpstr>maqui</vt:lpstr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MEJIA</dc:creator>
  <cp:lastModifiedBy>JOSE MEJIA</cp:lastModifiedBy>
  <cp:lastPrinted>2025-11-28T13:24:47Z</cp:lastPrinted>
  <dcterms:created xsi:type="dcterms:W3CDTF">2025-11-28T06:43:24Z</dcterms:created>
  <dcterms:modified xsi:type="dcterms:W3CDTF">2026-01-01T02:15:12Z</dcterms:modified>
</cp:coreProperties>
</file>